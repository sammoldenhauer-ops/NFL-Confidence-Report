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Entry Builder" sheetId="2" state="visible" r:id="rId2"/>
    <sheet name="Payout Finder" sheetId="3" state="visible" r:id="rId3"/>
    <sheet name="Top Entries" sheetId="4" state="visible" r:id="rId4"/>
    <sheet name="Best Legs" sheetId="5" state="visible" r:id="rId5"/>
    <sheet name="Player Lines" sheetId="6" state="visible" r:id="rId6"/>
    <sheet name="Injuries &amp; Notes" sheetId="7" state="visible" r:id="rId7"/>
    <sheet name="Learn the Math" sheetId="8" state="visible" r:id="rId8"/>
    <sheet name="Settings" sheetId="9" state="visible" r:id="rId9"/>
    <sheet name="Sims" sheetId="10" state="hidden" r:id="rId10"/>
    <sheet name="Lists" sheetId="11" state="hidden" r:id="rId11"/>
    <sheet name="Calc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&quot;x&quot;"/>
    <numFmt numFmtId="166" formatCode="0.0"/>
    <numFmt numFmtId="167" formatCode="$#,##0"/>
    <numFmt numFmtId="168" formatCode="0.000"/>
    <numFmt numFmtId="169" formatCode="+0.0%;-0.0%"/>
    <numFmt numFmtId="170" formatCode="$#,##0.00"/>
    <numFmt numFmtId="171" formatCode="+0%"/>
    <numFmt numFmtId="172" formatCode="0.0&quot;x&quot;"/>
    <numFmt numFmtId="173" formatCode="+0%;-0%"/>
  </numFmts>
  <fonts count="2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  <color rgb="00FFFFFF"/>
      <sz val="11"/>
    </font>
    <font>
      <name val="Arial"/>
      <b val="1"/>
    </font>
    <font>
      <name val="Arial"/>
      <color rgb="000000FF"/>
    </font>
    <font>
      <name val="Arial"/>
      <i val="1"/>
      <color rgb="00595959"/>
    </font>
    <font>
      <name val="Arial"/>
    </font>
    <font>
      <name val="Arial"/>
      <b val="1"/>
      <sz val="16"/>
    </font>
    <font>
      <name val="Arial"/>
      <color rgb="00595959"/>
    </font>
    <font>
      <name val="Arial"/>
      <i val="1"/>
      <color rgb="00595959"/>
      <sz val="9"/>
    </font>
    <font>
      <name val="Arial"/>
      <color rgb="00808080"/>
      <sz val="9"/>
    </font>
    <font>
      <name val="Arial"/>
      <b val="1"/>
      <sz val="13"/>
    </font>
    <font>
      <name val="Arial"/>
      <b val="1"/>
      <sz val="12"/>
    </font>
    <font>
      <name val="Arial"/>
      <color rgb="00C00000"/>
    </font>
    <font>
      <name val="Arial"/>
      <b val="1"/>
      <color rgb="0000610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</font>
    <font>
      <name val="Arial"/>
      <b val="1"/>
      <sz val="9"/>
    </font>
    <font>
      <name val="Arial"/>
      <sz val="8"/>
    </font>
    <font>
      <name val="Arial"/>
      <b val="1"/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4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0" pivotButton="0" quotePrefix="0" xfId="0"/>
    <xf numFmtId="0" fontId="21" fillId="0" borderId="0" pivotButton="0" quotePrefix="0" xfId="0"/>
    <xf numFmtId="0" fontId="7" fillId="3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5" fillId="3" borderId="1" pivotButton="0" quotePrefix="0" xfId="0"/>
    <xf numFmtId="166" fontId="5" fillId="3" borderId="1" pivotButton="0" quotePrefix="0" xfId="0"/>
    <xf numFmtId="166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165" fontId="5" fillId="3" borderId="1" pivotButton="0" quotePrefix="0" xfId="0"/>
    <xf numFmtId="167" fontId="5" fillId="3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164" fontId="11" fillId="0" borderId="0" pivotButton="0" quotePrefix="0" xfId="0"/>
    <xf numFmtId="164" fontId="13" fillId="0" borderId="1" pivotButton="0" quotePrefix="0" xfId="0"/>
    <xf numFmtId="169" fontId="13" fillId="0" borderId="1" pivotButton="0" quotePrefix="0" xfId="0"/>
    <xf numFmtId="2" fontId="11" fillId="0" borderId="0" pivotButton="0" quotePrefix="0" xfId="0"/>
    <xf numFmtId="171" fontId="13" fillId="0" borderId="1" pivotButton="0" quotePrefix="0" xfId="0"/>
    <xf numFmtId="168" fontId="11" fillId="0" borderId="0" pivotButton="0" quotePrefix="0" xfId="0"/>
    <xf numFmtId="170" fontId="13" fillId="0" borderId="1" pivotButton="0" quotePrefix="0" xfId="0"/>
    <xf numFmtId="165" fontId="11" fillId="0" borderId="0" pivotButton="0" quotePrefix="0" xfId="0"/>
    <xf numFmtId="0" fontId="14" fillId="0" borderId="0" pivotButton="0" quotePrefix="0" xfId="0"/>
    <xf numFmtId="169" fontId="11" fillId="0" borderId="0" pivotButton="0" quotePrefix="0" xfId="0"/>
    <xf numFmtId="9" fontId="11" fillId="0" borderId="0" pivotButton="0" quotePrefix="0" xfId="0"/>
    <xf numFmtId="170" fontId="11" fillId="0" borderId="0" pivotButton="0" quotePrefix="0" xfId="0"/>
    <xf numFmtId="0" fontId="15" fillId="0" borderId="0" pivotButton="0" quotePrefix="0" xfId="0"/>
    <xf numFmtId="0" fontId="1" fillId="0" borderId="0" pivotButton="0" quotePrefix="0" xfId="0"/>
    <xf numFmtId="0" fontId="17" fillId="2" borderId="0" pivotButton="0" quotePrefix="0" xfId="0"/>
    <xf numFmtId="171" fontId="18" fillId="2" borderId="0" pivotButton="0" quotePrefix="0" xfId="0"/>
    <xf numFmtId="0" fontId="18" fillId="2" borderId="0" pivotButton="0" quotePrefix="0" xfId="0"/>
    <xf numFmtId="165" fontId="19" fillId="4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165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173" fontId="16" fillId="0" borderId="0" applyAlignment="1" pivotButton="0" quotePrefix="0" xfId="0">
      <alignment horizontal="center" vertical="top"/>
    </xf>
    <xf numFmtId="164" fontId="7" fillId="0" borderId="0" pivotButton="0" quotePrefix="0" xfId="0"/>
    <xf numFmtId="172" fontId="7" fillId="0" borderId="0" pivotButton="0" quotePrefix="0" xfId="0"/>
    <xf numFmtId="173" fontId="4" fillId="0" borderId="0" pivotButton="0" quotePrefix="0" xfId="0"/>
    <xf numFmtId="171" fontId="7" fillId="0" borderId="0" pivotButton="0" quotePrefix="0" xfId="0"/>
    <xf numFmtId="0" fontId="16" fillId="0" borderId="0" pivotButton="0" quotePrefix="0" xfId="0"/>
    <xf numFmtId="0" fontId="7" fillId="0" borderId="0" applyAlignment="1" pivotButton="0" quotePrefix="0" xfId="0">
      <alignment vertical="top" wrapText="1"/>
    </xf>
    <xf numFmtId="9" fontId="4" fillId="0" borderId="0" pivotButton="0" quotePrefix="0" xfId="0"/>
    <xf numFmtId="173" fontId="7" fillId="0" borderId="0" pivotButton="0" quotePrefix="0" xfId="0"/>
    <xf numFmtId="164" fontId="5" fillId="3" borderId="1" pivotButton="0" quotePrefix="0" xfId="0"/>
    <xf numFmtId="9" fontId="5" fillId="3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006100"/>
        <sz val="16"/>
      </font>
      <fill>
        <patternFill patternType="solid">
          <fgColor rgb="00C6EFCE"/>
        </patternFill>
      </fill>
    </dxf>
    <dxf>
      <font>
        <name val="Arial"/>
        <b val="1"/>
        <color rgb="009C0006"/>
        <sz val="1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BestLegs" displayName="BestLegs" ref="A4:H201" headerRowCount="1">
  <autoFilter ref="A4:H201"/>
  <tableColumns count="8">
    <tableColumn id="1" name="Confidence"/>
    <tableColumn id="2" name="Pick"/>
    <tableColumn id="3" name="Player"/>
    <tableColumn id="4" name="Team"/>
    <tableColumn id="5" name="Stat"/>
    <tableColumn id="6" name="Book line"/>
    <tableColumn id="7" name="Steps from book"/>
    <tableColumn id="8" name="Game"/>
  </tableColumns>
  <tableStyleInfo name="TableStyleMedium2" showRowStripes="1"/>
</table>
</file>

<file path=xl/tables/table2.xml><?xml version="1.0" encoding="utf-8"?>
<table xmlns="http://schemas.openxmlformats.org/spreadsheetml/2006/main" id="2" name="PlayerLines" displayName="PlayerLines" ref="A4:I622" headerRowCount="1">
  <autoFilter ref="A4:I622"/>
  <tableColumns count="9">
    <tableColumn id="1" name="Player"/>
    <tableColumn id="2" name="Team"/>
    <tableColumn id="3" name="Stat"/>
    <tableColumn id="4" name="Line"/>
    <tableColumn id="5" name="Pick"/>
    <tableColumn id="6" name="Confidence"/>
    <tableColumn id="7" name="Book line"/>
    <tableColumn id="8" name="Steps from book"/>
    <tableColumn id="9" name="G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ntry Builder'!A1" TargetMode="External" Id="rId1" /><Relationship Type="http://schemas.openxmlformats.org/officeDocument/2006/relationships/hyperlink" Target="#'Payout Finder'!A1" TargetMode="External" Id="rId2" /><Relationship Type="http://schemas.openxmlformats.org/officeDocument/2006/relationships/hyperlink" Target="#'Top Entries'!A1" TargetMode="External" Id="rId3" /><Relationship Type="http://schemas.openxmlformats.org/officeDocument/2006/relationships/hyperlink" Target="#'Best Legs'!A1" TargetMode="External" Id="rId4" /><Relationship Type="http://schemas.openxmlformats.org/officeDocument/2006/relationships/hyperlink" Target="#'Player Lines'!A1" TargetMode="External" Id="rId5" /><Relationship Type="http://schemas.openxmlformats.org/officeDocument/2006/relationships/hyperlink" Target="#'Injuries &amp; Notes'!A1" TargetMode="External" Id="rId6" /><Relationship Type="http://schemas.openxmlformats.org/officeDocument/2006/relationships/hyperlink" Target="#'Learn the Math'!A1" TargetMode="External" Id="rId7" /><Relationship Type="http://schemas.openxmlformats.org/officeDocument/2006/relationships/hyperlink" Target="#'Settings'!A1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8" customWidth="1" min="4" max="4"/>
    <col width="12" customWidth="1" min="5" max="5"/>
  </cols>
  <sheetData>
    <row r="1">
      <c r="A1" s="1" t="inlineStr">
        <is>
          <t>replay test</t>
        </is>
      </c>
    </row>
    <row r="3">
      <c r="A3" s="2" t="inlineStr">
        <is>
          <t>THE SLATE</t>
        </is>
      </c>
      <c r="B3" s="3" t="n"/>
      <c r="C3" s="3" t="n"/>
      <c r="D3" s="3" t="n"/>
      <c r="E3" s="3" t="n"/>
      <c r="F3" s="3" t="n"/>
    </row>
    <row r="4">
      <c r="A4" s="4" t="inlineStr">
        <is>
          <t>Game</t>
        </is>
      </c>
      <c r="B4" s="4" t="inlineStr">
        <is>
          <t>Kickoff</t>
        </is>
      </c>
      <c r="C4" s="4" t="inlineStr">
        <is>
          <t>Favorite</t>
        </is>
      </c>
      <c r="D4" s="4" t="inlineStr">
        <is>
          <t>Total</t>
        </is>
      </c>
      <c r="E4" s="4" t="inlineStr">
        <is>
          <t>Legs priced</t>
        </is>
      </c>
    </row>
    <row r="5">
      <c r="A5" s="5" t="inlineStr">
        <is>
          <t>PIT @ CLE</t>
        </is>
      </c>
      <c r="B5" s="5" t="inlineStr">
        <is>
          <t>Thu 08:15 PM ET</t>
        </is>
      </c>
      <c r="C5" s="5" t="inlineStr">
        <is>
          <t>PIT -2.5</t>
        </is>
      </c>
      <c r="D5" s="5" t="n">
        <v>39</v>
      </c>
      <c r="E5" s="5" t="n">
        <v>67</v>
      </c>
    </row>
    <row r="7">
      <c r="A7" s="2" t="inlineStr">
        <is>
          <t>INJURIES AT A GLANCE (details on Injuries &amp; Notes)</t>
        </is>
      </c>
      <c r="B7" s="3" t="n"/>
      <c r="C7" s="3" t="n"/>
      <c r="D7" s="3" t="n"/>
      <c r="E7" s="3" t="n"/>
      <c r="F7" s="3" t="n"/>
    </row>
    <row r="8">
      <c r="A8" s="6" t="inlineStr">
        <is>
          <t>Removed from the model: Rico Dowdle</t>
        </is>
      </c>
    </row>
    <row r="9">
      <c r="A9" s="5" t="inlineStr">
        <is>
          <t>KC Concepcion (CLE) - Not out</t>
        </is>
      </c>
    </row>
    <row r="10">
      <c r="A10" s="5" t="inlineStr">
        <is>
          <t>Tylan Wallace (CLE) - Not official</t>
        </is>
      </c>
    </row>
    <row r="11">
      <c r="A11" s="5" t="inlineStr">
        <is>
          <t>Joey Porter Jr. (PIT) - Out (traded to DAL)</t>
        </is>
      </c>
    </row>
    <row r="12">
      <c r="A12" s="5" t="inlineStr">
        <is>
          <t>Jalen Ramsey / Brandin Echols (PIT) - Questionable</t>
        </is>
      </c>
    </row>
    <row r="13">
      <c r="A13" s="5" t="inlineStr">
        <is>
          <t>Elgton Jenkins (CLE) - Out</t>
        </is>
      </c>
    </row>
    <row r="15">
      <c r="A15" s="2" t="inlineStr">
        <is>
          <t>HOW TO USE (4 steps)</t>
        </is>
      </c>
      <c r="B15" s="3" t="n"/>
      <c r="C15" s="3" t="n"/>
      <c r="D15" s="3" t="n"/>
      <c r="E15" s="3" t="n"/>
      <c r="F15" s="3" t="n"/>
    </row>
    <row r="16">
      <c r="A16" s="5" t="inlineStr">
        <is>
          <t>1. Scan Best Legs or Top Entries for ideas.</t>
        </is>
      </c>
    </row>
    <row r="17">
      <c r="A17" s="5" t="inlineStr">
        <is>
          <t>2. Shortcut: Payout Finder lists the best entries per size and the multiplier each needs to be a PLAY.</t>
        </is>
      </c>
    </row>
    <row r="18">
      <c r="A18" s="5" t="inlineStr">
        <is>
          <t xml:space="preserve">   Or build any entry in the Entry Builder: pick each leg from the dropdowns, using the PrizePicks line.</t>
        </is>
      </c>
    </row>
    <row r="19">
      <c r="A19" s="5" t="inlineStr">
        <is>
          <t>3. Type the app's multiplier (and bankroll if you want a stake). Read the verdict: PLAY or SKIP.</t>
        </is>
      </c>
    </row>
    <row r="20">
      <c r="A20" s="5" t="inlineStr">
        <is>
          <t>4. Log what you play so we can grade it.</t>
        </is>
      </c>
    </row>
    <row r="22">
      <c r="A22" s="2" t="inlineStr">
        <is>
          <t>TABS (click to jump)</t>
        </is>
      </c>
      <c r="B22" s="3" t="n"/>
      <c r="C22" s="3" t="n"/>
      <c r="D22" s="3" t="n"/>
      <c r="E22" s="3" t="n"/>
      <c r="F22" s="3" t="n"/>
    </row>
    <row r="23">
      <c r="A23" s="7" t="inlineStr">
        <is>
          <t>Entry Builder</t>
        </is>
      </c>
      <c r="B23" s="5" t="inlineStr">
        <is>
          <t>Build and check any entry: verdict, EV, stake, the math</t>
        </is>
      </c>
    </row>
    <row r="24">
      <c r="A24" s="7" t="inlineStr">
        <is>
          <t>Payout Finder</t>
        </is>
      </c>
      <c r="B24" s="5" t="inlineStr">
        <is>
          <t>Top entries by size with EV at every multiplier - find PLAY fast</t>
        </is>
      </c>
    </row>
    <row r="25">
      <c r="A25" s="7" t="inlineStr">
        <is>
          <t>Top Entries</t>
        </is>
      </c>
      <c r="B25" s="5" t="inlineStr">
        <is>
          <t>Best combinations at standard payouts</t>
        </is>
      </c>
    </row>
    <row r="26">
      <c r="A26" s="7" t="inlineStr">
        <is>
          <t>Best Legs</t>
        </is>
      </c>
      <c r="B26" s="5" t="inlineStr">
        <is>
          <t>Strongest single picks near the book line</t>
        </is>
      </c>
    </row>
    <row r="27">
      <c r="A27" s="7" t="inlineStr">
        <is>
          <t>Player Lines</t>
        </is>
      </c>
      <c r="B27" s="5" t="inlineStr">
        <is>
          <t>Every player's full ladder of lines</t>
        </is>
      </c>
    </row>
    <row r="28">
      <c r="A28" s="7" t="inlineStr">
        <is>
          <t>Injuries &amp; Notes</t>
        </is>
      </c>
      <c r="B28" s="5" t="inlineStr">
        <is>
          <t>Who is out and what the model assumes</t>
        </is>
      </c>
    </row>
    <row r="29">
      <c r="A29" s="7" t="inlineStr">
        <is>
          <t>Learn the Math</t>
        </is>
      </c>
      <c r="B29" s="5" t="inlineStr">
        <is>
          <t>Formulas and an EV cheat sheet</t>
        </is>
      </c>
    </row>
    <row r="30">
      <c r="A30" s="7" t="inlineStr">
        <is>
          <t>Settings</t>
        </is>
      </c>
      <c r="B30" s="5" t="inlineStr">
        <is>
          <t>Cushion, safety cut, stake size, standard payouts</t>
        </is>
      </c>
    </row>
    <row r="32">
      <c r="A32" s="2" t="inlineStr">
        <is>
          <t>COLORS</t>
        </is>
      </c>
      <c r="B32" s="3" t="n"/>
      <c r="C32" s="3" t="n"/>
      <c r="D32" s="3" t="n"/>
      <c r="E32" s="3" t="n"/>
      <c r="F32" s="3" t="n"/>
    </row>
    <row r="33">
      <c r="A33" s="8" t="inlineStr">
        <is>
          <t>Yellow = you fill in</t>
        </is>
      </c>
    </row>
    <row r="34">
      <c r="A34" s="9" t="inlineStr">
        <is>
          <t>Green = good / clears the bar</t>
        </is>
      </c>
    </row>
    <row r="35">
      <c r="A35" s="10" t="inlineStr">
        <is>
          <t>Red = bad / below the bar</t>
        </is>
      </c>
    </row>
  </sheetData>
  <hyperlinks>
    <hyperlink xmlns:r="http://schemas.openxmlformats.org/officeDocument/2006/relationships" ref="A23" r:id="rId1"/>
    <hyperlink xmlns:r="http://schemas.openxmlformats.org/officeDocument/2006/relationships" ref="A24" r:id="rId2"/>
    <hyperlink xmlns:r="http://schemas.openxmlformats.org/officeDocument/2006/relationships" ref="A25" r:id="rId3"/>
    <hyperlink xmlns:r="http://schemas.openxmlformats.org/officeDocument/2006/relationships" ref="A26" r:id="rId4"/>
    <hyperlink xmlns:r="http://schemas.openxmlformats.org/officeDocument/2006/relationships" ref="A27" r:id="rId5"/>
    <hyperlink xmlns:r="http://schemas.openxmlformats.org/officeDocument/2006/relationships" ref="A28" r:id="rId6"/>
    <hyperlink xmlns:r="http://schemas.openxmlformats.org/officeDocument/2006/relationships" ref="A29" r:id="rId7"/>
    <hyperlink xmlns:r="http://schemas.openxmlformats.org/officeDocument/2006/relationships" ref="A30" r:id="rId8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A1:S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15" customWidth="1" min="4" max="4"/>
    <col width="10" customWidth="1" min="5" max="5"/>
    <col width="12" customWidth="1" min="6" max="6"/>
    <col width="10" customWidth="1" min="7" max="7"/>
    <col width="14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>
      <c r="A1" s="1" t="inlineStr">
        <is>
          <t>Entry Builder</t>
        </is>
      </c>
    </row>
    <row r="2">
      <c r="A2" s="11" t="inlineStr">
        <is>
          <t>Pick each leg from the dropdowns (Player, then Stat, then More/Less, then Line). Type the app's multiplier. The verdict updates instantly.</t>
        </is>
      </c>
    </row>
    <row r="3">
      <c r="A3" s="12" t="inlineStr">
        <is>
          <t>Yellow = you fill in. Lines: pick from the list or type the PrizePicks line if it differs. Free space = a promo leg (counted as 99%).</t>
        </is>
      </c>
    </row>
    <row r="5">
      <c r="A5" s="2" t="inlineStr">
        <is>
          <t>YOUR LEGS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Leg</t>
        </is>
      </c>
      <c r="B6" s="4" t="inlineStr">
        <is>
          <t>Player</t>
        </is>
      </c>
      <c r="C6" s="4" t="inlineStr">
        <is>
          <t>Stat</t>
        </is>
      </c>
      <c r="D6" s="4" t="inlineStr">
        <is>
          <t>More / Less</t>
        </is>
      </c>
      <c r="E6" s="4" t="inlineStr">
        <is>
          <t>Line</t>
        </is>
      </c>
      <c r="F6" s="4" t="inlineStr">
        <is>
          <t>Free space?</t>
        </is>
      </c>
      <c r="G6" s="4" t="inlineStr">
        <is>
          <t>Book line</t>
        </is>
      </c>
      <c r="H6" s="4" t="inlineStr">
        <is>
          <t>Chance it hits</t>
        </is>
      </c>
      <c r="K6" t="inlineStr">
        <is>
          <t>key</t>
        </is>
      </c>
      <c r="L6" t="inlineStr">
        <is>
          <t>sim col</t>
        </is>
      </c>
      <c r="M6" t="inlineStr">
        <is>
          <t>used</t>
        </is>
      </c>
      <c r="N6" t="inlineStr">
        <is>
          <t>live</t>
        </is>
      </c>
      <c r="O6" t="inlineStr">
        <is>
          <t>team</t>
        </is>
      </c>
      <c r="P6" t="inlineStr">
        <is>
          <t>type</t>
        </is>
      </c>
      <c r="Q6" t="inlineStr">
        <is>
          <t>stack x</t>
        </is>
      </c>
      <c r="R6" t="inlineStr">
        <is>
          <t>after cut</t>
        </is>
      </c>
      <c r="S6" t="inlineStr">
        <is>
          <t>cut ratio</t>
        </is>
      </c>
    </row>
    <row r="7">
      <c r="A7" s="13" t="n">
        <v>1</v>
      </c>
      <c r="B7" s="14" t="inlineStr">
        <is>
          <t>Denzel Boston</t>
        </is>
      </c>
      <c r="C7" s="14" t="inlineStr">
        <is>
          <t>Receptions</t>
        </is>
      </c>
      <c r="D7" s="14" t="inlineStr">
        <is>
          <t>More</t>
        </is>
      </c>
      <c r="E7" s="15" t="n">
        <v>2.5</v>
      </c>
      <c r="F7" s="14" t="n"/>
      <c r="G7" s="16">
        <f>IF(K7="","",IFERROR(INDEX(Lists!$K$2:$K$68,MATCH(K7,Lists!$I$2:$I$68,0)),""))</f>
        <v/>
      </c>
      <c r="H7" s="17">
        <f>IF(M7=0,"",IF(F7="Yes",0.99,IF(D7="Less",COUNTIF(INDEX(Sims!$A$2:$BO$2001,0,L7),"&lt;"&amp;E7),COUNTIF(INDEX(Sims!$A$2:$BO$2001,0,L7),"&gt;"&amp;E7))/2000))</f>
        <v/>
      </c>
      <c r="K7">
        <f>IF(OR(B7="",C7=""),"",B7&amp;" | "&amp;C7)</f>
        <v/>
      </c>
      <c r="L7">
        <f>IF(K7="",0,IFERROR(MATCH(K7,Sims!$1:$1,0),0))</f>
        <v/>
      </c>
      <c r="M7">
        <f>IF(AND(L7&gt;0,D7&lt;&gt;"",E7&lt;&gt;""),1,0)</f>
        <v/>
      </c>
      <c r="N7">
        <f>IF(AND(M7=1,F7&lt;&gt;"Yes"),1,0)</f>
        <v/>
      </c>
      <c r="O7">
        <f>IF(K7="","",IFERROR(INDEX(Lists!$J$2:$J$68,MATCH(K7,Lists!$I$2:$I$68,0)),""))</f>
        <v/>
      </c>
      <c r="P7">
        <f>IF(C7="Pass Yds","QBY",IF(C7="Pass TDs","QBTD",IF(OR(C7="Rec Yds",C7="Receptions",C7="Rush+Rec Yds"),"REC",IF(C7="Anytime TDs","TD","OTHER"))))</f>
        <v/>
      </c>
      <c r="Q7">
        <f>IF(N7=0,1,IF(P7="QBY",CHOOSE(MIN(COUNTIFS($O$7:$O$12,O7,$P$7:$P$12,"REC",$D$7:$D$12,D7,$N$7:$N$12,1),3)+1,1,1,0.95,0.9),IF(AND(P7="QBTD",D7="More",COUNTIFS($O$7:$O$12,O7,$P$7:$P$12,"TD",$D$7:$D$12,"More",$N$7:$N$12,1)&gt;=1),0.9,1)))</f>
        <v/>
      </c>
      <c r="R7">
        <f>IF(N7=1,MAX(H7-Settings!$B$5,0.01),"")</f>
        <v/>
      </c>
      <c r="S7">
        <f>IF(N7=1,R7/H7,1)</f>
        <v/>
      </c>
    </row>
    <row r="8">
      <c r="A8" s="13" t="n">
        <v>2</v>
      </c>
      <c r="B8" s="14" t="inlineStr">
        <is>
          <t>Raheim Sanders</t>
        </is>
      </c>
      <c r="C8" s="14" t="inlineStr">
        <is>
          <t>Receptions</t>
        </is>
      </c>
      <c r="D8" s="14" t="inlineStr">
        <is>
          <t>More</t>
        </is>
      </c>
      <c r="E8" s="15" t="n">
        <v>1.5</v>
      </c>
      <c r="F8" s="14" t="n"/>
      <c r="G8" s="16">
        <f>IF(K8="","",IFERROR(INDEX(Lists!$K$2:$K$68,MATCH(K8,Lists!$I$2:$I$68,0)),""))</f>
        <v/>
      </c>
      <c r="H8" s="17">
        <f>IF(M8=0,"",IF(F8="Yes",0.99,IF(D8="Less",COUNTIF(INDEX(Sims!$A$2:$BO$2001,0,L8),"&lt;"&amp;E8),COUNTIF(INDEX(Sims!$A$2:$BO$2001,0,L8),"&gt;"&amp;E8))/2000))</f>
        <v/>
      </c>
      <c r="K8">
        <f>IF(OR(B8="",C8=""),"",B8&amp;" | "&amp;C8)</f>
        <v/>
      </c>
      <c r="L8">
        <f>IF(K8="",0,IFERROR(MATCH(K8,Sims!$1:$1,0),0))</f>
        <v/>
      </c>
      <c r="M8">
        <f>IF(AND(L8&gt;0,D8&lt;&gt;"",E8&lt;&gt;""),1,0)</f>
        <v/>
      </c>
      <c r="N8">
        <f>IF(AND(M8=1,F8&lt;&gt;"Yes"),1,0)</f>
        <v/>
      </c>
      <c r="O8">
        <f>IF(K8="","",IFERROR(INDEX(Lists!$J$2:$J$68,MATCH(K8,Lists!$I$2:$I$68,0)),""))</f>
        <v/>
      </c>
      <c r="P8">
        <f>IF(C8="Pass Yds","QBY",IF(C8="Pass TDs","QBTD",IF(OR(C8="Rec Yds",C8="Receptions",C8="Rush+Rec Yds"),"REC",IF(C8="Anytime TDs","TD","OTHER"))))</f>
        <v/>
      </c>
      <c r="Q8">
        <f>IF(N8=0,1,IF(P8="QBY",CHOOSE(MIN(COUNTIFS($O$7:$O$12,O8,$P$7:$P$12,"REC",$D$7:$D$12,D8,$N$7:$N$12,1),3)+1,1,1,0.95,0.9),IF(AND(P8="QBTD",D8="More",COUNTIFS($O$7:$O$12,O8,$P$7:$P$12,"TD",$D$7:$D$12,"More",$N$7:$N$12,1)&gt;=1),0.9,1)))</f>
        <v/>
      </c>
      <c r="R8">
        <f>IF(N8=1,MAX(H8-Settings!$B$5,0.01),"")</f>
        <v/>
      </c>
      <c r="S8">
        <f>IF(N8=1,R8/H8,1)</f>
        <v/>
      </c>
    </row>
    <row r="9">
      <c r="A9" s="13" t="n">
        <v>3</v>
      </c>
      <c r="B9" s="14" t="inlineStr">
        <is>
          <t>Aaron Rodgers</t>
        </is>
      </c>
      <c r="C9" s="14" t="inlineStr">
        <is>
          <t>Pass Yds</t>
        </is>
      </c>
      <c r="D9" s="14" t="inlineStr">
        <is>
          <t>Less</t>
        </is>
      </c>
      <c r="E9" s="15" t="n">
        <v>212.5</v>
      </c>
      <c r="F9" s="14" t="n"/>
      <c r="G9" s="16">
        <f>IF(K9="","",IFERROR(INDEX(Lists!$K$2:$K$68,MATCH(K9,Lists!$I$2:$I$68,0)),""))</f>
        <v/>
      </c>
      <c r="H9" s="17">
        <f>IF(M9=0,"",IF(F9="Yes",0.99,IF(D9="Less",COUNTIF(INDEX(Sims!$A$2:$BO$2001,0,L9),"&lt;"&amp;E9),COUNTIF(INDEX(Sims!$A$2:$BO$2001,0,L9),"&gt;"&amp;E9))/2000))</f>
        <v/>
      </c>
      <c r="K9">
        <f>IF(OR(B9="",C9=""),"",B9&amp;" | "&amp;C9)</f>
        <v/>
      </c>
      <c r="L9">
        <f>IF(K9="",0,IFERROR(MATCH(K9,Sims!$1:$1,0),0))</f>
        <v/>
      </c>
      <c r="M9">
        <f>IF(AND(L9&gt;0,D9&lt;&gt;"",E9&lt;&gt;""),1,0)</f>
        <v/>
      </c>
      <c r="N9">
        <f>IF(AND(M9=1,F9&lt;&gt;"Yes"),1,0)</f>
        <v/>
      </c>
      <c r="O9">
        <f>IF(K9="","",IFERROR(INDEX(Lists!$J$2:$J$68,MATCH(K9,Lists!$I$2:$I$68,0)),""))</f>
        <v/>
      </c>
      <c r="P9">
        <f>IF(C9="Pass Yds","QBY",IF(C9="Pass TDs","QBTD",IF(OR(C9="Rec Yds",C9="Receptions",C9="Rush+Rec Yds"),"REC",IF(C9="Anytime TDs","TD","OTHER"))))</f>
        <v/>
      </c>
      <c r="Q9">
        <f>IF(N9=0,1,IF(P9="QBY",CHOOSE(MIN(COUNTIFS($O$7:$O$12,O9,$P$7:$P$12,"REC",$D$7:$D$12,D9,$N$7:$N$12,1),3)+1,1,1,0.95,0.9),IF(AND(P9="QBTD",D9="More",COUNTIFS($O$7:$O$12,O9,$P$7:$P$12,"TD",$D$7:$D$12,"More",$N$7:$N$12,1)&gt;=1),0.9,1)))</f>
        <v/>
      </c>
      <c r="R9">
        <f>IF(N9=1,MAX(H9-Settings!$B$5,0.01),"")</f>
        <v/>
      </c>
      <c r="S9">
        <f>IF(N9=1,R9/H9,1)</f>
        <v/>
      </c>
    </row>
    <row r="10">
      <c r="A10" s="13" t="n">
        <v>4</v>
      </c>
      <c r="B10" s="14" t="inlineStr">
        <is>
          <t>DK Metcalf</t>
        </is>
      </c>
      <c r="C10" s="14" t="inlineStr">
        <is>
          <t>Rush+Rec Yds</t>
        </is>
      </c>
      <c r="D10" s="14" t="inlineStr">
        <is>
          <t>Less</t>
        </is>
      </c>
      <c r="E10" s="15" t="n">
        <v>42.5</v>
      </c>
      <c r="F10" s="14" t="n"/>
      <c r="G10" s="16">
        <f>IF(K10="","",IFERROR(INDEX(Lists!$K$2:$K$68,MATCH(K10,Lists!$I$2:$I$68,0)),""))</f>
        <v/>
      </c>
      <c r="H10" s="17">
        <f>IF(M10=0,"",IF(F10="Yes",0.99,IF(D10="Less",COUNTIF(INDEX(Sims!$A$2:$BO$2001,0,L10),"&lt;"&amp;E10),COUNTIF(INDEX(Sims!$A$2:$BO$2001,0,L10),"&gt;"&amp;E10))/2000))</f>
        <v/>
      </c>
      <c r="K10">
        <f>IF(OR(B10="",C10=""),"",B10&amp;" | "&amp;C10)</f>
        <v/>
      </c>
      <c r="L10">
        <f>IF(K10="",0,IFERROR(MATCH(K10,Sims!$1:$1,0),0))</f>
        <v/>
      </c>
      <c r="M10">
        <f>IF(AND(L10&gt;0,D10&lt;&gt;"",E10&lt;&gt;""),1,0)</f>
        <v/>
      </c>
      <c r="N10">
        <f>IF(AND(M10=1,F10&lt;&gt;"Yes"),1,0)</f>
        <v/>
      </c>
      <c r="O10">
        <f>IF(K10="","",IFERROR(INDEX(Lists!$J$2:$J$68,MATCH(K10,Lists!$I$2:$I$68,0)),""))</f>
        <v/>
      </c>
      <c r="P10">
        <f>IF(C10="Pass Yds","QBY",IF(C10="Pass TDs","QBTD",IF(OR(C10="Rec Yds",C10="Receptions",C10="Rush+Rec Yds"),"REC",IF(C10="Anytime TDs","TD","OTHER"))))</f>
        <v/>
      </c>
      <c r="Q10">
        <f>IF(N10=0,1,IF(P10="QBY",CHOOSE(MIN(COUNTIFS($O$7:$O$12,O10,$P$7:$P$12,"REC",$D$7:$D$12,D10,$N$7:$N$12,1),3)+1,1,1,0.95,0.9),IF(AND(P10="QBTD",D10="More",COUNTIFS($O$7:$O$12,O10,$P$7:$P$12,"TD",$D$7:$D$12,"More",$N$7:$N$12,1)&gt;=1),0.9,1)))</f>
        <v/>
      </c>
      <c r="R10">
        <f>IF(N10=1,MAX(H10-Settings!$B$5,0.01),"")</f>
        <v/>
      </c>
      <c r="S10">
        <f>IF(N10=1,R10/H10,1)</f>
        <v/>
      </c>
    </row>
    <row r="11">
      <c r="A11" s="13" t="n">
        <v>5</v>
      </c>
      <c r="B11" s="14" t="n"/>
      <c r="C11" s="14" t="n"/>
      <c r="D11" s="14" t="n"/>
      <c r="E11" s="15" t="n"/>
      <c r="F11" s="14" t="n"/>
      <c r="G11" s="16">
        <f>IF(K11="","",IFERROR(INDEX(Lists!$K$2:$K$68,MATCH(K11,Lists!$I$2:$I$68,0)),""))</f>
        <v/>
      </c>
      <c r="H11" s="17">
        <f>IF(M11=0,"",IF(F11="Yes",0.99,IF(D11="Less",COUNTIF(INDEX(Sims!$A$2:$BO$2001,0,L11),"&lt;"&amp;E11),COUNTIF(INDEX(Sims!$A$2:$BO$2001,0,L11),"&gt;"&amp;E11))/2000))</f>
        <v/>
      </c>
      <c r="K11">
        <f>IF(OR(B11="",C11=""),"",B11&amp;" | "&amp;C11)</f>
        <v/>
      </c>
      <c r="L11">
        <f>IF(K11="",0,IFERROR(MATCH(K11,Sims!$1:$1,0),0))</f>
        <v/>
      </c>
      <c r="M11">
        <f>IF(AND(L11&gt;0,D11&lt;&gt;"",E11&lt;&gt;""),1,0)</f>
        <v/>
      </c>
      <c r="N11">
        <f>IF(AND(M11=1,F11&lt;&gt;"Yes"),1,0)</f>
        <v/>
      </c>
      <c r="O11">
        <f>IF(K11="","",IFERROR(INDEX(Lists!$J$2:$J$68,MATCH(K11,Lists!$I$2:$I$68,0)),""))</f>
        <v/>
      </c>
      <c r="P11">
        <f>IF(C11="Pass Yds","QBY",IF(C11="Pass TDs","QBTD",IF(OR(C11="Rec Yds",C11="Receptions",C11="Rush+Rec Yds"),"REC",IF(C11="Anytime TDs","TD","OTHER"))))</f>
        <v/>
      </c>
      <c r="Q11">
        <f>IF(N11=0,1,IF(P11="QBY",CHOOSE(MIN(COUNTIFS($O$7:$O$12,O11,$P$7:$P$12,"REC",$D$7:$D$12,D11,$N$7:$N$12,1),3)+1,1,1,0.95,0.9),IF(AND(P11="QBTD",D11="More",COUNTIFS($O$7:$O$12,O11,$P$7:$P$12,"TD",$D$7:$D$12,"More",$N$7:$N$12,1)&gt;=1),0.9,1)))</f>
        <v/>
      </c>
      <c r="R11">
        <f>IF(N11=1,MAX(H11-Settings!$B$5,0.01),"")</f>
        <v/>
      </c>
      <c r="S11">
        <f>IF(N11=1,R11/H11,1)</f>
        <v/>
      </c>
    </row>
    <row r="12">
      <c r="A12" s="13" t="n">
        <v>6</v>
      </c>
      <c r="B12" s="14" t="n"/>
      <c r="C12" s="14" t="n"/>
      <c r="D12" s="14" t="n"/>
      <c r="E12" s="15" t="n"/>
      <c r="F12" s="14" t="n"/>
      <c r="G12" s="16">
        <f>IF(K12="","",IFERROR(INDEX(Lists!$K$2:$K$68,MATCH(K12,Lists!$I$2:$I$68,0)),""))</f>
        <v/>
      </c>
      <c r="H12" s="17">
        <f>IF(M12=0,"",IF(F12="Yes",0.99,IF(D12="Less",COUNTIF(INDEX(Sims!$A$2:$BO$2001,0,L12),"&lt;"&amp;E12),COUNTIF(INDEX(Sims!$A$2:$BO$2001,0,L12),"&gt;"&amp;E12))/2000))</f>
        <v/>
      </c>
      <c r="K12">
        <f>IF(OR(B12="",C12=""),"",B12&amp;" | "&amp;C12)</f>
        <v/>
      </c>
      <c r="L12">
        <f>IF(K12="",0,IFERROR(MATCH(K12,Sims!$1:$1,0),0))</f>
        <v/>
      </c>
      <c r="M12">
        <f>IF(AND(L12&gt;0,D12&lt;&gt;"",E12&lt;&gt;""),1,0)</f>
        <v/>
      </c>
      <c r="N12">
        <f>IF(AND(M12=1,F12&lt;&gt;"Yes"),1,0)</f>
        <v/>
      </c>
      <c r="O12">
        <f>IF(K12="","",IFERROR(INDEX(Lists!$J$2:$J$68,MATCH(K12,Lists!$I$2:$I$68,0)),""))</f>
        <v/>
      </c>
      <c r="P12">
        <f>IF(C12="Pass Yds","QBY",IF(C12="Pass TDs","QBTD",IF(OR(C12="Rec Yds",C12="Receptions",C12="Rush+Rec Yds"),"REC",IF(C12="Anytime TDs","TD","OTHER"))))</f>
        <v/>
      </c>
      <c r="Q12">
        <f>IF(N12=0,1,IF(P12="QBY",CHOOSE(MIN(COUNTIFS($O$7:$O$12,O12,$P$7:$P$12,"REC",$D$7:$D$12,D12,$N$7:$N$12,1),3)+1,1,1,0.95,0.9),IF(AND(P12="QBTD",D12="More",COUNTIFS($O$7:$O$12,O12,$P$7:$P$12,"TD",$D$7:$D$12,"More",$N$7:$N$12,1)&gt;=1),0.9,1)))</f>
        <v/>
      </c>
      <c r="R12">
        <f>IF(N12=1,MAX(H12-Settings!$B$5,0.01),"")</f>
        <v/>
      </c>
      <c r="S12">
        <f>IF(N12=1,R12/H12,1)</f>
        <v/>
      </c>
    </row>
    <row r="14">
      <c r="A14" s="2" t="inlineStr">
        <is>
          <t>YOUR PAYOUT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6" t="inlineStr">
        <is>
          <t>Play type</t>
        </is>
      </c>
      <c r="D15" s="14" t="inlineStr">
        <is>
          <t>Power</t>
        </is>
      </c>
      <c r="E15" s="18" t="inlineStr">
        <is>
          <t>Power = every leg must hit. Flex = partial payouts (3+ legs).</t>
        </is>
      </c>
    </row>
    <row r="16">
      <c r="A16" s="6" t="inlineStr">
        <is>
          <t>App multiplier if ALL legs hit ('To Win')</t>
        </is>
      </c>
      <c r="D16" s="19" t="n"/>
      <c r="E16" s="18" t="inlineStr">
        <is>
          <t>From the app, e.g. 5.25. Blank = standard payout (less accurate).</t>
        </is>
      </c>
    </row>
    <row r="17">
      <c r="A17" s="6" t="inlineStr">
        <is>
          <t>Flex only: multiplier with 1 miss</t>
        </is>
      </c>
      <c r="D17" s="19" t="n"/>
      <c r="E17" s="18" t="inlineStr">
        <is>
          <t>From the app when Flex is selected.</t>
        </is>
      </c>
    </row>
    <row r="18">
      <c r="A18" s="6" t="inlineStr">
        <is>
          <t>Flex only: multiplier with 2 misses</t>
        </is>
      </c>
      <c r="D18" s="19" t="n"/>
      <c r="E18" s="18" t="inlineStr">
        <is>
          <t>5-6 leg Flex only.</t>
        </is>
      </c>
    </row>
    <row r="19">
      <c r="A19" s="6" t="inlineStr">
        <is>
          <t>Your bankroll ($) - optional</t>
        </is>
      </c>
      <c r="D19" s="20" t="n"/>
      <c r="E19" s="18" t="inlineStr">
        <is>
          <t>Money set aside for betting. Used only for the suggested stake.</t>
        </is>
      </c>
    </row>
    <row r="21">
      <c r="A21" s="2" t="inlineStr">
        <is>
          <t>THE DECISION</t>
        </is>
      </c>
      <c r="B21" s="3" t="n"/>
      <c r="C21" s="3" t="n"/>
      <c r="D21" s="3" t="n"/>
      <c r="E21" s="3" t="n"/>
      <c r="F21" s="3" t="n"/>
      <c r="G21" s="3" t="n"/>
      <c r="H21" s="3" t="n"/>
      <c r="J21" s="21" t="inlineStr">
        <is>
          <t>legs used</t>
        </is>
      </c>
      <c r="K21" s="21">
        <f>SUM($M$7:$M$12)</f>
        <v/>
      </c>
    </row>
    <row r="22">
      <c r="A22" s="22" t="inlineStr">
        <is>
          <t>Verdict</t>
        </is>
      </c>
      <c r="C22" s="23">
        <f>IF(K21&lt;2,"Add at least 2 legs",IF(K40&gt;0,"FIX LEGS",IF(AND(D15="Flex",K21&lt;3),"Flex needs 3+ legs",IF(K35="","Enter the multiplier",IF(K35&lt;=0,"SKIP",IF(K35&lt;K36,"SKIP","PLAY"))))))</f>
        <v/>
      </c>
      <c r="J22" s="21" t="inlineStr">
        <is>
          <t>live legs</t>
        </is>
      </c>
      <c r="K22" s="21">
        <f>SUM($N$7:$N$12)</f>
        <v/>
      </c>
    </row>
    <row r="23" ht="30" customHeight="1">
      <c r="A23" s="24">
        <f>IF(K21&lt;2,"",IF(K40&gt;0,"This entry breaks a PrizePicks rule - see CHECKS below.",IF(K35="","",IF(K35&lt;=0,"Loses money on average ("&amp;TEXT(K35,"+0%;-0%")&amp;" per $1).",IF(K35&lt;K36,"Positive ("&amp;TEXT(K35,"+0%")&amp;") but below the "&amp;TEXT(K36,"+0%")&amp;" cushion for "&amp;K22&amp;" live legs. Too thin to trust.","Clears the "&amp;TEXT(K36,"+0%")&amp;" cushion with "&amp;TEXT(K35,"+0%")&amp;" expected profit per $1.")))))&amp;IF(D16="",IF(K21&gt;=2," Using the STANDARD payout - type the app multiplier.",""),"")</f>
        <v/>
      </c>
      <c r="J23" s="21" t="inlineStr">
        <is>
          <t>free legs</t>
        </is>
      </c>
      <c r="K23" s="21">
        <f>K21-K22</f>
        <v/>
      </c>
    </row>
    <row r="24">
      <c r="J24" s="21" t="inlineStr">
        <is>
          <t>all hit raw</t>
        </is>
      </c>
      <c r="K24" s="25">
        <f>IF(K21&lt;1,"",COUNTIF(Calc!$G$2:$G$2001,0)/2000)</f>
        <v/>
      </c>
    </row>
    <row r="25">
      <c r="A25" s="6" t="inlineStr">
        <is>
          <t>Chance ALL legs hit</t>
        </is>
      </c>
      <c r="D25" s="26">
        <f>K30</f>
        <v/>
      </c>
      <c r="E25" s="18" t="inlineStr">
        <is>
          <t>Includes how the legs move together, stack corrections, and the safety cut.</t>
        </is>
      </c>
      <c r="J25" s="21" t="inlineStr">
        <is>
          <t>one miss raw</t>
        </is>
      </c>
      <c r="K25" s="25">
        <f>IF(K21&lt;1,"",COUNTIF(Calc!$G$2:$G$2001,1)/2000)</f>
        <v/>
      </c>
    </row>
    <row r="26">
      <c r="A26" s="6" t="inlineStr">
        <is>
          <t>Break-even (chance needed)</t>
        </is>
      </c>
      <c r="D26" s="26">
        <f>IF(K32="","",IF(D15="Flex","see EV (Flex pays partial wins)",1/K32))</f>
        <v/>
      </c>
      <c r="E26" s="18" t="inlineStr">
        <is>
          <t>1 / payout. The entry must hit at least this often.</t>
        </is>
      </c>
      <c r="J26" s="21" t="inlineStr">
        <is>
          <t>two miss raw</t>
        </is>
      </c>
      <c r="K26" s="25">
        <f>IF(K21&lt;1,"",COUNTIF(Calc!$G$2:$G$2001,2)/2000)</f>
        <v/>
      </c>
    </row>
    <row r="27">
      <c r="A27" s="6" t="inlineStr">
        <is>
          <t>Expected profit per $1 (EV)</t>
        </is>
      </c>
      <c r="D27" s="27">
        <f>K35</f>
        <v/>
      </c>
      <c r="E27" s="18" t="inlineStr">
        <is>
          <t>Average over many entries like this - not tonight.</t>
        </is>
      </c>
      <c r="J27" s="21" t="inlineStr">
        <is>
          <t>stack factor</t>
        </is>
      </c>
      <c r="K27" s="28">
        <f>PRODUCT($Q$7:$Q$12)</f>
        <v/>
      </c>
    </row>
    <row r="28">
      <c r="A28" s="6" t="inlineStr">
        <is>
          <t>Cushion needed</t>
        </is>
      </c>
      <c r="D28" s="29">
        <f>IF(K21&lt;2,"",K36)</f>
        <v/>
      </c>
      <c r="E28" s="18" t="inlineStr">
        <is>
          <t>5% per live leg (Settings). Free spaces do not count.</t>
        </is>
      </c>
      <c r="J28" s="21" t="inlineStr">
        <is>
          <t>cut factor</t>
        </is>
      </c>
      <c r="K28" s="30">
        <f>PRODUCT($S$7:$S$12)</f>
        <v/>
      </c>
    </row>
    <row r="29">
      <c r="A29" s="6" t="inlineStr">
        <is>
          <t>Suggested stake</t>
        </is>
      </c>
      <c r="D29" s="31">
        <f>IF(D19="","add bankroll",K37)</f>
        <v/>
      </c>
      <c r="E29" s="18" t="inlineStr">
        <is>
          <t>Quarter-Kelly. $0 unless the verdict is PLAY.</t>
        </is>
      </c>
      <c r="J29" s="21" t="inlineStr">
        <is>
          <t>independent</t>
        </is>
      </c>
      <c r="K29" s="25">
        <f>IF(K21&lt;1,"",PRODUCT($H$7:$H$12))</f>
        <v/>
      </c>
    </row>
    <row r="30">
      <c r="A30" s="6" t="inlineStr">
        <is>
          <t>Chance this entry loses</t>
        </is>
      </c>
      <c r="D30" s="26">
        <f>IF(K30="","",IF(D15="Flex",1-K30-K25*(K38&gt;0)-K26*(K39&gt;0),1-K30))</f>
        <v/>
      </c>
      <c r="E30" s="18" t="inlineStr">
        <is>
          <t>Losing streaks are normal even when EV is positive.</t>
        </is>
      </c>
      <c r="J30" s="21" t="inlineStr">
        <is>
          <t>all hit</t>
        </is>
      </c>
      <c r="K30" s="25">
        <f>IF(K21&lt;1,"",K24*K27*K28*0.99^K23)</f>
        <v/>
      </c>
    </row>
    <row r="31">
      <c r="J31" s="21" t="inlineStr">
        <is>
          <t>default payout</t>
        </is>
      </c>
      <c r="K31" s="32">
        <f>IFERROR(IF(D15="Flex",INDEX(Settings!$C$11:$C$15,MATCH(K21,Settings!$A$11:$A$15,0)),INDEX(Settings!$B$11:$B$15,MATCH(K21,Settings!$A$11:$A$15,0))),"")</f>
        <v/>
      </c>
    </row>
    <row r="32">
      <c r="A32" s="2" t="inlineStr">
        <is>
          <t>CHECKS</t>
        </is>
      </c>
      <c r="B32" s="3" t="n"/>
      <c r="C32" s="3" t="n"/>
      <c r="D32" s="3" t="n"/>
      <c r="E32" s="3" t="n"/>
      <c r="F32" s="3" t="n"/>
      <c r="G32" s="3" t="n"/>
      <c r="H32" s="3" t="n"/>
      <c r="J32" s="21" t="inlineStr">
        <is>
          <t>payout</t>
        </is>
      </c>
      <c r="K32" s="32">
        <f>IF(D16&lt;&gt;"",D16,K31)</f>
        <v/>
      </c>
    </row>
    <row r="33">
      <c r="A33" s="33">
        <f>IF(SUMPRODUCT(($B$7:$B$12&lt;&gt;"")*(COUNTIF($B$7:$B$12,$B$7:$B$12)&gt;1))&gt;0,"Same player picked twice - PrizePicks does not allow that.","")</f>
        <v/>
      </c>
      <c r="J33" s="21" t="inlineStr">
        <is>
          <t>power EV</t>
        </is>
      </c>
      <c r="K33" s="34">
        <f>IF(OR(K21&lt;2,K32=""),"",K30*K32-1)</f>
        <v/>
      </c>
    </row>
    <row r="34">
      <c r="A34" s="33">
        <f>IF(AND(K21&gt;=2,SUMPRODUCT(($O$7:$O$12&lt;&gt;"")/COUNTIF($O$7:$O$12,$O$7:$O$12&amp;""))=1),"All legs are from one team - PrizePicks needs at least 2 teams.","")</f>
        <v/>
      </c>
      <c r="J34" s="21" t="inlineStr">
        <is>
          <t>flex EV</t>
        </is>
      </c>
      <c r="K34" s="34">
        <f>IF(OR(K21&lt;3,K32=""),"",K30*K32+K25*K38+K26*K39-1)</f>
        <v/>
      </c>
    </row>
    <row r="35">
      <c r="A35" s="33">
        <f>IF(COUNTIFS($C$7:$C$12,"Anytime TDs",$D$7:$D$12,"Less")&gt;0,"Anytime TD Less is not offered on PrizePicks (More only).","")</f>
        <v/>
      </c>
      <c r="J35" s="21" t="inlineStr">
        <is>
          <t>EV</t>
        </is>
      </c>
      <c r="K35" s="34">
        <f>IF(D15="Flex",K34,K33)</f>
        <v/>
      </c>
    </row>
    <row r="36">
      <c r="A36" s="33">
        <f>IF(SUMPRODUCT(($B$7:$B$12&lt;&gt;"")*(1-$M$7:$M$12))&gt;0,"A leg is missing its stat, side or line - it is being ignored.","")</f>
        <v/>
      </c>
      <c r="J36" s="21" t="inlineStr">
        <is>
          <t>cushion</t>
        </is>
      </c>
      <c r="K36" s="35">
        <f>K22*Settings!$B$6</f>
        <v/>
      </c>
    </row>
    <row r="37">
      <c r="A37" s="33">
        <f>IF(K27&lt;1,"Stack correction applied: x"&amp;TEXT(K27,"0.00")&amp;" (the model slightly overrates QB + his receivers going the same way).","")</f>
        <v/>
      </c>
      <c r="J37" s="21" t="inlineStr">
        <is>
          <t>stake</t>
        </is>
      </c>
      <c r="K37" s="36">
        <f>IF(OR(D19="",K35="",K32=""),"",IF(OR(K35&lt;K36,K35&lt;=0,K40&gt;0),0,FLOOR(D19*Settings!$B$7*K35/(K32-1),0.25)))</f>
        <v/>
      </c>
    </row>
    <row r="38">
      <c r="A38" s="37">
        <f>IF(AND(K21&gt;=2,K40=0),"No PrizePicks rule problems found.","")</f>
        <v/>
      </c>
      <c r="J38" s="21" t="inlineStr">
        <is>
          <t>flex 1-miss pay</t>
        </is>
      </c>
      <c r="K38" s="32">
        <f>IF(D17&lt;&gt;"",D17,IFERROR(INDEX(Settings!$D$11:$D$15,MATCH(K21,Settings!$A$11:$A$15,0)),0))</f>
        <v/>
      </c>
    </row>
    <row r="39">
      <c r="A39" s="2" t="inlineStr">
        <is>
          <t>SHOW THE MATH</t>
        </is>
      </c>
      <c r="B39" s="3" t="n"/>
      <c r="C39" s="3" t="n"/>
      <c r="D39" s="3" t="n"/>
      <c r="E39" s="3" t="n"/>
      <c r="F39" s="3" t="n"/>
      <c r="G39" s="3" t="n"/>
      <c r="H39" s="3" t="n"/>
      <c r="J39" s="21" t="inlineStr">
        <is>
          <t>flex 2-miss pay</t>
        </is>
      </c>
      <c r="K39" s="32">
        <f>IF(D18&lt;&gt;"",D18,IFERROR(INDEX(Settings!$E$11:$E$15,MATCH(K21,Settings!$A$11:$A$15,0)),0))</f>
        <v/>
      </c>
    </row>
    <row r="40">
      <c r="A40" s="6" t="inlineStr">
        <is>
          <t>1. If the legs were unrelated, multiply them</t>
        </is>
      </c>
      <c r="D40" s="5">
        <f>IF(K21&lt;2,"",IF(H7="","",TEXT(H7,"0.0%"))&amp;IF(H8="",""," x "&amp;TEXT(H8,"0.0%"))&amp;IF(H9="",""," x "&amp;TEXT(H9,"0.0%"))&amp;IF(H10="",""," x "&amp;TEXT(H10,"0.0%"))&amp;IF(H11="",""," x "&amp;TEXT(H11,"0.0%"))&amp;IF(H12="",""," x "&amp;TEXT(H12,"0.0%"))&amp;" = "&amp;TEXT(K29,"0.0%"))</f>
        <v/>
      </c>
      <c r="J40" s="21" t="inlineStr">
        <is>
          <t>rule breaks</t>
        </is>
      </c>
      <c r="K40" s="21">
        <f>(SUMPRODUCT(($B$7:$B$12&lt;&gt;"")*(COUNTIF($B$7:$B$12,$B$7:$B$12)&gt;1))&gt;0)+AND(K21&gt;=2,SUMPRODUCT(($O$7:$O$12&lt;&gt;"")/COUNTIF($O$7:$O$12,$O$7:$O$12&amp;""))=1)+(COUNTIFS($C$7:$C$12,"Anytime TDs",$D$7:$D$12,"Less")&gt;0)</f>
        <v/>
      </c>
    </row>
    <row r="41">
      <c r="A41" s="6" t="inlineStr">
        <is>
          <t>2. Simulated together (they move as a group)</t>
        </is>
      </c>
      <c r="D41" s="5">
        <f>IF(K21&lt;2,"",TEXT(K24,"0.0%")&amp;IF(K23&gt;0," (free space counted as a sure hit)","")&amp;"  = x"&amp;TEXT(K24/K29,"0.00")&amp;" vs unrelated")</f>
        <v/>
      </c>
    </row>
    <row r="42">
      <c r="A42" s="6" t="inlineStr">
        <is>
          <t>3. Stack correction and safety cut</t>
        </is>
      </c>
      <c r="D42" s="5">
        <f>IF(K21&lt;2,"",TEXT(K24,"0.0%")&amp;" x "&amp;TEXT(K27,"0.00")&amp;" x "&amp;TEXT(K28,"0.000")&amp;IF(K23&gt;0," x 0.99","")&amp;" = "&amp;TEXT(K30,"0.0%"))</f>
        <v/>
      </c>
    </row>
    <row r="43">
      <c r="A43" s="6" t="inlineStr">
        <is>
          <t>4. Break-even</t>
        </is>
      </c>
      <c r="D43" s="5">
        <f>IF(K32="","","1 / "&amp;TEXT(K32,"0.00")&amp;"x = "&amp;TEXT(1/K32,"0.0%"))</f>
        <v/>
      </c>
    </row>
    <row r="44">
      <c r="A44" s="6" t="inlineStr">
        <is>
          <t>5. Expected profit (EV)</t>
        </is>
      </c>
      <c r="D44" s="5">
        <f>IF(K33="","",IF(D15="Flex","Flex: "&amp;TEXT(K30,"0.0%")&amp;" x "&amp;TEXT(K32,"0.00")&amp;" + "&amp;TEXT(K25,"0.0%")&amp;" x "&amp;TEXT(K38,"0.00")&amp;" + "&amp;TEXT(K26,"0.0%")&amp;" x "&amp;TEXT(K39,"0.00")&amp;" - 1 = "&amp;TEXT(K34,"+0%;-0%"),TEXT(K30,"0.0%")&amp;" x "&amp;TEXT(K32,"0.00")&amp;" - 1 = "&amp;TEXT(K33,"+0%;-0%")))</f>
        <v/>
      </c>
    </row>
    <row r="45">
      <c r="A45" s="6" t="inlineStr">
        <is>
          <t>6. Cushion</t>
        </is>
      </c>
      <c r="D45" s="5">
        <f>IF(K21&lt;2,"",K22&amp;" live legs x "&amp;TEXT(Settings!$B$6,"0%")&amp;" = "&amp;TEXT(K36,"+0%")&amp;" needed")</f>
        <v/>
      </c>
    </row>
    <row r="46">
      <c r="A46" s="6" t="inlineStr">
        <is>
          <t>7. Stake</t>
        </is>
      </c>
      <c r="D46" s="5">
        <f>IF(OR(D19="",K35=""),"(add a bankroll above)",IF(C22&lt;&gt;"PLAY","Verdict is not PLAY - no stake","$"&amp;TEXT(D19,"#,##0")&amp;" x "&amp;TEXT(Settings!$B$7,"0.00")&amp;" x "&amp;TEXT(K35,"0.00")&amp;" / ("&amp;TEXT(K32,"0.00")&amp;" - 1) = $"&amp;TEXT(K37,"0.00")))</f>
        <v/>
      </c>
    </row>
  </sheetData>
  <mergeCells count="33">
    <mergeCell ref="A25:C25"/>
    <mergeCell ref="A41:C41"/>
    <mergeCell ref="A46:C46"/>
    <mergeCell ref="C22:E22"/>
    <mergeCell ref="A18:C18"/>
    <mergeCell ref="A27:C27"/>
    <mergeCell ref="A36:H36"/>
    <mergeCell ref="D44:H44"/>
    <mergeCell ref="D46:H46"/>
    <mergeCell ref="D40:H40"/>
    <mergeCell ref="A26:C26"/>
    <mergeCell ref="D45:H45"/>
    <mergeCell ref="A42:C42"/>
    <mergeCell ref="A17:C17"/>
    <mergeCell ref="D41:H41"/>
    <mergeCell ref="A37:H37"/>
    <mergeCell ref="A29:C29"/>
    <mergeCell ref="A43:C43"/>
    <mergeCell ref="A28:C28"/>
    <mergeCell ref="A19:C19"/>
    <mergeCell ref="A44:C44"/>
    <mergeCell ref="D43:H43"/>
    <mergeCell ref="A40:C40"/>
    <mergeCell ref="A33:H33"/>
    <mergeCell ref="A30:C30"/>
    <mergeCell ref="A23:H23"/>
    <mergeCell ref="A15:C15"/>
    <mergeCell ref="A35:H35"/>
    <mergeCell ref="A45:C45"/>
    <mergeCell ref="A38:H38"/>
    <mergeCell ref="D42:H42"/>
    <mergeCell ref="A16:C16"/>
    <mergeCell ref="A34:H34"/>
  </mergeCells>
  <conditionalFormatting sqref="C22:E22">
    <cfRule type="expression" priority="1" dxfId="0">
      <formula>$C$22="PLAY"</formula>
    </cfRule>
    <cfRule type="expression" priority="2" dxfId="1">
      <formula>OR($C$22="SKIP",$C$22="FIX LEGS")</formula>
    </cfRule>
    <cfRule type="expression" priority="3" dxfId="2">
      <formula>AND($C$22&lt;&gt;"PLAY",$C$22&lt;&gt;"SKIP",$C$22&lt;&gt;"FIX LEGS")</formula>
    </cfRule>
  </conditionalFormatting>
  <conditionalFormatting sqref="D27">
    <cfRule type="cellIs" priority="4" operator="greaterThan" dxfId="3">
      <formula>0</formula>
    </cfRule>
    <cfRule type="cellIs" priority="5" operator="lessThan" dxfId="4">
      <formula>0</formula>
    </cfRule>
  </conditionalFormatting>
  <conditionalFormatting sqref="H7:H12">
    <cfRule type="colorScale" priority="6">
      <colorScale>
        <cfvo type="num" val="0.4"/>
        <cfvo type="num" val="0.5"/>
        <cfvo type="num" val="0.65"/>
        <color rgb="00F8696B"/>
        <color rgb="00FFFFFF"/>
        <color rgb="0063BE7B"/>
      </colorScale>
    </cfRule>
  </conditionalFormatting>
  <dataValidations count="16">
    <dataValidation sqref="B7 B8 B9 B10 B11 B12" showDropDown="0" showInputMessage="0" showErrorMessage="0" allowBlank="1" type="list">
      <formula1>=Lists!$A$2:$A$27</formula1>
    </dataValidation>
    <dataValidation sqref="D7 D8 D9 D10 D11 D12" showDropDown="0" showInputMessage="0" showErrorMessage="0" allowBlank="1" type="list">
      <formula1>=Lists!$M$2:$M$3</formula1>
    </dataValidation>
    <dataValidation sqref="F7 F8 F9 F10 F11 F12" showDropDown="0" showInputMessage="0" showErrorMessage="0" allowBlank="1" type="list">
      <formula1>=Lists!$O$2:$O$2</formula1>
    </dataValidation>
    <dataValidation sqref="C7" showDropDown="0" showInputMessage="0" showErrorMessage="0" allowBlank="1" type="list">
      <formula1>=Lists!$T$2:$T$6</formula1>
    </dataValidation>
    <dataValidation sqref="E7" showDropDown="0" showInputMessage="0" showErrorMessage="1" allowBlank="1" errorTitle="Custom line" error="Not one of the report lines - fine if this is the PrizePicks line." type="list" errorStyle="warning">
      <formula1>=Lists!$AB$2:$AB$22</formula1>
    </dataValidation>
    <dataValidation sqref="C8" showDropDown="0" showInputMessage="0" showErrorMessage="0" allowBlank="1" type="list">
      <formula1>=Lists!$U$2:$U$6</formula1>
    </dataValidation>
    <dataValidation sqref="E8" showDropDown="0" showInputMessage="0" showErrorMessage="1" allowBlank="1" errorTitle="Custom line" error="Not one of the report lines - fine if this is the PrizePicks line." type="list" errorStyle="warning">
      <formula1>=Lists!$AC$2:$AC$22</formula1>
    </dataValidation>
    <dataValidation sqref="C9" showDropDown="0" showInputMessage="0" showErrorMessage="0" allowBlank="1" type="list">
      <formula1>=Lists!$V$2:$V$6</formula1>
    </dataValidation>
    <dataValidation sqref="E9" showDropDown="0" showInputMessage="0" showErrorMessage="1" allowBlank="1" errorTitle="Custom line" error="Not one of the report lines - fine if this is the PrizePicks line." type="list" errorStyle="warning">
      <formula1>=Lists!$AD$2:$AD$22</formula1>
    </dataValidation>
    <dataValidation sqref="C10" showDropDown="0" showInputMessage="0" showErrorMessage="0" allowBlank="1" type="list">
      <formula1>=Lists!$W$2:$W$6</formula1>
    </dataValidation>
    <dataValidation sqref="E10" showDropDown="0" showInputMessage="0" showErrorMessage="1" allowBlank="1" errorTitle="Custom line" error="Not one of the report lines - fine if this is the PrizePicks line." type="list" errorStyle="warning">
      <formula1>=Lists!$AE$2:$AE$22</formula1>
    </dataValidation>
    <dataValidation sqref="C11" showDropDown="0" showInputMessage="0" showErrorMessage="0" allowBlank="1" type="list">
      <formula1>=Lists!$X$2:$X$6</formula1>
    </dataValidation>
    <dataValidation sqref="E11" showDropDown="0" showInputMessage="0" showErrorMessage="1" allowBlank="1" errorTitle="Custom line" error="Not one of the report lines - fine if this is the PrizePicks line." type="list" errorStyle="warning">
      <formula1>=Lists!$AF$2:$AF$22</formula1>
    </dataValidation>
    <dataValidation sqref="C12" showDropDown="0" showInputMessage="0" showErrorMessage="0" allowBlank="1" type="list">
      <formula1>=Lists!$Y$2:$Y$6</formula1>
    </dataValidation>
    <dataValidation sqref="E12" showDropDown="0" showInputMessage="0" showErrorMessage="1" allowBlank="1" errorTitle="Custom line" error="Not one of the report lines - fine if this is the PrizePicks line." type="list" errorStyle="warning">
      <formula1>=Lists!$AG$2:$AG$22</formula1>
    </dataValidation>
    <dataValidation sqref="D15" showDropDown="0" showInputMessage="0" showErrorMessage="0" allowBlank="0" type="list">
      <formula1>=Lists!$Q$2:$Q$3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AE6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40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</cols>
  <sheetData>
    <row r="1">
      <c r="A1" s="38" t="inlineStr">
        <is>
          <t>Payout Finder</t>
        </is>
      </c>
    </row>
    <row r="2">
      <c r="A2" s="11" t="inlineStr">
        <is>
          <t>Build an entry from this list in the app, read its multiplier, find that column: GREEN = PLAY, AMBER = positive but below the cushion, RED = loses.</t>
        </is>
      </c>
    </row>
    <row r="3">
      <c r="A3" s="12" t="inlineStr">
        <is>
          <t>Shortcut: 'PLAY at' is the lowest multiplier where that entry clears the cushion. Lines are book lines - if PrizePicks shows a different line, check it in the Entry Builder.</t>
        </is>
      </c>
    </row>
    <row r="5">
      <c r="A5" s="2" t="inlineStr">
        <is>
          <t>2 LEGS</t>
        </is>
      </c>
      <c r="B5" s="39" t="inlineStr">
        <is>
          <t>Cushion</t>
        </is>
      </c>
      <c r="C5" s="40">
        <f>2*Settings!$B$6</f>
        <v/>
      </c>
      <c r="D5" s="41" t="inlineStr">
        <is>
          <t>2-leg entries  |  multipliers 2.00x to 4.00x, every 0.25x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4" t="inlineStr">
        <is>
          <t>#</t>
        </is>
      </c>
      <c r="B6" s="4" t="inlineStr">
        <is>
          <t>PLAY at</t>
        </is>
      </c>
      <c r="C6" s="4" t="inlineStr">
        <is>
          <t>All hit</t>
        </is>
      </c>
      <c r="D6" s="4" t="inlineStr">
        <is>
          <t>Entry (book lines)</t>
        </is>
      </c>
      <c r="E6" s="42" t="n">
        <v>2</v>
      </c>
      <c r="F6" s="42" t="n">
        <v>2.25</v>
      </c>
      <c r="G6" s="42" t="n">
        <v>2.5</v>
      </c>
      <c r="H6" s="42" t="n">
        <v>2.75</v>
      </c>
      <c r="I6" s="42" t="n">
        <v>3</v>
      </c>
      <c r="J6" s="42" t="n">
        <v>3.25</v>
      </c>
      <c r="K6" s="42" t="n">
        <v>3.5</v>
      </c>
      <c r="L6" s="42" t="n">
        <v>3.75</v>
      </c>
      <c r="M6" s="42" t="n">
        <v>4</v>
      </c>
    </row>
    <row r="7" ht="27" customHeight="1">
      <c r="A7" s="43" t="n">
        <v>1</v>
      </c>
      <c r="B7" s="44">
        <f>(1+$C$5)/C7</f>
        <v/>
      </c>
      <c r="C7" s="45">
        <f>0.32740*(MAX(0.5980-Settings!$B$5,0.01)/0.5980)*(MAX(0.5490-Settings!$B$5,0.01)/0.5490)</f>
        <v/>
      </c>
      <c r="D7" s="46" t="inlineStr">
        <is>
          <t>Raheim Sanders (CLE) Receptions More 1.5 [60%]
Pat Freiermuth (PIT) Receptions Less 3.5 [55%]</t>
        </is>
      </c>
      <c r="E7" s="47">
        <f>$C7*E$6-1</f>
        <v/>
      </c>
      <c r="F7" s="47">
        <f>$C7*F$6-1</f>
        <v/>
      </c>
      <c r="G7" s="47">
        <f>$C7*G$6-1</f>
        <v/>
      </c>
      <c r="H7" s="47">
        <f>$C7*H$6-1</f>
        <v/>
      </c>
      <c r="I7" s="47">
        <f>$C7*I$6-1</f>
        <v/>
      </c>
      <c r="J7" s="47">
        <f>$C7*J$6-1</f>
        <v/>
      </c>
      <c r="K7" s="47">
        <f>$C7*K$6-1</f>
        <v/>
      </c>
      <c r="L7" s="47">
        <f>$C7*L$6-1</f>
        <v/>
      </c>
      <c r="M7" s="47">
        <f>$C7*M$6-1</f>
        <v/>
      </c>
    </row>
    <row r="8" ht="27" customHeight="1">
      <c r="A8" s="43" t="n">
        <v>2</v>
      </c>
      <c r="B8" s="44">
        <f>(1+$C$5)/C8</f>
        <v/>
      </c>
      <c r="C8" s="45">
        <f>0.32540*(MAX(0.5980-Settings!$B$5,0.01)/0.5980)*(MAX(0.5460-Settings!$B$5,0.01)/0.5460)</f>
        <v/>
      </c>
      <c r="D8" s="46" t="inlineStr">
        <is>
          <t>Raheim Sanders (CLE) Receptions More 1.5 [60%]
Jaylen Warren (PIT) Receptions Less 3.5 [55%]</t>
        </is>
      </c>
      <c r="E8" s="47">
        <f>$C8*E$6-1</f>
        <v/>
      </c>
      <c r="F8" s="47">
        <f>$C8*F$6-1</f>
        <v/>
      </c>
      <c r="G8" s="47">
        <f>$C8*G$6-1</f>
        <v/>
      </c>
      <c r="H8" s="47">
        <f>$C8*H$6-1</f>
        <v/>
      </c>
      <c r="I8" s="47">
        <f>$C8*I$6-1</f>
        <v/>
      </c>
      <c r="J8" s="47">
        <f>$C8*J$6-1</f>
        <v/>
      </c>
      <c r="K8" s="47">
        <f>$C8*K$6-1</f>
        <v/>
      </c>
      <c r="L8" s="47">
        <f>$C8*L$6-1</f>
        <v/>
      </c>
      <c r="M8" s="47">
        <f>$C8*M$6-1</f>
        <v/>
      </c>
    </row>
    <row r="9" ht="27" customHeight="1">
      <c r="A9" s="43" t="n">
        <v>3</v>
      </c>
      <c r="B9" s="44">
        <f>(1+$C$5)/C9</f>
        <v/>
      </c>
      <c r="C9" s="45">
        <f>0.32440*(MAX(0.5290-Settings!$B$5,0.01)/0.5290)*(MAX(0.5980-Settings!$B$5,0.01)/0.5980)</f>
        <v/>
      </c>
      <c r="D9" s="46" t="inlineStr">
        <is>
          <t>DK Metcalf (PIT) Receptions More 3.5 [53%]
Raheim Sanders (CLE) Receptions More 1.5 [60%]</t>
        </is>
      </c>
      <c r="E9" s="47">
        <f>$C9*E$6-1</f>
        <v/>
      </c>
      <c r="F9" s="47">
        <f>$C9*F$6-1</f>
        <v/>
      </c>
      <c r="G9" s="47">
        <f>$C9*G$6-1</f>
        <v/>
      </c>
      <c r="H9" s="47">
        <f>$C9*H$6-1</f>
        <v/>
      </c>
      <c r="I9" s="47">
        <f>$C9*I$6-1</f>
        <v/>
      </c>
      <c r="J9" s="47">
        <f>$C9*J$6-1</f>
        <v/>
      </c>
      <c r="K9" s="47">
        <f>$C9*K$6-1</f>
        <v/>
      </c>
      <c r="L9" s="47">
        <f>$C9*L$6-1</f>
        <v/>
      </c>
      <c r="M9" s="47">
        <f>$C9*M$6-1</f>
        <v/>
      </c>
    </row>
    <row r="10" ht="27" customHeight="1">
      <c r="A10" s="43" t="n">
        <v>4</v>
      </c>
      <c r="B10" s="44">
        <f>(1+$C$5)/C10</f>
        <v/>
      </c>
      <c r="C10" s="45">
        <f>0.31760*(MAX(0.5490-Settings!$B$5,0.01)/0.5490)*(MAX(0.5660-Settings!$B$5,0.01)/0.5660)</f>
        <v/>
      </c>
      <c r="D10" s="46" t="inlineStr">
        <is>
          <t>Pat Freiermuth (PIT) Receptions Less 3.5 [55%]
Jerry Jeudy (CLE) Receptions Less 1.5 [57%]</t>
        </is>
      </c>
      <c r="E10" s="47">
        <f>$C10*E$6-1</f>
        <v/>
      </c>
      <c r="F10" s="47">
        <f>$C10*F$6-1</f>
        <v/>
      </c>
      <c r="G10" s="47">
        <f>$C10*G$6-1</f>
        <v/>
      </c>
      <c r="H10" s="47">
        <f>$C10*H$6-1</f>
        <v/>
      </c>
      <c r="I10" s="47">
        <f>$C10*I$6-1</f>
        <v/>
      </c>
      <c r="J10" s="47">
        <f>$C10*J$6-1</f>
        <v/>
      </c>
      <c r="K10" s="47">
        <f>$C10*K$6-1</f>
        <v/>
      </c>
      <c r="L10" s="47">
        <f>$C10*L$6-1</f>
        <v/>
      </c>
      <c r="M10" s="47">
        <f>$C10*M$6-1</f>
        <v/>
      </c>
    </row>
    <row r="11" ht="27" customHeight="1">
      <c r="A11" s="43" t="n">
        <v>5</v>
      </c>
      <c r="B11" s="44">
        <f>(1+$C$5)/C11</f>
        <v/>
      </c>
      <c r="C11" s="45">
        <f>0.31520*(MAX(0.5700-Settings!$B$5,0.01)/0.5700)*(MAX(0.5460-Settings!$B$5,0.01)/0.5460)</f>
        <v/>
      </c>
      <c r="D11" s="46" t="inlineStr">
        <is>
          <t>Denzel Boston (CLE) Receptions More 2.5 [57%]
Jaylen Warren (PIT) Receptions Less 3.5 [55%]</t>
        </is>
      </c>
      <c r="E11" s="47">
        <f>$C11*E$6-1</f>
        <v/>
      </c>
      <c r="F11" s="47">
        <f>$C11*F$6-1</f>
        <v/>
      </c>
      <c r="G11" s="47">
        <f>$C11*G$6-1</f>
        <v/>
      </c>
      <c r="H11" s="47">
        <f>$C11*H$6-1</f>
        <v/>
      </c>
      <c r="I11" s="47">
        <f>$C11*I$6-1</f>
        <v/>
      </c>
      <c r="J11" s="47">
        <f>$C11*J$6-1</f>
        <v/>
      </c>
      <c r="K11" s="47">
        <f>$C11*K$6-1</f>
        <v/>
      </c>
      <c r="L11" s="47">
        <f>$C11*L$6-1</f>
        <v/>
      </c>
      <c r="M11" s="47">
        <f>$C11*M$6-1</f>
        <v/>
      </c>
    </row>
    <row r="12" ht="27" customHeight="1">
      <c r="A12" s="43" t="n">
        <v>6</v>
      </c>
      <c r="B12" s="44">
        <f>(1+$C$5)/C12</f>
        <v/>
      </c>
      <c r="C12" s="45">
        <f>0.31260*(MAX(0.5980-Settings!$B$5,0.01)/0.5980)*(MAX(0.5360-Settings!$B$5,0.01)/0.5360)</f>
        <v/>
      </c>
      <c r="D12" s="46" t="inlineStr">
        <is>
          <t>Raheim Sanders (CLE) Receptions More 1.5 [60%]
Michael Pittman Jr. (PIT) Receptions Less 3.5 [54%]</t>
        </is>
      </c>
      <c r="E12" s="47">
        <f>$C12*E$6-1</f>
        <v/>
      </c>
      <c r="F12" s="47">
        <f>$C12*F$6-1</f>
        <v/>
      </c>
      <c r="G12" s="47">
        <f>$C12*G$6-1</f>
        <v/>
      </c>
      <c r="H12" s="47">
        <f>$C12*H$6-1</f>
        <v/>
      </c>
      <c r="I12" s="47">
        <f>$C12*I$6-1</f>
        <v/>
      </c>
      <c r="J12" s="47">
        <f>$C12*J$6-1</f>
        <v/>
      </c>
      <c r="K12" s="47">
        <f>$C12*K$6-1</f>
        <v/>
      </c>
      <c r="L12" s="47">
        <f>$C12*L$6-1</f>
        <v/>
      </c>
      <c r="M12" s="47">
        <f>$C12*M$6-1</f>
        <v/>
      </c>
    </row>
    <row r="13" ht="27" customHeight="1">
      <c r="A13" s="43" t="n">
        <v>7</v>
      </c>
      <c r="B13" s="44">
        <f>(1+$C$5)/C13</f>
        <v/>
      </c>
      <c r="C13" s="45">
        <f>0.31260*(MAX(0.5160-Settings!$B$5,0.01)/0.5160)*(MAX(0.5980-Settings!$B$5,0.01)/0.5980)</f>
        <v/>
      </c>
      <c r="D13" s="46" t="inlineStr">
        <is>
          <t>Darnell Washington (PIT) Rec Yds More 16.5 [52%]
Raheim Sanders (CLE) Receptions More 1.5 [60%]</t>
        </is>
      </c>
      <c r="E13" s="47">
        <f>$C13*E$6-1</f>
        <v/>
      </c>
      <c r="F13" s="47">
        <f>$C13*F$6-1</f>
        <v/>
      </c>
      <c r="G13" s="47">
        <f>$C13*G$6-1</f>
        <v/>
      </c>
      <c r="H13" s="47">
        <f>$C13*H$6-1</f>
        <v/>
      </c>
      <c r="I13" s="47">
        <f>$C13*I$6-1</f>
        <v/>
      </c>
      <c r="J13" s="47">
        <f>$C13*J$6-1</f>
        <v/>
      </c>
      <c r="K13" s="47">
        <f>$C13*K$6-1</f>
        <v/>
      </c>
      <c r="L13" s="47">
        <f>$C13*L$6-1</f>
        <v/>
      </c>
      <c r="M13" s="47">
        <f>$C13*M$6-1</f>
        <v/>
      </c>
    </row>
    <row r="14" ht="27" customHeight="1">
      <c r="A14" s="43" t="n">
        <v>8</v>
      </c>
      <c r="B14" s="44">
        <f>(1+$C$5)/C14</f>
        <v/>
      </c>
      <c r="C14" s="45">
        <f>0.31200*(MAX(0.5220-Settings!$B$5,0.01)/0.5220)*(MAX(0.5980-Settings!$B$5,0.01)/0.5980)</f>
        <v/>
      </c>
      <c r="D14" s="46" t="inlineStr">
        <is>
          <t>Jaylen Warren (PIT) Rec Yds More 22.5 [52%]
Raheim Sanders (CLE) Receptions More 1.5 [60%]</t>
        </is>
      </c>
      <c r="E14" s="47">
        <f>$C14*E$6-1</f>
        <v/>
      </c>
      <c r="F14" s="47">
        <f>$C14*F$6-1</f>
        <v/>
      </c>
      <c r="G14" s="47">
        <f>$C14*G$6-1</f>
        <v/>
      </c>
      <c r="H14" s="47">
        <f>$C14*H$6-1</f>
        <v/>
      </c>
      <c r="I14" s="47">
        <f>$C14*I$6-1</f>
        <v/>
      </c>
      <c r="J14" s="47">
        <f>$C14*J$6-1</f>
        <v/>
      </c>
      <c r="K14" s="47">
        <f>$C14*K$6-1</f>
        <v/>
      </c>
      <c r="L14" s="47">
        <f>$C14*L$6-1</f>
        <v/>
      </c>
      <c r="M14" s="47">
        <f>$C14*M$6-1</f>
        <v/>
      </c>
    </row>
    <row r="15" ht="27" customHeight="1">
      <c r="A15" s="43" t="n">
        <v>9</v>
      </c>
      <c r="B15" s="44">
        <f>(1+$C$5)/C15</f>
        <v/>
      </c>
      <c r="C15" s="45">
        <f>0.31080*(MAX(0.5980-Settings!$B$5,0.01)/0.5980)*(MAX(0.5230-Settings!$B$5,0.01)/0.5230)</f>
        <v/>
      </c>
      <c r="D15" s="46" t="inlineStr">
        <is>
          <t>Raheim Sanders (CLE) Receptions More 1.5 [60%]
Aaron Rodgers (PIT) Rush Yds Less 1.5 [52%]</t>
        </is>
      </c>
      <c r="E15" s="47">
        <f>$C15*E$6-1</f>
        <v/>
      </c>
      <c r="F15" s="47">
        <f>$C15*F$6-1</f>
        <v/>
      </c>
      <c r="G15" s="47">
        <f>$C15*G$6-1</f>
        <v/>
      </c>
      <c r="H15" s="47">
        <f>$C15*H$6-1</f>
        <v/>
      </c>
      <c r="I15" s="47">
        <f>$C15*I$6-1</f>
        <v/>
      </c>
      <c r="J15" s="47">
        <f>$C15*J$6-1</f>
        <v/>
      </c>
      <c r="K15" s="47">
        <f>$C15*K$6-1</f>
        <v/>
      </c>
      <c r="L15" s="47">
        <f>$C15*L$6-1</f>
        <v/>
      </c>
      <c r="M15" s="47">
        <f>$C15*M$6-1</f>
        <v/>
      </c>
    </row>
    <row r="16" ht="27" customHeight="1">
      <c r="A16" s="43" t="n">
        <v>10</v>
      </c>
      <c r="B16" s="44">
        <f>(1+$C$5)/C16</f>
        <v/>
      </c>
      <c r="C16" s="45">
        <f>0.31040*(MAX(0.5360-Settings!$B$5,0.01)/0.5360)*(MAX(0.5660-Settings!$B$5,0.01)/0.5660)</f>
        <v/>
      </c>
      <c r="D16" s="46" t="inlineStr">
        <is>
          <t>Michael Pittman Jr. (PIT) Receptions Less 3.5 [54%]
Jerry Jeudy (CLE) Receptions Less 1.5 [57%]</t>
        </is>
      </c>
      <c r="E16" s="47">
        <f>$C16*E$6-1</f>
        <v/>
      </c>
      <c r="F16" s="47">
        <f>$C16*F$6-1</f>
        <v/>
      </c>
      <c r="G16" s="47">
        <f>$C16*G$6-1</f>
        <v/>
      </c>
      <c r="H16" s="47">
        <f>$C16*H$6-1</f>
        <v/>
      </c>
      <c r="I16" s="47">
        <f>$C16*I$6-1</f>
        <v/>
      </c>
      <c r="J16" s="47">
        <f>$C16*J$6-1</f>
        <v/>
      </c>
      <c r="K16" s="47">
        <f>$C16*K$6-1</f>
        <v/>
      </c>
      <c r="L16" s="47">
        <f>$C16*L$6-1</f>
        <v/>
      </c>
      <c r="M16" s="47">
        <f>$C16*M$6-1</f>
        <v/>
      </c>
    </row>
    <row r="18">
      <c r="A18" s="2" t="inlineStr">
        <is>
          <t>3 LEGS</t>
        </is>
      </c>
      <c r="B18" s="39" t="inlineStr">
        <is>
          <t>Cushion</t>
        </is>
      </c>
      <c r="C18" s="40">
        <f>3*Settings!$B$6</f>
        <v/>
      </c>
      <c r="D18" s="41" t="inlineStr">
        <is>
          <t>3-leg entries  |  multipliers 3.50x to 7.00x, every 0.25x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4" t="inlineStr">
        <is>
          <t>#</t>
        </is>
      </c>
      <c r="B19" s="4" t="inlineStr">
        <is>
          <t>PLAY at</t>
        </is>
      </c>
      <c r="C19" s="4" t="inlineStr">
        <is>
          <t>All hit</t>
        </is>
      </c>
      <c r="D19" s="4" t="inlineStr">
        <is>
          <t>Entry (book lines)</t>
        </is>
      </c>
      <c r="E19" s="42" t="n">
        <v>3.5</v>
      </c>
      <c r="F19" s="42" t="n">
        <v>3.75</v>
      </c>
      <c r="G19" s="42" t="n">
        <v>4</v>
      </c>
      <c r="H19" s="42" t="n">
        <v>4.25</v>
      </c>
      <c r="I19" s="42" t="n">
        <v>4.5</v>
      </c>
      <c r="J19" s="42" t="n">
        <v>4.75</v>
      </c>
      <c r="K19" s="42" t="n">
        <v>5</v>
      </c>
      <c r="L19" s="42" t="n">
        <v>5.25</v>
      </c>
      <c r="M19" s="42" t="n">
        <v>5.5</v>
      </c>
      <c r="N19" s="42" t="n">
        <v>5.75</v>
      </c>
      <c r="O19" s="42" t="n">
        <v>6</v>
      </c>
      <c r="P19" s="42" t="n">
        <v>6.25</v>
      </c>
      <c r="Q19" s="42" t="n">
        <v>6.5</v>
      </c>
      <c r="R19" s="42" t="n">
        <v>6.75</v>
      </c>
      <c r="S19" s="42" t="n">
        <v>7</v>
      </c>
    </row>
    <row r="20" ht="38.5" customHeight="1">
      <c r="A20" s="43" t="n">
        <v>1</v>
      </c>
      <c r="B20" s="44">
        <f>(1+$C$18)/C20</f>
        <v/>
      </c>
      <c r="C20" s="45">
        <f>0.19680*(MAX(0.5700-Settings!$B$5,0.01)/0.5700)*(MAX(0.5980-Settings!$B$5,0.01)/0.5980)*(MAX(0.5460-Settings!$B$5,0.01)/0.5460)</f>
        <v/>
      </c>
      <c r="D20" s="46" t="inlineStr">
        <is>
          <t>Denzel Boston (CLE) Receptions More 2.5 [57%]
Raheim Sanders (CLE) Receptions More 1.5 [60%]
Jaylen Warren (PIT) Receptions Less 3.5 [55%]</t>
        </is>
      </c>
      <c r="E20" s="47">
        <f>$C20*E$19-1</f>
        <v/>
      </c>
      <c r="F20" s="47">
        <f>$C20*F$19-1</f>
        <v/>
      </c>
      <c r="G20" s="47">
        <f>$C20*G$19-1</f>
        <v/>
      </c>
      <c r="H20" s="47">
        <f>$C20*H$19-1</f>
        <v/>
      </c>
      <c r="I20" s="47">
        <f>$C20*I$19-1</f>
        <v/>
      </c>
      <c r="J20" s="47">
        <f>$C20*J$19-1</f>
        <v/>
      </c>
      <c r="K20" s="47">
        <f>$C20*K$19-1</f>
        <v/>
      </c>
      <c r="L20" s="47">
        <f>$C20*L$19-1</f>
        <v/>
      </c>
      <c r="M20" s="47">
        <f>$C20*M$19-1</f>
        <v/>
      </c>
      <c r="N20" s="47">
        <f>$C20*N$19-1</f>
        <v/>
      </c>
      <c r="O20" s="47">
        <f>$C20*O$19-1</f>
        <v/>
      </c>
      <c r="P20" s="47">
        <f>$C20*P$19-1</f>
        <v/>
      </c>
      <c r="Q20" s="47">
        <f>$C20*Q$19-1</f>
        <v/>
      </c>
      <c r="R20" s="47">
        <f>$C20*R$19-1</f>
        <v/>
      </c>
      <c r="S20" s="47">
        <f>$C20*S$19-1</f>
        <v/>
      </c>
    </row>
    <row r="21" ht="38.5" customHeight="1">
      <c r="A21" s="43" t="n">
        <v>2</v>
      </c>
      <c r="B21" s="44">
        <f>(1+$C$18)/C21</f>
        <v/>
      </c>
      <c r="C21" s="45">
        <f>0.19540*(MAX(0.4960-Settings!$B$5,0.01)/0.4960)*(MAX(0.5110-Settings!$B$5,0.01)/0.5110)*(MAX(0.5980-Settings!$B$5,0.01)/0.5980)</f>
        <v/>
      </c>
      <c r="D21" s="46" t="inlineStr">
        <is>
          <t>Aaron Rodgers (PIT) Pass Yds More 212.5 [50%]
DK Metcalf (PIT) Rec Yds More 41.5 [51%]
Raheim Sanders (CLE) Receptions More 1.5 [60%]</t>
        </is>
      </c>
      <c r="E21" s="47">
        <f>$C21*E$19-1</f>
        <v/>
      </c>
      <c r="F21" s="47">
        <f>$C21*F$19-1</f>
        <v/>
      </c>
      <c r="G21" s="47">
        <f>$C21*G$19-1</f>
        <v/>
      </c>
      <c r="H21" s="47">
        <f>$C21*H$19-1</f>
        <v/>
      </c>
      <c r="I21" s="47">
        <f>$C21*I$19-1</f>
        <v/>
      </c>
      <c r="J21" s="47">
        <f>$C21*J$19-1</f>
        <v/>
      </c>
      <c r="K21" s="47">
        <f>$C21*K$19-1</f>
        <v/>
      </c>
      <c r="L21" s="47">
        <f>$C21*L$19-1</f>
        <v/>
      </c>
      <c r="M21" s="47">
        <f>$C21*M$19-1</f>
        <v/>
      </c>
      <c r="N21" s="47">
        <f>$C21*N$19-1</f>
        <v/>
      </c>
      <c r="O21" s="47">
        <f>$C21*O$19-1</f>
        <v/>
      </c>
      <c r="P21" s="47">
        <f>$C21*P$19-1</f>
        <v/>
      </c>
      <c r="Q21" s="47">
        <f>$C21*Q$19-1</f>
        <v/>
      </c>
      <c r="R21" s="47">
        <f>$C21*R$19-1</f>
        <v/>
      </c>
      <c r="S21" s="47">
        <f>$C21*S$19-1</f>
        <v/>
      </c>
    </row>
    <row r="22" ht="38.5" customHeight="1">
      <c r="A22" s="43" t="n">
        <v>3</v>
      </c>
      <c r="B22" s="44">
        <f>(1+$C$18)/C22</f>
        <v/>
      </c>
      <c r="C22" s="45">
        <f>0.19260*(MAX(0.5980-Settings!$B$5,0.01)/0.5980)*(MAX(0.5040-Settings!$B$5,0.01)/0.5040)*(MAX(0.5000-Settings!$B$5,0.01)/0.5000)</f>
        <v/>
      </c>
      <c r="D22" s="46" t="inlineStr">
        <is>
          <t>Raheim Sanders (CLE) Receptions More 1.5 [60%]
Aaron Rodgers (PIT) Pass Yds Less 212.5 [50%]
DK Metcalf (PIT) Rush+Rec Yds Less 42.5 [50%]</t>
        </is>
      </c>
      <c r="E22" s="47">
        <f>$C22*E$19-1</f>
        <v/>
      </c>
      <c r="F22" s="47">
        <f>$C22*F$19-1</f>
        <v/>
      </c>
      <c r="G22" s="47">
        <f>$C22*G$19-1</f>
        <v/>
      </c>
      <c r="H22" s="47">
        <f>$C22*H$19-1</f>
        <v/>
      </c>
      <c r="I22" s="47">
        <f>$C22*I$19-1</f>
        <v/>
      </c>
      <c r="J22" s="47">
        <f>$C22*J$19-1</f>
        <v/>
      </c>
      <c r="K22" s="47">
        <f>$C22*K$19-1</f>
        <v/>
      </c>
      <c r="L22" s="47">
        <f>$C22*L$19-1</f>
        <v/>
      </c>
      <c r="M22" s="47">
        <f>$C22*M$19-1</f>
        <v/>
      </c>
      <c r="N22" s="47">
        <f>$C22*N$19-1</f>
        <v/>
      </c>
      <c r="O22" s="47">
        <f>$C22*O$19-1</f>
        <v/>
      </c>
      <c r="P22" s="47">
        <f>$C22*P$19-1</f>
        <v/>
      </c>
      <c r="Q22" s="47">
        <f>$C22*Q$19-1</f>
        <v/>
      </c>
      <c r="R22" s="47">
        <f>$C22*R$19-1</f>
        <v/>
      </c>
      <c r="S22" s="47">
        <f>$C22*S$19-1</f>
        <v/>
      </c>
    </row>
    <row r="23" ht="38.5" customHeight="1">
      <c r="A23" s="43" t="n">
        <v>4</v>
      </c>
      <c r="B23" s="44">
        <f>(1+$C$18)/C23</f>
        <v/>
      </c>
      <c r="C23" s="45">
        <f>0.18440*(MAX(0.5700-Settings!$B$5,0.01)/0.5700)*(MAX(0.5040-Settings!$B$5,0.01)/0.5040)*(MAX(0.4890-Settings!$B$5,0.01)/0.4890)</f>
        <v/>
      </c>
      <c r="D23" s="46" t="inlineStr">
        <is>
          <t>Denzel Boston (CLE) Receptions More 2.5 [57%]
Aaron Rodgers (PIT) Pass Yds Less 212.5 [50%]
DK Metcalf (PIT) Rec Yds Less 41.5 [49%]</t>
        </is>
      </c>
      <c r="E23" s="47">
        <f>$C23*E$19-1</f>
        <v/>
      </c>
      <c r="F23" s="47">
        <f>$C23*F$19-1</f>
        <v/>
      </c>
      <c r="G23" s="47">
        <f>$C23*G$19-1</f>
        <v/>
      </c>
      <c r="H23" s="47">
        <f>$C23*H$19-1</f>
        <v/>
      </c>
      <c r="I23" s="47">
        <f>$C23*I$19-1</f>
        <v/>
      </c>
      <c r="J23" s="47">
        <f>$C23*J$19-1</f>
        <v/>
      </c>
      <c r="K23" s="47">
        <f>$C23*K$19-1</f>
        <v/>
      </c>
      <c r="L23" s="47">
        <f>$C23*L$19-1</f>
        <v/>
      </c>
      <c r="M23" s="47">
        <f>$C23*M$19-1</f>
        <v/>
      </c>
      <c r="N23" s="47">
        <f>$C23*N$19-1</f>
        <v/>
      </c>
      <c r="O23" s="47">
        <f>$C23*O$19-1</f>
        <v/>
      </c>
      <c r="P23" s="47">
        <f>$C23*P$19-1</f>
        <v/>
      </c>
      <c r="Q23" s="47">
        <f>$C23*Q$19-1</f>
        <v/>
      </c>
      <c r="R23" s="47">
        <f>$C23*R$19-1</f>
        <v/>
      </c>
      <c r="S23" s="47">
        <f>$C23*S$19-1</f>
        <v/>
      </c>
    </row>
    <row r="24" ht="38.5" customHeight="1">
      <c r="A24" s="43" t="n">
        <v>5</v>
      </c>
      <c r="B24" s="44">
        <f>(1+$C$18)/C24</f>
        <v/>
      </c>
      <c r="C24" s="45">
        <f>0.18420*(MAX(0.4960-Settings!$B$5,0.01)/0.4960)*(MAX(0.5700-Settings!$B$5,0.01)/0.5700)*(MAX(0.5000-Settings!$B$5,0.01)/0.5000)</f>
        <v/>
      </c>
      <c r="D24" s="46" t="inlineStr">
        <is>
          <t>Aaron Rodgers (PIT) Pass Yds More 212.5 [50%]
Denzel Boston (CLE) Receptions More 2.5 [57%]
DK Metcalf (PIT) Rush+Rec Yds More 42.5 [50%]</t>
        </is>
      </c>
      <c r="E24" s="47">
        <f>$C24*E$19-1</f>
        <v/>
      </c>
      <c r="F24" s="47">
        <f>$C24*F$19-1</f>
        <v/>
      </c>
      <c r="G24" s="47">
        <f>$C24*G$19-1</f>
        <v/>
      </c>
      <c r="H24" s="47">
        <f>$C24*H$19-1</f>
        <v/>
      </c>
      <c r="I24" s="47">
        <f>$C24*I$19-1</f>
        <v/>
      </c>
      <c r="J24" s="47">
        <f>$C24*J$19-1</f>
        <v/>
      </c>
      <c r="K24" s="47">
        <f>$C24*K$19-1</f>
        <v/>
      </c>
      <c r="L24" s="47">
        <f>$C24*L$19-1</f>
        <v/>
      </c>
      <c r="M24" s="47">
        <f>$C24*M$19-1</f>
        <v/>
      </c>
      <c r="N24" s="47">
        <f>$C24*N$19-1</f>
        <v/>
      </c>
      <c r="O24" s="47">
        <f>$C24*O$19-1</f>
        <v/>
      </c>
      <c r="P24" s="47">
        <f>$C24*P$19-1</f>
        <v/>
      </c>
      <c r="Q24" s="47">
        <f>$C24*Q$19-1</f>
        <v/>
      </c>
      <c r="R24" s="47">
        <f>$C24*R$19-1</f>
        <v/>
      </c>
      <c r="S24" s="47">
        <f>$C24*S$19-1</f>
        <v/>
      </c>
    </row>
    <row r="25" ht="38.5" customHeight="1">
      <c r="A25" s="43" t="n">
        <v>6</v>
      </c>
      <c r="B25" s="44">
        <f>(1+$C$18)/C25</f>
        <v/>
      </c>
      <c r="C25" s="45">
        <f>0.18280*(MAX(0.5980-Settings!$B$5,0.01)/0.5980)*(MAX(0.5490-Settings!$B$5,0.01)/0.5490)*(MAX(0.5660-Settings!$B$5,0.01)/0.5660)</f>
        <v/>
      </c>
      <c r="D25" s="46" t="inlineStr">
        <is>
          <t>Raheim Sanders (CLE) Receptions More 1.5 [60%]
Pat Freiermuth (PIT) Receptions Less 3.5 [55%]
Jerry Jeudy (CLE) Receptions Less 1.5 [57%]</t>
        </is>
      </c>
      <c r="E25" s="47">
        <f>$C25*E$19-1</f>
        <v/>
      </c>
      <c r="F25" s="47">
        <f>$C25*F$19-1</f>
        <v/>
      </c>
      <c r="G25" s="47">
        <f>$C25*G$19-1</f>
        <v/>
      </c>
      <c r="H25" s="47">
        <f>$C25*H$19-1</f>
        <v/>
      </c>
      <c r="I25" s="47">
        <f>$C25*I$19-1</f>
        <v/>
      </c>
      <c r="J25" s="47">
        <f>$C25*J$19-1</f>
        <v/>
      </c>
      <c r="K25" s="47">
        <f>$C25*K$19-1</f>
        <v/>
      </c>
      <c r="L25" s="47">
        <f>$C25*L$19-1</f>
        <v/>
      </c>
      <c r="M25" s="47">
        <f>$C25*M$19-1</f>
        <v/>
      </c>
      <c r="N25" s="47">
        <f>$C25*N$19-1</f>
        <v/>
      </c>
      <c r="O25" s="47">
        <f>$C25*O$19-1</f>
        <v/>
      </c>
      <c r="P25" s="47">
        <f>$C25*P$19-1</f>
        <v/>
      </c>
      <c r="Q25" s="47">
        <f>$C25*Q$19-1</f>
        <v/>
      </c>
      <c r="R25" s="47">
        <f>$C25*R$19-1</f>
        <v/>
      </c>
      <c r="S25" s="47">
        <f>$C25*S$19-1</f>
        <v/>
      </c>
    </row>
    <row r="26" ht="38.5" customHeight="1">
      <c r="A26" s="43" t="n">
        <v>7</v>
      </c>
      <c r="B26" s="44">
        <f>(1+$C$18)/C26</f>
        <v/>
      </c>
      <c r="C26" s="45">
        <f>0.18320*(MAX(0.4990-Settings!$B$5,0.01)/0.4990)*(MAX(0.5460-Settings!$B$5,0.01)/0.5460)*(MAX(0.5660-Settings!$B$5,0.01)/0.5660)</f>
        <v/>
      </c>
      <c r="D26" s="46" t="inlineStr">
        <is>
          <t>Deshaun Watson (CLE) Pass Yds Less 187.5 [50%]
Jaylen Warren (PIT) Receptions Less 3.5 [55%]
Jerry Jeudy (CLE) Receptions Less 1.5 [57%]</t>
        </is>
      </c>
      <c r="E26" s="47">
        <f>$C26*E$19-1</f>
        <v/>
      </c>
      <c r="F26" s="47">
        <f>$C26*F$19-1</f>
        <v/>
      </c>
      <c r="G26" s="47">
        <f>$C26*G$19-1</f>
        <v/>
      </c>
      <c r="H26" s="47">
        <f>$C26*H$19-1</f>
        <v/>
      </c>
      <c r="I26" s="47">
        <f>$C26*I$19-1</f>
        <v/>
      </c>
      <c r="J26" s="47">
        <f>$C26*J$19-1</f>
        <v/>
      </c>
      <c r="K26" s="47">
        <f>$C26*K$19-1</f>
        <v/>
      </c>
      <c r="L26" s="47">
        <f>$C26*L$19-1</f>
        <v/>
      </c>
      <c r="M26" s="47">
        <f>$C26*M$19-1</f>
        <v/>
      </c>
      <c r="N26" s="47">
        <f>$C26*N$19-1</f>
        <v/>
      </c>
      <c r="O26" s="47">
        <f>$C26*O$19-1</f>
        <v/>
      </c>
      <c r="P26" s="47">
        <f>$C26*P$19-1</f>
        <v/>
      </c>
      <c r="Q26" s="47">
        <f>$C26*Q$19-1</f>
        <v/>
      </c>
      <c r="R26" s="47">
        <f>$C26*R$19-1</f>
        <v/>
      </c>
      <c r="S26" s="47">
        <f>$C26*S$19-1</f>
        <v/>
      </c>
    </row>
    <row r="27" ht="38.5" customHeight="1">
      <c r="A27" s="43" t="n">
        <v>8</v>
      </c>
      <c r="B27" s="44">
        <f>(1+$C$18)/C27</f>
        <v/>
      </c>
      <c r="C27" s="45">
        <f>0.18160*(MAX(0.5010-Settings!$B$5,0.01)/0.5010)*(MAX(0.5290-Settings!$B$5,0.01)/0.5290)*(MAX(0.5980-Settings!$B$5,0.01)/0.5980)</f>
        <v/>
      </c>
      <c r="D27" s="46" t="inlineStr">
        <is>
          <t>Deshaun Watson (CLE) Pass Yds More 187.5 [50%]
DK Metcalf (PIT) Receptions More 3.5 [53%]
Raheim Sanders (CLE) Receptions More 1.5 [60%]</t>
        </is>
      </c>
      <c r="E27" s="47">
        <f>$C27*E$19-1</f>
        <v/>
      </c>
      <c r="F27" s="47">
        <f>$C27*F$19-1</f>
        <v/>
      </c>
      <c r="G27" s="47">
        <f>$C27*G$19-1</f>
        <v/>
      </c>
      <c r="H27" s="47">
        <f>$C27*H$19-1</f>
        <v/>
      </c>
      <c r="I27" s="47">
        <f>$C27*I$19-1</f>
        <v/>
      </c>
      <c r="J27" s="47">
        <f>$C27*J$19-1</f>
        <v/>
      </c>
      <c r="K27" s="47">
        <f>$C27*K$19-1</f>
        <v/>
      </c>
      <c r="L27" s="47">
        <f>$C27*L$19-1</f>
        <v/>
      </c>
      <c r="M27" s="47">
        <f>$C27*M$19-1</f>
        <v/>
      </c>
      <c r="N27" s="47">
        <f>$C27*N$19-1</f>
        <v/>
      </c>
      <c r="O27" s="47">
        <f>$C27*O$19-1</f>
        <v/>
      </c>
      <c r="P27" s="47">
        <f>$C27*P$19-1</f>
        <v/>
      </c>
      <c r="Q27" s="47">
        <f>$C27*Q$19-1</f>
        <v/>
      </c>
      <c r="R27" s="47">
        <f>$C27*R$19-1</f>
        <v/>
      </c>
      <c r="S27" s="47">
        <f>$C27*S$19-1</f>
        <v/>
      </c>
    </row>
    <row r="28" ht="38.5" customHeight="1">
      <c r="A28" s="43" t="n">
        <v>9</v>
      </c>
      <c r="B28" s="44">
        <f>(1+$C$18)/C28</f>
        <v/>
      </c>
      <c r="C28" s="45">
        <f>0.18040*(MAX(0.5010-Settings!$B$5,0.01)/0.5010)*(MAX(0.5700-Settings!$B$5,0.01)/0.5700)*(MAX(0.5490-Settings!$B$5,0.01)/0.5490)</f>
        <v/>
      </c>
      <c r="D28" s="46" t="inlineStr">
        <is>
          <t>Deshaun Watson (CLE) Pass Yds More 187.5 [50%]
Denzel Boston (CLE) Receptions More 2.5 [57%]
Pat Freiermuth (PIT) Receptions Less 3.5 [55%]</t>
        </is>
      </c>
      <c r="E28" s="47">
        <f>$C28*E$19-1</f>
        <v/>
      </c>
      <c r="F28" s="47">
        <f>$C28*F$19-1</f>
        <v/>
      </c>
      <c r="G28" s="47">
        <f>$C28*G$19-1</f>
        <v/>
      </c>
      <c r="H28" s="47">
        <f>$C28*H$19-1</f>
        <v/>
      </c>
      <c r="I28" s="47">
        <f>$C28*I$19-1</f>
        <v/>
      </c>
      <c r="J28" s="47">
        <f>$C28*J$19-1</f>
        <v/>
      </c>
      <c r="K28" s="47">
        <f>$C28*K$19-1</f>
        <v/>
      </c>
      <c r="L28" s="47">
        <f>$C28*L$19-1</f>
        <v/>
      </c>
      <c r="M28" s="47">
        <f>$C28*M$19-1</f>
        <v/>
      </c>
      <c r="N28" s="47">
        <f>$C28*N$19-1</f>
        <v/>
      </c>
      <c r="O28" s="47">
        <f>$C28*O$19-1</f>
        <v/>
      </c>
      <c r="P28" s="47">
        <f>$C28*P$19-1</f>
        <v/>
      </c>
      <c r="Q28" s="47">
        <f>$C28*Q$19-1</f>
        <v/>
      </c>
      <c r="R28" s="47">
        <f>$C28*R$19-1</f>
        <v/>
      </c>
      <c r="S28" s="47">
        <f>$C28*S$19-1</f>
        <v/>
      </c>
    </row>
    <row r="29" ht="38.5" customHeight="1">
      <c r="A29" s="43" t="n">
        <v>10</v>
      </c>
      <c r="B29" s="44">
        <f>(1+$C$18)/C29</f>
        <v/>
      </c>
      <c r="C29" s="45">
        <f>0.17960*(MAX(0.5040-Settings!$B$5,0.01)/0.5040)*(MAX(0.5360-Settings!$B$5,0.01)/0.5360)*(MAX(0.5660-Settings!$B$5,0.01)/0.5660)</f>
        <v/>
      </c>
      <c r="D29" s="46" t="inlineStr">
        <is>
          <t>Aaron Rodgers (PIT) Pass Yds Less 212.5 [50%]
Michael Pittman Jr. (PIT) Receptions Less 3.5 [54%]
Jerry Jeudy (CLE) Receptions Less 1.5 [57%]</t>
        </is>
      </c>
      <c r="E29" s="47">
        <f>$C29*E$19-1</f>
        <v/>
      </c>
      <c r="F29" s="47">
        <f>$C29*F$19-1</f>
        <v/>
      </c>
      <c r="G29" s="47">
        <f>$C29*G$19-1</f>
        <v/>
      </c>
      <c r="H29" s="47">
        <f>$C29*H$19-1</f>
        <v/>
      </c>
      <c r="I29" s="47">
        <f>$C29*I$19-1</f>
        <v/>
      </c>
      <c r="J29" s="47">
        <f>$C29*J$19-1</f>
        <v/>
      </c>
      <c r="K29" s="47">
        <f>$C29*K$19-1</f>
        <v/>
      </c>
      <c r="L29" s="47">
        <f>$C29*L$19-1</f>
        <v/>
      </c>
      <c r="M29" s="47">
        <f>$C29*M$19-1</f>
        <v/>
      </c>
      <c r="N29" s="47">
        <f>$C29*N$19-1</f>
        <v/>
      </c>
      <c r="O29" s="47">
        <f>$C29*O$19-1</f>
        <v/>
      </c>
      <c r="P29" s="47">
        <f>$C29*P$19-1</f>
        <v/>
      </c>
      <c r="Q29" s="47">
        <f>$C29*Q$19-1</f>
        <v/>
      </c>
      <c r="R29" s="47">
        <f>$C29*R$19-1</f>
        <v/>
      </c>
      <c r="S29" s="47">
        <f>$C29*S$19-1</f>
        <v/>
      </c>
    </row>
    <row r="31">
      <c r="A31" s="2" t="inlineStr">
        <is>
          <t>4 LEGS</t>
        </is>
      </c>
      <c r="B31" s="39" t="inlineStr">
        <is>
          <t>Cushion</t>
        </is>
      </c>
      <c r="C31" s="40">
        <f>4*Settings!$B$6</f>
        <v/>
      </c>
      <c r="D31" s="41" t="inlineStr">
        <is>
          <t>4-leg entries  |  multipliers 6.00x to 12.00x, every 0.25x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4" t="inlineStr">
        <is>
          <t>#</t>
        </is>
      </c>
      <c r="B32" s="4" t="inlineStr">
        <is>
          <t>PLAY at</t>
        </is>
      </c>
      <c r="C32" s="4" t="inlineStr">
        <is>
          <t>All hit</t>
        </is>
      </c>
      <c r="D32" s="4" t="inlineStr">
        <is>
          <t>Entry (book lines)</t>
        </is>
      </c>
      <c r="E32" s="42" t="n">
        <v>6</v>
      </c>
      <c r="F32" s="42" t="n">
        <v>6.25</v>
      </c>
      <c r="G32" s="42" t="n">
        <v>6.5</v>
      </c>
      <c r="H32" s="42" t="n">
        <v>6.75</v>
      </c>
      <c r="I32" s="42" t="n">
        <v>7</v>
      </c>
      <c r="J32" s="42" t="n">
        <v>7.25</v>
      </c>
      <c r="K32" s="42" t="n">
        <v>7.5</v>
      </c>
      <c r="L32" s="42" t="n">
        <v>7.75</v>
      </c>
      <c r="M32" s="42" t="n">
        <v>8</v>
      </c>
      <c r="N32" s="42" t="n">
        <v>8.25</v>
      </c>
      <c r="O32" s="42" t="n">
        <v>8.5</v>
      </c>
      <c r="P32" s="42" t="n">
        <v>8.75</v>
      </c>
      <c r="Q32" s="42" t="n">
        <v>9</v>
      </c>
      <c r="R32" s="42" t="n">
        <v>9.25</v>
      </c>
      <c r="S32" s="42" t="n">
        <v>9.5</v>
      </c>
      <c r="T32" s="42" t="n">
        <v>9.75</v>
      </c>
      <c r="U32" s="42" t="n">
        <v>10</v>
      </c>
      <c r="V32" s="42" t="n">
        <v>10.25</v>
      </c>
      <c r="W32" s="42" t="n">
        <v>10.5</v>
      </c>
      <c r="X32" s="42" t="n">
        <v>10.75</v>
      </c>
      <c r="Y32" s="42" t="n">
        <v>11</v>
      </c>
      <c r="Z32" s="42" t="n">
        <v>11.25</v>
      </c>
      <c r="AA32" s="42" t="n">
        <v>11.5</v>
      </c>
      <c r="AB32" s="42" t="n">
        <v>11.75</v>
      </c>
      <c r="AC32" s="42" t="n">
        <v>12</v>
      </c>
    </row>
    <row r="33" ht="50" customHeight="1">
      <c r="A33" s="43" t="n">
        <v>1</v>
      </c>
      <c r="B33" s="44">
        <f>(1+$C$31)/C33</f>
        <v/>
      </c>
      <c r="C33" s="45">
        <f>0.11720*(MAX(0.5700-Settings!$B$5,0.01)/0.5700)*(MAX(0.5980-Settings!$B$5,0.01)/0.5980)*(MAX(0.5040-Settings!$B$5,0.01)/0.5040)*(MAX(0.5000-Settings!$B$5,0.01)/0.5000)</f>
        <v/>
      </c>
      <c r="D33" s="46" t="inlineStr">
        <is>
          <t>Denzel Boston (CLE) Receptions More 2.5 [57%]
Raheim Sanders (CLE) Receptions More 1.5 [60%]
Aaron Rodgers (PIT) Pass Yds Less 212.5 [50%]
DK Metcalf (PIT) Rush+Rec Yds Less 42.5 [50%]</t>
        </is>
      </c>
      <c r="E33" s="47">
        <f>$C33*E$32-1</f>
        <v/>
      </c>
      <c r="F33" s="47">
        <f>$C33*F$32-1</f>
        <v/>
      </c>
      <c r="G33" s="47">
        <f>$C33*G$32-1</f>
        <v/>
      </c>
      <c r="H33" s="47">
        <f>$C33*H$32-1</f>
        <v/>
      </c>
      <c r="I33" s="47">
        <f>$C33*I$32-1</f>
        <v/>
      </c>
      <c r="J33" s="47">
        <f>$C33*J$32-1</f>
        <v/>
      </c>
      <c r="K33" s="47">
        <f>$C33*K$32-1</f>
        <v/>
      </c>
      <c r="L33" s="47">
        <f>$C33*L$32-1</f>
        <v/>
      </c>
      <c r="M33" s="47">
        <f>$C33*M$32-1</f>
        <v/>
      </c>
      <c r="N33" s="47">
        <f>$C33*N$32-1</f>
        <v/>
      </c>
      <c r="O33" s="47">
        <f>$C33*O$32-1</f>
        <v/>
      </c>
      <c r="P33" s="47">
        <f>$C33*P$32-1</f>
        <v/>
      </c>
      <c r="Q33" s="47">
        <f>$C33*Q$32-1</f>
        <v/>
      </c>
      <c r="R33" s="47">
        <f>$C33*R$32-1</f>
        <v/>
      </c>
      <c r="S33" s="47">
        <f>$C33*S$32-1</f>
        <v/>
      </c>
      <c r="T33" s="47">
        <f>$C33*T$32-1</f>
        <v/>
      </c>
      <c r="U33" s="47">
        <f>$C33*U$32-1</f>
        <v/>
      </c>
      <c r="V33" s="47">
        <f>$C33*V$32-1</f>
        <v/>
      </c>
      <c r="W33" s="47">
        <f>$C33*W$32-1</f>
        <v/>
      </c>
      <c r="X33" s="47">
        <f>$C33*X$32-1</f>
        <v/>
      </c>
      <c r="Y33" s="47">
        <f>$C33*Y$32-1</f>
        <v/>
      </c>
      <c r="Z33" s="47">
        <f>$C33*Z$32-1</f>
        <v/>
      </c>
      <c r="AA33" s="47">
        <f>$C33*AA$32-1</f>
        <v/>
      </c>
      <c r="AB33" s="47">
        <f>$C33*AB$32-1</f>
        <v/>
      </c>
      <c r="AC33" s="47">
        <f>$C33*AC$32-1</f>
        <v/>
      </c>
    </row>
    <row r="34" ht="50" customHeight="1">
      <c r="A34" s="43" t="n">
        <v>2</v>
      </c>
      <c r="B34" s="44">
        <f>(1+$C$31)/C34</f>
        <v/>
      </c>
      <c r="C34" s="45">
        <f>0.11700*(MAX(0.4960-Settings!$B$5,0.01)/0.4960)*(MAX(0.5010-Settings!$B$5,0.01)/0.5010)*(MAX(0.5110-Settings!$B$5,0.01)/0.5110)*(MAX(0.5980-Settings!$B$5,0.01)/0.5980)</f>
        <v/>
      </c>
      <c r="D34" s="46" t="inlineStr">
        <is>
          <t>Aaron Rodgers (PIT) Pass Yds More 212.5 [50%]
Deshaun Watson (CLE) Pass Yds More 187.5 [50%]
DK Metcalf (PIT) Rec Yds More 41.5 [51%]
Raheim Sanders (CLE) Receptions More 1.5 [60%]</t>
        </is>
      </c>
      <c r="E34" s="47">
        <f>$C34*E$32-1</f>
        <v/>
      </c>
      <c r="F34" s="47">
        <f>$C34*F$32-1</f>
        <v/>
      </c>
      <c r="G34" s="47">
        <f>$C34*G$32-1</f>
        <v/>
      </c>
      <c r="H34" s="47">
        <f>$C34*H$32-1</f>
        <v/>
      </c>
      <c r="I34" s="47">
        <f>$C34*I$32-1</f>
        <v/>
      </c>
      <c r="J34" s="47">
        <f>$C34*J$32-1</f>
        <v/>
      </c>
      <c r="K34" s="47">
        <f>$C34*K$32-1</f>
        <v/>
      </c>
      <c r="L34" s="47">
        <f>$C34*L$32-1</f>
        <v/>
      </c>
      <c r="M34" s="47">
        <f>$C34*M$32-1</f>
        <v/>
      </c>
      <c r="N34" s="47">
        <f>$C34*N$32-1</f>
        <v/>
      </c>
      <c r="O34" s="47">
        <f>$C34*O$32-1</f>
        <v/>
      </c>
      <c r="P34" s="47">
        <f>$C34*P$32-1</f>
        <v/>
      </c>
      <c r="Q34" s="47">
        <f>$C34*Q$32-1</f>
        <v/>
      </c>
      <c r="R34" s="47">
        <f>$C34*R$32-1</f>
        <v/>
      </c>
      <c r="S34" s="47">
        <f>$C34*S$32-1</f>
        <v/>
      </c>
      <c r="T34" s="47">
        <f>$C34*T$32-1</f>
        <v/>
      </c>
      <c r="U34" s="47">
        <f>$C34*U$32-1</f>
        <v/>
      </c>
      <c r="V34" s="47">
        <f>$C34*V$32-1</f>
        <v/>
      </c>
      <c r="W34" s="47">
        <f>$C34*W$32-1</f>
        <v/>
      </c>
      <c r="X34" s="47">
        <f>$C34*X$32-1</f>
        <v/>
      </c>
      <c r="Y34" s="47">
        <f>$C34*Y$32-1</f>
        <v/>
      </c>
      <c r="Z34" s="47">
        <f>$C34*Z$32-1</f>
        <v/>
      </c>
      <c r="AA34" s="47">
        <f>$C34*AA$32-1</f>
        <v/>
      </c>
      <c r="AB34" s="47">
        <f>$C34*AB$32-1</f>
        <v/>
      </c>
      <c r="AC34" s="47">
        <f>$C34*AC$32-1</f>
        <v/>
      </c>
    </row>
    <row r="35" ht="50" customHeight="1">
      <c r="A35" s="43" t="n">
        <v>3</v>
      </c>
      <c r="B35" s="44">
        <f>(1+$C$31)/C35</f>
        <v/>
      </c>
      <c r="C35" s="45">
        <f>0.11590*(MAX(0.5010-Settings!$B$5,0.01)/0.5010)*(MAX(0.5290-Settings!$B$5,0.01)/0.5290)*(MAX(0.5700-Settings!$B$5,0.01)/0.5700)*(MAX(0.5980-Settings!$B$5,0.01)/0.5980)</f>
        <v/>
      </c>
      <c r="D35" s="46" t="inlineStr">
        <is>
          <t>Deshaun Watson (CLE) Pass Yds More 187.5 [50%]
DK Metcalf (PIT) Receptions More 3.5 [53%]
Denzel Boston (CLE) Receptions More 2.5 [57%]
Raheim Sanders (CLE) Receptions More 1.5 [60%]</t>
        </is>
      </c>
      <c r="E35" s="47">
        <f>$C35*E$32-1</f>
        <v/>
      </c>
      <c r="F35" s="47">
        <f>$C35*F$32-1</f>
        <v/>
      </c>
      <c r="G35" s="47">
        <f>$C35*G$32-1</f>
        <v/>
      </c>
      <c r="H35" s="47">
        <f>$C35*H$32-1</f>
        <v/>
      </c>
      <c r="I35" s="47">
        <f>$C35*I$32-1</f>
        <v/>
      </c>
      <c r="J35" s="47">
        <f>$C35*J$32-1</f>
        <v/>
      </c>
      <c r="K35" s="47">
        <f>$C35*K$32-1</f>
        <v/>
      </c>
      <c r="L35" s="47">
        <f>$C35*L$32-1</f>
        <v/>
      </c>
      <c r="M35" s="47">
        <f>$C35*M$32-1</f>
        <v/>
      </c>
      <c r="N35" s="47">
        <f>$C35*N$32-1</f>
        <v/>
      </c>
      <c r="O35" s="47">
        <f>$C35*O$32-1</f>
        <v/>
      </c>
      <c r="P35" s="47">
        <f>$C35*P$32-1</f>
        <v/>
      </c>
      <c r="Q35" s="47">
        <f>$C35*Q$32-1</f>
        <v/>
      </c>
      <c r="R35" s="47">
        <f>$C35*R$32-1</f>
        <v/>
      </c>
      <c r="S35" s="47">
        <f>$C35*S$32-1</f>
        <v/>
      </c>
      <c r="T35" s="47">
        <f>$C35*T$32-1</f>
        <v/>
      </c>
      <c r="U35" s="47">
        <f>$C35*U$32-1</f>
        <v/>
      </c>
      <c r="V35" s="47">
        <f>$C35*V$32-1</f>
        <v/>
      </c>
      <c r="W35" s="47">
        <f>$C35*W$32-1</f>
        <v/>
      </c>
      <c r="X35" s="47">
        <f>$C35*X$32-1</f>
        <v/>
      </c>
      <c r="Y35" s="47">
        <f>$C35*Y$32-1</f>
        <v/>
      </c>
      <c r="Z35" s="47">
        <f>$C35*Z$32-1</f>
        <v/>
      </c>
      <c r="AA35" s="47">
        <f>$C35*AA$32-1</f>
        <v/>
      </c>
      <c r="AB35" s="47">
        <f>$C35*AB$32-1</f>
        <v/>
      </c>
      <c r="AC35" s="47">
        <f>$C35*AC$32-1</f>
        <v/>
      </c>
    </row>
    <row r="36" ht="50" customHeight="1">
      <c r="A36" s="43" t="n">
        <v>4</v>
      </c>
      <c r="B36" s="44">
        <f>(1+$C$31)/C36</f>
        <v/>
      </c>
      <c r="C36" s="45">
        <f>0.11500*(MAX(0.5040-Settings!$B$5,0.01)/0.5040)*(MAX(0.4990-Settings!$B$5,0.01)/0.4990)*(MAX(0.5090-Settings!$B$5,0.01)/0.5090)*(MAX(0.5000-Settings!$B$5,0.01)/0.5000)</f>
        <v/>
      </c>
      <c r="D36" s="46" t="inlineStr">
        <is>
          <t>Aaron Rodgers (PIT) Pass Yds Less 212.5 [50%]
Deshaun Watson (CLE) Pass Yds Less 187.5 [50%]
Denzel Boston (CLE) Rec Yds Less 37.5 [51%]
DK Metcalf (PIT) Rush+Rec Yds Less 42.5 [50%]</t>
        </is>
      </c>
      <c r="E36" s="47">
        <f>$C36*E$32-1</f>
        <v/>
      </c>
      <c r="F36" s="47">
        <f>$C36*F$32-1</f>
        <v/>
      </c>
      <c r="G36" s="47">
        <f>$C36*G$32-1</f>
        <v/>
      </c>
      <c r="H36" s="47">
        <f>$C36*H$32-1</f>
        <v/>
      </c>
      <c r="I36" s="47">
        <f>$C36*I$32-1</f>
        <v/>
      </c>
      <c r="J36" s="47">
        <f>$C36*J$32-1</f>
        <v/>
      </c>
      <c r="K36" s="47">
        <f>$C36*K$32-1</f>
        <v/>
      </c>
      <c r="L36" s="47">
        <f>$C36*L$32-1</f>
        <v/>
      </c>
      <c r="M36" s="47">
        <f>$C36*M$32-1</f>
        <v/>
      </c>
      <c r="N36" s="47">
        <f>$C36*N$32-1</f>
        <v/>
      </c>
      <c r="O36" s="47">
        <f>$C36*O$32-1</f>
        <v/>
      </c>
      <c r="P36" s="47">
        <f>$C36*P$32-1</f>
        <v/>
      </c>
      <c r="Q36" s="47">
        <f>$C36*Q$32-1</f>
        <v/>
      </c>
      <c r="R36" s="47">
        <f>$C36*R$32-1</f>
        <v/>
      </c>
      <c r="S36" s="47">
        <f>$C36*S$32-1</f>
        <v/>
      </c>
      <c r="T36" s="47">
        <f>$C36*T$32-1</f>
        <v/>
      </c>
      <c r="U36" s="47">
        <f>$C36*U$32-1</f>
        <v/>
      </c>
      <c r="V36" s="47">
        <f>$C36*V$32-1</f>
        <v/>
      </c>
      <c r="W36" s="47">
        <f>$C36*W$32-1</f>
        <v/>
      </c>
      <c r="X36" s="47">
        <f>$C36*X$32-1</f>
        <v/>
      </c>
      <c r="Y36" s="47">
        <f>$C36*Y$32-1</f>
        <v/>
      </c>
      <c r="Z36" s="47">
        <f>$C36*Z$32-1</f>
        <v/>
      </c>
      <c r="AA36" s="47">
        <f>$C36*AA$32-1</f>
        <v/>
      </c>
      <c r="AB36" s="47">
        <f>$C36*AB$32-1</f>
        <v/>
      </c>
      <c r="AC36" s="47">
        <f>$C36*AC$32-1</f>
        <v/>
      </c>
    </row>
    <row r="37" ht="50" customHeight="1">
      <c r="A37" s="43" t="n">
        <v>5</v>
      </c>
      <c r="B37" s="44">
        <f>(1+$C$31)/C37</f>
        <v/>
      </c>
      <c r="C37" s="45">
        <f>0.11340*(MAX(0.4960-Settings!$B$5,0.01)/0.4960)*(MAX(0.5010-Settings!$B$5,0.01)/0.5010)*(MAX(0.5700-Settings!$B$5,0.01)/0.5700)*(MAX(0.5000-Settings!$B$5,0.01)/0.5000)</f>
        <v/>
      </c>
      <c r="D37" s="46" t="inlineStr">
        <is>
          <t>Aaron Rodgers (PIT) Pass Yds More 212.5 [50%]
Deshaun Watson (CLE) Pass Yds More 187.5 [50%]
Denzel Boston (CLE) Receptions More 2.5 [57%]
DK Metcalf (PIT) Rush+Rec Yds More 42.5 [50%]</t>
        </is>
      </c>
      <c r="E37" s="47">
        <f>$C37*E$32-1</f>
        <v/>
      </c>
      <c r="F37" s="47">
        <f>$C37*F$32-1</f>
        <v/>
      </c>
      <c r="G37" s="47">
        <f>$C37*G$32-1</f>
        <v/>
      </c>
      <c r="H37" s="47">
        <f>$C37*H$32-1</f>
        <v/>
      </c>
      <c r="I37" s="47">
        <f>$C37*I$32-1</f>
        <v/>
      </c>
      <c r="J37" s="47">
        <f>$C37*J$32-1</f>
        <v/>
      </c>
      <c r="K37" s="47">
        <f>$C37*K$32-1</f>
        <v/>
      </c>
      <c r="L37" s="47">
        <f>$C37*L$32-1</f>
        <v/>
      </c>
      <c r="M37" s="47">
        <f>$C37*M$32-1</f>
        <v/>
      </c>
      <c r="N37" s="47">
        <f>$C37*N$32-1</f>
        <v/>
      </c>
      <c r="O37" s="47">
        <f>$C37*O$32-1</f>
        <v/>
      </c>
      <c r="P37" s="47">
        <f>$C37*P$32-1</f>
        <v/>
      </c>
      <c r="Q37" s="47">
        <f>$C37*Q$32-1</f>
        <v/>
      </c>
      <c r="R37" s="47">
        <f>$C37*R$32-1</f>
        <v/>
      </c>
      <c r="S37" s="47">
        <f>$C37*S$32-1</f>
        <v/>
      </c>
      <c r="T37" s="47">
        <f>$C37*T$32-1</f>
        <v/>
      </c>
      <c r="U37" s="47">
        <f>$C37*U$32-1</f>
        <v/>
      </c>
      <c r="V37" s="47">
        <f>$C37*V$32-1</f>
        <v/>
      </c>
      <c r="W37" s="47">
        <f>$C37*W$32-1</f>
        <v/>
      </c>
      <c r="X37" s="47">
        <f>$C37*X$32-1</f>
        <v/>
      </c>
      <c r="Y37" s="47">
        <f>$C37*Y$32-1</f>
        <v/>
      </c>
      <c r="Z37" s="47">
        <f>$C37*Z$32-1</f>
        <v/>
      </c>
      <c r="AA37" s="47">
        <f>$C37*AA$32-1</f>
        <v/>
      </c>
      <c r="AB37" s="47">
        <f>$C37*AB$32-1</f>
        <v/>
      </c>
      <c r="AC37" s="47">
        <f>$C37*AC$32-1</f>
        <v/>
      </c>
    </row>
    <row r="38" ht="50" customHeight="1">
      <c r="A38" s="43" t="n">
        <v>6</v>
      </c>
      <c r="B38" s="44">
        <f>(1+$C$31)/C38</f>
        <v/>
      </c>
      <c r="C38" s="45">
        <f>0.11200*(MAX(0.5040-Settings!$B$5,0.01)/0.5040)*(MAX(0.4990-Settings!$B$5,0.01)/0.4990)*(MAX(0.4890-Settings!$B$5,0.01)/0.4890)*(MAX(0.4990-Settings!$B$5,0.01)/0.4990)</f>
        <v/>
      </c>
      <c r="D38" s="46" t="inlineStr">
        <is>
          <t>Aaron Rodgers (PIT) Pass Yds Less 212.5 [50%]
Deshaun Watson (CLE) Pass Yds Less 187.5 [50%]
DK Metcalf (PIT) Rec Yds Less 41.5 [49%]
Jerry Jeudy (CLE) Rec Yds Less 13.5 [50%]</t>
        </is>
      </c>
      <c r="E38" s="47">
        <f>$C38*E$32-1</f>
        <v/>
      </c>
      <c r="F38" s="47">
        <f>$C38*F$32-1</f>
        <v/>
      </c>
      <c r="G38" s="47">
        <f>$C38*G$32-1</f>
        <v/>
      </c>
      <c r="H38" s="47">
        <f>$C38*H$32-1</f>
        <v/>
      </c>
      <c r="I38" s="47">
        <f>$C38*I$32-1</f>
        <v/>
      </c>
      <c r="J38" s="47">
        <f>$C38*J$32-1</f>
        <v/>
      </c>
      <c r="K38" s="47">
        <f>$C38*K$32-1</f>
        <v/>
      </c>
      <c r="L38" s="47">
        <f>$C38*L$32-1</f>
        <v/>
      </c>
      <c r="M38" s="47">
        <f>$C38*M$32-1</f>
        <v/>
      </c>
      <c r="N38" s="47">
        <f>$C38*N$32-1</f>
        <v/>
      </c>
      <c r="O38" s="47">
        <f>$C38*O$32-1</f>
        <v/>
      </c>
      <c r="P38" s="47">
        <f>$C38*P$32-1</f>
        <v/>
      </c>
      <c r="Q38" s="47">
        <f>$C38*Q$32-1</f>
        <v/>
      </c>
      <c r="R38" s="47">
        <f>$C38*R$32-1</f>
        <v/>
      </c>
      <c r="S38" s="47">
        <f>$C38*S$32-1</f>
        <v/>
      </c>
      <c r="T38" s="47">
        <f>$C38*T$32-1</f>
        <v/>
      </c>
      <c r="U38" s="47">
        <f>$C38*U$32-1</f>
        <v/>
      </c>
      <c r="V38" s="47">
        <f>$C38*V$32-1</f>
        <v/>
      </c>
      <c r="W38" s="47">
        <f>$C38*W$32-1</f>
        <v/>
      </c>
      <c r="X38" s="47">
        <f>$C38*X$32-1</f>
        <v/>
      </c>
      <c r="Y38" s="47">
        <f>$C38*Y$32-1</f>
        <v/>
      </c>
      <c r="Z38" s="47">
        <f>$C38*Z$32-1</f>
        <v/>
      </c>
      <c r="AA38" s="47">
        <f>$C38*AA$32-1</f>
        <v/>
      </c>
      <c r="AB38" s="47">
        <f>$C38*AB$32-1</f>
        <v/>
      </c>
      <c r="AC38" s="47">
        <f>$C38*AC$32-1</f>
        <v/>
      </c>
    </row>
    <row r="39" ht="50" customHeight="1">
      <c r="A39" s="43" t="n">
        <v>7</v>
      </c>
      <c r="B39" s="44">
        <f>(1+$C$31)/C39</f>
        <v/>
      </c>
      <c r="C39" s="45">
        <f>0.11153*(MAX(0.5700-Settings!$B$5,0.01)/0.5700)*(MAX(0.5040-Settings!$B$5,0.01)/0.5040)*(MAX(0.5040-Settings!$B$5,0.01)/0.5040)*(MAX(0.5160-Settings!$B$5,0.01)/0.5160)</f>
        <v/>
      </c>
      <c r="D39" s="46" t="inlineStr">
        <is>
          <t>Denzel Boston (CLE) Receptions More 2.5 [57%]
Aaron Rodgers (PIT) Pass Yds Less 212.5 [50%]
Michael Pittman Jr. (PIT) Rec Yds Less 34.5 [50%]
Germie Bernard (PIT) Rec Yds Less 6.5 [52%]</t>
        </is>
      </c>
      <c r="E39" s="47">
        <f>$C39*E$32-1</f>
        <v/>
      </c>
      <c r="F39" s="47">
        <f>$C39*F$32-1</f>
        <v/>
      </c>
      <c r="G39" s="47">
        <f>$C39*G$32-1</f>
        <v/>
      </c>
      <c r="H39" s="47">
        <f>$C39*H$32-1</f>
        <v/>
      </c>
      <c r="I39" s="47">
        <f>$C39*I$32-1</f>
        <v/>
      </c>
      <c r="J39" s="47">
        <f>$C39*J$32-1</f>
        <v/>
      </c>
      <c r="K39" s="47">
        <f>$C39*K$32-1</f>
        <v/>
      </c>
      <c r="L39" s="47">
        <f>$C39*L$32-1</f>
        <v/>
      </c>
      <c r="M39" s="47">
        <f>$C39*M$32-1</f>
        <v/>
      </c>
      <c r="N39" s="47">
        <f>$C39*N$32-1</f>
        <v/>
      </c>
      <c r="O39" s="47">
        <f>$C39*O$32-1</f>
        <v/>
      </c>
      <c r="P39" s="47">
        <f>$C39*P$32-1</f>
        <v/>
      </c>
      <c r="Q39" s="47">
        <f>$C39*Q$32-1</f>
        <v/>
      </c>
      <c r="R39" s="47">
        <f>$C39*R$32-1</f>
        <v/>
      </c>
      <c r="S39" s="47">
        <f>$C39*S$32-1</f>
        <v/>
      </c>
      <c r="T39" s="47">
        <f>$C39*T$32-1</f>
        <v/>
      </c>
      <c r="U39" s="47">
        <f>$C39*U$32-1</f>
        <v/>
      </c>
      <c r="V39" s="47">
        <f>$C39*V$32-1</f>
        <v/>
      </c>
      <c r="W39" s="47">
        <f>$C39*W$32-1</f>
        <v/>
      </c>
      <c r="X39" s="47">
        <f>$C39*X$32-1</f>
        <v/>
      </c>
      <c r="Y39" s="47">
        <f>$C39*Y$32-1</f>
        <v/>
      </c>
      <c r="Z39" s="47">
        <f>$C39*Z$32-1</f>
        <v/>
      </c>
      <c r="AA39" s="47">
        <f>$C39*AA$32-1</f>
        <v/>
      </c>
      <c r="AB39" s="47">
        <f>$C39*AB$32-1</f>
        <v/>
      </c>
      <c r="AC39" s="47">
        <f>$C39*AC$32-1</f>
        <v/>
      </c>
    </row>
    <row r="40" ht="50" customHeight="1">
      <c r="A40" s="43" t="n">
        <v>8</v>
      </c>
      <c r="B40" s="44">
        <f>(1+$C$31)/C40</f>
        <v/>
      </c>
      <c r="C40" s="45">
        <f>0.11096*(MAX(0.5010-Settings!$B$5,0.01)/0.5010)*(MAX(0.4910-Settings!$B$5,0.01)/0.4910)*(MAX(0.5980-Settings!$B$5,0.01)/0.5980)*(MAX(0.5490-Settings!$B$5,0.01)/0.5490)</f>
        <v/>
      </c>
      <c r="D40" s="46" t="inlineStr">
        <is>
          <t>Deshaun Watson (CLE) Pass Yds More 187.5 [50%]
Denzel Boston (CLE) Rec Yds More 37.5 [49%]
Raheim Sanders (CLE) Receptions More 1.5 [60%]
Pat Freiermuth (PIT) Receptions Less 3.5 [55%]</t>
        </is>
      </c>
      <c r="E40" s="47">
        <f>$C40*E$32-1</f>
        <v/>
      </c>
      <c r="F40" s="47">
        <f>$C40*F$32-1</f>
        <v/>
      </c>
      <c r="G40" s="47">
        <f>$C40*G$32-1</f>
        <v/>
      </c>
      <c r="H40" s="47">
        <f>$C40*H$32-1</f>
        <v/>
      </c>
      <c r="I40" s="47">
        <f>$C40*I$32-1</f>
        <v/>
      </c>
      <c r="J40" s="47">
        <f>$C40*J$32-1</f>
        <v/>
      </c>
      <c r="K40" s="47">
        <f>$C40*K$32-1</f>
        <v/>
      </c>
      <c r="L40" s="47">
        <f>$C40*L$32-1</f>
        <v/>
      </c>
      <c r="M40" s="47">
        <f>$C40*M$32-1</f>
        <v/>
      </c>
      <c r="N40" s="47">
        <f>$C40*N$32-1</f>
        <v/>
      </c>
      <c r="O40" s="47">
        <f>$C40*O$32-1</f>
        <v/>
      </c>
      <c r="P40" s="47">
        <f>$C40*P$32-1</f>
        <v/>
      </c>
      <c r="Q40" s="47">
        <f>$C40*Q$32-1</f>
        <v/>
      </c>
      <c r="R40" s="47">
        <f>$C40*R$32-1</f>
        <v/>
      </c>
      <c r="S40" s="47">
        <f>$C40*S$32-1</f>
        <v/>
      </c>
      <c r="T40" s="47">
        <f>$C40*T$32-1</f>
        <v/>
      </c>
      <c r="U40" s="47">
        <f>$C40*U$32-1</f>
        <v/>
      </c>
      <c r="V40" s="47">
        <f>$C40*V$32-1</f>
        <v/>
      </c>
      <c r="W40" s="47">
        <f>$C40*W$32-1</f>
        <v/>
      </c>
      <c r="X40" s="47">
        <f>$C40*X$32-1</f>
        <v/>
      </c>
      <c r="Y40" s="47">
        <f>$C40*Y$32-1</f>
        <v/>
      </c>
      <c r="Z40" s="47">
        <f>$C40*Z$32-1</f>
        <v/>
      </c>
      <c r="AA40" s="47">
        <f>$C40*AA$32-1</f>
        <v/>
      </c>
      <c r="AB40" s="47">
        <f>$C40*AB$32-1</f>
        <v/>
      </c>
      <c r="AC40" s="47">
        <f>$C40*AC$32-1</f>
        <v/>
      </c>
    </row>
    <row r="41" ht="50" customHeight="1">
      <c r="A41" s="43" t="n">
        <v>9</v>
      </c>
      <c r="B41" s="44">
        <f>(1+$C$31)/C41</f>
        <v/>
      </c>
      <c r="C41" s="45">
        <f>0.11039*(MAX(0.5040-Settings!$B$5,0.01)/0.5040)*(MAX(0.5490-Settings!$B$5,0.01)/0.5490)*(MAX(0.5660-Settings!$B$5,0.01)/0.5660)*(MAX(0.5000-Settings!$B$5,0.01)/0.5000)</f>
        <v/>
      </c>
      <c r="D41" s="46" t="inlineStr">
        <is>
          <t>Aaron Rodgers (PIT) Pass Yds Less 212.5 [50%]
Pat Freiermuth (PIT) Receptions Less 3.5 [55%]
Jerry Jeudy (CLE) Receptions Less 1.5 [57%]
DK Metcalf (PIT) Rush+Rec Yds Less 42.5 [50%]</t>
        </is>
      </c>
      <c r="E41" s="47">
        <f>$C41*E$32-1</f>
        <v/>
      </c>
      <c r="F41" s="47">
        <f>$C41*F$32-1</f>
        <v/>
      </c>
      <c r="G41" s="47">
        <f>$C41*G$32-1</f>
        <v/>
      </c>
      <c r="H41" s="47">
        <f>$C41*H$32-1</f>
        <v/>
      </c>
      <c r="I41" s="47">
        <f>$C41*I$32-1</f>
        <v/>
      </c>
      <c r="J41" s="47">
        <f>$C41*J$32-1</f>
        <v/>
      </c>
      <c r="K41" s="47">
        <f>$C41*K$32-1</f>
        <v/>
      </c>
      <c r="L41" s="47">
        <f>$C41*L$32-1</f>
        <v/>
      </c>
      <c r="M41" s="47">
        <f>$C41*M$32-1</f>
        <v/>
      </c>
      <c r="N41" s="47">
        <f>$C41*N$32-1</f>
        <v/>
      </c>
      <c r="O41" s="47">
        <f>$C41*O$32-1</f>
        <v/>
      </c>
      <c r="P41" s="47">
        <f>$C41*P$32-1</f>
        <v/>
      </c>
      <c r="Q41" s="47">
        <f>$C41*Q$32-1</f>
        <v/>
      </c>
      <c r="R41" s="47">
        <f>$C41*R$32-1</f>
        <v/>
      </c>
      <c r="S41" s="47">
        <f>$C41*S$32-1</f>
        <v/>
      </c>
      <c r="T41" s="47">
        <f>$C41*T$32-1</f>
        <v/>
      </c>
      <c r="U41" s="47">
        <f>$C41*U$32-1</f>
        <v/>
      </c>
      <c r="V41" s="47">
        <f>$C41*V$32-1</f>
        <v/>
      </c>
      <c r="W41" s="47">
        <f>$C41*W$32-1</f>
        <v/>
      </c>
      <c r="X41" s="47">
        <f>$C41*X$32-1</f>
        <v/>
      </c>
      <c r="Y41" s="47">
        <f>$C41*Y$32-1</f>
        <v/>
      </c>
      <c r="Z41" s="47">
        <f>$C41*Z$32-1</f>
        <v/>
      </c>
      <c r="AA41" s="47">
        <f>$C41*AA$32-1</f>
        <v/>
      </c>
      <c r="AB41" s="47">
        <f>$C41*AB$32-1</f>
        <v/>
      </c>
      <c r="AC41" s="47">
        <f>$C41*AC$32-1</f>
        <v/>
      </c>
    </row>
    <row r="42" ht="50" customHeight="1">
      <c r="A42" s="43" t="n">
        <v>10</v>
      </c>
      <c r="B42" s="44">
        <f>(1+$C$31)/C42</f>
        <v/>
      </c>
      <c r="C42" s="45">
        <f>0.11040*(MAX(0.4960-Settings!$B$5,0.01)/0.4960)*(MAX(0.5110-Settings!$B$5,0.01)/0.5110)*(MAX(0.4990-Settings!$B$5,0.01)/0.4990)*(MAX(0.5090-Settings!$B$5,0.01)/0.5090)</f>
        <v/>
      </c>
      <c r="D42" s="46" t="inlineStr">
        <is>
          <t>Aaron Rodgers (PIT) Pass Yds More 212.5 [50%]
DK Metcalf (PIT) Rec Yds More 41.5 [51%]
Deshaun Watson (CLE) Pass Yds Less 187.5 [50%]
Denzel Boston (CLE) Rec Yds Less 37.5 [51%]</t>
        </is>
      </c>
      <c r="E42" s="47">
        <f>$C42*E$32-1</f>
        <v/>
      </c>
      <c r="F42" s="47">
        <f>$C42*F$32-1</f>
        <v/>
      </c>
      <c r="G42" s="47">
        <f>$C42*G$32-1</f>
        <v/>
      </c>
      <c r="H42" s="47">
        <f>$C42*H$32-1</f>
        <v/>
      </c>
      <c r="I42" s="47">
        <f>$C42*I$32-1</f>
        <v/>
      </c>
      <c r="J42" s="47">
        <f>$C42*J$32-1</f>
        <v/>
      </c>
      <c r="K42" s="47">
        <f>$C42*K$32-1</f>
        <v/>
      </c>
      <c r="L42" s="47">
        <f>$C42*L$32-1</f>
        <v/>
      </c>
      <c r="M42" s="47">
        <f>$C42*M$32-1</f>
        <v/>
      </c>
      <c r="N42" s="47">
        <f>$C42*N$32-1</f>
        <v/>
      </c>
      <c r="O42" s="47">
        <f>$C42*O$32-1</f>
        <v/>
      </c>
      <c r="P42" s="47">
        <f>$C42*P$32-1</f>
        <v/>
      </c>
      <c r="Q42" s="47">
        <f>$C42*Q$32-1</f>
        <v/>
      </c>
      <c r="R42" s="47">
        <f>$C42*R$32-1</f>
        <v/>
      </c>
      <c r="S42" s="47">
        <f>$C42*S$32-1</f>
        <v/>
      </c>
      <c r="T42" s="47">
        <f>$C42*T$32-1</f>
        <v/>
      </c>
      <c r="U42" s="47">
        <f>$C42*U$32-1</f>
        <v/>
      </c>
      <c r="V42" s="47">
        <f>$C42*V$32-1</f>
        <v/>
      </c>
      <c r="W42" s="47">
        <f>$C42*W$32-1</f>
        <v/>
      </c>
      <c r="X42" s="47">
        <f>$C42*X$32-1</f>
        <v/>
      </c>
      <c r="Y42" s="47">
        <f>$C42*Y$32-1</f>
        <v/>
      </c>
      <c r="Z42" s="47">
        <f>$C42*Z$32-1</f>
        <v/>
      </c>
      <c r="AA42" s="47">
        <f>$C42*AA$32-1</f>
        <v/>
      </c>
      <c r="AB42" s="47">
        <f>$C42*AB$32-1</f>
        <v/>
      </c>
      <c r="AC42" s="47">
        <f>$C42*AC$32-1</f>
        <v/>
      </c>
    </row>
    <row r="44">
      <c r="A44" s="2" t="inlineStr">
        <is>
          <t>5 LEGS</t>
        </is>
      </c>
      <c r="B44" s="39" t="inlineStr">
        <is>
          <t>Cushion</t>
        </is>
      </c>
      <c r="C44" s="40">
        <f>5*Settings!$B$6</f>
        <v/>
      </c>
      <c r="D44" s="41" t="inlineStr">
        <is>
          <t>5-leg entries  |  multipliers 12.00x to 25.00x, every 0.5x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</row>
    <row r="45">
      <c r="A45" s="4" t="inlineStr">
        <is>
          <t>#</t>
        </is>
      </c>
      <c r="B45" s="4" t="inlineStr">
        <is>
          <t>PLAY at</t>
        </is>
      </c>
      <c r="C45" s="4" t="inlineStr">
        <is>
          <t>All hit</t>
        </is>
      </c>
      <c r="D45" s="4" t="inlineStr">
        <is>
          <t>Entry (book lines)</t>
        </is>
      </c>
      <c r="E45" s="42" t="n">
        <v>12</v>
      </c>
      <c r="F45" s="42" t="n">
        <v>12.5</v>
      </c>
      <c r="G45" s="42" t="n">
        <v>13</v>
      </c>
      <c r="H45" s="42" t="n">
        <v>13.5</v>
      </c>
      <c r="I45" s="42" t="n">
        <v>14</v>
      </c>
      <c r="J45" s="42" t="n">
        <v>14.5</v>
      </c>
      <c r="K45" s="42" t="n">
        <v>15</v>
      </c>
      <c r="L45" s="42" t="n">
        <v>15.5</v>
      </c>
      <c r="M45" s="42" t="n">
        <v>16</v>
      </c>
      <c r="N45" s="42" t="n">
        <v>16.5</v>
      </c>
      <c r="O45" s="42" t="n">
        <v>17</v>
      </c>
      <c r="P45" s="42" t="n">
        <v>17.5</v>
      </c>
      <c r="Q45" s="42" t="n">
        <v>18</v>
      </c>
      <c r="R45" s="42" t="n">
        <v>18.5</v>
      </c>
      <c r="S45" s="42" t="n">
        <v>19</v>
      </c>
      <c r="T45" s="42" t="n">
        <v>19.5</v>
      </c>
      <c r="U45" s="42" t="n">
        <v>20</v>
      </c>
      <c r="V45" s="42" t="n">
        <v>20.5</v>
      </c>
      <c r="W45" s="42" t="n">
        <v>21</v>
      </c>
      <c r="X45" s="42" t="n">
        <v>21.5</v>
      </c>
      <c r="Y45" s="42" t="n">
        <v>22</v>
      </c>
      <c r="Z45" s="42" t="n">
        <v>22.5</v>
      </c>
      <c r="AA45" s="42" t="n">
        <v>23</v>
      </c>
      <c r="AB45" s="42" t="n">
        <v>23.5</v>
      </c>
      <c r="AC45" s="42" t="n">
        <v>24</v>
      </c>
      <c r="AD45" s="42" t="n">
        <v>24.5</v>
      </c>
      <c r="AE45" s="42" t="n">
        <v>25</v>
      </c>
    </row>
    <row r="46" ht="61.5" customHeight="1">
      <c r="A46" s="43" t="n">
        <v>1</v>
      </c>
      <c r="B46" s="44">
        <f>(1+$C$44)/C46</f>
        <v/>
      </c>
      <c r="C46" s="45">
        <f>0.07372*(MAX(0.4960-Settings!$B$5,0.01)/0.4960)*(MAX(0.5010-Settings!$B$5,0.01)/0.5010)*(MAX(0.5110-Settings!$B$5,0.01)/0.5110)*(MAX(0.5700-Settings!$B$5,0.01)/0.5700)*(MAX(0.5980-Settings!$B$5,0.01)/0.5980)</f>
        <v/>
      </c>
      <c r="D46" s="46" t="inlineStr">
        <is>
          <t>Aaron Rodgers (PIT) Pass Yds More 212.5 [50%]
Deshaun Watson (CLE) Pass Yds More 187.5 [50%]
DK Metcalf (PIT) Rec Yds More 41.5 [51%]
Denzel Boston (CLE) Receptions More 2.5 [57%]
Raheim Sanders (CLE) Receptions More 1.5 [60%]</t>
        </is>
      </c>
      <c r="E46" s="47">
        <f>$C46*E$45-1</f>
        <v/>
      </c>
      <c r="F46" s="47">
        <f>$C46*F$45-1</f>
        <v/>
      </c>
      <c r="G46" s="47">
        <f>$C46*G$45-1</f>
        <v/>
      </c>
      <c r="H46" s="47">
        <f>$C46*H$45-1</f>
        <v/>
      </c>
      <c r="I46" s="47">
        <f>$C46*I$45-1</f>
        <v/>
      </c>
      <c r="J46" s="47">
        <f>$C46*J$45-1</f>
        <v/>
      </c>
      <c r="K46" s="47">
        <f>$C46*K$45-1</f>
        <v/>
      </c>
      <c r="L46" s="47">
        <f>$C46*L$45-1</f>
        <v/>
      </c>
      <c r="M46" s="47">
        <f>$C46*M$45-1</f>
        <v/>
      </c>
      <c r="N46" s="47">
        <f>$C46*N$45-1</f>
        <v/>
      </c>
      <c r="O46" s="47">
        <f>$C46*O$45-1</f>
        <v/>
      </c>
      <c r="P46" s="47">
        <f>$C46*P$45-1</f>
        <v/>
      </c>
      <c r="Q46" s="47">
        <f>$C46*Q$45-1</f>
        <v/>
      </c>
      <c r="R46" s="47">
        <f>$C46*R$45-1</f>
        <v/>
      </c>
      <c r="S46" s="47">
        <f>$C46*S$45-1</f>
        <v/>
      </c>
      <c r="T46" s="47">
        <f>$C46*T$45-1</f>
        <v/>
      </c>
      <c r="U46" s="47">
        <f>$C46*U$45-1</f>
        <v/>
      </c>
      <c r="V46" s="47">
        <f>$C46*V$45-1</f>
        <v/>
      </c>
      <c r="W46" s="47">
        <f>$C46*W$45-1</f>
        <v/>
      </c>
      <c r="X46" s="47">
        <f>$C46*X$45-1</f>
        <v/>
      </c>
      <c r="Y46" s="47">
        <f>$C46*Y$45-1</f>
        <v/>
      </c>
      <c r="Z46" s="47">
        <f>$C46*Z$45-1</f>
        <v/>
      </c>
      <c r="AA46" s="47">
        <f>$C46*AA$45-1</f>
        <v/>
      </c>
      <c r="AB46" s="47">
        <f>$C46*AB$45-1</f>
        <v/>
      </c>
      <c r="AC46" s="47">
        <f>$C46*AC$45-1</f>
        <v/>
      </c>
      <c r="AD46" s="47">
        <f>$C46*AD$45-1</f>
        <v/>
      </c>
      <c r="AE46" s="47">
        <f>$C46*AE$45-1</f>
        <v/>
      </c>
    </row>
    <row r="47" ht="61.5" customHeight="1">
      <c r="A47" s="43" t="n">
        <v>2</v>
      </c>
      <c r="B47" s="44">
        <f>(1+$C$44)/C47</f>
        <v/>
      </c>
      <c r="C47" s="45">
        <f>0.07068*(MAX(0.4960-Settings!$B$5,0.01)/0.4960)*(MAX(0.5010-Settings!$B$5,0.01)/0.5010)*(MAX(0.5010-Settings!$B$5,0.01)/0.5010)*(MAX(0.5000-Settings!$B$5,0.01)/0.5000)*(MAX(0.5980-Settings!$B$5,0.01)/0.5980)</f>
        <v/>
      </c>
      <c r="D47" s="46" t="inlineStr">
        <is>
          <t>Aaron Rodgers (PIT) Pass Yds More 212.5 [50%]
Deshaun Watson (CLE) Pass Yds More 187.5 [50%]
Jerry Jeudy (CLE) Rec Yds More 13.5 [50%]
DK Metcalf (PIT) Rush+Rec Yds More 42.5 [50%]
Raheim Sanders (CLE) Receptions More 1.5 [60%]</t>
        </is>
      </c>
      <c r="E47" s="47">
        <f>$C47*E$45-1</f>
        <v/>
      </c>
      <c r="F47" s="47">
        <f>$C47*F$45-1</f>
        <v/>
      </c>
      <c r="G47" s="47">
        <f>$C47*G$45-1</f>
        <v/>
      </c>
      <c r="H47" s="47">
        <f>$C47*H$45-1</f>
        <v/>
      </c>
      <c r="I47" s="47">
        <f>$C47*I$45-1</f>
        <v/>
      </c>
      <c r="J47" s="47">
        <f>$C47*J$45-1</f>
        <v/>
      </c>
      <c r="K47" s="47">
        <f>$C47*K$45-1</f>
        <v/>
      </c>
      <c r="L47" s="47">
        <f>$C47*L$45-1</f>
        <v/>
      </c>
      <c r="M47" s="47">
        <f>$C47*M$45-1</f>
        <v/>
      </c>
      <c r="N47" s="47">
        <f>$C47*N$45-1</f>
        <v/>
      </c>
      <c r="O47" s="47">
        <f>$C47*O$45-1</f>
        <v/>
      </c>
      <c r="P47" s="47">
        <f>$C47*P$45-1</f>
        <v/>
      </c>
      <c r="Q47" s="47">
        <f>$C47*Q$45-1</f>
        <v/>
      </c>
      <c r="R47" s="47">
        <f>$C47*R$45-1</f>
        <v/>
      </c>
      <c r="S47" s="47">
        <f>$C47*S$45-1</f>
        <v/>
      </c>
      <c r="T47" s="47">
        <f>$C47*T$45-1</f>
        <v/>
      </c>
      <c r="U47" s="47">
        <f>$C47*U$45-1</f>
        <v/>
      </c>
      <c r="V47" s="47">
        <f>$C47*V$45-1</f>
        <v/>
      </c>
      <c r="W47" s="47">
        <f>$C47*W$45-1</f>
        <v/>
      </c>
      <c r="X47" s="47">
        <f>$C47*X$45-1</f>
        <v/>
      </c>
      <c r="Y47" s="47">
        <f>$C47*Y$45-1</f>
        <v/>
      </c>
      <c r="Z47" s="47">
        <f>$C47*Z$45-1</f>
        <v/>
      </c>
      <c r="AA47" s="47">
        <f>$C47*AA$45-1</f>
        <v/>
      </c>
      <c r="AB47" s="47">
        <f>$C47*AB$45-1</f>
        <v/>
      </c>
      <c r="AC47" s="47">
        <f>$C47*AC$45-1</f>
        <v/>
      </c>
      <c r="AD47" s="47">
        <f>$C47*AD$45-1</f>
        <v/>
      </c>
      <c r="AE47" s="47">
        <f>$C47*AE$45-1</f>
        <v/>
      </c>
    </row>
    <row r="48" ht="61.5" customHeight="1">
      <c r="A48" s="43" t="n">
        <v>3</v>
      </c>
      <c r="B48" s="44">
        <f>(1+$C$44)/C48</f>
        <v/>
      </c>
      <c r="C48" s="45">
        <f>0.06992*(MAX(0.5700-Settings!$B$5,0.01)/0.5700)*(MAX(0.5980-Settings!$B$5,0.01)/0.5980)*(MAX(0.5040-Settings!$B$5,0.01)/0.5040)*(MAX(0.5040-Settings!$B$5,0.01)/0.5040)*(MAX(0.5000-Settings!$B$5,0.01)/0.5000)</f>
        <v/>
      </c>
      <c r="D48" s="46" t="inlineStr">
        <is>
          <t>Denzel Boston (CLE) Receptions More 2.5 [57%]
Raheim Sanders (CLE) Receptions More 1.5 [60%]
Aaron Rodgers (PIT) Pass Yds Less 212.5 [50%]
Michael Pittman Jr. (PIT) Rec Yds Less 34.5 [50%]
DK Metcalf (PIT) Rush+Rec Yds Less 42.5 [50%]</t>
        </is>
      </c>
      <c r="E48" s="47">
        <f>$C48*E$45-1</f>
        <v/>
      </c>
      <c r="F48" s="47">
        <f>$C48*F$45-1</f>
        <v/>
      </c>
      <c r="G48" s="47">
        <f>$C48*G$45-1</f>
        <v/>
      </c>
      <c r="H48" s="47">
        <f>$C48*H$45-1</f>
        <v/>
      </c>
      <c r="I48" s="47">
        <f>$C48*I$45-1</f>
        <v/>
      </c>
      <c r="J48" s="47">
        <f>$C48*J$45-1</f>
        <v/>
      </c>
      <c r="K48" s="47">
        <f>$C48*K$45-1</f>
        <v/>
      </c>
      <c r="L48" s="47">
        <f>$C48*L$45-1</f>
        <v/>
      </c>
      <c r="M48" s="47">
        <f>$C48*M$45-1</f>
        <v/>
      </c>
      <c r="N48" s="47">
        <f>$C48*N$45-1</f>
        <v/>
      </c>
      <c r="O48" s="47">
        <f>$C48*O$45-1</f>
        <v/>
      </c>
      <c r="P48" s="47">
        <f>$C48*P$45-1</f>
        <v/>
      </c>
      <c r="Q48" s="47">
        <f>$C48*Q$45-1</f>
        <v/>
      </c>
      <c r="R48" s="47">
        <f>$C48*R$45-1</f>
        <v/>
      </c>
      <c r="S48" s="47">
        <f>$C48*S$45-1</f>
        <v/>
      </c>
      <c r="T48" s="47">
        <f>$C48*T$45-1</f>
        <v/>
      </c>
      <c r="U48" s="47">
        <f>$C48*U$45-1</f>
        <v/>
      </c>
      <c r="V48" s="47">
        <f>$C48*V$45-1</f>
        <v/>
      </c>
      <c r="W48" s="47">
        <f>$C48*W$45-1</f>
        <v/>
      </c>
      <c r="X48" s="47">
        <f>$C48*X$45-1</f>
        <v/>
      </c>
      <c r="Y48" s="47">
        <f>$C48*Y$45-1</f>
        <v/>
      </c>
      <c r="Z48" s="47">
        <f>$C48*Z$45-1</f>
        <v/>
      </c>
      <c r="AA48" s="47">
        <f>$C48*AA$45-1</f>
        <v/>
      </c>
      <c r="AB48" s="47">
        <f>$C48*AB$45-1</f>
        <v/>
      </c>
      <c r="AC48" s="47">
        <f>$C48*AC$45-1</f>
        <v/>
      </c>
      <c r="AD48" s="47">
        <f>$C48*AD$45-1</f>
        <v/>
      </c>
      <c r="AE48" s="47">
        <f>$C48*AE$45-1</f>
        <v/>
      </c>
    </row>
    <row r="49" ht="61.5" customHeight="1">
      <c r="A49" s="43" t="n">
        <v>4</v>
      </c>
      <c r="B49" s="44">
        <f>(1+$C$44)/C49</f>
        <v/>
      </c>
      <c r="C49" s="45">
        <f>0.06973*(MAX(0.5700-Settings!$B$5,0.01)/0.5700)*(MAX(0.5980-Settings!$B$5,0.01)/0.5980)*(MAX(0.5040-Settings!$B$5,0.01)/0.5040)*(MAX(0.5460-Settings!$B$5,0.01)/0.5460)*(MAX(0.5160-Settings!$B$5,0.01)/0.5160)</f>
        <v/>
      </c>
      <c r="D49" s="46" t="inlineStr">
        <is>
          <t>Denzel Boston (CLE) Receptions More 2.5 [57%]
Raheim Sanders (CLE) Receptions More 1.5 [60%]
Aaron Rodgers (PIT) Pass Yds Less 212.5 [50%]
Jaylen Warren (PIT) Receptions Less 3.5 [55%]
Germie Bernard (PIT) Rec Yds Less 6.5 [52%]</t>
        </is>
      </c>
      <c r="E49" s="47">
        <f>$C49*E$45-1</f>
        <v/>
      </c>
      <c r="F49" s="47">
        <f>$C49*F$45-1</f>
        <v/>
      </c>
      <c r="G49" s="47">
        <f>$C49*G$45-1</f>
        <v/>
      </c>
      <c r="H49" s="47">
        <f>$C49*H$45-1</f>
        <v/>
      </c>
      <c r="I49" s="47">
        <f>$C49*I$45-1</f>
        <v/>
      </c>
      <c r="J49" s="47">
        <f>$C49*J$45-1</f>
        <v/>
      </c>
      <c r="K49" s="47">
        <f>$C49*K$45-1</f>
        <v/>
      </c>
      <c r="L49" s="47">
        <f>$C49*L$45-1</f>
        <v/>
      </c>
      <c r="M49" s="47">
        <f>$C49*M$45-1</f>
        <v/>
      </c>
      <c r="N49" s="47">
        <f>$C49*N$45-1</f>
        <v/>
      </c>
      <c r="O49" s="47">
        <f>$C49*O$45-1</f>
        <v/>
      </c>
      <c r="P49" s="47">
        <f>$C49*P$45-1</f>
        <v/>
      </c>
      <c r="Q49" s="47">
        <f>$C49*Q$45-1</f>
        <v/>
      </c>
      <c r="R49" s="47">
        <f>$C49*R$45-1</f>
        <v/>
      </c>
      <c r="S49" s="47">
        <f>$C49*S$45-1</f>
        <v/>
      </c>
      <c r="T49" s="47">
        <f>$C49*T$45-1</f>
        <v/>
      </c>
      <c r="U49" s="47">
        <f>$C49*U$45-1</f>
        <v/>
      </c>
      <c r="V49" s="47">
        <f>$C49*V$45-1</f>
        <v/>
      </c>
      <c r="W49" s="47">
        <f>$C49*W$45-1</f>
        <v/>
      </c>
      <c r="X49" s="47">
        <f>$C49*X$45-1</f>
        <v/>
      </c>
      <c r="Y49" s="47">
        <f>$C49*Y$45-1</f>
        <v/>
      </c>
      <c r="Z49" s="47">
        <f>$C49*Z$45-1</f>
        <v/>
      </c>
      <c r="AA49" s="47">
        <f>$C49*AA$45-1</f>
        <v/>
      </c>
      <c r="AB49" s="47">
        <f>$C49*AB$45-1</f>
        <v/>
      </c>
      <c r="AC49" s="47">
        <f>$C49*AC$45-1</f>
        <v/>
      </c>
      <c r="AD49" s="47">
        <f>$C49*AD$45-1</f>
        <v/>
      </c>
      <c r="AE49" s="47">
        <f>$C49*AE$45-1</f>
        <v/>
      </c>
    </row>
    <row r="50" ht="61.5" customHeight="1">
      <c r="A50" s="43" t="n">
        <v>5</v>
      </c>
      <c r="B50" s="44">
        <f>(1+$C$44)/C50</f>
        <v/>
      </c>
      <c r="C50" s="45">
        <f>0.07011*(MAX(0.5040-Settings!$B$5,0.01)/0.5040)*(MAX(0.4990-Settings!$B$5,0.01)/0.4990)*(MAX(0.5090-Settings!$B$5,0.01)/0.5090)*(MAX(0.5000-Settings!$B$5,0.01)/0.5000)*(MAX(0.5040-Settings!$B$5,0.01)/0.5040)</f>
        <v/>
      </c>
      <c r="D50" s="46" t="inlineStr">
        <is>
          <t>Aaron Rodgers (PIT) Pass Yds Less 212.5 [50%]
Deshaun Watson (CLE) Pass Yds Less 187.5 [50%]
Denzel Boston (CLE) Rec Yds Less 37.5 [51%]
DK Metcalf (PIT) Rush+Rec Yds Less 42.5 [50%]
Jerry Jeudy (CLE) Rush+Rec Yds Less 15.5 [50%]</t>
        </is>
      </c>
      <c r="E50" s="47">
        <f>$C50*E$45-1</f>
        <v/>
      </c>
      <c r="F50" s="47">
        <f>$C50*F$45-1</f>
        <v/>
      </c>
      <c r="G50" s="47">
        <f>$C50*G$45-1</f>
        <v/>
      </c>
      <c r="H50" s="47">
        <f>$C50*H$45-1</f>
        <v/>
      </c>
      <c r="I50" s="47">
        <f>$C50*I$45-1</f>
        <v/>
      </c>
      <c r="J50" s="47">
        <f>$C50*J$45-1</f>
        <v/>
      </c>
      <c r="K50" s="47">
        <f>$C50*K$45-1</f>
        <v/>
      </c>
      <c r="L50" s="47">
        <f>$C50*L$45-1</f>
        <v/>
      </c>
      <c r="M50" s="47">
        <f>$C50*M$45-1</f>
        <v/>
      </c>
      <c r="N50" s="47">
        <f>$C50*N$45-1</f>
        <v/>
      </c>
      <c r="O50" s="47">
        <f>$C50*O$45-1</f>
        <v/>
      </c>
      <c r="P50" s="47">
        <f>$C50*P$45-1</f>
        <v/>
      </c>
      <c r="Q50" s="47">
        <f>$C50*Q$45-1</f>
        <v/>
      </c>
      <c r="R50" s="47">
        <f>$C50*R$45-1</f>
        <v/>
      </c>
      <c r="S50" s="47">
        <f>$C50*S$45-1</f>
        <v/>
      </c>
      <c r="T50" s="47">
        <f>$C50*T$45-1</f>
        <v/>
      </c>
      <c r="U50" s="47">
        <f>$C50*U$45-1</f>
        <v/>
      </c>
      <c r="V50" s="47">
        <f>$C50*V$45-1</f>
        <v/>
      </c>
      <c r="W50" s="47">
        <f>$C50*W$45-1</f>
        <v/>
      </c>
      <c r="X50" s="47">
        <f>$C50*X$45-1</f>
        <v/>
      </c>
      <c r="Y50" s="47">
        <f>$C50*Y$45-1</f>
        <v/>
      </c>
      <c r="Z50" s="47">
        <f>$C50*Z$45-1</f>
        <v/>
      </c>
      <c r="AA50" s="47">
        <f>$C50*AA$45-1</f>
        <v/>
      </c>
      <c r="AB50" s="47">
        <f>$C50*AB$45-1</f>
        <v/>
      </c>
      <c r="AC50" s="47">
        <f>$C50*AC$45-1</f>
        <v/>
      </c>
      <c r="AD50" s="47">
        <f>$C50*AD$45-1</f>
        <v/>
      </c>
      <c r="AE50" s="47">
        <f>$C50*AE$45-1</f>
        <v/>
      </c>
    </row>
    <row r="51" ht="61.5" customHeight="1">
      <c r="A51" s="43" t="n">
        <v>6</v>
      </c>
      <c r="B51" s="44">
        <f>(1+$C$44)/C51</f>
        <v/>
      </c>
      <c r="C51" s="45">
        <f>0.06894*(MAX(0.5010-Settings!$B$5,0.01)/0.5010)*(MAX(0.5700-Settings!$B$5,0.01)/0.5700)*(MAX(0.5010-Settings!$B$5,0.01)/0.5010)*(MAX(0.5980-Settings!$B$5,0.01)/0.5980)*(MAX(0.5230-Settings!$B$5,0.01)/0.5230)</f>
        <v/>
      </c>
      <c r="D51" s="46" t="inlineStr">
        <is>
          <t>Deshaun Watson (CLE) Pass Yds More 187.5 [50%]
Denzel Boston (CLE) Receptions More 2.5 [57%]
Jerry Jeudy (CLE) Rec Yds More 13.5 [50%]
Raheim Sanders (CLE) Receptions More 1.5 [60%]
Aaron Rodgers (PIT) Rush Yds Less 1.5 [52%]</t>
        </is>
      </c>
      <c r="E51" s="47">
        <f>$C51*E$45-1</f>
        <v/>
      </c>
      <c r="F51" s="47">
        <f>$C51*F$45-1</f>
        <v/>
      </c>
      <c r="G51" s="47">
        <f>$C51*G$45-1</f>
        <v/>
      </c>
      <c r="H51" s="47">
        <f>$C51*H$45-1</f>
        <v/>
      </c>
      <c r="I51" s="47">
        <f>$C51*I$45-1</f>
        <v/>
      </c>
      <c r="J51" s="47">
        <f>$C51*J$45-1</f>
        <v/>
      </c>
      <c r="K51" s="47">
        <f>$C51*K$45-1</f>
        <v/>
      </c>
      <c r="L51" s="47">
        <f>$C51*L$45-1</f>
        <v/>
      </c>
      <c r="M51" s="47">
        <f>$C51*M$45-1</f>
        <v/>
      </c>
      <c r="N51" s="47">
        <f>$C51*N$45-1</f>
        <v/>
      </c>
      <c r="O51" s="47">
        <f>$C51*O$45-1</f>
        <v/>
      </c>
      <c r="P51" s="47">
        <f>$C51*P$45-1</f>
        <v/>
      </c>
      <c r="Q51" s="47">
        <f>$C51*Q$45-1</f>
        <v/>
      </c>
      <c r="R51" s="47">
        <f>$C51*R$45-1</f>
        <v/>
      </c>
      <c r="S51" s="47">
        <f>$C51*S$45-1</f>
        <v/>
      </c>
      <c r="T51" s="47">
        <f>$C51*T$45-1</f>
        <v/>
      </c>
      <c r="U51" s="47">
        <f>$C51*U$45-1</f>
        <v/>
      </c>
      <c r="V51" s="47">
        <f>$C51*V$45-1</f>
        <v/>
      </c>
      <c r="W51" s="47">
        <f>$C51*W$45-1</f>
        <v/>
      </c>
      <c r="X51" s="47">
        <f>$C51*X$45-1</f>
        <v/>
      </c>
      <c r="Y51" s="47">
        <f>$C51*Y$45-1</f>
        <v/>
      </c>
      <c r="Z51" s="47">
        <f>$C51*Z$45-1</f>
        <v/>
      </c>
      <c r="AA51" s="47">
        <f>$C51*AA$45-1</f>
        <v/>
      </c>
      <c r="AB51" s="47">
        <f>$C51*AB$45-1</f>
        <v/>
      </c>
      <c r="AC51" s="47">
        <f>$C51*AC$45-1</f>
        <v/>
      </c>
      <c r="AD51" s="47">
        <f>$C51*AD$45-1</f>
        <v/>
      </c>
      <c r="AE51" s="47">
        <f>$C51*AE$45-1</f>
        <v/>
      </c>
    </row>
    <row r="52" ht="61.5" customHeight="1">
      <c r="A52" s="43" t="n">
        <v>7</v>
      </c>
      <c r="B52" s="44">
        <f>(1+$C$44)/C52</f>
        <v/>
      </c>
      <c r="C52" s="45">
        <f>0.06859*(MAX(0.5040-Settings!$B$5,0.01)/0.5040)*(MAX(0.4990-Settings!$B$5,0.01)/0.4990)*(MAX(0.4990-Settings!$B$5,0.01)/0.4990)*(MAX(0.5000-Settings!$B$5,0.01)/0.5000)*(MAX(0.5000-Settings!$B$5,0.01)/0.5000)</f>
        <v/>
      </c>
      <c r="D52" s="46" t="inlineStr">
        <is>
          <t>Aaron Rodgers (PIT) Pass Yds Less 212.5 [50%]
Deshaun Watson (CLE) Pass Yds Less 187.5 [50%]
Jerry Jeudy (CLE) Rec Yds Less 13.5 [50%]
Denzel Boston (CLE) Rush+Rec Yds Less 36.5 [50%]
DK Metcalf (PIT) Rush+Rec Yds Less 42.5 [50%]</t>
        </is>
      </c>
      <c r="E52" s="47">
        <f>$C52*E$45-1</f>
        <v/>
      </c>
      <c r="F52" s="47">
        <f>$C52*F$45-1</f>
        <v/>
      </c>
      <c r="G52" s="47">
        <f>$C52*G$45-1</f>
        <v/>
      </c>
      <c r="H52" s="47">
        <f>$C52*H$45-1</f>
        <v/>
      </c>
      <c r="I52" s="47">
        <f>$C52*I$45-1</f>
        <v/>
      </c>
      <c r="J52" s="47">
        <f>$C52*J$45-1</f>
        <v/>
      </c>
      <c r="K52" s="47">
        <f>$C52*K$45-1</f>
        <v/>
      </c>
      <c r="L52" s="47">
        <f>$C52*L$45-1</f>
        <v/>
      </c>
      <c r="M52" s="47">
        <f>$C52*M$45-1</f>
        <v/>
      </c>
      <c r="N52" s="47">
        <f>$C52*N$45-1</f>
        <v/>
      </c>
      <c r="O52" s="47">
        <f>$C52*O$45-1</f>
        <v/>
      </c>
      <c r="P52" s="47">
        <f>$C52*P$45-1</f>
        <v/>
      </c>
      <c r="Q52" s="47">
        <f>$C52*Q$45-1</f>
        <v/>
      </c>
      <c r="R52" s="47">
        <f>$C52*R$45-1</f>
        <v/>
      </c>
      <c r="S52" s="47">
        <f>$C52*S$45-1</f>
        <v/>
      </c>
      <c r="T52" s="47">
        <f>$C52*T$45-1</f>
        <v/>
      </c>
      <c r="U52" s="47">
        <f>$C52*U$45-1</f>
        <v/>
      </c>
      <c r="V52" s="47">
        <f>$C52*V$45-1</f>
        <v/>
      </c>
      <c r="W52" s="47">
        <f>$C52*W$45-1</f>
        <v/>
      </c>
      <c r="X52" s="47">
        <f>$C52*X$45-1</f>
        <v/>
      </c>
      <c r="Y52" s="47">
        <f>$C52*Y$45-1</f>
        <v/>
      </c>
      <c r="Z52" s="47">
        <f>$C52*Z$45-1</f>
        <v/>
      </c>
      <c r="AA52" s="47">
        <f>$C52*AA$45-1</f>
        <v/>
      </c>
      <c r="AB52" s="47">
        <f>$C52*AB$45-1</f>
        <v/>
      </c>
      <c r="AC52" s="47">
        <f>$C52*AC$45-1</f>
        <v/>
      </c>
      <c r="AD52" s="47">
        <f>$C52*AD$45-1</f>
        <v/>
      </c>
      <c r="AE52" s="47">
        <f>$C52*AE$45-1</f>
        <v/>
      </c>
    </row>
    <row r="53" ht="61.5" customHeight="1">
      <c r="A53" s="43" t="n">
        <v>8</v>
      </c>
      <c r="B53" s="44">
        <f>(1+$C$44)/C53</f>
        <v/>
      </c>
      <c r="C53" s="45">
        <f>0.06750*(MAX(0.5010-Settings!$B$5,0.01)/0.5010)*(MAX(0.5290-Settings!$B$5,0.01)/0.5290)*(MAX(0.5700-Settings!$B$5,0.01)/0.5700)*(MAX(0.4960-Settings!$B$5,0.01)/0.4960)*(MAX(0.5980-Settings!$B$5,0.01)/0.5980)</f>
        <v/>
      </c>
      <c r="D53" s="46" t="inlineStr">
        <is>
          <t>Deshaun Watson (CLE) Pass Yds More 187.5 [50%]
DK Metcalf (PIT) Receptions More 3.5 [53%]
Denzel Boston (CLE) Receptions More 2.5 [57%]
Jerry Jeudy (CLE) Rush+Rec Yds More 15.5 [50%]
Raheim Sanders (CLE) Receptions More 1.5 [60%]</t>
        </is>
      </c>
      <c r="E53" s="47">
        <f>$C53*E$45-1</f>
        <v/>
      </c>
      <c r="F53" s="47">
        <f>$C53*F$45-1</f>
        <v/>
      </c>
      <c r="G53" s="47">
        <f>$C53*G$45-1</f>
        <v/>
      </c>
      <c r="H53" s="47">
        <f>$C53*H$45-1</f>
        <v/>
      </c>
      <c r="I53" s="47">
        <f>$C53*I$45-1</f>
        <v/>
      </c>
      <c r="J53" s="47">
        <f>$C53*J$45-1</f>
        <v/>
      </c>
      <c r="K53" s="47">
        <f>$C53*K$45-1</f>
        <v/>
      </c>
      <c r="L53" s="47">
        <f>$C53*L$45-1</f>
        <v/>
      </c>
      <c r="M53" s="47">
        <f>$C53*M$45-1</f>
        <v/>
      </c>
      <c r="N53" s="47">
        <f>$C53*N$45-1</f>
        <v/>
      </c>
      <c r="O53" s="47">
        <f>$C53*O$45-1</f>
        <v/>
      </c>
      <c r="P53" s="47">
        <f>$C53*P$45-1</f>
        <v/>
      </c>
      <c r="Q53" s="47">
        <f>$C53*Q$45-1</f>
        <v/>
      </c>
      <c r="R53" s="47">
        <f>$C53*R$45-1</f>
        <v/>
      </c>
      <c r="S53" s="47">
        <f>$C53*S$45-1</f>
        <v/>
      </c>
      <c r="T53" s="47">
        <f>$C53*T$45-1</f>
        <v/>
      </c>
      <c r="U53" s="47">
        <f>$C53*U$45-1</f>
        <v/>
      </c>
      <c r="V53" s="47">
        <f>$C53*V$45-1</f>
        <v/>
      </c>
      <c r="W53" s="47">
        <f>$C53*W$45-1</f>
        <v/>
      </c>
      <c r="X53" s="47">
        <f>$C53*X$45-1</f>
        <v/>
      </c>
      <c r="Y53" s="47">
        <f>$C53*Y$45-1</f>
        <v/>
      </c>
      <c r="Z53" s="47">
        <f>$C53*Z$45-1</f>
        <v/>
      </c>
      <c r="AA53" s="47">
        <f>$C53*AA$45-1</f>
        <v/>
      </c>
      <c r="AB53" s="47">
        <f>$C53*AB$45-1</f>
        <v/>
      </c>
      <c r="AC53" s="47">
        <f>$C53*AC$45-1</f>
        <v/>
      </c>
      <c r="AD53" s="47">
        <f>$C53*AD$45-1</f>
        <v/>
      </c>
      <c r="AE53" s="47">
        <f>$C53*AE$45-1</f>
        <v/>
      </c>
    </row>
    <row r="54" ht="61.5" customHeight="1">
      <c r="A54" s="43" t="n">
        <v>9</v>
      </c>
      <c r="B54" s="44">
        <f>(1+$C$44)/C54</f>
        <v/>
      </c>
      <c r="C54" s="45">
        <f>0.06764*(MAX(0.5040-Settings!$B$5,0.01)/0.5040)*(MAX(0.4990-Settings!$B$5,0.01)/0.4990)*(MAX(0.4890-Settings!$B$5,0.01)/0.4890)*(MAX(0.5000-Settings!$B$5,0.01)/0.5000)*(MAX(0.5040-Settings!$B$5,0.01)/0.5040)</f>
        <v/>
      </c>
      <c r="D54" s="46" t="inlineStr">
        <is>
          <t>Aaron Rodgers (PIT) Pass Yds Less 212.5 [50%]
Deshaun Watson (CLE) Pass Yds Less 187.5 [50%]
DK Metcalf (PIT) Rec Yds Less 41.5 [49%]
Denzel Boston (CLE) Rush+Rec Yds Less 36.5 [50%]
Jerry Jeudy (CLE) Rush+Rec Yds Less 15.5 [50%]</t>
        </is>
      </c>
      <c r="E54" s="47">
        <f>$C54*E$45-1</f>
        <v/>
      </c>
      <c r="F54" s="47">
        <f>$C54*F$45-1</f>
        <v/>
      </c>
      <c r="G54" s="47">
        <f>$C54*G$45-1</f>
        <v/>
      </c>
      <c r="H54" s="47">
        <f>$C54*H$45-1</f>
        <v/>
      </c>
      <c r="I54" s="47">
        <f>$C54*I$45-1</f>
        <v/>
      </c>
      <c r="J54" s="47">
        <f>$C54*J$45-1</f>
        <v/>
      </c>
      <c r="K54" s="47">
        <f>$C54*K$45-1</f>
        <v/>
      </c>
      <c r="L54" s="47">
        <f>$C54*L$45-1</f>
        <v/>
      </c>
      <c r="M54" s="47">
        <f>$C54*M$45-1</f>
        <v/>
      </c>
      <c r="N54" s="47">
        <f>$C54*N$45-1</f>
        <v/>
      </c>
      <c r="O54" s="47">
        <f>$C54*O$45-1</f>
        <v/>
      </c>
      <c r="P54" s="47">
        <f>$C54*P$45-1</f>
        <v/>
      </c>
      <c r="Q54" s="47">
        <f>$C54*Q$45-1</f>
        <v/>
      </c>
      <c r="R54" s="47">
        <f>$C54*R$45-1</f>
        <v/>
      </c>
      <c r="S54" s="47">
        <f>$C54*S$45-1</f>
        <v/>
      </c>
      <c r="T54" s="47">
        <f>$C54*T$45-1</f>
        <v/>
      </c>
      <c r="U54" s="47">
        <f>$C54*U$45-1</f>
        <v/>
      </c>
      <c r="V54" s="47">
        <f>$C54*V$45-1</f>
        <v/>
      </c>
      <c r="W54" s="47">
        <f>$C54*W$45-1</f>
        <v/>
      </c>
      <c r="X54" s="47">
        <f>$C54*X$45-1</f>
        <v/>
      </c>
      <c r="Y54" s="47">
        <f>$C54*Y$45-1</f>
        <v/>
      </c>
      <c r="Z54" s="47">
        <f>$C54*Z$45-1</f>
        <v/>
      </c>
      <c r="AA54" s="47">
        <f>$C54*AA$45-1</f>
        <v/>
      </c>
      <c r="AB54" s="47">
        <f>$C54*AB$45-1</f>
        <v/>
      </c>
      <c r="AC54" s="47">
        <f>$C54*AC$45-1</f>
        <v/>
      </c>
      <c r="AD54" s="47">
        <f>$C54*AD$45-1</f>
        <v/>
      </c>
      <c r="AE54" s="47">
        <f>$C54*AE$45-1</f>
        <v/>
      </c>
    </row>
    <row r="55" ht="61.5" customHeight="1">
      <c r="A55" s="43" t="n">
        <v>10</v>
      </c>
      <c r="B55" s="44">
        <f>(1+$C$44)/C55</f>
        <v/>
      </c>
      <c r="C55" s="45">
        <f>0.06745*(MAX(0.4960-Settings!$B$5,0.01)/0.4960)*(MAX(0.5010-Settings!$B$5,0.01)/0.5010)*(MAX(0.4920-Settings!$B$5,0.01)/0.4920)*(MAX(0.5700-Settings!$B$5,0.01)/0.5700)*(MAX(0.5000-Settings!$B$5,0.01)/0.5000)</f>
        <v/>
      </c>
      <c r="D55" s="46" t="inlineStr">
        <is>
          <t>Aaron Rodgers (PIT) Pass Yds More 212.5 [50%]
Deshaun Watson (CLE) Pass Yds More 187.5 [50%]
Harold Fannin Jr. (CLE) Rec Yds More 40.5 [49%]
Denzel Boston (CLE) Receptions More 2.5 [57%]
DK Metcalf (PIT) Rush+Rec Yds More 42.5 [50%]</t>
        </is>
      </c>
      <c r="E55" s="47">
        <f>$C55*E$45-1</f>
        <v/>
      </c>
      <c r="F55" s="47">
        <f>$C55*F$45-1</f>
        <v/>
      </c>
      <c r="G55" s="47">
        <f>$C55*G$45-1</f>
        <v/>
      </c>
      <c r="H55" s="47">
        <f>$C55*H$45-1</f>
        <v/>
      </c>
      <c r="I55" s="47">
        <f>$C55*I$45-1</f>
        <v/>
      </c>
      <c r="J55" s="47">
        <f>$C55*J$45-1</f>
        <v/>
      </c>
      <c r="K55" s="47">
        <f>$C55*K$45-1</f>
        <v/>
      </c>
      <c r="L55" s="47">
        <f>$C55*L$45-1</f>
        <v/>
      </c>
      <c r="M55" s="47">
        <f>$C55*M$45-1</f>
        <v/>
      </c>
      <c r="N55" s="47">
        <f>$C55*N$45-1</f>
        <v/>
      </c>
      <c r="O55" s="47">
        <f>$C55*O$45-1</f>
        <v/>
      </c>
      <c r="P55" s="47">
        <f>$C55*P$45-1</f>
        <v/>
      </c>
      <c r="Q55" s="47">
        <f>$C55*Q$45-1</f>
        <v/>
      </c>
      <c r="R55" s="47">
        <f>$C55*R$45-1</f>
        <v/>
      </c>
      <c r="S55" s="47">
        <f>$C55*S$45-1</f>
        <v/>
      </c>
      <c r="T55" s="47">
        <f>$C55*T$45-1</f>
        <v/>
      </c>
      <c r="U55" s="47">
        <f>$C55*U$45-1</f>
        <v/>
      </c>
      <c r="V55" s="47">
        <f>$C55*V$45-1</f>
        <v/>
      </c>
      <c r="W55" s="47">
        <f>$C55*W$45-1</f>
        <v/>
      </c>
      <c r="X55" s="47">
        <f>$C55*X$45-1</f>
        <v/>
      </c>
      <c r="Y55" s="47">
        <f>$C55*Y$45-1</f>
        <v/>
      </c>
      <c r="Z55" s="47">
        <f>$C55*Z$45-1</f>
        <v/>
      </c>
      <c r="AA55" s="47">
        <f>$C55*AA$45-1</f>
        <v/>
      </c>
      <c r="AB55" s="47">
        <f>$C55*AB$45-1</f>
        <v/>
      </c>
      <c r="AC55" s="47">
        <f>$C55*AC$45-1</f>
        <v/>
      </c>
      <c r="AD55" s="47">
        <f>$C55*AD$45-1</f>
        <v/>
      </c>
      <c r="AE55" s="47">
        <f>$C55*AE$45-1</f>
        <v/>
      </c>
    </row>
    <row r="57">
      <c r="A57" s="2" t="inlineStr">
        <is>
          <t>6 LEGS</t>
        </is>
      </c>
      <c r="B57" s="39" t="inlineStr">
        <is>
          <t>Cushion</t>
        </is>
      </c>
      <c r="C57" s="40">
        <f>6*Settings!$B$6</f>
        <v/>
      </c>
      <c r="D57" s="41" t="inlineStr">
        <is>
          <t>6-leg entries  |  multipliers 20.00x to 45.00x, every 1x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</row>
    <row r="58">
      <c r="A58" s="4" t="inlineStr">
        <is>
          <t>#</t>
        </is>
      </c>
      <c r="B58" s="4" t="inlineStr">
        <is>
          <t>PLAY at</t>
        </is>
      </c>
      <c r="C58" s="4" t="inlineStr">
        <is>
          <t>All hit</t>
        </is>
      </c>
      <c r="D58" s="4" t="inlineStr">
        <is>
          <t>Entry (book lines)</t>
        </is>
      </c>
      <c r="E58" s="42" t="n">
        <v>20</v>
      </c>
      <c r="F58" s="42" t="n">
        <v>21</v>
      </c>
      <c r="G58" s="42" t="n">
        <v>22</v>
      </c>
      <c r="H58" s="42" t="n">
        <v>23</v>
      </c>
      <c r="I58" s="42" t="n">
        <v>24</v>
      </c>
      <c r="J58" s="42" t="n">
        <v>25</v>
      </c>
      <c r="K58" s="42" t="n">
        <v>26</v>
      </c>
      <c r="L58" s="42" t="n">
        <v>27</v>
      </c>
      <c r="M58" s="42" t="n">
        <v>28</v>
      </c>
      <c r="N58" s="42" t="n">
        <v>29</v>
      </c>
      <c r="O58" s="42" t="n">
        <v>30</v>
      </c>
      <c r="P58" s="42" t="n">
        <v>31</v>
      </c>
      <c r="Q58" s="42" t="n">
        <v>32</v>
      </c>
      <c r="R58" s="42" t="n">
        <v>33</v>
      </c>
      <c r="S58" s="42" t="n">
        <v>34</v>
      </c>
      <c r="T58" s="42" t="n">
        <v>35</v>
      </c>
      <c r="U58" s="42" t="n">
        <v>36</v>
      </c>
      <c r="V58" s="42" t="n">
        <v>37</v>
      </c>
      <c r="W58" s="42" t="n">
        <v>38</v>
      </c>
      <c r="X58" s="42" t="n">
        <v>39</v>
      </c>
      <c r="Y58" s="42" t="n">
        <v>40</v>
      </c>
      <c r="Z58" s="42" t="n">
        <v>41</v>
      </c>
      <c r="AA58" s="42" t="n">
        <v>42</v>
      </c>
      <c r="AB58" s="42" t="n">
        <v>43</v>
      </c>
      <c r="AC58" s="42" t="n">
        <v>44</v>
      </c>
      <c r="AD58" s="42" t="n">
        <v>45</v>
      </c>
    </row>
    <row r="59" ht="73" customHeight="1">
      <c r="A59" s="43" t="n">
        <v>1</v>
      </c>
      <c r="B59" s="44">
        <f>(1+$C$57)/C59</f>
        <v/>
      </c>
      <c r="C59" s="45">
        <f>0.04374*(MAX(0.4960-Settings!$B$5,0.01)/0.4960)*(MAX(0.5010-Settings!$B$5,0.01)/0.5010)*(MAX(0.5110-Settings!$B$5,0.01)/0.5110)*(MAX(0.4920-Settings!$B$5,0.01)/0.4920)*(MAX(0.5700-Settings!$B$5,0.01)/0.5700)*(MAX(0.5980-Settings!$B$5,0.01)/0.5980)</f>
        <v/>
      </c>
      <c r="D59" s="46" t="inlineStr">
        <is>
          <t>Aaron Rodgers (PIT) Pass Yds More 212.5 [50%]
Deshaun Watson (CLE) Pass Yds More 187.5 [50%]
DK Metcalf (PIT) Rec Yds More 41.5 [51%]
Harold Fannin Jr. (CLE) Rec Yds More 40.5 [49%]
Denzel Boston (CLE) Receptions More 2.5 [57%]
Raheim Sanders (CLE) Receptions More 1.5 [60%]</t>
        </is>
      </c>
      <c r="E59" s="47">
        <f>$C59*E$58-1</f>
        <v/>
      </c>
      <c r="F59" s="47">
        <f>$C59*F$58-1</f>
        <v/>
      </c>
      <c r="G59" s="47">
        <f>$C59*G$58-1</f>
        <v/>
      </c>
      <c r="H59" s="47">
        <f>$C59*H$58-1</f>
        <v/>
      </c>
      <c r="I59" s="47">
        <f>$C59*I$58-1</f>
        <v/>
      </c>
      <c r="J59" s="47">
        <f>$C59*J$58-1</f>
        <v/>
      </c>
      <c r="K59" s="47">
        <f>$C59*K$58-1</f>
        <v/>
      </c>
      <c r="L59" s="47">
        <f>$C59*L$58-1</f>
        <v/>
      </c>
      <c r="M59" s="47">
        <f>$C59*M$58-1</f>
        <v/>
      </c>
      <c r="N59" s="47">
        <f>$C59*N$58-1</f>
        <v/>
      </c>
      <c r="O59" s="47">
        <f>$C59*O$58-1</f>
        <v/>
      </c>
      <c r="P59" s="47">
        <f>$C59*P$58-1</f>
        <v/>
      </c>
      <c r="Q59" s="47">
        <f>$C59*Q$58-1</f>
        <v/>
      </c>
      <c r="R59" s="47">
        <f>$C59*R$58-1</f>
        <v/>
      </c>
      <c r="S59" s="47">
        <f>$C59*S$58-1</f>
        <v/>
      </c>
      <c r="T59" s="47">
        <f>$C59*T$58-1</f>
        <v/>
      </c>
      <c r="U59" s="47">
        <f>$C59*U$58-1</f>
        <v/>
      </c>
      <c r="V59" s="47">
        <f>$C59*V$58-1</f>
        <v/>
      </c>
      <c r="W59" s="47">
        <f>$C59*W$58-1</f>
        <v/>
      </c>
      <c r="X59" s="47">
        <f>$C59*X$58-1</f>
        <v/>
      </c>
      <c r="Y59" s="47">
        <f>$C59*Y$58-1</f>
        <v/>
      </c>
      <c r="Z59" s="47">
        <f>$C59*Z$58-1</f>
        <v/>
      </c>
      <c r="AA59" s="47">
        <f>$C59*AA$58-1</f>
        <v/>
      </c>
      <c r="AB59" s="47">
        <f>$C59*AB$58-1</f>
        <v/>
      </c>
      <c r="AC59" s="47">
        <f>$C59*AC$58-1</f>
        <v/>
      </c>
      <c r="AD59" s="47">
        <f>$C59*AD$58-1</f>
        <v/>
      </c>
    </row>
    <row r="60" ht="73" customHeight="1">
      <c r="A60" s="43" t="n">
        <v>2</v>
      </c>
      <c r="B60" s="44">
        <f>(1+$C$57)/C60</f>
        <v/>
      </c>
      <c r="C60" s="45">
        <f>0.04296*(MAX(0.4960-Settings!$B$5,0.01)/0.4960)*(MAX(0.5010-Settings!$B$5,0.01)/0.5010)*(MAX(0.5110-Settings!$B$5,0.01)/0.5110)*(MAX(0.5160-Settings!$B$5,0.01)/0.5160)*(MAX(0.5010-Settings!$B$5,0.01)/0.5010)*(MAX(0.5980-Settings!$B$5,0.01)/0.5980)</f>
        <v/>
      </c>
      <c r="D60" s="46" t="inlineStr">
        <is>
          <t>Aaron Rodgers (PIT) Pass Yds More 212.5 [50%]
Deshaun Watson (CLE) Pass Yds More 187.5 [50%]
DK Metcalf (PIT) Rec Yds More 41.5 [51%]
Darnell Washington (PIT) Rec Yds More 16.5 [52%]
Jerry Jeudy (CLE) Rec Yds More 13.5 [50%]
Raheim Sanders (CLE) Receptions More 1.5 [60%]</t>
        </is>
      </c>
      <c r="E60" s="47">
        <f>$C60*E$58-1</f>
        <v/>
      </c>
      <c r="F60" s="47">
        <f>$C60*F$58-1</f>
        <v/>
      </c>
      <c r="G60" s="47">
        <f>$C60*G$58-1</f>
        <v/>
      </c>
      <c r="H60" s="47">
        <f>$C60*H$58-1</f>
        <v/>
      </c>
      <c r="I60" s="47">
        <f>$C60*I$58-1</f>
        <v/>
      </c>
      <c r="J60" s="47">
        <f>$C60*J$58-1</f>
        <v/>
      </c>
      <c r="K60" s="47">
        <f>$C60*K$58-1</f>
        <v/>
      </c>
      <c r="L60" s="47">
        <f>$C60*L$58-1</f>
        <v/>
      </c>
      <c r="M60" s="47">
        <f>$C60*M$58-1</f>
        <v/>
      </c>
      <c r="N60" s="47">
        <f>$C60*N$58-1</f>
        <v/>
      </c>
      <c r="O60" s="47">
        <f>$C60*O$58-1</f>
        <v/>
      </c>
      <c r="P60" s="47">
        <f>$C60*P$58-1</f>
        <v/>
      </c>
      <c r="Q60" s="47">
        <f>$C60*Q$58-1</f>
        <v/>
      </c>
      <c r="R60" s="47">
        <f>$C60*R$58-1</f>
        <v/>
      </c>
      <c r="S60" s="47">
        <f>$C60*S$58-1</f>
        <v/>
      </c>
      <c r="T60" s="47">
        <f>$C60*T$58-1</f>
        <v/>
      </c>
      <c r="U60" s="47">
        <f>$C60*U$58-1</f>
        <v/>
      </c>
      <c r="V60" s="47">
        <f>$C60*V$58-1</f>
        <v/>
      </c>
      <c r="W60" s="47">
        <f>$C60*W$58-1</f>
        <v/>
      </c>
      <c r="X60" s="47">
        <f>$C60*X$58-1</f>
        <v/>
      </c>
      <c r="Y60" s="47">
        <f>$C60*Y$58-1</f>
        <v/>
      </c>
      <c r="Z60" s="47">
        <f>$C60*Z$58-1</f>
        <v/>
      </c>
      <c r="AA60" s="47">
        <f>$C60*AA$58-1</f>
        <v/>
      </c>
      <c r="AB60" s="47">
        <f>$C60*AB$58-1</f>
        <v/>
      </c>
      <c r="AC60" s="47">
        <f>$C60*AC$58-1</f>
        <v/>
      </c>
      <c r="AD60" s="47">
        <f>$C60*AD$58-1</f>
        <v/>
      </c>
    </row>
    <row r="61" ht="73" customHeight="1">
      <c r="A61" s="43" t="n">
        <v>3</v>
      </c>
      <c r="B61" s="44">
        <f>(1+$C$57)/C61</f>
        <v/>
      </c>
      <c r="C61" s="45">
        <f>0.04266*(MAX(0.4960-Settings!$B$5,0.01)/0.4960)*(MAX(0.5010-Settings!$B$5,0.01)/0.5010)*(MAX(0.5700-Settings!$B$5,0.01)/0.5700)*(MAX(0.5010-Settings!$B$5,0.01)/0.5010)*(MAX(0.5000-Settings!$B$5,0.01)/0.5000)*(MAX(0.5980-Settings!$B$5,0.01)/0.5980)</f>
        <v/>
      </c>
      <c r="D61" s="46" t="inlineStr">
        <is>
          <t>Aaron Rodgers (PIT) Pass Yds More 212.5 [50%]
Deshaun Watson (CLE) Pass Yds More 187.5 [50%]
Denzel Boston (CLE) Receptions More 2.5 [57%]
Jerry Jeudy (CLE) Rec Yds More 13.5 [50%]
Michael Pittman Jr. (PIT) Rush+Rec Yds More 32.5 [50%]
Raheim Sanders (CLE) Receptions More 1.5 [60%]</t>
        </is>
      </c>
      <c r="E61" s="47">
        <f>$C61*E$58-1</f>
        <v/>
      </c>
      <c r="F61" s="47">
        <f>$C61*F$58-1</f>
        <v/>
      </c>
      <c r="G61" s="47">
        <f>$C61*G$58-1</f>
        <v/>
      </c>
      <c r="H61" s="47">
        <f>$C61*H$58-1</f>
        <v/>
      </c>
      <c r="I61" s="47">
        <f>$C61*I$58-1</f>
        <v/>
      </c>
      <c r="J61" s="47">
        <f>$C61*J$58-1</f>
        <v/>
      </c>
      <c r="K61" s="47">
        <f>$C61*K$58-1</f>
        <v/>
      </c>
      <c r="L61" s="47">
        <f>$C61*L$58-1</f>
        <v/>
      </c>
      <c r="M61" s="47">
        <f>$C61*M$58-1</f>
        <v/>
      </c>
      <c r="N61" s="47">
        <f>$C61*N$58-1</f>
        <v/>
      </c>
      <c r="O61" s="47">
        <f>$C61*O$58-1</f>
        <v/>
      </c>
      <c r="P61" s="47">
        <f>$C61*P$58-1</f>
        <v/>
      </c>
      <c r="Q61" s="47">
        <f>$C61*Q$58-1</f>
        <v/>
      </c>
      <c r="R61" s="47">
        <f>$C61*R$58-1</f>
        <v/>
      </c>
      <c r="S61" s="47">
        <f>$C61*S$58-1</f>
        <v/>
      </c>
      <c r="T61" s="47">
        <f>$C61*T$58-1</f>
        <v/>
      </c>
      <c r="U61" s="47">
        <f>$C61*U$58-1</f>
        <v/>
      </c>
      <c r="V61" s="47">
        <f>$C61*V$58-1</f>
        <v/>
      </c>
      <c r="W61" s="47">
        <f>$C61*W$58-1</f>
        <v/>
      </c>
      <c r="X61" s="47">
        <f>$C61*X$58-1</f>
        <v/>
      </c>
      <c r="Y61" s="47">
        <f>$C61*Y$58-1</f>
        <v/>
      </c>
      <c r="Z61" s="47">
        <f>$C61*Z$58-1</f>
        <v/>
      </c>
      <c r="AA61" s="47">
        <f>$C61*AA$58-1</f>
        <v/>
      </c>
      <c r="AB61" s="47">
        <f>$C61*AB$58-1</f>
        <v/>
      </c>
      <c r="AC61" s="47">
        <f>$C61*AC$58-1</f>
        <v/>
      </c>
      <c r="AD61" s="47">
        <f>$C61*AD$58-1</f>
        <v/>
      </c>
    </row>
    <row r="62" ht="73" customHeight="1">
      <c r="A62" s="43" t="n">
        <v>4</v>
      </c>
      <c r="B62" s="44">
        <f>(1+$C$57)/C62</f>
        <v/>
      </c>
      <c r="C62" s="45">
        <f>0.04194*(MAX(0.5700-Settings!$B$5,0.01)/0.5700)*(MAX(0.5980-Settings!$B$5,0.01)/0.5980)*(MAX(0.5040-Settings!$B$5,0.01)/0.5040)*(MAX(0.5460-Settings!$B$5,0.01)/0.5460)*(MAX(0.5000-Settings!$B$5,0.01)/0.5000)*(MAX(0.5160-Settings!$B$5,0.01)/0.5160)</f>
        <v/>
      </c>
      <c r="D62" s="46" t="inlineStr">
        <is>
          <t>Denzel Boston (CLE) Receptions More 2.5 [57%]
Raheim Sanders (CLE) Receptions More 1.5 [60%]
Aaron Rodgers (PIT) Pass Yds Less 212.5 [50%]
Jaylen Warren (PIT) Receptions Less 3.5 [55%]
DK Metcalf (PIT) Rush+Rec Yds Less 42.5 [50%]
Germie Bernard (PIT) Rec Yds Less 6.5 [52%]</t>
        </is>
      </c>
      <c r="E62" s="47">
        <f>$C62*E$58-1</f>
        <v/>
      </c>
      <c r="F62" s="47">
        <f>$C62*F$58-1</f>
        <v/>
      </c>
      <c r="G62" s="47">
        <f>$C62*G$58-1</f>
        <v/>
      </c>
      <c r="H62" s="47">
        <f>$C62*H$58-1</f>
        <v/>
      </c>
      <c r="I62" s="47">
        <f>$C62*I$58-1</f>
        <v/>
      </c>
      <c r="J62" s="47">
        <f>$C62*J$58-1</f>
        <v/>
      </c>
      <c r="K62" s="47">
        <f>$C62*K$58-1</f>
        <v/>
      </c>
      <c r="L62" s="47">
        <f>$C62*L$58-1</f>
        <v/>
      </c>
      <c r="M62" s="47">
        <f>$C62*M$58-1</f>
        <v/>
      </c>
      <c r="N62" s="47">
        <f>$C62*N$58-1</f>
        <v/>
      </c>
      <c r="O62" s="47">
        <f>$C62*O$58-1</f>
        <v/>
      </c>
      <c r="P62" s="47">
        <f>$C62*P$58-1</f>
        <v/>
      </c>
      <c r="Q62" s="47">
        <f>$C62*Q$58-1</f>
        <v/>
      </c>
      <c r="R62" s="47">
        <f>$C62*R$58-1</f>
        <v/>
      </c>
      <c r="S62" s="47">
        <f>$C62*S$58-1</f>
        <v/>
      </c>
      <c r="T62" s="47">
        <f>$C62*T$58-1</f>
        <v/>
      </c>
      <c r="U62" s="47">
        <f>$C62*U$58-1</f>
        <v/>
      </c>
      <c r="V62" s="47">
        <f>$C62*V$58-1</f>
        <v/>
      </c>
      <c r="W62" s="47">
        <f>$C62*W$58-1</f>
        <v/>
      </c>
      <c r="X62" s="47">
        <f>$C62*X$58-1</f>
        <v/>
      </c>
      <c r="Y62" s="47">
        <f>$C62*Y$58-1</f>
        <v/>
      </c>
      <c r="Z62" s="47">
        <f>$C62*Z$58-1</f>
        <v/>
      </c>
      <c r="AA62" s="47">
        <f>$C62*AA$58-1</f>
        <v/>
      </c>
      <c r="AB62" s="47">
        <f>$C62*AB$58-1</f>
        <v/>
      </c>
      <c r="AC62" s="47">
        <f>$C62*AC$58-1</f>
        <v/>
      </c>
      <c r="AD62" s="47">
        <f>$C62*AD$58-1</f>
        <v/>
      </c>
    </row>
    <row r="63" ht="73" customHeight="1">
      <c r="A63" s="43" t="n">
        <v>5</v>
      </c>
      <c r="B63" s="44">
        <f>(1+$C$57)/C63</f>
        <v/>
      </c>
      <c r="C63" s="45">
        <f>0.04152*(MAX(0.4960-Settings!$B$5,0.01)/0.4960)*(MAX(0.5010-Settings!$B$5,0.01)/0.5010)*(MAX(0.5160-Settings!$B$5,0.01)/0.5160)*(MAX(0.5000-Settings!$B$5,0.01)/0.5000)*(MAX(0.4960-Settings!$B$5,0.01)/0.4960)*(MAX(0.5980-Settings!$B$5,0.01)/0.5980)</f>
        <v/>
      </c>
      <c r="D63" s="46" t="inlineStr">
        <is>
          <t>Aaron Rodgers (PIT) Pass Yds More 212.5 [50%]
Deshaun Watson (CLE) Pass Yds More 187.5 [50%]
Darnell Washington (PIT) Rec Yds More 16.5 [52%]
DK Metcalf (PIT) Rush+Rec Yds More 42.5 [50%]
Jerry Jeudy (CLE) Rush+Rec Yds More 15.5 [50%]
Raheim Sanders (CLE) Receptions More 1.5 [60%]</t>
        </is>
      </c>
      <c r="E63" s="47">
        <f>$C63*E$58-1</f>
        <v/>
      </c>
      <c r="F63" s="47">
        <f>$C63*F$58-1</f>
        <v/>
      </c>
      <c r="G63" s="47">
        <f>$C63*G$58-1</f>
        <v/>
      </c>
      <c r="H63" s="47">
        <f>$C63*H$58-1</f>
        <v/>
      </c>
      <c r="I63" s="47">
        <f>$C63*I$58-1</f>
        <v/>
      </c>
      <c r="J63" s="47">
        <f>$C63*J$58-1</f>
        <v/>
      </c>
      <c r="K63" s="47">
        <f>$C63*K$58-1</f>
        <v/>
      </c>
      <c r="L63" s="47">
        <f>$C63*L$58-1</f>
        <v/>
      </c>
      <c r="M63" s="47">
        <f>$C63*M$58-1</f>
        <v/>
      </c>
      <c r="N63" s="47">
        <f>$C63*N$58-1</f>
        <v/>
      </c>
      <c r="O63" s="47">
        <f>$C63*O$58-1</f>
        <v/>
      </c>
      <c r="P63" s="47">
        <f>$C63*P$58-1</f>
        <v/>
      </c>
      <c r="Q63" s="47">
        <f>$C63*Q$58-1</f>
        <v/>
      </c>
      <c r="R63" s="47">
        <f>$C63*R$58-1</f>
        <v/>
      </c>
      <c r="S63" s="47">
        <f>$C63*S$58-1</f>
        <v/>
      </c>
      <c r="T63" s="47">
        <f>$C63*T$58-1</f>
        <v/>
      </c>
      <c r="U63" s="47">
        <f>$C63*U$58-1</f>
        <v/>
      </c>
      <c r="V63" s="47">
        <f>$C63*V$58-1</f>
        <v/>
      </c>
      <c r="W63" s="47">
        <f>$C63*W$58-1</f>
        <v/>
      </c>
      <c r="X63" s="47">
        <f>$C63*X$58-1</f>
        <v/>
      </c>
      <c r="Y63" s="47">
        <f>$C63*Y$58-1</f>
        <v/>
      </c>
      <c r="Z63" s="47">
        <f>$C63*Z$58-1</f>
        <v/>
      </c>
      <c r="AA63" s="47">
        <f>$C63*AA$58-1</f>
        <v/>
      </c>
      <c r="AB63" s="47">
        <f>$C63*AB$58-1</f>
        <v/>
      </c>
      <c r="AC63" s="47">
        <f>$C63*AC$58-1</f>
        <v/>
      </c>
      <c r="AD63" s="47">
        <f>$C63*AD$58-1</f>
        <v/>
      </c>
    </row>
    <row r="64" ht="73" customHeight="1">
      <c r="A64" s="43" t="n">
        <v>6</v>
      </c>
      <c r="B64" s="44">
        <f>(1+$C$57)/C64</f>
        <v/>
      </c>
      <c r="C64" s="45">
        <f>0.04140*(MAX(0.5700-Settings!$B$5,0.01)/0.5700)*(MAX(0.5040-Settings!$B$5,0.01)/0.5040)*(MAX(0.5490-Settings!$B$5,0.01)/0.5490)*(MAX(0.4890-Settings!$B$5,0.01)/0.4890)*(MAX(0.5460-Settings!$B$5,0.01)/0.5460)*(MAX(0.5160-Settings!$B$5,0.01)/0.5160)</f>
        <v/>
      </c>
      <c r="D64" s="46" t="inlineStr">
        <is>
          <t>Denzel Boston (CLE) Receptions More 2.5 [57%]
Aaron Rodgers (PIT) Pass Yds Less 212.5 [50%]
Pat Freiermuth (PIT) Receptions Less 3.5 [55%]
DK Metcalf (PIT) Rec Yds Less 41.5 [49%]
Jaylen Warren (PIT) Receptions Less 3.5 [55%]
Germie Bernard (PIT) Rec Yds Less 6.5 [52%]</t>
        </is>
      </c>
      <c r="E64" s="47">
        <f>$C64*E$58-1</f>
        <v/>
      </c>
      <c r="F64" s="47">
        <f>$C64*F$58-1</f>
        <v/>
      </c>
      <c r="G64" s="47">
        <f>$C64*G$58-1</f>
        <v/>
      </c>
      <c r="H64" s="47">
        <f>$C64*H$58-1</f>
        <v/>
      </c>
      <c r="I64" s="47">
        <f>$C64*I$58-1</f>
        <v/>
      </c>
      <c r="J64" s="47">
        <f>$C64*J$58-1</f>
        <v/>
      </c>
      <c r="K64" s="47">
        <f>$C64*K$58-1</f>
        <v/>
      </c>
      <c r="L64" s="47">
        <f>$C64*L$58-1</f>
        <v/>
      </c>
      <c r="M64" s="47">
        <f>$C64*M$58-1</f>
        <v/>
      </c>
      <c r="N64" s="47">
        <f>$C64*N$58-1</f>
        <v/>
      </c>
      <c r="O64" s="47">
        <f>$C64*O$58-1</f>
        <v/>
      </c>
      <c r="P64" s="47">
        <f>$C64*P$58-1</f>
        <v/>
      </c>
      <c r="Q64" s="47">
        <f>$C64*Q$58-1</f>
        <v/>
      </c>
      <c r="R64" s="47">
        <f>$C64*R$58-1</f>
        <v/>
      </c>
      <c r="S64" s="47">
        <f>$C64*S$58-1</f>
        <v/>
      </c>
      <c r="T64" s="47">
        <f>$C64*T$58-1</f>
        <v/>
      </c>
      <c r="U64" s="47">
        <f>$C64*U$58-1</f>
        <v/>
      </c>
      <c r="V64" s="47">
        <f>$C64*V$58-1</f>
        <v/>
      </c>
      <c r="W64" s="47">
        <f>$C64*W$58-1</f>
        <v/>
      </c>
      <c r="X64" s="47">
        <f>$C64*X$58-1</f>
        <v/>
      </c>
      <c r="Y64" s="47">
        <f>$C64*Y$58-1</f>
        <v/>
      </c>
      <c r="Z64" s="47">
        <f>$C64*Z$58-1</f>
        <v/>
      </c>
      <c r="AA64" s="47">
        <f>$C64*AA$58-1</f>
        <v/>
      </c>
      <c r="AB64" s="47">
        <f>$C64*AB$58-1</f>
        <v/>
      </c>
      <c r="AC64" s="47">
        <f>$C64*AC$58-1</f>
        <v/>
      </c>
      <c r="AD64" s="47">
        <f>$C64*AD$58-1</f>
        <v/>
      </c>
    </row>
    <row r="65" ht="73" customHeight="1">
      <c r="A65" s="43" t="n">
        <v>7</v>
      </c>
      <c r="B65" s="44">
        <f>(1+$C$57)/C65</f>
        <v/>
      </c>
      <c r="C65" s="45">
        <f>0.04122*(MAX(0.4960-Settings!$B$5,0.01)/0.4960)*(MAX(0.5010-Settings!$B$5,0.01)/0.5010)*(MAX(0.4960-Settings!$B$5,0.01)/0.4960)*(MAX(0.5700-Settings!$B$5,0.01)/0.5700)*(MAX(0.4960-Settings!$B$5,0.01)/0.4960)*(MAX(0.5980-Settings!$B$5,0.01)/0.5980)</f>
        <v/>
      </c>
      <c r="D65" s="46" t="inlineStr">
        <is>
          <t>Aaron Rodgers (PIT) Pass Yds More 212.5 [50%]
Deshaun Watson (CLE) Pass Yds More 187.5 [50%]
Michael Pittman Jr. (PIT) Rec Yds More 34.5 [50%]
Denzel Boston (CLE) Receptions More 2.5 [57%]
Jerry Jeudy (CLE) Rush+Rec Yds More 15.5 [50%]
Raheim Sanders (CLE) Receptions More 1.5 [60%]</t>
        </is>
      </c>
      <c r="E65" s="47">
        <f>$C65*E$58-1</f>
        <v/>
      </c>
      <c r="F65" s="47">
        <f>$C65*F$58-1</f>
        <v/>
      </c>
      <c r="G65" s="47">
        <f>$C65*G$58-1</f>
        <v/>
      </c>
      <c r="H65" s="47">
        <f>$C65*H$58-1</f>
        <v/>
      </c>
      <c r="I65" s="47">
        <f>$C65*I$58-1</f>
        <v/>
      </c>
      <c r="J65" s="47">
        <f>$C65*J$58-1</f>
        <v/>
      </c>
      <c r="K65" s="47">
        <f>$C65*K$58-1</f>
        <v/>
      </c>
      <c r="L65" s="47">
        <f>$C65*L$58-1</f>
        <v/>
      </c>
      <c r="M65" s="47">
        <f>$C65*M$58-1</f>
        <v/>
      </c>
      <c r="N65" s="47">
        <f>$C65*N$58-1</f>
        <v/>
      </c>
      <c r="O65" s="47">
        <f>$C65*O$58-1</f>
        <v/>
      </c>
      <c r="P65" s="47">
        <f>$C65*P$58-1</f>
        <v/>
      </c>
      <c r="Q65" s="47">
        <f>$C65*Q$58-1</f>
        <v/>
      </c>
      <c r="R65" s="47">
        <f>$C65*R$58-1</f>
        <v/>
      </c>
      <c r="S65" s="47">
        <f>$C65*S$58-1</f>
        <v/>
      </c>
      <c r="T65" s="47">
        <f>$C65*T$58-1</f>
        <v/>
      </c>
      <c r="U65" s="47">
        <f>$C65*U$58-1</f>
        <v/>
      </c>
      <c r="V65" s="47">
        <f>$C65*V$58-1</f>
        <v/>
      </c>
      <c r="W65" s="47">
        <f>$C65*W$58-1</f>
        <v/>
      </c>
      <c r="X65" s="47">
        <f>$C65*X$58-1</f>
        <v/>
      </c>
      <c r="Y65" s="47">
        <f>$C65*Y$58-1</f>
        <v/>
      </c>
      <c r="Z65" s="47">
        <f>$C65*Z$58-1</f>
        <v/>
      </c>
      <c r="AA65" s="47">
        <f>$C65*AA$58-1</f>
        <v/>
      </c>
      <c r="AB65" s="47">
        <f>$C65*AB$58-1</f>
        <v/>
      </c>
      <c r="AC65" s="47">
        <f>$C65*AC$58-1</f>
        <v/>
      </c>
      <c r="AD65" s="47">
        <f>$C65*AD$58-1</f>
        <v/>
      </c>
    </row>
    <row r="66" ht="73" customHeight="1">
      <c r="A66" s="43" t="n">
        <v>8</v>
      </c>
      <c r="B66" s="44">
        <f>(1+$C$57)/C66</f>
        <v/>
      </c>
      <c r="C66" s="45">
        <f>0.04104*(MAX(0.5010-Settings!$B$5,0.01)/0.5010)*(MAX(0.4920-Settings!$B$5,0.01)/0.4920)*(MAX(0.5700-Settings!$B$5,0.01)/0.5700)*(MAX(0.5010-Settings!$B$5,0.01)/0.5010)*(MAX(0.5980-Settings!$B$5,0.01)/0.5980)*(MAX(0.5230-Settings!$B$5,0.01)/0.5230)</f>
        <v/>
      </c>
      <c r="D66" s="46" t="inlineStr">
        <is>
          <t>Deshaun Watson (CLE) Pass Yds More 187.5 [50%]
Harold Fannin Jr. (CLE) Rec Yds More 40.5 [49%]
Denzel Boston (CLE) Receptions More 2.5 [57%]
Jerry Jeudy (CLE) Rec Yds More 13.5 [50%]
Raheim Sanders (CLE) Receptions More 1.5 [60%]
Aaron Rodgers (PIT) Rush Yds Less 1.5 [52%]</t>
        </is>
      </c>
      <c r="E66" s="47">
        <f>$C66*E$58-1</f>
        <v/>
      </c>
      <c r="F66" s="47">
        <f>$C66*F$58-1</f>
        <v/>
      </c>
      <c r="G66" s="47">
        <f>$C66*G$58-1</f>
        <v/>
      </c>
      <c r="H66" s="47">
        <f>$C66*H$58-1</f>
        <v/>
      </c>
      <c r="I66" s="47">
        <f>$C66*I$58-1</f>
        <v/>
      </c>
      <c r="J66" s="47">
        <f>$C66*J$58-1</f>
        <v/>
      </c>
      <c r="K66" s="47">
        <f>$C66*K$58-1</f>
        <v/>
      </c>
      <c r="L66" s="47">
        <f>$C66*L$58-1</f>
        <v/>
      </c>
      <c r="M66" s="47">
        <f>$C66*M$58-1</f>
        <v/>
      </c>
      <c r="N66" s="47">
        <f>$C66*N$58-1</f>
        <v/>
      </c>
      <c r="O66" s="47">
        <f>$C66*O$58-1</f>
        <v/>
      </c>
      <c r="P66" s="47">
        <f>$C66*P$58-1</f>
        <v/>
      </c>
      <c r="Q66" s="47">
        <f>$C66*Q$58-1</f>
        <v/>
      </c>
      <c r="R66" s="47">
        <f>$C66*R$58-1</f>
        <v/>
      </c>
      <c r="S66" s="47">
        <f>$C66*S$58-1</f>
        <v/>
      </c>
      <c r="T66" s="47">
        <f>$C66*T$58-1</f>
        <v/>
      </c>
      <c r="U66" s="47">
        <f>$C66*U$58-1</f>
        <v/>
      </c>
      <c r="V66" s="47">
        <f>$C66*V$58-1</f>
        <v/>
      </c>
      <c r="W66" s="47">
        <f>$C66*W$58-1</f>
        <v/>
      </c>
      <c r="X66" s="47">
        <f>$C66*X$58-1</f>
        <v/>
      </c>
      <c r="Y66" s="47">
        <f>$C66*Y$58-1</f>
        <v/>
      </c>
      <c r="Z66" s="47">
        <f>$C66*Z$58-1</f>
        <v/>
      </c>
      <c r="AA66" s="47">
        <f>$C66*AA$58-1</f>
        <v/>
      </c>
      <c r="AB66" s="47">
        <f>$C66*AB$58-1</f>
        <v/>
      </c>
      <c r="AC66" s="47">
        <f>$C66*AC$58-1</f>
        <v/>
      </c>
      <c r="AD66" s="47">
        <f>$C66*AD$58-1</f>
        <v/>
      </c>
    </row>
    <row r="67" ht="73" customHeight="1">
      <c r="A67" s="43" t="n">
        <v>9</v>
      </c>
      <c r="B67" s="44">
        <f>(1+$C$57)/C67</f>
        <v/>
      </c>
      <c r="C67" s="45">
        <f>0.04097*(MAX(0.4960-Settings!$B$5,0.01)/0.4960)*(MAX(0.5010-Settings!$B$5,0.01)/0.5010)*(MAX(0.5110-Settings!$B$5,0.01)/0.5110)*(MAX(0.4910-Settings!$B$5,0.01)/0.4910)*(MAX(0.4840-Settings!$B$5,0.01)/0.4840)*(MAX(0.5980-Settings!$B$5,0.01)/0.5980)</f>
        <v/>
      </c>
      <c r="D67" s="46" t="inlineStr">
        <is>
          <t>Aaron Rodgers (PIT) Pass Yds More 212.5 [50%]
Deshaun Watson (CLE) Pass Yds More 187.5 [50%]
DK Metcalf (PIT) Rec Yds More 41.5 [51%]
Denzel Boston (CLE) Rec Yds More 37.5 [49%]
Germie Bernard (PIT) Rec Yds More 6.5 [48%]
Raheim Sanders (CLE) Receptions More 1.5 [60%]</t>
        </is>
      </c>
      <c r="E67" s="47">
        <f>$C67*E$58-1</f>
        <v/>
      </c>
      <c r="F67" s="47">
        <f>$C67*F$58-1</f>
        <v/>
      </c>
      <c r="G67" s="47">
        <f>$C67*G$58-1</f>
        <v/>
      </c>
      <c r="H67" s="47">
        <f>$C67*H$58-1</f>
        <v/>
      </c>
      <c r="I67" s="47">
        <f>$C67*I$58-1</f>
        <v/>
      </c>
      <c r="J67" s="47">
        <f>$C67*J$58-1</f>
        <v/>
      </c>
      <c r="K67" s="47">
        <f>$C67*K$58-1</f>
        <v/>
      </c>
      <c r="L67" s="47">
        <f>$C67*L$58-1</f>
        <v/>
      </c>
      <c r="M67" s="47">
        <f>$C67*M$58-1</f>
        <v/>
      </c>
      <c r="N67" s="47">
        <f>$C67*N$58-1</f>
        <v/>
      </c>
      <c r="O67" s="47">
        <f>$C67*O$58-1</f>
        <v/>
      </c>
      <c r="P67" s="47">
        <f>$C67*P$58-1</f>
        <v/>
      </c>
      <c r="Q67" s="47">
        <f>$C67*Q$58-1</f>
        <v/>
      </c>
      <c r="R67" s="47">
        <f>$C67*R$58-1</f>
        <v/>
      </c>
      <c r="S67" s="47">
        <f>$C67*S$58-1</f>
        <v/>
      </c>
      <c r="T67" s="47">
        <f>$C67*T$58-1</f>
        <v/>
      </c>
      <c r="U67" s="47">
        <f>$C67*U$58-1</f>
        <v/>
      </c>
      <c r="V67" s="47">
        <f>$C67*V$58-1</f>
        <v/>
      </c>
      <c r="W67" s="47">
        <f>$C67*W$58-1</f>
        <v/>
      </c>
      <c r="X67" s="47">
        <f>$C67*X$58-1</f>
        <v/>
      </c>
      <c r="Y67" s="47">
        <f>$C67*Y$58-1</f>
        <v/>
      </c>
      <c r="Z67" s="47">
        <f>$C67*Z$58-1</f>
        <v/>
      </c>
      <c r="AA67" s="47">
        <f>$C67*AA$58-1</f>
        <v/>
      </c>
      <c r="AB67" s="47">
        <f>$C67*AB$58-1</f>
        <v/>
      </c>
      <c r="AC67" s="47">
        <f>$C67*AC$58-1</f>
        <v/>
      </c>
      <c r="AD67" s="47">
        <f>$C67*AD$58-1</f>
        <v/>
      </c>
    </row>
    <row r="68" ht="73" customHeight="1">
      <c r="A68" s="43" t="n">
        <v>10</v>
      </c>
      <c r="B68" s="44">
        <f>(1+$C$57)/C68</f>
        <v/>
      </c>
      <c r="C68" s="45">
        <f>0.04068*(MAX(0.5010-Settings!$B$5,0.01)/0.5010)*(MAX(0.4920-Settings!$B$5,0.01)/0.4920)*(MAX(0.5700-Settings!$B$5,0.01)/0.5700)*(MAX(0.5980-Settings!$B$5,0.01)/0.5980)*(MAX(0.5040-Settings!$B$5,0.01)/0.5040)*(MAX(0.4890-Settings!$B$5,0.01)/0.4890)</f>
        <v/>
      </c>
      <c r="D68" s="46" t="inlineStr">
        <is>
          <t>Deshaun Watson (CLE) Pass Yds More 187.5 [50%]
Harold Fannin Jr. (CLE) Rec Yds More 40.5 [49%]
Denzel Boston (CLE) Receptions More 2.5 [57%]
Raheim Sanders (CLE) Receptions More 1.5 [60%]
Aaron Rodgers (PIT) Pass Yds Less 212.5 [50%]
DK Metcalf (PIT) Rec Yds Less 41.5 [49%]</t>
        </is>
      </c>
      <c r="E68" s="47">
        <f>$C68*E$58-1</f>
        <v/>
      </c>
      <c r="F68" s="47">
        <f>$C68*F$58-1</f>
        <v/>
      </c>
      <c r="G68" s="47">
        <f>$C68*G$58-1</f>
        <v/>
      </c>
      <c r="H68" s="47">
        <f>$C68*H$58-1</f>
        <v/>
      </c>
      <c r="I68" s="47">
        <f>$C68*I$58-1</f>
        <v/>
      </c>
      <c r="J68" s="47">
        <f>$C68*J$58-1</f>
        <v/>
      </c>
      <c r="K68" s="47">
        <f>$C68*K$58-1</f>
        <v/>
      </c>
      <c r="L68" s="47">
        <f>$C68*L$58-1</f>
        <v/>
      </c>
      <c r="M68" s="47">
        <f>$C68*M$58-1</f>
        <v/>
      </c>
      <c r="N68" s="47">
        <f>$C68*N$58-1</f>
        <v/>
      </c>
      <c r="O68" s="47">
        <f>$C68*O$58-1</f>
        <v/>
      </c>
      <c r="P68" s="47">
        <f>$C68*P$58-1</f>
        <v/>
      </c>
      <c r="Q68" s="47">
        <f>$C68*Q$58-1</f>
        <v/>
      </c>
      <c r="R68" s="47">
        <f>$C68*R$58-1</f>
        <v/>
      </c>
      <c r="S68" s="47">
        <f>$C68*S$58-1</f>
        <v/>
      </c>
      <c r="T68" s="47">
        <f>$C68*T$58-1</f>
        <v/>
      </c>
      <c r="U68" s="47">
        <f>$C68*U$58-1</f>
        <v/>
      </c>
      <c r="V68" s="47">
        <f>$C68*V$58-1</f>
        <v/>
      </c>
      <c r="W68" s="47">
        <f>$C68*W$58-1</f>
        <v/>
      </c>
      <c r="X68" s="47">
        <f>$C68*X$58-1</f>
        <v/>
      </c>
      <c r="Y68" s="47">
        <f>$C68*Y$58-1</f>
        <v/>
      </c>
      <c r="Z68" s="47">
        <f>$C68*Z$58-1</f>
        <v/>
      </c>
      <c r="AA68" s="47">
        <f>$C68*AA$58-1</f>
        <v/>
      </c>
      <c r="AB68" s="47">
        <f>$C68*AB$58-1</f>
        <v/>
      </c>
      <c r="AC68" s="47">
        <f>$C68*AC$58-1</f>
        <v/>
      </c>
      <c r="AD68" s="47">
        <f>$C68*AD$58-1</f>
        <v/>
      </c>
    </row>
  </sheetData>
  <conditionalFormatting sqref="E7:M16">
    <cfRule type="expression" priority="1" dxfId="3">
      <formula>E7&gt;=$C$5</formula>
    </cfRule>
    <cfRule type="expression" priority="2" dxfId="2">
      <formula>AND(E7&gt;0,E7&lt;$C$5)</formula>
    </cfRule>
    <cfRule type="expression" priority="3" dxfId="4">
      <formula>E7&lt;=0</formula>
    </cfRule>
  </conditionalFormatting>
  <conditionalFormatting sqref="E20:S29">
    <cfRule type="expression" priority="4" dxfId="3">
      <formula>E20&gt;=$C$18</formula>
    </cfRule>
    <cfRule type="expression" priority="5" dxfId="2">
      <formula>AND(E20&gt;0,E20&lt;$C$18)</formula>
    </cfRule>
    <cfRule type="expression" priority="6" dxfId="4">
      <formula>E20&lt;=0</formula>
    </cfRule>
  </conditionalFormatting>
  <conditionalFormatting sqref="E33:AC42">
    <cfRule type="expression" priority="7" dxfId="3">
      <formula>E33&gt;=$C$31</formula>
    </cfRule>
    <cfRule type="expression" priority="8" dxfId="2">
      <formula>AND(E33&gt;0,E33&lt;$C$31)</formula>
    </cfRule>
    <cfRule type="expression" priority="9" dxfId="4">
      <formula>E33&lt;=0</formula>
    </cfRule>
  </conditionalFormatting>
  <conditionalFormatting sqref="E46:AE55">
    <cfRule type="expression" priority="10" dxfId="3">
      <formula>E46&gt;=$C$44</formula>
    </cfRule>
    <cfRule type="expression" priority="11" dxfId="2">
      <formula>AND(E46&gt;0,E46&lt;$C$44)</formula>
    </cfRule>
    <cfRule type="expression" priority="12" dxfId="4">
      <formula>E46&lt;=0</formula>
    </cfRule>
  </conditionalFormatting>
  <conditionalFormatting sqref="E59:AD68">
    <cfRule type="expression" priority="13" dxfId="3">
      <formula>E59&gt;=$C$57</formula>
    </cfRule>
    <cfRule type="expression" priority="14" dxfId="2">
      <formula>AND(E59&gt;0,E59&lt;$C$57)</formula>
    </cfRule>
    <cfRule type="expression" priority="15" dxfId="4">
      <formula>E59&lt;=0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L3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8" customWidth="1" min="4" max="4"/>
    <col width="9" customWidth="1" min="5" max="5"/>
    <col width="1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</cols>
  <sheetData>
    <row r="1">
      <c r="A1" s="38" t="inlineStr">
        <is>
          <t>Top Entries</t>
        </is>
      </c>
    </row>
    <row r="2">
      <c r="A2" s="11" t="inlineStr">
        <is>
          <t>Best combinations at the book lines, at STANDARD payouts. Before playing, rebuild the one you like in the Entry Builder with the app multiplier and PrizePicks lines.</t>
        </is>
      </c>
    </row>
    <row r="4">
      <c r="A4" s="4" t="inlineStr">
        <is>
          <t>Legs</t>
        </is>
      </c>
      <c r="B4" s="4" t="inlineStr">
        <is>
          <t>All hit</t>
        </is>
      </c>
      <c r="C4" s="4" t="inlineStr">
        <is>
          <t>Standard payout</t>
        </is>
      </c>
      <c r="D4" s="4" t="inlineStr">
        <is>
          <t>EV</t>
        </is>
      </c>
      <c r="E4" s="4" t="inlineStr">
        <is>
          <t>Cushion</t>
        </is>
      </c>
      <c r="F4" s="4" t="inlineStr">
        <is>
          <t>Clears it?</t>
        </is>
      </c>
      <c r="G4" s="4" t="inlineStr">
        <is>
          <t>Leg 1</t>
        </is>
      </c>
      <c r="H4" s="4" t="inlineStr">
        <is>
          <t>Leg 2</t>
        </is>
      </c>
      <c r="I4" s="4" t="inlineStr">
        <is>
          <t>Leg 3</t>
        </is>
      </c>
      <c r="J4" s="4" t="inlineStr">
        <is>
          <t>Leg 4</t>
        </is>
      </c>
      <c r="K4" s="4" t="inlineStr">
        <is>
          <t>Leg 5</t>
        </is>
      </c>
      <c r="L4" s="4" t="inlineStr">
        <is>
          <t>Leg 6</t>
        </is>
      </c>
    </row>
    <row r="5">
      <c r="A5" s="5" t="n">
        <v>2</v>
      </c>
      <c r="B5" s="48" t="n">
        <v>0.3273999989032745</v>
      </c>
      <c r="C5" s="49">
        <f>INDEX(Settings!$B$11:$B$15,MATCH(A5,Settings!$A$11:$A$15,0))</f>
        <v/>
      </c>
      <c r="D5" s="50">
        <f>B5*C5-1</f>
        <v/>
      </c>
      <c r="E5" s="51">
        <f>A5*Settings!$B$6</f>
        <v/>
      </c>
      <c r="F5" s="6">
        <f>IF(D5&gt;=E5,"Yes","No")</f>
        <v/>
      </c>
      <c r="G5" s="52" t="inlineStr">
        <is>
          <t>Raheim Sanders (CLE) - Receptions More 1.5  [60%]</t>
        </is>
      </c>
      <c r="H5" s="52" t="inlineStr">
        <is>
          <t>Pat Freiermuth (PIT) - Receptions Less 3.5  [55%]</t>
        </is>
      </c>
    </row>
    <row r="6">
      <c r="A6" s="5" t="n">
        <v>2</v>
      </c>
      <c r="B6" s="48" t="n">
        <v>0.3253999948501587</v>
      </c>
      <c r="C6" s="49">
        <f>INDEX(Settings!$B$11:$B$15,MATCH(A6,Settings!$A$11:$A$15,0))</f>
        <v/>
      </c>
      <c r="D6" s="50">
        <f>B6*C6-1</f>
        <v/>
      </c>
      <c r="E6" s="51">
        <f>A6*Settings!$B$6</f>
        <v/>
      </c>
      <c r="F6" s="6">
        <f>IF(D6&gt;=E6,"Yes","No")</f>
        <v/>
      </c>
      <c r="G6" s="52" t="inlineStr">
        <is>
          <t>Raheim Sanders (CLE) - Receptions More 1.5  [60%]</t>
        </is>
      </c>
      <c r="H6" s="52" t="inlineStr">
        <is>
          <t>Jaylen Warren (PIT) - Receptions Less 3.5  [55%]</t>
        </is>
      </c>
    </row>
    <row r="7">
      <c r="A7" s="5" t="n">
        <v>2</v>
      </c>
      <c r="B7" s="48" t="n">
        <v>0.324400007724762</v>
      </c>
      <c r="C7" s="49">
        <f>INDEX(Settings!$B$11:$B$15,MATCH(A7,Settings!$A$11:$A$15,0))</f>
        <v/>
      </c>
      <c r="D7" s="50">
        <f>B7*C7-1</f>
        <v/>
      </c>
      <c r="E7" s="51">
        <f>A7*Settings!$B$6</f>
        <v/>
      </c>
      <c r="F7" s="6">
        <f>IF(D7&gt;=E7,"Yes","No")</f>
        <v/>
      </c>
      <c r="G7" s="52" t="inlineStr">
        <is>
          <t>DK Metcalf (PIT) - Receptions More 3.5  [53%]</t>
        </is>
      </c>
      <c r="H7" s="52" t="inlineStr">
        <is>
          <t>Raheim Sanders (CLE) - Receptions More 1.5  [60%]</t>
        </is>
      </c>
    </row>
    <row r="8">
      <c r="A8" s="5" t="n">
        <v>2</v>
      </c>
      <c r="B8" s="48" t="n">
        <v>0.3176000118255615</v>
      </c>
      <c r="C8" s="49">
        <f>INDEX(Settings!$B$11:$B$15,MATCH(A8,Settings!$A$11:$A$15,0))</f>
        <v/>
      </c>
      <c r="D8" s="50">
        <f>B8*C8-1</f>
        <v/>
      </c>
      <c r="E8" s="51">
        <f>A8*Settings!$B$6</f>
        <v/>
      </c>
      <c r="F8" s="6">
        <f>IF(D8&gt;=E8,"Yes","No")</f>
        <v/>
      </c>
      <c r="G8" s="52" t="inlineStr">
        <is>
          <t>Pat Freiermuth (PIT) - Receptions Less 3.5  [55%]</t>
        </is>
      </c>
      <c r="H8" s="52" t="inlineStr">
        <is>
          <t>Jerry Jeudy (CLE) - Receptions Less 1.5  [57%]</t>
        </is>
      </c>
    </row>
    <row r="9">
      <c r="A9" s="5" t="n">
        <v>2</v>
      </c>
      <c r="B9" s="48" t="n">
        <v>0.315200001001358</v>
      </c>
      <c r="C9" s="49">
        <f>INDEX(Settings!$B$11:$B$15,MATCH(A9,Settings!$A$11:$A$15,0))</f>
        <v/>
      </c>
      <c r="D9" s="50">
        <f>B9*C9-1</f>
        <v/>
      </c>
      <c r="E9" s="51">
        <f>A9*Settings!$B$6</f>
        <v/>
      </c>
      <c r="F9" s="6">
        <f>IF(D9&gt;=E9,"Yes","No")</f>
        <v/>
      </c>
      <c r="G9" s="52" t="inlineStr">
        <is>
          <t>Denzel Boston (CLE) - Receptions More 2.5  [57%]</t>
        </is>
      </c>
      <c r="H9" s="52" t="inlineStr">
        <is>
          <t>Jaylen Warren (PIT) - Receptions Less 3.5  [55%]</t>
        </is>
      </c>
    </row>
    <row r="11">
      <c r="A11" s="5" t="n">
        <v>3</v>
      </c>
      <c r="B11" s="48" t="n">
        <v>0.1967999935150146</v>
      </c>
      <c r="C11" s="49">
        <f>INDEX(Settings!$B$11:$B$15,MATCH(A11,Settings!$A$11:$A$15,0))</f>
        <v/>
      </c>
      <c r="D11" s="50">
        <f>B11*C11-1</f>
        <v/>
      </c>
      <c r="E11" s="51">
        <f>A11*Settings!$B$6</f>
        <v/>
      </c>
      <c r="F11" s="6">
        <f>IF(D11&gt;=E11,"Yes","No")</f>
        <v/>
      </c>
      <c r="G11" s="52" t="inlineStr">
        <is>
          <t>Denzel Boston (CLE) - Receptions More 2.5  [57%]</t>
        </is>
      </c>
      <c r="H11" s="52" t="inlineStr">
        <is>
          <t>Raheim Sanders (CLE) - Receptions More 1.5  [60%]</t>
        </is>
      </c>
      <c r="I11" s="52" t="inlineStr">
        <is>
          <t>Jaylen Warren (PIT) - Receptions Less 3.5  [55%]</t>
        </is>
      </c>
    </row>
    <row r="12">
      <c r="A12" s="5" t="n">
        <v>3</v>
      </c>
      <c r="B12" s="48" t="n">
        <v>0.1953999996185303</v>
      </c>
      <c r="C12" s="49">
        <f>INDEX(Settings!$B$11:$B$15,MATCH(A12,Settings!$A$11:$A$15,0))</f>
        <v/>
      </c>
      <c r="D12" s="50">
        <f>B12*C12-1</f>
        <v/>
      </c>
      <c r="E12" s="51">
        <f>A12*Settings!$B$6</f>
        <v/>
      </c>
      <c r="F12" s="6">
        <f>IF(D12&gt;=E12,"Yes","No")</f>
        <v/>
      </c>
      <c r="G12" s="52" t="inlineStr">
        <is>
          <t>Aaron Rodgers (PIT) - Pass Yds More 212.5  [50%]</t>
        </is>
      </c>
      <c r="H12" s="52" t="inlineStr">
        <is>
          <t>DK Metcalf (PIT) - Rec Yds More 41.5  [51%]</t>
        </is>
      </c>
      <c r="I12" s="52" t="inlineStr">
        <is>
          <t>Raheim Sanders (CLE) - Receptions More 1.5  [60%]</t>
        </is>
      </c>
    </row>
    <row r="13">
      <c r="A13" s="5" t="n">
        <v>3</v>
      </c>
      <c r="B13" s="48" t="n">
        <v>0.1925999969244003</v>
      </c>
      <c r="C13" s="49">
        <f>INDEX(Settings!$B$11:$B$15,MATCH(A13,Settings!$A$11:$A$15,0))</f>
        <v/>
      </c>
      <c r="D13" s="50">
        <f>B13*C13-1</f>
        <v/>
      </c>
      <c r="E13" s="51">
        <f>A13*Settings!$B$6</f>
        <v/>
      </c>
      <c r="F13" s="6">
        <f>IF(D13&gt;=E13,"Yes","No")</f>
        <v/>
      </c>
      <c r="G13" s="52" t="inlineStr">
        <is>
          <t>Raheim Sanders (CLE) - Receptions More 1.5  [60%]</t>
        </is>
      </c>
      <c r="H13" s="52" t="inlineStr">
        <is>
          <t>Aaron Rodgers (PIT) - Pass Yds Less 212.5  [50%]</t>
        </is>
      </c>
      <c r="I13" s="52" t="inlineStr">
        <is>
          <t>DK Metcalf (PIT) - Rush+Rec Yds Less 42.5  [50%]</t>
        </is>
      </c>
    </row>
    <row r="14">
      <c r="A14" s="5" t="n">
        <v>3</v>
      </c>
      <c r="B14" s="48" t="n">
        <v>0.1844000071287155</v>
      </c>
      <c r="C14" s="49">
        <f>INDEX(Settings!$B$11:$B$15,MATCH(A14,Settings!$A$11:$A$15,0))</f>
        <v/>
      </c>
      <c r="D14" s="50">
        <f>B14*C14-1</f>
        <v/>
      </c>
      <c r="E14" s="51">
        <f>A14*Settings!$B$6</f>
        <v/>
      </c>
      <c r="F14" s="6">
        <f>IF(D14&gt;=E14,"Yes","No")</f>
        <v/>
      </c>
      <c r="G14" s="52" t="inlineStr">
        <is>
          <t>Denzel Boston (CLE) - Receptions More 2.5  [57%]</t>
        </is>
      </c>
      <c r="H14" s="52" t="inlineStr">
        <is>
          <t>Aaron Rodgers (PIT) - Pass Yds Less 212.5  [50%]</t>
        </is>
      </c>
      <c r="I14" s="52" t="inlineStr">
        <is>
          <t>DK Metcalf (PIT) - Rec Yds Less 41.5  [49%]</t>
        </is>
      </c>
    </row>
    <row r="15">
      <c r="A15" s="5" t="n">
        <v>3</v>
      </c>
      <c r="B15" s="48" t="n">
        <v>0.1842000037431717</v>
      </c>
      <c r="C15" s="49">
        <f>INDEX(Settings!$B$11:$B$15,MATCH(A15,Settings!$A$11:$A$15,0))</f>
        <v/>
      </c>
      <c r="D15" s="50">
        <f>B15*C15-1</f>
        <v/>
      </c>
      <c r="E15" s="51">
        <f>A15*Settings!$B$6</f>
        <v/>
      </c>
      <c r="F15" s="6">
        <f>IF(D15&gt;=E15,"Yes","No")</f>
        <v/>
      </c>
      <c r="G15" s="52" t="inlineStr">
        <is>
          <t>Aaron Rodgers (PIT) - Pass Yds More 212.5  [50%]</t>
        </is>
      </c>
      <c r="H15" s="52" t="inlineStr">
        <is>
          <t>Denzel Boston (CLE) - Receptions More 2.5  [57%]</t>
        </is>
      </c>
      <c r="I15" s="52" t="inlineStr">
        <is>
          <t>DK Metcalf (PIT) - Rush+Rec Yds More 42.5  [50%]</t>
        </is>
      </c>
    </row>
    <row r="17">
      <c r="A17" s="5" t="n">
        <v>4</v>
      </c>
      <c r="B17" s="48" t="n">
        <v>0.1172000020742416</v>
      </c>
      <c r="C17" s="49">
        <f>INDEX(Settings!$B$11:$B$15,MATCH(A17,Settings!$A$11:$A$15,0))</f>
        <v/>
      </c>
      <c r="D17" s="50">
        <f>B17*C17-1</f>
        <v/>
      </c>
      <c r="E17" s="51">
        <f>A17*Settings!$B$6</f>
        <v/>
      </c>
      <c r="F17" s="6">
        <f>IF(D17&gt;=E17,"Yes","No")</f>
        <v/>
      </c>
      <c r="G17" s="52" t="inlineStr">
        <is>
          <t>Denzel Boston (CLE) - Receptions More 2.5  [57%]</t>
        </is>
      </c>
      <c r="H17" s="52" t="inlineStr">
        <is>
          <t>Raheim Sanders (CLE) - Receptions More 1.5  [60%]</t>
        </is>
      </c>
      <c r="I17" s="52" t="inlineStr">
        <is>
          <t>Aaron Rodgers (PIT) - Pass Yds Less 212.5  [50%]</t>
        </is>
      </c>
      <c r="J17" s="52" t="inlineStr">
        <is>
          <t>DK Metcalf (PIT) - Rush+Rec Yds Less 42.5  [50%]</t>
        </is>
      </c>
    </row>
    <row r="18">
      <c r="A18" s="5" t="n">
        <v>4</v>
      </c>
      <c r="B18" s="48" t="n">
        <v>0.1169999986886978</v>
      </c>
      <c r="C18" s="49">
        <f>INDEX(Settings!$B$11:$B$15,MATCH(A18,Settings!$A$11:$A$15,0))</f>
        <v/>
      </c>
      <c r="D18" s="50">
        <f>B18*C18-1</f>
        <v/>
      </c>
      <c r="E18" s="51">
        <f>A18*Settings!$B$6</f>
        <v/>
      </c>
      <c r="F18" s="6">
        <f>IF(D18&gt;=E18,"Yes","No")</f>
        <v/>
      </c>
      <c r="G18" s="52" t="inlineStr">
        <is>
          <t>Aaron Rodgers (PIT) - Pass Yds More 212.5  [50%]</t>
        </is>
      </c>
      <c r="H18" s="52" t="inlineStr">
        <is>
          <t>Deshaun Watson (CLE) - Pass Yds More 187.5  [50%]</t>
        </is>
      </c>
      <c r="I18" s="52" t="inlineStr">
        <is>
          <t>DK Metcalf (PIT) - Rec Yds More 41.5  [51%]</t>
        </is>
      </c>
      <c r="J18" s="52" t="inlineStr">
        <is>
          <t>Raheim Sanders (CLE) - Receptions More 1.5  [60%]</t>
        </is>
      </c>
    </row>
    <row r="19">
      <c r="A19" s="5" t="n">
        <v>4</v>
      </c>
      <c r="B19" s="48" t="n">
        <v>0.1159000024199486</v>
      </c>
      <c r="C19" s="49">
        <f>INDEX(Settings!$B$11:$B$15,MATCH(A19,Settings!$A$11:$A$15,0))</f>
        <v/>
      </c>
      <c r="D19" s="50">
        <f>B19*C19-1</f>
        <v/>
      </c>
      <c r="E19" s="51">
        <f>A19*Settings!$B$6</f>
        <v/>
      </c>
      <c r="F19" s="6">
        <f>IF(D19&gt;=E19,"Yes","No")</f>
        <v/>
      </c>
      <c r="G19" s="52" t="inlineStr">
        <is>
          <t>Deshaun Watson (CLE) - Pass Yds More 187.5  [50%]</t>
        </is>
      </c>
      <c r="H19" s="52" t="inlineStr">
        <is>
          <t>DK Metcalf (PIT) - Receptions More 3.5  [53%]</t>
        </is>
      </c>
      <c r="I19" s="52" t="inlineStr">
        <is>
          <t>Denzel Boston (CLE) - Receptions More 2.5  [57%]</t>
        </is>
      </c>
      <c r="J19" s="52" t="inlineStr">
        <is>
          <t>Raheim Sanders (CLE) - Receptions More 1.5  [60%]</t>
        </is>
      </c>
    </row>
    <row r="20">
      <c r="A20" s="5" t="n">
        <v>4</v>
      </c>
      <c r="B20" s="48" t="n">
        <v>0.1150000020861626</v>
      </c>
      <c r="C20" s="49">
        <f>INDEX(Settings!$B$11:$B$15,MATCH(A20,Settings!$A$11:$A$15,0))</f>
        <v/>
      </c>
      <c r="D20" s="50">
        <f>B20*C20-1</f>
        <v/>
      </c>
      <c r="E20" s="51">
        <f>A20*Settings!$B$6</f>
        <v/>
      </c>
      <c r="F20" s="6">
        <f>IF(D20&gt;=E20,"Yes","No")</f>
        <v/>
      </c>
      <c r="G20" s="52" t="inlineStr">
        <is>
          <t>Aaron Rodgers (PIT) - Pass Yds Less 212.5  [50%]</t>
        </is>
      </c>
      <c r="H20" s="52" t="inlineStr">
        <is>
          <t>Deshaun Watson (CLE) - Pass Yds Less 187.5  [50%]</t>
        </is>
      </c>
      <c r="I20" s="52" t="inlineStr">
        <is>
          <t>Denzel Boston (CLE) - Rec Yds Less 37.5  [51%]</t>
        </is>
      </c>
      <c r="J20" s="52" t="inlineStr">
        <is>
          <t>DK Metcalf (PIT) - Rush+Rec Yds Less 42.5  [50%]</t>
        </is>
      </c>
    </row>
    <row r="21">
      <c r="A21" s="5" t="n">
        <v>4</v>
      </c>
      <c r="B21" s="48" t="n">
        <v>0.1133999973535538</v>
      </c>
      <c r="C21" s="49">
        <f>INDEX(Settings!$B$11:$B$15,MATCH(A21,Settings!$A$11:$A$15,0))</f>
        <v/>
      </c>
      <c r="D21" s="50">
        <f>B21*C21-1</f>
        <v/>
      </c>
      <c r="E21" s="51">
        <f>A21*Settings!$B$6</f>
        <v/>
      </c>
      <c r="F21" s="6">
        <f>IF(D21&gt;=E21,"Yes","No")</f>
        <v/>
      </c>
      <c r="G21" s="52" t="inlineStr">
        <is>
          <t>Aaron Rodgers (PIT) - Pass Yds More 212.5  [50%]</t>
        </is>
      </c>
      <c r="H21" s="52" t="inlineStr">
        <is>
          <t>Deshaun Watson (CLE) - Pass Yds More 187.5  [50%]</t>
        </is>
      </c>
      <c r="I21" s="52" t="inlineStr">
        <is>
          <t>Denzel Boston (CLE) - Receptions More 2.5  [57%]</t>
        </is>
      </c>
      <c r="J21" s="52" t="inlineStr">
        <is>
          <t>DK Metcalf (PIT) - Rush+Rec Yds More 42.5  [50%]</t>
        </is>
      </c>
    </row>
    <row r="23">
      <c r="A23" s="5" t="n">
        <v>5</v>
      </c>
      <c r="B23" s="48" t="n">
        <v>0.07372000068426132</v>
      </c>
      <c r="C23" s="49">
        <f>INDEX(Settings!$B$11:$B$15,MATCH(A23,Settings!$A$11:$A$15,0))</f>
        <v/>
      </c>
      <c r="D23" s="50">
        <f>B23*C23-1</f>
        <v/>
      </c>
      <c r="E23" s="51">
        <f>A23*Settings!$B$6</f>
        <v/>
      </c>
      <c r="F23" s="6">
        <f>IF(D23&gt;=E23,"Yes","No")</f>
        <v/>
      </c>
      <c r="G23" s="52" t="inlineStr">
        <is>
          <t>Aaron Rodgers (PIT) - Pass Yds More 212.5  [50%]</t>
        </is>
      </c>
      <c r="H23" s="52" t="inlineStr">
        <is>
          <t>Deshaun Watson (CLE) - Pass Yds More 187.5  [50%]</t>
        </is>
      </c>
      <c r="I23" s="52" t="inlineStr">
        <is>
          <t>DK Metcalf (PIT) - Rec Yds More 41.5  [51%]</t>
        </is>
      </c>
      <c r="J23" s="52" t="inlineStr">
        <is>
          <t>Denzel Boston (CLE) - Receptions More 2.5  [57%]</t>
        </is>
      </c>
      <c r="K23" s="52" t="inlineStr">
        <is>
          <t>Raheim Sanders (CLE) - Receptions More 1.5  [60%]</t>
        </is>
      </c>
    </row>
    <row r="24">
      <c r="A24" s="5" t="n">
        <v>5</v>
      </c>
      <c r="B24" s="48" t="n">
        <v>0.07067999988794327</v>
      </c>
      <c r="C24" s="49">
        <f>INDEX(Settings!$B$11:$B$15,MATCH(A24,Settings!$A$11:$A$15,0))</f>
        <v/>
      </c>
      <c r="D24" s="50">
        <f>B24*C24-1</f>
        <v/>
      </c>
      <c r="E24" s="51">
        <f>A24*Settings!$B$6</f>
        <v/>
      </c>
      <c r="F24" s="6">
        <f>IF(D24&gt;=E24,"Yes","No")</f>
        <v/>
      </c>
      <c r="G24" s="52" t="inlineStr">
        <is>
          <t>Aaron Rodgers (PIT) - Pass Yds More 212.5  [50%]</t>
        </is>
      </c>
      <c r="H24" s="52" t="inlineStr">
        <is>
          <t>Deshaun Watson (CLE) - Pass Yds More 187.5  [50%]</t>
        </is>
      </c>
      <c r="I24" s="52" t="inlineStr">
        <is>
          <t>Jerry Jeudy (CLE) - Rec Yds More 13.5  [50%]</t>
        </is>
      </c>
      <c r="J24" s="52" t="inlineStr">
        <is>
          <t>DK Metcalf (PIT) - Rush+Rec Yds More 42.5  [50%]</t>
        </is>
      </c>
      <c r="K24" s="52" t="inlineStr">
        <is>
          <t>Raheim Sanders (CLE) - Receptions More 1.5  [60%]</t>
        </is>
      </c>
    </row>
    <row r="25">
      <c r="A25" s="5" t="n">
        <v>5</v>
      </c>
      <c r="B25" s="48" t="n">
        <v>0.07010999321937561</v>
      </c>
      <c r="C25" s="49">
        <f>INDEX(Settings!$B$11:$B$15,MATCH(A25,Settings!$A$11:$A$15,0))</f>
        <v/>
      </c>
      <c r="D25" s="50">
        <f>B25*C25-1</f>
        <v/>
      </c>
      <c r="E25" s="51">
        <f>A25*Settings!$B$6</f>
        <v/>
      </c>
      <c r="F25" s="6">
        <f>IF(D25&gt;=E25,"Yes","No")</f>
        <v/>
      </c>
      <c r="G25" s="52" t="inlineStr">
        <is>
          <t>Aaron Rodgers (PIT) - Pass Yds Less 212.5  [50%]</t>
        </is>
      </c>
      <c r="H25" s="52" t="inlineStr">
        <is>
          <t>Deshaun Watson (CLE) - Pass Yds Less 187.5  [50%]</t>
        </is>
      </c>
      <c r="I25" s="52" t="inlineStr">
        <is>
          <t>Denzel Boston (CLE) - Rec Yds Less 37.5  [51%]</t>
        </is>
      </c>
      <c r="J25" s="52" t="inlineStr">
        <is>
          <t>DK Metcalf (PIT) - Rush+Rec Yds Less 42.5  [50%]</t>
        </is>
      </c>
      <c r="K25" s="52" t="inlineStr">
        <is>
          <t>Jerry Jeudy (CLE) - Rush+Rec Yds Less 15.5  [50%]</t>
        </is>
      </c>
    </row>
    <row r="26">
      <c r="A26" s="5" t="n">
        <v>5</v>
      </c>
      <c r="B26" s="48" t="n">
        <v>0.06992000341415405</v>
      </c>
      <c r="C26" s="49">
        <f>INDEX(Settings!$B$11:$B$15,MATCH(A26,Settings!$A$11:$A$15,0))</f>
        <v/>
      </c>
      <c r="D26" s="50">
        <f>B26*C26-1</f>
        <v/>
      </c>
      <c r="E26" s="51">
        <f>A26*Settings!$B$6</f>
        <v/>
      </c>
      <c r="F26" s="6">
        <f>IF(D26&gt;=E26,"Yes","No")</f>
        <v/>
      </c>
      <c r="G26" s="52" t="inlineStr">
        <is>
          <t>Denzel Boston (CLE) - Receptions More 2.5  [57%]</t>
        </is>
      </c>
      <c r="H26" s="52" t="inlineStr">
        <is>
          <t>Raheim Sanders (CLE) - Receptions More 1.5  [60%]</t>
        </is>
      </c>
      <c r="I26" s="52" t="inlineStr">
        <is>
          <t>Aaron Rodgers (PIT) - Pass Yds Less 212.5  [50%]</t>
        </is>
      </c>
      <c r="J26" s="52" t="inlineStr">
        <is>
          <t>Michael Pittman Jr. (PIT) - Rec Yds Less 34.5  [50%]</t>
        </is>
      </c>
      <c r="K26" s="52" t="inlineStr">
        <is>
          <t>DK Metcalf (PIT) - Rush+Rec Yds Less 42.5  [50%]</t>
        </is>
      </c>
    </row>
    <row r="27">
      <c r="A27" s="5" t="n">
        <v>5</v>
      </c>
      <c r="B27" s="48" t="n">
        <v>0.0697299987077713</v>
      </c>
      <c r="C27" s="49">
        <f>INDEX(Settings!$B$11:$B$15,MATCH(A27,Settings!$A$11:$A$15,0))</f>
        <v/>
      </c>
      <c r="D27" s="50">
        <f>B27*C27-1</f>
        <v/>
      </c>
      <c r="E27" s="51">
        <f>A27*Settings!$B$6</f>
        <v/>
      </c>
      <c r="F27" s="6">
        <f>IF(D27&gt;=E27,"Yes","No")</f>
        <v/>
      </c>
      <c r="G27" s="52" t="inlineStr">
        <is>
          <t>Denzel Boston (CLE) - Receptions More 2.5  [57%]</t>
        </is>
      </c>
      <c r="H27" s="52" t="inlineStr">
        <is>
          <t>Raheim Sanders (CLE) - Receptions More 1.5  [60%]</t>
        </is>
      </c>
      <c r="I27" s="52" t="inlineStr">
        <is>
          <t>Aaron Rodgers (PIT) - Pass Yds Less 212.5  [50%]</t>
        </is>
      </c>
      <c r="J27" s="52" t="inlineStr">
        <is>
          <t>Jaylen Warren (PIT) - Receptions Less 3.5  [55%]</t>
        </is>
      </c>
      <c r="K27" s="52" t="inlineStr">
        <is>
          <t>Germie Bernard (PIT) - Rec Yds Less 6.5  [52%]</t>
        </is>
      </c>
    </row>
    <row r="29">
      <c r="A29" s="5" t="n">
        <v>6</v>
      </c>
      <c r="B29" s="48" t="n">
        <v>0.04373999685049057</v>
      </c>
      <c r="C29" s="49">
        <f>INDEX(Settings!$B$11:$B$15,MATCH(A29,Settings!$A$11:$A$15,0))</f>
        <v/>
      </c>
      <c r="D29" s="50">
        <f>B29*C29-1</f>
        <v/>
      </c>
      <c r="E29" s="51">
        <f>A29*Settings!$B$6</f>
        <v/>
      </c>
      <c r="F29" s="6">
        <f>IF(D29&gt;=E29,"Yes","No")</f>
        <v/>
      </c>
      <c r="G29" s="52" t="inlineStr">
        <is>
          <t>Aaron Rodgers (PIT) - Pass Yds More 212.5  [50%]</t>
        </is>
      </c>
      <c r="H29" s="52" t="inlineStr">
        <is>
          <t>Deshaun Watson (CLE) - Pass Yds More 187.5  [50%]</t>
        </is>
      </c>
      <c r="I29" s="52" t="inlineStr">
        <is>
          <t>DK Metcalf (PIT) - Rec Yds More 41.5  [51%]</t>
        </is>
      </c>
      <c r="J29" s="52" t="inlineStr">
        <is>
          <t>Harold Fannin Jr. (CLE) - Rec Yds More 40.5  [49%]</t>
        </is>
      </c>
      <c r="K29" s="52" t="inlineStr">
        <is>
          <t>Denzel Boston (CLE) - Receptions More 2.5  [57%]</t>
        </is>
      </c>
      <c r="L29" s="52" t="inlineStr">
        <is>
          <t>Raheim Sanders (CLE) - Receptions More 1.5  [60%]</t>
        </is>
      </c>
    </row>
    <row r="30">
      <c r="A30" s="5" t="n">
        <v>6</v>
      </c>
      <c r="B30" s="48" t="n">
        <v>0.04295900091528893</v>
      </c>
      <c r="C30" s="49">
        <f>INDEX(Settings!$B$11:$B$15,MATCH(A30,Settings!$A$11:$A$15,0))</f>
        <v/>
      </c>
      <c r="D30" s="50">
        <f>B30*C30-1</f>
        <v/>
      </c>
      <c r="E30" s="51">
        <f>A30*Settings!$B$6</f>
        <v/>
      </c>
      <c r="F30" s="6">
        <f>IF(D30&gt;=E30,"Yes","No")</f>
        <v/>
      </c>
      <c r="G30" s="52" t="inlineStr">
        <is>
          <t>Aaron Rodgers (PIT) - Pass Yds More 212.5  [50%]</t>
        </is>
      </c>
      <c r="H30" s="52" t="inlineStr">
        <is>
          <t>Deshaun Watson (CLE) - Pass Yds More 187.5  [50%]</t>
        </is>
      </c>
      <c r="I30" s="52" t="inlineStr">
        <is>
          <t>DK Metcalf (PIT) - Rec Yds More 41.5  [51%]</t>
        </is>
      </c>
      <c r="J30" s="52" t="inlineStr">
        <is>
          <t>Darnell Washington (PIT) - Rec Yds More 16.5  [52%]</t>
        </is>
      </c>
      <c r="K30" s="52" t="inlineStr">
        <is>
          <t>Jerry Jeudy (CLE) - Rec Yds More 13.5  [50%]</t>
        </is>
      </c>
      <c r="L30" s="52" t="inlineStr">
        <is>
          <t>Raheim Sanders (CLE) - Receptions More 1.5  [60%]</t>
        </is>
      </c>
    </row>
    <row r="31">
      <c r="A31" s="5" t="n">
        <v>6</v>
      </c>
      <c r="B31" s="48" t="n">
        <v>0.04266000166535378</v>
      </c>
      <c r="C31" s="49">
        <f>INDEX(Settings!$B$11:$B$15,MATCH(A31,Settings!$A$11:$A$15,0))</f>
        <v/>
      </c>
      <c r="D31" s="50">
        <f>B31*C31-1</f>
        <v/>
      </c>
      <c r="E31" s="51">
        <f>A31*Settings!$B$6</f>
        <v/>
      </c>
      <c r="F31" s="6">
        <f>IF(D31&gt;=E31,"Yes","No")</f>
        <v/>
      </c>
      <c r="G31" s="52" t="inlineStr">
        <is>
          <t>Aaron Rodgers (PIT) - Pass Yds More 212.5  [50%]</t>
        </is>
      </c>
      <c r="H31" s="52" t="inlineStr">
        <is>
          <t>Deshaun Watson (CLE) - Pass Yds More 187.5  [50%]</t>
        </is>
      </c>
      <c r="I31" s="52" t="inlineStr">
        <is>
          <t>Denzel Boston (CLE) - Receptions More 2.5  [57%]</t>
        </is>
      </c>
      <c r="J31" s="52" t="inlineStr">
        <is>
          <t>Jerry Jeudy (CLE) - Rec Yds More 13.5  [50%]</t>
        </is>
      </c>
      <c r="K31" s="52" t="inlineStr">
        <is>
          <t>Michael Pittman Jr. (PIT) - Rush+Rec Yds More 32.5  [50%]</t>
        </is>
      </c>
      <c r="L31" s="52" t="inlineStr">
        <is>
          <t>Raheim Sanders (CLE) - Receptions More 1.5  [60%]</t>
        </is>
      </c>
    </row>
    <row r="32">
      <c r="A32" s="5" t="n">
        <v>6</v>
      </c>
      <c r="B32" s="48" t="n">
        <v>0.04193999990820885</v>
      </c>
      <c r="C32" s="49">
        <f>INDEX(Settings!$B$11:$B$15,MATCH(A32,Settings!$A$11:$A$15,0))</f>
        <v/>
      </c>
      <c r="D32" s="50">
        <f>B32*C32-1</f>
        <v/>
      </c>
      <c r="E32" s="51">
        <f>A32*Settings!$B$6</f>
        <v/>
      </c>
      <c r="F32" s="6">
        <f>IF(D32&gt;=E32,"Yes","No")</f>
        <v/>
      </c>
      <c r="G32" s="52" t="inlineStr">
        <is>
          <t>Denzel Boston (CLE) - Receptions More 2.5  [57%]</t>
        </is>
      </c>
      <c r="H32" s="52" t="inlineStr">
        <is>
          <t>Raheim Sanders (CLE) - Receptions More 1.5  [60%]</t>
        </is>
      </c>
      <c r="I32" s="52" t="inlineStr">
        <is>
          <t>Aaron Rodgers (PIT) - Pass Yds Less 212.5  [50%]</t>
        </is>
      </c>
      <c r="J32" s="52" t="inlineStr">
        <is>
          <t>Jaylen Warren (PIT) - Receptions Less 3.5  [55%]</t>
        </is>
      </c>
      <c r="K32" s="52" t="inlineStr">
        <is>
          <t>DK Metcalf (PIT) - Rush+Rec Yds Less 42.5  [50%]</t>
        </is>
      </c>
      <c r="L32" s="52" t="inlineStr">
        <is>
          <t>Germie Bernard (PIT) - Rec Yds Less 6.5  [52%]</t>
        </is>
      </c>
    </row>
    <row r="33">
      <c r="A33" s="5" t="n">
        <v>6</v>
      </c>
      <c r="B33" s="48" t="n">
        <v>0.04151500016450882</v>
      </c>
      <c r="C33" s="49">
        <f>INDEX(Settings!$B$11:$B$15,MATCH(A33,Settings!$A$11:$A$15,0))</f>
        <v/>
      </c>
      <c r="D33" s="50">
        <f>B33*C33-1</f>
        <v/>
      </c>
      <c r="E33" s="51">
        <f>A33*Settings!$B$6</f>
        <v/>
      </c>
      <c r="F33" s="6">
        <f>IF(D33&gt;=E33,"Yes","No")</f>
        <v/>
      </c>
      <c r="G33" s="52" t="inlineStr">
        <is>
          <t>Aaron Rodgers (PIT) - Pass Yds More 212.5  [50%]</t>
        </is>
      </c>
      <c r="H33" s="52" t="inlineStr">
        <is>
          <t>Deshaun Watson (CLE) - Pass Yds More 187.5  [50%]</t>
        </is>
      </c>
      <c r="I33" s="52" t="inlineStr">
        <is>
          <t>Darnell Washington (PIT) - Rec Yds More 16.5  [52%]</t>
        </is>
      </c>
      <c r="J33" s="52" t="inlineStr">
        <is>
          <t>DK Metcalf (PIT) - Rush+Rec Yds More 42.5  [50%]</t>
        </is>
      </c>
      <c r="K33" s="52" t="inlineStr">
        <is>
          <t>Jerry Jeudy (CLE) - Rush+Rec Yds More 15.5  [50%]</t>
        </is>
      </c>
      <c r="L33" s="52" t="inlineStr">
        <is>
          <t>Raheim Sanders (CLE) - Receptions More 1.5  [60%]</t>
        </is>
      </c>
    </row>
  </sheetData>
  <conditionalFormatting sqref="F5:F35">
    <cfRule type="cellIs" priority="1" operator="equal" dxfId="3">
      <formula>"Yes"</formula>
    </cfRule>
    <cfRule type="cellIs" priority="2" operator="equal" dxfId="4">
      <formula>"No"</formula>
    </cfRule>
  </conditionalFormatting>
  <conditionalFormatting sqref="D5:D35">
    <cfRule type="cellIs" priority="3" operator="lessThan" dxfId="5">
      <formula>0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H2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7" customWidth="1" min="4" max="4"/>
    <col width="14" customWidth="1" min="5" max="5"/>
    <col width="10" customWidth="1" min="6" max="6"/>
    <col width="15" customWidth="1" min="7" max="7"/>
    <col width="12" customWidth="1" min="8" max="8"/>
  </cols>
  <sheetData>
    <row r="1">
      <c r="A1" s="38" t="inlineStr">
        <is>
          <t>Best Legs</t>
        </is>
      </c>
    </row>
    <row r="2">
      <c r="A2" s="11" t="inlineStr">
        <is>
          <t>Strongest picks within 2 steps of the book line (the lines PrizePicks usually posts). TD Less is left out - PrizePicks only offers More. Use the filter arrows.</t>
        </is>
      </c>
    </row>
    <row r="4">
      <c r="A4" t="inlineStr">
        <is>
          <t>Confidence</t>
        </is>
      </c>
      <c r="B4" t="inlineStr">
        <is>
          <t>Pick</t>
        </is>
      </c>
      <c r="C4" t="inlineStr">
        <is>
          <t>Player</t>
        </is>
      </c>
      <c r="D4" t="inlineStr">
        <is>
          <t>Team</t>
        </is>
      </c>
      <c r="E4" t="inlineStr">
        <is>
          <t>Stat</t>
        </is>
      </c>
      <c r="F4" t="inlineStr">
        <is>
          <t>Book line</t>
        </is>
      </c>
      <c r="G4" t="inlineStr">
        <is>
          <t>Steps from book</t>
        </is>
      </c>
      <c r="H4" t="inlineStr">
        <is>
          <t>Game</t>
        </is>
      </c>
    </row>
    <row r="5">
      <c r="A5" s="48" t="n">
        <v>0.959</v>
      </c>
      <c r="B5" s="5" t="inlineStr">
        <is>
          <t>Less 3.5</t>
        </is>
      </c>
      <c r="C5" s="5" t="inlineStr">
        <is>
          <t>Jerry Jeudy</t>
        </is>
      </c>
      <c r="D5" s="5" t="inlineStr">
        <is>
          <t>CLE</t>
        </is>
      </c>
      <c r="E5" s="5" t="inlineStr">
        <is>
          <t>Receptions</t>
        </is>
      </c>
      <c r="F5" s="5" t="n">
        <v>1.5</v>
      </c>
      <c r="G5" s="5" t="n">
        <v>2</v>
      </c>
      <c r="H5" s="5" t="inlineStr">
        <is>
          <t>PIT @ CLE</t>
        </is>
      </c>
    </row>
    <row r="6">
      <c r="A6" s="48" t="n">
        <v>0.9419999999999999</v>
      </c>
      <c r="B6" s="5" t="inlineStr">
        <is>
          <t>Less 3.5</t>
        </is>
      </c>
      <c r="C6" s="5" t="inlineStr">
        <is>
          <t>Aaron Rodgers</t>
        </is>
      </c>
      <c r="D6" s="5" t="inlineStr">
        <is>
          <t>PIT</t>
        </is>
      </c>
      <c r="E6" s="5" t="inlineStr">
        <is>
          <t>Pass TDs</t>
        </is>
      </c>
      <c r="F6" s="5" t="n">
        <v>1.5</v>
      </c>
      <c r="G6" s="5" t="n">
        <v>2</v>
      </c>
      <c r="H6" s="5" t="inlineStr">
        <is>
          <t>PIT @ CLE</t>
        </is>
      </c>
    </row>
    <row r="7">
      <c r="A7" s="48" t="n">
        <v>0.914</v>
      </c>
      <c r="B7" s="5" t="inlineStr">
        <is>
          <t>More 0.5</t>
        </is>
      </c>
      <c r="C7" s="5" t="inlineStr">
        <is>
          <t>Denzel Boston</t>
        </is>
      </c>
      <c r="D7" s="5" t="inlineStr">
        <is>
          <t>CLE</t>
        </is>
      </c>
      <c r="E7" s="5" t="inlineStr">
        <is>
          <t>Receptions</t>
        </is>
      </c>
      <c r="F7" s="5" t="n">
        <v>2.5</v>
      </c>
      <c r="G7" s="5" t="n">
        <v>-2</v>
      </c>
      <c r="H7" s="5" t="inlineStr">
        <is>
          <t>PIT @ CLE</t>
        </is>
      </c>
    </row>
    <row r="8">
      <c r="A8" s="48" t="n">
        <v>0.897</v>
      </c>
      <c r="B8" s="5" t="inlineStr">
        <is>
          <t>Less 49.5</t>
        </is>
      </c>
      <c r="C8" s="5" t="inlineStr">
        <is>
          <t>Travis Homer</t>
        </is>
      </c>
      <c r="D8" s="5" t="inlineStr">
        <is>
          <t>PIT</t>
        </is>
      </c>
      <c r="E8" s="5" t="inlineStr">
        <is>
          <t>Rush Yds</t>
        </is>
      </c>
      <c r="F8" s="5" t="n">
        <v>39.5</v>
      </c>
      <c r="G8" s="5" t="n">
        <v>2</v>
      </c>
      <c r="H8" s="5" t="inlineStr">
        <is>
          <t>PIT @ CLE</t>
        </is>
      </c>
    </row>
    <row r="9">
      <c r="A9" s="48" t="n">
        <v>0.888</v>
      </c>
      <c r="B9" s="5" t="inlineStr">
        <is>
          <t>Less 4.5</t>
        </is>
      </c>
      <c r="C9" s="5" t="inlineStr">
        <is>
          <t>Roman Wilson</t>
        </is>
      </c>
      <c r="D9" s="5" t="inlineStr">
        <is>
          <t>PIT</t>
        </is>
      </c>
      <c r="E9" s="5" t="inlineStr">
        <is>
          <t>Receptions</t>
        </is>
      </c>
      <c r="F9" s="5" t="n">
        <v>2.5</v>
      </c>
      <c r="G9" s="5" t="n">
        <v>2</v>
      </c>
      <c r="H9" s="5" t="inlineStr">
        <is>
          <t>PIT @ CLE</t>
        </is>
      </c>
    </row>
    <row r="10">
      <c r="A10" s="48" t="n">
        <v>0.886</v>
      </c>
      <c r="B10" s="5" t="inlineStr">
        <is>
          <t>Less 2.5</t>
        </is>
      </c>
      <c r="C10" s="5" t="inlineStr">
        <is>
          <t>Deshaun Watson</t>
        </is>
      </c>
      <c r="D10" s="5" t="inlineStr">
        <is>
          <t>CLE</t>
        </is>
      </c>
      <c r="E10" s="5" t="inlineStr">
        <is>
          <t>Pass TDs</t>
        </is>
      </c>
      <c r="F10" s="5" t="n">
        <v>0.5</v>
      </c>
      <c r="G10" s="5" t="n">
        <v>2</v>
      </c>
      <c r="H10" s="5" t="inlineStr">
        <is>
          <t>PIT @ CLE</t>
        </is>
      </c>
    </row>
    <row r="11">
      <c r="A11" s="48" t="n">
        <v>0.879</v>
      </c>
      <c r="B11" s="5" t="inlineStr">
        <is>
          <t>Less 44.5</t>
        </is>
      </c>
      <c r="C11" s="5" t="inlineStr">
        <is>
          <t>Travis Homer</t>
        </is>
      </c>
      <c r="D11" s="5" t="inlineStr">
        <is>
          <t>PIT</t>
        </is>
      </c>
      <c r="E11" s="5" t="inlineStr">
        <is>
          <t>Rush Yds</t>
        </is>
      </c>
      <c r="F11" s="5" t="n">
        <v>39.5</v>
      </c>
      <c r="G11" s="5" t="n">
        <v>1</v>
      </c>
      <c r="H11" s="5" t="inlineStr">
        <is>
          <t>PIT @ CLE</t>
        </is>
      </c>
    </row>
    <row r="12">
      <c r="A12" s="48" t="n">
        <v>0.874</v>
      </c>
      <c r="B12" s="5" t="inlineStr">
        <is>
          <t>Less 4.5</t>
        </is>
      </c>
      <c r="C12" s="5" t="inlineStr">
        <is>
          <t>Quinshon Judkins</t>
        </is>
      </c>
      <c r="D12" s="5" t="inlineStr">
        <is>
          <t>CLE</t>
        </is>
      </c>
      <c r="E12" s="5" t="inlineStr">
        <is>
          <t>Receptions</t>
        </is>
      </c>
      <c r="F12" s="5" t="n">
        <v>2.5</v>
      </c>
      <c r="G12" s="5" t="n">
        <v>2</v>
      </c>
      <c r="H12" s="5" t="inlineStr">
        <is>
          <t>PIT @ CLE</t>
        </is>
      </c>
    </row>
    <row r="13">
      <c r="A13" s="48" t="n">
        <v>0.854</v>
      </c>
      <c r="B13" s="5" t="inlineStr">
        <is>
          <t>More 1.5</t>
        </is>
      </c>
      <c r="C13" s="5" t="inlineStr">
        <is>
          <t>DK Metcalf</t>
        </is>
      </c>
      <c r="D13" s="5" t="inlineStr">
        <is>
          <t>PIT</t>
        </is>
      </c>
      <c r="E13" s="5" t="inlineStr">
        <is>
          <t>Receptions</t>
        </is>
      </c>
      <c r="F13" s="5" t="n">
        <v>3.5</v>
      </c>
      <c r="G13" s="5" t="n">
        <v>-2</v>
      </c>
      <c r="H13" s="5" t="inlineStr">
        <is>
          <t>PIT @ CLE</t>
        </is>
      </c>
    </row>
    <row r="14">
      <c r="A14" s="48" t="n">
        <v>0.848</v>
      </c>
      <c r="B14" s="5" t="inlineStr">
        <is>
          <t>Less 2.5</t>
        </is>
      </c>
      <c r="C14" s="5" t="inlineStr">
        <is>
          <t>Jerry Jeudy</t>
        </is>
      </c>
      <c r="D14" s="5" t="inlineStr">
        <is>
          <t>CLE</t>
        </is>
      </c>
      <c r="E14" s="5" t="inlineStr">
        <is>
          <t>Receptions</t>
        </is>
      </c>
      <c r="F14" s="5" t="n">
        <v>1.5</v>
      </c>
      <c r="G14" s="5" t="n">
        <v>1</v>
      </c>
      <c r="H14" s="5" t="inlineStr">
        <is>
          <t>PIT @ CLE</t>
        </is>
      </c>
    </row>
    <row r="15">
      <c r="A15" s="48" t="n">
        <v>0.844</v>
      </c>
      <c r="B15" s="5" t="inlineStr">
        <is>
          <t>Less 2.5</t>
        </is>
      </c>
      <c r="C15" s="5" t="inlineStr">
        <is>
          <t>Aaron Rodgers</t>
        </is>
      </c>
      <c r="D15" s="5" t="inlineStr">
        <is>
          <t>PIT</t>
        </is>
      </c>
      <c r="E15" s="5" t="inlineStr">
        <is>
          <t>Pass TDs</t>
        </is>
      </c>
      <c r="F15" s="5" t="n">
        <v>1.5</v>
      </c>
      <c r="G15" s="5" t="n">
        <v>1</v>
      </c>
      <c r="H15" s="5" t="inlineStr">
        <is>
          <t>PIT @ CLE</t>
        </is>
      </c>
    </row>
    <row r="16">
      <c r="A16" s="48" t="n">
        <v>0.841</v>
      </c>
      <c r="B16" s="5" t="inlineStr">
        <is>
          <t>More 0.5</t>
        </is>
      </c>
      <c r="C16" s="5" t="inlineStr">
        <is>
          <t>Roman Wilson</t>
        </is>
      </c>
      <c r="D16" s="5" t="inlineStr">
        <is>
          <t>PIT</t>
        </is>
      </c>
      <c r="E16" s="5" t="inlineStr">
        <is>
          <t>Receptions</t>
        </is>
      </c>
      <c r="F16" s="5" t="n">
        <v>2.5</v>
      </c>
      <c r="G16" s="5" t="n">
        <v>-2</v>
      </c>
      <c r="H16" s="5" t="inlineStr">
        <is>
          <t>PIT @ CLE</t>
        </is>
      </c>
    </row>
    <row r="17">
      <c r="A17" s="48" t="n">
        <v>0.838</v>
      </c>
      <c r="B17" s="5" t="inlineStr">
        <is>
          <t>Less 39.5</t>
        </is>
      </c>
      <c r="C17" s="5" t="inlineStr">
        <is>
          <t>Travis Homer</t>
        </is>
      </c>
      <c r="D17" s="5" t="inlineStr">
        <is>
          <t>PIT</t>
        </is>
      </c>
      <c r="E17" s="5" t="inlineStr">
        <is>
          <t>Rush Yds</t>
        </is>
      </c>
      <c r="F17" s="5" t="n">
        <v>39.5</v>
      </c>
      <c r="G17" s="5" t="n">
        <v>0</v>
      </c>
      <c r="H17" s="5" t="inlineStr">
        <is>
          <t>PIT @ CLE</t>
        </is>
      </c>
    </row>
    <row r="18">
      <c r="A18" s="48" t="n">
        <v>0.829</v>
      </c>
      <c r="B18" s="5" t="inlineStr">
        <is>
          <t>More 0.5</t>
        </is>
      </c>
      <c r="C18" s="5" t="inlineStr">
        <is>
          <t>Darnell Washington</t>
        </is>
      </c>
      <c r="D18" s="5" t="inlineStr">
        <is>
          <t>PIT</t>
        </is>
      </c>
      <c r="E18" s="5" t="inlineStr">
        <is>
          <t>Receptions</t>
        </is>
      </c>
      <c r="F18" s="5" t="n">
        <v>1.5</v>
      </c>
      <c r="G18" s="5" t="n">
        <v>-1</v>
      </c>
      <c r="H18" s="5" t="inlineStr">
        <is>
          <t>PIT @ CLE</t>
        </is>
      </c>
    </row>
    <row r="19">
      <c r="A19" s="48" t="n">
        <v>0.8090000000000001</v>
      </c>
      <c r="B19" s="5" t="inlineStr">
        <is>
          <t>Less 5.5</t>
        </is>
      </c>
      <c r="C19" s="5" t="inlineStr">
        <is>
          <t>Michael Pittman Jr.</t>
        </is>
      </c>
      <c r="D19" s="5" t="inlineStr">
        <is>
          <t>PIT</t>
        </is>
      </c>
      <c r="E19" s="5" t="inlineStr">
        <is>
          <t>Receptions</t>
        </is>
      </c>
      <c r="F19" s="5" t="n">
        <v>3.5</v>
      </c>
      <c r="G19" s="5" t="n">
        <v>2</v>
      </c>
      <c r="H19" s="5" t="inlineStr">
        <is>
          <t>PIT @ CLE</t>
        </is>
      </c>
    </row>
    <row r="20">
      <c r="A20" s="48" t="n">
        <v>0.8090000000000001</v>
      </c>
      <c r="B20" s="5" t="inlineStr">
        <is>
          <t>Less 34.5</t>
        </is>
      </c>
      <c r="C20" s="5" t="inlineStr">
        <is>
          <t>Travis Homer</t>
        </is>
      </c>
      <c r="D20" s="5" t="inlineStr">
        <is>
          <t>PIT</t>
        </is>
      </c>
      <c r="E20" s="5" t="inlineStr">
        <is>
          <t>Rush Yds</t>
        </is>
      </c>
      <c r="F20" s="5" t="n">
        <v>39.5</v>
      </c>
      <c r="G20" s="5" t="n">
        <v>-1</v>
      </c>
      <c r="H20" s="5" t="inlineStr">
        <is>
          <t>PIT @ CLE</t>
        </is>
      </c>
    </row>
    <row r="21">
      <c r="A21" s="48" t="n">
        <v>0.8090000000000001</v>
      </c>
      <c r="B21" s="5" t="inlineStr">
        <is>
          <t>More 1.5</t>
        </is>
      </c>
      <c r="C21" s="5" t="inlineStr">
        <is>
          <t>Michael Pittman Jr.</t>
        </is>
      </c>
      <c r="D21" s="5" t="inlineStr">
        <is>
          <t>PIT</t>
        </is>
      </c>
      <c r="E21" s="5" t="inlineStr">
        <is>
          <t>Receptions</t>
        </is>
      </c>
      <c r="F21" s="5" t="n">
        <v>3.5</v>
      </c>
      <c r="G21" s="5" t="n">
        <v>-2</v>
      </c>
      <c r="H21" s="5" t="inlineStr">
        <is>
          <t>PIT @ CLE</t>
        </is>
      </c>
    </row>
    <row r="22">
      <c r="A22" s="48" t="n">
        <v>0.806</v>
      </c>
      <c r="B22" s="5" t="inlineStr">
        <is>
          <t>More 0.5</t>
        </is>
      </c>
      <c r="C22" s="5" t="inlineStr">
        <is>
          <t>Quinshon Judkins</t>
        </is>
      </c>
      <c r="D22" s="5" t="inlineStr">
        <is>
          <t>CLE</t>
        </is>
      </c>
      <c r="E22" s="5" t="inlineStr">
        <is>
          <t>Receptions</t>
        </is>
      </c>
      <c r="F22" s="5" t="n">
        <v>2.5</v>
      </c>
      <c r="G22" s="5" t="n">
        <v>-2</v>
      </c>
      <c r="H22" s="5" t="inlineStr">
        <is>
          <t>PIT @ CLE</t>
        </is>
      </c>
    </row>
    <row r="23">
      <c r="A23" s="48" t="n">
        <v>0.795</v>
      </c>
      <c r="B23" s="5" t="inlineStr">
        <is>
          <t>More 1.5</t>
        </is>
      </c>
      <c r="C23" s="5" t="inlineStr">
        <is>
          <t>Jaylen Warren</t>
        </is>
      </c>
      <c r="D23" s="5" t="inlineStr">
        <is>
          <t>PIT</t>
        </is>
      </c>
      <c r="E23" s="5" t="inlineStr">
        <is>
          <t>Receptions</t>
        </is>
      </c>
      <c r="F23" s="5" t="n">
        <v>3.5</v>
      </c>
      <c r="G23" s="5" t="n">
        <v>-2</v>
      </c>
      <c r="H23" s="5" t="inlineStr">
        <is>
          <t>PIT @ CLE</t>
        </is>
      </c>
    </row>
    <row r="24">
      <c r="A24" s="48" t="n">
        <v>0.792</v>
      </c>
      <c r="B24" s="5" t="inlineStr">
        <is>
          <t>More 0.5</t>
        </is>
      </c>
      <c r="C24" s="5" t="inlineStr">
        <is>
          <t>Jerry Jeudy</t>
        </is>
      </c>
      <c r="D24" s="5" t="inlineStr">
        <is>
          <t>CLE</t>
        </is>
      </c>
      <c r="E24" s="5" t="inlineStr">
        <is>
          <t>Receptions</t>
        </is>
      </c>
      <c r="F24" s="5" t="n">
        <v>1.5</v>
      </c>
      <c r="G24" s="5" t="n">
        <v>-1</v>
      </c>
      <c r="H24" s="5" t="inlineStr">
        <is>
          <t>PIT @ CLE</t>
        </is>
      </c>
    </row>
    <row r="25">
      <c r="A25" s="48" t="n">
        <v>0.788</v>
      </c>
      <c r="B25" s="5" t="inlineStr">
        <is>
          <t>More 2.5</t>
        </is>
      </c>
      <c r="C25" s="5" t="inlineStr">
        <is>
          <t>Harold Fannin Jr.</t>
        </is>
      </c>
      <c r="D25" s="5" t="inlineStr">
        <is>
          <t>CLE</t>
        </is>
      </c>
      <c r="E25" s="5" t="inlineStr">
        <is>
          <t>Receptions</t>
        </is>
      </c>
      <c r="F25" s="5" t="n">
        <v>4.5</v>
      </c>
      <c r="G25" s="5" t="n">
        <v>-2</v>
      </c>
      <c r="H25" s="5" t="inlineStr">
        <is>
          <t>PIT @ CLE</t>
        </is>
      </c>
    </row>
    <row r="26">
      <c r="A26" s="48" t="n">
        <v>0.785</v>
      </c>
      <c r="B26" s="5" t="inlineStr">
        <is>
          <t>More 1.5</t>
        </is>
      </c>
      <c r="C26" s="5" t="inlineStr">
        <is>
          <t>Pat Freiermuth</t>
        </is>
      </c>
      <c r="D26" s="5" t="inlineStr">
        <is>
          <t>PIT</t>
        </is>
      </c>
      <c r="E26" s="5" t="inlineStr">
        <is>
          <t>Receptions</t>
        </is>
      </c>
      <c r="F26" s="5" t="n">
        <v>3.5</v>
      </c>
      <c r="G26" s="5" t="n">
        <v>-2</v>
      </c>
      <c r="H26" s="5" t="inlineStr">
        <is>
          <t>PIT @ CLE</t>
        </is>
      </c>
    </row>
    <row r="27">
      <c r="A27" s="48" t="n">
        <v>0.783</v>
      </c>
      <c r="B27" s="5" t="inlineStr">
        <is>
          <t>Less 3.5</t>
        </is>
      </c>
      <c r="C27" s="5" t="inlineStr">
        <is>
          <t>Roman Wilson</t>
        </is>
      </c>
      <c r="D27" s="5" t="inlineStr">
        <is>
          <t>PIT</t>
        </is>
      </c>
      <c r="E27" s="5" t="inlineStr">
        <is>
          <t>Receptions</t>
        </is>
      </c>
      <c r="F27" s="5" t="n">
        <v>2.5</v>
      </c>
      <c r="G27" s="5" t="n">
        <v>1</v>
      </c>
      <c r="H27" s="5" t="inlineStr">
        <is>
          <t>PIT @ CLE</t>
        </is>
      </c>
    </row>
    <row r="28">
      <c r="A28" s="48" t="n">
        <v>0.776</v>
      </c>
      <c r="B28" s="5" t="inlineStr">
        <is>
          <t>Less 5.5</t>
        </is>
      </c>
      <c r="C28" s="5" t="inlineStr">
        <is>
          <t>DK Metcalf</t>
        </is>
      </c>
      <c r="D28" s="5" t="inlineStr">
        <is>
          <t>PIT</t>
        </is>
      </c>
      <c r="E28" s="5" t="inlineStr">
        <is>
          <t>Receptions</t>
        </is>
      </c>
      <c r="F28" s="5" t="n">
        <v>3.5</v>
      </c>
      <c r="G28" s="5" t="n">
        <v>2</v>
      </c>
      <c r="H28" s="5" t="inlineStr">
        <is>
          <t>PIT @ CLE</t>
        </is>
      </c>
    </row>
    <row r="29">
      <c r="A29" s="48" t="n">
        <v>0.773</v>
      </c>
      <c r="B29" s="5" t="inlineStr">
        <is>
          <t>Less 5.5</t>
        </is>
      </c>
      <c r="C29" s="5" t="inlineStr">
        <is>
          <t>Aaron Rodgers</t>
        </is>
      </c>
      <c r="D29" s="5" t="inlineStr">
        <is>
          <t>PIT</t>
        </is>
      </c>
      <c r="E29" s="5" t="inlineStr">
        <is>
          <t>Rush Yds</t>
        </is>
      </c>
      <c r="F29" s="5" t="n">
        <v>1.5</v>
      </c>
      <c r="G29" s="5" t="n">
        <v>2</v>
      </c>
      <c r="H29" s="5" t="inlineStr">
        <is>
          <t>PIT @ CLE</t>
        </is>
      </c>
    </row>
    <row r="30">
      <c r="A30" s="48" t="n">
        <v>0.772</v>
      </c>
      <c r="B30" s="5" t="inlineStr">
        <is>
          <t>Less 3.5</t>
        </is>
      </c>
      <c r="C30" s="5" t="inlineStr">
        <is>
          <t>Raheim Sanders</t>
        </is>
      </c>
      <c r="D30" s="5" t="inlineStr">
        <is>
          <t>CLE</t>
        </is>
      </c>
      <c r="E30" s="5" t="inlineStr">
        <is>
          <t>Receptions</t>
        </is>
      </c>
      <c r="F30" s="5" t="n">
        <v>1.5</v>
      </c>
      <c r="G30" s="5" t="n">
        <v>2</v>
      </c>
      <c r="H30" s="5" t="inlineStr">
        <is>
          <t>PIT @ CLE</t>
        </is>
      </c>
    </row>
    <row r="31">
      <c r="A31" s="48" t="n">
        <v>0.772</v>
      </c>
      <c r="B31" s="5" t="inlineStr">
        <is>
          <t>Less 5.5</t>
        </is>
      </c>
      <c r="C31" s="5" t="inlineStr">
        <is>
          <t>Pat Freiermuth</t>
        </is>
      </c>
      <c r="D31" s="5" t="inlineStr">
        <is>
          <t>PIT</t>
        </is>
      </c>
      <c r="E31" s="5" t="inlineStr">
        <is>
          <t>Receptions</t>
        </is>
      </c>
      <c r="F31" s="5" t="n">
        <v>3.5</v>
      </c>
      <c r="G31" s="5" t="n">
        <v>2</v>
      </c>
      <c r="H31" s="5" t="inlineStr">
        <is>
          <t>PIT @ CLE</t>
        </is>
      </c>
    </row>
    <row r="32">
      <c r="A32" s="48" t="n">
        <v>0.77</v>
      </c>
      <c r="B32" s="5" t="inlineStr">
        <is>
          <t>Less 29.5</t>
        </is>
      </c>
      <c r="C32" s="5" t="inlineStr">
        <is>
          <t>Travis Homer</t>
        </is>
      </c>
      <c r="D32" s="5" t="inlineStr">
        <is>
          <t>PIT</t>
        </is>
      </c>
      <c r="E32" s="5" t="inlineStr">
        <is>
          <t>Rush Yds</t>
        </is>
      </c>
      <c r="F32" s="5" t="n">
        <v>39.5</v>
      </c>
      <c r="G32" s="5" t="n">
        <v>-2</v>
      </c>
      <c r="H32" s="5" t="inlineStr">
        <is>
          <t>PIT @ CLE</t>
        </is>
      </c>
    </row>
    <row r="33">
      <c r="A33" s="48" t="n">
        <v>0.762</v>
      </c>
      <c r="B33" s="5" t="inlineStr">
        <is>
          <t>Less 3.5</t>
        </is>
      </c>
      <c r="C33" s="5" t="inlineStr">
        <is>
          <t>Quinshon Judkins</t>
        </is>
      </c>
      <c r="D33" s="5" t="inlineStr">
        <is>
          <t>CLE</t>
        </is>
      </c>
      <c r="E33" s="5" t="inlineStr">
        <is>
          <t>Receptions</t>
        </is>
      </c>
      <c r="F33" s="5" t="n">
        <v>2.5</v>
      </c>
      <c r="G33" s="5" t="n">
        <v>1</v>
      </c>
      <c r="H33" s="5" t="inlineStr">
        <is>
          <t>PIT @ CLE</t>
        </is>
      </c>
    </row>
    <row r="34">
      <c r="A34" s="48" t="n">
        <v>0.759</v>
      </c>
      <c r="B34" s="5" t="inlineStr">
        <is>
          <t>More 2.5</t>
        </is>
      </c>
      <c r="C34" s="5" t="inlineStr">
        <is>
          <t>Germie Bernard</t>
        </is>
      </c>
      <c r="D34" s="5" t="inlineStr">
        <is>
          <t>PIT</t>
        </is>
      </c>
      <c r="E34" s="5" t="inlineStr">
        <is>
          <t>Rec Yds</t>
        </is>
      </c>
      <c r="F34" s="5" t="n">
        <v>6.5</v>
      </c>
      <c r="G34" s="5" t="n">
        <v>-2</v>
      </c>
      <c r="H34" s="5" t="inlineStr">
        <is>
          <t>PIT @ CLE</t>
        </is>
      </c>
    </row>
    <row r="35">
      <c r="A35" s="48" t="n">
        <v>0.757</v>
      </c>
      <c r="B35" s="5" t="inlineStr">
        <is>
          <t>More 0.5</t>
        </is>
      </c>
      <c r="C35" s="5" t="inlineStr">
        <is>
          <t>Raheim Sanders</t>
        </is>
      </c>
      <c r="D35" s="5" t="inlineStr">
        <is>
          <t>CLE</t>
        </is>
      </c>
      <c r="E35" s="5" t="inlineStr">
        <is>
          <t>Receptions</t>
        </is>
      </c>
      <c r="F35" s="5" t="n">
        <v>1.5</v>
      </c>
      <c r="G35" s="5" t="n">
        <v>-1</v>
      </c>
      <c r="H35" s="5" t="inlineStr">
        <is>
          <t>PIT @ CLE</t>
        </is>
      </c>
    </row>
    <row r="36">
      <c r="A36" s="48" t="n">
        <v>0.757</v>
      </c>
      <c r="B36" s="5" t="inlineStr">
        <is>
          <t>More 1.5</t>
        </is>
      </c>
      <c r="C36" s="5" t="inlineStr">
        <is>
          <t>Raheim Sanders</t>
        </is>
      </c>
      <c r="D36" s="5" t="inlineStr">
        <is>
          <t>CLE</t>
        </is>
      </c>
      <c r="E36" s="5" t="inlineStr">
        <is>
          <t>Rush Yds</t>
        </is>
      </c>
      <c r="F36" s="5" t="n">
        <v>5.5</v>
      </c>
      <c r="G36" s="5" t="n">
        <v>-2</v>
      </c>
      <c r="H36" s="5" t="inlineStr">
        <is>
          <t>PIT @ CLE</t>
        </is>
      </c>
    </row>
    <row r="37">
      <c r="A37" s="48" t="n">
        <v>0.756</v>
      </c>
      <c r="B37" s="5" t="inlineStr">
        <is>
          <t>More 1.5</t>
        </is>
      </c>
      <c r="C37" s="5" t="inlineStr">
        <is>
          <t>Denzel Boston</t>
        </is>
      </c>
      <c r="D37" s="5" t="inlineStr">
        <is>
          <t>CLE</t>
        </is>
      </c>
      <c r="E37" s="5" t="inlineStr">
        <is>
          <t>Receptions</t>
        </is>
      </c>
      <c r="F37" s="5" t="n">
        <v>2.5</v>
      </c>
      <c r="G37" s="5" t="n">
        <v>-1</v>
      </c>
      <c r="H37" s="5" t="inlineStr">
        <is>
          <t>PIT @ CLE</t>
        </is>
      </c>
    </row>
    <row r="38">
      <c r="A38" s="48" t="n">
        <v>0.749</v>
      </c>
      <c r="B38" s="5" t="inlineStr">
        <is>
          <t>Less 4.5</t>
        </is>
      </c>
      <c r="C38" s="5" t="inlineStr">
        <is>
          <t>Denzel Boston</t>
        </is>
      </c>
      <c r="D38" s="5" t="inlineStr">
        <is>
          <t>CLE</t>
        </is>
      </c>
      <c r="E38" s="5" t="inlineStr">
        <is>
          <t>Receptions</t>
        </is>
      </c>
      <c r="F38" s="5" t="n">
        <v>2.5</v>
      </c>
      <c r="G38" s="5" t="n">
        <v>2</v>
      </c>
      <c r="H38" s="5" t="inlineStr">
        <is>
          <t>PIT @ CLE</t>
        </is>
      </c>
    </row>
    <row r="39">
      <c r="A39" s="48" t="n">
        <v>0.745</v>
      </c>
      <c r="B39" s="5" t="inlineStr">
        <is>
          <t>Less 3.5</t>
        </is>
      </c>
      <c r="C39" s="5" t="inlineStr">
        <is>
          <t>Darnell Washington</t>
        </is>
      </c>
      <c r="D39" s="5" t="inlineStr">
        <is>
          <t>PIT</t>
        </is>
      </c>
      <c r="E39" s="5" t="inlineStr">
        <is>
          <t>Receptions</t>
        </is>
      </c>
      <c r="F39" s="5" t="n">
        <v>1.5</v>
      </c>
      <c r="G39" s="5" t="n">
        <v>2</v>
      </c>
      <c r="H39" s="5" t="inlineStr">
        <is>
          <t>PIT @ CLE</t>
        </is>
      </c>
    </row>
    <row r="40">
      <c r="A40" s="48" t="n">
        <v>0.74</v>
      </c>
      <c r="B40" s="5" t="inlineStr">
        <is>
          <t>Less 5.5</t>
        </is>
      </c>
      <c r="C40" s="5" t="inlineStr">
        <is>
          <t>Jaylen Warren</t>
        </is>
      </c>
      <c r="D40" s="5" t="inlineStr">
        <is>
          <t>PIT</t>
        </is>
      </c>
      <c r="E40" s="5" t="inlineStr">
        <is>
          <t>Receptions</t>
        </is>
      </c>
      <c r="F40" s="5" t="n">
        <v>3.5</v>
      </c>
      <c r="G40" s="5" t="n">
        <v>2</v>
      </c>
      <c r="H40" s="5" t="inlineStr">
        <is>
          <t>PIT @ CLE</t>
        </is>
      </c>
    </row>
    <row r="41">
      <c r="A41" s="48" t="n">
        <v>0.702</v>
      </c>
      <c r="B41" s="5" t="inlineStr">
        <is>
          <t>More 2.5</t>
        </is>
      </c>
      <c r="C41" s="5" t="inlineStr">
        <is>
          <t>DK Metcalf</t>
        </is>
      </c>
      <c r="D41" s="5" t="inlineStr">
        <is>
          <t>PIT</t>
        </is>
      </c>
      <c r="E41" s="5" t="inlineStr">
        <is>
          <t>Receptions</t>
        </is>
      </c>
      <c r="F41" s="5" t="n">
        <v>3.5</v>
      </c>
      <c r="G41" s="5" t="n">
        <v>-1</v>
      </c>
      <c r="H41" s="5" t="inlineStr">
        <is>
          <t>PIT @ CLE</t>
        </is>
      </c>
    </row>
    <row r="42">
      <c r="A42" s="48" t="n">
        <v>0.7</v>
      </c>
      <c r="B42" s="5" t="inlineStr">
        <is>
          <t>More 2.5</t>
        </is>
      </c>
      <c r="C42" s="5" t="inlineStr">
        <is>
          <t>Jaylen Warren</t>
        </is>
      </c>
      <c r="D42" s="5" t="inlineStr">
        <is>
          <t>PIT</t>
        </is>
      </c>
      <c r="E42" s="5" t="inlineStr">
        <is>
          <t>Receptions</t>
        </is>
      </c>
      <c r="F42" s="5" t="n">
        <v>3.5</v>
      </c>
      <c r="G42" s="5" t="n">
        <v>-1</v>
      </c>
      <c r="H42" s="5" t="inlineStr">
        <is>
          <t>PIT @ CLE</t>
        </is>
      </c>
    </row>
    <row r="43">
      <c r="A43" s="48" t="n">
        <v>0.7</v>
      </c>
      <c r="B43" s="5" t="inlineStr">
        <is>
          <t>More 0.5</t>
        </is>
      </c>
      <c r="C43" s="5" t="inlineStr">
        <is>
          <t>Aaron Rodgers</t>
        </is>
      </c>
      <c r="D43" s="5" t="inlineStr">
        <is>
          <t>PIT</t>
        </is>
      </c>
      <c r="E43" s="5" t="inlineStr">
        <is>
          <t>Pass TDs</t>
        </is>
      </c>
      <c r="F43" s="5" t="n">
        <v>1.5</v>
      </c>
      <c r="G43" s="5" t="n">
        <v>-1</v>
      </c>
      <c r="H43" s="5" t="inlineStr">
        <is>
          <t>PIT @ CLE</t>
        </is>
      </c>
    </row>
    <row r="44">
      <c r="A44" s="48" t="n">
        <v>0.699</v>
      </c>
      <c r="B44" s="5" t="inlineStr">
        <is>
          <t>Less 6.5</t>
        </is>
      </c>
      <c r="C44" s="5" t="inlineStr">
        <is>
          <t>Harold Fannin Jr.</t>
        </is>
      </c>
      <c r="D44" s="5" t="inlineStr">
        <is>
          <t>CLE</t>
        </is>
      </c>
      <c r="E44" s="5" t="inlineStr">
        <is>
          <t>Receptions</t>
        </is>
      </c>
      <c r="F44" s="5" t="n">
        <v>4.5</v>
      </c>
      <c r="G44" s="5" t="n">
        <v>2</v>
      </c>
      <c r="H44" s="5" t="inlineStr">
        <is>
          <t>PIT @ CLE</t>
        </is>
      </c>
    </row>
    <row r="45">
      <c r="A45" s="48" t="n">
        <v>0.699</v>
      </c>
      <c r="B45" s="5" t="inlineStr">
        <is>
          <t>Less 10.5</t>
        </is>
      </c>
      <c r="C45" s="5" t="inlineStr">
        <is>
          <t>Germie Bernard</t>
        </is>
      </c>
      <c r="D45" s="5" t="inlineStr">
        <is>
          <t>PIT</t>
        </is>
      </c>
      <c r="E45" s="5" t="inlineStr">
        <is>
          <t>Rec Yds</t>
        </is>
      </c>
      <c r="F45" s="5" t="n">
        <v>6.5</v>
      </c>
      <c r="G45" s="5" t="n">
        <v>2</v>
      </c>
      <c r="H45" s="5" t="inlineStr">
        <is>
          <t>PIT @ CLE</t>
        </is>
      </c>
    </row>
    <row r="46">
      <c r="A46" s="48" t="n">
        <v>0.698</v>
      </c>
      <c r="B46" s="5" t="inlineStr">
        <is>
          <t>Less 1.5</t>
        </is>
      </c>
      <c r="C46" s="5" t="inlineStr">
        <is>
          <t>Deshaun Watson</t>
        </is>
      </c>
      <c r="D46" s="5" t="inlineStr">
        <is>
          <t>CLE</t>
        </is>
      </c>
      <c r="E46" s="5" t="inlineStr">
        <is>
          <t>Pass TDs</t>
        </is>
      </c>
      <c r="F46" s="5" t="n">
        <v>0.5</v>
      </c>
      <c r="G46" s="5" t="n">
        <v>1</v>
      </c>
      <c r="H46" s="5" t="inlineStr">
        <is>
          <t>PIT @ CLE</t>
        </is>
      </c>
    </row>
    <row r="47">
      <c r="A47" s="48" t="n">
        <v>0.6899999999999999</v>
      </c>
      <c r="B47" s="5" t="inlineStr">
        <is>
          <t>More 19.5</t>
        </is>
      </c>
      <c r="C47" s="5" t="inlineStr">
        <is>
          <t>Deshaun Watson</t>
        </is>
      </c>
      <c r="D47" s="5" t="inlineStr">
        <is>
          <t>CLE</t>
        </is>
      </c>
      <c r="E47" s="5" t="inlineStr">
        <is>
          <t>Rush Yds</t>
        </is>
      </c>
      <c r="F47" s="5" t="n">
        <v>29.5</v>
      </c>
      <c r="G47" s="5" t="n">
        <v>-2</v>
      </c>
      <c r="H47" s="5" t="inlineStr">
        <is>
          <t>PIT @ CLE</t>
        </is>
      </c>
    </row>
    <row r="48">
      <c r="A48" s="48" t="n">
        <v>0.6850000000000001</v>
      </c>
      <c r="B48" s="5" t="inlineStr">
        <is>
          <t>Less 4.5</t>
        </is>
      </c>
      <c r="C48" s="5" t="inlineStr">
        <is>
          <t>Michael Pittman Jr.</t>
        </is>
      </c>
      <c r="D48" s="5" t="inlineStr">
        <is>
          <t>PIT</t>
        </is>
      </c>
      <c r="E48" s="5" t="inlineStr">
        <is>
          <t>Receptions</t>
        </is>
      </c>
      <c r="F48" s="5" t="n">
        <v>3.5</v>
      </c>
      <c r="G48" s="5" t="n">
        <v>1</v>
      </c>
      <c r="H48" s="5" t="inlineStr">
        <is>
          <t>PIT @ CLE</t>
        </is>
      </c>
    </row>
    <row r="49">
      <c r="A49" s="48" t="n">
        <v>0.675</v>
      </c>
      <c r="B49" s="5" t="inlineStr">
        <is>
          <t>Less 3.5</t>
        </is>
      </c>
      <c r="C49" s="5" t="inlineStr">
        <is>
          <t>Aaron Rodgers</t>
        </is>
      </c>
      <c r="D49" s="5" t="inlineStr">
        <is>
          <t>PIT</t>
        </is>
      </c>
      <c r="E49" s="5" t="inlineStr">
        <is>
          <t>Rush Yds</t>
        </is>
      </c>
      <c r="F49" s="5" t="n">
        <v>1.5</v>
      </c>
      <c r="G49" s="5" t="n">
        <v>1</v>
      </c>
      <c r="H49" s="5" t="inlineStr">
        <is>
          <t>PIT @ CLE</t>
        </is>
      </c>
    </row>
    <row r="50">
      <c r="A50" s="48" t="n">
        <v>0.674</v>
      </c>
      <c r="B50" s="5" t="inlineStr">
        <is>
          <t>More 22.5</t>
        </is>
      </c>
      <c r="C50" s="5" t="inlineStr">
        <is>
          <t>Michael Pittman Jr.</t>
        </is>
      </c>
      <c r="D50" s="5" t="inlineStr">
        <is>
          <t>PIT</t>
        </is>
      </c>
      <c r="E50" s="5" t="inlineStr">
        <is>
          <t>Rush+Rec Yds</t>
        </is>
      </c>
      <c r="F50" s="5" t="n">
        <v>32.5</v>
      </c>
      <c r="G50" s="5" t="n">
        <v>-2</v>
      </c>
      <c r="H50" s="5" t="inlineStr">
        <is>
          <t>PIT @ CLE</t>
        </is>
      </c>
    </row>
    <row r="51">
      <c r="A51" s="48" t="n">
        <v>0.661</v>
      </c>
      <c r="B51" s="5" t="inlineStr">
        <is>
          <t>Less 9.5</t>
        </is>
      </c>
      <c r="C51" s="5" t="inlineStr">
        <is>
          <t>Raheim Sanders</t>
        </is>
      </c>
      <c r="D51" s="5" t="inlineStr">
        <is>
          <t>CLE</t>
        </is>
      </c>
      <c r="E51" s="5" t="inlineStr">
        <is>
          <t>Rush Yds</t>
        </is>
      </c>
      <c r="F51" s="5" t="n">
        <v>5.5</v>
      </c>
      <c r="G51" s="5" t="n">
        <v>2</v>
      </c>
      <c r="H51" s="5" t="inlineStr">
        <is>
          <t>PIT @ CLE</t>
        </is>
      </c>
    </row>
    <row r="52">
      <c r="A52" s="48" t="n">
        <v>0.659</v>
      </c>
      <c r="B52" s="5" t="inlineStr">
        <is>
          <t>Less 39.5</t>
        </is>
      </c>
      <c r="C52" s="5" t="inlineStr">
        <is>
          <t>Deshaun Watson</t>
        </is>
      </c>
      <c r="D52" s="5" t="inlineStr">
        <is>
          <t>CLE</t>
        </is>
      </c>
      <c r="E52" s="5" t="inlineStr">
        <is>
          <t>Rush Yds</t>
        </is>
      </c>
      <c r="F52" s="5" t="n">
        <v>29.5</v>
      </c>
      <c r="G52" s="5" t="n">
        <v>2</v>
      </c>
      <c r="H52" s="5" t="inlineStr">
        <is>
          <t>PIT @ CLE</t>
        </is>
      </c>
    </row>
    <row r="53">
      <c r="A53" s="48" t="n">
        <v>0.657</v>
      </c>
      <c r="B53" s="5" t="inlineStr">
        <is>
          <t>More 2.5</t>
        </is>
      </c>
      <c r="C53" s="5" t="inlineStr">
        <is>
          <t>Pat Freiermuth</t>
        </is>
      </c>
      <c r="D53" s="5" t="inlineStr">
        <is>
          <t>PIT</t>
        </is>
      </c>
      <c r="E53" s="5" t="inlineStr">
        <is>
          <t>Receptions</t>
        </is>
      </c>
      <c r="F53" s="5" t="n">
        <v>3.5</v>
      </c>
      <c r="G53" s="5" t="n">
        <v>-1</v>
      </c>
      <c r="H53" s="5" t="inlineStr">
        <is>
          <t>PIT @ CLE</t>
        </is>
      </c>
    </row>
    <row r="54">
      <c r="A54" s="48" t="n">
        <v>0.652</v>
      </c>
      <c r="B54" s="5" t="inlineStr">
        <is>
          <t>More 26.5</t>
        </is>
      </c>
      <c r="C54" s="5" t="inlineStr">
        <is>
          <t>Denzel Boston</t>
        </is>
      </c>
      <c r="D54" s="5" t="inlineStr">
        <is>
          <t>CLE</t>
        </is>
      </c>
      <c r="E54" s="5" t="inlineStr">
        <is>
          <t>Rush+Rec Yds</t>
        </is>
      </c>
      <c r="F54" s="5" t="n">
        <v>36.5</v>
      </c>
      <c r="G54" s="5" t="n">
        <v>-2</v>
      </c>
      <c r="H54" s="5" t="inlineStr">
        <is>
          <t>PIT @ CLE</t>
        </is>
      </c>
    </row>
    <row r="55">
      <c r="A55" s="48" t="n">
        <v>0.652</v>
      </c>
      <c r="B55" s="5" t="inlineStr">
        <is>
          <t>Less 42.5</t>
        </is>
      </c>
      <c r="C55" s="5" t="inlineStr">
        <is>
          <t>Michael Pittman Jr.</t>
        </is>
      </c>
      <c r="D55" s="5" t="inlineStr">
        <is>
          <t>PIT</t>
        </is>
      </c>
      <c r="E55" s="5" t="inlineStr">
        <is>
          <t>Rush+Rec Yds</t>
        </is>
      </c>
      <c r="F55" s="5" t="n">
        <v>32.5</v>
      </c>
      <c r="G55" s="5" t="n">
        <v>2</v>
      </c>
      <c r="H55" s="5" t="inlineStr">
        <is>
          <t>PIT @ CLE</t>
        </is>
      </c>
    </row>
    <row r="56">
      <c r="A56" s="48" t="n">
        <v>0.65</v>
      </c>
      <c r="B56" s="5" t="inlineStr">
        <is>
          <t>More 3.5</t>
        </is>
      </c>
      <c r="C56" s="5" t="inlineStr">
        <is>
          <t>Harold Fannin Jr.</t>
        </is>
      </c>
      <c r="D56" s="5" t="inlineStr">
        <is>
          <t>CLE</t>
        </is>
      </c>
      <c r="E56" s="5" t="inlineStr">
        <is>
          <t>Receptions</t>
        </is>
      </c>
      <c r="F56" s="5" t="n">
        <v>4.5</v>
      </c>
      <c r="G56" s="5" t="n">
        <v>-1</v>
      </c>
      <c r="H56" s="5" t="inlineStr">
        <is>
          <t>PIT @ CLE</t>
        </is>
      </c>
    </row>
    <row r="57">
      <c r="A57" s="48" t="n">
        <v>0.648</v>
      </c>
      <c r="B57" s="5" t="inlineStr">
        <is>
          <t>More 32.5</t>
        </is>
      </c>
      <c r="C57" s="5" t="inlineStr">
        <is>
          <t>DK Metcalf</t>
        </is>
      </c>
      <c r="D57" s="5" t="inlineStr">
        <is>
          <t>PIT</t>
        </is>
      </c>
      <c r="E57" s="5" t="inlineStr">
        <is>
          <t>Rush+Rec Yds</t>
        </is>
      </c>
      <c r="F57" s="5" t="n">
        <v>42.5</v>
      </c>
      <c r="G57" s="5" t="n">
        <v>-2</v>
      </c>
      <c r="H57" s="5" t="inlineStr">
        <is>
          <t>PIT @ CLE</t>
        </is>
      </c>
    </row>
    <row r="58">
      <c r="A58" s="48" t="n">
        <v>0.646</v>
      </c>
      <c r="B58" s="5" t="inlineStr">
        <is>
          <t>Less 4.5</t>
        </is>
      </c>
      <c r="C58" s="5" t="inlineStr">
        <is>
          <t>Jaylen Warren</t>
        </is>
      </c>
      <c r="D58" s="5" t="inlineStr">
        <is>
          <t>PIT</t>
        </is>
      </c>
      <c r="E58" s="5" t="inlineStr">
        <is>
          <t>Receptions</t>
        </is>
      </c>
      <c r="F58" s="5" t="n">
        <v>3.5</v>
      </c>
      <c r="G58" s="5" t="n">
        <v>1</v>
      </c>
      <c r="H58" s="5" t="inlineStr">
        <is>
          <t>PIT @ CLE</t>
        </is>
      </c>
    </row>
    <row r="59">
      <c r="A59" s="48" t="n">
        <v>0.646</v>
      </c>
      <c r="B59" s="5" t="inlineStr">
        <is>
          <t>More 0.5</t>
        </is>
      </c>
      <c r="C59" s="5" t="inlineStr">
        <is>
          <t>Deshaun Watson</t>
        </is>
      </c>
      <c r="D59" s="5" t="inlineStr">
        <is>
          <t>CLE</t>
        </is>
      </c>
      <c r="E59" s="5" t="inlineStr">
        <is>
          <t>Pass TDs</t>
        </is>
      </c>
      <c r="F59" s="5" t="n">
        <v>0.5</v>
      </c>
      <c r="G59" s="5" t="n">
        <v>0</v>
      </c>
      <c r="H59" s="5" t="inlineStr">
        <is>
          <t>PIT @ CLE</t>
        </is>
      </c>
    </row>
    <row r="60">
      <c r="A60" s="48" t="n">
        <v>0.643</v>
      </c>
      <c r="B60" s="5" t="inlineStr">
        <is>
          <t>Less 4.5</t>
        </is>
      </c>
      <c r="C60" s="5" t="inlineStr">
        <is>
          <t>DK Metcalf</t>
        </is>
      </c>
      <c r="D60" s="5" t="inlineStr">
        <is>
          <t>PIT</t>
        </is>
      </c>
      <c r="E60" s="5" t="inlineStr">
        <is>
          <t>Receptions</t>
        </is>
      </c>
      <c r="F60" s="5" t="n">
        <v>3.5</v>
      </c>
      <c r="G60" s="5" t="n">
        <v>1</v>
      </c>
      <c r="H60" s="5" t="inlineStr">
        <is>
          <t>PIT @ CLE</t>
        </is>
      </c>
    </row>
    <row r="61">
      <c r="A61" s="48" t="n">
        <v>0.64</v>
      </c>
      <c r="B61" s="5" t="inlineStr">
        <is>
          <t>More 2.5</t>
        </is>
      </c>
      <c r="C61" s="5" t="inlineStr">
        <is>
          <t>Michael Pittman Jr.</t>
        </is>
      </c>
      <c r="D61" s="5" t="inlineStr">
        <is>
          <t>PIT</t>
        </is>
      </c>
      <c r="E61" s="5" t="inlineStr">
        <is>
          <t>Receptions</t>
        </is>
      </c>
      <c r="F61" s="5" t="n">
        <v>3.5</v>
      </c>
      <c r="G61" s="5" t="n">
        <v>-1</v>
      </c>
      <c r="H61" s="5" t="inlineStr">
        <is>
          <t>PIT @ CLE</t>
        </is>
      </c>
    </row>
    <row r="62">
      <c r="A62" s="48" t="n">
        <v>0.639</v>
      </c>
      <c r="B62" s="5" t="inlineStr">
        <is>
          <t>More 18.5</t>
        </is>
      </c>
      <c r="C62" s="5" t="inlineStr">
        <is>
          <t>Pat Freiermuth</t>
        </is>
      </c>
      <c r="D62" s="5" t="inlineStr">
        <is>
          <t>PIT</t>
        </is>
      </c>
      <c r="E62" s="5" t="inlineStr">
        <is>
          <t>Rec Yds</t>
        </is>
      </c>
      <c r="F62" s="5" t="n">
        <v>28.5</v>
      </c>
      <c r="G62" s="5" t="n">
        <v>-2</v>
      </c>
      <c r="H62" s="5" t="inlineStr">
        <is>
          <t>PIT @ CLE</t>
        </is>
      </c>
    </row>
    <row r="63">
      <c r="A63" s="48" t="n">
        <v>0.639</v>
      </c>
      <c r="B63" s="5" t="inlineStr">
        <is>
          <t>Less 1.5</t>
        </is>
      </c>
      <c r="C63" s="5" t="inlineStr">
        <is>
          <t>Aaron Rodgers</t>
        </is>
      </c>
      <c r="D63" s="5" t="inlineStr">
        <is>
          <t>PIT</t>
        </is>
      </c>
      <c r="E63" s="5" t="inlineStr">
        <is>
          <t>Pass TDs</t>
        </is>
      </c>
      <c r="F63" s="5" t="n">
        <v>1.5</v>
      </c>
      <c r="G63" s="5" t="n">
        <v>0</v>
      </c>
      <c r="H63" s="5" t="inlineStr">
        <is>
          <t>PIT @ CLE</t>
        </is>
      </c>
    </row>
    <row r="64">
      <c r="A64" s="48" t="n">
        <v>0.638</v>
      </c>
      <c r="B64" s="5" t="inlineStr">
        <is>
          <t>More 30.5</t>
        </is>
      </c>
      <c r="C64" s="5" t="inlineStr">
        <is>
          <t>Harold Fannin Jr.</t>
        </is>
      </c>
      <c r="D64" s="5" t="inlineStr">
        <is>
          <t>CLE</t>
        </is>
      </c>
      <c r="E64" s="5" t="inlineStr">
        <is>
          <t>Rec Yds</t>
        </is>
      </c>
      <c r="F64" s="5" t="n">
        <v>40.5</v>
      </c>
      <c r="G64" s="5" t="n">
        <v>-2</v>
      </c>
      <c r="H64" s="5" t="inlineStr">
        <is>
          <t>PIT @ CLE</t>
        </is>
      </c>
    </row>
    <row r="65">
      <c r="A65" s="48" t="n">
        <v>0.637</v>
      </c>
      <c r="B65" s="5" t="inlineStr">
        <is>
          <t>Less 4.5</t>
        </is>
      </c>
      <c r="C65" s="5" t="inlineStr">
        <is>
          <t>Pat Freiermuth</t>
        </is>
      </c>
      <c r="D65" s="5" t="inlineStr">
        <is>
          <t>PIT</t>
        </is>
      </c>
      <c r="E65" s="5" t="inlineStr">
        <is>
          <t>Receptions</t>
        </is>
      </c>
      <c r="F65" s="5" t="n">
        <v>3.5</v>
      </c>
      <c r="G65" s="5" t="n">
        <v>1</v>
      </c>
      <c r="H65" s="5" t="inlineStr">
        <is>
          <t>PIT @ CLE</t>
        </is>
      </c>
    </row>
    <row r="66">
      <c r="A66" s="48" t="n">
        <v>0.636</v>
      </c>
      <c r="B66" s="5" t="inlineStr">
        <is>
          <t>More 3.5</t>
        </is>
      </c>
      <c r="C66" s="5" t="inlineStr">
        <is>
          <t>Raheim Sanders</t>
        </is>
      </c>
      <c r="D66" s="5" t="inlineStr">
        <is>
          <t>CLE</t>
        </is>
      </c>
      <c r="E66" s="5" t="inlineStr">
        <is>
          <t>Rush Yds</t>
        </is>
      </c>
      <c r="F66" s="5" t="n">
        <v>5.5</v>
      </c>
      <c r="G66" s="5" t="n">
        <v>-1</v>
      </c>
      <c r="H66" s="5" t="inlineStr">
        <is>
          <t>PIT @ CLE</t>
        </is>
      </c>
    </row>
    <row r="67">
      <c r="A67" s="48" t="n">
        <v>0.634</v>
      </c>
      <c r="B67" s="5" t="inlineStr">
        <is>
          <t>More 24.5</t>
        </is>
      </c>
      <c r="C67" s="5" t="inlineStr">
        <is>
          <t>Michael Pittman Jr.</t>
        </is>
      </c>
      <c r="D67" s="5" t="inlineStr">
        <is>
          <t>PIT</t>
        </is>
      </c>
      <c r="E67" s="5" t="inlineStr">
        <is>
          <t>Rec Yds</t>
        </is>
      </c>
      <c r="F67" s="5" t="n">
        <v>34.5</v>
      </c>
      <c r="G67" s="5" t="n">
        <v>-2</v>
      </c>
      <c r="H67" s="5" t="inlineStr">
        <is>
          <t>PIT @ CLE</t>
        </is>
      </c>
    </row>
    <row r="68">
      <c r="A68" s="48" t="n">
        <v>0.633</v>
      </c>
      <c r="B68" s="5" t="inlineStr">
        <is>
          <t>More 31.5</t>
        </is>
      </c>
      <c r="C68" s="5" t="inlineStr">
        <is>
          <t>DK Metcalf</t>
        </is>
      </c>
      <c r="D68" s="5" t="inlineStr">
        <is>
          <t>PIT</t>
        </is>
      </c>
      <c r="E68" s="5" t="inlineStr">
        <is>
          <t>Rec Yds</t>
        </is>
      </c>
      <c r="F68" s="5" t="n">
        <v>41.5</v>
      </c>
      <c r="G68" s="5" t="n">
        <v>-2</v>
      </c>
      <c r="H68" s="5" t="inlineStr">
        <is>
          <t>PIT @ CLE</t>
        </is>
      </c>
    </row>
    <row r="69">
      <c r="A69" s="48" t="n">
        <v>0.632</v>
      </c>
      <c r="B69" s="5" t="inlineStr">
        <is>
          <t>More 27.5</t>
        </is>
      </c>
      <c r="C69" s="5" t="inlineStr">
        <is>
          <t>Denzel Boston</t>
        </is>
      </c>
      <c r="D69" s="5" t="inlineStr">
        <is>
          <t>CLE</t>
        </is>
      </c>
      <c r="E69" s="5" t="inlineStr">
        <is>
          <t>Rec Yds</t>
        </is>
      </c>
      <c r="F69" s="5" t="n">
        <v>37.5</v>
      </c>
      <c r="G69" s="5" t="n">
        <v>-2</v>
      </c>
      <c r="H69" s="5" t="inlineStr">
        <is>
          <t>PIT @ CLE</t>
        </is>
      </c>
    </row>
    <row r="70">
      <c r="A70" s="48" t="n">
        <v>0.632</v>
      </c>
      <c r="B70" s="5" t="inlineStr">
        <is>
          <t>Less 46.5</t>
        </is>
      </c>
      <c r="C70" s="5" t="inlineStr">
        <is>
          <t>Denzel Boston</t>
        </is>
      </c>
      <c r="D70" s="5" t="inlineStr">
        <is>
          <t>CLE</t>
        </is>
      </c>
      <c r="E70" s="5" t="inlineStr">
        <is>
          <t>Rush+Rec Yds</t>
        </is>
      </c>
      <c r="F70" s="5" t="n">
        <v>36.5</v>
      </c>
      <c r="G70" s="5" t="n">
        <v>2</v>
      </c>
      <c r="H70" s="5" t="inlineStr">
        <is>
          <t>PIT @ CLE</t>
        </is>
      </c>
    </row>
    <row r="71">
      <c r="A71" s="48" t="n">
        <v>0.627</v>
      </c>
      <c r="B71" s="5" t="inlineStr">
        <is>
          <t>More 9.5</t>
        </is>
      </c>
      <c r="C71" s="5" t="inlineStr">
        <is>
          <t>Jerry Jeudy</t>
        </is>
      </c>
      <c r="D71" s="5" t="inlineStr">
        <is>
          <t>CLE</t>
        </is>
      </c>
      <c r="E71" s="5" t="inlineStr">
        <is>
          <t>Rec Yds</t>
        </is>
      </c>
      <c r="F71" s="5" t="n">
        <v>13.5</v>
      </c>
      <c r="G71" s="5" t="n">
        <v>-2</v>
      </c>
      <c r="H71" s="5" t="inlineStr">
        <is>
          <t>PIT @ CLE</t>
        </is>
      </c>
    </row>
    <row r="72">
      <c r="A72" s="48" t="n">
        <v>0.626</v>
      </c>
      <c r="B72" s="5" t="inlineStr">
        <is>
          <t>Less 47.5</t>
        </is>
      </c>
      <c r="C72" s="5" t="inlineStr">
        <is>
          <t>Denzel Boston</t>
        </is>
      </c>
      <c r="D72" s="5" t="inlineStr">
        <is>
          <t>CLE</t>
        </is>
      </c>
      <c r="E72" s="5" t="inlineStr">
        <is>
          <t>Rec Yds</t>
        </is>
      </c>
      <c r="F72" s="5" t="n">
        <v>37.5</v>
      </c>
      <c r="G72" s="5" t="n">
        <v>2</v>
      </c>
      <c r="H72" s="5" t="inlineStr">
        <is>
          <t>PIT @ CLE</t>
        </is>
      </c>
    </row>
    <row r="73">
      <c r="A73" s="48" t="n">
        <v>0.626</v>
      </c>
      <c r="B73" s="5" t="inlineStr">
        <is>
          <t>More 167.5</t>
        </is>
      </c>
      <c r="C73" s="5" t="inlineStr">
        <is>
          <t>Deshaun Watson</t>
        </is>
      </c>
      <c r="D73" s="5" t="inlineStr">
        <is>
          <t>CLE</t>
        </is>
      </c>
      <c r="E73" s="5" t="inlineStr">
        <is>
          <t>Pass Yds</t>
        </is>
      </c>
      <c r="F73" s="5" t="n">
        <v>187.5</v>
      </c>
      <c r="G73" s="5" t="n">
        <v>-2</v>
      </c>
      <c r="H73" s="5" t="inlineStr">
        <is>
          <t>PIT @ CLE</t>
        </is>
      </c>
    </row>
    <row r="74">
      <c r="A74" s="48" t="n">
        <v>0.624</v>
      </c>
      <c r="B74" s="5" t="inlineStr">
        <is>
          <t>More 45.5</t>
        </is>
      </c>
      <c r="C74" s="5" t="inlineStr">
        <is>
          <t>Quinshon Judkins</t>
        </is>
      </c>
      <c r="D74" s="5" t="inlineStr">
        <is>
          <t>CLE</t>
        </is>
      </c>
      <c r="E74" s="5" t="inlineStr">
        <is>
          <t>Rush Yds</t>
        </is>
      </c>
      <c r="F74" s="5" t="n">
        <v>55.5</v>
      </c>
      <c r="G74" s="5" t="n">
        <v>-2</v>
      </c>
      <c r="H74" s="5" t="inlineStr">
        <is>
          <t>PIT @ CLE</t>
        </is>
      </c>
    </row>
    <row r="75">
      <c r="A75" s="48" t="n">
        <v>0.623</v>
      </c>
      <c r="B75" s="5" t="inlineStr">
        <is>
          <t>Less 52.5</t>
        </is>
      </c>
      <c r="C75" s="5" t="inlineStr">
        <is>
          <t>DK Metcalf</t>
        </is>
      </c>
      <c r="D75" s="5" t="inlineStr">
        <is>
          <t>PIT</t>
        </is>
      </c>
      <c r="E75" s="5" t="inlineStr">
        <is>
          <t>Rush+Rec Yds</t>
        </is>
      </c>
      <c r="F75" s="5" t="n">
        <v>42.5</v>
      </c>
      <c r="G75" s="5" t="n">
        <v>2</v>
      </c>
      <c r="H75" s="5" t="inlineStr">
        <is>
          <t>PIT @ CLE</t>
        </is>
      </c>
    </row>
    <row r="76">
      <c r="A76" s="48" t="n">
        <v>0.622</v>
      </c>
      <c r="B76" s="5" t="inlineStr">
        <is>
          <t>More 11.5</t>
        </is>
      </c>
      <c r="C76" s="5" t="inlineStr">
        <is>
          <t>Jerry Jeudy</t>
        </is>
      </c>
      <c r="D76" s="5" t="inlineStr">
        <is>
          <t>CLE</t>
        </is>
      </c>
      <c r="E76" s="5" t="inlineStr">
        <is>
          <t>Rush+Rec Yds</t>
        </is>
      </c>
      <c r="F76" s="5" t="n">
        <v>15.5</v>
      </c>
      <c r="G76" s="5" t="n">
        <v>-2</v>
      </c>
      <c r="H76" s="5" t="inlineStr">
        <is>
          <t>PIT @ CLE</t>
        </is>
      </c>
    </row>
    <row r="77">
      <c r="A77" s="48" t="n">
        <v>0.621</v>
      </c>
      <c r="B77" s="5" t="inlineStr">
        <is>
          <t>More 192.5</t>
        </is>
      </c>
      <c r="C77" s="5" t="inlineStr">
        <is>
          <t>Aaron Rodgers</t>
        </is>
      </c>
      <c r="D77" s="5" t="inlineStr">
        <is>
          <t>PIT</t>
        </is>
      </c>
      <c r="E77" s="5" t="inlineStr">
        <is>
          <t>Pass Yds</t>
        </is>
      </c>
      <c r="F77" s="5" t="n">
        <v>212.5</v>
      </c>
      <c r="G77" s="5" t="n">
        <v>-2</v>
      </c>
      <c r="H77" s="5" t="inlineStr">
        <is>
          <t>PIT @ CLE</t>
        </is>
      </c>
    </row>
    <row r="78">
      <c r="A78" s="48" t="n">
        <v>0.618</v>
      </c>
      <c r="B78" s="5" t="inlineStr">
        <is>
          <t>More 4.5</t>
        </is>
      </c>
      <c r="C78" s="5" t="inlineStr">
        <is>
          <t>Germie Bernard</t>
        </is>
      </c>
      <c r="D78" s="5" t="inlineStr">
        <is>
          <t>PIT</t>
        </is>
      </c>
      <c r="E78" s="5" t="inlineStr">
        <is>
          <t>Rec Yds</t>
        </is>
      </c>
      <c r="F78" s="5" t="n">
        <v>6.5</v>
      </c>
      <c r="G78" s="5" t="n">
        <v>-1</v>
      </c>
      <c r="H78" s="5" t="inlineStr">
        <is>
          <t>PIT @ CLE</t>
        </is>
      </c>
    </row>
    <row r="79">
      <c r="A79" s="48" t="n">
        <v>0.615</v>
      </c>
      <c r="B79" s="5" t="inlineStr">
        <is>
          <t>More 1.5</t>
        </is>
      </c>
      <c r="C79" s="5" t="inlineStr">
        <is>
          <t>Darnell Washington</t>
        </is>
      </c>
      <c r="D79" s="5" t="inlineStr">
        <is>
          <t>PIT</t>
        </is>
      </c>
      <c r="E79" s="5" t="inlineStr">
        <is>
          <t>Receptions</t>
        </is>
      </c>
      <c r="F79" s="5" t="n">
        <v>1.5</v>
      </c>
      <c r="G79" s="5" t="n">
        <v>0</v>
      </c>
      <c r="H79" s="5" t="inlineStr">
        <is>
          <t>PIT @ CLE</t>
        </is>
      </c>
    </row>
    <row r="80">
      <c r="A80" s="48" t="n">
        <v>0.615</v>
      </c>
      <c r="B80" s="5" t="inlineStr">
        <is>
          <t>Less 232.5</t>
        </is>
      </c>
      <c r="C80" s="5" t="inlineStr">
        <is>
          <t>Aaron Rodgers</t>
        </is>
      </c>
      <c r="D80" s="5" t="inlineStr">
        <is>
          <t>PIT</t>
        </is>
      </c>
      <c r="E80" s="5" t="inlineStr">
        <is>
          <t>Pass Yds</t>
        </is>
      </c>
      <c r="F80" s="5" t="n">
        <v>212.5</v>
      </c>
      <c r="G80" s="5" t="n">
        <v>2</v>
      </c>
      <c r="H80" s="5" t="inlineStr">
        <is>
          <t>PIT @ CLE</t>
        </is>
      </c>
    </row>
    <row r="81">
      <c r="A81" s="48" t="n">
        <v>0.615</v>
      </c>
      <c r="B81" s="5" t="inlineStr">
        <is>
          <t>Less 38.5</t>
        </is>
      </c>
      <c r="C81" s="5" t="inlineStr">
        <is>
          <t>Pat Freiermuth</t>
        </is>
      </c>
      <c r="D81" s="5" t="inlineStr">
        <is>
          <t>PIT</t>
        </is>
      </c>
      <c r="E81" s="5" t="inlineStr">
        <is>
          <t>Rec Yds</t>
        </is>
      </c>
      <c r="F81" s="5" t="n">
        <v>28.5</v>
      </c>
      <c r="G81" s="5" t="n">
        <v>2</v>
      </c>
      <c r="H81" s="5" t="inlineStr">
        <is>
          <t>PIT @ CLE</t>
        </is>
      </c>
    </row>
    <row r="82">
      <c r="A82" s="48" t="n">
        <v>0.614</v>
      </c>
      <c r="B82" s="5" t="inlineStr">
        <is>
          <t>Less 50.5</t>
        </is>
      </c>
      <c r="C82" s="5" t="inlineStr">
        <is>
          <t>Harold Fannin Jr.</t>
        </is>
      </c>
      <c r="D82" s="5" t="inlineStr">
        <is>
          <t>CLE</t>
        </is>
      </c>
      <c r="E82" s="5" t="inlineStr">
        <is>
          <t>Rec Yds</t>
        </is>
      </c>
      <c r="F82" s="5" t="n">
        <v>40.5</v>
      </c>
      <c r="G82" s="5" t="n">
        <v>2</v>
      </c>
      <c r="H82" s="5" t="inlineStr">
        <is>
          <t>PIT @ CLE</t>
        </is>
      </c>
    </row>
    <row r="83">
      <c r="A83" s="48" t="n">
        <v>0.613</v>
      </c>
      <c r="B83" s="5" t="inlineStr">
        <is>
          <t>Less 207.5</t>
        </is>
      </c>
      <c r="C83" s="5" t="inlineStr">
        <is>
          <t>Deshaun Watson</t>
        </is>
      </c>
      <c r="D83" s="5" t="inlineStr">
        <is>
          <t>CLE</t>
        </is>
      </c>
      <c r="E83" s="5" t="inlineStr">
        <is>
          <t>Pass Yds</t>
        </is>
      </c>
      <c r="F83" s="5" t="n">
        <v>187.5</v>
      </c>
      <c r="G83" s="5" t="n">
        <v>2</v>
      </c>
      <c r="H83" s="5" t="inlineStr">
        <is>
          <t>PIT @ CLE</t>
        </is>
      </c>
    </row>
    <row r="84">
      <c r="A84" s="48" t="n">
        <v>0.613</v>
      </c>
      <c r="B84" s="5" t="inlineStr">
        <is>
          <t>More 7.5</t>
        </is>
      </c>
      <c r="C84" s="5" t="inlineStr">
        <is>
          <t>Raheim Sanders</t>
        </is>
      </c>
      <c r="D84" s="5" t="inlineStr">
        <is>
          <t>CLE</t>
        </is>
      </c>
      <c r="E84" s="5" t="inlineStr">
        <is>
          <t>Rec Yds</t>
        </is>
      </c>
      <c r="F84" s="5" t="n">
        <v>11.5</v>
      </c>
      <c r="G84" s="5" t="n">
        <v>-2</v>
      </c>
      <c r="H84" s="5" t="inlineStr">
        <is>
          <t>PIT @ CLE</t>
        </is>
      </c>
    </row>
    <row r="85">
      <c r="A85" s="48" t="n">
        <v>0.611</v>
      </c>
      <c r="B85" s="5" t="inlineStr">
        <is>
          <t>Less 8.5</t>
        </is>
      </c>
      <c r="C85" s="5" t="inlineStr">
        <is>
          <t>Germie Bernard</t>
        </is>
      </c>
      <c r="D85" s="5" t="inlineStr">
        <is>
          <t>PIT</t>
        </is>
      </c>
      <c r="E85" s="5" t="inlineStr">
        <is>
          <t>Rec Yds</t>
        </is>
      </c>
      <c r="F85" s="5" t="n">
        <v>6.5</v>
      </c>
      <c r="G85" s="5" t="n">
        <v>1</v>
      </c>
      <c r="H85" s="5" t="inlineStr">
        <is>
          <t>PIT @ CLE</t>
        </is>
      </c>
    </row>
    <row r="86">
      <c r="A86" s="48" t="n">
        <v>0.611</v>
      </c>
      <c r="B86" s="5" t="inlineStr">
        <is>
          <t>Less 44.5</t>
        </is>
      </c>
      <c r="C86" s="5" t="inlineStr">
        <is>
          <t>Michael Pittman Jr.</t>
        </is>
      </c>
      <c r="D86" s="5" t="inlineStr">
        <is>
          <t>PIT</t>
        </is>
      </c>
      <c r="E86" s="5" t="inlineStr">
        <is>
          <t>Rec Yds</t>
        </is>
      </c>
      <c r="F86" s="5" t="n">
        <v>34.5</v>
      </c>
      <c r="G86" s="5" t="n">
        <v>2</v>
      </c>
      <c r="H86" s="5" t="inlineStr">
        <is>
          <t>PIT @ CLE</t>
        </is>
      </c>
    </row>
    <row r="87">
      <c r="A87" s="48" t="n">
        <v>0.61</v>
      </c>
      <c r="B87" s="5" t="inlineStr">
        <is>
          <t>Less 2.5</t>
        </is>
      </c>
      <c r="C87" s="5" t="inlineStr">
        <is>
          <t>Roman Wilson</t>
        </is>
      </c>
      <c r="D87" s="5" t="inlineStr">
        <is>
          <t>PIT</t>
        </is>
      </c>
      <c r="E87" s="5" t="inlineStr">
        <is>
          <t>Receptions</t>
        </is>
      </c>
      <c r="F87" s="5" t="n">
        <v>2.5</v>
      </c>
      <c r="G87" s="5" t="n">
        <v>0</v>
      </c>
      <c r="H87" s="5" t="inlineStr">
        <is>
          <t>PIT @ CLE</t>
        </is>
      </c>
    </row>
    <row r="88">
      <c r="A88" s="48" t="n">
        <v>0.61</v>
      </c>
      <c r="B88" s="5" t="inlineStr">
        <is>
          <t>Less 2.5</t>
        </is>
      </c>
      <c r="C88" s="5" t="inlineStr">
        <is>
          <t>Quinshon Judkins</t>
        </is>
      </c>
      <c r="D88" s="5" t="inlineStr">
        <is>
          <t>CLE</t>
        </is>
      </c>
      <c r="E88" s="5" t="inlineStr">
        <is>
          <t>Receptions</t>
        </is>
      </c>
      <c r="F88" s="5" t="n">
        <v>2.5</v>
      </c>
      <c r="G88" s="5" t="n">
        <v>0</v>
      </c>
      <c r="H88" s="5" t="inlineStr">
        <is>
          <t>PIT @ CLE</t>
        </is>
      </c>
    </row>
    <row r="89">
      <c r="A89" s="48" t="n">
        <v>0.609</v>
      </c>
      <c r="B89" s="5" t="inlineStr">
        <is>
          <t>Less 5.5</t>
        </is>
      </c>
      <c r="C89" s="5" t="inlineStr">
        <is>
          <t>Harold Fannin Jr.</t>
        </is>
      </c>
      <c r="D89" s="5" t="inlineStr">
        <is>
          <t>CLE</t>
        </is>
      </c>
      <c r="E89" s="5" t="inlineStr">
        <is>
          <t>Receptions</t>
        </is>
      </c>
      <c r="F89" s="5" t="n">
        <v>4.5</v>
      </c>
      <c r="G89" s="5" t="n">
        <v>1</v>
      </c>
      <c r="H89" s="5" t="inlineStr">
        <is>
          <t>PIT @ CLE</t>
        </is>
      </c>
    </row>
    <row r="90">
      <c r="A90" s="48" t="n">
        <v>0.607</v>
      </c>
      <c r="B90" s="5" t="inlineStr">
        <is>
          <t>Less 17.5</t>
        </is>
      </c>
      <c r="C90" s="5" t="inlineStr">
        <is>
          <t>Jerry Jeudy</t>
        </is>
      </c>
      <c r="D90" s="5" t="inlineStr">
        <is>
          <t>CLE</t>
        </is>
      </c>
      <c r="E90" s="5" t="inlineStr">
        <is>
          <t>Rec Yds</t>
        </is>
      </c>
      <c r="F90" s="5" t="n">
        <v>13.5</v>
      </c>
      <c r="G90" s="5" t="n">
        <v>2</v>
      </c>
      <c r="H90" s="5" t="inlineStr">
        <is>
          <t>PIT @ CLE</t>
        </is>
      </c>
    </row>
    <row r="91">
      <c r="A91" s="48" t="n">
        <v>0.607</v>
      </c>
      <c r="B91" s="5" t="inlineStr">
        <is>
          <t>Less 3.5</t>
        </is>
      </c>
      <c r="C91" s="5" t="inlineStr">
        <is>
          <t>Denzel Boston</t>
        </is>
      </c>
      <c r="D91" s="5" t="inlineStr">
        <is>
          <t>CLE</t>
        </is>
      </c>
      <c r="E91" s="5" t="inlineStr">
        <is>
          <t>Receptions</t>
        </is>
      </c>
      <c r="F91" s="5" t="n">
        <v>2.5</v>
      </c>
      <c r="G91" s="5" t="n">
        <v>1</v>
      </c>
      <c r="H91" s="5" t="inlineStr">
        <is>
          <t>PIT @ CLE</t>
        </is>
      </c>
    </row>
    <row r="92">
      <c r="A92" s="48" t="n">
        <v>0.606</v>
      </c>
      <c r="B92" s="5" t="inlineStr">
        <is>
          <t>Less 51.5</t>
        </is>
      </c>
      <c r="C92" s="5" t="inlineStr">
        <is>
          <t>DK Metcalf</t>
        </is>
      </c>
      <c r="D92" s="5" t="inlineStr">
        <is>
          <t>PIT</t>
        </is>
      </c>
      <c r="E92" s="5" t="inlineStr">
        <is>
          <t>Rec Yds</t>
        </is>
      </c>
      <c r="F92" s="5" t="n">
        <v>41.5</v>
      </c>
      <c r="G92" s="5" t="n">
        <v>2</v>
      </c>
      <c r="H92" s="5" t="inlineStr">
        <is>
          <t>PIT @ CLE</t>
        </is>
      </c>
    </row>
    <row r="93">
      <c r="A93" s="48" t="n">
        <v>0.604</v>
      </c>
      <c r="B93" s="5" t="inlineStr">
        <is>
          <t>Less 19.5</t>
        </is>
      </c>
      <c r="C93" s="5" t="inlineStr">
        <is>
          <t>Jerry Jeudy</t>
        </is>
      </c>
      <c r="D93" s="5" t="inlineStr">
        <is>
          <t>CLE</t>
        </is>
      </c>
      <c r="E93" s="5" t="inlineStr">
        <is>
          <t>Rush+Rec Yds</t>
        </is>
      </c>
      <c r="F93" s="5" t="n">
        <v>15.5</v>
      </c>
      <c r="G93" s="5" t="n">
        <v>2</v>
      </c>
      <c r="H93" s="5" t="inlineStr">
        <is>
          <t>PIT @ CLE</t>
        </is>
      </c>
    </row>
    <row r="94">
      <c r="A94" s="48" t="n">
        <v>0.603</v>
      </c>
      <c r="B94" s="5" t="inlineStr">
        <is>
          <t>More 8.5</t>
        </is>
      </c>
      <c r="C94" s="5" t="inlineStr">
        <is>
          <t>Quinshon Judkins</t>
        </is>
      </c>
      <c r="D94" s="5" t="inlineStr">
        <is>
          <t>CLE</t>
        </is>
      </c>
      <c r="E94" s="5" t="inlineStr">
        <is>
          <t>Rec Yds</t>
        </is>
      </c>
      <c r="F94" s="5" t="n">
        <v>12.5</v>
      </c>
      <c r="G94" s="5" t="n">
        <v>-2</v>
      </c>
      <c r="H94" s="5" t="inlineStr">
        <is>
          <t>PIT @ CLE</t>
        </is>
      </c>
    </row>
    <row r="95">
      <c r="A95" s="48" t="n">
        <v>0.601</v>
      </c>
      <c r="B95" s="5" t="inlineStr">
        <is>
          <t>More 16.5</t>
        </is>
      </c>
      <c r="C95" s="5" t="inlineStr">
        <is>
          <t>Raheim Sanders</t>
        </is>
      </c>
      <c r="D95" s="5" t="inlineStr">
        <is>
          <t>CLE</t>
        </is>
      </c>
      <c r="E95" s="5" t="inlineStr">
        <is>
          <t>Rush+Rec Yds</t>
        </is>
      </c>
      <c r="F95" s="5" t="n">
        <v>20.5</v>
      </c>
      <c r="G95" s="5" t="n">
        <v>-2</v>
      </c>
      <c r="H95" s="5" t="inlineStr">
        <is>
          <t>PIT @ CLE</t>
        </is>
      </c>
    </row>
    <row r="96">
      <c r="A96" s="48" t="n">
        <v>0.599</v>
      </c>
      <c r="B96" s="5" t="inlineStr">
        <is>
          <t>More 62.5</t>
        </is>
      </c>
      <c r="C96" s="5" t="inlineStr">
        <is>
          <t>Quinshon Judkins</t>
        </is>
      </c>
      <c r="D96" s="5" t="inlineStr">
        <is>
          <t>CLE</t>
        </is>
      </c>
      <c r="E96" s="5" t="inlineStr">
        <is>
          <t>Rush+Rec Yds</t>
        </is>
      </c>
      <c r="F96" s="5" t="n">
        <v>72.5</v>
      </c>
      <c r="G96" s="5" t="n">
        <v>-2</v>
      </c>
      <c r="H96" s="5" t="inlineStr">
        <is>
          <t>PIT @ CLE</t>
        </is>
      </c>
    </row>
    <row r="97">
      <c r="A97" s="48" t="n">
        <v>0.599</v>
      </c>
      <c r="B97" s="5" t="inlineStr">
        <is>
          <t>More 1.5</t>
        </is>
      </c>
      <c r="C97" s="5" t="inlineStr">
        <is>
          <t>Roman Wilson</t>
        </is>
      </c>
      <c r="D97" s="5" t="inlineStr">
        <is>
          <t>PIT</t>
        </is>
      </c>
      <c r="E97" s="5" t="inlineStr">
        <is>
          <t>Receptions</t>
        </is>
      </c>
      <c r="F97" s="5" t="n">
        <v>2.5</v>
      </c>
      <c r="G97" s="5" t="n">
        <v>-1</v>
      </c>
      <c r="H97" s="5" t="inlineStr">
        <is>
          <t>PIT @ CLE</t>
        </is>
      </c>
    </row>
    <row r="98">
      <c r="A98" s="48" t="n">
        <v>0.598</v>
      </c>
      <c r="B98" s="5" t="inlineStr">
        <is>
          <t>More 1.5</t>
        </is>
      </c>
      <c r="C98" s="5" t="inlineStr">
        <is>
          <t>Raheim Sanders</t>
        </is>
      </c>
      <c r="D98" s="5" t="inlineStr">
        <is>
          <t>CLE</t>
        </is>
      </c>
      <c r="E98" s="5" t="inlineStr">
        <is>
          <t>Receptions</t>
        </is>
      </c>
      <c r="F98" s="5" t="n">
        <v>1.5</v>
      </c>
      <c r="G98" s="5" t="n">
        <v>0</v>
      </c>
      <c r="H98" s="5" t="inlineStr">
        <is>
          <t>PIT @ CLE</t>
        </is>
      </c>
    </row>
    <row r="99">
      <c r="A99" s="48" t="n">
        <v>0.597</v>
      </c>
      <c r="B99" s="5" t="inlineStr">
        <is>
          <t>More 63.5</t>
        </is>
      </c>
      <c r="C99" s="5" t="inlineStr">
        <is>
          <t>Jaylen Warren</t>
        </is>
      </c>
      <c r="D99" s="5" t="inlineStr">
        <is>
          <t>PIT</t>
        </is>
      </c>
      <c r="E99" s="5" t="inlineStr">
        <is>
          <t>Rush Yds</t>
        </is>
      </c>
      <c r="F99" s="5" t="n">
        <v>73.5</v>
      </c>
      <c r="G99" s="5" t="n">
        <v>-2</v>
      </c>
      <c r="H99" s="5" t="inlineStr">
        <is>
          <t>PIT @ CLE</t>
        </is>
      </c>
    </row>
    <row r="100">
      <c r="A100" s="48" t="n">
        <v>0.592</v>
      </c>
      <c r="B100" s="5" t="inlineStr">
        <is>
          <t>Less 82.5</t>
        </is>
      </c>
      <c r="C100" s="5" t="inlineStr">
        <is>
          <t>Quinshon Judkins</t>
        </is>
      </c>
      <c r="D100" s="5" t="inlineStr">
        <is>
          <t>CLE</t>
        </is>
      </c>
      <c r="E100" s="5" t="inlineStr">
        <is>
          <t>Rush+Rec Yds</t>
        </is>
      </c>
      <c r="F100" s="5" t="n">
        <v>72.5</v>
      </c>
      <c r="G100" s="5" t="n">
        <v>2</v>
      </c>
      <c r="H100" s="5" t="inlineStr">
        <is>
          <t>PIT @ CLE</t>
        </is>
      </c>
    </row>
    <row r="101">
      <c r="A101" s="48" t="n">
        <v>0.592</v>
      </c>
      <c r="B101" s="5" t="inlineStr">
        <is>
          <t>Less 7.5</t>
        </is>
      </c>
      <c r="C101" s="5" t="inlineStr">
        <is>
          <t>Raheim Sanders</t>
        </is>
      </c>
      <c r="D101" s="5" t="inlineStr">
        <is>
          <t>CLE</t>
        </is>
      </c>
      <c r="E101" s="5" t="inlineStr">
        <is>
          <t>Rush Yds</t>
        </is>
      </c>
      <c r="F101" s="5" t="n">
        <v>5.5</v>
      </c>
      <c r="G101" s="5" t="n">
        <v>1</v>
      </c>
      <c r="H101" s="5" t="inlineStr">
        <is>
          <t>PIT @ CLE</t>
        </is>
      </c>
    </row>
    <row r="102">
      <c r="A102" s="48" t="n">
        <v>0.592</v>
      </c>
      <c r="B102" s="5" t="inlineStr">
        <is>
          <t>Less 16.5</t>
        </is>
      </c>
      <c r="C102" s="5" t="inlineStr">
        <is>
          <t>Quinshon Judkins</t>
        </is>
      </c>
      <c r="D102" s="5" t="inlineStr">
        <is>
          <t>CLE</t>
        </is>
      </c>
      <c r="E102" s="5" t="inlineStr">
        <is>
          <t>Rec Yds</t>
        </is>
      </c>
      <c r="F102" s="5" t="n">
        <v>12.5</v>
      </c>
      <c r="G102" s="5" t="n">
        <v>2</v>
      </c>
      <c r="H102" s="5" t="inlineStr">
        <is>
          <t>PIT @ CLE</t>
        </is>
      </c>
    </row>
    <row r="103">
      <c r="A103" s="48" t="n">
        <v>0.589</v>
      </c>
      <c r="B103" s="5" t="inlineStr">
        <is>
          <t>More 24.5</t>
        </is>
      </c>
      <c r="C103" s="5" t="inlineStr">
        <is>
          <t>Deshaun Watson</t>
        </is>
      </c>
      <c r="D103" s="5" t="inlineStr">
        <is>
          <t>CLE</t>
        </is>
      </c>
      <c r="E103" s="5" t="inlineStr">
        <is>
          <t>Rush Yds</t>
        </is>
      </c>
      <c r="F103" s="5" t="n">
        <v>29.5</v>
      </c>
      <c r="G103" s="5" t="n">
        <v>-1</v>
      </c>
      <c r="H103" s="5" t="inlineStr">
        <is>
          <t>PIT @ CLE</t>
        </is>
      </c>
    </row>
    <row r="104">
      <c r="A104" s="48" t="n">
        <v>0.588</v>
      </c>
      <c r="B104" s="5" t="inlineStr">
        <is>
          <t>Less 24.5</t>
        </is>
      </c>
      <c r="C104" s="5" t="inlineStr">
        <is>
          <t>Raheim Sanders</t>
        </is>
      </c>
      <c r="D104" s="5" t="inlineStr">
        <is>
          <t>CLE</t>
        </is>
      </c>
      <c r="E104" s="5" t="inlineStr">
        <is>
          <t>Rush+Rec Yds</t>
        </is>
      </c>
      <c r="F104" s="5" t="n">
        <v>20.5</v>
      </c>
      <c r="G104" s="5" t="n">
        <v>2</v>
      </c>
      <c r="H104" s="5" t="inlineStr">
        <is>
          <t>PIT @ CLE</t>
        </is>
      </c>
    </row>
    <row r="105">
      <c r="A105" s="48" t="n">
        <v>0.588</v>
      </c>
      <c r="B105" s="5" t="inlineStr">
        <is>
          <t>Less 65.5</t>
        </is>
      </c>
      <c r="C105" s="5" t="inlineStr">
        <is>
          <t>Quinshon Judkins</t>
        </is>
      </c>
      <c r="D105" s="5" t="inlineStr">
        <is>
          <t>CLE</t>
        </is>
      </c>
      <c r="E105" s="5" t="inlineStr">
        <is>
          <t>Rush Yds</t>
        </is>
      </c>
      <c r="F105" s="5" t="n">
        <v>55.5</v>
      </c>
      <c r="G105" s="5" t="n">
        <v>2</v>
      </c>
      <c r="H105" s="5" t="inlineStr">
        <is>
          <t>PIT @ CLE</t>
        </is>
      </c>
    </row>
    <row r="106">
      <c r="A106" s="48" t="n">
        <v>0.588</v>
      </c>
      <c r="B106" s="5" t="inlineStr">
        <is>
          <t>Less 83.5</t>
        </is>
      </c>
      <c r="C106" s="5" t="inlineStr">
        <is>
          <t>Jaylen Warren</t>
        </is>
      </c>
      <c r="D106" s="5" t="inlineStr">
        <is>
          <t>PIT</t>
        </is>
      </c>
      <c r="E106" s="5" t="inlineStr">
        <is>
          <t>Rush Yds</t>
        </is>
      </c>
      <c r="F106" s="5" t="n">
        <v>73.5</v>
      </c>
      <c r="G106" s="5" t="n">
        <v>2</v>
      </c>
      <c r="H106" s="5" t="inlineStr">
        <is>
          <t>PIT @ CLE</t>
        </is>
      </c>
    </row>
    <row r="107">
      <c r="A107" s="48" t="n">
        <v>0.585</v>
      </c>
      <c r="B107" s="5" t="inlineStr">
        <is>
          <t>More 12.5</t>
        </is>
      </c>
      <c r="C107" s="5" t="inlineStr">
        <is>
          <t>Darnell Washington</t>
        </is>
      </c>
      <c r="D107" s="5" t="inlineStr">
        <is>
          <t>PIT</t>
        </is>
      </c>
      <c r="E107" s="5" t="inlineStr">
        <is>
          <t>Rec Yds</t>
        </is>
      </c>
      <c r="F107" s="5" t="n">
        <v>16.5</v>
      </c>
      <c r="G107" s="5" t="n">
        <v>-2</v>
      </c>
      <c r="H107" s="5" t="inlineStr">
        <is>
          <t>PIT @ CLE</t>
        </is>
      </c>
    </row>
    <row r="108">
      <c r="A108" s="48" t="n">
        <v>0.584</v>
      </c>
      <c r="B108" s="5" t="inlineStr">
        <is>
          <t>More 89.5</t>
        </is>
      </c>
      <c r="C108" s="5" t="inlineStr">
        <is>
          <t>Jaylen Warren</t>
        </is>
      </c>
      <c r="D108" s="5" t="inlineStr">
        <is>
          <t>PIT</t>
        </is>
      </c>
      <c r="E108" s="5" t="inlineStr">
        <is>
          <t>Rush+Rec Yds</t>
        </is>
      </c>
      <c r="F108" s="5" t="n">
        <v>99.5</v>
      </c>
      <c r="G108" s="5" t="n">
        <v>-2</v>
      </c>
      <c r="H108" s="5" t="inlineStr">
        <is>
          <t>PIT @ CLE</t>
        </is>
      </c>
    </row>
    <row r="109">
      <c r="A109" s="48" t="n">
        <v>0.582</v>
      </c>
      <c r="B109" s="5" t="inlineStr">
        <is>
          <t>Less 34.5</t>
        </is>
      </c>
      <c r="C109" s="5" t="inlineStr">
        <is>
          <t>Deshaun Watson</t>
        </is>
      </c>
      <c r="D109" s="5" t="inlineStr">
        <is>
          <t>CLE</t>
        </is>
      </c>
      <c r="E109" s="5" t="inlineStr">
        <is>
          <t>Rush Yds</t>
        </is>
      </c>
      <c r="F109" s="5" t="n">
        <v>29.5</v>
      </c>
      <c r="G109" s="5" t="n">
        <v>1</v>
      </c>
      <c r="H109" s="5" t="inlineStr">
        <is>
          <t>PIT @ CLE</t>
        </is>
      </c>
    </row>
    <row r="110">
      <c r="A110" s="48" t="n">
        <v>0.582</v>
      </c>
      <c r="B110" s="5" t="inlineStr">
        <is>
          <t>More 27.5</t>
        </is>
      </c>
      <c r="C110" s="5" t="inlineStr">
        <is>
          <t>Michael Pittman Jr.</t>
        </is>
      </c>
      <c r="D110" s="5" t="inlineStr">
        <is>
          <t>PIT</t>
        </is>
      </c>
      <c r="E110" s="5" t="inlineStr">
        <is>
          <t>Rush+Rec Yds</t>
        </is>
      </c>
      <c r="F110" s="5" t="n">
        <v>32.5</v>
      </c>
      <c r="G110" s="5" t="n">
        <v>-1</v>
      </c>
      <c r="H110" s="5" t="inlineStr">
        <is>
          <t>PIT @ CLE</t>
        </is>
      </c>
    </row>
    <row r="111">
      <c r="A111" s="48" t="n">
        <v>0.582</v>
      </c>
      <c r="B111" s="5" t="inlineStr">
        <is>
          <t>More 1.5</t>
        </is>
      </c>
      <c r="C111" s="5" t="inlineStr">
        <is>
          <t>Quinshon Judkins</t>
        </is>
      </c>
      <c r="D111" s="5" t="inlineStr">
        <is>
          <t>CLE</t>
        </is>
      </c>
      <c r="E111" s="5" t="inlineStr">
        <is>
          <t>Receptions</t>
        </is>
      </c>
      <c r="F111" s="5" t="n">
        <v>2.5</v>
      </c>
      <c r="G111" s="5" t="n">
        <v>-1</v>
      </c>
      <c r="H111" s="5" t="inlineStr">
        <is>
          <t>PIT @ CLE</t>
        </is>
      </c>
    </row>
    <row r="112">
      <c r="A112" s="48" t="n">
        <v>0.582</v>
      </c>
      <c r="B112" s="5" t="inlineStr">
        <is>
          <t>Less 2.5</t>
        </is>
      </c>
      <c r="C112" s="5" t="inlineStr">
        <is>
          <t>Darnell Washington</t>
        </is>
      </c>
      <c r="D112" s="5" t="inlineStr">
        <is>
          <t>PIT</t>
        </is>
      </c>
      <c r="E112" s="5" t="inlineStr">
        <is>
          <t>Receptions</t>
        </is>
      </c>
      <c r="F112" s="5" t="n">
        <v>1.5</v>
      </c>
      <c r="G112" s="5" t="n">
        <v>1</v>
      </c>
      <c r="H112" s="5" t="inlineStr">
        <is>
          <t>PIT @ CLE</t>
        </is>
      </c>
    </row>
    <row r="113">
      <c r="A113" s="48" t="n">
        <v>0.579</v>
      </c>
      <c r="B113" s="5" t="inlineStr">
        <is>
          <t>Less 23.5</t>
        </is>
      </c>
      <c r="C113" s="5" t="inlineStr">
        <is>
          <t>Roman Wilson</t>
        </is>
      </c>
      <c r="D113" s="5" t="inlineStr">
        <is>
          <t>PIT</t>
        </is>
      </c>
      <c r="E113" s="5" t="inlineStr">
        <is>
          <t>Rec Yds</t>
        </is>
      </c>
      <c r="F113" s="5" t="n">
        <v>19.5</v>
      </c>
      <c r="G113" s="5" t="n">
        <v>2</v>
      </c>
      <c r="H113" s="5" t="inlineStr">
        <is>
          <t>PIT @ CLE</t>
        </is>
      </c>
    </row>
    <row r="114">
      <c r="A114" s="48" t="n">
        <v>0.577</v>
      </c>
      <c r="B114" s="5" t="inlineStr">
        <is>
          <t>More 31.5</t>
        </is>
      </c>
      <c r="C114" s="5" t="inlineStr">
        <is>
          <t>Denzel Boston</t>
        </is>
      </c>
      <c r="D114" s="5" t="inlineStr">
        <is>
          <t>CLE</t>
        </is>
      </c>
      <c r="E114" s="5" t="inlineStr">
        <is>
          <t>Rush+Rec Yds</t>
        </is>
      </c>
      <c r="F114" s="5" t="n">
        <v>36.5</v>
      </c>
      <c r="G114" s="5" t="n">
        <v>-1</v>
      </c>
      <c r="H114" s="5" t="inlineStr">
        <is>
          <t>PIT @ CLE</t>
        </is>
      </c>
    </row>
    <row r="115">
      <c r="A115" s="48" t="n">
        <v>0.576</v>
      </c>
      <c r="B115" s="5" t="inlineStr">
        <is>
          <t>Less 37.5</t>
        </is>
      </c>
      <c r="C115" s="5" t="inlineStr">
        <is>
          <t>Michael Pittman Jr.</t>
        </is>
      </c>
      <c r="D115" s="5" t="inlineStr">
        <is>
          <t>PIT</t>
        </is>
      </c>
      <c r="E115" s="5" t="inlineStr">
        <is>
          <t>Rush+Rec Yds</t>
        </is>
      </c>
      <c r="F115" s="5" t="n">
        <v>32.5</v>
      </c>
      <c r="G115" s="5" t="n">
        <v>1</v>
      </c>
      <c r="H115" s="5" t="inlineStr">
        <is>
          <t>PIT @ CLE</t>
        </is>
      </c>
    </row>
    <row r="116">
      <c r="A116" s="48" t="n">
        <v>0.575</v>
      </c>
      <c r="B116" s="5" t="inlineStr">
        <is>
          <t>More 23.5</t>
        </is>
      </c>
      <c r="C116" s="5" t="inlineStr">
        <is>
          <t>Pat Freiermuth</t>
        </is>
      </c>
      <c r="D116" s="5" t="inlineStr">
        <is>
          <t>PIT</t>
        </is>
      </c>
      <c r="E116" s="5" t="inlineStr">
        <is>
          <t>Rec Yds</t>
        </is>
      </c>
      <c r="F116" s="5" t="n">
        <v>28.5</v>
      </c>
      <c r="G116" s="5" t="n">
        <v>-1</v>
      </c>
      <c r="H116" s="5" t="inlineStr">
        <is>
          <t>PIT @ CLE</t>
        </is>
      </c>
    </row>
    <row r="117">
      <c r="A117" s="48" t="n">
        <v>0.573</v>
      </c>
      <c r="B117" s="5" t="inlineStr">
        <is>
          <t>More 37.5</t>
        </is>
      </c>
      <c r="C117" s="5" t="inlineStr">
        <is>
          <t>DK Metcalf</t>
        </is>
      </c>
      <c r="D117" s="5" t="inlineStr">
        <is>
          <t>PIT</t>
        </is>
      </c>
      <c r="E117" s="5" t="inlineStr">
        <is>
          <t>Rush+Rec Yds</t>
        </is>
      </c>
      <c r="F117" s="5" t="n">
        <v>42.5</v>
      </c>
      <c r="G117" s="5" t="n">
        <v>-1</v>
      </c>
      <c r="H117" s="5" t="inlineStr">
        <is>
          <t>PIT @ CLE</t>
        </is>
      </c>
    </row>
    <row r="118">
      <c r="A118" s="48" t="n">
        <v>0.573</v>
      </c>
      <c r="B118" s="5" t="inlineStr">
        <is>
          <t>Less 109.5</t>
        </is>
      </c>
      <c r="C118" s="5" t="inlineStr">
        <is>
          <t>Jaylen Warren</t>
        </is>
      </c>
      <c r="D118" s="5" t="inlineStr">
        <is>
          <t>PIT</t>
        </is>
      </c>
      <c r="E118" s="5" t="inlineStr">
        <is>
          <t>Rush+Rec Yds</t>
        </is>
      </c>
      <c r="F118" s="5" t="n">
        <v>99.5</v>
      </c>
      <c r="G118" s="5" t="n">
        <v>2</v>
      </c>
      <c r="H118" s="5" t="inlineStr">
        <is>
          <t>PIT @ CLE</t>
        </is>
      </c>
    </row>
    <row r="119">
      <c r="A119" s="48" t="n">
        <v>0.572</v>
      </c>
      <c r="B119" s="5" t="inlineStr">
        <is>
          <t>More 29.5</t>
        </is>
      </c>
      <c r="C119" s="5" t="inlineStr">
        <is>
          <t>Michael Pittman Jr.</t>
        </is>
      </c>
      <c r="D119" s="5" t="inlineStr">
        <is>
          <t>PIT</t>
        </is>
      </c>
      <c r="E119" s="5" t="inlineStr">
        <is>
          <t>Rec Yds</t>
        </is>
      </c>
      <c r="F119" s="5" t="n">
        <v>34.5</v>
      </c>
      <c r="G119" s="5" t="n">
        <v>-1</v>
      </c>
      <c r="H119" s="5" t="inlineStr">
        <is>
          <t>PIT @ CLE</t>
        </is>
      </c>
    </row>
    <row r="120">
      <c r="A120" s="48" t="n">
        <v>0.572</v>
      </c>
      <c r="B120" s="5" t="inlineStr">
        <is>
          <t>More 11.5</t>
        </is>
      </c>
      <c r="C120" s="5" t="inlineStr">
        <is>
          <t>Jerry Jeudy</t>
        </is>
      </c>
      <c r="D120" s="5" t="inlineStr">
        <is>
          <t>CLE</t>
        </is>
      </c>
      <c r="E120" s="5" t="inlineStr">
        <is>
          <t>Rec Yds</t>
        </is>
      </c>
      <c r="F120" s="5" t="n">
        <v>13.5</v>
      </c>
      <c r="G120" s="5" t="n">
        <v>-1</v>
      </c>
      <c r="H120" s="5" t="inlineStr">
        <is>
          <t>PIT @ CLE</t>
        </is>
      </c>
    </row>
    <row r="121">
      <c r="A121" s="48" t="n">
        <v>0.571</v>
      </c>
      <c r="B121" s="5" t="inlineStr">
        <is>
          <t>More 18.5</t>
        </is>
      </c>
      <c r="C121" s="5" t="inlineStr">
        <is>
          <t>Jaylen Warren</t>
        </is>
      </c>
      <c r="D121" s="5" t="inlineStr">
        <is>
          <t>PIT</t>
        </is>
      </c>
      <c r="E121" s="5" t="inlineStr">
        <is>
          <t>Rec Yds</t>
        </is>
      </c>
      <c r="F121" s="5" t="n">
        <v>22.5</v>
      </c>
      <c r="G121" s="5" t="n">
        <v>-2</v>
      </c>
      <c r="H121" s="5" t="inlineStr">
        <is>
          <t>PIT @ CLE</t>
        </is>
      </c>
    </row>
    <row r="122">
      <c r="A122" s="48" t="n">
        <v>0.571</v>
      </c>
      <c r="B122" s="5" t="inlineStr">
        <is>
          <t>Less 26.5</t>
        </is>
      </c>
      <c r="C122" s="5" t="inlineStr">
        <is>
          <t>Roman Wilson</t>
        </is>
      </c>
      <c r="D122" s="5" t="inlineStr">
        <is>
          <t>PIT</t>
        </is>
      </c>
      <c r="E122" s="5" t="inlineStr">
        <is>
          <t>Rush+Rec Yds</t>
        </is>
      </c>
      <c r="F122" s="5" t="n">
        <v>22.5</v>
      </c>
      <c r="G122" s="5" t="n">
        <v>2</v>
      </c>
      <c r="H122" s="5" t="inlineStr">
        <is>
          <t>PIT @ CLE</t>
        </is>
      </c>
    </row>
    <row r="123">
      <c r="A123" s="48" t="n">
        <v>0.57</v>
      </c>
      <c r="B123" s="5" t="inlineStr">
        <is>
          <t>More 50.5</t>
        </is>
      </c>
      <c r="C123" s="5" t="inlineStr">
        <is>
          <t>Quinshon Judkins</t>
        </is>
      </c>
      <c r="D123" s="5" t="inlineStr">
        <is>
          <t>CLE</t>
        </is>
      </c>
      <c r="E123" s="5" t="inlineStr">
        <is>
          <t>Rush Yds</t>
        </is>
      </c>
      <c r="F123" s="5" t="n">
        <v>55.5</v>
      </c>
      <c r="G123" s="5" t="n">
        <v>-1</v>
      </c>
      <c r="H123" s="5" t="inlineStr">
        <is>
          <t>PIT @ CLE</t>
        </is>
      </c>
    </row>
    <row r="124">
      <c r="A124" s="48" t="n">
        <v>0.57</v>
      </c>
      <c r="B124" s="5" t="inlineStr">
        <is>
          <t>More 2.5</t>
        </is>
      </c>
      <c r="C124" s="5" t="inlineStr">
        <is>
          <t>Denzel Boston</t>
        </is>
      </c>
      <c r="D124" s="5" t="inlineStr">
        <is>
          <t>CLE</t>
        </is>
      </c>
      <c r="E124" s="5" t="inlineStr">
        <is>
          <t>Receptions</t>
        </is>
      </c>
      <c r="F124" s="5" t="n">
        <v>2.5</v>
      </c>
      <c r="G124" s="5" t="n">
        <v>0</v>
      </c>
      <c r="H124" s="5" t="inlineStr">
        <is>
          <t>PIT @ CLE</t>
        </is>
      </c>
    </row>
    <row r="125">
      <c r="A125" s="48" t="n">
        <v>0.569</v>
      </c>
      <c r="B125" s="5" t="inlineStr">
        <is>
          <t>Less 41.5</t>
        </is>
      </c>
      <c r="C125" s="5" t="inlineStr">
        <is>
          <t>Denzel Boston</t>
        </is>
      </c>
      <c r="D125" s="5" t="inlineStr">
        <is>
          <t>CLE</t>
        </is>
      </c>
      <c r="E125" s="5" t="inlineStr">
        <is>
          <t>Rush+Rec Yds</t>
        </is>
      </c>
      <c r="F125" s="5" t="n">
        <v>36.5</v>
      </c>
      <c r="G125" s="5" t="n">
        <v>1</v>
      </c>
      <c r="H125" s="5" t="inlineStr">
        <is>
          <t>PIT @ CLE</t>
        </is>
      </c>
    </row>
    <row r="126">
      <c r="A126" s="48" t="n">
        <v>0.569</v>
      </c>
      <c r="B126" s="5" t="inlineStr">
        <is>
          <t>More 35.5</t>
        </is>
      </c>
      <c r="C126" s="5" t="inlineStr">
        <is>
          <t>Harold Fannin Jr.</t>
        </is>
      </c>
      <c r="D126" s="5" t="inlineStr">
        <is>
          <t>CLE</t>
        </is>
      </c>
      <c r="E126" s="5" t="inlineStr">
        <is>
          <t>Rec Yds</t>
        </is>
      </c>
      <c r="F126" s="5" t="n">
        <v>40.5</v>
      </c>
      <c r="G126" s="5" t="n">
        <v>-1</v>
      </c>
      <c r="H126" s="5" t="inlineStr">
        <is>
          <t>PIT @ CLE</t>
        </is>
      </c>
    </row>
    <row r="127">
      <c r="A127" s="48" t="n">
        <v>0.569</v>
      </c>
      <c r="B127" s="5" t="inlineStr">
        <is>
          <t>Less 15.5</t>
        </is>
      </c>
      <c r="C127" s="5" t="inlineStr">
        <is>
          <t>Raheim Sanders</t>
        </is>
      </c>
      <c r="D127" s="5" t="inlineStr">
        <is>
          <t>CLE</t>
        </is>
      </c>
      <c r="E127" s="5" t="inlineStr">
        <is>
          <t>Rec Yds</t>
        </is>
      </c>
      <c r="F127" s="5" t="n">
        <v>11.5</v>
      </c>
      <c r="G127" s="5" t="n">
        <v>2</v>
      </c>
      <c r="H127" s="5" t="inlineStr">
        <is>
          <t>PIT @ CLE</t>
        </is>
      </c>
    </row>
    <row r="128">
      <c r="A128" s="48" t="n">
        <v>0.5679999999999999</v>
      </c>
      <c r="B128" s="5" t="inlineStr">
        <is>
          <t>More 18.5</t>
        </is>
      </c>
      <c r="C128" s="5" t="inlineStr">
        <is>
          <t>Roman Wilson</t>
        </is>
      </c>
      <c r="D128" s="5" t="inlineStr">
        <is>
          <t>PIT</t>
        </is>
      </c>
      <c r="E128" s="5" t="inlineStr">
        <is>
          <t>Rush+Rec Yds</t>
        </is>
      </c>
      <c r="F128" s="5" t="n">
        <v>22.5</v>
      </c>
      <c r="G128" s="5" t="n">
        <v>-2</v>
      </c>
      <c r="H128" s="5" t="inlineStr">
        <is>
          <t>PIT @ CLE</t>
        </is>
      </c>
    </row>
    <row r="129">
      <c r="A129" s="48" t="n">
        <v>0.5679999999999999</v>
      </c>
      <c r="B129" s="5" t="inlineStr">
        <is>
          <t>More 36.5</t>
        </is>
      </c>
      <c r="C129" s="5" t="inlineStr">
        <is>
          <t>DK Metcalf</t>
        </is>
      </c>
      <c r="D129" s="5" t="inlineStr">
        <is>
          <t>PIT</t>
        </is>
      </c>
      <c r="E129" s="5" t="inlineStr">
        <is>
          <t>Rec Yds</t>
        </is>
      </c>
      <c r="F129" s="5" t="n">
        <v>41.5</v>
      </c>
      <c r="G129" s="5" t="n">
        <v>-1</v>
      </c>
      <c r="H129" s="5" t="inlineStr">
        <is>
          <t>PIT @ CLE</t>
        </is>
      </c>
    </row>
    <row r="130">
      <c r="A130" s="48" t="n">
        <v>0.5669999999999999</v>
      </c>
      <c r="B130" s="5" t="inlineStr">
        <is>
          <t>More 15.5</t>
        </is>
      </c>
      <c r="C130" s="5" t="inlineStr">
        <is>
          <t>Roman Wilson</t>
        </is>
      </c>
      <c r="D130" s="5" t="inlineStr">
        <is>
          <t>PIT</t>
        </is>
      </c>
      <c r="E130" s="5" t="inlineStr">
        <is>
          <t>Rec Yds</t>
        </is>
      </c>
      <c r="F130" s="5" t="n">
        <v>19.5</v>
      </c>
      <c r="G130" s="5" t="n">
        <v>-2</v>
      </c>
      <c r="H130" s="5" t="inlineStr">
        <is>
          <t>PIT @ CLE</t>
        </is>
      </c>
    </row>
    <row r="131">
      <c r="A131" s="48" t="n">
        <v>0.5659999999999999</v>
      </c>
      <c r="B131" s="5" t="inlineStr">
        <is>
          <t>Less 45.5</t>
        </is>
      </c>
      <c r="C131" s="5" t="inlineStr">
        <is>
          <t>Harold Fannin Jr.</t>
        </is>
      </c>
      <c r="D131" s="5" t="inlineStr">
        <is>
          <t>CLE</t>
        </is>
      </c>
      <c r="E131" s="5" t="inlineStr">
        <is>
          <t>Rec Yds</t>
        </is>
      </c>
      <c r="F131" s="5" t="n">
        <v>40.5</v>
      </c>
      <c r="G131" s="5" t="n">
        <v>1</v>
      </c>
      <c r="H131" s="5" t="inlineStr">
        <is>
          <t>PIT @ CLE</t>
        </is>
      </c>
    </row>
    <row r="132">
      <c r="A132" s="48" t="n">
        <v>0.5659999999999999</v>
      </c>
      <c r="B132" s="5" t="inlineStr">
        <is>
          <t>Less 47.5</t>
        </is>
      </c>
      <c r="C132" s="5" t="inlineStr">
        <is>
          <t>DK Metcalf</t>
        </is>
      </c>
      <c r="D132" s="5" t="inlineStr">
        <is>
          <t>PIT</t>
        </is>
      </c>
      <c r="E132" s="5" t="inlineStr">
        <is>
          <t>Rush+Rec Yds</t>
        </is>
      </c>
      <c r="F132" s="5" t="n">
        <v>42.5</v>
      </c>
      <c r="G132" s="5" t="n">
        <v>1</v>
      </c>
      <c r="H132" s="5" t="inlineStr">
        <is>
          <t>PIT @ CLE</t>
        </is>
      </c>
    </row>
    <row r="133">
      <c r="A133" s="48" t="n">
        <v>0.5659999999999999</v>
      </c>
      <c r="B133" s="5" t="inlineStr">
        <is>
          <t>Less 1.5</t>
        </is>
      </c>
      <c r="C133" s="5" t="inlineStr">
        <is>
          <t>Jerry Jeudy</t>
        </is>
      </c>
      <c r="D133" s="5" t="inlineStr">
        <is>
          <t>CLE</t>
        </is>
      </c>
      <c r="E133" s="5" t="inlineStr">
        <is>
          <t>Receptions</t>
        </is>
      </c>
      <c r="F133" s="5" t="n">
        <v>1.5</v>
      </c>
      <c r="G133" s="5" t="n">
        <v>0</v>
      </c>
      <c r="H133" s="5" t="inlineStr">
        <is>
          <t>PIT @ CLE</t>
        </is>
      </c>
    </row>
    <row r="134">
      <c r="A134" s="48" t="n">
        <v>0.5649999999999999</v>
      </c>
      <c r="B134" s="5" t="inlineStr">
        <is>
          <t>Less 33.5</t>
        </is>
      </c>
      <c r="C134" s="5" t="inlineStr">
        <is>
          <t>Pat Freiermuth</t>
        </is>
      </c>
      <c r="D134" s="5" t="inlineStr">
        <is>
          <t>PIT</t>
        </is>
      </c>
      <c r="E134" s="5" t="inlineStr">
        <is>
          <t>Rec Yds</t>
        </is>
      </c>
      <c r="F134" s="5" t="n">
        <v>28.5</v>
      </c>
      <c r="G134" s="5" t="n">
        <v>1</v>
      </c>
      <c r="H134" s="5" t="inlineStr">
        <is>
          <t>PIT @ CLE</t>
        </is>
      </c>
    </row>
    <row r="135">
      <c r="A135" s="48" t="n">
        <v>0.5639999999999999</v>
      </c>
      <c r="B135" s="5" t="inlineStr">
        <is>
          <t>Less 20.5</t>
        </is>
      </c>
      <c r="C135" s="5" t="inlineStr">
        <is>
          <t>Darnell Washington</t>
        </is>
      </c>
      <c r="D135" s="5" t="inlineStr">
        <is>
          <t>PIT</t>
        </is>
      </c>
      <c r="E135" s="5" t="inlineStr">
        <is>
          <t>Rec Yds</t>
        </is>
      </c>
      <c r="F135" s="5" t="n">
        <v>16.5</v>
      </c>
      <c r="G135" s="5" t="n">
        <v>2</v>
      </c>
      <c r="H135" s="5" t="inlineStr">
        <is>
          <t>PIT @ CLE</t>
        </is>
      </c>
    </row>
    <row r="136">
      <c r="A136" s="48" t="n">
        <v>0.5620000000000001</v>
      </c>
      <c r="B136" s="5" t="inlineStr">
        <is>
          <t>More 177.5</t>
        </is>
      </c>
      <c r="C136" s="5" t="inlineStr">
        <is>
          <t>Deshaun Watson</t>
        </is>
      </c>
      <c r="D136" s="5" t="inlineStr">
        <is>
          <t>CLE</t>
        </is>
      </c>
      <c r="E136" s="5" t="inlineStr">
        <is>
          <t>Pass Yds</t>
        </is>
      </c>
      <c r="F136" s="5" t="n">
        <v>187.5</v>
      </c>
      <c r="G136" s="5" t="n">
        <v>-1</v>
      </c>
      <c r="H136" s="5" t="inlineStr">
        <is>
          <t>PIT @ CLE</t>
        </is>
      </c>
    </row>
    <row r="137">
      <c r="A137" s="48" t="n">
        <v>0.5610000000000001</v>
      </c>
      <c r="B137" s="5" t="inlineStr">
        <is>
          <t>Less 222.5</t>
        </is>
      </c>
      <c r="C137" s="5" t="inlineStr">
        <is>
          <t>Aaron Rodgers</t>
        </is>
      </c>
      <c r="D137" s="5" t="inlineStr">
        <is>
          <t>PIT</t>
        </is>
      </c>
      <c r="E137" s="5" t="inlineStr">
        <is>
          <t>Pass Yds</t>
        </is>
      </c>
      <c r="F137" s="5" t="n">
        <v>212.5</v>
      </c>
      <c r="G137" s="5" t="n">
        <v>1</v>
      </c>
      <c r="H137" s="5" t="inlineStr">
        <is>
          <t>PIT @ CLE</t>
        </is>
      </c>
    </row>
    <row r="138">
      <c r="A138" s="48" t="n">
        <v>0.5600000000000001</v>
      </c>
      <c r="B138" s="5" t="inlineStr">
        <is>
          <t>Less 197.5</t>
        </is>
      </c>
      <c r="C138" s="5" t="inlineStr">
        <is>
          <t>Deshaun Watson</t>
        </is>
      </c>
      <c r="D138" s="5" t="inlineStr">
        <is>
          <t>CLE</t>
        </is>
      </c>
      <c r="E138" s="5" t="inlineStr">
        <is>
          <t>Pass Yds</t>
        </is>
      </c>
      <c r="F138" s="5" t="n">
        <v>187.5</v>
      </c>
      <c r="G138" s="5" t="n">
        <v>1</v>
      </c>
      <c r="H138" s="5" t="inlineStr">
        <is>
          <t>PIT @ CLE</t>
        </is>
      </c>
    </row>
    <row r="139">
      <c r="A139" s="48" t="n">
        <v>0.5600000000000001</v>
      </c>
      <c r="B139" s="5" t="inlineStr">
        <is>
          <t>Less 42.5</t>
        </is>
      </c>
      <c r="C139" s="5" t="inlineStr">
        <is>
          <t>Denzel Boston</t>
        </is>
      </c>
      <c r="D139" s="5" t="inlineStr">
        <is>
          <t>CLE</t>
        </is>
      </c>
      <c r="E139" s="5" t="inlineStr">
        <is>
          <t>Rec Yds</t>
        </is>
      </c>
      <c r="F139" s="5" t="n">
        <v>37.5</v>
      </c>
      <c r="G139" s="5" t="n">
        <v>1</v>
      </c>
      <c r="H139" s="5" t="inlineStr">
        <is>
          <t>PIT @ CLE</t>
        </is>
      </c>
    </row>
    <row r="140">
      <c r="A140" s="48" t="n">
        <v>0.5590000000000001</v>
      </c>
      <c r="B140" s="5" t="inlineStr">
        <is>
          <t>More 202.5</t>
        </is>
      </c>
      <c r="C140" s="5" t="inlineStr">
        <is>
          <t>Aaron Rodgers</t>
        </is>
      </c>
      <c r="D140" s="5" t="inlineStr">
        <is>
          <t>PIT</t>
        </is>
      </c>
      <c r="E140" s="5" t="inlineStr">
        <is>
          <t>Pass Yds</t>
        </is>
      </c>
      <c r="F140" s="5" t="n">
        <v>212.5</v>
      </c>
      <c r="G140" s="5" t="n">
        <v>-1</v>
      </c>
      <c r="H140" s="5" t="inlineStr">
        <is>
          <t>PIT @ CLE</t>
        </is>
      </c>
    </row>
    <row r="141">
      <c r="A141" s="48" t="n">
        <v>0.5590000000000001</v>
      </c>
      <c r="B141" s="5" t="inlineStr">
        <is>
          <t>Less 39.5</t>
        </is>
      </c>
      <c r="C141" s="5" t="inlineStr">
        <is>
          <t>Michael Pittman Jr.</t>
        </is>
      </c>
      <c r="D141" s="5" t="inlineStr">
        <is>
          <t>PIT</t>
        </is>
      </c>
      <c r="E141" s="5" t="inlineStr">
        <is>
          <t>Rec Yds</t>
        </is>
      </c>
      <c r="F141" s="5" t="n">
        <v>34.5</v>
      </c>
      <c r="G141" s="5" t="n">
        <v>1</v>
      </c>
      <c r="H141" s="5" t="inlineStr">
        <is>
          <t>PIT @ CLE</t>
        </is>
      </c>
    </row>
    <row r="142">
      <c r="A142" s="48" t="n">
        <v>0.5590000000000001</v>
      </c>
      <c r="B142" s="5" t="inlineStr">
        <is>
          <t>More 32.5</t>
        </is>
      </c>
      <c r="C142" s="5" t="inlineStr">
        <is>
          <t>Denzel Boston</t>
        </is>
      </c>
      <c r="D142" s="5" t="inlineStr">
        <is>
          <t>CLE</t>
        </is>
      </c>
      <c r="E142" s="5" t="inlineStr">
        <is>
          <t>Rec Yds</t>
        </is>
      </c>
      <c r="F142" s="5" t="n">
        <v>37.5</v>
      </c>
      <c r="G142" s="5" t="n">
        <v>-1</v>
      </c>
      <c r="H142" s="5" t="inlineStr">
        <is>
          <t>PIT @ CLE</t>
        </is>
      </c>
    </row>
    <row r="143">
      <c r="A143" s="48" t="n">
        <v>0.5580000000000001</v>
      </c>
      <c r="B143" s="5" t="inlineStr">
        <is>
          <t>More 13.5</t>
        </is>
      </c>
      <c r="C143" s="5" t="inlineStr">
        <is>
          <t>Jerry Jeudy</t>
        </is>
      </c>
      <c r="D143" s="5" t="inlineStr">
        <is>
          <t>CLE</t>
        </is>
      </c>
      <c r="E143" s="5" t="inlineStr">
        <is>
          <t>Rush+Rec Yds</t>
        </is>
      </c>
      <c r="F143" s="5" t="n">
        <v>15.5</v>
      </c>
      <c r="G143" s="5" t="n">
        <v>-1</v>
      </c>
      <c r="H143" s="5" t="inlineStr">
        <is>
          <t>PIT @ CLE</t>
        </is>
      </c>
    </row>
    <row r="144">
      <c r="A144" s="48" t="n">
        <v>0.556</v>
      </c>
      <c r="B144" s="5" t="inlineStr">
        <is>
          <t>Less 26.5</t>
        </is>
      </c>
      <c r="C144" s="5" t="inlineStr">
        <is>
          <t>Jaylen Warren</t>
        </is>
      </c>
      <c r="D144" s="5" t="inlineStr">
        <is>
          <t>PIT</t>
        </is>
      </c>
      <c r="E144" s="5" t="inlineStr">
        <is>
          <t>Rec Yds</t>
        </is>
      </c>
      <c r="F144" s="5" t="n">
        <v>22.5</v>
      </c>
      <c r="G144" s="5" t="n">
        <v>2</v>
      </c>
      <c r="H144" s="5" t="inlineStr">
        <is>
          <t>PIT @ CLE</t>
        </is>
      </c>
    </row>
    <row r="145">
      <c r="A145" s="48" t="n">
        <v>0.555</v>
      </c>
      <c r="B145" s="5" t="inlineStr">
        <is>
          <t>Less 15.5</t>
        </is>
      </c>
      <c r="C145" s="5" t="inlineStr">
        <is>
          <t>Jerry Jeudy</t>
        </is>
      </c>
      <c r="D145" s="5" t="inlineStr">
        <is>
          <t>CLE</t>
        </is>
      </c>
      <c r="E145" s="5" t="inlineStr">
        <is>
          <t>Rec Yds</t>
        </is>
      </c>
      <c r="F145" s="5" t="n">
        <v>13.5</v>
      </c>
      <c r="G145" s="5" t="n">
        <v>1</v>
      </c>
      <c r="H145" s="5" t="inlineStr">
        <is>
          <t>PIT @ CLE</t>
        </is>
      </c>
    </row>
    <row r="146">
      <c r="A146" s="48" t="n">
        <v>0.554</v>
      </c>
      <c r="B146" s="5" t="inlineStr">
        <is>
          <t>Less 17.5</t>
        </is>
      </c>
      <c r="C146" s="5" t="inlineStr">
        <is>
          <t>Jerry Jeudy</t>
        </is>
      </c>
      <c r="D146" s="5" t="inlineStr">
        <is>
          <t>CLE</t>
        </is>
      </c>
      <c r="E146" s="5" t="inlineStr">
        <is>
          <t>Rush+Rec Yds</t>
        </is>
      </c>
      <c r="F146" s="5" t="n">
        <v>15.5</v>
      </c>
      <c r="G146" s="5" t="n">
        <v>1</v>
      </c>
      <c r="H146" s="5" t="inlineStr">
        <is>
          <t>PIT @ CLE</t>
        </is>
      </c>
    </row>
    <row r="147">
      <c r="A147" s="48" t="n">
        <v>0.552</v>
      </c>
      <c r="B147" s="5" t="inlineStr">
        <is>
          <t>Less 46.5</t>
        </is>
      </c>
      <c r="C147" s="5" t="inlineStr">
        <is>
          <t>DK Metcalf</t>
        </is>
      </c>
      <c r="D147" s="5" t="inlineStr">
        <is>
          <t>PIT</t>
        </is>
      </c>
      <c r="E147" s="5" t="inlineStr">
        <is>
          <t>Rec Yds</t>
        </is>
      </c>
      <c r="F147" s="5" t="n">
        <v>41.5</v>
      </c>
      <c r="G147" s="5" t="n">
        <v>1</v>
      </c>
      <c r="H147" s="5" t="inlineStr">
        <is>
          <t>PIT @ CLE</t>
        </is>
      </c>
    </row>
    <row r="148">
      <c r="A148" s="48" t="n">
        <v>0.552</v>
      </c>
      <c r="B148" s="5" t="inlineStr">
        <is>
          <t>More 9.5</t>
        </is>
      </c>
      <c r="C148" s="5" t="inlineStr">
        <is>
          <t>Raheim Sanders</t>
        </is>
      </c>
      <c r="D148" s="5" t="inlineStr">
        <is>
          <t>CLE</t>
        </is>
      </c>
      <c r="E148" s="5" t="inlineStr">
        <is>
          <t>Rec Yds</t>
        </is>
      </c>
      <c r="F148" s="5" t="n">
        <v>11.5</v>
      </c>
      <c r="G148" s="5" t="n">
        <v>-1</v>
      </c>
      <c r="H148" s="5" t="inlineStr">
        <is>
          <t>PIT @ CLE</t>
        </is>
      </c>
    </row>
    <row r="149">
      <c r="A149" s="48" t="n">
        <v>0.55</v>
      </c>
      <c r="B149" s="5" t="inlineStr">
        <is>
          <t>More 18.5</t>
        </is>
      </c>
      <c r="C149" s="5" t="inlineStr">
        <is>
          <t>Raheim Sanders</t>
        </is>
      </c>
      <c r="D149" s="5" t="inlineStr">
        <is>
          <t>CLE</t>
        </is>
      </c>
      <c r="E149" s="5" t="inlineStr">
        <is>
          <t>Rush+Rec Yds</t>
        </is>
      </c>
      <c r="F149" s="5" t="n">
        <v>20.5</v>
      </c>
      <c r="G149" s="5" t="n">
        <v>-1</v>
      </c>
      <c r="H149" s="5" t="inlineStr">
        <is>
          <t>PIT @ CLE</t>
        </is>
      </c>
    </row>
    <row r="150">
      <c r="A150" s="48" t="n">
        <v>0.55</v>
      </c>
      <c r="B150" s="5" t="inlineStr">
        <is>
          <t>Less 22.5</t>
        </is>
      </c>
      <c r="C150" s="5" t="inlineStr">
        <is>
          <t>Raheim Sanders</t>
        </is>
      </c>
      <c r="D150" s="5" t="inlineStr">
        <is>
          <t>CLE</t>
        </is>
      </c>
      <c r="E150" s="5" t="inlineStr">
        <is>
          <t>Rush+Rec Yds</t>
        </is>
      </c>
      <c r="F150" s="5" t="n">
        <v>20.5</v>
      </c>
      <c r="G150" s="5" t="n">
        <v>1</v>
      </c>
      <c r="H150" s="5" t="inlineStr">
        <is>
          <t>PIT @ CLE</t>
        </is>
      </c>
    </row>
    <row r="151">
      <c r="A151" s="48" t="n">
        <v>0.549</v>
      </c>
      <c r="B151" s="5" t="inlineStr">
        <is>
          <t>More 67.5</t>
        </is>
      </c>
      <c r="C151" s="5" t="inlineStr">
        <is>
          <t>Quinshon Judkins</t>
        </is>
      </c>
      <c r="D151" s="5" t="inlineStr">
        <is>
          <t>CLE</t>
        </is>
      </c>
      <c r="E151" s="5" t="inlineStr">
        <is>
          <t>Rush+Rec Yds</t>
        </is>
      </c>
      <c r="F151" s="5" t="n">
        <v>72.5</v>
      </c>
      <c r="G151" s="5" t="n">
        <v>-1</v>
      </c>
      <c r="H151" s="5" t="inlineStr">
        <is>
          <t>PIT @ CLE</t>
        </is>
      </c>
    </row>
    <row r="152">
      <c r="A152" s="48" t="n">
        <v>0.549</v>
      </c>
      <c r="B152" s="5" t="inlineStr">
        <is>
          <t>Less 14.5</t>
        </is>
      </c>
      <c r="C152" s="5" t="inlineStr">
        <is>
          <t>Quinshon Judkins</t>
        </is>
      </c>
      <c r="D152" s="5" t="inlineStr">
        <is>
          <t>CLE</t>
        </is>
      </c>
      <c r="E152" s="5" t="inlineStr">
        <is>
          <t>Rec Yds</t>
        </is>
      </c>
      <c r="F152" s="5" t="n">
        <v>12.5</v>
      </c>
      <c r="G152" s="5" t="n">
        <v>1</v>
      </c>
      <c r="H152" s="5" t="inlineStr">
        <is>
          <t>PIT @ CLE</t>
        </is>
      </c>
    </row>
    <row r="153">
      <c r="A153" s="48" t="n">
        <v>0.549</v>
      </c>
      <c r="B153" s="5" t="inlineStr">
        <is>
          <t>Less 3.5</t>
        </is>
      </c>
      <c r="C153" s="5" t="inlineStr">
        <is>
          <t>Pat Freiermuth</t>
        </is>
      </c>
      <c r="D153" s="5" t="inlineStr">
        <is>
          <t>PIT</t>
        </is>
      </c>
      <c r="E153" s="5" t="inlineStr">
        <is>
          <t>Receptions</t>
        </is>
      </c>
      <c r="F153" s="5" t="n">
        <v>3.5</v>
      </c>
      <c r="G153" s="5" t="n">
        <v>0</v>
      </c>
      <c r="H153" s="5" t="inlineStr">
        <is>
          <t>PIT @ CLE</t>
        </is>
      </c>
    </row>
    <row r="154">
      <c r="A154" s="48" t="n">
        <v>0.547</v>
      </c>
      <c r="B154" s="5" t="inlineStr">
        <is>
          <t>Less 77.5</t>
        </is>
      </c>
      <c r="C154" s="5" t="inlineStr">
        <is>
          <t>Quinshon Judkins</t>
        </is>
      </c>
      <c r="D154" s="5" t="inlineStr">
        <is>
          <t>CLE</t>
        </is>
      </c>
      <c r="E154" s="5" t="inlineStr">
        <is>
          <t>Rush+Rec Yds</t>
        </is>
      </c>
      <c r="F154" s="5" t="n">
        <v>72.5</v>
      </c>
      <c r="G154" s="5" t="n">
        <v>1</v>
      </c>
      <c r="H154" s="5" t="inlineStr">
        <is>
          <t>PIT @ CLE</t>
        </is>
      </c>
    </row>
    <row r="155">
      <c r="A155" s="48" t="n">
        <v>0.547</v>
      </c>
      <c r="B155" s="5" t="inlineStr">
        <is>
          <t>More 94.5</t>
        </is>
      </c>
      <c r="C155" s="5" t="inlineStr">
        <is>
          <t>Jaylen Warren</t>
        </is>
      </c>
      <c r="D155" s="5" t="inlineStr">
        <is>
          <t>PIT</t>
        </is>
      </c>
      <c r="E155" s="5" t="inlineStr">
        <is>
          <t>Rush+Rec Yds</t>
        </is>
      </c>
      <c r="F155" s="5" t="n">
        <v>99.5</v>
      </c>
      <c r="G155" s="5" t="n">
        <v>-1</v>
      </c>
      <c r="H155" s="5" t="inlineStr">
        <is>
          <t>PIT @ CLE</t>
        </is>
      </c>
    </row>
    <row r="156">
      <c r="A156" s="48" t="n">
        <v>0.546</v>
      </c>
      <c r="B156" s="5" t="inlineStr">
        <is>
          <t>Less 3.5</t>
        </is>
      </c>
      <c r="C156" s="5" t="inlineStr">
        <is>
          <t>Jaylen Warren</t>
        </is>
      </c>
      <c r="D156" s="5" t="inlineStr">
        <is>
          <t>PIT</t>
        </is>
      </c>
      <c r="E156" s="5" t="inlineStr">
        <is>
          <t>Receptions</t>
        </is>
      </c>
      <c r="F156" s="5" t="n">
        <v>3.5</v>
      </c>
      <c r="G156" s="5" t="n">
        <v>0</v>
      </c>
      <c r="H156" s="5" t="inlineStr">
        <is>
          <t>PIT @ CLE</t>
        </is>
      </c>
    </row>
    <row r="157">
      <c r="A157" s="48" t="n">
        <v>0.546</v>
      </c>
      <c r="B157" s="5" t="inlineStr">
        <is>
          <t>Less 2.5</t>
        </is>
      </c>
      <c r="C157" s="5" t="inlineStr">
        <is>
          <t>Raheim Sanders</t>
        </is>
      </c>
      <c r="D157" s="5" t="inlineStr">
        <is>
          <t>CLE</t>
        </is>
      </c>
      <c r="E157" s="5" t="inlineStr">
        <is>
          <t>Receptions</t>
        </is>
      </c>
      <c r="F157" s="5" t="n">
        <v>1.5</v>
      </c>
      <c r="G157" s="5" t="n">
        <v>1</v>
      </c>
      <c r="H157" s="5" t="inlineStr">
        <is>
          <t>PIT @ CLE</t>
        </is>
      </c>
    </row>
    <row r="158">
      <c r="A158" s="48" t="n">
        <v>0.546</v>
      </c>
      <c r="B158" s="5" t="inlineStr">
        <is>
          <t>Less 21.5</t>
        </is>
      </c>
      <c r="C158" s="5" t="inlineStr">
        <is>
          <t>Roman Wilson</t>
        </is>
      </c>
      <c r="D158" s="5" t="inlineStr">
        <is>
          <t>PIT</t>
        </is>
      </c>
      <c r="E158" s="5" t="inlineStr">
        <is>
          <t>Rec Yds</t>
        </is>
      </c>
      <c r="F158" s="5" t="n">
        <v>19.5</v>
      </c>
      <c r="G158" s="5" t="n">
        <v>1</v>
      </c>
      <c r="H158" s="5" t="inlineStr">
        <is>
          <t>PIT @ CLE</t>
        </is>
      </c>
    </row>
    <row r="159">
      <c r="A159" s="48" t="n">
        <v>0.545</v>
      </c>
      <c r="B159" s="5" t="inlineStr">
        <is>
          <t>More 68.5</t>
        </is>
      </c>
      <c r="C159" s="5" t="inlineStr">
        <is>
          <t>Jaylen Warren</t>
        </is>
      </c>
      <c r="D159" s="5" t="inlineStr">
        <is>
          <t>PIT</t>
        </is>
      </c>
      <c r="E159" s="5" t="inlineStr">
        <is>
          <t>Rush Yds</t>
        </is>
      </c>
      <c r="F159" s="5" t="n">
        <v>73.5</v>
      </c>
      <c r="G159" s="5" t="n">
        <v>-1</v>
      </c>
      <c r="H159" s="5" t="inlineStr">
        <is>
          <t>PIT @ CLE</t>
        </is>
      </c>
    </row>
    <row r="160">
      <c r="A160" s="48" t="n">
        <v>0.545</v>
      </c>
      <c r="B160" s="5" t="inlineStr">
        <is>
          <t>More 20.5</t>
        </is>
      </c>
      <c r="C160" s="5" t="inlineStr">
        <is>
          <t>Jaylen Warren</t>
        </is>
      </c>
      <c r="D160" s="5" t="inlineStr">
        <is>
          <t>PIT</t>
        </is>
      </c>
      <c r="E160" s="5" t="inlineStr">
        <is>
          <t>Rec Yds</t>
        </is>
      </c>
      <c r="F160" s="5" t="n">
        <v>22.5</v>
      </c>
      <c r="G160" s="5" t="n">
        <v>-1</v>
      </c>
      <c r="H160" s="5" t="inlineStr">
        <is>
          <t>PIT @ CLE</t>
        </is>
      </c>
    </row>
    <row r="161">
      <c r="A161" s="48" t="n">
        <v>0.543</v>
      </c>
      <c r="B161" s="5" t="inlineStr">
        <is>
          <t>Less 24.5</t>
        </is>
      </c>
      <c r="C161" s="5" t="inlineStr">
        <is>
          <t>Roman Wilson</t>
        </is>
      </c>
      <c r="D161" s="5" t="inlineStr">
        <is>
          <t>PIT</t>
        </is>
      </c>
      <c r="E161" s="5" t="inlineStr">
        <is>
          <t>Rush+Rec Yds</t>
        </is>
      </c>
      <c r="F161" s="5" t="n">
        <v>22.5</v>
      </c>
      <c r="G161" s="5" t="n">
        <v>1</v>
      </c>
      <c r="H161" s="5" t="inlineStr">
        <is>
          <t>PIT @ CLE</t>
        </is>
      </c>
    </row>
    <row r="162">
      <c r="A162" s="48" t="n">
        <v>0.542</v>
      </c>
      <c r="B162" s="5" t="inlineStr">
        <is>
          <t>Less 60.5</t>
        </is>
      </c>
      <c r="C162" s="5" t="inlineStr">
        <is>
          <t>Quinshon Judkins</t>
        </is>
      </c>
      <c r="D162" s="5" t="inlineStr">
        <is>
          <t>CLE</t>
        </is>
      </c>
      <c r="E162" s="5" t="inlineStr">
        <is>
          <t>Rush Yds</t>
        </is>
      </c>
      <c r="F162" s="5" t="n">
        <v>55.5</v>
      </c>
      <c r="G162" s="5" t="n">
        <v>1</v>
      </c>
      <c r="H162" s="5" t="inlineStr">
        <is>
          <t>PIT @ CLE</t>
        </is>
      </c>
    </row>
    <row r="163">
      <c r="A163" s="48" t="n">
        <v>0.541</v>
      </c>
      <c r="B163" s="5" t="inlineStr">
        <is>
          <t>Less 78.5</t>
        </is>
      </c>
      <c r="C163" s="5" t="inlineStr">
        <is>
          <t>Jaylen Warren</t>
        </is>
      </c>
      <c r="D163" s="5" t="inlineStr">
        <is>
          <t>PIT</t>
        </is>
      </c>
      <c r="E163" s="5" t="inlineStr">
        <is>
          <t>Rush Yds</t>
        </is>
      </c>
      <c r="F163" s="5" t="n">
        <v>73.5</v>
      </c>
      <c r="G163" s="5" t="n">
        <v>1</v>
      </c>
      <c r="H163" s="5" t="inlineStr">
        <is>
          <t>PIT @ CLE</t>
        </is>
      </c>
    </row>
    <row r="164">
      <c r="A164" s="48" t="n">
        <v>0.539</v>
      </c>
      <c r="B164" s="5" t="inlineStr">
        <is>
          <t>More 14.5</t>
        </is>
      </c>
      <c r="C164" s="5" t="inlineStr">
        <is>
          <t>Darnell Washington</t>
        </is>
      </c>
      <c r="D164" s="5" t="inlineStr">
        <is>
          <t>PIT</t>
        </is>
      </c>
      <c r="E164" s="5" t="inlineStr">
        <is>
          <t>Rec Yds</t>
        </is>
      </c>
      <c r="F164" s="5" t="n">
        <v>16.5</v>
      </c>
      <c r="G164" s="5" t="n">
        <v>-1</v>
      </c>
      <c r="H164" s="5" t="inlineStr">
        <is>
          <t>PIT @ CLE</t>
        </is>
      </c>
    </row>
    <row r="165">
      <c r="A165" s="48" t="n">
        <v>0.538</v>
      </c>
      <c r="B165" s="5" t="inlineStr">
        <is>
          <t>More 10.5</t>
        </is>
      </c>
      <c r="C165" s="5" t="inlineStr">
        <is>
          <t>Quinshon Judkins</t>
        </is>
      </c>
      <c r="D165" s="5" t="inlineStr">
        <is>
          <t>CLE</t>
        </is>
      </c>
      <c r="E165" s="5" t="inlineStr">
        <is>
          <t>Rec Yds</t>
        </is>
      </c>
      <c r="F165" s="5" t="n">
        <v>12.5</v>
      </c>
      <c r="G165" s="5" t="n">
        <v>-1</v>
      </c>
      <c r="H165" s="5" t="inlineStr">
        <is>
          <t>PIT @ CLE</t>
        </is>
      </c>
    </row>
    <row r="166">
      <c r="A166" s="48" t="n">
        <v>0.538</v>
      </c>
      <c r="B166" s="5" t="inlineStr">
        <is>
          <t>Less 104.5</t>
        </is>
      </c>
      <c r="C166" s="5" t="inlineStr">
        <is>
          <t>Jaylen Warren</t>
        </is>
      </c>
      <c r="D166" s="5" t="inlineStr">
        <is>
          <t>PIT</t>
        </is>
      </c>
      <c r="E166" s="5" t="inlineStr">
        <is>
          <t>Rush+Rec Yds</t>
        </is>
      </c>
      <c r="F166" s="5" t="n">
        <v>99.5</v>
      </c>
      <c r="G166" s="5" t="n">
        <v>1</v>
      </c>
      <c r="H166" s="5" t="inlineStr">
        <is>
          <t>PIT @ CLE</t>
        </is>
      </c>
    </row>
    <row r="167">
      <c r="A167" s="48" t="n">
        <v>0.536</v>
      </c>
      <c r="B167" s="5" t="inlineStr">
        <is>
          <t>Less 3.5</t>
        </is>
      </c>
      <c r="C167" s="5" t="inlineStr">
        <is>
          <t>Michael Pittman Jr.</t>
        </is>
      </c>
      <c r="D167" s="5" t="inlineStr">
        <is>
          <t>PIT</t>
        </is>
      </c>
      <c r="E167" s="5" t="inlineStr">
        <is>
          <t>Receptions</t>
        </is>
      </c>
      <c r="F167" s="5" t="n">
        <v>3.5</v>
      </c>
      <c r="G167" s="5" t="n">
        <v>0</v>
      </c>
      <c r="H167" s="5" t="inlineStr">
        <is>
          <t>PIT @ CLE</t>
        </is>
      </c>
    </row>
    <row r="168">
      <c r="A168" s="48" t="n">
        <v>0.533</v>
      </c>
      <c r="B168" s="5" t="inlineStr">
        <is>
          <t>Less 24.5</t>
        </is>
      </c>
      <c r="C168" s="5" t="inlineStr">
        <is>
          <t>Jaylen Warren</t>
        </is>
      </c>
      <c r="D168" s="5" t="inlineStr">
        <is>
          <t>PIT</t>
        </is>
      </c>
      <c r="E168" s="5" t="inlineStr">
        <is>
          <t>Rec Yds</t>
        </is>
      </c>
      <c r="F168" s="5" t="n">
        <v>22.5</v>
      </c>
      <c r="G168" s="5" t="n">
        <v>1</v>
      </c>
      <c r="H168" s="5" t="inlineStr">
        <is>
          <t>PIT @ CLE</t>
        </is>
      </c>
    </row>
    <row r="169">
      <c r="A169" s="48" t="n">
        <v>0.533</v>
      </c>
      <c r="B169" s="5" t="inlineStr">
        <is>
          <t>More 20.5</t>
        </is>
      </c>
      <c r="C169" s="5" t="inlineStr">
        <is>
          <t>Roman Wilson</t>
        </is>
      </c>
      <c r="D169" s="5" t="inlineStr">
        <is>
          <t>PIT</t>
        </is>
      </c>
      <c r="E169" s="5" t="inlineStr">
        <is>
          <t>Rush+Rec Yds</t>
        </is>
      </c>
      <c r="F169" s="5" t="n">
        <v>22.5</v>
      </c>
      <c r="G169" s="5" t="n">
        <v>-1</v>
      </c>
      <c r="H169" s="5" t="inlineStr">
        <is>
          <t>PIT @ CLE</t>
        </is>
      </c>
    </row>
    <row r="170">
      <c r="A170" s="48" t="n">
        <v>0.53</v>
      </c>
      <c r="B170" s="5" t="inlineStr">
        <is>
          <t>More 17.5</t>
        </is>
      </c>
      <c r="C170" s="5" t="inlineStr">
        <is>
          <t>Roman Wilson</t>
        </is>
      </c>
      <c r="D170" s="5" t="inlineStr">
        <is>
          <t>PIT</t>
        </is>
      </c>
      <c r="E170" s="5" t="inlineStr">
        <is>
          <t>Rec Yds</t>
        </is>
      </c>
      <c r="F170" s="5" t="n">
        <v>19.5</v>
      </c>
      <c r="G170" s="5" t="n">
        <v>-1</v>
      </c>
      <c r="H170" s="5" t="inlineStr">
        <is>
          <t>PIT @ CLE</t>
        </is>
      </c>
    </row>
    <row r="171">
      <c r="A171" s="48" t="n">
        <v>0.529</v>
      </c>
      <c r="B171" s="5" t="inlineStr">
        <is>
          <t>More 3.5</t>
        </is>
      </c>
      <c r="C171" s="5" t="inlineStr">
        <is>
          <t>DK Metcalf</t>
        </is>
      </c>
      <c r="D171" s="5" t="inlineStr">
        <is>
          <t>PIT</t>
        </is>
      </c>
      <c r="E171" s="5" t="inlineStr">
        <is>
          <t>Receptions</t>
        </is>
      </c>
      <c r="F171" s="5" t="n">
        <v>3.5</v>
      </c>
      <c r="G171" s="5" t="n">
        <v>0</v>
      </c>
      <c r="H171" s="5" t="inlineStr">
        <is>
          <t>PIT @ CLE</t>
        </is>
      </c>
    </row>
    <row r="172">
      <c r="A172" s="48" t="n">
        <v>0.525</v>
      </c>
      <c r="B172" s="5" t="inlineStr">
        <is>
          <t>Less 18.5</t>
        </is>
      </c>
      <c r="C172" s="5" t="inlineStr">
        <is>
          <t>Darnell Washington</t>
        </is>
      </c>
      <c r="D172" s="5" t="inlineStr">
        <is>
          <t>PIT</t>
        </is>
      </c>
      <c r="E172" s="5" t="inlineStr">
        <is>
          <t>Rec Yds</t>
        </is>
      </c>
      <c r="F172" s="5" t="n">
        <v>16.5</v>
      </c>
      <c r="G172" s="5" t="n">
        <v>1</v>
      </c>
      <c r="H172" s="5" t="inlineStr">
        <is>
          <t>PIT @ CLE</t>
        </is>
      </c>
    </row>
    <row r="173">
      <c r="A173" s="48" t="n">
        <v>0.524</v>
      </c>
      <c r="B173" s="5" t="inlineStr">
        <is>
          <t>Less 13.5</t>
        </is>
      </c>
      <c r="C173" s="5" t="inlineStr">
        <is>
          <t>Raheim Sanders</t>
        </is>
      </c>
      <c r="D173" s="5" t="inlineStr">
        <is>
          <t>CLE</t>
        </is>
      </c>
      <c r="E173" s="5" t="inlineStr">
        <is>
          <t>Rec Yds</t>
        </is>
      </c>
      <c r="F173" s="5" t="n">
        <v>11.5</v>
      </c>
      <c r="G173" s="5" t="n">
        <v>1</v>
      </c>
      <c r="H173" s="5" t="inlineStr">
        <is>
          <t>PIT @ CLE</t>
        </is>
      </c>
    </row>
    <row r="174">
      <c r="A174" s="48" t="n">
        <v>0.523</v>
      </c>
      <c r="B174" s="5" t="inlineStr">
        <is>
          <t>Less 1.5</t>
        </is>
      </c>
      <c r="C174" s="5" t="inlineStr">
        <is>
          <t>Aaron Rodgers</t>
        </is>
      </c>
      <c r="D174" s="5" t="inlineStr">
        <is>
          <t>PIT</t>
        </is>
      </c>
      <c r="E174" s="5" t="inlineStr">
        <is>
          <t>Rush Yds</t>
        </is>
      </c>
      <c r="F174" s="5" t="n">
        <v>1.5</v>
      </c>
      <c r="G174" s="5" t="n">
        <v>0</v>
      </c>
      <c r="H174" s="5" t="inlineStr">
        <is>
          <t>PIT @ CLE</t>
        </is>
      </c>
    </row>
    <row r="175">
      <c r="A175" s="48" t="n">
        <v>0.522</v>
      </c>
      <c r="B175" s="5" t="inlineStr">
        <is>
          <t>More 22.5</t>
        </is>
      </c>
      <c r="C175" s="5" t="inlineStr">
        <is>
          <t>Jaylen Warren</t>
        </is>
      </c>
      <c r="D175" s="5" t="inlineStr">
        <is>
          <t>PIT</t>
        </is>
      </c>
      <c r="E175" s="5" t="inlineStr">
        <is>
          <t>Rec Yds</t>
        </is>
      </c>
      <c r="F175" s="5" t="n">
        <v>22.5</v>
      </c>
      <c r="G175" s="5" t="n">
        <v>0</v>
      </c>
      <c r="H175" s="5" t="inlineStr">
        <is>
          <t>PIT @ CLE</t>
        </is>
      </c>
    </row>
    <row r="176">
      <c r="A176" s="48" t="n">
        <v>0.521</v>
      </c>
      <c r="B176" s="5" t="inlineStr">
        <is>
          <t>Less 12.5</t>
        </is>
      </c>
      <c r="C176" s="5" t="inlineStr">
        <is>
          <t>Quinshon Judkins</t>
        </is>
      </c>
      <c r="D176" s="5" t="inlineStr">
        <is>
          <t>CLE</t>
        </is>
      </c>
      <c r="E176" s="5" t="inlineStr">
        <is>
          <t>Rec Yds</t>
        </is>
      </c>
      <c r="F176" s="5" t="n">
        <v>12.5</v>
      </c>
      <c r="G176" s="5" t="n">
        <v>0</v>
      </c>
      <c r="H176" s="5" t="inlineStr">
        <is>
          <t>PIT @ CLE</t>
        </is>
      </c>
    </row>
    <row r="177">
      <c r="A177" s="48" t="n">
        <v>0.516</v>
      </c>
      <c r="B177" s="5" t="inlineStr">
        <is>
          <t>More 16.5</t>
        </is>
      </c>
      <c r="C177" s="5" t="inlineStr">
        <is>
          <t>Darnell Washington</t>
        </is>
      </c>
      <c r="D177" s="5" t="inlineStr">
        <is>
          <t>PIT</t>
        </is>
      </c>
      <c r="E177" s="5" t="inlineStr">
        <is>
          <t>Rec Yds</t>
        </is>
      </c>
      <c r="F177" s="5" t="n">
        <v>16.5</v>
      </c>
      <c r="G177" s="5" t="n">
        <v>0</v>
      </c>
      <c r="H177" s="5" t="inlineStr">
        <is>
          <t>PIT @ CLE</t>
        </is>
      </c>
    </row>
    <row r="178">
      <c r="A178" s="48" t="n">
        <v>0.516</v>
      </c>
      <c r="B178" s="5" t="inlineStr">
        <is>
          <t>Less 6.5</t>
        </is>
      </c>
      <c r="C178" s="5" t="inlineStr">
        <is>
          <t>Germie Bernard</t>
        </is>
      </c>
      <c r="D178" s="5" t="inlineStr">
        <is>
          <t>PIT</t>
        </is>
      </c>
      <c r="E178" s="5" t="inlineStr">
        <is>
          <t>Rec Yds</t>
        </is>
      </c>
      <c r="F178" s="5" t="n">
        <v>6.5</v>
      </c>
      <c r="G178" s="5" t="n">
        <v>0</v>
      </c>
      <c r="H178" s="5" t="inlineStr">
        <is>
          <t>PIT @ CLE</t>
        </is>
      </c>
    </row>
    <row r="179">
      <c r="A179" s="48" t="n">
        <v>0.514</v>
      </c>
      <c r="B179" s="5" t="inlineStr">
        <is>
          <t>More 55.5</t>
        </is>
      </c>
      <c r="C179" s="5" t="inlineStr">
        <is>
          <t>Quinshon Judkins</t>
        </is>
      </c>
      <c r="D179" s="5" t="inlineStr">
        <is>
          <t>CLE</t>
        </is>
      </c>
      <c r="E179" s="5" t="inlineStr">
        <is>
          <t>Rush Yds</t>
        </is>
      </c>
      <c r="F179" s="5" t="n">
        <v>55.5</v>
      </c>
      <c r="G179" s="5" t="n">
        <v>0</v>
      </c>
      <c r="H179" s="5" t="inlineStr">
        <is>
          <t>PIT @ CLE</t>
        </is>
      </c>
    </row>
    <row r="180">
      <c r="A180" s="48" t="n">
        <v>0.513</v>
      </c>
      <c r="B180" s="5" t="inlineStr">
        <is>
          <t>Less 29.5</t>
        </is>
      </c>
      <c r="C180" s="5" t="inlineStr">
        <is>
          <t>Deshaun Watson</t>
        </is>
      </c>
      <c r="D180" s="5" t="inlineStr">
        <is>
          <t>CLE</t>
        </is>
      </c>
      <c r="E180" s="5" t="inlineStr">
        <is>
          <t>Rush Yds</t>
        </is>
      </c>
      <c r="F180" s="5" t="n">
        <v>29.5</v>
      </c>
      <c r="G180" s="5" t="n">
        <v>0</v>
      </c>
      <c r="H180" s="5" t="inlineStr">
        <is>
          <t>PIT @ CLE</t>
        </is>
      </c>
    </row>
    <row r="181">
      <c r="A181" s="48" t="n">
        <v>0.511</v>
      </c>
      <c r="B181" s="5" t="inlineStr">
        <is>
          <t>More 41.5</t>
        </is>
      </c>
      <c r="C181" s="5" t="inlineStr">
        <is>
          <t>DK Metcalf</t>
        </is>
      </c>
      <c r="D181" s="5" t="inlineStr">
        <is>
          <t>PIT</t>
        </is>
      </c>
      <c r="E181" s="5" t="inlineStr">
        <is>
          <t>Rec Yds</t>
        </is>
      </c>
      <c r="F181" s="5" t="n">
        <v>41.5</v>
      </c>
      <c r="G181" s="5" t="n">
        <v>0</v>
      </c>
      <c r="H181" s="5" t="inlineStr">
        <is>
          <t>PIT @ CLE</t>
        </is>
      </c>
    </row>
    <row r="182">
      <c r="A182" s="48" t="n">
        <v>0.509</v>
      </c>
      <c r="B182" s="5" t="inlineStr">
        <is>
          <t>Less 37.5</t>
        </is>
      </c>
      <c r="C182" s="5" t="inlineStr">
        <is>
          <t>Denzel Boston</t>
        </is>
      </c>
      <c r="D182" s="5" t="inlineStr">
        <is>
          <t>CLE</t>
        </is>
      </c>
      <c r="E182" s="5" t="inlineStr">
        <is>
          <t>Rec Yds</t>
        </is>
      </c>
      <c r="F182" s="5" t="n">
        <v>37.5</v>
      </c>
      <c r="G182" s="5" t="n">
        <v>0</v>
      </c>
      <c r="H182" s="5" t="inlineStr">
        <is>
          <t>PIT @ CLE</t>
        </is>
      </c>
    </row>
    <row r="183">
      <c r="A183" s="48" t="n">
        <v>0.508</v>
      </c>
      <c r="B183" s="5" t="inlineStr">
        <is>
          <t>Less 40.5</t>
        </is>
      </c>
      <c r="C183" s="5" t="inlineStr">
        <is>
          <t>Harold Fannin Jr.</t>
        </is>
      </c>
      <c r="D183" s="5" t="inlineStr">
        <is>
          <t>CLE</t>
        </is>
      </c>
      <c r="E183" s="5" t="inlineStr">
        <is>
          <t>Rec Yds</t>
        </is>
      </c>
      <c r="F183" s="5" t="n">
        <v>40.5</v>
      </c>
      <c r="G183" s="5" t="n">
        <v>0</v>
      </c>
      <c r="H183" s="5" t="inlineStr">
        <is>
          <t>PIT @ CLE</t>
        </is>
      </c>
    </row>
    <row r="184">
      <c r="A184" s="48" t="n">
        <v>0.506</v>
      </c>
      <c r="B184" s="5" t="inlineStr">
        <is>
          <t>Less 28.5</t>
        </is>
      </c>
      <c r="C184" s="5" t="inlineStr">
        <is>
          <t>Pat Freiermuth</t>
        </is>
      </c>
      <c r="D184" s="5" t="inlineStr">
        <is>
          <t>PIT</t>
        </is>
      </c>
      <c r="E184" s="5" t="inlineStr">
        <is>
          <t>Rec Yds</t>
        </is>
      </c>
      <c r="F184" s="5" t="n">
        <v>28.5</v>
      </c>
      <c r="G184" s="5" t="n">
        <v>0</v>
      </c>
      <c r="H184" s="5" t="inlineStr">
        <is>
          <t>PIT @ CLE</t>
        </is>
      </c>
    </row>
    <row r="185">
      <c r="A185" s="48" t="n">
        <v>0.505</v>
      </c>
      <c r="B185" s="5" t="inlineStr">
        <is>
          <t>Less 22.5</t>
        </is>
      </c>
      <c r="C185" s="5" t="inlineStr">
        <is>
          <t>Roman Wilson</t>
        </is>
      </c>
      <c r="D185" s="5" t="inlineStr">
        <is>
          <t>PIT</t>
        </is>
      </c>
      <c r="E185" s="5" t="inlineStr">
        <is>
          <t>Rush+Rec Yds</t>
        </is>
      </c>
      <c r="F185" s="5" t="n">
        <v>22.5</v>
      </c>
      <c r="G185" s="5" t="n">
        <v>0</v>
      </c>
      <c r="H185" s="5" t="inlineStr">
        <is>
          <t>PIT @ CLE</t>
        </is>
      </c>
    </row>
    <row r="186">
      <c r="A186" s="48" t="n">
        <v>0.504</v>
      </c>
      <c r="B186" s="5" t="inlineStr">
        <is>
          <t>Less 15.5</t>
        </is>
      </c>
      <c r="C186" s="5" t="inlineStr">
        <is>
          <t>Jerry Jeudy</t>
        </is>
      </c>
      <c r="D186" s="5" t="inlineStr">
        <is>
          <t>CLE</t>
        </is>
      </c>
      <c r="E186" s="5" t="inlineStr">
        <is>
          <t>Rush+Rec Yds</t>
        </is>
      </c>
      <c r="F186" s="5" t="n">
        <v>15.5</v>
      </c>
      <c r="G186" s="5" t="n">
        <v>0</v>
      </c>
      <c r="H186" s="5" t="inlineStr">
        <is>
          <t>PIT @ CLE</t>
        </is>
      </c>
    </row>
    <row r="187">
      <c r="A187" s="48" t="n">
        <v>0.504</v>
      </c>
      <c r="B187" s="5" t="inlineStr">
        <is>
          <t>Less 212.5</t>
        </is>
      </c>
      <c r="C187" s="5" t="inlineStr">
        <is>
          <t>Aaron Rodgers</t>
        </is>
      </c>
      <c r="D187" s="5" t="inlineStr">
        <is>
          <t>PIT</t>
        </is>
      </c>
      <c r="E187" s="5" t="inlineStr">
        <is>
          <t>Pass Yds</t>
        </is>
      </c>
      <c r="F187" s="5" t="n">
        <v>212.5</v>
      </c>
      <c r="G187" s="5" t="n">
        <v>0</v>
      </c>
      <c r="H187" s="5" t="inlineStr">
        <is>
          <t>PIT @ CLE</t>
        </is>
      </c>
    </row>
    <row r="188">
      <c r="A188" s="48" t="n">
        <v>0.504</v>
      </c>
      <c r="B188" s="5" t="inlineStr">
        <is>
          <t>Less 34.5</t>
        </is>
      </c>
      <c r="C188" s="5" t="inlineStr">
        <is>
          <t>Michael Pittman Jr.</t>
        </is>
      </c>
      <c r="D188" s="5" t="inlineStr">
        <is>
          <t>PIT</t>
        </is>
      </c>
      <c r="E188" s="5" t="inlineStr">
        <is>
          <t>Rec Yds</t>
        </is>
      </c>
      <c r="F188" s="5" t="n">
        <v>34.5</v>
      </c>
      <c r="G188" s="5" t="n">
        <v>0</v>
      </c>
      <c r="H188" s="5" t="inlineStr">
        <is>
          <t>PIT @ CLE</t>
        </is>
      </c>
    </row>
    <row r="189">
      <c r="A189" s="48" t="n">
        <v>0.503</v>
      </c>
      <c r="B189" s="5" t="inlineStr">
        <is>
          <t>Less 4.5</t>
        </is>
      </c>
      <c r="C189" s="5" t="inlineStr">
        <is>
          <t>Harold Fannin Jr.</t>
        </is>
      </c>
      <c r="D189" s="5" t="inlineStr">
        <is>
          <t>CLE</t>
        </is>
      </c>
      <c r="E189" s="5" t="inlineStr">
        <is>
          <t>Receptions</t>
        </is>
      </c>
      <c r="F189" s="5" t="n">
        <v>4.5</v>
      </c>
      <c r="G189" s="5" t="n">
        <v>0</v>
      </c>
      <c r="H189" s="5" t="inlineStr">
        <is>
          <t>PIT @ CLE</t>
        </is>
      </c>
    </row>
    <row r="190">
      <c r="A190" s="48" t="n">
        <v>0.502</v>
      </c>
      <c r="B190" s="5" t="inlineStr">
        <is>
          <t>Less 5.5</t>
        </is>
      </c>
      <c r="C190" s="5" t="inlineStr">
        <is>
          <t>Raheim Sanders</t>
        </is>
      </c>
      <c r="D190" s="5" t="inlineStr">
        <is>
          <t>CLE</t>
        </is>
      </c>
      <c r="E190" s="5" t="inlineStr">
        <is>
          <t>Rush Yds</t>
        </is>
      </c>
      <c r="F190" s="5" t="n">
        <v>5.5</v>
      </c>
      <c r="G190" s="5" t="n">
        <v>0</v>
      </c>
      <c r="H190" s="5" t="inlineStr">
        <is>
          <t>PIT @ CLE</t>
        </is>
      </c>
    </row>
    <row r="191">
      <c r="A191" s="48" t="n">
        <v>0.502</v>
      </c>
      <c r="B191" s="5" t="inlineStr">
        <is>
          <t>Less 20.5</t>
        </is>
      </c>
      <c r="C191" s="5" t="inlineStr">
        <is>
          <t>Raheim Sanders</t>
        </is>
      </c>
      <c r="D191" s="5" t="inlineStr">
        <is>
          <t>CLE</t>
        </is>
      </c>
      <c r="E191" s="5" t="inlineStr">
        <is>
          <t>Rush+Rec Yds</t>
        </is>
      </c>
      <c r="F191" s="5" t="n">
        <v>20.5</v>
      </c>
      <c r="G191" s="5" t="n">
        <v>0</v>
      </c>
      <c r="H191" s="5" t="inlineStr">
        <is>
          <t>PIT @ CLE</t>
        </is>
      </c>
    </row>
    <row r="192">
      <c r="A192" s="48" t="n">
        <v>0.502</v>
      </c>
      <c r="B192" s="5" t="inlineStr">
        <is>
          <t>More 99.5</t>
        </is>
      </c>
      <c r="C192" s="5" t="inlineStr">
        <is>
          <t>Jaylen Warren</t>
        </is>
      </c>
      <c r="D192" s="5" t="inlineStr">
        <is>
          <t>PIT</t>
        </is>
      </c>
      <c r="E192" s="5" t="inlineStr">
        <is>
          <t>Rush+Rec Yds</t>
        </is>
      </c>
      <c r="F192" s="5" t="n">
        <v>99.5</v>
      </c>
      <c r="G192" s="5" t="n">
        <v>0</v>
      </c>
      <c r="H192" s="5" t="inlineStr">
        <is>
          <t>PIT @ CLE</t>
        </is>
      </c>
    </row>
    <row r="193">
      <c r="A193" s="48" t="n">
        <v>0.502</v>
      </c>
      <c r="B193" s="5" t="inlineStr">
        <is>
          <t>Less 73.5</t>
        </is>
      </c>
      <c r="C193" s="5" t="inlineStr">
        <is>
          <t>Jaylen Warren</t>
        </is>
      </c>
      <c r="D193" s="5" t="inlineStr">
        <is>
          <t>PIT</t>
        </is>
      </c>
      <c r="E193" s="5" t="inlineStr">
        <is>
          <t>Rush Yds</t>
        </is>
      </c>
      <c r="F193" s="5" t="n">
        <v>73.5</v>
      </c>
      <c r="G193" s="5" t="n">
        <v>0</v>
      </c>
      <c r="H193" s="5" t="inlineStr">
        <is>
          <t>PIT @ CLE</t>
        </is>
      </c>
    </row>
    <row r="194">
      <c r="A194" s="48" t="n">
        <v>0.502</v>
      </c>
      <c r="B194" s="5" t="inlineStr">
        <is>
          <t>Less 11.5</t>
        </is>
      </c>
      <c r="C194" s="5" t="inlineStr">
        <is>
          <t>Raheim Sanders</t>
        </is>
      </c>
      <c r="D194" s="5" t="inlineStr">
        <is>
          <t>CLE</t>
        </is>
      </c>
      <c r="E194" s="5" t="inlineStr">
        <is>
          <t>Rec Yds</t>
        </is>
      </c>
      <c r="F194" s="5" t="n">
        <v>11.5</v>
      </c>
      <c r="G194" s="5" t="n">
        <v>0</v>
      </c>
      <c r="H194" s="5" t="inlineStr">
        <is>
          <t>PIT @ CLE</t>
        </is>
      </c>
    </row>
    <row r="195">
      <c r="A195" s="48" t="n">
        <v>0.501</v>
      </c>
      <c r="B195" s="5" t="inlineStr">
        <is>
          <t>More 187.5</t>
        </is>
      </c>
      <c r="C195" s="5" t="inlineStr">
        <is>
          <t>Deshaun Watson</t>
        </is>
      </c>
      <c r="D195" s="5" t="inlineStr">
        <is>
          <t>CLE</t>
        </is>
      </c>
      <c r="E195" s="5" t="inlineStr">
        <is>
          <t>Pass Yds</t>
        </is>
      </c>
      <c r="F195" s="5" t="n">
        <v>187.5</v>
      </c>
      <c r="G195" s="5" t="n">
        <v>0</v>
      </c>
      <c r="H195" s="5" t="inlineStr">
        <is>
          <t>PIT @ CLE</t>
        </is>
      </c>
    </row>
    <row r="196">
      <c r="A196" s="48" t="n">
        <v>0.501</v>
      </c>
      <c r="B196" s="5" t="inlineStr">
        <is>
          <t>More 72.5</t>
        </is>
      </c>
      <c r="C196" s="5" t="inlineStr">
        <is>
          <t>Quinshon Judkins</t>
        </is>
      </c>
      <c r="D196" s="5" t="inlineStr">
        <is>
          <t>CLE</t>
        </is>
      </c>
      <c r="E196" s="5" t="inlineStr">
        <is>
          <t>Rush+Rec Yds</t>
        </is>
      </c>
      <c r="F196" s="5" t="n">
        <v>72.5</v>
      </c>
      <c r="G196" s="5" t="n">
        <v>0</v>
      </c>
      <c r="H196" s="5" t="inlineStr">
        <is>
          <t>PIT @ CLE</t>
        </is>
      </c>
    </row>
    <row r="197">
      <c r="A197" s="48" t="n">
        <v>0.501</v>
      </c>
      <c r="B197" s="5" t="inlineStr">
        <is>
          <t>More 13.5</t>
        </is>
      </c>
      <c r="C197" s="5" t="inlineStr">
        <is>
          <t>Jerry Jeudy</t>
        </is>
      </c>
      <c r="D197" s="5" t="inlineStr">
        <is>
          <t>CLE</t>
        </is>
      </c>
      <c r="E197" s="5" t="inlineStr">
        <is>
          <t>Rec Yds</t>
        </is>
      </c>
      <c r="F197" s="5" t="n">
        <v>13.5</v>
      </c>
      <c r="G197" s="5" t="n">
        <v>0</v>
      </c>
      <c r="H197" s="5" t="inlineStr">
        <is>
          <t>PIT @ CLE</t>
        </is>
      </c>
    </row>
    <row r="198">
      <c r="A198" s="48" t="n">
        <v>0.501</v>
      </c>
      <c r="B198" s="5" t="inlineStr">
        <is>
          <t>More 19.5</t>
        </is>
      </c>
      <c r="C198" s="5" t="inlineStr">
        <is>
          <t>Roman Wilson</t>
        </is>
      </c>
      <c r="D198" s="5" t="inlineStr">
        <is>
          <t>PIT</t>
        </is>
      </c>
      <c r="E198" s="5" t="inlineStr">
        <is>
          <t>Rec Yds</t>
        </is>
      </c>
      <c r="F198" s="5" t="n">
        <v>19.5</v>
      </c>
      <c r="G198" s="5" t="n">
        <v>0</v>
      </c>
      <c r="H198" s="5" t="inlineStr">
        <is>
          <t>PIT @ CLE</t>
        </is>
      </c>
    </row>
    <row r="199">
      <c r="A199" s="48" t="n">
        <v>0.5</v>
      </c>
      <c r="B199" s="5" t="inlineStr">
        <is>
          <t>More 32.5</t>
        </is>
      </c>
      <c r="C199" s="5" t="inlineStr">
        <is>
          <t>Michael Pittman Jr.</t>
        </is>
      </c>
      <c r="D199" s="5" t="inlineStr">
        <is>
          <t>PIT</t>
        </is>
      </c>
      <c r="E199" s="5" t="inlineStr">
        <is>
          <t>Rush+Rec Yds</t>
        </is>
      </c>
      <c r="F199" s="5" t="n">
        <v>32.5</v>
      </c>
      <c r="G199" s="5" t="n">
        <v>0</v>
      </c>
      <c r="H199" s="5" t="inlineStr">
        <is>
          <t>PIT @ CLE</t>
        </is>
      </c>
    </row>
    <row r="200">
      <c r="A200" s="48" t="n">
        <v>0.5</v>
      </c>
      <c r="B200" s="5" t="inlineStr">
        <is>
          <t>Less 42.5</t>
        </is>
      </c>
      <c r="C200" s="5" t="inlineStr">
        <is>
          <t>DK Metcalf</t>
        </is>
      </c>
      <c r="D200" s="5" t="inlineStr">
        <is>
          <t>PIT</t>
        </is>
      </c>
      <c r="E200" s="5" t="inlineStr">
        <is>
          <t>Rush+Rec Yds</t>
        </is>
      </c>
      <c r="F200" s="5" t="n">
        <v>42.5</v>
      </c>
      <c r="G200" s="5" t="n">
        <v>0</v>
      </c>
      <c r="H200" s="5" t="inlineStr">
        <is>
          <t>PIT @ CLE</t>
        </is>
      </c>
    </row>
    <row r="201">
      <c r="A201" s="48" t="n">
        <v>0.5</v>
      </c>
      <c r="B201" s="5" t="inlineStr">
        <is>
          <t>Less 36.5</t>
        </is>
      </c>
      <c r="C201" s="5" t="inlineStr">
        <is>
          <t>Denzel Boston</t>
        </is>
      </c>
      <c r="D201" s="5" t="inlineStr">
        <is>
          <t>CLE</t>
        </is>
      </c>
      <c r="E201" s="5" t="inlineStr">
        <is>
          <t>Rush+Rec Yds</t>
        </is>
      </c>
      <c r="F201" s="5" t="n">
        <v>36.5</v>
      </c>
      <c r="G201" s="5" t="n">
        <v>0</v>
      </c>
      <c r="H201" s="5" t="inlineStr">
        <is>
          <t>PIT @ CLE</t>
        </is>
      </c>
    </row>
  </sheetData>
  <conditionalFormatting sqref="A5:A201">
    <cfRule type="colorScale" priority="1">
      <colorScale>
        <cfvo type="num" val="0.5"/>
        <cfvo type="num" val="0.8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I6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4" customWidth="1" min="3" max="3"/>
    <col width="8" customWidth="1" min="4" max="4"/>
    <col width="8" customWidth="1" min="5" max="5"/>
    <col width="12" customWidth="1" min="6" max="6"/>
    <col width="10" customWidth="1" min="7" max="7"/>
    <col width="15" customWidth="1" min="8" max="8"/>
    <col width="12" customWidth="1" min="9" max="9"/>
  </cols>
  <sheetData>
    <row r="1">
      <c r="A1" s="38" t="inlineStr">
        <is>
          <t>Player Lines</t>
        </is>
      </c>
    </row>
    <row r="2">
      <c r="A2" s="11" t="inlineStr">
        <is>
          <t>Every line we priced for every player: filter Player and Stat to see his full ladder. 'Pick' is the side more likely to hit at that line.</t>
        </is>
      </c>
    </row>
    <row r="4">
      <c r="A4" t="inlineStr">
        <is>
          <t>Player</t>
        </is>
      </c>
      <c r="B4" t="inlineStr">
        <is>
          <t>Team</t>
        </is>
      </c>
      <c r="C4" t="inlineStr">
        <is>
          <t>Stat</t>
        </is>
      </c>
      <c r="D4" t="inlineStr">
        <is>
          <t>Line</t>
        </is>
      </c>
      <c r="E4" t="inlineStr">
        <is>
          <t>Pick</t>
        </is>
      </c>
      <c r="F4" t="inlineStr">
        <is>
          <t>Confidence</t>
        </is>
      </c>
      <c r="G4" t="inlineStr">
        <is>
          <t>Book line</t>
        </is>
      </c>
      <c r="H4" t="inlineStr">
        <is>
          <t>Steps from book</t>
        </is>
      </c>
      <c r="I4" t="inlineStr">
        <is>
          <t>Game</t>
        </is>
      </c>
    </row>
    <row r="5">
      <c r="A5" s="5" t="inlineStr">
        <is>
          <t>Aaron Rodgers</t>
        </is>
      </c>
      <c r="B5" s="5" t="inlineStr">
        <is>
          <t>PIT</t>
        </is>
      </c>
      <c r="C5" s="5" t="inlineStr">
        <is>
          <t>Anytime TDs</t>
        </is>
      </c>
      <c r="D5" s="5" t="n">
        <v>0.5</v>
      </c>
      <c r="E5" s="5" t="inlineStr">
        <is>
          <t>Less</t>
        </is>
      </c>
      <c r="F5" s="48" t="n">
        <v>0.9330000000000001</v>
      </c>
      <c r="G5" s="5" t="n">
        <v>0.5</v>
      </c>
      <c r="H5" s="5" t="n">
        <v>0</v>
      </c>
      <c r="I5" s="5" t="inlineStr">
        <is>
          <t>PIT @ CLE</t>
        </is>
      </c>
    </row>
    <row r="6">
      <c r="A6" s="5" t="inlineStr">
        <is>
          <t>Aaron Rodgers</t>
        </is>
      </c>
      <c r="B6" s="5" t="inlineStr">
        <is>
          <t>PIT</t>
        </is>
      </c>
      <c r="C6" s="5" t="inlineStr">
        <is>
          <t>Pass TDs</t>
        </is>
      </c>
      <c r="D6" s="5" t="n">
        <v>0.5</v>
      </c>
      <c r="E6" s="5" t="inlineStr">
        <is>
          <t>More</t>
        </is>
      </c>
      <c r="F6" s="48" t="n">
        <v>0.7</v>
      </c>
      <c r="G6" s="5" t="n">
        <v>1.5</v>
      </c>
      <c r="H6" s="5" t="n">
        <v>-1</v>
      </c>
      <c r="I6" s="5" t="inlineStr">
        <is>
          <t>PIT @ CLE</t>
        </is>
      </c>
    </row>
    <row r="7">
      <c r="A7" s="5" t="inlineStr">
        <is>
          <t>Aaron Rodgers</t>
        </is>
      </c>
      <c r="B7" s="5" t="inlineStr">
        <is>
          <t>PIT</t>
        </is>
      </c>
      <c r="C7" s="5" t="inlineStr">
        <is>
          <t>Pass TDs</t>
        </is>
      </c>
      <c r="D7" s="5" t="n">
        <v>1.5</v>
      </c>
      <c r="E7" s="5" t="inlineStr">
        <is>
          <t>Less</t>
        </is>
      </c>
      <c r="F7" s="48" t="n">
        <v>0.639</v>
      </c>
      <c r="G7" s="5" t="n">
        <v>1.5</v>
      </c>
      <c r="H7" s="5" t="n">
        <v>0</v>
      </c>
      <c r="I7" s="5" t="inlineStr">
        <is>
          <t>PIT @ CLE</t>
        </is>
      </c>
    </row>
    <row r="8">
      <c r="A8" s="5" t="inlineStr">
        <is>
          <t>Aaron Rodgers</t>
        </is>
      </c>
      <c r="B8" s="5" t="inlineStr">
        <is>
          <t>PIT</t>
        </is>
      </c>
      <c r="C8" s="5" t="inlineStr">
        <is>
          <t>Pass TDs</t>
        </is>
      </c>
      <c r="D8" s="5" t="n">
        <v>2.5</v>
      </c>
      <c r="E8" s="5" t="inlineStr">
        <is>
          <t>Less</t>
        </is>
      </c>
      <c r="F8" s="48" t="n">
        <v>0.844</v>
      </c>
      <c r="G8" s="5" t="n">
        <v>1.5</v>
      </c>
      <c r="H8" s="5" t="n">
        <v>1</v>
      </c>
      <c r="I8" s="5" t="inlineStr">
        <is>
          <t>PIT @ CLE</t>
        </is>
      </c>
    </row>
    <row r="9">
      <c r="A9" s="5" t="inlineStr">
        <is>
          <t>Aaron Rodgers</t>
        </is>
      </c>
      <c r="B9" s="5" t="inlineStr">
        <is>
          <t>PIT</t>
        </is>
      </c>
      <c r="C9" s="5" t="inlineStr">
        <is>
          <t>Pass TDs</t>
        </is>
      </c>
      <c r="D9" s="5" t="n">
        <v>3.5</v>
      </c>
      <c r="E9" s="5" t="inlineStr">
        <is>
          <t>Less</t>
        </is>
      </c>
      <c r="F9" s="48" t="n">
        <v>0.9419999999999999</v>
      </c>
      <c r="G9" s="5" t="n">
        <v>1.5</v>
      </c>
      <c r="H9" s="5" t="n">
        <v>2</v>
      </c>
      <c r="I9" s="5" t="inlineStr">
        <is>
          <t>PIT @ CLE</t>
        </is>
      </c>
    </row>
    <row r="10">
      <c r="A10" s="5" t="inlineStr">
        <is>
          <t>Aaron Rodgers</t>
        </is>
      </c>
      <c r="B10" s="5" t="inlineStr">
        <is>
          <t>PIT</t>
        </is>
      </c>
      <c r="C10" s="5" t="inlineStr">
        <is>
          <t>Pass Yds</t>
        </is>
      </c>
      <c r="D10" s="5" t="n">
        <v>112.5</v>
      </c>
      <c r="E10" s="5" t="inlineStr">
        <is>
          <t>More</t>
        </is>
      </c>
      <c r="F10" s="48" t="n">
        <v>0.953</v>
      </c>
      <c r="G10" s="5" t="n">
        <v>212.5</v>
      </c>
      <c r="H10" s="5" t="n">
        <v>-10</v>
      </c>
      <c r="I10" s="5" t="inlineStr">
        <is>
          <t>PIT @ CLE</t>
        </is>
      </c>
    </row>
    <row r="11">
      <c r="A11" s="5" t="inlineStr">
        <is>
          <t>Aaron Rodgers</t>
        </is>
      </c>
      <c r="B11" s="5" t="inlineStr">
        <is>
          <t>PIT</t>
        </is>
      </c>
      <c r="C11" s="5" t="inlineStr">
        <is>
          <t>Pass Yds</t>
        </is>
      </c>
      <c r="D11" s="5" t="n">
        <v>122.5</v>
      </c>
      <c r="E11" s="5" t="inlineStr">
        <is>
          <t>More</t>
        </is>
      </c>
      <c r="F11" s="48" t="n">
        <v>0.93</v>
      </c>
      <c r="G11" s="5" t="n">
        <v>212.5</v>
      </c>
      <c r="H11" s="5" t="n">
        <v>-9</v>
      </c>
      <c r="I11" s="5" t="inlineStr">
        <is>
          <t>PIT @ CLE</t>
        </is>
      </c>
    </row>
    <row r="12">
      <c r="A12" s="5" t="inlineStr">
        <is>
          <t>Aaron Rodgers</t>
        </is>
      </c>
      <c r="B12" s="5" t="inlineStr">
        <is>
          <t>PIT</t>
        </is>
      </c>
      <c r="C12" s="5" t="inlineStr">
        <is>
          <t>Pass Yds</t>
        </is>
      </c>
      <c r="D12" s="5" t="n">
        <v>132.5</v>
      </c>
      <c r="E12" s="5" t="inlineStr">
        <is>
          <t>More</t>
        </is>
      </c>
      <c r="F12" s="48" t="n">
        <v>0.905</v>
      </c>
      <c r="G12" s="5" t="n">
        <v>212.5</v>
      </c>
      <c r="H12" s="5" t="n">
        <v>-8</v>
      </c>
      <c r="I12" s="5" t="inlineStr">
        <is>
          <t>PIT @ CLE</t>
        </is>
      </c>
    </row>
    <row r="13">
      <c r="A13" s="5" t="inlineStr">
        <is>
          <t>Aaron Rodgers</t>
        </is>
      </c>
      <c r="B13" s="5" t="inlineStr">
        <is>
          <t>PIT</t>
        </is>
      </c>
      <c r="C13" s="5" t="inlineStr">
        <is>
          <t>Pass Yds</t>
        </is>
      </c>
      <c r="D13" s="5" t="n">
        <v>142.5</v>
      </c>
      <c r="E13" s="5" t="inlineStr">
        <is>
          <t>More</t>
        </is>
      </c>
      <c r="F13" s="48" t="n">
        <v>0.872</v>
      </c>
      <c r="G13" s="5" t="n">
        <v>212.5</v>
      </c>
      <c r="H13" s="5" t="n">
        <v>-7</v>
      </c>
      <c r="I13" s="5" t="inlineStr">
        <is>
          <t>PIT @ CLE</t>
        </is>
      </c>
    </row>
    <row r="14">
      <c r="A14" s="5" t="inlineStr">
        <is>
          <t>Aaron Rodgers</t>
        </is>
      </c>
      <c r="B14" s="5" t="inlineStr">
        <is>
          <t>PIT</t>
        </is>
      </c>
      <c r="C14" s="5" t="inlineStr">
        <is>
          <t>Pass Yds</t>
        </is>
      </c>
      <c r="D14" s="5" t="n">
        <v>152.5</v>
      </c>
      <c r="E14" s="5" t="inlineStr">
        <is>
          <t>More</t>
        </is>
      </c>
      <c r="F14" s="48" t="n">
        <v>0.829</v>
      </c>
      <c r="G14" s="5" t="n">
        <v>212.5</v>
      </c>
      <c r="H14" s="5" t="n">
        <v>-6</v>
      </c>
      <c r="I14" s="5" t="inlineStr">
        <is>
          <t>PIT @ CLE</t>
        </is>
      </c>
    </row>
    <row r="15">
      <c r="A15" s="5" t="inlineStr">
        <is>
          <t>Aaron Rodgers</t>
        </is>
      </c>
      <c r="B15" s="5" t="inlineStr">
        <is>
          <t>PIT</t>
        </is>
      </c>
      <c r="C15" s="5" t="inlineStr">
        <is>
          <t>Pass Yds</t>
        </is>
      </c>
      <c r="D15" s="5" t="n">
        <v>162.5</v>
      </c>
      <c r="E15" s="5" t="inlineStr">
        <is>
          <t>More</t>
        </is>
      </c>
      <c r="F15" s="48" t="n">
        <v>0.777</v>
      </c>
      <c r="G15" s="5" t="n">
        <v>212.5</v>
      </c>
      <c r="H15" s="5" t="n">
        <v>-5</v>
      </c>
      <c r="I15" s="5" t="inlineStr">
        <is>
          <t>PIT @ CLE</t>
        </is>
      </c>
    </row>
    <row r="16">
      <c r="A16" s="5" t="inlineStr">
        <is>
          <t>Aaron Rodgers</t>
        </is>
      </c>
      <c r="B16" s="5" t="inlineStr">
        <is>
          <t>PIT</t>
        </is>
      </c>
      <c r="C16" s="5" t="inlineStr">
        <is>
          <t>Pass Yds</t>
        </is>
      </c>
      <c r="D16" s="5" t="n">
        <v>172.5</v>
      </c>
      <c r="E16" s="5" t="inlineStr">
        <is>
          <t>More</t>
        </is>
      </c>
      <c r="F16" s="48" t="n">
        <v>0.728</v>
      </c>
      <c r="G16" s="5" t="n">
        <v>212.5</v>
      </c>
      <c r="H16" s="5" t="n">
        <v>-4</v>
      </c>
      <c r="I16" s="5" t="inlineStr">
        <is>
          <t>PIT @ CLE</t>
        </is>
      </c>
    </row>
    <row r="17">
      <c r="A17" s="5" t="inlineStr">
        <is>
          <t>Aaron Rodgers</t>
        </is>
      </c>
      <c r="B17" s="5" t="inlineStr">
        <is>
          <t>PIT</t>
        </is>
      </c>
      <c r="C17" s="5" t="inlineStr">
        <is>
          <t>Pass Yds</t>
        </is>
      </c>
      <c r="D17" s="5" t="n">
        <v>182.5</v>
      </c>
      <c r="E17" s="5" t="inlineStr">
        <is>
          <t>More</t>
        </is>
      </c>
      <c r="F17" s="48" t="n">
        <v>0.676</v>
      </c>
      <c r="G17" s="5" t="n">
        <v>212.5</v>
      </c>
      <c r="H17" s="5" t="n">
        <v>-3</v>
      </c>
      <c r="I17" s="5" t="inlineStr">
        <is>
          <t>PIT @ CLE</t>
        </is>
      </c>
    </row>
    <row r="18">
      <c r="A18" s="5" t="inlineStr">
        <is>
          <t>Aaron Rodgers</t>
        </is>
      </c>
      <c r="B18" s="5" t="inlineStr">
        <is>
          <t>PIT</t>
        </is>
      </c>
      <c r="C18" s="5" t="inlineStr">
        <is>
          <t>Pass Yds</t>
        </is>
      </c>
      <c r="D18" s="5" t="n">
        <v>192.5</v>
      </c>
      <c r="E18" s="5" t="inlineStr">
        <is>
          <t>More</t>
        </is>
      </c>
      <c r="F18" s="48" t="n">
        <v>0.621</v>
      </c>
      <c r="G18" s="5" t="n">
        <v>212.5</v>
      </c>
      <c r="H18" s="5" t="n">
        <v>-2</v>
      </c>
      <c r="I18" s="5" t="inlineStr">
        <is>
          <t>PIT @ CLE</t>
        </is>
      </c>
    </row>
    <row r="19">
      <c r="A19" s="5" t="inlineStr">
        <is>
          <t>Aaron Rodgers</t>
        </is>
      </c>
      <c r="B19" s="5" t="inlineStr">
        <is>
          <t>PIT</t>
        </is>
      </c>
      <c r="C19" s="5" t="inlineStr">
        <is>
          <t>Pass Yds</t>
        </is>
      </c>
      <c r="D19" s="5" t="n">
        <v>202.5</v>
      </c>
      <c r="E19" s="5" t="inlineStr">
        <is>
          <t>More</t>
        </is>
      </c>
      <c r="F19" s="48" t="n">
        <v>0.5590000000000001</v>
      </c>
      <c r="G19" s="5" t="n">
        <v>212.5</v>
      </c>
      <c r="H19" s="5" t="n">
        <v>-1</v>
      </c>
      <c r="I19" s="5" t="inlineStr">
        <is>
          <t>PIT @ CLE</t>
        </is>
      </c>
    </row>
    <row r="20">
      <c r="A20" s="5" t="inlineStr">
        <is>
          <t>Aaron Rodgers</t>
        </is>
      </c>
      <c r="B20" s="5" t="inlineStr">
        <is>
          <t>PIT</t>
        </is>
      </c>
      <c r="C20" s="5" t="inlineStr">
        <is>
          <t>Pass Yds</t>
        </is>
      </c>
      <c r="D20" s="5" t="n">
        <v>212.5</v>
      </c>
      <c r="E20" s="5" t="inlineStr">
        <is>
          <t>Less</t>
        </is>
      </c>
      <c r="F20" s="48" t="n">
        <v>0.504</v>
      </c>
      <c r="G20" s="5" t="n">
        <v>212.5</v>
      </c>
      <c r="H20" s="5" t="n">
        <v>0</v>
      </c>
      <c r="I20" s="5" t="inlineStr">
        <is>
          <t>PIT @ CLE</t>
        </is>
      </c>
    </row>
    <row r="21">
      <c r="A21" s="5" t="inlineStr">
        <is>
          <t>Aaron Rodgers</t>
        </is>
      </c>
      <c r="B21" s="5" t="inlineStr">
        <is>
          <t>PIT</t>
        </is>
      </c>
      <c r="C21" s="5" t="inlineStr">
        <is>
          <t>Pass Yds</t>
        </is>
      </c>
      <c r="D21" s="5" t="n">
        <v>222.5</v>
      </c>
      <c r="E21" s="5" t="inlineStr">
        <is>
          <t>Less</t>
        </is>
      </c>
      <c r="F21" s="48" t="n">
        <v>0.5610000000000001</v>
      </c>
      <c r="G21" s="5" t="n">
        <v>212.5</v>
      </c>
      <c r="H21" s="5" t="n">
        <v>1</v>
      </c>
      <c r="I21" s="5" t="inlineStr">
        <is>
          <t>PIT @ CLE</t>
        </is>
      </c>
    </row>
    <row r="22">
      <c r="A22" s="5" t="inlineStr">
        <is>
          <t>Aaron Rodgers</t>
        </is>
      </c>
      <c r="B22" s="5" t="inlineStr">
        <is>
          <t>PIT</t>
        </is>
      </c>
      <c r="C22" s="5" t="inlineStr">
        <is>
          <t>Pass Yds</t>
        </is>
      </c>
      <c r="D22" s="5" t="n">
        <v>232.5</v>
      </c>
      <c r="E22" s="5" t="inlineStr">
        <is>
          <t>Less</t>
        </is>
      </c>
      <c r="F22" s="48" t="n">
        <v>0.615</v>
      </c>
      <c r="G22" s="5" t="n">
        <v>212.5</v>
      </c>
      <c r="H22" s="5" t="n">
        <v>2</v>
      </c>
      <c r="I22" s="5" t="inlineStr">
        <is>
          <t>PIT @ CLE</t>
        </is>
      </c>
    </row>
    <row r="23">
      <c r="A23" s="5" t="inlineStr">
        <is>
          <t>Aaron Rodgers</t>
        </is>
      </c>
      <c r="B23" s="5" t="inlineStr">
        <is>
          <t>PIT</t>
        </is>
      </c>
      <c r="C23" s="5" t="inlineStr">
        <is>
          <t>Pass Yds</t>
        </is>
      </c>
      <c r="D23" s="5" t="n">
        <v>242.5</v>
      </c>
      <c r="E23" s="5" t="inlineStr">
        <is>
          <t>Less</t>
        </is>
      </c>
      <c r="F23" s="48" t="n">
        <v>0.666</v>
      </c>
      <c r="G23" s="5" t="n">
        <v>212.5</v>
      </c>
      <c r="H23" s="5" t="n">
        <v>3</v>
      </c>
      <c r="I23" s="5" t="inlineStr">
        <is>
          <t>PIT @ CLE</t>
        </is>
      </c>
    </row>
    <row r="24">
      <c r="A24" s="5" t="inlineStr">
        <is>
          <t>Aaron Rodgers</t>
        </is>
      </c>
      <c r="B24" s="5" t="inlineStr">
        <is>
          <t>PIT</t>
        </is>
      </c>
      <c r="C24" s="5" t="inlineStr">
        <is>
          <t>Pass Yds</t>
        </is>
      </c>
      <c r="D24" s="5" t="n">
        <v>252.5</v>
      </c>
      <c r="E24" s="5" t="inlineStr">
        <is>
          <t>Less</t>
        </is>
      </c>
      <c r="F24" s="48" t="n">
        <v>0.721</v>
      </c>
      <c r="G24" s="5" t="n">
        <v>212.5</v>
      </c>
      <c r="H24" s="5" t="n">
        <v>4</v>
      </c>
      <c r="I24" s="5" t="inlineStr">
        <is>
          <t>PIT @ CLE</t>
        </is>
      </c>
    </row>
    <row r="25">
      <c r="A25" s="5" t="inlineStr">
        <is>
          <t>Aaron Rodgers</t>
        </is>
      </c>
      <c r="B25" s="5" t="inlineStr">
        <is>
          <t>PIT</t>
        </is>
      </c>
      <c r="C25" s="5" t="inlineStr">
        <is>
          <t>Pass Yds</t>
        </is>
      </c>
      <c r="D25" s="5" t="n">
        <v>262.5</v>
      </c>
      <c r="E25" s="5" t="inlineStr">
        <is>
          <t>Less</t>
        </is>
      </c>
      <c r="F25" s="48" t="n">
        <v>0.759</v>
      </c>
      <c r="G25" s="5" t="n">
        <v>212.5</v>
      </c>
      <c r="H25" s="5" t="n">
        <v>5</v>
      </c>
      <c r="I25" s="5" t="inlineStr">
        <is>
          <t>PIT @ CLE</t>
        </is>
      </c>
    </row>
    <row r="26">
      <c r="A26" s="5" t="inlineStr">
        <is>
          <t>Aaron Rodgers</t>
        </is>
      </c>
      <c r="B26" s="5" t="inlineStr">
        <is>
          <t>PIT</t>
        </is>
      </c>
      <c r="C26" s="5" t="inlineStr">
        <is>
          <t>Pass Yds</t>
        </is>
      </c>
      <c r="D26" s="5" t="n">
        <v>272.5</v>
      </c>
      <c r="E26" s="5" t="inlineStr">
        <is>
          <t>Less</t>
        </is>
      </c>
      <c r="F26" s="48" t="n">
        <v>0.795</v>
      </c>
      <c r="G26" s="5" t="n">
        <v>212.5</v>
      </c>
      <c r="H26" s="5" t="n">
        <v>6</v>
      </c>
      <c r="I26" s="5" t="inlineStr">
        <is>
          <t>PIT @ CLE</t>
        </is>
      </c>
    </row>
    <row r="27">
      <c r="A27" s="5" t="inlineStr">
        <is>
          <t>Aaron Rodgers</t>
        </is>
      </c>
      <c r="B27" s="5" t="inlineStr">
        <is>
          <t>PIT</t>
        </is>
      </c>
      <c r="C27" s="5" t="inlineStr">
        <is>
          <t>Pass Yds</t>
        </is>
      </c>
      <c r="D27" s="5" t="n">
        <v>282.5</v>
      </c>
      <c r="E27" s="5" t="inlineStr">
        <is>
          <t>Less</t>
        </is>
      </c>
      <c r="F27" s="48" t="n">
        <v>0.83</v>
      </c>
      <c r="G27" s="5" t="n">
        <v>212.5</v>
      </c>
      <c r="H27" s="5" t="n">
        <v>7</v>
      </c>
      <c r="I27" s="5" t="inlineStr">
        <is>
          <t>PIT @ CLE</t>
        </is>
      </c>
    </row>
    <row r="28">
      <c r="A28" s="5" t="inlineStr">
        <is>
          <t>Aaron Rodgers</t>
        </is>
      </c>
      <c r="B28" s="5" t="inlineStr">
        <is>
          <t>PIT</t>
        </is>
      </c>
      <c r="C28" s="5" t="inlineStr">
        <is>
          <t>Pass Yds</t>
        </is>
      </c>
      <c r="D28" s="5" t="n">
        <v>292.5</v>
      </c>
      <c r="E28" s="5" t="inlineStr">
        <is>
          <t>Less</t>
        </is>
      </c>
      <c r="F28" s="48" t="n">
        <v>0.859</v>
      </c>
      <c r="G28" s="5" t="n">
        <v>212.5</v>
      </c>
      <c r="H28" s="5" t="n">
        <v>8</v>
      </c>
      <c r="I28" s="5" t="inlineStr">
        <is>
          <t>PIT @ CLE</t>
        </is>
      </c>
    </row>
    <row r="29">
      <c r="A29" s="5" t="inlineStr">
        <is>
          <t>Aaron Rodgers</t>
        </is>
      </c>
      <c r="B29" s="5" t="inlineStr">
        <is>
          <t>PIT</t>
        </is>
      </c>
      <c r="C29" s="5" t="inlineStr">
        <is>
          <t>Pass Yds</t>
        </is>
      </c>
      <c r="D29" s="5" t="n">
        <v>302.5</v>
      </c>
      <c r="E29" s="5" t="inlineStr">
        <is>
          <t>Less</t>
        </is>
      </c>
      <c r="F29" s="48" t="n">
        <v>0.886</v>
      </c>
      <c r="G29" s="5" t="n">
        <v>212.5</v>
      </c>
      <c r="H29" s="5" t="n">
        <v>9</v>
      </c>
      <c r="I29" s="5" t="inlineStr">
        <is>
          <t>PIT @ CLE</t>
        </is>
      </c>
    </row>
    <row r="30">
      <c r="A30" s="5" t="inlineStr">
        <is>
          <t>Aaron Rodgers</t>
        </is>
      </c>
      <c r="B30" s="5" t="inlineStr">
        <is>
          <t>PIT</t>
        </is>
      </c>
      <c r="C30" s="5" t="inlineStr">
        <is>
          <t>Pass Yds</t>
        </is>
      </c>
      <c r="D30" s="5" t="n">
        <v>312.5</v>
      </c>
      <c r="E30" s="5" t="inlineStr">
        <is>
          <t>Less</t>
        </is>
      </c>
      <c r="F30" s="48" t="n">
        <v>0.91</v>
      </c>
      <c r="G30" s="5" t="n">
        <v>212.5</v>
      </c>
      <c r="H30" s="5" t="n">
        <v>10</v>
      </c>
      <c r="I30" s="5" t="inlineStr">
        <is>
          <t>PIT @ CLE</t>
        </is>
      </c>
    </row>
    <row r="31">
      <c r="A31" s="5" t="inlineStr">
        <is>
          <t>Aaron Rodgers</t>
        </is>
      </c>
      <c r="B31" s="5" t="inlineStr">
        <is>
          <t>PIT</t>
        </is>
      </c>
      <c r="C31" s="5" t="inlineStr">
        <is>
          <t>Rush Yds</t>
        </is>
      </c>
      <c r="D31" s="5" t="n">
        <v>1.5</v>
      </c>
      <c r="E31" s="5" t="inlineStr">
        <is>
          <t>Less</t>
        </is>
      </c>
      <c r="F31" s="48" t="n">
        <v>0.523</v>
      </c>
      <c r="G31" s="5" t="n">
        <v>1.5</v>
      </c>
      <c r="H31" s="5" t="n">
        <v>0</v>
      </c>
      <c r="I31" s="5" t="inlineStr">
        <is>
          <t>PIT @ CLE</t>
        </is>
      </c>
    </row>
    <row r="32">
      <c r="A32" s="5" t="inlineStr">
        <is>
          <t>Aaron Rodgers</t>
        </is>
      </c>
      <c r="B32" s="5" t="inlineStr">
        <is>
          <t>PIT</t>
        </is>
      </c>
      <c r="C32" s="5" t="inlineStr">
        <is>
          <t>Rush Yds</t>
        </is>
      </c>
      <c r="D32" s="5" t="n">
        <v>3.5</v>
      </c>
      <c r="E32" s="5" t="inlineStr">
        <is>
          <t>Less</t>
        </is>
      </c>
      <c r="F32" s="48" t="n">
        <v>0.675</v>
      </c>
      <c r="G32" s="5" t="n">
        <v>1.5</v>
      </c>
      <c r="H32" s="5" t="n">
        <v>1</v>
      </c>
      <c r="I32" s="5" t="inlineStr">
        <is>
          <t>PIT @ CLE</t>
        </is>
      </c>
    </row>
    <row r="33">
      <c r="A33" s="5" t="inlineStr">
        <is>
          <t>Aaron Rodgers</t>
        </is>
      </c>
      <c r="B33" s="5" t="inlineStr">
        <is>
          <t>PIT</t>
        </is>
      </c>
      <c r="C33" s="5" t="inlineStr">
        <is>
          <t>Rush Yds</t>
        </is>
      </c>
      <c r="D33" s="5" t="n">
        <v>5.5</v>
      </c>
      <c r="E33" s="5" t="inlineStr">
        <is>
          <t>Less</t>
        </is>
      </c>
      <c r="F33" s="48" t="n">
        <v>0.773</v>
      </c>
      <c r="G33" s="5" t="n">
        <v>1.5</v>
      </c>
      <c r="H33" s="5" t="n">
        <v>2</v>
      </c>
      <c r="I33" s="5" t="inlineStr">
        <is>
          <t>PIT @ CLE</t>
        </is>
      </c>
    </row>
    <row r="34">
      <c r="A34" s="5" t="inlineStr">
        <is>
          <t>Aaron Rodgers</t>
        </is>
      </c>
      <c r="B34" s="5" t="inlineStr">
        <is>
          <t>PIT</t>
        </is>
      </c>
      <c r="C34" s="5" t="inlineStr">
        <is>
          <t>Rush Yds</t>
        </is>
      </c>
      <c r="D34" s="5" t="n">
        <v>7.5</v>
      </c>
      <c r="E34" s="5" t="inlineStr">
        <is>
          <t>Less</t>
        </is>
      </c>
      <c r="F34" s="48" t="n">
        <v>0.847</v>
      </c>
      <c r="G34" s="5" t="n">
        <v>1.5</v>
      </c>
      <c r="H34" s="5" t="n">
        <v>3</v>
      </c>
      <c r="I34" s="5" t="inlineStr">
        <is>
          <t>PIT @ CLE</t>
        </is>
      </c>
    </row>
    <row r="35">
      <c r="A35" s="5" t="inlineStr">
        <is>
          <t>Aaron Rodgers</t>
        </is>
      </c>
      <c r="B35" s="5" t="inlineStr">
        <is>
          <t>PIT</t>
        </is>
      </c>
      <c r="C35" s="5" t="inlineStr">
        <is>
          <t>Rush Yds</t>
        </is>
      </c>
      <c r="D35" s="5" t="n">
        <v>9.5</v>
      </c>
      <c r="E35" s="5" t="inlineStr">
        <is>
          <t>Less</t>
        </is>
      </c>
      <c r="F35" s="48" t="n">
        <v>0.893</v>
      </c>
      <c r="G35" s="5" t="n">
        <v>1.5</v>
      </c>
      <c r="H35" s="5" t="n">
        <v>4</v>
      </c>
      <c r="I35" s="5" t="inlineStr">
        <is>
          <t>PIT @ CLE</t>
        </is>
      </c>
    </row>
    <row r="36">
      <c r="A36" s="5" t="inlineStr">
        <is>
          <t>Aaron Rodgers</t>
        </is>
      </c>
      <c r="B36" s="5" t="inlineStr">
        <is>
          <t>PIT</t>
        </is>
      </c>
      <c r="C36" s="5" t="inlineStr">
        <is>
          <t>Rush Yds</t>
        </is>
      </c>
      <c r="D36" s="5" t="n">
        <v>11.5</v>
      </c>
      <c r="E36" s="5" t="inlineStr">
        <is>
          <t>Less</t>
        </is>
      </c>
      <c r="F36" s="48" t="n">
        <v>0.931</v>
      </c>
      <c r="G36" s="5" t="n">
        <v>1.5</v>
      </c>
      <c r="H36" s="5" t="n">
        <v>5</v>
      </c>
      <c r="I36" s="5" t="inlineStr">
        <is>
          <t>PIT @ CLE</t>
        </is>
      </c>
    </row>
    <row r="37">
      <c r="A37" s="5" t="inlineStr">
        <is>
          <t>Aaron Rodgers</t>
        </is>
      </c>
      <c r="B37" s="5" t="inlineStr">
        <is>
          <t>PIT</t>
        </is>
      </c>
      <c r="C37" s="5" t="inlineStr">
        <is>
          <t>Rush Yds</t>
        </is>
      </c>
      <c r="D37" s="5" t="n">
        <v>13.5</v>
      </c>
      <c r="E37" s="5" t="inlineStr">
        <is>
          <t>Less</t>
        </is>
      </c>
      <c r="F37" s="48" t="n">
        <v>0.948</v>
      </c>
      <c r="G37" s="5" t="n">
        <v>1.5</v>
      </c>
      <c r="H37" s="5" t="n">
        <v>6</v>
      </c>
      <c r="I37" s="5" t="inlineStr">
        <is>
          <t>PIT @ CLE</t>
        </is>
      </c>
    </row>
    <row r="38">
      <c r="A38" s="5" t="inlineStr">
        <is>
          <t>Aaron Rodgers</t>
        </is>
      </c>
      <c r="B38" s="5" t="inlineStr">
        <is>
          <t>PIT</t>
        </is>
      </c>
      <c r="C38" s="5" t="inlineStr">
        <is>
          <t>Rush Yds</t>
        </is>
      </c>
      <c r="D38" s="5" t="n">
        <v>15.5</v>
      </c>
      <c r="E38" s="5" t="inlineStr">
        <is>
          <t>Less</t>
        </is>
      </c>
      <c r="F38" s="48" t="n">
        <v>0.964</v>
      </c>
      <c r="G38" s="5" t="n">
        <v>1.5</v>
      </c>
      <c r="H38" s="5" t="n">
        <v>7</v>
      </c>
      <c r="I38" s="5" t="inlineStr">
        <is>
          <t>PIT @ CLE</t>
        </is>
      </c>
    </row>
    <row r="39">
      <c r="A39" s="5" t="inlineStr">
        <is>
          <t>Ben Skowronek</t>
        </is>
      </c>
      <c r="B39" s="5" t="inlineStr">
        <is>
          <t>PIT</t>
        </is>
      </c>
      <c r="C39" s="5" t="inlineStr">
        <is>
          <t>Anytime TDs</t>
        </is>
      </c>
      <c r="D39" s="5" t="n">
        <v>0.5</v>
      </c>
      <c r="E39" s="5" t="inlineStr">
        <is>
          <t>Less</t>
        </is>
      </c>
      <c r="F39" s="48" t="n">
        <v>0.9370000000000001</v>
      </c>
      <c r="G39" s="5" t="n">
        <v>0.5</v>
      </c>
      <c r="H39" s="5" t="n">
        <v>0</v>
      </c>
      <c r="I39" s="5" t="inlineStr">
        <is>
          <t>PIT @ CLE</t>
        </is>
      </c>
    </row>
    <row r="40">
      <c r="A40" s="5" t="inlineStr">
        <is>
          <t>Blake Whiteheart</t>
        </is>
      </c>
      <c r="B40" s="5" t="inlineStr">
        <is>
          <t>CLE</t>
        </is>
      </c>
      <c r="C40" s="5" t="inlineStr">
        <is>
          <t>Anytime TDs</t>
        </is>
      </c>
      <c r="D40" s="5" t="n">
        <v>0.5</v>
      </c>
      <c r="E40" s="5" t="inlineStr">
        <is>
          <t>Less</t>
        </is>
      </c>
      <c r="F40" s="48" t="n">
        <v>0.925</v>
      </c>
      <c r="G40" s="5" t="n">
        <v>0.5</v>
      </c>
      <c r="H40" s="5" t="n">
        <v>0</v>
      </c>
      <c r="I40" s="5" t="inlineStr">
        <is>
          <t>PIT @ CLE</t>
        </is>
      </c>
    </row>
    <row r="41">
      <c r="A41" s="5" t="inlineStr">
        <is>
          <t>DK Metcalf</t>
        </is>
      </c>
      <c r="B41" s="5" t="inlineStr">
        <is>
          <t>PIT</t>
        </is>
      </c>
      <c r="C41" s="5" t="inlineStr">
        <is>
          <t>Anytime TDs</t>
        </is>
      </c>
      <c r="D41" s="5" t="n">
        <v>0.5</v>
      </c>
      <c r="E41" s="5" t="inlineStr">
        <is>
          <t>Less</t>
        </is>
      </c>
      <c r="F41" s="48" t="n">
        <v>0.718</v>
      </c>
      <c r="G41" s="5" t="n">
        <v>0.5</v>
      </c>
      <c r="H41" s="5" t="n">
        <v>0</v>
      </c>
      <c r="I41" s="5" t="inlineStr">
        <is>
          <t>PIT @ CLE</t>
        </is>
      </c>
    </row>
    <row r="42">
      <c r="A42" s="5" t="inlineStr">
        <is>
          <t>DK Metcalf</t>
        </is>
      </c>
      <c r="B42" s="5" t="inlineStr">
        <is>
          <t>PIT</t>
        </is>
      </c>
      <c r="C42" s="5" t="inlineStr">
        <is>
          <t>Rec Yds</t>
        </is>
      </c>
      <c r="D42" s="5" t="n">
        <v>6.5</v>
      </c>
      <c r="E42" s="5" t="inlineStr">
        <is>
          <t>More</t>
        </is>
      </c>
      <c r="F42" s="48" t="n">
        <v>0.946</v>
      </c>
      <c r="G42" s="5" t="n">
        <v>41.5</v>
      </c>
      <c r="H42" s="5" t="n">
        <v>-7</v>
      </c>
      <c r="I42" s="5" t="inlineStr">
        <is>
          <t>PIT @ CLE</t>
        </is>
      </c>
    </row>
    <row r="43">
      <c r="A43" s="5" t="inlineStr">
        <is>
          <t>DK Metcalf</t>
        </is>
      </c>
      <c r="B43" s="5" t="inlineStr">
        <is>
          <t>PIT</t>
        </is>
      </c>
      <c r="C43" s="5" t="inlineStr">
        <is>
          <t>Rec Yds</t>
        </is>
      </c>
      <c r="D43" s="5" t="n">
        <v>11.5</v>
      </c>
      <c r="E43" s="5" t="inlineStr">
        <is>
          <t>More</t>
        </is>
      </c>
      <c r="F43" s="48" t="n">
        <v>0.893</v>
      </c>
      <c r="G43" s="5" t="n">
        <v>41.5</v>
      </c>
      <c r="H43" s="5" t="n">
        <v>-6</v>
      </c>
      <c r="I43" s="5" t="inlineStr">
        <is>
          <t>PIT @ CLE</t>
        </is>
      </c>
    </row>
    <row r="44">
      <c r="A44" s="5" t="inlineStr">
        <is>
          <t>DK Metcalf</t>
        </is>
      </c>
      <c r="B44" s="5" t="inlineStr">
        <is>
          <t>PIT</t>
        </is>
      </c>
      <c r="C44" s="5" t="inlineStr">
        <is>
          <t>Rec Yds</t>
        </is>
      </c>
      <c r="D44" s="5" t="n">
        <v>16.5</v>
      </c>
      <c r="E44" s="5" t="inlineStr">
        <is>
          <t>More</t>
        </is>
      </c>
      <c r="F44" s="48" t="n">
        <v>0.837</v>
      </c>
      <c r="G44" s="5" t="n">
        <v>41.5</v>
      </c>
      <c r="H44" s="5" t="n">
        <v>-5</v>
      </c>
      <c r="I44" s="5" t="inlineStr">
        <is>
          <t>PIT @ CLE</t>
        </is>
      </c>
    </row>
    <row r="45">
      <c r="A45" s="5" t="inlineStr">
        <is>
          <t>DK Metcalf</t>
        </is>
      </c>
      <c r="B45" s="5" t="inlineStr">
        <is>
          <t>PIT</t>
        </is>
      </c>
      <c r="C45" s="5" t="inlineStr">
        <is>
          <t>Rec Yds</t>
        </is>
      </c>
      <c r="D45" s="5" t="n">
        <v>21.5</v>
      </c>
      <c r="E45" s="5" t="inlineStr">
        <is>
          <t>More</t>
        </is>
      </c>
      <c r="F45" s="48" t="n">
        <v>0.775</v>
      </c>
      <c r="G45" s="5" t="n">
        <v>41.5</v>
      </c>
      <c r="H45" s="5" t="n">
        <v>-4</v>
      </c>
      <c r="I45" s="5" t="inlineStr">
        <is>
          <t>PIT @ CLE</t>
        </is>
      </c>
    </row>
    <row r="46">
      <c r="A46" s="5" t="inlineStr">
        <is>
          <t>DK Metcalf</t>
        </is>
      </c>
      <c r="B46" s="5" t="inlineStr">
        <is>
          <t>PIT</t>
        </is>
      </c>
      <c r="C46" s="5" t="inlineStr">
        <is>
          <t>Rec Yds</t>
        </is>
      </c>
      <c r="D46" s="5" t="n">
        <v>26.5</v>
      </c>
      <c r="E46" s="5" t="inlineStr">
        <is>
          <t>More</t>
        </is>
      </c>
      <c r="F46" s="48" t="n">
        <v>0.697</v>
      </c>
      <c r="G46" s="5" t="n">
        <v>41.5</v>
      </c>
      <c r="H46" s="5" t="n">
        <v>-3</v>
      </c>
      <c r="I46" s="5" t="inlineStr">
        <is>
          <t>PIT @ CLE</t>
        </is>
      </c>
    </row>
    <row r="47">
      <c r="A47" s="5" t="inlineStr">
        <is>
          <t>DK Metcalf</t>
        </is>
      </c>
      <c r="B47" s="5" t="inlineStr">
        <is>
          <t>PIT</t>
        </is>
      </c>
      <c r="C47" s="5" t="inlineStr">
        <is>
          <t>Rec Yds</t>
        </is>
      </c>
      <c r="D47" s="5" t="n">
        <v>31.5</v>
      </c>
      <c r="E47" s="5" t="inlineStr">
        <is>
          <t>More</t>
        </is>
      </c>
      <c r="F47" s="48" t="n">
        <v>0.633</v>
      </c>
      <c r="G47" s="5" t="n">
        <v>41.5</v>
      </c>
      <c r="H47" s="5" t="n">
        <v>-2</v>
      </c>
      <c r="I47" s="5" t="inlineStr">
        <is>
          <t>PIT @ CLE</t>
        </is>
      </c>
    </row>
    <row r="48">
      <c r="A48" s="5" t="inlineStr">
        <is>
          <t>DK Metcalf</t>
        </is>
      </c>
      <c r="B48" s="5" t="inlineStr">
        <is>
          <t>PIT</t>
        </is>
      </c>
      <c r="C48" s="5" t="inlineStr">
        <is>
          <t>Rec Yds</t>
        </is>
      </c>
      <c r="D48" s="5" t="n">
        <v>36.5</v>
      </c>
      <c r="E48" s="5" t="inlineStr">
        <is>
          <t>More</t>
        </is>
      </c>
      <c r="F48" s="48" t="n">
        <v>0.5679999999999999</v>
      </c>
      <c r="G48" s="5" t="n">
        <v>41.5</v>
      </c>
      <c r="H48" s="5" t="n">
        <v>-1</v>
      </c>
      <c r="I48" s="5" t="inlineStr">
        <is>
          <t>PIT @ CLE</t>
        </is>
      </c>
    </row>
    <row r="49">
      <c r="A49" s="5" t="inlineStr">
        <is>
          <t>DK Metcalf</t>
        </is>
      </c>
      <c r="B49" s="5" t="inlineStr">
        <is>
          <t>PIT</t>
        </is>
      </c>
      <c r="C49" s="5" t="inlineStr">
        <is>
          <t>Rec Yds</t>
        </is>
      </c>
      <c r="D49" s="5" t="n">
        <v>41.5</v>
      </c>
      <c r="E49" s="5" t="inlineStr">
        <is>
          <t>More</t>
        </is>
      </c>
      <c r="F49" s="48" t="n">
        <v>0.511</v>
      </c>
      <c r="G49" s="5" t="n">
        <v>41.5</v>
      </c>
      <c r="H49" s="5" t="n">
        <v>0</v>
      </c>
      <c r="I49" s="5" t="inlineStr">
        <is>
          <t>PIT @ CLE</t>
        </is>
      </c>
    </row>
    <row r="50">
      <c r="A50" s="5" t="inlineStr">
        <is>
          <t>DK Metcalf</t>
        </is>
      </c>
      <c r="B50" s="5" t="inlineStr">
        <is>
          <t>PIT</t>
        </is>
      </c>
      <c r="C50" s="5" t="inlineStr">
        <is>
          <t>Rec Yds</t>
        </is>
      </c>
      <c r="D50" s="5" t="n">
        <v>46.5</v>
      </c>
      <c r="E50" s="5" t="inlineStr">
        <is>
          <t>Less</t>
        </is>
      </c>
      <c r="F50" s="48" t="n">
        <v>0.552</v>
      </c>
      <c r="G50" s="5" t="n">
        <v>41.5</v>
      </c>
      <c r="H50" s="5" t="n">
        <v>1</v>
      </c>
      <c r="I50" s="5" t="inlineStr">
        <is>
          <t>PIT @ CLE</t>
        </is>
      </c>
    </row>
    <row r="51">
      <c r="A51" s="5" t="inlineStr">
        <is>
          <t>DK Metcalf</t>
        </is>
      </c>
      <c r="B51" s="5" t="inlineStr">
        <is>
          <t>PIT</t>
        </is>
      </c>
      <c r="C51" s="5" t="inlineStr">
        <is>
          <t>Rec Yds</t>
        </is>
      </c>
      <c r="D51" s="5" t="n">
        <v>51.5</v>
      </c>
      <c r="E51" s="5" t="inlineStr">
        <is>
          <t>Less</t>
        </is>
      </c>
      <c r="F51" s="48" t="n">
        <v>0.606</v>
      </c>
      <c r="G51" s="5" t="n">
        <v>41.5</v>
      </c>
      <c r="H51" s="5" t="n">
        <v>2</v>
      </c>
      <c r="I51" s="5" t="inlineStr">
        <is>
          <t>PIT @ CLE</t>
        </is>
      </c>
    </row>
    <row r="52">
      <c r="A52" s="5" t="inlineStr">
        <is>
          <t>DK Metcalf</t>
        </is>
      </c>
      <c r="B52" s="5" t="inlineStr">
        <is>
          <t>PIT</t>
        </is>
      </c>
      <c r="C52" s="5" t="inlineStr">
        <is>
          <t>Rec Yds</t>
        </is>
      </c>
      <c r="D52" s="5" t="n">
        <v>56.5</v>
      </c>
      <c r="E52" s="5" t="inlineStr">
        <is>
          <t>Less</t>
        </is>
      </c>
      <c r="F52" s="48" t="n">
        <v>0.654</v>
      </c>
      <c r="G52" s="5" t="n">
        <v>41.5</v>
      </c>
      <c r="H52" s="5" t="n">
        <v>3</v>
      </c>
      <c r="I52" s="5" t="inlineStr">
        <is>
          <t>PIT @ CLE</t>
        </is>
      </c>
    </row>
    <row r="53">
      <c r="A53" s="5" t="inlineStr">
        <is>
          <t>DK Metcalf</t>
        </is>
      </c>
      <c r="B53" s="5" t="inlineStr">
        <is>
          <t>PIT</t>
        </is>
      </c>
      <c r="C53" s="5" t="inlineStr">
        <is>
          <t>Rec Yds</t>
        </is>
      </c>
      <c r="D53" s="5" t="n">
        <v>61.5</v>
      </c>
      <c r="E53" s="5" t="inlineStr">
        <is>
          <t>Less</t>
        </is>
      </c>
      <c r="F53" s="48" t="n">
        <v>0.702</v>
      </c>
      <c r="G53" s="5" t="n">
        <v>41.5</v>
      </c>
      <c r="H53" s="5" t="n">
        <v>4</v>
      </c>
      <c r="I53" s="5" t="inlineStr">
        <is>
          <t>PIT @ CLE</t>
        </is>
      </c>
    </row>
    <row r="54">
      <c r="A54" s="5" t="inlineStr">
        <is>
          <t>DK Metcalf</t>
        </is>
      </c>
      <c r="B54" s="5" t="inlineStr">
        <is>
          <t>PIT</t>
        </is>
      </c>
      <c r="C54" s="5" t="inlineStr">
        <is>
          <t>Rec Yds</t>
        </is>
      </c>
      <c r="D54" s="5" t="n">
        <v>66.5</v>
      </c>
      <c r="E54" s="5" t="inlineStr">
        <is>
          <t>Less</t>
        </is>
      </c>
      <c r="F54" s="48" t="n">
        <v>0.743</v>
      </c>
      <c r="G54" s="5" t="n">
        <v>41.5</v>
      </c>
      <c r="H54" s="5" t="n">
        <v>5</v>
      </c>
      <c r="I54" s="5" t="inlineStr">
        <is>
          <t>PIT @ CLE</t>
        </is>
      </c>
    </row>
    <row r="55">
      <c r="A55" s="5" t="inlineStr">
        <is>
          <t>DK Metcalf</t>
        </is>
      </c>
      <c r="B55" s="5" t="inlineStr">
        <is>
          <t>PIT</t>
        </is>
      </c>
      <c r="C55" s="5" t="inlineStr">
        <is>
          <t>Rec Yds</t>
        </is>
      </c>
      <c r="D55" s="5" t="n">
        <v>71.5</v>
      </c>
      <c r="E55" s="5" t="inlineStr">
        <is>
          <t>Less</t>
        </is>
      </c>
      <c r="F55" s="48" t="n">
        <v>0.777</v>
      </c>
      <c r="G55" s="5" t="n">
        <v>41.5</v>
      </c>
      <c r="H55" s="5" t="n">
        <v>6</v>
      </c>
      <c r="I55" s="5" t="inlineStr">
        <is>
          <t>PIT @ CLE</t>
        </is>
      </c>
    </row>
    <row r="56">
      <c r="A56" s="5" t="inlineStr">
        <is>
          <t>DK Metcalf</t>
        </is>
      </c>
      <c r="B56" s="5" t="inlineStr">
        <is>
          <t>PIT</t>
        </is>
      </c>
      <c r="C56" s="5" t="inlineStr">
        <is>
          <t>Rec Yds</t>
        </is>
      </c>
      <c r="D56" s="5" t="n">
        <v>76.5</v>
      </c>
      <c r="E56" s="5" t="inlineStr">
        <is>
          <t>Less</t>
        </is>
      </c>
      <c r="F56" s="48" t="n">
        <v>0.8129999999999999</v>
      </c>
      <c r="G56" s="5" t="n">
        <v>41.5</v>
      </c>
      <c r="H56" s="5" t="n">
        <v>7</v>
      </c>
      <c r="I56" s="5" t="inlineStr">
        <is>
          <t>PIT @ CLE</t>
        </is>
      </c>
    </row>
    <row r="57">
      <c r="A57" s="5" t="inlineStr">
        <is>
          <t>DK Metcalf</t>
        </is>
      </c>
      <c r="B57" s="5" t="inlineStr">
        <is>
          <t>PIT</t>
        </is>
      </c>
      <c r="C57" s="5" t="inlineStr">
        <is>
          <t>Rec Yds</t>
        </is>
      </c>
      <c r="D57" s="5" t="n">
        <v>81.5</v>
      </c>
      <c r="E57" s="5" t="inlineStr">
        <is>
          <t>Less</t>
        </is>
      </c>
      <c r="F57" s="48" t="n">
        <v>0.838</v>
      </c>
      <c r="G57" s="5" t="n">
        <v>41.5</v>
      </c>
      <c r="H57" s="5" t="n">
        <v>8</v>
      </c>
      <c r="I57" s="5" t="inlineStr">
        <is>
          <t>PIT @ CLE</t>
        </is>
      </c>
    </row>
    <row r="58">
      <c r="A58" s="5" t="inlineStr">
        <is>
          <t>DK Metcalf</t>
        </is>
      </c>
      <c r="B58" s="5" t="inlineStr">
        <is>
          <t>PIT</t>
        </is>
      </c>
      <c r="C58" s="5" t="inlineStr">
        <is>
          <t>Rec Yds</t>
        </is>
      </c>
      <c r="D58" s="5" t="n">
        <v>86.5</v>
      </c>
      <c r="E58" s="5" t="inlineStr">
        <is>
          <t>Less</t>
        </is>
      </c>
      <c r="F58" s="48" t="n">
        <v>0.863</v>
      </c>
      <c r="G58" s="5" t="n">
        <v>41.5</v>
      </c>
      <c r="H58" s="5" t="n">
        <v>9</v>
      </c>
      <c r="I58" s="5" t="inlineStr">
        <is>
          <t>PIT @ CLE</t>
        </is>
      </c>
    </row>
    <row r="59">
      <c r="A59" s="5" t="inlineStr">
        <is>
          <t>DK Metcalf</t>
        </is>
      </c>
      <c r="B59" s="5" t="inlineStr">
        <is>
          <t>PIT</t>
        </is>
      </c>
      <c r="C59" s="5" t="inlineStr">
        <is>
          <t>Rec Yds</t>
        </is>
      </c>
      <c r="D59" s="5" t="n">
        <v>91.5</v>
      </c>
      <c r="E59" s="5" t="inlineStr">
        <is>
          <t>Less</t>
        </is>
      </c>
      <c r="F59" s="48" t="n">
        <v>0.888</v>
      </c>
      <c r="G59" s="5" t="n">
        <v>41.5</v>
      </c>
      <c r="H59" s="5" t="n">
        <v>10</v>
      </c>
      <c r="I59" s="5" t="inlineStr">
        <is>
          <t>PIT @ CLE</t>
        </is>
      </c>
    </row>
    <row r="60">
      <c r="A60" s="5" t="inlineStr">
        <is>
          <t>DK Metcalf</t>
        </is>
      </c>
      <c r="B60" s="5" t="inlineStr">
        <is>
          <t>PIT</t>
        </is>
      </c>
      <c r="C60" s="5" t="inlineStr">
        <is>
          <t>Receptions</t>
        </is>
      </c>
      <c r="D60" s="5" t="n">
        <v>0.5</v>
      </c>
      <c r="E60" s="5" t="inlineStr">
        <is>
          <t>More</t>
        </is>
      </c>
      <c r="F60" s="48" t="n">
        <v>0.961</v>
      </c>
      <c r="G60" s="5" t="n">
        <v>3.5</v>
      </c>
      <c r="H60" s="5" t="n">
        <v>-3</v>
      </c>
      <c r="I60" s="5" t="inlineStr">
        <is>
          <t>PIT @ CLE</t>
        </is>
      </c>
    </row>
    <row r="61">
      <c r="A61" s="5" t="inlineStr">
        <is>
          <t>DK Metcalf</t>
        </is>
      </c>
      <c r="B61" s="5" t="inlineStr">
        <is>
          <t>PIT</t>
        </is>
      </c>
      <c r="C61" s="5" t="inlineStr">
        <is>
          <t>Receptions</t>
        </is>
      </c>
      <c r="D61" s="5" t="n">
        <v>1.5</v>
      </c>
      <c r="E61" s="5" t="inlineStr">
        <is>
          <t>More</t>
        </is>
      </c>
      <c r="F61" s="48" t="n">
        <v>0.854</v>
      </c>
      <c r="G61" s="5" t="n">
        <v>3.5</v>
      </c>
      <c r="H61" s="5" t="n">
        <v>-2</v>
      </c>
      <c r="I61" s="5" t="inlineStr">
        <is>
          <t>PIT @ CLE</t>
        </is>
      </c>
    </row>
    <row r="62">
      <c r="A62" s="5" t="inlineStr">
        <is>
          <t>DK Metcalf</t>
        </is>
      </c>
      <c r="B62" s="5" t="inlineStr">
        <is>
          <t>PIT</t>
        </is>
      </c>
      <c r="C62" s="5" t="inlineStr">
        <is>
          <t>Receptions</t>
        </is>
      </c>
      <c r="D62" s="5" t="n">
        <v>2.5</v>
      </c>
      <c r="E62" s="5" t="inlineStr">
        <is>
          <t>More</t>
        </is>
      </c>
      <c r="F62" s="48" t="n">
        <v>0.702</v>
      </c>
      <c r="G62" s="5" t="n">
        <v>3.5</v>
      </c>
      <c r="H62" s="5" t="n">
        <v>-1</v>
      </c>
      <c r="I62" s="5" t="inlineStr">
        <is>
          <t>PIT @ CLE</t>
        </is>
      </c>
    </row>
    <row r="63">
      <c r="A63" s="5" t="inlineStr">
        <is>
          <t>DK Metcalf</t>
        </is>
      </c>
      <c r="B63" s="5" t="inlineStr">
        <is>
          <t>PIT</t>
        </is>
      </c>
      <c r="C63" s="5" t="inlineStr">
        <is>
          <t>Receptions</t>
        </is>
      </c>
      <c r="D63" s="5" t="n">
        <v>3.5</v>
      </c>
      <c r="E63" s="5" t="inlineStr">
        <is>
          <t>More</t>
        </is>
      </c>
      <c r="F63" s="48" t="n">
        <v>0.529</v>
      </c>
      <c r="G63" s="5" t="n">
        <v>3.5</v>
      </c>
      <c r="H63" s="5" t="n">
        <v>0</v>
      </c>
      <c r="I63" s="5" t="inlineStr">
        <is>
          <t>PIT @ CLE</t>
        </is>
      </c>
    </row>
    <row r="64">
      <c r="A64" s="5" t="inlineStr">
        <is>
          <t>DK Metcalf</t>
        </is>
      </c>
      <c r="B64" s="5" t="inlineStr">
        <is>
          <t>PIT</t>
        </is>
      </c>
      <c r="C64" s="5" t="inlineStr">
        <is>
          <t>Receptions</t>
        </is>
      </c>
      <c r="D64" s="5" t="n">
        <v>4.5</v>
      </c>
      <c r="E64" s="5" t="inlineStr">
        <is>
          <t>Less</t>
        </is>
      </c>
      <c r="F64" s="48" t="n">
        <v>0.643</v>
      </c>
      <c r="G64" s="5" t="n">
        <v>3.5</v>
      </c>
      <c r="H64" s="5" t="n">
        <v>1</v>
      </c>
      <c r="I64" s="5" t="inlineStr">
        <is>
          <t>PIT @ CLE</t>
        </is>
      </c>
    </row>
    <row r="65">
      <c r="A65" s="5" t="inlineStr">
        <is>
          <t>DK Metcalf</t>
        </is>
      </c>
      <c r="B65" s="5" t="inlineStr">
        <is>
          <t>PIT</t>
        </is>
      </c>
      <c r="C65" s="5" t="inlineStr">
        <is>
          <t>Receptions</t>
        </is>
      </c>
      <c r="D65" s="5" t="n">
        <v>5.5</v>
      </c>
      <c r="E65" s="5" t="inlineStr">
        <is>
          <t>Less</t>
        </is>
      </c>
      <c r="F65" s="48" t="n">
        <v>0.776</v>
      </c>
      <c r="G65" s="5" t="n">
        <v>3.5</v>
      </c>
      <c r="H65" s="5" t="n">
        <v>2</v>
      </c>
      <c r="I65" s="5" t="inlineStr">
        <is>
          <t>PIT @ CLE</t>
        </is>
      </c>
    </row>
    <row r="66">
      <c r="A66" s="5" t="inlineStr">
        <is>
          <t>DK Metcalf</t>
        </is>
      </c>
      <c r="B66" s="5" t="inlineStr">
        <is>
          <t>PIT</t>
        </is>
      </c>
      <c r="C66" s="5" t="inlineStr">
        <is>
          <t>Receptions</t>
        </is>
      </c>
      <c r="D66" s="5" t="n">
        <v>6.5</v>
      </c>
      <c r="E66" s="5" t="inlineStr">
        <is>
          <t>Less</t>
        </is>
      </c>
      <c r="F66" s="48" t="n">
        <v>0.863</v>
      </c>
      <c r="G66" s="5" t="n">
        <v>3.5</v>
      </c>
      <c r="H66" s="5" t="n">
        <v>3</v>
      </c>
      <c r="I66" s="5" t="inlineStr">
        <is>
          <t>PIT @ CLE</t>
        </is>
      </c>
    </row>
    <row r="67">
      <c r="A67" s="5" t="inlineStr">
        <is>
          <t>DK Metcalf</t>
        </is>
      </c>
      <c r="B67" s="5" t="inlineStr">
        <is>
          <t>PIT</t>
        </is>
      </c>
      <c r="C67" s="5" t="inlineStr">
        <is>
          <t>Receptions</t>
        </is>
      </c>
      <c r="D67" s="5" t="n">
        <v>7.5</v>
      </c>
      <c r="E67" s="5" t="inlineStr">
        <is>
          <t>Less</t>
        </is>
      </c>
      <c r="F67" s="48" t="n">
        <v>0.922</v>
      </c>
      <c r="G67" s="5" t="n">
        <v>3.5</v>
      </c>
      <c r="H67" s="5" t="n">
        <v>4</v>
      </c>
      <c r="I67" s="5" t="inlineStr">
        <is>
          <t>PIT @ CLE</t>
        </is>
      </c>
    </row>
    <row r="68">
      <c r="A68" s="5" t="inlineStr">
        <is>
          <t>DK Metcalf</t>
        </is>
      </c>
      <c r="B68" s="5" t="inlineStr">
        <is>
          <t>PIT</t>
        </is>
      </c>
      <c r="C68" s="5" t="inlineStr">
        <is>
          <t>Receptions</t>
        </is>
      </c>
      <c r="D68" s="5" t="n">
        <v>8.5</v>
      </c>
      <c r="E68" s="5" t="inlineStr">
        <is>
          <t>Less</t>
        </is>
      </c>
      <c r="F68" s="48" t="n">
        <v>0.959</v>
      </c>
      <c r="G68" s="5" t="n">
        <v>3.5</v>
      </c>
      <c r="H68" s="5" t="n">
        <v>5</v>
      </c>
      <c r="I68" s="5" t="inlineStr">
        <is>
          <t>PIT @ CLE</t>
        </is>
      </c>
    </row>
    <row r="69">
      <c r="A69" s="5" t="inlineStr">
        <is>
          <t>DK Metcalf</t>
        </is>
      </c>
      <c r="B69" s="5" t="inlineStr">
        <is>
          <t>PIT</t>
        </is>
      </c>
      <c r="C69" s="5" t="inlineStr">
        <is>
          <t>Rush+Rec Yds</t>
        </is>
      </c>
      <c r="D69" s="5" t="n">
        <v>7.5</v>
      </c>
      <c r="E69" s="5" t="inlineStr">
        <is>
          <t>More</t>
        </is>
      </c>
      <c r="F69" s="48" t="n">
        <v>0.96</v>
      </c>
      <c r="G69" s="5" t="n">
        <v>42.5</v>
      </c>
      <c r="H69" s="5" t="n">
        <v>-7</v>
      </c>
      <c r="I69" s="5" t="inlineStr">
        <is>
          <t>PIT @ CLE</t>
        </is>
      </c>
    </row>
    <row r="70">
      <c r="A70" s="5" t="inlineStr">
        <is>
          <t>DK Metcalf</t>
        </is>
      </c>
      <c r="B70" s="5" t="inlineStr">
        <is>
          <t>PIT</t>
        </is>
      </c>
      <c r="C70" s="5" t="inlineStr">
        <is>
          <t>Rush+Rec Yds</t>
        </is>
      </c>
      <c r="D70" s="5" t="n">
        <v>12.5</v>
      </c>
      <c r="E70" s="5" t="inlineStr">
        <is>
          <t>More</t>
        </is>
      </c>
      <c r="F70" s="48" t="n">
        <v>0.915</v>
      </c>
      <c r="G70" s="5" t="n">
        <v>42.5</v>
      </c>
      <c r="H70" s="5" t="n">
        <v>-6</v>
      </c>
      <c r="I70" s="5" t="inlineStr">
        <is>
          <t>PIT @ CLE</t>
        </is>
      </c>
    </row>
    <row r="71">
      <c r="A71" s="5" t="inlineStr">
        <is>
          <t>DK Metcalf</t>
        </is>
      </c>
      <c r="B71" s="5" t="inlineStr">
        <is>
          <t>PIT</t>
        </is>
      </c>
      <c r="C71" s="5" t="inlineStr">
        <is>
          <t>Rush+Rec Yds</t>
        </is>
      </c>
      <c r="D71" s="5" t="n">
        <v>17.5</v>
      </c>
      <c r="E71" s="5" t="inlineStr">
        <is>
          <t>More</t>
        </is>
      </c>
      <c r="F71" s="48" t="n">
        <v>0.856</v>
      </c>
      <c r="G71" s="5" t="n">
        <v>42.5</v>
      </c>
      <c r="H71" s="5" t="n">
        <v>-5</v>
      </c>
      <c r="I71" s="5" t="inlineStr">
        <is>
          <t>PIT @ CLE</t>
        </is>
      </c>
    </row>
    <row r="72">
      <c r="A72" s="5" t="inlineStr">
        <is>
          <t>DK Metcalf</t>
        </is>
      </c>
      <c r="B72" s="5" t="inlineStr">
        <is>
          <t>PIT</t>
        </is>
      </c>
      <c r="C72" s="5" t="inlineStr">
        <is>
          <t>Rush+Rec Yds</t>
        </is>
      </c>
      <c r="D72" s="5" t="n">
        <v>22.5</v>
      </c>
      <c r="E72" s="5" t="inlineStr">
        <is>
          <t>More</t>
        </is>
      </c>
      <c r="F72" s="48" t="n">
        <v>0.796</v>
      </c>
      <c r="G72" s="5" t="n">
        <v>42.5</v>
      </c>
      <c r="H72" s="5" t="n">
        <v>-4</v>
      </c>
      <c r="I72" s="5" t="inlineStr">
        <is>
          <t>PIT @ CLE</t>
        </is>
      </c>
    </row>
    <row r="73">
      <c r="A73" s="5" t="inlineStr">
        <is>
          <t>DK Metcalf</t>
        </is>
      </c>
      <c r="B73" s="5" t="inlineStr">
        <is>
          <t>PIT</t>
        </is>
      </c>
      <c r="C73" s="5" t="inlineStr">
        <is>
          <t>Rush+Rec Yds</t>
        </is>
      </c>
      <c r="D73" s="5" t="n">
        <v>27.5</v>
      </c>
      <c r="E73" s="5" t="inlineStr">
        <is>
          <t>More</t>
        </is>
      </c>
      <c r="F73" s="48" t="n">
        <v>0.722</v>
      </c>
      <c r="G73" s="5" t="n">
        <v>42.5</v>
      </c>
      <c r="H73" s="5" t="n">
        <v>-3</v>
      </c>
      <c r="I73" s="5" t="inlineStr">
        <is>
          <t>PIT @ CLE</t>
        </is>
      </c>
    </row>
    <row r="74">
      <c r="A74" s="5" t="inlineStr">
        <is>
          <t>DK Metcalf</t>
        </is>
      </c>
      <c r="B74" s="5" t="inlineStr">
        <is>
          <t>PIT</t>
        </is>
      </c>
      <c r="C74" s="5" t="inlineStr">
        <is>
          <t>Rush+Rec Yds</t>
        </is>
      </c>
      <c r="D74" s="5" t="n">
        <v>32.5</v>
      </c>
      <c r="E74" s="5" t="inlineStr">
        <is>
          <t>More</t>
        </is>
      </c>
      <c r="F74" s="48" t="n">
        <v>0.648</v>
      </c>
      <c r="G74" s="5" t="n">
        <v>42.5</v>
      </c>
      <c r="H74" s="5" t="n">
        <v>-2</v>
      </c>
      <c r="I74" s="5" t="inlineStr">
        <is>
          <t>PIT @ CLE</t>
        </is>
      </c>
    </row>
    <row r="75">
      <c r="A75" s="5" t="inlineStr">
        <is>
          <t>DK Metcalf</t>
        </is>
      </c>
      <c r="B75" s="5" t="inlineStr">
        <is>
          <t>PIT</t>
        </is>
      </c>
      <c r="C75" s="5" t="inlineStr">
        <is>
          <t>Rush+Rec Yds</t>
        </is>
      </c>
      <c r="D75" s="5" t="n">
        <v>37.5</v>
      </c>
      <c r="E75" s="5" t="inlineStr">
        <is>
          <t>More</t>
        </is>
      </c>
      <c r="F75" s="48" t="n">
        <v>0.573</v>
      </c>
      <c r="G75" s="5" t="n">
        <v>42.5</v>
      </c>
      <c r="H75" s="5" t="n">
        <v>-1</v>
      </c>
      <c r="I75" s="5" t="inlineStr">
        <is>
          <t>PIT @ CLE</t>
        </is>
      </c>
    </row>
    <row r="76">
      <c r="A76" s="5" t="inlineStr">
        <is>
          <t>DK Metcalf</t>
        </is>
      </c>
      <c r="B76" s="5" t="inlineStr">
        <is>
          <t>PIT</t>
        </is>
      </c>
      <c r="C76" s="5" t="inlineStr">
        <is>
          <t>Rush+Rec Yds</t>
        </is>
      </c>
      <c r="D76" s="5" t="n">
        <v>42.5</v>
      </c>
      <c r="E76" s="5" t="inlineStr">
        <is>
          <t>Less</t>
        </is>
      </c>
      <c r="F76" s="48" t="n">
        <v>0.5</v>
      </c>
      <c r="G76" s="5" t="n">
        <v>42.5</v>
      </c>
      <c r="H76" s="5" t="n">
        <v>0</v>
      </c>
      <c r="I76" s="5" t="inlineStr">
        <is>
          <t>PIT @ CLE</t>
        </is>
      </c>
    </row>
    <row r="77">
      <c r="A77" s="5" t="inlineStr">
        <is>
          <t>DK Metcalf</t>
        </is>
      </c>
      <c r="B77" s="5" t="inlineStr">
        <is>
          <t>PIT</t>
        </is>
      </c>
      <c r="C77" s="5" t="inlineStr">
        <is>
          <t>Rush+Rec Yds</t>
        </is>
      </c>
      <c r="D77" s="5" t="n">
        <v>47.5</v>
      </c>
      <c r="E77" s="5" t="inlineStr">
        <is>
          <t>Less</t>
        </is>
      </c>
      <c r="F77" s="48" t="n">
        <v>0.5659999999999999</v>
      </c>
      <c r="G77" s="5" t="n">
        <v>42.5</v>
      </c>
      <c r="H77" s="5" t="n">
        <v>1</v>
      </c>
      <c r="I77" s="5" t="inlineStr">
        <is>
          <t>PIT @ CLE</t>
        </is>
      </c>
    </row>
    <row r="78">
      <c r="A78" s="5" t="inlineStr">
        <is>
          <t>DK Metcalf</t>
        </is>
      </c>
      <c r="B78" s="5" t="inlineStr">
        <is>
          <t>PIT</t>
        </is>
      </c>
      <c r="C78" s="5" t="inlineStr">
        <is>
          <t>Rush+Rec Yds</t>
        </is>
      </c>
      <c r="D78" s="5" t="n">
        <v>52.5</v>
      </c>
      <c r="E78" s="5" t="inlineStr">
        <is>
          <t>Less</t>
        </is>
      </c>
      <c r="F78" s="48" t="n">
        <v>0.623</v>
      </c>
      <c r="G78" s="5" t="n">
        <v>42.5</v>
      </c>
      <c r="H78" s="5" t="n">
        <v>2</v>
      </c>
      <c r="I78" s="5" t="inlineStr">
        <is>
          <t>PIT @ CLE</t>
        </is>
      </c>
    </row>
    <row r="79">
      <c r="A79" s="5" t="inlineStr">
        <is>
          <t>DK Metcalf</t>
        </is>
      </c>
      <c r="B79" s="5" t="inlineStr">
        <is>
          <t>PIT</t>
        </is>
      </c>
      <c r="C79" s="5" t="inlineStr">
        <is>
          <t>Rush+Rec Yds</t>
        </is>
      </c>
      <c r="D79" s="5" t="n">
        <v>57.5</v>
      </c>
      <c r="E79" s="5" t="inlineStr">
        <is>
          <t>Less</t>
        </is>
      </c>
      <c r="F79" s="48" t="n">
        <v>0.672</v>
      </c>
      <c r="G79" s="5" t="n">
        <v>42.5</v>
      </c>
      <c r="H79" s="5" t="n">
        <v>3</v>
      </c>
      <c r="I79" s="5" t="inlineStr">
        <is>
          <t>PIT @ CLE</t>
        </is>
      </c>
    </row>
    <row r="80">
      <c r="A80" s="5" t="inlineStr">
        <is>
          <t>DK Metcalf</t>
        </is>
      </c>
      <c r="B80" s="5" t="inlineStr">
        <is>
          <t>PIT</t>
        </is>
      </c>
      <c r="C80" s="5" t="inlineStr">
        <is>
          <t>Rush+Rec Yds</t>
        </is>
      </c>
      <c r="D80" s="5" t="n">
        <v>62.5</v>
      </c>
      <c r="E80" s="5" t="inlineStr">
        <is>
          <t>Less</t>
        </is>
      </c>
      <c r="F80" s="48" t="n">
        <v>0.72</v>
      </c>
      <c r="G80" s="5" t="n">
        <v>42.5</v>
      </c>
      <c r="H80" s="5" t="n">
        <v>4</v>
      </c>
      <c r="I80" s="5" t="inlineStr">
        <is>
          <t>PIT @ CLE</t>
        </is>
      </c>
    </row>
    <row r="81">
      <c r="A81" s="5" t="inlineStr">
        <is>
          <t>DK Metcalf</t>
        </is>
      </c>
      <c r="B81" s="5" t="inlineStr">
        <is>
          <t>PIT</t>
        </is>
      </c>
      <c r="C81" s="5" t="inlineStr">
        <is>
          <t>Rush+Rec Yds</t>
        </is>
      </c>
      <c r="D81" s="5" t="n">
        <v>67.5</v>
      </c>
      <c r="E81" s="5" t="inlineStr">
        <is>
          <t>Less</t>
        </is>
      </c>
      <c r="F81" s="48" t="n">
        <v>0.758</v>
      </c>
      <c r="G81" s="5" t="n">
        <v>42.5</v>
      </c>
      <c r="H81" s="5" t="n">
        <v>5</v>
      </c>
      <c r="I81" s="5" t="inlineStr">
        <is>
          <t>PIT @ CLE</t>
        </is>
      </c>
    </row>
    <row r="82">
      <c r="A82" s="5" t="inlineStr">
        <is>
          <t>DK Metcalf</t>
        </is>
      </c>
      <c r="B82" s="5" t="inlineStr">
        <is>
          <t>PIT</t>
        </is>
      </c>
      <c r="C82" s="5" t="inlineStr">
        <is>
          <t>Rush+Rec Yds</t>
        </is>
      </c>
      <c r="D82" s="5" t="n">
        <v>72.5</v>
      </c>
      <c r="E82" s="5" t="inlineStr">
        <is>
          <t>Less</t>
        </is>
      </c>
      <c r="F82" s="48" t="n">
        <v>0.799</v>
      </c>
      <c r="G82" s="5" t="n">
        <v>42.5</v>
      </c>
      <c r="H82" s="5" t="n">
        <v>6</v>
      </c>
      <c r="I82" s="5" t="inlineStr">
        <is>
          <t>PIT @ CLE</t>
        </is>
      </c>
    </row>
    <row r="83">
      <c r="A83" s="5" t="inlineStr">
        <is>
          <t>DK Metcalf</t>
        </is>
      </c>
      <c r="B83" s="5" t="inlineStr">
        <is>
          <t>PIT</t>
        </is>
      </c>
      <c r="C83" s="5" t="inlineStr">
        <is>
          <t>Rush+Rec Yds</t>
        </is>
      </c>
      <c r="D83" s="5" t="n">
        <v>77.5</v>
      </c>
      <c r="E83" s="5" t="inlineStr">
        <is>
          <t>Less</t>
        </is>
      </c>
      <c r="F83" s="48" t="n">
        <v>0.828</v>
      </c>
      <c r="G83" s="5" t="n">
        <v>42.5</v>
      </c>
      <c r="H83" s="5" t="n">
        <v>7</v>
      </c>
      <c r="I83" s="5" t="inlineStr">
        <is>
          <t>PIT @ CLE</t>
        </is>
      </c>
    </row>
    <row r="84">
      <c r="A84" s="5" t="inlineStr">
        <is>
          <t>DK Metcalf</t>
        </is>
      </c>
      <c r="B84" s="5" t="inlineStr">
        <is>
          <t>PIT</t>
        </is>
      </c>
      <c r="C84" s="5" t="inlineStr">
        <is>
          <t>Rush+Rec Yds</t>
        </is>
      </c>
      <c r="D84" s="5" t="n">
        <v>82.5</v>
      </c>
      <c r="E84" s="5" t="inlineStr">
        <is>
          <t>Less</t>
        </is>
      </c>
      <c r="F84" s="48" t="n">
        <v>0.857</v>
      </c>
      <c r="G84" s="5" t="n">
        <v>42.5</v>
      </c>
      <c r="H84" s="5" t="n">
        <v>8</v>
      </c>
      <c r="I84" s="5" t="inlineStr">
        <is>
          <t>PIT @ CLE</t>
        </is>
      </c>
    </row>
    <row r="85">
      <c r="A85" s="5" t="inlineStr">
        <is>
          <t>DK Metcalf</t>
        </is>
      </c>
      <c r="B85" s="5" t="inlineStr">
        <is>
          <t>PIT</t>
        </is>
      </c>
      <c r="C85" s="5" t="inlineStr">
        <is>
          <t>Rush+Rec Yds</t>
        </is>
      </c>
      <c r="D85" s="5" t="n">
        <v>87.5</v>
      </c>
      <c r="E85" s="5" t="inlineStr">
        <is>
          <t>Less</t>
        </is>
      </c>
      <c r="F85" s="48" t="n">
        <v>0.88</v>
      </c>
      <c r="G85" s="5" t="n">
        <v>42.5</v>
      </c>
      <c r="H85" s="5" t="n">
        <v>9</v>
      </c>
      <c r="I85" s="5" t="inlineStr">
        <is>
          <t>PIT @ CLE</t>
        </is>
      </c>
    </row>
    <row r="86">
      <c r="A86" s="5" t="inlineStr">
        <is>
          <t>DK Metcalf</t>
        </is>
      </c>
      <c r="B86" s="5" t="inlineStr">
        <is>
          <t>PIT</t>
        </is>
      </c>
      <c r="C86" s="5" t="inlineStr">
        <is>
          <t>Rush+Rec Yds</t>
        </is>
      </c>
      <c r="D86" s="5" t="n">
        <v>92.5</v>
      </c>
      <c r="E86" s="5" t="inlineStr">
        <is>
          <t>Less</t>
        </is>
      </c>
      <c r="F86" s="48" t="n">
        <v>0.904</v>
      </c>
      <c r="G86" s="5" t="n">
        <v>42.5</v>
      </c>
      <c r="H86" s="5" t="n">
        <v>10</v>
      </c>
      <c r="I86" s="5" t="inlineStr">
        <is>
          <t>PIT @ CLE</t>
        </is>
      </c>
    </row>
    <row r="87">
      <c r="A87" s="5" t="inlineStr">
        <is>
          <t>Darnell Washington</t>
        </is>
      </c>
      <c r="B87" s="5" t="inlineStr">
        <is>
          <t>PIT</t>
        </is>
      </c>
      <c r="C87" s="5" t="inlineStr">
        <is>
          <t>Anytime TDs</t>
        </is>
      </c>
      <c r="D87" s="5" t="n">
        <v>0.5</v>
      </c>
      <c r="E87" s="5" t="inlineStr">
        <is>
          <t>Less</t>
        </is>
      </c>
      <c r="F87" s="48" t="n">
        <v>0.86</v>
      </c>
      <c r="G87" s="5" t="n">
        <v>0.5</v>
      </c>
      <c r="H87" s="5" t="n">
        <v>0</v>
      </c>
      <c r="I87" s="5" t="inlineStr">
        <is>
          <t>PIT @ CLE</t>
        </is>
      </c>
    </row>
    <row r="88">
      <c r="A88" s="5" t="inlineStr">
        <is>
          <t>Darnell Washington</t>
        </is>
      </c>
      <c r="B88" s="5" t="inlineStr">
        <is>
          <t>PIT</t>
        </is>
      </c>
      <c r="C88" s="5" t="inlineStr">
        <is>
          <t>Rec Yds</t>
        </is>
      </c>
      <c r="D88" s="5" t="n">
        <v>2.5</v>
      </c>
      <c r="E88" s="5" t="inlineStr">
        <is>
          <t>More</t>
        </is>
      </c>
      <c r="F88" s="48" t="n">
        <v>0.803</v>
      </c>
      <c r="G88" s="5" t="n">
        <v>16.5</v>
      </c>
      <c r="H88" s="5" t="n">
        <v>-7</v>
      </c>
      <c r="I88" s="5" t="inlineStr">
        <is>
          <t>PIT @ CLE</t>
        </is>
      </c>
    </row>
    <row r="89">
      <c r="A89" s="5" t="inlineStr">
        <is>
          <t>Darnell Washington</t>
        </is>
      </c>
      <c r="B89" s="5" t="inlineStr">
        <is>
          <t>PIT</t>
        </is>
      </c>
      <c r="C89" s="5" t="inlineStr">
        <is>
          <t>Rec Yds</t>
        </is>
      </c>
      <c r="D89" s="5" t="n">
        <v>4.5</v>
      </c>
      <c r="E89" s="5" t="inlineStr">
        <is>
          <t>More</t>
        </is>
      </c>
      <c r="F89" s="48" t="n">
        <v>0.773</v>
      </c>
      <c r="G89" s="5" t="n">
        <v>16.5</v>
      </c>
      <c r="H89" s="5" t="n">
        <v>-6</v>
      </c>
      <c r="I89" s="5" t="inlineStr">
        <is>
          <t>PIT @ CLE</t>
        </is>
      </c>
    </row>
    <row r="90">
      <c r="A90" s="5" t="inlineStr">
        <is>
          <t>Darnell Washington</t>
        </is>
      </c>
      <c r="B90" s="5" t="inlineStr">
        <is>
          <t>PIT</t>
        </is>
      </c>
      <c r="C90" s="5" t="inlineStr">
        <is>
          <t>Rec Yds</t>
        </is>
      </c>
      <c r="D90" s="5" t="n">
        <v>6.5</v>
      </c>
      <c r="E90" s="5" t="inlineStr">
        <is>
          <t>More</t>
        </is>
      </c>
      <c r="F90" s="48" t="n">
        <v>0.721</v>
      </c>
      <c r="G90" s="5" t="n">
        <v>16.5</v>
      </c>
      <c r="H90" s="5" t="n">
        <v>-5</v>
      </c>
      <c r="I90" s="5" t="inlineStr">
        <is>
          <t>PIT @ CLE</t>
        </is>
      </c>
    </row>
    <row r="91">
      <c r="A91" s="5" t="inlineStr">
        <is>
          <t>Darnell Washington</t>
        </is>
      </c>
      <c r="B91" s="5" t="inlineStr">
        <is>
          <t>PIT</t>
        </is>
      </c>
      <c r="C91" s="5" t="inlineStr">
        <is>
          <t>Rec Yds</t>
        </is>
      </c>
      <c r="D91" s="5" t="n">
        <v>8.5</v>
      </c>
      <c r="E91" s="5" t="inlineStr">
        <is>
          <t>More</t>
        </is>
      </c>
      <c r="F91" s="48" t="n">
        <v>0.6929999999999999</v>
      </c>
      <c r="G91" s="5" t="n">
        <v>16.5</v>
      </c>
      <c r="H91" s="5" t="n">
        <v>-4</v>
      </c>
      <c r="I91" s="5" t="inlineStr">
        <is>
          <t>PIT @ CLE</t>
        </is>
      </c>
    </row>
    <row r="92">
      <c r="A92" s="5" t="inlineStr">
        <is>
          <t>Darnell Washington</t>
        </is>
      </c>
      <c r="B92" s="5" t="inlineStr">
        <is>
          <t>PIT</t>
        </is>
      </c>
      <c r="C92" s="5" t="inlineStr">
        <is>
          <t>Rec Yds</t>
        </is>
      </c>
      <c r="D92" s="5" t="n">
        <v>10.5</v>
      </c>
      <c r="E92" s="5" t="inlineStr">
        <is>
          <t>More</t>
        </is>
      </c>
      <c r="F92" s="48" t="n">
        <v>0.64</v>
      </c>
      <c r="G92" s="5" t="n">
        <v>16.5</v>
      </c>
      <c r="H92" s="5" t="n">
        <v>-3</v>
      </c>
      <c r="I92" s="5" t="inlineStr">
        <is>
          <t>PIT @ CLE</t>
        </is>
      </c>
    </row>
    <row r="93">
      <c r="A93" s="5" t="inlineStr">
        <is>
          <t>Darnell Washington</t>
        </is>
      </c>
      <c r="B93" s="5" t="inlineStr">
        <is>
          <t>PIT</t>
        </is>
      </c>
      <c r="C93" s="5" t="inlineStr">
        <is>
          <t>Rec Yds</t>
        </is>
      </c>
      <c r="D93" s="5" t="n">
        <v>12.5</v>
      </c>
      <c r="E93" s="5" t="inlineStr">
        <is>
          <t>More</t>
        </is>
      </c>
      <c r="F93" s="48" t="n">
        <v>0.585</v>
      </c>
      <c r="G93" s="5" t="n">
        <v>16.5</v>
      </c>
      <c r="H93" s="5" t="n">
        <v>-2</v>
      </c>
      <c r="I93" s="5" t="inlineStr">
        <is>
          <t>PIT @ CLE</t>
        </is>
      </c>
    </row>
    <row r="94">
      <c r="A94" s="5" t="inlineStr">
        <is>
          <t>Darnell Washington</t>
        </is>
      </c>
      <c r="B94" s="5" t="inlineStr">
        <is>
          <t>PIT</t>
        </is>
      </c>
      <c r="C94" s="5" t="inlineStr">
        <is>
          <t>Rec Yds</t>
        </is>
      </c>
      <c r="D94" s="5" t="n">
        <v>14.5</v>
      </c>
      <c r="E94" s="5" t="inlineStr">
        <is>
          <t>More</t>
        </is>
      </c>
      <c r="F94" s="48" t="n">
        <v>0.539</v>
      </c>
      <c r="G94" s="5" t="n">
        <v>16.5</v>
      </c>
      <c r="H94" s="5" t="n">
        <v>-1</v>
      </c>
      <c r="I94" s="5" t="inlineStr">
        <is>
          <t>PIT @ CLE</t>
        </is>
      </c>
    </row>
    <row r="95">
      <c r="A95" s="5" t="inlineStr">
        <is>
          <t>Darnell Washington</t>
        </is>
      </c>
      <c r="B95" s="5" t="inlineStr">
        <is>
          <t>PIT</t>
        </is>
      </c>
      <c r="C95" s="5" t="inlineStr">
        <is>
          <t>Rec Yds</t>
        </is>
      </c>
      <c r="D95" s="5" t="n">
        <v>16.5</v>
      </c>
      <c r="E95" s="5" t="inlineStr">
        <is>
          <t>More</t>
        </is>
      </c>
      <c r="F95" s="48" t="n">
        <v>0.516</v>
      </c>
      <c r="G95" s="5" t="n">
        <v>16.5</v>
      </c>
      <c r="H95" s="5" t="n">
        <v>0</v>
      </c>
      <c r="I95" s="5" t="inlineStr">
        <is>
          <t>PIT @ CLE</t>
        </is>
      </c>
    </row>
    <row r="96">
      <c r="A96" s="5" t="inlineStr">
        <is>
          <t>Darnell Washington</t>
        </is>
      </c>
      <c r="B96" s="5" t="inlineStr">
        <is>
          <t>PIT</t>
        </is>
      </c>
      <c r="C96" s="5" t="inlineStr">
        <is>
          <t>Rec Yds</t>
        </is>
      </c>
      <c r="D96" s="5" t="n">
        <v>18.5</v>
      </c>
      <c r="E96" s="5" t="inlineStr">
        <is>
          <t>Less</t>
        </is>
      </c>
      <c r="F96" s="48" t="n">
        <v>0.525</v>
      </c>
      <c r="G96" s="5" t="n">
        <v>16.5</v>
      </c>
      <c r="H96" s="5" t="n">
        <v>1</v>
      </c>
      <c r="I96" s="5" t="inlineStr">
        <is>
          <t>PIT @ CLE</t>
        </is>
      </c>
    </row>
    <row r="97">
      <c r="A97" s="5" t="inlineStr">
        <is>
          <t>Darnell Washington</t>
        </is>
      </c>
      <c r="B97" s="5" t="inlineStr">
        <is>
          <t>PIT</t>
        </is>
      </c>
      <c r="C97" s="5" t="inlineStr">
        <is>
          <t>Rec Yds</t>
        </is>
      </c>
      <c r="D97" s="5" t="n">
        <v>20.5</v>
      </c>
      <c r="E97" s="5" t="inlineStr">
        <is>
          <t>Less</t>
        </is>
      </c>
      <c r="F97" s="48" t="n">
        <v>0.5639999999999999</v>
      </c>
      <c r="G97" s="5" t="n">
        <v>16.5</v>
      </c>
      <c r="H97" s="5" t="n">
        <v>2</v>
      </c>
      <c r="I97" s="5" t="inlineStr">
        <is>
          <t>PIT @ CLE</t>
        </is>
      </c>
    </row>
    <row r="98">
      <c r="A98" s="5" t="inlineStr">
        <is>
          <t>Darnell Washington</t>
        </is>
      </c>
      <c r="B98" s="5" t="inlineStr">
        <is>
          <t>PIT</t>
        </is>
      </c>
      <c r="C98" s="5" t="inlineStr">
        <is>
          <t>Rec Yds</t>
        </is>
      </c>
      <c r="D98" s="5" t="n">
        <v>22.5</v>
      </c>
      <c r="E98" s="5" t="inlineStr">
        <is>
          <t>Less</t>
        </is>
      </c>
      <c r="F98" s="48" t="n">
        <v>0.607</v>
      </c>
      <c r="G98" s="5" t="n">
        <v>16.5</v>
      </c>
      <c r="H98" s="5" t="n">
        <v>3</v>
      </c>
      <c r="I98" s="5" t="inlineStr">
        <is>
          <t>PIT @ CLE</t>
        </is>
      </c>
    </row>
    <row r="99">
      <c r="A99" s="5" t="inlineStr">
        <is>
          <t>Darnell Washington</t>
        </is>
      </c>
      <c r="B99" s="5" t="inlineStr">
        <is>
          <t>PIT</t>
        </is>
      </c>
      <c r="C99" s="5" t="inlineStr">
        <is>
          <t>Rec Yds</t>
        </is>
      </c>
      <c r="D99" s="5" t="n">
        <v>24.5</v>
      </c>
      <c r="E99" s="5" t="inlineStr">
        <is>
          <t>Less</t>
        </is>
      </c>
      <c r="F99" s="48" t="n">
        <v>0.646</v>
      </c>
      <c r="G99" s="5" t="n">
        <v>16.5</v>
      </c>
      <c r="H99" s="5" t="n">
        <v>4</v>
      </c>
      <c r="I99" s="5" t="inlineStr">
        <is>
          <t>PIT @ CLE</t>
        </is>
      </c>
    </row>
    <row r="100">
      <c r="A100" s="5" t="inlineStr">
        <is>
          <t>Darnell Washington</t>
        </is>
      </c>
      <c r="B100" s="5" t="inlineStr">
        <is>
          <t>PIT</t>
        </is>
      </c>
      <c r="C100" s="5" t="inlineStr">
        <is>
          <t>Rec Yds</t>
        </is>
      </c>
      <c r="D100" s="5" t="n">
        <v>26.5</v>
      </c>
      <c r="E100" s="5" t="inlineStr">
        <is>
          <t>Less</t>
        </is>
      </c>
      <c r="F100" s="48" t="n">
        <v>0.663</v>
      </c>
      <c r="G100" s="5" t="n">
        <v>16.5</v>
      </c>
      <c r="H100" s="5" t="n">
        <v>5</v>
      </c>
      <c r="I100" s="5" t="inlineStr">
        <is>
          <t>PIT @ CLE</t>
        </is>
      </c>
    </row>
    <row r="101">
      <c r="A101" s="5" t="inlineStr">
        <is>
          <t>Darnell Washington</t>
        </is>
      </c>
      <c r="B101" s="5" t="inlineStr">
        <is>
          <t>PIT</t>
        </is>
      </c>
      <c r="C101" s="5" t="inlineStr">
        <is>
          <t>Rec Yds</t>
        </is>
      </c>
      <c r="D101" s="5" t="n">
        <v>28.5</v>
      </c>
      <c r="E101" s="5" t="inlineStr">
        <is>
          <t>Less</t>
        </is>
      </c>
      <c r="F101" s="48" t="n">
        <v>0.698</v>
      </c>
      <c r="G101" s="5" t="n">
        <v>16.5</v>
      </c>
      <c r="H101" s="5" t="n">
        <v>6</v>
      </c>
      <c r="I101" s="5" t="inlineStr">
        <is>
          <t>PIT @ CLE</t>
        </is>
      </c>
    </row>
    <row r="102">
      <c r="A102" s="5" t="inlineStr">
        <is>
          <t>Darnell Washington</t>
        </is>
      </c>
      <c r="B102" s="5" t="inlineStr">
        <is>
          <t>PIT</t>
        </is>
      </c>
      <c r="C102" s="5" t="inlineStr">
        <is>
          <t>Rec Yds</t>
        </is>
      </c>
      <c r="D102" s="5" t="n">
        <v>30.5</v>
      </c>
      <c r="E102" s="5" t="inlineStr">
        <is>
          <t>Less</t>
        </is>
      </c>
      <c r="F102" s="48" t="n">
        <v>0.726</v>
      </c>
      <c r="G102" s="5" t="n">
        <v>16.5</v>
      </c>
      <c r="H102" s="5" t="n">
        <v>7</v>
      </c>
      <c r="I102" s="5" t="inlineStr">
        <is>
          <t>PIT @ CLE</t>
        </is>
      </c>
    </row>
    <row r="103">
      <c r="A103" s="5" t="inlineStr">
        <is>
          <t>Darnell Washington</t>
        </is>
      </c>
      <c r="B103" s="5" t="inlineStr">
        <is>
          <t>PIT</t>
        </is>
      </c>
      <c r="C103" s="5" t="inlineStr">
        <is>
          <t>Rec Yds</t>
        </is>
      </c>
      <c r="D103" s="5" t="n">
        <v>32.5</v>
      </c>
      <c r="E103" s="5" t="inlineStr">
        <is>
          <t>Less</t>
        </is>
      </c>
      <c r="F103" s="48" t="n">
        <v>0.751</v>
      </c>
      <c r="G103" s="5" t="n">
        <v>16.5</v>
      </c>
      <c r="H103" s="5" t="n">
        <v>8</v>
      </c>
      <c r="I103" s="5" t="inlineStr">
        <is>
          <t>PIT @ CLE</t>
        </is>
      </c>
    </row>
    <row r="104">
      <c r="A104" s="5" t="inlineStr">
        <is>
          <t>Darnell Washington</t>
        </is>
      </c>
      <c r="B104" s="5" t="inlineStr">
        <is>
          <t>PIT</t>
        </is>
      </c>
      <c r="C104" s="5" t="inlineStr">
        <is>
          <t>Rec Yds</t>
        </is>
      </c>
      <c r="D104" s="5" t="n">
        <v>34.5</v>
      </c>
      <c r="E104" s="5" t="inlineStr">
        <is>
          <t>Less</t>
        </is>
      </c>
      <c r="F104" s="48" t="n">
        <v>0.777</v>
      </c>
      <c r="G104" s="5" t="n">
        <v>16.5</v>
      </c>
      <c r="H104" s="5" t="n">
        <v>9</v>
      </c>
      <c r="I104" s="5" t="inlineStr">
        <is>
          <t>PIT @ CLE</t>
        </is>
      </c>
    </row>
    <row r="105">
      <c r="A105" s="5" t="inlineStr">
        <is>
          <t>Darnell Washington</t>
        </is>
      </c>
      <c r="B105" s="5" t="inlineStr">
        <is>
          <t>PIT</t>
        </is>
      </c>
      <c r="C105" s="5" t="inlineStr">
        <is>
          <t>Rec Yds</t>
        </is>
      </c>
      <c r="D105" s="5" t="n">
        <v>36.5</v>
      </c>
      <c r="E105" s="5" t="inlineStr">
        <is>
          <t>Less</t>
        </is>
      </c>
      <c r="F105" s="48" t="n">
        <v>0.786</v>
      </c>
      <c r="G105" s="5" t="n">
        <v>16.5</v>
      </c>
      <c r="H105" s="5" t="n">
        <v>10</v>
      </c>
      <c r="I105" s="5" t="inlineStr">
        <is>
          <t>PIT @ CLE</t>
        </is>
      </c>
    </row>
    <row r="106">
      <c r="A106" s="5" t="inlineStr">
        <is>
          <t>Darnell Washington</t>
        </is>
      </c>
      <c r="B106" s="5" t="inlineStr">
        <is>
          <t>PIT</t>
        </is>
      </c>
      <c r="C106" s="5" t="inlineStr">
        <is>
          <t>Receptions</t>
        </is>
      </c>
      <c r="D106" s="5" t="n">
        <v>0.5</v>
      </c>
      <c r="E106" s="5" t="inlineStr">
        <is>
          <t>More</t>
        </is>
      </c>
      <c r="F106" s="48" t="n">
        <v>0.829</v>
      </c>
      <c r="G106" s="5" t="n">
        <v>1.5</v>
      </c>
      <c r="H106" s="5" t="n">
        <v>-1</v>
      </c>
      <c r="I106" s="5" t="inlineStr">
        <is>
          <t>PIT @ CLE</t>
        </is>
      </c>
    </row>
    <row r="107">
      <c r="A107" s="5" t="inlineStr">
        <is>
          <t>Darnell Washington</t>
        </is>
      </c>
      <c r="B107" s="5" t="inlineStr">
        <is>
          <t>PIT</t>
        </is>
      </c>
      <c r="C107" s="5" t="inlineStr">
        <is>
          <t>Receptions</t>
        </is>
      </c>
      <c r="D107" s="5" t="n">
        <v>1.5</v>
      </c>
      <c r="E107" s="5" t="inlineStr">
        <is>
          <t>More</t>
        </is>
      </c>
      <c r="F107" s="48" t="n">
        <v>0.615</v>
      </c>
      <c r="G107" s="5" t="n">
        <v>1.5</v>
      </c>
      <c r="H107" s="5" t="n">
        <v>0</v>
      </c>
      <c r="I107" s="5" t="inlineStr">
        <is>
          <t>PIT @ CLE</t>
        </is>
      </c>
    </row>
    <row r="108">
      <c r="A108" s="5" t="inlineStr">
        <is>
          <t>Darnell Washington</t>
        </is>
      </c>
      <c r="B108" s="5" t="inlineStr">
        <is>
          <t>PIT</t>
        </is>
      </c>
      <c r="C108" s="5" t="inlineStr">
        <is>
          <t>Receptions</t>
        </is>
      </c>
      <c r="D108" s="5" t="n">
        <v>2.5</v>
      </c>
      <c r="E108" s="5" t="inlineStr">
        <is>
          <t>Less</t>
        </is>
      </c>
      <c r="F108" s="48" t="n">
        <v>0.582</v>
      </c>
      <c r="G108" s="5" t="n">
        <v>1.5</v>
      </c>
      <c r="H108" s="5" t="n">
        <v>1</v>
      </c>
      <c r="I108" s="5" t="inlineStr">
        <is>
          <t>PIT @ CLE</t>
        </is>
      </c>
    </row>
    <row r="109">
      <c r="A109" s="5" t="inlineStr">
        <is>
          <t>Darnell Washington</t>
        </is>
      </c>
      <c r="B109" s="5" t="inlineStr">
        <is>
          <t>PIT</t>
        </is>
      </c>
      <c r="C109" s="5" t="inlineStr">
        <is>
          <t>Receptions</t>
        </is>
      </c>
      <c r="D109" s="5" t="n">
        <v>3.5</v>
      </c>
      <c r="E109" s="5" t="inlineStr">
        <is>
          <t>Less</t>
        </is>
      </c>
      <c r="F109" s="48" t="n">
        <v>0.745</v>
      </c>
      <c r="G109" s="5" t="n">
        <v>1.5</v>
      </c>
      <c r="H109" s="5" t="n">
        <v>2</v>
      </c>
      <c r="I109" s="5" t="inlineStr">
        <is>
          <t>PIT @ CLE</t>
        </is>
      </c>
    </row>
    <row r="110">
      <c r="A110" s="5" t="inlineStr">
        <is>
          <t>Darnell Washington</t>
        </is>
      </c>
      <c r="B110" s="5" t="inlineStr">
        <is>
          <t>PIT</t>
        </is>
      </c>
      <c r="C110" s="5" t="inlineStr">
        <is>
          <t>Receptions</t>
        </is>
      </c>
      <c r="D110" s="5" t="n">
        <v>4.5</v>
      </c>
      <c r="E110" s="5" t="inlineStr">
        <is>
          <t>Less</t>
        </is>
      </c>
      <c r="F110" s="48" t="n">
        <v>0.864</v>
      </c>
      <c r="G110" s="5" t="n">
        <v>1.5</v>
      </c>
      <c r="H110" s="5" t="n">
        <v>3</v>
      </c>
      <c r="I110" s="5" t="inlineStr">
        <is>
          <t>PIT @ CLE</t>
        </is>
      </c>
    </row>
    <row r="111">
      <c r="A111" s="5" t="inlineStr">
        <is>
          <t>Darnell Washington</t>
        </is>
      </c>
      <c r="B111" s="5" t="inlineStr">
        <is>
          <t>PIT</t>
        </is>
      </c>
      <c r="C111" s="5" t="inlineStr">
        <is>
          <t>Receptions</t>
        </is>
      </c>
      <c r="D111" s="5" t="n">
        <v>5.5</v>
      </c>
      <c r="E111" s="5" t="inlineStr">
        <is>
          <t>Less</t>
        </is>
      </c>
      <c r="F111" s="48" t="n">
        <v>0.9419999999999999</v>
      </c>
      <c r="G111" s="5" t="n">
        <v>1.5</v>
      </c>
      <c r="H111" s="5" t="n">
        <v>4</v>
      </c>
      <c r="I111" s="5" t="inlineStr">
        <is>
          <t>PIT @ CLE</t>
        </is>
      </c>
    </row>
    <row r="112">
      <c r="A112" s="5" t="inlineStr">
        <is>
          <t>Denzel Boston</t>
        </is>
      </c>
      <c r="B112" s="5" t="inlineStr">
        <is>
          <t>CLE</t>
        </is>
      </c>
      <c r="C112" s="5" t="inlineStr">
        <is>
          <t>Anytime TDs</t>
        </is>
      </c>
      <c r="D112" s="5" t="n">
        <v>0.5</v>
      </c>
      <c r="E112" s="5" t="inlineStr">
        <is>
          <t>Less</t>
        </is>
      </c>
      <c r="F112" s="48" t="n">
        <v>0.771</v>
      </c>
      <c r="G112" s="5" t="n">
        <v>0.5</v>
      </c>
      <c r="H112" s="5" t="n">
        <v>0</v>
      </c>
      <c r="I112" s="5" t="inlineStr">
        <is>
          <t>PIT @ CLE</t>
        </is>
      </c>
    </row>
    <row r="113">
      <c r="A113" s="5" t="inlineStr">
        <is>
          <t>Denzel Boston</t>
        </is>
      </c>
      <c r="B113" s="5" t="inlineStr">
        <is>
          <t>CLE</t>
        </is>
      </c>
      <c r="C113" s="5" t="inlineStr">
        <is>
          <t>Rec Yds</t>
        </is>
      </c>
      <c r="D113" s="5" t="n">
        <v>2.5</v>
      </c>
      <c r="E113" s="5" t="inlineStr">
        <is>
          <t>More</t>
        </is>
      </c>
      <c r="F113" s="48" t="n">
        <v>0.921</v>
      </c>
      <c r="G113" s="5" t="n">
        <v>37.5</v>
      </c>
      <c r="H113" s="5" t="n">
        <v>-7</v>
      </c>
      <c r="I113" s="5" t="inlineStr">
        <is>
          <t>PIT @ CLE</t>
        </is>
      </c>
    </row>
    <row r="114">
      <c r="A114" s="5" t="inlineStr">
        <is>
          <t>Denzel Boston</t>
        </is>
      </c>
      <c r="B114" s="5" t="inlineStr">
        <is>
          <t>CLE</t>
        </is>
      </c>
      <c r="C114" s="5" t="inlineStr">
        <is>
          <t>Rec Yds</t>
        </is>
      </c>
      <c r="D114" s="5" t="n">
        <v>7.5</v>
      </c>
      <c r="E114" s="5" t="inlineStr">
        <is>
          <t>More</t>
        </is>
      </c>
      <c r="F114" s="48" t="n">
        <v>0.889</v>
      </c>
      <c r="G114" s="5" t="n">
        <v>37.5</v>
      </c>
      <c r="H114" s="5" t="n">
        <v>-6</v>
      </c>
      <c r="I114" s="5" t="inlineStr">
        <is>
          <t>PIT @ CLE</t>
        </is>
      </c>
    </row>
    <row r="115">
      <c r="A115" s="5" t="inlineStr">
        <is>
          <t>Denzel Boston</t>
        </is>
      </c>
      <c r="B115" s="5" t="inlineStr">
        <is>
          <t>CLE</t>
        </is>
      </c>
      <c r="C115" s="5" t="inlineStr">
        <is>
          <t>Rec Yds</t>
        </is>
      </c>
      <c r="D115" s="5" t="n">
        <v>12.5</v>
      </c>
      <c r="E115" s="5" t="inlineStr">
        <is>
          <t>More</t>
        </is>
      </c>
      <c r="F115" s="48" t="n">
        <v>0.836</v>
      </c>
      <c r="G115" s="5" t="n">
        <v>37.5</v>
      </c>
      <c r="H115" s="5" t="n">
        <v>-5</v>
      </c>
      <c r="I115" s="5" t="inlineStr">
        <is>
          <t>PIT @ CLE</t>
        </is>
      </c>
    </row>
    <row r="116">
      <c r="A116" s="5" t="inlineStr">
        <is>
          <t>Denzel Boston</t>
        </is>
      </c>
      <c r="B116" s="5" t="inlineStr">
        <is>
          <t>CLE</t>
        </is>
      </c>
      <c r="C116" s="5" t="inlineStr">
        <is>
          <t>Rec Yds</t>
        </is>
      </c>
      <c r="D116" s="5" t="n">
        <v>17.5</v>
      </c>
      <c r="E116" s="5" t="inlineStr">
        <is>
          <t>More</t>
        </is>
      </c>
      <c r="F116" s="48" t="n">
        <v>0.762</v>
      </c>
      <c r="G116" s="5" t="n">
        <v>37.5</v>
      </c>
      <c r="H116" s="5" t="n">
        <v>-4</v>
      </c>
      <c r="I116" s="5" t="inlineStr">
        <is>
          <t>PIT @ CLE</t>
        </is>
      </c>
    </row>
    <row r="117">
      <c r="A117" s="5" t="inlineStr">
        <is>
          <t>Denzel Boston</t>
        </is>
      </c>
      <c r="B117" s="5" t="inlineStr">
        <is>
          <t>CLE</t>
        </is>
      </c>
      <c r="C117" s="5" t="inlineStr">
        <is>
          <t>Rec Yds</t>
        </is>
      </c>
      <c r="D117" s="5" t="n">
        <v>22.5</v>
      </c>
      <c r="E117" s="5" t="inlineStr">
        <is>
          <t>More</t>
        </is>
      </c>
      <c r="F117" s="48" t="n">
        <v>0.6909999999999999</v>
      </c>
      <c r="G117" s="5" t="n">
        <v>37.5</v>
      </c>
      <c r="H117" s="5" t="n">
        <v>-3</v>
      </c>
      <c r="I117" s="5" t="inlineStr">
        <is>
          <t>PIT @ CLE</t>
        </is>
      </c>
    </row>
    <row r="118">
      <c r="A118" s="5" t="inlineStr">
        <is>
          <t>Denzel Boston</t>
        </is>
      </c>
      <c r="B118" s="5" t="inlineStr">
        <is>
          <t>CLE</t>
        </is>
      </c>
      <c r="C118" s="5" t="inlineStr">
        <is>
          <t>Rec Yds</t>
        </is>
      </c>
      <c r="D118" s="5" t="n">
        <v>27.5</v>
      </c>
      <c r="E118" s="5" t="inlineStr">
        <is>
          <t>More</t>
        </is>
      </c>
      <c r="F118" s="48" t="n">
        <v>0.632</v>
      </c>
      <c r="G118" s="5" t="n">
        <v>37.5</v>
      </c>
      <c r="H118" s="5" t="n">
        <v>-2</v>
      </c>
      <c r="I118" s="5" t="inlineStr">
        <is>
          <t>PIT @ CLE</t>
        </is>
      </c>
    </row>
    <row r="119">
      <c r="A119" s="5" t="inlineStr">
        <is>
          <t>Denzel Boston</t>
        </is>
      </c>
      <c r="B119" s="5" t="inlineStr">
        <is>
          <t>CLE</t>
        </is>
      </c>
      <c r="C119" s="5" t="inlineStr">
        <is>
          <t>Rec Yds</t>
        </is>
      </c>
      <c r="D119" s="5" t="n">
        <v>32.5</v>
      </c>
      <c r="E119" s="5" t="inlineStr">
        <is>
          <t>More</t>
        </is>
      </c>
      <c r="F119" s="48" t="n">
        <v>0.5590000000000001</v>
      </c>
      <c r="G119" s="5" t="n">
        <v>37.5</v>
      </c>
      <c r="H119" s="5" t="n">
        <v>-1</v>
      </c>
      <c r="I119" s="5" t="inlineStr">
        <is>
          <t>PIT @ CLE</t>
        </is>
      </c>
    </row>
    <row r="120">
      <c r="A120" s="5" t="inlineStr">
        <is>
          <t>Denzel Boston</t>
        </is>
      </c>
      <c r="B120" s="5" t="inlineStr">
        <is>
          <t>CLE</t>
        </is>
      </c>
      <c r="C120" s="5" t="inlineStr">
        <is>
          <t>Rec Yds</t>
        </is>
      </c>
      <c r="D120" s="5" t="n">
        <v>37.5</v>
      </c>
      <c r="E120" s="5" t="inlineStr">
        <is>
          <t>Less</t>
        </is>
      </c>
      <c r="F120" s="48" t="n">
        <v>0.509</v>
      </c>
      <c r="G120" s="5" t="n">
        <v>37.5</v>
      </c>
      <c r="H120" s="5" t="n">
        <v>0</v>
      </c>
      <c r="I120" s="5" t="inlineStr">
        <is>
          <t>PIT @ CLE</t>
        </is>
      </c>
    </row>
    <row r="121">
      <c r="A121" s="5" t="inlineStr">
        <is>
          <t>Denzel Boston</t>
        </is>
      </c>
      <c r="B121" s="5" t="inlineStr">
        <is>
          <t>CLE</t>
        </is>
      </c>
      <c r="C121" s="5" t="inlineStr">
        <is>
          <t>Rec Yds</t>
        </is>
      </c>
      <c r="D121" s="5" t="n">
        <v>42.5</v>
      </c>
      <c r="E121" s="5" t="inlineStr">
        <is>
          <t>Less</t>
        </is>
      </c>
      <c r="F121" s="48" t="n">
        <v>0.5600000000000001</v>
      </c>
      <c r="G121" s="5" t="n">
        <v>37.5</v>
      </c>
      <c r="H121" s="5" t="n">
        <v>1</v>
      </c>
      <c r="I121" s="5" t="inlineStr">
        <is>
          <t>PIT @ CLE</t>
        </is>
      </c>
    </row>
    <row r="122">
      <c r="A122" s="5" t="inlineStr">
        <is>
          <t>Denzel Boston</t>
        </is>
      </c>
      <c r="B122" s="5" t="inlineStr">
        <is>
          <t>CLE</t>
        </is>
      </c>
      <c r="C122" s="5" t="inlineStr">
        <is>
          <t>Rec Yds</t>
        </is>
      </c>
      <c r="D122" s="5" t="n">
        <v>47.5</v>
      </c>
      <c r="E122" s="5" t="inlineStr">
        <is>
          <t>Less</t>
        </is>
      </c>
      <c r="F122" s="48" t="n">
        <v>0.626</v>
      </c>
      <c r="G122" s="5" t="n">
        <v>37.5</v>
      </c>
      <c r="H122" s="5" t="n">
        <v>2</v>
      </c>
      <c r="I122" s="5" t="inlineStr">
        <is>
          <t>PIT @ CLE</t>
        </is>
      </c>
    </row>
    <row r="123">
      <c r="A123" s="5" t="inlineStr">
        <is>
          <t>Denzel Boston</t>
        </is>
      </c>
      <c r="B123" s="5" t="inlineStr">
        <is>
          <t>CLE</t>
        </is>
      </c>
      <c r="C123" s="5" t="inlineStr">
        <is>
          <t>Rec Yds</t>
        </is>
      </c>
      <c r="D123" s="5" t="n">
        <v>52.5</v>
      </c>
      <c r="E123" s="5" t="inlineStr">
        <is>
          <t>Less</t>
        </is>
      </c>
      <c r="F123" s="48" t="n">
        <v>0.665</v>
      </c>
      <c r="G123" s="5" t="n">
        <v>37.5</v>
      </c>
      <c r="H123" s="5" t="n">
        <v>3</v>
      </c>
      <c r="I123" s="5" t="inlineStr">
        <is>
          <t>PIT @ CLE</t>
        </is>
      </c>
    </row>
    <row r="124">
      <c r="A124" s="5" t="inlineStr">
        <is>
          <t>Denzel Boston</t>
        </is>
      </c>
      <c r="B124" s="5" t="inlineStr">
        <is>
          <t>CLE</t>
        </is>
      </c>
      <c r="C124" s="5" t="inlineStr">
        <is>
          <t>Rec Yds</t>
        </is>
      </c>
      <c r="D124" s="5" t="n">
        <v>57.5</v>
      </c>
      <c r="E124" s="5" t="inlineStr">
        <is>
          <t>Less</t>
        </is>
      </c>
      <c r="F124" s="48" t="n">
        <v>0.712</v>
      </c>
      <c r="G124" s="5" t="n">
        <v>37.5</v>
      </c>
      <c r="H124" s="5" t="n">
        <v>4</v>
      </c>
      <c r="I124" s="5" t="inlineStr">
        <is>
          <t>PIT @ CLE</t>
        </is>
      </c>
    </row>
    <row r="125">
      <c r="A125" s="5" t="inlineStr">
        <is>
          <t>Denzel Boston</t>
        </is>
      </c>
      <c r="B125" s="5" t="inlineStr">
        <is>
          <t>CLE</t>
        </is>
      </c>
      <c r="C125" s="5" t="inlineStr">
        <is>
          <t>Rec Yds</t>
        </is>
      </c>
      <c r="D125" s="5" t="n">
        <v>62.5</v>
      </c>
      <c r="E125" s="5" t="inlineStr">
        <is>
          <t>Less</t>
        </is>
      </c>
      <c r="F125" s="48" t="n">
        <v>0.757</v>
      </c>
      <c r="G125" s="5" t="n">
        <v>37.5</v>
      </c>
      <c r="H125" s="5" t="n">
        <v>5</v>
      </c>
      <c r="I125" s="5" t="inlineStr">
        <is>
          <t>PIT @ CLE</t>
        </is>
      </c>
    </row>
    <row r="126">
      <c r="A126" s="5" t="inlineStr">
        <is>
          <t>Denzel Boston</t>
        </is>
      </c>
      <c r="B126" s="5" t="inlineStr">
        <is>
          <t>CLE</t>
        </is>
      </c>
      <c r="C126" s="5" t="inlineStr">
        <is>
          <t>Rec Yds</t>
        </is>
      </c>
      <c r="D126" s="5" t="n">
        <v>67.5</v>
      </c>
      <c r="E126" s="5" t="inlineStr">
        <is>
          <t>Less</t>
        </is>
      </c>
      <c r="F126" s="48" t="n">
        <v>0.786</v>
      </c>
      <c r="G126" s="5" t="n">
        <v>37.5</v>
      </c>
      <c r="H126" s="5" t="n">
        <v>6</v>
      </c>
      <c r="I126" s="5" t="inlineStr">
        <is>
          <t>PIT @ CLE</t>
        </is>
      </c>
    </row>
    <row r="127">
      <c r="A127" s="5" t="inlineStr">
        <is>
          <t>Denzel Boston</t>
        </is>
      </c>
      <c r="B127" s="5" t="inlineStr">
        <is>
          <t>CLE</t>
        </is>
      </c>
      <c r="C127" s="5" t="inlineStr">
        <is>
          <t>Rec Yds</t>
        </is>
      </c>
      <c r="D127" s="5" t="n">
        <v>72.5</v>
      </c>
      <c r="E127" s="5" t="inlineStr">
        <is>
          <t>Less</t>
        </is>
      </c>
      <c r="F127" s="48" t="n">
        <v>0.821</v>
      </c>
      <c r="G127" s="5" t="n">
        <v>37.5</v>
      </c>
      <c r="H127" s="5" t="n">
        <v>7</v>
      </c>
      <c r="I127" s="5" t="inlineStr">
        <is>
          <t>PIT @ CLE</t>
        </is>
      </c>
    </row>
    <row r="128">
      <c r="A128" s="5" t="inlineStr">
        <is>
          <t>Denzel Boston</t>
        </is>
      </c>
      <c r="B128" s="5" t="inlineStr">
        <is>
          <t>CLE</t>
        </is>
      </c>
      <c r="C128" s="5" t="inlineStr">
        <is>
          <t>Rec Yds</t>
        </is>
      </c>
      <c r="D128" s="5" t="n">
        <v>77.5</v>
      </c>
      <c r="E128" s="5" t="inlineStr">
        <is>
          <t>Less</t>
        </is>
      </c>
      <c r="F128" s="48" t="n">
        <v>0.846</v>
      </c>
      <c r="G128" s="5" t="n">
        <v>37.5</v>
      </c>
      <c r="H128" s="5" t="n">
        <v>8</v>
      </c>
      <c r="I128" s="5" t="inlineStr">
        <is>
          <t>PIT @ CLE</t>
        </is>
      </c>
    </row>
    <row r="129">
      <c r="A129" s="5" t="inlineStr">
        <is>
          <t>Denzel Boston</t>
        </is>
      </c>
      <c r="B129" s="5" t="inlineStr">
        <is>
          <t>CLE</t>
        </is>
      </c>
      <c r="C129" s="5" t="inlineStr">
        <is>
          <t>Rec Yds</t>
        </is>
      </c>
      <c r="D129" s="5" t="n">
        <v>82.5</v>
      </c>
      <c r="E129" s="5" t="inlineStr">
        <is>
          <t>Less</t>
        </is>
      </c>
      <c r="F129" s="48" t="n">
        <v>0.864</v>
      </c>
      <c r="G129" s="5" t="n">
        <v>37.5</v>
      </c>
      <c r="H129" s="5" t="n">
        <v>9</v>
      </c>
      <c r="I129" s="5" t="inlineStr">
        <is>
          <t>PIT @ CLE</t>
        </is>
      </c>
    </row>
    <row r="130">
      <c r="A130" s="5" t="inlineStr">
        <is>
          <t>Denzel Boston</t>
        </is>
      </c>
      <c r="B130" s="5" t="inlineStr">
        <is>
          <t>CLE</t>
        </is>
      </c>
      <c r="C130" s="5" t="inlineStr">
        <is>
          <t>Rec Yds</t>
        </is>
      </c>
      <c r="D130" s="5" t="n">
        <v>87.5</v>
      </c>
      <c r="E130" s="5" t="inlineStr">
        <is>
          <t>Less</t>
        </is>
      </c>
      <c r="F130" s="48" t="n">
        <v>0.885</v>
      </c>
      <c r="G130" s="5" t="n">
        <v>37.5</v>
      </c>
      <c r="H130" s="5" t="n">
        <v>10</v>
      </c>
      <c r="I130" s="5" t="inlineStr">
        <is>
          <t>PIT @ CLE</t>
        </is>
      </c>
    </row>
    <row r="131">
      <c r="A131" s="5" t="inlineStr">
        <is>
          <t>Denzel Boston</t>
        </is>
      </c>
      <c r="B131" s="5" t="inlineStr">
        <is>
          <t>CLE</t>
        </is>
      </c>
      <c r="C131" s="5" t="inlineStr">
        <is>
          <t>Receptions</t>
        </is>
      </c>
      <c r="D131" s="5" t="n">
        <v>0.5</v>
      </c>
      <c r="E131" s="5" t="inlineStr">
        <is>
          <t>More</t>
        </is>
      </c>
      <c r="F131" s="48" t="n">
        <v>0.914</v>
      </c>
      <c r="G131" s="5" t="n">
        <v>2.5</v>
      </c>
      <c r="H131" s="5" t="n">
        <v>-2</v>
      </c>
      <c r="I131" s="5" t="inlineStr">
        <is>
          <t>PIT @ CLE</t>
        </is>
      </c>
    </row>
    <row r="132">
      <c r="A132" s="5" t="inlineStr">
        <is>
          <t>Denzel Boston</t>
        </is>
      </c>
      <c r="B132" s="5" t="inlineStr">
        <is>
          <t>CLE</t>
        </is>
      </c>
      <c r="C132" s="5" t="inlineStr">
        <is>
          <t>Receptions</t>
        </is>
      </c>
      <c r="D132" s="5" t="n">
        <v>1.5</v>
      </c>
      <c r="E132" s="5" t="inlineStr">
        <is>
          <t>More</t>
        </is>
      </c>
      <c r="F132" s="48" t="n">
        <v>0.756</v>
      </c>
      <c r="G132" s="5" t="n">
        <v>2.5</v>
      </c>
      <c r="H132" s="5" t="n">
        <v>-1</v>
      </c>
      <c r="I132" s="5" t="inlineStr">
        <is>
          <t>PIT @ CLE</t>
        </is>
      </c>
    </row>
    <row r="133">
      <c r="A133" s="5" t="inlineStr">
        <is>
          <t>Denzel Boston</t>
        </is>
      </c>
      <c r="B133" s="5" t="inlineStr">
        <is>
          <t>CLE</t>
        </is>
      </c>
      <c r="C133" s="5" t="inlineStr">
        <is>
          <t>Receptions</t>
        </is>
      </c>
      <c r="D133" s="5" t="n">
        <v>2.5</v>
      </c>
      <c r="E133" s="5" t="inlineStr">
        <is>
          <t>More</t>
        </is>
      </c>
      <c r="F133" s="48" t="n">
        <v>0.57</v>
      </c>
      <c r="G133" s="5" t="n">
        <v>2.5</v>
      </c>
      <c r="H133" s="5" t="n">
        <v>0</v>
      </c>
      <c r="I133" s="5" t="inlineStr">
        <is>
          <t>PIT @ CLE</t>
        </is>
      </c>
    </row>
    <row r="134">
      <c r="A134" s="5" t="inlineStr">
        <is>
          <t>Denzel Boston</t>
        </is>
      </c>
      <c r="B134" s="5" t="inlineStr">
        <is>
          <t>CLE</t>
        </is>
      </c>
      <c r="C134" s="5" t="inlineStr">
        <is>
          <t>Receptions</t>
        </is>
      </c>
      <c r="D134" s="5" t="n">
        <v>3.5</v>
      </c>
      <c r="E134" s="5" t="inlineStr">
        <is>
          <t>Less</t>
        </is>
      </c>
      <c r="F134" s="48" t="n">
        <v>0.607</v>
      </c>
      <c r="G134" s="5" t="n">
        <v>2.5</v>
      </c>
      <c r="H134" s="5" t="n">
        <v>1</v>
      </c>
      <c r="I134" s="5" t="inlineStr">
        <is>
          <t>PIT @ CLE</t>
        </is>
      </c>
    </row>
    <row r="135">
      <c r="A135" s="5" t="inlineStr">
        <is>
          <t>Denzel Boston</t>
        </is>
      </c>
      <c r="B135" s="5" t="inlineStr">
        <is>
          <t>CLE</t>
        </is>
      </c>
      <c r="C135" s="5" t="inlineStr">
        <is>
          <t>Receptions</t>
        </is>
      </c>
      <c r="D135" s="5" t="n">
        <v>4.5</v>
      </c>
      <c r="E135" s="5" t="inlineStr">
        <is>
          <t>Less</t>
        </is>
      </c>
      <c r="F135" s="48" t="n">
        <v>0.749</v>
      </c>
      <c r="G135" s="5" t="n">
        <v>2.5</v>
      </c>
      <c r="H135" s="5" t="n">
        <v>2</v>
      </c>
      <c r="I135" s="5" t="inlineStr">
        <is>
          <t>PIT @ CLE</t>
        </is>
      </c>
    </row>
    <row r="136">
      <c r="A136" s="5" t="inlineStr">
        <is>
          <t>Denzel Boston</t>
        </is>
      </c>
      <c r="B136" s="5" t="inlineStr">
        <is>
          <t>CLE</t>
        </is>
      </c>
      <c r="C136" s="5" t="inlineStr">
        <is>
          <t>Receptions</t>
        </is>
      </c>
      <c r="D136" s="5" t="n">
        <v>5.5</v>
      </c>
      <c r="E136" s="5" t="inlineStr">
        <is>
          <t>Less</t>
        </is>
      </c>
      <c r="F136" s="48" t="n">
        <v>0.86</v>
      </c>
      <c r="G136" s="5" t="n">
        <v>2.5</v>
      </c>
      <c r="H136" s="5" t="n">
        <v>3</v>
      </c>
      <c r="I136" s="5" t="inlineStr">
        <is>
          <t>PIT @ CLE</t>
        </is>
      </c>
    </row>
    <row r="137">
      <c r="A137" s="5" t="inlineStr">
        <is>
          <t>Denzel Boston</t>
        </is>
      </c>
      <c r="B137" s="5" t="inlineStr">
        <is>
          <t>CLE</t>
        </is>
      </c>
      <c r="C137" s="5" t="inlineStr">
        <is>
          <t>Receptions</t>
        </is>
      </c>
      <c r="D137" s="5" t="n">
        <v>6.5</v>
      </c>
      <c r="E137" s="5" t="inlineStr">
        <is>
          <t>Less</t>
        </is>
      </c>
      <c r="F137" s="48" t="n">
        <v>0.925</v>
      </c>
      <c r="G137" s="5" t="n">
        <v>2.5</v>
      </c>
      <c r="H137" s="5" t="n">
        <v>4</v>
      </c>
      <c r="I137" s="5" t="inlineStr">
        <is>
          <t>PIT @ CLE</t>
        </is>
      </c>
    </row>
    <row r="138">
      <c r="A138" s="5" t="inlineStr">
        <is>
          <t>Denzel Boston</t>
        </is>
      </c>
      <c r="B138" s="5" t="inlineStr">
        <is>
          <t>CLE</t>
        </is>
      </c>
      <c r="C138" s="5" t="inlineStr">
        <is>
          <t>Receptions</t>
        </is>
      </c>
      <c r="D138" s="5" t="n">
        <v>7.5</v>
      </c>
      <c r="E138" s="5" t="inlineStr">
        <is>
          <t>Less</t>
        </is>
      </c>
      <c r="F138" s="48" t="n">
        <v>0.964</v>
      </c>
      <c r="G138" s="5" t="n">
        <v>2.5</v>
      </c>
      <c r="H138" s="5" t="n">
        <v>5</v>
      </c>
      <c r="I138" s="5" t="inlineStr">
        <is>
          <t>PIT @ CLE</t>
        </is>
      </c>
    </row>
    <row r="139">
      <c r="A139" s="5" t="inlineStr">
        <is>
          <t>Denzel Boston</t>
        </is>
      </c>
      <c r="B139" s="5" t="inlineStr">
        <is>
          <t>CLE</t>
        </is>
      </c>
      <c r="C139" s="5" t="inlineStr">
        <is>
          <t>Rush+Rec Yds</t>
        </is>
      </c>
      <c r="D139" s="5" t="n">
        <v>6.5</v>
      </c>
      <c r="E139" s="5" t="inlineStr">
        <is>
          <t>More</t>
        </is>
      </c>
      <c r="F139" s="48" t="n">
        <v>0.9320000000000001</v>
      </c>
      <c r="G139" s="5" t="n">
        <v>36.5</v>
      </c>
      <c r="H139" s="5" t="n">
        <v>-6</v>
      </c>
      <c r="I139" s="5" t="inlineStr">
        <is>
          <t>PIT @ CLE</t>
        </is>
      </c>
    </row>
    <row r="140">
      <c r="A140" s="5" t="inlineStr">
        <is>
          <t>Denzel Boston</t>
        </is>
      </c>
      <c r="B140" s="5" t="inlineStr">
        <is>
          <t>CLE</t>
        </is>
      </c>
      <c r="C140" s="5" t="inlineStr">
        <is>
          <t>Rush+Rec Yds</t>
        </is>
      </c>
      <c r="D140" s="5" t="n">
        <v>11.5</v>
      </c>
      <c r="E140" s="5" t="inlineStr">
        <is>
          <t>More</t>
        </is>
      </c>
      <c r="F140" s="48" t="n">
        <v>0.872</v>
      </c>
      <c r="G140" s="5" t="n">
        <v>36.5</v>
      </c>
      <c r="H140" s="5" t="n">
        <v>-5</v>
      </c>
      <c r="I140" s="5" t="inlineStr">
        <is>
          <t>PIT @ CLE</t>
        </is>
      </c>
    </row>
    <row r="141">
      <c r="A141" s="5" t="inlineStr">
        <is>
          <t>Denzel Boston</t>
        </is>
      </c>
      <c r="B141" s="5" t="inlineStr">
        <is>
          <t>CLE</t>
        </is>
      </c>
      <c r="C141" s="5" t="inlineStr">
        <is>
          <t>Rush+Rec Yds</t>
        </is>
      </c>
      <c r="D141" s="5" t="n">
        <v>16.5</v>
      </c>
      <c r="E141" s="5" t="inlineStr">
        <is>
          <t>More</t>
        </is>
      </c>
      <c r="F141" s="48" t="n">
        <v>0.802</v>
      </c>
      <c r="G141" s="5" t="n">
        <v>36.5</v>
      </c>
      <c r="H141" s="5" t="n">
        <v>-4</v>
      </c>
      <c r="I141" s="5" t="inlineStr">
        <is>
          <t>PIT @ CLE</t>
        </is>
      </c>
    </row>
    <row r="142">
      <c r="A142" s="5" t="inlineStr">
        <is>
          <t>Denzel Boston</t>
        </is>
      </c>
      <c r="B142" s="5" t="inlineStr">
        <is>
          <t>CLE</t>
        </is>
      </c>
      <c r="C142" s="5" t="inlineStr">
        <is>
          <t>Rush+Rec Yds</t>
        </is>
      </c>
      <c r="D142" s="5" t="n">
        <v>21.5</v>
      </c>
      <c r="E142" s="5" t="inlineStr">
        <is>
          <t>More</t>
        </is>
      </c>
      <c r="F142" s="48" t="n">
        <v>0.731</v>
      </c>
      <c r="G142" s="5" t="n">
        <v>36.5</v>
      </c>
      <c r="H142" s="5" t="n">
        <v>-3</v>
      </c>
      <c r="I142" s="5" t="inlineStr">
        <is>
          <t>PIT @ CLE</t>
        </is>
      </c>
    </row>
    <row r="143">
      <c r="A143" s="5" t="inlineStr">
        <is>
          <t>Denzel Boston</t>
        </is>
      </c>
      <c r="B143" s="5" t="inlineStr">
        <is>
          <t>CLE</t>
        </is>
      </c>
      <c r="C143" s="5" t="inlineStr">
        <is>
          <t>Rush+Rec Yds</t>
        </is>
      </c>
      <c r="D143" s="5" t="n">
        <v>26.5</v>
      </c>
      <c r="E143" s="5" t="inlineStr">
        <is>
          <t>More</t>
        </is>
      </c>
      <c r="F143" s="48" t="n">
        <v>0.652</v>
      </c>
      <c r="G143" s="5" t="n">
        <v>36.5</v>
      </c>
      <c r="H143" s="5" t="n">
        <v>-2</v>
      </c>
      <c r="I143" s="5" t="inlineStr">
        <is>
          <t>PIT @ CLE</t>
        </is>
      </c>
    </row>
    <row r="144">
      <c r="A144" s="5" t="inlineStr">
        <is>
          <t>Denzel Boston</t>
        </is>
      </c>
      <c r="B144" s="5" t="inlineStr">
        <is>
          <t>CLE</t>
        </is>
      </c>
      <c r="C144" s="5" t="inlineStr">
        <is>
          <t>Rush+Rec Yds</t>
        </is>
      </c>
      <c r="D144" s="5" t="n">
        <v>31.5</v>
      </c>
      <c r="E144" s="5" t="inlineStr">
        <is>
          <t>More</t>
        </is>
      </c>
      <c r="F144" s="48" t="n">
        <v>0.577</v>
      </c>
      <c r="G144" s="5" t="n">
        <v>36.5</v>
      </c>
      <c r="H144" s="5" t="n">
        <v>-1</v>
      </c>
      <c r="I144" s="5" t="inlineStr">
        <is>
          <t>PIT @ CLE</t>
        </is>
      </c>
    </row>
    <row r="145">
      <c r="A145" s="5" t="inlineStr">
        <is>
          <t>Denzel Boston</t>
        </is>
      </c>
      <c r="B145" s="5" t="inlineStr">
        <is>
          <t>CLE</t>
        </is>
      </c>
      <c r="C145" s="5" t="inlineStr">
        <is>
          <t>Rush+Rec Yds</t>
        </is>
      </c>
      <c r="D145" s="5" t="n">
        <v>36.5</v>
      </c>
      <c r="E145" s="5" t="inlineStr">
        <is>
          <t>Less</t>
        </is>
      </c>
      <c r="F145" s="48" t="n">
        <v>0.5</v>
      </c>
      <c r="G145" s="5" t="n">
        <v>36.5</v>
      </c>
      <c r="H145" s="5" t="n">
        <v>0</v>
      </c>
      <c r="I145" s="5" t="inlineStr">
        <is>
          <t>PIT @ CLE</t>
        </is>
      </c>
    </row>
    <row r="146">
      <c r="A146" s="5" t="inlineStr">
        <is>
          <t>Denzel Boston</t>
        </is>
      </c>
      <c r="B146" s="5" t="inlineStr">
        <is>
          <t>CLE</t>
        </is>
      </c>
      <c r="C146" s="5" t="inlineStr">
        <is>
          <t>Rush+Rec Yds</t>
        </is>
      </c>
      <c r="D146" s="5" t="n">
        <v>41.5</v>
      </c>
      <c r="E146" s="5" t="inlineStr">
        <is>
          <t>Less</t>
        </is>
      </c>
      <c r="F146" s="48" t="n">
        <v>0.569</v>
      </c>
      <c r="G146" s="5" t="n">
        <v>36.5</v>
      </c>
      <c r="H146" s="5" t="n">
        <v>1</v>
      </c>
      <c r="I146" s="5" t="inlineStr">
        <is>
          <t>PIT @ CLE</t>
        </is>
      </c>
    </row>
    <row r="147">
      <c r="A147" s="5" t="inlineStr">
        <is>
          <t>Denzel Boston</t>
        </is>
      </c>
      <c r="B147" s="5" t="inlineStr">
        <is>
          <t>CLE</t>
        </is>
      </c>
      <c r="C147" s="5" t="inlineStr">
        <is>
          <t>Rush+Rec Yds</t>
        </is>
      </c>
      <c r="D147" s="5" t="n">
        <v>46.5</v>
      </c>
      <c r="E147" s="5" t="inlineStr">
        <is>
          <t>Less</t>
        </is>
      </c>
      <c r="F147" s="48" t="n">
        <v>0.632</v>
      </c>
      <c r="G147" s="5" t="n">
        <v>36.5</v>
      </c>
      <c r="H147" s="5" t="n">
        <v>2</v>
      </c>
      <c r="I147" s="5" t="inlineStr">
        <is>
          <t>PIT @ CLE</t>
        </is>
      </c>
    </row>
    <row r="148">
      <c r="A148" s="5" t="inlineStr">
        <is>
          <t>Denzel Boston</t>
        </is>
      </c>
      <c r="B148" s="5" t="inlineStr">
        <is>
          <t>CLE</t>
        </is>
      </c>
      <c r="C148" s="5" t="inlineStr">
        <is>
          <t>Rush+Rec Yds</t>
        </is>
      </c>
      <c r="D148" s="5" t="n">
        <v>51.5</v>
      </c>
      <c r="E148" s="5" t="inlineStr">
        <is>
          <t>Less</t>
        </is>
      </c>
      <c r="F148" s="48" t="n">
        <v>0.6860000000000001</v>
      </c>
      <c r="G148" s="5" t="n">
        <v>36.5</v>
      </c>
      <c r="H148" s="5" t="n">
        <v>3</v>
      </c>
      <c r="I148" s="5" t="inlineStr">
        <is>
          <t>PIT @ CLE</t>
        </is>
      </c>
    </row>
    <row r="149">
      <c r="A149" s="5" t="inlineStr">
        <is>
          <t>Denzel Boston</t>
        </is>
      </c>
      <c r="B149" s="5" t="inlineStr">
        <is>
          <t>CLE</t>
        </is>
      </c>
      <c r="C149" s="5" t="inlineStr">
        <is>
          <t>Rush+Rec Yds</t>
        </is>
      </c>
      <c r="D149" s="5" t="n">
        <v>56.5</v>
      </c>
      <c r="E149" s="5" t="inlineStr">
        <is>
          <t>Less</t>
        </is>
      </c>
      <c r="F149" s="48" t="n">
        <v>0.739</v>
      </c>
      <c r="G149" s="5" t="n">
        <v>36.5</v>
      </c>
      <c r="H149" s="5" t="n">
        <v>4</v>
      </c>
      <c r="I149" s="5" t="inlineStr">
        <is>
          <t>PIT @ CLE</t>
        </is>
      </c>
    </row>
    <row r="150">
      <c r="A150" s="5" t="inlineStr">
        <is>
          <t>Denzel Boston</t>
        </is>
      </c>
      <c r="B150" s="5" t="inlineStr">
        <is>
          <t>CLE</t>
        </is>
      </c>
      <c r="C150" s="5" t="inlineStr">
        <is>
          <t>Rush+Rec Yds</t>
        </is>
      </c>
      <c r="D150" s="5" t="n">
        <v>61.5</v>
      </c>
      <c r="E150" s="5" t="inlineStr">
        <is>
          <t>Less</t>
        </is>
      </c>
      <c r="F150" s="48" t="n">
        <v>0.78</v>
      </c>
      <c r="G150" s="5" t="n">
        <v>36.5</v>
      </c>
      <c r="H150" s="5" t="n">
        <v>5</v>
      </c>
      <c r="I150" s="5" t="inlineStr">
        <is>
          <t>PIT @ CLE</t>
        </is>
      </c>
    </row>
    <row r="151">
      <c r="A151" s="5" t="inlineStr">
        <is>
          <t>Denzel Boston</t>
        </is>
      </c>
      <c r="B151" s="5" t="inlineStr">
        <is>
          <t>CLE</t>
        </is>
      </c>
      <c r="C151" s="5" t="inlineStr">
        <is>
          <t>Rush+Rec Yds</t>
        </is>
      </c>
      <c r="D151" s="5" t="n">
        <v>66.5</v>
      </c>
      <c r="E151" s="5" t="inlineStr">
        <is>
          <t>Less</t>
        </is>
      </c>
      <c r="F151" s="48" t="n">
        <v>0.819</v>
      </c>
      <c r="G151" s="5" t="n">
        <v>36.5</v>
      </c>
      <c r="H151" s="5" t="n">
        <v>6</v>
      </c>
      <c r="I151" s="5" t="inlineStr">
        <is>
          <t>PIT @ CLE</t>
        </is>
      </c>
    </row>
    <row r="152">
      <c r="A152" s="5" t="inlineStr">
        <is>
          <t>Denzel Boston</t>
        </is>
      </c>
      <c r="B152" s="5" t="inlineStr">
        <is>
          <t>CLE</t>
        </is>
      </c>
      <c r="C152" s="5" t="inlineStr">
        <is>
          <t>Rush+Rec Yds</t>
        </is>
      </c>
      <c r="D152" s="5" t="n">
        <v>71.5</v>
      </c>
      <c r="E152" s="5" t="inlineStr">
        <is>
          <t>Less</t>
        </is>
      </c>
      <c r="F152" s="48" t="n">
        <v>0.847</v>
      </c>
      <c r="G152" s="5" t="n">
        <v>36.5</v>
      </c>
      <c r="H152" s="5" t="n">
        <v>7</v>
      </c>
      <c r="I152" s="5" t="inlineStr">
        <is>
          <t>PIT @ CLE</t>
        </is>
      </c>
    </row>
    <row r="153">
      <c r="A153" s="5" t="inlineStr">
        <is>
          <t>Denzel Boston</t>
        </is>
      </c>
      <c r="B153" s="5" t="inlineStr">
        <is>
          <t>CLE</t>
        </is>
      </c>
      <c r="C153" s="5" t="inlineStr">
        <is>
          <t>Rush+Rec Yds</t>
        </is>
      </c>
      <c r="D153" s="5" t="n">
        <v>76.5</v>
      </c>
      <c r="E153" s="5" t="inlineStr">
        <is>
          <t>Less</t>
        </is>
      </c>
      <c r="F153" s="48" t="n">
        <v>0.871</v>
      </c>
      <c r="G153" s="5" t="n">
        <v>36.5</v>
      </c>
      <c r="H153" s="5" t="n">
        <v>8</v>
      </c>
      <c r="I153" s="5" t="inlineStr">
        <is>
          <t>PIT @ CLE</t>
        </is>
      </c>
    </row>
    <row r="154">
      <c r="A154" s="5" t="inlineStr">
        <is>
          <t>Denzel Boston</t>
        </is>
      </c>
      <c r="B154" s="5" t="inlineStr">
        <is>
          <t>CLE</t>
        </is>
      </c>
      <c r="C154" s="5" t="inlineStr">
        <is>
          <t>Rush+Rec Yds</t>
        </is>
      </c>
      <c r="D154" s="5" t="n">
        <v>81.5</v>
      </c>
      <c r="E154" s="5" t="inlineStr">
        <is>
          <t>Less</t>
        </is>
      </c>
      <c r="F154" s="48" t="n">
        <v>0.896</v>
      </c>
      <c r="G154" s="5" t="n">
        <v>36.5</v>
      </c>
      <c r="H154" s="5" t="n">
        <v>9</v>
      </c>
      <c r="I154" s="5" t="inlineStr">
        <is>
          <t>PIT @ CLE</t>
        </is>
      </c>
    </row>
    <row r="155">
      <c r="A155" s="5" t="inlineStr">
        <is>
          <t>Denzel Boston</t>
        </is>
      </c>
      <c r="B155" s="5" t="inlineStr">
        <is>
          <t>CLE</t>
        </is>
      </c>
      <c r="C155" s="5" t="inlineStr">
        <is>
          <t>Rush+Rec Yds</t>
        </is>
      </c>
      <c r="D155" s="5" t="n">
        <v>86.5</v>
      </c>
      <c r="E155" s="5" t="inlineStr">
        <is>
          <t>Less</t>
        </is>
      </c>
      <c r="F155" s="48" t="n">
        <v>0.916</v>
      </c>
      <c r="G155" s="5" t="n">
        <v>36.5</v>
      </c>
      <c r="H155" s="5" t="n">
        <v>10</v>
      </c>
      <c r="I155" s="5" t="inlineStr">
        <is>
          <t>PIT @ CLE</t>
        </is>
      </c>
    </row>
    <row r="156">
      <c r="A156" s="5" t="inlineStr">
        <is>
          <t>Deshaun Watson</t>
        </is>
      </c>
      <c r="B156" s="5" t="inlineStr">
        <is>
          <t>CLE</t>
        </is>
      </c>
      <c r="C156" s="5" t="inlineStr">
        <is>
          <t>Anytime TDs</t>
        </is>
      </c>
      <c r="D156" s="5" t="n">
        <v>0.5</v>
      </c>
      <c r="E156" s="5" t="inlineStr">
        <is>
          <t>Less</t>
        </is>
      </c>
      <c r="F156" s="48" t="n">
        <v>0.8129999999999999</v>
      </c>
      <c r="G156" s="5" t="n">
        <v>0.5</v>
      </c>
      <c r="H156" s="5" t="n">
        <v>0</v>
      </c>
      <c r="I156" s="5" t="inlineStr">
        <is>
          <t>PIT @ CLE</t>
        </is>
      </c>
    </row>
    <row r="157">
      <c r="A157" s="5" t="inlineStr">
        <is>
          <t>Deshaun Watson</t>
        </is>
      </c>
      <c r="B157" s="5" t="inlineStr">
        <is>
          <t>CLE</t>
        </is>
      </c>
      <c r="C157" s="5" t="inlineStr">
        <is>
          <t>Pass TDs</t>
        </is>
      </c>
      <c r="D157" s="5" t="n">
        <v>0.5</v>
      </c>
      <c r="E157" s="5" t="inlineStr">
        <is>
          <t>More</t>
        </is>
      </c>
      <c r="F157" s="48" t="n">
        <v>0.646</v>
      </c>
      <c r="G157" s="5" t="n">
        <v>0.5</v>
      </c>
      <c r="H157" s="5" t="n">
        <v>0</v>
      </c>
      <c r="I157" s="5" t="inlineStr">
        <is>
          <t>PIT @ CLE</t>
        </is>
      </c>
    </row>
    <row r="158">
      <c r="A158" s="5" t="inlineStr">
        <is>
          <t>Deshaun Watson</t>
        </is>
      </c>
      <c r="B158" s="5" t="inlineStr">
        <is>
          <t>CLE</t>
        </is>
      </c>
      <c r="C158" s="5" t="inlineStr">
        <is>
          <t>Pass TDs</t>
        </is>
      </c>
      <c r="D158" s="5" t="n">
        <v>1.5</v>
      </c>
      <c r="E158" s="5" t="inlineStr">
        <is>
          <t>Less</t>
        </is>
      </c>
      <c r="F158" s="48" t="n">
        <v>0.698</v>
      </c>
      <c r="G158" s="5" t="n">
        <v>0.5</v>
      </c>
      <c r="H158" s="5" t="n">
        <v>1</v>
      </c>
      <c r="I158" s="5" t="inlineStr">
        <is>
          <t>PIT @ CLE</t>
        </is>
      </c>
    </row>
    <row r="159">
      <c r="A159" s="5" t="inlineStr">
        <is>
          <t>Deshaun Watson</t>
        </is>
      </c>
      <c r="B159" s="5" t="inlineStr">
        <is>
          <t>CLE</t>
        </is>
      </c>
      <c r="C159" s="5" t="inlineStr">
        <is>
          <t>Pass TDs</t>
        </is>
      </c>
      <c r="D159" s="5" t="n">
        <v>2.5</v>
      </c>
      <c r="E159" s="5" t="inlineStr">
        <is>
          <t>Less</t>
        </is>
      </c>
      <c r="F159" s="48" t="n">
        <v>0.886</v>
      </c>
      <c r="G159" s="5" t="n">
        <v>0.5</v>
      </c>
      <c r="H159" s="5" t="n">
        <v>2</v>
      </c>
      <c r="I159" s="5" t="inlineStr">
        <is>
          <t>PIT @ CLE</t>
        </is>
      </c>
    </row>
    <row r="160">
      <c r="A160" s="5" t="inlineStr">
        <is>
          <t>Deshaun Watson</t>
        </is>
      </c>
      <c r="B160" s="5" t="inlineStr">
        <is>
          <t>CLE</t>
        </is>
      </c>
      <c r="C160" s="5" t="inlineStr">
        <is>
          <t>Pass TDs</t>
        </is>
      </c>
      <c r="D160" s="5" t="n">
        <v>3.5</v>
      </c>
      <c r="E160" s="5" t="inlineStr">
        <is>
          <t>Less</t>
        </is>
      </c>
      <c r="F160" s="48" t="n">
        <v>0.962</v>
      </c>
      <c r="G160" s="5" t="n">
        <v>0.5</v>
      </c>
      <c r="H160" s="5" t="n">
        <v>3</v>
      </c>
      <c r="I160" s="5" t="inlineStr">
        <is>
          <t>PIT @ CLE</t>
        </is>
      </c>
    </row>
    <row r="161">
      <c r="A161" s="5" t="inlineStr">
        <is>
          <t>Deshaun Watson</t>
        </is>
      </c>
      <c r="B161" s="5" t="inlineStr">
        <is>
          <t>CLE</t>
        </is>
      </c>
      <c r="C161" s="5" t="inlineStr">
        <is>
          <t>Pass Yds</t>
        </is>
      </c>
      <c r="D161" s="5" t="n">
        <v>87.5</v>
      </c>
      <c r="E161" s="5" t="inlineStr">
        <is>
          <t>More</t>
        </is>
      </c>
      <c r="F161" s="48" t="n">
        <v>0.956</v>
      </c>
      <c r="G161" s="5" t="n">
        <v>187.5</v>
      </c>
      <c r="H161" s="5" t="n">
        <v>-10</v>
      </c>
      <c r="I161" s="5" t="inlineStr">
        <is>
          <t>PIT @ CLE</t>
        </is>
      </c>
    </row>
    <row r="162">
      <c r="A162" s="5" t="inlineStr">
        <is>
          <t>Deshaun Watson</t>
        </is>
      </c>
      <c r="B162" s="5" t="inlineStr">
        <is>
          <t>CLE</t>
        </is>
      </c>
      <c r="C162" s="5" t="inlineStr">
        <is>
          <t>Pass Yds</t>
        </is>
      </c>
      <c r="D162" s="5" t="n">
        <v>97.5</v>
      </c>
      <c r="E162" s="5" t="inlineStr">
        <is>
          <t>More</t>
        </is>
      </c>
      <c r="F162" s="48" t="n">
        <v>0.9360000000000001</v>
      </c>
      <c r="G162" s="5" t="n">
        <v>187.5</v>
      </c>
      <c r="H162" s="5" t="n">
        <v>-9</v>
      </c>
      <c r="I162" s="5" t="inlineStr">
        <is>
          <t>PIT @ CLE</t>
        </is>
      </c>
    </row>
    <row r="163">
      <c r="A163" s="5" t="inlineStr">
        <is>
          <t>Deshaun Watson</t>
        </is>
      </c>
      <c r="B163" s="5" t="inlineStr">
        <is>
          <t>CLE</t>
        </is>
      </c>
      <c r="C163" s="5" t="inlineStr">
        <is>
          <t>Pass Yds</t>
        </is>
      </c>
      <c r="D163" s="5" t="n">
        <v>107.5</v>
      </c>
      <c r="E163" s="5" t="inlineStr">
        <is>
          <t>More</t>
        </is>
      </c>
      <c r="F163" s="48" t="n">
        <v>0.909</v>
      </c>
      <c r="G163" s="5" t="n">
        <v>187.5</v>
      </c>
      <c r="H163" s="5" t="n">
        <v>-8</v>
      </c>
      <c r="I163" s="5" t="inlineStr">
        <is>
          <t>PIT @ CLE</t>
        </is>
      </c>
    </row>
    <row r="164">
      <c r="A164" s="5" t="inlineStr">
        <is>
          <t>Deshaun Watson</t>
        </is>
      </c>
      <c r="B164" s="5" t="inlineStr">
        <is>
          <t>CLE</t>
        </is>
      </c>
      <c r="C164" s="5" t="inlineStr">
        <is>
          <t>Pass Yds</t>
        </is>
      </c>
      <c r="D164" s="5" t="n">
        <v>117.5</v>
      </c>
      <c r="E164" s="5" t="inlineStr">
        <is>
          <t>More</t>
        </is>
      </c>
      <c r="F164" s="48" t="n">
        <v>0.876</v>
      </c>
      <c r="G164" s="5" t="n">
        <v>187.5</v>
      </c>
      <c r="H164" s="5" t="n">
        <v>-7</v>
      </c>
      <c r="I164" s="5" t="inlineStr">
        <is>
          <t>PIT @ CLE</t>
        </is>
      </c>
    </row>
    <row r="165">
      <c r="A165" s="5" t="inlineStr">
        <is>
          <t>Deshaun Watson</t>
        </is>
      </c>
      <c r="B165" s="5" t="inlineStr">
        <is>
          <t>CLE</t>
        </is>
      </c>
      <c r="C165" s="5" t="inlineStr">
        <is>
          <t>Pass Yds</t>
        </is>
      </c>
      <c r="D165" s="5" t="n">
        <v>127.5</v>
      </c>
      <c r="E165" s="5" t="inlineStr">
        <is>
          <t>More</t>
        </is>
      </c>
      <c r="F165" s="48" t="n">
        <v>0.835</v>
      </c>
      <c r="G165" s="5" t="n">
        <v>187.5</v>
      </c>
      <c r="H165" s="5" t="n">
        <v>-6</v>
      </c>
      <c r="I165" s="5" t="inlineStr">
        <is>
          <t>PIT @ CLE</t>
        </is>
      </c>
    </row>
    <row r="166">
      <c r="A166" s="5" t="inlineStr">
        <is>
          <t>Deshaun Watson</t>
        </is>
      </c>
      <c r="B166" s="5" t="inlineStr">
        <is>
          <t>CLE</t>
        </is>
      </c>
      <c r="C166" s="5" t="inlineStr">
        <is>
          <t>Pass Yds</t>
        </is>
      </c>
      <c r="D166" s="5" t="n">
        <v>137.5</v>
      </c>
      <c r="E166" s="5" t="inlineStr">
        <is>
          <t>More</t>
        </is>
      </c>
      <c r="F166" s="48" t="n">
        <v>0.788</v>
      </c>
      <c r="G166" s="5" t="n">
        <v>187.5</v>
      </c>
      <c r="H166" s="5" t="n">
        <v>-5</v>
      </c>
      <c r="I166" s="5" t="inlineStr">
        <is>
          <t>PIT @ CLE</t>
        </is>
      </c>
    </row>
    <row r="167">
      <c r="A167" s="5" t="inlineStr">
        <is>
          <t>Deshaun Watson</t>
        </is>
      </c>
      <c r="B167" s="5" t="inlineStr">
        <is>
          <t>CLE</t>
        </is>
      </c>
      <c r="C167" s="5" t="inlineStr">
        <is>
          <t>Pass Yds</t>
        </is>
      </c>
      <c r="D167" s="5" t="n">
        <v>147.5</v>
      </c>
      <c r="E167" s="5" t="inlineStr">
        <is>
          <t>More</t>
        </is>
      </c>
      <c r="F167" s="48" t="n">
        <v>0.741</v>
      </c>
      <c r="G167" s="5" t="n">
        <v>187.5</v>
      </c>
      <c r="H167" s="5" t="n">
        <v>-4</v>
      </c>
      <c r="I167" s="5" t="inlineStr">
        <is>
          <t>PIT @ CLE</t>
        </is>
      </c>
    </row>
    <row r="168">
      <c r="A168" s="5" t="inlineStr">
        <is>
          <t>Deshaun Watson</t>
        </is>
      </c>
      <c r="B168" s="5" t="inlineStr">
        <is>
          <t>CLE</t>
        </is>
      </c>
      <c r="C168" s="5" t="inlineStr">
        <is>
          <t>Pass Yds</t>
        </is>
      </c>
      <c r="D168" s="5" t="n">
        <v>157.5</v>
      </c>
      <c r="E168" s="5" t="inlineStr">
        <is>
          <t>More</t>
        </is>
      </c>
      <c r="F168" s="48" t="n">
        <v>0.6830000000000001</v>
      </c>
      <c r="G168" s="5" t="n">
        <v>187.5</v>
      </c>
      <c r="H168" s="5" t="n">
        <v>-3</v>
      </c>
      <c r="I168" s="5" t="inlineStr">
        <is>
          <t>PIT @ CLE</t>
        </is>
      </c>
    </row>
    <row r="169">
      <c r="A169" s="5" t="inlineStr">
        <is>
          <t>Deshaun Watson</t>
        </is>
      </c>
      <c r="B169" s="5" t="inlineStr">
        <is>
          <t>CLE</t>
        </is>
      </c>
      <c r="C169" s="5" t="inlineStr">
        <is>
          <t>Pass Yds</t>
        </is>
      </c>
      <c r="D169" s="5" t="n">
        <v>167.5</v>
      </c>
      <c r="E169" s="5" t="inlineStr">
        <is>
          <t>More</t>
        </is>
      </c>
      <c r="F169" s="48" t="n">
        <v>0.626</v>
      </c>
      <c r="G169" s="5" t="n">
        <v>187.5</v>
      </c>
      <c r="H169" s="5" t="n">
        <v>-2</v>
      </c>
      <c r="I169" s="5" t="inlineStr">
        <is>
          <t>PIT @ CLE</t>
        </is>
      </c>
    </row>
    <row r="170">
      <c r="A170" s="5" t="inlineStr">
        <is>
          <t>Deshaun Watson</t>
        </is>
      </c>
      <c r="B170" s="5" t="inlineStr">
        <is>
          <t>CLE</t>
        </is>
      </c>
      <c r="C170" s="5" t="inlineStr">
        <is>
          <t>Pass Yds</t>
        </is>
      </c>
      <c r="D170" s="5" t="n">
        <v>177.5</v>
      </c>
      <c r="E170" s="5" t="inlineStr">
        <is>
          <t>More</t>
        </is>
      </c>
      <c r="F170" s="48" t="n">
        <v>0.5620000000000001</v>
      </c>
      <c r="G170" s="5" t="n">
        <v>187.5</v>
      </c>
      <c r="H170" s="5" t="n">
        <v>-1</v>
      </c>
      <c r="I170" s="5" t="inlineStr">
        <is>
          <t>PIT @ CLE</t>
        </is>
      </c>
    </row>
    <row r="171">
      <c r="A171" s="5" t="inlineStr">
        <is>
          <t>Deshaun Watson</t>
        </is>
      </c>
      <c r="B171" s="5" t="inlineStr">
        <is>
          <t>CLE</t>
        </is>
      </c>
      <c r="C171" s="5" t="inlineStr">
        <is>
          <t>Pass Yds</t>
        </is>
      </c>
      <c r="D171" s="5" t="n">
        <v>187.5</v>
      </c>
      <c r="E171" s="5" t="inlineStr">
        <is>
          <t>More</t>
        </is>
      </c>
      <c r="F171" s="48" t="n">
        <v>0.501</v>
      </c>
      <c r="G171" s="5" t="n">
        <v>187.5</v>
      </c>
      <c r="H171" s="5" t="n">
        <v>0</v>
      </c>
      <c r="I171" s="5" t="inlineStr">
        <is>
          <t>PIT @ CLE</t>
        </is>
      </c>
    </row>
    <row r="172">
      <c r="A172" s="5" t="inlineStr">
        <is>
          <t>Deshaun Watson</t>
        </is>
      </c>
      <c r="B172" s="5" t="inlineStr">
        <is>
          <t>CLE</t>
        </is>
      </c>
      <c r="C172" s="5" t="inlineStr">
        <is>
          <t>Pass Yds</t>
        </is>
      </c>
      <c r="D172" s="5" t="n">
        <v>197.5</v>
      </c>
      <c r="E172" s="5" t="inlineStr">
        <is>
          <t>Less</t>
        </is>
      </c>
      <c r="F172" s="48" t="n">
        <v>0.5600000000000001</v>
      </c>
      <c r="G172" s="5" t="n">
        <v>187.5</v>
      </c>
      <c r="H172" s="5" t="n">
        <v>1</v>
      </c>
      <c r="I172" s="5" t="inlineStr">
        <is>
          <t>PIT @ CLE</t>
        </is>
      </c>
    </row>
    <row r="173">
      <c r="A173" s="5" t="inlineStr">
        <is>
          <t>Deshaun Watson</t>
        </is>
      </c>
      <c r="B173" s="5" t="inlineStr">
        <is>
          <t>CLE</t>
        </is>
      </c>
      <c r="C173" s="5" t="inlineStr">
        <is>
          <t>Pass Yds</t>
        </is>
      </c>
      <c r="D173" s="5" t="n">
        <v>207.5</v>
      </c>
      <c r="E173" s="5" t="inlineStr">
        <is>
          <t>Less</t>
        </is>
      </c>
      <c r="F173" s="48" t="n">
        <v>0.613</v>
      </c>
      <c r="G173" s="5" t="n">
        <v>187.5</v>
      </c>
      <c r="H173" s="5" t="n">
        <v>2</v>
      </c>
      <c r="I173" s="5" t="inlineStr">
        <is>
          <t>PIT @ CLE</t>
        </is>
      </c>
    </row>
    <row r="174">
      <c r="A174" s="5" t="inlineStr">
        <is>
          <t>Deshaun Watson</t>
        </is>
      </c>
      <c r="B174" s="5" t="inlineStr">
        <is>
          <t>CLE</t>
        </is>
      </c>
      <c r="C174" s="5" t="inlineStr">
        <is>
          <t>Pass Yds</t>
        </is>
      </c>
      <c r="D174" s="5" t="n">
        <v>217.5</v>
      </c>
      <c r="E174" s="5" t="inlineStr">
        <is>
          <t>Less</t>
        </is>
      </c>
      <c r="F174" s="48" t="n">
        <v>0.668</v>
      </c>
      <c r="G174" s="5" t="n">
        <v>187.5</v>
      </c>
      <c r="H174" s="5" t="n">
        <v>3</v>
      </c>
      <c r="I174" s="5" t="inlineStr">
        <is>
          <t>PIT @ CLE</t>
        </is>
      </c>
    </row>
    <row r="175">
      <c r="A175" s="5" t="inlineStr">
        <is>
          <t>Deshaun Watson</t>
        </is>
      </c>
      <c r="B175" s="5" t="inlineStr">
        <is>
          <t>CLE</t>
        </is>
      </c>
      <c r="C175" s="5" t="inlineStr">
        <is>
          <t>Pass Yds</t>
        </is>
      </c>
      <c r="D175" s="5" t="n">
        <v>227.5</v>
      </c>
      <c r="E175" s="5" t="inlineStr">
        <is>
          <t>Less</t>
        </is>
      </c>
      <c r="F175" s="48" t="n">
        <v>0.715</v>
      </c>
      <c r="G175" s="5" t="n">
        <v>187.5</v>
      </c>
      <c r="H175" s="5" t="n">
        <v>4</v>
      </c>
      <c r="I175" s="5" t="inlineStr">
        <is>
          <t>PIT @ CLE</t>
        </is>
      </c>
    </row>
    <row r="176">
      <c r="A176" s="5" t="inlineStr">
        <is>
          <t>Deshaun Watson</t>
        </is>
      </c>
      <c r="B176" s="5" t="inlineStr">
        <is>
          <t>CLE</t>
        </is>
      </c>
      <c r="C176" s="5" t="inlineStr">
        <is>
          <t>Pass Yds</t>
        </is>
      </c>
      <c r="D176" s="5" t="n">
        <v>237.5</v>
      </c>
      <c r="E176" s="5" t="inlineStr">
        <is>
          <t>Less</t>
        </is>
      </c>
      <c r="F176" s="48" t="n">
        <v>0.759</v>
      </c>
      <c r="G176" s="5" t="n">
        <v>187.5</v>
      </c>
      <c r="H176" s="5" t="n">
        <v>5</v>
      </c>
      <c r="I176" s="5" t="inlineStr">
        <is>
          <t>PIT @ CLE</t>
        </is>
      </c>
    </row>
    <row r="177">
      <c r="A177" s="5" t="inlineStr">
        <is>
          <t>Deshaun Watson</t>
        </is>
      </c>
      <c r="B177" s="5" t="inlineStr">
        <is>
          <t>CLE</t>
        </is>
      </c>
      <c r="C177" s="5" t="inlineStr">
        <is>
          <t>Pass Yds</t>
        </is>
      </c>
      <c r="D177" s="5" t="n">
        <v>247.5</v>
      </c>
      <c r="E177" s="5" t="inlineStr">
        <is>
          <t>Less</t>
        </is>
      </c>
      <c r="F177" s="48" t="n">
        <v>0.795</v>
      </c>
      <c r="G177" s="5" t="n">
        <v>187.5</v>
      </c>
      <c r="H177" s="5" t="n">
        <v>6</v>
      </c>
      <c r="I177" s="5" t="inlineStr">
        <is>
          <t>PIT @ CLE</t>
        </is>
      </c>
    </row>
    <row r="178">
      <c r="A178" s="5" t="inlineStr">
        <is>
          <t>Deshaun Watson</t>
        </is>
      </c>
      <c r="B178" s="5" t="inlineStr">
        <is>
          <t>CLE</t>
        </is>
      </c>
      <c r="C178" s="5" t="inlineStr">
        <is>
          <t>Pass Yds</t>
        </is>
      </c>
      <c r="D178" s="5" t="n">
        <v>257.5</v>
      </c>
      <c r="E178" s="5" t="inlineStr">
        <is>
          <t>Less</t>
        </is>
      </c>
      <c r="F178" s="48" t="n">
        <v>0.83</v>
      </c>
      <c r="G178" s="5" t="n">
        <v>187.5</v>
      </c>
      <c r="H178" s="5" t="n">
        <v>7</v>
      </c>
      <c r="I178" s="5" t="inlineStr">
        <is>
          <t>PIT @ CLE</t>
        </is>
      </c>
    </row>
    <row r="179">
      <c r="A179" s="5" t="inlineStr">
        <is>
          <t>Deshaun Watson</t>
        </is>
      </c>
      <c r="B179" s="5" t="inlineStr">
        <is>
          <t>CLE</t>
        </is>
      </c>
      <c r="C179" s="5" t="inlineStr">
        <is>
          <t>Pass Yds</t>
        </is>
      </c>
      <c r="D179" s="5" t="n">
        <v>267.5</v>
      </c>
      <c r="E179" s="5" t="inlineStr">
        <is>
          <t>Less</t>
        </is>
      </c>
      <c r="F179" s="48" t="n">
        <v>0.862</v>
      </c>
      <c r="G179" s="5" t="n">
        <v>187.5</v>
      </c>
      <c r="H179" s="5" t="n">
        <v>8</v>
      </c>
      <c r="I179" s="5" t="inlineStr">
        <is>
          <t>PIT @ CLE</t>
        </is>
      </c>
    </row>
    <row r="180">
      <c r="A180" s="5" t="inlineStr">
        <is>
          <t>Deshaun Watson</t>
        </is>
      </c>
      <c r="B180" s="5" t="inlineStr">
        <is>
          <t>CLE</t>
        </is>
      </c>
      <c r="C180" s="5" t="inlineStr">
        <is>
          <t>Pass Yds</t>
        </is>
      </c>
      <c r="D180" s="5" t="n">
        <v>277.5</v>
      </c>
      <c r="E180" s="5" t="inlineStr">
        <is>
          <t>Less</t>
        </is>
      </c>
      <c r="F180" s="48" t="n">
        <v>0.889</v>
      </c>
      <c r="G180" s="5" t="n">
        <v>187.5</v>
      </c>
      <c r="H180" s="5" t="n">
        <v>9</v>
      </c>
      <c r="I180" s="5" t="inlineStr">
        <is>
          <t>PIT @ CLE</t>
        </is>
      </c>
    </row>
    <row r="181">
      <c r="A181" s="5" t="inlineStr">
        <is>
          <t>Deshaun Watson</t>
        </is>
      </c>
      <c r="B181" s="5" t="inlineStr">
        <is>
          <t>CLE</t>
        </is>
      </c>
      <c r="C181" s="5" t="inlineStr">
        <is>
          <t>Pass Yds</t>
        </is>
      </c>
      <c r="D181" s="5" t="n">
        <v>287.5</v>
      </c>
      <c r="E181" s="5" t="inlineStr">
        <is>
          <t>Less</t>
        </is>
      </c>
      <c r="F181" s="48" t="n">
        <v>0.908</v>
      </c>
      <c r="G181" s="5" t="n">
        <v>187.5</v>
      </c>
      <c r="H181" s="5" t="n">
        <v>10</v>
      </c>
      <c r="I181" s="5" t="inlineStr">
        <is>
          <t>PIT @ CLE</t>
        </is>
      </c>
    </row>
    <row r="182">
      <c r="A182" s="5" t="inlineStr">
        <is>
          <t>Deshaun Watson</t>
        </is>
      </c>
      <c r="B182" s="5" t="inlineStr">
        <is>
          <t>CLE</t>
        </is>
      </c>
      <c r="C182" s="5" t="inlineStr">
        <is>
          <t>Rush Yds</t>
        </is>
      </c>
      <c r="D182" s="5" t="n">
        <v>4.5</v>
      </c>
      <c r="E182" s="5" t="inlineStr">
        <is>
          <t>More</t>
        </is>
      </c>
      <c r="F182" s="48" t="n">
        <v>0.9379999999999999</v>
      </c>
      <c r="G182" s="5" t="n">
        <v>29.5</v>
      </c>
      <c r="H182" s="5" t="n">
        <v>-5</v>
      </c>
      <c r="I182" s="5" t="inlineStr">
        <is>
          <t>PIT @ CLE</t>
        </is>
      </c>
    </row>
    <row r="183">
      <c r="A183" s="5" t="inlineStr">
        <is>
          <t>Deshaun Watson</t>
        </is>
      </c>
      <c r="B183" s="5" t="inlineStr">
        <is>
          <t>CLE</t>
        </is>
      </c>
      <c r="C183" s="5" t="inlineStr">
        <is>
          <t>Rush Yds</t>
        </is>
      </c>
      <c r="D183" s="5" t="n">
        <v>9.5</v>
      </c>
      <c r="E183" s="5" t="inlineStr">
        <is>
          <t>More</t>
        </is>
      </c>
      <c r="F183" s="48" t="n">
        <v>0.865</v>
      </c>
      <c r="G183" s="5" t="n">
        <v>29.5</v>
      </c>
      <c r="H183" s="5" t="n">
        <v>-4</v>
      </c>
      <c r="I183" s="5" t="inlineStr">
        <is>
          <t>PIT @ CLE</t>
        </is>
      </c>
    </row>
    <row r="184">
      <c r="A184" s="5" t="inlineStr">
        <is>
          <t>Deshaun Watson</t>
        </is>
      </c>
      <c r="B184" s="5" t="inlineStr">
        <is>
          <t>CLE</t>
        </is>
      </c>
      <c r="C184" s="5" t="inlineStr">
        <is>
          <t>Rush Yds</t>
        </is>
      </c>
      <c r="D184" s="5" t="n">
        <v>14.5</v>
      </c>
      <c r="E184" s="5" t="inlineStr">
        <is>
          <t>More</t>
        </is>
      </c>
      <c r="F184" s="48" t="n">
        <v>0.772</v>
      </c>
      <c r="G184" s="5" t="n">
        <v>29.5</v>
      </c>
      <c r="H184" s="5" t="n">
        <v>-3</v>
      </c>
      <c r="I184" s="5" t="inlineStr">
        <is>
          <t>PIT @ CLE</t>
        </is>
      </c>
    </row>
    <row r="185">
      <c r="A185" s="5" t="inlineStr">
        <is>
          <t>Deshaun Watson</t>
        </is>
      </c>
      <c r="B185" s="5" t="inlineStr">
        <is>
          <t>CLE</t>
        </is>
      </c>
      <c r="C185" s="5" t="inlineStr">
        <is>
          <t>Rush Yds</t>
        </is>
      </c>
      <c r="D185" s="5" t="n">
        <v>19.5</v>
      </c>
      <c r="E185" s="5" t="inlineStr">
        <is>
          <t>More</t>
        </is>
      </c>
      <c r="F185" s="48" t="n">
        <v>0.6899999999999999</v>
      </c>
      <c r="G185" s="5" t="n">
        <v>29.5</v>
      </c>
      <c r="H185" s="5" t="n">
        <v>-2</v>
      </c>
      <c r="I185" s="5" t="inlineStr">
        <is>
          <t>PIT @ CLE</t>
        </is>
      </c>
    </row>
    <row r="186">
      <c r="A186" s="5" t="inlineStr">
        <is>
          <t>Deshaun Watson</t>
        </is>
      </c>
      <c r="B186" s="5" t="inlineStr">
        <is>
          <t>CLE</t>
        </is>
      </c>
      <c r="C186" s="5" t="inlineStr">
        <is>
          <t>Rush Yds</t>
        </is>
      </c>
      <c r="D186" s="5" t="n">
        <v>24.5</v>
      </c>
      <c r="E186" s="5" t="inlineStr">
        <is>
          <t>More</t>
        </is>
      </c>
      <c r="F186" s="48" t="n">
        <v>0.589</v>
      </c>
      <c r="G186" s="5" t="n">
        <v>29.5</v>
      </c>
      <c r="H186" s="5" t="n">
        <v>-1</v>
      </c>
      <c r="I186" s="5" t="inlineStr">
        <is>
          <t>PIT @ CLE</t>
        </is>
      </c>
    </row>
    <row r="187">
      <c r="A187" s="5" t="inlineStr">
        <is>
          <t>Deshaun Watson</t>
        </is>
      </c>
      <c r="B187" s="5" t="inlineStr">
        <is>
          <t>CLE</t>
        </is>
      </c>
      <c r="C187" s="5" t="inlineStr">
        <is>
          <t>Rush Yds</t>
        </is>
      </c>
      <c r="D187" s="5" t="n">
        <v>29.5</v>
      </c>
      <c r="E187" s="5" t="inlineStr">
        <is>
          <t>Less</t>
        </is>
      </c>
      <c r="F187" s="48" t="n">
        <v>0.513</v>
      </c>
      <c r="G187" s="5" t="n">
        <v>29.5</v>
      </c>
      <c r="H187" s="5" t="n">
        <v>0</v>
      </c>
      <c r="I187" s="5" t="inlineStr">
        <is>
          <t>PIT @ CLE</t>
        </is>
      </c>
    </row>
    <row r="188">
      <c r="A188" s="5" t="inlineStr">
        <is>
          <t>Deshaun Watson</t>
        </is>
      </c>
      <c r="B188" s="5" t="inlineStr">
        <is>
          <t>CLE</t>
        </is>
      </c>
      <c r="C188" s="5" t="inlineStr">
        <is>
          <t>Rush Yds</t>
        </is>
      </c>
      <c r="D188" s="5" t="n">
        <v>34.5</v>
      </c>
      <c r="E188" s="5" t="inlineStr">
        <is>
          <t>Less</t>
        </is>
      </c>
      <c r="F188" s="48" t="n">
        <v>0.582</v>
      </c>
      <c r="G188" s="5" t="n">
        <v>29.5</v>
      </c>
      <c r="H188" s="5" t="n">
        <v>1</v>
      </c>
      <c r="I188" s="5" t="inlineStr">
        <is>
          <t>PIT @ CLE</t>
        </is>
      </c>
    </row>
    <row r="189">
      <c r="A189" s="5" t="inlineStr">
        <is>
          <t>Deshaun Watson</t>
        </is>
      </c>
      <c r="B189" s="5" t="inlineStr">
        <is>
          <t>CLE</t>
        </is>
      </c>
      <c r="C189" s="5" t="inlineStr">
        <is>
          <t>Rush Yds</t>
        </is>
      </c>
      <c r="D189" s="5" t="n">
        <v>39.5</v>
      </c>
      <c r="E189" s="5" t="inlineStr">
        <is>
          <t>Less</t>
        </is>
      </c>
      <c r="F189" s="48" t="n">
        <v>0.659</v>
      </c>
      <c r="G189" s="5" t="n">
        <v>29.5</v>
      </c>
      <c r="H189" s="5" t="n">
        <v>2</v>
      </c>
      <c r="I189" s="5" t="inlineStr">
        <is>
          <t>PIT @ CLE</t>
        </is>
      </c>
    </row>
    <row r="190">
      <c r="A190" s="5" t="inlineStr">
        <is>
          <t>Deshaun Watson</t>
        </is>
      </c>
      <c r="B190" s="5" t="inlineStr">
        <is>
          <t>CLE</t>
        </is>
      </c>
      <c r="C190" s="5" t="inlineStr">
        <is>
          <t>Rush Yds</t>
        </is>
      </c>
      <c r="D190" s="5" t="n">
        <v>44.5</v>
      </c>
      <c r="E190" s="5" t="inlineStr">
        <is>
          <t>Less</t>
        </is>
      </c>
      <c r="F190" s="48" t="n">
        <v>0.714</v>
      </c>
      <c r="G190" s="5" t="n">
        <v>29.5</v>
      </c>
      <c r="H190" s="5" t="n">
        <v>3</v>
      </c>
      <c r="I190" s="5" t="inlineStr">
        <is>
          <t>PIT @ CLE</t>
        </is>
      </c>
    </row>
    <row r="191">
      <c r="A191" s="5" t="inlineStr">
        <is>
          <t>Deshaun Watson</t>
        </is>
      </c>
      <c r="B191" s="5" t="inlineStr">
        <is>
          <t>CLE</t>
        </is>
      </c>
      <c r="C191" s="5" t="inlineStr">
        <is>
          <t>Rush Yds</t>
        </is>
      </c>
      <c r="D191" s="5" t="n">
        <v>49.5</v>
      </c>
      <c r="E191" s="5" t="inlineStr">
        <is>
          <t>Less</t>
        </is>
      </c>
      <c r="F191" s="48" t="n">
        <v>0.766</v>
      </c>
      <c r="G191" s="5" t="n">
        <v>29.5</v>
      </c>
      <c r="H191" s="5" t="n">
        <v>4</v>
      </c>
      <c r="I191" s="5" t="inlineStr">
        <is>
          <t>PIT @ CLE</t>
        </is>
      </c>
    </row>
    <row r="192">
      <c r="A192" s="5" t="inlineStr">
        <is>
          <t>Deshaun Watson</t>
        </is>
      </c>
      <c r="B192" s="5" t="inlineStr">
        <is>
          <t>CLE</t>
        </is>
      </c>
      <c r="C192" s="5" t="inlineStr">
        <is>
          <t>Rush Yds</t>
        </is>
      </c>
      <c r="D192" s="5" t="n">
        <v>54.5</v>
      </c>
      <c r="E192" s="5" t="inlineStr">
        <is>
          <t>Less</t>
        </is>
      </c>
      <c r="F192" s="48" t="n">
        <v>0.8129999999999999</v>
      </c>
      <c r="G192" s="5" t="n">
        <v>29.5</v>
      </c>
      <c r="H192" s="5" t="n">
        <v>5</v>
      </c>
      <c r="I192" s="5" t="inlineStr">
        <is>
          <t>PIT @ CLE</t>
        </is>
      </c>
    </row>
    <row r="193">
      <c r="A193" s="5" t="inlineStr">
        <is>
          <t>Deshaun Watson</t>
        </is>
      </c>
      <c r="B193" s="5" t="inlineStr">
        <is>
          <t>CLE</t>
        </is>
      </c>
      <c r="C193" s="5" t="inlineStr">
        <is>
          <t>Rush Yds</t>
        </is>
      </c>
      <c r="D193" s="5" t="n">
        <v>59.5</v>
      </c>
      <c r="E193" s="5" t="inlineStr">
        <is>
          <t>Less</t>
        </is>
      </c>
      <c r="F193" s="48" t="n">
        <v>0.843</v>
      </c>
      <c r="G193" s="5" t="n">
        <v>29.5</v>
      </c>
      <c r="H193" s="5" t="n">
        <v>6</v>
      </c>
      <c r="I193" s="5" t="inlineStr">
        <is>
          <t>PIT @ CLE</t>
        </is>
      </c>
    </row>
    <row r="194">
      <c r="A194" s="5" t="inlineStr">
        <is>
          <t>Deshaun Watson</t>
        </is>
      </c>
      <c r="B194" s="5" t="inlineStr">
        <is>
          <t>CLE</t>
        </is>
      </c>
      <c r="C194" s="5" t="inlineStr">
        <is>
          <t>Rush Yds</t>
        </is>
      </c>
      <c r="D194" s="5" t="n">
        <v>64.5</v>
      </c>
      <c r="E194" s="5" t="inlineStr">
        <is>
          <t>Less</t>
        </is>
      </c>
      <c r="F194" s="48" t="n">
        <v>0.871</v>
      </c>
      <c r="G194" s="5" t="n">
        <v>29.5</v>
      </c>
      <c r="H194" s="5" t="n">
        <v>7</v>
      </c>
      <c r="I194" s="5" t="inlineStr">
        <is>
          <t>PIT @ CLE</t>
        </is>
      </c>
    </row>
    <row r="195">
      <c r="A195" s="5" t="inlineStr">
        <is>
          <t>Deshaun Watson</t>
        </is>
      </c>
      <c r="B195" s="5" t="inlineStr">
        <is>
          <t>CLE</t>
        </is>
      </c>
      <c r="C195" s="5" t="inlineStr">
        <is>
          <t>Rush Yds</t>
        </is>
      </c>
      <c r="D195" s="5" t="n">
        <v>69.5</v>
      </c>
      <c r="E195" s="5" t="inlineStr">
        <is>
          <t>Less</t>
        </is>
      </c>
      <c r="F195" s="48" t="n">
        <v>0.899</v>
      </c>
      <c r="G195" s="5" t="n">
        <v>29.5</v>
      </c>
      <c r="H195" s="5" t="n">
        <v>8</v>
      </c>
      <c r="I195" s="5" t="inlineStr">
        <is>
          <t>PIT @ CLE</t>
        </is>
      </c>
    </row>
    <row r="196">
      <c r="A196" s="5" t="inlineStr">
        <is>
          <t>Deshaun Watson</t>
        </is>
      </c>
      <c r="B196" s="5" t="inlineStr">
        <is>
          <t>CLE</t>
        </is>
      </c>
      <c r="C196" s="5" t="inlineStr">
        <is>
          <t>Rush Yds</t>
        </is>
      </c>
      <c r="D196" s="5" t="n">
        <v>74.5</v>
      </c>
      <c r="E196" s="5" t="inlineStr">
        <is>
          <t>Less</t>
        </is>
      </c>
      <c r="F196" s="48" t="n">
        <v>0.917</v>
      </c>
      <c r="G196" s="5" t="n">
        <v>29.5</v>
      </c>
      <c r="H196" s="5" t="n">
        <v>9</v>
      </c>
      <c r="I196" s="5" t="inlineStr">
        <is>
          <t>PIT @ CLE</t>
        </is>
      </c>
    </row>
    <row r="197">
      <c r="A197" s="5" t="inlineStr">
        <is>
          <t>Deshaun Watson</t>
        </is>
      </c>
      <c r="B197" s="5" t="inlineStr">
        <is>
          <t>CLE</t>
        </is>
      </c>
      <c r="C197" s="5" t="inlineStr">
        <is>
          <t>Rush Yds</t>
        </is>
      </c>
      <c r="D197" s="5" t="n">
        <v>79.5</v>
      </c>
      <c r="E197" s="5" t="inlineStr">
        <is>
          <t>Less</t>
        </is>
      </c>
      <c r="F197" s="48" t="n">
        <v>0.9370000000000001</v>
      </c>
      <c r="G197" s="5" t="n">
        <v>29.5</v>
      </c>
      <c r="H197" s="5" t="n">
        <v>10</v>
      </c>
      <c r="I197" s="5" t="inlineStr">
        <is>
          <t>PIT @ CLE</t>
        </is>
      </c>
    </row>
    <row r="198">
      <c r="A198" s="5" t="inlineStr">
        <is>
          <t>Eli Heidenreich</t>
        </is>
      </c>
      <c r="B198" s="5" t="inlineStr">
        <is>
          <t>PIT</t>
        </is>
      </c>
      <c r="C198" s="5" t="inlineStr">
        <is>
          <t>Anytime TDs</t>
        </is>
      </c>
      <c r="D198" s="5" t="n">
        <v>0.5</v>
      </c>
      <c r="E198" s="5" t="inlineStr">
        <is>
          <t>Less</t>
        </is>
      </c>
      <c r="F198" s="48" t="n">
        <v>0.871</v>
      </c>
      <c r="G198" s="5" t="n">
        <v>0.5</v>
      </c>
      <c r="H198" s="5" t="n">
        <v>0</v>
      </c>
      <c r="I198" s="5" t="inlineStr">
        <is>
          <t>PIT @ CLE</t>
        </is>
      </c>
    </row>
    <row r="199">
      <c r="A199" s="5" t="inlineStr">
        <is>
          <t>Germie Bernard</t>
        </is>
      </c>
      <c r="B199" s="5" t="inlineStr">
        <is>
          <t>PIT</t>
        </is>
      </c>
      <c r="C199" s="5" t="inlineStr">
        <is>
          <t>Anytime TDs</t>
        </is>
      </c>
      <c r="D199" s="5" t="n">
        <v>0.5</v>
      </c>
      <c r="E199" s="5" t="inlineStr">
        <is>
          <t>Less</t>
        </is>
      </c>
      <c r="F199" s="48" t="n">
        <v>0.908</v>
      </c>
      <c r="G199" s="5" t="n">
        <v>0.5</v>
      </c>
      <c r="H199" s="5" t="n">
        <v>0</v>
      </c>
      <c r="I199" s="5" t="inlineStr">
        <is>
          <t>PIT @ CLE</t>
        </is>
      </c>
    </row>
    <row r="200">
      <c r="A200" s="5" t="inlineStr">
        <is>
          <t>Germie Bernard</t>
        </is>
      </c>
      <c r="B200" s="5" t="inlineStr">
        <is>
          <t>PIT</t>
        </is>
      </c>
      <c r="C200" s="5" t="inlineStr">
        <is>
          <t>Rec Yds</t>
        </is>
      </c>
      <c r="D200" s="5" t="n">
        <v>0.5</v>
      </c>
      <c r="E200" s="5" t="inlineStr">
        <is>
          <t>More</t>
        </is>
      </c>
      <c r="F200" s="48" t="n">
        <v>0.86</v>
      </c>
      <c r="G200" s="5" t="n">
        <v>6.5</v>
      </c>
      <c r="H200" s="5" t="n">
        <v>-3</v>
      </c>
      <c r="I200" s="5" t="inlineStr">
        <is>
          <t>PIT @ CLE</t>
        </is>
      </c>
    </row>
    <row r="201">
      <c r="A201" s="5" t="inlineStr">
        <is>
          <t>Germie Bernard</t>
        </is>
      </c>
      <c r="B201" s="5" t="inlineStr">
        <is>
          <t>PIT</t>
        </is>
      </c>
      <c r="C201" s="5" t="inlineStr">
        <is>
          <t>Rec Yds</t>
        </is>
      </c>
      <c r="D201" s="5" t="n">
        <v>2.5</v>
      </c>
      <c r="E201" s="5" t="inlineStr">
        <is>
          <t>More</t>
        </is>
      </c>
      <c r="F201" s="48" t="n">
        <v>0.759</v>
      </c>
      <c r="G201" s="5" t="n">
        <v>6.5</v>
      </c>
      <c r="H201" s="5" t="n">
        <v>-2</v>
      </c>
      <c r="I201" s="5" t="inlineStr">
        <is>
          <t>PIT @ CLE</t>
        </is>
      </c>
    </row>
    <row r="202">
      <c r="A202" s="5" t="inlineStr">
        <is>
          <t>Germie Bernard</t>
        </is>
      </c>
      <c r="B202" s="5" t="inlineStr">
        <is>
          <t>PIT</t>
        </is>
      </c>
      <c r="C202" s="5" t="inlineStr">
        <is>
          <t>Rec Yds</t>
        </is>
      </c>
      <c r="D202" s="5" t="n">
        <v>4.5</v>
      </c>
      <c r="E202" s="5" t="inlineStr">
        <is>
          <t>More</t>
        </is>
      </c>
      <c r="F202" s="48" t="n">
        <v>0.618</v>
      </c>
      <c r="G202" s="5" t="n">
        <v>6.5</v>
      </c>
      <c r="H202" s="5" t="n">
        <v>-1</v>
      </c>
      <c r="I202" s="5" t="inlineStr">
        <is>
          <t>PIT @ CLE</t>
        </is>
      </c>
    </row>
    <row r="203">
      <c r="A203" s="5" t="inlineStr">
        <is>
          <t>Germie Bernard</t>
        </is>
      </c>
      <c r="B203" s="5" t="inlineStr">
        <is>
          <t>PIT</t>
        </is>
      </c>
      <c r="C203" s="5" t="inlineStr">
        <is>
          <t>Rec Yds</t>
        </is>
      </c>
      <c r="D203" s="5" t="n">
        <v>6.5</v>
      </c>
      <c r="E203" s="5" t="inlineStr">
        <is>
          <t>Less</t>
        </is>
      </c>
      <c r="F203" s="48" t="n">
        <v>0.516</v>
      </c>
      <c r="G203" s="5" t="n">
        <v>6.5</v>
      </c>
      <c r="H203" s="5" t="n">
        <v>0</v>
      </c>
      <c r="I203" s="5" t="inlineStr">
        <is>
          <t>PIT @ CLE</t>
        </is>
      </c>
    </row>
    <row r="204">
      <c r="A204" s="5" t="inlineStr">
        <is>
          <t>Germie Bernard</t>
        </is>
      </c>
      <c r="B204" s="5" t="inlineStr">
        <is>
          <t>PIT</t>
        </is>
      </c>
      <c r="C204" s="5" t="inlineStr">
        <is>
          <t>Rec Yds</t>
        </is>
      </c>
      <c r="D204" s="5" t="n">
        <v>8.5</v>
      </c>
      <c r="E204" s="5" t="inlineStr">
        <is>
          <t>Less</t>
        </is>
      </c>
      <c r="F204" s="48" t="n">
        <v>0.611</v>
      </c>
      <c r="G204" s="5" t="n">
        <v>6.5</v>
      </c>
      <c r="H204" s="5" t="n">
        <v>1</v>
      </c>
      <c r="I204" s="5" t="inlineStr">
        <is>
          <t>PIT @ CLE</t>
        </is>
      </c>
    </row>
    <row r="205">
      <c r="A205" s="5" t="inlineStr">
        <is>
          <t>Germie Bernard</t>
        </is>
      </c>
      <c r="B205" s="5" t="inlineStr">
        <is>
          <t>PIT</t>
        </is>
      </c>
      <c r="C205" s="5" t="inlineStr">
        <is>
          <t>Rec Yds</t>
        </is>
      </c>
      <c r="D205" s="5" t="n">
        <v>10.5</v>
      </c>
      <c r="E205" s="5" t="inlineStr">
        <is>
          <t>Less</t>
        </is>
      </c>
      <c r="F205" s="48" t="n">
        <v>0.699</v>
      </c>
      <c r="G205" s="5" t="n">
        <v>6.5</v>
      </c>
      <c r="H205" s="5" t="n">
        <v>2</v>
      </c>
      <c r="I205" s="5" t="inlineStr">
        <is>
          <t>PIT @ CLE</t>
        </is>
      </c>
    </row>
    <row r="206">
      <c r="A206" s="5" t="inlineStr">
        <is>
          <t>Germie Bernard</t>
        </is>
      </c>
      <c r="B206" s="5" t="inlineStr">
        <is>
          <t>PIT</t>
        </is>
      </c>
      <c r="C206" s="5" t="inlineStr">
        <is>
          <t>Rec Yds</t>
        </is>
      </c>
      <c r="D206" s="5" t="n">
        <v>12.5</v>
      </c>
      <c r="E206" s="5" t="inlineStr">
        <is>
          <t>Less</t>
        </is>
      </c>
      <c r="F206" s="48" t="n">
        <v>0.771</v>
      </c>
      <c r="G206" s="5" t="n">
        <v>6.5</v>
      </c>
      <c r="H206" s="5" t="n">
        <v>3</v>
      </c>
      <c r="I206" s="5" t="inlineStr">
        <is>
          <t>PIT @ CLE</t>
        </is>
      </c>
    </row>
    <row r="207">
      <c r="A207" s="5" t="inlineStr">
        <is>
          <t>Germie Bernard</t>
        </is>
      </c>
      <c r="B207" s="5" t="inlineStr">
        <is>
          <t>PIT</t>
        </is>
      </c>
      <c r="C207" s="5" t="inlineStr">
        <is>
          <t>Rec Yds</t>
        </is>
      </c>
      <c r="D207" s="5" t="n">
        <v>14.5</v>
      </c>
      <c r="E207" s="5" t="inlineStr">
        <is>
          <t>Less</t>
        </is>
      </c>
      <c r="F207" s="48" t="n">
        <v>0.833</v>
      </c>
      <c r="G207" s="5" t="n">
        <v>6.5</v>
      </c>
      <c r="H207" s="5" t="n">
        <v>4</v>
      </c>
      <c r="I207" s="5" t="inlineStr">
        <is>
          <t>PIT @ CLE</t>
        </is>
      </c>
    </row>
    <row r="208">
      <c r="A208" s="5" t="inlineStr">
        <is>
          <t>Germie Bernard</t>
        </is>
      </c>
      <c r="B208" s="5" t="inlineStr">
        <is>
          <t>PIT</t>
        </is>
      </c>
      <c r="C208" s="5" t="inlineStr">
        <is>
          <t>Rec Yds</t>
        </is>
      </c>
      <c r="D208" s="5" t="n">
        <v>16.5</v>
      </c>
      <c r="E208" s="5" t="inlineStr">
        <is>
          <t>Less</t>
        </is>
      </c>
      <c r="F208" s="48" t="n">
        <v>0.879</v>
      </c>
      <c r="G208" s="5" t="n">
        <v>6.5</v>
      </c>
      <c r="H208" s="5" t="n">
        <v>5</v>
      </c>
      <c r="I208" s="5" t="inlineStr">
        <is>
          <t>PIT @ CLE</t>
        </is>
      </c>
    </row>
    <row r="209">
      <c r="A209" s="5" t="inlineStr">
        <is>
          <t>Germie Bernard</t>
        </is>
      </c>
      <c r="B209" s="5" t="inlineStr">
        <is>
          <t>PIT</t>
        </is>
      </c>
      <c r="C209" s="5" t="inlineStr">
        <is>
          <t>Rec Yds</t>
        </is>
      </c>
      <c r="D209" s="5" t="n">
        <v>18.5</v>
      </c>
      <c r="E209" s="5" t="inlineStr">
        <is>
          <t>Less</t>
        </is>
      </c>
      <c r="F209" s="48" t="n">
        <v>0.907</v>
      </c>
      <c r="G209" s="5" t="n">
        <v>6.5</v>
      </c>
      <c r="H209" s="5" t="n">
        <v>6</v>
      </c>
      <c r="I209" s="5" t="inlineStr">
        <is>
          <t>PIT @ CLE</t>
        </is>
      </c>
    </row>
    <row r="210">
      <c r="A210" s="5" t="inlineStr">
        <is>
          <t>Germie Bernard</t>
        </is>
      </c>
      <c r="B210" s="5" t="inlineStr">
        <is>
          <t>PIT</t>
        </is>
      </c>
      <c r="C210" s="5" t="inlineStr">
        <is>
          <t>Rec Yds</t>
        </is>
      </c>
      <c r="D210" s="5" t="n">
        <v>20.5</v>
      </c>
      <c r="E210" s="5" t="inlineStr">
        <is>
          <t>Less</t>
        </is>
      </c>
      <c r="F210" s="48" t="n">
        <v>0.9320000000000001</v>
      </c>
      <c r="G210" s="5" t="n">
        <v>6.5</v>
      </c>
      <c r="H210" s="5" t="n">
        <v>7</v>
      </c>
      <c r="I210" s="5" t="inlineStr">
        <is>
          <t>PIT @ CLE</t>
        </is>
      </c>
    </row>
    <row r="211">
      <c r="A211" s="5" t="inlineStr">
        <is>
          <t>Germie Bernard</t>
        </is>
      </c>
      <c r="B211" s="5" t="inlineStr">
        <is>
          <t>PIT</t>
        </is>
      </c>
      <c r="C211" s="5" t="inlineStr">
        <is>
          <t>Rec Yds</t>
        </is>
      </c>
      <c r="D211" s="5" t="n">
        <v>22.5</v>
      </c>
      <c r="E211" s="5" t="inlineStr">
        <is>
          <t>Less</t>
        </is>
      </c>
      <c r="F211" s="48" t="n">
        <v>0.952</v>
      </c>
      <c r="G211" s="5" t="n">
        <v>6.5</v>
      </c>
      <c r="H211" s="5" t="n">
        <v>8</v>
      </c>
      <c r="I211" s="5" t="inlineStr">
        <is>
          <t>PIT @ CLE</t>
        </is>
      </c>
    </row>
    <row r="212">
      <c r="A212" s="5" t="inlineStr">
        <is>
          <t>Germie Bernard</t>
        </is>
      </c>
      <c r="B212" s="5" t="inlineStr">
        <is>
          <t>PIT</t>
        </is>
      </c>
      <c r="C212" s="5" t="inlineStr">
        <is>
          <t>Rec Yds</t>
        </is>
      </c>
      <c r="D212" s="5" t="n">
        <v>24.5</v>
      </c>
      <c r="E212" s="5" t="inlineStr">
        <is>
          <t>Less</t>
        </is>
      </c>
      <c r="F212" s="48" t="n">
        <v>0.966</v>
      </c>
      <c r="G212" s="5" t="n">
        <v>6.5</v>
      </c>
      <c r="H212" s="5" t="n">
        <v>9</v>
      </c>
      <c r="I212" s="5" t="inlineStr">
        <is>
          <t>PIT @ CLE</t>
        </is>
      </c>
    </row>
    <row r="213">
      <c r="A213" s="5" t="inlineStr">
        <is>
          <t>Harold Fannin Jr.</t>
        </is>
      </c>
      <c r="B213" s="5" t="inlineStr">
        <is>
          <t>CLE</t>
        </is>
      </c>
      <c r="C213" s="5" t="inlineStr">
        <is>
          <t>Anytime TDs</t>
        </is>
      </c>
      <c r="D213" s="5" t="n">
        <v>0.5</v>
      </c>
      <c r="E213" s="5" t="inlineStr">
        <is>
          <t>Less</t>
        </is>
      </c>
      <c r="F213" s="48" t="n">
        <v>0.748</v>
      </c>
      <c r="G213" s="5" t="n">
        <v>0.5</v>
      </c>
      <c r="H213" s="5" t="n">
        <v>0</v>
      </c>
      <c r="I213" s="5" t="inlineStr">
        <is>
          <t>PIT @ CLE</t>
        </is>
      </c>
    </row>
    <row r="214">
      <c r="A214" s="5" t="inlineStr">
        <is>
          <t>Harold Fannin Jr.</t>
        </is>
      </c>
      <c r="B214" s="5" t="inlineStr">
        <is>
          <t>CLE</t>
        </is>
      </c>
      <c r="C214" s="5" t="inlineStr">
        <is>
          <t>Rec Yds</t>
        </is>
      </c>
      <c r="D214" s="5" t="n">
        <v>5.5</v>
      </c>
      <c r="E214" s="5" t="inlineStr">
        <is>
          <t>More</t>
        </is>
      </c>
      <c r="F214" s="48" t="n">
        <v>0.9330000000000001</v>
      </c>
      <c r="G214" s="5" t="n">
        <v>40.5</v>
      </c>
      <c r="H214" s="5" t="n">
        <v>-7</v>
      </c>
      <c r="I214" s="5" t="inlineStr">
        <is>
          <t>PIT @ CLE</t>
        </is>
      </c>
    </row>
    <row r="215">
      <c r="A215" s="5" t="inlineStr">
        <is>
          <t>Harold Fannin Jr.</t>
        </is>
      </c>
      <c r="B215" s="5" t="inlineStr">
        <is>
          <t>CLE</t>
        </is>
      </c>
      <c r="C215" s="5" t="inlineStr">
        <is>
          <t>Rec Yds</t>
        </is>
      </c>
      <c r="D215" s="5" t="n">
        <v>10.5</v>
      </c>
      <c r="E215" s="5" t="inlineStr">
        <is>
          <t>More</t>
        </is>
      </c>
      <c r="F215" s="48" t="n">
        <v>0.878</v>
      </c>
      <c r="G215" s="5" t="n">
        <v>40.5</v>
      </c>
      <c r="H215" s="5" t="n">
        <v>-6</v>
      </c>
      <c r="I215" s="5" t="inlineStr">
        <is>
          <t>PIT @ CLE</t>
        </is>
      </c>
    </row>
    <row r="216">
      <c r="A216" s="5" t="inlineStr">
        <is>
          <t>Harold Fannin Jr.</t>
        </is>
      </c>
      <c r="B216" s="5" t="inlineStr">
        <is>
          <t>CLE</t>
        </is>
      </c>
      <c r="C216" s="5" t="inlineStr">
        <is>
          <t>Rec Yds</t>
        </is>
      </c>
      <c r="D216" s="5" t="n">
        <v>15.5</v>
      </c>
      <c r="E216" s="5" t="inlineStr">
        <is>
          <t>More</t>
        </is>
      </c>
      <c r="F216" s="48" t="n">
        <v>0.821</v>
      </c>
      <c r="G216" s="5" t="n">
        <v>40.5</v>
      </c>
      <c r="H216" s="5" t="n">
        <v>-5</v>
      </c>
      <c r="I216" s="5" t="inlineStr">
        <is>
          <t>PIT @ CLE</t>
        </is>
      </c>
    </row>
    <row r="217">
      <c r="A217" s="5" t="inlineStr">
        <is>
          <t>Harold Fannin Jr.</t>
        </is>
      </c>
      <c r="B217" s="5" t="inlineStr">
        <is>
          <t>CLE</t>
        </is>
      </c>
      <c r="C217" s="5" t="inlineStr">
        <is>
          <t>Rec Yds</t>
        </is>
      </c>
      <c r="D217" s="5" t="n">
        <v>20.5</v>
      </c>
      <c r="E217" s="5" t="inlineStr">
        <is>
          <t>More</t>
        </is>
      </c>
      <c r="F217" s="48" t="n">
        <v>0.758</v>
      </c>
      <c r="G217" s="5" t="n">
        <v>40.5</v>
      </c>
      <c r="H217" s="5" t="n">
        <v>-4</v>
      </c>
      <c r="I217" s="5" t="inlineStr">
        <is>
          <t>PIT @ CLE</t>
        </is>
      </c>
    </row>
    <row r="218">
      <c r="A218" s="5" t="inlineStr">
        <is>
          <t>Harold Fannin Jr.</t>
        </is>
      </c>
      <c r="B218" s="5" t="inlineStr">
        <is>
          <t>CLE</t>
        </is>
      </c>
      <c r="C218" s="5" t="inlineStr">
        <is>
          <t>Rec Yds</t>
        </is>
      </c>
      <c r="D218" s="5" t="n">
        <v>25.5</v>
      </c>
      <c r="E218" s="5" t="inlineStr">
        <is>
          <t>More</t>
        </is>
      </c>
      <c r="F218" s="48" t="n">
        <v>0.698</v>
      </c>
      <c r="G218" s="5" t="n">
        <v>40.5</v>
      </c>
      <c r="H218" s="5" t="n">
        <v>-3</v>
      </c>
      <c r="I218" s="5" t="inlineStr">
        <is>
          <t>PIT @ CLE</t>
        </is>
      </c>
    </row>
    <row r="219">
      <c r="A219" s="5" t="inlineStr">
        <is>
          <t>Harold Fannin Jr.</t>
        </is>
      </c>
      <c r="B219" s="5" t="inlineStr">
        <is>
          <t>CLE</t>
        </is>
      </c>
      <c r="C219" s="5" t="inlineStr">
        <is>
          <t>Rec Yds</t>
        </is>
      </c>
      <c r="D219" s="5" t="n">
        <v>30.5</v>
      </c>
      <c r="E219" s="5" t="inlineStr">
        <is>
          <t>More</t>
        </is>
      </c>
      <c r="F219" s="48" t="n">
        <v>0.638</v>
      </c>
      <c r="G219" s="5" t="n">
        <v>40.5</v>
      </c>
      <c r="H219" s="5" t="n">
        <v>-2</v>
      </c>
      <c r="I219" s="5" t="inlineStr">
        <is>
          <t>PIT @ CLE</t>
        </is>
      </c>
    </row>
    <row r="220">
      <c r="A220" s="5" t="inlineStr">
        <is>
          <t>Harold Fannin Jr.</t>
        </is>
      </c>
      <c r="B220" s="5" t="inlineStr">
        <is>
          <t>CLE</t>
        </is>
      </c>
      <c r="C220" s="5" t="inlineStr">
        <is>
          <t>Rec Yds</t>
        </is>
      </c>
      <c r="D220" s="5" t="n">
        <v>35.5</v>
      </c>
      <c r="E220" s="5" t="inlineStr">
        <is>
          <t>More</t>
        </is>
      </c>
      <c r="F220" s="48" t="n">
        <v>0.569</v>
      </c>
      <c r="G220" s="5" t="n">
        <v>40.5</v>
      </c>
      <c r="H220" s="5" t="n">
        <v>-1</v>
      </c>
      <c r="I220" s="5" t="inlineStr">
        <is>
          <t>PIT @ CLE</t>
        </is>
      </c>
    </row>
    <row r="221">
      <c r="A221" s="5" t="inlineStr">
        <is>
          <t>Harold Fannin Jr.</t>
        </is>
      </c>
      <c r="B221" s="5" t="inlineStr">
        <is>
          <t>CLE</t>
        </is>
      </c>
      <c r="C221" s="5" t="inlineStr">
        <is>
          <t>Rec Yds</t>
        </is>
      </c>
      <c r="D221" s="5" t="n">
        <v>40.5</v>
      </c>
      <c r="E221" s="5" t="inlineStr">
        <is>
          <t>Less</t>
        </is>
      </c>
      <c r="F221" s="48" t="n">
        <v>0.508</v>
      </c>
      <c r="G221" s="5" t="n">
        <v>40.5</v>
      </c>
      <c r="H221" s="5" t="n">
        <v>0</v>
      </c>
      <c r="I221" s="5" t="inlineStr">
        <is>
          <t>PIT @ CLE</t>
        </is>
      </c>
    </row>
    <row r="222">
      <c r="A222" s="5" t="inlineStr">
        <is>
          <t>Harold Fannin Jr.</t>
        </is>
      </c>
      <c r="B222" s="5" t="inlineStr">
        <is>
          <t>CLE</t>
        </is>
      </c>
      <c r="C222" s="5" t="inlineStr">
        <is>
          <t>Rec Yds</t>
        </is>
      </c>
      <c r="D222" s="5" t="n">
        <v>45.5</v>
      </c>
      <c r="E222" s="5" t="inlineStr">
        <is>
          <t>Less</t>
        </is>
      </c>
      <c r="F222" s="48" t="n">
        <v>0.5659999999999999</v>
      </c>
      <c r="G222" s="5" t="n">
        <v>40.5</v>
      </c>
      <c r="H222" s="5" t="n">
        <v>1</v>
      </c>
      <c r="I222" s="5" t="inlineStr">
        <is>
          <t>PIT @ CLE</t>
        </is>
      </c>
    </row>
    <row r="223">
      <c r="A223" s="5" t="inlineStr">
        <is>
          <t>Harold Fannin Jr.</t>
        </is>
      </c>
      <c r="B223" s="5" t="inlineStr">
        <is>
          <t>CLE</t>
        </is>
      </c>
      <c r="C223" s="5" t="inlineStr">
        <is>
          <t>Rec Yds</t>
        </is>
      </c>
      <c r="D223" s="5" t="n">
        <v>50.5</v>
      </c>
      <c r="E223" s="5" t="inlineStr">
        <is>
          <t>Less</t>
        </is>
      </c>
      <c r="F223" s="48" t="n">
        <v>0.614</v>
      </c>
      <c r="G223" s="5" t="n">
        <v>40.5</v>
      </c>
      <c r="H223" s="5" t="n">
        <v>2</v>
      </c>
      <c r="I223" s="5" t="inlineStr">
        <is>
          <t>PIT @ CLE</t>
        </is>
      </c>
    </row>
    <row r="224">
      <c r="A224" s="5" t="inlineStr">
        <is>
          <t>Harold Fannin Jr.</t>
        </is>
      </c>
      <c r="B224" s="5" t="inlineStr">
        <is>
          <t>CLE</t>
        </is>
      </c>
      <c r="C224" s="5" t="inlineStr">
        <is>
          <t>Rec Yds</t>
        </is>
      </c>
      <c r="D224" s="5" t="n">
        <v>55.5</v>
      </c>
      <c r="E224" s="5" t="inlineStr">
        <is>
          <t>Less</t>
        </is>
      </c>
      <c r="F224" s="48" t="n">
        <v>0.663</v>
      </c>
      <c r="G224" s="5" t="n">
        <v>40.5</v>
      </c>
      <c r="H224" s="5" t="n">
        <v>3</v>
      </c>
      <c r="I224" s="5" t="inlineStr">
        <is>
          <t>PIT @ CLE</t>
        </is>
      </c>
    </row>
    <row r="225">
      <c r="A225" s="5" t="inlineStr">
        <is>
          <t>Harold Fannin Jr.</t>
        </is>
      </c>
      <c r="B225" s="5" t="inlineStr">
        <is>
          <t>CLE</t>
        </is>
      </c>
      <c r="C225" s="5" t="inlineStr">
        <is>
          <t>Rec Yds</t>
        </is>
      </c>
      <c r="D225" s="5" t="n">
        <v>60.5</v>
      </c>
      <c r="E225" s="5" t="inlineStr">
        <is>
          <t>Less</t>
        </is>
      </c>
      <c r="F225" s="48" t="n">
        <v>0.71</v>
      </c>
      <c r="G225" s="5" t="n">
        <v>40.5</v>
      </c>
      <c r="H225" s="5" t="n">
        <v>4</v>
      </c>
      <c r="I225" s="5" t="inlineStr">
        <is>
          <t>PIT @ CLE</t>
        </is>
      </c>
    </row>
    <row r="226">
      <c r="A226" s="5" t="inlineStr">
        <is>
          <t>Harold Fannin Jr.</t>
        </is>
      </c>
      <c r="B226" s="5" t="inlineStr">
        <is>
          <t>CLE</t>
        </is>
      </c>
      <c r="C226" s="5" t="inlineStr">
        <is>
          <t>Rec Yds</t>
        </is>
      </c>
      <c r="D226" s="5" t="n">
        <v>65.5</v>
      </c>
      <c r="E226" s="5" t="inlineStr">
        <is>
          <t>Less</t>
        </is>
      </c>
      <c r="F226" s="48" t="n">
        <v>0.748</v>
      </c>
      <c r="G226" s="5" t="n">
        <v>40.5</v>
      </c>
      <c r="H226" s="5" t="n">
        <v>5</v>
      </c>
      <c r="I226" s="5" t="inlineStr">
        <is>
          <t>PIT @ CLE</t>
        </is>
      </c>
    </row>
    <row r="227">
      <c r="A227" s="5" t="inlineStr">
        <is>
          <t>Harold Fannin Jr.</t>
        </is>
      </c>
      <c r="B227" s="5" t="inlineStr">
        <is>
          <t>CLE</t>
        </is>
      </c>
      <c r="C227" s="5" t="inlineStr">
        <is>
          <t>Rec Yds</t>
        </is>
      </c>
      <c r="D227" s="5" t="n">
        <v>70.5</v>
      </c>
      <c r="E227" s="5" t="inlineStr">
        <is>
          <t>Less</t>
        </is>
      </c>
      <c r="F227" s="48" t="n">
        <v>0.782</v>
      </c>
      <c r="G227" s="5" t="n">
        <v>40.5</v>
      </c>
      <c r="H227" s="5" t="n">
        <v>6</v>
      </c>
      <c r="I227" s="5" t="inlineStr">
        <is>
          <t>PIT @ CLE</t>
        </is>
      </c>
    </row>
    <row r="228">
      <c r="A228" s="5" t="inlineStr">
        <is>
          <t>Harold Fannin Jr.</t>
        </is>
      </c>
      <c r="B228" s="5" t="inlineStr">
        <is>
          <t>CLE</t>
        </is>
      </c>
      <c r="C228" s="5" t="inlineStr">
        <is>
          <t>Rec Yds</t>
        </is>
      </c>
      <c r="D228" s="5" t="n">
        <v>75.5</v>
      </c>
      <c r="E228" s="5" t="inlineStr">
        <is>
          <t>Less</t>
        </is>
      </c>
      <c r="F228" s="48" t="n">
        <v>0.822</v>
      </c>
      <c r="G228" s="5" t="n">
        <v>40.5</v>
      </c>
      <c r="H228" s="5" t="n">
        <v>7</v>
      </c>
      <c r="I228" s="5" t="inlineStr">
        <is>
          <t>PIT @ CLE</t>
        </is>
      </c>
    </row>
    <row r="229">
      <c r="A229" s="5" t="inlineStr">
        <is>
          <t>Harold Fannin Jr.</t>
        </is>
      </c>
      <c r="B229" s="5" t="inlineStr">
        <is>
          <t>CLE</t>
        </is>
      </c>
      <c r="C229" s="5" t="inlineStr">
        <is>
          <t>Rec Yds</t>
        </is>
      </c>
      <c r="D229" s="5" t="n">
        <v>80.5</v>
      </c>
      <c r="E229" s="5" t="inlineStr">
        <is>
          <t>Less</t>
        </is>
      </c>
      <c r="F229" s="48" t="n">
        <v>0.85</v>
      </c>
      <c r="G229" s="5" t="n">
        <v>40.5</v>
      </c>
      <c r="H229" s="5" t="n">
        <v>8</v>
      </c>
      <c r="I229" s="5" t="inlineStr">
        <is>
          <t>PIT @ CLE</t>
        </is>
      </c>
    </row>
    <row r="230">
      <c r="A230" s="5" t="inlineStr">
        <is>
          <t>Harold Fannin Jr.</t>
        </is>
      </c>
      <c r="B230" s="5" t="inlineStr">
        <is>
          <t>CLE</t>
        </is>
      </c>
      <c r="C230" s="5" t="inlineStr">
        <is>
          <t>Rec Yds</t>
        </is>
      </c>
      <c r="D230" s="5" t="n">
        <v>85.5</v>
      </c>
      <c r="E230" s="5" t="inlineStr">
        <is>
          <t>Less</t>
        </is>
      </c>
      <c r="F230" s="48" t="n">
        <v>0.87</v>
      </c>
      <c r="G230" s="5" t="n">
        <v>40.5</v>
      </c>
      <c r="H230" s="5" t="n">
        <v>9</v>
      </c>
      <c r="I230" s="5" t="inlineStr">
        <is>
          <t>PIT @ CLE</t>
        </is>
      </c>
    </row>
    <row r="231">
      <c r="A231" s="5" t="inlineStr">
        <is>
          <t>Harold Fannin Jr.</t>
        </is>
      </c>
      <c r="B231" s="5" t="inlineStr">
        <is>
          <t>CLE</t>
        </is>
      </c>
      <c r="C231" s="5" t="inlineStr">
        <is>
          <t>Rec Yds</t>
        </is>
      </c>
      <c r="D231" s="5" t="n">
        <v>90.5</v>
      </c>
      <c r="E231" s="5" t="inlineStr">
        <is>
          <t>Less</t>
        </is>
      </c>
      <c r="F231" s="48" t="n">
        <v>0.89</v>
      </c>
      <c r="G231" s="5" t="n">
        <v>40.5</v>
      </c>
      <c r="H231" s="5" t="n">
        <v>10</v>
      </c>
      <c r="I231" s="5" t="inlineStr">
        <is>
          <t>PIT @ CLE</t>
        </is>
      </c>
    </row>
    <row r="232">
      <c r="A232" s="5" t="inlineStr">
        <is>
          <t>Harold Fannin Jr.</t>
        </is>
      </c>
      <c r="B232" s="5" t="inlineStr">
        <is>
          <t>CLE</t>
        </is>
      </c>
      <c r="C232" s="5" t="inlineStr">
        <is>
          <t>Receptions</t>
        </is>
      </c>
      <c r="D232" s="5" t="n">
        <v>0.5</v>
      </c>
      <c r="E232" s="5" t="inlineStr">
        <is>
          <t>More</t>
        </is>
      </c>
      <c r="F232" s="48" t="n">
        <v>0.95</v>
      </c>
      <c r="G232" s="5" t="n">
        <v>4.5</v>
      </c>
      <c r="H232" s="5" t="n">
        <v>-4</v>
      </c>
      <c r="I232" s="5" t="inlineStr">
        <is>
          <t>PIT @ CLE</t>
        </is>
      </c>
    </row>
    <row r="233">
      <c r="A233" s="5" t="inlineStr">
        <is>
          <t>Harold Fannin Jr.</t>
        </is>
      </c>
      <c r="B233" s="5" t="inlineStr">
        <is>
          <t>CLE</t>
        </is>
      </c>
      <c r="C233" s="5" t="inlineStr">
        <is>
          <t>Receptions</t>
        </is>
      </c>
      <c r="D233" s="5" t="n">
        <v>1.5</v>
      </c>
      <c r="E233" s="5" t="inlineStr">
        <is>
          <t>More</t>
        </is>
      </c>
      <c r="F233" s="48" t="n">
        <v>0.874</v>
      </c>
      <c r="G233" s="5" t="n">
        <v>4.5</v>
      </c>
      <c r="H233" s="5" t="n">
        <v>-3</v>
      </c>
      <c r="I233" s="5" t="inlineStr">
        <is>
          <t>PIT @ CLE</t>
        </is>
      </c>
    </row>
    <row r="234">
      <c r="A234" s="5" t="inlineStr">
        <is>
          <t>Harold Fannin Jr.</t>
        </is>
      </c>
      <c r="B234" s="5" t="inlineStr">
        <is>
          <t>CLE</t>
        </is>
      </c>
      <c r="C234" s="5" t="inlineStr">
        <is>
          <t>Receptions</t>
        </is>
      </c>
      <c r="D234" s="5" t="n">
        <v>2.5</v>
      </c>
      <c r="E234" s="5" t="inlineStr">
        <is>
          <t>More</t>
        </is>
      </c>
      <c r="F234" s="48" t="n">
        <v>0.788</v>
      </c>
      <c r="G234" s="5" t="n">
        <v>4.5</v>
      </c>
      <c r="H234" s="5" t="n">
        <v>-2</v>
      </c>
      <c r="I234" s="5" t="inlineStr">
        <is>
          <t>PIT @ CLE</t>
        </is>
      </c>
    </row>
    <row r="235">
      <c r="A235" s="5" t="inlineStr">
        <is>
          <t>Harold Fannin Jr.</t>
        </is>
      </c>
      <c r="B235" s="5" t="inlineStr">
        <is>
          <t>CLE</t>
        </is>
      </c>
      <c r="C235" s="5" t="inlineStr">
        <is>
          <t>Receptions</t>
        </is>
      </c>
      <c r="D235" s="5" t="n">
        <v>3.5</v>
      </c>
      <c r="E235" s="5" t="inlineStr">
        <is>
          <t>More</t>
        </is>
      </c>
      <c r="F235" s="48" t="n">
        <v>0.65</v>
      </c>
      <c r="G235" s="5" t="n">
        <v>4.5</v>
      </c>
      <c r="H235" s="5" t="n">
        <v>-1</v>
      </c>
      <c r="I235" s="5" t="inlineStr">
        <is>
          <t>PIT @ CLE</t>
        </is>
      </c>
    </row>
    <row r="236">
      <c r="A236" s="5" t="inlineStr">
        <is>
          <t>Harold Fannin Jr.</t>
        </is>
      </c>
      <c r="B236" s="5" t="inlineStr">
        <is>
          <t>CLE</t>
        </is>
      </c>
      <c r="C236" s="5" t="inlineStr">
        <is>
          <t>Receptions</t>
        </is>
      </c>
      <c r="D236" s="5" t="n">
        <v>4.5</v>
      </c>
      <c r="E236" s="5" t="inlineStr">
        <is>
          <t>Less</t>
        </is>
      </c>
      <c r="F236" s="48" t="n">
        <v>0.503</v>
      </c>
      <c r="G236" s="5" t="n">
        <v>4.5</v>
      </c>
      <c r="H236" s="5" t="n">
        <v>0</v>
      </c>
      <c r="I236" s="5" t="inlineStr">
        <is>
          <t>PIT @ CLE</t>
        </is>
      </c>
    </row>
    <row r="237">
      <c r="A237" s="5" t="inlineStr">
        <is>
          <t>Harold Fannin Jr.</t>
        </is>
      </c>
      <c r="B237" s="5" t="inlineStr">
        <is>
          <t>CLE</t>
        </is>
      </c>
      <c r="C237" s="5" t="inlineStr">
        <is>
          <t>Receptions</t>
        </is>
      </c>
      <c r="D237" s="5" t="n">
        <v>5.5</v>
      </c>
      <c r="E237" s="5" t="inlineStr">
        <is>
          <t>Less</t>
        </is>
      </c>
      <c r="F237" s="48" t="n">
        <v>0.609</v>
      </c>
      <c r="G237" s="5" t="n">
        <v>4.5</v>
      </c>
      <c r="H237" s="5" t="n">
        <v>1</v>
      </c>
      <c r="I237" s="5" t="inlineStr">
        <is>
          <t>PIT @ CLE</t>
        </is>
      </c>
    </row>
    <row r="238">
      <c r="A238" s="5" t="inlineStr">
        <is>
          <t>Harold Fannin Jr.</t>
        </is>
      </c>
      <c r="B238" s="5" t="inlineStr">
        <is>
          <t>CLE</t>
        </is>
      </c>
      <c r="C238" s="5" t="inlineStr">
        <is>
          <t>Receptions</t>
        </is>
      </c>
      <c r="D238" s="5" t="n">
        <v>6.5</v>
      </c>
      <c r="E238" s="5" t="inlineStr">
        <is>
          <t>Less</t>
        </is>
      </c>
      <c r="F238" s="48" t="n">
        <v>0.699</v>
      </c>
      <c r="G238" s="5" t="n">
        <v>4.5</v>
      </c>
      <c r="H238" s="5" t="n">
        <v>2</v>
      </c>
      <c r="I238" s="5" t="inlineStr">
        <is>
          <t>PIT @ CLE</t>
        </is>
      </c>
    </row>
    <row r="239">
      <c r="A239" s="5" t="inlineStr">
        <is>
          <t>Harold Fannin Jr.</t>
        </is>
      </c>
      <c r="B239" s="5" t="inlineStr">
        <is>
          <t>CLE</t>
        </is>
      </c>
      <c r="C239" s="5" t="inlineStr">
        <is>
          <t>Receptions</t>
        </is>
      </c>
      <c r="D239" s="5" t="n">
        <v>7.5</v>
      </c>
      <c r="E239" s="5" t="inlineStr">
        <is>
          <t>Less</t>
        </is>
      </c>
      <c r="F239" s="48" t="n">
        <v>0.821</v>
      </c>
      <c r="G239" s="5" t="n">
        <v>4.5</v>
      </c>
      <c r="H239" s="5" t="n">
        <v>3</v>
      </c>
      <c r="I239" s="5" t="inlineStr">
        <is>
          <t>PIT @ CLE</t>
        </is>
      </c>
    </row>
    <row r="240">
      <c r="A240" s="5" t="inlineStr">
        <is>
          <t>Harold Fannin Jr.</t>
        </is>
      </c>
      <c r="B240" s="5" t="inlineStr">
        <is>
          <t>CLE</t>
        </is>
      </c>
      <c r="C240" s="5" t="inlineStr">
        <is>
          <t>Receptions</t>
        </is>
      </c>
      <c r="D240" s="5" t="n">
        <v>8.5</v>
      </c>
      <c r="E240" s="5" t="inlineStr">
        <is>
          <t>Less</t>
        </is>
      </c>
      <c r="F240" s="48" t="n">
        <v>0.87</v>
      </c>
      <c r="G240" s="5" t="n">
        <v>4.5</v>
      </c>
      <c r="H240" s="5" t="n">
        <v>4</v>
      </c>
      <c r="I240" s="5" t="inlineStr">
        <is>
          <t>PIT @ CLE</t>
        </is>
      </c>
    </row>
    <row r="241">
      <c r="A241" s="5" t="inlineStr">
        <is>
          <t>Harold Fannin Jr.</t>
        </is>
      </c>
      <c r="B241" s="5" t="inlineStr">
        <is>
          <t>CLE</t>
        </is>
      </c>
      <c r="C241" s="5" t="inlineStr">
        <is>
          <t>Receptions</t>
        </is>
      </c>
      <c r="D241" s="5" t="n">
        <v>9.5</v>
      </c>
      <c r="E241" s="5" t="inlineStr">
        <is>
          <t>Less</t>
        </is>
      </c>
      <c r="F241" s="48" t="n">
        <v>0.913</v>
      </c>
      <c r="G241" s="5" t="n">
        <v>4.5</v>
      </c>
      <c r="H241" s="5" t="n">
        <v>5</v>
      </c>
      <c r="I241" s="5" t="inlineStr">
        <is>
          <t>PIT @ CLE</t>
        </is>
      </c>
    </row>
    <row r="242">
      <c r="A242" s="5" t="inlineStr">
        <is>
          <t>Harold Fannin Jr.</t>
        </is>
      </c>
      <c r="B242" s="5" t="inlineStr">
        <is>
          <t>CLE</t>
        </is>
      </c>
      <c r="C242" s="5" t="inlineStr">
        <is>
          <t>Receptions</t>
        </is>
      </c>
      <c r="D242" s="5" t="n">
        <v>10.5</v>
      </c>
      <c r="E242" s="5" t="inlineStr">
        <is>
          <t>Less</t>
        </is>
      </c>
      <c r="F242" s="48" t="n">
        <v>0.947</v>
      </c>
      <c r="G242" s="5" t="n">
        <v>4.5</v>
      </c>
      <c r="H242" s="5" t="n">
        <v>6</v>
      </c>
      <c r="I242" s="5" t="inlineStr">
        <is>
          <t>PIT @ CLE</t>
        </is>
      </c>
    </row>
    <row r="243">
      <c r="A243" s="5" t="inlineStr">
        <is>
          <t>Isaiah Bond</t>
        </is>
      </c>
      <c r="B243" s="5" t="inlineStr">
        <is>
          <t>CLE</t>
        </is>
      </c>
      <c r="C243" s="5" t="inlineStr">
        <is>
          <t>Anytime TDs</t>
        </is>
      </c>
      <c r="D243" s="5" t="n">
        <v>0.5</v>
      </c>
      <c r="E243" s="5" t="inlineStr">
        <is>
          <t>Less</t>
        </is>
      </c>
      <c r="F243" s="48" t="n">
        <v>0.956</v>
      </c>
      <c r="G243" s="5" t="n">
        <v>0.5</v>
      </c>
      <c r="H243" s="5" t="n">
        <v>0</v>
      </c>
      <c r="I243" s="5" t="inlineStr">
        <is>
          <t>PIT @ CLE</t>
        </is>
      </c>
    </row>
    <row r="244">
      <c r="A244" s="5" t="inlineStr">
        <is>
          <t>Jaleel McLaughlin</t>
        </is>
      </c>
      <c r="B244" s="5" t="inlineStr">
        <is>
          <t>CLE</t>
        </is>
      </c>
      <c r="C244" s="5" t="inlineStr">
        <is>
          <t>Anytime TDs</t>
        </is>
      </c>
      <c r="D244" s="5" t="n">
        <v>0.5</v>
      </c>
      <c r="E244" s="5" t="inlineStr">
        <is>
          <t>Less</t>
        </is>
      </c>
      <c r="F244" s="48" t="n">
        <v>0.947</v>
      </c>
      <c r="G244" s="5" t="n">
        <v>0.5</v>
      </c>
      <c r="H244" s="5" t="n">
        <v>0</v>
      </c>
      <c r="I244" s="5" t="inlineStr">
        <is>
          <t>PIT @ CLE</t>
        </is>
      </c>
    </row>
    <row r="245">
      <c r="A245" s="5" t="inlineStr">
        <is>
          <t>Jaylen Warren</t>
        </is>
      </c>
      <c r="B245" s="5" t="inlineStr">
        <is>
          <t>PIT</t>
        </is>
      </c>
      <c r="C245" s="5" t="inlineStr">
        <is>
          <t>Anytime TDs</t>
        </is>
      </c>
      <c r="D245" s="5" t="n">
        <v>0.5</v>
      </c>
      <c r="E245" s="5" t="inlineStr">
        <is>
          <t>Less</t>
        </is>
      </c>
      <c r="F245" s="48" t="n">
        <v>0.526</v>
      </c>
      <c r="G245" s="5" t="n">
        <v>0.5</v>
      </c>
      <c r="H245" s="5" t="n">
        <v>0</v>
      </c>
      <c r="I245" s="5" t="inlineStr">
        <is>
          <t>PIT @ CLE</t>
        </is>
      </c>
    </row>
    <row r="246">
      <c r="A246" s="5" t="inlineStr">
        <is>
          <t>Jaylen Warren</t>
        </is>
      </c>
      <c r="B246" s="5" t="inlineStr">
        <is>
          <t>PIT</t>
        </is>
      </c>
      <c r="C246" s="5" t="inlineStr">
        <is>
          <t>Anytime TDs</t>
        </is>
      </c>
      <c r="D246" s="5" t="n">
        <v>2.5</v>
      </c>
      <c r="E246" s="5" t="inlineStr">
        <is>
          <t>Less</t>
        </is>
      </c>
      <c r="F246" s="48" t="n">
        <v>0.9419999999999999</v>
      </c>
      <c r="G246" s="5" t="n">
        <v>0.5</v>
      </c>
      <c r="H246" s="5" t="n">
        <v>2</v>
      </c>
      <c r="I246" s="5" t="inlineStr">
        <is>
          <t>PIT @ CLE</t>
        </is>
      </c>
    </row>
    <row r="247">
      <c r="A247" s="5" t="inlineStr">
        <is>
          <t>Jaylen Warren</t>
        </is>
      </c>
      <c r="B247" s="5" t="inlineStr">
        <is>
          <t>PIT</t>
        </is>
      </c>
      <c r="C247" s="5" t="inlineStr">
        <is>
          <t>Rec Yds</t>
        </is>
      </c>
      <c r="D247" s="5" t="n">
        <v>2.5</v>
      </c>
      <c r="E247" s="5" t="inlineStr">
        <is>
          <t>More</t>
        </is>
      </c>
      <c r="F247" s="48" t="n">
        <v>0.855</v>
      </c>
      <c r="G247" s="5" t="n">
        <v>22.5</v>
      </c>
      <c r="H247" s="5" t="n">
        <v>-10</v>
      </c>
      <c r="I247" s="5" t="inlineStr">
        <is>
          <t>PIT @ CLE</t>
        </is>
      </c>
    </row>
    <row r="248">
      <c r="A248" s="5" t="inlineStr">
        <is>
          <t>Jaylen Warren</t>
        </is>
      </c>
      <c r="B248" s="5" t="inlineStr">
        <is>
          <t>PIT</t>
        </is>
      </c>
      <c r="C248" s="5" t="inlineStr">
        <is>
          <t>Rec Yds</t>
        </is>
      </c>
      <c r="D248" s="5" t="n">
        <v>4.5</v>
      </c>
      <c r="E248" s="5" t="inlineStr">
        <is>
          <t>More</t>
        </is>
      </c>
      <c r="F248" s="48" t="n">
        <v>0.821</v>
      </c>
      <c r="G248" s="5" t="n">
        <v>22.5</v>
      </c>
      <c r="H248" s="5" t="n">
        <v>-9</v>
      </c>
      <c r="I248" s="5" t="inlineStr">
        <is>
          <t>PIT @ CLE</t>
        </is>
      </c>
    </row>
    <row r="249">
      <c r="A249" s="5" t="inlineStr">
        <is>
          <t>Jaylen Warren</t>
        </is>
      </c>
      <c r="B249" s="5" t="inlineStr">
        <is>
          <t>PIT</t>
        </is>
      </c>
      <c r="C249" s="5" t="inlineStr">
        <is>
          <t>Rec Yds</t>
        </is>
      </c>
      <c r="D249" s="5" t="n">
        <v>6.5</v>
      </c>
      <c r="E249" s="5" t="inlineStr">
        <is>
          <t>More</t>
        </is>
      </c>
      <c r="F249" s="48" t="n">
        <v>0.801</v>
      </c>
      <c r="G249" s="5" t="n">
        <v>22.5</v>
      </c>
      <c r="H249" s="5" t="n">
        <v>-8</v>
      </c>
      <c r="I249" s="5" t="inlineStr">
        <is>
          <t>PIT @ CLE</t>
        </is>
      </c>
    </row>
    <row r="250">
      <c r="A250" s="5" t="inlineStr">
        <is>
          <t>Jaylen Warren</t>
        </is>
      </c>
      <c r="B250" s="5" t="inlineStr">
        <is>
          <t>PIT</t>
        </is>
      </c>
      <c r="C250" s="5" t="inlineStr">
        <is>
          <t>Rec Yds</t>
        </is>
      </c>
      <c r="D250" s="5" t="n">
        <v>8.5</v>
      </c>
      <c r="E250" s="5" t="inlineStr">
        <is>
          <t>More</t>
        </is>
      </c>
      <c r="F250" s="48" t="n">
        <v>0.771</v>
      </c>
      <c r="G250" s="5" t="n">
        <v>22.5</v>
      </c>
      <c r="H250" s="5" t="n">
        <v>-7</v>
      </c>
      <c r="I250" s="5" t="inlineStr">
        <is>
          <t>PIT @ CLE</t>
        </is>
      </c>
    </row>
    <row r="251">
      <c r="A251" s="5" t="inlineStr">
        <is>
          <t>Jaylen Warren</t>
        </is>
      </c>
      <c r="B251" s="5" t="inlineStr">
        <is>
          <t>PIT</t>
        </is>
      </c>
      <c r="C251" s="5" t="inlineStr">
        <is>
          <t>Rec Yds</t>
        </is>
      </c>
      <c r="D251" s="5" t="n">
        <v>10.5</v>
      </c>
      <c r="E251" s="5" t="inlineStr">
        <is>
          <t>More</t>
        </is>
      </c>
      <c r="F251" s="48" t="n">
        <v>0.716</v>
      </c>
      <c r="G251" s="5" t="n">
        <v>22.5</v>
      </c>
      <c r="H251" s="5" t="n">
        <v>-6</v>
      </c>
      <c r="I251" s="5" t="inlineStr">
        <is>
          <t>PIT @ CLE</t>
        </is>
      </c>
    </row>
    <row r="252">
      <c r="A252" s="5" t="inlineStr">
        <is>
          <t>Jaylen Warren</t>
        </is>
      </c>
      <c r="B252" s="5" t="inlineStr">
        <is>
          <t>PIT</t>
        </is>
      </c>
      <c r="C252" s="5" t="inlineStr">
        <is>
          <t>Rec Yds</t>
        </is>
      </c>
      <c r="D252" s="5" t="n">
        <v>12.5</v>
      </c>
      <c r="E252" s="5" t="inlineStr">
        <is>
          <t>More</t>
        </is>
      </c>
      <c r="F252" s="48" t="n">
        <v>0.6860000000000001</v>
      </c>
      <c r="G252" s="5" t="n">
        <v>22.5</v>
      </c>
      <c r="H252" s="5" t="n">
        <v>-5</v>
      </c>
      <c r="I252" s="5" t="inlineStr">
        <is>
          <t>PIT @ CLE</t>
        </is>
      </c>
    </row>
    <row r="253">
      <c r="A253" s="5" t="inlineStr">
        <is>
          <t>Jaylen Warren</t>
        </is>
      </c>
      <c r="B253" s="5" t="inlineStr">
        <is>
          <t>PIT</t>
        </is>
      </c>
      <c r="C253" s="5" t="inlineStr">
        <is>
          <t>Rec Yds</t>
        </is>
      </c>
      <c r="D253" s="5" t="n">
        <v>14.5</v>
      </c>
      <c r="E253" s="5" t="inlineStr">
        <is>
          <t>More</t>
        </is>
      </c>
      <c r="F253" s="48" t="n">
        <v>0.657</v>
      </c>
      <c r="G253" s="5" t="n">
        <v>22.5</v>
      </c>
      <c r="H253" s="5" t="n">
        <v>-4</v>
      </c>
      <c r="I253" s="5" t="inlineStr">
        <is>
          <t>PIT @ CLE</t>
        </is>
      </c>
    </row>
    <row r="254">
      <c r="A254" s="5" t="inlineStr">
        <is>
          <t>Jaylen Warren</t>
        </is>
      </c>
      <c r="B254" s="5" t="inlineStr">
        <is>
          <t>PIT</t>
        </is>
      </c>
      <c r="C254" s="5" t="inlineStr">
        <is>
          <t>Rec Yds</t>
        </is>
      </c>
      <c r="D254" s="5" t="n">
        <v>16.5</v>
      </c>
      <c r="E254" s="5" t="inlineStr">
        <is>
          <t>More</t>
        </is>
      </c>
      <c r="F254" s="48" t="n">
        <v>0.602</v>
      </c>
      <c r="G254" s="5" t="n">
        <v>22.5</v>
      </c>
      <c r="H254" s="5" t="n">
        <v>-3</v>
      </c>
      <c r="I254" s="5" t="inlineStr">
        <is>
          <t>PIT @ CLE</t>
        </is>
      </c>
    </row>
    <row r="255">
      <c r="A255" s="5" t="inlineStr">
        <is>
          <t>Jaylen Warren</t>
        </is>
      </c>
      <c r="B255" s="5" t="inlineStr">
        <is>
          <t>PIT</t>
        </is>
      </c>
      <c r="C255" s="5" t="inlineStr">
        <is>
          <t>Rec Yds</t>
        </is>
      </c>
      <c r="D255" s="5" t="n">
        <v>18.5</v>
      </c>
      <c r="E255" s="5" t="inlineStr">
        <is>
          <t>More</t>
        </is>
      </c>
      <c r="F255" s="48" t="n">
        <v>0.571</v>
      </c>
      <c r="G255" s="5" t="n">
        <v>22.5</v>
      </c>
      <c r="H255" s="5" t="n">
        <v>-2</v>
      </c>
      <c r="I255" s="5" t="inlineStr">
        <is>
          <t>PIT @ CLE</t>
        </is>
      </c>
    </row>
    <row r="256">
      <c r="A256" s="5" t="inlineStr">
        <is>
          <t>Jaylen Warren</t>
        </is>
      </c>
      <c r="B256" s="5" t="inlineStr">
        <is>
          <t>PIT</t>
        </is>
      </c>
      <c r="C256" s="5" t="inlineStr">
        <is>
          <t>Rec Yds</t>
        </is>
      </c>
      <c r="D256" s="5" t="n">
        <v>20.5</v>
      </c>
      <c r="E256" s="5" t="inlineStr">
        <is>
          <t>More</t>
        </is>
      </c>
      <c r="F256" s="48" t="n">
        <v>0.545</v>
      </c>
      <c r="G256" s="5" t="n">
        <v>22.5</v>
      </c>
      <c r="H256" s="5" t="n">
        <v>-1</v>
      </c>
      <c r="I256" s="5" t="inlineStr">
        <is>
          <t>PIT @ CLE</t>
        </is>
      </c>
    </row>
    <row r="257">
      <c r="A257" s="5" t="inlineStr">
        <is>
          <t>Jaylen Warren</t>
        </is>
      </c>
      <c r="B257" s="5" t="inlineStr">
        <is>
          <t>PIT</t>
        </is>
      </c>
      <c r="C257" s="5" t="inlineStr">
        <is>
          <t>Rec Yds</t>
        </is>
      </c>
      <c r="D257" s="5" t="n">
        <v>22.5</v>
      </c>
      <c r="E257" s="5" t="inlineStr">
        <is>
          <t>More</t>
        </is>
      </c>
      <c r="F257" s="48" t="n">
        <v>0.522</v>
      </c>
      <c r="G257" s="5" t="n">
        <v>22.5</v>
      </c>
      <c r="H257" s="5" t="n">
        <v>0</v>
      </c>
      <c r="I257" s="5" t="inlineStr">
        <is>
          <t>PIT @ CLE</t>
        </is>
      </c>
    </row>
    <row r="258">
      <c r="A258" s="5" t="inlineStr">
        <is>
          <t>Jaylen Warren</t>
        </is>
      </c>
      <c r="B258" s="5" t="inlineStr">
        <is>
          <t>PIT</t>
        </is>
      </c>
      <c r="C258" s="5" t="inlineStr">
        <is>
          <t>Rec Yds</t>
        </is>
      </c>
      <c r="D258" s="5" t="n">
        <v>24.5</v>
      </c>
      <c r="E258" s="5" t="inlineStr">
        <is>
          <t>Less</t>
        </is>
      </c>
      <c r="F258" s="48" t="n">
        <v>0.533</v>
      </c>
      <c r="G258" s="5" t="n">
        <v>22.5</v>
      </c>
      <c r="H258" s="5" t="n">
        <v>1</v>
      </c>
      <c r="I258" s="5" t="inlineStr">
        <is>
          <t>PIT @ CLE</t>
        </is>
      </c>
    </row>
    <row r="259">
      <c r="A259" s="5" t="inlineStr">
        <is>
          <t>Jaylen Warren</t>
        </is>
      </c>
      <c r="B259" s="5" t="inlineStr">
        <is>
          <t>PIT</t>
        </is>
      </c>
      <c r="C259" s="5" t="inlineStr">
        <is>
          <t>Rec Yds</t>
        </is>
      </c>
      <c r="D259" s="5" t="n">
        <v>26.5</v>
      </c>
      <c r="E259" s="5" t="inlineStr">
        <is>
          <t>Less</t>
        </is>
      </c>
      <c r="F259" s="48" t="n">
        <v>0.556</v>
      </c>
      <c r="G259" s="5" t="n">
        <v>22.5</v>
      </c>
      <c r="H259" s="5" t="n">
        <v>2</v>
      </c>
      <c r="I259" s="5" t="inlineStr">
        <is>
          <t>PIT @ CLE</t>
        </is>
      </c>
    </row>
    <row r="260">
      <c r="A260" s="5" t="inlineStr">
        <is>
          <t>Jaylen Warren</t>
        </is>
      </c>
      <c r="B260" s="5" t="inlineStr">
        <is>
          <t>PIT</t>
        </is>
      </c>
      <c r="C260" s="5" t="inlineStr">
        <is>
          <t>Rec Yds</t>
        </is>
      </c>
      <c r="D260" s="5" t="n">
        <v>28.5</v>
      </c>
      <c r="E260" s="5" t="inlineStr">
        <is>
          <t>Less</t>
        </is>
      </c>
      <c r="F260" s="48" t="n">
        <v>0.578</v>
      </c>
      <c r="G260" s="5" t="n">
        <v>22.5</v>
      </c>
      <c r="H260" s="5" t="n">
        <v>3</v>
      </c>
      <c r="I260" s="5" t="inlineStr">
        <is>
          <t>PIT @ CLE</t>
        </is>
      </c>
    </row>
    <row r="261">
      <c r="A261" s="5" t="inlineStr">
        <is>
          <t>Jaylen Warren</t>
        </is>
      </c>
      <c r="B261" s="5" t="inlineStr">
        <is>
          <t>PIT</t>
        </is>
      </c>
      <c r="C261" s="5" t="inlineStr">
        <is>
          <t>Rec Yds</t>
        </is>
      </c>
      <c r="D261" s="5" t="n">
        <v>30.5</v>
      </c>
      <c r="E261" s="5" t="inlineStr">
        <is>
          <t>Less</t>
        </is>
      </c>
      <c r="F261" s="48" t="n">
        <v>0.619</v>
      </c>
      <c r="G261" s="5" t="n">
        <v>22.5</v>
      </c>
      <c r="H261" s="5" t="n">
        <v>4</v>
      </c>
      <c r="I261" s="5" t="inlineStr">
        <is>
          <t>PIT @ CLE</t>
        </is>
      </c>
    </row>
    <row r="262">
      <c r="A262" s="5" t="inlineStr">
        <is>
          <t>Jaylen Warren</t>
        </is>
      </c>
      <c r="B262" s="5" t="inlineStr">
        <is>
          <t>PIT</t>
        </is>
      </c>
      <c r="C262" s="5" t="inlineStr">
        <is>
          <t>Rec Yds</t>
        </is>
      </c>
      <c r="D262" s="5" t="n">
        <v>32.5</v>
      </c>
      <c r="E262" s="5" t="inlineStr">
        <is>
          <t>Less</t>
        </is>
      </c>
      <c r="F262" s="48" t="n">
        <v>0.637</v>
      </c>
      <c r="G262" s="5" t="n">
        <v>22.5</v>
      </c>
      <c r="H262" s="5" t="n">
        <v>5</v>
      </c>
      <c r="I262" s="5" t="inlineStr">
        <is>
          <t>PIT @ CLE</t>
        </is>
      </c>
    </row>
    <row r="263">
      <c r="A263" s="5" t="inlineStr">
        <is>
          <t>Jaylen Warren</t>
        </is>
      </c>
      <c r="B263" s="5" t="inlineStr">
        <is>
          <t>PIT</t>
        </is>
      </c>
      <c r="C263" s="5" t="inlineStr">
        <is>
          <t>Rec Yds</t>
        </is>
      </c>
      <c r="D263" s="5" t="n">
        <v>34.5</v>
      </c>
      <c r="E263" s="5" t="inlineStr">
        <is>
          <t>Less</t>
        </is>
      </c>
      <c r="F263" s="48" t="n">
        <v>0.657</v>
      </c>
      <c r="G263" s="5" t="n">
        <v>22.5</v>
      </c>
      <c r="H263" s="5" t="n">
        <v>6</v>
      </c>
      <c r="I263" s="5" t="inlineStr">
        <is>
          <t>PIT @ CLE</t>
        </is>
      </c>
    </row>
    <row r="264">
      <c r="A264" s="5" t="inlineStr">
        <is>
          <t>Jaylen Warren</t>
        </is>
      </c>
      <c r="B264" s="5" t="inlineStr">
        <is>
          <t>PIT</t>
        </is>
      </c>
      <c r="C264" s="5" t="inlineStr">
        <is>
          <t>Rec Yds</t>
        </is>
      </c>
      <c r="D264" s="5" t="n">
        <v>36.5</v>
      </c>
      <c r="E264" s="5" t="inlineStr">
        <is>
          <t>Less</t>
        </is>
      </c>
      <c r="F264" s="48" t="n">
        <v>0.697</v>
      </c>
      <c r="G264" s="5" t="n">
        <v>22.5</v>
      </c>
      <c r="H264" s="5" t="n">
        <v>7</v>
      </c>
      <c r="I264" s="5" t="inlineStr">
        <is>
          <t>PIT @ CLE</t>
        </is>
      </c>
    </row>
    <row r="265">
      <c r="A265" s="5" t="inlineStr">
        <is>
          <t>Jaylen Warren</t>
        </is>
      </c>
      <c r="B265" s="5" t="inlineStr">
        <is>
          <t>PIT</t>
        </is>
      </c>
      <c r="C265" s="5" t="inlineStr">
        <is>
          <t>Rec Yds</t>
        </is>
      </c>
      <c r="D265" s="5" t="n">
        <v>38.5</v>
      </c>
      <c r="E265" s="5" t="inlineStr">
        <is>
          <t>Less</t>
        </is>
      </c>
      <c r="F265" s="48" t="n">
        <v>0.714</v>
      </c>
      <c r="G265" s="5" t="n">
        <v>22.5</v>
      </c>
      <c r="H265" s="5" t="n">
        <v>8</v>
      </c>
      <c r="I265" s="5" t="inlineStr">
        <is>
          <t>PIT @ CLE</t>
        </is>
      </c>
    </row>
    <row r="266">
      <c r="A266" s="5" t="inlineStr">
        <is>
          <t>Jaylen Warren</t>
        </is>
      </c>
      <c r="B266" s="5" t="inlineStr">
        <is>
          <t>PIT</t>
        </is>
      </c>
      <c r="C266" s="5" t="inlineStr">
        <is>
          <t>Rec Yds</t>
        </is>
      </c>
      <c r="D266" s="5" t="n">
        <v>40.5</v>
      </c>
      <c r="E266" s="5" t="inlineStr">
        <is>
          <t>Less</t>
        </is>
      </c>
      <c r="F266" s="48" t="n">
        <v>0.726</v>
      </c>
      <c r="G266" s="5" t="n">
        <v>22.5</v>
      </c>
      <c r="H266" s="5" t="n">
        <v>9</v>
      </c>
      <c r="I266" s="5" t="inlineStr">
        <is>
          <t>PIT @ CLE</t>
        </is>
      </c>
    </row>
    <row r="267">
      <c r="A267" s="5" t="inlineStr">
        <is>
          <t>Jaylen Warren</t>
        </is>
      </c>
      <c r="B267" s="5" t="inlineStr">
        <is>
          <t>PIT</t>
        </is>
      </c>
      <c r="C267" s="5" t="inlineStr">
        <is>
          <t>Rec Yds</t>
        </is>
      </c>
      <c r="D267" s="5" t="n">
        <v>42.5</v>
      </c>
      <c r="E267" s="5" t="inlineStr">
        <is>
          <t>Less</t>
        </is>
      </c>
      <c r="F267" s="48" t="n">
        <v>0.756</v>
      </c>
      <c r="G267" s="5" t="n">
        <v>22.5</v>
      </c>
      <c r="H267" s="5" t="n">
        <v>10</v>
      </c>
      <c r="I267" s="5" t="inlineStr">
        <is>
          <t>PIT @ CLE</t>
        </is>
      </c>
    </row>
    <row r="268">
      <c r="A268" s="5" t="inlineStr">
        <is>
          <t>Jaylen Warren</t>
        </is>
      </c>
      <c r="B268" s="5" t="inlineStr">
        <is>
          <t>PIT</t>
        </is>
      </c>
      <c r="C268" s="5" t="inlineStr">
        <is>
          <t>Receptions</t>
        </is>
      </c>
      <c r="D268" s="5" t="n">
        <v>0.5</v>
      </c>
      <c r="E268" s="5" t="inlineStr">
        <is>
          <t>More</t>
        </is>
      </c>
      <c r="F268" s="48" t="n">
        <v>0.895</v>
      </c>
      <c r="G268" s="5" t="n">
        <v>3.5</v>
      </c>
      <c r="H268" s="5" t="n">
        <v>-3</v>
      </c>
      <c r="I268" s="5" t="inlineStr">
        <is>
          <t>PIT @ CLE</t>
        </is>
      </c>
    </row>
    <row r="269">
      <c r="A269" s="5" t="inlineStr">
        <is>
          <t>Jaylen Warren</t>
        </is>
      </c>
      <c r="B269" s="5" t="inlineStr">
        <is>
          <t>PIT</t>
        </is>
      </c>
      <c r="C269" s="5" t="inlineStr">
        <is>
          <t>Receptions</t>
        </is>
      </c>
      <c r="D269" s="5" t="n">
        <v>1.5</v>
      </c>
      <c r="E269" s="5" t="inlineStr">
        <is>
          <t>More</t>
        </is>
      </c>
      <c r="F269" s="48" t="n">
        <v>0.795</v>
      </c>
      <c r="G269" s="5" t="n">
        <v>3.5</v>
      </c>
      <c r="H269" s="5" t="n">
        <v>-2</v>
      </c>
      <c r="I269" s="5" t="inlineStr">
        <is>
          <t>PIT @ CLE</t>
        </is>
      </c>
    </row>
    <row r="270">
      <c r="A270" s="5" t="inlineStr">
        <is>
          <t>Jaylen Warren</t>
        </is>
      </c>
      <c r="B270" s="5" t="inlineStr">
        <is>
          <t>PIT</t>
        </is>
      </c>
      <c r="C270" s="5" t="inlineStr">
        <is>
          <t>Receptions</t>
        </is>
      </c>
      <c r="D270" s="5" t="n">
        <v>2.5</v>
      </c>
      <c r="E270" s="5" t="inlineStr">
        <is>
          <t>More</t>
        </is>
      </c>
      <c r="F270" s="48" t="n">
        <v>0.7</v>
      </c>
      <c r="G270" s="5" t="n">
        <v>3.5</v>
      </c>
      <c r="H270" s="5" t="n">
        <v>-1</v>
      </c>
      <c r="I270" s="5" t="inlineStr">
        <is>
          <t>PIT @ CLE</t>
        </is>
      </c>
    </row>
    <row r="271">
      <c r="A271" s="5" t="inlineStr">
        <is>
          <t>Jaylen Warren</t>
        </is>
      </c>
      <c r="B271" s="5" t="inlineStr">
        <is>
          <t>PIT</t>
        </is>
      </c>
      <c r="C271" s="5" t="inlineStr">
        <is>
          <t>Receptions</t>
        </is>
      </c>
      <c r="D271" s="5" t="n">
        <v>3.5</v>
      </c>
      <c r="E271" s="5" t="inlineStr">
        <is>
          <t>Less</t>
        </is>
      </c>
      <c r="F271" s="48" t="n">
        <v>0.546</v>
      </c>
      <c r="G271" s="5" t="n">
        <v>3.5</v>
      </c>
      <c r="H271" s="5" t="n">
        <v>0</v>
      </c>
      <c r="I271" s="5" t="inlineStr">
        <is>
          <t>PIT @ CLE</t>
        </is>
      </c>
    </row>
    <row r="272">
      <c r="A272" s="5" t="inlineStr">
        <is>
          <t>Jaylen Warren</t>
        </is>
      </c>
      <c r="B272" s="5" t="inlineStr">
        <is>
          <t>PIT</t>
        </is>
      </c>
      <c r="C272" s="5" t="inlineStr">
        <is>
          <t>Receptions</t>
        </is>
      </c>
      <c r="D272" s="5" t="n">
        <v>4.5</v>
      </c>
      <c r="E272" s="5" t="inlineStr">
        <is>
          <t>Less</t>
        </is>
      </c>
      <c r="F272" s="48" t="n">
        <v>0.646</v>
      </c>
      <c r="G272" s="5" t="n">
        <v>3.5</v>
      </c>
      <c r="H272" s="5" t="n">
        <v>1</v>
      </c>
      <c r="I272" s="5" t="inlineStr">
        <is>
          <t>PIT @ CLE</t>
        </is>
      </c>
    </row>
    <row r="273">
      <c r="A273" s="5" t="inlineStr">
        <is>
          <t>Jaylen Warren</t>
        </is>
      </c>
      <c r="B273" s="5" t="inlineStr">
        <is>
          <t>PIT</t>
        </is>
      </c>
      <c r="C273" s="5" t="inlineStr">
        <is>
          <t>Receptions</t>
        </is>
      </c>
      <c r="D273" s="5" t="n">
        <v>5.5</v>
      </c>
      <c r="E273" s="5" t="inlineStr">
        <is>
          <t>Less</t>
        </is>
      </c>
      <c r="F273" s="48" t="n">
        <v>0.74</v>
      </c>
      <c r="G273" s="5" t="n">
        <v>3.5</v>
      </c>
      <c r="H273" s="5" t="n">
        <v>2</v>
      </c>
      <c r="I273" s="5" t="inlineStr">
        <is>
          <t>PIT @ CLE</t>
        </is>
      </c>
    </row>
    <row r="274">
      <c r="A274" s="5" t="inlineStr">
        <is>
          <t>Jaylen Warren</t>
        </is>
      </c>
      <c r="B274" s="5" t="inlineStr">
        <is>
          <t>PIT</t>
        </is>
      </c>
      <c r="C274" s="5" t="inlineStr">
        <is>
          <t>Receptions</t>
        </is>
      </c>
      <c r="D274" s="5" t="n">
        <v>6.5</v>
      </c>
      <c r="E274" s="5" t="inlineStr">
        <is>
          <t>Less</t>
        </is>
      </c>
      <c r="F274" s="48" t="n">
        <v>0.861</v>
      </c>
      <c r="G274" s="5" t="n">
        <v>3.5</v>
      </c>
      <c r="H274" s="5" t="n">
        <v>3</v>
      </c>
      <c r="I274" s="5" t="inlineStr">
        <is>
          <t>PIT @ CLE</t>
        </is>
      </c>
    </row>
    <row r="275">
      <c r="A275" s="5" t="inlineStr">
        <is>
          <t>Jaylen Warren</t>
        </is>
      </c>
      <c r="B275" s="5" t="inlineStr">
        <is>
          <t>PIT</t>
        </is>
      </c>
      <c r="C275" s="5" t="inlineStr">
        <is>
          <t>Receptions</t>
        </is>
      </c>
      <c r="D275" s="5" t="n">
        <v>7.5</v>
      </c>
      <c r="E275" s="5" t="inlineStr">
        <is>
          <t>Less</t>
        </is>
      </c>
      <c r="F275" s="48" t="n">
        <v>0.895</v>
      </c>
      <c r="G275" s="5" t="n">
        <v>3.5</v>
      </c>
      <c r="H275" s="5" t="n">
        <v>4</v>
      </c>
      <c r="I275" s="5" t="inlineStr">
        <is>
          <t>PIT @ CLE</t>
        </is>
      </c>
    </row>
    <row r="276">
      <c r="A276" s="5" t="inlineStr">
        <is>
          <t>Jaylen Warren</t>
        </is>
      </c>
      <c r="B276" s="5" t="inlineStr">
        <is>
          <t>PIT</t>
        </is>
      </c>
      <c r="C276" s="5" t="inlineStr">
        <is>
          <t>Receptions</t>
        </is>
      </c>
      <c r="D276" s="5" t="n">
        <v>8.5</v>
      </c>
      <c r="E276" s="5" t="inlineStr">
        <is>
          <t>Less</t>
        </is>
      </c>
      <c r="F276" s="48" t="n">
        <v>0.9340000000000001</v>
      </c>
      <c r="G276" s="5" t="n">
        <v>3.5</v>
      </c>
      <c r="H276" s="5" t="n">
        <v>5</v>
      </c>
      <c r="I276" s="5" t="inlineStr">
        <is>
          <t>PIT @ CLE</t>
        </is>
      </c>
    </row>
    <row r="277">
      <c r="A277" s="5" t="inlineStr">
        <is>
          <t>Jaylen Warren</t>
        </is>
      </c>
      <c r="B277" s="5" t="inlineStr">
        <is>
          <t>PIT</t>
        </is>
      </c>
      <c r="C277" s="5" t="inlineStr">
        <is>
          <t>Rush Yds</t>
        </is>
      </c>
      <c r="D277" s="5" t="n">
        <v>23.5</v>
      </c>
      <c r="E277" s="5" t="inlineStr">
        <is>
          <t>More</t>
        </is>
      </c>
      <c r="F277" s="48" t="n">
        <v>0.9360000000000001</v>
      </c>
      <c r="G277" s="5" t="n">
        <v>73.5</v>
      </c>
      <c r="H277" s="5" t="n">
        <v>-10</v>
      </c>
      <c r="I277" s="5" t="inlineStr">
        <is>
          <t>PIT @ CLE</t>
        </is>
      </c>
    </row>
    <row r="278">
      <c r="A278" s="5" t="inlineStr">
        <is>
          <t>Jaylen Warren</t>
        </is>
      </c>
      <c r="B278" s="5" t="inlineStr">
        <is>
          <t>PIT</t>
        </is>
      </c>
      <c r="C278" s="5" t="inlineStr">
        <is>
          <t>Rush Yds</t>
        </is>
      </c>
      <c r="D278" s="5" t="n">
        <v>28.5</v>
      </c>
      <c r="E278" s="5" t="inlineStr">
        <is>
          <t>More</t>
        </is>
      </c>
      <c r="F278" s="48" t="n">
        <v>0.909</v>
      </c>
      <c r="G278" s="5" t="n">
        <v>73.5</v>
      </c>
      <c r="H278" s="5" t="n">
        <v>-9</v>
      </c>
      <c r="I278" s="5" t="inlineStr">
        <is>
          <t>PIT @ CLE</t>
        </is>
      </c>
    </row>
    <row r="279">
      <c r="A279" s="5" t="inlineStr">
        <is>
          <t>Jaylen Warren</t>
        </is>
      </c>
      <c r="B279" s="5" t="inlineStr">
        <is>
          <t>PIT</t>
        </is>
      </c>
      <c r="C279" s="5" t="inlineStr">
        <is>
          <t>Rush Yds</t>
        </is>
      </c>
      <c r="D279" s="5" t="n">
        <v>33.5</v>
      </c>
      <c r="E279" s="5" t="inlineStr">
        <is>
          <t>More</t>
        </is>
      </c>
      <c r="F279" s="48" t="n">
        <v>0.877</v>
      </c>
      <c r="G279" s="5" t="n">
        <v>73.5</v>
      </c>
      <c r="H279" s="5" t="n">
        <v>-8</v>
      </c>
      <c r="I279" s="5" t="inlineStr">
        <is>
          <t>PIT @ CLE</t>
        </is>
      </c>
    </row>
    <row r="280">
      <c r="A280" s="5" t="inlineStr">
        <is>
          <t>Jaylen Warren</t>
        </is>
      </c>
      <c r="B280" s="5" t="inlineStr">
        <is>
          <t>PIT</t>
        </is>
      </c>
      <c r="C280" s="5" t="inlineStr">
        <is>
          <t>Rush Yds</t>
        </is>
      </c>
      <c r="D280" s="5" t="n">
        <v>38.5</v>
      </c>
      <c r="E280" s="5" t="inlineStr">
        <is>
          <t>More</t>
        </is>
      </c>
      <c r="F280" s="48" t="n">
        <v>0.834</v>
      </c>
      <c r="G280" s="5" t="n">
        <v>73.5</v>
      </c>
      <c r="H280" s="5" t="n">
        <v>-7</v>
      </c>
      <c r="I280" s="5" t="inlineStr">
        <is>
          <t>PIT @ CLE</t>
        </is>
      </c>
    </row>
    <row r="281">
      <c r="A281" s="5" t="inlineStr">
        <is>
          <t>Jaylen Warren</t>
        </is>
      </c>
      <c r="B281" s="5" t="inlineStr">
        <is>
          <t>PIT</t>
        </is>
      </c>
      <c r="C281" s="5" t="inlineStr">
        <is>
          <t>Rush Yds</t>
        </is>
      </c>
      <c r="D281" s="5" t="n">
        <v>43.5</v>
      </c>
      <c r="E281" s="5" t="inlineStr">
        <is>
          <t>More</t>
        </is>
      </c>
      <c r="F281" s="48" t="n">
        <v>0.788</v>
      </c>
      <c r="G281" s="5" t="n">
        <v>73.5</v>
      </c>
      <c r="H281" s="5" t="n">
        <v>-6</v>
      </c>
      <c r="I281" s="5" t="inlineStr">
        <is>
          <t>PIT @ CLE</t>
        </is>
      </c>
    </row>
    <row r="282">
      <c r="A282" s="5" t="inlineStr">
        <is>
          <t>Jaylen Warren</t>
        </is>
      </c>
      <c r="B282" s="5" t="inlineStr">
        <is>
          <t>PIT</t>
        </is>
      </c>
      <c r="C282" s="5" t="inlineStr">
        <is>
          <t>Rush Yds</t>
        </is>
      </c>
      <c r="D282" s="5" t="n">
        <v>48.5</v>
      </c>
      <c r="E282" s="5" t="inlineStr">
        <is>
          <t>More</t>
        </is>
      </c>
      <c r="F282" s="48" t="n">
        <v>0.746</v>
      </c>
      <c r="G282" s="5" t="n">
        <v>73.5</v>
      </c>
      <c r="H282" s="5" t="n">
        <v>-5</v>
      </c>
      <c r="I282" s="5" t="inlineStr">
        <is>
          <t>PIT @ CLE</t>
        </is>
      </c>
    </row>
    <row r="283">
      <c r="A283" s="5" t="inlineStr">
        <is>
          <t>Jaylen Warren</t>
        </is>
      </c>
      <c r="B283" s="5" t="inlineStr">
        <is>
          <t>PIT</t>
        </is>
      </c>
      <c r="C283" s="5" t="inlineStr">
        <is>
          <t>Rush Yds</t>
        </is>
      </c>
      <c r="D283" s="5" t="n">
        <v>53.5</v>
      </c>
      <c r="E283" s="5" t="inlineStr">
        <is>
          <t>More</t>
        </is>
      </c>
      <c r="F283" s="48" t="n">
        <v>0.6929999999999999</v>
      </c>
      <c r="G283" s="5" t="n">
        <v>73.5</v>
      </c>
      <c r="H283" s="5" t="n">
        <v>-4</v>
      </c>
      <c r="I283" s="5" t="inlineStr">
        <is>
          <t>PIT @ CLE</t>
        </is>
      </c>
    </row>
    <row r="284">
      <c r="A284" s="5" t="inlineStr">
        <is>
          <t>Jaylen Warren</t>
        </is>
      </c>
      <c r="B284" s="5" t="inlineStr">
        <is>
          <t>PIT</t>
        </is>
      </c>
      <c r="C284" s="5" t="inlineStr">
        <is>
          <t>Rush Yds</t>
        </is>
      </c>
      <c r="D284" s="5" t="n">
        <v>58.5</v>
      </c>
      <c r="E284" s="5" t="inlineStr">
        <is>
          <t>More</t>
        </is>
      </c>
      <c r="F284" s="48" t="n">
        <v>0.634</v>
      </c>
      <c r="G284" s="5" t="n">
        <v>73.5</v>
      </c>
      <c r="H284" s="5" t="n">
        <v>-3</v>
      </c>
      <c r="I284" s="5" t="inlineStr">
        <is>
          <t>PIT @ CLE</t>
        </is>
      </c>
    </row>
    <row r="285">
      <c r="A285" s="5" t="inlineStr">
        <is>
          <t>Jaylen Warren</t>
        </is>
      </c>
      <c r="B285" s="5" t="inlineStr">
        <is>
          <t>PIT</t>
        </is>
      </c>
      <c r="C285" s="5" t="inlineStr">
        <is>
          <t>Rush Yds</t>
        </is>
      </c>
      <c r="D285" s="5" t="n">
        <v>63.5</v>
      </c>
      <c r="E285" s="5" t="inlineStr">
        <is>
          <t>More</t>
        </is>
      </c>
      <c r="F285" s="48" t="n">
        <v>0.597</v>
      </c>
      <c r="G285" s="5" t="n">
        <v>73.5</v>
      </c>
      <c r="H285" s="5" t="n">
        <v>-2</v>
      </c>
      <c r="I285" s="5" t="inlineStr">
        <is>
          <t>PIT @ CLE</t>
        </is>
      </c>
    </row>
    <row r="286">
      <c r="A286" s="5" t="inlineStr">
        <is>
          <t>Jaylen Warren</t>
        </is>
      </c>
      <c r="B286" s="5" t="inlineStr">
        <is>
          <t>PIT</t>
        </is>
      </c>
      <c r="C286" s="5" t="inlineStr">
        <is>
          <t>Rush Yds</t>
        </is>
      </c>
      <c r="D286" s="5" t="n">
        <v>68.5</v>
      </c>
      <c r="E286" s="5" t="inlineStr">
        <is>
          <t>More</t>
        </is>
      </c>
      <c r="F286" s="48" t="n">
        <v>0.545</v>
      </c>
      <c r="G286" s="5" t="n">
        <v>73.5</v>
      </c>
      <c r="H286" s="5" t="n">
        <v>-1</v>
      </c>
      <c r="I286" s="5" t="inlineStr">
        <is>
          <t>PIT @ CLE</t>
        </is>
      </c>
    </row>
    <row r="287">
      <c r="A287" s="5" t="inlineStr">
        <is>
          <t>Jaylen Warren</t>
        </is>
      </c>
      <c r="B287" s="5" t="inlineStr">
        <is>
          <t>PIT</t>
        </is>
      </c>
      <c r="C287" s="5" t="inlineStr">
        <is>
          <t>Rush Yds</t>
        </is>
      </c>
      <c r="D287" s="5" t="n">
        <v>73.5</v>
      </c>
      <c r="E287" s="5" t="inlineStr">
        <is>
          <t>Less</t>
        </is>
      </c>
      <c r="F287" s="48" t="n">
        <v>0.502</v>
      </c>
      <c r="G287" s="5" t="n">
        <v>73.5</v>
      </c>
      <c r="H287" s="5" t="n">
        <v>0</v>
      </c>
      <c r="I287" s="5" t="inlineStr">
        <is>
          <t>PIT @ CLE</t>
        </is>
      </c>
    </row>
    <row r="288">
      <c r="A288" s="5" t="inlineStr">
        <is>
          <t>Jaylen Warren</t>
        </is>
      </c>
      <c r="B288" s="5" t="inlineStr">
        <is>
          <t>PIT</t>
        </is>
      </c>
      <c r="C288" s="5" t="inlineStr">
        <is>
          <t>Rush Yds</t>
        </is>
      </c>
      <c r="D288" s="5" t="n">
        <v>78.5</v>
      </c>
      <c r="E288" s="5" t="inlineStr">
        <is>
          <t>Less</t>
        </is>
      </c>
      <c r="F288" s="48" t="n">
        <v>0.541</v>
      </c>
      <c r="G288" s="5" t="n">
        <v>73.5</v>
      </c>
      <c r="H288" s="5" t="n">
        <v>1</v>
      </c>
      <c r="I288" s="5" t="inlineStr">
        <is>
          <t>PIT @ CLE</t>
        </is>
      </c>
    </row>
    <row r="289">
      <c r="A289" s="5" t="inlineStr">
        <is>
          <t>Jaylen Warren</t>
        </is>
      </c>
      <c r="B289" s="5" t="inlineStr">
        <is>
          <t>PIT</t>
        </is>
      </c>
      <c r="C289" s="5" t="inlineStr">
        <is>
          <t>Rush Yds</t>
        </is>
      </c>
      <c r="D289" s="5" t="n">
        <v>83.5</v>
      </c>
      <c r="E289" s="5" t="inlineStr">
        <is>
          <t>Less</t>
        </is>
      </c>
      <c r="F289" s="48" t="n">
        <v>0.588</v>
      </c>
      <c r="G289" s="5" t="n">
        <v>73.5</v>
      </c>
      <c r="H289" s="5" t="n">
        <v>2</v>
      </c>
      <c r="I289" s="5" t="inlineStr">
        <is>
          <t>PIT @ CLE</t>
        </is>
      </c>
    </row>
    <row r="290">
      <c r="A290" s="5" t="inlineStr">
        <is>
          <t>Jaylen Warren</t>
        </is>
      </c>
      <c r="B290" s="5" t="inlineStr">
        <is>
          <t>PIT</t>
        </is>
      </c>
      <c r="C290" s="5" t="inlineStr">
        <is>
          <t>Rush Yds</t>
        </is>
      </c>
      <c r="D290" s="5" t="n">
        <v>88.5</v>
      </c>
      <c r="E290" s="5" t="inlineStr">
        <is>
          <t>Less</t>
        </is>
      </c>
      <c r="F290" s="48" t="n">
        <v>0.629</v>
      </c>
      <c r="G290" s="5" t="n">
        <v>73.5</v>
      </c>
      <c r="H290" s="5" t="n">
        <v>3</v>
      </c>
      <c r="I290" s="5" t="inlineStr">
        <is>
          <t>PIT @ CLE</t>
        </is>
      </c>
    </row>
    <row r="291">
      <c r="A291" s="5" t="inlineStr">
        <is>
          <t>Jaylen Warren</t>
        </is>
      </c>
      <c r="B291" s="5" t="inlineStr">
        <is>
          <t>PIT</t>
        </is>
      </c>
      <c r="C291" s="5" t="inlineStr">
        <is>
          <t>Rush Yds</t>
        </is>
      </c>
      <c r="D291" s="5" t="n">
        <v>93.5</v>
      </c>
      <c r="E291" s="5" t="inlineStr">
        <is>
          <t>Less</t>
        </is>
      </c>
      <c r="F291" s="48" t="n">
        <v>0.669</v>
      </c>
      <c r="G291" s="5" t="n">
        <v>73.5</v>
      </c>
      <c r="H291" s="5" t="n">
        <v>4</v>
      </c>
      <c r="I291" s="5" t="inlineStr">
        <is>
          <t>PIT @ CLE</t>
        </is>
      </c>
    </row>
    <row r="292">
      <c r="A292" s="5" t="inlineStr">
        <is>
          <t>Jaylen Warren</t>
        </is>
      </c>
      <c r="B292" s="5" t="inlineStr">
        <is>
          <t>PIT</t>
        </is>
      </c>
      <c r="C292" s="5" t="inlineStr">
        <is>
          <t>Rush Yds</t>
        </is>
      </c>
      <c r="D292" s="5" t="n">
        <v>98.5</v>
      </c>
      <c r="E292" s="5" t="inlineStr">
        <is>
          <t>Less</t>
        </is>
      </c>
      <c r="F292" s="48" t="n">
        <v>0.708</v>
      </c>
      <c r="G292" s="5" t="n">
        <v>73.5</v>
      </c>
      <c r="H292" s="5" t="n">
        <v>5</v>
      </c>
      <c r="I292" s="5" t="inlineStr">
        <is>
          <t>PIT @ CLE</t>
        </is>
      </c>
    </row>
    <row r="293">
      <c r="A293" s="5" t="inlineStr">
        <is>
          <t>Jaylen Warren</t>
        </is>
      </c>
      <c r="B293" s="5" t="inlineStr">
        <is>
          <t>PIT</t>
        </is>
      </c>
      <c r="C293" s="5" t="inlineStr">
        <is>
          <t>Rush Yds</t>
        </is>
      </c>
      <c r="D293" s="5" t="n">
        <v>103.5</v>
      </c>
      <c r="E293" s="5" t="inlineStr">
        <is>
          <t>Less</t>
        </is>
      </c>
      <c r="F293" s="48" t="n">
        <v>0.735</v>
      </c>
      <c r="G293" s="5" t="n">
        <v>73.5</v>
      </c>
      <c r="H293" s="5" t="n">
        <v>6</v>
      </c>
      <c r="I293" s="5" t="inlineStr">
        <is>
          <t>PIT @ CLE</t>
        </is>
      </c>
    </row>
    <row r="294">
      <c r="A294" s="5" t="inlineStr">
        <is>
          <t>Jaylen Warren</t>
        </is>
      </c>
      <c r="B294" s="5" t="inlineStr">
        <is>
          <t>PIT</t>
        </is>
      </c>
      <c r="C294" s="5" t="inlineStr">
        <is>
          <t>Rush Yds</t>
        </is>
      </c>
      <c r="D294" s="5" t="n">
        <v>108.5</v>
      </c>
      <c r="E294" s="5" t="inlineStr">
        <is>
          <t>Less</t>
        </is>
      </c>
      <c r="F294" s="48" t="n">
        <v>0.769</v>
      </c>
      <c r="G294" s="5" t="n">
        <v>73.5</v>
      </c>
      <c r="H294" s="5" t="n">
        <v>7</v>
      </c>
      <c r="I294" s="5" t="inlineStr">
        <is>
          <t>PIT @ CLE</t>
        </is>
      </c>
    </row>
    <row r="295">
      <c r="A295" s="5" t="inlineStr">
        <is>
          <t>Jaylen Warren</t>
        </is>
      </c>
      <c r="B295" s="5" t="inlineStr">
        <is>
          <t>PIT</t>
        </is>
      </c>
      <c r="C295" s="5" t="inlineStr">
        <is>
          <t>Rush Yds</t>
        </is>
      </c>
      <c r="D295" s="5" t="n">
        <v>113.5</v>
      </c>
      <c r="E295" s="5" t="inlineStr">
        <is>
          <t>Less</t>
        </is>
      </c>
      <c r="F295" s="48" t="n">
        <v>0.8</v>
      </c>
      <c r="G295" s="5" t="n">
        <v>73.5</v>
      </c>
      <c r="H295" s="5" t="n">
        <v>8</v>
      </c>
      <c r="I295" s="5" t="inlineStr">
        <is>
          <t>PIT @ CLE</t>
        </is>
      </c>
    </row>
    <row r="296">
      <c r="A296" s="5" t="inlineStr">
        <is>
          <t>Jaylen Warren</t>
        </is>
      </c>
      <c r="B296" s="5" t="inlineStr">
        <is>
          <t>PIT</t>
        </is>
      </c>
      <c r="C296" s="5" t="inlineStr">
        <is>
          <t>Rush Yds</t>
        </is>
      </c>
      <c r="D296" s="5" t="n">
        <v>118.5</v>
      </c>
      <c r="E296" s="5" t="inlineStr">
        <is>
          <t>Less</t>
        </is>
      </c>
      <c r="F296" s="48" t="n">
        <v>0.824</v>
      </c>
      <c r="G296" s="5" t="n">
        <v>73.5</v>
      </c>
      <c r="H296" s="5" t="n">
        <v>9</v>
      </c>
      <c r="I296" s="5" t="inlineStr">
        <is>
          <t>PIT @ CLE</t>
        </is>
      </c>
    </row>
    <row r="297">
      <c r="A297" s="5" t="inlineStr">
        <is>
          <t>Jaylen Warren</t>
        </is>
      </c>
      <c r="B297" s="5" t="inlineStr">
        <is>
          <t>PIT</t>
        </is>
      </c>
      <c r="C297" s="5" t="inlineStr">
        <is>
          <t>Rush Yds</t>
        </is>
      </c>
      <c r="D297" s="5" t="n">
        <v>123.5</v>
      </c>
      <c r="E297" s="5" t="inlineStr">
        <is>
          <t>Less</t>
        </is>
      </c>
      <c r="F297" s="48" t="n">
        <v>0.847</v>
      </c>
      <c r="G297" s="5" t="n">
        <v>73.5</v>
      </c>
      <c r="H297" s="5" t="n">
        <v>10</v>
      </c>
      <c r="I297" s="5" t="inlineStr">
        <is>
          <t>PIT @ CLE</t>
        </is>
      </c>
    </row>
    <row r="298">
      <c r="A298" s="5" t="inlineStr">
        <is>
          <t>Jaylen Warren</t>
        </is>
      </c>
      <c r="B298" s="5" t="inlineStr">
        <is>
          <t>PIT</t>
        </is>
      </c>
      <c r="C298" s="5" t="inlineStr">
        <is>
          <t>Rush+Rec Yds</t>
        </is>
      </c>
      <c r="D298" s="5" t="n">
        <v>49.5</v>
      </c>
      <c r="E298" s="5" t="inlineStr">
        <is>
          <t>More</t>
        </is>
      </c>
      <c r="F298" s="48" t="n">
        <v>0.895</v>
      </c>
      <c r="G298" s="5" t="n">
        <v>99.5</v>
      </c>
      <c r="H298" s="5" t="n">
        <v>-10</v>
      </c>
      <c r="I298" s="5" t="inlineStr">
        <is>
          <t>PIT @ CLE</t>
        </is>
      </c>
    </row>
    <row r="299">
      <c r="A299" s="5" t="inlineStr">
        <is>
          <t>Jaylen Warren</t>
        </is>
      </c>
      <c r="B299" s="5" t="inlineStr">
        <is>
          <t>PIT</t>
        </is>
      </c>
      <c r="C299" s="5" t="inlineStr">
        <is>
          <t>Rush+Rec Yds</t>
        </is>
      </c>
      <c r="D299" s="5" t="n">
        <v>54.5</v>
      </c>
      <c r="E299" s="5" t="inlineStr">
        <is>
          <t>More</t>
        </is>
      </c>
      <c r="F299" s="48" t="n">
        <v>0.865</v>
      </c>
      <c r="G299" s="5" t="n">
        <v>99.5</v>
      </c>
      <c r="H299" s="5" t="n">
        <v>-9</v>
      </c>
      <c r="I299" s="5" t="inlineStr">
        <is>
          <t>PIT @ CLE</t>
        </is>
      </c>
    </row>
    <row r="300">
      <c r="A300" s="5" t="inlineStr">
        <is>
          <t>Jaylen Warren</t>
        </is>
      </c>
      <c r="B300" s="5" t="inlineStr">
        <is>
          <t>PIT</t>
        </is>
      </c>
      <c r="C300" s="5" t="inlineStr">
        <is>
          <t>Rush+Rec Yds</t>
        </is>
      </c>
      <c r="D300" s="5" t="n">
        <v>59.5</v>
      </c>
      <c r="E300" s="5" t="inlineStr">
        <is>
          <t>More</t>
        </is>
      </c>
      <c r="F300" s="48" t="n">
        <v>0.836</v>
      </c>
      <c r="G300" s="5" t="n">
        <v>99.5</v>
      </c>
      <c r="H300" s="5" t="n">
        <v>-8</v>
      </c>
      <c r="I300" s="5" t="inlineStr">
        <is>
          <t>PIT @ CLE</t>
        </is>
      </c>
    </row>
    <row r="301">
      <c r="A301" s="5" t="inlineStr">
        <is>
          <t>Jaylen Warren</t>
        </is>
      </c>
      <c r="B301" s="5" t="inlineStr">
        <is>
          <t>PIT</t>
        </is>
      </c>
      <c r="C301" s="5" t="inlineStr">
        <is>
          <t>Rush+Rec Yds</t>
        </is>
      </c>
      <c r="D301" s="5" t="n">
        <v>64.5</v>
      </c>
      <c r="E301" s="5" t="inlineStr">
        <is>
          <t>More</t>
        </is>
      </c>
      <c r="F301" s="48" t="n">
        <v>0.792</v>
      </c>
      <c r="G301" s="5" t="n">
        <v>99.5</v>
      </c>
      <c r="H301" s="5" t="n">
        <v>-7</v>
      </c>
      <c r="I301" s="5" t="inlineStr">
        <is>
          <t>PIT @ CLE</t>
        </is>
      </c>
    </row>
    <row r="302">
      <c r="A302" s="5" t="inlineStr">
        <is>
          <t>Jaylen Warren</t>
        </is>
      </c>
      <c r="B302" s="5" t="inlineStr">
        <is>
          <t>PIT</t>
        </is>
      </c>
      <c r="C302" s="5" t="inlineStr">
        <is>
          <t>Rush+Rec Yds</t>
        </is>
      </c>
      <c r="D302" s="5" t="n">
        <v>69.5</v>
      </c>
      <c r="E302" s="5" t="inlineStr">
        <is>
          <t>More</t>
        </is>
      </c>
      <c r="F302" s="48" t="n">
        <v>0.756</v>
      </c>
      <c r="G302" s="5" t="n">
        <v>99.5</v>
      </c>
      <c r="H302" s="5" t="n">
        <v>-6</v>
      </c>
      <c r="I302" s="5" t="inlineStr">
        <is>
          <t>PIT @ CLE</t>
        </is>
      </c>
    </row>
    <row r="303">
      <c r="A303" s="5" t="inlineStr">
        <is>
          <t>Jaylen Warren</t>
        </is>
      </c>
      <c r="B303" s="5" t="inlineStr">
        <is>
          <t>PIT</t>
        </is>
      </c>
      <c r="C303" s="5" t="inlineStr">
        <is>
          <t>Rush+Rec Yds</t>
        </is>
      </c>
      <c r="D303" s="5" t="n">
        <v>74.5</v>
      </c>
      <c r="E303" s="5" t="inlineStr">
        <is>
          <t>More</t>
        </is>
      </c>
      <c r="F303" s="48" t="n">
        <v>0.708</v>
      </c>
      <c r="G303" s="5" t="n">
        <v>99.5</v>
      </c>
      <c r="H303" s="5" t="n">
        <v>-5</v>
      </c>
      <c r="I303" s="5" t="inlineStr">
        <is>
          <t>PIT @ CLE</t>
        </is>
      </c>
    </row>
    <row r="304">
      <c r="A304" s="5" t="inlineStr">
        <is>
          <t>Jaylen Warren</t>
        </is>
      </c>
      <c r="B304" s="5" t="inlineStr">
        <is>
          <t>PIT</t>
        </is>
      </c>
      <c r="C304" s="5" t="inlineStr">
        <is>
          <t>Rush+Rec Yds</t>
        </is>
      </c>
      <c r="D304" s="5" t="n">
        <v>79.5</v>
      </c>
      <c r="E304" s="5" t="inlineStr">
        <is>
          <t>More</t>
        </is>
      </c>
      <c r="F304" s="48" t="n">
        <v>0.67</v>
      </c>
      <c r="G304" s="5" t="n">
        <v>99.5</v>
      </c>
      <c r="H304" s="5" t="n">
        <v>-4</v>
      </c>
      <c r="I304" s="5" t="inlineStr">
        <is>
          <t>PIT @ CLE</t>
        </is>
      </c>
    </row>
    <row r="305">
      <c r="A305" s="5" t="inlineStr">
        <is>
          <t>Jaylen Warren</t>
        </is>
      </c>
      <c r="B305" s="5" t="inlineStr">
        <is>
          <t>PIT</t>
        </is>
      </c>
      <c r="C305" s="5" t="inlineStr">
        <is>
          <t>Rush+Rec Yds</t>
        </is>
      </c>
      <c r="D305" s="5" t="n">
        <v>84.5</v>
      </c>
      <c r="E305" s="5" t="inlineStr">
        <is>
          <t>More</t>
        </is>
      </c>
      <c r="F305" s="48" t="n">
        <v>0.63</v>
      </c>
      <c r="G305" s="5" t="n">
        <v>99.5</v>
      </c>
      <c r="H305" s="5" t="n">
        <v>-3</v>
      </c>
      <c r="I305" s="5" t="inlineStr">
        <is>
          <t>PIT @ CLE</t>
        </is>
      </c>
    </row>
    <row r="306">
      <c r="A306" s="5" t="inlineStr">
        <is>
          <t>Jaylen Warren</t>
        </is>
      </c>
      <c r="B306" s="5" t="inlineStr">
        <is>
          <t>PIT</t>
        </is>
      </c>
      <c r="C306" s="5" t="inlineStr">
        <is>
          <t>Rush+Rec Yds</t>
        </is>
      </c>
      <c r="D306" s="5" t="n">
        <v>89.5</v>
      </c>
      <c r="E306" s="5" t="inlineStr">
        <is>
          <t>More</t>
        </is>
      </c>
      <c r="F306" s="48" t="n">
        <v>0.584</v>
      </c>
      <c r="G306" s="5" t="n">
        <v>99.5</v>
      </c>
      <c r="H306" s="5" t="n">
        <v>-2</v>
      </c>
      <c r="I306" s="5" t="inlineStr">
        <is>
          <t>PIT @ CLE</t>
        </is>
      </c>
    </row>
    <row r="307">
      <c r="A307" s="5" t="inlineStr">
        <is>
          <t>Jaylen Warren</t>
        </is>
      </c>
      <c r="B307" s="5" t="inlineStr">
        <is>
          <t>PIT</t>
        </is>
      </c>
      <c r="C307" s="5" t="inlineStr">
        <is>
          <t>Rush+Rec Yds</t>
        </is>
      </c>
      <c r="D307" s="5" t="n">
        <v>94.5</v>
      </c>
      <c r="E307" s="5" t="inlineStr">
        <is>
          <t>More</t>
        </is>
      </c>
      <c r="F307" s="48" t="n">
        <v>0.547</v>
      </c>
      <c r="G307" s="5" t="n">
        <v>99.5</v>
      </c>
      <c r="H307" s="5" t="n">
        <v>-1</v>
      </c>
      <c r="I307" s="5" t="inlineStr">
        <is>
          <t>PIT @ CLE</t>
        </is>
      </c>
    </row>
    <row r="308">
      <c r="A308" s="5" t="inlineStr">
        <is>
          <t>Jaylen Warren</t>
        </is>
      </c>
      <c r="B308" s="5" t="inlineStr">
        <is>
          <t>PIT</t>
        </is>
      </c>
      <c r="C308" s="5" t="inlineStr">
        <is>
          <t>Rush+Rec Yds</t>
        </is>
      </c>
      <c r="D308" s="5" t="n">
        <v>99.5</v>
      </c>
      <c r="E308" s="5" t="inlineStr">
        <is>
          <t>More</t>
        </is>
      </c>
      <c r="F308" s="48" t="n">
        <v>0.502</v>
      </c>
      <c r="G308" s="5" t="n">
        <v>99.5</v>
      </c>
      <c r="H308" s="5" t="n">
        <v>0</v>
      </c>
      <c r="I308" s="5" t="inlineStr">
        <is>
          <t>PIT @ CLE</t>
        </is>
      </c>
    </row>
    <row r="309">
      <c r="A309" s="5" t="inlineStr">
        <is>
          <t>Jaylen Warren</t>
        </is>
      </c>
      <c r="B309" s="5" t="inlineStr">
        <is>
          <t>PIT</t>
        </is>
      </c>
      <c r="C309" s="5" t="inlineStr">
        <is>
          <t>Rush+Rec Yds</t>
        </is>
      </c>
      <c r="D309" s="5" t="n">
        <v>104.5</v>
      </c>
      <c r="E309" s="5" t="inlineStr">
        <is>
          <t>Less</t>
        </is>
      </c>
      <c r="F309" s="48" t="n">
        <v>0.538</v>
      </c>
      <c r="G309" s="5" t="n">
        <v>99.5</v>
      </c>
      <c r="H309" s="5" t="n">
        <v>1</v>
      </c>
      <c r="I309" s="5" t="inlineStr">
        <is>
          <t>PIT @ CLE</t>
        </is>
      </c>
    </row>
    <row r="310">
      <c r="A310" s="5" t="inlineStr">
        <is>
          <t>Jaylen Warren</t>
        </is>
      </c>
      <c r="B310" s="5" t="inlineStr">
        <is>
          <t>PIT</t>
        </is>
      </c>
      <c r="C310" s="5" t="inlineStr">
        <is>
          <t>Rush+Rec Yds</t>
        </is>
      </c>
      <c r="D310" s="5" t="n">
        <v>109.5</v>
      </c>
      <c r="E310" s="5" t="inlineStr">
        <is>
          <t>Less</t>
        </is>
      </c>
      <c r="F310" s="48" t="n">
        <v>0.573</v>
      </c>
      <c r="G310" s="5" t="n">
        <v>99.5</v>
      </c>
      <c r="H310" s="5" t="n">
        <v>2</v>
      </c>
      <c r="I310" s="5" t="inlineStr">
        <is>
          <t>PIT @ CLE</t>
        </is>
      </c>
    </row>
    <row r="311">
      <c r="A311" s="5" t="inlineStr">
        <is>
          <t>Jaylen Warren</t>
        </is>
      </c>
      <c r="B311" s="5" t="inlineStr">
        <is>
          <t>PIT</t>
        </is>
      </c>
      <c r="C311" s="5" t="inlineStr">
        <is>
          <t>Rush+Rec Yds</t>
        </is>
      </c>
      <c r="D311" s="5" t="n">
        <v>114.5</v>
      </c>
      <c r="E311" s="5" t="inlineStr">
        <is>
          <t>Less</t>
        </is>
      </c>
      <c r="F311" s="48" t="n">
        <v>0.611</v>
      </c>
      <c r="G311" s="5" t="n">
        <v>99.5</v>
      </c>
      <c r="H311" s="5" t="n">
        <v>3</v>
      </c>
      <c r="I311" s="5" t="inlineStr">
        <is>
          <t>PIT @ CLE</t>
        </is>
      </c>
    </row>
    <row r="312">
      <c r="A312" s="5" t="inlineStr">
        <is>
          <t>Jaylen Warren</t>
        </is>
      </c>
      <c r="B312" s="5" t="inlineStr">
        <is>
          <t>PIT</t>
        </is>
      </c>
      <c r="C312" s="5" t="inlineStr">
        <is>
          <t>Rush+Rec Yds</t>
        </is>
      </c>
      <c r="D312" s="5" t="n">
        <v>119.5</v>
      </c>
      <c r="E312" s="5" t="inlineStr">
        <is>
          <t>Less</t>
        </is>
      </c>
      <c r="F312" s="48" t="n">
        <v>0.643</v>
      </c>
      <c r="G312" s="5" t="n">
        <v>99.5</v>
      </c>
      <c r="H312" s="5" t="n">
        <v>4</v>
      </c>
      <c r="I312" s="5" t="inlineStr">
        <is>
          <t>PIT @ CLE</t>
        </is>
      </c>
    </row>
    <row r="313">
      <c r="A313" s="5" t="inlineStr">
        <is>
          <t>Jaylen Warren</t>
        </is>
      </c>
      <c r="B313" s="5" t="inlineStr">
        <is>
          <t>PIT</t>
        </is>
      </c>
      <c r="C313" s="5" t="inlineStr">
        <is>
          <t>Rush+Rec Yds</t>
        </is>
      </c>
      <c r="D313" s="5" t="n">
        <v>124.5</v>
      </c>
      <c r="E313" s="5" t="inlineStr">
        <is>
          <t>Less</t>
        </is>
      </c>
      <c r="F313" s="48" t="n">
        <v>0.675</v>
      </c>
      <c r="G313" s="5" t="n">
        <v>99.5</v>
      </c>
      <c r="H313" s="5" t="n">
        <v>5</v>
      </c>
      <c r="I313" s="5" t="inlineStr">
        <is>
          <t>PIT @ CLE</t>
        </is>
      </c>
    </row>
    <row r="314">
      <c r="A314" s="5" t="inlineStr">
        <is>
          <t>Jaylen Warren</t>
        </is>
      </c>
      <c r="B314" s="5" t="inlineStr">
        <is>
          <t>PIT</t>
        </is>
      </c>
      <c r="C314" s="5" t="inlineStr">
        <is>
          <t>Rush+Rec Yds</t>
        </is>
      </c>
      <c r="D314" s="5" t="n">
        <v>129.5</v>
      </c>
      <c r="E314" s="5" t="inlineStr">
        <is>
          <t>Less</t>
        </is>
      </c>
      <c r="F314" s="48" t="n">
        <v>0.706</v>
      </c>
      <c r="G314" s="5" t="n">
        <v>99.5</v>
      </c>
      <c r="H314" s="5" t="n">
        <v>6</v>
      </c>
      <c r="I314" s="5" t="inlineStr">
        <is>
          <t>PIT @ CLE</t>
        </is>
      </c>
    </row>
    <row r="315">
      <c r="A315" s="5" t="inlineStr">
        <is>
          <t>Jaylen Warren</t>
        </is>
      </c>
      <c r="B315" s="5" t="inlineStr">
        <is>
          <t>PIT</t>
        </is>
      </c>
      <c r="C315" s="5" t="inlineStr">
        <is>
          <t>Rush+Rec Yds</t>
        </is>
      </c>
      <c r="D315" s="5" t="n">
        <v>134.5</v>
      </c>
      <c r="E315" s="5" t="inlineStr">
        <is>
          <t>Less</t>
        </is>
      </c>
      <c r="F315" s="48" t="n">
        <v>0.735</v>
      </c>
      <c r="G315" s="5" t="n">
        <v>99.5</v>
      </c>
      <c r="H315" s="5" t="n">
        <v>7</v>
      </c>
      <c r="I315" s="5" t="inlineStr">
        <is>
          <t>PIT @ CLE</t>
        </is>
      </c>
    </row>
    <row r="316">
      <c r="A316" s="5" t="inlineStr">
        <is>
          <t>Jaylen Warren</t>
        </is>
      </c>
      <c r="B316" s="5" t="inlineStr">
        <is>
          <t>PIT</t>
        </is>
      </c>
      <c r="C316" s="5" t="inlineStr">
        <is>
          <t>Rush+Rec Yds</t>
        </is>
      </c>
      <c r="D316" s="5" t="n">
        <v>139.5</v>
      </c>
      <c r="E316" s="5" t="inlineStr">
        <is>
          <t>Less</t>
        </is>
      </c>
      <c r="F316" s="48" t="n">
        <v>0.766</v>
      </c>
      <c r="G316" s="5" t="n">
        <v>99.5</v>
      </c>
      <c r="H316" s="5" t="n">
        <v>8</v>
      </c>
      <c r="I316" s="5" t="inlineStr">
        <is>
          <t>PIT @ CLE</t>
        </is>
      </c>
    </row>
    <row r="317">
      <c r="A317" s="5" t="inlineStr">
        <is>
          <t>Jaylen Warren</t>
        </is>
      </c>
      <c r="B317" s="5" t="inlineStr">
        <is>
          <t>PIT</t>
        </is>
      </c>
      <c r="C317" s="5" t="inlineStr">
        <is>
          <t>Rush+Rec Yds</t>
        </is>
      </c>
      <c r="D317" s="5" t="n">
        <v>144.5</v>
      </c>
      <c r="E317" s="5" t="inlineStr">
        <is>
          <t>Less</t>
        </is>
      </c>
      <c r="F317" s="48" t="n">
        <v>0.792</v>
      </c>
      <c r="G317" s="5" t="n">
        <v>99.5</v>
      </c>
      <c r="H317" s="5" t="n">
        <v>9</v>
      </c>
      <c r="I317" s="5" t="inlineStr">
        <is>
          <t>PIT @ CLE</t>
        </is>
      </c>
    </row>
    <row r="318">
      <c r="A318" s="5" t="inlineStr">
        <is>
          <t>Jaylen Warren</t>
        </is>
      </c>
      <c r="B318" s="5" t="inlineStr">
        <is>
          <t>PIT</t>
        </is>
      </c>
      <c r="C318" s="5" t="inlineStr">
        <is>
          <t>Rush+Rec Yds</t>
        </is>
      </c>
      <c r="D318" s="5" t="n">
        <v>149.5</v>
      </c>
      <c r="E318" s="5" t="inlineStr">
        <is>
          <t>Less</t>
        </is>
      </c>
      <c r="F318" s="48" t="n">
        <v>0.8110000000000001</v>
      </c>
      <c r="G318" s="5" t="n">
        <v>99.5</v>
      </c>
      <c r="H318" s="5" t="n">
        <v>10</v>
      </c>
      <c r="I318" s="5" t="inlineStr">
        <is>
          <t>PIT @ CLE</t>
        </is>
      </c>
    </row>
    <row r="319">
      <c r="A319" s="5" t="inlineStr">
        <is>
          <t>Jerry Jeudy</t>
        </is>
      </c>
      <c r="B319" s="5" t="inlineStr">
        <is>
          <t>CLE</t>
        </is>
      </c>
      <c r="C319" s="5" t="inlineStr">
        <is>
          <t>Anytime TDs</t>
        </is>
      </c>
      <c r="D319" s="5" t="n">
        <v>0.5</v>
      </c>
      <c r="E319" s="5" t="inlineStr">
        <is>
          <t>Less</t>
        </is>
      </c>
      <c r="F319" s="48" t="n">
        <v>0.909</v>
      </c>
      <c r="G319" s="5" t="n">
        <v>0.5</v>
      </c>
      <c r="H319" s="5" t="n">
        <v>0</v>
      </c>
      <c r="I319" s="5" t="inlineStr">
        <is>
          <t>PIT @ CLE</t>
        </is>
      </c>
    </row>
    <row r="320">
      <c r="A320" s="5" t="inlineStr">
        <is>
          <t>Jerry Jeudy</t>
        </is>
      </c>
      <c r="B320" s="5" t="inlineStr">
        <is>
          <t>CLE</t>
        </is>
      </c>
      <c r="C320" s="5" t="inlineStr">
        <is>
          <t>Rec Yds</t>
        </is>
      </c>
      <c r="D320" s="5" t="n">
        <v>1.5</v>
      </c>
      <c r="E320" s="5" t="inlineStr">
        <is>
          <t>More</t>
        </is>
      </c>
      <c r="F320" s="48" t="n">
        <v>0.88</v>
      </c>
      <c r="G320" s="5" t="n">
        <v>13.5</v>
      </c>
      <c r="H320" s="5" t="n">
        <v>-6</v>
      </c>
      <c r="I320" s="5" t="inlineStr">
        <is>
          <t>PIT @ CLE</t>
        </is>
      </c>
    </row>
    <row r="321">
      <c r="A321" s="5" t="inlineStr">
        <is>
          <t>Jerry Jeudy</t>
        </is>
      </c>
      <c r="B321" s="5" t="inlineStr">
        <is>
          <t>CLE</t>
        </is>
      </c>
      <c r="C321" s="5" t="inlineStr">
        <is>
          <t>Rec Yds</t>
        </is>
      </c>
      <c r="D321" s="5" t="n">
        <v>3.5</v>
      </c>
      <c r="E321" s="5" t="inlineStr">
        <is>
          <t>More</t>
        </is>
      </c>
      <c r="F321" s="48" t="n">
        <v>0.829</v>
      </c>
      <c r="G321" s="5" t="n">
        <v>13.5</v>
      </c>
      <c r="H321" s="5" t="n">
        <v>-5</v>
      </c>
      <c r="I321" s="5" t="inlineStr">
        <is>
          <t>PIT @ CLE</t>
        </is>
      </c>
    </row>
    <row r="322">
      <c r="A322" s="5" t="inlineStr">
        <is>
          <t>Jerry Jeudy</t>
        </is>
      </c>
      <c r="B322" s="5" t="inlineStr">
        <is>
          <t>CLE</t>
        </is>
      </c>
      <c r="C322" s="5" t="inlineStr">
        <is>
          <t>Rec Yds</t>
        </is>
      </c>
      <c r="D322" s="5" t="n">
        <v>5.5</v>
      </c>
      <c r="E322" s="5" t="inlineStr">
        <is>
          <t>More</t>
        </is>
      </c>
      <c r="F322" s="48" t="n">
        <v>0.763</v>
      </c>
      <c r="G322" s="5" t="n">
        <v>13.5</v>
      </c>
      <c r="H322" s="5" t="n">
        <v>-4</v>
      </c>
      <c r="I322" s="5" t="inlineStr">
        <is>
          <t>PIT @ CLE</t>
        </is>
      </c>
    </row>
    <row r="323">
      <c r="A323" s="5" t="inlineStr">
        <is>
          <t>Jerry Jeudy</t>
        </is>
      </c>
      <c r="B323" s="5" t="inlineStr">
        <is>
          <t>CLE</t>
        </is>
      </c>
      <c r="C323" s="5" t="inlineStr">
        <is>
          <t>Rec Yds</t>
        </is>
      </c>
      <c r="D323" s="5" t="n">
        <v>7.5</v>
      </c>
      <c r="E323" s="5" t="inlineStr">
        <is>
          <t>More</t>
        </is>
      </c>
      <c r="F323" s="48" t="n">
        <v>0.704</v>
      </c>
      <c r="G323" s="5" t="n">
        <v>13.5</v>
      </c>
      <c r="H323" s="5" t="n">
        <v>-3</v>
      </c>
      <c r="I323" s="5" t="inlineStr">
        <is>
          <t>PIT @ CLE</t>
        </is>
      </c>
    </row>
    <row r="324">
      <c r="A324" s="5" t="inlineStr">
        <is>
          <t>Jerry Jeudy</t>
        </is>
      </c>
      <c r="B324" s="5" t="inlineStr">
        <is>
          <t>CLE</t>
        </is>
      </c>
      <c r="C324" s="5" t="inlineStr">
        <is>
          <t>Rec Yds</t>
        </is>
      </c>
      <c r="D324" s="5" t="n">
        <v>9.5</v>
      </c>
      <c r="E324" s="5" t="inlineStr">
        <is>
          <t>More</t>
        </is>
      </c>
      <c r="F324" s="48" t="n">
        <v>0.627</v>
      </c>
      <c r="G324" s="5" t="n">
        <v>13.5</v>
      </c>
      <c r="H324" s="5" t="n">
        <v>-2</v>
      </c>
      <c r="I324" s="5" t="inlineStr">
        <is>
          <t>PIT @ CLE</t>
        </is>
      </c>
    </row>
    <row r="325">
      <c r="A325" s="5" t="inlineStr">
        <is>
          <t>Jerry Jeudy</t>
        </is>
      </c>
      <c r="B325" s="5" t="inlineStr">
        <is>
          <t>CLE</t>
        </is>
      </c>
      <c r="C325" s="5" t="inlineStr">
        <is>
          <t>Rec Yds</t>
        </is>
      </c>
      <c r="D325" s="5" t="n">
        <v>11.5</v>
      </c>
      <c r="E325" s="5" t="inlineStr">
        <is>
          <t>More</t>
        </is>
      </c>
      <c r="F325" s="48" t="n">
        <v>0.572</v>
      </c>
      <c r="G325" s="5" t="n">
        <v>13.5</v>
      </c>
      <c r="H325" s="5" t="n">
        <v>-1</v>
      </c>
      <c r="I325" s="5" t="inlineStr">
        <is>
          <t>PIT @ CLE</t>
        </is>
      </c>
    </row>
    <row r="326">
      <c r="A326" s="5" t="inlineStr">
        <is>
          <t>Jerry Jeudy</t>
        </is>
      </c>
      <c r="B326" s="5" t="inlineStr">
        <is>
          <t>CLE</t>
        </is>
      </c>
      <c r="C326" s="5" t="inlineStr">
        <is>
          <t>Rec Yds</t>
        </is>
      </c>
      <c r="D326" s="5" t="n">
        <v>13.5</v>
      </c>
      <c r="E326" s="5" t="inlineStr">
        <is>
          <t>More</t>
        </is>
      </c>
      <c r="F326" s="48" t="n">
        <v>0.501</v>
      </c>
      <c r="G326" s="5" t="n">
        <v>13.5</v>
      </c>
      <c r="H326" s="5" t="n">
        <v>0</v>
      </c>
      <c r="I326" s="5" t="inlineStr">
        <is>
          <t>PIT @ CLE</t>
        </is>
      </c>
    </row>
    <row r="327">
      <c r="A327" s="5" t="inlineStr">
        <is>
          <t>Jerry Jeudy</t>
        </is>
      </c>
      <c r="B327" s="5" t="inlineStr">
        <is>
          <t>CLE</t>
        </is>
      </c>
      <c r="C327" s="5" t="inlineStr">
        <is>
          <t>Rec Yds</t>
        </is>
      </c>
      <c r="D327" s="5" t="n">
        <v>15.5</v>
      </c>
      <c r="E327" s="5" t="inlineStr">
        <is>
          <t>Less</t>
        </is>
      </c>
      <c r="F327" s="48" t="n">
        <v>0.555</v>
      </c>
      <c r="G327" s="5" t="n">
        <v>13.5</v>
      </c>
      <c r="H327" s="5" t="n">
        <v>1</v>
      </c>
      <c r="I327" s="5" t="inlineStr">
        <is>
          <t>PIT @ CLE</t>
        </is>
      </c>
    </row>
    <row r="328">
      <c r="A328" s="5" t="inlineStr">
        <is>
          <t>Jerry Jeudy</t>
        </is>
      </c>
      <c r="B328" s="5" t="inlineStr">
        <is>
          <t>CLE</t>
        </is>
      </c>
      <c r="C328" s="5" t="inlineStr">
        <is>
          <t>Rec Yds</t>
        </is>
      </c>
      <c r="D328" s="5" t="n">
        <v>17.5</v>
      </c>
      <c r="E328" s="5" t="inlineStr">
        <is>
          <t>Less</t>
        </is>
      </c>
      <c r="F328" s="48" t="n">
        <v>0.607</v>
      </c>
      <c r="G328" s="5" t="n">
        <v>13.5</v>
      </c>
      <c r="H328" s="5" t="n">
        <v>2</v>
      </c>
      <c r="I328" s="5" t="inlineStr">
        <is>
          <t>PIT @ CLE</t>
        </is>
      </c>
    </row>
    <row r="329">
      <c r="A329" s="5" t="inlineStr">
        <is>
          <t>Jerry Jeudy</t>
        </is>
      </c>
      <c r="B329" s="5" t="inlineStr">
        <is>
          <t>CLE</t>
        </is>
      </c>
      <c r="C329" s="5" t="inlineStr">
        <is>
          <t>Rec Yds</t>
        </is>
      </c>
      <c r="D329" s="5" t="n">
        <v>19.5</v>
      </c>
      <c r="E329" s="5" t="inlineStr">
        <is>
          <t>Less</t>
        </is>
      </c>
      <c r="F329" s="48" t="n">
        <v>0.662</v>
      </c>
      <c r="G329" s="5" t="n">
        <v>13.5</v>
      </c>
      <c r="H329" s="5" t="n">
        <v>3</v>
      </c>
      <c r="I329" s="5" t="inlineStr">
        <is>
          <t>PIT @ CLE</t>
        </is>
      </c>
    </row>
    <row r="330">
      <c r="A330" s="5" t="inlineStr">
        <is>
          <t>Jerry Jeudy</t>
        </is>
      </c>
      <c r="B330" s="5" t="inlineStr">
        <is>
          <t>CLE</t>
        </is>
      </c>
      <c r="C330" s="5" t="inlineStr">
        <is>
          <t>Rec Yds</t>
        </is>
      </c>
      <c r="D330" s="5" t="n">
        <v>21.5</v>
      </c>
      <c r="E330" s="5" t="inlineStr">
        <is>
          <t>Less</t>
        </is>
      </c>
      <c r="F330" s="48" t="n">
        <v>0.702</v>
      </c>
      <c r="G330" s="5" t="n">
        <v>13.5</v>
      </c>
      <c r="H330" s="5" t="n">
        <v>4</v>
      </c>
      <c r="I330" s="5" t="inlineStr">
        <is>
          <t>PIT @ CLE</t>
        </is>
      </c>
    </row>
    <row r="331">
      <c r="A331" s="5" t="inlineStr">
        <is>
          <t>Jerry Jeudy</t>
        </is>
      </c>
      <c r="B331" s="5" t="inlineStr">
        <is>
          <t>CLE</t>
        </is>
      </c>
      <c r="C331" s="5" t="inlineStr">
        <is>
          <t>Rec Yds</t>
        </is>
      </c>
      <c r="D331" s="5" t="n">
        <v>23.5</v>
      </c>
      <c r="E331" s="5" t="inlineStr">
        <is>
          <t>Less</t>
        </is>
      </c>
      <c r="F331" s="48" t="n">
        <v>0.74</v>
      </c>
      <c r="G331" s="5" t="n">
        <v>13.5</v>
      </c>
      <c r="H331" s="5" t="n">
        <v>5</v>
      </c>
      <c r="I331" s="5" t="inlineStr">
        <is>
          <t>PIT @ CLE</t>
        </is>
      </c>
    </row>
    <row r="332">
      <c r="A332" s="5" t="inlineStr">
        <is>
          <t>Jerry Jeudy</t>
        </is>
      </c>
      <c r="B332" s="5" t="inlineStr">
        <is>
          <t>CLE</t>
        </is>
      </c>
      <c r="C332" s="5" t="inlineStr">
        <is>
          <t>Rec Yds</t>
        </is>
      </c>
      <c r="D332" s="5" t="n">
        <v>25.5</v>
      </c>
      <c r="E332" s="5" t="inlineStr">
        <is>
          <t>Less</t>
        </is>
      </c>
      <c r="F332" s="48" t="n">
        <v>0.779</v>
      </c>
      <c r="G332" s="5" t="n">
        <v>13.5</v>
      </c>
      <c r="H332" s="5" t="n">
        <v>6</v>
      </c>
      <c r="I332" s="5" t="inlineStr">
        <is>
          <t>PIT @ CLE</t>
        </is>
      </c>
    </row>
    <row r="333">
      <c r="A333" s="5" t="inlineStr">
        <is>
          <t>Jerry Jeudy</t>
        </is>
      </c>
      <c r="B333" s="5" t="inlineStr">
        <is>
          <t>CLE</t>
        </is>
      </c>
      <c r="C333" s="5" t="inlineStr">
        <is>
          <t>Rec Yds</t>
        </is>
      </c>
      <c r="D333" s="5" t="n">
        <v>27.5</v>
      </c>
      <c r="E333" s="5" t="inlineStr">
        <is>
          <t>Less</t>
        </is>
      </c>
      <c r="F333" s="48" t="n">
        <v>0.8100000000000001</v>
      </c>
      <c r="G333" s="5" t="n">
        <v>13.5</v>
      </c>
      <c r="H333" s="5" t="n">
        <v>7</v>
      </c>
      <c r="I333" s="5" t="inlineStr">
        <is>
          <t>PIT @ CLE</t>
        </is>
      </c>
    </row>
    <row r="334">
      <c r="A334" s="5" t="inlineStr">
        <is>
          <t>Jerry Jeudy</t>
        </is>
      </c>
      <c r="B334" s="5" t="inlineStr">
        <is>
          <t>CLE</t>
        </is>
      </c>
      <c r="C334" s="5" t="inlineStr">
        <is>
          <t>Rec Yds</t>
        </is>
      </c>
      <c r="D334" s="5" t="n">
        <v>29.5</v>
      </c>
      <c r="E334" s="5" t="inlineStr">
        <is>
          <t>Less</t>
        </is>
      </c>
      <c r="F334" s="48" t="n">
        <v>0.834</v>
      </c>
      <c r="G334" s="5" t="n">
        <v>13.5</v>
      </c>
      <c r="H334" s="5" t="n">
        <v>8</v>
      </c>
      <c r="I334" s="5" t="inlineStr">
        <is>
          <t>PIT @ CLE</t>
        </is>
      </c>
    </row>
    <row r="335">
      <c r="A335" s="5" t="inlineStr">
        <is>
          <t>Jerry Jeudy</t>
        </is>
      </c>
      <c r="B335" s="5" t="inlineStr">
        <is>
          <t>CLE</t>
        </is>
      </c>
      <c r="C335" s="5" t="inlineStr">
        <is>
          <t>Rec Yds</t>
        </is>
      </c>
      <c r="D335" s="5" t="n">
        <v>31.5</v>
      </c>
      <c r="E335" s="5" t="inlineStr">
        <is>
          <t>Less</t>
        </is>
      </c>
      <c r="F335" s="48" t="n">
        <v>0.861</v>
      </c>
      <c r="G335" s="5" t="n">
        <v>13.5</v>
      </c>
      <c r="H335" s="5" t="n">
        <v>9</v>
      </c>
      <c r="I335" s="5" t="inlineStr">
        <is>
          <t>PIT @ CLE</t>
        </is>
      </c>
    </row>
    <row r="336">
      <c r="A336" s="5" t="inlineStr">
        <is>
          <t>Jerry Jeudy</t>
        </is>
      </c>
      <c r="B336" s="5" t="inlineStr">
        <is>
          <t>CLE</t>
        </is>
      </c>
      <c r="C336" s="5" t="inlineStr">
        <is>
          <t>Rec Yds</t>
        </is>
      </c>
      <c r="D336" s="5" t="n">
        <v>33.5</v>
      </c>
      <c r="E336" s="5" t="inlineStr">
        <is>
          <t>Less</t>
        </is>
      </c>
      <c r="F336" s="48" t="n">
        <v>0.881</v>
      </c>
      <c r="G336" s="5" t="n">
        <v>13.5</v>
      </c>
      <c r="H336" s="5" t="n">
        <v>10</v>
      </c>
      <c r="I336" s="5" t="inlineStr">
        <is>
          <t>PIT @ CLE</t>
        </is>
      </c>
    </row>
    <row r="337">
      <c r="A337" s="5" t="inlineStr">
        <is>
          <t>Jerry Jeudy</t>
        </is>
      </c>
      <c r="B337" s="5" t="inlineStr">
        <is>
          <t>CLE</t>
        </is>
      </c>
      <c r="C337" s="5" t="inlineStr">
        <is>
          <t>Receptions</t>
        </is>
      </c>
      <c r="D337" s="5" t="n">
        <v>0.5</v>
      </c>
      <c r="E337" s="5" t="inlineStr">
        <is>
          <t>More</t>
        </is>
      </c>
      <c r="F337" s="48" t="n">
        <v>0.792</v>
      </c>
      <c r="G337" s="5" t="n">
        <v>1.5</v>
      </c>
      <c r="H337" s="5" t="n">
        <v>-1</v>
      </c>
      <c r="I337" s="5" t="inlineStr">
        <is>
          <t>PIT @ CLE</t>
        </is>
      </c>
    </row>
    <row r="338">
      <c r="A338" s="5" t="inlineStr">
        <is>
          <t>Jerry Jeudy</t>
        </is>
      </c>
      <c r="B338" s="5" t="inlineStr">
        <is>
          <t>CLE</t>
        </is>
      </c>
      <c r="C338" s="5" t="inlineStr">
        <is>
          <t>Receptions</t>
        </is>
      </c>
      <c r="D338" s="5" t="n">
        <v>1.5</v>
      </c>
      <c r="E338" s="5" t="inlineStr">
        <is>
          <t>Less</t>
        </is>
      </c>
      <c r="F338" s="48" t="n">
        <v>0.5659999999999999</v>
      </c>
      <c r="G338" s="5" t="n">
        <v>1.5</v>
      </c>
      <c r="H338" s="5" t="n">
        <v>0</v>
      </c>
      <c r="I338" s="5" t="inlineStr">
        <is>
          <t>PIT @ CLE</t>
        </is>
      </c>
    </row>
    <row r="339">
      <c r="A339" s="5" t="inlineStr">
        <is>
          <t>Jerry Jeudy</t>
        </is>
      </c>
      <c r="B339" s="5" t="inlineStr">
        <is>
          <t>CLE</t>
        </is>
      </c>
      <c r="C339" s="5" t="inlineStr">
        <is>
          <t>Receptions</t>
        </is>
      </c>
      <c r="D339" s="5" t="n">
        <v>2.5</v>
      </c>
      <c r="E339" s="5" t="inlineStr">
        <is>
          <t>Less</t>
        </is>
      </c>
      <c r="F339" s="48" t="n">
        <v>0.848</v>
      </c>
      <c r="G339" s="5" t="n">
        <v>1.5</v>
      </c>
      <c r="H339" s="5" t="n">
        <v>1</v>
      </c>
      <c r="I339" s="5" t="inlineStr">
        <is>
          <t>PIT @ CLE</t>
        </is>
      </c>
    </row>
    <row r="340">
      <c r="A340" s="5" t="inlineStr">
        <is>
          <t>Jerry Jeudy</t>
        </is>
      </c>
      <c r="B340" s="5" t="inlineStr">
        <is>
          <t>CLE</t>
        </is>
      </c>
      <c r="C340" s="5" t="inlineStr">
        <is>
          <t>Receptions</t>
        </is>
      </c>
      <c r="D340" s="5" t="n">
        <v>3.5</v>
      </c>
      <c r="E340" s="5" t="inlineStr">
        <is>
          <t>Less</t>
        </is>
      </c>
      <c r="F340" s="48" t="n">
        <v>0.959</v>
      </c>
      <c r="G340" s="5" t="n">
        <v>1.5</v>
      </c>
      <c r="H340" s="5" t="n">
        <v>2</v>
      </c>
      <c r="I340" s="5" t="inlineStr">
        <is>
          <t>PIT @ CLE</t>
        </is>
      </c>
    </row>
    <row r="341">
      <c r="A341" s="5" t="inlineStr">
        <is>
          <t>Jerry Jeudy</t>
        </is>
      </c>
      <c r="B341" s="5" t="inlineStr">
        <is>
          <t>CLE</t>
        </is>
      </c>
      <c r="C341" s="5" t="inlineStr">
        <is>
          <t>Rush+Rec Yds</t>
        </is>
      </c>
      <c r="D341" s="5" t="n">
        <v>1.5</v>
      </c>
      <c r="E341" s="5" t="inlineStr">
        <is>
          <t>More</t>
        </is>
      </c>
      <c r="F341" s="48" t="n">
        <v>0.929</v>
      </c>
      <c r="G341" s="5" t="n">
        <v>15.5</v>
      </c>
      <c r="H341" s="5" t="n">
        <v>-7</v>
      </c>
      <c r="I341" s="5" t="inlineStr">
        <is>
          <t>PIT @ CLE</t>
        </is>
      </c>
    </row>
    <row r="342">
      <c r="A342" s="5" t="inlineStr">
        <is>
          <t>Jerry Jeudy</t>
        </is>
      </c>
      <c r="B342" s="5" t="inlineStr">
        <is>
          <t>CLE</t>
        </is>
      </c>
      <c r="C342" s="5" t="inlineStr">
        <is>
          <t>Rush+Rec Yds</t>
        </is>
      </c>
      <c r="D342" s="5" t="n">
        <v>3.5</v>
      </c>
      <c r="E342" s="5" t="inlineStr">
        <is>
          <t>More</t>
        </is>
      </c>
      <c r="F342" s="48" t="n">
        <v>0.878</v>
      </c>
      <c r="G342" s="5" t="n">
        <v>15.5</v>
      </c>
      <c r="H342" s="5" t="n">
        <v>-6</v>
      </c>
      <c r="I342" s="5" t="inlineStr">
        <is>
          <t>PIT @ CLE</t>
        </is>
      </c>
    </row>
    <row r="343">
      <c r="A343" s="5" t="inlineStr">
        <is>
          <t>Jerry Jeudy</t>
        </is>
      </c>
      <c r="B343" s="5" t="inlineStr">
        <is>
          <t>CLE</t>
        </is>
      </c>
      <c r="C343" s="5" t="inlineStr">
        <is>
          <t>Rush+Rec Yds</t>
        </is>
      </c>
      <c r="D343" s="5" t="n">
        <v>5.5</v>
      </c>
      <c r="E343" s="5" t="inlineStr">
        <is>
          <t>More</t>
        </is>
      </c>
      <c r="F343" s="48" t="n">
        <v>0.8169999999999999</v>
      </c>
      <c r="G343" s="5" t="n">
        <v>15.5</v>
      </c>
      <c r="H343" s="5" t="n">
        <v>-5</v>
      </c>
      <c r="I343" s="5" t="inlineStr">
        <is>
          <t>PIT @ CLE</t>
        </is>
      </c>
    </row>
    <row r="344">
      <c r="A344" s="5" t="inlineStr">
        <is>
          <t>Jerry Jeudy</t>
        </is>
      </c>
      <c r="B344" s="5" t="inlineStr">
        <is>
          <t>CLE</t>
        </is>
      </c>
      <c r="C344" s="5" t="inlineStr">
        <is>
          <t>Rush+Rec Yds</t>
        </is>
      </c>
      <c r="D344" s="5" t="n">
        <v>7.5</v>
      </c>
      <c r="E344" s="5" t="inlineStr">
        <is>
          <t>More</t>
        </is>
      </c>
      <c r="F344" s="48" t="n">
        <v>0.75</v>
      </c>
      <c r="G344" s="5" t="n">
        <v>15.5</v>
      </c>
      <c r="H344" s="5" t="n">
        <v>-4</v>
      </c>
      <c r="I344" s="5" t="inlineStr">
        <is>
          <t>PIT @ CLE</t>
        </is>
      </c>
    </row>
    <row r="345">
      <c r="A345" s="5" t="inlineStr">
        <is>
          <t>Jerry Jeudy</t>
        </is>
      </c>
      <c r="B345" s="5" t="inlineStr">
        <is>
          <t>CLE</t>
        </is>
      </c>
      <c r="C345" s="5" t="inlineStr">
        <is>
          <t>Rush+Rec Yds</t>
        </is>
      </c>
      <c r="D345" s="5" t="n">
        <v>9.5</v>
      </c>
      <c r="E345" s="5" t="inlineStr">
        <is>
          <t>More</t>
        </is>
      </c>
      <c r="F345" s="48" t="n">
        <v>0.6860000000000001</v>
      </c>
      <c r="G345" s="5" t="n">
        <v>15.5</v>
      </c>
      <c r="H345" s="5" t="n">
        <v>-3</v>
      </c>
      <c r="I345" s="5" t="inlineStr">
        <is>
          <t>PIT @ CLE</t>
        </is>
      </c>
    </row>
    <row r="346">
      <c r="A346" s="5" t="inlineStr">
        <is>
          <t>Jerry Jeudy</t>
        </is>
      </c>
      <c r="B346" s="5" t="inlineStr">
        <is>
          <t>CLE</t>
        </is>
      </c>
      <c r="C346" s="5" t="inlineStr">
        <is>
          <t>Rush+Rec Yds</t>
        </is>
      </c>
      <c r="D346" s="5" t="n">
        <v>11.5</v>
      </c>
      <c r="E346" s="5" t="inlineStr">
        <is>
          <t>More</t>
        </is>
      </c>
      <c r="F346" s="48" t="n">
        <v>0.622</v>
      </c>
      <c r="G346" s="5" t="n">
        <v>15.5</v>
      </c>
      <c r="H346" s="5" t="n">
        <v>-2</v>
      </c>
      <c r="I346" s="5" t="inlineStr">
        <is>
          <t>PIT @ CLE</t>
        </is>
      </c>
    </row>
    <row r="347">
      <c r="A347" s="5" t="inlineStr">
        <is>
          <t>Jerry Jeudy</t>
        </is>
      </c>
      <c r="B347" s="5" t="inlineStr">
        <is>
          <t>CLE</t>
        </is>
      </c>
      <c r="C347" s="5" t="inlineStr">
        <is>
          <t>Rush+Rec Yds</t>
        </is>
      </c>
      <c r="D347" s="5" t="n">
        <v>13.5</v>
      </c>
      <c r="E347" s="5" t="inlineStr">
        <is>
          <t>More</t>
        </is>
      </c>
      <c r="F347" s="48" t="n">
        <v>0.5580000000000001</v>
      </c>
      <c r="G347" s="5" t="n">
        <v>15.5</v>
      </c>
      <c r="H347" s="5" t="n">
        <v>-1</v>
      </c>
      <c r="I347" s="5" t="inlineStr">
        <is>
          <t>PIT @ CLE</t>
        </is>
      </c>
    </row>
    <row r="348">
      <c r="A348" s="5" t="inlineStr">
        <is>
          <t>Jerry Jeudy</t>
        </is>
      </c>
      <c r="B348" s="5" t="inlineStr">
        <is>
          <t>CLE</t>
        </is>
      </c>
      <c r="C348" s="5" t="inlineStr">
        <is>
          <t>Rush+Rec Yds</t>
        </is>
      </c>
      <c r="D348" s="5" t="n">
        <v>15.5</v>
      </c>
      <c r="E348" s="5" t="inlineStr">
        <is>
          <t>Less</t>
        </is>
      </c>
      <c r="F348" s="48" t="n">
        <v>0.504</v>
      </c>
      <c r="G348" s="5" t="n">
        <v>15.5</v>
      </c>
      <c r="H348" s="5" t="n">
        <v>0</v>
      </c>
      <c r="I348" s="5" t="inlineStr">
        <is>
          <t>PIT @ CLE</t>
        </is>
      </c>
    </row>
    <row r="349">
      <c r="A349" s="5" t="inlineStr">
        <is>
          <t>Jerry Jeudy</t>
        </is>
      </c>
      <c r="B349" s="5" t="inlineStr">
        <is>
          <t>CLE</t>
        </is>
      </c>
      <c r="C349" s="5" t="inlineStr">
        <is>
          <t>Rush+Rec Yds</t>
        </is>
      </c>
      <c r="D349" s="5" t="n">
        <v>17.5</v>
      </c>
      <c r="E349" s="5" t="inlineStr">
        <is>
          <t>Less</t>
        </is>
      </c>
      <c r="F349" s="48" t="n">
        <v>0.554</v>
      </c>
      <c r="G349" s="5" t="n">
        <v>15.5</v>
      </c>
      <c r="H349" s="5" t="n">
        <v>1</v>
      </c>
      <c r="I349" s="5" t="inlineStr">
        <is>
          <t>PIT @ CLE</t>
        </is>
      </c>
    </row>
    <row r="350">
      <c r="A350" s="5" t="inlineStr">
        <is>
          <t>Jerry Jeudy</t>
        </is>
      </c>
      <c r="B350" s="5" t="inlineStr">
        <is>
          <t>CLE</t>
        </is>
      </c>
      <c r="C350" s="5" t="inlineStr">
        <is>
          <t>Rush+Rec Yds</t>
        </is>
      </c>
      <c r="D350" s="5" t="n">
        <v>19.5</v>
      </c>
      <c r="E350" s="5" t="inlineStr">
        <is>
          <t>Less</t>
        </is>
      </c>
      <c r="F350" s="48" t="n">
        <v>0.604</v>
      </c>
      <c r="G350" s="5" t="n">
        <v>15.5</v>
      </c>
      <c r="H350" s="5" t="n">
        <v>2</v>
      </c>
      <c r="I350" s="5" t="inlineStr">
        <is>
          <t>PIT @ CLE</t>
        </is>
      </c>
    </row>
    <row r="351">
      <c r="A351" s="5" t="inlineStr">
        <is>
          <t>Jerry Jeudy</t>
        </is>
      </c>
      <c r="B351" s="5" t="inlineStr">
        <is>
          <t>CLE</t>
        </is>
      </c>
      <c r="C351" s="5" t="inlineStr">
        <is>
          <t>Rush+Rec Yds</t>
        </is>
      </c>
      <c r="D351" s="5" t="n">
        <v>21.5</v>
      </c>
      <c r="E351" s="5" t="inlineStr">
        <is>
          <t>Less</t>
        </is>
      </c>
      <c r="F351" s="48" t="n">
        <v>0.655</v>
      </c>
      <c r="G351" s="5" t="n">
        <v>15.5</v>
      </c>
      <c r="H351" s="5" t="n">
        <v>3</v>
      </c>
      <c r="I351" s="5" t="inlineStr">
        <is>
          <t>PIT @ CLE</t>
        </is>
      </c>
    </row>
    <row r="352">
      <c r="A352" s="5" t="inlineStr">
        <is>
          <t>Jerry Jeudy</t>
        </is>
      </c>
      <c r="B352" s="5" t="inlineStr">
        <is>
          <t>CLE</t>
        </is>
      </c>
      <c r="C352" s="5" t="inlineStr">
        <is>
          <t>Rush+Rec Yds</t>
        </is>
      </c>
      <c r="D352" s="5" t="n">
        <v>23.5</v>
      </c>
      <c r="E352" s="5" t="inlineStr">
        <is>
          <t>Less</t>
        </is>
      </c>
      <c r="F352" s="48" t="n">
        <v>0.695</v>
      </c>
      <c r="G352" s="5" t="n">
        <v>15.5</v>
      </c>
      <c r="H352" s="5" t="n">
        <v>4</v>
      </c>
      <c r="I352" s="5" t="inlineStr">
        <is>
          <t>PIT @ CLE</t>
        </is>
      </c>
    </row>
    <row r="353">
      <c r="A353" s="5" t="inlineStr">
        <is>
          <t>Jerry Jeudy</t>
        </is>
      </c>
      <c r="B353" s="5" t="inlineStr">
        <is>
          <t>CLE</t>
        </is>
      </c>
      <c r="C353" s="5" t="inlineStr">
        <is>
          <t>Rush+Rec Yds</t>
        </is>
      </c>
      <c r="D353" s="5" t="n">
        <v>25.5</v>
      </c>
      <c r="E353" s="5" t="inlineStr">
        <is>
          <t>Less</t>
        </is>
      </c>
      <c r="F353" s="48" t="n">
        <v>0.74</v>
      </c>
      <c r="G353" s="5" t="n">
        <v>15.5</v>
      </c>
      <c r="H353" s="5" t="n">
        <v>5</v>
      </c>
      <c r="I353" s="5" t="inlineStr">
        <is>
          <t>PIT @ CLE</t>
        </is>
      </c>
    </row>
    <row r="354">
      <c r="A354" s="5" t="inlineStr">
        <is>
          <t>Jerry Jeudy</t>
        </is>
      </c>
      <c r="B354" s="5" t="inlineStr">
        <is>
          <t>CLE</t>
        </is>
      </c>
      <c r="C354" s="5" t="inlineStr">
        <is>
          <t>Rush+Rec Yds</t>
        </is>
      </c>
      <c r="D354" s="5" t="n">
        <v>27.5</v>
      </c>
      <c r="E354" s="5" t="inlineStr">
        <is>
          <t>Less</t>
        </is>
      </c>
      <c r="F354" s="48" t="n">
        <v>0.776</v>
      </c>
      <c r="G354" s="5" t="n">
        <v>15.5</v>
      </c>
      <c r="H354" s="5" t="n">
        <v>6</v>
      </c>
      <c r="I354" s="5" t="inlineStr">
        <is>
          <t>PIT @ CLE</t>
        </is>
      </c>
    </row>
    <row r="355">
      <c r="A355" s="5" t="inlineStr">
        <is>
          <t>Jerry Jeudy</t>
        </is>
      </c>
      <c r="B355" s="5" t="inlineStr">
        <is>
          <t>CLE</t>
        </is>
      </c>
      <c r="C355" s="5" t="inlineStr">
        <is>
          <t>Rush+Rec Yds</t>
        </is>
      </c>
      <c r="D355" s="5" t="n">
        <v>29.5</v>
      </c>
      <c r="E355" s="5" t="inlineStr">
        <is>
          <t>Less</t>
        </is>
      </c>
      <c r="F355" s="48" t="n">
        <v>0.8070000000000001</v>
      </c>
      <c r="G355" s="5" t="n">
        <v>15.5</v>
      </c>
      <c r="H355" s="5" t="n">
        <v>7</v>
      </c>
      <c r="I355" s="5" t="inlineStr">
        <is>
          <t>PIT @ CLE</t>
        </is>
      </c>
    </row>
    <row r="356">
      <c r="A356" s="5" t="inlineStr">
        <is>
          <t>Jerry Jeudy</t>
        </is>
      </c>
      <c r="B356" s="5" t="inlineStr">
        <is>
          <t>CLE</t>
        </is>
      </c>
      <c r="C356" s="5" t="inlineStr">
        <is>
          <t>Rush+Rec Yds</t>
        </is>
      </c>
      <c r="D356" s="5" t="n">
        <v>31.5</v>
      </c>
      <c r="E356" s="5" t="inlineStr">
        <is>
          <t>Less</t>
        </is>
      </c>
      <c r="F356" s="48" t="n">
        <v>0.832</v>
      </c>
      <c r="G356" s="5" t="n">
        <v>15.5</v>
      </c>
      <c r="H356" s="5" t="n">
        <v>8</v>
      </c>
      <c r="I356" s="5" t="inlineStr">
        <is>
          <t>PIT @ CLE</t>
        </is>
      </c>
    </row>
    <row r="357">
      <c r="A357" s="5" t="inlineStr">
        <is>
          <t>Jerry Jeudy</t>
        </is>
      </c>
      <c r="B357" s="5" t="inlineStr">
        <is>
          <t>CLE</t>
        </is>
      </c>
      <c r="C357" s="5" t="inlineStr">
        <is>
          <t>Rush+Rec Yds</t>
        </is>
      </c>
      <c r="D357" s="5" t="n">
        <v>33.5</v>
      </c>
      <c r="E357" s="5" t="inlineStr">
        <is>
          <t>Less</t>
        </is>
      </c>
      <c r="F357" s="48" t="n">
        <v>0.86</v>
      </c>
      <c r="G357" s="5" t="n">
        <v>15.5</v>
      </c>
      <c r="H357" s="5" t="n">
        <v>9</v>
      </c>
      <c r="I357" s="5" t="inlineStr">
        <is>
          <t>PIT @ CLE</t>
        </is>
      </c>
    </row>
    <row r="358">
      <c r="A358" s="5" t="inlineStr">
        <is>
          <t>Jerry Jeudy</t>
        </is>
      </c>
      <c r="B358" s="5" t="inlineStr">
        <is>
          <t>CLE</t>
        </is>
      </c>
      <c r="C358" s="5" t="inlineStr">
        <is>
          <t>Rush+Rec Yds</t>
        </is>
      </c>
      <c r="D358" s="5" t="n">
        <v>35.5</v>
      </c>
      <c r="E358" s="5" t="inlineStr">
        <is>
          <t>Less</t>
        </is>
      </c>
      <c r="F358" s="48" t="n">
        <v>0.879</v>
      </c>
      <c r="G358" s="5" t="n">
        <v>15.5</v>
      </c>
      <c r="H358" s="5" t="n">
        <v>10</v>
      </c>
      <c r="I358" s="5" t="inlineStr">
        <is>
          <t>PIT @ CLE</t>
        </is>
      </c>
    </row>
    <row r="359">
      <c r="A359" s="5" t="inlineStr">
        <is>
          <t>Kaden Wetjen</t>
        </is>
      </c>
      <c r="B359" s="5" t="inlineStr">
        <is>
          <t>PIT</t>
        </is>
      </c>
      <c r="C359" s="5" t="inlineStr">
        <is>
          <t>Anytime TDs</t>
        </is>
      </c>
      <c r="D359" s="5" t="n">
        <v>0.5</v>
      </c>
      <c r="E359" s="5" t="inlineStr">
        <is>
          <t>Less</t>
        </is>
      </c>
      <c r="F359" s="48" t="n">
        <v>0.953</v>
      </c>
      <c r="G359" s="5" t="n">
        <v>0.5</v>
      </c>
      <c r="H359" s="5" t="n">
        <v>0</v>
      </c>
      <c r="I359" s="5" t="inlineStr">
        <is>
          <t>PIT @ CLE</t>
        </is>
      </c>
    </row>
    <row r="360">
      <c r="A360" s="5" t="inlineStr">
        <is>
          <t>Lew Nichols III</t>
        </is>
      </c>
      <c r="B360" s="5" t="inlineStr">
        <is>
          <t>PIT</t>
        </is>
      </c>
      <c r="C360" s="5" t="inlineStr">
        <is>
          <t>Anytime TDs</t>
        </is>
      </c>
      <c r="D360" s="5" t="n">
        <v>0.5</v>
      </c>
      <c r="E360" s="5" t="inlineStr">
        <is>
          <t>Less</t>
        </is>
      </c>
      <c r="F360" s="48" t="n">
        <v>0.902</v>
      </c>
      <c r="G360" s="5" t="n">
        <v>0.5</v>
      </c>
      <c r="H360" s="5" t="n">
        <v>0</v>
      </c>
      <c r="I360" s="5" t="inlineStr">
        <is>
          <t>PIT @ CLE</t>
        </is>
      </c>
    </row>
    <row r="361">
      <c r="A361" s="5" t="inlineStr">
        <is>
          <t>Malachi Corley</t>
        </is>
      </c>
      <c r="B361" s="5" t="inlineStr">
        <is>
          <t>CLE</t>
        </is>
      </c>
      <c r="C361" s="5" t="inlineStr">
        <is>
          <t>Anytime TDs</t>
        </is>
      </c>
      <c r="D361" s="5" t="n">
        <v>0.5</v>
      </c>
      <c r="E361" s="5" t="inlineStr">
        <is>
          <t>Less</t>
        </is>
      </c>
      <c r="F361" s="48" t="n">
        <v>0.965</v>
      </c>
      <c r="G361" s="5" t="n">
        <v>0.5</v>
      </c>
      <c r="H361" s="5" t="n">
        <v>0</v>
      </c>
      <c r="I361" s="5" t="inlineStr">
        <is>
          <t>PIT @ CLE</t>
        </is>
      </c>
    </row>
    <row r="362">
      <c r="A362" s="5" t="inlineStr">
        <is>
          <t>Michael Pittman Jr.</t>
        </is>
      </c>
      <c r="B362" s="5" t="inlineStr">
        <is>
          <t>PIT</t>
        </is>
      </c>
      <c r="C362" s="5" t="inlineStr">
        <is>
          <t>Anytime TDs</t>
        </is>
      </c>
      <c r="D362" s="5" t="n">
        <v>0.5</v>
      </c>
      <c r="E362" s="5" t="inlineStr">
        <is>
          <t>Less</t>
        </is>
      </c>
      <c r="F362" s="48" t="n">
        <v>0.785</v>
      </c>
      <c r="G362" s="5" t="n">
        <v>0.5</v>
      </c>
      <c r="H362" s="5" t="n">
        <v>0</v>
      </c>
      <c r="I362" s="5" t="inlineStr">
        <is>
          <t>PIT @ CLE</t>
        </is>
      </c>
    </row>
    <row r="363">
      <c r="A363" s="5" t="inlineStr">
        <is>
          <t>Michael Pittman Jr.</t>
        </is>
      </c>
      <c r="B363" s="5" t="inlineStr">
        <is>
          <t>PIT</t>
        </is>
      </c>
      <c r="C363" s="5" t="inlineStr">
        <is>
          <t>Rec Yds</t>
        </is>
      </c>
      <c r="D363" s="5" t="n">
        <v>4.5</v>
      </c>
      <c r="E363" s="5" t="inlineStr">
        <is>
          <t>More</t>
        </is>
      </c>
      <c r="F363" s="48" t="n">
        <v>0.925</v>
      </c>
      <c r="G363" s="5" t="n">
        <v>34.5</v>
      </c>
      <c r="H363" s="5" t="n">
        <v>-6</v>
      </c>
      <c r="I363" s="5" t="inlineStr">
        <is>
          <t>PIT @ CLE</t>
        </is>
      </c>
    </row>
    <row r="364">
      <c r="A364" s="5" t="inlineStr">
        <is>
          <t>Michael Pittman Jr.</t>
        </is>
      </c>
      <c r="B364" s="5" t="inlineStr">
        <is>
          <t>PIT</t>
        </is>
      </c>
      <c r="C364" s="5" t="inlineStr">
        <is>
          <t>Rec Yds</t>
        </is>
      </c>
      <c r="D364" s="5" t="n">
        <v>9.5</v>
      </c>
      <c r="E364" s="5" t="inlineStr">
        <is>
          <t>More</t>
        </is>
      </c>
      <c r="F364" s="48" t="n">
        <v>0.876</v>
      </c>
      <c r="G364" s="5" t="n">
        <v>34.5</v>
      </c>
      <c r="H364" s="5" t="n">
        <v>-5</v>
      </c>
      <c r="I364" s="5" t="inlineStr">
        <is>
          <t>PIT @ CLE</t>
        </is>
      </c>
    </row>
    <row r="365">
      <c r="A365" s="5" t="inlineStr">
        <is>
          <t>Michael Pittman Jr.</t>
        </is>
      </c>
      <c r="B365" s="5" t="inlineStr">
        <is>
          <t>PIT</t>
        </is>
      </c>
      <c r="C365" s="5" t="inlineStr">
        <is>
          <t>Rec Yds</t>
        </is>
      </c>
      <c r="D365" s="5" t="n">
        <v>14.5</v>
      </c>
      <c r="E365" s="5" t="inlineStr">
        <is>
          <t>More</t>
        </is>
      </c>
      <c r="F365" s="48" t="n">
        <v>0.794</v>
      </c>
      <c r="G365" s="5" t="n">
        <v>34.5</v>
      </c>
      <c r="H365" s="5" t="n">
        <v>-4</v>
      </c>
      <c r="I365" s="5" t="inlineStr">
        <is>
          <t>PIT @ CLE</t>
        </is>
      </c>
    </row>
    <row r="366">
      <c r="A366" s="5" t="inlineStr">
        <is>
          <t>Michael Pittman Jr.</t>
        </is>
      </c>
      <c r="B366" s="5" t="inlineStr">
        <is>
          <t>PIT</t>
        </is>
      </c>
      <c r="C366" s="5" t="inlineStr">
        <is>
          <t>Rec Yds</t>
        </is>
      </c>
      <c r="D366" s="5" t="n">
        <v>19.5</v>
      </c>
      <c r="E366" s="5" t="inlineStr">
        <is>
          <t>More</t>
        </is>
      </c>
      <c r="F366" s="48" t="n">
        <v>0.725</v>
      </c>
      <c r="G366" s="5" t="n">
        <v>34.5</v>
      </c>
      <c r="H366" s="5" t="n">
        <v>-3</v>
      </c>
      <c r="I366" s="5" t="inlineStr">
        <is>
          <t>PIT @ CLE</t>
        </is>
      </c>
    </row>
    <row r="367">
      <c r="A367" s="5" t="inlineStr">
        <is>
          <t>Michael Pittman Jr.</t>
        </is>
      </c>
      <c r="B367" s="5" t="inlineStr">
        <is>
          <t>PIT</t>
        </is>
      </c>
      <c r="C367" s="5" t="inlineStr">
        <is>
          <t>Rec Yds</t>
        </is>
      </c>
      <c r="D367" s="5" t="n">
        <v>24.5</v>
      </c>
      <c r="E367" s="5" t="inlineStr">
        <is>
          <t>More</t>
        </is>
      </c>
      <c r="F367" s="48" t="n">
        <v>0.634</v>
      </c>
      <c r="G367" s="5" t="n">
        <v>34.5</v>
      </c>
      <c r="H367" s="5" t="n">
        <v>-2</v>
      </c>
      <c r="I367" s="5" t="inlineStr">
        <is>
          <t>PIT @ CLE</t>
        </is>
      </c>
    </row>
    <row r="368">
      <c r="A368" s="5" t="inlineStr">
        <is>
          <t>Michael Pittman Jr.</t>
        </is>
      </c>
      <c r="B368" s="5" t="inlineStr">
        <is>
          <t>PIT</t>
        </is>
      </c>
      <c r="C368" s="5" t="inlineStr">
        <is>
          <t>Rec Yds</t>
        </is>
      </c>
      <c r="D368" s="5" t="n">
        <v>29.5</v>
      </c>
      <c r="E368" s="5" t="inlineStr">
        <is>
          <t>More</t>
        </is>
      </c>
      <c r="F368" s="48" t="n">
        <v>0.572</v>
      </c>
      <c r="G368" s="5" t="n">
        <v>34.5</v>
      </c>
      <c r="H368" s="5" t="n">
        <v>-1</v>
      </c>
      <c r="I368" s="5" t="inlineStr">
        <is>
          <t>PIT @ CLE</t>
        </is>
      </c>
    </row>
    <row r="369">
      <c r="A369" s="5" t="inlineStr">
        <is>
          <t>Michael Pittman Jr.</t>
        </is>
      </c>
      <c r="B369" s="5" t="inlineStr">
        <is>
          <t>PIT</t>
        </is>
      </c>
      <c r="C369" s="5" t="inlineStr">
        <is>
          <t>Rec Yds</t>
        </is>
      </c>
      <c r="D369" s="5" t="n">
        <v>34.5</v>
      </c>
      <c r="E369" s="5" t="inlineStr">
        <is>
          <t>Less</t>
        </is>
      </c>
      <c r="F369" s="48" t="n">
        <v>0.504</v>
      </c>
      <c r="G369" s="5" t="n">
        <v>34.5</v>
      </c>
      <c r="H369" s="5" t="n">
        <v>0</v>
      </c>
      <c r="I369" s="5" t="inlineStr">
        <is>
          <t>PIT @ CLE</t>
        </is>
      </c>
    </row>
    <row r="370">
      <c r="A370" s="5" t="inlineStr">
        <is>
          <t>Michael Pittman Jr.</t>
        </is>
      </c>
      <c r="B370" s="5" t="inlineStr">
        <is>
          <t>PIT</t>
        </is>
      </c>
      <c r="C370" s="5" t="inlineStr">
        <is>
          <t>Rec Yds</t>
        </is>
      </c>
      <c r="D370" s="5" t="n">
        <v>39.5</v>
      </c>
      <c r="E370" s="5" t="inlineStr">
        <is>
          <t>Less</t>
        </is>
      </c>
      <c r="F370" s="48" t="n">
        <v>0.5590000000000001</v>
      </c>
      <c r="G370" s="5" t="n">
        <v>34.5</v>
      </c>
      <c r="H370" s="5" t="n">
        <v>1</v>
      </c>
      <c r="I370" s="5" t="inlineStr">
        <is>
          <t>PIT @ CLE</t>
        </is>
      </c>
    </row>
    <row r="371">
      <c r="A371" s="5" t="inlineStr">
        <is>
          <t>Michael Pittman Jr.</t>
        </is>
      </c>
      <c r="B371" s="5" t="inlineStr">
        <is>
          <t>PIT</t>
        </is>
      </c>
      <c r="C371" s="5" t="inlineStr">
        <is>
          <t>Rec Yds</t>
        </is>
      </c>
      <c r="D371" s="5" t="n">
        <v>44.5</v>
      </c>
      <c r="E371" s="5" t="inlineStr">
        <is>
          <t>Less</t>
        </is>
      </c>
      <c r="F371" s="48" t="n">
        <v>0.611</v>
      </c>
      <c r="G371" s="5" t="n">
        <v>34.5</v>
      </c>
      <c r="H371" s="5" t="n">
        <v>2</v>
      </c>
      <c r="I371" s="5" t="inlineStr">
        <is>
          <t>PIT @ CLE</t>
        </is>
      </c>
    </row>
    <row r="372">
      <c r="A372" s="5" t="inlineStr">
        <is>
          <t>Michael Pittman Jr.</t>
        </is>
      </c>
      <c r="B372" s="5" t="inlineStr">
        <is>
          <t>PIT</t>
        </is>
      </c>
      <c r="C372" s="5" t="inlineStr">
        <is>
          <t>Rec Yds</t>
        </is>
      </c>
      <c r="D372" s="5" t="n">
        <v>49.5</v>
      </c>
      <c r="E372" s="5" t="inlineStr">
        <is>
          <t>Less</t>
        </is>
      </c>
      <c r="F372" s="48" t="n">
        <v>0.675</v>
      </c>
      <c r="G372" s="5" t="n">
        <v>34.5</v>
      </c>
      <c r="H372" s="5" t="n">
        <v>3</v>
      </c>
      <c r="I372" s="5" t="inlineStr">
        <is>
          <t>PIT @ CLE</t>
        </is>
      </c>
    </row>
    <row r="373">
      <c r="A373" s="5" t="inlineStr">
        <is>
          <t>Michael Pittman Jr.</t>
        </is>
      </c>
      <c r="B373" s="5" t="inlineStr">
        <is>
          <t>PIT</t>
        </is>
      </c>
      <c r="C373" s="5" t="inlineStr">
        <is>
          <t>Rec Yds</t>
        </is>
      </c>
      <c r="D373" s="5" t="n">
        <v>54.5</v>
      </c>
      <c r="E373" s="5" t="inlineStr">
        <is>
          <t>Less</t>
        </is>
      </c>
      <c r="F373" s="48" t="n">
        <v>0.72</v>
      </c>
      <c r="G373" s="5" t="n">
        <v>34.5</v>
      </c>
      <c r="H373" s="5" t="n">
        <v>4</v>
      </c>
      <c r="I373" s="5" t="inlineStr">
        <is>
          <t>PIT @ CLE</t>
        </is>
      </c>
    </row>
    <row r="374">
      <c r="A374" s="5" t="inlineStr">
        <is>
          <t>Michael Pittman Jr.</t>
        </is>
      </c>
      <c r="B374" s="5" t="inlineStr">
        <is>
          <t>PIT</t>
        </is>
      </c>
      <c r="C374" s="5" t="inlineStr">
        <is>
          <t>Rec Yds</t>
        </is>
      </c>
      <c r="D374" s="5" t="n">
        <v>59.5</v>
      </c>
      <c r="E374" s="5" t="inlineStr">
        <is>
          <t>Less</t>
        </is>
      </c>
      <c r="F374" s="48" t="n">
        <v>0.766</v>
      </c>
      <c r="G374" s="5" t="n">
        <v>34.5</v>
      </c>
      <c r="H374" s="5" t="n">
        <v>5</v>
      </c>
      <c r="I374" s="5" t="inlineStr">
        <is>
          <t>PIT @ CLE</t>
        </is>
      </c>
    </row>
    <row r="375">
      <c r="A375" s="5" t="inlineStr">
        <is>
          <t>Michael Pittman Jr.</t>
        </is>
      </c>
      <c r="B375" s="5" t="inlineStr">
        <is>
          <t>PIT</t>
        </is>
      </c>
      <c r="C375" s="5" t="inlineStr">
        <is>
          <t>Rec Yds</t>
        </is>
      </c>
      <c r="D375" s="5" t="n">
        <v>64.5</v>
      </c>
      <c r="E375" s="5" t="inlineStr">
        <is>
          <t>Less</t>
        </is>
      </c>
      <c r="F375" s="48" t="n">
        <v>0.799</v>
      </c>
      <c r="G375" s="5" t="n">
        <v>34.5</v>
      </c>
      <c r="H375" s="5" t="n">
        <v>6</v>
      </c>
      <c r="I375" s="5" t="inlineStr">
        <is>
          <t>PIT @ CLE</t>
        </is>
      </c>
    </row>
    <row r="376">
      <c r="A376" s="5" t="inlineStr">
        <is>
          <t>Michael Pittman Jr.</t>
        </is>
      </c>
      <c r="B376" s="5" t="inlineStr">
        <is>
          <t>PIT</t>
        </is>
      </c>
      <c r="C376" s="5" t="inlineStr">
        <is>
          <t>Rec Yds</t>
        </is>
      </c>
      <c r="D376" s="5" t="n">
        <v>69.5</v>
      </c>
      <c r="E376" s="5" t="inlineStr">
        <is>
          <t>Less</t>
        </is>
      </c>
      <c r="F376" s="48" t="n">
        <v>0.829</v>
      </c>
      <c r="G376" s="5" t="n">
        <v>34.5</v>
      </c>
      <c r="H376" s="5" t="n">
        <v>7</v>
      </c>
      <c r="I376" s="5" t="inlineStr">
        <is>
          <t>PIT @ CLE</t>
        </is>
      </c>
    </row>
    <row r="377">
      <c r="A377" s="5" t="inlineStr">
        <is>
          <t>Michael Pittman Jr.</t>
        </is>
      </c>
      <c r="B377" s="5" t="inlineStr">
        <is>
          <t>PIT</t>
        </is>
      </c>
      <c r="C377" s="5" t="inlineStr">
        <is>
          <t>Rec Yds</t>
        </is>
      </c>
      <c r="D377" s="5" t="n">
        <v>74.5</v>
      </c>
      <c r="E377" s="5" t="inlineStr">
        <is>
          <t>Less</t>
        </is>
      </c>
      <c r="F377" s="48" t="n">
        <v>0.859</v>
      </c>
      <c r="G377" s="5" t="n">
        <v>34.5</v>
      </c>
      <c r="H377" s="5" t="n">
        <v>8</v>
      </c>
      <c r="I377" s="5" t="inlineStr">
        <is>
          <t>PIT @ CLE</t>
        </is>
      </c>
    </row>
    <row r="378">
      <c r="A378" s="5" t="inlineStr">
        <is>
          <t>Michael Pittman Jr.</t>
        </is>
      </c>
      <c r="B378" s="5" t="inlineStr">
        <is>
          <t>PIT</t>
        </is>
      </c>
      <c r="C378" s="5" t="inlineStr">
        <is>
          <t>Rec Yds</t>
        </is>
      </c>
      <c r="D378" s="5" t="n">
        <v>79.5</v>
      </c>
      <c r="E378" s="5" t="inlineStr">
        <is>
          <t>Less</t>
        </is>
      </c>
      <c r="F378" s="48" t="n">
        <v>0.882</v>
      </c>
      <c r="G378" s="5" t="n">
        <v>34.5</v>
      </c>
      <c r="H378" s="5" t="n">
        <v>9</v>
      </c>
      <c r="I378" s="5" t="inlineStr">
        <is>
          <t>PIT @ CLE</t>
        </is>
      </c>
    </row>
    <row r="379">
      <c r="A379" s="5" t="inlineStr">
        <is>
          <t>Michael Pittman Jr.</t>
        </is>
      </c>
      <c r="B379" s="5" t="inlineStr">
        <is>
          <t>PIT</t>
        </is>
      </c>
      <c r="C379" s="5" t="inlineStr">
        <is>
          <t>Rec Yds</t>
        </is>
      </c>
      <c r="D379" s="5" t="n">
        <v>84.5</v>
      </c>
      <c r="E379" s="5" t="inlineStr">
        <is>
          <t>Less</t>
        </is>
      </c>
      <c r="F379" s="48" t="n">
        <v>0.905</v>
      </c>
      <c r="G379" s="5" t="n">
        <v>34.5</v>
      </c>
      <c r="H379" s="5" t="n">
        <v>10</v>
      </c>
      <c r="I379" s="5" t="inlineStr">
        <is>
          <t>PIT @ CLE</t>
        </is>
      </c>
    </row>
    <row r="380">
      <c r="A380" s="5" t="inlineStr">
        <is>
          <t>Michael Pittman Jr.</t>
        </is>
      </c>
      <c r="B380" s="5" t="inlineStr">
        <is>
          <t>PIT</t>
        </is>
      </c>
      <c r="C380" s="5" t="inlineStr">
        <is>
          <t>Receptions</t>
        </is>
      </c>
      <c r="D380" s="5" t="n">
        <v>0.5</v>
      </c>
      <c r="E380" s="5" t="inlineStr">
        <is>
          <t>More</t>
        </is>
      </c>
      <c r="F380" s="48" t="n">
        <v>0.9389999999999999</v>
      </c>
      <c r="G380" s="5" t="n">
        <v>3.5</v>
      </c>
      <c r="H380" s="5" t="n">
        <v>-3</v>
      </c>
      <c r="I380" s="5" t="inlineStr">
        <is>
          <t>PIT @ CLE</t>
        </is>
      </c>
    </row>
    <row r="381">
      <c r="A381" s="5" t="inlineStr">
        <is>
          <t>Michael Pittman Jr.</t>
        </is>
      </c>
      <c r="B381" s="5" t="inlineStr">
        <is>
          <t>PIT</t>
        </is>
      </c>
      <c r="C381" s="5" t="inlineStr">
        <is>
          <t>Receptions</t>
        </is>
      </c>
      <c r="D381" s="5" t="n">
        <v>1.5</v>
      </c>
      <c r="E381" s="5" t="inlineStr">
        <is>
          <t>More</t>
        </is>
      </c>
      <c r="F381" s="48" t="n">
        <v>0.8090000000000001</v>
      </c>
      <c r="G381" s="5" t="n">
        <v>3.5</v>
      </c>
      <c r="H381" s="5" t="n">
        <v>-2</v>
      </c>
      <c r="I381" s="5" t="inlineStr">
        <is>
          <t>PIT @ CLE</t>
        </is>
      </c>
    </row>
    <row r="382">
      <c r="A382" s="5" t="inlineStr">
        <is>
          <t>Michael Pittman Jr.</t>
        </is>
      </c>
      <c r="B382" s="5" t="inlineStr">
        <is>
          <t>PIT</t>
        </is>
      </c>
      <c r="C382" s="5" t="inlineStr">
        <is>
          <t>Receptions</t>
        </is>
      </c>
      <c r="D382" s="5" t="n">
        <v>2.5</v>
      </c>
      <c r="E382" s="5" t="inlineStr">
        <is>
          <t>More</t>
        </is>
      </c>
      <c r="F382" s="48" t="n">
        <v>0.64</v>
      </c>
      <c r="G382" s="5" t="n">
        <v>3.5</v>
      </c>
      <c r="H382" s="5" t="n">
        <v>-1</v>
      </c>
      <c r="I382" s="5" t="inlineStr">
        <is>
          <t>PIT @ CLE</t>
        </is>
      </c>
    </row>
    <row r="383">
      <c r="A383" s="5" t="inlineStr">
        <is>
          <t>Michael Pittman Jr.</t>
        </is>
      </c>
      <c r="B383" s="5" t="inlineStr">
        <is>
          <t>PIT</t>
        </is>
      </c>
      <c r="C383" s="5" t="inlineStr">
        <is>
          <t>Receptions</t>
        </is>
      </c>
      <c r="D383" s="5" t="n">
        <v>3.5</v>
      </c>
      <c r="E383" s="5" t="inlineStr">
        <is>
          <t>Less</t>
        </is>
      </c>
      <c r="F383" s="48" t="n">
        <v>0.536</v>
      </c>
      <c r="G383" s="5" t="n">
        <v>3.5</v>
      </c>
      <c r="H383" s="5" t="n">
        <v>0</v>
      </c>
      <c r="I383" s="5" t="inlineStr">
        <is>
          <t>PIT @ CLE</t>
        </is>
      </c>
    </row>
    <row r="384">
      <c r="A384" s="5" t="inlineStr">
        <is>
          <t>Michael Pittman Jr.</t>
        </is>
      </c>
      <c r="B384" s="5" t="inlineStr">
        <is>
          <t>PIT</t>
        </is>
      </c>
      <c r="C384" s="5" t="inlineStr">
        <is>
          <t>Receptions</t>
        </is>
      </c>
      <c r="D384" s="5" t="n">
        <v>4.5</v>
      </c>
      <c r="E384" s="5" t="inlineStr">
        <is>
          <t>Less</t>
        </is>
      </c>
      <c r="F384" s="48" t="n">
        <v>0.6850000000000001</v>
      </c>
      <c r="G384" s="5" t="n">
        <v>3.5</v>
      </c>
      <c r="H384" s="5" t="n">
        <v>1</v>
      </c>
      <c r="I384" s="5" t="inlineStr">
        <is>
          <t>PIT @ CLE</t>
        </is>
      </c>
    </row>
    <row r="385">
      <c r="A385" s="5" t="inlineStr">
        <is>
          <t>Michael Pittman Jr.</t>
        </is>
      </c>
      <c r="B385" s="5" t="inlineStr">
        <is>
          <t>PIT</t>
        </is>
      </c>
      <c r="C385" s="5" t="inlineStr">
        <is>
          <t>Receptions</t>
        </is>
      </c>
      <c r="D385" s="5" t="n">
        <v>5.5</v>
      </c>
      <c r="E385" s="5" t="inlineStr">
        <is>
          <t>Less</t>
        </is>
      </c>
      <c r="F385" s="48" t="n">
        <v>0.8090000000000001</v>
      </c>
      <c r="G385" s="5" t="n">
        <v>3.5</v>
      </c>
      <c r="H385" s="5" t="n">
        <v>2</v>
      </c>
      <c r="I385" s="5" t="inlineStr">
        <is>
          <t>PIT @ CLE</t>
        </is>
      </c>
    </row>
    <row r="386">
      <c r="A386" s="5" t="inlineStr">
        <is>
          <t>Michael Pittman Jr.</t>
        </is>
      </c>
      <c r="B386" s="5" t="inlineStr">
        <is>
          <t>PIT</t>
        </is>
      </c>
      <c r="C386" s="5" t="inlineStr">
        <is>
          <t>Receptions</t>
        </is>
      </c>
      <c r="D386" s="5" t="n">
        <v>6.5</v>
      </c>
      <c r="E386" s="5" t="inlineStr">
        <is>
          <t>Less</t>
        </is>
      </c>
      <c r="F386" s="48" t="n">
        <v>0.89</v>
      </c>
      <c r="G386" s="5" t="n">
        <v>3.5</v>
      </c>
      <c r="H386" s="5" t="n">
        <v>3</v>
      </c>
      <c r="I386" s="5" t="inlineStr">
        <is>
          <t>PIT @ CLE</t>
        </is>
      </c>
    </row>
    <row r="387">
      <c r="A387" s="5" t="inlineStr">
        <is>
          <t>Michael Pittman Jr.</t>
        </is>
      </c>
      <c r="B387" s="5" t="inlineStr">
        <is>
          <t>PIT</t>
        </is>
      </c>
      <c r="C387" s="5" t="inlineStr">
        <is>
          <t>Receptions</t>
        </is>
      </c>
      <c r="D387" s="5" t="n">
        <v>7.5</v>
      </c>
      <c r="E387" s="5" t="inlineStr">
        <is>
          <t>Less</t>
        </is>
      </c>
      <c r="F387" s="48" t="n">
        <v>0.9409999999999999</v>
      </c>
      <c r="G387" s="5" t="n">
        <v>3.5</v>
      </c>
      <c r="H387" s="5" t="n">
        <v>4</v>
      </c>
      <c r="I387" s="5" t="inlineStr">
        <is>
          <t>PIT @ CLE</t>
        </is>
      </c>
    </row>
    <row r="388">
      <c r="A388" s="5" t="inlineStr">
        <is>
          <t>Michael Pittman Jr.</t>
        </is>
      </c>
      <c r="B388" s="5" t="inlineStr">
        <is>
          <t>PIT</t>
        </is>
      </c>
      <c r="C388" s="5" t="inlineStr">
        <is>
          <t>Receptions</t>
        </is>
      </c>
      <c r="D388" s="5" t="n">
        <v>8.5</v>
      </c>
      <c r="E388" s="5" t="inlineStr">
        <is>
          <t>Less</t>
        </is>
      </c>
      <c r="F388" s="48" t="n">
        <v>0.97</v>
      </c>
      <c r="G388" s="5" t="n">
        <v>3.5</v>
      </c>
      <c r="H388" s="5" t="n">
        <v>5</v>
      </c>
      <c r="I388" s="5" t="inlineStr">
        <is>
          <t>PIT @ CLE</t>
        </is>
      </c>
    </row>
    <row r="389">
      <c r="A389" s="5" t="inlineStr">
        <is>
          <t>Michael Pittman Jr.</t>
        </is>
      </c>
      <c r="B389" s="5" t="inlineStr">
        <is>
          <t>PIT</t>
        </is>
      </c>
      <c r="C389" s="5" t="inlineStr">
        <is>
          <t>Rush+Rec Yds</t>
        </is>
      </c>
      <c r="D389" s="5" t="n">
        <v>2.5</v>
      </c>
      <c r="E389" s="5" t="inlineStr">
        <is>
          <t>More</t>
        </is>
      </c>
      <c r="F389" s="48" t="n">
        <v>0.968</v>
      </c>
      <c r="G389" s="5" t="n">
        <v>32.5</v>
      </c>
      <c r="H389" s="5" t="n">
        <v>-6</v>
      </c>
      <c r="I389" s="5" t="inlineStr">
        <is>
          <t>PIT @ CLE</t>
        </is>
      </c>
    </row>
    <row r="390">
      <c r="A390" s="5" t="inlineStr">
        <is>
          <t>Michael Pittman Jr.</t>
        </is>
      </c>
      <c r="B390" s="5" t="inlineStr">
        <is>
          <t>PIT</t>
        </is>
      </c>
      <c r="C390" s="5" t="inlineStr">
        <is>
          <t>Rush+Rec Yds</t>
        </is>
      </c>
      <c r="D390" s="5" t="n">
        <v>7.5</v>
      </c>
      <c r="E390" s="5" t="inlineStr">
        <is>
          <t>More</t>
        </is>
      </c>
      <c r="F390" s="48" t="n">
        <v>0.922</v>
      </c>
      <c r="G390" s="5" t="n">
        <v>32.5</v>
      </c>
      <c r="H390" s="5" t="n">
        <v>-5</v>
      </c>
      <c r="I390" s="5" t="inlineStr">
        <is>
          <t>PIT @ CLE</t>
        </is>
      </c>
    </row>
    <row r="391">
      <c r="A391" s="5" t="inlineStr">
        <is>
          <t>Michael Pittman Jr.</t>
        </is>
      </c>
      <c r="B391" s="5" t="inlineStr">
        <is>
          <t>PIT</t>
        </is>
      </c>
      <c r="C391" s="5" t="inlineStr">
        <is>
          <t>Rush+Rec Yds</t>
        </is>
      </c>
      <c r="D391" s="5" t="n">
        <v>12.5</v>
      </c>
      <c r="E391" s="5" t="inlineStr">
        <is>
          <t>More</t>
        </is>
      </c>
      <c r="F391" s="48" t="n">
        <v>0.842</v>
      </c>
      <c r="G391" s="5" t="n">
        <v>32.5</v>
      </c>
      <c r="H391" s="5" t="n">
        <v>-4</v>
      </c>
      <c r="I391" s="5" t="inlineStr">
        <is>
          <t>PIT @ CLE</t>
        </is>
      </c>
    </row>
    <row r="392">
      <c r="A392" s="5" t="inlineStr">
        <is>
          <t>Michael Pittman Jr.</t>
        </is>
      </c>
      <c r="B392" s="5" t="inlineStr">
        <is>
          <t>PIT</t>
        </is>
      </c>
      <c r="C392" s="5" t="inlineStr">
        <is>
          <t>Rush+Rec Yds</t>
        </is>
      </c>
      <c r="D392" s="5" t="n">
        <v>17.5</v>
      </c>
      <c r="E392" s="5" t="inlineStr">
        <is>
          <t>More</t>
        </is>
      </c>
      <c r="F392" s="48" t="n">
        <v>0.759</v>
      </c>
      <c r="G392" s="5" t="n">
        <v>32.5</v>
      </c>
      <c r="H392" s="5" t="n">
        <v>-3</v>
      </c>
      <c r="I392" s="5" t="inlineStr">
        <is>
          <t>PIT @ CLE</t>
        </is>
      </c>
    </row>
    <row r="393">
      <c r="A393" s="5" t="inlineStr">
        <is>
          <t>Michael Pittman Jr.</t>
        </is>
      </c>
      <c r="B393" s="5" t="inlineStr">
        <is>
          <t>PIT</t>
        </is>
      </c>
      <c r="C393" s="5" t="inlineStr">
        <is>
          <t>Rush+Rec Yds</t>
        </is>
      </c>
      <c r="D393" s="5" t="n">
        <v>22.5</v>
      </c>
      <c r="E393" s="5" t="inlineStr">
        <is>
          <t>More</t>
        </is>
      </c>
      <c r="F393" s="48" t="n">
        <v>0.674</v>
      </c>
      <c r="G393" s="5" t="n">
        <v>32.5</v>
      </c>
      <c r="H393" s="5" t="n">
        <v>-2</v>
      </c>
      <c r="I393" s="5" t="inlineStr">
        <is>
          <t>PIT @ CLE</t>
        </is>
      </c>
    </row>
    <row r="394">
      <c r="A394" s="5" t="inlineStr">
        <is>
          <t>Michael Pittman Jr.</t>
        </is>
      </c>
      <c r="B394" s="5" t="inlineStr">
        <is>
          <t>PIT</t>
        </is>
      </c>
      <c r="C394" s="5" t="inlineStr">
        <is>
          <t>Rush+Rec Yds</t>
        </is>
      </c>
      <c r="D394" s="5" t="n">
        <v>27.5</v>
      </c>
      <c r="E394" s="5" t="inlineStr">
        <is>
          <t>More</t>
        </is>
      </c>
      <c r="F394" s="48" t="n">
        <v>0.582</v>
      </c>
      <c r="G394" s="5" t="n">
        <v>32.5</v>
      </c>
      <c r="H394" s="5" t="n">
        <v>-1</v>
      </c>
      <c r="I394" s="5" t="inlineStr">
        <is>
          <t>PIT @ CLE</t>
        </is>
      </c>
    </row>
    <row r="395">
      <c r="A395" s="5" t="inlineStr">
        <is>
          <t>Michael Pittman Jr.</t>
        </is>
      </c>
      <c r="B395" s="5" t="inlineStr">
        <is>
          <t>PIT</t>
        </is>
      </c>
      <c r="C395" s="5" t="inlineStr">
        <is>
          <t>Rush+Rec Yds</t>
        </is>
      </c>
      <c r="D395" s="5" t="n">
        <v>32.5</v>
      </c>
      <c r="E395" s="5" t="inlineStr">
        <is>
          <t>More</t>
        </is>
      </c>
      <c r="F395" s="48" t="n">
        <v>0.5</v>
      </c>
      <c r="G395" s="5" t="n">
        <v>32.5</v>
      </c>
      <c r="H395" s="5" t="n">
        <v>0</v>
      </c>
      <c r="I395" s="5" t="inlineStr">
        <is>
          <t>PIT @ CLE</t>
        </is>
      </c>
    </row>
    <row r="396">
      <c r="A396" s="5" t="inlineStr">
        <is>
          <t>Michael Pittman Jr.</t>
        </is>
      </c>
      <c r="B396" s="5" t="inlineStr">
        <is>
          <t>PIT</t>
        </is>
      </c>
      <c r="C396" s="5" t="inlineStr">
        <is>
          <t>Rush+Rec Yds</t>
        </is>
      </c>
      <c r="D396" s="5" t="n">
        <v>37.5</v>
      </c>
      <c r="E396" s="5" t="inlineStr">
        <is>
          <t>Less</t>
        </is>
      </c>
      <c r="F396" s="48" t="n">
        <v>0.576</v>
      </c>
      <c r="G396" s="5" t="n">
        <v>32.5</v>
      </c>
      <c r="H396" s="5" t="n">
        <v>1</v>
      </c>
      <c r="I396" s="5" t="inlineStr">
        <is>
          <t>PIT @ CLE</t>
        </is>
      </c>
    </row>
    <row r="397">
      <c r="A397" s="5" t="inlineStr">
        <is>
          <t>Michael Pittman Jr.</t>
        </is>
      </c>
      <c r="B397" s="5" t="inlineStr">
        <is>
          <t>PIT</t>
        </is>
      </c>
      <c r="C397" s="5" t="inlineStr">
        <is>
          <t>Rush+Rec Yds</t>
        </is>
      </c>
      <c r="D397" s="5" t="n">
        <v>42.5</v>
      </c>
      <c r="E397" s="5" t="inlineStr">
        <is>
          <t>Less</t>
        </is>
      </c>
      <c r="F397" s="48" t="n">
        <v>0.652</v>
      </c>
      <c r="G397" s="5" t="n">
        <v>32.5</v>
      </c>
      <c r="H397" s="5" t="n">
        <v>2</v>
      </c>
      <c r="I397" s="5" t="inlineStr">
        <is>
          <t>PIT @ CLE</t>
        </is>
      </c>
    </row>
    <row r="398">
      <c r="A398" s="5" t="inlineStr">
        <is>
          <t>Michael Pittman Jr.</t>
        </is>
      </c>
      <c r="B398" s="5" t="inlineStr">
        <is>
          <t>PIT</t>
        </is>
      </c>
      <c r="C398" s="5" t="inlineStr">
        <is>
          <t>Rush+Rec Yds</t>
        </is>
      </c>
      <c r="D398" s="5" t="n">
        <v>47.5</v>
      </c>
      <c r="E398" s="5" t="inlineStr">
        <is>
          <t>Less</t>
        </is>
      </c>
      <c r="F398" s="48" t="n">
        <v>0.708</v>
      </c>
      <c r="G398" s="5" t="n">
        <v>32.5</v>
      </c>
      <c r="H398" s="5" t="n">
        <v>3</v>
      </c>
      <c r="I398" s="5" t="inlineStr">
        <is>
          <t>PIT @ CLE</t>
        </is>
      </c>
    </row>
    <row r="399">
      <c r="A399" s="5" t="inlineStr">
        <is>
          <t>Michael Pittman Jr.</t>
        </is>
      </c>
      <c r="B399" s="5" t="inlineStr">
        <is>
          <t>PIT</t>
        </is>
      </c>
      <c r="C399" s="5" t="inlineStr">
        <is>
          <t>Rush+Rec Yds</t>
        </is>
      </c>
      <c r="D399" s="5" t="n">
        <v>52.5</v>
      </c>
      <c r="E399" s="5" t="inlineStr">
        <is>
          <t>Less</t>
        </is>
      </c>
      <c r="F399" s="48" t="n">
        <v>0.758</v>
      </c>
      <c r="G399" s="5" t="n">
        <v>32.5</v>
      </c>
      <c r="H399" s="5" t="n">
        <v>4</v>
      </c>
      <c r="I399" s="5" t="inlineStr">
        <is>
          <t>PIT @ CLE</t>
        </is>
      </c>
    </row>
    <row r="400">
      <c r="A400" s="5" t="inlineStr">
        <is>
          <t>Michael Pittman Jr.</t>
        </is>
      </c>
      <c r="B400" s="5" t="inlineStr">
        <is>
          <t>PIT</t>
        </is>
      </c>
      <c r="C400" s="5" t="inlineStr">
        <is>
          <t>Rush+Rec Yds</t>
        </is>
      </c>
      <c r="D400" s="5" t="n">
        <v>57.5</v>
      </c>
      <c r="E400" s="5" t="inlineStr">
        <is>
          <t>Less</t>
        </is>
      </c>
      <c r="F400" s="48" t="n">
        <v>0.804</v>
      </c>
      <c r="G400" s="5" t="n">
        <v>32.5</v>
      </c>
      <c r="H400" s="5" t="n">
        <v>5</v>
      </c>
      <c r="I400" s="5" t="inlineStr">
        <is>
          <t>PIT @ CLE</t>
        </is>
      </c>
    </row>
    <row r="401">
      <c r="A401" s="5" t="inlineStr">
        <is>
          <t>Michael Pittman Jr.</t>
        </is>
      </c>
      <c r="B401" s="5" t="inlineStr">
        <is>
          <t>PIT</t>
        </is>
      </c>
      <c r="C401" s="5" t="inlineStr">
        <is>
          <t>Rush+Rec Yds</t>
        </is>
      </c>
      <c r="D401" s="5" t="n">
        <v>62.5</v>
      </c>
      <c r="E401" s="5" t="inlineStr">
        <is>
          <t>Less</t>
        </is>
      </c>
      <c r="F401" s="48" t="n">
        <v>0.841</v>
      </c>
      <c r="G401" s="5" t="n">
        <v>32.5</v>
      </c>
      <c r="H401" s="5" t="n">
        <v>6</v>
      </c>
      <c r="I401" s="5" t="inlineStr">
        <is>
          <t>PIT @ CLE</t>
        </is>
      </c>
    </row>
    <row r="402">
      <c r="A402" s="5" t="inlineStr">
        <is>
          <t>Michael Pittman Jr.</t>
        </is>
      </c>
      <c r="B402" s="5" t="inlineStr">
        <is>
          <t>PIT</t>
        </is>
      </c>
      <c r="C402" s="5" t="inlineStr">
        <is>
          <t>Rush+Rec Yds</t>
        </is>
      </c>
      <c r="D402" s="5" t="n">
        <v>67.5</v>
      </c>
      <c r="E402" s="5" t="inlineStr">
        <is>
          <t>Less</t>
        </is>
      </c>
      <c r="F402" s="48" t="n">
        <v>0.876</v>
      </c>
      <c r="G402" s="5" t="n">
        <v>32.5</v>
      </c>
      <c r="H402" s="5" t="n">
        <v>7</v>
      </c>
      <c r="I402" s="5" t="inlineStr">
        <is>
          <t>PIT @ CLE</t>
        </is>
      </c>
    </row>
    <row r="403">
      <c r="A403" s="5" t="inlineStr">
        <is>
          <t>Michael Pittman Jr.</t>
        </is>
      </c>
      <c r="B403" s="5" t="inlineStr">
        <is>
          <t>PIT</t>
        </is>
      </c>
      <c r="C403" s="5" t="inlineStr">
        <is>
          <t>Rush+Rec Yds</t>
        </is>
      </c>
      <c r="D403" s="5" t="n">
        <v>72.5</v>
      </c>
      <c r="E403" s="5" t="inlineStr">
        <is>
          <t>Less</t>
        </is>
      </c>
      <c r="F403" s="48" t="n">
        <v>0.904</v>
      </c>
      <c r="G403" s="5" t="n">
        <v>32.5</v>
      </c>
      <c r="H403" s="5" t="n">
        <v>8</v>
      </c>
      <c r="I403" s="5" t="inlineStr">
        <is>
          <t>PIT @ CLE</t>
        </is>
      </c>
    </row>
    <row r="404">
      <c r="A404" s="5" t="inlineStr">
        <is>
          <t>Michael Pittman Jr.</t>
        </is>
      </c>
      <c r="B404" s="5" t="inlineStr">
        <is>
          <t>PIT</t>
        </is>
      </c>
      <c r="C404" s="5" t="inlineStr">
        <is>
          <t>Rush+Rec Yds</t>
        </is>
      </c>
      <c r="D404" s="5" t="n">
        <v>77.5</v>
      </c>
      <c r="E404" s="5" t="inlineStr">
        <is>
          <t>Less</t>
        </is>
      </c>
      <c r="F404" s="48" t="n">
        <v>0.923</v>
      </c>
      <c r="G404" s="5" t="n">
        <v>32.5</v>
      </c>
      <c r="H404" s="5" t="n">
        <v>9</v>
      </c>
      <c r="I404" s="5" t="inlineStr">
        <is>
          <t>PIT @ CLE</t>
        </is>
      </c>
    </row>
    <row r="405">
      <c r="A405" s="5" t="inlineStr">
        <is>
          <t>Michael Pittman Jr.</t>
        </is>
      </c>
      <c r="B405" s="5" t="inlineStr">
        <is>
          <t>PIT</t>
        </is>
      </c>
      <c r="C405" s="5" t="inlineStr">
        <is>
          <t>Rush+Rec Yds</t>
        </is>
      </c>
      <c r="D405" s="5" t="n">
        <v>82.5</v>
      </c>
      <c r="E405" s="5" t="inlineStr">
        <is>
          <t>Less</t>
        </is>
      </c>
      <c r="F405" s="48" t="n">
        <v>0.9419999999999999</v>
      </c>
      <c r="G405" s="5" t="n">
        <v>32.5</v>
      </c>
      <c r="H405" s="5" t="n">
        <v>10</v>
      </c>
      <c r="I405" s="5" t="inlineStr">
        <is>
          <t>PIT @ CLE</t>
        </is>
      </c>
    </row>
    <row r="406">
      <c r="A406" s="5" t="inlineStr">
        <is>
          <t>Pat Freiermuth</t>
        </is>
      </c>
      <c r="B406" s="5" t="inlineStr">
        <is>
          <t>PIT</t>
        </is>
      </c>
      <c r="C406" s="5" t="inlineStr">
        <is>
          <t>Anytime TDs</t>
        </is>
      </c>
      <c r="D406" s="5" t="n">
        <v>0.5</v>
      </c>
      <c r="E406" s="5" t="inlineStr">
        <is>
          <t>Less</t>
        </is>
      </c>
      <c r="F406" s="48" t="n">
        <v>0.798</v>
      </c>
      <c r="G406" s="5" t="n">
        <v>0.5</v>
      </c>
      <c r="H406" s="5" t="n">
        <v>0</v>
      </c>
      <c r="I406" s="5" t="inlineStr">
        <is>
          <t>PIT @ CLE</t>
        </is>
      </c>
    </row>
    <row r="407">
      <c r="A407" s="5" t="inlineStr">
        <is>
          <t>Pat Freiermuth</t>
        </is>
      </c>
      <c r="B407" s="5" t="inlineStr">
        <is>
          <t>PIT</t>
        </is>
      </c>
      <c r="C407" s="5" t="inlineStr">
        <is>
          <t>Rec Yds</t>
        </is>
      </c>
      <c r="D407" s="5" t="n">
        <v>3.5</v>
      </c>
      <c r="E407" s="5" t="inlineStr">
        <is>
          <t>More</t>
        </is>
      </c>
      <c r="F407" s="48" t="n">
        <v>0.854</v>
      </c>
      <c r="G407" s="5" t="n">
        <v>28.5</v>
      </c>
      <c r="H407" s="5" t="n">
        <v>-5</v>
      </c>
      <c r="I407" s="5" t="inlineStr">
        <is>
          <t>PIT @ CLE</t>
        </is>
      </c>
    </row>
    <row r="408">
      <c r="A408" s="5" t="inlineStr">
        <is>
          <t>Pat Freiermuth</t>
        </is>
      </c>
      <c r="B408" s="5" t="inlineStr">
        <is>
          <t>PIT</t>
        </is>
      </c>
      <c r="C408" s="5" t="inlineStr">
        <is>
          <t>Rec Yds</t>
        </is>
      </c>
      <c r="D408" s="5" t="n">
        <v>8.5</v>
      </c>
      <c r="E408" s="5" t="inlineStr">
        <is>
          <t>More</t>
        </is>
      </c>
      <c r="F408" s="48" t="n">
        <v>0.8100000000000001</v>
      </c>
      <c r="G408" s="5" t="n">
        <v>28.5</v>
      </c>
      <c r="H408" s="5" t="n">
        <v>-4</v>
      </c>
      <c r="I408" s="5" t="inlineStr">
        <is>
          <t>PIT @ CLE</t>
        </is>
      </c>
    </row>
    <row r="409">
      <c r="A409" s="5" t="inlineStr">
        <is>
          <t>Pat Freiermuth</t>
        </is>
      </c>
      <c r="B409" s="5" t="inlineStr">
        <is>
          <t>PIT</t>
        </is>
      </c>
      <c r="C409" s="5" t="inlineStr">
        <is>
          <t>Rec Yds</t>
        </is>
      </c>
      <c r="D409" s="5" t="n">
        <v>13.5</v>
      </c>
      <c r="E409" s="5" t="inlineStr">
        <is>
          <t>More</t>
        </is>
      </c>
      <c r="F409" s="48" t="n">
        <v>0.712</v>
      </c>
      <c r="G409" s="5" t="n">
        <v>28.5</v>
      </c>
      <c r="H409" s="5" t="n">
        <v>-3</v>
      </c>
      <c r="I409" s="5" t="inlineStr">
        <is>
          <t>PIT @ CLE</t>
        </is>
      </c>
    </row>
    <row r="410">
      <c r="A410" s="5" t="inlineStr">
        <is>
          <t>Pat Freiermuth</t>
        </is>
      </c>
      <c r="B410" s="5" t="inlineStr">
        <is>
          <t>PIT</t>
        </is>
      </c>
      <c r="C410" s="5" t="inlineStr">
        <is>
          <t>Rec Yds</t>
        </is>
      </c>
      <c r="D410" s="5" t="n">
        <v>18.5</v>
      </c>
      <c r="E410" s="5" t="inlineStr">
        <is>
          <t>More</t>
        </is>
      </c>
      <c r="F410" s="48" t="n">
        <v>0.639</v>
      </c>
      <c r="G410" s="5" t="n">
        <v>28.5</v>
      </c>
      <c r="H410" s="5" t="n">
        <v>-2</v>
      </c>
      <c r="I410" s="5" t="inlineStr">
        <is>
          <t>PIT @ CLE</t>
        </is>
      </c>
    </row>
    <row r="411">
      <c r="A411" s="5" t="inlineStr">
        <is>
          <t>Pat Freiermuth</t>
        </is>
      </c>
      <c r="B411" s="5" t="inlineStr">
        <is>
          <t>PIT</t>
        </is>
      </c>
      <c r="C411" s="5" t="inlineStr">
        <is>
          <t>Rec Yds</t>
        </is>
      </c>
      <c r="D411" s="5" t="n">
        <v>23.5</v>
      </c>
      <c r="E411" s="5" t="inlineStr">
        <is>
          <t>More</t>
        </is>
      </c>
      <c r="F411" s="48" t="n">
        <v>0.575</v>
      </c>
      <c r="G411" s="5" t="n">
        <v>28.5</v>
      </c>
      <c r="H411" s="5" t="n">
        <v>-1</v>
      </c>
      <c r="I411" s="5" t="inlineStr">
        <is>
          <t>PIT @ CLE</t>
        </is>
      </c>
    </row>
    <row r="412">
      <c r="A412" s="5" t="inlineStr">
        <is>
          <t>Pat Freiermuth</t>
        </is>
      </c>
      <c r="B412" s="5" t="inlineStr">
        <is>
          <t>PIT</t>
        </is>
      </c>
      <c r="C412" s="5" t="inlineStr">
        <is>
          <t>Rec Yds</t>
        </is>
      </c>
      <c r="D412" s="5" t="n">
        <v>28.5</v>
      </c>
      <c r="E412" s="5" t="inlineStr">
        <is>
          <t>Less</t>
        </is>
      </c>
      <c r="F412" s="48" t="n">
        <v>0.506</v>
      </c>
      <c r="G412" s="5" t="n">
        <v>28.5</v>
      </c>
      <c r="H412" s="5" t="n">
        <v>0</v>
      </c>
      <c r="I412" s="5" t="inlineStr">
        <is>
          <t>PIT @ CLE</t>
        </is>
      </c>
    </row>
    <row r="413">
      <c r="A413" s="5" t="inlineStr">
        <is>
          <t>Pat Freiermuth</t>
        </is>
      </c>
      <c r="B413" s="5" t="inlineStr">
        <is>
          <t>PIT</t>
        </is>
      </c>
      <c r="C413" s="5" t="inlineStr">
        <is>
          <t>Rec Yds</t>
        </is>
      </c>
      <c r="D413" s="5" t="n">
        <v>33.5</v>
      </c>
      <c r="E413" s="5" t="inlineStr">
        <is>
          <t>Less</t>
        </is>
      </c>
      <c r="F413" s="48" t="n">
        <v>0.5649999999999999</v>
      </c>
      <c r="G413" s="5" t="n">
        <v>28.5</v>
      </c>
      <c r="H413" s="5" t="n">
        <v>1</v>
      </c>
      <c r="I413" s="5" t="inlineStr">
        <is>
          <t>PIT @ CLE</t>
        </is>
      </c>
    </row>
    <row r="414">
      <c r="A414" s="5" t="inlineStr">
        <is>
          <t>Pat Freiermuth</t>
        </is>
      </c>
      <c r="B414" s="5" t="inlineStr">
        <is>
          <t>PIT</t>
        </is>
      </c>
      <c r="C414" s="5" t="inlineStr">
        <is>
          <t>Rec Yds</t>
        </is>
      </c>
      <c r="D414" s="5" t="n">
        <v>38.5</v>
      </c>
      <c r="E414" s="5" t="inlineStr">
        <is>
          <t>Less</t>
        </is>
      </c>
      <c r="F414" s="48" t="n">
        <v>0.615</v>
      </c>
      <c r="G414" s="5" t="n">
        <v>28.5</v>
      </c>
      <c r="H414" s="5" t="n">
        <v>2</v>
      </c>
      <c r="I414" s="5" t="inlineStr">
        <is>
          <t>PIT @ CLE</t>
        </is>
      </c>
    </row>
    <row r="415">
      <c r="A415" s="5" t="inlineStr">
        <is>
          <t>Pat Freiermuth</t>
        </is>
      </c>
      <c r="B415" s="5" t="inlineStr">
        <is>
          <t>PIT</t>
        </is>
      </c>
      <c r="C415" s="5" t="inlineStr">
        <is>
          <t>Rec Yds</t>
        </is>
      </c>
      <c r="D415" s="5" t="n">
        <v>43.5</v>
      </c>
      <c r="E415" s="5" t="inlineStr">
        <is>
          <t>Less</t>
        </is>
      </c>
      <c r="F415" s="48" t="n">
        <v>0.659</v>
      </c>
      <c r="G415" s="5" t="n">
        <v>28.5</v>
      </c>
      <c r="H415" s="5" t="n">
        <v>3</v>
      </c>
      <c r="I415" s="5" t="inlineStr">
        <is>
          <t>PIT @ CLE</t>
        </is>
      </c>
    </row>
    <row r="416">
      <c r="A416" s="5" t="inlineStr">
        <is>
          <t>Pat Freiermuth</t>
        </is>
      </c>
      <c r="B416" s="5" t="inlineStr">
        <is>
          <t>PIT</t>
        </is>
      </c>
      <c r="C416" s="5" t="inlineStr">
        <is>
          <t>Rec Yds</t>
        </is>
      </c>
      <c r="D416" s="5" t="n">
        <v>48.5</v>
      </c>
      <c r="E416" s="5" t="inlineStr">
        <is>
          <t>Less</t>
        </is>
      </c>
      <c r="F416" s="48" t="n">
        <v>0.711</v>
      </c>
      <c r="G416" s="5" t="n">
        <v>28.5</v>
      </c>
      <c r="H416" s="5" t="n">
        <v>4</v>
      </c>
      <c r="I416" s="5" t="inlineStr">
        <is>
          <t>PIT @ CLE</t>
        </is>
      </c>
    </row>
    <row r="417">
      <c r="A417" s="5" t="inlineStr">
        <is>
          <t>Pat Freiermuth</t>
        </is>
      </c>
      <c r="B417" s="5" t="inlineStr">
        <is>
          <t>PIT</t>
        </is>
      </c>
      <c r="C417" s="5" t="inlineStr">
        <is>
          <t>Rec Yds</t>
        </is>
      </c>
      <c r="D417" s="5" t="n">
        <v>53.5</v>
      </c>
      <c r="E417" s="5" t="inlineStr">
        <is>
          <t>Less</t>
        </is>
      </c>
      <c r="F417" s="48" t="n">
        <v>0.75</v>
      </c>
      <c r="G417" s="5" t="n">
        <v>28.5</v>
      </c>
      <c r="H417" s="5" t="n">
        <v>5</v>
      </c>
      <c r="I417" s="5" t="inlineStr">
        <is>
          <t>PIT @ CLE</t>
        </is>
      </c>
    </row>
    <row r="418">
      <c r="A418" s="5" t="inlineStr">
        <is>
          <t>Pat Freiermuth</t>
        </is>
      </c>
      <c r="B418" s="5" t="inlineStr">
        <is>
          <t>PIT</t>
        </is>
      </c>
      <c r="C418" s="5" t="inlineStr">
        <is>
          <t>Rec Yds</t>
        </is>
      </c>
      <c r="D418" s="5" t="n">
        <v>58.5</v>
      </c>
      <c r="E418" s="5" t="inlineStr">
        <is>
          <t>Less</t>
        </is>
      </c>
      <c r="F418" s="48" t="n">
        <v>0.783</v>
      </c>
      <c r="G418" s="5" t="n">
        <v>28.5</v>
      </c>
      <c r="H418" s="5" t="n">
        <v>6</v>
      </c>
      <c r="I418" s="5" t="inlineStr">
        <is>
          <t>PIT @ CLE</t>
        </is>
      </c>
    </row>
    <row r="419">
      <c r="A419" s="5" t="inlineStr">
        <is>
          <t>Pat Freiermuth</t>
        </is>
      </c>
      <c r="B419" s="5" t="inlineStr">
        <is>
          <t>PIT</t>
        </is>
      </c>
      <c r="C419" s="5" t="inlineStr">
        <is>
          <t>Rec Yds</t>
        </is>
      </c>
      <c r="D419" s="5" t="n">
        <v>63.5</v>
      </c>
      <c r="E419" s="5" t="inlineStr">
        <is>
          <t>Less</t>
        </is>
      </c>
      <c r="F419" s="48" t="n">
        <v>0.822</v>
      </c>
      <c r="G419" s="5" t="n">
        <v>28.5</v>
      </c>
      <c r="H419" s="5" t="n">
        <v>7</v>
      </c>
      <c r="I419" s="5" t="inlineStr">
        <is>
          <t>PIT @ CLE</t>
        </is>
      </c>
    </row>
    <row r="420">
      <c r="A420" s="5" t="inlineStr">
        <is>
          <t>Pat Freiermuth</t>
        </is>
      </c>
      <c r="B420" s="5" t="inlineStr">
        <is>
          <t>PIT</t>
        </is>
      </c>
      <c r="C420" s="5" t="inlineStr">
        <is>
          <t>Rec Yds</t>
        </is>
      </c>
      <c r="D420" s="5" t="n">
        <v>68.5</v>
      </c>
      <c r="E420" s="5" t="inlineStr">
        <is>
          <t>Less</t>
        </is>
      </c>
      <c r="F420" s="48" t="n">
        <v>0.846</v>
      </c>
      <c r="G420" s="5" t="n">
        <v>28.5</v>
      </c>
      <c r="H420" s="5" t="n">
        <v>8</v>
      </c>
      <c r="I420" s="5" t="inlineStr">
        <is>
          <t>PIT @ CLE</t>
        </is>
      </c>
    </row>
    <row r="421">
      <c r="A421" s="5" t="inlineStr">
        <is>
          <t>Pat Freiermuth</t>
        </is>
      </c>
      <c r="B421" s="5" t="inlineStr">
        <is>
          <t>PIT</t>
        </is>
      </c>
      <c r="C421" s="5" t="inlineStr">
        <is>
          <t>Rec Yds</t>
        </is>
      </c>
      <c r="D421" s="5" t="n">
        <v>73.5</v>
      </c>
      <c r="E421" s="5" t="inlineStr">
        <is>
          <t>Less</t>
        </is>
      </c>
      <c r="F421" s="48" t="n">
        <v>0.866</v>
      </c>
      <c r="G421" s="5" t="n">
        <v>28.5</v>
      </c>
      <c r="H421" s="5" t="n">
        <v>9</v>
      </c>
      <c r="I421" s="5" t="inlineStr">
        <is>
          <t>PIT @ CLE</t>
        </is>
      </c>
    </row>
    <row r="422">
      <c r="A422" s="5" t="inlineStr">
        <is>
          <t>Pat Freiermuth</t>
        </is>
      </c>
      <c r="B422" s="5" t="inlineStr">
        <is>
          <t>PIT</t>
        </is>
      </c>
      <c r="C422" s="5" t="inlineStr">
        <is>
          <t>Rec Yds</t>
        </is>
      </c>
      <c r="D422" s="5" t="n">
        <v>78.5</v>
      </c>
      <c r="E422" s="5" t="inlineStr">
        <is>
          <t>Less</t>
        </is>
      </c>
      <c r="F422" s="48" t="n">
        <v>0.892</v>
      </c>
      <c r="G422" s="5" t="n">
        <v>28.5</v>
      </c>
      <c r="H422" s="5" t="n">
        <v>10</v>
      </c>
      <c r="I422" s="5" t="inlineStr">
        <is>
          <t>PIT @ CLE</t>
        </is>
      </c>
    </row>
    <row r="423">
      <c r="A423" s="5" t="inlineStr">
        <is>
          <t>Pat Freiermuth</t>
        </is>
      </c>
      <c r="B423" s="5" t="inlineStr">
        <is>
          <t>PIT</t>
        </is>
      </c>
      <c r="C423" s="5" t="inlineStr">
        <is>
          <t>Receptions</t>
        </is>
      </c>
      <c r="D423" s="5" t="n">
        <v>0.5</v>
      </c>
      <c r="E423" s="5" t="inlineStr">
        <is>
          <t>More</t>
        </is>
      </c>
      <c r="F423" s="48" t="n">
        <v>0.882</v>
      </c>
      <c r="G423" s="5" t="n">
        <v>3.5</v>
      </c>
      <c r="H423" s="5" t="n">
        <v>-3</v>
      </c>
      <c r="I423" s="5" t="inlineStr">
        <is>
          <t>PIT @ CLE</t>
        </is>
      </c>
    </row>
    <row r="424">
      <c r="A424" s="5" t="inlineStr">
        <is>
          <t>Pat Freiermuth</t>
        </is>
      </c>
      <c r="B424" s="5" t="inlineStr">
        <is>
          <t>PIT</t>
        </is>
      </c>
      <c r="C424" s="5" t="inlineStr">
        <is>
          <t>Receptions</t>
        </is>
      </c>
      <c r="D424" s="5" t="n">
        <v>1.5</v>
      </c>
      <c r="E424" s="5" t="inlineStr">
        <is>
          <t>More</t>
        </is>
      </c>
      <c r="F424" s="48" t="n">
        <v>0.785</v>
      </c>
      <c r="G424" s="5" t="n">
        <v>3.5</v>
      </c>
      <c r="H424" s="5" t="n">
        <v>-2</v>
      </c>
      <c r="I424" s="5" t="inlineStr">
        <is>
          <t>PIT @ CLE</t>
        </is>
      </c>
    </row>
    <row r="425">
      <c r="A425" s="5" t="inlineStr">
        <is>
          <t>Pat Freiermuth</t>
        </is>
      </c>
      <c r="B425" s="5" t="inlineStr">
        <is>
          <t>PIT</t>
        </is>
      </c>
      <c r="C425" s="5" t="inlineStr">
        <is>
          <t>Receptions</t>
        </is>
      </c>
      <c r="D425" s="5" t="n">
        <v>2.5</v>
      </c>
      <c r="E425" s="5" t="inlineStr">
        <is>
          <t>More</t>
        </is>
      </c>
      <c r="F425" s="48" t="n">
        <v>0.657</v>
      </c>
      <c r="G425" s="5" t="n">
        <v>3.5</v>
      </c>
      <c r="H425" s="5" t="n">
        <v>-1</v>
      </c>
      <c r="I425" s="5" t="inlineStr">
        <is>
          <t>PIT @ CLE</t>
        </is>
      </c>
    </row>
    <row r="426">
      <c r="A426" s="5" t="inlineStr">
        <is>
          <t>Pat Freiermuth</t>
        </is>
      </c>
      <c r="B426" s="5" t="inlineStr">
        <is>
          <t>PIT</t>
        </is>
      </c>
      <c r="C426" s="5" t="inlineStr">
        <is>
          <t>Receptions</t>
        </is>
      </c>
      <c r="D426" s="5" t="n">
        <v>3.5</v>
      </c>
      <c r="E426" s="5" t="inlineStr">
        <is>
          <t>Less</t>
        </is>
      </c>
      <c r="F426" s="48" t="n">
        <v>0.549</v>
      </c>
      <c r="G426" s="5" t="n">
        <v>3.5</v>
      </c>
      <c r="H426" s="5" t="n">
        <v>0</v>
      </c>
      <c r="I426" s="5" t="inlineStr">
        <is>
          <t>PIT @ CLE</t>
        </is>
      </c>
    </row>
    <row r="427">
      <c r="A427" s="5" t="inlineStr">
        <is>
          <t>Pat Freiermuth</t>
        </is>
      </c>
      <c r="B427" s="5" t="inlineStr">
        <is>
          <t>PIT</t>
        </is>
      </c>
      <c r="C427" s="5" t="inlineStr">
        <is>
          <t>Receptions</t>
        </is>
      </c>
      <c r="D427" s="5" t="n">
        <v>4.5</v>
      </c>
      <c r="E427" s="5" t="inlineStr">
        <is>
          <t>Less</t>
        </is>
      </c>
      <c r="F427" s="48" t="n">
        <v>0.637</v>
      </c>
      <c r="G427" s="5" t="n">
        <v>3.5</v>
      </c>
      <c r="H427" s="5" t="n">
        <v>1</v>
      </c>
      <c r="I427" s="5" t="inlineStr">
        <is>
          <t>PIT @ CLE</t>
        </is>
      </c>
    </row>
    <row r="428">
      <c r="A428" s="5" t="inlineStr">
        <is>
          <t>Pat Freiermuth</t>
        </is>
      </c>
      <c r="B428" s="5" t="inlineStr">
        <is>
          <t>PIT</t>
        </is>
      </c>
      <c r="C428" s="5" t="inlineStr">
        <is>
          <t>Receptions</t>
        </is>
      </c>
      <c r="D428" s="5" t="n">
        <v>5.5</v>
      </c>
      <c r="E428" s="5" t="inlineStr">
        <is>
          <t>Less</t>
        </is>
      </c>
      <c r="F428" s="48" t="n">
        <v>0.772</v>
      </c>
      <c r="G428" s="5" t="n">
        <v>3.5</v>
      </c>
      <c r="H428" s="5" t="n">
        <v>2</v>
      </c>
      <c r="I428" s="5" t="inlineStr">
        <is>
          <t>PIT @ CLE</t>
        </is>
      </c>
    </row>
    <row r="429">
      <c r="A429" s="5" t="inlineStr">
        <is>
          <t>Pat Freiermuth</t>
        </is>
      </c>
      <c r="B429" s="5" t="inlineStr">
        <is>
          <t>PIT</t>
        </is>
      </c>
      <c r="C429" s="5" t="inlineStr">
        <is>
          <t>Receptions</t>
        </is>
      </c>
      <c r="D429" s="5" t="n">
        <v>6.5</v>
      </c>
      <c r="E429" s="5" t="inlineStr">
        <is>
          <t>Less</t>
        </is>
      </c>
      <c r="F429" s="48" t="n">
        <v>0.854</v>
      </c>
      <c r="G429" s="5" t="n">
        <v>3.5</v>
      </c>
      <c r="H429" s="5" t="n">
        <v>3</v>
      </c>
      <c r="I429" s="5" t="inlineStr">
        <is>
          <t>PIT @ CLE</t>
        </is>
      </c>
    </row>
    <row r="430">
      <c r="A430" s="5" t="inlineStr">
        <is>
          <t>Pat Freiermuth</t>
        </is>
      </c>
      <c r="B430" s="5" t="inlineStr">
        <is>
          <t>PIT</t>
        </is>
      </c>
      <c r="C430" s="5" t="inlineStr">
        <is>
          <t>Receptions</t>
        </is>
      </c>
      <c r="D430" s="5" t="n">
        <v>7.5</v>
      </c>
      <c r="E430" s="5" t="inlineStr">
        <is>
          <t>Less</t>
        </is>
      </c>
      <c r="F430" s="48" t="n">
        <v>0.894</v>
      </c>
      <c r="G430" s="5" t="n">
        <v>3.5</v>
      </c>
      <c r="H430" s="5" t="n">
        <v>4</v>
      </c>
      <c r="I430" s="5" t="inlineStr">
        <is>
          <t>PIT @ CLE</t>
        </is>
      </c>
    </row>
    <row r="431">
      <c r="A431" s="5" t="inlineStr">
        <is>
          <t>Pat Freiermuth</t>
        </is>
      </c>
      <c r="B431" s="5" t="inlineStr">
        <is>
          <t>PIT</t>
        </is>
      </c>
      <c r="C431" s="5" t="inlineStr">
        <is>
          <t>Receptions</t>
        </is>
      </c>
      <c r="D431" s="5" t="n">
        <v>8.5</v>
      </c>
      <c r="E431" s="5" t="inlineStr">
        <is>
          <t>Less</t>
        </is>
      </c>
      <c r="F431" s="48" t="n">
        <v>0.945</v>
      </c>
      <c r="G431" s="5" t="n">
        <v>3.5</v>
      </c>
      <c r="H431" s="5" t="n">
        <v>5</v>
      </c>
      <c r="I431" s="5" t="inlineStr">
        <is>
          <t>PIT @ CLE</t>
        </is>
      </c>
    </row>
    <row r="432">
      <c r="A432" s="5" t="inlineStr">
        <is>
          <t>Pat Freiermuth</t>
        </is>
      </c>
      <c r="B432" s="5" t="inlineStr">
        <is>
          <t>PIT</t>
        </is>
      </c>
      <c r="C432" s="5" t="inlineStr">
        <is>
          <t>Receptions</t>
        </is>
      </c>
      <c r="D432" s="5" t="n">
        <v>9.5</v>
      </c>
      <c r="E432" s="5" t="inlineStr">
        <is>
          <t>Less</t>
        </is>
      </c>
      <c r="F432" s="48" t="n">
        <v>0.965</v>
      </c>
      <c r="G432" s="5" t="n">
        <v>3.5</v>
      </c>
      <c r="H432" s="5" t="n">
        <v>6</v>
      </c>
      <c r="I432" s="5" t="inlineStr">
        <is>
          <t>PIT @ CLE</t>
        </is>
      </c>
    </row>
    <row r="433">
      <c r="A433" s="5" t="inlineStr">
        <is>
          <t>Quinshon Judkins</t>
        </is>
      </c>
      <c r="B433" s="5" t="inlineStr">
        <is>
          <t>CLE</t>
        </is>
      </c>
      <c r="C433" s="5" t="inlineStr">
        <is>
          <t>Anytime TDs</t>
        </is>
      </c>
      <c r="D433" s="5" t="n">
        <v>0.5</v>
      </c>
      <c r="E433" s="5" t="inlineStr">
        <is>
          <t>Less</t>
        </is>
      </c>
      <c r="F433" s="48" t="n">
        <v>0.57</v>
      </c>
      <c r="G433" s="5" t="n">
        <v>0.5</v>
      </c>
      <c r="H433" s="5" t="n">
        <v>0</v>
      </c>
      <c r="I433" s="5" t="inlineStr">
        <is>
          <t>PIT @ CLE</t>
        </is>
      </c>
    </row>
    <row r="434">
      <c r="A434" s="5" t="inlineStr">
        <is>
          <t>Quinshon Judkins</t>
        </is>
      </c>
      <c r="B434" s="5" t="inlineStr">
        <is>
          <t>CLE</t>
        </is>
      </c>
      <c r="C434" s="5" t="inlineStr">
        <is>
          <t>Anytime TDs</t>
        </is>
      </c>
      <c r="D434" s="5" t="n">
        <v>2.5</v>
      </c>
      <c r="E434" s="5" t="inlineStr">
        <is>
          <t>Less</t>
        </is>
      </c>
      <c r="F434" s="48" t="n">
        <v>0.952</v>
      </c>
      <c r="G434" s="5" t="n">
        <v>0.5</v>
      </c>
      <c r="H434" s="5" t="n">
        <v>2</v>
      </c>
      <c r="I434" s="5" t="inlineStr">
        <is>
          <t>PIT @ CLE</t>
        </is>
      </c>
    </row>
    <row r="435">
      <c r="A435" s="5" t="inlineStr">
        <is>
          <t>Quinshon Judkins</t>
        </is>
      </c>
      <c r="B435" s="5" t="inlineStr">
        <is>
          <t>CLE</t>
        </is>
      </c>
      <c r="C435" s="5" t="inlineStr">
        <is>
          <t>Rec Yds</t>
        </is>
      </c>
      <c r="D435" s="5" t="n">
        <v>2.5</v>
      </c>
      <c r="E435" s="5" t="inlineStr">
        <is>
          <t>More</t>
        </is>
      </c>
      <c r="F435" s="48" t="n">
        <v>0.748</v>
      </c>
      <c r="G435" s="5" t="n">
        <v>12.5</v>
      </c>
      <c r="H435" s="5" t="n">
        <v>-5</v>
      </c>
      <c r="I435" s="5" t="inlineStr">
        <is>
          <t>PIT @ CLE</t>
        </is>
      </c>
    </row>
    <row r="436">
      <c r="A436" s="5" t="inlineStr">
        <is>
          <t>Quinshon Judkins</t>
        </is>
      </c>
      <c r="B436" s="5" t="inlineStr">
        <is>
          <t>CLE</t>
        </is>
      </c>
      <c r="C436" s="5" t="inlineStr">
        <is>
          <t>Rec Yds</t>
        </is>
      </c>
      <c r="D436" s="5" t="n">
        <v>4.5</v>
      </c>
      <c r="E436" s="5" t="inlineStr">
        <is>
          <t>More</t>
        </is>
      </c>
      <c r="F436" s="48" t="n">
        <v>0.702</v>
      </c>
      <c r="G436" s="5" t="n">
        <v>12.5</v>
      </c>
      <c r="H436" s="5" t="n">
        <v>-4</v>
      </c>
      <c r="I436" s="5" t="inlineStr">
        <is>
          <t>PIT @ CLE</t>
        </is>
      </c>
    </row>
    <row r="437">
      <c r="A437" s="5" t="inlineStr">
        <is>
          <t>Quinshon Judkins</t>
        </is>
      </c>
      <c r="B437" s="5" t="inlineStr">
        <is>
          <t>CLE</t>
        </is>
      </c>
      <c r="C437" s="5" t="inlineStr">
        <is>
          <t>Rec Yds</t>
        </is>
      </c>
      <c r="D437" s="5" t="n">
        <v>6.5</v>
      </c>
      <c r="E437" s="5" t="inlineStr">
        <is>
          <t>More</t>
        </is>
      </c>
      <c r="F437" s="48" t="n">
        <v>0.669</v>
      </c>
      <c r="G437" s="5" t="n">
        <v>12.5</v>
      </c>
      <c r="H437" s="5" t="n">
        <v>-3</v>
      </c>
      <c r="I437" s="5" t="inlineStr">
        <is>
          <t>PIT @ CLE</t>
        </is>
      </c>
    </row>
    <row r="438">
      <c r="A438" s="5" t="inlineStr">
        <is>
          <t>Quinshon Judkins</t>
        </is>
      </c>
      <c r="B438" s="5" t="inlineStr">
        <is>
          <t>CLE</t>
        </is>
      </c>
      <c r="C438" s="5" t="inlineStr">
        <is>
          <t>Rec Yds</t>
        </is>
      </c>
      <c r="D438" s="5" t="n">
        <v>8.5</v>
      </c>
      <c r="E438" s="5" t="inlineStr">
        <is>
          <t>More</t>
        </is>
      </c>
      <c r="F438" s="48" t="n">
        <v>0.603</v>
      </c>
      <c r="G438" s="5" t="n">
        <v>12.5</v>
      </c>
      <c r="H438" s="5" t="n">
        <v>-2</v>
      </c>
      <c r="I438" s="5" t="inlineStr">
        <is>
          <t>PIT @ CLE</t>
        </is>
      </c>
    </row>
    <row r="439">
      <c r="A439" s="5" t="inlineStr">
        <is>
          <t>Quinshon Judkins</t>
        </is>
      </c>
      <c r="B439" s="5" t="inlineStr">
        <is>
          <t>CLE</t>
        </is>
      </c>
      <c r="C439" s="5" t="inlineStr">
        <is>
          <t>Rec Yds</t>
        </is>
      </c>
      <c r="D439" s="5" t="n">
        <v>10.5</v>
      </c>
      <c r="E439" s="5" t="inlineStr">
        <is>
          <t>More</t>
        </is>
      </c>
      <c r="F439" s="48" t="n">
        <v>0.538</v>
      </c>
      <c r="G439" s="5" t="n">
        <v>12.5</v>
      </c>
      <c r="H439" s="5" t="n">
        <v>-1</v>
      </c>
      <c r="I439" s="5" t="inlineStr">
        <is>
          <t>PIT @ CLE</t>
        </is>
      </c>
    </row>
    <row r="440">
      <c r="A440" s="5" t="inlineStr">
        <is>
          <t>Quinshon Judkins</t>
        </is>
      </c>
      <c r="B440" s="5" t="inlineStr">
        <is>
          <t>CLE</t>
        </is>
      </c>
      <c r="C440" s="5" t="inlineStr">
        <is>
          <t>Rec Yds</t>
        </is>
      </c>
      <c r="D440" s="5" t="n">
        <v>12.5</v>
      </c>
      <c r="E440" s="5" t="inlineStr">
        <is>
          <t>Less</t>
        </is>
      </c>
      <c r="F440" s="48" t="n">
        <v>0.521</v>
      </c>
      <c r="G440" s="5" t="n">
        <v>12.5</v>
      </c>
      <c r="H440" s="5" t="n">
        <v>0</v>
      </c>
      <c r="I440" s="5" t="inlineStr">
        <is>
          <t>PIT @ CLE</t>
        </is>
      </c>
    </row>
    <row r="441">
      <c r="A441" s="5" t="inlineStr">
        <is>
          <t>Quinshon Judkins</t>
        </is>
      </c>
      <c r="B441" s="5" t="inlineStr">
        <is>
          <t>CLE</t>
        </is>
      </c>
      <c r="C441" s="5" t="inlineStr">
        <is>
          <t>Rec Yds</t>
        </is>
      </c>
      <c r="D441" s="5" t="n">
        <v>14.5</v>
      </c>
      <c r="E441" s="5" t="inlineStr">
        <is>
          <t>Less</t>
        </is>
      </c>
      <c r="F441" s="48" t="n">
        <v>0.549</v>
      </c>
      <c r="G441" s="5" t="n">
        <v>12.5</v>
      </c>
      <c r="H441" s="5" t="n">
        <v>1</v>
      </c>
      <c r="I441" s="5" t="inlineStr">
        <is>
          <t>PIT @ CLE</t>
        </is>
      </c>
    </row>
    <row r="442">
      <c r="A442" s="5" t="inlineStr">
        <is>
          <t>Quinshon Judkins</t>
        </is>
      </c>
      <c r="B442" s="5" t="inlineStr">
        <is>
          <t>CLE</t>
        </is>
      </c>
      <c r="C442" s="5" t="inlineStr">
        <is>
          <t>Rec Yds</t>
        </is>
      </c>
      <c r="D442" s="5" t="n">
        <v>16.5</v>
      </c>
      <c r="E442" s="5" t="inlineStr">
        <is>
          <t>Less</t>
        </is>
      </c>
      <c r="F442" s="48" t="n">
        <v>0.592</v>
      </c>
      <c r="G442" s="5" t="n">
        <v>12.5</v>
      </c>
      <c r="H442" s="5" t="n">
        <v>2</v>
      </c>
      <c r="I442" s="5" t="inlineStr">
        <is>
          <t>PIT @ CLE</t>
        </is>
      </c>
    </row>
    <row r="443">
      <c r="A443" s="5" t="inlineStr">
        <is>
          <t>Quinshon Judkins</t>
        </is>
      </c>
      <c r="B443" s="5" t="inlineStr">
        <is>
          <t>CLE</t>
        </is>
      </c>
      <c r="C443" s="5" t="inlineStr">
        <is>
          <t>Rec Yds</t>
        </is>
      </c>
      <c r="D443" s="5" t="n">
        <v>18.5</v>
      </c>
      <c r="E443" s="5" t="inlineStr">
        <is>
          <t>Less</t>
        </is>
      </c>
      <c r="F443" s="48" t="n">
        <v>0.643</v>
      </c>
      <c r="G443" s="5" t="n">
        <v>12.5</v>
      </c>
      <c r="H443" s="5" t="n">
        <v>3</v>
      </c>
      <c r="I443" s="5" t="inlineStr">
        <is>
          <t>PIT @ CLE</t>
        </is>
      </c>
    </row>
    <row r="444">
      <c r="A444" s="5" t="inlineStr">
        <is>
          <t>Quinshon Judkins</t>
        </is>
      </c>
      <c r="B444" s="5" t="inlineStr">
        <is>
          <t>CLE</t>
        </is>
      </c>
      <c r="C444" s="5" t="inlineStr">
        <is>
          <t>Rec Yds</t>
        </is>
      </c>
      <c r="D444" s="5" t="n">
        <v>20.5</v>
      </c>
      <c r="E444" s="5" t="inlineStr">
        <is>
          <t>Less</t>
        </is>
      </c>
      <c r="F444" s="48" t="n">
        <v>0.665</v>
      </c>
      <c r="G444" s="5" t="n">
        <v>12.5</v>
      </c>
      <c r="H444" s="5" t="n">
        <v>4</v>
      </c>
      <c r="I444" s="5" t="inlineStr">
        <is>
          <t>PIT @ CLE</t>
        </is>
      </c>
    </row>
    <row r="445">
      <c r="A445" s="5" t="inlineStr">
        <is>
          <t>Quinshon Judkins</t>
        </is>
      </c>
      <c r="B445" s="5" t="inlineStr">
        <is>
          <t>CLE</t>
        </is>
      </c>
      <c r="C445" s="5" t="inlineStr">
        <is>
          <t>Rec Yds</t>
        </is>
      </c>
      <c r="D445" s="5" t="n">
        <v>22.5</v>
      </c>
      <c r="E445" s="5" t="inlineStr">
        <is>
          <t>Less</t>
        </is>
      </c>
      <c r="F445" s="48" t="n">
        <v>0.703</v>
      </c>
      <c r="G445" s="5" t="n">
        <v>12.5</v>
      </c>
      <c r="H445" s="5" t="n">
        <v>5</v>
      </c>
      <c r="I445" s="5" t="inlineStr">
        <is>
          <t>PIT @ CLE</t>
        </is>
      </c>
    </row>
    <row r="446">
      <c r="A446" s="5" t="inlineStr">
        <is>
          <t>Quinshon Judkins</t>
        </is>
      </c>
      <c r="B446" s="5" t="inlineStr">
        <is>
          <t>CLE</t>
        </is>
      </c>
      <c r="C446" s="5" t="inlineStr">
        <is>
          <t>Rec Yds</t>
        </is>
      </c>
      <c r="D446" s="5" t="n">
        <v>24.5</v>
      </c>
      <c r="E446" s="5" t="inlineStr">
        <is>
          <t>Less</t>
        </is>
      </c>
      <c r="F446" s="48" t="n">
        <v>0.74</v>
      </c>
      <c r="G446" s="5" t="n">
        <v>12.5</v>
      </c>
      <c r="H446" s="5" t="n">
        <v>6</v>
      </c>
      <c r="I446" s="5" t="inlineStr">
        <is>
          <t>PIT @ CLE</t>
        </is>
      </c>
    </row>
    <row r="447">
      <c r="A447" s="5" t="inlineStr">
        <is>
          <t>Quinshon Judkins</t>
        </is>
      </c>
      <c r="B447" s="5" t="inlineStr">
        <is>
          <t>CLE</t>
        </is>
      </c>
      <c r="C447" s="5" t="inlineStr">
        <is>
          <t>Rec Yds</t>
        </is>
      </c>
      <c r="D447" s="5" t="n">
        <v>26.5</v>
      </c>
      <c r="E447" s="5" t="inlineStr">
        <is>
          <t>Less</t>
        </is>
      </c>
      <c r="F447" s="48" t="n">
        <v>0.754</v>
      </c>
      <c r="G447" s="5" t="n">
        <v>12.5</v>
      </c>
      <c r="H447" s="5" t="n">
        <v>7</v>
      </c>
      <c r="I447" s="5" t="inlineStr">
        <is>
          <t>PIT @ CLE</t>
        </is>
      </c>
    </row>
    <row r="448">
      <c r="A448" s="5" t="inlineStr">
        <is>
          <t>Quinshon Judkins</t>
        </is>
      </c>
      <c r="B448" s="5" t="inlineStr">
        <is>
          <t>CLE</t>
        </is>
      </c>
      <c r="C448" s="5" t="inlineStr">
        <is>
          <t>Rec Yds</t>
        </is>
      </c>
      <c r="D448" s="5" t="n">
        <v>28.5</v>
      </c>
      <c r="E448" s="5" t="inlineStr">
        <is>
          <t>Less</t>
        </is>
      </c>
      <c r="F448" s="48" t="n">
        <v>0.783</v>
      </c>
      <c r="G448" s="5" t="n">
        <v>12.5</v>
      </c>
      <c r="H448" s="5" t="n">
        <v>8</v>
      </c>
      <c r="I448" s="5" t="inlineStr">
        <is>
          <t>PIT @ CLE</t>
        </is>
      </c>
    </row>
    <row r="449">
      <c r="A449" s="5" t="inlineStr">
        <is>
          <t>Quinshon Judkins</t>
        </is>
      </c>
      <c r="B449" s="5" t="inlineStr">
        <is>
          <t>CLE</t>
        </is>
      </c>
      <c r="C449" s="5" t="inlineStr">
        <is>
          <t>Rec Yds</t>
        </is>
      </c>
      <c r="D449" s="5" t="n">
        <v>30.5</v>
      </c>
      <c r="E449" s="5" t="inlineStr">
        <is>
          <t>Less</t>
        </is>
      </c>
      <c r="F449" s="48" t="n">
        <v>0.8100000000000001</v>
      </c>
      <c r="G449" s="5" t="n">
        <v>12.5</v>
      </c>
      <c r="H449" s="5" t="n">
        <v>9</v>
      </c>
      <c r="I449" s="5" t="inlineStr">
        <is>
          <t>PIT @ CLE</t>
        </is>
      </c>
    </row>
    <row r="450">
      <c r="A450" s="5" t="inlineStr">
        <is>
          <t>Quinshon Judkins</t>
        </is>
      </c>
      <c r="B450" s="5" t="inlineStr">
        <is>
          <t>CLE</t>
        </is>
      </c>
      <c r="C450" s="5" t="inlineStr">
        <is>
          <t>Rec Yds</t>
        </is>
      </c>
      <c r="D450" s="5" t="n">
        <v>32.5</v>
      </c>
      <c r="E450" s="5" t="inlineStr">
        <is>
          <t>Less</t>
        </is>
      </c>
      <c r="F450" s="48" t="n">
        <v>0.825</v>
      </c>
      <c r="G450" s="5" t="n">
        <v>12.5</v>
      </c>
      <c r="H450" s="5" t="n">
        <v>10</v>
      </c>
      <c r="I450" s="5" t="inlineStr">
        <is>
          <t>PIT @ CLE</t>
        </is>
      </c>
    </row>
    <row r="451">
      <c r="A451" s="5" t="inlineStr">
        <is>
          <t>Quinshon Judkins</t>
        </is>
      </c>
      <c r="B451" s="5" t="inlineStr">
        <is>
          <t>CLE</t>
        </is>
      </c>
      <c r="C451" s="5" t="inlineStr">
        <is>
          <t>Receptions</t>
        </is>
      </c>
      <c r="D451" s="5" t="n">
        <v>0.5</v>
      </c>
      <c r="E451" s="5" t="inlineStr">
        <is>
          <t>More</t>
        </is>
      </c>
      <c r="F451" s="48" t="n">
        <v>0.806</v>
      </c>
      <c r="G451" s="5" t="n">
        <v>2.5</v>
      </c>
      <c r="H451" s="5" t="n">
        <v>-2</v>
      </c>
      <c r="I451" s="5" t="inlineStr">
        <is>
          <t>PIT @ CLE</t>
        </is>
      </c>
    </row>
    <row r="452">
      <c r="A452" s="5" t="inlineStr">
        <is>
          <t>Quinshon Judkins</t>
        </is>
      </c>
      <c r="B452" s="5" t="inlineStr">
        <is>
          <t>CLE</t>
        </is>
      </c>
      <c r="C452" s="5" t="inlineStr">
        <is>
          <t>Receptions</t>
        </is>
      </c>
      <c r="D452" s="5" t="n">
        <v>1.5</v>
      </c>
      <c r="E452" s="5" t="inlineStr">
        <is>
          <t>More</t>
        </is>
      </c>
      <c r="F452" s="48" t="n">
        <v>0.582</v>
      </c>
      <c r="G452" s="5" t="n">
        <v>2.5</v>
      </c>
      <c r="H452" s="5" t="n">
        <v>-1</v>
      </c>
      <c r="I452" s="5" t="inlineStr">
        <is>
          <t>PIT @ CLE</t>
        </is>
      </c>
    </row>
    <row r="453">
      <c r="A453" s="5" t="inlineStr">
        <is>
          <t>Quinshon Judkins</t>
        </is>
      </c>
      <c r="B453" s="5" t="inlineStr">
        <is>
          <t>CLE</t>
        </is>
      </c>
      <c r="C453" s="5" t="inlineStr">
        <is>
          <t>Receptions</t>
        </is>
      </c>
      <c r="D453" s="5" t="n">
        <v>2.5</v>
      </c>
      <c r="E453" s="5" t="inlineStr">
        <is>
          <t>Less</t>
        </is>
      </c>
      <c r="F453" s="48" t="n">
        <v>0.61</v>
      </c>
      <c r="G453" s="5" t="n">
        <v>2.5</v>
      </c>
      <c r="H453" s="5" t="n">
        <v>0</v>
      </c>
      <c r="I453" s="5" t="inlineStr">
        <is>
          <t>PIT @ CLE</t>
        </is>
      </c>
    </row>
    <row r="454">
      <c r="A454" s="5" t="inlineStr">
        <is>
          <t>Quinshon Judkins</t>
        </is>
      </c>
      <c r="B454" s="5" t="inlineStr">
        <is>
          <t>CLE</t>
        </is>
      </c>
      <c r="C454" s="5" t="inlineStr">
        <is>
          <t>Receptions</t>
        </is>
      </c>
      <c r="D454" s="5" t="n">
        <v>3.5</v>
      </c>
      <c r="E454" s="5" t="inlineStr">
        <is>
          <t>Less</t>
        </is>
      </c>
      <c r="F454" s="48" t="n">
        <v>0.762</v>
      </c>
      <c r="G454" s="5" t="n">
        <v>2.5</v>
      </c>
      <c r="H454" s="5" t="n">
        <v>1</v>
      </c>
      <c r="I454" s="5" t="inlineStr">
        <is>
          <t>PIT @ CLE</t>
        </is>
      </c>
    </row>
    <row r="455">
      <c r="A455" s="5" t="inlineStr">
        <is>
          <t>Quinshon Judkins</t>
        </is>
      </c>
      <c r="B455" s="5" t="inlineStr">
        <is>
          <t>CLE</t>
        </is>
      </c>
      <c r="C455" s="5" t="inlineStr">
        <is>
          <t>Receptions</t>
        </is>
      </c>
      <c r="D455" s="5" t="n">
        <v>4.5</v>
      </c>
      <c r="E455" s="5" t="inlineStr">
        <is>
          <t>Less</t>
        </is>
      </c>
      <c r="F455" s="48" t="n">
        <v>0.874</v>
      </c>
      <c r="G455" s="5" t="n">
        <v>2.5</v>
      </c>
      <c r="H455" s="5" t="n">
        <v>2</v>
      </c>
      <c r="I455" s="5" t="inlineStr">
        <is>
          <t>PIT @ CLE</t>
        </is>
      </c>
    </row>
    <row r="456">
      <c r="A456" s="5" t="inlineStr">
        <is>
          <t>Quinshon Judkins</t>
        </is>
      </c>
      <c r="B456" s="5" t="inlineStr">
        <is>
          <t>CLE</t>
        </is>
      </c>
      <c r="C456" s="5" t="inlineStr">
        <is>
          <t>Receptions</t>
        </is>
      </c>
      <c r="D456" s="5" t="n">
        <v>5.5</v>
      </c>
      <c r="E456" s="5" t="inlineStr">
        <is>
          <t>Less</t>
        </is>
      </c>
      <c r="F456" s="48" t="n">
        <v>0.9409999999999999</v>
      </c>
      <c r="G456" s="5" t="n">
        <v>2.5</v>
      </c>
      <c r="H456" s="5" t="n">
        <v>3</v>
      </c>
      <c r="I456" s="5" t="inlineStr">
        <is>
          <t>PIT @ CLE</t>
        </is>
      </c>
    </row>
    <row r="457">
      <c r="A457" s="5" t="inlineStr">
        <is>
          <t>Quinshon Judkins</t>
        </is>
      </c>
      <c r="B457" s="5" t="inlineStr">
        <is>
          <t>CLE</t>
        </is>
      </c>
      <c r="C457" s="5" t="inlineStr">
        <is>
          <t>Rush Yds</t>
        </is>
      </c>
      <c r="D457" s="5" t="n">
        <v>10.5</v>
      </c>
      <c r="E457" s="5" t="inlineStr">
        <is>
          <t>More</t>
        </is>
      </c>
      <c r="F457" s="48" t="n">
        <v>0.967</v>
      </c>
      <c r="G457" s="5" t="n">
        <v>55.5</v>
      </c>
      <c r="H457" s="5" t="n">
        <v>-9</v>
      </c>
      <c r="I457" s="5" t="inlineStr">
        <is>
          <t>PIT @ CLE</t>
        </is>
      </c>
    </row>
    <row r="458">
      <c r="A458" s="5" t="inlineStr">
        <is>
          <t>Quinshon Judkins</t>
        </is>
      </c>
      <c r="B458" s="5" t="inlineStr">
        <is>
          <t>CLE</t>
        </is>
      </c>
      <c r="C458" s="5" t="inlineStr">
        <is>
          <t>Rush Yds</t>
        </is>
      </c>
      <c r="D458" s="5" t="n">
        <v>15.5</v>
      </c>
      <c r="E458" s="5" t="inlineStr">
        <is>
          <t>More</t>
        </is>
      </c>
      <c r="F458" s="48" t="n">
        <v>0.9379999999999999</v>
      </c>
      <c r="G458" s="5" t="n">
        <v>55.5</v>
      </c>
      <c r="H458" s="5" t="n">
        <v>-8</v>
      </c>
      <c r="I458" s="5" t="inlineStr">
        <is>
          <t>PIT @ CLE</t>
        </is>
      </c>
    </row>
    <row r="459">
      <c r="A459" s="5" t="inlineStr">
        <is>
          <t>Quinshon Judkins</t>
        </is>
      </c>
      <c r="B459" s="5" t="inlineStr">
        <is>
          <t>CLE</t>
        </is>
      </c>
      <c r="C459" s="5" t="inlineStr">
        <is>
          <t>Rush Yds</t>
        </is>
      </c>
      <c r="D459" s="5" t="n">
        <v>20.5</v>
      </c>
      <c r="E459" s="5" t="inlineStr">
        <is>
          <t>More</t>
        </is>
      </c>
      <c r="F459" s="48" t="n">
        <v>0.902</v>
      </c>
      <c r="G459" s="5" t="n">
        <v>55.5</v>
      </c>
      <c r="H459" s="5" t="n">
        <v>-7</v>
      </c>
      <c r="I459" s="5" t="inlineStr">
        <is>
          <t>PIT @ CLE</t>
        </is>
      </c>
    </row>
    <row r="460">
      <c r="A460" s="5" t="inlineStr">
        <is>
          <t>Quinshon Judkins</t>
        </is>
      </c>
      <c r="B460" s="5" t="inlineStr">
        <is>
          <t>CLE</t>
        </is>
      </c>
      <c r="C460" s="5" t="inlineStr">
        <is>
          <t>Rush Yds</t>
        </is>
      </c>
      <c r="D460" s="5" t="n">
        <v>25.5</v>
      </c>
      <c r="E460" s="5" t="inlineStr">
        <is>
          <t>More</t>
        </is>
      </c>
      <c r="F460" s="48" t="n">
        <v>0.852</v>
      </c>
      <c r="G460" s="5" t="n">
        <v>55.5</v>
      </c>
      <c r="H460" s="5" t="n">
        <v>-6</v>
      </c>
      <c r="I460" s="5" t="inlineStr">
        <is>
          <t>PIT @ CLE</t>
        </is>
      </c>
    </row>
    <row r="461">
      <c r="A461" s="5" t="inlineStr">
        <is>
          <t>Quinshon Judkins</t>
        </is>
      </c>
      <c r="B461" s="5" t="inlineStr">
        <is>
          <t>CLE</t>
        </is>
      </c>
      <c r="C461" s="5" t="inlineStr">
        <is>
          <t>Rush Yds</t>
        </is>
      </c>
      <c r="D461" s="5" t="n">
        <v>30.5</v>
      </c>
      <c r="E461" s="5" t="inlineStr">
        <is>
          <t>More</t>
        </is>
      </c>
      <c r="F461" s="48" t="n">
        <v>0.8080000000000001</v>
      </c>
      <c r="G461" s="5" t="n">
        <v>55.5</v>
      </c>
      <c r="H461" s="5" t="n">
        <v>-5</v>
      </c>
      <c r="I461" s="5" t="inlineStr">
        <is>
          <t>PIT @ CLE</t>
        </is>
      </c>
    </row>
    <row r="462">
      <c r="A462" s="5" t="inlineStr">
        <is>
          <t>Quinshon Judkins</t>
        </is>
      </c>
      <c r="B462" s="5" t="inlineStr">
        <is>
          <t>CLE</t>
        </is>
      </c>
      <c r="C462" s="5" t="inlineStr">
        <is>
          <t>Rush Yds</t>
        </is>
      </c>
      <c r="D462" s="5" t="n">
        <v>35.5</v>
      </c>
      <c r="E462" s="5" t="inlineStr">
        <is>
          <t>More</t>
        </is>
      </c>
      <c r="F462" s="48" t="n">
        <v>0.747</v>
      </c>
      <c r="G462" s="5" t="n">
        <v>55.5</v>
      </c>
      <c r="H462" s="5" t="n">
        <v>-4</v>
      </c>
      <c r="I462" s="5" t="inlineStr">
        <is>
          <t>PIT @ CLE</t>
        </is>
      </c>
    </row>
    <row r="463">
      <c r="A463" s="5" t="inlineStr">
        <is>
          <t>Quinshon Judkins</t>
        </is>
      </c>
      <c r="B463" s="5" t="inlineStr">
        <is>
          <t>CLE</t>
        </is>
      </c>
      <c r="C463" s="5" t="inlineStr">
        <is>
          <t>Rush Yds</t>
        </is>
      </c>
      <c r="D463" s="5" t="n">
        <v>40.5</v>
      </c>
      <c r="E463" s="5" t="inlineStr">
        <is>
          <t>More</t>
        </is>
      </c>
      <c r="F463" s="48" t="n">
        <v>0.698</v>
      </c>
      <c r="G463" s="5" t="n">
        <v>55.5</v>
      </c>
      <c r="H463" s="5" t="n">
        <v>-3</v>
      </c>
      <c r="I463" s="5" t="inlineStr">
        <is>
          <t>PIT @ CLE</t>
        </is>
      </c>
    </row>
    <row r="464">
      <c r="A464" s="5" t="inlineStr">
        <is>
          <t>Quinshon Judkins</t>
        </is>
      </c>
      <c r="B464" s="5" t="inlineStr">
        <is>
          <t>CLE</t>
        </is>
      </c>
      <c r="C464" s="5" t="inlineStr">
        <is>
          <t>Rush Yds</t>
        </is>
      </c>
      <c r="D464" s="5" t="n">
        <v>45.5</v>
      </c>
      <c r="E464" s="5" t="inlineStr">
        <is>
          <t>More</t>
        </is>
      </c>
      <c r="F464" s="48" t="n">
        <v>0.624</v>
      </c>
      <c r="G464" s="5" t="n">
        <v>55.5</v>
      </c>
      <c r="H464" s="5" t="n">
        <v>-2</v>
      </c>
      <c r="I464" s="5" t="inlineStr">
        <is>
          <t>PIT @ CLE</t>
        </is>
      </c>
    </row>
    <row r="465">
      <c r="A465" s="5" t="inlineStr">
        <is>
          <t>Quinshon Judkins</t>
        </is>
      </c>
      <c r="B465" s="5" t="inlineStr">
        <is>
          <t>CLE</t>
        </is>
      </c>
      <c r="C465" s="5" t="inlineStr">
        <is>
          <t>Rush Yds</t>
        </is>
      </c>
      <c r="D465" s="5" t="n">
        <v>50.5</v>
      </c>
      <c r="E465" s="5" t="inlineStr">
        <is>
          <t>More</t>
        </is>
      </c>
      <c r="F465" s="48" t="n">
        <v>0.57</v>
      </c>
      <c r="G465" s="5" t="n">
        <v>55.5</v>
      </c>
      <c r="H465" s="5" t="n">
        <v>-1</v>
      </c>
      <c r="I465" s="5" t="inlineStr">
        <is>
          <t>PIT @ CLE</t>
        </is>
      </c>
    </row>
    <row r="466">
      <c r="A466" s="5" t="inlineStr">
        <is>
          <t>Quinshon Judkins</t>
        </is>
      </c>
      <c r="B466" s="5" t="inlineStr">
        <is>
          <t>CLE</t>
        </is>
      </c>
      <c r="C466" s="5" t="inlineStr">
        <is>
          <t>Rush Yds</t>
        </is>
      </c>
      <c r="D466" s="5" t="n">
        <v>55.5</v>
      </c>
      <c r="E466" s="5" t="inlineStr">
        <is>
          <t>More</t>
        </is>
      </c>
      <c r="F466" s="48" t="n">
        <v>0.514</v>
      </c>
      <c r="G466" s="5" t="n">
        <v>55.5</v>
      </c>
      <c r="H466" s="5" t="n">
        <v>0</v>
      </c>
      <c r="I466" s="5" t="inlineStr">
        <is>
          <t>PIT @ CLE</t>
        </is>
      </c>
    </row>
    <row r="467">
      <c r="A467" s="5" t="inlineStr">
        <is>
          <t>Quinshon Judkins</t>
        </is>
      </c>
      <c r="B467" s="5" t="inlineStr">
        <is>
          <t>CLE</t>
        </is>
      </c>
      <c r="C467" s="5" t="inlineStr">
        <is>
          <t>Rush Yds</t>
        </is>
      </c>
      <c r="D467" s="5" t="n">
        <v>60.5</v>
      </c>
      <c r="E467" s="5" t="inlineStr">
        <is>
          <t>Less</t>
        </is>
      </c>
      <c r="F467" s="48" t="n">
        <v>0.542</v>
      </c>
      <c r="G467" s="5" t="n">
        <v>55.5</v>
      </c>
      <c r="H467" s="5" t="n">
        <v>1</v>
      </c>
      <c r="I467" s="5" t="inlineStr">
        <is>
          <t>PIT @ CLE</t>
        </is>
      </c>
    </row>
    <row r="468">
      <c r="A468" s="5" t="inlineStr">
        <is>
          <t>Quinshon Judkins</t>
        </is>
      </c>
      <c r="B468" s="5" t="inlineStr">
        <is>
          <t>CLE</t>
        </is>
      </c>
      <c r="C468" s="5" t="inlineStr">
        <is>
          <t>Rush Yds</t>
        </is>
      </c>
      <c r="D468" s="5" t="n">
        <v>65.5</v>
      </c>
      <c r="E468" s="5" t="inlineStr">
        <is>
          <t>Less</t>
        </is>
      </c>
      <c r="F468" s="48" t="n">
        <v>0.588</v>
      </c>
      <c r="G468" s="5" t="n">
        <v>55.5</v>
      </c>
      <c r="H468" s="5" t="n">
        <v>2</v>
      </c>
      <c r="I468" s="5" t="inlineStr">
        <is>
          <t>PIT @ CLE</t>
        </is>
      </c>
    </row>
    <row r="469">
      <c r="A469" s="5" t="inlineStr">
        <is>
          <t>Quinshon Judkins</t>
        </is>
      </c>
      <c r="B469" s="5" t="inlineStr">
        <is>
          <t>CLE</t>
        </is>
      </c>
      <c r="C469" s="5" t="inlineStr">
        <is>
          <t>Rush Yds</t>
        </is>
      </c>
      <c r="D469" s="5" t="n">
        <v>70.5</v>
      </c>
      <c r="E469" s="5" t="inlineStr">
        <is>
          <t>Less</t>
        </is>
      </c>
      <c r="F469" s="48" t="n">
        <v>0.641</v>
      </c>
      <c r="G469" s="5" t="n">
        <v>55.5</v>
      </c>
      <c r="H469" s="5" t="n">
        <v>3</v>
      </c>
      <c r="I469" s="5" t="inlineStr">
        <is>
          <t>PIT @ CLE</t>
        </is>
      </c>
    </row>
    <row r="470">
      <c r="A470" s="5" t="inlineStr">
        <is>
          <t>Quinshon Judkins</t>
        </is>
      </c>
      <c r="B470" s="5" t="inlineStr">
        <is>
          <t>CLE</t>
        </is>
      </c>
      <c r="C470" s="5" t="inlineStr">
        <is>
          <t>Rush Yds</t>
        </is>
      </c>
      <c r="D470" s="5" t="n">
        <v>75.5</v>
      </c>
      <c r="E470" s="5" t="inlineStr">
        <is>
          <t>Less</t>
        </is>
      </c>
      <c r="F470" s="48" t="n">
        <v>0.678</v>
      </c>
      <c r="G470" s="5" t="n">
        <v>55.5</v>
      </c>
      <c r="H470" s="5" t="n">
        <v>4</v>
      </c>
      <c r="I470" s="5" t="inlineStr">
        <is>
          <t>PIT @ CLE</t>
        </is>
      </c>
    </row>
    <row r="471">
      <c r="A471" s="5" t="inlineStr">
        <is>
          <t>Quinshon Judkins</t>
        </is>
      </c>
      <c r="B471" s="5" t="inlineStr">
        <is>
          <t>CLE</t>
        </is>
      </c>
      <c r="C471" s="5" t="inlineStr">
        <is>
          <t>Rush Yds</t>
        </is>
      </c>
      <c r="D471" s="5" t="n">
        <v>80.5</v>
      </c>
      <c r="E471" s="5" t="inlineStr">
        <is>
          <t>Less</t>
        </is>
      </c>
      <c r="F471" s="48" t="n">
        <v>0.722</v>
      </c>
      <c r="G471" s="5" t="n">
        <v>55.5</v>
      </c>
      <c r="H471" s="5" t="n">
        <v>5</v>
      </c>
      <c r="I471" s="5" t="inlineStr">
        <is>
          <t>PIT @ CLE</t>
        </is>
      </c>
    </row>
    <row r="472">
      <c r="A472" s="5" t="inlineStr">
        <is>
          <t>Quinshon Judkins</t>
        </is>
      </c>
      <c r="B472" s="5" t="inlineStr">
        <is>
          <t>CLE</t>
        </is>
      </c>
      <c r="C472" s="5" t="inlineStr">
        <is>
          <t>Rush Yds</t>
        </is>
      </c>
      <c r="D472" s="5" t="n">
        <v>85.5</v>
      </c>
      <c r="E472" s="5" t="inlineStr">
        <is>
          <t>Less</t>
        </is>
      </c>
      <c r="F472" s="48" t="n">
        <v>0.754</v>
      </c>
      <c r="G472" s="5" t="n">
        <v>55.5</v>
      </c>
      <c r="H472" s="5" t="n">
        <v>6</v>
      </c>
      <c r="I472" s="5" t="inlineStr">
        <is>
          <t>PIT @ CLE</t>
        </is>
      </c>
    </row>
    <row r="473">
      <c r="A473" s="5" t="inlineStr">
        <is>
          <t>Quinshon Judkins</t>
        </is>
      </c>
      <c r="B473" s="5" t="inlineStr">
        <is>
          <t>CLE</t>
        </is>
      </c>
      <c r="C473" s="5" t="inlineStr">
        <is>
          <t>Rush Yds</t>
        </is>
      </c>
      <c r="D473" s="5" t="n">
        <v>90.5</v>
      </c>
      <c r="E473" s="5" t="inlineStr">
        <is>
          <t>Less</t>
        </is>
      </c>
      <c r="F473" s="48" t="n">
        <v>0.794</v>
      </c>
      <c r="G473" s="5" t="n">
        <v>55.5</v>
      </c>
      <c r="H473" s="5" t="n">
        <v>7</v>
      </c>
      <c r="I473" s="5" t="inlineStr">
        <is>
          <t>PIT @ CLE</t>
        </is>
      </c>
    </row>
    <row r="474">
      <c r="A474" s="5" t="inlineStr">
        <is>
          <t>Quinshon Judkins</t>
        </is>
      </c>
      <c r="B474" s="5" t="inlineStr">
        <is>
          <t>CLE</t>
        </is>
      </c>
      <c r="C474" s="5" t="inlineStr">
        <is>
          <t>Rush Yds</t>
        </is>
      </c>
      <c r="D474" s="5" t="n">
        <v>95.5</v>
      </c>
      <c r="E474" s="5" t="inlineStr">
        <is>
          <t>Less</t>
        </is>
      </c>
      <c r="F474" s="48" t="n">
        <v>0.819</v>
      </c>
      <c r="G474" s="5" t="n">
        <v>55.5</v>
      </c>
      <c r="H474" s="5" t="n">
        <v>8</v>
      </c>
      <c r="I474" s="5" t="inlineStr">
        <is>
          <t>PIT @ CLE</t>
        </is>
      </c>
    </row>
    <row r="475">
      <c r="A475" s="5" t="inlineStr">
        <is>
          <t>Quinshon Judkins</t>
        </is>
      </c>
      <c r="B475" s="5" t="inlineStr">
        <is>
          <t>CLE</t>
        </is>
      </c>
      <c r="C475" s="5" t="inlineStr">
        <is>
          <t>Rush Yds</t>
        </is>
      </c>
      <c r="D475" s="5" t="n">
        <v>100.5</v>
      </c>
      <c r="E475" s="5" t="inlineStr">
        <is>
          <t>Less</t>
        </is>
      </c>
      <c r="F475" s="48" t="n">
        <v>0.846</v>
      </c>
      <c r="G475" s="5" t="n">
        <v>55.5</v>
      </c>
      <c r="H475" s="5" t="n">
        <v>9</v>
      </c>
      <c r="I475" s="5" t="inlineStr">
        <is>
          <t>PIT @ CLE</t>
        </is>
      </c>
    </row>
    <row r="476">
      <c r="A476" s="5" t="inlineStr">
        <is>
          <t>Quinshon Judkins</t>
        </is>
      </c>
      <c r="B476" s="5" t="inlineStr">
        <is>
          <t>CLE</t>
        </is>
      </c>
      <c r="C476" s="5" t="inlineStr">
        <is>
          <t>Rush Yds</t>
        </is>
      </c>
      <c r="D476" s="5" t="n">
        <v>105.5</v>
      </c>
      <c r="E476" s="5" t="inlineStr">
        <is>
          <t>Less</t>
        </is>
      </c>
      <c r="F476" s="48" t="n">
        <v>0.866</v>
      </c>
      <c r="G476" s="5" t="n">
        <v>55.5</v>
      </c>
      <c r="H476" s="5" t="n">
        <v>10</v>
      </c>
      <c r="I476" s="5" t="inlineStr">
        <is>
          <t>PIT @ CLE</t>
        </is>
      </c>
    </row>
    <row r="477">
      <c r="A477" s="5" t="inlineStr">
        <is>
          <t>Quinshon Judkins</t>
        </is>
      </c>
      <c r="B477" s="5" t="inlineStr">
        <is>
          <t>CLE</t>
        </is>
      </c>
      <c r="C477" s="5" t="inlineStr">
        <is>
          <t>Rush+Rec Yds</t>
        </is>
      </c>
      <c r="D477" s="5" t="n">
        <v>22.5</v>
      </c>
      <c r="E477" s="5" t="inlineStr">
        <is>
          <t>More</t>
        </is>
      </c>
      <c r="F477" s="48" t="n">
        <v>0.951</v>
      </c>
      <c r="G477" s="5" t="n">
        <v>72.5</v>
      </c>
      <c r="H477" s="5" t="n">
        <v>-10</v>
      </c>
      <c r="I477" s="5" t="inlineStr">
        <is>
          <t>PIT @ CLE</t>
        </is>
      </c>
    </row>
    <row r="478">
      <c r="A478" s="5" t="inlineStr">
        <is>
          <t>Quinshon Judkins</t>
        </is>
      </c>
      <c r="B478" s="5" t="inlineStr">
        <is>
          <t>CLE</t>
        </is>
      </c>
      <c r="C478" s="5" t="inlineStr">
        <is>
          <t>Rush+Rec Yds</t>
        </is>
      </c>
      <c r="D478" s="5" t="n">
        <v>27.5</v>
      </c>
      <c r="E478" s="5" t="inlineStr">
        <is>
          <t>More</t>
        </is>
      </c>
      <c r="F478" s="48" t="n">
        <v>0.925</v>
      </c>
      <c r="G478" s="5" t="n">
        <v>72.5</v>
      </c>
      <c r="H478" s="5" t="n">
        <v>-9</v>
      </c>
      <c r="I478" s="5" t="inlineStr">
        <is>
          <t>PIT @ CLE</t>
        </is>
      </c>
    </row>
    <row r="479">
      <c r="A479" s="5" t="inlineStr">
        <is>
          <t>Quinshon Judkins</t>
        </is>
      </c>
      <c r="B479" s="5" t="inlineStr">
        <is>
          <t>CLE</t>
        </is>
      </c>
      <c r="C479" s="5" t="inlineStr">
        <is>
          <t>Rush+Rec Yds</t>
        </is>
      </c>
      <c r="D479" s="5" t="n">
        <v>32.5</v>
      </c>
      <c r="E479" s="5" t="inlineStr">
        <is>
          <t>More</t>
        </is>
      </c>
      <c r="F479" s="48" t="n">
        <v>0.894</v>
      </c>
      <c r="G479" s="5" t="n">
        <v>72.5</v>
      </c>
      <c r="H479" s="5" t="n">
        <v>-8</v>
      </c>
      <c r="I479" s="5" t="inlineStr">
        <is>
          <t>PIT @ CLE</t>
        </is>
      </c>
    </row>
    <row r="480">
      <c r="A480" s="5" t="inlineStr">
        <is>
          <t>Quinshon Judkins</t>
        </is>
      </c>
      <c r="B480" s="5" t="inlineStr">
        <is>
          <t>CLE</t>
        </is>
      </c>
      <c r="C480" s="5" t="inlineStr">
        <is>
          <t>Rush+Rec Yds</t>
        </is>
      </c>
      <c r="D480" s="5" t="n">
        <v>37.5</v>
      </c>
      <c r="E480" s="5" t="inlineStr">
        <is>
          <t>More</t>
        </is>
      </c>
      <c r="F480" s="48" t="n">
        <v>0.853</v>
      </c>
      <c r="G480" s="5" t="n">
        <v>72.5</v>
      </c>
      <c r="H480" s="5" t="n">
        <v>-7</v>
      </c>
      <c r="I480" s="5" t="inlineStr">
        <is>
          <t>PIT @ CLE</t>
        </is>
      </c>
    </row>
    <row r="481">
      <c r="A481" s="5" t="inlineStr">
        <is>
          <t>Quinshon Judkins</t>
        </is>
      </c>
      <c r="B481" s="5" t="inlineStr">
        <is>
          <t>CLE</t>
        </is>
      </c>
      <c r="C481" s="5" t="inlineStr">
        <is>
          <t>Rush+Rec Yds</t>
        </is>
      </c>
      <c r="D481" s="5" t="n">
        <v>42.5</v>
      </c>
      <c r="E481" s="5" t="inlineStr">
        <is>
          <t>More</t>
        </is>
      </c>
      <c r="F481" s="48" t="n">
        <v>0.8090000000000001</v>
      </c>
      <c r="G481" s="5" t="n">
        <v>72.5</v>
      </c>
      <c r="H481" s="5" t="n">
        <v>-6</v>
      </c>
      <c r="I481" s="5" t="inlineStr">
        <is>
          <t>PIT @ CLE</t>
        </is>
      </c>
    </row>
    <row r="482">
      <c r="A482" s="5" t="inlineStr">
        <is>
          <t>Quinshon Judkins</t>
        </is>
      </c>
      <c r="B482" s="5" t="inlineStr">
        <is>
          <t>CLE</t>
        </is>
      </c>
      <c r="C482" s="5" t="inlineStr">
        <is>
          <t>Rush+Rec Yds</t>
        </is>
      </c>
      <c r="D482" s="5" t="n">
        <v>47.5</v>
      </c>
      <c r="E482" s="5" t="inlineStr">
        <is>
          <t>More</t>
        </is>
      </c>
      <c r="F482" s="48" t="n">
        <v>0.765</v>
      </c>
      <c r="G482" s="5" t="n">
        <v>72.5</v>
      </c>
      <c r="H482" s="5" t="n">
        <v>-5</v>
      </c>
      <c r="I482" s="5" t="inlineStr">
        <is>
          <t>PIT @ CLE</t>
        </is>
      </c>
    </row>
    <row r="483">
      <c r="A483" s="5" t="inlineStr">
        <is>
          <t>Quinshon Judkins</t>
        </is>
      </c>
      <c r="B483" s="5" t="inlineStr">
        <is>
          <t>CLE</t>
        </is>
      </c>
      <c r="C483" s="5" t="inlineStr">
        <is>
          <t>Rush+Rec Yds</t>
        </is>
      </c>
      <c r="D483" s="5" t="n">
        <v>52.5</v>
      </c>
      <c r="E483" s="5" t="inlineStr">
        <is>
          <t>More</t>
        </is>
      </c>
      <c r="F483" s="48" t="n">
        <v>0.712</v>
      </c>
      <c r="G483" s="5" t="n">
        <v>72.5</v>
      </c>
      <c r="H483" s="5" t="n">
        <v>-4</v>
      </c>
      <c r="I483" s="5" t="inlineStr">
        <is>
          <t>PIT @ CLE</t>
        </is>
      </c>
    </row>
    <row r="484">
      <c r="A484" s="5" t="inlineStr">
        <is>
          <t>Quinshon Judkins</t>
        </is>
      </c>
      <c r="B484" s="5" t="inlineStr">
        <is>
          <t>CLE</t>
        </is>
      </c>
      <c r="C484" s="5" t="inlineStr">
        <is>
          <t>Rush+Rec Yds</t>
        </is>
      </c>
      <c r="D484" s="5" t="n">
        <v>57.5</v>
      </c>
      <c r="E484" s="5" t="inlineStr">
        <is>
          <t>More</t>
        </is>
      </c>
      <c r="F484" s="48" t="n">
        <v>0.652</v>
      </c>
      <c r="G484" s="5" t="n">
        <v>72.5</v>
      </c>
      <c r="H484" s="5" t="n">
        <v>-3</v>
      </c>
      <c r="I484" s="5" t="inlineStr">
        <is>
          <t>PIT @ CLE</t>
        </is>
      </c>
    </row>
    <row r="485">
      <c r="A485" s="5" t="inlineStr">
        <is>
          <t>Quinshon Judkins</t>
        </is>
      </c>
      <c r="B485" s="5" t="inlineStr">
        <is>
          <t>CLE</t>
        </is>
      </c>
      <c r="C485" s="5" t="inlineStr">
        <is>
          <t>Rush+Rec Yds</t>
        </is>
      </c>
      <c r="D485" s="5" t="n">
        <v>62.5</v>
      </c>
      <c r="E485" s="5" t="inlineStr">
        <is>
          <t>More</t>
        </is>
      </c>
      <c r="F485" s="48" t="n">
        <v>0.599</v>
      </c>
      <c r="G485" s="5" t="n">
        <v>72.5</v>
      </c>
      <c r="H485" s="5" t="n">
        <v>-2</v>
      </c>
      <c r="I485" s="5" t="inlineStr">
        <is>
          <t>PIT @ CLE</t>
        </is>
      </c>
    </row>
    <row r="486">
      <c r="A486" s="5" t="inlineStr">
        <is>
          <t>Quinshon Judkins</t>
        </is>
      </c>
      <c r="B486" s="5" t="inlineStr">
        <is>
          <t>CLE</t>
        </is>
      </c>
      <c r="C486" s="5" t="inlineStr">
        <is>
          <t>Rush+Rec Yds</t>
        </is>
      </c>
      <c r="D486" s="5" t="n">
        <v>67.5</v>
      </c>
      <c r="E486" s="5" t="inlineStr">
        <is>
          <t>More</t>
        </is>
      </c>
      <c r="F486" s="48" t="n">
        <v>0.549</v>
      </c>
      <c r="G486" s="5" t="n">
        <v>72.5</v>
      </c>
      <c r="H486" s="5" t="n">
        <v>-1</v>
      </c>
      <c r="I486" s="5" t="inlineStr">
        <is>
          <t>PIT @ CLE</t>
        </is>
      </c>
    </row>
    <row r="487">
      <c r="A487" s="5" t="inlineStr">
        <is>
          <t>Quinshon Judkins</t>
        </is>
      </c>
      <c r="B487" s="5" t="inlineStr">
        <is>
          <t>CLE</t>
        </is>
      </c>
      <c r="C487" s="5" t="inlineStr">
        <is>
          <t>Rush+Rec Yds</t>
        </is>
      </c>
      <c r="D487" s="5" t="n">
        <v>72.5</v>
      </c>
      <c r="E487" s="5" t="inlineStr">
        <is>
          <t>More</t>
        </is>
      </c>
      <c r="F487" s="48" t="n">
        <v>0.501</v>
      </c>
      <c r="G487" s="5" t="n">
        <v>72.5</v>
      </c>
      <c r="H487" s="5" t="n">
        <v>0</v>
      </c>
      <c r="I487" s="5" t="inlineStr">
        <is>
          <t>PIT @ CLE</t>
        </is>
      </c>
    </row>
    <row r="488">
      <c r="A488" s="5" t="inlineStr">
        <is>
          <t>Quinshon Judkins</t>
        </is>
      </c>
      <c r="B488" s="5" t="inlineStr">
        <is>
          <t>CLE</t>
        </is>
      </c>
      <c r="C488" s="5" t="inlineStr">
        <is>
          <t>Rush+Rec Yds</t>
        </is>
      </c>
      <c r="D488" s="5" t="n">
        <v>77.5</v>
      </c>
      <c r="E488" s="5" t="inlineStr">
        <is>
          <t>Less</t>
        </is>
      </c>
      <c r="F488" s="48" t="n">
        <v>0.547</v>
      </c>
      <c r="G488" s="5" t="n">
        <v>72.5</v>
      </c>
      <c r="H488" s="5" t="n">
        <v>1</v>
      </c>
      <c r="I488" s="5" t="inlineStr">
        <is>
          <t>PIT @ CLE</t>
        </is>
      </c>
    </row>
    <row r="489">
      <c r="A489" s="5" t="inlineStr">
        <is>
          <t>Quinshon Judkins</t>
        </is>
      </c>
      <c r="B489" s="5" t="inlineStr">
        <is>
          <t>CLE</t>
        </is>
      </c>
      <c r="C489" s="5" t="inlineStr">
        <is>
          <t>Rush+Rec Yds</t>
        </is>
      </c>
      <c r="D489" s="5" t="n">
        <v>82.5</v>
      </c>
      <c r="E489" s="5" t="inlineStr">
        <is>
          <t>Less</t>
        </is>
      </c>
      <c r="F489" s="48" t="n">
        <v>0.592</v>
      </c>
      <c r="G489" s="5" t="n">
        <v>72.5</v>
      </c>
      <c r="H489" s="5" t="n">
        <v>2</v>
      </c>
      <c r="I489" s="5" t="inlineStr">
        <is>
          <t>PIT @ CLE</t>
        </is>
      </c>
    </row>
    <row r="490">
      <c r="A490" s="5" t="inlineStr">
        <is>
          <t>Quinshon Judkins</t>
        </is>
      </c>
      <c r="B490" s="5" t="inlineStr">
        <is>
          <t>CLE</t>
        </is>
      </c>
      <c r="C490" s="5" t="inlineStr">
        <is>
          <t>Rush+Rec Yds</t>
        </is>
      </c>
      <c r="D490" s="5" t="n">
        <v>87.5</v>
      </c>
      <c r="E490" s="5" t="inlineStr">
        <is>
          <t>Less</t>
        </is>
      </c>
      <c r="F490" s="48" t="n">
        <v>0.637</v>
      </c>
      <c r="G490" s="5" t="n">
        <v>72.5</v>
      </c>
      <c r="H490" s="5" t="n">
        <v>3</v>
      </c>
      <c r="I490" s="5" t="inlineStr">
        <is>
          <t>PIT @ CLE</t>
        </is>
      </c>
    </row>
    <row r="491">
      <c r="A491" s="5" t="inlineStr">
        <is>
          <t>Quinshon Judkins</t>
        </is>
      </c>
      <c r="B491" s="5" t="inlineStr">
        <is>
          <t>CLE</t>
        </is>
      </c>
      <c r="C491" s="5" t="inlineStr">
        <is>
          <t>Rush+Rec Yds</t>
        </is>
      </c>
      <c r="D491" s="5" t="n">
        <v>92.5</v>
      </c>
      <c r="E491" s="5" t="inlineStr">
        <is>
          <t>Less</t>
        </is>
      </c>
      <c r="F491" s="48" t="n">
        <v>0.679</v>
      </c>
      <c r="G491" s="5" t="n">
        <v>72.5</v>
      </c>
      <c r="H491" s="5" t="n">
        <v>4</v>
      </c>
      <c r="I491" s="5" t="inlineStr">
        <is>
          <t>PIT @ CLE</t>
        </is>
      </c>
    </row>
    <row r="492">
      <c r="A492" s="5" t="inlineStr">
        <is>
          <t>Quinshon Judkins</t>
        </is>
      </c>
      <c r="B492" s="5" t="inlineStr">
        <is>
          <t>CLE</t>
        </is>
      </c>
      <c r="C492" s="5" t="inlineStr">
        <is>
          <t>Rush+Rec Yds</t>
        </is>
      </c>
      <c r="D492" s="5" t="n">
        <v>97.5</v>
      </c>
      <c r="E492" s="5" t="inlineStr">
        <is>
          <t>Less</t>
        </is>
      </c>
      <c r="F492" s="48" t="n">
        <v>0.714</v>
      </c>
      <c r="G492" s="5" t="n">
        <v>72.5</v>
      </c>
      <c r="H492" s="5" t="n">
        <v>5</v>
      </c>
      <c r="I492" s="5" t="inlineStr">
        <is>
          <t>PIT @ CLE</t>
        </is>
      </c>
    </row>
    <row r="493">
      <c r="A493" s="5" t="inlineStr">
        <is>
          <t>Quinshon Judkins</t>
        </is>
      </c>
      <c r="B493" s="5" t="inlineStr">
        <is>
          <t>CLE</t>
        </is>
      </c>
      <c r="C493" s="5" t="inlineStr">
        <is>
          <t>Rush+Rec Yds</t>
        </is>
      </c>
      <c r="D493" s="5" t="n">
        <v>102.5</v>
      </c>
      <c r="E493" s="5" t="inlineStr">
        <is>
          <t>Less</t>
        </is>
      </c>
      <c r="F493" s="48" t="n">
        <v>0.747</v>
      </c>
      <c r="G493" s="5" t="n">
        <v>72.5</v>
      </c>
      <c r="H493" s="5" t="n">
        <v>6</v>
      </c>
      <c r="I493" s="5" t="inlineStr">
        <is>
          <t>PIT @ CLE</t>
        </is>
      </c>
    </row>
    <row r="494">
      <c r="A494" s="5" t="inlineStr">
        <is>
          <t>Quinshon Judkins</t>
        </is>
      </c>
      <c r="B494" s="5" t="inlineStr">
        <is>
          <t>CLE</t>
        </is>
      </c>
      <c r="C494" s="5" t="inlineStr">
        <is>
          <t>Rush+Rec Yds</t>
        </is>
      </c>
      <c r="D494" s="5" t="n">
        <v>107.5</v>
      </c>
      <c r="E494" s="5" t="inlineStr">
        <is>
          <t>Less</t>
        </is>
      </c>
      <c r="F494" s="48" t="n">
        <v>0.779</v>
      </c>
      <c r="G494" s="5" t="n">
        <v>72.5</v>
      </c>
      <c r="H494" s="5" t="n">
        <v>7</v>
      </c>
      <c r="I494" s="5" t="inlineStr">
        <is>
          <t>PIT @ CLE</t>
        </is>
      </c>
    </row>
    <row r="495">
      <c r="A495" s="5" t="inlineStr">
        <is>
          <t>Quinshon Judkins</t>
        </is>
      </c>
      <c r="B495" s="5" t="inlineStr">
        <is>
          <t>CLE</t>
        </is>
      </c>
      <c r="C495" s="5" t="inlineStr">
        <is>
          <t>Rush+Rec Yds</t>
        </is>
      </c>
      <c r="D495" s="5" t="n">
        <v>112.5</v>
      </c>
      <c r="E495" s="5" t="inlineStr">
        <is>
          <t>Less</t>
        </is>
      </c>
      <c r="F495" s="48" t="n">
        <v>0.8110000000000001</v>
      </c>
      <c r="G495" s="5" t="n">
        <v>72.5</v>
      </c>
      <c r="H495" s="5" t="n">
        <v>8</v>
      </c>
      <c r="I495" s="5" t="inlineStr">
        <is>
          <t>PIT @ CLE</t>
        </is>
      </c>
    </row>
    <row r="496">
      <c r="A496" s="5" t="inlineStr">
        <is>
          <t>Quinshon Judkins</t>
        </is>
      </c>
      <c r="B496" s="5" t="inlineStr">
        <is>
          <t>CLE</t>
        </is>
      </c>
      <c r="C496" s="5" t="inlineStr">
        <is>
          <t>Rush+Rec Yds</t>
        </is>
      </c>
      <c r="D496" s="5" t="n">
        <v>117.5</v>
      </c>
      <c r="E496" s="5" t="inlineStr">
        <is>
          <t>Less</t>
        </is>
      </c>
      <c r="F496" s="48" t="n">
        <v>0.838</v>
      </c>
      <c r="G496" s="5" t="n">
        <v>72.5</v>
      </c>
      <c r="H496" s="5" t="n">
        <v>9</v>
      </c>
      <c r="I496" s="5" t="inlineStr">
        <is>
          <t>PIT @ CLE</t>
        </is>
      </c>
    </row>
    <row r="497">
      <c r="A497" s="5" t="inlineStr">
        <is>
          <t>Quinshon Judkins</t>
        </is>
      </c>
      <c r="B497" s="5" t="inlineStr">
        <is>
          <t>CLE</t>
        </is>
      </c>
      <c r="C497" s="5" t="inlineStr">
        <is>
          <t>Rush+Rec Yds</t>
        </is>
      </c>
      <c r="D497" s="5" t="n">
        <v>122.5</v>
      </c>
      <c r="E497" s="5" t="inlineStr">
        <is>
          <t>Less</t>
        </is>
      </c>
      <c r="F497" s="48" t="n">
        <v>0.86</v>
      </c>
      <c r="G497" s="5" t="n">
        <v>72.5</v>
      </c>
      <c r="H497" s="5" t="n">
        <v>10</v>
      </c>
      <c r="I497" s="5" t="inlineStr">
        <is>
          <t>PIT @ CLE</t>
        </is>
      </c>
    </row>
    <row r="498">
      <c r="A498" s="5" t="inlineStr">
        <is>
          <t>Raheim Sanders</t>
        </is>
      </c>
      <c r="B498" s="5" t="inlineStr">
        <is>
          <t>CLE</t>
        </is>
      </c>
      <c r="C498" s="5" t="inlineStr">
        <is>
          <t>Anytime TDs</t>
        </is>
      </c>
      <c r="D498" s="5" t="n">
        <v>0.5</v>
      </c>
      <c r="E498" s="5" t="inlineStr">
        <is>
          <t>Less</t>
        </is>
      </c>
      <c r="F498" s="48" t="n">
        <v>0.873</v>
      </c>
      <c r="G498" s="5" t="n">
        <v>0.5</v>
      </c>
      <c r="H498" s="5" t="n">
        <v>0</v>
      </c>
      <c r="I498" s="5" t="inlineStr">
        <is>
          <t>PIT @ CLE</t>
        </is>
      </c>
    </row>
    <row r="499">
      <c r="A499" s="5" t="inlineStr">
        <is>
          <t>Raheim Sanders</t>
        </is>
      </c>
      <c r="B499" s="5" t="inlineStr">
        <is>
          <t>CLE</t>
        </is>
      </c>
      <c r="C499" s="5" t="inlineStr">
        <is>
          <t>Rec Yds</t>
        </is>
      </c>
      <c r="D499" s="5" t="n">
        <v>1.5</v>
      </c>
      <c r="E499" s="5" t="inlineStr">
        <is>
          <t>More</t>
        </is>
      </c>
      <c r="F499" s="48" t="n">
        <v>0.705</v>
      </c>
      <c r="G499" s="5" t="n">
        <v>11.5</v>
      </c>
      <c r="H499" s="5" t="n">
        <v>-5</v>
      </c>
      <c r="I499" s="5" t="inlineStr">
        <is>
          <t>PIT @ CLE</t>
        </is>
      </c>
    </row>
    <row r="500">
      <c r="A500" s="5" t="inlineStr">
        <is>
          <t>Raheim Sanders</t>
        </is>
      </c>
      <c r="B500" s="5" t="inlineStr">
        <is>
          <t>CLE</t>
        </is>
      </c>
      <c r="C500" s="5" t="inlineStr">
        <is>
          <t>Rec Yds</t>
        </is>
      </c>
      <c r="D500" s="5" t="n">
        <v>3.5</v>
      </c>
      <c r="E500" s="5" t="inlineStr">
        <is>
          <t>More</t>
        </is>
      </c>
      <c r="F500" s="48" t="n">
        <v>0.681</v>
      </c>
      <c r="G500" s="5" t="n">
        <v>11.5</v>
      </c>
      <c r="H500" s="5" t="n">
        <v>-4</v>
      </c>
      <c r="I500" s="5" t="inlineStr">
        <is>
          <t>PIT @ CLE</t>
        </is>
      </c>
    </row>
    <row r="501">
      <c r="A501" s="5" t="inlineStr">
        <is>
          <t>Raheim Sanders</t>
        </is>
      </c>
      <c r="B501" s="5" t="inlineStr">
        <is>
          <t>CLE</t>
        </is>
      </c>
      <c r="C501" s="5" t="inlineStr">
        <is>
          <t>Rec Yds</t>
        </is>
      </c>
      <c r="D501" s="5" t="n">
        <v>5.5</v>
      </c>
      <c r="E501" s="5" t="inlineStr">
        <is>
          <t>More</t>
        </is>
      </c>
      <c r="F501" s="48" t="n">
        <v>0.642</v>
      </c>
      <c r="G501" s="5" t="n">
        <v>11.5</v>
      </c>
      <c r="H501" s="5" t="n">
        <v>-3</v>
      </c>
      <c r="I501" s="5" t="inlineStr">
        <is>
          <t>PIT @ CLE</t>
        </is>
      </c>
    </row>
    <row r="502">
      <c r="A502" s="5" t="inlineStr">
        <is>
          <t>Raheim Sanders</t>
        </is>
      </c>
      <c r="B502" s="5" t="inlineStr">
        <is>
          <t>CLE</t>
        </is>
      </c>
      <c r="C502" s="5" t="inlineStr">
        <is>
          <t>Rec Yds</t>
        </is>
      </c>
      <c r="D502" s="5" t="n">
        <v>7.5</v>
      </c>
      <c r="E502" s="5" t="inlineStr">
        <is>
          <t>More</t>
        </is>
      </c>
      <c r="F502" s="48" t="n">
        <v>0.613</v>
      </c>
      <c r="G502" s="5" t="n">
        <v>11.5</v>
      </c>
      <c r="H502" s="5" t="n">
        <v>-2</v>
      </c>
      <c r="I502" s="5" t="inlineStr">
        <is>
          <t>PIT @ CLE</t>
        </is>
      </c>
    </row>
    <row r="503">
      <c r="A503" s="5" t="inlineStr">
        <is>
          <t>Raheim Sanders</t>
        </is>
      </c>
      <c r="B503" s="5" t="inlineStr">
        <is>
          <t>CLE</t>
        </is>
      </c>
      <c r="C503" s="5" t="inlineStr">
        <is>
          <t>Rec Yds</t>
        </is>
      </c>
      <c r="D503" s="5" t="n">
        <v>9.5</v>
      </c>
      <c r="E503" s="5" t="inlineStr">
        <is>
          <t>More</t>
        </is>
      </c>
      <c r="F503" s="48" t="n">
        <v>0.552</v>
      </c>
      <c r="G503" s="5" t="n">
        <v>11.5</v>
      </c>
      <c r="H503" s="5" t="n">
        <v>-1</v>
      </c>
      <c r="I503" s="5" t="inlineStr">
        <is>
          <t>PIT @ CLE</t>
        </is>
      </c>
    </row>
    <row r="504">
      <c r="A504" s="5" t="inlineStr">
        <is>
          <t>Raheim Sanders</t>
        </is>
      </c>
      <c r="B504" s="5" t="inlineStr">
        <is>
          <t>CLE</t>
        </is>
      </c>
      <c r="C504" s="5" t="inlineStr">
        <is>
          <t>Rec Yds</t>
        </is>
      </c>
      <c r="D504" s="5" t="n">
        <v>11.5</v>
      </c>
      <c r="E504" s="5" t="inlineStr">
        <is>
          <t>Less</t>
        </is>
      </c>
      <c r="F504" s="48" t="n">
        <v>0.502</v>
      </c>
      <c r="G504" s="5" t="n">
        <v>11.5</v>
      </c>
      <c r="H504" s="5" t="n">
        <v>0</v>
      </c>
      <c r="I504" s="5" t="inlineStr">
        <is>
          <t>PIT @ CLE</t>
        </is>
      </c>
    </row>
    <row r="505">
      <c r="A505" s="5" t="inlineStr">
        <is>
          <t>Raheim Sanders</t>
        </is>
      </c>
      <c r="B505" s="5" t="inlineStr">
        <is>
          <t>CLE</t>
        </is>
      </c>
      <c r="C505" s="5" t="inlineStr">
        <is>
          <t>Rec Yds</t>
        </is>
      </c>
      <c r="D505" s="5" t="n">
        <v>13.5</v>
      </c>
      <c r="E505" s="5" t="inlineStr">
        <is>
          <t>Less</t>
        </is>
      </c>
      <c r="F505" s="48" t="n">
        <v>0.524</v>
      </c>
      <c r="G505" s="5" t="n">
        <v>11.5</v>
      </c>
      <c r="H505" s="5" t="n">
        <v>1</v>
      </c>
      <c r="I505" s="5" t="inlineStr">
        <is>
          <t>PIT @ CLE</t>
        </is>
      </c>
    </row>
    <row r="506">
      <c r="A506" s="5" t="inlineStr">
        <is>
          <t>Raheim Sanders</t>
        </is>
      </c>
      <c r="B506" s="5" t="inlineStr">
        <is>
          <t>CLE</t>
        </is>
      </c>
      <c r="C506" s="5" t="inlineStr">
        <is>
          <t>Rec Yds</t>
        </is>
      </c>
      <c r="D506" s="5" t="n">
        <v>15.5</v>
      </c>
      <c r="E506" s="5" t="inlineStr">
        <is>
          <t>Less</t>
        </is>
      </c>
      <c r="F506" s="48" t="n">
        <v>0.569</v>
      </c>
      <c r="G506" s="5" t="n">
        <v>11.5</v>
      </c>
      <c r="H506" s="5" t="n">
        <v>2</v>
      </c>
      <c r="I506" s="5" t="inlineStr">
        <is>
          <t>PIT @ CLE</t>
        </is>
      </c>
    </row>
    <row r="507">
      <c r="A507" s="5" t="inlineStr">
        <is>
          <t>Raheim Sanders</t>
        </is>
      </c>
      <c r="B507" s="5" t="inlineStr">
        <is>
          <t>CLE</t>
        </is>
      </c>
      <c r="C507" s="5" t="inlineStr">
        <is>
          <t>Rec Yds</t>
        </is>
      </c>
      <c r="D507" s="5" t="n">
        <v>17.5</v>
      </c>
      <c r="E507" s="5" t="inlineStr">
        <is>
          <t>Less</t>
        </is>
      </c>
      <c r="F507" s="48" t="n">
        <v>0.589</v>
      </c>
      <c r="G507" s="5" t="n">
        <v>11.5</v>
      </c>
      <c r="H507" s="5" t="n">
        <v>3</v>
      </c>
      <c r="I507" s="5" t="inlineStr">
        <is>
          <t>PIT @ CLE</t>
        </is>
      </c>
    </row>
    <row r="508">
      <c r="A508" s="5" t="inlineStr">
        <is>
          <t>Raheim Sanders</t>
        </is>
      </c>
      <c r="B508" s="5" t="inlineStr">
        <is>
          <t>CLE</t>
        </is>
      </c>
      <c r="C508" s="5" t="inlineStr">
        <is>
          <t>Rec Yds</t>
        </is>
      </c>
      <c r="D508" s="5" t="n">
        <v>19.5</v>
      </c>
      <c r="E508" s="5" t="inlineStr">
        <is>
          <t>Less</t>
        </is>
      </c>
      <c r="F508" s="48" t="n">
        <v>0.631</v>
      </c>
      <c r="G508" s="5" t="n">
        <v>11.5</v>
      </c>
      <c r="H508" s="5" t="n">
        <v>4</v>
      </c>
      <c r="I508" s="5" t="inlineStr">
        <is>
          <t>PIT @ CLE</t>
        </is>
      </c>
    </row>
    <row r="509">
      <c r="A509" s="5" t="inlineStr">
        <is>
          <t>Raheim Sanders</t>
        </is>
      </c>
      <c r="B509" s="5" t="inlineStr">
        <is>
          <t>CLE</t>
        </is>
      </c>
      <c r="C509" s="5" t="inlineStr">
        <is>
          <t>Rec Yds</t>
        </is>
      </c>
      <c r="D509" s="5" t="n">
        <v>21.5</v>
      </c>
      <c r="E509" s="5" t="inlineStr">
        <is>
          <t>Less</t>
        </is>
      </c>
      <c r="F509" s="48" t="n">
        <v>0.667</v>
      </c>
      <c r="G509" s="5" t="n">
        <v>11.5</v>
      </c>
      <c r="H509" s="5" t="n">
        <v>5</v>
      </c>
      <c r="I509" s="5" t="inlineStr">
        <is>
          <t>PIT @ CLE</t>
        </is>
      </c>
    </row>
    <row r="510">
      <c r="A510" s="5" t="inlineStr">
        <is>
          <t>Raheim Sanders</t>
        </is>
      </c>
      <c r="B510" s="5" t="inlineStr">
        <is>
          <t>CLE</t>
        </is>
      </c>
      <c r="C510" s="5" t="inlineStr">
        <is>
          <t>Rec Yds</t>
        </is>
      </c>
      <c r="D510" s="5" t="n">
        <v>23.5</v>
      </c>
      <c r="E510" s="5" t="inlineStr">
        <is>
          <t>Less</t>
        </is>
      </c>
      <c r="F510" s="48" t="n">
        <v>0.6850000000000001</v>
      </c>
      <c r="G510" s="5" t="n">
        <v>11.5</v>
      </c>
      <c r="H510" s="5" t="n">
        <v>6</v>
      </c>
      <c r="I510" s="5" t="inlineStr">
        <is>
          <t>PIT @ CLE</t>
        </is>
      </c>
    </row>
    <row r="511">
      <c r="A511" s="5" t="inlineStr">
        <is>
          <t>Raheim Sanders</t>
        </is>
      </c>
      <c r="B511" s="5" t="inlineStr">
        <is>
          <t>CLE</t>
        </is>
      </c>
      <c r="C511" s="5" t="inlineStr">
        <is>
          <t>Rec Yds</t>
        </is>
      </c>
      <c r="D511" s="5" t="n">
        <v>25.5</v>
      </c>
      <c r="E511" s="5" t="inlineStr">
        <is>
          <t>Less</t>
        </is>
      </c>
      <c r="F511" s="48" t="n">
        <v>0.72</v>
      </c>
      <c r="G511" s="5" t="n">
        <v>11.5</v>
      </c>
      <c r="H511" s="5" t="n">
        <v>7</v>
      </c>
      <c r="I511" s="5" t="inlineStr">
        <is>
          <t>PIT @ CLE</t>
        </is>
      </c>
    </row>
    <row r="512">
      <c r="A512" s="5" t="inlineStr">
        <is>
          <t>Raheim Sanders</t>
        </is>
      </c>
      <c r="B512" s="5" t="inlineStr">
        <is>
          <t>CLE</t>
        </is>
      </c>
      <c r="C512" s="5" t="inlineStr">
        <is>
          <t>Rec Yds</t>
        </is>
      </c>
      <c r="D512" s="5" t="n">
        <v>27.5</v>
      </c>
      <c r="E512" s="5" t="inlineStr">
        <is>
          <t>Less</t>
        </is>
      </c>
      <c r="F512" s="48" t="n">
        <v>0.746</v>
      </c>
      <c r="G512" s="5" t="n">
        <v>11.5</v>
      </c>
      <c r="H512" s="5" t="n">
        <v>8</v>
      </c>
      <c r="I512" s="5" t="inlineStr">
        <is>
          <t>PIT @ CLE</t>
        </is>
      </c>
    </row>
    <row r="513">
      <c r="A513" s="5" t="inlineStr">
        <is>
          <t>Raheim Sanders</t>
        </is>
      </c>
      <c r="B513" s="5" t="inlineStr">
        <is>
          <t>CLE</t>
        </is>
      </c>
      <c r="C513" s="5" t="inlineStr">
        <is>
          <t>Rec Yds</t>
        </is>
      </c>
      <c r="D513" s="5" t="n">
        <v>29.5</v>
      </c>
      <c r="E513" s="5" t="inlineStr">
        <is>
          <t>Less</t>
        </is>
      </c>
      <c r="F513" s="48" t="n">
        <v>0.761</v>
      </c>
      <c r="G513" s="5" t="n">
        <v>11.5</v>
      </c>
      <c r="H513" s="5" t="n">
        <v>9</v>
      </c>
      <c r="I513" s="5" t="inlineStr">
        <is>
          <t>PIT @ CLE</t>
        </is>
      </c>
    </row>
    <row r="514">
      <c r="A514" s="5" t="inlineStr">
        <is>
          <t>Raheim Sanders</t>
        </is>
      </c>
      <c r="B514" s="5" t="inlineStr">
        <is>
          <t>CLE</t>
        </is>
      </c>
      <c r="C514" s="5" t="inlineStr">
        <is>
          <t>Rec Yds</t>
        </is>
      </c>
      <c r="D514" s="5" t="n">
        <v>31.5</v>
      </c>
      <c r="E514" s="5" t="inlineStr">
        <is>
          <t>Less</t>
        </is>
      </c>
      <c r="F514" s="48" t="n">
        <v>0.787</v>
      </c>
      <c r="G514" s="5" t="n">
        <v>11.5</v>
      </c>
      <c r="H514" s="5" t="n">
        <v>10</v>
      </c>
      <c r="I514" s="5" t="inlineStr">
        <is>
          <t>PIT @ CLE</t>
        </is>
      </c>
    </row>
    <row r="515">
      <c r="A515" s="5" t="inlineStr">
        <is>
          <t>Raheim Sanders</t>
        </is>
      </c>
      <c r="B515" s="5" t="inlineStr">
        <is>
          <t>CLE</t>
        </is>
      </c>
      <c r="C515" s="5" t="inlineStr">
        <is>
          <t>Receptions</t>
        </is>
      </c>
      <c r="D515" s="5" t="n">
        <v>0.5</v>
      </c>
      <c r="E515" s="5" t="inlineStr">
        <is>
          <t>More</t>
        </is>
      </c>
      <c r="F515" s="48" t="n">
        <v>0.757</v>
      </c>
      <c r="G515" s="5" t="n">
        <v>1.5</v>
      </c>
      <c r="H515" s="5" t="n">
        <v>-1</v>
      </c>
      <c r="I515" s="5" t="inlineStr">
        <is>
          <t>PIT @ CLE</t>
        </is>
      </c>
    </row>
    <row r="516">
      <c r="A516" s="5" t="inlineStr">
        <is>
          <t>Raheim Sanders</t>
        </is>
      </c>
      <c r="B516" s="5" t="inlineStr">
        <is>
          <t>CLE</t>
        </is>
      </c>
      <c r="C516" s="5" t="inlineStr">
        <is>
          <t>Receptions</t>
        </is>
      </c>
      <c r="D516" s="5" t="n">
        <v>1.5</v>
      </c>
      <c r="E516" s="5" t="inlineStr">
        <is>
          <t>More</t>
        </is>
      </c>
      <c r="F516" s="48" t="n">
        <v>0.598</v>
      </c>
      <c r="G516" s="5" t="n">
        <v>1.5</v>
      </c>
      <c r="H516" s="5" t="n">
        <v>0</v>
      </c>
      <c r="I516" s="5" t="inlineStr">
        <is>
          <t>PIT @ CLE</t>
        </is>
      </c>
    </row>
    <row r="517">
      <c r="A517" s="5" t="inlineStr">
        <is>
          <t>Raheim Sanders</t>
        </is>
      </c>
      <c r="B517" s="5" t="inlineStr">
        <is>
          <t>CLE</t>
        </is>
      </c>
      <c r="C517" s="5" t="inlineStr">
        <is>
          <t>Receptions</t>
        </is>
      </c>
      <c r="D517" s="5" t="n">
        <v>2.5</v>
      </c>
      <c r="E517" s="5" t="inlineStr">
        <is>
          <t>Less</t>
        </is>
      </c>
      <c r="F517" s="48" t="n">
        <v>0.546</v>
      </c>
      <c r="G517" s="5" t="n">
        <v>1.5</v>
      </c>
      <c r="H517" s="5" t="n">
        <v>1</v>
      </c>
      <c r="I517" s="5" t="inlineStr">
        <is>
          <t>PIT @ CLE</t>
        </is>
      </c>
    </row>
    <row r="518">
      <c r="A518" s="5" t="inlineStr">
        <is>
          <t>Raheim Sanders</t>
        </is>
      </c>
      <c r="B518" s="5" t="inlineStr">
        <is>
          <t>CLE</t>
        </is>
      </c>
      <c r="C518" s="5" t="inlineStr">
        <is>
          <t>Receptions</t>
        </is>
      </c>
      <c r="D518" s="5" t="n">
        <v>3.5</v>
      </c>
      <c r="E518" s="5" t="inlineStr">
        <is>
          <t>Less</t>
        </is>
      </c>
      <c r="F518" s="48" t="n">
        <v>0.772</v>
      </c>
      <c r="G518" s="5" t="n">
        <v>1.5</v>
      </c>
      <c r="H518" s="5" t="n">
        <v>2</v>
      </c>
      <c r="I518" s="5" t="inlineStr">
        <is>
          <t>PIT @ CLE</t>
        </is>
      </c>
    </row>
    <row r="519">
      <c r="A519" s="5" t="inlineStr">
        <is>
          <t>Raheim Sanders</t>
        </is>
      </c>
      <c r="B519" s="5" t="inlineStr">
        <is>
          <t>CLE</t>
        </is>
      </c>
      <c r="C519" s="5" t="inlineStr">
        <is>
          <t>Receptions</t>
        </is>
      </c>
      <c r="D519" s="5" t="n">
        <v>4.5</v>
      </c>
      <c r="E519" s="5" t="inlineStr">
        <is>
          <t>Less</t>
        </is>
      </c>
      <c r="F519" s="48" t="n">
        <v>0.835</v>
      </c>
      <c r="G519" s="5" t="n">
        <v>1.5</v>
      </c>
      <c r="H519" s="5" t="n">
        <v>3</v>
      </c>
      <c r="I519" s="5" t="inlineStr">
        <is>
          <t>PIT @ CLE</t>
        </is>
      </c>
    </row>
    <row r="520">
      <c r="A520" s="5" t="inlineStr">
        <is>
          <t>Raheim Sanders</t>
        </is>
      </c>
      <c r="B520" s="5" t="inlineStr">
        <is>
          <t>CLE</t>
        </is>
      </c>
      <c r="C520" s="5" t="inlineStr">
        <is>
          <t>Receptions</t>
        </is>
      </c>
      <c r="D520" s="5" t="n">
        <v>5.5</v>
      </c>
      <c r="E520" s="5" t="inlineStr">
        <is>
          <t>Less</t>
        </is>
      </c>
      <c r="F520" s="48" t="n">
        <v>0.904</v>
      </c>
      <c r="G520" s="5" t="n">
        <v>1.5</v>
      </c>
      <c r="H520" s="5" t="n">
        <v>4</v>
      </c>
      <c r="I520" s="5" t="inlineStr">
        <is>
          <t>PIT @ CLE</t>
        </is>
      </c>
    </row>
    <row r="521">
      <c r="A521" s="5" t="inlineStr">
        <is>
          <t>Raheim Sanders</t>
        </is>
      </c>
      <c r="B521" s="5" t="inlineStr">
        <is>
          <t>CLE</t>
        </is>
      </c>
      <c r="C521" s="5" t="inlineStr">
        <is>
          <t>Receptions</t>
        </is>
      </c>
      <c r="D521" s="5" t="n">
        <v>6.5</v>
      </c>
      <c r="E521" s="5" t="inlineStr">
        <is>
          <t>Less</t>
        </is>
      </c>
      <c r="F521" s="48" t="n">
        <v>0.964</v>
      </c>
      <c r="G521" s="5" t="n">
        <v>1.5</v>
      </c>
      <c r="H521" s="5" t="n">
        <v>5</v>
      </c>
      <c r="I521" s="5" t="inlineStr">
        <is>
          <t>PIT @ CLE</t>
        </is>
      </c>
    </row>
    <row r="522">
      <c r="A522" s="5" t="inlineStr">
        <is>
          <t>Raheim Sanders</t>
        </is>
      </c>
      <c r="B522" s="5" t="inlineStr">
        <is>
          <t>CLE</t>
        </is>
      </c>
      <c r="C522" s="5" t="inlineStr">
        <is>
          <t>Rush Yds</t>
        </is>
      </c>
      <c r="D522" s="5" t="n">
        <v>1.5</v>
      </c>
      <c r="E522" s="5" t="inlineStr">
        <is>
          <t>More</t>
        </is>
      </c>
      <c r="F522" s="48" t="n">
        <v>0.757</v>
      </c>
      <c r="G522" s="5" t="n">
        <v>5.5</v>
      </c>
      <c r="H522" s="5" t="n">
        <v>-2</v>
      </c>
      <c r="I522" s="5" t="inlineStr">
        <is>
          <t>PIT @ CLE</t>
        </is>
      </c>
    </row>
    <row r="523">
      <c r="A523" s="5" t="inlineStr">
        <is>
          <t>Raheim Sanders</t>
        </is>
      </c>
      <c r="B523" s="5" t="inlineStr">
        <is>
          <t>CLE</t>
        </is>
      </c>
      <c r="C523" s="5" t="inlineStr">
        <is>
          <t>Rush Yds</t>
        </is>
      </c>
      <c r="D523" s="5" t="n">
        <v>3.5</v>
      </c>
      <c r="E523" s="5" t="inlineStr">
        <is>
          <t>More</t>
        </is>
      </c>
      <c r="F523" s="48" t="n">
        <v>0.636</v>
      </c>
      <c r="G523" s="5" t="n">
        <v>5.5</v>
      </c>
      <c r="H523" s="5" t="n">
        <v>-1</v>
      </c>
      <c r="I523" s="5" t="inlineStr">
        <is>
          <t>PIT @ CLE</t>
        </is>
      </c>
    </row>
    <row r="524">
      <c r="A524" s="5" t="inlineStr">
        <is>
          <t>Raheim Sanders</t>
        </is>
      </c>
      <c r="B524" s="5" t="inlineStr">
        <is>
          <t>CLE</t>
        </is>
      </c>
      <c r="C524" s="5" t="inlineStr">
        <is>
          <t>Rush Yds</t>
        </is>
      </c>
      <c r="D524" s="5" t="n">
        <v>5.5</v>
      </c>
      <c r="E524" s="5" t="inlineStr">
        <is>
          <t>Less</t>
        </is>
      </c>
      <c r="F524" s="48" t="n">
        <v>0.502</v>
      </c>
      <c r="G524" s="5" t="n">
        <v>5.5</v>
      </c>
      <c r="H524" s="5" t="n">
        <v>0</v>
      </c>
      <c r="I524" s="5" t="inlineStr">
        <is>
          <t>PIT @ CLE</t>
        </is>
      </c>
    </row>
    <row r="525">
      <c r="A525" s="5" t="inlineStr">
        <is>
          <t>Raheim Sanders</t>
        </is>
      </c>
      <c r="B525" s="5" t="inlineStr">
        <is>
          <t>CLE</t>
        </is>
      </c>
      <c r="C525" s="5" t="inlineStr">
        <is>
          <t>Rush Yds</t>
        </is>
      </c>
      <c r="D525" s="5" t="n">
        <v>7.5</v>
      </c>
      <c r="E525" s="5" t="inlineStr">
        <is>
          <t>Less</t>
        </is>
      </c>
      <c r="F525" s="48" t="n">
        <v>0.592</v>
      </c>
      <c r="G525" s="5" t="n">
        <v>5.5</v>
      </c>
      <c r="H525" s="5" t="n">
        <v>1</v>
      </c>
      <c r="I525" s="5" t="inlineStr">
        <is>
          <t>PIT @ CLE</t>
        </is>
      </c>
    </row>
    <row r="526">
      <c r="A526" s="5" t="inlineStr">
        <is>
          <t>Raheim Sanders</t>
        </is>
      </c>
      <c r="B526" s="5" t="inlineStr">
        <is>
          <t>CLE</t>
        </is>
      </c>
      <c r="C526" s="5" t="inlineStr">
        <is>
          <t>Rush Yds</t>
        </is>
      </c>
      <c r="D526" s="5" t="n">
        <v>9.5</v>
      </c>
      <c r="E526" s="5" t="inlineStr">
        <is>
          <t>Less</t>
        </is>
      </c>
      <c r="F526" s="48" t="n">
        <v>0.661</v>
      </c>
      <c r="G526" s="5" t="n">
        <v>5.5</v>
      </c>
      <c r="H526" s="5" t="n">
        <v>2</v>
      </c>
      <c r="I526" s="5" t="inlineStr">
        <is>
          <t>PIT @ CLE</t>
        </is>
      </c>
    </row>
    <row r="527">
      <c r="A527" s="5" t="inlineStr">
        <is>
          <t>Raheim Sanders</t>
        </is>
      </c>
      <c r="B527" s="5" t="inlineStr">
        <is>
          <t>CLE</t>
        </is>
      </c>
      <c r="C527" s="5" t="inlineStr">
        <is>
          <t>Rush Yds</t>
        </is>
      </c>
      <c r="D527" s="5" t="n">
        <v>11.5</v>
      </c>
      <c r="E527" s="5" t="inlineStr">
        <is>
          <t>Less</t>
        </is>
      </c>
      <c r="F527" s="48" t="n">
        <v>0.742</v>
      </c>
      <c r="G527" s="5" t="n">
        <v>5.5</v>
      </c>
      <c r="H527" s="5" t="n">
        <v>3</v>
      </c>
      <c r="I527" s="5" t="inlineStr">
        <is>
          <t>PIT @ CLE</t>
        </is>
      </c>
    </row>
    <row r="528">
      <c r="A528" s="5" t="inlineStr">
        <is>
          <t>Raheim Sanders</t>
        </is>
      </c>
      <c r="B528" s="5" t="inlineStr">
        <is>
          <t>CLE</t>
        </is>
      </c>
      <c r="C528" s="5" t="inlineStr">
        <is>
          <t>Rush Yds</t>
        </is>
      </c>
      <c r="D528" s="5" t="n">
        <v>13.5</v>
      </c>
      <c r="E528" s="5" t="inlineStr">
        <is>
          <t>Less</t>
        </is>
      </c>
      <c r="F528" s="48" t="n">
        <v>0.784</v>
      </c>
      <c r="G528" s="5" t="n">
        <v>5.5</v>
      </c>
      <c r="H528" s="5" t="n">
        <v>4</v>
      </c>
      <c r="I528" s="5" t="inlineStr">
        <is>
          <t>PIT @ CLE</t>
        </is>
      </c>
    </row>
    <row r="529">
      <c r="A529" s="5" t="inlineStr">
        <is>
          <t>Raheim Sanders</t>
        </is>
      </c>
      <c r="B529" s="5" t="inlineStr">
        <is>
          <t>CLE</t>
        </is>
      </c>
      <c r="C529" s="5" t="inlineStr">
        <is>
          <t>Rush Yds</t>
        </is>
      </c>
      <c r="D529" s="5" t="n">
        <v>15.5</v>
      </c>
      <c r="E529" s="5" t="inlineStr">
        <is>
          <t>Less</t>
        </is>
      </c>
      <c r="F529" s="48" t="n">
        <v>0.835</v>
      </c>
      <c r="G529" s="5" t="n">
        <v>5.5</v>
      </c>
      <c r="H529" s="5" t="n">
        <v>5</v>
      </c>
      <c r="I529" s="5" t="inlineStr">
        <is>
          <t>PIT @ CLE</t>
        </is>
      </c>
    </row>
    <row r="530">
      <c r="A530" s="5" t="inlineStr">
        <is>
          <t>Raheim Sanders</t>
        </is>
      </c>
      <c r="B530" s="5" t="inlineStr">
        <is>
          <t>CLE</t>
        </is>
      </c>
      <c r="C530" s="5" t="inlineStr">
        <is>
          <t>Rush Yds</t>
        </is>
      </c>
      <c r="D530" s="5" t="n">
        <v>17.5</v>
      </c>
      <c r="E530" s="5" t="inlineStr">
        <is>
          <t>Less</t>
        </is>
      </c>
      <c r="F530" s="48" t="n">
        <v>0.866</v>
      </c>
      <c r="G530" s="5" t="n">
        <v>5.5</v>
      </c>
      <c r="H530" s="5" t="n">
        <v>6</v>
      </c>
      <c r="I530" s="5" t="inlineStr">
        <is>
          <t>PIT @ CLE</t>
        </is>
      </c>
    </row>
    <row r="531">
      <c r="A531" s="5" t="inlineStr">
        <is>
          <t>Raheim Sanders</t>
        </is>
      </c>
      <c r="B531" s="5" t="inlineStr">
        <is>
          <t>CLE</t>
        </is>
      </c>
      <c r="C531" s="5" t="inlineStr">
        <is>
          <t>Rush Yds</t>
        </is>
      </c>
      <c r="D531" s="5" t="n">
        <v>19.5</v>
      </c>
      <c r="E531" s="5" t="inlineStr">
        <is>
          <t>Less</t>
        </is>
      </c>
      <c r="F531" s="48" t="n">
        <v>0.896</v>
      </c>
      <c r="G531" s="5" t="n">
        <v>5.5</v>
      </c>
      <c r="H531" s="5" t="n">
        <v>7</v>
      </c>
      <c r="I531" s="5" t="inlineStr">
        <is>
          <t>PIT @ CLE</t>
        </is>
      </c>
    </row>
    <row r="532">
      <c r="A532" s="5" t="inlineStr">
        <is>
          <t>Raheim Sanders</t>
        </is>
      </c>
      <c r="B532" s="5" t="inlineStr">
        <is>
          <t>CLE</t>
        </is>
      </c>
      <c r="C532" s="5" t="inlineStr">
        <is>
          <t>Rush Yds</t>
        </is>
      </c>
      <c r="D532" s="5" t="n">
        <v>21.5</v>
      </c>
      <c r="E532" s="5" t="inlineStr">
        <is>
          <t>Less</t>
        </is>
      </c>
      <c r="F532" s="48" t="n">
        <v>0.911</v>
      </c>
      <c r="G532" s="5" t="n">
        <v>5.5</v>
      </c>
      <c r="H532" s="5" t="n">
        <v>8</v>
      </c>
      <c r="I532" s="5" t="inlineStr">
        <is>
          <t>PIT @ CLE</t>
        </is>
      </c>
    </row>
    <row r="533">
      <c r="A533" s="5" t="inlineStr">
        <is>
          <t>Raheim Sanders</t>
        </is>
      </c>
      <c r="B533" s="5" t="inlineStr">
        <is>
          <t>CLE</t>
        </is>
      </c>
      <c r="C533" s="5" t="inlineStr">
        <is>
          <t>Rush Yds</t>
        </is>
      </c>
      <c r="D533" s="5" t="n">
        <v>23.5</v>
      </c>
      <c r="E533" s="5" t="inlineStr">
        <is>
          <t>Less</t>
        </is>
      </c>
      <c r="F533" s="48" t="n">
        <v>0.928</v>
      </c>
      <c r="G533" s="5" t="n">
        <v>5.5</v>
      </c>
      <c r="H533" s="5" t="n">
        <v>9</v>
      </c>
      <c r="I533" s="5" t="inlineStr">
        <is>
          <t>PIT @ CLE</t>
        </is>
      </c>
    </row>
    <row r="534">
      <c r="A534" s="5" t="inlineStr">
        <is>
          <t>Raheim Sanders</t>
        </is>
      </c>
      <c r="B534" s="5" t="inlineStr">
        <is>
          <t>CLE</t>
        </is>
      </c>
      <c r="C534" s="5" t="inlineStr">
        <is>
          <t>Rush Yds</t>
        </is>
      </c>
      <c r="D534" s="5" t="n">
        <v>25.5</v>
      </c>
      <c r="E534" s="5" t="inlineStr">
        <is>
          <t>Less</t>
        </is>
      </c>
      <c r="F534" s="48" t="n">
        <v>0.9399999999999999</v>
      </c>
      <c r="G534" s="5" t="n">
        <v>5.5</v>
      </c>
      <c r="H534" s="5" t="n">
        <v>10</v>
      </c>
      <c r="I534" s="5" t="inlineStr">
        <is>
          <t>PIT @ CLE</t>
        </is>
      </c>
    </row>
    <row r="535">
      <c r="A535" s="5" t="inlineStr">
        <is>
          <t>Raheim Sanders</t>
        </is>
      </c>
      <c r="B535" s="5" t="inlineStr">
        <is>
          <t>CLE</t>
        </is>
      </c>
      <c r="C535" s="5" t="inlineStr">
        <is>
          <t>Rush+Rec Yds</t>
        </is>
      </c>
      <c r="D535" s="5" t="n">
        <v>2.5</v>
      </c>
      <c r="E535" s="5" t="inlineStr">
        <is>
          <t>More</t>
        </is>
      </c>
      <c r="F535" s="48" t="n">
        <v>0.9379999999999999</v>
      </c>
      <c r="G535" s="5" t="n">
        <v>20.5</v>
      </c>
      <c r="H535" s="5" t="n">
        <v>-9</v>
      </c>
      <c r="I535" s="5" t="inlineStr">
        <is>
          <t>PIT @ CLE</t>
        </is>
      </c>
    </row>
    <row r="536">
      <c r="A536" s="5" t="inlineStr">
        <is>
          <t>Raheim Sanders</t>
        </is>
      </c>
      <c r="B536" s="5" t="inlineStr">
        <is>
          <t>CLE</t>
        </is>
      </c>
      <c r="C536" s="5" t="inlineStr">
        <is>
          <t>Rush+Rec Yds</t>
        </is>
      </c>
      <c r="D536" s="5" t="n">
        <v>4.5</v>
      </c>
      <c r="E536" s="5" t="inlineStr">
        <is>
          <t>More</t>
        </is>
      </c>
      <c r="F536" s="48" t="n">
        <v>0.903</v>
      </c>
      <c r="G536" s="5" t="n">
        <v>20.5</v>
      </c>
      <c r="H536" s="5" t="n">
        <v>-8</v>
      </c>
      <c r="I536" s="5" t="inlineStr">
        <is>
          <t>PIT @ CLE</t>
        </is>
      </c>
    </row>
    <row r="537">
      <c r="A537" s="5" t="inlineStr">
        <is>
          <t>Raheim Sanders</t>
        </is>
      </c>
      <c r="B537" s="5" t="inlineStr">
        <is>
          <t>CLE</t>
        </is>
      </c>
      <c r="C537" s="5" t="inlineStr">
        <is>
          <t>Rush+Rec Yds</t>
        </is>
      </c>
      <c r="D537" s="5" t="n">
        <v>6.5</v>
      </c>
      <c r="E537" s="5" t="inlineStr">
        <is>
          <t>More</t>
        </is>
      </c>
      <c r="F537" s="48" t="n">
        <v>0.846</v>
      </c>
      <c r="G537" s="5" t="n">
        <v>20.5</v>
      </c>
      <c r="H537" s="5" t="n">
        <v>-7</v>
      </c>
      <c r="I537" s="5" t="inlineStr">
        <is>
          <t>PIT @ CLE</t>
        </is>
      </c>
    </row>
    <row r="538">
      <c r="A538" s="5" t="inlineStr">
        <is>
          <t>Raheim Sanders</t>
        </is>
      </c>
      <c r="B538" s="5" t="inlineStr">
        <is>
          <t>CLE</t>
        </is>
      </c>
      <c r="C538" s="5" t="inlineStr">
        <is>
          <t>Rush+Rec Yds</t>
        </is>
      </c>
      <c r="D538" s="5" t="n">
        <v>8.5</v>
      </c>
      <c r="E538" s="5" t="inlineStr">
        <is>
          <t>More</t>
        </is>
      </c>
      <c r="F538" s="48" t="n">
        <v>0.804</v>
      </c>
      <c r="G538" s="5" t="n">
        <v>20.5</v>
      </c>
      <c r="H538" s="5" t="n">
        <v>-6</v>
      </c>
      <c r="I538" s="5" t="inlineStr">
        <is>
          <t>PIT @ CLE</t>
        </is>
      </c>
    </row>
    <row r="539">
      <c r="A539" s="5" t="inlineStr">
        <is>
          <t>Raheim Sanders</t>
        </is>
      </c>
      <c r="B539" s="5" t="inlineStr">
        <is>
          <t>CLE</t>
        </is>
      </c>
      <c r="C539" s="5" t="inlineStr">
        <is>
          <t>Rush+Rec Yds</t>
        </is>
      </c>
      <c r="D539" s="5" t="n">
        <v>10.5</v>
      </c>
      <c r="E539" s="5" t="inlineStr">
        <is>
          <t>More</t>
        </is>
      </c>
      <c r="F539" s="48" t="n">
        <v>0.754</v>
      </c>
      <c r="G539" s="5" t="n">
        <v>20.5</v>
      </c>
      <c r="H539" s="5" t="n">
        <v>-5</v>
      </c>
      <c r="I539" s="5" t="inlineStr">
        <is>
          <t>PIT @ CLE</t>
        </is>
      </c>
    </row>
    <row r="540">
      <c r="A540" s="5" t="inlineStr">
        <is>
          <t>Raheim Sanders</t>
        </is>
      </c>
      <c r="B540" s="5" t="inlineStr">
        <is>
          <t>CLE</t>
        </is>
      </c>
      <c r="C540" s="5" t="inlineStr">
        <is>
          <t>Rush+Rec Yds</t>
        </is>
      </c>
      <c r="D540" s="5" t="n">
        <v>12.5</v>
      </c>
      <c r="E540" s="5" t="inlineStr">
        <is>
          <t>More</t>
        </is>
      </c>
      <c r="F540" s="48" t="n">
        <v>0.702</v>
      </c>
      <c r="G540" s="5" t="n">
        <v>20.5</v>
      </c>
      <c r="H540" s="5" t="n">
        <v>-4</v>
      </c>
      <c r="I540" s="5" t="inlineStr">
        <is>
          <t>PIT @ CLE</t>
        </is>
      </c>
    </row>
    <row r="541">
      <c r="A541" s="5" t="inlineStr">
        <is>
          <t>Raheim Sanders</t>
        </is>
      </c>
      <c r="B541" s="5" t="inlineStr">
        <is>
          <t>CLE</t>
        </is>
      </c>
      <c r="C541" s="5" t="inlineStr">
        <is>
          <t>Rush+Rec Yds</t>
        </is>
      </c>
      <c r="D541" s="5" t="n">
        <v>14.5</v>
      </c>
      <c r="E541" s="5" t="inlineStr">
        <is>
          <t>More</t>
        </is>
      </c>
      <c r="F541" s="48" t="n">
        <v>0.647</v>
      </c>
      <c r="G541" s="5" t="n">
        <v>20.5</v>
      </c>
      <c r="H541" s="5" t="n">
        <v>-3</v>
      </c>
      <c r="I541" s="5" t="inlineStr">
        <is>
          <t>PIT @ CLE</t>
        </is>
      </c>
    </row>
    <row r="542">
      <c r="A542" s="5" t="inlineStr">
        <is>
          <t>Raheim Sanders</t>
        </is>
      </c>
      <c r="B542" s="5" t="inlineStr">
        <is>
          <t>CLE</t>
        </is>
      </c>
      <c r="C542" s="5" t="inlineStr">
        <is>
          <t>Rush+Rec Yds</t>
        </is>
      </c>
      <c r="D542" s="5" t="n">
        <v>16.5</v>
      </c>
      <c r="E542" s="5" t="inlineStr">
        <is>
          <t>More</t>
        </is>
      </c>
      <c r="F542" s="48" t="n">
        <v>0.601</v>
      </c>
      <c r="G542" s="5" t="n">
        <v>20.5</v>
      </c>
      <c r="H542" s="5" t="n">
        <v>-2</v>
      </c>
      <c r="I542" s="5" t="inlineStr">
        <is>
          <t>PIT @ CLE</t>
        </is>
      </c>
    </row>
    <row r="543">
      <c r="A543" s="5" t="inlineStr">
        <is>
          <t>Raheim Sanders</t>
        </is>
      </c>
      <c r="B543" s="5" t="inlineStr">
        <is>
          <t>CLE</t>
        </is>
      </c>
      <c r="C543" s="5" t="inlineStr">
        <is>
          <t>Rush+Rec Yds</t>
        </is>
      </c>
      <c r="D543" s="5" t="n">
        <v>18.5</v>
      </c>
      <c r="E543" s="5" t="inlineStr">
        <is>
          <t>More</t>
        </is>
      </c>
      <c r="F543" s="48" t="n">
        <v>0.55</v>
      </c>
      <c r="G543" s="5" t="n">
        <v>20.5</v>
      </c>
      <c r="H543" s="5" t="n">
        <v>-1</v>
      </c>
      <c r="I543" s="5" t="inlineStr">
        <is>
          <t>PIT @ CLE</t>
        </is>
      </c>
    </row>
    <row r="544">
      <c r="A544" s="5" t="inlineStr">
        <is>
          <t>Raheim Sanders</t>
        </is>
      </c>
      <c r="B544" s="5" t="inlineStr">
        <is>
          <t>CLE</t>
        </is>
      </c>
      <c r="C544" s="5" t="inlineStr">
        <is>
          <t>Rush+Rec Yds</t>
        </is>
      </c>
      <c r="D544" s="5" t="n">
        <v>20.5</v>
      </c>
      <c r="E544" s="5" t="inlineStr">
        <is>
          <t>Less</t>
        </is>
      </c>
      <c r="F544" s="48" t="n">
        <v>0.502</v>
      </c>
      <c r="G544" s="5" t="n">
        <v>20.5</v>
      </c>
      <c r="H544" s="5" t="n">
        <v>0</v>
      </c>
      <c r="I544" s="5" t="inlineStr">
        <is>
          <t>PIT @ CLE</t>
        </is>
      </c>
    </row>
    <row r="545">
      <c r="A545" s="5" t="inlineStr">
        <is>
          <t>Raheim Sanders</t>
        </is>
      </c>
      <c r="B545" s="5" t="inlineStr">
        <is>
          <t>CLE</t>
        </is>
      </c>
      <c r="C545" s="5" t="inlineStr">
        <is>
          <t>Rush+Rec Yds</t>
        </is>
      </c>
      <c r="D545" s="5" t="n">
        <v>22.5</v>
      </c>
      <c r="E545" s="5" t="inlineStr">
        <is>
          <t>Less</t>
        </is>
      </c>
      <c r="F545" s="48" t="n">
        <v>0.55</v>
      </c>
      <c r="G545" s="5" t="n">
        <v>20.5</v>
      </c>
      <c r="H545" s="5" t="n">
        <v>1</v>
      </c>
      <c r="I545" s="5" t="inlineStr">
        <is>
          <t>PIT @ CLE</t>
        </is>
      </c>
    </row>
    <row r="546">
      <c r="A546" s="5" t="inlineStr">
        <is>
          <t>Raheim Sanders</t>
        </is>
      </c>
      <c r="B546" s="5" t="inlineStr">
        <is>
          <t>CLE</t>
        </is>
      </c>
      <c r="C546" s="5" t="inlineStr">
        <is>
          <t>Rush+Rec Yds</t>
        </is>
      </c>
      <c r="D546" s="5" t="n">
        <v>24.5</v>
      </c>
      <c r="E546" s="5" t="inlineStr">
        <is>
          <t>Less</t>
        </is>
      </c>
      <c r="F546" s="48" t="n">
        <v>0.588</v>
      </c>
      <c r="G546" s="5" t="n">
        <v>20.5</v>
      </c>
      <c r="H546" s="5" t="n">
        <v>2</v>
      </c>
      <c r="I546" s="5" t="inlineStr">
        <is>
          <t>PIT @ CLE</t>
        </is>
      </c>
    </row>
    <row r="547">
      <c r="A547" s="5" t="inlineStr">
        <is>
          <t>Raheim Sanders</t>
        </is>
      </c>
      <c r="B547" s="5" t="inlineStr">
        <is>
          <t>CLE</t>
        </is>
      </c>
      <c r="C547" s="5" t="inlineStr">
        <is>
          <t>Rush+Rec Yds</t>
        </is>
      </c>
      <c r="D547" s="5" t="n">
        <v>26.5</v>
      </c>
      <c r="E547" s="5" t="inlineStr">
        <is>
          <t>Less</t>
        </is>
      </c>
      <c r="F547" s="48" t="n">
        <v>0.624</v>
      </c>
      <c r="G547" s="5" t="n">
        <v>20.5</v>
      </c>
      <c r="H547" s="5" t="n">
        <v>3</v>
      </c>
      <c r="I547" s="5" t="inlineStr">
        <is>
          <t>PIT @ CLE</t>
        </is>
      </c>
    </row>
    <row r="548">
      <c r="A548" s="5" t="inlineStr">
        <is>
          <t>Raheim Sanders</t>
        </is>
      </c>
      <c r="B548" s="5" t="inlineStr">
        <is>
          <t>CLE</t>
        </is>
      </c>
      <c r="C548" s="5" t="inlineStr">
        <is>
          <t>Rush+Rec Yds</t>
        </is>
      </c>
      <c r="D548" s="5" t="n">
        <v>28.5</v>
      </c>
      <c r="E548" s="5" t="inlineStr">
        <is>
          <t>Less</t>
        </is>
      </c>
      <c r="F548" s="48" t="n">
        <v>0.663</v>
      </c>
      <c r="G548" s="5" t="n">
        <v>20.5</v>
      </c>
      <c r="H548" s="5" t="n">
        <v>4</v>
      </c>
      <c r="I548" s="5" t="inlineStr">
        <is>
          <t>PIT @ CLE</t>
        </is>
      </c>
    </row>
    <row r="549">
      <c r="A549" s="5" t="inlineStr">
        <is>
          <t>Raheim Sanders</t>
        </is>
      </c>
      <c r="B549" s="5" t="inlineStr">
        <is>
          <t>CLE</t>
        </is>
      </c>
      <c r="C549" s="5" t="inlineStr">
        <is>
          <t>Rush+Rec Yds</t>
        </is>
      </c>
      <c r="D549" s="5" t="n">
        <v>30.5</v>
      </c>
      <c r="E549" s="5" t="inlineStr">
        <is>
          <t>Less</t>
        </is>
      </c>
      <c r="F549" s="48" t="n">
        <v>0.694</v>
      </c>
      <c r="G549" s="5" t="n">
        <v>20.5</v>
      </c>
      <c r="H549" s="5" t="n">
        <v>5</v>
      </c>
      <c r="I549" s="5" t="inlineStr">
        <is>
          <t>PIT @ CLE</t>
        </is>
      </c>
    </row>
    <row r="550">
      <c r="A550" s="5" t="inlineStr">
        <is>
          <t>Raheim Sanders</t>
        </is>
      </c>
      <c r="B550" s="5" t="inlineStr">
        <is>
          <t>CLE</t>
        </is>
      </c>
      <c r="C550" s="5" t="inlineStr">
        <is>
          <t>Rush+Rec Yds</t>
        </is>
      </c>
      <c r="D550" s="5" t="n">
        <v>32.5</v>
      </c>
      <c r="E550" s="5" t="inlineStr">
        <is>
          <t>Less</t>
        </is>
      </c>
      <c r="F550" s="48" t="n">
        <v>0.725</v>
      </c>
      <c r="G550" s="5" t="n">
        <v>20.5</v>
      </c>
      <c r="H550" s="5" t="n">
        <v>6</v>
      </c>
      <c r="I550" s="5" t="inlineStr">
        <is>
          <t>PIT @ CLE</t>
        </is>
      </c>
    </row>
    <row r="551">
      <c r="A551" s="5" t="inlineStr">
        <is>
          <t>Raheim Sanders</t>
        </is>
      </c>
      <c r="B551" s="5" t="inlineStr">
        <is>
          <t>CLE</t>
        </is>
      </c>
      <c r="C551" s="5" t="inlineStr">
        <is>
          <t>Rush+Rec Yds</t>
        </is>
      </c>
      <c r="D551" s="5" t="n">
        <v>34.5</v>
      </c>
      <c r="E551" s="5" t="inlineStr">
        <is>
          <t>Less</t>
        </is>
      </c>
      <c r="F551" s="48" t="n">
        <v>0.753</v>
      </c>
      <c r="G551" s="5" t="n">
        <v>20.5</v>
      </c>
      <c r="H551" s="5" t="n">
        <v>7</v>
      </c>
      <c r="I551" s="5" t="inlineStr">
        <is>
          <t>PIT @ CLE</t>
        </is>
      </c>
    </row>
    <row r="552">
      <c r="A552" s="5" t="inlineStr">
        <is>
          <t>Raheim Sanders</t>
        </is>
      </c>
      <c r="B552" s="5" t="inlineStr">
        <is>
          <t>CLE</t>
        </is>
      </c>
      <c r="C552" s="5" t="inlineStr">
        <is>
          <t>Rush+Rec Yds</t>
        </is>
      </c>
      <c r="D552" s="5" t="n">
        <v>36.5</v>
      </c>
      <c r="E552" s="5" t="inlineStr">
        <is>
          <t>Less</t>
        </is>
      </c>
      <c r="F552" s="48" t="n">
        <v>0.777</v>
      </c>
      <c r="G552" s="5" t="n">
        <v>20.5</v>
      </c>
      <c r="H552" s="5" t="n">
        <v>8</v>
      </c>
      <c r="I552" s="5" t="inlineStr">
        <is>
          <t>PIT @ CLE</t>
        </is>
      </c>
    </row>
    <row r="553">
      <c r="A553" s="5" t="inlineStr">
        <is>
          <t>Raheim Sanders</t>
        </is>
      </c>
      <c r="B553" s="5" t="inlineStr">
        <is>
          <t>CLE</t>
        </is>
      </c>
      <c r="C553" s="5" t="inlineStr">
        <is>
          <t>Rush+Rec Yds</t>
        </is>
      </c>
      <c r="D553" s="5" t="n">
        <v>38.5</v>
      </c>
      <c r="E553" s="5" t="inlineStr">
        <is>
          <t>Less</t>
        </is>
      </c>
      <c r="F553" s="48" t="n">
        <v>0.8</v>
      </c>
      <c r="G553" s="5" t="n">
        <v>20.5</v>
      </c>
      <c r="H553" s="5" t="n">
        <v>9</v>
      </c>
      <c r="I553" s="5" t="inlineStr">
        <is>
          <t>PIT @ CLE</t>
        </is>
      </c>
    </row>
    <row r="554">
      <c r="A554" s="5" t="inlineStr">
        <is>
          <t>Raheim Sanders</t>
        </is>
      </c>
      <c r="B554" s="5" t="inlineStr">
        <is>
          <t>CLE</t>
        </is>
      </c>
      <c r="C554" s="5" t="inlineStr">
        <is>
          <t>Rush+Rec Yds</t>
        </is>
      </c>
      <c r="D554" s="5" t="n">
        <v>40.5</v>
      </c>
      <c r="E554" s="5" t="inlineStr">
        <is>
          <t>Less</t>
        </is>
      </c>
      <c r="F554" s="48" t="n">
        <v>0.821</v>
      </c>
      <c r="G554" s="5" t="n">
        <v>20.5</v>
      </c>
      <c r="H554" s="5" t="n">
        <v>10</v>
      </c>
      <c r="I554" s="5" t="inlineStr">
        <is>
          <t>PIT @ CLE</t>
        </is>
      </c>
    </row>
    <row r="555">
      <c r="A555" s="5" t="inlineStr">
        <is>
          <t>Robert Tonyan</t>
        </is>
      </c>
      <c r="B555" s="5" t="inlineStr">
        <is>
          <t>PIT</t>
        </is>
      </c>
      <c r="C555" s="5" t="inlineStr">
        <is>
          <t>Anytime TDs</t>
        </is>
      </c>
      <c r="D555" s="5" t="n">
        <v>0.5</v>
      </c>
      <c r="E555" s="5" t="inlineStr">
        <is>
          <t>Less</t>
        </is>
      </c>
      <c r="F555" s="48" t="n">
        <v>0.968</v>
      </c>
      <c r="G555" s="5" t="n">
        <v>0.5</v>
      </c>
      <c r="H555" s="5" t="n">
        <v>0</v>
      </c>
      <c r="I555" s="5" t="inlineStr">
        <is>
          <t>PIT @ CLE</t>
        </is>
      </c>
    </row>
    <row r="556">
      <c r="A556" s="5" t="inlineStr">
        <is>
          <t>Roman Wilson</t>
        </is>
      </c>
      <c r="B556" s="5" t="inlineStr">
        <is>
          <t>PIT</t>
        </is>
      </c>
      <c r="C556" s="5" t="inlineStr">
        <is>
          <t>Anytime TDs</t>
        </is>
      </c>
      <c r="D556" s="5" t="n">
        <v>0.5</v>
      </c>
      <c r="E556" s="5" t="inlineStr">
        <is>
          <t>Less</t>
        </is>
      </c>
      <c r="F556" s="48" t="n">
        <v>0.829</v>
      </c>
      <c r="G556" s="5" t="n">
        <v>0.5</v>
      </c>
      <c r="H556" s="5" t="n">
        <v>0</v>
      </c>
      <c r="I556" s="5" t="inlineStr">
        <is>
          <t>PIT @ CLE</t>
        </is>
      </c>
    </row>
    <row r="557">
      <c r="A557" s="5" t="inlineStr">
        <is>
          <t>Roman Wilson</t>
        </is>
      </c>
      <c r="B557" s="5" t="inlineStr">
        <is>
          <t>PIT</t>
        </is>
      </c>
      <c r="C557" s="5" t="inlineStr">
        <is>
          <t>Rec Yds</t>
        </is>
      </c>
      <c r="D557" s="5" t="n">
        <v>1.5</v>
      </c>
      <c r="E557" s="5" t="inlineStr">
        <is>
          <t>More</t>
        </is>
      </c>
      <c r="F557" s="48" t="n">
        <v>0.8169999999999999</v>
      </c>
      <c r="G557" s="5" t="n">
        <v>19.5</v>
      </c>
      <c r="H557" s="5" t="n">
        <v>-9</v>
      </c>
      <c r="I557" s="5" t="inlineStr">
        <is>
          <t>PIT @ CLE</t>
        </is>
      </c>
    </row>
    <row r="558">
      <c r="A558" s="5" t="inlineStr">
        <is>
          <t>Roman Wilson</t>
        </is>
      </c>
      <c r="B558" s="5" t="inlineStr">
        <is>
          <t>PIT</t>
        </is>
      </c>
      <c r="C558" s="5" t="inlineStr">
        <is>
          <t>Rec Yds</t>
        </is>
      </c>
      <c r="D558" s="5" t="n">
        <v>3.5</v>
      </c>
      <c r="E558" s="5" t="inlineStr">
        <is>
          <t>More</t>
        </is>
      </c>
      <c r="F558" s="48" t="n">
        <v>0.804</v>
      </c>
      <c r="G558" s="5" t="n">
        <v>19.5</v>
      </c>
      <c r="H558" s="5" t="n">
        <v>-8</v>
      </c>
      <c r="I558" s="5" t="inlineStr">
        <is>
          <t>PIT @ CLE</t>
        </is>
      </c>
    </row>
    <row r="559">
      <c r="A559" s="5" t="inlineStr">
        <is>
          <t>Roman Wilson</t>
        </is>
      </c>
      <c r="B559" s="5" t="inlineStr">
        <is>
          <t>PIT</t>
        </is>
      </c>
      <c r="C559" s="5" t="inlineStr">
        <is>
          <t>Rec Yds</t>
        </is>
      </c>
      <c r="D559" s="5" t="n">
        <v>5.5</v>
      </c>
      <c r="E559" s="5" t="inlineStr">
        <is>
          <t>More</t>
        </is>
      </c>
      <c r="F559" s="48" t="n">
        <v>0.782</v>
      </c>
      <c r="G559" s="5" t="n">
        <v>19.5</v>
      </c>
      <c r="H559" s="5" t="n">
        <v>-7</v>
      </c>
      <c r="I559" s="5" t="inlineStr">
        <is>
          <t>PIT @ CLE</t>
        </is>
      </c>
    </row>
    <row r="560">
      <c r="A560" s="5" t="inlineStr">
        <is>
          <t>Roman Wilson</t>
        </is>
      </c>
      <c r="B560" s="5" t="inlineStr">
        <is>
          <t>PIT</t>
        </is>
      </c>
      <c r="C560" s="5" t="inlineStr">
        <is>
          <t>Rec Yds</t>
        </is>
      </c>
      <c r="D560" s="5" t="n">
        <v>7.5</v>
      </c>
      <c r="E560" s="5" t="inlineStr">
        <is>
          <t>More</t>
        </is>
      </c>
      <c r="F560" s="48" t="n">
        <v>0.716</v>
      </c>
      <c r="G560" s="5" t="n">
        <v>19.5</v>
      </c>
      <c r="H560" s="5" t="n">
        <v>-6</v>
      </c>
      <c r="I560" s="5" t="inlineStr">
        <is>
          <t>PIT @ CLE</t>
        </is>
      </c>
    </row>
    <row r="561">
      <c r="A561" s="5" t="inlineStr">
        <is>
          <t>Roman Wilson</t>
        </is>
      </c>
      <c r="B561" s="5" t="inlineStr">
        <is>
          <t>PIT</t>
        </is>
      </c>
      <c r="C561" s="5" t="inlineStr">
        <is>
          <t>Rec Yds</t>
        </is>
      </c>
      <c r="D561" s="5" t="n">
        <v>9.5</v>
      </c>
      <c r="E561" s="5" t="inlineStr">
        <is>
          <t>More</t>
        </is>
      </c>
      <c r="F561" s="48" t="n">
        <v>0.677</v>
      </c>
      <c r="G561" s="5" t="n">
        <v>19.5</v>
      </c>
      <c r="H561" s="5" t="n">
        <v>-5</v>
      </c>
      <c r="I561" s="5" t="inlineStr">
        <is>
          <t>PIT @ CLE</t>
        </is>
      </c>
    </row>
    <row r="562">
      <c r="A562" s="5" t="inlineStr">
        <is>
          <t>Roman Wilson</t>
        </is>
      </c>
      <c r="B562" s="5" t="inlineStr">
        <is>
          <t>PIT</t>
        </is>
      </c>
      <c r="C562" s="5" t="inlineStr">
        <is>
          <t>Rec Yds</t>
        </is>
      </c>
      <c r="D562" s="5" t="n">
        <v>11.5</v>
      </c>
      <c r="E562" s="5" t="inlineStr">
        <is>
          <t>More</t>
        </is>
      </c>
      <c r="F562" s="48" t="n">
        <v>0.641</v>
      </c>
      <c r="G562" s="5" t="n">
        <v>19.5</v>
      </c>
      <c r="H562" s="5" t="n">
        <v>-4</v>
      </c>
      <c r="I562" s="5" t="inlineStr">
        <is>
          <t>PIT @ CLE</t>
        </is>
      </c>
    </row>
    <row r="563">
      <c r="A563" s="5" t="inlineStr">
        <is>
          <t>Roman Wilson</t>
        </is>
      </c>
      <c r="B563" s="5" t="inlineStr">
        <is>
          <t>PIT</t>
        </is>
      </c>
      <c r="C563" s="5" t="inlineStr">
        <is>
          <t>Rec Yds</t>
        </is>
      </c>
      <c r="D563" s="5" t="n">
        <v>13.5</v>
      </c>
      <c r="E563" s="5" t="inlineStr">
        <is>
          <t>More</t>
        </is>
      </c>
      <c r="F563" s="48" t="n">
        <v>0.605</v>
      </c>
      <c r="G563" s="5" t="n">
        <v>19.5</v>
      </c>
      <c r="H563" s="5" t="n">
        <v>-3</v>
      </c>
      <c r="I563" s="5" t="inlineStr">
        <is>
          <t>PIT @ CLE</t>
        </is>
      </c>
    </row>
    <row r="564">
      <c r="A564" s="5" t="inlineStr">
        <is>
          <t>Roman Wilson</t>
        </is>
      </c>
      <c r="B564" s="5" t="inlineStr">
        <is>
          <t>PIT</t>
        </is>
      </c>
      <c r="C564" s="5" t="inlineStr">
        <is>
          <t>Rec Yds</t>
        </is>
      </c>
      <c r="D564" s="5" t="n">
        <v>15.5</v>
      </c>
      <c r="E564" s="5" t="inlineStr">
        <is>
          <t>More</t>
        </is>
      </c>
      <c r="F564" s="48" t="n">
        <v>0.5669999999999999</v>
      </c>
      <c r="G564" s="5" t="n">
        <v>19.5</v>
      </c>
      <c r="H564" s="5" t="n">
        <v>-2</v>
      </c>
      <c r="I564" s="5" t="inlineStr">
        <is>
          <t>PIT @ CLE</t>
        </is>
      </c>
    </row>
    <row r="565">
      <c r="A565" s="5" t="inlineStr">
        <is>
          <t>Roman Wilson</t>
        </is>
      </c>
      <c r="B565" s="5" t="inlineStr">
        <is>
          <t>PIT</t>
        </is>
      </c>
      <c r="C565" s="5" t="inlineStr">
        <is>
          <t>Rec Yds</t>
        </is>
      </c>
      <c r="D565" s="5" t="n">
        <v>17.5</v>
      </c>
      <c r="E565" s="5" t="inlineStr">
        <is>
          <t>More</t>
        </is>
      </c>
      <c r="F565" s="48" t="n">
        <v>0.53</v>
      </c>
      <c r="G565" s="5" t="n">
        <v>19.5</v>
      </c>
      <c r="H565" s="5" t="n">
        <v>-1</v>
      </c>
      <c r="I565" s="5" t="inlineStr">
        <is>
          <t>PIT @ CLE</t>
        </is>
      </c>
    </row>
    <row r="566">
      <c r="A566" s="5" t="inlineStr">
        <is>
          <t>Roman Wilson</t>
        </is>
      </c>
      <c r="B566" s="5" t="inlineStr">
        <is>
          <t>PIT</t>
        </is>
      </c>
      <c r="C566" s="5" t="inlineStr">
        <is>
          <t>Rec Yds</t>
        </is>
      </c>
      <c r="D566" s="5" t="n">
        <v>19.5</v>
      </c>
      <c r="E566" s="5" t="inlineStr">
        <is>
          <t>More</t>
        </is>
      </c>
      <c r="F566" s="48" t="n">
        <v>0.501</v>
      </c>
      <c r="G566" s="5" t="n">
        <v>19.5</v>
      </c>
      <c r="H566" s="5" t="n">
        <v>0</v>
      </c>
      <c r="I566" s="5" t="inlineStr">
        <is>
          <t>PIT @ CLE</t>
        </is>
      </c>
    </row>
    <row r="567">
      <c r="A567" s="5" t="inlineStr">
        <is>
          <t>Roman Wilson</t>
        </is>
      </c>
      <c r="B567" s="5" t="inlineStr">
        <is>
          <t>PIT</t>
        </is>
      </c>
      <c r="C567" s="5" t="inlineStr">
        <is>
          <t>Rec Yds</t>
        </is>
      </c>
      <c r="D567" s="5" t="n">
        <v>21.5</v>
      </c>
      <c r="E567" s="5" t="inlineStr">
        <is>
          <t>Less</t>
        </is>
      </c>
      <c r="F567" s="48" t="n">
        <v>0.546</v>
      </c>
      <c r="G567" s="5" t="n">
        <v>19.5</v>
      </c>
      <c r="H567" s="5" t="n">
        <v>1</v>
      </c>
      <c r="I567" s="5" t="inlineStr">
        <is>
          <t>PIT @ CLE</t>
        </is>
      </c>
    </row>
    <row r="568">
      <c r="A568" s="5" t="inlineStr">
        <is>
          <t>Roman Wilson</t>
        </is>
      </c>
      <c r="B568" s="5" t="inlineStr">
        <is>
          <t>PIT</t>
        </is>
      </c>
      <c r="C568" s="5" t="inlineStr">
        <is>
          <t>Rec Yds</t>
        </is>
      </c>
      <c r="D568" s="5" t="n">
        <v>23.5</v>
      </c>
      <c r="E568" s="5" t="inlineStr">
        <is>
          <t>Less</t>
        </is>
      </c>
      <c r="F568" s="48" t="n">
        <v>0.579</v>
      </c>
      <c r="G568" s="5" t="n">
        <v>19.5</v>
      </c>
      <c r="H568" s="5" t="n">
        <v>2</v>
      </c>
      <c r="I568" s="5" t="inlineStr">
        <is>
          <t>PIT @ CLE</t>
        </is>
      </c>
    </row>
    <row r="569">
      <c r="A569" s="5" t="inlineStr">
        <is>
          <t>Roman Wilson</t>
        </is>
      </c>
      <c r="B569" s="5" t="inlineStr">
        <is>
          <t>PIT</t>
        </is>
      </c>
      <c r="C569" s="5" t="inlineStr">
        <is>
          <t>Rec Yds</t>
        </is>
      </c>
      <c r="D569" s="5" t="n">
        <v>25.5</v>
      </c>
      <c r="E569" s="5" t="inlineStr">
        <is>
          <t>Less</t>
        </is>
      </c>
      <c r="F569" s="48" t="n">
        <v>0.609</v>
      </c>
      <c r="G569" s="5" t="n">
        <v>19.5</v>
      </c>
      <c r="H569" s="5" t="n">
        <v>3</v>
      </c>
      <c r="I569" s="5" t="inlineStr">
        <is>
          <t>PIT @ CLE</t>
        </is>
      </c>
    </row>
    <row r="570">
      <c r="A570" s="5" t="inlineStr">
        <is>
          <t>Roman Wilson</t>
        </is>
      </c>
      <c r="B570" s="5" t="inlineStr">
        <is>
          <t>PIT</t>
        </is>
      </c>
      <c r="C570" s="5" t="inlineStr">
        <is>
          <t>Rec Yds</t>
        </is>
      </c>
      <c r="D570" s="5" t="n">
        <v>27.5</v>
      </c>
      <c r="E570" s="5" t="inlineStr">
        <is>
          <t>Less</t>
        </is>
      </c>
      <c r="F570" s="48" t="n">
        <v>0.636</v>
      </c>
      <c r="G570" s="5" t="n">
        <v>19.5</v>
      </c>
      <c r="H570" s="5" t="n">
        <v>4</v>
      </c>
      <c r="I570" s="5" t="inlineStr">
        <is>
          <t>PIT @ CLE</t>
        </is>
      </c>
    </row>
    <row r="571">
      <c r="A571" s="5" t="inlineStr">
        <is>
          <t>Roman Wilson</t>
        </is>
      </c>
      <c r="B571" s="5" t="inlineStr">
        <is>
          <t>PIT</t>
        </is>
      </c>
      <c r="C571" s="5" t="inlineStr">
        <is>
          <t>Rec Yds</t>
        </is>
      </c>
      <c r="D571" s="5" t="n">
        <v>29.5</v>
      </c>
      <c r="E571" s="5" t="inlineStr">
        <is>
          <t>Less</t>
        </is>
      </c>
      <c r="F571" s="48" t="n">
        <v>0.664</v>
      </c>
      <c r="G571" s="5" t="n">
        <v>19.5</v>
      </c>
      <c r="H571" s="5" t="n">
        <v>5</v>
      </c>
      <c r="I571" s="5" t="inlineStr">
        <is>
          <t>PIT @ CLE</t>
        </is>
      </c>
    </row>
    <row r="572">
      <c r="A572" s="5" t="inlineStr">
        <is>
          <t>Roman Wilson</t>
        </is>
      </c>
      <c r="B572" s="5" t="inlineStr">
        <is>
          <t>PIT</t>
        </is>
      </c>
      <c r="C572" s="5" t="inlineStr">
        <is>
          <t>Rec Yds</t>
        </is>
      </c>
      <c r="D572" s="5" t="n">
        <v>31.5</v>
      </c>
      <c r="E572" s="5" t="inlineStr">
        <is>
          <t>Less</t>
        </is>
      </c>
      <c r="F572" s="48" t="n">
        <v>0.6879999999999999</v>
      </c>
      <c r="G572" s="5" t="n">
        <v>19.5</v>
      </c>
      <c r="H572" s="5" t="n">
        <v>6</v>
      </c>
      <c r="I572" s="5" t="inlineStr">
        <is>
          <t>PIT @ CLE</t>
        </is>
      </c>
    </row>
    <row r="573">
      <c r="A573" s="5" t="inlineStr">
        <is>
          <t>Roman Wilson</t>
        </is>
      </c>
      <c r="B573" s="5" t="inlineStr">
        <is>
          <t>PIT</t>
        </is>
      </c>
      <c r="C573" s="5" t="inlineStr">
        <is>
          <t>Rec Yds</t>
        </is>
      </c>
      <c r="D573" s="5" t="n">
        <v>33.5</v>
      </c>
      <c r="E573" s="5" t="inlineStr">
        <is>
          <t>Less</t>
        </is>
      </c>
      <c r="F573" s="48" t="n">
        <v>0.716</v>
      </c>
      <c r="G573" s="5" t="n">
        <v>19.5</v>
      </c>
      <c r="H573" s="5" t="n">
        <v>7</v>
      </c>
      <c r="I573" s="5" t="inlineStr">
        <is>
          <t>PIT @ CLE</t>
        </is>
      </c>
    </row>
    <row r="574">
      <c r="A574" s="5" t="inlineStr">
        <is>
          <t>Roman Wilson</t>
        </is>
      </c>
      <c r="B574" s="5" t="inlineStr">
        <is>
          <t>PIT</t>
        </is>
      </c>
      <c r="C574" s="5" t="inlineStr">
        <is>
          <t>Rec Yds</t>
        </is>
      </c>
      <c r="D574" s="5" t="n">
        <v>35.5</v>
      </c>
      <c r="E574" s="5" t="inlineStr">
        <is>
          <t>Less</t>
        </is>
      </c>
      <c r="F574" s="48" t="n">
        <v>0.733</v>
      </c>
      <c r="G574" s="5" t="n">
        <v>19.5</v>
      </c>
      <c r="H574" s="5" t="n">
        <v>8</v>
      </c>
      <c r="I574" s="5" t="inlineStr">
        <is>
          <t>PIT @ CLE</t>
        </is>
      </c>
    </row>
    <row r="575">
      <c r="A575" s="5" t="inlineStr">
        <is>
          <t>Roman Wilson</t>
        </is>
      </c>
      <c r="B575" s="5" t="inlineStr">
        <is>
          <t>PIT</t>
        </is>
      </c>
      <c r="C575" s="5" t="inlineStr">
        <is>
          <t>Rec Yds</t>
        </is>
      </c>
      <c r="D575" s="5" t="n">
        <v>37.5</v>
      </c>
      <c r="E575" s="5" t="inlineStr">
        <is>
          <t>Less</t>
        </is>
      </c>
      <c r="F575" s="48" t="n">
        <v>0.753</v>
      </c>
      <c r="G575" s="5" t="n">
        <v>19.5</v>
      </c>
      <c r="H575" s="5" t="n">
        <v>9</v>
      </c>
      <c r="I575" s="5" t="inlineStr">
        <is>
          <t>PIT @ CLE</t>
        </is>
      </c>
    </row>
    <row r="576">
      <c r="A576" s="5" t="inlineStr">
        <is>
          <t>Roman Wilson</t>
        </is>
      </c>
      <c r="B576" s="5" t="inlineStr">
        <is>
          <t>PIT</t>
        </is>
      </c>
      <c r="C576" s="5" t="inlineStr">
        <is>
          <t>Rec Yds</t>
        </is>
      </c>
      <c r="D576" s="5" t="n">
        <v>39.5</v>
      </c>
      <c r="E576" s="5" t="inlineStr">
        <is>
          <t>Less</t>
        </is>
      </c>
      <c r="F576" s="48" t="n">
        <v>0.771</v>
      </c>
      <c r="G576" s="5" t="n">
        <v>19.5</v>
      </c>
      <c r="H576" s="5" t="n">
        <v>10</v>
      </c>
      <c r="I576" s="5" t="inlineStr">
        <is>
          <t>PIT @ CLE</t>
        </is>
      </c>
    </row>
    <row r="577">
      <c r="A577" s="5" t="inlineStr">
        <is>
          <t>Roman Wilson</t>
        </is>
      </c>
      <c r="B577" s="5" t="inlineStr">
        <is>
          <t>PIT</t>
        </is>
      </c>
      <c r="C577" s="5" t="inlineStr">
        <is>
          <t>Receptions</t>
        </is>
      </c>
      <c r="D577" s="5" t="n">
        <v>0.5</v>
      </c>
      <c r="E577" s="5" t="inlineStr">
        <is>
          <t>More</t>
        </is>
      </c>
      <c r="F577" s="48" t="n">
        <v>0.841</v>
      </c>
      <c r="G577" s="5" t="n">
        <v>2.5</v>
      </c>
      <c r="H577" s="5" t="n">
        <v>-2</v>
      </c>
      <c r="I577" s="5" t="inlineStr">
        <is>
          <t>PIT @ CLE</t>
        </is>
      </c>
    </row>
    <row r="578">
      <c r="A578" s="5" t="inlineStr">
        <is>
          <t>Roman Wilson</t>
        </is>
      </c>
      <c r="B578" s="5" t="inlineStr">
        <is>
          <t>PIT</t>
        </is>
      </c>
      <c r="C578" s="5" t="inlineStr">
        <is>
          <t>Receptions</t>
        </is>
      </c>
      <c r="D578" s="5" t="n">
        <v>1.5</v>
      </c>
      <c r="E578" s="5" t="inlineStr">
        <is>
          <t>More</t>
        </is>
      </c>
      <c r="F578" s="48" t="n">
        <v>0.599</v>
      </c>
      <c r="G578" s="5" t="n">
        <v>2.5</v>
      </c>
      <c r="H578" s="5" t="n">
        <v>-1</v>
      </c>
      <c r="I578" s="5" t="inlineStr">
        <is>
          <t>PIT @ CLE</t>
        </is>
      </c>
    </row>
    <row r="579">
      <c r="A579" s="5" t="inlineStr">
        <is>
          <t>Roman Wilson</t>
        </is>
      </c>
      <c r="B579" s="5" t="inlineStr">
        <is>
          <t>PIT</t>
        </is>
      </c>
      <c r="C579" s="5" t="inlineStr">
        <is>
          <t>Receptions</t>
        </is>
      </c>
      <c r="D579" s="5" t="n">
        <v>2.5</v>
      </c>
      <c r="E579" s="5" t="inlineStr">
        <is>
          <t>Less</t>
        </is>
      </c>
      <c r="F579" s="48" t="n">
        <v>0.61</v>
      </c>
      <c r="G579" s="5" t="n">
        <v>2.5</v>
      </c>
      <c r="H579" s="5" t="n">
        <v>0</v>
      </c>
      <c r="I579" s="5" t="inlineStr">
        <is>
          <t>PIT @ CLE</t>
        </is>
      </c>
    </row>
    <row r="580">
      <c r="A580" s="5" t="inlineStr">
        <is>
          <t>Roman Wilson</t>
        </is>
      </c>
      <c r="B580" s="5" t="inlineStr">
        <is>
          <t>PIT</t>
        </is>
      </c>
      <c r="C580" s="5" t="inlineStr">
        <is>
          <t>Receptions</t>
        </is>
      </c>
      <c r="D580" s="5" t="n">
        <v>3.5</v>
      </c>
      <c r="E580" s="5" t="inlineStr">
        <is>
          <t>Less</t>
        </is>
      </c>
      <c r="F580" s="48" t="n">
        <v>0.783</v>
      </c>
      <c r="G580" s="5" t="n">
        <v>2.5</v>
      </c>
      <c r="H580" s="5" t="n">
        <v>1</v>
      </c>
      <c r="I580" s="5" t="inlineStr">
        <is>
          <t>PIT @ CLE</t>
        </is>
      </c>
    </row>
    <row r="581">
      <c r="A581" s="5" t="inlineStr">
        <is>
          <t>Roman Wilson</t>
        </is>
      </c>
      <c r="B581" s="5" t="inlineStr">
        <is>
          <t>PIT</t>
        </is>
      </c>
      <c r="C581" s="5" t="inlineStr">
        <is>
          <t>Receptions</t>
        </is>
      </c>
      <c r="D581" s="5" t="n">
        <v>4.5</v>
      </c>
      <c r="E581" s="5" t="inlineStr">
        <is>
          <t>Less</t>
        </is>
      </c>
      <c r="F581" s="48" t="n">
        <v>0.888</v>
      </c>
      <c r="G581" s="5" t="n">
        <v>2.5</v>
      </c>
      <c r="H581" s="5" t="n">
        <v>2</v>
      </c>
      <c r="I581" s="5" t="inlineStr">
        <is>
          <t>PIT @ CLE</t>
        </is>
      </c>
    </row>
    <row r="582">
      <c r="A582" s="5" t="inlineStr">
        <is>
          <t>Roman Wilson</t>
        </is>
      </c>
      <c r="B582" s="5" t="inlineStr">
        <is>
          <t>PIT</t>
        </is>
      </c>
      <c r="C582" s="5" t="inlineStr">
        <is>
          <t>Receptions</t>
        </is>
      </c>
      <c r="D582" s="5" t="n">
        <v>5.5</v>
      </c>
      <c r="E582" s="5" t="inlineStr">
        <is>
          <t>Less</t>
        </is>
      </c>
      <c r="F582" s="48" t="n">
        <v>0.948</v>
      </c>
      <c r="G582" s="5" t="n">
        <v>2.5</v>
      </c>
      <c r="H582" s="5" t="n">
        <v>3</v>
      </c>
      <c r="I582" s="5" t="inlineStr">
        <is>
          <t>PIT @ CLE</t>
        </is>
      </c>
    </row>
    <row r="583">
      <c r="A583" s="5" t="inlineStr">
        <is>
          <t>Roman Wilson</t>
        </is>
      </c>
      <c r="B583" s="5" t="inlineStr">
        <is>
          <t>PIT</t>
        </is>
      </c>
      <c r="C583" s="5" t="inlineStr">
        <is>
          <t>Rush+Rec Yds</t>
        </is>
      </c>
      <c r="D583" s="5" t="n">
        <v>2.5</v>
      </c>
      <c r="E583" s="5" t="inlineStr">
        <is>
          <t>More</t>
        </is>
      </c>
      <c r="F583" s="48" t="n">
        <v>0.903</v>
      </c>
      <c r="G583" s="5" t="n">
        <v>22.5</v>
      </c>
      <c r="H583" s="5" t="n">
        <v>-10</v>
      </c>
      <c r="I583" s="5" t="inlineStr">
        <is>
          <t>PIT @ CLE</t>
        </is>
      </c>
    </row>
    <row r="584">
      <c r="A584" s="5" t="inlineStr">
        <is>
          <t>Roman Wilson</t>
        </is>
      </c>
      <c r="B584" s="5" t="inlineStr">
        <is>
          <t>PIT</t>
        </is>
      </c>
      <c r="C584" s="5" t="inlineStr">
        <is>
          <t>Rush+Rec Yds</t>
        </is>
      </c>
      <c r="D584" s="5" t="n">
        <v>4.5</v>
      </c>
      <c r="E584" s="5" t="inlineStr">
        <is>
          <t>More</t>
        </is>
      </c>
      <c r="F584" s="48" t="n">
        <v>0.866</v>
      </c>
      <c r="G584" s="5" t="n">
        <v>22.5</v>
      </c>
      <c r="H584" s="5" t="n">
        <v>-9</v>
      </c>
      <c r="I584" s="5" t="inlineStr">
        <is>
          <t>PIT @ CLE</t>
        </is>
      </c>
    </row>
    <row r="585">
      <c r="A585" s="5" t="inlineStr">
        <is>
          <t>Roman Wilson</t>
        </is>
      </c>
      <c r="B585" s="5" t="inlineStr">
        <is>
          <t>PIT</t>
        </is>
      </c>
      <c r="C585" s="5" t="inlineStr">
        <is>
          <t>Rush+Rec Yds</t>
        </is>
      </c>
      <c r="D585" s="5" t="n">
        <v>6.5</v>
      </c>
      <c r="E585" s="5" t="inlineStr">
        <is>
          <t>More</t>
        </is>
      </c>
      <c r="F585" s="48" t="n">
        <v>0.825</v>
      </c>
      <c r="G585" s="5" t="n">
        <v>22.5</v>
      </c>
      <c r="H585" s="5" t="n">
        <v>-8</v>
      </c>
      <c r="I585" s="5" t="inlineStr">
        <is>
          <t>PIT @ CLE</t>
        </is>
      </c>
    </row>
    <row r="586">
      <c r="A586" s="5" t="inlineStr">
        <is>
          <t>Roman Wilson</t>
        </is>
      </c>
      <c r="B586" s="5" t="inlineStr">
        <is>
          <t>PIT</t>
        </is>
      </c>
      <c r="C586" s="5" t="inlineStr">
        <is>
          <t>Rush+Rec Yds</t>
        </is>
      </c>
      <c r="D586" s="5" t="n">
        <v>8.5</v>
      </c>
      <c r="E586" s="5" t="inlineStr">
        <is>
          <t>More</t>
        </is>
      </c>
      <c r="F586" s="48" t="n">
        <v>0.79</v>
      </c>
      <c r="G586" s="5" t="n">
        <v>22.5</v>
      </c>
      <c r="H586" s="5" t="n">
        <v>-7</v>
      </c>
      <c r="I586" s="5" t="inlineStr">
        <is>
          <t>PIT @ CLE</t>
        </is>
      </c>
    </row>
    <row r="587">
      <c r="A587" s="5" t="inlineStr">
        <is>
          <t>Roman Wilson</t>
        </is>
      </c>
      <c r="B587" s="5" t="inlineStr">
        <is>
          <t>PIT</t>
        </is>
      </c>
      <c r="C587" s="5" t="inlineStr">
        <is>
          <t>Rush+Rec Yds</t>
        </is>
      </c>
      <c r="D587" s="5" t="n">
        <v>10.5</v>
      </c>
      <c r="E587" s="5" t="inlineStr">
        <is>
          <t>More</t>
        </is>
      </c>
      <c r="F587" s="48" t="n">
        <v>0.736</v>
      </c>
      <c r="G587" s="5" t="n">
        <v>22.5</v>
      </c>
      <c r="H587" s="5" t="n">
        <v>-6</v>
      </c>
      <c r="I587" s="5" t="inlineStr">
        <is>
          <t>PIT @ CLE</t>
        </is>
      </c>
    </row>
    <row r="588">
      <c r="A588" s="5" t="inlineStr">
        <is>
          <t>Roman Wilson</t>
        </is>
      </c>
      <c r="B588" s="5" t="inlineStr">
        <is>
          <t>PIT</t>
        </is>
      </c>
      <c r="C588" s="5" t="inlineStr">
        <is>
          <t>Rush+Rec Yds</t>
        </is>
      </c>
      <c r="D588" s="5" t="n">
        <v>12.5</v>
      </c>
      <c r="E588" s="5" t="inlineStr">
        <is>
          <t>More</t>
        </is>
      </c>
      <c r="F588" s="48" t="n">
        <v>0.699</v>
      </c>
      <c r="G588" s="5" t="n">
        <v>22.5</v>
      </c>
      <c r="H588" s="5" t="n">
        <v>-5</v>
      </c>
      <c r="I588" s="5" t="inlineStr">
        <is>
          <t>PIT @ CLE</t>
        </is>
      </c>
    </row>
    <row r="589">
      <c r="A589" s="5" t="inlineStr">
        <is>
          <t>Roman Wilson</t>
        </is>
      </c>
      <c r="B589" s="5" t="inlineStr">
        <is>
          <t>PIT</t>
        </is>
      </c>
      <c r="C589" s="5" t="inlineStr">
        <is>
          <t>Rush+Rec Yds</t>
        </is>
      </c>
      <c r="D589" s="5" t="n">
        <v>14.5</v>
      </c>
      <c r="E589" s="5" t="inlineStr">
        <is>
          <t>More</t>
        </is>
      </c>
      <c r="F589" s="48" t="n">
        <v>0.644</v>
      </c>
      <c r="G589" s="5" t="n">
        <v>22.5</v>
      </c>
      <c r="H589" s="5" t="n">
        <v>-4</v>
      </c>
      <c r="I589" s="5" t="inlineStr">
        <is>
          <t>PIT @ CLE</t>
        </is>
      </c>
    </row>
    <row r="590">
      <c r="A590" s="5" t="inlineStr">
        <is>
          <t>Roman Wilson</t>
        </is>
      </c>
      <c r="B590" s="5" t="inlineStr">
        <is>
          <t>PIT</t>
        </is>
      </c>
      <c r="C590" s="5" t="inlineStr">
        <is>
          <t>Rush+Rec Yds</t>
        </is>
      </c>
      <c r="D590" s="5" t="n">
        <v>16.5</v>
      </c>
      <c r="E590" s="5" t="inlineStr">
        <is>
          <t>More</t>
        </is>
      </c>
      <c r="F590" s="48" t="n">
        <v>0.612</v>
      </c>
      <c r="G590" s="5" t="n">
        <v>22.5</v>
      </c>
      <c r="H590" s="5" t="n">
        <v>-3</v>
      </c>
      <c r="I590" s="5" t="inlineStr">
        <is>
          <t>PIT @ CLE</t>
        </is>
      </c>
    </row>
    <row r="591">
      <c r="A591" s="5" t="inlineStr">
        <is>
          <t>Roman Wilson</t>
        </is>
      </c>
      <c r="B591" s="5" t="inlineStr">
        <is>
          <t>PIT</t>
        </is>
      </c>
      <c r="C591" s="5" t="inlineStr">
        <is>
          <t>Rush+Rec Yds</t>
        </is>
      </c>
      <c r="D591" s="5" t="n">
        <v>18.5</v>
      </c>
      <c r="E591" s="5" t="inlineStr">
        <is>
          <t>More</t>
        </is>
      </c>
      <c r="F591" s="48" t="n">
        <v>0.5679999999999999</v>
      </c>
      <c r="G591" s="5" t="n">
        <v>22.5</v>
      </c>
      <c r="H591" s="5" t="n">
        <v>-2</v>
      </c>
      <c r="I591" s="5" t="inlineStr">
        <is>
          <t>PIT @ CLE</t>
        </is>
      </c>
    </row>
    <row r="592">
      <c r="A592" s="5" t="inlineStr">
        <is>
          <t>Roman Wilson</t>
        </is>
      </c>
      <c r="B592" s="5" t="inlineStr">
        <is>
          <t>PIT</t>
        </is>
      </c>
      <c r="C592" s="5" t="inlineStr">
        <is>
          <t>Rush+Rec Yds</t>
        </is>
      </c>
      <c r="D592" s="5" t="n">
        <v>20.5</v>
      </c>
      <c r="E592" s="5" t="inlineStr">
        <is>
          <t>More</t>
        </is>
      </c>
      <c r="F592" s="48" t="n">
        <v>0.533</v>
      </c>
      <c r="G592" s="5" t="n">
        <v>22.5</v>
      </c>
      <c r="H592" s="5" t="n">
        <v>-1</v>
      </c>
      <c r="I592" s="5" t="inlineStr">
        <is>
          <t>PIT @ CLE</t>
        </is>
      </c>
    </row>
    <row r="593">
      <c r="A593" s="5" t="inlineStr">
        <is>
          <t>Roman Wilson</t>
        </is>
      </c>
      <c r="B593" s="5" t="inlineStr">
        <is>
          <t>PIT</t>
        </is>
      </c>
      <c r="C593" s="5" t="inlineStr">
        <is>
          <t>Rush+Rec Yds</t>
        </is>
      </c>
      <c r="D593" s="5" t="n">
        <v>22.5</v>
      </c>
      <c r="E593" s="5" t="inlineStr">
        <is>
          <t>Less</t>
        </is>
      </c>
      <c r="F593" s="48" t="n">
        <v>0.505</v>
      </c>
      <c r="G593" s="5" t="n">
        <v>22.5</v>
      </c>
      <c r="H593" s="5" t="n">
        <v>0</v>
      </c>
      <c r="I593" s="5" t="inlineStr">
        <is>
          <t>PIT @ CLE</t>
        </is>
      </c>
    </row>
    <row r="594">
      <c r="A594" s="5" t="inlineStr">
        <is>
          <t>Roman Wilson</t>
        </is>
      </c>
      <c r="B594" s="5" t="inlineStr">
        <is>
          <t>PIT</t>
        </is>
      </c>
      <c r="C594" s="5" t="inlineStr">
        <is>
          <t>Rush+Rec Yds</t>
        </is>
      </c>
      <c r="D594" s="5" t="n">
        <v>24.5</v>
      </c>
      <c r="E594" s="5" t="inlineStr">
        <is>
          <t>Less</t>
        </is>
      </c>
      <c r="F594" s="48" t="n">
        <v>0.543</v>
      </c>
      <c r="G594" s="5" t="n">
        <v>22.5</v>
      </c>
      <c r="H594" s="5" t="n">
        <v>1</v>
      </c>
      <c r="I594" s="5" t="inlineStr">
        <is>
          <t>PIT @ CLE</t>
        </is>
      </c>
    </row>
    <row r="595">
      <c r="A595" s="5" t="inlineStr">
        <is>
          <t>Roman Wilson</t>
        </is>
      </c>
      <c r="B595" s="5" t="inlineStr">
        <is>
          <t>PIT</t>
        </is>
      </c>
      <c r="C595" s="5" t="inlineStr">
        <is>
          <t>Rush+Rec Yds</t>
        </is>
      </c>
      <c r="D595" s="5" t="n">
        <v>26.5</v>
      </c>
      <c r="E595" s="5" t="inlineStr">
        <is>
          <t>Less</t>
        </is>
      </c>
      <c r="F595" s="48" t="n">
        <v>0.571</v>
      </c>
      <c r="G595" s="5" t="n">
        <v>22.5</v>
      </c>
      <c r="H595" s="5" t="n">
        <v>2</v>
      </c>
      <c r="I595" s="5" t="inlineStr">
        <is>
          <t>PIT @ CLE</t>
        </is>
      </c>
    </row>
    <row r="596">
      <c r="A596" s="5" t="inlineStr">
        <is>
          <t>Roman Wilson</t>
        </is>
      </c>
      <c r="B596" s="5" t="inlineStr">
        <is>
          <t>PIT</t>
        </is>
      </c>
      <c r="C596" s="5" t="inlineStr">
        <is>
          <t>Rush+Rec Yds</t>
        </is>
      </c>
      <c r="D596" s="5" t="n">
        <v>28.5</v>
      </c>
      <c r="E596" s="5" t="inlineStr">
        <is>
          <t>Less</t>
        </is>
      </c>
      <c r="F596" s="48" t="n">
        <v>0.61</v>
      </c>
      <c r="G596" s="5" t="n">
        <v>22.5</v>
      </c>
      <c r="H596" s="5" t="n">
        <v>3</v>
      </c>
      <c r="I596" s="5" t="inlineStr">
        <is>
          <t>PIT @ CLE</t>
        </is>
      </c>
    </row>
    <row r="597">
      <c r="A597" s="5" t="inlineStr">
        <is>
          <t>Roman Wilson</t>
        </is>
      </c>
      <c r="B597" s="5" t="inlineStr">
        <is>
          <t>PIT</t>
        </is>
      </c>
      <c r="C597" s="5" t="inlineStr">
        <is>
          <t>Rush+Rec Yds</t>
        </is>
      </c>
      <c r="D597" s="5" t="n">
        <v>30.5</v>
      </c>
      <c r="E597" s="5" t="inlineStr">
        <is>
          <t>Less</t>
        </is>
      </c>
      <c r="F597" s="48" t="n">
        <v>0.635</v>
      </c>
      <c r="G597" s="5" t="n">
        <v>22.5</v>
      </c>
      <c r="H597" s="5" t="n">
        <v>4</v>
      </c>
      <c r="I597" s="5" t="inlineStr">
        <is>
          <t>PIT @ CLE</t>
        </is>
      </c>
    </row>
    <row r="598">
      <c r="A598" s="5" t="inlineStr">
        <is>
          <t>Roman Wilson</t>
        </is>
      </c>
      <c r="B598" s="5" t="inlineStr">
        <is>
          <t>PIT</t>
        </is>
      </c>
      <c r="C598" s="5" t="inlineStr">
        <is>
          <t>Rush+Rec Yds</t>
        </is>
      </c>
      <c r="D598" s="5" t="n">
        <v>32.5</v>
      </c>
      <c r="E598" s="5" t="inlineStr">
        <is>
          <t>Less</t>
        </is>
      </c>
      <c r="F598" s="48" t="n">
        <v>0.665</v>
      </c>
      <c r="G598" s="5" t="n">
        <v>22.5</v>
      </c>
      <c r="H598" s="5" t="n">
        <v>5</v>
      </c>
      <c r="I598" s="5" t="inlineStr">
        <is>
          <t>PIT @ CLE</t>
        </is>
      </c>
    </row>
    <row r="599">
      <c r="A599" s="5" t="inlineStr">
        <is>
          <t>Roman Wilson</t>
        </is>
      </c>
      <c r="B599" s="5" t="inlineStr">
        <is>
          <t>PIT</t>
        </is>
      </c>
      <c r="C599" s="5" t="inlineStr">
        <is>
          <t>Rush+Rec Yds</t>
        </is>
      </c>
      <c r="D599" s="5" t="n">
        <v>34.5</v>
      </c>
      <c r="E599" s="5" t="inlineStr">
        <is>
          <t>Less</t>
        </is>
      </c>
      <c r="F599" s="48" t="n">
        <v>0.6850000000000001</v>
      </c>
      <c r="G599" s="5" t="n">
        <v>22.5</v>
      </c>
      <c r="H599" s="5" t="n">
        <v>6</v>
      </c>
      <c r="I599" s="5" t="inlineStr">
        <is>
          <t>PIT @ CLE</t>
        </is>
      </c>
    </row>
    <row r="600">
      <c r="A600" s="5" t="inlineStr">
        <is>
          <t>Roman Wilson</t>
        </is>
      </c>
      <c r="B600" s="5" t="inlineStr">
        <is>
          <t>PIT</t>
        </is>
      </c>
      <c r="C600" s="5" t="inlineStr">
        <is>
          <t>Rush+Rec Yds</t>
        </is>
      </c>
      <c r="D600" s="5" t="n">
        <v>36.5</v>
      </c>
      <c r="E600" s="5" t="inlineStr">
        <is>
          <t>Less</t>
        </is>
      </c>
      <c r="F600" s="48" t="n">
        <v>0.713</v>
      </c>
      <c r="G600" s="5" t="n">
        <v>22.5</v>
      </c>
      <c r="H600" s="5" t="n">
        <v>7</v>
      </c>
      <c r="I600" s="5" t="inlineStr">
        <is>
          <t>PIT @ CLE</t>
        </is>
      </c>
    </row>
    <row r="601">
      <c r="A601" s="5" t="inlineStr">
        <is>
          <t>Roman Wilson</t>
        </is>
      </c>
      <c r="B601" s="5" t="inlineStr">
        <is>
          <t>PIT</t>
        </is>
      </c>
      <c r="C601" s="5" t="inlineStr">
        <is>
          <t>Rush+Rec Yds</t>
        </is>
      </c>
      <c r="D601" s="5" t="n">
        <v>38.5</v>
      </c>
      <c r="E601" s="5" t="inlineStr">
        <is>
          <t>Less</t>
        </is>
      </c>
      <c r="F601" s="48" t="n">
        <v>0.737</v>
      </c>
      <c r="G601" s="5" t="n">
        <v>22.5</v>
      </c>
      <c r="H601" s="5" t="n">
        <v>8</v>
      </c>
      <c r="I601" s="5" t="inlineStr">
        <is>
          <t>PIT @ CLE</t>
        </is>
      </c>
    </row>
    <row r="602">
      <c r="A602" s="5" t="inlineStr">
        <is>
          <t>Roman Wilson</t>
        </is>
      </c>
      <c r="B602" s="5" t="inlineStr">
        <is>
          <t>PIT</t>
        </is>
      </c>
      <c r="C602" s="5" t="inlineStr">
        <is>
          <t>Rush+Rec Yds</t>
        </is>
      </c>
      <c r="D602" s="5" t="n">
        <v>40.5</v>
      </c>
      <c r="E602" s="5" t="inlineStr">
        <is>
          <t>Less</t>
        </is>
      </c>
      <c r="F602" s="48" t="n">
        <v>0.756</v>
      </c>
      <c r="G602" s="5" t="n">
        <v>22.5</v>
      </c>
      <c r="H602" s="5" t="n">
        <v>9</v>
      </c>
      <c r="I602" s="5" t="inlineStr">
        <is>
          <t>PIT @ CLE</t>
        </is>
      </c>
    </row>
    <row r="603">
      <c r="A603" s="5" t="inlineStr">
        <is>
          <t>Roman Wilson</t>
        </is>
      </c>
      <c r="B603" s="5" t="inlineStr">
        <is>
          <t>PIT</t>
        </is>
      </c>
      <c r="C603" s="5" t="inlineStr">
        <is>
          <t>Rush+Rec Yds</t>
        </is>
      </c>
      <c r="D603" s="5" t="n">
        <v>42.5</v>
      </c>
      <c r="E603" s="5" t="inlineStr">
        <is>
          <t>Less</t>
        </is>
      </c>
      <c r="F603" s="48" t="n">
        <v>0.781</v>
      </c>
      <c r="G603" s="5" t="n">
        <v>22.5</v>
      </c>
      <c r="H603" s="5" t="n">
        <v>10</v>
      </c>
      <c r="I603" s="5" t="inlineStr">
        <is>
          <t>PIT @ CLE</t>
        </is>
      </c>
    </row>
    <row r="604">
      <c r="A604" s="5" t="inlineStr">
        <is>
          <t>Travis Homer</t>
        </is>
      </c>
      <c r="B604" s="5" t="inlineStr">
        <is>
          <t>PIT</t>
        </is>
      </c>
      <c r="C604" s="5" t="inlineStr">
        <is>
          <t>Anytime TDs</t>
        </is>
      </c>
      <c r="D604" s="5" t="n">
        <v>0.5</v>
      </c>
      <c r="E604" s="5" t="inlineStr">
        <is>
          <t>Less</t>
        </is>
      </c>
      <c r="F604" s="48" t="n">
        <v>0.9320000000000001</v>
      </c>
      <c r="G604" s="5" t="n">
        <v>0.5</v>
      </c>
      <c r="H604" s="5" t="n">
        <v>0</v>
      </c>
      <c r="I604" s="5" t="inlineStr">
        <is>
          <t>PIT @ CLE</t>
        </is>
      </c>
    </row>
    <row r="605">
      <c r="A605" s="5" t="inlineStr">
        <is>
          <t>Travis Homer</t>
        </is>
      </c>
      <c r="B605" s="5" t="inlineStr">
        <is>
          <t>PIT</t>
        </is>
      </c>
      <c r="C605" s="5" t="inlineStr">
        <is>
          <t>Rush Yds</t>
        </is>
      </c>
      <c r="D605" s="5" t="n">
        <v>4.5</v>
      </c>
      <c r="E605" s="5" t="inlineStr">
        <is>
          <t>More</t>
        </is>
      </c>
      <c r="F605" s="48" t="n">
        <v>0.5600000000000001</v>
      </c>
      <c r="G605" s="5" t="n">
        <v>39.5</v>
      </c>
      <c r="H605" s="5" t="n">
        <v>-7</v>
      </c>
      <c r="I605" s="5" t="inlineStr">
        <is>
          <t>PIT @ CLE</t>
        </is>
      </c>
    </row>
    <row r="606">
      <c r="A606" s="5" t="inlineStr">
        <is>
          <t>Travis Homer</t>
        </is>
      </c>
      <c r="B606" s="5" t="inlineStr">
        <is>
          <t>PIT</t>
        </is>
      </c>
      <c r="C606" s="5" t="inlineStr">
        <is>
          <t>Rush Yds</t>
        </is>
      </c>
      <c r="D606" s="5" t="n">
        <v>9.5</v>
      </c>
      <c r="E606" s="5" t="inlineStr">
        <is>
          <t>Less</t>
        </is>
      </c>
      <c r="F606" s="48" t="n">
        <v>0.524</v>
      </c>
      <c r="G606" s="5" t="n">
        <v>39.5</v>
      </c>
      <c r="H606" s="5" t="n">
        <v>-6</v>
      </c>
      <c r="I606" s="5" t="inlineStr">
        <is>
          <t>PIT @ CLE</t>
        </is>
      </c>
    </row>
    <row r="607">
      <c r="A607" s="5" t="inlineStr">
        <is>
          <t>Travis Homer</t>
        </is>
      </c>
      <c r="B607" s="5" t="inlineStr">
        <is>
          <t>PIT</t>
        </is>
      </c>
      <c r="C607" s="5" t="inlineStr">
        <is>
          <t>Rush Yds</t>
        </is>
      </c>
      <c r="D607" s="5" t="n">
        <v>14.5</v>
      </c>
      <c r="E607" s="5" t="inlineStr">
        <is>
          <t>Less</t>
        </is>
      </c>
      <c r="F607" s="48" t="n">
        <v>0.61</v>
      </c>
      <c r="G607" s="5" t="n">
        <v>39.5</v>
      </c>
      <c r="H607" s="5" t="n">
        <v>-5</v>
      </c>
      <c r="I607" s="5" t="inlineStr">
        <is>
          <t>PIT @ CLE</t>
        </is>
      </c>
    </row>
    <row r="608">
      <c r="A608" s="5" t="inlineStr">
        <is>
          <t>Travis Homer</t>
        </is>
      </c>
      <c r="B608" s="5" t="inlineStr">
        <is>
          <t>PIT</t>
        </is>
      </c>
      <c r="C608" s="5" t="inlineStr">
        <is>
          <t>Rush Yds</t>
        </is>
      </c>
      <c r="D608" s="5" t="n">
        <v>19.5</v>
      </c>
      <c r="E608" s="5" t="inlineStr">
        <is>
          <t>Less</t>
        </is>
      </c>
      <c r="F608" s="48" t="n">
        <v>0.68</v>
      </c>
      <c r="G608" s="5" t="n">
        <v>39.5</v>
      </c>
      <c r="H608" s="5" t="n">
        <v>-4</v>
      </c>
      <c r="I608" s="5" t="inlineStr">
        <is>
          <t>PIT @ CLE</t>
        </is>
      </c>
    </row>
    <row r="609">
      <c r="A609" s="5" t="inlineStr">
        <is>
          <t>Travis Homer</t>
        </is>
      </c>
      <c r="B609" s="5" t="inlineStr">
        <is>
          <t>PIT</t>
        </is>
      </c>
      <c r="C609" s="5" t="inlineStr">
        <is>
          <t>Rush Yds</t>
        </is>
      </c>
      <c r="D609" s="5" t="n">
        <v>24.5</v>
      </c>
      <c r="E609" s="5" t="inlineStr">
        <is>
          <t>Less</t>
        </is>
      </c>
      <c r="F609" s="48" t="n">
        <v>0.728</v>
      </c>
      <c r="G609" s="5" t="n">
        <v>39.5</v>
      </c>
      <c r="H609" s="5" t="n">
        <v>-3</v>
      </c>
      <c r="I609" s="5" t="inlineStr">
        <is>
          <t>PIT @ CLE</t>
        </is>
      </c>
    </row>
    <row r="610">
      <c r="A610" s="5" t="inlineStr">
        <is>
          <t>Travis Homer</t>
        </is>
      </c>
      <c r="B610" s="5" t="inlineStr">
        <is>
          <t>PIT</t>
        </is>
      </c>
      <c r="C610" s="5" t="inlineStr">
        <is>
          <t>Rush Yds</t>
        </is>
      </c>
      <c r="D610" s="5" t="n">
        <v>29.5</v>
      </c>
      <c r="E610" s="5" t="inlineStr">
        <is>
          <t>Less</t>
        </is>
      </c>
      <c r="F610" s="48" t="n">
        <v>0.77</v>
      </c>
      <c r="G610" s="5" t="n">
        <v>39.5</v>
      </c>
      <c r="H610" s="5" t="n">
        <v>-2</v>
      </c>
      <c r="I610" s="5" t="inlineStr">
        <is>
          <t>PIT @ CLE</t>
        </is>
      </c>
    </row>
    <row r="611">
      <c r="A611" s="5" t="inlineStr">
        <is>
          <t>Travis Homer</t>
        </is>
      </c>
      <c r="B611" s="5" t="inlineStr">
        <is>
          <t>PIT</t>
        </is>
      </c>
      <c r="C611" s="5" t="inlineStr">
        <is>
          <t>Rush Yds</t>
        </is>
      </c>
      <c r="D611" s="5" t="n">
        <v>34.5</v>
      </c>
      <c r="E611" s="5" t="inlineStr">
        <is>
          <t>Less</t>
        </is>
      </c>
      <c r="F611" s="48" t="n">
        <v>0.8090000000000001</v>
      </c>
      <c r="G611" s="5" t="n">
        <v>39.5</v>
      </c>
      <c r="H611" s="5" t="n">
        <v>-1</v>
      </c>
      <c r="I611" s="5" t="inlineStr">
        <is>
          <t>PIT @ CLE</t>
        </is>
      </c>
    </row>
    <row r="612">
      <c r="A612" s="5" t="inlineStr">
        <is>
          <t>Travis Homer</t>
        </is>
      </c>
      <c r="B612" s="5" t="inlineStr">
        <is>
          <t>PIT</t>
        </is>
      </c>
      <c r="C612" s="5" t="inlineStr">
        <is>
          <t>Rush Yds</t>
        </is>
      </c>
      <c r="D612" s="5" t="n">
        <v>39.5</v>
      </c>
      <c r="E612" s="5" t="inlineStr">
        <is>
          <t>Less</t>
        </is>
      </c>
      <c r="F612" s="48" t="n">
        <v>0.838</v>
      </c>
      <c r="G612" s="5" t="n">
        <v>39.5</v>
      </c>
      <c r="H612" s="5" t="n">
        <v>0</v>
      </c>
      <c r="I612" s="5" t="inlineStr">
        <is>
          <t>PIT @ CLE</t>
        </is>
      </c>
    </row>
    <row r="613">
      <c r="A613" s="5" t="inlineStr">
        <is>
          <t>Travis Homer</t>
        </is>
      </c>
      <c r="B613" s="5" t="inlineStr">
        <is>
          <t>PIT</t>
        </is>
      </c>
      <c r="C613" s="5" t="inlineStr">
        <is>
          <t>Rush Yds</t>
        </is>
      </c>
      <c r="D613" s="5" t="n">
        <v>44.5</v>
      </c>
      <c r="E613" s="5" t="inlineStr">
        <is>
          <t>Less</t>
        </is>
      </c>
      <c r="F613" s="48" t="n">
        <v>0.879</v>
      </c>
      <c r="G613" s="5" t="n">
        <v>39.5</v>
      </c>
      <c r="H613" s="5" t="n">
        <v>1</v>
      </c>
      <c r="I613" s="5" t="inlineStr">
        <is>
          <t>PIT @ CLE</t>
        </is>
      </c>
    </row>
    <row r="614">
      <c r="A614" s="5" t="inlineStr">
        <is>
          <t>Travis Homer</t>
        </is>
      </c>
      <c r="B614" s="5" t="inlineStr">
        <is>
          <t>PIT</t>
        </is>
      </c>
      <c r="C614" s="5" t="inlineStr">
        <is>
          <t>Rush Yds</t>
        </is>
      </c>
      <c r="D614" s="5" t="n">
        <v>49.5</v>
      </c>
      <c r="E614" s="5" t="inlineStr">
        <is>
          <t>Less</t>
        </is>
      </c>
      <c r="F614" s="48" t="n">
        <v>0.897</v>
      </c>
      <c r="G614" s="5" t="n">
        <v>39.5</v>
      </c>
      <c r="H614" s="5" t="n">
        <v>2</v>
      </c>
      <c r="I614" s="5" t="inlineStr">
        <is>
          <t>PIT @ CLE</t>
        </is>
      </c>
    </row>
    <row r="615">
      <c r="A615" s="5" t="inlineStr">
        <is>
          <t>Travis Homer</t>
        </is>
      </c>
      <c r="B615" s="5" t="inlineStr">
        <is>
          <t>PIT</t>
        </is>
      </c>
      <c r="C615" s="5" t="inlineStr">
        <is>
          <t>Rush Yds</t>
        </is>
      </c>
      <c r="D615" s="5" t="n">
        <v>54.5</v>
      </c>
      <c r="E615" s="5" t="inlineStr">
        <is>
          <t>Less</t>
        </is>
      </c>
      <c r="F615" s="48" t="n">
        <v>0.913</v>
      </c>
      <c r="G615" s="5" t="n">
        <v>39.5</v>
      </c>
      <c r="H615" s="5" t="n">
        <v>3</v>
      </c>
      <c r="I615" s="5" t="inlineStr">
        <is>
          <t>PIT @ CLE</t>
        </is>
      </c>
    </row>
    <row r="616">
      <c r="A616" s="5" t="inlineStr">
        <is>
          <t>Travis Homer</t>
        </is>
      </c>
      <c r="B616" s="5" t="inlineStr">
        <is>
          <t>PIT</t>
        </is>
      </c>
      <c r="C616" s="5" t="inlineStr">
        <is>
          <t>Rush Yds</t>
        </is>
      </c>
      <c r="D616" s="5" t="n">
        <v>59.5</v>
      </c>
      <c r="E616" s="5" t="inlineStr">
        <is>
          <t>Less</t>
        </is>
      </c>
      <c r="F616" s="48" t="n">
        <v>0.926</v>
      </c>
      <c r="G616" s="5" t="n">
        <v>39.5</v>
      </c>
      <c r="H616" s="5" t="n">
        <v>4</v>
      </c>
      <c r="I616" s="5" t="inlineStr">
        <is>
          <t>PIT @ CLE</t>
        </is>
      </c>
    </row>
    <row r="617">
      <c r="A617" s="5" t="inlineStr">
        <is>
          <t>Travis Homer</t>
        </is>
      </c>
      <c r="B617" s="5" t="inlineStr">
        <is>
          <t>PIT</t>
        </is>
      </c>
      <c r="C617" s="5" t="inlineStr">
        <is>
          <t>Rush Yds</t>
        </is>
      </c>
      <c r="D617" s="5" t="n">
        <v>64.5</v>
      </c>
      <c r="E617" s="5" t="inlineStr">
        <is>
          <t>Less</t>
        </is>
      </c>
      <c r="F617" s="48" t="n">
        <v>0.9350000000000001</v>
      </c>
      <c r="G617" s="5" t="n">
        <v>39.5</v>
      </c>
      <c r="H617" s="5" t="n">
        <v>5</v>
      </c>
      <c r="I617" s="5" t="inlineStr">
        <is>
          <t>PIT @ CLE</t>
        </is>
      </c>
    </row>
    <row r="618">
      <c r="A618" s="5" t="inlineStr">
        <is>
          <t>Travis Homer</t>
        </is>
      </c>
      <c r="B618" s="5" t="inlineStr">
        <is>
          <t>PIT</t>
        </is>
      </c>
      <c r="C618" s="5" t="inlineStr">
        <is>
          <t>Rush Yds</t>
        </is>
      </c>
      <c r="D618" s="5" t="n">
        <v>69.5</v>
      </c>
      <c r="E618" s="5" t="inlineStr">
        <is>
          <t>Less</t>
        </is>
      </c>
      <c r="F618" s="48" t="n">
        <v>0.944</v>
      </c>
      <c r="G618" s="5" t="n">
        <v>39.5</v>
      </c>
      <c r="H618" s="5" t="n">
        <v>6</v>
      </c>
      <c r="I618" s="5" t="inlineStr">
        <is>
          <t>PIT @ CLE</t>
        </is>
      </c>
    </row>
    <row r="619">
      <c r="A619" s="5" t="inlineStr">
        <is>
          <t>Travis Homer</t>
        </is>
      </c>
      <c r="B619" s="5" t="inlineStr">
        <is>
          <t>PIT</t>
        </is>
      </c>
      <c r="C619" s="5" t="inlineStr">
        <is>
          <t>Rush Yds</t>
        </is>
      </c>
      <c r="D619" s="5" t="n">
        <v>74.5</v>
      </c>
      <c r="E619" s="5" t="inlineStr">
        <is>
          <t>Less</t>
        </is>
      </c>
      <c r="F619" s="48" t="n">
        <v>0.951</v>
      </c>
      <c r="G619" s="5" t="n">
        <v>39.5</v>
      </c>
      <c r="H619" s="5" t="n">
        <v>7</v>
      </c>
      <c r="I619" s="5" t="inlineStr">
        <is>
          <t>PIT @ CLE</t>
        </is>
      </c>
    </row>
    <row r="620">
      <c r="A620" s="5" t="inlineStr">
        <is>
          <t>Travis Homer</t>
        </is>
      </c>
      <c r="B620" s="5" t="inlineStr">
        <is>
          <t>PIT</t>
        </is>
      </c>
      <c r="C620" s="5" t="inlineStr">
        <is>
          <t>Rush Yds</t>
        </is>
      </c>
      <c r="D620" s="5" t="n">
        <v>79.5</v>
      </c>
      <c r="E620" s="5" t="inlineStr">
        <is>
          <t>Less</t>
        </is>
      </c>
      <c r="F620" s="48" t="n">
        <v>0.962</v>
      </c>
      <c r="G620" s="5" t="n">
        <v>39.5</v>
      </c>
      <c r="H620" s="5" t="n">
        <v>8</v>
      </c>
      <c r="I620" s="5" t="inlineStr">
        <is>
          <t>PIT @ CLE</t>
        </is>
      </c>
    </row>
    <row r="621">
      <c r="A621" s="5" t="inlineStr">
        <is>
          <t>Travis Homer</t>
        </is>
      </c>
      <c r="B621" s="5" t="inlineStr">
        <is>
          <t>PIT</t>
        </is>
      </c>
      <c r="C621" s="5" t="inlineStr">
        <is>
          <t>Rush Yds</t>
        </is>
      </c>
      <c r="D621" s="5" t="n">
        <v>84.5</v>
      </c>
      <c r="E621" s="5" t="inlineStr">
        <is>
          <t>Less</t>
        </is>
      </c>
      <c r="F621" s="48" t="n">
        <v>0.967</v>
      </c>
      <c r="G621" s="5" t="n">
        <v>39.5</v>
      </c>
      <c r="H621" s="5" t="n">
        <v>9</v>
      </c>
      <c r="I621" s="5" t="inlineStr">
        <is>
          <t>PIT @ CLE</t>
        </is>
      </c>
    </row>
    <row r="622">
      <c r="A622" s="5" t="inlineStr">
        <is>
          <t>Tylan Wallace</t>
        </is>
      </c>
      <c r="B622" s="5" t="inlineStr">
        <is>
          <t>CLE</t>
        </is>
      </c>
      <c r="C622" s="5" t="inlineStr">
        <is>
          <t>Anytime TDs</t>
        </is>
      </c>
      <c r="D622" s="5" t="n">
        <v>0.5</v>
      </c>
      <c r="E622" s="5" t="inlineStr">
        <is>
          <t>Less</t>
        </is>
      </c>
      <c r="F622" s="48" t="n">
        <v>0.959</v>
      </c>
      <c r="G622" s="5" t="n">
        <v>0.5</v>
      </c>
      <c r="H622" s="5" t="n">
        <v>0</v>
      </c>
      <c r="I622" s="5" t="inlineStr">
        <is>
          <t>PIT @ CLE</t>
        </is>
      </c>
    </row>
  </sheetData>
  <conditionalFormatting sqref="F5:F622">
    <cfRule type="colorScale" priority="1">
      <colorScale>
        <cfvo type="num" val="0.5"/>
        <cfvo type="num" val="0.8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70" customWidth="1" min="4" max="4"/>
    <col width="18" customWidth="1" min="5" max="5"/>
  </cols>
  <sheetData>
    <row r="1">
      <c r="A1" s="38" t="inlineStr">
        <is>
          <t>Injuries &amp; Notes</t>
        </is>
      </c>
    </row>
    <row r="3">
      <c r="A3" s="2" t="inlineStr">
        <is>
          <t>HANDLED IN THE MODEL (confirmed out - their work was given to teammates)</t>
        </is>
      </c>
      <c r="B3" s="3" t="n"/>
      <c r="C3" s="3" t="n"/>
      <c r="D3" s="3" t="n"/>
      <c r="E3" s="3" t="n"/>
    </row>
    <row r="4">
      <c r="A4" s="4" t="inlineStr">
        <is>
          <t>Team</t>
        </is>
      </c>
      <c r="B4" s="4" t="inlineStr">
        <is>
          <t>Player</t>
        </is>
      </c>
      <c r="C4" s="4" t="inlineStr">
        <is>
          <t>Share removed</t>
        </is>
      </c>
      <c r="D4" s="4" t="inlineStr">
        <is>
          <t>Of team</t>
        </is>
      </c>
      <c r="E4" s="4" t="inlineStr">
        <is>
          <t>Status</t>
        </is>
      </c>
    </row>
    <row r="5">
      <c r="A5" s="5" t="inlineStr">
        <is>
          <t>PIT</t>
        </is>
      </c>
      <c r="B5" s="5" t="inlineStr">
        <is>
          <t>Rico Dowdle</t>
        </is>
      </c>
      <c r="C5" s="48" t="n">
        <v>0.28</v>
      </c>
      <c r="D5" s="5" t="inlineStr">
        <is>
          <t>carries</t>
        </is>
      </c>
      <c r="E5" s="5" t="inlineStr">
        <is>
          <t>OUT - confirmed</t>
        </is>
      </c>
    </row>
    <row r="6">
      <c r="A6" s="5" t="inlineStr">
        <is>
          <t>PIT</t>
        </is>
      </c>
      <c r="B6" s="5" t="inlineStr">
        <is>
          <t>Rico Dowdle</t>
        </is>
      </c>
      <c r="C6" s="48" t="n">
        <v>0.095</v>
      </c>
      <c r="D6" s="5" t="inlineStr">
        <is>
          <t>targets</t>
        </is>
      </c>
      <c r="E6" s="5" t="inlineStr">
        <is>
          <t>OUT - confirmed</t>
        </is>
      </c>
    </row>
    <row r="8">
      <c r="A8" s="2" t="inlineStr">
        <is>
          <t>OTHER NEWS (not changed in the model)</t>
        </is>
      </c>
      <c r="B8" s="3" t="n"/>
      <c r="C8" s="3" t="n"/>
      <c r="D8" s="3" t="n"/>
      <c r="E8" s="3" t="n"/>
    </row>
    <row r="9">
      <c r="A9" s="4" t="inlineStr">
        <is>
          <t>Team</t>
        </is>
      </c>
      <c r="B9" s="4" t="inlineStr">
        <is>
          <t>Player</t>
        </is>
      </c>
      <c r="C9" s="4" t="inlineStr">
        <is>
          <t>Status</t>
        </is>
      </c>
      <c r="D9" s="4" t="inlineStr">
        <is>
          <t>Note</t>
        </is>
      </c>
    </row>
    <row r="10">
      <c r="A10" s="53" t="inlineStr">
        <is>
          <t>CLE</t>
        </is>
      </c>
      <c r="B10" s="53" t="inlineStr">
        <is>
          <t>KC Concepcion</t>
        </is>
      </c>
      <c r="C10" s="53" t="inlineStr">
        <is>
          <t>Not out</t>
        </is>
      </c>
      <c r="D10" s="53" t="inlineStr">
        <is>
          <t>Healthy and practicing; no lines in our odds feed, so not in this report. His targets were NOT given away.</t>
        </is>
      </c>
    </row>
    <row r="11">
      <c r="A11" s="53" t="inlineStr">
        <is>
          <t>CLE</t>
        </is>
      </c>
      <c r="B11" s="53" t="inlineStr">
        <is>
          <t>Tylan Wallace</t>
        </is>
      </c>
      <c r="C11" s="53" t="inlineStr">
        <is>
          <t>Not official</t>
        </is>
      </c>
      <c r="D11" s="53" t="inlineStr">
        <is>
          <t>Knee, no practice all week. Only a 4% TD line; check inactives ~6:45 PM ET.</t>
        </is>
      </c>
    </row>
    <row r="12">
      <c r="A12" s="53" t="inlineStr">
        <is>
          <t>PIT</t>
        </is>
      </c>
      <c r="B12" s="53" t="inlineStr">
        <is>
          <t>Joey Porter Jr.</t>
        </is>
      </c>
      <c r="C12" s="53" t="inlineStr">
        <is>
          <t>Out (traded to DAL)</t>
        </is>
      </c>
      <c r="D12" s="53" t="inlineStr">
        <is>
          <t>CB. Reported traded to Dallas Wednesday night. Defense changes are already in the sportsbook lines.</t>
        </is>
      </c>
    </row>
    <row r="13">
      <c r="A13" s="53" t="inlineStr">
        <is>
          <t>PIT</t>
        </is>
      </c>
      <c r="B13" s="53" t="inlineStr">
        <is>
          <t>Jalen Ramsey / Brandin Echols</t>
        </is>
      </c>
      <c r="C13" s="53" t="inlineStr">
        <is>
          <t>Questionable</t>
        </is>
      </c>
      <c r="D13" s="53" t="inlineStr">
        <is>
          <t>CBs. If Ramsey sits, expect Cleveland passing lines to rise.</t>
        </is>
      </c>
    </row>
    <row r="14">
      <c r="A14" s="53" t="inlineStr">
        <is>
          <t>CLE</t>
        </is>
      </c>
      <c r="B14" s="53" t="inlineStr">
        <is>
          <t>Elgton Jenkins</t>
        </is>
      </c>
      <c r="C14" s="53" t="inlineStr">
        <is>
          <t>Out</t>
        </is>
      </c>
      <c r="D14" s="53" t="inlineStr">
        <is>
          <t>Starting center; Luke Wypler starts. Already in the sportsbook lines.</t>
        </is>
      </c>
    </row>
    <row r="16">
      <c r="A16" s="2" t="inlineStr">
        <is>
          <t>ABOUT THIS MODEL</t>
        </is>
      </c>
      <c r="B16" s="3" t="n"/>
      <c r="C16" s="3" t="n"/>
      <c r="D16" s="3" t="n"/>
      <c r="E16" s="3" t="n"/>
    </row>
    <row r="17" ht="30" customHeight="1">
      <c r="A17" s="53" t="inlineStr">
        <is>
          <t>- Each player's chance at the book line comes from the sportsbooks (odds with their margin removed). The model adds the shape of each range and how legs move together.</t>
        </is>
      </c>
    </row>
    <row r="18" ht="30" customHeight="1">
      <c r="A18" s="53" t="inlineStr">
        <is>
          <t>- Correlations were tuned on 206 past games; stacks of QB + 2 or more of his receivers are scaled down 5-10% because the model still slightly overrates them.</t>
        </is>
      </c>
    </row>
    <row r="19" ht="30" customHeight="1">
      <c r="A19" s="53" t="inlineStr">
        <is>
          <t>- Yardage ranges are 5% narrower around the book line after testing on Week 3 sportsbook lines (results landed 51.5% in the middle 50%, 78.9% in the middle 80%).</t>
        </is>
      </c>
    </row>
    <row r="20" ht="30" customHeight="1">
      <c r="A20" s="53" t="inlineStr">
        <is>
          <t>- Anytime TD chances come from four major books. The model's own "2+ TDs" numbers are not reliable - ignore them.</t>
        </is>
      </c>
    </row>
    <row r="21" ht="30" customHeight="1">
      <c r="A21" s="53" t="inlineStr">
        <is>
          <t>- PrizePicks lines can differ from the book line. Always pick or type the PrizePicks line in the Entry Builder.</t>
        </is>
      </c>
    </row>
  </sheetData>
  <mergeCells count="5">
    <mergeCell ref="A21:E21"/>
    <mergeCell ref="A20:E20"/>
    <mergeCell ref="A19:E19"/>
    <mergeCell ref="A17:E17"/>
    <mergeCell ref="A18:E1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38" t="inlineStr">
        <is>
          <t>Learn the Math</t>
        </is>
      </c>
    </row>
    <row r="3">
      <c r="A3" s="2" t="inlineStr">
        <is>
          <t>THE FORMULAS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5" t="inlineStr">
        <is>
          <t>1. Chance an entry hits = multiply the legs (55% x 55% = 30%). Legs from the same game that move together hit more often - the Entry Builder handles that.</t>
        </is>
      </c>
    </row>
    <row r="5">
      <c r="A5" s="5" t="inlineStr">
        <is>
          <t>2. Break-even = 1 / payout. A 5.25x payout needs the entry to hit 19.0% of the time.</t>
        </is>
      </c>
    </row>
    <row r="6">
      <c r="A6" s="5" t="inlineStr">
        <is>
          <t>3. EV (expected profit per $1) = chance it hits x payout - 1. Quick version: chance / break-even - 1.</t>
        </is>
      </c>
    </row>
    <row r="7">
      <c r="A7" s="5" t="inlineStr">
        <is>
          <t>4. Only bet with a cushion: at least +5% EV per live leg (Settings).</t>
        </is>
      </c>
    </row>
    <row r="8">
      <c r="A8" s="5" t="inlineStr">
        <is>
          <t>5. Stake = bankroll x 1/4 x EV / (payout - 1). Big EV does not mean bet big - big entries lose most nights.</t>
        </is>
      </c>
    </row>
    <row r="9">
      <c r="A9" s="5" t="inlineStr">
        <is>
          <t>6. Lift: 1.00 = legs unrelated, above 1 = they tend to hit together, below 1 = they get in each other's way.</t>
        </is>
      </c>
    </row>
    <row r="11">
      <c r="A11" s="2" t="inlineStr">
        <is>
          <t>CHEAT SHEET - EV IF EVERY LEG HITS THE SAME % (standard payouts from Settings)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4" t="inlineStr">
        <is>
          <t>Each leg hits</t>
        </is>
      </c>
      <c r="B12" s="4" t="inlineStr">
        <is>
          <t>2-leg Power</t>
        </is>
      </c>
      <c r="C12" s="4" t="inlineStr">
        <is>
          <t>3-leg Power</t>
        </is>
      </c>
      <c r="D12" s="4" t="inlineStr">
        <is>
          <t>3-leg Flex</t>
        </is>
      </c>
      <c r="E12" s="4" t="inlineStr">
        <is>
          <t>4-leg Power</t>
        </is>
      </c>
      <c r="F12" s="4" t="inlineStr">
        <is>
          <t>4-leg Flex</t>
        </is>
      </c>
      <c r="G12" s="4" t="inlineStr">
        <is>
          <t>5-leg Power</t>
        </is>
      </c>
      <c r="H12" s="4" t="inlineStr">
        <is>
          <t>5-leg Flex</t>
        </is>
      </c>
      <c r="I12" s="4" t="inlineStr">
        <is>
          <t>6-leg Power</t>
        </is>
      </c>
      <c r="J12" s="4" t="inlineStr">
        <is>
          <t>6-leg Flex</t>
        </is>
      </c>
    </row>
    <row r="13">
      <c r="A13" s="54" t="n">
        <v>0.5</v>
      </c>
      <c r="B13" s="55">
        <f>$A13^2*INDEX(Settings!$B$11:$B$15,MATCH(2,Settings!$A$11:$A$15,0))-1</f>
        <v/>
      </c>
      <c r="C13" s="55">
        <f>$A13^3*INDEX(Settings!$B$11:$B$15,MATCH(3,Settings!$A$11:$A$15,0))-1</f>
        <v/>
      </c>
      <c r="D13" s="55">
        <f>$A13^3*INDEX(Settings!$C$11:$C$15,MATCH(3,Settings!$A$11:$A$15,0))+3*$A13^2*(1-$A13)*INDEX(Settings!$D$11:$D$15,MATCH(3,Settings!$A$11:$A$15,0))+3*$A13^1*(1-$A13)^2*INDEX(Settings!$E$11:$E$15,MATCH(3,Settings!$A$11:$A$15,0))-1</f>
        <v/>
      </c>
      <c r="E13" s="55">
        <f>$A13^4*INDEX(Settings!$B$11:$B$15,MATCH(4,Settings!$A$11:$A$15,0))-1</f>
        <v/>
      </c>
      <c r="F13" s="55">
        <f>$A13^4*INDEX(Settings!$C$11:$C$15,MATCH(4,Settings!$A$11:$A$15,0))+4*$A13^3*(1-$A13)*INDEX(Settings!$D$11:$D$15,MATCH(4,Settings!$A$11:$A$15,0))+6*$A13^2*(1-$A13)^2*INDEX(Settings!$E$11:$E$15,MATCH(4,Settings!$A$11:$A$15,0))-1</f>
        <v/>
      </c>
      <c r="G13" s="55">
        <f>$A13^5*INDEX(Settings!$B$11:$B$15,MATCH(5,Settings!$A$11:$A$15,0))-1</f>
        <v/>
      </c>
      <c r="H13" s="55">
        <f>$A13^5*INDEX(Settings!$C$11:$C$15,MATCH(5,Settings!$A$11:$A$15,0))+5*$A13^4*(1-$A13)*INDEX(Settings!$D$11:$D$15,MATCH(5,Settings!$A$11:$A$15,0))+10*$A13^3*(1-$A13)^2*INDEX(Settings!$E$11:$E$15,MATCH(5,Settings!$A$11:$A$15,0))-1</f>
        <v/>
      </c>
      <c r="I13" s="55">
        <f>$A13^6*INDEX(Settings!$B$11:$B$15,MATCH(6,Settings!$A$11:$A$15,0))-1</f>
        <v/>
      </c>
      <c r="J13" s="55">
        <f>$A13^6*INDEX(Settings!$C$11:$C$15,MATCH(6,Settings!$A$11:$A$15,0))+6*$A13^5*(1-$A13)*INDEX(Settings!$D$11:$D$15,MATCH(6,Settings!$A$11:$A$15,0))+15*$A13^4*(1-$A13)^2*INDEX(Settings!$E$11:$E$15,MATCH(6,Settings!$A$11:$A$15,0))-1</f>
        <v/>
      </c>
    </row>
    <row r="14">
      <c r="A14" s="54" t="n">
        <v>0.51</v>
      </c>
      <c r="B14" s="55">
        <f>$A14^2*INDEX(Settings!$B$11:$B$15,MATCH(2,Settings!$A$11:$A$15,0))-1</f>
        <v/>
      </c>
      <c r="C14" s="55">
        <f>$A14^3*INDEX(Settings!$B$11:$B$15,MATCH(3,Settings!$A$11:$A$15,0))-1</f>
        <v/>
      </c>
      <c r="D14" s="55">
        <f>$A14^3*INDEX(Settings!$C$11:$C$15,MATCH(3,Settings!$A$11:$A$15,0))+3*$A14^2*(1-$A14)*INDEX(Settings!$D$11:$D$15,MATCH(3,Settings!$A$11:$A$15,0))+3*$A14^1*(1-$A14)^2*INDEX(Settings!$E$11:$E$15,MATCH(3,Settings!$A$11:$A$15,0))-1</f>
        <v/>
      </c>
      <c r="E14" s="55">
        <f>$A14^4*INDEX(Settings!$B$11:$B$15,MATCH(4,Settings!$A$11:$A$15,0))-1</f>
        <v/>
      </c>
      <c r="F14" s="55">
        <f>$A14^4*INDEX(Settings!$C$11:$C$15,MATCH(4,Settings!$A$11:$A$15,0))+4*$A14^3*(1-$A14)*INDEX(Settings!$D$11:$D$15,MATCH(4,Settings!$A$11:$A$15,0))+6*$A14^2*(1-$A14)^2*INDEX(Settings!$E$11:$E$15,MATCH(4,Settings!$A$11:$A$15,0))-1</f>
        <v/>
      </c>
      <c r="G14" s="55">
        <f>$A14^5*INDEX(Settings!$B$11:$B$15,MATCH(5,Settings!$A$11:$A$15,0))-1</f>
        <v/>
      </c>
      <c r="H14" s="55">
        <f>$A14^5*INDEX(Settings!$C$11:$C$15,MATCH(5,Settings!$A$11:$A$15,0))+5*$A14^4*(1-$A14)*INDEX(Settings!$D$11:$D$15,MATCH(5,Settings!$A$11:$A$15,0))+10*$A14^3*(1-$A14)^2*INDEX(Settings!$E$11:$E$15,MATCH(5,Settings!$A$11:$A$15,0))-1</f>
        <v/>
      </c>
      <c r="I14" s="55">
        <f>$A14^6*INDEX(Settings!$B$11:$B$15,MATCH(6,Settings!$A$11:$A$15,0))-1</f>
        <v/>
      </c>
      <c r="J14" s="55">
        <f>$A14^6*INDEX(Settings!$C$11:$C$15,MATCH(6,Settings!$A$11:$A$15,0))+6*$A14^5*(1-$A14)*INDEX(Settings!$D$11:$D$15,MATCH(6,Settings!$A$11:$A$15,0))+15*$A14^4*(1-$A14)^2*INDEX(Settings!$E$11:$E$15,MATCH(6,Settings!$A$11:$A$15,0))-1</f>
        <v/>
      </c>
    </row>
    <row r="15">
      <c r="A15" s="54" t="n">
        <v>0.52</v>
      </c>
      <c r="B15" s="55">
        <f>$A15^2*INDEX(Settings!$B$11:$B$15,MATCH(2,Settings!$A$11:$A$15,0))-1</f>
        <v/>
      </c>
      <c r="C15" s="55">
        <f>$A15^3*INDEX(Settings!$B$11:$B$15,MATCH(3,Settings!$A$11:$A$15,0))-1</f>
        <v/>
      </c>
      <c r="D15" s="55">
        <f>$A15^3*INDEX(Settings!$C$11:$C$15,MATCH(3,Settings!$A$11:$A$15,0))+3*$A15^2*(1-$A15)*INDEX(Settings!$D$11:$D$15,MATCH(3,Settings!$A$11:$A$15,0))+3*$A15^1*(1-$A15)^2*INDEX(Settings!$E$11:$E$15,MATCH(3,Settings!$A$11:$A$15,0))-1</f>
        <v/>
      </c>
      <c r="E15" s="55">
        <f>$A15^4*INDEX(Settings!$B$11:$B$15,MATCH(4,Settings!$A$11:$A$15,0))-1</f>
        <v/>
      </c>
      <c r="F15" s="55">
        <f>$A15^4*INDEX(Settings!$C$11:$C$15,MATCH(4,Settings!$A$11:$A$15,0))+4*$A15^3*(1-$A15)*INDEX(Settings!$D$11:$D$15,MATCH(4,Settings!$A$11:$A$15,0))+6*$A15^2*(1-$A15)^2*INDEX(Settings!$E$11:$E$15,MATCH(4,Settings!$A$11:$A$15,0))-1</f>
        <v/>
      </c>
      <c r="G15" s="55">
        <f>$A15^5*INDEX(Settings!$B$11:$B$15,MATCH(5,Settings!$A$11:$A$15,0))-1</f>
        <v/>
      </c>
      <c r="H15" s="55">
        <f>$A15^5*INDEX(Settings!$C$11:$C$15,MATCH(5,Settings!$A$11:$A$15,0))+5*$A15^4*(1-$A15)*INDEX(Settings!$D$11:$D$15,MATCH(5,Settings!$A$11:$A$15,0))+10*$A15^3*(1-$A15)^2*INDEX(Settings!$E$11:$E$15,MATCH(5,Settings!$A$11:$A$15,0))-1</f>
        <v/>
      </c>
      <c r="I15" s="55">
        <f>$A15^6*INDEX(Settings!$B$11:$B$15,MATCH(6,Settings!$A$11:$A$15,0))-1</f>
        <v/>
      </c>
      <c r="J15" s="55">
        <f>$A15^6*INDEX(Settings!$C$11:$C$15,MATCH(6,Settings!$A$11:$A$15,0))+6*$A15^5*(1-$A15)*INDEX(Settings!$D$11:$D$15,MATCH(6,Settings!$A$11:$A$15,0))+15*$A15^4*(1-$A15)^2*INDEX(Settings!$E$11:$E$15,MATCH(6,Settings!$A$11:$A$15,0))-1</f>
        <v/>
      </c>
    </row>
    <row r="16">
      <c r="A16" s="54" t="n">
        <v>0.53</v>
      </c>
      <c r="B16" s="55">
        <f>$A16^2*INDEX(Settings!$B$11:$B$15,MATCH(2,Settings!$A$11:$A$15,0))-1</f>
        <v/>
      </c>
      <c r="C16" s="55">
        <f>$A16^3*INDEX(Settings!$B$11:$B$15,MATCH(3,Settings!$A$11:$A$15,0))-1</f>
        <v/>
      </c>
      <c r="D16" s="55">
        <f>$A16^3*INDEX(Settings!$C$11:$C$15,MATCH(3,Settings!$A$11:$A$15,0))+3*$A16^2*(1-$A16)*INDEX(Settings!$D$11:$D$15,MATCH(3,Settings!$A$11:$A$15,0))+3*$A16^1*(1-$A16)^2*INDEX(Settings!$E$11:$E$15,MATCH(3,Settings!$A$11:$A$15,0))-1</f>
        <v/>
      </c>
      <c r="E16" s="55">
        <f>$A16^4*INDEX(Settings!$B$11:$B$15,MATCH(4,Settings!$A$11:$A$15,0))-1</f>
        <v/>
      </c>
      <c r="F16" s="55">
        <f>$A16^4*INDEX(Settings!$C$11:$C$15,MATCH(4,Settings!$A$11:$A$15,0))+4*$A16^3*(1-$A16)*INDEX(Settings!$D$11:$D$15,MATCH(4,Settings!$A$11:$A$15,0))+6*$A16^2*(1-$A16)^2*INDEX(Settings!$E$11:$E$15,MATCH(4,Settings!$A$11:$A$15,0))-1</f>
        <v/>
      </c>
      <c r="G16" s="55">
        <f>$A16^5*INDEX(Settings!$B$11:$B$15,MATCH(5,Settings!$A$11:$A$15,0))-1</f>
        <v/>
      </c>
      <c r="H16" s="55">
        <f>$A16^5*INDEX(Settings!$C$11:$C$15,MATCH(5,Settings!$A$11:$A$15,0))+5*$A16^4*(1-$A16)*INDEX(Settings!$D$11:$D$15,MATCH(5,Settings!$A$11:$A$15,0))+10*$A16^3*(1-$A16)^2*INDEX(Settings!$E$11:$E$15,MATCH(5,Settings!$A$11:$A$15,0))-1</f>
        <v/>
      </c>
      <c r="I16" s="55">
        <f>$A16^6*INDEX(Settings!$B$11:$B$15,MATCH(6,Settings!$A$11:$A$15,0))-1</f>
        <v/>
      </c>
      <c r="J16" s="55">
        <f>$A16^6*INDEX(Settings!$C$11:$C$15,MATCH(6,Settings!$A$11:$A$15,0))+6*$A16^5*(1-$A16)*INDEX(Settings!$D$11:$D$15,MATCH(6,Settings!$A$11:$A$15,0))+15*$A16^4*(1-$A16)^2*INDEX(Settings!$E$11:$E$15,MATCH(6,Settings!$A$11:$A$15,0))-1</f>
        <v/>
      </c>
    </row>
    <row r="17">
      <c r="A17" s="54" t="n">
        <v>0.54</v>
      </c>
      <c r="B17" s="55">
        <f>$A17^2*INDEX(Settings!$B$11:$B$15,MATCH(2,Settings!$A$11:$A$15,0))-1</f>
        <v/>
      </c>
      <c r="C17" s="55">
        <f>$A17^3*INDEX(Settings!$B$11:$B$15,MATCH(3,Settings!$A$11:$A$15,0))-1</f>
        <v/>
      </c>
      <c r="D17" s="55">
        <f>$A17^3*INDEX(Settings!$C$11:$C$15,MATCH(3,Settings!$A$11:$A$15,0))+3*$A17^2*(1-$A17)*INDEX(Settings!$D$11:$D$15,MATCH(3,Settings!$A$11:$A$15,0))+3*$A17^1*(1-$A17)^2*INDEX(Settings!$E$11:$E$15,MATCH(3,Settings!$A$11:$A$15,0))-1</f>
        <v/>
      </c>
      <c r="E17" s="55">
        <f>$A17^4*INDEX(Settings!$B$11:$B$15,MATCH(4,Settings!$A$11:$A$15,0))-1</f>
        <v/>
      </c>
      <c r="F17" s="55">
        <f>$A17^4*INDEX(Settings!$C$11:$C$15,MATCH(4,Settings!$A$11:$A$15,0))+4*$A17^3*(1-$A17)*INDEX(Settings!$D$11:$D$15,MATCH(4,Settings!$A$11:$A$15,0))+6*$A17^2*(1-$A17)^2*INDEX(Settings!$E$11:$E$15,MATCH(4,Settings!$A$11:$A$15,0))-1</f>
        <v/>
      </c>
      <c r="G17" s="55">
        <f>$A17^5*INDEX(Settings!$B$11:$B$15,MATCH(5,Settings!$A$11:$A$15,0))-1</f>
        <v/>
      </c>
      <c r="H17" s="55">
        <f>$A17^5*INDEX(Settings!$C$11:$C$15,MATCH(5,Settings!$A$11:$A$15,0))+5*$A17^4*(1-$A17)*INDEX(Settings!$D$11:$D$15,MATCH(5,Settings!$A$11:$A$15,0))+10*$A17^3*(1-$A17)^2*INDEX(Settings!$E$11:$E$15,MATCH(5,Settings!$A$11:$A$15,0))-1</f>
        <v/>
      </c>
      <c r="I17" s="55">
        <f>$A17^6*INDEX(Settings!$B$11:$B$15,MATCH(6,Settings!$A$11:$A$15,0))-1</f>
        <v/>
      </c>
      <c r="J17" s="55">
        <f>$A17^6*INDEX(Settings!$C$11:$C$15,MATCH(6,Settings!$A$11:$A$15,0))+6*$A17^5*(1-$A17)*INDEX(Settings!$D$11:$D$15,MATCH(6,Settings!$A$11:$A$15,0))+15*$A17^4*(1-$A17)^2*INDEX(Settings!$E$11:$E$15,MATCH(6,Settings!$A$11:$A$15,0))-1</f>
        <v/>
      </c>
    </row>
    <row r="18">
      <c r="A18" s="54" t="n">
        <v>0.55</v>
      </c>
      <c r="B18" s="55">
        <f>$A18^2*INDEX(Settings!$B$11:$B$15,MATCH(2,Settings!$A$11:$A$15,0))-1</f>
        <v/>
      </c>
      <c r="C18" s="55">
        <f>$A18^3*INDEX(Settings!$B$11:$B$15,MATCH(3,Settings!$A$11:$A$15,0))-1</f>
        <v/>
      </c>
      <c r="D18" s="55">
        <f>$A18^3*INDEX(Settings!$C$11:$C$15,MATCH(3,Settings!$A$11:$A$15,0))+3*$A18^2*(1-$A18)*INDEX(Settings!$D$11:$D$15,MATCH(3,Settings!$A$11:$A$15,0))+3*$A18^1*(1-$A18)^2*INDEX(Settings!$E$11:$E$15,MATCH(3,Settings!$A$11:$A$15,0))-1</f>
        <v/>
      </c>
      <c r="E18" s="55">
        <f>$A18^4*INDEX(Settings!$B$11:$B$15,MATCH(4,Settings!$A$11:$A$15,0))-1</f>
        <v/>
      </c>
      <c r="F18" s="55">
        <f>$A18^4*INDEX(Settings!$C$11:$C$15,MATCH(4,Settings!$A$11:$A$15,0))+4*$A18^3*(1-$A18)*INDEX(Settings!$D$11:$D$15,MATCH(4,Settings!$A$11:$A$15,0))+6*$A18^2*(1-$A18)^2*INDEX(Settings!$E$11:$E$15,MATCH(4,Settings!$A$11:$A$15,0))-1</f>
        <v/>
      </c>
      <c r="G18" s="55">
        <f>$A18^5*INDEX(Settings!$B$11:$B$15,MATCH(5,Settings!$A$11:$A$15,0))-1</f>
        <v/>
      </c>
      <c r="H18" s="55">
        <f>$A18^5*INDEX(Settings!$C$11:$C$15,MATCH(5,Settings!$A$11:$A$15,0))+5*$A18^4*(1-$A18)*INDEX(Settings!$D$11:$D$15,MATCH(5,Settings!$A$11:$A$15,0))+10*$A18^3*(1-$A18)^2*INDEX(Settings!$E$11:$E$15,MATCH(5,Settings!$A$11:$A$15,0))-1</f>
        <v/>
      </c>
      <c r="I18" s="55">
        <f>$A18^6*INDEX(Settings!$B$11:$B$15,MATCH(6,Settings!$A$11:$A$15,0))-1</f>
        <v/>
      </c>
      <c r="J18" s="55">
        <f>$A18^6*INDEX(Settings!$C$11:$C$15,MATCH(6,Settings!$A$11:$A$15,0))+6*$A18^5*(1-$A18)*INDEX(Settings!$D$11:$D$15,MATCH(6,Settings!$A$11:$A$15,0))+15*$A18^4*(1-$A18)^2*INDEX(Settings!$E$11:$E$15,MATCH(6,Settings!$A$11:$A$15,0))-1</f>
        <v/>
      </c>
    </row>
    <row r="19">
      <c r="A19" s="54" t="n">
        <v>0.5600000000000001</v>
      </c>
      <c r="B19" s="55">
        <f>$A19^2*INDEX(Settings!$B$11:$B$15,MATCH(2,Settings!$A$11:$A$15,0))-1</f>
        <v/>
      </c>
      <c r="C19" s="55">
        <f>$A19^3*INDEX(Settings!$B$11:$B$15,MATCH(3,Settings!$A$11:$A$15,0))-1</f>
        <v/>
      </c>
      <c r="D19" s="55">
        <f>$A19^3*INDEX(Settings!$C$11:$C$15,MATCH(3,Settings!$A$11:$A$15,0))+3*$A19^2*(1-$A19)*INDEX(Settings!$D$11:$D$15,MATCH(3,Settings!$A$11:$A$15,0))+3*$A19^1*(1-$A19)^2*INDEX(Settings!$E$11:$E$15,MATCH(3,Settings!$A$11:$A$15,0))-1</f>
        <v/>
      </c>
      <c r="E19" s="55">
        <f>$A19^4*INDEX(Settings!$B$11:$B$15,MATCH(4,Settings!$A$11:$A$15,0))-1</f>
        <v/>
      </c>
      <c r="F19" s="55">
        <f>$A19^4*INDEX(Settings!$C$11:$C$15,MATCH(4,Settings!$A$11:$A$15,0))+4*$A19^3*(1-$A19)*INDEX(Settings!$D$11:$D$15,MATCH(4,Settings!$A$11:$A$15,0))+6*$A19^2*(1-$A19)^2*INDEX(Settings!$E$11:$E$15,MATCH(4,Settings!$A$11:$A$15,0))-1</f>
        <v/>
      </c>
      <c r="G19" s="55">
        <f>$A19^5*INDEX(Settings!$B$11:$B$15,MATCH(5,Settings!$A$11:$A$15,0))-1</f>
        <v/>
      </c>
      <c r="H19" s="55">
        <f>$A19^5*INDEX(Settings!$C$11:$C$15,MATCH(5,Settings!$A$11:$A$15,0))+5*$A19^4*(1-$A19)*INDEX(Settings!$D$11:$D$15,MATCH(5,Settings!$A$11:$A$15,0))+10*$A19^3*(1-$A19)^2*INDEX(Settings!$E$11:$E$15,MATCH(5,Settings!$A$11:$A$15,0))-1</f>
        <v/>
      </c>
      <c r="I19" s="55">
        <f>$A19^6*INDEX(Settings!$B$11:$B$15,MATCH(6,Settings!$A$11:$A$15,0))-1</f>
        <v/>
      </c>
      <c r="J19" s="55">
        <f>$A19^6*INDEX(Settings!$C$11:$C$15,MATCH(6,Settings!$A$11:$A$15,0))+6*$A19^5*(1-$A19)*INDEX(Settings!$D$11:$D$15,MATCH(6,Settings!$A$11:$A$15,0))+15*$A19^4*(1-$A19)^2*INDEX(Settings!$E$11:$E$15,MATCH(6,Settings!$A$11:$A$15,0))-1</f>
        <v/>
      </c>
    </row>
    <row r="20">
      <c r="A20" s="54" t="n">
        <v>0.57</v>
      </c>
      <c r="B20" s="55">
        <f>$A20^2*INDEX(Settings!$B$11:$B$15,MATCH(2,Settings!$A$11:$A$15,0))-1</f>
        <v/>
      </c>
      <c r="C20" s="55">
        <f>$A20^3*INDEX(Settings!$B$11:$B$15,MATCH(3,Settings!$A$11:$A$15,0))-1</f>
        <v/>
      </c>
      <c r="D20" s="55">
        <f>$A20^3*INDEX(Settings!$C$11:$C$15,MATCH(3,Settings!$A$11:$A$15,0))+3*$A20^2*(1-$A20)*INDEX(Settings!$D$11:$D$15,MATCH(3,Settings!$A$11:$A$15,0))+3*$A20^1*(1-$A20)^2*INDEX(Settings!$E$11:$E$15,MATCH(3,Settings!$A$11:$A$15,0))-1</f>
        <v/>
      </c>
      <c r="E20" s="55">
        <f>$A20^4*INDEX(Settings!$B$11:$B$15,MATCH(4,Settings!$A$11:$A$15,0))-1</f>
        <v/>
      </c>
      <c r="F20" s="55">
        <f>$A20^4*INDEX(Settings!$C$11:$C$15,MATCH(4,Settings!$A$11:$A$15,0))+4*$A20^3*(1-$A20)*INDEX(Settings!$D$11:$D$15,MATCH(4,Settings!$A$11:$A$15,0))+6*$A20^2*(1-$A20)^2*INDEX(Settings!$E$11:$E$15,MATCH(4,Settings!$A$11:$A$15,0))-1</f>
        <v/>
      </c>
      <c r="G20" s="55">
        <f>$A20^5*INDEX(Settings!$B$11:$B$15,MATCH(5,Settings!$A$11:$A$15,0))-1</f>
        <v/>
      </c>
      <c r="H20" s="55">
        <f>$A20^5*INDEX(Settings!$C$11:$C$15,MATCH(5,Settings!$A$11:$A$15,0))+5*$A20^4*(1-$A20)*INDEX(Settings!$D$11:$D$15,MATCH(5,Settings!$A$11:$A$15,0))+10*$A20^3*(1-$A20)^2*INDEX(Settings!$E$11:$E$15,MATCH(5,Settings!$A$11:$A$15,0))-1</f>
        <v/>
      </c>
      <c r="I20" s="55">
        <f>$A20^6*INDEX(Settings!$B$11:$B$15,MATCH(6,Settings!$A$11:$A$15,0))-1</f>
        <v/>
      </c>
      <c r="J20" s="55">
        <f>$A20^6*INDEX(Settings!$C$11:$C$15,MATCH(6,Settings!$A$11:$A$15,0))+6*$A20^5*(1-$A20)*INDEX(Settings!$D$11:$D$15,MATCH(6,Settings!$A$11:$A$15,0))+15*$A20^4*(1-$A20)^2*INDEX(Settings!$E$11:$E$15,MATCH(6,Settings!$A$11:$A$15,0))-1</f>
        <v/>
      </c>
    </row>
    <row r="21">
      <c r="A21" s="54" t="n">
        <v>0.58</v>
      </c>
      <c r="B21" s="55">
        <f>$A21^2*INDEX(Settings!$B$11:$B$15,MATCH(2,Settings!$A$11:$A$15,0))-1</f>
        <v/>
      </c>
      <c r="C21" s="55">
        <f>$A21^3*INDEX(Settings!$B$11:$B$15,MATCH(3,Settings!$A$11:$A$15,0))-1</f>
        <v/>
      </c>
      <c r="D21" s="55">
        <f>$A21^3*INDEX(Settings!$C$11:$C$15,MATCH(3,Settings!$A$11:$A$15,0))+3*$A21^2*(1-$A21)*INDEX(Settings!$D$11:$D$15,MATCH(3,Settings!$A$11:$A$15,0))+3*$A21^1*(1-$A21)^2*INDEX(Settings!$E$11:$E$15,MATCH(3,Settings!$A$11:$A$15,0))-1</f>
        <v/>
      </c>
      <c r="E21" s="55">
        <f>$A21^4*INDEX(Settings!$B$11:$B$15,MATCH(4,Settings!$A$11:$A$15,0))-1</f>
        <v/>
      </c>
      <c r="F21" s="55">
        <f>$A21^4*INDEX(Settings!$C$11:$C$15,MATCH(4,Settings!$A$11:$A$15,0))+4*$A21^3*(1-$A21)*INDEX(Settings!$D$11:$D$15,MATCH(4,Settings!$A$11:$A$15,0))+6*$A21^2*(1-$A21)^2*INDEX(Settings!$E$11:$E$15,MATCH(4,Settings!$A$11:$A$15,0))-1</f>
        <v/>
      </c>
      <c r="G21" s="55">
        <f>$A21^5*INDEX(Settings!$B$11:$B$15,MATCH(5,Settings!$A$11:$A$15,0))-1</f>
        <v/>
      </c>
      <c r="H21" s="55">
        <f>$A21^5*INDEX(Settings!$C$11:$C$15,MATCH(5,Settings!$A$11:$A$15,0))+5*$A21^4*(1-$A21)*INDEX(Settings!$D$11:$D$15,MATCH(5,Settings!$A$11:$A$15,0))+10*$A21^3*(1-$A21)^2*INDEX(Settings!$E$11:$E$15,MATCH(5,Settings!$A$11:$A$15,0))-1</f>
        <v/>
      </c>
      <c r="I21" s="55">
        <f>$A21^6*INDEX(Settings!$B$11:$B$15,MATCH(6,Settings!$A$11:$A$15,0))-1</f>
        <v/>
      </c>
      <c r="J21" s="55">
        <f>$A21^6*INDEX(Settings!$C$11:$C$15,MATCH(6,Settings!$A$11:$A$15,0))+6*$A21^5*(1-$A21)*INDEX(Settings!$D$11:$D$15,MATCH(6,Settings!$A$11:$A$15,0))+15*$A21^4*(1-$A21)^2*INDEX(Settings!$E$11:$E$15,MATCH(6,Settings!$A$11:$A$15,0))-1</f>
        <v/>
      </c>
    </row>
    <row r="22">
      <c r="A22" s="54" t="n">
        <v>0.59</v>
      </c>
      <c r="B22" s="55">
        <f>$A22^2*INDEX(Settings!$B$11:$B$15,MATCH(2,Settings!$A$11:$A$15,0))-1</f>
        <v/>
      </c>
      <c r="C22" s="55">
        <f>$A22^3*INDEX(Settings!$B$11:$B$15,MATCH(3,Settings!$A$11:$A$15,0))-1</f>
        <v/>
      </c>
      <c r="D22" s="55">
        <f>$A22^3*INDEX(Settings!$C$11:$C$15,MATCH(3,Settings!$A$11:$A$15,0))+3*$A22^2*(1-$A22)*INDEX(Settings!$D$11:$D$15,MATCH(3,Settings!$A$11:$A$15,0))+3*$A22^1*(1-$A22)^2*INDEX(Settings!$E$11:$E$15,MATCH(3,Settings!$A$11:$A$15,0))-1</f>
        <v/>
      </c>
      <c r="E22" s="55">
        <f>$A22^4*INDEX(Settings!$B$11:$B$15,MATCH(4,Settings!$A$11:$A$15,0))-1</f>
        <v/>
      </c>
      <c r="F22" s="55">
        <f>$A22^4*INDEX(Settings!$C$11:$C$15,MATCH(4,Settings!$A$11:$A$15,0))+4*$A22^3*(1-$A22)*INDEX(Settings!$D$11:$D$15,MATCH(4,Settings!$A$11:$A$15,0))+6*$A22^2*(1-$A22)^2*INDEX(Settings!$E$11:$E$15,MATCH(4,Settings!$A$11:$A$15,0))-1</f>
        <v/>
      </c>
      <c r="G22" s="55">
        <f>$A22^5*INDEX(Settings!$B$11:$B$15,MATCH(5,Settings!$A$11:$A$15,0))-1</f>
        <v/>
      </c>
      <c r="H22" s="55">
        <f>$A22^5*INDEX(Settings!$C$11:$C$15,MATCH(5,Settings!$A$11:$A$15,0))+5*$A22^4*(1-$A22)*INDEX(Settings!$D$11:$D$15,MATCH(5,Settings!$A$11:$A$15,0))+10*$A22^3*(1-$A22)^2*INDEX(Settings!$E$11:$E$15,MATCH(5,Settings!$A$11:$A$15,0))-1</f>
        <v/>
      </c>
      <c r="I22" s="55">
        <f>$A22^6*INDEX(Settings!$B$11:$B$15,MATCH(6,Settings!$A$11:$A$15,0))-1</f>
        <v/>
      </c>
      <c r="J22" s="55">
        <f>$A22^6*INDEX(Settings!$C$11:$C$15,MATCH(6,Settings!$A$11:$A$15,0))+6*$A22^5*(1-$A22)*INDEX(Settings!$D$11:$D$15,MATCH(6,Settings!$A$11:$A$15,0))+15*$A22^4*(1-$A22)^2*INDEX(Settings!$E$11:$E$15,MATCH(6,Settings!$A$11:$A$15,0))-1</f>
        <v/>
      </c>
    </row>
    <row r="23">
      <c r="A23" s="54" t="n">
        <v>0.6</v>
      </c>
      <c r="B23" s="55">
        <f>$A23^2*INDEX(Settings!$B$11:$B$15,MATCH(2,Settings!$A$11:$A$15,0))-1</f>
        <v/>
      </c>
      <c r="C23" s="55">
        <f>$A23^3*INDEX(Settings!$B$11:$B$15,MATCH(3,Settings!$A$11:$A$15,0))-1</f>
        <v/>
      </c>
      <c r="D23" s="55">
        <f>$A23^3*INDEX(Settings!$C$11:$C$15,MATCH(3,Settings!$A$11:$A$15,0))+3*$A23^2*(1-$A23)*INDEX(Settings!$D$11:$D$15,MATCH(3,Settings!$A$11:$A$15,0))+3*$A23^1*(1-$A23)^2*INDEX(Settings!$E$11:$E$15,MATCH(3,Settings!$A$11:$A$15,0))-1</f>
        <v/>
      </c>
      <c r="E23" s="55">
        <f>$A23^4*INDEX(Settings!$B$11:$B$15,MATCH(4,Settings!$A$11:$A$15,0))-1</f>
        <v/>
      </c>
      <c r="F23" s="55">
        <f>$A23^4*INDEX(Settings!$C$11:$C$15,MATCH(4,Settings!$A$11:$A$15,0))+4*$A23^3*(1-$A23)*INDEX(Settings!$D$11:$D$15,MATCH(4,Settings!$A$11:$A$15,0))+6*$A23^2*(1-$A23)^2*INDEX(Settings!$E$11:$E$15,MATCH(4,Settings!$A$11:$A$15,0))-1</f>
        <v/>
      </c>
      <c r="G23" s="55">
        <f>$A23^5*INDEX(Settings!$B$11:$B$15,MATCH(5,Settings!$A$11:$A$15,0))-1</f>
        <v/>
      </c>
      <c r="H23" s="55">
        <f>$A23^5*INDEX(Settings!$C$11:$C$15,MATCH(5,Settings!$A$11:$A$15,0))+5*$A23^4*(1-$A23)*INDEX(Settings!$D$11:$D$15,MATCH(5,Settings!$A$11:$A$15,0))+10*$A23^3*(1-$A23)^2*INDEX(Settings!$E$11:$E$15,MATCH(5,Settings!$A$11:$A$15,0))-1</f>
        <v/>
      </c>
      <c r="I23" s="55">
        <f>$A23^6*INDEX(Settings!$B$11:$B$15,MATCH(6,Settings!$A$11:$A$15,0))-1</f>
        <v/>
      </c>
      <c r="J23" s="55">
        <f>$A23^6*INDEX(Settings!$C$11:$C$15,MATCH(6,Settings!$A$11:$A$15,0))+6*$A23^5*(1-$A23)*INDEX(Settings!$D$11:$D$15,MATCH(6,Settings!$A$11:$A$15,0))+15*$A23^4*(1-$A23)^2*INDEX(Settings!$E$11:$E$15,MATCH(6,Settings!$A$11:$A$15,0))-1</f>
        <v/>
      </c>
    </row>
    <row r="24">
      <c r="A24" s="54" t="n">
        <v>0.61</v>
      </c>
      <c r="B24" s="55">
        <f>$A24^2*INDEX(Settings!$B$11:$B$15,MATCH(2,Settings!$A$11:$A$15,0))-1</f>
        <v/>
      </c>
      <c r="C24" s="55">
        <f>$A24^3*INDEX(Settings!$B$11:$B$15,MATCH(3,Settings!$A$11:$A$15,0))-1</f>
        <v/>
      </c>
      <c r="D24" s="55">
        <f>$A24^3*INDEX(Settings!$C$11:$C$15,MATCH(3,Settings!$A$11:$A$15,0))+3*$A24^2*(1-$A24)*INDEX(Settings!$D$11:$D$15,MATCH(3,Settings!$A$11:$A$15,0))+3*$A24^1*(1-$A24)^2*INDEX(Settings!$E$11:$E$15,MATCH(3,Settings!$A$11:$A$15,0))-1</f>
        <v/>
      </c>
      <c r="E24" s="55">
        <f>$A24^4*INDEX(Settings!$B$11:$B$15,MATCH(4,Settings!$A$11:$A$15,0))-1</f>
        <v/>
      </c>
      <c r="F24" s="55">
        <f>$A24^4*INDEX(Settings!$C$11:$C$15,MATCH(4,Settings!$A$11:$A$15,0))+4*$A24^3*(1-$A24)*INDEX(Settings!$D$11:$D$15,MATCH(4,Settings!$A$11:$A$15,0))+6*$A24^2*(1-$A24)^2*INDEX(Settings!$E$11:$E$15,MATCH(4,Settings!$A$11:$A$15,0))-1</f>
        <v/>
      </c>
      <c r="G24" s="55">
        <f>$A24^5*INDEX(Settings!$B$11:$B$15,MATCH(5,Settings!$A$11:$A$15,0))-1</f>
        <v/>
      </c>
      <c r="H24" s="55">
        <f>$A24^5*INDEX(Settings!$C$11:$C$15,MATCH(5,Settings!$A$11:$A$15,0))+5*$A24^4*(1-$A24)*INDEX(Settings!$D$11:$D$15,MATCH(5,Settings!$A$11:$A$15,0))+10*$A24^3*(1-$A24)^2*INDEX(Settings!$E$11:$E$15,MATCH(5,Settings!$A$11:$A$15,0))-1</f>
        <v/>
      </c>
      <c r="I24" s="55">
        <f>$A24^6*INDEX(Settings!$B$11:$B$15,MATCH(6,Settings!$A$11:$A$15,0))-1</f>
        <v/>
      </c>
      <c r="J24" s="55">
        <f>$A24^6*INDEX(Settings!$C$11:$C$15,MATCH(6,Settings!$A$11:$A$15,0))+6*$A24^5*(1-$A24)*INDEX(Settings!$D$11:$D$15,MATCH(6,Settings!$A$11:$A$15,0))+15*$A24^4*(1-$A24)^2*INDEX(Settings!$E$11:$E$15,MATCH(6,Settings!$A$11:$A$15,0))-1</f>
        <v/>
      </c>
    </row>
    <row r="25">
      <c r="A25" s="54" t="n">
        <v>0.62</v>
      </c>
      <c r="B25" s="55">
        <f>$A25^2*INDEX(Settings!$B$11:$B$15,MATCH(2,Settings!$A$11:$A$15,0))-1</f>
        <v/>
      </c>
      <c r="C25" s="55">
        <f>$A25^3*INDEX(Settings!$B$11:$B$15,MATCH(3,Settings!$A$11:$A$15,0))-1</f>
        <v/>
      </c>
      <c r="D25" s="55">
        <f>$A25^3*INDEX(Settings!$C$11:$C$15,MATCH(3,Settings!$A$11:$A$15,0))+3*$A25^2*(1-$A25)*INDEX(Settings!$D$11:$D$15,MATCH(3,Settings!$A$11:$A$15,0))+3*$A25^1*(1-$A25)^2*INDEX(Settings!$E$11:$E$15,MATCH(3,Settings!$A$11:$A$15,0))-1</f>
        <v/>
      </c>
      <c r="E25" s="55">
        <f>$A25^4*INDEX(Settings!$B$11:$B$15,MATCH(4,Settings!$A$11:$A$15,0))-1</f>
        <v/>
      </c>
      <c r="F25" s="55">
        <f>$A25^4*INDEX(Settings!$C$11:$C$15,MATCH(4,Settings!$A$11:$A$15,0))+4*$A25^3*(1-$A25)*INDEX(Settings!$D$11:$D$15,MATCH(4,Settings!$A$11:$A$15,0))+6*$A25^2*(1-$A25)^2*INDEX(Settings!$E$11:$E$15,MATCH(4,Settings!$A$11:$A$15,0))-1</f>
        <v/>
      </c>
      <c r="G25" s="55">
        <f>$A25^5*INDEX(Settings!$B$11:$B$15,MATCH(5,Settings!$A$11:$A$15,0))-1</f>
        <v/>
      </c>
      <c r="H25" s="55">
        <f>$A25^5*INDEX(Settings!$C$11:$C$15,MATCH(5,Settings!$A$11:$A$15,0))+5*$A25^4*(1-$A25)*INDEX(Settings!$D$11:$D$15,MATCH(5,Settings!$A$11:$A$15,0))+10*$A25^3*(1-$A25)^2*INDEX(Settings!$E$11:$E$15,MATCH(5,Settings!$A$11:$A$15,0))-1</f>
        <v/>
      </c>
      <c r="I25" s="55">
        <f>$A25^6*INDEX(Settings!$B$11:$B$15,MATCH(6,Settings!$A$11:$A$15,0))-1</f>
        <v/>
      </c>
      <c r="J25" s="55">
        <f>$A25^6*INDEX(Settings!$C$11:$C$15,MATCH(6,Settings!$A$11:$A$15,0))+6*$A25^5*(1-$A25)*INDEX(Settings!$D$11:$D$15,MATCH(6,Settings!$A$11:$A$15,0))+15*$A25^4*(1-$A25)^2*INDEX(Settings!$E$11:$E$15,MATCH(6,Settings!$A$11:$A$15,0))-1</f>
        <v/>
      </c>
    </row>
    <row r="26">
      <c r="A26" s="6" t="inlineStr">
        <is>
          <t>Break-even per leg</t>
        </is>
      </c>
      <c r="B26" s="17">
        <f>(1/INDEX(Settings!$B$11:$B$15,MATCH(2,Settings!$A$11:$A$15,0)))^(1/2)</f>
        <v/>
      </c>
      <c r="C26" s="17">
        <f>(1/INDEX(Settings!$B$11:$B$15,MATCH(3,Settings!$A$11:$A$15,0)))^(1/3)</f>
        <v/>
      </c>
      <c r="E26" s="17">
        <f>(1/INDEX(Settings!$B$11:$B$15,MATCH(4,Settings!$A$11:$A$15,0)))^(1/4)</f>
        <v/>
      </c>
      <c r="G26" s="17">
        <f>(1/INDEX(Settings!$B$11:$B$15,MATCH(5,Settings!$A$11:$A$15,0)))^(1/5)</f>
        <v/>
      </c>
      <c r="I26" s="17">
        <f>(1/INDEX(Settings!$B$11:$B$15,MATCH(6,Settings!$A$11:$A$15,0)))^(1/6)</f>
        <v/>
      </c>
    </row>
  </sheetData>
  <conditionalFormatting sqref="B13:J25">
    <cfRule type="cellIs" priority="1" operator="greaterThan" dxfId="3">
      <formula>0.0000001</formula>
    </cfRule>
    <cfRule type="cellIs" priority="2" operator="lessThan" dxfId="4">
      <formula>-0.0000001</formula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  <col width="14" customWidth="1" min="4" max="4"/>
    <col width="15" customWidth="1" min="5" max="5"/>
  </cols>
  <sheetData>
    <row r="1">
      <c r="A1" s="38" t="inlineStr">
        <is>
          <t>Settings</t>
        </is>
      </c>
    </row>
    <row r="2">
      <c r="A2" s="11" t="inlineStr">
        <is>
          <t>Blue cells on yellow can be changed. Everything in the report recalculates from them.</t>
        </is>
      </c>
    </row>
    <row r="4">
      <c r="A4" s="2" t="inlineStr">
        <is>
          <t>DECISION RULES</t>
        </is>
      </c>
      <c r="B4" s="3" t="n"/>
      <c r="C4" s="3" t="n"/>
      <c r="D4" s="3" t="n"/>
      <c r="E4" s="3" t="n"/>
    </row>
    <row r="5">
      <c r="A5" s="6" t="inlineStr">
        <is>
          <t>Safety cut per leg</t>
        </is>
      </c>
      <c r="B5" s="56" t="n">
        <v>0.01</v>
      </c>
      <c r="C5" s="12" t="inlineStr">
        <is>
          <t>Knocked off each leg before combining. The v5 3-point bias was fixed in v6; 1 point kept as a buffer until Week 4 grading.</t>
        </is>
      </c>
    </row>
    <row r="6">
      <c r="A6" s="6" t="inlineStr">
        <is>
          <t>Cushion needed per leg</t>
        </is>
      </c>
      <c r="B6" s="57" t="n">
        <v>0.05</v>
      </c>
      <c r="C6" s="12" t="inlineStr">
        <is>
          <t>An entry must beat break-even by this much per live leg (4 legs -&gt; +20% EV) before the verdict says PLAY.</t>
        </is>
      </c>
    </row>
    <row r="7">
      <c r="A7" s="6" t="inlineStr">
        <is>
          <t>Stake size (fraction of Kelly)</t>
        </is>
      </c>
      <c r="B7" s="57" t="n">
        <v>0.25</v>
      </c>
      <c r="C7" s="12" t="inlineStr">
        <is>
          <t>Suggested stake = bankroll x this x EV / (payout - 1). A quarter keeps you safe if the model is a few points off.</t>
        </is>
      </c>
    </row>
    <row r="9">
      <c r="A9" s="2" t="inlineStr">
        <is>
          <t>STANDARD PAYOUTS (used only when you leave the app multiplier blank, and for Top Entries)</t>
        </is>
      </c>
      <c r="B9" s="3" t="n"/>
      <c r="C9" s="3" t="n"/>
      <c r="D9" s="3" t="n"/>
      <c r="E9" s="3" t="n"/>
    </row>
    <row r="10">
      <c r="A10" s="4" t="inlineStr">
        <is>
          <t>Legs</t>
        </is>
      </c>
      <c r="B10" s="4" t="inlineStr">
        <is>
          <t>Power: all hit</t>
        </is>
      </c>
      <c r="C10" s="4" t="inlineStr">
        <is>
          <t>Flex: all hit</t>
        </is>
      </c>
      <c r="D10" s="4" t="inlineStr">
        <is>
          <t>Flex: 1 miss</t>
        </is>
      </c>
      <c r="E10" s="4" t="inlineStr">
        <is>
          <t>Flex: 2 misses</t>
        </is>
      </c>
    </row>
    <row r="11">
      <c r="A11" s="5" t="n">
        <v>2</v>
      </c>
      <c r="B11" s="19" t="n">
        <v>3</v>
      </c>
      <c r="C11" s="19" t="n"/>
      <c r="D11" s="19" t="n"/>
      <c r="E11" s="19" t="n"/>
    </row>
    <row r="12">
      <c r="A12" s="5" t="n">
        <v>3</v>
      </c>
      <c r="B12" s="19" t="n">
        <v>5</v>
      </c>
      <c r="C12" s="19" t="n">
        <v>2.25</v>
      </c>
      <c r="D12" s="19" t="n">
        <v>1.25</v>
      </c>
      <c r="E12" s="19" t="n">
        <v>0</v>
      </c>
    </row>
    <row r="13">
      <c r="A13" s="5" t="n">
        <v>4</v>
      </c>
      <c r="B13" s="19" t="n">
        <v>10</v>
      </c>
      <c r="C13" s="19" t="n">
        <v>5</v>
      </c>
      <c r="D13" s="19" t="n">
        <v>1.5</v>
      </c>
      <c r="E13" s="19" t="n">
        <v>0</v>
      </c>
    </row>
    <row r="14">
      <c r="A14" s="5" t="n">
        <v>5</v>
      </c>
      <c r="B14" s="19" t="n">
        <v>20</v>
      </c>
      <c r="C14" s="19" t="n">
        <v>10</v>
      </c>
      <c r="D14" s="19" t="n">
        <v>2</v>
      </c>
      <c r="E14" s="19" t="n">
        <v>0.4</v>
      </c>
    </row>
    <row r="15">
      <c r="A15" s="5" t="n">
        <v>6</v>
      </c>
      <c r="B15" s="19" t="n">
        <v>37.5</v>
      </c>
      <c r="C15" s="19" t="n">
        <v>25</v>
      </c>
      <c r="D15" s="19" t="n">
        <v>2</v>
      </c>
      <c r="E15" s="19" t="n">
        <v>0.4</v>
      </c>
    </row>
    <row r="17">
      <c r="A17" s="12" t="inlineStr">
        <is>
          <t>PrizePicks payouts change with the lines you pick and with promos, so always type the app's 'To Win' multiplier into the Entry Builder. These defaults are a fallback.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Aaron Rodgers | Anytime TDs</t>
        </is>
      </c>
      <c r="B1" t="inlineStr">
        <is>
          <t>Ben Skowronek | Anytime TDs</t>
        </is>
      </c>
      <c r="C1" t="inlineStr">
        <is>
          <t>Blake Whiteheart | Anytime TDs</t>
        </is>
      </c>
      <c r="D1" t="inlineStr">
        <is>
          <t>Darnell Washington | Anytime TDs</t>
        </is>
      </c>
      <c r="E1" t="inlineStr">
        <is>
          <t>Denzel Boston | Anytime TDs</t>
        </is>
      </c>
      <c r="F1" t="inlineStr">
        <is>
          <t>Deshaun Watson | Anytime TDs</t>
        </is>
      </c>
      <c r="G1" t="inlineStr">
        <is>
          <t>DK Metcalf | Anytime TDs</t>
        </is>
      </c>
      <c r="H1" t="inlineStr">
        <is>
          <t>Eli Heidenreich | Anytime TDs</t>
        </is>
      </c>
      <c r="I1" t="inlineStr">
        <is>
          <t>Germie Bernard | Anytime TDs</t>
        </is>
      </c>
      <c r="J1" t="inlineStr">
        <is>
          <t>Harold Fannin Jr. | Anytime TDs</t>
        </is>
      </c>
      <c r="K1" t="inlineStr">
        <is>
          <t>Isaiah Bond | Anytime TDs</t>
        </is>
      </c>
      <c r="L1" t="inlineStr">
        <is>
          <t>Jaleel McLaughlin | Anytime TDs</t>
        </is>
      </c>
      <c r="M1" t="inlineStr">
        <is>
          <t>Jaylen Warren | Anytime TDs</t>
        </is>
      </c>
      <c r="N1" t="inlineStr">
        <is>
          <t>Jerry Jeudy | Anytime TDs</t>
        </is>
      </c>
      <c r="O1" t="inlineStr">
        <is>
          <t>Kaden Wetjen | Anytime TDs</t>
        </is>
      </c>
      <c r="P1" t="inlineStr">
        <is>
          <t>Malachi Corley | Anytime TDs</t>
        </is>
      </c>
      <c r="Q1" t="inlineStr">
        <is>
          <t>Michael Burton | Anytime TDs</t>
        </is>
      </c>
      <c r="R1" t="inlineStr">
        <is>
          <t>Michael Pittman Jr. | Anytime TDs</t>
        </is>
      </c>
      <c r="S1" t="inlineStr">
        <is>
          <t>Pat Freiermuth | Anytime TDs</t>
        </is>
      </c>
      <c r="T1" t="inlineStr">
        <is>
          <t>Quinshon Judkins | Anytime TDs</t>
        </is>
      </c>
      <c r="U1" t="inlineStr">
        <is>
          <t>Raheim Sanders | Anytime TDs</t>
        </is>
      </c>
      <c r="V1" t="inlineStr">
        <is>
          <t>Robert Tonyan | Anytime TDs</t>
        </is>
      </c>
      <c r="W1" t="inlineStr">
        <is>
          <t>Roman Wilson | Anytime TDs</t>
        </is>
      </c>
      <c r="X1" t="inlineStr">
        <is>
          <t>Tylan Wallace | Anytime TDs</t>
        </is>
      </c>
      <c r="Y1" t="inlineStr">
        <is>
          <t>Aaron Rodgers | Pass Yds</t>
        </is>
      </c>
      <c r="Z1" t="inlineStr">
        <is>
          <t>Deshaun Watson | Pass Yds</t>
        </is>
      </c>
      <c r="AA1" t="inlineStr">
        <is>
          <t>Quinshon Judkins | Rush Yds</t>
        </is>
      </c>
      <c r="AB1" t="inlineStr">
        <is>
          <t>Aaron Rodgers | Pass TDs</t>
        </is>
      </c>
      <c r="AC1" t="inlineStr">
        <is>
          <t>Deshaun Watson | Pass TDs</t>
        </is>
      </c>
      <c r="AD1" t="inlineStr">
        <is>
          <t>DK Metcalf | Receptions</t>
        </is>
      </c>
      <c r="AE1" t="inlineStr">
        <is>
          <t>Harold Fannin Jr. | Receptions</t>
        </is>
      </c>
      <c r="AF1" t="inlineStr">
        <is>
          <t>Michael Pittman Jr. | Receptions</t>
        </is>
      </c>
      <c r="AG1" t="inlineStr">
        <is>
          <t>Pat Freiermuth | Receptions</t>
        </is>
      </c>
      <c r="AH1" t="inlineStr">
        <is>
          <t>DK Metcalf | Rec Yds</t>
        </is>
      </c>
      <c r="AI1" t="inlineStr">
        <is>
          <t>Harold Fannin Jr. | Rec Yds</t>
        </is>
      </c>
      <c r="AJ1" t="inlineStr">
        <is>
          <t>Michael Pittman Jr. | Rec Yds</t>
        </is>
      </c>
      <c r="AK1" t="inlineStr">
        <is>
          <t>Pat Freiermuth | Rec Yds</t>
        </is>
      </c>
      <c r="AL1" t="inlineStr">
        <is>
          <t>Denzel Boston | Receptions</t>
        </is>
      </c>
      <c r="AM1" t="inlineStr">
        <is>
          <t>Denzel Boston | Rec Yds</t>
        </is>
      </c>
      <c r="AN1" t="inlineStr">
        <is>
          <t>Lew Nichols III | Anytime TDs</t>
        </is>
      </c>
      <c r="AO1" t="inlineStr">
        <is>
          <t>Travis Homer | Anytime TDs</t>
        </is>
      </c>
      <c r="AP1" t="inlineStr">
        <is>
          <t>Jaylen Warren | Receptions</t>
        </is>
      </c>
      <c r="AQ1" t="inlineStr">
        <is>
          <t>Jaylen Warren | Rec Yds</t>
        </is>
      </c>
      <c r="AR1" t="inlineStr">
        <is>
          <t>Jaylen Warren | Rush+Rec Yds</t>
        </is>
      </c>
      <c r="AS1" t="inlineStr">
        <is>
          <t>Jaylen Warren | Rush Yds</t>
        </is>
      </c>
      <c r="AT1" t="inlineStr">
        <is>
          <t>Darnell Washington | Receptions</t>
        </is>
      </c>
      <c r="AU1" t="inlineStr">
        <is>
          <t>Jerry Jeudy | Receptions</t>
        </is>
      </c>
      <c r="AV1" t="inlineStr">
        <is>
          <t>Darnell Washington | Rec Yds</t>
        </is>
      </c>
      <c r="AW1" t="inlineStr">
        <is>
          <t>Jerry Jeudy | Rec Yds</t>
        </is>
      </c>
      <c r="AX1" t="inlineStr">
        <is>
          <t>Aaron Rodgers | Rush Yds</t>
        </is>
      </c>
      <c r="AY1" t="inlineStr">
        <is>
          <t>Deshaun Watson | Rush Yds</t>
        </is>
      </c>
      <c r="AZ1" t="inlineStr">
        <is>
          <t>Quinshon Judkins | Receptions</t>
        </is>
      </c>
      <c r="BA1" t="inlineStr">
        <is>
          <t>Quinshon Judkins | Rec Yds</t>
        </is>
      </c>
      <c r="BB1" t="inlineStr">
        <is>
          <t>Quinshon Judkins | Rush+Rec Yds</t>
        </is>
      </c>
      <c r="BC1" t="inlineStr">
        <is>
          <t>Denzel Boston | Rush+Rec Yds</t>
        </is>
      </c>
      <c r="BD1" t="inlineStr">
        <is>
          <t>DK Metcalf | Rush+Rec Yds</t>
        </is>
      </c>
      <c r="BE1" t="inlineStr">
        <is>
          <t>Jerry Jeudy | Rush+Rec Yds</t>
        </is>
      </c>
      <c r="BF1" t="inlineStr">
        <is>
          <t>Michael Pittman Jr. | Rush+Rec Yds</t>
        </is>
      </c>
      <c r="BG1" t="inlineStr">
        <is>
          <t>Roman Wilson | Receptions</t>
        </is>
      </c>
      <c r="BH1" t="inlineStr">
        <is>
          <t>Germie Bernard | Rec Yds</t>
        </is>
      </c>
      <c r="BI1" t="inlineStr">
        <is>
          <t>Roman Wilson | Rec Yds</t>
        </is>
      </c>
      <c r="BJ1" t="inlineStr">
        <is>
          <t>Roman Wilson | Rush+Rec Yds</t>
        </is>
      </c>
      <c r="BK1" t="inlineStr">
        <is>
          <t>Raheim Sanders | Receptions</t>
        </is>
      </c>
      <c r="BL1" t="inlineStr">
        <is>
          <t>Raheim Sanders | Rec Yds</t>
        </is>
      </c>
      <c r="BM1" t="inlineStr">
        <is>
          <t>Raheim Sanders | Rush+Rec Yds</t>
        </is>
      </c>
      <c r="BN1" t="inlineStr">
        <is>
          <t>Raheim Sanders | Rush Yds</t>
        </is>
      </c>
      <c r="BO1" t="inlineStr">
        <is>
          <t>Travis Homer | Rush Yds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81</v>
      </c>
      <c r="Z2" t="n">
        <v>218</v>
      </c>
      <c r="AA2" t="n">
        <v>88</v>
      </c>
      <c r="AB2" t="n">
        <v>1</v>
      </c>
      <c r="AC2" t="n">
        <v>0</v>
      </c>
      <c r="AD2" t="n">
        <v>1</v>
      </c>
      <c r="AE2" t="n">
        <v>4</v>
      </c>
      <c r="AF2" t="n">
        <v>0</v>
      </c>
      <c r="AG2" t="n">
        <v>2</v>
      </c>
      <c r="AH2" t="n">
        <v>2</v>
      </c>
      <c r="AI2" t="n">
        <v>47</v>
      </c>
      <c r="AJ2" t="n">
        <v>2</v>
      </c>
      <c r="AK2" t="n">
        <v>10</v>
      </c>
      <c r="AL2" t="n">
        <v>2</v>
      </c>
      <c r="AM2" t="n">
        <v>28</v>
      </c>
      <c r="AN2" t="n">
        <v>0</v>
      </c>
      <c r="AO2" t="n">
        <v>0</v>
      </c>
      <c r="AP2" t="n">
        <v>2</v>
      </c>
      <c r="AQ2" t="n">
        <v>7</v>
      </c>
      <c r="AR2" t="n">
        <v>70</v>
      </c>
      <c r="AS2" t="n">
        <v>63</v>
      </c>
      <c r="AT2" t="n">
        <v>3</v>
      </c>
      <c r="AU2" t="n">
        <v>1</v>
      </c>
      <c r="AV2" t="n">
        <v>10</v>
      </c>
      <c r="AW2" t="n">
        <v>19</v>
      </c>
      <c r="AX2" t="n">
        <v>4</v>
      </c>
      <c r="AY2" t="n">
        <v>38</v>
      </c>
      <c r="AZ2" t="n">
        <v>1</v>
      </c>
      <c r="BA2" t="n">
        <v>46</v>
      </c>
      <c r="BB2" t="n">
        <v>130</v>
      </c>
      <c r="BC2" t="n">
        <v>39</v>
      </c>
      <c r="BD2" t="n">
        <v>9</v>
      </c>
      <c r="BE2" t="n">
        <v>21</v>
      </c>
      <c r="BF2" t="n">
        <v>6</v>
      </c>
      <c r="BG2" t="n">
        <v>4</v>
      </c>
      <c r="BH2" t="n">
        <v>15</v>
      </c>
      <c r="BI2" t="n">
        <v>19</v>
      </c>
      <c r="BJ2" t="n">
        <v>17</v>
      </c>
      <c r="BK2" t="n">
        <v>2</v>
      </c>
      <c r="BL2" t="n">
        <v>24</v>
      </c>
      <c r="BM2" t="n">
        <v>21</v>
      </c>
      <c r="BN2" t="n">
        <v>4</v>
      </c>
      <c r="BO2" t="n">
        <v>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360</v>
      </c>
      <c r="Z3" t="n">
        <v>79</v>
      </c>
      <c r="AA3" t="n">
        <v>70</v>
      </c>
      <c r="AB3" t="n">
        <v>2</v>
      </c>
      <c r="AC3" t="n">
        <v>3</v>
      </c>
      <c r="AD3" t="n">
        <v>7</v>
      </c>
      <c r="AE3" t="n">
        <v>5</v>
      </c>
      <c r="AF3" t="n">
        <v>0</v>
      </c>
      <c r="AG3" t="n">
        <v>0</v>
      </c>
      <c r="AH3" t="n">
        <v>136</v>
      </c>
      <c r="AI3" t="n">
        <v>26</v>
      </c>
      <c r="AJ3" t="n">
        <v>22</v>
      </c>
      <c r="AK3" t="n">
        <v>1</v>
      </c>
      <c r="AL3" t="n">
        <v>2</v>
      </c>
      <c r="AM3" t="n">
        <v>27</v>
      </c>
      <c r="AN3" t="n">
        <v>0</v>
      </c>
      <c r="AO3" t="n">
        <v>0</v>
      </c>
      <c r="AP3" t="n">
        <v>8</v>
      </c>
      <c r="AQ3" t="n">
        <v>81</v>
      </c>
      <c r="AR3" t="n">
        <v>178</v>
      </c>
      <c r="AS3" t="n">
        <v>109</v>
      </c>
      <c r="AT3" t="n">
        <v>3</v>
      </c>
      <c r="AU3" t="n">
        <v>2</v>
      </c>
      <c r="AV3" t="n">
        <v>33</v>
      </c>
      <c r="AW3" t="n">
        <v>4</v>
      </c>
      <c r="AX3" t="n">
        <v>0</v>
      </c>
      <c r="AY3" t="n">
        <v>19</v>
      </c>
      <c r="AZ3" t="n">
        <v>0</v>
      </c>
      <c r="BA3" t="n">
        <v>2</v>
      </c>
      <c r="BB3" t="n">
        <v>68</v>
      </c>
      <c r="BC3" t="n">
        <v>22</v>
      </c>
      <c r="BD3" t="n">
        <v>122</v>
      </c>
      <c r="BE3" t="n">
        <v>29</v>
      </c>
      <c r="BF3" t="n">
        <v>25</v>
      </c>
      <c r="BG3" t="n">
        <v>7</v>
      </c>
      <c r="BH3" t="n">
        <v>12</v>
      </c>
      <c r="BI3" t="n">
        <v>76</v>
      </c>
      <c r="BJ3" t="n">
        <v>74</v>
      </c>
      <c r="BK3" t="n">
        <v>2</v>
      </c>
      <c r="BL3" t="n">
        <v>36</v>
      </c>
      <c r="BM3" t="n">
        <v>30</v>
      </c>
      <c r="BN3" t="n">
        <v>6</v>
      </c>
      <c r="BO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191</v>
      </c>
      <c r="Z4" t="n">
        <v>106</v>
      </c>
      <c r="AA4" t="n">
        <v>97</v>
      </c>
      <c r="AB4" t="n">
        <v>3</v>
      </c>
      <c r="AC4" t="n">
        <v>0</v>
      </c>
      <c r="AD4" t="n">
        <v>2</v>
      </c>
      <c r="AE4" t="n">
        <v>2</v>
      </c>
      <c r="AF4" t="n">
        <v>7</v>
      </c>
      <c r="AG4" t="n">
        <v>5</v>
      </c>
      <c r="AH4" t="n">
        <v>16</v>
      </c>
      <c r="AI4" t="n">
        <v>20</v>
      </c>
      <c r="AJ4" t="n">
        <v>55</v>
      </c>
      <c r="AK4" t="n">
        <v>19</v>
      </c>
      <c r="AL4" t="n">
        <v>0</v>
      </c>
      <c r="AM4" t="n">
        <v>31</v>
      </c>
      <c r="AN4" t="n">
        <v>0</v>
      </c>
      <c r="AO4" t="n">
        <v>0</v>
      </c>
      <c r="AP4" t="n">
        <v>5</v>
      </c>
      <c r="AQ4" t="n">
        <v>32</v>
      </c>
      <c r="AR4" t="n">
        <v>133</v>
      </c>
      <c r="AS4" t="n">
        <v>105</v>
      </c>
      <c r="AT4" t="n">
        <v>5</v>
      </c>
      <c r="AU4" t="n">
        <v>2</v>
      </c>
      <c r="AV4" t="n">
        <v>21</v>
      </c>
      <c r="AW4" t="n">
        <v>11</v>
      </c>
      <c r="AX4" t="n">
        <v>0</v>
      </c>
      <c r="AY4" t="n">
        <v>1</v>
      </c>
      <c r="AZ4" t="n">
        <v>3</v>
      </c>
      <c r="BA4" t="n">
        <v>-2</v>
      </c>
      <c r="BB4" t="n">
        <v>94</v>
      </c>
      <c r="BC4" t="n">
        <v>25</v>
      </c>
      <c r="BD4" t="n">
        <v>10</v>
      </c>
      <c r="BE4" t="n">
        <v>10</v>
      </c>
      <c r="BF4" t="n">
        <v>63</v>
      </c>
      <c r="BG4" t="n">
        <v>3</v>
      </c>
      <c r="BH4" t="n">
        <v>7</v>
      </c>
      <c r="BI4" t="n">
        <v>45</v>
      </c>
      <c r="BJ4" t="n">
        <v>41</v>
      </c>
      <c r="BK4" t="n">
        <v>5</v>
      </c>
      <c r="BL4" t="n">
        <v>30</v>
      </c>
      <c r="BM4" t="n">
        <v>60</v>
      </c>
      <c r="BN4" t="n">
        <v>29</v>
      </c>
      <c r="BO4" t="n">
        <v>14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239</v>
      </c>
      <c r="Z5" t="n">
        <v>101</v>
      </c>
      <c r="AA5" t="n">
        <v>145</v>
      </c>
      <c r="AB5" t="n">
        <v>1</v>
      </c>
      <c r="AC5" t="n">
        <v>4</v>
      </c>
      <c r="AD5" t="n">
        <v>5</v>
      </c>
      <c r="AE5" t="n">
        <v>4</v>
      </c>
      <c r="AF5" t="n">
        <v>3</v>
      </c>
      <c r="AG5" t="n">
        <v>4</v>
      </c>
      <c r="AH5" t="n">
        <v>127</v>
      </c>
      <c r="AI5" t="n">
        <v>32</v>
      </c>
      <c r="AJ5" t="n">
        <v>28</v>
      </c>
      <c r="AK5" t="n">
        <v>30</v>
      </c>
      <c r="AL5" t="n">
        <v>2</v>
      </c>
      <c r="AM5" t="n">
        <v>44</v>
      </c>
      <c r="AN5" t="n">
        <v>0</v>
      </c>
      <c r="AO5" t="n">
        <v>0</v>
      </c>
      <c r="AP5" t="n">
        <v>3</v>
      </c>
      <c r="AQ5" t="n">
        <v>0</v>
      </c>
      <c r="AR5" t="n">
        <v>58</v>
      </c>
      <c r="AS5" t="n">
        <v>53</v>
      </c>
      <c r="AT5" t="n">
        <v>1</v>
      </c>
      <c r="AU5" t="n">
        <v>1</v>
      </c>
      <c r="AV5" t="n">
        <v>8</v>
      </c>
      <c r="AW5" t="n">
        <v>6</v>
      </c>
      <c r="AX5" t="n">
        <v>12</v>
      </c>
      <c r="AY5" t="n">
        <v>92</v>
      </c>
      <c r="AZ5" t="n">
        <v>1</v>
      </c>
      <c r="BA5" t="n">
        <v>9</v>
      </c>
      <c r="BB5" t="n">
        <v>141</v>
      </c>
      <c r="BC5" t="n">
        <v>78</v>
      </c>
      <c r="BD5" t="n">
        <v>116</v>
      </c>
      <c r="BE5" t="n">
        <v>6</v>
      </c>
      <c r="BF5" t="n">
        <v>33</v>
      </c>
      <c r="BG5" t="n">
        <v>0</v>
      </c>
      <c r="BH5" t="n">
        <v>10</v>
      </c>
      <c r="BI5" t="n">
        <v>1</v>
      </c>
      <c r="BJ5" t="n">
        <v>16</v>
      </c>
      <c r="BK5" t="n">
        <v>1</v>
      </c>
      <c r="BL5" t="n">
        <v>18</v>
      </c>
      <c r="BM5" t="n">
        <v>8</v>
      </c>
      <c r="BN5" t="n">
        <v>-2</v>
      </c>
      <c r="BO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212</v>
      </c>
      <c r="Z6" t="n">
        <v>202</v>
      </c>
      <c r="AA6" t="n">
        <v>39</v>
      </c>
      <c r="AB6" t="n">
        <v>1</v>
      </c>
      <c r="AC6" t="n">
        <v>3</v>
      </c>
      <c r="AD6" t="n">
        <v>8</v>
      </c>
      <c r="AE6" t="n">
        <v>7</v>
      </c>
      <c r="AF6" t="n">
        <v>0</v>
      </c>
      <c r="AG6" t="n">
        <v>5</v>
      </c>
      <c r="AH6" t="n">
        <v>99</v>
      </c>
      <c r="AI6" t="n">
        <v>56</v>
      </c>
      <c r="AJ6" t="n">
        <v>2</v>
      </c>
      <c r="AK6" t="n">
        <v>36</v>
      </c>
      <c r="AL6" t="n">
        <v>2</v>
      </c>
      <c r="AM6" t="n">
        <v>37</v>
      </c>
      <c r="AN6" t="n">
        <v>0</v>
      </c>
      <c r="AO6" t="n">
        <v>0</v>
      </c>
      <c r="AP6" t="n">
        <v>4</v>
      </c>
      <c r="AQ6" t="n">
        <v>27</v>
      </c>
      <c r="AR6" t="n">
        <v>55</v>
      </c>
      <c r="AS6" t="n">
        <v>34</v>
      </c>
      <c r="AT6" t="n">
        <v>1</v>
      </c>
      <c r="AU6" t="n">
        <v>3</v>
      </c>
      <c r="AV6" t="n">
        <v>10</v>
      </c>
      <c r="AW6" t="n">
        <v>37</v>
      </c>
      <c r="AX6" t="n">
        <v>0</v>
      </c>
      <c r="AY6" t="n">
        <v>53</v>
      </c>
      <c r="AZ6" t="n">
        <v>1</v>
      </c>
      <c r="BA6" t="n">
        <v>22</v>
      </c>
      <c r="BB6" t="n">
        <v>59</v>
      </c>
      <c r="BC6" t="n">
        <v>32</v>
      </c>
      <c r="BD6" t="n">
        <v>89</v>
      </c>
      <c r="BE6" t="n">
        <v>36</v>
      </c>
      <c r="BF6" t="n">
        <v>2</v>
      </c>
      <c r="BG6" t="n">
        <v>1</v>
      </c>
      <c r="BH6" t="n">
        <v>15</v>
      </c>
      <c r="BI6" t="n">
        <v>8</v>
      </c>
      <c r="BJ6" t="n">
        <v>24</v>
      </c>
      <c r="BK6" t="n">
        <v>7</v>
      </c>
      <c r="BL6" t="n">
        <v>48</v>
      </c>
      <c r="BM6" t="n">
        <v>41</v>
      </c>
      <c r="BN6" t="n">
        <v>8</v>
      </c>
      <c r="BO6" t="n">
        <v>21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153</v>
      </c>
      <c r="Z7" t="n">
        <v>87</v>
      </c>
      <c r="AA7" t="n">
        <v>57</v>
      </c>
      <c r="AB7" t="n">
        <v>1</v>
      </c>
      <c r="AC7" t="n">
        <v>0</v>
      </c>
      <c r="AD7" t="n">
        <v>2</v>
      </c>
      <c r="AE7" t="n">
        <v>3</v>
      </c>
      <c r="AF7" t="n">
        <v>5</v>
      </c>
      <c r="AG7" t="n">
        <v>2</v>
      </c>
      <c r="AH7" t="n">
        <v>16</v>
      </c>
      <c r="AI7" t="n">
        <v>6</v>
      </c>
      <c r="AJ7" t="n">
        <v>40</v>
      </c>
      <c r="AK7" t="n">
        <v>32</v>
      </c>
      <c r="AL7" t="n">
        <v>4</v>
      </c>
      <c r="AM7" t="n">
        <v>48</v>
      </c>
      <c r="AN7" t="n">
        <v>0</v>
      </c>
      <c r="AO7" t="n">
        <v>0</v>
      </c>
      <c r="AP7" t="n">
        <v>2</v>
      </c>
      <c r="AQ7" t="n">
        <v>21</v>
      </c>
      <c r="AR7" t="n">
        <v>89</v>
      </c>
      <c r="AS7" t="n">
        <v>71</v>
      </c>
      <c r="AT7" t="n">
        <v>0</v>
      </c>
      <c r="AU7" t="n">
        <v>0</v>
      </c>
      <c r="AV7" t="n">
        <v>20</v>
      </c>
      <c r="AW7" t="n">
        <v>1</v>
      </c>
      <c r="AX7" t="n">
        <v>11</v>
      </c>
      <c r="AY7" t="n">
        <v>1</v>
      </c>
      <c r="AZ7" t="n">
        <v>2</v>
      </c>
      <c r="BA7" t="n">
        <v>2</v>
      </c>
      <c r="BB7" t="n">
        <v>56</v>
      </c>
      <c r="BC7" t="n">
        <v>46</v>
      </c>
      <c r="BD7" t="n">
        <v>12</v>
      </c>
      <c r="BE7" t="n">
        <v>12</v>
      </c>
      <c r="BF7" t="n">
        <v>39</v>
      </c>
      <c r="BG7" t="n">
        <v>3</v>
      </c>
      <c r="BH7" t="n">
        <v>5</v>
      </c>
      <c r="BI7" t="n">
        <v>16</v>
      </c>
      <c r="BJ7" t="n">
        <v>23</v>
      </c>
      <c r="BK7" t="n">
        <v>5</v>
      </c>
      <c r="BL7" t="n">
        <v>37</v>
      </c>
      <c r="BM7" t="n">
        <v>31</v>
      </c>
      <c r="BN7" t="n">
        <v>5</v>
      </c>
      <c r="BO7" t="n">
        <v>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139</v>
      </c>
      <c r="Z8" t="n">
        <v>238</v>
      </c>
      <c r="AA8" t="n">
        <v>72</v>
      </c>
      <c r="AB8" t="n">
        <v>0</v>
      </c>
      <c r="AC8" t="n">
        <v>0</v>
      </c>
      <c r="AD8" t="n">
        <v>4</v>
      </c>
      <c r="AE8" t="n">
        <v>4</v>
      </c>
      <c r="AF8" t="n">
        <v>0</v>
      </c>
      <c r="AG8" t="n">
        <v>6</v>
      </c>
      <c r="AH8" t="n">
        <v>36</v>
      </c>
      <c r="AI8" t="n">
        <v>45</v>
      </c>
      <c r="AJ8" t="n">
        <v>2</v>
      </c>
      <c r="AK8" t="n">
        <v>60</v>
      </c>
      <c r="AL8" t="n">
        <v>5</v>
      </c>
      <c r="AM8" t="n">
        <v>94</v>
      </c>
      <c r="AN8" t="n">
        <v>0</v>
      </c>
      <c r="AO8" t="n">
        <v>0</v>
      </c>
      <c r="AP8" t="n">
        <v>1</v>
      </c>
      <c r="AQ8" t="n">
        <v>6</v>
      </c>
      <c r="AR8" t="n">
        <v>81</v>
      </c>
      <c r="AS8" t="n">
        <v>75</v>
      </c>
      <c r="AT8" t="n">
        <v>2</v>
      </c>
      <c r="AU8" t="n">
        <v>1</v>
      </c>
      <c r="AV8" t="n">
        <v>32</v>
      </c>
      <c r="AW8" t="n">
        <v>21</v>
      </c>
      <c r="AX8" t="n">
        <v>19</v>
      </c>
      <c r="AY8" t="n">
        <v>0</v>
      </c>
      <c r="AZ8" t="n">
        <v>3</v>
      </c>
      <c r="BA8" t="n">
        <v>24</v>
      </c>
      <c r="BB8" t="n">
        <v>95</v>
      </c>
      <c r="BC8" t="n">
        <v>90</v>
      </c>
      <c r="BD8" t="n">
        <v>32</v>
      </c>
      <c r="BE8" t="n">
        <v>22</v>
      </c>
      <c r="BF8" t="n">
        <v>5</v>
      </c>
      <c r="BG8" t="n">
        <v>1</v>
      </c>
      <c r="BH8" t="n">
        <v>5</v>
      </c>
      <c r="BI8" t="n">
        <v>16</v>
      </c>
      <c r="BJ8" t="n">
        <v>13</v>
      </c>
      <c r="BK8" t="n">
        <v>0</v>
      </c>
      <c r="BL8" t="n">
        <v>13</v>
      </c>
      <c r="BM8" t="n">
        <v>12</v>
      </c>
      <c r="BN8" t="n">
        <v>3</v>
      </c>
      <c r="BO8" t="n">
        <v>2</v>
      </c>
    </row>
    <row r="9">
      <c r="A9" t="n">
        <v>0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281</v>
      </c>
      <c r="Z9" t="n">
        <v>202</v>
      </c>
      <c r="AA9" t="n">
        <v>27</v>
      </c>
      <c r="AB9" t="n">
        <v>3</v>
      </c>
      <c r="AC9" t="n">
        <v>5</v>
      </c>
      <c r="AD9" t="n">
        <v>8</v>
      </c>
      <c r="AE9" t="n">
        <v>11</v>
      </c>
      <c r="AF9" t="n">
        <v>1</v>
      </c>
      <c r="AG9" t="n">
        <v>7</v>
      </c>
      <c r="AH9" t="n">
        <v>89</v>
      </c>
      <c r="AI9" t="n">
        <v>105</v>
      </c>
      <c r="AJ9" t="n">
        <v>21</v>
      </c>
      <c r="AK9" t="n">
        <v>66</v>
      </c>
      <c r="AL9" t="n">
        <v>3</v>
      </c>
      <c r="AM9" t="n">
        <v>16</v>
      </c>
      <c r="AN9" t="n">
        <v>2</v>
      </c>
      <c r="AO9" t="n">
        <v>0</v>
      </c>
      <c r="AP9" t="n">
        <v>5</v>
      </c>
      <c r="AQ9" t="n">
        <v>7</v>
      </c>
      <c r="AR9" t="n">
        <v>69</v>
      </c>
      <c r="AS9" t="n">
        <v>61</v>
      </c>
      <c r="AT9" t="n">
        <v>3</v>
      </c>
      <c r="AU9" t="n">
        <v>3</v>
      </c>
      <c r="AV9" t="n">
        <v>28</v>
      </c>
      <c r="AW9" t="n">
        <v>24</v>
      </c>
      <c r="AX9" t="n">
        <v>0</v>
      </c>
      <c r="AY9" t="n">
        <v>26</v>
      </c>
      <c r="AZ9" t="n">
        <v>2</v>
      </c>
      <c r="BA9" t="n">
        <v>11</v>
      </c>
      <c r="BB9" t="n">
        <v>37</v>
      </c>
      <c r="BC9" t="n">
        <v>61</v>
      </c>
      <c r="BD9" t="n">
        <v>84</v>
      </c>
      <c r="BE9" t="n">
        <v>24</v>
      </c>
      <c r="BF9" t="n">
        <v>26</v>
      </c>
      <c r="BG9" t="n">
        <v>6</v>
      </c>
      <c r="BH9" t="n">
        <v>11</v>
      </c>
      <c r="BI9" t="n">
        <v>62</v>
      </c>
      <c r="BJ9" t="n">
        <v>60</v>
      </c>
      <c r="BK9" t="n">
        <v>2</v>
      </c>
      <c r="BL9" t="n">
        <v>20</v>
      </c>
      <c r="BM9" t="n">
        <v>37</v>
      </c>
      <c r="BN9" t="n">
        <v>16</v>
      </c>
      <c r="BO9" t="n">
        <v>2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271</v>
      </c>
      <c r="Z10" t="n">
        <v>282</v>
      </c>
      <c r="AA10" t="n">
        <v>70</v>
      </c>
      <c r="AB10" t="n">
        <v>2</v>
      </c>
      <c r="AC10" t="n">
        <v>3</v>
      </c>
      <c r="AD10" t="n">
        <v>6</v>
      </c>
      <c r="AE10" t="n">
        <v>3</v>
      </c>
      <c r="AF10" t="n">
        <v>4</v>
      </c>
      <c r="AG10" t="n">
        <v>3</v>
      </c>
      <c r="AH10" t="n">
        <v>96</v>
      </c>
      <c r="AI10" t="n">
        <v>21</v>
      </c>
      <c r="AJ10" t="n">
        <v>38</v>
      </c>
      <c r="AK10" t="n">
        <v>30</v>
      </c>
      <c r="AL10" t="n">
        <v>1</v>
      </c>
      <c r="AM10" t="n">
        <v>27</v>
      </c>
      <c r="AN10" t="n">
        <v>0</v>
      </c>
      <c r="AO10" t="n">
        <v>0</v>
      </c>
      <c r="AP10" t="n">
        <v>3</v>
      </c>
      <c r="AQ10" t="n">
        <v>26</v>
      </c>
      <c r="AR10" t="n">
        <v>104</v>
      </c>
      <c r="AS10" t="n">
        <v>81</v>
      </c>
      <c r="AT10" t="n">
        <v>0</v>
      </c>
      <c r="AU10" t="n">
        <v>3</v>
      </c>
      <c r="AV10" t="n">
        <v>1</v>
      </c>
      <c r="AW10" t="n">
        <v>57</v>
      </c>
      <c r="AX10" t="n">
        <v>0</v>
      </c>
      <c r="AY10" t="n">
        <v>35</v>
      </c>
      <c r="AZ10" t="n">
        <v>4</v>
      </c>
      <c r="BA10" t="n">
        <v>21</v>
      </c>
      <c r="BB10" t="n">
        <v>88</v>
      </c>
      <c r="BC10" t="n">
        <v>22</v>
      </c>
      <c r="BD10" t="n">
        <v>87</v>
      </c>
      <c r="BE10" t="n">
        <v>61</v>
      </c>
      <c r="BF10" t="n">
        <v>39</v>
      </c>
      <c r="BG10" t="n">
        <v>0</v>
      </c>
      <c r="BH10" t="n">
        <v>0</v>
      </c>
      <c r="BI10" t="n">
        <v>13</v>
      </c>
      <c r="BJ10" t="n">
        <v>20</v>
      </c>
      <c r="BK10" t="n">
        <v>2</v>
      </c>
      <c r="BL10" t="n">
        <v>1</v>
      </c>
      <c r="BM10" t="n">
        <v>43</v>
      </c>
      <c r="BN10" t="n">
        <v>26</v>
      </c>
      <c r="BO10" t="n">
        <v>25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190</v>
      </c>
      <c r="Z11" t="n">
        <v>182</v>
      </c>
      <c r="AA11" t="n">
        <v>84</v>
      </c>
      <c r="AB11" t="n">
        <v>0</v>
      </c>
      <c r="AC11" t="n">
        <v>1</v>
      </c>
      <c r="AD11" t="n">
        <v>6</v>
      </c>
      <c r="AE11" t="n">
        <v>4</v>
      </c>
      <c r="AF11" t="n">
        <v>2</v>
      </c>
      <c r="AG11" t="n">
        <v>3</v>
      </c>
      <c r="AH11" t="n">
        <v>44</v>
      </c>
      <c r="AI11" t="n">
        <v>33</v>
      </c>
      <c r="AJ11" t="n">
        <v>12</v>
      </c>
      <c r="AK11" t="n">
        <v>38</v>
      </c>
      <c r="AL11" t="n">
        <v>5</v>
      </c>
      <c r="AM11" t="n">
        <v>54</v>
      </c>
      <c r="AN11" t="n">
        <v>0</v>
      </c>
      <c r="AO11" t="n">
        <v>0</v>
      </c>
      <c r="AP11" t="n">
        <v>9</v>
      </c>
      <c r="AQ11" t="n">
        <v>29</v>
      </c>
      <c r="AR11" t="n">
        <v>101</v>
      </c>
      <c r="AS11" t="n">
        <v>77</v>
      </c>
      <c r="AT11" t="n">
        <v>1</v>
      </c>
      <c r="AU11" t="n">
        <v>2</v>
      </c>
      <c r="AV11" t="n">
        <v>8</v>
      </c>
      <c r="AW11" t="n">
        <v>13</v>
      </c>
      <c r="AX11" t="n">
        <v>2</v>
      </c>
      <c r="AY11" t="n">
        <v>36</v>
      </c>
      <c r="AZ11" t="n">
        <v>0</v>
      </c>
      <c r="BA11" t="n">
        <v>3</v>
      </c>
      <c r="BB11" t="n">
        <v>81</v>
      </c>
      <c r="BC11" t="n">
        <v>45</v>
      </c>
      <c r="BD11" t="n">
        <v>39</v>
      </c>
      <c r="BE11" t="n">
        <v>13</v>
      </c>
      <c r="BF11" t="n">
        <v>24</v>
      </c>
      <c r="BG11" t="n">
        <v>5</v>
      </c>
      <c r="BH11" t="n">
        <v>5</v>
      </c>
      <c r="BI11" t="n">
        <v>80</v>
      </c>
      <c r="BJ11" t="n">
        <v>73</v>
      </c>
      <c r="BK11" t="n">
        <v>6</v>
      </c>
      <c r="BL11" t="n">
        <v>64</v>
      </c>
      <c r="BM11" t="n">
        <v>54</v>
      </c>
      <c r="BN11" t="n">
        <v>10</v>
      </c>
      <c r="BO11" t="n">
        <v>23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236</v>
      </c>
      <c r="Z12" t="n">
        <v>241</v>
      </c>
      <c r="AA12" t="n">
        <v>76</v>
      </c>
      <c r="AB12" t="n">
        <v>1</v>
      </c>
      <c r="AC12" t="n">
        <v>1</v>
      </c>
      <c r="AD12" t="n">
        <v>1</v>
      </c>
      <c r="AE12" t="n">
        <v>3</v>
      </c>
      <c r="AF12" t="n">
        <v>3</v>
      </c>
      <c r="AG12" t="n">
        <v>5</v>
      </c>
      <c r="AH12" t="n">
        <v>55</v>
      </c>
      <c r="AI12" t="n">
        <v>28</v>
      </c>
      <c r="AJ12" t="n">
        <v>42</v>
      </c>
      <c r="AK12" t="n">
        <v>32</v>
      </c>
      <c r="AL12" t="n">
        <v>2</v>
      </c>
      <c r="AM12" t="n">
        <v>6</v>
      </c>
      <c r="AN12" t="n">
        <v>0</v>
      </c>
      <c r="AO12" t="n">
        <v>0</v>
      </c>
      <c r="AP12" t="n">
        <v>4</v>
      </c>
      <c r="AQ12" t="n">
        <v>29</v>
      </c>
      <c r="AR12" t="n">
        <v>73</v>
      </c>
      <c r="AS12" t="n">
        <v>49</v>
      </c>
      <c r="AT12" t="n">
        <v>2</v>
      </c>
      <c r="AU12" t="n">
        <v>3</v>
      </c>
      <c r="AV12" t="n">
        <v>-3</v>
      </c>
      <c r="AW12" t="n">
        <v>31</v>
      </c>
      <c r="AX12" t="n">
        <v>0</v>
      </c>
      <c r="AY12" t="n">
        <v>28</v>
      </c>
      <c r="AZ12" t="n">
        <v>3</v>
      </c>
      <c r="BA12" t="n">
        <v>8</v>
      </c>
      <c r="BB12" t="n">
        <v>79</v>
      </c>
      <c r="BC12" t="n">
        <v>43</v>
      </c>
      <c r="BD12" t="n">
        <v>53</v>
      </c>
      <c r="BE12" t="n">
        <v>43</v>
      </c>
      <c r="BF12" t="n">
        <v>33</v>
      </c>
      <c r="BG12" t="n">
        <v>1</v>
      </c>
      <c r="BH12" t="n">
        <v>14</v>
      </c>
      <c r="BI12" t="n">
        <v>1</v>
      </c>
      <c r="BJ12" t="n">
        <v>1</v>
      </c>
      <c r="BK12" t="n">
        <v>1</v>
      </c>
      <c r="BL12" t="n">
        <v>36</v>
      </c>
      <c r="BM12" t="n">
        <v>57</v>
      </c>
      <c r="BN12" t="n">
        <v>24</v>
      </c>
      <c r="BO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326</v>
      </c>
      <c r="Z13" t="n">
        <v>228</v>
      </c>
      <c r="AA13" t="n">
        <v>22</v>
      </c>
      <c r="AB13" t="n">
        <v>3</v>
      </c>
      <c r="AC13" t="n">
        <v>1</v>
      </c>
      <c r="AD13" t="n">
        <v>6</v>
      </c>
      <c r="AE13" t="n">
        <v>4</v>
      </c>
      <c r="AF13" t="n">
        <v>3</v>
      </c>
      <c r="AG13" t="n">
        <v>4</v>
      </c>
      <c r="AH13" t="n">
        <v>125</v>
      </c>
      <c r="AI13" t="n">
        <v>67</v>
      </c>
      <c r="AJ13" t="n">
        <v>47</v>
      </c>
      <c r="AK13" t="n">
        <v>44</v>
      </c>
      <c r="AL13" t="n">
        <v>3</v>
      </c>
      <c r="AM13" t="n">
        <v>51</v>
      </c>
      <c r="AN13" t="n">
        <v>0</v>
      </c>
      <c r="AO13" t="n">
        <v>0</v>
      </c>
      <c r="AP13" t="n">
        <v>4</v>
      </c>
      <c r="AQ13" t="n">
        <v>41</v>
      </c>
      <c r="AR13" t="n">
        <v>83</v>
      </c>
      <c r="AS13" t="n">
        <v>49</v>
      </c>
      <c r="AT13" t="n">
        <v>3</v>
      </c>
      <c r="AU13" t="n">
        <v>2</v>
      </c>
      <c r="AV13" t="n">
        <v>32</v>
      </c>
      <c r="AW13" t="n">
        <v>24</v>
      </c>
      <c r="AX13" t="n">
        <v>0</v>
      </c>
      <c r="AY13" t="n">
        <v>37</v>
      </c>
      <c r="AZ13" t="n">
        <v>0</v>
      </c>
      <c r="BA13" t="n">
        <v>1</v>
      </c>
      <c r="BB13" t="n">
        <v>21</v>
      </c>
      <c r="BC13" t="n">
        <v>49</v>
      </c>
      <c r="BD13" t="n">
        <v>111</v>
      </c>
      <c r="BE13" t="n">
        <v>27</v>
      </c>
      <c r="BF13" t="n">
        <v>37</v>
      </c>
      <c r="BG13" t="n">
        <v>3</v>
      </c>
      <c r="BH13" t="n">
        <v>1</v>
      </c>
      <c r="BI13" t="n">
        <v>7</v>
      </c>
      <c r="BJ13" t="n">
        <v>12</v>
      </c>
      <c r="BK13" t="n">
        <v>4</v>
      </c>
      <c r="BL13" t="n">
        <v>36</v>
      </c>
      <c r="BM13" t="n">
        <v>29</v>
      </c>
      <c r="BN13" t="n">
        <v>5</v>
      </c>
      <c r="BO13" t="n">
        <v>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310</v>
      </c>
      <c r="Z14" t="n">
        <v>194</v>
      </c>
      <c r="AA14" t="n">
        <v>136</v>
      </c>
      <c r="AB14" t="n">
        <v>2</v>
      </c>
      <c r="AC14" t="n">
        <v>0</v>
      </c>
      <c r="AD14" t="n">
        <v>2</v>
      </c>
      <c r="AE14" t="n">
        <v>3</v>
      </c>
      <c r="AF14" t="n">
        <v>13</v>
      </c>
      <c r="AG14" t="n">
        <v>1</v>
      </c>
      <c r="AH14" t="n">
        <v>31</v>
      </c>
      <c r="AI14" t="n">
        <v>2</v>
      </c>
      <c r="AJ14" t="n">
        <v>181</v>
      </c>
      <c r="AK14" t="n">
        <v>19</v>
      </c>
      <c r="AL14" t="n">
        <v>1</v>
      </c>
      <c r="AM14" t="n">
        <v>36</v>
      </c>
      <c r="AN14" t="n">
        <v>0</v>
      </c>
      <c r="AO14" t="n">
        <v>0</v>
      </c>
      <c r="AP14" t="n">
        <v>3</v>
      </c>
      <c r="AQ14" t="n">
        <v>-2</v>
      </c>
      <c r="AR14" t="n">
        <v>79</v>
      </c>
      <c r="AS14" t="n">
        <v>75</v>
      </c>
      <c r="AT14" t="n">
        <v>2</v>
      </c>
      <c r="AU14" t="n">
        <v>2</v>
      </c>
      <c r="AV14" t="n">
        <v>8</v>
      </c>
      <c r="AW14" t="n">
        <v>29</v>
      </c>
      <c r="AX14" t="n">
        <v>9</v>
      </c>
      <c r="AY14" t="n">
        <v>11</v>
      </c>
      <c r="AZ14" t="n">
        <v>5</v>
      </c>
      <c r="BA14" t="n">
        <v>68</v>
      </c>
      <c r="BB14" t="n">
        <v>201</v>
      </c>
      <c r="BC14" t="n">
        <v>42</v>
      </c>
      <c r="BD14" t="n">
        <v>30</v>
      </c>
      <c r="BE14" t="n">
        <v>29</v>
      </c>
      <c r="BF14" t="n">
        <v>148</v>
      </c>
      <c r="BG14" t="n">
        <v>4</v>
      </c>
      <c r="BH14" t="n">
        <v>0</v>
      </c>
      <c r="BI14" t="n">
        <v>84</v>
      </c>
      <c r="BJ14" t="n">
        <v>77</v>
      </c>
      <c r="BK14" t="n">
        <v>4</v>
      </c>
      <c r="BL14" t="n">
        <v>8</v>
      </c>
      <c r="BM14" t="n">
        <v>5</v>
      </c>
      <c r="BN14" t="n">
        <v>0</v>
      </c>
      <c r="BO14" t="n">
        <v>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417</v>
      </c>
      <c r="Z15" t="n">
        <v>260</v>
      </c>
      <c r="AA15" t="n">
        <v>100</v>
      </c>
      <c r="AB15" t="n">
        <v>5</v>
      </c>
      <c r="AC15" t="n">
        <v>1</v>
      </c>
      <c r="AD15" t="n">
        <v>7</v>
      </c>
      <c r="AE15" t="n">
        <v>8</v>
      </c>
      <c r="AF15" t="n">
        <v>2</v>
      </c>
      <c r="AG15" t="n">
        <v>5</v>
      </c>
      <c r="AH15" t="n">
        <v>153</v>
      </c>
      <c r="AI15" t="n">
        <v>81</v>
      </c>
      <c r="AJ15" t="n">
        <v>2</v>
      </c>
      <c r="AK15" t="n">
        <v>45</v>
      </c>
      <c r="AL15" t="n">
        <v>0</v>
      </c>
      <c r="AM15" t="n">
        <v>18</v>
      </c>
      <c r="AN15" t="n">
        <v>0</v>
      </c>
      <c r="AO15" t="n">
        <v>0</v>
      </c>
      <c r="AP15" t="n">
        <v>1</v>
      </c>
      <c r="AQ15" t="n">
        <v>10</v>
      </c>
      <c r="AR15" t="n">
        <v>102</v>
      </c>
      <c r="AS15" t="n">
        <v>90</v>
      </c>
      <c r="AT15" t="n">
        <v>2</v>
      </c>
      <c r="AU15" t="n">
        <v>0</v>
      </c>
      <c r="AV15" t="n">
        <v>12</v>
      </c>
      <c r="AW15" t="n">
        <v>22</v>
      </c>
      <c r="AX15" t="n">
        <v>0</v>
      </c>
      <c r="AY15" t="n">
        <v>5</v>
      </c>
      <c r="AZ15" t="n">
        <v>6</v>
      </c>
      <c r="BA15" t="n">
        <v>26</v>
      </c>
      <c r="BB15" t="n">
        <v>121</v>
      </c>
      <c r="BC15" t="n">
        <v>15</v>
      </c>
      <c r="BD15" t="n">
        <v>133</v>
      </c>
      <c r="BE15" t="n">
        <v>22</v>
      </c>
      <c r="BF15" t="n">
        <v>3</v>
      </c>
      <c r="BG15" t="n">
        <v>1</v>
      </c>
      <c r="BH15" t="n">
        <v>0</v>
      </c>
      <c r="BI15" t="n">
        <v>32</v>
      </c>
      <c r="BJ15" t="n">
        <v>28</v>
      </c>
      <c r="BK15" t="n">
        <v>3</v>
      </c>
      <c r="BL15" t="n">
        <v>21</v>
      </c>
      <c r="BM15" t="n">
        <v>30</v>
      </c>
      <c r="BN15" t="n">
        <v>11</v>
      </c>
      <c r="BO15" t="n">
        <v>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263</v>
      </c>
      <c r="Z16" t="n">
        <v>128</v>
      </c>
      <c r="AA16" t="n">
        <v>62</v>
      </c>
      <c r="AB16" t="n">
        <v>0</v>
      </c>
      <c r="AC16" t="n">
        <v>1</v>
      </c>
      <c r="AD16" t="n">
        <v>1</v>
      </c>
      <c r="AE16" t="n">
        <v>4</v>
      </c>
      <c r="AF16" t="n">
        <v>3</v>
      </c>
      <c r="AG16" t="n">
        <v>5</v>
      </c>
      <c r="AH16" t="n">
        <v>28</v>
      </c>
      <c r="AI16" t="n">
        <v>18</v>
      </c>
      <c r="AJ16" t="n">
        <v>50</v>
      </c>
      <c r="AK16" t="n">
        <v>81</v>
      </c>
      <c r="AL16" t="n">
        <v>4</v>
      </c>
      <c r="AM16" t="n">
        <v>25</v>
      </c>
      <c r="AN16" t="n">
        <v>0</v>
      </c>
      <c r="AO16" t="n">
        <v>0</v>
      </c>
      <c r="AP16" t="n">
        <v>12</v>
      </c>
      <c r="AQ16" t="n">
        <v>52</v>
      </c>
      <c r="AR16" t="n">
        <v>101</v>
      </c>
      <c r="AS16" t="n">
        <v>58</v>
      </c>
      <c r="AT16" t="n">
        <v>2</v>
      </c>
      <c r="AU16" t="n">
        <v>3</v>
      </c>
      <c r="AV16" t="n">
        <v>13</v>
      </c>
      <c r="AW16" t="n">
        <v>20</v>
      </c>
      <c r="AX16" t="n">
        <v>9</v>
      </c>
      <c r="AY16" t="n">
        <v>26</v>
      </c>
      <c r="AZ16" t="n">
        <v>2</v>
      </c>
      <c r="BA16" t="n">
        <v>48</v>
      </c>
      <c r="BB16" t="n">
        <v>112</v>
      </c>
      <c r="BC16" t="n">
        <v>20</v>
      </c>
      <c r="BD16" t="n">
        <v>26</v>
      </c>
      <c r="BE16" t="n">
        <v>20</v>
      </c>
      <c r="BF16" t="n">
        <v>40</v>
      </c>
      <c r="BG16" t="n">
        <v>3</v>
      </c>
      <c r="BH16" t="n">
        <v>14</v>
      </c>
      <c r="BI16" t="n">
        <v>37</v>
      </c>
      <c r="BJ16" t="n">
        <v>36</v>
      </c>
      <c r="BK16" t="n">
        <v>0</v>
      </c>
      <c r="BL16" t="n">
        <v>1</v>
      </c>
      <c r="BM16" t="n">
        <v>1</v>
      </c>
      <c r="BN16" t="n">
        <v>0</v>
      </c>
      <c r="BO16" t="n">
        <v>30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0</v>
      </c>
      <c r="Y17" t="n">
        <v>200</v>
      </c>
      <c r="Z17" t="n">
        <v>216</v>
      </c>
      <c r="AA17" t="n">
        <v>71</v>
      </c>
      <c r="AB17" t="n">
        <v>1</v>
      </c>
      <c r="AC17" t="n">
        <v>1</v>
      </c>
      <c r="AD17" t="n">
        <v>3</v>
      </c>
      <c r="AE17" t="n">
        <v>1</v>
      </c>
      <c r="AF17" t="n">
        <v>5</v>
      </c>
      <c r="AG17" t="n">
        <v>2</v>
      </c>
      <c r="AH17" t="n">
        <v>15</v>
      </c>
      <c r="AI17" t="n">
        <v>7</v>
      </c>
      <c r="AJ17" t="n">
        <v>20</v>
      </c>
      <c r="AK17" t="n">
        <v>15</v>
      </c>
      <c r="AL17" t="n">
        <v>8</v>
      </c>
      <c r="AM17" t="n">
        <v>121</v>
      </c>
      <c r="AN17" t="n">
        <v>0</v>
      </c>
      <c r="AO17" t="n">
        <v>1</v>
      </c>
      <c r="AP17" t="n">
        <v>11</v>
      </c>
      <c r="AQ17" t="n">
        <v>67</v>
      </c>
      <c r="AR17" t="n">
        <v>231</v>
      </c>
      <c r="AS17" t="n">
        <v>171</v>
      </c>
      <c r="AT17" t="n">
        <v>0</v>
      </c>
      <c r="AU17" t="n">
        <v>1</v>
      </c>
      <c r="AV17" t="n">
        <v>6</v>
      </c>
      <c r="AW17" t="n">
        <v>24</v>
      </c>
      <c r="AX17" t="n">
        <v>2</v>
      </c>
      <c r="AY17" t="n">
        <v>26</v>
      </c>
      <c r="AZ17" t="n">
        <v>4</v>
      </c>
      <c r="BA17" t="n">
        <v>41</v>
      </c>
      <c r="BB17" t="n">
        <v>111</v>
      </c>
      <c r="BC17" t="n">
        <v>100</v>
      </c>
      <c r="BD17" t="n">
        <v>40</v>
      </c>
      <c r="BE17" t="n">
        <v>23</v>
      </c>
      <c r="BF17" t="n">
        <v>32</v>
      </c>
      <c r="BG17" t="n">
        <v>4</v>
      </c>
      <c r="BH17" t="n">
        <v>6</v>
      </c>
      <c r="BI17" t="n">
        <v>30</v>
      </c>
      <c r="BJ17" t="n">
        <v>39</v>
      </c>
      <c r="BK17" t="n">
        <v>0</v>
      </c>
      <c r="BL17" t="n">
        <v>1</v>
      </c>
      <c r="BM17" t="n">
        <v>7</v>
      </c>
      <c r="BN17" t="n">
        <v>4</v>
      </c>
      <c r="BO17" t="n">
        <v>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389</v>
      </c>
      <c r="Z18" t="n">
        <v>127</v>
      </c>
      <c r="AA18" t="n">
        <v>56</v>
      </c>
      <c r="AB18" t="n">
        <v>0</v>
      </c>
      <c r="AC18" t="n">
        <v>0</v>
      </c>
      <c r="AD18" t="n">
        <v>6</v>
      </c>
      <c r="AE18" t="n">
        <v>6</v>
      </c>
      <c r="AF18" t="n">
        <v>7</v>
      </c>
      <c r="AG18" t="n">
        <v>7</v>
      </c>
      <c r="AH18" t="n">
        <v>75</v>
      </c>
      <c r="AI18" t="n">
        <v>2</v>
      </c>
      <c r="AJ18" t="n">
        <v>118</v>
      </c>
      <c r="AK18" t="n">
        <v>48</v>
      </c>
      <c r="AL18" t="n">
        <v>2</v>
      </c>
      <c r="AM18" t="n">
        <v>31</v>
      </c>
      <c r="AN18" t="n">
        <v>0</v>
      </c>
      <c r="AO18" t="n">
        <v>0</v>
      </c>
      <c r="AP18" t="n">
        <v>10</v>
      </c>
      <c r="AQ18" t="n">
        <v>48</v>
      </c>
      <c r="AR18" t="n">
        <v>163</v>
      </c>
      <c r="AS18" t="n">
        <v>121</v>
      </c>
      <c r="AT18" t="n">
        <v>8</v>
      </c>
      <c r="AU18" t="n">
        <v>2</v>
      </c>
      <c r="AV18" t="n">
        <v>71</v>
      </c>
      <c r="AW18" t="n">
        <v>6</v>
      </c>
      <c r="AX18" t="n">
        <v>0</v>
      </c>
      <c r="AY18" t="n">
        <v>28</v>
      </c>
      <c r="AZ18" t="n">
        <v>3</v>
      </c>
      <c r="BA18" t="n">
        <v>27</v>
      </c>
      <c r="BB18" t="n">
        <v>81</v>
      </c>
      <c r="BC18" t="n">
        <v>25</v>
      </c>
      <c r="BD18" t="n">
        <v>68</v>
      </c>
      <c r="BE18" t="n">
        <v>11</v>
      </c>
      <c r="BF18" t="n">
        <v>95</v>
      </c>
      <c r="BG18" t="n">
        <v>2</v>
      </c>
      <c r="BH18" t="n">
        <v>9</v>
      </c>
      <c r="BI18" t="n">
        <v>46</v>
      </c>
      <c r="BJ18" t="n">
        <v>47</v>
      </c>
      <c r="BK18" t="n">
        <v>0</v>
      </c>
      <c r="BL18" t="n">
        <v>1</v>
      </c>
      <c r="BM18" t="n">
        <v>45</v>
      </c>
      <c r="BN18" t="n">
        <v>28</v>
      </c>
      <c r="BO18" t="n">
        <v>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157</v>
      </c>
      <c r="Z19" t="n">
        <v>185</v>
      </c>
      <c r="AA19" t="n">
        <v>114</v>
      </c>
      <c r="AB19" t="n">
        <v>1</v>
      </c>
      <c r="AC19" t="n">
        <v>0</v>
      </c>
      <c r="AD19" t="n">
        <v>1</v>
      </c>
      <c r="AE19" t="n">
        <v>4</v>
      </c>
      <c r="AF19" t="n">
        <v>7</v>
      </c>
      <c r="AG19" t="n">
        <v>10</v>
      </c>
      <c r="AH19" t="n">
        <v>12</v>
      </c>
      <c r="AI19" t="n">
        <v>62</v>
      </c>
      <c r="AJ19" t="n">
        <v>36</v>
      </c>
      <c r="AK19" t="n">
        <v>32</v>
      </c>
      <c r="AL19" t="n">
        <v>5</v>
      </c>
      <c r="AM19" t="n">
        <v>55</v>
      </c>
      <c r="AN19" t="n">
        <v>0</v>
      </c>
      <c r="AO19" t="n">
        <v>0</v>
      </c>
      <c r="AP19" t="n">
        <v>3</v>
      </c>
      <c r="AQ19" t="n">
        <v>7</v>
      </c>
      <c r="AR19" t="n">
        <v>118</v>
      </c>
      <c r="AS19" t="n">
        <v>107</v>
      </c>
      <c r="AT19" t="n">
        <v>3</v>
      </c>
      <c r="AU19" t="n">
        <v>1</v>
      </c>
      <c r="AV19" t="n">
        <v>24</v>
      </c>
      <c r="AW19" t="n">
        <v>13</v>
      </c>
      <c r="AX19" t="n">
        <v>0</v>
      </c>
      <c r="AY19" t="n">
        <v>42</v>
      </c>
      <c r="AZ19" t="n">
        <v>0</v>
      </c>
      <c r="BA19" t="n">
        <v>33</v>
      </c>
      <c r="BB19" t="n">
        <v>139</v>
      </c>
      <c r="BC19" t="n">
        <v>43</v>
      </c>
      <c r="BD19" t="n">
        <v>10</v>
      </c>
      <c r="BE19" t="n">
        <v>12</v>
      </c>
      <c r="BF19" t="n">
        <v>33</v>
      </c>
      <c r="BG19" t="n">
        <v>1</v>
      </c>
      <c r="BH19" t="n">
        <v>16</v>
      </c>
      <c r="BI19" t="n">
        <v>7</v>
      </c>
      <c r="BJ19" t="n">
        <v>6</v>
      </c>
      <c r="BK19" t="n">
        <v>0</v>
      </c>
      <c r="BL19" t="n">
        <v>1</v>
      </c>
      <c r="BM19" t="n">
        <v>0</v>
      </c>
      <c r="BN19" t="n">
        <v>0</v>
      </c>
      <c r="BO19" t="n">
        <v>16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415</v>
      </c>
      <c r="Z20" t="n">
        <v>166</v>
      </c>
      <c r="AA20" t="n">
        <v>44</v>
      </c>
      <c r="AB20" t="n">
        <v>2</v>
      </c>
      <c r="AC20" t="n">
        <v>2</v>
      </c>
      <c r="AD20" t="n">
        <v>8</v>
      </c>
      <c r="AE20" t="n">
        <v>6</v>
      </c>
      <c r="AF20" t="n">
        <v>6</v>
      </c>
      <c r="AG20" t="n">
        <v>5</v>
      </c>
      <c r="AH20" t="n">
        <v>111</v>
      </c>
      <c r="AI20" t="n">
        <v>68</v>
      </c>
      <c r="AJ20" t="n">
        <v>93</v>
      </c>
      <c r="AK20" t="n">
        <v>41</v>
      </c>
      <c r="AL20" t="n">
        <v>1</v>
      </c>
      <c r="AM20" t="n">
        <v>39</v>
      </c>
      <c r="AN20" t="n">
        <v>0</v>
      </c>
      <c r="AO20" t="n">
        <v>0</v>
      </c>
      <c r="AP20" t="n">
        <v>2</v>
      </c>
      <c r="AQ20" t="n">
        <v>1</v>
      </c>
      <c r="AR20" t="n">
        <v>105</v>
      </c>
      <c r="AS20" t="n">
        <v>96</v>
      </c>
      <c r="AT20" t="n">
        <v>9</v>
      </c>
      <c r="AU20" t="n">
        <v>1</v>
      </c>
      <c r="AV20" t="n">
        <v>61</v>
      </c>
      <c r="AW20" t="n">
        <v>11</v>
      </c>
      <c r="AX20" t="n">
        <v>8</v>
      </c>
      <c r="AY20" t="n">
        <v>18</v>
      </c>
      <c r="AZ20" t="n">
        <v>1</v>
      </c>
      <c r="BA20" t="n">
        <v>12</v>
      </c>
      <c r="BB20" t="n">
        <v>54</v>
      </c>
      <c r="BC20" t="n">
        <v>33</v>
      </c>
      <c r="BD20" t="n">
        <v>99</v>
      </c>
      <c r="BE20" t="n">
        <v>10</v>
      </c>
      <c r="BF20" t="n">
        <v>74</v>
      </c>
      <c r="BG20" t="n">
        <v>6</v>
      </c>
      <c r="BH20" t="n">
        <v>13</v>
      </c>
      <c r="BI20" t="n">
        <v>57</v>
      </c>
      <c r="BJ20" t="n">
        <v>52</v>
      </c>
      <c r="BK20" t="n">
        <v>0</v>
      </c>
      <c r="BL20" t="n">
        <v>1</v>
      </c>
      <c r="BM20" t="n">
        <v>42</v>
      </c>
      <c r="BN20" t="n">
        <v>26</v>
      </c>
      <c r="BO20" t="n">
        <v>2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215</v>
      </c>
      <c r="Z21" t="n">
        <v>272</v>
      </c>
      <c r="AA21" t="n">
        <v>57</v>
      </c>
      <c r="AB21" t="n">
        <v>5</v>
      </c>
      <c r="AC21" t="n">
        <v>3</v>
      </c>
      <c r="AD21" t="n">
        <v>5</v>
      </c>
      <c r="AE21" t="n">
        <v>12</v>
      </c>
      <c r="AF21" t="n">
        <v>3</v>
      </c>
      <c r="AG21" t="n">
        <v>5</v>
      </c>
      <c r="AH21" t="n">
        <v>107</v>
      </c>
      <c r="AI21" t="n">
        <v>107</v>
      </c>
      <c r="AJ21" t="n">
        <v>22</v>
      </c>
      <c r="AK21" t="n">
        <v>12</v>
      </c>
      <c r="AL21" t="n">
        <v>4</v>
      </c>
      <c r="AM21" t="n">
        <v>44</v>
      </c>
      <c r="AN21" t="n">
        <v>0</v>
      </c>
      <c r="AO21" t="n">
        <v>2</v>
      </c>
      <c r="AP21" t="n">
        <v>2</v>
      </c>
      <c r="AQ21" t="n">
        <v>1</v>
      </c>
      <c r="AR21" t="n">
        <v>133</v>
      </c>
      <c r="AS21" t="n">
        <v>122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32</v>
      </c>
      <c r="AZ21" t="n">
        <v>4</v>
      </c>
      <c r="BA21" t="n">
        <v>26</v>
      </c>
      <c r="BB21" t="n">
        <v>81</v>
      </c>
      <c r="BC21" t="n">
        <v>36</v>
      </c>
      <c r="BD21" t="n">
        <v>98</v>
      </c>
      <c r="BE21" t="n">
        <v>7</v>
      </c>
      <c r="BF21" t="n">
        <v>25</v>
      </c>
      <c r="BG21" t="n">
        <v>2</v>
      </c>
      <c r="BH21" t="n">
        <v>9</v>
      </c>
      <c r="BI21" t="n">
        <v>12</v>
      </c>
      <c r="BJ21" t="n">
        <v>29</v>
      </c>
      <c r="BK21" t="n">
        <v>3</v>
      </c>
      <c r="BL21" t="n">
        <v>20</v>
      </c>
      <c r="BM21" t="n">
        <v>28</v>
      </c>
      <c r="BN21" t="n">
        <v>11</v>
      </c>
      <c r="BO21" t="n">
        <v>28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237</v>
      </c>
      <c r="Z22" t="n">
        <v>155</v>
      </c>
      <c r="AA22" t="n">
        <v>54</v>
      </c>
      <c r="AB22" t="n">
        <v>1</v>
      </c>
      <c r="AC22" t="n">
        <v>1</v>
      </c>
      <c r="AD22" t="n">
        <v>4</v>
      </c>
      <c r="AE22" t="n">
        <v>2</v>
      </c>
      <c r="AF22" t="n">
        <v>2</v>
      </c>
      <c r="AG22" t="n">
        <v>1</v>
      </c>
      <c r="AH22" t="n">
        <v>33</v>
      </c>
      <c r="AI22" t="n">
        <v>21</v>
      </c>
      <c r="AJ22" t="n">
        <v>11</v>
      </c>
      <c r="AK22" t="n">
        <v>1</v>
      </c>
      <c r="AL22" t="n">
        <v>3</v>
      </c>
      <c r="AM22" t="n">
        <v>21</v>
      </c>
      <c r="AN22" t="n">
        <v>0</v>
      </c>
      <c r="AO22" t="n">
        <v>0</v>
      </c>
      <c r="AP22" t="n">
        <v>4</v>
      </c>
      <c r="AQ22" t="n">
        <v>9</v>
      </c>
      <c r="AR22" t="n">
        <v>106</v>
      </c>
      <c r="AS22" t="n">
        <v>96</v>
      </c>
      <c r="AT22" t="n">
        <v>3</v>
      </c>
      <c r="AU22" t="n">
        <v>3</v>
      </c>
      <c r="AV22" t="n">
        <v>44</v>
      </c>
      <c r="AW22" t="n">
        <v>17</v>
      </c>
      <c r="AX22" t="n">
        <v>13</v>
      </c>
      <c r="AY22" t="n">
        <v>54</v>
      </c>
      <c r="AZ22" t="n">
        <v>3</v>
      </c>
      <c r="BA22" t="n">
        <v>22</v>
      </c>
      <c r="BB22" t="n">
        <v>74</v>
      </c>
      <c r="BC22" t="n">
        <v>17</v>
      </c>
      <c r="BD22" t="n">
        <v>38</v>
      </c>
      <c r="BE22" t="n">
        <v>21</v>
      </c>
      <c r="BF22" t="n">
        <v>9</v>
      </c>
      <c r="BG22" t="n">
        <v>1</v>
      </c>
      <c r="BH22" t="n">
        <v>40</v>
      </c>
      <c r="BI22" t="n">
        <v>21</v>
      </c>
      <c r="BJ22" t="n">
        <v>19</v>
      </c>
      <c r="BK22" t="n">
        <v>1</v>
      </c>
      <c r="BL22" t="n">
        <v>18</v>
      </c>
      <c r="BM22" t="n">
        <v>23</v>
      </c>
      <c r="BN22" t="n">
        <v>8</v>
      </c>
      <c r="BO22" t="n">
        <v>7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140</v>
      </c>
      <c r="Z23" t="n">
        <v>219</v>
      </c>
      <c r="AA23" t="n">
        <v>93</v>
      </c>
      <c r="AB23" t="n">
        <v>1</v>
      </c>
      <c r="AC23" t="n">
        <v>4</v>
      </c>
      <c r="AD23" t="n">
        <v>3</v>
      </c>
      <c r="AE23" t="n">
        <v>2</v>
      </c>
      <c r="AF23" t="n">
        <v>5</v>
      </c>
      <c r="AG23" t="n">
        <v>0</v>
      </c>
      <c r="AH23" t="n">
        <v>41</v>
      </c>
      <c r="AI23" t="n">
        <v>61</v>
      </c>
      <c r="AJ23" t="n">
        <v>16</v>
      </c>
      <c r="AK23" t="n">
        <v>13</v>
      </c>
      <c r="AL23" t="n">
        <v>6</v>
      </c>
      <c r="AM23" t="n">
        <v>117</v>
      </c>
      <c r="AN23" t="n">
        <v>0</v>
      </c>
      <c r="AO23" t="n">
        <v>0</v>
      </c>
      <c r="AP23" t="n">
        <v>0</v>
      </c>
      <c r="AQ23" t="n">
        <v>6</v>
      </c>
      <c r="AR23" t="n">
        <v>59</v>
      </c>
      <c r="AS23" t="n">
        <v>52</v>
      </c>
      <c r="AT23" t="n">
        <v>0</v>
      </c>
      <c r="AU23" t="n">
        <v>2</v>
      </c>
      <c r="AV23" t="n">
        <v>29</v>
      </c>
      <c r="AW23" t="n">
        <v>23</v>
      </c>
      <c r="AX23" t="n">
        <v>0</v>
      </c>
      <c r="AY23" t="n">
        <v>34</v>
      </c>
      <c r="AZ23" t="n">
        <v>2</v>
      </c>
      <c r="BA23" t="n">
        <v>20</v>
      </c>
      <c r="BB23" t="n">
        <v>108</v>
      </c>
      <c r="BC23" t="n">
        <v>95</v>
      </c>
      <c r="BD23" t="n">
        <v>36</v>
      </c>
      <c r="BE23" t="n">
        <v>27</v>
      </c>
      <c r="BF23" t="n">
        <v>13</v>
      </c>
      <c r="BG23" t="n">
        <v>1</v>
      </c>
      <c r="BH23" t="n">
        <v>2</v>
      </c>
      <c r="BI23" t="n">
        <v>15</v>
      </c>
      <c r="BJ23" t="n">
        <v>13</v>
      </c>
      <c r="BK23" t="n">
        <v>0</v>
      </c>
      <c r="BL23" t="n">
        <v>5</v>
      </c>
      <c r="BM23" t="n">
        <v>11</v>
      </c>
      <c r="BN23" t="n">
        <v>6</v>
      </c>
      <c r="BO23" t="n">
        <v>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122</v>
      </c>
      <c r="Z24" t="n">
        <v>173</v>
      </c>
      <c r="AA24" t="n">
        <v>78</v>
      </c>
      <c r="AB24" t="n">
        <v>1</v>
      </c>
      <c r="AC24" t="n">
        <v>1</v>
      </c>
      <c r="AD24" t="n">
        <v>0</v>
      </c>
      <c r="AE24" t="n">
        <v>3</v>
      </c>
      <c r="AF24" t="n">
        <v>6</v>
      </c>
      <c r="AG24" t="n">
        <v>3</v>
      </c>
      <c r="AH24" t="n">
        <v>33</v>
      </c>
      <c r="AI24" t="n">
        <v>38</v>
      </c>
      <c r="AJ24" t="n">
        <v>30</v>
      </c>
      <c r="AK24" t="n">
        <v>38</v>
      </c>
      <c r="AL24" t="n">
        <v>4</v>
      </c>
      <c r="AM24" t="n">
        <v>106</v>
      </c>
      <c r="AN24" t="n">
        <v>0</v>
      </c>
      <c r="AO24" t="n">
        <v>0</v>
      </c>
      <c r="AP24" t="n">
        <v>6</v>
      </c>
      <c r="AQ24" t="n">
        <v>39</v>
      </c>
      <c r="AR24" t="n">
        <v>127</v>
      </c>
      <c r="AS24" t="n">
        <v>93</v>
      </c>
      <c r="AT24" t="n">
        <v>3</v>
      </c>
      <c r="AU24" t="n">
        <v>3</v>
      </c>
      <c r="AV24" t="n">
        <v>19</v>
      </c>
      <c r="AW24" t="n">
        <v>16</v>
      </c>
      <c r="AX24" t="n">
        <v>0</v>
      </c>
      <c r="AY24" t="n">
        <v>14</v>
      </c>
      <c r="AZ24" t="n">
        <v>0</v>
      </c>
      <c r="BA24" t="n">
        <v>1</v>
      </c>
      <c r="BB24" t="n">
        <v>76</v>
      </c>
      <c r="BC24" t="n">
        <v>87</v>
      </c>
      <c r="BD24" t="n">
        <v>29</v>
      </c>
      <c r="BE24" t="n">
        <v>18</v>
      </c>
      <c r="BF24" t="n">
        <v>30</v>
      </c>
      <c r="BG24" t="n">
        <v>0</v>
      </c>
      <c r="BH24" t="n">
        <v>2</v>
      </c>
      <c r="BI24" t="n">
        <v>7</v>
      </c>
      <c r="BJ24" t="n">
        <v>14</v>
      </c>
      <c r="BK24" t="n">
        <v>2</v>
      </c>
      <c r="BL24" t="n">
        <v>1</v>
      </c>
      <c r="BM24" t="n">
        <v>1</v>
      </c>
      <c r="BN24" t="n">
        <v>1</v>
      </c>
      <c r="BO24" t="n">
        <v>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239</v>
      </c>
      <c r="Z25" t="n">
        <v>210</v>
      </c>
      <c r="AA25" t="n">
        <v>105</v>
      </c>
      <c r="AB25" t="n">
        <v>0</v>
      </c>
      <c r="AC25" t="n">
        <v>0</v>
      </c>
      <c r="AD25" t="n">
        <v>2</v>
      </c>
      <c r="AE25" t="n">
        <v>7</v>
      </c>
      <c r="AF25" t="n">
        <v>1</v>
      </c>
      <c r="AG25" t="n">
        <v>0</v>
      </c>
      <c r="AH25" t="n">
        <v>55</v>
      </c>
      <c r="AI25" t="n">
        <v>89</v>
      </c>
      <c r="AJ25" t="n">
        <v>19</v>
      </c>
      <c r="AK25" t="n">
        <v>1</v>
      </c>
      <c r="AL25" t="n">
        <v>2</v>
      </c>
      <c r="AM25" t="n">
        <v>2</v>
      </c>
      <c r="AN25" t="n">
        <v>0</v>
      </c>
      <c r="AO25" t="n">
        <v>0</v>
      </c>
      <c r="AP25" t="n">
        <v>9</v>
      </c>
      <c r="AQ25" t="n">
        <v>114</v>
      </c>
      <c r="AR25" t="n">
        <v>158</v>
      </c>
      <c r="AS25" t="n">
        <v>64</v>
      </c>
      <c r="AT25" t="n">
        <v>4</v>
      </c>
      <c r="AU25" t="n">
        <v>1</v>
      </c>
      <c r="AV25" t="n">
        <v>68</v>
      </c>
      <c r="AW25" t="n">
        <v>1</v>
      </c>
      <c r="AX25" t="n">
        <v>2</v>
      </c>
      <c r="AY25" t="n">
        <v>59</v>
      </c>
      <c r="AZ25" t="n">
        <v>2</v>
      </c>
      <c r="BA25" t="n">
        <v>-9</v>
      </c>
      <c r="BB25" t="n">
        <v>92</v>
      </c>
      <c r="BC25" t="n">
        <v>7</v>
      </c>
      <c r="BD25" t="n">
        <v>70</v>
      </c>
      <c r="BE25" t="n">
        <v>1</v>
      </c>
      <c r="BF25" t="n">
        <v>27</v>
      </c>
      <c r="BG25" t="n">
        <v>1</v>
      </c>
      <c r="BH25" t="n">
        <v>0</v>
      </c>
      <c r="BI25" t="n">
        <v>1</v>
      </c>
      <c r="BJ25" t="n">
        <v>4</v>
      </c>
      <c r="BK25" t="n">
        <v>3</v>
      </c>
      <c r="BL25" t="n">
        <v>15</v>
      </c>
      <c r="BM25" t="n">
        <v>10</v>
      </c>
      <c r="BN25" t="n">
        <v>1</v>
      </c>
      <c r="BO25" t="n">
        <v>30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111</v>
      </c>
      <c r="Z26" t="n">
        <v>185</v>
      </c>
      <c r="AA26" t="n">
        <v>68</v>
      </c>
      <c r="AB26" t="n">
        <v>1</v>
      </c>
      <c r="AC26" t="n">
        <v>0</v>
      </c>
      <c r="AD26" t="n">
        <v>1</v>
      </c>
      <c r="AE26" t="n">
        <v>9</v>
      </c>
      <c r="AF26" t="n">
        <v>1</v>
      </c>
      <c r="AG26" t="n">
        <v>4</v>
      </c>
      <c r="AH26" t="n">
        <v>8</v>
      </c>
      <c r="AI26" t="n">
        <v>73</v>
      </c>
      <c r="AJ26" t="n">
        <v>9</v>
      </c>
      <c r="AK26" t="n">
        <v>53</v>
      </c>
      <c r="AL26" t="n">
        <v>2</v>
      </c>
      <c r="AM26" t="n">
        <v>62</v>
      </c>
      <c r="AN26" t="n">
        <v>0</v>
      </c>
      <c r="AO26" t="n">
        <v>0</v>
      </c>
      <c r="AP26" t="n">
        <v>0</v>
      </c>
      <c r="AQ26" t="n">
        <v>1</v>
      </c>
      <c r="AR26" t="n">
        <v>150</v>
      </c>
      <c r="AS26" t="n">
        <v>138</v>
      </c>
      <c r="AT26" t="n">
        <v>1</v>
      </c>
      <c r="AU26" t="n">
        <v>2</v>
      </c>
      <c r="AV26" t="n">
        <v>5</v>
      </c>
      <c r="AW26" t="n">
        <v>18</v>
      </c>
      <c r="AX26" t="n">
        <v>0</v>
      </c>
      <c r="AY26" t="n">
        <v>1</v>
      </c>
      <c r="AZ26" t="n">
        <v>0</v>
      </c>
      <c r="BA26" t="n">
        <v>1</v>
      </c>
      <c r="BB26" t="n">
        <v>66</v>
      </c>
      <c r="BC26" t="n">
        <v>66</v>
      </c>
      <c r="BD26" t="n">
        <v>2</v>
      </c>
      <c r="BE26" t="n">
        <v>18</v>
      </c>
      <c r="BF26" t="n">
        <v>2</v>
      </c>
      <c r="BG26" t="n">
        <v>1</v>
      </c>
      <c r="BH26" t="n">
        <v>4</v>
      </c>
      <c r="BI26" t="n">
        <v>9</v>
      </c>
      <c r="BJ26" t="n">
        <v>9</v>
      </c>
      <c r="BK26" t="n">
        <v>1</v>
      </c>
      <c r="BL26" t="n">
        <v>1</v>
      </c>
      <c r="BM26" t="n">
        <v>7</v>
      </c>
      <c r="BN26" t="n">
        <v>4</v>
      </c>
      <c r="BO26" t="n">
        <v>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3</v>
      </c>
      <c r="V27" t="n">
        <v>0</v>
      </c>
      <c r="W27" t="n">
        <v>0</v>
      </c>
      <c r="X27" t="n">
        <v>0</v>
      </c>
      <c r="Y27" t="n">
        <v>238</v>
      </c>
      <c r="Z27" t="n">
        <v>155</v>
      </c>
      <c r="AA27" t="n">
        <v>66</v>
      </c>
      <c r="AB27" t="n">
        <v>0</v>
      </c>
      <c r="AC27" t="n">
        <v>3</v>
      </c>
      <c r="AD27" t="n">
        <v>3</v>
      </c>
      <c r="AE27" t="n">
        <v>3</v>
      </c>
      <c r="AF27" t="n">
        <v>3</v>
      </c>
      <c r="AG27" t="n">
        <v>5</v>
      </c>
      <c r="AH27" t="n">
        <v>33</v>
      </c>
      <c r="AI27" t="n">
        <v>12</v>
      </c>
      <c r="AJ27" t="n">
        <v>2</v>
      </c>
      <c r="AK27" t="n">
        <v>38</v>
      </c>
      <c r="AL27" t="n">
        <v>2</v>
      </c>
      <c r="AM27" t="n">
        <v>83</v>
      </c>
      <c r="AN27" t="n">
        <v>0</v>
      </c>
      <c r="AO27" t="n">
        <v>0</v>
      </c>
      <c r="AP27" t="n">
        <v>2</v>
      </c>
      <c r="AQ27" t="n">
        <v>24</v>
      </c>
      <c r="AR27" t="n">
        <v>106</v>
      </c>
      <c r="AS27" t="n">
        <v>86</v>
      </c>
      <c r="AT27" t="n">
        <v>1</v>
      </c>
      <c r="AU27" t="n">
        <v>0</v>
      </c>
      <c r="AV27" t="n">
        <v>1</v>
      </c>
      <c r="AW27" t="n">
        <v>1</v>
      </c>
      <c r="AX27" t="n">
        <v>6</v>
      </c>
      <c r="AY27" t="n">
        <v>25</v>
      </c>
      <c r="AZ27" t="n">
        <v>2</v>
      </c>
      <c r="BA27" t="n">
        <v>14</v>
      </c>
      <c r="BB27" t="n">
        <v>76</v>
      </c>
      <c r="BC27" t="n">
        <v>73</v>
      </c>
      <c r="BD27" t="n">
        <v>57</v>
      </c>
      <c r="BE27" t="n">
        <v>2</v>
      </c>
      <c r="BF27" t="n">
        <v>48</v>
      </c>
      <c r="BG27" t="n">
        <v>3</v>
      </c>
      <c r="BH27" t="n">
        <v>21</v>
      </c>
      <c r="BI27" t="n">
        <v>70</v>
      </c>
      <c r="BJ27" t="n">
        <v>66</v>
      </c>
      <c r="BK27" t="n">
        <v>2</v>
      </c>
      <c r="BL27" t="n">
        <v>41</v>
      </c>
      <c r="BM27" t="n">
        <v>70</v>
      </c>
      <c r="BN27" t="n">
        <v>30</v>
      </c>
      <c r="BO27" t="n">
        <v>2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161</v>
      </c>
      <c r="Z28" t="n">
        <v>254</v>
      </c>
      <c r="AA28" t="n">
        <v>57</v>
      </c>
      <c r="AB28" t="n">
        <v>2</v>
      </c>
      <c r="AC28" t="n">
        <v>3</v>
      </c>
      <c r="AD28" t="n">
        <v>1</v>
      </c>
      <c r="AE28" t="n">
        <v>7</v>
      </c>
      <c r="AF28" t="n">
        <v>2</v>
      </c>
      <c r="AG28" t="n">
        <v>5</v>
      </c>
      <c r="AH28" t="n">
        <v>8</v>
      </c>
      <c r="AI28" t="n">
        <v>71</v>
      </c>
      <c r="AJ28" t="n">
        <v>21</v>
      </c>
      <c r="AK28" t="n">
        <v>27</v>
      </c>
      <c r="AL28" t="n">
        <v>5</v>
      </c>
      <c r="AM28" t="n">
        <v>103</v>
      </c>
      <c r="AN28" t="n">
        <v>0</v>
      </c>
      <c r="AO28" t="n">
        <v>0</v>
      </c>
      <c r="AP28" t="n">
        <v>3</v>
      </c>
      <c r="AQ28" t="n">
        <v>1</v>
      </c>
      <c r="AR28" t="n">
        <v>47</v>
      </c>
      <c r="AS28" t="n">
        <v>42</v>
      </c>
      <c r="AT28" t="n">
        <v>2</v>
      </c>
      <c r="AU28" t="n">
        <v>2</v>
      </c>
      <c r="AV28" t="n">
        <v>55</v>
      </c>
      <c r="AW28" t="n">
        <v>29</v>
      </c>
      <c r="AX28" t="n">
        <v>0</v>
      </c>
      <c r="AY28" t="n">
        <v>21</v>
      </c>
      <c r="AZ28" t="n">
        <v>2</v>
      </c>
      <c r="BA28" t="n">
        <v>11</v>
      </c>
      <c r="BB28" t="n">
        <v>65</v>
      </c>
      <c r="BC28" t="n">
        <v>84</v>
      </c>
      <c r="BD28" t="n">
        <v>12</v>
      </c>
      <c r="BE28" t="n">
        <v>30</v>
      </c>
      <c r="BF28" t="n">
        <v>26</v>
      </c>
      <c r="BG28" t="n">
        <v>2</v>
      </c>
      <c r="BH28" t="n">
        <v>8</v>
      </c>
      <c r="BI28" t="n">
        <v>39</v>
      </c>
      <c r="BJ28" t="n">
        <v>36</v>
      </c>
      <c r="BK28" t="n">
        <v>3</v>
      </c>
      <c r="BL28" t="n">
        <v>11</v>
      </c>
      <c r="BM28" t="n">
        <v>18</v>
      </c>
      <c r="BN28" t="n">
        <v>7</v>
      </c>
      <c r="BO28" t="n">
        <v>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251</v>
      </c>
      <c r="Z29" t="n">
        <v>145</v>
      </c>
      <c r="AA29" t="n">
        <v>149</v>
      </c>
      <c r="AB29" t="n">
        <v>0</v>
      </c>
      <c r="AC29" t="n">
        <v>1</v>
      </c>
      <c r="AD29" t="n">
        <v>5</v>
      </c>
      <c r="AE29" t="n">
        <v>6</v>
      </c>
      <c r="AF29" t="n">
        <v>5</v>
      </c>
      <c r="AG29" t="n">
        <v>0</v>
      </c>
      <c r="AH29" t="n">
        <v>57</v>
      </c>
      <c r="AI29" t="n">
        <v>47</v>
      </c>
      <c r="AJ29" t="n">
        <v>72</v>
      </c>
      <c r="AK29" t="n">
        <v>1</v>
      </c>
      <c r="AL29" t="n">
        <v>5</v>
      </c>
      <c r="AM29" t="n">
        <v>40</v>
      </c>
      <c r="AN29" t="n">
        <v>0</v>
      </c>
      <c r="AO29" t="n">
        <v>0</v>
      </c>
      <c r="AP29" t="n">
        <v>3</v>
      </c>
      <c r="AQ29" t="n">
        <v>21</v>
      </c>
      <c r="AR29" t="n">
        <v>79</v>
      </c>
      <c r="AS29" t="n">
        <v>62</v>
      </c>
      <c r="AT29" t="n">
        <v>4</v>
      </c>
      <c r="AU29" t="n">
        <v>1</v>
      </c>
      <c r="AV29" t="n">
        <v>11</v>
      </c>
      <c r="AW29" t="n">
        <v>12</v>
      </c>
      <c r="AX29" t="n">
        <v>0</v>
      </c>
      <c r="AY29" t="n">
        <v>68</v>
      </c>
      <c r="AZ29" t="n">
        <v>4</v>
      </c>
      <c r="BA29" t="n">
        <v>30</v>
      </c>
      <c r="BB29" t="n">
        <v>167</v>
      </c>
      <c r="BC29" t="n">
        <v>34</v>
      </c>
      <c r="BD29" t="n">
        <v>59</v>
      </c>
      <c r="BE29" t="n">
        <v>11</v>
      </c>
      <c r="BF29" t="n">
        <v>65</v>
      </c>
      <c r="BG29" t="n">
        <v>3</v>
      </c>
      <c r="BH29" t="n">
        <v>7</v>
      </c>
      <c r="BI29" t="n">
        <v>51</v>
      </c>
      <c r="BJ29" t="n">
        <v>54</v>
      </c>
      <c r="BK29" t="n">
        <v>2</v>
      </c>
      <c r="BL29" t="n">
        <v>4</v>
      </c>
      <c r="BM29" t="n">
        <v>23</v>
      </c>
      <c r="BN29" t="n">
        <v>14</v>
      </c>
      <c r="BO29" t="n">
        <v>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124</v>
      </c>
      <c r="Z30" t="n">
        <v>263</v>
      </c>
      <c r="AA30" t="n">
        <v>36</v>
      </c>
      <c r="AB30" t="n">
        <v>1</v>
      </c>
      <c r="AC30" t="n">
        <v>0</v>
      </c>
      <c r="AD30" t="n">
        <v>4</v>
      </c>
      <c r="AE30" t="n">
        <v>3</v>
      </c>
      <c r="AF30" t="n">
        <v>6</v>
      </c>
      <c r="AG30" t="n">
        <v>3</v>
      </c>
      <c r="AH30" t="n">
        <v>20</v>
      </c>
      <c r="AI30" t="n">
        <v>14</v>
      </c>
      <c r="AJ30" t="n">
        <v>44</v>
      </c>
      <c r="AK30" t="n">
        <v>25</v>
      </c>
      <c r="AL30" t="n">
        <v>11</v>
      </c>
      <c r="AM30" t="n">
        <v>173</v>
      </c>
      <c r="AN30" t="n">
        <v>0</v>
      </c>
      <c r="AO30" t="n">
        <v>0</v>
      </c>
      <c r="AP30" t="n">
        <v>2</v>
      </c>
      <c r="AQ30" t="n">
        <v>23</v>
      </c>
      <c r="AR30" t="n">
        <v>48</v>
      </c>
      <c r="AS30" t="n">
        <v>29</v>
      </c>
      <c r="AT30" t="n">
        <v>0</v>
      </c>
      <c r="AU30" t="n">
        <v>2</v>
      </c>
      <c r="AV30" t="n">
        <v>1</v>
      </c>
      <c r="AW30" t="n">
        <v>14</v>
      </c>
      <c r="AX30" t="n">
        <v>0</v>
      </c>
      <c r="AY30" t="n">
        <v>11</v>
      </c>
      <c r="AZ30" t="n">
        <v>6</v>
      </c>
      <c r="BA30" t="n">
        <v>56</v>
      </c>
      <c r="BB30" t="n">
        <v>100</v>
      </c>
      <c r="BC30" t="n">
        <v>141</v>
      </c>
      <c r="BD30" t="n">
        <v>24</v>
      </c>
      <c r="BE30" t="n">
        <v>14</v>
      </c>
      <c r="BF30" t="n">
        <v>33</v>
      </c>
      <c r="BG30" t="n">
        <v>1</v>
      </c>
      <c r="BH30" t="n">
        <v>0</v>
      </c>
      <c r="BI30" t="n">
        <v>1</v>
      </c>
      <c r="BJ30" t="n">
        <v>0</v>
      </c>
      <c r="BK30" t="n">
        <v>3</v>
      </c>
      <c r="BL30" t="n">
        <v>22</v>
      </c>
      <c r="BM30" t="n">
        <v>24</v>
      </c>
      <c r="BN30" t="n">
        <v>7</v>
      </c>
      <c r="BO30" t="n">
        <v>11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268</v>
      </c>
      <c r="Z31" t="n">
        <v>277</v>
      </c>
      <c r="AA31" t="n">
        <v>21</v>
      </c>
      <c r="AB31" t="n">
        <v>0</v>
      </c>
      <c r="AC31" t="n">
        <v>0</v>
      </c>
      <c r="AD31" t="n">
        <v>5</v>
      </c>
      <c r="AE31" t="n">
        <v>4</v>
      </c>
      <c r="AF31" t="n">
        <v>8</v>
      </c>
      <c r="AG31" t="n">
        <v>5</v>
      </c>
      <c r="AH31" t="n">
        <v>47</v>
      </c>
      <c r="AI31" t="n">
        <v>44</v>
      </c>
      <c r="AJ31" t="n">
        <v>70</v>
      </c>
      <c r="AK31" t="n">
        <v>87</v>
      </c>
      <c r="AL31" t="n">
        <v>2</v>
      </c>
      <c r="AM31" t="n">
        <v>14</v>
      </c>
      <c r="AN31" t="n">
        <v>0</v>
      </c>
      <c r="AO31" t="n">
        <v>0</v>
      </c>
      <c r="AP31" t="n">
        <v>3</v>
      </c>
      <c r="AQ31" t="n">
        <v>21</v>
      </c>
      <c r="AR31" t="n">
        <v>125</v>
      </c>
      <c r="AS31" t="n">
        <v>104</v>
      </c>
      <c r="AT31" t="n">
        <v>4</v>
      </c>
      <c r="AU31" t="n">
        <v>3</v>
      </c>
      <c r="AV31" t="n">
        <v>43</v>
      </c>
      <c r="AW31" t="n">
        <v>33</v>
      </c>
      <c r="AX31" t="n">
        <v>10</v>
      </c>
      <c r="AY31" t="n">
        <v>28</v>
      </c>
      <c r="AZ31" t="n">
        <v>1</v>
      </c>
      <c r="BA31" t="n">
        <v>1</v>
      </c>
      <c r="BB31" t="n">
        <v>21</v>
      </c>
      <c r="BC31" t="n">
        <v>11</v>
      </c>
      <c r="BD31" t="n">
        <v>45</v>
      </c>
      <c r="BE31" t="n">
        <v>36</v>
      </c>
      <c r="BF31" t="n">
        <v>55</v>
      </c>
      <c r="BG31" t="n">
        <v>5</v>
      </c>
      <c r="BH31" t="n">
        <v>1</v>
      </c>
      <c r="BI31" t="n">
        <v>38</v>
      </c>
      <c r="BJ31" t="n">
        <v>37</v>
      </c>
      <c r="BK31" t="n">
        <v>6</v>
      </c>
      <c r="BL31" t="n">
        <v>16</v>
      </c>
      <c r="BM31" t="n">
        <v>18</v>
      </c>
      <c r="BN31" t="n">
        <v>5</v>
      </c>
      <c r="BO31" t="n">
        <v>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136</v>
      </c>
      <c r="Z32" t="n">
        <v>243</v>
      </c>
      <c r="AA32" t="n">
        <v>48</v>
      </c>
      <c r="AB32" t="n">
        <v>1</v>
      </c>
      <c r="AC32" t="n">
        <v>1</v>
      </c>
      <c r="AD32" t="n">
        <v>0</v>
      </c>
      <c r="AE32" t="n">
        <v>7</v>
      </c>
      <c r="AF32" t="n">
        <v>6</v>
      </c>
      <c r="AG32" t="n">
        <v>2</v>
      </c>
      <c r="AH32" t="n">
        <v>8</v>
      </c>
      <c r="AI32" t="n">
        <v>63</v>
      </c>
      <c r="AJ32" t="n">
        <v>91</v>
      </c>
      <c r="AK32" t="n">
        <v>1</v>
      </c>
      <c r="AL32" t="n">
        <v>2</v>
      </c>
      <c r="AM32" t="n">
        <v>2</v>
      </c>
      <c r="AN32" t="n">
        <v>0</v>
      </c>
      <c r="AO32" t="n">
        <v>0</v>
      </c>
      <c r="AP32" t="n">
        <v>2</v>
      </c>
      <c r="AQ32" t="n">
        <v>1</v>
      </c>
      <c r="AR32" t="n">
        <v>35</v>
      </c>
      <c r="AS32" t="n">
        <v>31</v>
      </c>
      <c r="AT32" t="n">
        <v>1</v>
      </c>
      <c r="AU32" t="n">
        <v>1</v>
      </c>
      <c r="AV32" t="n">
        <v>8</v>
      </c>
      <c r="AW32" t="n">
        <v>48</v>
      </c>
      <c r="AX32" t="n">
        <v>0</v>
      </c>
      <c r="AY32" t="n">
        <v>7</v>
      </c>
      <c r="AZ32" t="n">
        <v>1</v>
      </c>
      <c r="BA32" t="n">
        <v>1</v>
      </c>
      <c r="BB32" t="n">
        <v>48</v>
      </c>
      <c r="BC32" t="n">
        <v>6</v>
      </c>
      <c r="BD32" t="n">
        <v>19</v>
      </c>
      <c r="BE32" t="n">
        <v>53</v>
      </c>
      <c r="BF32" t="n">
        <v>81</v>
      </c>
      <c r="BG32" t="n">
        <v>2</v>
      </c>
      <c r="BH32" t="n">
        <v>0</v>
      </c>
      <c r="BI32" t="n">
        <v>7</v>
      </c>
      <c r="BJ32" t="n">
        <v>5</v>
      </c>
      <c r="BK32" t="n">
        <v>1</v>
      </c>
      <c r="BL32" t="n">
        <v>9</v>
      </c>
      <c r="BM32" t="n">
        <v>15</v>
      </c>
      <c r="BN32" t="n">
        <v>6</v>
      </c>
      <c r="BO32" t="n">
        <v>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136</v>
      </c>
      <c r="Z33" t="n">
        <v>94</v>
      </c>
      <c r="AA33" t="n">
        <v>20</v>
      </c>
      <c r="AB33" t="n">
        <v>0</v>
      </c>
      <c r="AC33" t="n">
        <v>2</v>
      </c>
      <c r="AD33" t="n">
        <v>3</v>
      </c>
      <c r="AE33" t="n">
        <v>7</v>
      </c>
      <c r="AF33" t="n">
        <v>5</v>
      </c>
      <c r="AG33" t="n">
        <v>1</v>
      </c>
      <c r="AH33" t="n">
        <v>28</v>
      </c>
      <c r="AI33" t="n">
        <v>16</v>
      </c>
      <c r="AJ33" t="n">
        <v>40</v>
      </c>
      <c r="AK33" t="n">
        <v>28</v>
      </c>
      <c r="AL33" t="n">
        <v>0</v>
      </c>
      <c r="AM33" t="n">
        <v>2</v>
      </c>
      <c r="AN33" t="n">
        <v>0</v>
      </c>
      <c r="AO33" t="n">
        <v>0</v>
      </c>
      <c r="AP33" t="n">
        <v>3</v>
      </c>
      <c r="AQ33" t="n">
        <v>23</v>
      </c>
      <c r="AR33" t="n">
        <v>81</v>
      </c>
      <c r="AS33" t="n">
        <v>62</v>
      </c>
      <c r="AT33" t="n">
        <v>1</v>
      </c>
      <c r="AU33" t="n">
        <v>2</v>
      </c>
      <c r="AV33" t="n">
        <v>10</v>
      </c>
      <c r="AW33" t="n">
        <v>18</v>
      </c>
      <c r="AX33" t="n">
        <v>0</v>
      </c>
      <c r="AY33" t="n">
        <v>5</v>
      </c>
      <c r="AZ33" t="n">
        <v>2</v>
      </c>
      <c r="BA33" t="n">
        <v>5</v>
      </c>
      <c r="BB33" t="n">
        <v>23</v>
      </c>
      <c r="BC33" t="n">
        <v>7</v>
      </c>
      <c r="BD33" t="n">
        <v>33</v>
      </c>
      <c r="BE33" t="n">
        <v>18</v>
      </c>
      <c r="BF33" t="n">
        <v>61</v>
      </c>
      <c r="BG33" t="n">
        <v>4</v>
      </c>
      <c r="BH33" t="n">
        <v>9</v>
      </c>
      <c r="BI33" t="n">
        <v>31</v>
      </c>
      <c r="BJ33" t="n">
        <v>44</v>
      </c>
      <c r="BK33" t="n">
        <v>1</v>
      </c>
      <c r="BL33" t="n">
        <v>19</v>
      </c>
      <c r="BM33" t="n">
        <v>12</v>
      </c>
      <c r="BN33" t="n">
        <v>0</v>
      </c>
      <c r="BO33" t="n">
        <v>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0</v>
      </c>
      <c r="Y34" t="n">
        <v>282</v>
      </c>
      <c r="Z34" t="n">
        <v>145</v>
      </c>
      <c r="AA34" t="n">
        <v>69</v>
      </c>
      <c r="AB34" t="n">
        <v>1</v>
      </c>
      <c r="AC34" t="n">
        <v>3</v>
      </c>
      <c r="AD34" t="n">
        <v>2</v>
      </c>
      <c r="AE34" t="n">
        <v>5</v>
      </c>
      <c r="AF34" t="n">
        <v>3</v>
      </c>
      <c r="AG34" t="n">
        <v>6</v>
      </c>
      <c r="AH34" t="n">
        <v>7</v>
      </c>
      <c r="AI34" t="n">
        <v>56</v>
      </c>
      <c r="AJ34" t="n">
        <v>68</v>
      </c>
      <c r="AK34" t="n">
        <v>44</v>
      </c>
      <c r="AL34" t="n">
        <v>2</v>
      </c>
      <c r="AM34" t="n">
        <v>2</v>
      </c>
      <c r="AN34" t="n">
        <v>0</v>
      </c>
      <c r="AO34" t="n">
        <v>0</v>
      </c>
      <c r="AP34" t="n">
        <v>3</v>
      </c>
      <c r="AQ34" t="n">
        <v>23</v>
      </c>
      <c r="AR34" t="n">
        <v>49</v>
      </c>
      <c r="AS34" t="n">
        <v>31</v>
      </c>
      <c r="AT34" t="n">
        <v>1</v>
      </c>
      <c r="AU34" t="n">
        <v>1</v>
      </c>
      <c r="AV34" t="n">
        <v>46</v>
      </c>
      <c r="AW34" t="n">
        <v>1</v>
      </c>
      <c r="AX34" t="n">
        <v>13</v>
      </c>
      <c r="AY34" t="n">
        <v>19</v>
      </c>
      <c r="AZ34" t="n">
        <v>3</v>
      </c>
      <c r="BA34" t="n">
        <v>49</v>
      </c>
      <c r="BB34" t="n">
        <v>120</v>
      </c>
      <c r="BC34" t="n">
        <v>3</v>
      </c>
      <c r="BD34" t="n">
        <v>8</v>
      </c>
      <c r="BE34" t="n">
        <v>14</v>
      </c>
      <c r="BF34" t="n">
        <v>58</v>
      </c>
      <c r="BG34" t="n">
        <v>6</v>
      </c>
      <c r="BH34" t="n">
        <v>17</v>
      </c>
      <c r="BI34" t="n">
        <v>70</v>
      </c>
      <c r="BJ34" t="n">
        <v>65</v>
      </c>
      <c r="BK34" t="n">
        <v>4</v>
      </c>
      <c r="BL34" t="n">
        <v>13</v>
      </c>
      <c r="BM34" t="n">
        <v>19</v>
      </c>
      <c r="BN34" t="n">
        <v>7</v>
      </c>
      <c r="BO34" t="n">
        <v>7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3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209</v>
      </c>
      <c r="Z35" t="n">
        <v>197</v>
      </c>
      <c r="AA35" t="n">
        <v>39</v>
      </c>
      <c r="AB35" t="n">
        <v>1</v>
      </c>
      <c r="AC35" t="n">
        <v>1</v>
      </c>
      <c r="AD35" t="n">
        <v>5</v>
      </c>
      <c r="AE35" t="n">
        <v>4</v>
      </c>
      <c r="AF35" t="n">
        <v>3</v>
      </c>
      <c r="AG35" t="n">
        <v>9</v>
      </c>
      <c r="AH35" t="n">
        <v>20</v>
      </c>
      <c r="AI35" t="n">
        <v>33</v>
      </c>
      <c r="AJ35" t="n">
        <v>29</v>
      </c>
      <c r="AK35" t="n">
        <v>45</v>
      </c>
      <c r="AL35" t="n">
        <v>6</v>
      </c>
      <c r="AM35" t="n">
        <v>116</v>
      </c>
      <c r="AN35" t="n">
        <v>0</v>
      </c>
      <c r="AO35" t="n">
        <v>0</v>
      </c>
      <c r="AP35" t="n">
        <v>6</v>
      </c>
      <c r="AQ35" t="n">
        <v>15</v>
      </c>
      <c r="AR35" t="n">
        <v>45</v>
      </c>
      <c r="AS35" t="n">
        <v>33</v>
      </c>
      <c r="AT35" t="n">
        <v>5</v>
      </c>
      <c r="AU35" t="n">
        <v>0</v>
      </c>
      <c r="AV35" t="n">
        <v>60</v>
      </c>
      <c r="AW35" t="n">
        <v>5</v>
      </c>
      <c r="AX35" t="n">
        <v>0</v>
      </c>
      <c r="AY35" t="n">
        <v>62</v>
      </c>
      <c r="AZ35" t="n">
        <v>1</v>
      </c>
      <c r="BA35" t="n">
        <v>35</v>
      </c>
      <c r="BB35" t="n">
        <v>73</v>
      </c>
      <c r="BC35" t="n">
        <v>98</v>
      </c>
      <c r="BD35" t="n">
        <v>17</v>
      </c>
      <c r="BE35" t="n">
        <v>4</v>
      </c>
      <c r="BF35" t="n">
        <v>23</v>
      </c>
      <c r="BG35" t="n">
        <v>5</v>
      </c>
      <c r="BH35" t="n">
        <v>4</v>
      </c>
      <c r="BI35" t="n">
        <v>75</v>
      </c>
      <c r="BJ35" t="n">
        <v>69</v>
      </c>
      <c r="BK35" t="n">
        <v>1</v>
      </c>
      <c r="BL35" t="n">
        <v>7</v>
      </c>
      <c r="BM35" t="n">
        <v>5</v>
      </c>
      <c r="BN35" t="n">
        <v>1</v>
      </c>
      <c r="BO35" t="n">
        <v>2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163</v>
      </c>
      <c r="Z36" t="n">
        <v>264</v>
      </c>
      <c r="AA36" t="n">
        <v>107</v>
      </c>
      <c r="AB36" t="n">
        <v>3</v>
      </c>
      <c r="AC36" t="n">
        <v>0</v>
      </c>
      <c r="AD36" t="n">
        <v>0</v>
      </c>
      <c r="AE36" t="n">
        <v>9</v>
      </c>
      <c r="AF36" t="n">
        <v>0</v>
      </c>
      <c r="AG36" t="n">
        <v>8</v>
      </c>
      <c r="AH36" t="n">
        <v>2</v>
      </c>
      <c r="AI36" t="n">
        <v>53</v>
      </c>
      <c r="AJ36" t="n">
        <v>19</v>
      </c>
      <c r="AK36" t="n">
        <v>47</v>
      </c>
      <c r="AL36" t="n">
        <v>4</v>
      </c>
      <c r="AM36" t="n">
        <v>64</v>
      </c>
      <c r="AN36" t="n">
        <v>0</v>
      </c>
      <c r="AO36" t="n">
        <v>0</v>
      </c>
      <c r="AP36" t="n">
        <v>3</v>
      </c>
      <c r="AQ36" t="n">
        <v>45</v>
      </c>
      <c r="AR36" t="n">
        <v>143</v>
      </c>
      <c r="AS36" t="n">
        <v>106</v>
      </c>
      <c r="AT36" t="n">
        <v>5</v>
      </c>
      <c r="AU36" t="n">
        <v>1</v>
      </c>
      <c r="AV36" t="n">
        <v>67</v>
      </c>
      <c r="AW36" t="n">
        <v>25</v>
      </c>
      <c r="AX36" t="n">
        <v>1</v>
      </c>
      <c r="AY36" t="n">
        <v>47</v>
      </c>
      <c r="AZ36" t="n">
        <v>3</v>
      </c>
      <c r="BA36" t="n">
        <v>18</v>
      </c>
      <c r="BB36" t="n">
        <v>120</v>
      </c>
      <c r="BC36" t="n">
        <v>61</v>
      </c>
      <c r="BD36" t="n">
        <v>56</v>
      </c>
      <c r="BE36" t="n">
        <v>28</v>
      </c>
      <c r="BF36" t="n">
        <v>15</v>
      </c>
      <c r="BG36" t="n">
        <v>2</v>
      </c>
      <c r="BH36" t="n">
        <v>4</v>
      </c>
      <c r="BI36" t="n">
        <v>15</v>
      </c>
      <c r="BJ36" t="n">
        <v>14</v>
      </c>
      <c r="BK36" t="n">
        <v>8</v>
      </c>
      <c r="BL36" t="n">
        <v>58</v>
      </c>
      <c r="BM36" t="n">
        <v>50</v>
      </c>
      <c r="BN36" t="n">
        <v>8</v>
      </c>
      <c r="BO36" t="n">
        <v>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170</v>
      </c>
      <c r="Z37" t="n">
        <v>212</v>
      </c>
      <c r="AA37" t="n">
        <v>48</v>
      </c>
      <c r="AB37" t="n">
        <v>0</v>
      </c>
      <c r="AC37" t="n">
        <v>0</v>
      </c>
      <c r="AD37" t="n">
        <v>5</v>
      </c>
      <c r="AE37" t="n">
        <v>4</v>
      </c>
      <c r="AF37" t="n">
        <v>2</v>
      </c>
      <c r="AG37" t="n">
        <v>8</v>
      </c>
      <c r="AH37" t="n">
        <v>47</v>
      </c>
      <c r="AI37" t="n">
        <v>25</v>
      </c>
      <c r="AJ37" t="n">
        <v>20</v>
      </c>
      <c r="AK37" t="n">
        <v>51</v>
      </c>
      <c r="AL37" t="n">
        <v>3</v>
      </c>
      <c r="AM37" t="n">
        <v>35</v>
      </c>
      <c r="AN37" t="n">
        <v>0</v>
      </c>
      <c r="AO37" t="n">
        <v>0</v>
      </c>
      <c r="AP37" t="n">
        <v>1</v>
      </c>
      <c r="AQ37" t="n">
        <v>6</v>
      </c>
      <c r="AR37" t="n">
        <v>75</v>
      </c>
      <c r="AS37" t="n">
        <v>68</v>
      </c>
      <c r="AT37" t="n">
        <v>7</v>
      </c>
      <c r="AU37" t="n">
        <v>1</v>
      </c>
      <c r="AV37" t="n">
        <v>47</v>
      </c>
      <c r="AW37" t="n">
        <v>7</v>
      </c>
      <c r="AX37" t="n">
        <v>0</v>
      </c>
      <c r="AY37" t="n">
        <v>19</v>
      </c>
      <c r="AZ37" t="n">
        <v>0</v>
      </c>
      <c r="BA37" t="n">
        <v>-3</v>
      </c>
      <c r="BB37" t="n">
        <v>43</v>
      </c>
      <c r="BC37" t="n">
        <v>36</v>
      </c>
      <c r="BD37" t="n">
        <v>63</v>
      </c>
      <c r="BE37" t="n">
        <v>7</v>
      </c>
      <c r="BF37" t="n">
        <v>16</v>
      </c>
      <c r="BG37" t="n">
        <v>1</v>
      </c>
      <c r="BH37" t="n">
        <v>6</v>
      </c>
      <c r="BI37" t="n">
        <v>8</v>
      </c>
      <c r="BJ37" t="n">
        <v>8</v>
      </c>
      <c r="BK37" t="n">
        <v>3</v>
      </c>
      <c r="BL37" t="n">
        <v>11</v>
      </c>
      <c r="BM37" t="n">
        <v>16</v>
      </c>
      <c r="BN37" t="n">
        <v>5</v>
      </c>
      <c r="BO37" t="n">
        <v>2</v>
      </c>
    </row>
    <row r="38">
      <c r="A38" t="n">
        <v>0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297</v>
      </c>
      <c r="Z38" t="n">
        <v>197</v>
      </c>
      <c r="AA38" t="n">
        <v>52</v>
      </c>
      <c r="AB38" t="n">
        <v>3</v>
      </c>
      <c r="AC38" t="n">
        <v>2</v>
      </c>
      <c r="AD38" t="n">
        <v>4</v>
      </c>
      <c r="AE38" t="n">
        <v>8</v>
      </c>
      <c r="AF38" t="n">
        <v>1</v>
      </c>
      <c r="AG38" t="n">
        <v>1</v>
      </c>
      <c r="AH38" t="n">
        <v>27</v>
      </c>
      <c r="AI38" t="n">
        <v>59</v>
      </c>
      <c r="AJ38" t="n">
        <v>6</v>
      </c>
      <c r="AK38" t="n">
        <v>1</v>
      </c>
      <c r="AL38" t="n">
        <v>5</v>
      </c>
      <c r="AM38" t="n">
        <v>46</v>
      </c>
      <c r="AN38" t="n">
        <v>0</v>
      </c>
      <c r="AO38" t="n">
        <v>0</v>
      </c>
      <c r="AP38" t="n">
        <v>4</v>
      </c>
      <c r="AQ38" t="n">
        <v>73</v>
      </c>
      <c r="AR38" t="n">
        <v>103</v>
      </c>
      <c r="AS38" t="n">
        <v>41</v>
      </c>
      <c r="AT38" t="n">
        <v>6</v>
      </c>
      <c r="AU38" t="n">
        <v>1</v>
      </c>
      <c r="AV38" t="n">
        <v>81</v>
      </c>
      <c r="AW38" t="n">
        <v>3</v>
      </c>
      <c r="AX38" t="n">
        <v>3</v>
      </c>
      <c r="AY38" t="n">
        <v>4</v>
      </c>
      <c r="AZ38" t="n">
        <v>1</v>
      </c>
      <c r="BA38" t="n">
        <v>1</v>
      </c>
      <c r="BB38" t="n">
        <v>52</v>
      </c>
      <c r="BC38" t="n">
        <v>39</v>
      </c>
      <c r="BD38" t="n">
        <v>25</v>
      </c>
      <c r="BE38" t="n">
        <v>1</v>
      </c>
      <c r="BF38" t="n">
        <v>3</v>
      </c>
      <c r="BG38" t="n">
        <v>4</v>
      </c>
      <c r="BH38" t="n">
        <v>9</v>
      </c>
      <c r="BI38" t="n">
        <v>71</v>
      </c>
      <c r="BJ38" t="n">
        <v>68</v>
      </c>
      <c r="BK38" t="n">
        <v>4</v>
      </c>
      <c r="BL38" t="n">
        <v>30</v>
      </c>
      <c r="BM38" t="n">
        <v>30</v>
      </c>
      <c r="BN38" t="n">
        <v>8</v>
      </c>
      <c r="BO38" t="n">
        <v>2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292</v>
      </c>
      <c r="Z39" t="n">
        <v>229</v>
      </c>
      <c r="AA39" t="n">
        <v>60</v>
      </c>
      <c r="AB39" t="n">
        <v>1</v>
      </c>
      <c r="AC39" t="n">
        <v>0</v>
      </c>
      <c r="AD39" t="n">
        <v>4</v>
      </c>
      <c r="AE39" t="n">
        <v>1</v>
      </c>
      <c r="AF39" t="n">
        <v>1</v>
      </c>
      <c r="AG39" t="n">
        <v>4</v>
      </c>
      <c r="AH39" t="n">
        <v>30</v>
      </c>
      <c r="AI39" t="n">
        <v>2</v>
      </c>
      <c r="AJ39" t="n">
        <v>31</v>
      </c>
      <c r="AK39" t="n">
        <v>83</v>
      </c>
      <c r="AL39" t="n">
        <v>2</v>
      </c>
      <c r="AM39" t="n">
        <v>11</v>
      </c>
      <c r="AN39" t="n">
        <v>0</v>
      </c>
      <c r="AO39" t="n">
        <v>0</v>
      </c>
      <c r="AP39" t="n">
        <v>1</v>
      </c>
      <c r="AQ39" t="n">
        <v>1</v>
      </c>
      <c r="AR39" t="n">
        <v>49</v>
      </c>
      <c r="AS39" t="n">
        <v>43</v>
      </c>
      <c r="AT39" t="n">
        <v>2</v>
      </c>
      <c r="AU39" t="n">
        <v>4</v>
      </c>
      <c r="AV39" t="n">
        <v>61</v>
      </c>
      <c r="AW39" t="n">
        <v>54</v>
      </c>
      <c r="AX39" t="n">
        <v>-1</v>
      </c>
      <c r="AY39" t="n">
        <v>65</v>
      </c>
      <c r="AZ39" t="n">
        <v>3</v>
      </c>
      <c r="BA39" t="n">
        <v>34</v>
      </c>
      <c r="BB39" t="n">
        <v>93</v>
      </c>
      <c r="BC39" t="n">
        <v>16</v>
      </c>
      <c r="BD39" t="n">
        <v>27</v>
      </c>
      <c r="BE39" t="n">
        <v>55</v>
      </c>
      <c r="BF39" t="n">
        <v>29</v>
      </c>
      <c r="BG39" t="n">
        <v>2</v>
      </c>
      <c r="BH39" t="n">
        <v>16</v>
      </c>
      <c r="BI39" t="n">
        <v>43</v>
      </c>
      <c r="BJ39" t="n">
        <v>39</v>
      </c>
      <c r="BK39" t="n">
        <v>0</v>
      </c>
      <c r="BL39" t="n">
        <v>1</v>
      </c>
      <c r="BM39" t="n">
        <v>33</v>
      </c>
      <c r="BN39" t="n">
        <v>20</v>
      </c>
      <c r="BO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275</v>
      </c>
      <c r="Z40" t="n">
        <v>193</v>
      </c>
      <c r="AA40" t="n">
        <v>49</v>
      </c>
      <c r="AB40" t="n">
        <v>0</v>
      </c>
      <c r="AC40" t="n">
        <v>3</v>
      </c>
      <c r="AD40" t="n">
        <v>9</v>
      </c>
      <c r="AE40" t="n">
        <v>10</v>
      </c>
      <c r="AF40" t="n">
        <v>3</v>
      </c>
      <c r="AG40" t="n">
        <v>3</v>
      </c>
      <c r="AH40" t="n">
        <v>135</v>
      </c>
      <c r="AI40" t="n">
        <v>110</v>
      </c>
      <c r="AJ40" t="n">
        <v>37</v>
      </c>
      <c r="AK40" t="n">
        <v>53</v>
      </c>
      <c r="AL40" t="n">
        <v>3</v>
      </c>
      <c r="AM40" t="n">
        <v>35</v>
      </c>
      <c r="AN40" t="n">
        <v>0</v>
      </c>
      <c r="AO40" t="n">
        <v>0</v>
      </c>
      <c r="AP40" t="n">
        <v>2</v>
      </c>
      <c r="AQ40" t="n">
        <v>6</v>
      </c>
      <c r="AR40" t="n">
        <v>16</v>
      </c>
      <c r="AS40" t="n">
        <v>12</v>
      </c>
      <c r="AT40" t="n">
        <v>5</v>
      </c>
      <c r="AU40" t="n">
        <v>3</v>
      </c>
      <c r="AV40" t="n">
        <v>37</v>
      </c>
      <c r="AW40" t="n">
        <v>19</v>
      </c>
      <c r="AX40" t="n">
        <v>0</v>
      </c>
      <c r="AY40" t="n">
        <v>45</v>
      </c>
      <c r="AZ40" t="n">
        <v>3</v>
      </c>
      <c r="BA40" t="n">
        <v>20</v>
      </c>
      <c r="BB40" t="n">
        <v>65</v>
      </c>
      <c r="BC40" t="n">
        <v>27</v>
      </c>
      <c r="BD40" t="n">
        <v>137</v>
      </c>
      <c r="BE40" t="n">
        <v>17</v>
      </c>
      <c r="BF40" t="n">
        <v>29</v>
      </c>
      <c r="BG40" t="n">
        <v>3</v>
      </c>
      <c r="BH40" t="n">
        <v>3</v>
      </c>
      <c r="BI40" t="n">
        <v>39</v>
      </c>
      <c r="BJ40" t="n">
        <v>36</v>
      </c>
      <c r="BK40" t="n">
        <v>2</v>
      </c>
      <c r="BL40" t="n">
        <v>1</v>
      </c>
      <c r="BM40" t="n">
        <v>13</v>
      </c>
      <c r="BN40" t="n">
        <v>7</v>
      </c>
      <c r="BO40" t="n">
        <v>2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163</v>
      </c>
      <c r="Z41" t="n">
        <v>240</v>
      </c>
      <c r="AA41" t="n">
        <v>67</v>
      </c>
      <c r="AB41" t="n">
        <v>0</v>
      </c>
      <c r="AC41" t="n">
        <v>0</v>
      </c>
      <c r="AD41" t="n">
        <v>4</v>
      </c>
      <c r="AE41" t="n">
        <v>1</v>
      </c>
      <c r="AF41" t="n">
        <v>2</v>
      </c>
      <c r="AG41" t="n">
        <v>4</v>
      </c>
      <c r="AH41" t="n">
        <v>20</v>
      </c>
      <c r="AI41" t="n">
        <v>22</v>
      </c>
      <c r="AJ41" t="n">
        <v>12</v>
      </c>
      <c r="AK41" t="n">
        <v>32</v>
      </c>
      <c r="AL41" t="n">
        <v>6</v>
      </c>
      <c r="AM41" t="n">
        <v>47</v>
      </c>
      <c r="AN41" t="n">
        <v>0</v>
      </c>
      <c r="AO41" t="n">
        <v>1</v>
      </c>
      <c r="AP41" t="n">
        <v>1</v>
      </c>
      <c r="AQ41" t="n">
        <v>6</v>
      </c>
      <c r="AR41" t="n">
        <v>65</v>
      </c>
      <c r="AS41" t="n">
        <v>58</v>
      </c>
      <c r="AT41" t="n">
        <v>1</v>
      </c>
      <c r="AU41" t="n">
        <v>6</v>
      </c>
      <c r="AV41" t="n">
        <v>10</v>
      </c>
      <c r="AW41" t="n">
        <v>42</v>
      </c>
      <c r="AX41" t="n">
        <v>0</v>
      </c>
      <c r="AY41" t="n">
        <v>65</v>
      </c>
      <c r="AZ41" t="n">
        <v>6</v>
      </c>
      <c r="BA41" t="n">
        <v>46</v>
      </c>
      <c r="BB41" t="n">
        <v>112</v>
      </c>
      <c r="BC41" t="n">
        <v>40</v>
      </c>
      <c r="BD41" t="n">
        <v>22</v>
      </c>
      <c r="BE41" t="n">
        <v>42</v>
      </c>
      <c r="BF41" t="n">
        <v>15</v>
      </c>
      <c r="BG41" t="n">
        <v>0</v>
      </c>
      <c r="BH41" t="n">
        <v>15</v>
      </c>
      <c r="BI41" t="n">
        <v>4</v>
      </c>
      <c r="BJ41" t="n">
        <v>13</v>
      </c>
      <c r="BK41" t="n">
        <v>1</v>
      </c>
      <c r="BL41" t="n">
        <v>27</v>
      </c>
      <c r="BM41" t="n">
        <v>27</v>
      </c>
      <c r="BN41" t="n">
        <v>7</v>
      </c>
      <c r="BO41" t="n">
        <v>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2</v>
      </c>
      <c r="X42" t="n">
        <v>0</v>
      </c>
      <c r="Y42" t="n">
        <v>240</v>
      </c>
      <c r="Z42" t="n">
        <v>220</v>
      </c>
      <c r="AA42" t="n">
        <v>47</v>
      </c>
      <c r="AB42" t="n">
        <v>2</v>
      </c>
      <c r="AC42" t="n">
        <v>1</v>
      </c>
      <c r="AD42" t="n">
        <v>2</v>
      </c>
      <c r="AE42" t="n">
        <v>4</v>
      </c>
      <c r="AF42" t="n">
        <v>3</v>
      </c>
      <c r="AG42" t="n">
        <v>0</v>
      </c>
      <c r="AH42" t="n">
        <v>22</v>
      </c>
      <c r="AI42" t="n">
        <v>28</v>
      </c>
      <c r="AJ42" t="n">
        <v>12</v>
      </c>
      <c r="AK42" t="n">
        <v>30</v>
      </c>
      <c r="AL42" t="n">
        <v>1</v>
      </c>
      <c r="AM42" t="n">
        <v>69</v>
      </c>
      <c r="AN42" t="n">
        <v>0</v>
      </c>
      <c r="AO42" t="n">
        <v>0</v>
      </c>
      <c r="AP42" t="n">
        <v>9</v>
      </c>
      <c r="AQ42" t="n">
        <v>55</v>
      </c>
      <c r="AR42" t="n">
        <v>70</v>
      </c>
      <c r="AS42" t="n">
        <v>23</v>
      </c>
      <c r="AT42" t="n">
        <v>2</v>
      </c>
      <c r="AU42" t="n">
        <v>3</v>
      </c>
      <c r="AV42" t="n">
        <v>84</v>
      </c>
      <c r="AW42" t="n">
        <v>8</v>
      </c>
      <c r="AX42" t="n">
        <v>0</v>
      </c>
      <c r="AY42" t="n">
        <v>37</v>
      </c>
      <c r="AZ42" t="n">
        <v>2</v>
      </c>
      <c r="BA42" t="n">
        <v>8</v>
      </c>
      <c r="BB42" t="n">
        <v>52</v>
      </c>
      <c r="BC42" t="n">
        <v>58</v>
      </c>
      <c r="BD42" t="n">
        <v>19</v>
      </c>
      <c r="BE42" t="n">
        <v>11</v>
      </c>
      <c r="BF42" t="n">
        <v>10</v>
      </c>
      <c r="BG42" t="n">
        <v>3</v>
      </c>
      <c r="BH42" t="n">
        <v>6</v>
      </c>
      <c r="BI42" t="n">
        <v>55</v>
      </c>
      <c r="BJ42" t="n">
        <v>50</v>
      </c>
      <c r="BK42" t="n">
        <v>6</v>
      </c>
      <c r="BL42" t="n">
        <v>47</v>
      </c>
      <c r="BM42" t="n">
        <v>39</v>
      </c>
      <c r="BN42" t="n">
        <v>6</v>
      </c>
      <c r="BO42" t="n">
        <v>11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153</v>
      </c>
      <c r="Z43" t="n">
        <v>353</v>
      </c>
      <c r="AA43" t="n">
        <v>147</v>
      </c>
      <c r="AB43" t="n">
        <v>2</v>
      </c>
      <c r="AC43" t="n">
        <v>3</v>
      </c>
      <c r="AD43" t="n">
        <v>1</v>
      </c>
      <c r="AE43" t="n">
        <v>0</v>
      </c>
      <c r="AF43" t="n">
        <v>9</v>
      </c>
      <c r="AG43" t="n">
        <v>2</v>
      </c>
      <c r="AH43" t="n">
        <v>20</v>
      </c>
      <c r="AI43" t="n">
        <v>2</v>
      </c>
      <c r="AJ43" t="n">
        <v>84</v>
      </c>
      <c r="AK43" t="n">
        <v>1</v>
      </c>
      <c r="AL43" t="n">
        <v>2</v>
      </c>
      <c r="AM43" t="n">
        <v>18</v>
      </c>
      <c r="AN43" t="n">
        <v>1</v>
      </c>
      <c r="AO43" t="n">
        <v>0</v>
      </c>
      <c r="AP43" t="n">
        <v>5</v>
      </c>
      <c r="AQ43" t="n">
        <v>10</v>
      </c>
      <c r="AR43" t="n">
        <v>131</v>
      </c>
      <c r="AS43" t="n">
        <v>118</v>
      </c>
      <c r="AT43" t="n">
        <v>4</v>
      </c>
      <c r="AU43" t="n">
        <v>2</v>
      </c>
      <c r="AV43" t="n">
        <v>19</v>
      </c>
      <c r="AW43" t="n">
        <v>25</v>
      </c>
      <c r="AX43" t="n">
        <v>0</v>
      </c>
      <c r="AY43" t="n">
        <v>23</v>
      </c>
      <c r="AZ43" t="n">
        <v>3</v>
      </c>
      <c r="BA43" t="n">
        <v>14</v>
      </c>
      <c r="BB43" t="n">
        <v>146</v>
      </c>
      <c r="BC43" t="n">
        <v>15</v>
      </c>
      <c r="BD43" t="n">
        <v>21</v>
      </c>
      <c r="BE43" t="n">
        <v>25</v>
      </c>
      <c r="BF43" t="n">
        <v>67</v>
      </c>
      <c r="BG43" t="n">
        <v>0</v>
      </c>
      <c r="BH43" t="n">
        <v>3</v>
      </c>
      <c r="BI43" t="n">
        <v>7</v>
      </c>
      <c r="BJ43" t="n">
        <v>1</v>
      </c>
      <c r="BK43" t="n">
        <v>2</v>
      </c>
      <c r="BL43" t="n">
        <v>27</v>
      </c>
      <c r="BM43" t="n">
        <v>25</v>
      </c>
      <c r="BN43" t="n">
        <v>5</v>
      </c>
      <c r="BO43" t="n">
        <v>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225</v>
      </c>
      <c r="Z44" t="n">
        <v>228</v>
      </c>
      <c r="AA44" t="n">
        <v>59</v>
      </c>
      <c r="AB44" t="n">
        <v>1</v>
      </c>
      <c r="AC44" t="n">
        <v>0</v>
      </c>
      <c r="AD44" t="n">
        <v>3</v>
      </c>
      <c r="AE44" t="n">
        <v>11</v>
      </c>
      <c r="AF44" t="n">
        <v>4</v>
      </c>
      <c r="AG44" t="n">
        <v>6</v>
      </c>
      <c r="AH44" t="n">
        <v>65</v>
      </c>
      <c r="AI44" t="n">
        <v>63</v>
      </c>
      <c r="AJ44" t="n">
        <v>31</v>
      </c>
      <c r="AK44" t="n">
        <v>38</v>
      </c>
      <c r="AL44" t="n">
        <v>5</v>
      </c>
      <c r="AM44" t="n">
        <v>84</v>
      </c>
      <c r="AN44" t="n">
        <v>3</v>
      </c>
      <c r="AO44" t="n">
        <v>1</v>
      </c>
      <c r="AP44" t="n">
        <v>5</v>
      </c>
      <c r="AQ44" t="n">
        <v>38</v>
      </c>
      <c r="AR44" t="n">
        <v>136</v>
      </c>
      <c r="AS44" t="n">
        <v>104</v>
      </c>
      <c r="AT44" t="n">
        <v>2</v>
      </c>
      <c r="AU44" t="n">
        <v>1</v>
      </c>
      <c r="AV44" t="n">
        <v>8</v>
      </c>
      <c r="AW44" t="n">
        <v>24</v>
      </c>
      <c r="AX44" t="n">
        <v>0</v>
      </c>
      <c r="AY44" t="n">
        <v>101</v>
      </c>
      <c r="AZ44" t="n">
        <v>5</v>
      </c>
      <c r="BA44" t="n">
        <v>29</v>
      </c>
      <c r="BB44" t="n">
        <v>86</v>
      </c>
      <c r="BC44" t="n">
        <v>93</v>
      </c>
      <c r="BD44" t="n">
        <v>57</v>
      </c>
      <c r="BE44" t="n">
        <v>24</v>
      </c>
      <c r="BF44" t="n">
        <v>25</v>
      </c>
      <c r="BG44" t="n">
        <v>5</v>
      </c>
      <c r="BH44" t="n">
        <v>10</v>
      </c>
      <c r="BI44" t="n">
        <v>45</v>
      </c>
      <c r="BJ44" t="n">
        <v>62</v>
      </c>
      <c r="BK44" t="n">
        <v>6</v>
      </c>
      <c r="BL44" t="n">
        <v>44</v>
      </c>
      <c r="BM44" t="n">
        <v>35</v>
      </c>
      <c r="BN44" t="n">
        <v>4</v>
      </c>
      <c r="BO44" t="n">
        <v>21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310</v>
      </c>
      <c r="Z45" t="n">
        <v>319</v>
      </c>
      <c r="AA45" t="n">
        <v>97</v>
      </c>
      <c r="AB45" t="n">
        <v>1</v>
      </c>
      <c r="AC45" t="n">
        <v>3</v>
      </c>
      <c r="AD45" t="n">
        <v>10</v>
      </c>
      <c r="AE45" t="n">
        <v>16</v>
      </c>
      <c r="AF45" t="n">
        <v>4</v>
      </c>
      <c r="AG45" t="n">
        <v>2</v>
      </c>
      <c r="AH45" t="n">
        <v>78</v>
      </c>
      <c r="AI45" t="n">
        <v>138</v>
      </c>
      <c r="AJ45" t="n">
        <v>24</v>
      </c>
      <c r="AK45" t="n">
        <v>39</v>
      </c>
      <c r="AL45" t="n">
        <v>4</v>
      </c>
      <c r="AM45" t="n">
        <v>29</v>
      </c>
      <c r="AN45" t="n">
        <v>1</v>
      </c>
      <c r="AO45" t="n">
        <v>0</v>
      </c>
      <c r="AP45" t="n">
        <v>12</v>
      </c>
      <c r="AQ45" t="n">
        <v>134</v>
      </c>
      <c r="AR45" t="n">
        <v>168</v>
      </c>
      <c r="AS45" t="n">
        <v>55</v>
      </c>
      <c r="AT45" t="n">
        <v>2</v>
      </c>
      <c r="AU45" t="n">
        <v>3</v>
      </c>
      <c r="AV45" t="n">
        <v>12</v>
      </c>
      <c r="AW45" t="n">
        <v>41</v>
      </c>
      <c r="AX45" t="n">
        <v>0</v>
      </c>
      <c r="AY45" t="n">
        <v>38</v>
      </c>
      <c r="AZ45" t="n">
        <v>3</v>
      </c>
      <c r="BA45" t="n">
        <v>24</v>
      </c>
      <c r="BB45" t="n">
        <v>118</v>
      </c>
      <c r="BC45" t="n">
        <v>24</v>
      </c>
      <c r="BD45" t="n">
        <v>70</v>
      </c>
      <c r="BE45" t="n">
        <v>40</v>
      </c>
      <c r="BF45" t="n">
        <v>19</v>
      </c>
      <c r="BG45" t="n">
        <v>2</v>
      </c>
      <c r="BH45" t="n">
        <v>29</v>
      </c>
      <c r="BI45" t="n">
        <v>14</v>
      </c>
      <c r="BJ45" t="n">
        <v>12</v>
      </c>
      <c r="BK45" t="n">
        <v>3</v>
      </c>
      <c r="BL45" t="n">
        <v>9</v>
      </c>
      <c r="BM45" t="n">
        <v>6</v>
      </c>
      <c r="BN45" t="n">
        <v>0</v>
      </c>
      <c r="BO45" t="n">
        <v>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243</v>
      </c>
      <c r="Z46" t="n">
        <v>146</v>
      </c>
      <c r="AA46" t="n">
        <v>41</v>
      </c>
      <c r="AB46" t="n">
        <v>0</v>
      </c>
      <c r="AC46" t="n">
        <v>0</v>
      </c>
      <c r="AD46" t="n">
        <v>4</v>
      </c>
      <c r="AE46" t="n">
        <v>6</v>
      </c>
      <c r="AF46" t="n">
        <v>2</v>
      </c>
      <c r="AG46" t="n">
        <v>3</v>
      </c>
      <c r="AH46" t="n">
        <v>60</v>
      </c>
      <c r="AI46" t="n">
        <v>15</v>
      </c>
      <c r="AJ46" t="n">
        <v>18</v>
      </c>
      <c r="AK46" t="n">
        <v>28</v>
      </c>
      <c r="AL46" t="n">
        <v>5</v>
      </c>
      <c r="AM46" t="n">
        <v>32</v>
      </c>
      <c r="AN46" t="n">
        <v>0</v>
      </c>
      <c r="AO46" t="n">
        <v>0</v>
      </c>
      <c r="AP46" t="n">
        <v>5</v>
      </c>
      <c r="AQ46" t="n">
        <v>16</v>
      </c>
      <c r="AR46" t="n">
        <v>57</v>
      </c>
      <c r="AS46" t="n">
        <v>43</v>
      </c>
      <c r="AT46" t="n">
        <v>4</v>
      </c>
      <c r="AU46" t="n">
        <v>0</v>
      </c>
      <c r="AV46" t="n">
        <v>47</v>
      </c>
      <c r="AW46" t="n">
        <v>1</v>
      </c>
      <c r="AX46" t="n">
        <v>0</v>
      </c>
      <c r="AY46" t="n">
        <v>29</v>
      </c>
      <c r="AZ46" t="n">
        <v>1</v>
      </c>
      <c r="BA46" t="n">
        <v>1</v>
      </c>
      <c r="BB46" t="n">
        <v>40</v>
      </c>
      <c r="BC46" t="n">
        <v>26</v>
      </c>
      <c r="BD46" t="n">
        <v>53</v>
      </c>
      <c r="BE46" t="n">
        <v>10</v>
      </c>
      <c r="BF46" t="n">
        <v>14</v>
      </c>
      <c r="BG46" t="n">
        <v>1</v>
      </c>
      <c r="BH46" t="n">
        <v>0</v>
      </c>
      <c r="BI46" t="n">
        <v>56</v>
      </c>
      <c r="BJ46" t="n">
        <v>51</v>
      </c>
      <c r="BK46" t="n">
        <v>0</v>
      </c>
      <c r="BL46" t="n">
        <v>1</v>
      </c>
      <c r="BM46" t="n">
        <v>13</v>
      </c>
      <c r="BN46" t="n">
        <v>7</v>
      </c>
      <c r="BO46" t="n">
        <v>-7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168</v>
      </c>
      <c r="Z47" t="n">
        <v>229</v>
      </c>
      <c r="AA47" t="n">
        <v>73</v>
      </c>
      <c r="AB47" t="n">
        <v>0</v>
      </c>
      <c r="AC47" t="n">
        <v>0</v>
      </c>
      <c r="AD47" t="n">
        <v>1</v>
      </c>
      <c r="AE47" t="n">
        <v>11</v>
      </c>
      <c r="AF47" t="n">
        <v>2</v>
      </c>
      <c r="AG47" t="n">
        <v>5</v>
      </c>
      <c r="AH47" t="n">
        <v>30</v>
      </c>
      <c r="AI47" t="n">
        <v>54</v>
      </c>
      <c r="AJ47" t="n">
        <v>11</v>
      </c>
      <c r="AK47" t="n">
        <v>32</v>
      </c>
      <c r="AL47" t="n">
        <v>7</v>
      </c>
      <c r="AM47" t="n">
        <v>101</v>
      </c>
      <c r="AN47" t="n">
        <v>0</v>
      </c>
      <c r="AO47" t="n">
        <v>0</v>
      </c>
      <c r="AP47" t="n">
        <v>2</v>
      </c>
      <c r="AQ47" t="n">
        <v>13</v>
      </c>
      <c r="AR47" t="n">
        <v>81</v>
      </c>
      <c r="AS47" t="n">
        <v>68</v>
      </c>
      <c r="AT47" t="n">
        <v>1</v>
      </c>
      <c r="AU47" t="n">
        <v>1</v>
      </c>
      <c r="AV47" t="n">
        <v>1</v>
      </c>
      <c r="AW47" t="n">
        <v>6</v>
      </c>
      <c r="AX47" t="n">
        <v>1</v>
      </c>
      <c r="AY47" t="n">
        <v>75</v>
      </c>
      <c r="AZ47" t="n">
        <v>4</v>
      </c>
      <c r="BA47" t="n">
        <v>28</v>
      </c>
      <c r="BB47" t="n">
        <v>99</v>
      </c>
      <c r="BC47" t="n">
        <v>89</v>
      </c>
      <c r="BD47" t="n">
        <v>27</v>
      </c>
      <c r="BE47" t="n">
        <v>5</v>
      </c>
      <c r="BF47" t="n">
        <v>-1</v>
      </c>
      <c r="BG47" t="n">
        <v>3</v>
      </c>
      <c r="BH47" t="n">
        <v>2</v>
      </c>
      <c r="BI47" t="n">
        <v>42</v>
      </c>
      <c r="BJ47" t="n">
        <v>38</v>
      </c>
      <c r="BK47" t="n">
        <v>2</v>
      </c>
      <c r="BL47" t="n">
        <v>27</v>
      </c>
      <c r="BM47" t="n">
        <v>43</v>
      </c>
      <c r="BN47" t="n">
        <v>17</v>
      </c>
      <c r="BO47" t="n">
        <v>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0</v>
      </c>
      <c r="Y48" t="n">
        <v>253</v>
      </c>
      <c r="Z48" t="n">
        <v>303</v>
      </c>
      <c r="AA48" t="n">
        <v>76</v>
      </c>
      <c r="AB48" t="n">
        <v>0</v>
      </c>
      <c r="AC48" t="n">
        <v>0</v>
      </c>
      <c r="AD48" t="n">
        <v>9</v>
      </c>
      <c r="AE48" t="n">
        <v>2</v>
      </c>
      <c r="AF48" t="n">
        <v>5</v>
      </c>
      <c r="AG48" t="n">
        <v>1</v>
      </c>
      <c r="AH48" t="n">
        <v>126</v>
      </c>
      <c r="AI48" t="n">
        <v>27</v>
      </c>
      <c r="AJ48" t="n">
        <v>44</v>
      </c>
      <c r="AK48" t="n">
        <v>3</v>
      </c>
      <c r="AL48" t="n">
        <v>2</v>
      </c>
      <c r="AM48" t="n">
        <v>46</v>
      </c>
      <c r="AN48" t="n">
        <v>0</v>
      </c>
      <c r="AO48" t="n">
        <v>0</v>
      </c>
      <c r="AP48" t="n">
        <v>6</v>
      </c>
      <c r="AQ48" t="n">
        <v>41</v>
      </c>
      <c r="AR48" t="n">
        <v>46</v>
      </c>
      <c r="AS48" t="n">
        <v>11</v>
      </c>
      <c r="AT48" t="n">
        <v>2</v>
      </c>
      <c r="AU48" t="n">
        <v>2</v>
      </c>
      <c r="AV48" t="n">
        <v>39</v>
      </c>
      <c r="AW48" t="n">
        <v>24</v>
      </c>
      <c r="AX48" t="n">
        <v>6</v>
      </c>
      <c r="AY48" t="n">
        <v>20</v>
      </c>
      <c r="AZ48" t="n">
        <v>2</v>
      </c>
      <c r="BA48" t="n">
        <v>26</v>
      </c>
      <c r="BB48" t="n">
        <v>99</v>
      </c>
      <c r="BC48" t="n">
        <v>66</v>
      </c>
      <c r="BD48" t="n">
        <v>128</v>
      </c>
      <c r="BE48" t="n">
        <v>28</v>
      </c>
      <c r="BF48" t="n">
        <v>54</v>
      </c>
      <c r="BG48" t="n">
        <v>0</v>
      </c>
      <c r="BH48" t="n">
        <v>4</v>
      </c>
      <c r="BI48" t="n">
        <v>3</v>
      </c>
      <c r="BJ48" t="n">
        <v>5</v>
      </c>
      <c r="BK48" t="n">
        <v>1</v>
      </c>
      <c r="BL48" t="n">
        <v>3</v>
      </c>
      <c r="BM48" t="n">
        <v>19</v>
      </c>
      <c r="BN48" t="n">
        <v>11</v>
      </c>
      <c r="BO48" t="n">
        <v>40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</v>
      </c>
      <c r="V49" t="n">
        <v>0</v>
      </c>
      <c r="W49" t="n">
        <v>0</v>
      </c>
      <c r="X49" t="n">
        <v>1</v>
      </c>
      <c r="Y49" t="n">
        <v>141</v>
      </c>
      <c r="Z49" t="n">
        <v>347</v>
      </c>
      <c r="AA49" t="n">
        <v>121</v>
      </c>
      <c r="AB49" t="n">
        <v>3</v>
      </c>
      <c r="AC49" t="n">
        <v>2</v>
      </c>
      <c r="AD49" t="n">
        <v>4</v>
      </c>
      <c r="AE49" t="n">
        <v>8</v>
      </c>
      <c r="AF49" t="n">
        <v>3</v>
      </c>
      <c r="AG49" t="n">
        <v>0</v>
      </c>
      <c r="AH49" t="n">
        <v>44</v>
      </c>
      <c r="AI49" t="n">
        <v>145</v>
      </c>
      <c r="AJ49" t="n">
        <v>29</v>
      </c>
      <c r="AK49" t="n">
        <v>21</v>
      </c>
      <c r="AL49" t="n">
        <v>4</v>
      </c>
      <c r="AM49" t="n">
        <v>81</v>
      </c>
      <c r="AN49" t="n">
        <v>0</v>
      </c>
      <c r="AO49" t="n">
        <v>0</v>
      </c>
      <c r="AP49" t="n">
        <v>6</v>
      </c>
      <c r="AQ49" t="n">
        <v>39</v>
      </c>
      <c r="AR49" t="n">
        <v>47</v>
      </c>
      <c r="AS49" t="n">
        <v>13</v>
      </c>
      <c r="AT49" t="n">
        <v>0</v>
      </c>
      <c r="AU49" t="n">
        <v>1</v>
      </c>
      <c r="AV49" t="n">
        <v>1</v>
      </c>
      <c r="AW49" t="n">
        <v>13</v>
      </c>
      <c r="AX49" t="n">
        <v>4</v>
      </c>
      <c r="AY49" t="n">
        <v>34</v>
      </c>
      <c r="AZ49" t="n">
        <v>2</v>
      </c>
      <c r="BA49" t="n">
        <v>28</v>
      </c>
      <c r="BB49" t="n">
        <v>141</v>
      </c>
      <c r="BC49" t="n">
        <v>81</v>
      </c>
      <c r="BD49" t="n">
        <v>39</v>
      </c>
      <c r="BE49" t="n">
        <v>13</v>
      </c>
      <c r="BF49" t="n">
        <v>23</v>
      </c>
      <c r="BG49" t="n">
        <v>1</v>
      </c>
      <c r="BH49" t="n">
        <v>7</v>
      </c>
      <c r="BI49" t="n">
        <v>1</v>
      </c>
      <c r="BJ49" t="n">
        <v>14</v>
      </c>
      <c r="BK49" t="n">
        <v>3</v>
      </c>
      <c r="BL49" t="n">
        <v>11</v>
      </c>
      <c r="BM49" t="n">
        <v>14</v>
      </c>
      <c r="BN49" t="n">
        <v>5</v>
      </c>
      <c r="BO49" t="n">
        <v>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206</v>
      </c>
      <c r="Z50" t="n">
        <v>169</v>
      </c>
      <c r="AA50" t="n">
        <v>34</v>
      </c>
      <c r="AB50" t="n">
        <v>0</v>
      </c>
      <c r="AC50" t="n">
        <v>2</v>
      </c>
      <c r="AD50" t="n">
        <v>5</v>
      </c>
      <c r="AE50" t="n">
        <v>3</v>
      </c>
      <c r="AF50" t="n">
        <v>3</v>
      </c>
      <c r="AG50" t="n">
        <v>3</v>
      </c>
      <c r="AH50" t="n">
        <v>41</v>
      </c>
      <c r="AI50" t="n">
        <v>56</v>
      </c>
      <c r="AJ50" t="n">
        <v>14</v>
      </c>
      <c r="AK50" t="n">
        <v>15</v>
      </c>
      <c r="AL50" t="n">
        <v>1</v>
      </c>
      <c r="AM50" t="n">
        <v>14</v>
      </c>
      <c r="AN50" t="n">
        <v>0</v>
      </c>
      <c r="AO50" t="n">
        <v>0</v>
      </c>
      <c r="AP50" t="n">
        <v>3</v>
      </c>
      <c r="AQ50" t="n">
        <v>12</v>
      </c>
      <c r="AR50" t="n">
        <v>28</v>
      </c>
      <c r="AS50" t="n">
        <v>19</v>
      </c>
      <c r="AT50" t="n">
        <v>1</v>
      </c>
      <c r="AU50" t="n">
        <v>1</v>
      </c>
      <c r="AV50" t="n">
        <v>9</v>
      </c>
      <c r="AW50" t="n">
        <v>11</v>
      </c>
      <c r="AX50" t="n">
        <v>0</v>
      </c>
      <c r="AY50" t="n">
        <v>47</v>
      </c>
      <c r="AZ50" t="n">
        <v>2</v>
      </c>
      <c r="BA50" t="n">
        <v>22</v>
      </c>
      <c r="BB50" t="n">
        <v>56</v>
      </c>
      <c r="BC50" t="n">
        <v>11</v>
      </c>
      <c r="BD50" t="n">
        <v>62</v>
      </c>
      <c r="BE50" t="n">
        <v>15</v>
      </c>
      <c r="BF50" t="n">
        <v>9</v>
      </c>
      <c r="BG50" t="n">
        <v>0</v>
      </c>
      <c r="BH50" t="n">
        <v>24</v>
      </c>
      <c r="BI50" t="n">
        <v>8</v>
      </c>
      <c r="BJ50" t="n">
        <v>7</v>
      </c>
      <c r="BK50" t="n">
        <v>1</v>
      </c>
      <c r="BL50" t="n">
        <v>1</v>
      </c>
      <c r="BM50" t="n">
        <v>19</v>
      </c>
      <c r="BN50" t="n">
        <v>11</v>
      </c>
      <c r="BO50" t="n">
        <v>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303</v>
      </c>
      <c r="Z51" t="n">
        <v>112</v>
      </c>
      <c r="AA51" t="n">
        <v>48</v>
      </c>
      <c r="AB51" t="n">
        <v>0</v>
      </c>
      <c r="AC51" t="n">
        <v>5</v>
      </c>
      <c r="AD51" t="n">
        <v>9</v>
      </c>
      <c r="AE51" t="n">
        <v>7</v>
      </c>
      <c r="AF51" t="n">
        <v>4</v>
      </c>
      <c r="AG51" t="n">
        <v>2</v>
      </c>
      <c r="AH51" t="n">
        <v>133</v>
      </c>
      <c r="AI51" t="n">
        <v>84</v>
      </c>
      <c r="AJ51" t="n">
        <v>106</v>
      </c>
      <c r="AK51" t="n">
        <v>1</v>
      </c>
      <c r="AL51" t="n">
        <v>0</v>
      </c>
      <c r="AM51" t="n">
        <v>2</v>
      </c>
      <c r="AN51" t="n">
        <v>0</v>
      </c>
      <c r="AO51" t="n">
        <v>0</v>
      </c>
      <c r="AP51" t="n">
        <v>3</v>
      </c>
      <c r="AQ51" t="n">
        <v>24</v>
      </c>
      <c r="AR51" t="n">
        <v>62</v>
      </c>
      <c r="AS51" t="n">
        <v>42</v>
      </c>
      <c r="AT51" t="n">
        <v>3</v>
      </c>
      <c r="AU51" t="n">
        <v>1</v>
      </c>
      <c r="AV51" t="n">
        <v>12</v>
      </c>
      <c r="AW51" t="n">
        <v>13</v>
      </c>
      <c r="AX51" t="n">
        <v>2</v>
      </c>
      <c r="AY51" t="n">
        <v>78</v>
      </c>
      <c r="AZ51" t="n">
        <v>0</v>
      </c>
      <c r="BA51" t="n">
        <v>1</v>
      </c>
      <c r="BB51" t="n">
        <v>47</v>
      </c>
      <c r="BC51" t="n">
        <v>2</v>
      </c>
      <c r="BD51" t="n">
        <v>131</v>
      </c>
      <c r="BE51" t="n">
        <v>12</v>
      </c>
      <c r="BF51" t="n">
        <v>92</v>
      </c>
      <c r="BG51" t="n">
        <v>2</v>
      </c>
      <c r="BH51" t="n">
        <v>0</v>
      </c>
      <c r="BI51" t="n">
        <v>24</v>
      </c>
      <c r="BJ51" t="n">
        <v>48</v>
      </c>
      <c r="BK51" t="n">
        <v>3</v>
      </c>
      <c r="BL51" t="n">
        <v>1</v>
      </c>
      <c r="BM51" t="n">
        <v>42</v>
      </c>
      <c r="BN51" t="n">
        <v>26</v>
      </c>
      <c r="BO51" t="n">
        <v>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198</v>
      </c>
      <c r="Z52" t="n">
        <v>178</v>
      </c>
      <c r="AA52" t="n">
        <v>15</v>
      </c>
      <c r="AB52" t="n">
        <v>0</v>
      </c>
      <c r="AC52" t="n">
        <v>1</v>
      </c>
      <c r="AD52" t="n">
        <v>4</v>
      </c>
      <c r="AE52" t="n">
        <v>5</v>
      </c>
      <c r="AF52" t="n">
        <v>0</v>
      </c>
      <c r="AG52" t="n">
        <v>0</v>
      </c>
      <c r="AH52" t="n">
        <v>78</v>
      </c>
      <c r="AI52" t="n">
        <v>43</v>
      </c>
      <c r="AJ52" t="n">
        <v>7</v>
      </c>
      <c r="AK52" t="n">
        <v>7</v>
      </c>
      <c r="AL52" t="n">
        <v>1</v>
      </c>
      <c r="AM52" t="n">
        <v>44</v>
      </c>
      <c r="AN52" t="n">
        <v>0</v>
      </c>
      <c r="AO52" t="n">
        <v>0</v>
      </c>
      <c r="AP52" t="n">
        <v>4</v>
      </c>
      <c r="AQ52" t="n">
        <v>13</v>
      </c>
      <c r="AR52" t="n">
        <v>97</v>
      </c>
      <c r="AS52" t="n">
        <v>84</v>
      </c>
      <c r="AT52" t="n">
        <v>2</v>
      </c>
      <c r="AU52" t="n">
        <v>1</v>
      </c>
      <c r="AV52" t="n">
        <v>29</v>
      </c>
      <c r="AW52" t="n">
        <v>8</v>
      </c>
      <c r="AX52" t="n">
        <v>7</v>
      </c>
      <c r="AY52" t="n">
        <v>117</v>
      </c>
      <c r="AZ52" t="n">
        <v>2</v>
      </c>
      <c r="BA52" t="n">
        <v>39</v>
      </c>
      <c r="BB52" t="n">
        <v>57</v>
      </c>
      <c r="BC52" t="n">
        <v>37</v>
      </c>
      <c r="BD52" t="n">
        <v>75</v>
      </c>
      <c r="BE52" t="n">
        <v>8</v>
      </c>
      <c r="BF52" t="n">
        <v>4</v>
      </c>
      <c r="BG52" t="n">
        <v>4</v>
      </c>
      <c r="BH52" t="n">
        <v>5</v>
      </c>
      <c r="BI52" t="n">
        <v>55</v>
      </c>
      <c r="BJ52" t="n">
        <v>52</v>
      </c>
      <c r="BK52" t="n">
        <v>3</v>
      </c>
      <c r="BL52" t="n">
        <v>32</v>
      </c>
      <c r="BM52" t="n">
        <v>29</v>
      </c>
      <c r="BN52" t="n">
        <v>6</v>
      </c>
      <c r="BO52" t="n">
        <v>49</v>
      </c>
    </row>
    <row r="53">
      <c r="A53" t="n">
        <v>0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195</v>
      </c>
      <c r="Z53" t="n">
        <v>233</v>
      </c>
      <c r="AA53" t="n">
        <v>125</v>
      </c>
      <c r="AB53" t="n">
        <v>2</v>
      </c>
      <c r="AC53" t="n">
        <v>2</v>
      </c>
      <c r="AD53" t="n">
        <v>3</v>
      </c>
      <c r="AE53" t="n">
        <v>3</v>
      </c>
      <c r="AF53" t="n">
        <v>5</v>
      </c>
      <c r="AG53" t="n">
        <v>2</v>
      </c>
      <c r="AH53" t="n">
        <v>48</v>
      </c>
      <c r="AI53" t="n">
        <v>14</v>
      </c>
      <c r="AJ53" t="n">
        <v>54</v>
      </c>
      <c r="AK53" t="n">
        <v>33</v>
      </c>
      <c r="AL53" t="n">
        <v>4</v>
      </c>
      <c r="AM53" t="n">
        <v>116</v>
      </c>
      <c r="AN53" t="n">
        <v>0</v>
      </c>
      <c r="AO53" t="n">
        <v>0</v>
      </c>
      <c r="AP53" t="n">
        <v>6</v>
      </c>
      <c r="AQ53" t="n">
        <v>42</v>
      </c>
      <c r="AR53" t="n">
        <v>136</v>
      </c>
      <c r="AS53" t="n">
        <v>100</v>
      </c>
      <c r="AT53" t="n">
        <v>6</v>
      </c>
      <c r="AU53" t="n">
        <v>1</v>
      </c>
      <c r="AV53" t="n">
        <v>40</v>
      </c>
      <c r="AW53" t="n">
        <v>20</v>
      </c>
      <c r="AX53" t="n">
        <v>5</v>
      </c>
      <c r="AY53" t="n">
        <v>12</v>
      </c>
      <c r="AZ53" t="n">
        <v>1</v>
      </c>
      <c r="BA53" t="n">
        <v>1</v>
      </c>
      <c r="BB53" t="n">
        <v>120</v>
      </c>
      <c r="BC53" t="n">
        <v>95</v>
      </c>
      <c r="BD53" t="n">
        <v>48</v>
      </c>
      <c r="BE53" t="n">
        <v>24</v>
      </c>
      <c r="BF53" t="n">
        <v>42</v>
      </c>
      <c r="BG53" t="n">
        <v>4</v>
      </c>
      <c r="BH53" t="n">
        <v>0</v>
      </c>
      <c r="BI53" t="n">
        <v>22</v>
      </c>
      <c r="BJ53" t="n">
        <v>19</v>
      </c>
      <c r="BK53" t="n">
        <v>0</v>
      </c>
      <c r="BL53" t="n">
        <v>9</v>
      </c>
      <c r="BM53" t="n">
        <v>8</v>
      </c>
      <c r="BN53" t="n">
        <v>2</v>
      </c>
      <c r="BO53" t="n">
        <v>7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3</v>
      </c>
      <c r="U54" t="n">
        <v>0</v>
      </c>
      <c r="V54" t="n">
        <v>0</v>
      </c>
      <c r="W54" t="n">
        <v>1</v>
      </c>
      <c r="X54" t="n">
        <v>0</v>
      </c>
      <c r="Y54" t="n">
        <v>205</v>
      </c>
      <c r="Z54" t="n">
        <v>219</v>
      </c>
      <c r="AA54" t="n">
        <v>86</v>
      </c>
      <c r="AB54" t="n">
        <v>1</v>
      </c>
      <c r="AC54" t="n">
        <v>0</v>
      </c>
      <c r="AD54" t="n">
        <v>1</v>
      </c>
      <c r="AE54" t="n">
        <v>2</v>
      </c>
      <c r="AF54" t="n">
        <v>0</v>
      </c>
      <c r="AG54" t="n">
        <v>0</v>
      </c>
      <c r="AH54" t="n">
        <v>2</v>
      </c>
      <c r="AI54" t="n">
        <v>90</v>
      </c>
      <c r="AJ54" t="n">
        <v>2</v>
      </c>
      <c r="AK54" t="n">
        <v>1</v>
      </c>
      <c r="AL54" t="n">
        <v>5</v>
      </c>
      <c r="AM54" t="n">
        <v>42</v>
      </c>
      <c r="AN54" t="n">
        <v>0</v>
      </c>
      <c r="AO54" t="n">
        <v>0</v>
      </c>
      <c r="AP54" t="n">
        <v>3</v>
      </c>
      <c r="AQ54" t="n">
        <v>9</v>
      </c>
      <c r="AR54" t="n">
        <v>150</v>
      </c>
      <c r="AS54" t="n">
        <v>138</v>
      </c>
      <c r="AT54" t="n">
        <v>1</v>
      </c>
      <c r="AU54" t="n">
        <v>0</v>
      </c>
      <c r="AV54" t="n">
        <v>33</v>
      </c>
      <c r="AW54" t="n">
        <v>1</v>
      </c>
      <c r="AX54" t="n">
        <v>1</v>
      </c>
      <c r="AY54" t="n">
        <v>6</v>
      </c>
      <c r="AZ54" t="n">
        <v>7</v>
      </c>
      <c r="BA54" t="n">
        <v>65</v>
      </c>
      <c r="BB54" t="n">
        <v>151</v>
      </c>
      <c r="BC54" t="n">
        <v>36</v>
      </c>
      <c r="BD54" t="n">
        <v>13</v>
      </c>
      <c r="BE54" t="n">
        <v>4</v>
      </c>
      <c r="BF54" t="n">
        <v>3</v>
      </c>
      <c r="BG54" t="n">
        <v>2</v>
      </c>
      <c r="BH54" t="n">
        <v>0</v>
      </c>
      <c r="BI54" t="n">
        <v>56</v>
      </c>
      <c r="BJ54" t="n">
        <v>50</v>
      </c>
      <c r="BK54" t="n">
        <v>1</v>
      </c>
      <c r="BL54" t="n">
        <v>7</v>
      </c>
      <c r="BM54" t="n">
        <v>4</v>
      </c>
      <c r="BN54" t="n">
        <v>0</v>
      </c>
      <c r="BO54" t="n">
        <v>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151</v>
      </c>
      <c r="Z55" t="n">
        <v>182</v>
      </c>
      <c r="AA55" t="n">
        <v>140</v>
      </c>
      <c r="AB55" t="n">
        <v>0</v>
      </c>
      <c r="AC55" t="n">
        <v>2</v>
      </c>
      <c r="AD55" t="n">
        <v>2</v>
      </c>
      <c r="AE55" t="n">
        <v>3</v>
      </c>
      <c r="AF55" t="n">
        <v>3</v>
      </c>
      <c r="AG55" t="n">
        <v>3</v>
      </c>
      <c r="AH55" t="n">
        <v>30</v>
      </c>
      <c r="AI55" t="n">
        <v>31</v>
      </c>
      <c r="AJ55" t="n">
        <v>39</v>
      </c>
      <c r="AK55" t="n">
        <v>1</v>
      </c>
      <c r="AL55" t="n">
        <v>3</v>
      </c>
      <c r="AM55" t="n">
        <v>59</v>
      </c>
      <c r="AN55" t="n">
        <v>0</v>
      </c>
      <c r="AO55" t="n">
        <v>0</v>
      </c>
      <c r="AP55" t="n">
        <v>3</v>
      </c>
      <c r="AQ55" t="n">
        <v>64</v>
      </c>
      <c r="AR55" t="n">
        <v>169</v>
      </c>
      <c r="AS55" t="n">
        <v>111</v>
      </c>
      <c r="AT55" t="n">
        <v>1</v>
      </c>
      <c r="AU55" t="n">
        <v>1</v>
      </c>
      <c r="AV55" t="n">
        <v>14</v>
      </c>
      <c r="AW55" t="n">
        <v>5</v>
      </c>
      <c r="AX55" t="n">
        <v>5</v>
      </c>
      <c r="AY55" t="n">
        <v>35</v>
      </c>
      <c r="AZ55" t="n">
        <v>2</v>
      </c>
      <c r="BA55" t="n">
        <v>3</v>
      </c>
      <c r="BB55" t="n">
        <v>132</v>
      </c>
      <c r="BC55" t="n">
        <v>49</v>
      </c>
      <c r="BD55" t="n">
        <v>40</v>
      </c>
      <c r="BE55" t="n">
        <v>14</v>
      </c>
      <c r="BF55" t="n">
        <v>31</v>
      </c>
      <c r="BG55" t="n">
        <v>0</v>
      </c>
      <c r="BH55" t="n">
        <v>4</v>
      </c>
      <c r="BI55" t="n">
        <v>1</v>
      </c>
      <c r="BJ55" t="n">
        <v>3</v>
      </c>
      <c r="BK55" t="n">
        <v>1</v>
      </c>
      <c r="BL55" t="n">
        <v>8</v>
      </c>
      <c r="BM55" t="n">
        <v>32</v>
      </c>
      <c r="BN55" t="n">
        <v>17</v>
      </c>
      <c r="BO55" t="n">
        <v>2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316</v>
      </c>
      <c r="Z56" t="n">
        <v>138</v>
      </c>
      <c r="AA56" t="n">
        <v>7</v>
      </c>
      <c r="AB56" t="n">
        <v>1</v>
      </c>
      <c r="AC56" t="n">
        <v>0</v>
      </c>
      <c r="AD56" t="n">
        <v>7</v>
      </c>
      <c r="AE56" t="n">
        <v>7</v>
      </c>
      <c r="AF56" t="n">
        <v>3</v>
      </c>
      <c r="AG56" t="n">
        <v>3</v>
      </c>
      <c r="AH56" t="n">
        <v>93</v>
      </c>
      <c r="AI56" t="n">
        <v>72</v>
      </c>
      <c r="AJ56" t="n">
        <v>22</v>
      </c>
      <c r="AK56" t="n">
        <v>68</v>
      </c>
      <c r="AL56" t="n">
        <v>2</v>
      </c>
      <c r="AM56" t="n">
        <v>27</v>
      </c>
      <c r="AN56" t="n">
        <v>0</v>
      </c>
      <c r="AO56" t="n">
        <v>0</v>
      </c>
      <c r="AP56" t="n">
        <v>1</v>
      </c>
      <c r="AQ56" t="n">
        <v>-2</v>
      </c>
      <c r="AR56" t="n">
        <v>68</v>
      </c>
      <c r="AS56" t="n">
        <v>63</v>
      </c>
      <c r="AT56" t="n">
        <v>6</v>
      </c>
      <c r="AU56" t="n">
        <v>2</v>
      </c>
      <c r="AV56" t="n">
        <v>85</v>
      </c>
      <c r="AW56" t="n">
        <v>11</v>
      </c>
      <c r="AX56" t="n">
        <v>10</v>
      </c>
      <c r="AY56" t="n">
        <v>17</v>
      </c>
      <c r="AZ56" t="n">
        <v>0</v>
      </c>
      <c r="BA56" t="n">
        <v>7</v>
      </c>
      <c r="BB56" t="n">
        <v>12</v>
      </c>
      <c r="BC56" t="n">
        <v>22</v>
      </c>
      <c r="BD56" t="n">
        <v>84</v>
      </c>
      <c r="BE56" t="n">
        <v>10</v>
      </c>
      <c r="BF56" t="n">
        <v>23</v>
      </c>
      <c r="BG56" t="n">
        <v>3</v>
      </c>
      <c r="BH56" t="n">
        <v>5</v>
      </c>
      <c r="BI56" t="n">
        <v>70</v>
      </c>
      <c r="BJ56" t="n">
        <v>64</v>
      </c>
      <c r="BK56" t="n">
        <v>0</v>
      </c>
      <c r="BL56" t="n">
        <v>1</v>
      </c>
      <c r="BM56" t="n">
        <v>6</v>
      </c>
      <c r="BN56" t="n">
        <v>3</v>
      </c>
      <c r="BO56" t="n">
        <v>16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120</v>
      </c>
      <c r="Z57" t="n">
        <v>205</v>
      </c>
      <c r="AA57" t="n">
        <v>98</v>
      </c>
      <c r="AB57" t="n">
        <v>3</v>
      </c>
      <c r="AC57" t="n">
        <v>2</v>
      </c>
      <c r="AD57" t="n">
        <v>3</v>
      </c>
      <c r="AE57" t="n">
        <v>8</v>
      </c>
      <c r="AF57" t="n">
        <v>1</v>
      </c>
      <c r="AG57" t="n">
        <v>0</v>
      </c>
      <c r="AH57" t="n">
        <v>11</v>
      </c>
      <c r="AI57" t="n">
        <v>61</v>
      </c>
      <c r="AJ57" t="n">
        <v>19</v>
      </c>
      <c r="AK57" t="n">
        <v>1</v>
      </c>
      <c r="AL57" t="n">
        <v>1</v>
      </c>
      <c r="AM57" t="n">
        <v>37</v>
      </c>
      <c r="AN57" t="n">
        <v>0</v>
      </c>
      <c r="AO57" t="n">
        <v>1</v>
      </c>
      <c r="AP57" t="n">
        <v>4</v>
      </c>
      <c r="AQ57" t="n">
        <v>13</v>
      </c>
      <c r="AR57" t="n">
        <v>90</v>
      </c>
      <c r="AS57" t="n">
        <v>79</v>
      </c>
      <c r="AT57" t="n">
        <v>0</v>
      </c>
      <c r="AU57" t="n">
        <v>1</v>
      </c>
      <c r="AV57" t="n">
        <v>1</v>
      </c>
      <c r="AW57" t="n">
        <v>10</v>
      </c>
      <c r="AX57" t="n">
        <v>0</v>
      </c>
      <c r="AY57" t="n">
        <v>38</v>
      </c>
      <c r="AZ57" t="n">
        <v>2</v>
      </c>
      <c r="BA57" t="n">
        <v>10</v>
      </c>
      <c r="BB57" t="n">
        <v>104</v>
      </c>
      <c r="BC57" t="n">
        <v>32</v>
      </c>
      <c r="BD57" t="n">
        <v>19</v>
      </c>
      <c r="BE57" t="n">
        <v>10</v>
      </c>
      <c r="BF57" t="n">
        <v>21</v>
      </c>
      <c r="BG57" t="n">
        <v>3</v>
      </c>
      <c r="BH57" t="n">
        <v>15</v>
      </c>
      <c r="BI57" t="n">
        <v>36</v>
      </c>
      <c r="BJ57" t="n">
        <v>59</v>
      </c>
      <c r="BK57" t="n">
        <v>3</v>
      </c>
      <c r="BL57" t="n">
        <v>20</v>
      </c>
      <c r="BM57" t="n">
        <v>13</v>
      </c>
      <c r="BN57" t="n">
        <v>0</v>
      </c>
      <c r="BO57" t="n">
        <v>49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99</v>
      </c>
      <c r="Z58" t="n">
        <v>193</v>
      </c>
      <c r="AA58" t="n">
        <v>32</v>
      </c>
      <c r="AB58" t="n">
        <v>0</v>
      </c>
      <c r="AC58" t="n">
        <v>0</v>
      </c>
      <c r="AD58" t="n">
        <v>5</v>
      </c>
      <c r="AE58" t="n">
        <v>4</v>
      </c>
      <c r="AF58" t="n">
        <v>3</v>
      </c>
      <c r="AG58" t="n">
        <v>0</v>
      </c>
      <c r="AH58" t="n">
        <v>23</v>
      </c>
      <c r="AI58" t="n">
        <v>13</v>
      </c>
      <c r="AJ58" t="n">
        <v>30</v>
      </c>
      <c r="AK58" t="n">
        <v>1</v>
      </c>
      <c r="AL58" t="n">
        <v>9</v>
      </c>
      <c r="AM58" t="n">
        <v>101</v>
      </c>
      <c r="AN58" t="n">
        <v>0</v>
      </c>
      <c r="AO58" t="n">
        <v>0</v>
      </c>
      <c r="AP58" t="n">
        <v>0</v>
      </c>
      <c r="AQ58" t="n">
        <v>7</v>
      </c>
      <c r="AR58" t="n">
        <v>62</v>
      </c>
      <c r="AS58" t="n">
        <v>56</v>
      </c>
      <c r="AT58" t="n">
        <v>2</v>
      </c>
      <c r="AU58" t="n">
        <v>1</v>
      </c>
      <c r="AV58" t="n">
        <v>1</v>
      </c>
      <c r="AW58" t="n">
        <v>3</v>
      </c>
      <c r="AX58" t="n">
        <v>0</v>
      </c>
      <c r="AY58" t="n">
        <v>15</v>
      </c>
      <c r="AZ58" t="n">
        <v>0</v>
      </c>
      <c r="BA58" t="n">
        <v>1</v>
      </c>
      <c r="BB58" t="n">
        <v>32</v>
      </c>
      <c r="BC58" t="n">
        <v>82</v>
      </c>
      <c r="BD58" t="n">
        <v>20</v>
      </c>
      <c r="BE58" t="n">
        <v>2</v>
      </c>
      <c r="BF58" t="n">
        <v>24</v>
      </c>
      <c r="BG58" t="n">
        <v>0</v>
      </c>
      <c r="BH58" t="n">
        <v>0</v>
      </c>
      <c r="BI58" t="n">
        <v>6</v>
      </c>
      <c r="BJ58" t="n">
        <v>2</v>
      </c>
      <c r="BK58" t="n">
        <v>2</v>
      </c>
      <c r="BL58" t="n">
        <v>7</v>
      </c>
      <c r="BM58" t="n">
        <v>9</v>
      </c>
      <c r="BN58" t="n">
        <v>3</v>
      </c>
      <c r="BO58" t="n">
        <v>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141</v>
      </c>
      <c r="Z59" t="n">
        <v>178</v>
      </c>
      <c r="AA59" t="n">
        <v>88</v>
      </c>
      <c r="AB59" t="n">
        <v>1</v>
      </c>
      <c r="AC59" t="n">
        <v>1</v>
      </c>
      <c r="AD59" t="n">
        <v>4</v>
      </c>
      <c r="AE59" t="n">
        <v>8</v>
      </c>
      <c r="AF59" t="n">
        <v>2</v>
      </c>
      <c r="AG59" t="n">
        <v>1</v>
      </c>
      <c r="AH59" t="n">
        <v>64</v>
      </c>
      <c r="AI59" t="n">
        <v>102</v>
      </c>
      <c r="AJ59" t="n">
        <v>16</v>
      </c>
      <c r="AK59" t="n">
        <v>10</v>
      </c>
      <c r="AL59" t="n">
        <v>2</v>
      </c>
      <c r="AM59" t="n">
        <v>3</v>
      </c>
      <c r="AN59" t="n">
        <v>0</v>
      </c>
      <c r="AO59" t="n">
        <v>1</v>
      </c>
      <c r="AP59" t="n">
        <v>3</v>
      </c>
      <c r="AQ59" t="n">
        <v>32</v>
      </c>
      <c r="AR59" t="n">
        <v>127</v>
      </c>
      <c r="AS59" t="n">
        <v>98</v>
      </c>
      <c r="AT59" t="n">
        <v>0</v>
      </c>
      <c r="AU59" t="n">
        <v>0</v>
      </c>
      <c r="AV59" t="n">
        <v>1</v>
      </c>
      <c r="AW59" t="n">
        <v>1</v>
      </c>
      <c r="AX59" t="n">
        <v>8</v>
      </c>
      <c r="AY59" t="n">
        <v>24</v>
      </c>
      <c r="AZ59" t="n">
        <v>6</v>
      </c>
      <c r="BA59" t="n">
        <v>46</v>
      </c>
      <c r="BB59" t="n">
        <v>129</v>
      </c>
      <c r="BC59" t="n">
        <v>6</v>
      </c>
      <c r="BD59" t="n">
        <v>59</v>
      </c>
      <c r="BE59" t="n">
        <v>1</v>
      </c>
      <c r="BF59" t="n">
        <v>13</v>
      </c>
      <c r="BG59" t="n">
        <v>2</v>
      </c>
      <c r="BH59" t="n">
        <v>3</v>
      </c>
      <c r="BI59" t="n">
        <v>16</v>
      </c>
      <c r="BJ59" t="n">
        <v>13</v>
      </c>
      <c r="BK59" t="n">
        <v>7</v>
      </c>
      <c r="BL59" t="n">
        <v>71</v>
      </c>
      <c r="BM59" t="n">
        <v>57</v>
      </c>
      <c r="BN59" t="n">
        <v>7</v>
      </c>
      <c r="BO59" t="n">
        <v>-5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230</v>
      </c>
      <c r="Z60" t="n">
        <v>288</v>
      </c>
      <c r="AA60" t="n">
        <v>40</v>
      </c>
      <c r="AB60" t="n">
        <v>1</v>
      </c>
      <c r="AC60" t="n">
        <v>2</v>
      </c>
      <c r="AD60" t="n">
        <v>4</v>
      </c>
      <c r="AE60" t="n">
        <v>3</v>
      </c>
      <c r="AF60" t="n">
        <v>3</v>
      </c>
      <c r="AG60" t="n">
        <v>4</v>
      </c>
      <c r="AH60" t="n">
        <v>106</v>
      </c>
      <c r="AI60" t="n">
        <v>98</v>
      </c>
      <c r="AJ60" t="n">
        <v>12</v>
      </c>
      <c r="AK60" t="n">
        <v>28</v>
      </c>
      <c r="AL60" t="n">
        <v>0</v>
      </c>
      <c r="AM60" t="n">
        <v>7</v>
      </c>
      <c r="AN60" t="n">
        <v>0</v>
      </c>
      <c r="AO60" t="n">
        <v>0</v>
      </c>
      <c r="AP60" t="n">
        <v>13</v>
      </c>
      <c r="AQ60" t="n">
        <v>24</v>
      </c>
      <c r="AR60" t="n">
        <v>75</v>
      </c>
      <c r="AS60" t="n">
        <v>55</v>
      </c>
      <c r="AT60" t="n">
        <v>2</v>
      </c>
      <c r="AU60" t="n">
        <v>2</v>
      </c>
      <c r="AV60" t="n">
        <v>29</v>
      </c>
      <c r="AW60" t="n">
        <v>34</v>
      </c>
      <c r="AX60" t="n">
        <v>11</v>
      </c>
      <c r="AY60" t="n">
        <v>20</v>
      </c>
      <c r="AZ60" t="n">
        <v>2</v>
      </c>
      <c r="BA60" t="n">
        <v>17</v>
      </c>
      <c r="BB60" t="n">
        <v>55</v>
      </c>
      <c r="BC60" t="n">
        <v>22</v>
      </c>
      <c r="BD60" t="n">
        <v>102</v>
      </c>
      <c r="BE60" t="n">
        <v>34</v>
      </c>
      <c r="BF60" t="n">
        <v>10</v>
      </c>
      <c r="BG60" t="n">
        <v>4</v>
      </c>
      <c r="BH60" t="n">
        <v>16</v>
      </c>
      <c r="BI60" t="n">
        <v>11</v>
      </c>
      <c r="BJ60" t="n">
        <v>17</v>
      </c>
      <c r="BK60" t="n">
        <v>0</v>
      </c>
      <c r="BL60" t="n">
        <v>1</v>
      </c>
      <c r="BM60" t="n">
        <v>1</v>
      </c>
      <c r="BN60" t="n">
        <v>0</v>
      </c>
      <c r="BO60" t="n">
        <v>16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233</v>
      </c>
      <c r="Z61" t="n">
        <v>124</v>
      </c>
      <c r="AA61" t="n">
        <v>30</v>
      </c>
      <c r="AB61" t="n">
        <v>2</v>
      </c>
      <c r="AC61" t="n">
        <v>2</v>
      </c>
      <c r="AD61" t="n">
        <v>3</v>
      </c>
      <c r="AE61" t="n">
        <v>8</v>
      </c>
      <c r="AF61" t="n">
        <v>2</v>
      </c>
      <c r="AG61" t="n">
        <v>2</v>
      </c>
      <c r="AH61" t="n">
        <v>46</v>
      </c>
      <c r="AI61" t="n">
        <v>50</v>
      </c>
      <c r="AJ61" t="n">
        <v>19</v>
      </c>
      <c r="AK61" t="n">
        <v>68</v>
      </c>
      <c r="AL61" t="n">
        <v>1</v>
      </c>
      <c r="AM61" t="n">
        <v>28</v>
      </c>
      <c r="AN61" t="n">
        <v>0</v>
      </c>
      <c r="AO61" t="n">
        <v>0</v>
      </c>
      <c r="AP61" t="n">
        <v>6</v>
      </c>
      <c r="AQ61" t="n">
        <v>44</v>
      </c>
      <c r="AR61" t="n">
        <v>162</v>
      </c>
      <c r="AS61" t="n">
        <v>122</v>
      </c>
      <c r="AT61" t="n">
        <v>4</v>
      </c>
      <c r="AU61" t="n">
        <v>2</v>
      </c>
      <c r="AV61" t="n">
        <v>28</v>
      </c>
      <c r="AW61" t="n">
        <v>9</v>
      </c>
      <c r="AX61" t="n">
        <v>14</v>
      </c>
      <c r="AY61" t="n">
        <v>36</v>
      </c>
      <c r="AZ61" t="n">
        <v>1</v>
      </c>
      <c r="BA61" t="n">
        <v>22</v>
      </c>
      <c r="BB61" t="n">
        <v>52</v>
      </c>
      <c r="BC61" t="n">
        <v>23</v>
      </c>
      <c r="BD61" t="n">
        <v>43</v>
      </c>
      <c r="BE61" t="n">
        <v>12</v>
      </c>
      <c r="BF61" t="n">
        <v>15</v>
      </c>
      <c r="BG61" t="n">
        <v>1</v>
      </c>
      <c r="BH61" t="n">
        <v>14</v>
      </c>
      <c r="BI61" t="n">
        <v>16</v>
      </c>
      <c r="BJ61" t="n">
        <v>14</v>
      </c>
      <c r="BK61" t="n">
        <v>5</v>
      </c>
      <c r="BL61" t="n">
        <v>14</v>
      </c>
      <c r="BM61" t="n">
        <v>17</v>
      </c>
      <c r="BN61" t="n">
        <v>5</v>
      </c>
      <c r="BO61" t="n">
        <v>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52</v>
      </c>
      <c r="Z62" t="n">
        <v>232</v>
      </c>
      <c r="AA62" t="n">
        <v>32</v>
      </c>
      <c r="AB62" t="n">
        <v>1</v>
      </c>
      <c r="AC62" t="n">
        <v>1</v>
      </c>
      <c r="AD62" t="n">
        <v>1</v>
      </c>
      <c r="AE62" t="n">
        <v>3</v>
      </c>
      <c r="AF62" t="n">
        <v>0</v>
      </c>
      <c r="AG62" t="n">
        <v>2</v>
      </c>
      <c r="AH62" t="n">
        <v>4</v>
      </c>
      <c r="AI62" t="n">
        <v>19</v>
      </c>
      <c r="AJ62" t="n">
        <v>36</v>
      </c>
      <c r="AK62" t="n">
        <v>4</v>
      </c>
      <c r="AL62" t="n">
        <v>7</v>
      </c>
      <c r="AM62" t="n">
        <v>143</v>
      </c>
      <c r="AN62" t="n">
        <v>1</v>
      </c>
      <c r="AO62" t="n">
        <v>0</v>
      </c>
      <c r="AP62" t="n">
        <v>5</v>
      </c>
      <c r="AQ62" t="n">
        <v>26</v>
      </c>
      <c r="AR62" t="n">
        <v>60</v>
      </c>
      <c r="AS62" t="n">
        <v>38</v>
      </c>
      <c r="AT62" t="n">
        <v>1</v>
      </c>
      <c r="AU62" t="n">
        <v>3</v>
      </c>
      <c r="AV62" t="n">
        <v>8</v>
      </c>
      <c r="AW62" t="n">
        <v>25</v>
      </c>
      <c r="AX62" t="n">
        <v>1</v>
      </c>
      <c r="AY62" t="n">
        <v>55</v>
      </c>
      <c r="AZ62" t="n">
        <v>1</v>
      </c>
      <c r="BA62" t="n">
        <v>3</v>
      </c>
      <c r="BB62" t="n">
        <v>32</v>
      </c>
      <c r="BC62" t="n">
        <v>130</v>
      </c>
      <c r="BD62" t="n">
        <v>7</v>
      </c>
      <c r="BE62" t="n">
        <v>25</v>
      </c>
      <c r="BF62" t="n">
        <v>31</v>
      </c>
      <c r="BG62" t="n">
        <v>1</v>
      </c>
      <c r="BH62" t="n">
        <v>1</v>
      </c>
      <c r="BI62" t="n">
        <v>1</v>
      </c>
      <c r="BJ62" t="n">
        <v>12</v>
      </c>
      <c r="BK62" t="n">
        <v>2</v>
      </c>
      <c r="BL62" t="n">
        <v>9</v>
      </c>
      <c r="BM62" t="n">
        <v>10</v>
      </c>
      <c r="BN62" t="n">
        <v>3</v>
      </c>
      <c r="BO62" t="n">
        <v>28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207</v>
      </c>
      <c r="Z63" t="n">
        <v>227</v>
      </c>
      <c r="AA63" t="n">
        <v>64</v>
      </c>
      <c r="AB63" t="n">
        <v>1</v>
      </c>
      <c r="AC63" t="n">
        <v>0</v>
      </c>
      <c r="AD63" t="n">
        <v>4</v>
      </c>
      <c r="AE63" t="n">
        <v>4</v>
      </c>
      <c r="AF63" t="n">
        <v>0</v>
      </c>
      <c r="AG63" t="n">
        <v>3</v>
      </c>
      <c r="AH63" t="n">
        <v>87</v>
      </c>
      <c r="AI63" t="n">
        <v>33</v>
      </c>
      <c r="AJ63" t="n">
        <v>3</v>
      </c>
      <c r="AK63" t="n">
        <v>16</v>
      </c>
      <c r="AL63" t="n">
        <v>5</v>
      </c>
      <c r="AM63" t="n">
        <v>99</v>
      </c>
      <c r="AN63" t="n">
        <v>0</v>
      </c>
      <c r="AO63" t="n">
        <v>0</v>
      </c>
      <c r="AP63" t="n">
        <v>2</v>
      </c>
      <c r="AQ63" t="n">
        <v>16</v>
      </c>
      <c r="AR63" t="n">
        <v>51</v>
      </c>
      <c r="AS63" t="n">
        <v>37</v>
      </c>
      <c r="AT63" t="n">
        <v>3</v>
      </c>
      <c r="AU63" t="n">
        <v>1</v>
      </c>
      <c r="AV63" t="n">
        <v>25</v>
      </c>
      <c r="AW63" t="n">
        <v>12</v>
      </c>
      <c r="AX63" t="n">
        <v>1</v>
      </c>
      <c r="AY63" t="n">
        <v>61</v>
      </c>
      <c r="AZ63" t="n">
        <v>5</v>
      </c>
      <c r="BA63" t="n">
        <v>77</v>
      </c>
      <c r="BB63" t="n">
        <v>147</v>
      </c>
      <c r="BC63" t="n">
        <v>81</v>
      </c>
      <c r="BD63" t="n">
        <v>79</v>
      </c>
      <c r="BE63" t="n">
        <v>15</v>
      </c>
      <c r="BF63" t="n">
        <v>4</v>
      </c>
      <c r="BG63" t="n">
        <v>2</v>
      </c>
      <c r="BH63" t="n">
        <v>19</v>
      </c>
      <c r="BI63" t="n">
        <v>24</v>
      </c>
      <c r="BJ63" t="n">
        <v>22</v>
      </c>
      <c r="BK63" t="n">
        <v>0</v>
      </c>
      <c r="BL63" t="n">
        <v>1</v>
      </c>
      <c r="BM63" t="n">
        <v>13</v>
      </c>
      <c r="BN63" t="n">
        <v>7</v>
      </c>
      <c r="BO63" t="n">
        <v>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196</v>
      </c>
      <c r="Z64" t="n">
        <v>254</v>
      </c>
      <c r="AA64" t="n">
        <v>-1</v>
      </c>
      <c r="AB64" t="n">
        <v>2</v>
      </c>
      <c r="AC64" t="n">
        <v>0</v>
      </c>
      <c r="AD64" t="n">
        <v>1</v>
      </c>
      <c r="AE64" t="n">
        <v>2</v>
      </c>
      <c r="AF64" t="n">
        <v>6</v>
      </c>
      <c r="AG64" t="n">
        <v>8</v>
      </c>
      <c r="AH64" t="n">
        <v>10</v>
      </c>
      <c r="AI64" t="n">
        <v>16</v>
      </c>
      <c r="AJ64" t="n">
        <v>29</v>
      </c>
      <c r="AK64" t="n">
        <v>44</v>
      </c>
      <c r="AL64" t="n">
        <v>0</v>
      </c>
      <c r="AM64" t="n">
        <v>14</v>
      </c>
      <c r="AN64" t="n">
        <v>1</v>
      </c>
      <c r="AO64" t="n">
        <v>0</v>
      </c>
      <c r="AP64" t="n">
        <v>6</v>
      </c>
      <c r="AQ64" t="n">
        <v>106</v>
      </c>
      <c r="AR64" t="n">
        <v>134</v>
      </c>
      <c r="AS64" t="n">
        <v>41</v>
      </c>
      <c r="AT64" t="n">
        <v>1</v>
      </c>
      <c r="AU64" t="n">
        <v>3</v>
      </c>
      <c r="AV64" t="n">
        <v>19</v>
      </c>
      <c r="AW64" t="n">
        <v>23</v>
      </c>
      <c r="AX64" t="n">
        <v>3</v>
      </c>
      <c r="AY64" t="n">
        <v>20</v>
      </c>
      <c r="AZ64" t="n">
        <v>0</v>
      </c>
      <c r="BA64" t="n">
        <v>-8</v>
      </c>
      <c r="BB64" t="n">
        <v>-3</v>
      </c>
      <c r="BC64" t="n">
        <v>9</v>
      </c>
      <c r="BD64" t="n">
        <v>8</v>
      </c>
      <c r="BE64" t="n">
        <v>23</v>
      </c>
      <c r="BF64" t="n">
        <v>23</v>
      </c>
      <c r="BG64" t="n">
        <v>4</v>
      </c>
      <c r="BH64" t="n">
        <v>9</v>
      </c>
      <c r="BI64" t="n">
        <v>31</v>
      </c>
      <c r="BJ64" t="n">
        <v>49</v>
      </c>
      <c r="BK64" t="n">
        <v>5</v>
      </c>
      <c r="BL64" t="n">
        <v>26</v>
      </c>
      <c r="BM64" t="n">
        <v>37</v>
      </c>
      <c r="BN64" t="n">
        <v>14</v>
      </c>
      <c r="BO64" t="n">
        <v>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219</v>
      </c>
      <c r="Z65" t="n">
        <v>186</v>
      </c>
      <c r="AA65" t="n">
        <v>23</v>
      </c>
      <c r="AB65" t="n">
        <v>3</v>
      </c>
      <c r="AC65" t="n">
        <v>0</v>
      </c>
      <c r="AD65" t="n">
        <v>0</v>
      </c>
      <c r="AE65" t="n">
        <v>7</v>
      </c>
      <c r="AF65" t="n">
        <v>6</v>
      </c>
      <c r="AG65" t="n">
        <v>0</v>
      </c>
      <c r="AH65" t="n">
        <v>2</v>
      </c>
      <c r="AI65" t="n">
        <v>86</v>
      </c>
      <c r="AJ65" t="n">
        <v>97</v>
      </c>
      <c r="AK65" t="n">
        <v>1</v>
      </c>
      <c r="AL65" t="n">
        <v>0</v>
      </c>
      <c r="AM65" t="n">
        <v>53</v>
      </c>
      <c r="AN65" t="n">
        <v>0</v>
      </c>
      <c r="AO65" t="n">
        <v>0</v>
      </c>
      <c r="AP65" t="n">
        <v>1</v>
      </c>
      <c r="AQ65" t="n">
        <v>15</v>
      </c>
      <c r="AR65" t="n">
        <v>54</v>
      </c>
      <c r="AS65" t="n">
        <v>42</v>
      </c>
      <c r="AT65" t="n">
        <v>5</v>
      </c>
      <c r="AU65" t="n">
        <v>1</v>
      </c>
      <c r="AV65" t="n">
        <v>25</v>
      </c>
      <c r="AW65" t="n">
        <v>24</v>
      </c>
      <c r="AX65" t="n">
        <v>7</v>
      </c>
      <c r="AY65" t="n">
        <v>1</v>
      </c>
      <c r="AZ65" t="n">
        <v>1</v>
      </c>
      <c r="BA65" t="n">
        <v>16</v>
      </c>
      <c r="BB65" t="n">
        <v>39</v>
      </c>
      <c r="BC65" t="n">
        <v>46</v>
      </c>
      <c r="BD65" t="n">
        <v>6</v>
      </c>
      <c r="BE65" t="n">
        <v>23</v>
      </c>
      <c r="BF65" t="n">
        <v>77</v>
      </c>
      <c r="BG65" t="n">
        <v>5</v>
      </c>
      <c r="BH65" t="n">
        <v>9</v>
      </c>
      <c r="BI65" t="n">
        <v>65</v>
      </c>
      <c r="BJ65" t="n">
        <v>58</v>
      </c>
      <c r="BK65" t="n">
        <v>3</v>
      </c>
      <c r="BL65" t="n">
        <v>18</v>
      </c>
      <c r="BM65" t="n">
        <v>12</v>
      </c>
      <c r="BN65" t="n">
        <v>1</v>
      </c>
      <c r="BO65" t="n">
        <v>2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149</v>
      </c>
      <c r="Z66" t="n">
        <v>177</v>
      </c>
      <c r="AA66" t="n">
        <v>24</v>
      </c>
      <c r="AB66" t="n">
        <v>3</v>
      </c>
      <c r="AC66" t="n">
        <v>0</v>
      </c>
      <c r="AD66" t="n">
        <v>4</v>
      </c>
      <c r="AE66" t="n">
        <v>4</v>
      </c>
      <c r="AF66" t="n">
        <v>1</v>
      </c>
      <c r="AG66" t="n">
        <v>3</v>
      </c>
      <c r="AH66" t="n">
        <v>38</v>
      </c>
      <c r="AI66" t="n">
        <v>32</v>
      </c>
      <c r="AJ66" t="n">
        <v>31</v>
      </c>
      <c r="AK66" t="n">
        <v>22</v>
      </c>
      <c r="AL66" t="n">
        <v>1</v>
      </c>
      <c r="AM66" t="n">
        <v>33</v>
      </c>
      <c r="AN66" t="n">
        <v>0</v>
      </c>
      <c r="AO66" t="n">
        <v>0</v>
      </c>
      <c r="AP66" t="n">
        <v>1</v>
      </c>
      <c r="AQ66" t="n">
        <v>0</v>
      </c>
      <c r="AR66" t="n">
        <v>152</v>
      </c>
      <c r="AS66" t="n">
        <v>141</v>
      </c>
      <c r="AT66" t="n">
        <v>4</v>
      </c>
      <c r="AU66" t="n">
        <v>1</v>
      </c>
      <c r="AV66" t="n">
        <v>18</v>
      </c>
      <c r="AW66" t="n">
        <v>3</v>
      </c>
      <c r="AX66" t="n">
        <v>9</v>
      </c>
      <c r="AY66" t="n">
        <v>12</v>
      </c>
      <c r="AZ66" t="n">
        <v>1</v>
      </c>
      <c r="BA66" t="n">
        <v>2</v>
      </c>
      <c r="BB66" t="n">
        <v>24</v>
      </c>
      <c r="BC66" t="n">
        <v>33</v>
      </c>
      <c r="BD66" t="n">
        <v>61</v>
      </c>
      <c r="BE66" t="n">
        <v>-3</v>
      </c>
      <c r="BF66" t="n">
        <v>34</v>
      </c>
      <c r="BG66" t="n">
        <v>1</v>
      </c>
      <c r="BH66" t="n">
        <v>0</v>
      </c>
      <c r="BI66" t="n">
        <v>20</v>
      </c>
      <c r="BJ66" t="n">
        <v>18</v>
      </c>
      <c r="BK66" t="n">
        <v>7</v>
      </c>
      <c r="BL66" t="n">
        <v>88</v>
      </c>
      <c r="BM66" t="n">
        <v>65</v>
      </c>
      <c r="BN66" t="n">
        <v>5</v>
      </c>
      <c r="BO66" t="n">
        <v>32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296</v>
      </c>
      <c r="Z67" t="n">
        <v>371</v>
      </c>
      <c r="AA67" t="n">
        <v>56</v>
      </c>
      <c r="AB67" t="n">
        <v>1</v>
      </c>
      <c r="AC67" t="n">
        <v>3</v>
      </c>
      <c r="AD67" t="n">
        <v>5</v>
      </c>
      <c r="AE67" t="n">
        <v>3</v>
      </c>
      <c r="AF67" t="n">
        <v>1</v>
      </c>
      <c r="AG67" t="n">
        <v>3</v>
      </c>
      <c r="AH67" t="n">
        <v>113</v>
      </c>
      <c r="AI67" t="n">
        <v>87</v>
      </c>
      <c r="AJ67" t="n">
        <v>15</v>
      </c>
      <c r="AK67" t="n">
        <v>53</v>
      </c>
      <c r="AL67" t="n">
        <v>4</v>
      </c>
      <c r="AM67" t="n">
        <v>131</v>
      </c>
      <c r="AN67" t="n">
        <v>0</v>
      </c>
      <c r="AO67" t="n">
        <v>0</v>
      </c>
      <c r="AP67" t="n">
        <v>4</v>
      </c>
      <c r="AQ67" t="n">
        <v>32</v>
      </c>
      <c r="AR67" t="n">
        <v>196</v>
      </c>
      <c r="AS67" t="n">
        <v>168</v>
      </c>
      <c r="AT67" t="n">
        <v>2</v>
      </c>
      <c r="AU67" t="n">
        <v>2</v>
      </c>
      <c r="AV67" t="n">
        <v>53</v>
      </c>
      <c r="AW67" t="n">
        <v>18</v>
      </c>
      <c r="AX67" t="n">
        <v>0</v>
      </c>
      <c r="AY67" t="n">
        <v>7</v>
      </c>
      <c r="AZ67" t="n">
        <v>0</v>
      </c>
      <c r="BA67" t="n">
        <v>-2</v>
      </c>
      <c r="BB67" t="n">
        <v>54</v>
      </c>
      <c r="BC67" t="n">
        <v>107</v>
      </c>
      <c r="BD67" t="n">
        <v>104</v>
      </c>
      <c r="BE67" t="n">
        <v>18</v>
      </c>
      <c r="BF67" t="n">
        <v>16</v>
      </c>
      <c r="BG67" t="n">
        <v>3</v>
      </c>
      <c r="BH67" t="n">
        <v>7</v>
      </c>
      <c r="BI67" t="n">
        <v>19</v>
      </c>
      <c r="BJ67" t="n">
        <v>59</v>
      </c>
      <c r="BK67" t="n">
        <v>3</v>
      </c>
      <c r="BL67" t="n">
        <v>38</v>
      </c>
      <c r="BM67" t="n">
        <v>32</v>
      </c>
      <c r="BN67" t="n">
        <v>5</v>
      </c>
      <c r="BO67" t="n">
        <v>14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114</v>
      </c>
      <c r="Z68" t="n">
        <v>246</v>
      </c>
      <c r="AA68" t="n">
        <v>78</v>
      </c>
      <c r="AB68" t="n">
        <v>0</v>
      </c>
      <c r="AC68" t="n">
        <v>0</v>
      </c>
      <c r="AD68" t="n">
        <v>3</v>
      </c>
      <c r="AE68" t="n">
        <v>4</v>
      </c>
      <c r="AF68" t="n">
        <v>1</v>
      </c>
      <c r="AG68" t="n">
        <v>1</v>
      </c>
      <c r="AH68" t="n">
        <v>38</v>
      </c>
      <c r="AI68" t="n">
        <v>33</v>
      </c>
      <c r="AJ68" t="n">
        <v>16</v>
      </c>
      <c r="AK68" t="n">
        <v>18</v>
      </c>
      <c r="AL68" t="n">
        <v>5</v>
      </c>
      <c r="AM68" t="n">
        <v>79</v>
      </c>
      <c r="AN68" t="n">
        <v>0</v>
      </c>
      <c r="AO68" t="n">
        <v>0</v>
      </c>
      <c r="AP68" t="n">
        <v>3</v>
      </c>
      <c r="AQ68" t="n">
        <v>1</v>
      </c>
      <c r="AR68" t="n">
        <v>43</v>
      </c>
      <c r="AS68" t="n">
        <v>38</v>
      </c>
      <c r="AT68" t="n">
        <v>4</v>
      </c>
      <c r="AU68" t="n">
        <v>3</v>
      </c>
      <c r="AV68" t="n">
        <v>18</v>
      </c>
      <c r="AW68" t="n">
        <v>40</v>
      </c>
      <c r="AX68" t="n">
        <v>8</v>
      </c>
      <c r="AY68" t="n">
        <v>9</v>
      </c>
      <c r="AZ68" t="n">
        <v>2</v>
      </c>
      <c r="BA68" t="n">
        <v>24</v>
      </c>
      <c r="BB68" t="n">
        <v>100</v>
      </c>
      <c r="BC68" t="n">
        <v>65</v>
      </c>
      <c r="BD68" t="n">
        <v>33</v>
      </c>
      <c r="BE68" t="n">
        <v>39</v>
      </c>
      <c r="BF68" t="n">
        <v>13</v>
      </c>
      <c r="BG68" t="n">
        <v>1</v>
      </c>
      <c r="BH68" t="n">
        <v>2</v>
      </c>
      <c r="BI68" t="n">
        <v>1</v>
      </c>
      <c r="BJ68" t="n">
        <v>1</v>
      </c>
      <c r="BK68" t="n">
        <v>0</v>
      </c>
      <c r="BL68" t="n">
        <v>9</v>
      </c>
      <c r="BM68" t="n">
        <v>21</v>
      </c>
      <c r="BN68" t="n">
        <v>10</v>
      </c>
      <c r="BO68" t="n">
        <v>23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190</v>
      </c>
      <c r="Z69" t="n">
        <v>179</v>
      </c>
      <c r="AA69" t="n">
        <v>214</v>
      </c>
      <c r="AB69" t="n">
        <v>4</v>
      </c>
      <c r="AC69" t="n">
        <v>1</v>
      </c>
      <c r="AD69" t="n">
        <v>4</v>
      </c>
      <c r="AE69" t="n">
        <v>4</v>
      </c>
      <c r="AF69" t="n">
        <v>3</v>
      </c>
      <c r="AG69" t="n">
        <v>3</v>
      </c>
      <c r="AH69" t="n">
        <v>52</v>
      </c>
      <c r="AI69" t="n">
        <v>32</v>
      </c>
      <c r="AJ69" t="n">
        <v>23</v>
      </c>
      <c r="AK69" t="n">
        <v>28</v>
      </c>
      <c r="AL69" t="n">
        <v>1</v>
      </c>
      <c r="AM69" t="n">
        <v>29</v>
      </c>
      <c r="AN69" t="n">
        <v>0</v>
      </c>
      <c r="AO69" t="n">
        <v>0</v>
      </c>
      <c r="AP69" t="n">
        <v>3</v>
      </c>
      <c r="AQ69" t="n">
        <v>50</v>
      </c>
      <c r="AR69" t="n">
        <v>250</v>
      </c>
      <c r="AS69" t="n">
        <v>210</v>
      </c>
      <c r="AT69" t="n">
        <v>1</v>
      </c>
      <c r="AU69" t="n">
        <v>2</v>
      </c>
      <c r="AV69" t="n">
        <v>8</v>
      </c>
      <c r="AW69" t="n">
        <v>23</v>
      </c>
      <c r="AX69" t="n">
        <v>5</v>
      </c>
      <c r="AY69" t="n">
        <v>123</v>
      </c>
      <c r="AZ69" t="n">
        <v>6</v>
      </c>
      <c r="BA69" t="n">
        <v>20</v>
      </c>
      <c r="BB69" t="n">
        <v>218</v>
      </c>
      <c r="BC69" t="n">
        <v>46</v>
      </c>
      <c r="BD69" t="n">
        <v>54</v>
      </c>
      <c r="BE69" t="n">
        <v>23</v>
      </c>
      <c r="BF69" t="n">
        <v>27</v>
      </c>
      <c r="BG69" t="n">
        <v>1</v>
      </c>
      <c r="BH69" t="n">
        <v>0</v>
      </c>
      <c r="BI69" t="n">
        <v>43</v>
      </c>
      <c r="BJ69" t="n">
        <v>39</v>
      </c>
      <c r="BK69" t="n">
        <v>0</v>
      </c>
      <c r="BL69" t="n">
        <v>1</v>
      </c>
      <c r="BM69" t="n">
        <v>38</v>
      </c>
      <c r="BN69" t="n">
        <v>23</v>
      </c>
      <c r="BO69" t="n">
        <v>2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199</v>
      </c>
      <c r="Z70" t="n">
        <v>174</v>
      </c>
      <c r="AA70" t="n">
        <v>61</v>
      </c>
      <c r="AB70" t="n">
        <v>2</v>
      </c>
      <c r="AC70" t="n">
        <v>1</v>
      </c>
      <c r="AD70" t="n">
        <v>4</v>
      </c>
      <c r="AE70" t="n">
        <v>3</v>
      </c>
      <c r="AF70" t="n">
        <v>2</v>
      </c>
      <c r="AG70" t="n">
        <v>2</v>
      </c>
      <c r="AH70" t="n">
        <v>47</v>
      </c>
      <c r="AI70" t="n">
        <v>38</v>
      </c>
      <c r="AJ70" t="n">
        <v>13</v>
      </c>
      <c r="AK70" t="n">
        <v>25</v>
      </c>
      <c r="AL70" t="n">
        <v>5</v>
      </c>
      <c r="AM70" t="n">
        <v>51</v>
      </c>
      <c r="AN70" t="n">
        <v>0</v>
      </c>
      <c r="AO70" t="n">
        <v>0</v>
      </c>
      <c r="AP70" t="n">
        <v>5</v>
      </c>
      <c r="AQ70" t="n">
        <v>47</v>
      </c>
      <c r="AR70" t="n">
        <v>144</v>
      </c>
      <c r="AS70" t="n">
        <v>105</v>
      </c>
      <c r="AT70" t="n">
        <v>0</v>
      </c>
      <c r="AU70" t="n">
        <v>2</v>
      </c>
      <c r="AV70" t="n">
        <v>15</v>
      </c>
      <c r="AW70" t="n">
        <v>8</v>
      </c>
      <c r="AX70" t="n">
        <v>1</v>
      </c>
      <c r="AY70" t="n">
        <v>21</v>
      </c>
      <c r="AZ70" t="n">
        <v>5</v>
      </c>
      <c r="BA70" t="n">
        <v>40</v>
      </c>
      <c r="BB70" t="n">
        <v>101</v>
      </c>
      <c r="BC70" t="n">
        <v>42</v>
      </c>
      <c r="BD70" t="n">
        <v>42</v>
      </c>
      <c r="BE70" t="n">
        <v>12</v>
      </c>
      <c r="BF70" t="n">
        <v>12</v>
      </c>
      <c r="BG70" t="n">
        <v>3</v>
      </c>
      <c r="BH70" t="n">
        <v>9</v>
      </c>
      <c r="BI70" t="n">
        <v>16</v>
      </c>
      <c r="BJ70" t="n">
        <v>13</v>
      </c>
      <c r="BK70" t="n">
        <v>3</v>
      </c>
      <c r="BL70" t="n">
        <v>18</v>
      </c>
      <c r="BM70" t="n">
        <v>17</v>
      </c>
      <c r="BN70" t="n">
        <v>4</v>
      </c>
      <c r="BO70" t="n">
        <v>28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295</v>
      </c>
      <c r="Z71" t="n">
        <v>243</v>
      </c>
      <c r="AA71" t="n">
        <v>70</v>
      </c>
      <c r="AB71" t="n">
        <v>3</v>
      </c>
      <c r="AC71" t="n">
        <v>1</v>
      </c>
      <c r="AD71" t="n">
        <v>7</v>
      </c>
      <c r="AE71" t="n">
        <v>2</v>
      </c>
      <c r="AF71" t="n">
        <v>1</v>
      </c>
      <c r="AG71" t="n">
        <v>3</v>
      </c>
      <c r="AH71" t="n">
        <v>168</v>
      </c>
      <c r="AI71" t="n">
        <v>53</v>
      </c>
      <c r="AJ71" t="n">
        <v>10</v>
      </c>
      <c r="AK71" t="n">
        <v>27</v>
      </c>
      <c r="AL71" t="n">
        <v>3</v>
      </c>
      <c r="AM71" t="n">
        <v>35</v>
      </c>
      <c r="AN71" t="n">
        <v>0</v>
      </c>
      <c r="AO71" t="n">
        <v>0</v>
      </c>
      <c r="AP71" t="n">
        <v>4</v>
      </c>
      <c r="AQ71" t="n">
        <v>26</v>
      </c>
      <c r="AR71" t="n">
        <v>74</v>
      </c>
      <c r="AS71" t="n">
        <v>52</v>
      </c>
      <c r="AT71" t="n">
        <v>1</v>
      </c>
      <c r="AU71" t="n">
        <v>2</v>
      </c>
      <c r="AV71" t="n">
        <v>9</v>
      </c>
      <c r="AW71" t="n">
        <v>18</v>
      </c>
      <c r="AX71" t="n">
        <v>23</v>
      </c>
      <c r="AY71" t="n">
        <v>61</v>
      </c>
      <c r="AZ71" t="n">
        <v>2</v>
      </c>
      <c r="BA71" t="n">
        <v>61</v>
      </c>
      <c r="BB71" t="n">
        <v>134</v>
      </c>
      <c r="BC71" t="n">
        <v>57</v>
      </c>
      <c r="BD71" t="n">
        <v>155</v>
      </c>
      <c r="BE71" t="n">
        <v>18</v>
      </c>
      <c r="BF71" t="n">
        <v>8</v>
      </c>
      <c r="BG71" t="n">
        <v>3</v>
      </c>
      <c r="BH71" t="n">
        <v>8</v>
      </c>
      <c r="BI71" t="n">
        <v>15</v>
      </c>
      <c r="BJ71" t="n">
        <v>28</v>
      </c>
      <c r="BK71" t="n">
        <v>3</v>
      </c>
      <c r="BL71" t="n">
        <v>10</v>
      </c>
      <c r="BM71" t="n">
        <v>6</v>
      </c>
      <c r="BN71" t="n">
        <v>-1</v>
      </c>
      <c r="BO71" t="n">
        <v>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167</v>
      </c>
      <c r="Z72" t="n">
        <v>199</v>
      </c>
      <c r="AA72" t="n">
        <v>51</v>
      </c>
      <c r="AB72" t="n">
        <v>1</v>
      </c>
      <c r="AC72" t="n">
        <v>0</v>
      </c>
      <c r="AD72" t="n">
        <v>1</v>
      </c>
      <c r="AE72" t="n">
        <v>9</v>
      </c>
      <c r="AF72" t="n">
        <v>5</v>
      </c>
      <c r="AG72" t="n">
        <v>5</v>
      </c>
      <c r="AH72" t="n">
        <v>19</v>
      </c>
      <c r="AI72" t="n">
        <v>73</v>
      </c>
      <c r="AJ72" t="n">
        <v>42</v>
      </c>
      <c r="AK72" t="n">
        <v>48</v>
      </c>
      <c r="AL72" t="n">
        <v>1</v>
      </c>
      <c r="AM72" t="n">
        <v>22</v>
      </c>
      <c r="AN72" t="n">
        <v>0</v>
      </c>
      <c r="AO72" t="n">
        <v>0</v>
      </c>
      <c r="AP72" t="n">
        <v>2</v>
      </c>
      <c r="AQ72" t="n">
        <v>13</v>
      </c>
      <c r="AR72" t="n">
        <v>105</v>
      </c>
      <c r="AS72" t="n">
        <v>92</v>
      </c>
      <c r="AT72" t="n">
        <v>4</v>
      </c>
      <c r="AU72" t="n">
        <v>0</v>
      </c>
      <c r="AV72" t="n">
        <v>42</v>
      </c>
      <c r="AW72" t="n">
        <v>1</v>
      </c>
      <c r="AX72" t="n">
        <v>0</v>
      </c>
      <c r="AY72" t="n">
        <v>3</v>
      </c>
      <c r="AZ72" t="n">
        <v>10</v>
      </c>
      <c r="BA72" t="n">
        <v>92</v>
      </c>
      <c r="BB72" t="n">
        <v>157</v>
      </c>
      <c r="BC72" t="n">
        <v>19</v>
      </c>
      <c r="BD72" t="n">
        <v>31</v>
      </c>
      <c r="BE72" t="n">
        <v>5</v>
      </c>
      <c r="BF72" t="n">
        <v>48</v>
      </c>
      <c r="BG72" t="n">
        <v>2</v>
      </c>
      <c r="BH72" t="n">
        <v>3</v>
      </c>
      <c r="BI72" t="n">
        <v>20</v>
      </c>
      <c r="BJ72" t="n">
        <v>20</v>
      </c>
      <c r="BK72" t="n">
        <v>5</v>
      </c>
      <c r="BL72" t="n">
        <v>32</v>
      </c>
      <c r="BM72" t="n">
        <v>21</v>
      </c>
      <c r="BN72" t="n">
        <v>0</v>
      </c>
      <c r="BO72" t="n">
        <v>11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204</v>
      </c>
      <c r="Z73" t="n">
        <v>151</v>
      </c>
      <c r="AA73" t="n">
        <v>47</v>
      </c>
      <c r="AB73" t="n">
        <v>4</v>
      </c>
      <c r="AC73" t="n">
        <v>0</v>
      </c>
      <c r="AD73" t="n">
        <v>7</v>
      </c>
      <c r="AE73" t="n">
        <v>4</v>
      </c>
      <c r="AF73" t="n">
        <v>5</v>
      </c>
      <c r="AG73" t="n">
        <v>3</v>
      </c>
      <c r="AH73" t="n">
        <v>57</v>
      </c>
      <c r="AI73" t="n">
        <v>19</v>
      </c>
      <c r="AJ73" t="n">
        <v>65</v>
      </c>
      <c r="AK73" t="n">
        <v>45</v>
      </c>
      <c r="AL73" t="n">
        <v>0</v>
      </c>
      <c r="AM73" t="n">
        <v>2</v>
      </c>
      <c r="AN73" t="n">
        <v>0</v>
      </c>
      <c r="AO73" t="n">
        <v>0</v>
      </c>
      <c r="AP73" t="n">
        <v>1</v>
      </c>
      <c r="AQ73" t="n">
        <v>7</v>
      </c>
      <c r="AR73" t="n">
        <v>159</v>
      </c>
      <c r="AS73" t="n">
        <v>147</v>
      </c>
      <c r="AT73" t="n">
        <v>0</v>
      </c>
      <c r="AU73" t="n">
        <v>0</v>
      </c>
      <c r="AV73" t="n">
        <v>1</v>
      </c>
      <c r="AW73" t="n">
        <v>12</v>
      </c>
      <c r="AX73" t="n">
        <v>8</v>
      </c>
      <c r="AY73" t="n">
        <v>61</v>
      </c>
      <c r="AZ73" t="n">
        <v>2</v>
      </c>
      <c r="BA73" t="n">
        <v>15</v>
      </c>
      <c r="BB73" t="n">
        <v>59</v>
      </c>
      <c r="BC73" t="n">
        <v>27</v>
      </c>
      <c r="BD73" t="n">
        <v>50</v>
      </c>
      <c r="BE73" t="n">
        <v>11</v>
      </c>
      <c r="BF73" t="n">
        <v>51</v>
      </c>
      <c r="BG73" t="n">
        <v>3</v>
      </c>
      <c r="BH73" t="n">
        <v>8</v>
      </c>
      <c r="BI73" t="n">
        <v>20</v>
      </c>
      <c r="BJ73" t="n">
        <v>36</v>
      </c>
      <c r="BK73" t="n">
        <v>3</v>
      </c>
      <c r="BL73" t="n">
        <v>7</v>
      </c>
      <c r="BM73" t="n">
        <v>44</v>
      </c>
      <c r="BN73" t="n">
        <v>26</v>
      </c>
      <c r="BO73" t="n">
        <v>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339</v>
      </c>
      <c r="Z74" t="n">
        <v>124</v>
      </c>
      <c r="AA74" t="n">
        <v>47</v>
      </c>
      <c r="AB74" t="n">
        <v>0</v>
      </c>
      <c r="AC74" t="n">
        <v>3</v>
      </c>
      <c r="AD74" t="n">
        <v>4</v>
      </c>
      <c r="AE74" t="n">
        <v>5</v>
      </c>
      <c r="AF74" t="n">
        <v>1</v>
      </c>
      <c r="AG74" t="n">
        <v>2</v>
      </c>
      <c r="AH74" t="n">
        <v>55</v>
      </c>
      <c r="AI74" t="n">
        <v>38</v>
      </c>
      <c r="AJ74" t="n">
        <v>48</v>
      </c>
      <c r="AK74" t="n">
        <v>74</v>
      </c>
      <c r="AL74" t="n">
        <v>7</v>
      </c>
      <c r="AM74" t="n">
        <v>42</v>
      </c>
      <c r="AN74" t="n">
        <v>0</v>
      </c>
      <c r="AO74" t="n">
        <v>0</v>
      </c>
      <c r="AP74" t="n">
        <v>5</v>
      </c>
      <c r="AQ74" t="n">
        <v>24</v>
      </c>
      <c r="AR74" t="n">
        <v>52</v>
      </c>
      <c r="AS74" t="n">
        <v>32</v>
      </c>
      <c r="AT74" t="n">
        <v>3</v>
      </c>
      <c r="AU74" t="n">
        <v>1</v>
      </c>
      <c r="AV74" t="n">
        <v>3</v>
      </c>
      <c r="AW74" t="n">
        <v>6</v>
      </c>
      <c r="AX74" t="n">
        <v>8</v>
      </c>
      <c r="AY74" t="n">
        <v>19</v>
      </c>
      <c r="AZ74" t="n">
        <v>2</v>
      </c>
      <c r="BA74" t="n">
        <v>3</v>
      </c>
      <c r="BB74" t="n">
        <v>47</v>
      </c>
      <c r="BC74" t="n">
        <v>36</v>
      </c>
      <c r="BD74" t="n">
        <v>48</v>
      </c>
      <c r="BE74" t="n">
        <v>6</v>
      </c>
      <c r="BF74" t="n">
        <v>40</v>
      </c>
      <c r="BG74" t="n">
        <v>2</v>
      </c>
      <c r="BH74" t="n">
        <v>9</v>
      </c>
      <c r="BI74" t="n">
        <v>22</v>
      </c>
      <c r="BJ74" t="n">
        <v>23</v>
      </c>
      <c r="BK74" t="n">
        <v>6</v>
      </c>
      <c r="BL74" t="n">
        <v>32</v>
      </c>
      <c r="BM74" t="n">
        <v>38</v>
      </c>
      <c r="BN74" t="n">
        <v>12</v>
      </c>
      <c r="BO74" t="n">
        <v>28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158</v>
      </c>
      <c r="Z75" t="n">
        <v>183</v>
      </c>
      <c r="AA75" t="n">
        <v>85</v>
      </c>
      <c r="AB75" t="n">
        <v>0</v>
      </c>
      <c r="AC75" t="n">
        <v>1</v>
      </c>
      <c r="AD75" t="n">
        <v>4</v>
      </c>
      <c r="AE75" t="n">
        <v>13</v>
      </c>
      <c r="AF75" t="n">
        <v>5</v>
      </c>
      <c r="AG75" t="n">
        <v>2</v>
      </c>
      <c r="AH75" t="n">
        <v>34</v>
      </c>
      <c r="AI75" t="n">
        <v>96</v>
      </c>
      <c r="AJ75" t="n">
        <v>70</v>
      </c>
      <c r="AK75" t="n">
        <v>15</v>
      </c>
      <c r="AL75" t="n">
        <v>4</v>
      </c>
      <c r="AM75" t="n">
        <v>69</v>
      </c>
      <c r="AN75" t="n">
        <v>2</v>
      </c>
      <c r="AO75" t="n">
        <v>0</v>
      </c>
      <c r="AP75" t="n">
        <v>3</v>
      </c>
      <c r="AQ75" t="n">
        <v>24</v>
      </c>
      <c r="AR75" t="n">
        <v>71</v>
      </c>
      <c r="AS75" t="n">
        <v>51</v>
      </c>
      <c r="AT75" t="n">
        <v>3</v>
      </c>
      <c r="AU75" t="n">
        <v>0</v>
      </c>
      <c r="AV75" t="n">
        <v>11</v>
      </c>
      <c r="AW75" t="n">
        <v>2</v>
      </c>
      <c r="AX75" t="n">
        <v>1</v>
      </c>
      <c r="AY75" t="n">
        <v>14</v>
      </c>
      <c r="AZ75" t="n">
        <v>0</v>
      </c>
      <c r="BA75" t="n">
        <v>1</v>
      </c>
      <c r="BB75" t="n">
        <v>82</v>
      </c>
      <c r="BC75" t="n">
        <v>59</v>
      </c>
      <c r="BD75" t="n">
        <v>33</v>
      </c>
      <c r="BE75" t="n">
        <v>3</v>
      </c>
      <c r="BF75" t="n">
        <v>55</v>
      </c>
      <c r="BG75" t="n">
        <v>2</v>
      </c>
      <c r="BH75" t="n">
        <v>2</v>
      </c>
      <c r="BI75" t="n">
        <v>1</v>
      </c>
      <c r="BJ75" t="n">
        <v>1</v>
      </c>
      <c r="BK75" t="n">
        <v>3</v>
      </c>
      <c r="BL75" t="n">
        <v>1</v>
      </c>
      <c r="BM75" t="n">
        <v>3</v>
      </c>
      <c r="BN75" t="n">
        <v>0</v>
      </c>
      <c r="BO75" t="n">
        <v>32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191</v>
      </c>
      <c r="Z76" t="n">
        <v>109</v>
      </c>
      <c r="AA76" t="n">
        <v>91</v>
      </c>
      <c r="AB76" t="n">
        <v>0</v>
      </c>
      <c r="AC76" t="n">
        <v>0</v>
      </c>
      <c r="AD76" t="n">
        <v>3</v>
      </c>
      <c r="AE76" t="n">
        <v>2</v>
      </c>
      <c r="AF76" t="n">
        <v>6</v>
      </c>
      <c r="AG76" t="n">
        <v>4</v>
      </c>
      <c r="AH76" t="n">
        <v>33</v>
      </c>
      <c r="AI76" t="n">
        <v>20</v>
      </c>
      <c r="AJ76" t="n">
        <v>54</v>
      </c>
      <c r="AK76" t="n">
        <v>33</v>
      </c>
      <c r="AL76" t="n">
        <v>2</v>
      </c>
      <c r="AM76" t="n">
        <v>27</v>
      </c>
      <c r="AN76" t="n">
        <v>0</v>
      </c>
      <c r="AO76" t="n">
        <v>0</v>
      </c>
      <c r="AP76" t="n">
        <v>0</v>
      </c>
      <c r="AQ76" t="n">
        <v>23</v>
      </c>
      <c r="AR76" t="n">
        <v>218</v>
      </c>
      <c r="AS76" t="n">
        <v>198</v>
      </c>
      <c r="AT76" t="n">
        <v>5</v>
      </c>
      <c r="AU76" t="n">
        <v>0</v>
      </c>
      <c r="AV76" t="n">
        <v>25</v>
      </c>
      <c r="AW76" t="n">
        <v>1</v>
      </c>
      <c r="AX76" t="n">
        <v>16</v>
      </c>
      <c r="AY76" t="n">
        <v>35</v>
      </c>
      <c r="AZ76" t="n">
        <v>0</v>
      </c>
      <c r="BA76" t="n">
        <v>1</v>
      </c>
      <c r="BB76" t="n">
        <v>89</v>
      </c>
      <c r="BC76" t="n">
        <v>22</v>
      </c>
      <c r="BD76" t="n">
        <v>30</v>
      </c>
      <c r="BE76" t="n">
        <v>10</v>
      </c>
      <c r="BF76" t="n">
        <v>42</v>
      </c>
      <c r="BG76" t="n">
        <v>1</v>
      </c>
      <c r="BH76" t="n">
        <v>8</v>
      </c>
      <c r="BI76" t="n">
        <v>24</v>
      </c>
      <c r="BJ76" t="n">
        <v>22</v>
      </c>
      <c r="BK76" t="n">
        <v>0</v>
      </c>
      <c r="BL76" t="n">
        <v>1</v>
      </c>
      <c r="BM76" t="n">
        <v>4</v>
      </c>
      <c r="BN76" t="n">
        <v>1</v>
      </c>
      <c r="BO76" t="n">
        <v>37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195</v>
      </c>
      <c r="Z77" t="n">
        <v>191</v>
      </c>
      <c r="AA77" t="n">
        <v>124</v>
      </c>
      <c r="AB77" t="n">
        <v>1</v>
      </c>
      <c r="AC77" t="n">
        <v>1</v>
      </c>
      <c r="AD77" t="n">
        <v>1</v>
      </c>
      <c r="AE77" t="n">
        <v>9</v>
      </c>
      <c r="AF77" t="n">
        <v>3</v>
      </c>
      <c r="AG77" t="n">
        <v>7</v>
      </c>
      <c r="AH77" t="n">
        <v>24</v>
      </c>
      <c r="AI77" t="n">
        <v>60</v>
      </c>
      <c r="AJ77" t="n">
        <v>29</v>
      </c>
      <c r="AK77" t="n">
        <v>81</v>
      </c>
      <c r="AL77" t="n">
        <v>0</v>
      </c>
      <c r="AM77" t="n">
        <v>35</v>
      </c>
      <c r="AN77" t="n">
        <v>0</v>
      </c>
      <c r="AO77" t="n">
        <v>0</v>
      </c>
      <c r="AP77" t="n">
        <v>0</v>
      </c>
      <c r="AQ77" t="n">
        <v>15</v>
      </c>
      <c r="AR77" t="n">
        <v>15</v>
      </c>
      <c r="AS77" t="n">
        <v>3</v>
      </c>
      <c r="AT77" t="n">
        <v>0</v>
      </c>
      <c r="AU77" t="n">
        <v>2</v>
      </c>
      <c r="AV77" t="n">
        <v>8</v>
      </c>
      <c r="AW77" t="n">
        <v>14</v>
      </c>
      <c r="AX77" t="n">
        <v>0</v>
      </c>
      <c r="AY77" t="n">
        <v>44</v>
      </c>
      <c r="AZ77" t="n">
        <v>0</v>
      </c>
      <c r="BA77" t="n">
        <v>4</v>
      </c>
      <c r="BB77" t="n">
        <v>120</v>
      </c>
      <c r="BC77" t="n">
        <v>29</v>
      </c>
      <c r="BD77" t="n">
        <v>25</v>
      </c>
      <c r="BE77" t="n">
        <v>13</v>
      </c>
      <c r="BF77" t="n">
        <v>29</v>
      </c>
      <c r="BG77" t="n">
        <v>1</v>
      </c>
      <c r="BH77" t="n">
        <v>16</v>
      </c>
      <c r="BI77" t="n">
        <v>7</v>
      </c>
      <c r="BJ77" t="n">
        <v>7</v>
      </c>
      <c r="BK77" t="n">
        <v>5</v>
      </c>
      <c r="BL77" t="n">
        <v>41</v>
      </c>
      <c r="BM77" t="n">
        <v>25</v>
      </c>
      <c r="BN77" t="n">
        <v>-2</v>
      </c>
      <c r="BO77" t="n">
        <v>2</v>
      </c>
    </row>
    <row r="78">
      <c r="A78" t="n">
        <v>0</v>
      </c>
      <c r="B78" t="n">
        <v>2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211</v>
      </c>
      <c r="Z78" t="n">
        <v>223</v>
      </c>
      <c r="AA78" t="n">
        <v>108</v>
      </c>
      <c r="AB78" t="n">
        <v>1</v>
      </c>
      <c r="AC78" t="n">
        <v>0</v>
      </c>
      <c r="AD78" t="n">
        <v>5</v>
      </c>
      <c r="AE78" t="n">
        <v>7</v>
      </c>
      <c r="AF78" t="n">
        <v>4</v>
      </c>
      <c r="AG78" t="n">
        <v>0</v>
      </c>
      <c r="AH78" t="n">
        <v>69</v>
      </c>
      <c r="AI78" t="n">
        <v>108</v>
      </c>
      <c r="AJ78" t="n">
        <v>76</v>
      </c>
      <c r="AK78" t="n">
        <v>1</v>
      </c>
      <c r="AL78" t="n">
        <v>3</v>
      </c>
      <c r="AM78" t="n">
        <v>2</v>
      </c>
      <c r="AN78" t="n">
        <v>0</v>
      </c>
      <c r="AO78" t="n">
        <v>1</v>
      </c>
      <c r="AP78" t="n">
        <v>8</v>
      </c>
      <c r="AQ78" t="n">
        <v>9</v>
      </c>
      <c r="AR78" t="n">
        <v>113</v>
      </c>
      <c r="AS78" t="n">
        <v>101</v>
      </c>
      <c r="AT78" t="n">
        <v>2</v>
      </c>
      <c r="AU78" t="n">
        <v>3</v>
      </c>
      <c r="AV78" t="n">
        <v>19</v>
      </c>
      <c r="AW78" t="n">
        <v>7</v>
      </c>
      <c r="AX78" t="n">
        <v>3</v>
      </c>
      <c r="AY78" t="n">
        <v>36</v>
      </c>
      <c r="AZ78" t="n">
        <v>3</v>
      </c>
      <c r="BA78" t="n">
        <v>42</v>
      </c>
      <c r="BB78" t="n">
        <v>144</v>
      </c>
      <c r="BC78" t="n">
        <v>5</v>
      </c>
      <c r="BD78" t="n">
        <v>61</v>
      </c>
      <c r="BE78" t="n">
        <v>9</v>
      </c>
      <c r="BF78" t="n">
        <v>61</v>
      </c>
      <c r="BG78" t="n">
        <v>2</v>
      </c>
      <c r="BH78" t="n">
        <v>7</v>
      </c>
      <c r="BI78" t="n">
        <v>12</v>
      </c>
      <c r="BJ78" t="n">
        <v>12</v>
      </c>
      <c r="BK78" t="n">
        <v>3</v>
      </c>
      <c r="BL78" t="n">
        <v>39</v>
      </c>
      <c r="BM78" t="n">
        <v>26</v>
      </c>
      <c r="BN78" t="n">
        <v>0</v>
      </c>
      <c r="BO78" t="n">
        <v>30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197</v>
      </c>
      <c r="Z79" t="n">
        <v>145</v>
      </c>
      <c r="AA79" t="n">
        <v>82</v>
      </c>
      <c r="AB79" t="n">
        <v>1</v>
      </c>
      <c r="AC79" t="n">
        <v>1</v>
      </c>
      <c r="AD79" t="n">
        <v>5</v>
      </c>
      <c r="AE79" t="n">
        <v>0</v>
      </c>
      <c r="AF79" t="n">
        <v>7</v>
      </c>
      <c r="AG79" t="n">
        <v>2</v>
      </c>
      <c r="AH79" t="n">
        <v>72</v>
      </c>
      <c r="AI79" t="n">
        <v>12</v>
      </c>
      <c r="AJ79" t="n">
        <v>99</v>
      </c>
      <c r="AK79" t="n">
        <v>18</v>
      </c>
      <c r="AL79" t="n">
        <v>7</v>
      </c>
      <c r="AM79" t="n">
        <v>66</v>
      </c>
      <c r="AN79" t="n">
        <v>0</v>
      </c>
      <c r="AO79" t="n">
        <v>0</v>
      </c>
      <c r="AP79" t="n">
        <v>2</v>
      </c>
      <c r="AQ79" t="n">
        <v>1</v>
      </c>
      <c r="AR79" t="n">
        <v>108</v>
      </c>
      <c r="AS79" t="n">
        <v>99</v>
      </c>
      <c r="AT79" t="n">
        <v>2</v>
      </c>
      <c r="AU79" t="n">
        <v>1</v>
      </c>
      <c r="AV79" t="n">
        <v>1</v>
      </c>
      <c r="AW79" t="n">
        <v>1</v>
      </c>
      <c r="AX79" t="n">
        <v>2</v>
      </c>
      <c r="AY79" t="n">
        <v>39</v>
      </c>
      <c r="AZ79" t="n">
        <v>2</v>
      </c>
      <c r="BA79" t="n">
        <v>1</v>
      </c>
      <c r="BB79" t="n">
        <v>80</v>
      </c>
      <c r="BC79" t="n">
        <v>55</v>
      </c>
      <c r="BD79" t="n">
        <v>64</v>
      </c>
      <c r="BE79" t="n">
        <v>1</v>
      </c>
      <c r="BF79" t="n">
        <v>79</v>
      </c>
      <c r="BG79" t="n">
        <v>2</v>
      </c>
      <c r="BH79" t="n">
        <v>7</v>
      </c>
      <c r="BI79" t="n">
        <v>12</v>
      </c>
      <c r="BJ79" t="n">
        <v>10</v>
      </c>
      <c r="BK79" t="n">
        <v>2</v>
      </c>
      <c r="BL79" t="n">
        <v>1</v>
      </c>
      <c r="BM79" t="n">
        <v>3</v>
      </c>
      <c r="BN79" t="n">
        <v>0</v>
      </c>
      <c r="BO79" t="n">
        <v>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230</v>
      </c>
      <c r="Z80" t="n">
        <v>220</v>
      </c>
      <c r="AA80" t="n">
        <v>127</v>
      </c>
      <c r="AB80" t="n">
        <v>0</v>
      </c>
      <c r="AC80" t="n">
        <v>1</v>
      </c>
      <c r="AD80" t="n">
        <v>5</v>
      </c>
      <c r="AE80" t="n">
        <v>3</v>
      </c>
      <c r="AF80" t="n">
        <v>6</v>
      </c>
      <c r="AG80" t="n">
        <v>0</v>
      </c>
      <c r="AH80" t="n">
        <v>67</v>
      </c>
      <c r="AI80" t="n">
        <v>33</v>
      </c>
      <c r="AJ80" t="n">
        <v>42</v>
      </c>
      <c r="AK80" t="n">
        <v>1</v>
      </c>
      <c r="AL80" t="n">
        <v>5</v>
      </c>
      <c r="AM80" t="n">
        <v>76</v>
      </c>
      <c r="AN80" t="n">
        <v>0</v>
      </c>
      <c r="AO80" t="n">
        <v>0</v>
      </c>
      <c r="AP80" t="n">
        <v>5</v>
      </c>
      <c r="AQ80" t="n">
        <v>12</v>
      </c>
      <c r="AR80" t="n">
        <v>86</v>
      </c>
      <c r="AS80" t="n">
        <v>75</v>
      </c>
      <c r="AT80" t="n">
        <v>3</v>
      </c>
      <c r="AU80" t="n">
        <v>2</v>
      </c>
      <c r="AV80" t="n">
        <v>21</v>
      </c>
      <c r="AW80" t="n">
        <v>27</v>
      </c>
      <c r="AX80" t="n">
        <v>1</v>
      </c>
      <c r="AY80" t="n">
        <v>3</v>
      </c>
      <c r="AZ80" t="n">
        <v>1</v>
      </c>
      <c r="BA80" t="n">
        <v>8</v>
      </c>
      <c r="BB80" t="n">
        <v>127</v>
      </c>
      <c r="BC80" t="n">
        <v>62</v>
      </c>
      <c r="BD80" t="n">
        <v>70</v>
      </c>
      <c r="BE80" t="n">
        <v>27</v>
      </c>
      <c r="BF80" t="n">
        <v>42</v>
      </c>
      <c r="BG80" t="n">
        <v>1</v>
      </c>
      <c r="BH80" t="n">
        <v>22</v>
      </c>
      <c r="BI80" t="n">
        <v>24</v>
      </c>
      <c r="BJ80" t="n">
        <v>22</v>
      </c>
      <c r="BK80" t="n">
        <v>0</v>
      </c>
      <c r="BL80" t="n">
        <v>22</v>
      </c>
      <c r="BM80" t="n">
        <v>55</v>
      </c>
      <c r="BN80" t="n">
        <v>28</v>
      </c>
      <c r="BO80" t="n">
        <v>16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130</v>
      </c>
      <c r="Z81" t="n">
        <v>132</v>
      </c>
      <c r="AA81" t="n">
        <v>58</v>
      </c>
      <c r="AB81" t="n">
        <v>0</v>
      </c>
      <c r="AC81" t="n">
        <v>0</v>
      </c>
      <c r="AD81" t="n">
        <v>5</v>
      </c>
      <c r="AE81" t="n">
        <v>4</v>
      </c>
      <c r="AF81" t="n">
        <v>3</v>
      </c>
      <c r="AG81" t="n">
        <v>4</v>
      </c>
      <c r="AH81" t="n">
        <v>33</v>
      </c>
      <c r="AI81" t="n">
        <v>32</v>
      </c>
      <c r="AJ81" t="n">
        <v>23</v>
      </c>
      <c r="AK81" t="n">
        <v>42</v>
      </c>
      <c r="AL81" t="n">
        <v>0</v>
      </c>
      <c r="AM81" t="n">
        <v>10</v>
      </c>
      <c r="AN81" t="n">
        <v>0</v>
      </c>
      <c r="AO81" t="n">
        <v>0</v>
      </c>
      <c r="AP81" t="n">
        <v>6</v>
      </c>
      <c r="AQ81" t="n">
        <v>30</v>
      </c>
      <c r="AR81" t="n">
        <v>71</v>
      </c>
      <c r="AS81" t="n">
        <v>46</v>
      </c>
      <c r="AT81" t="n">
        <v>3</v>
      </c>
      <c r="AU81" t="n">
        <v>0</v>
      </c>
      <c r="AV81" t="n">
        <v>22</v>
      </c>
      <c r="AW81" t="n">
        <v>1</v>
      </c>
      <c r="AX81" t="n">
        <v>5</v>
      </c>
      <c r="AY81" t="n">
        <v>40</v>
      </c>
      <c r="AZ81" t="n">
        <v>3</v>
      </c>
      <c r="BA81" t="n">
        <v>9</v>
      </c>
      <c r="BB81" t="n">
        <v>63</v>
      </c>
      <c r="BC81" t="n">
        <v>9</v>
      </c>
      <c r="BD81" t="n">
        <v>32</v>
      </c>
      <c r="BE81" t="n">
        <v>1</v>
      </c>
      <c r="BF81" t="n">
        <v>18</v>
      </c>
      <c r="BG81" t="n">
        <v>0</v>
      </c>
      <c r="BH81" t="n">
        <v>2</v>
      </c>
      <c r="BI81" t="n">
        <v>1</v>
      </c>
      <c r="BJ81" t="n">
        <v>5</v>
      </c>
      <c r="BK81" t="n">
        <v>1</v>
      </c>
      <c r="BL81" t="n">
        <v>19</v>
      </c>
      <c r="BM81" t="n">
        <v>12</v>
      </c>
      <c r="BN81" t="n">
        <v>0</v>
      </c>
      <c r="BO81" t="n">
        <v>25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273</v>
      </c>
      <c r="Z82" t="n">
        <v>222</v>
      </c>
      <c r="AA82" t="n">
        <v>69</v>
      </c>
      <c r="AB82" t="n">
        <v>1</v>
      </c>
      <c r="AC82" t="n">
        <v>2</v>
      </c>
      <c r="AD82" t="n">
        <v>6</v>
      </c>
      <c r="AE82" t="n">
        <v>8</v>
      </c>
      <c r="AF82" t="n">
        <v>3</v>
      </c>
      <c r="AG82" t="n">
        <v>3</v>
      </c>
      <c r="AH82" t="n">
        <v>85</v>
      </c>
      <c r="AI82" t="n">
        <v>109</v>
      </c>
      <c r="AJ82" t="n">
        <v>54</v>
      </c>
      <c r="AK82" t="n">
        <v>57</v>
      </c>
      <c r="AL82" t="n">
        <v>2</v>
      </c>
      <c r="AM82" t="n">
        <v>24</v>
      </c>
      <c r="AN82" t="n">
        <v>0</v>
      </c>
      <c r="AO82" t="n">
        <v>0</v>
      </c>
      <c r="AP82" t="n">
        <v>4</v>
      </c>
      <c r="AQ82" t="n">
        <v>18</v>
      </c>
      <c r="AR82" t="n">
        <v>63</v>
      </c>
      <c r="AS82" t="n">
        <v>49</v>
      </c>
      <c r="AT82" t="n">
        <v>3</v>
      </c>
      <c r="AU82" t="n">
        <v>0</v>
      </c>
      <c r="AV82" t="n">
        <v>48</v>
      </c>
      <c r="AW82" t="n">
        <v>10</v>
      </c>
      <c r="AX82" t="n">
        <v>1</v>
      </c>
      <c r="AY82" t="n">
        <v>20</v>
      </c>
      <c r="AZ82" t="n">
        <v>1</v>
      </c>
      <c r="BA82" t="n">
        <v>1</v>
      </c>
      <c r="BB82" t="n">
        <v>67</v>
      </c>
      <c r="BC82" t="n">
        <v>18</v>
      </c>
      <c r="BD82" t="n">
        <v>86</v>
      </c>
      <c r="BE82" t="n">
        <v>12</v>
      </c>
      <c r="BF82" t="n">
        <v>62</v>
      </c>
      <c r="BG82" t="n">
        <v>1</v>
      </c>
      <c r="BH82" t="n">
        <v>14</v>
      </c>
      <c r="BI82" t="n">
        <v>11</v>
      </c>
      <c r="BJ82" t="n">
        <v>20</v>
      </c>
      <c r="BK82" t="n">
        <v>4</v>
      </c>
      <c r="BL82" t="n">
        <v>15</v>
      </c>
      <c r="BM82" t="n">
        <v>16</v>
      </c>
      <c r="BN82" t="n">
        <v>4</v>
      </c>
      <c r="BO82" t="n">
        <v>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224</v>
      </c>
      <c r="Z83" t="n">
        <v>206</v>
      </c>
      <c r="AA83" t="n">
        <v>51</v>
      </c>
      <c r="AB83" t="n">
        <v>2</v>
      </c>
      <c r="AC83" t="n">
        <v>1</v>
      </c>
      <c r="AD83" t="n">
        <v>4</v>
      </c>
      <c r="AE83" t="n">
        <v>3</v>
      </c>
      <c r="AF83" t="n">
        <v>2</v>
      </c>
      <c r="AG83" t="n">
        <v>5</v>
      </c>
      <c r="AH83" t="n">
        <v>47</v>
      </c>
      <c r="AI83" t="n">
        <v>22</v>
      </c>
      <c r="AJ83" t="n">
        <v>29</v>
      </c>
      <c r="AK83" t="n">
        <v>105</v>
      </c>
      <c r="AL83" t="n">
        <v>3</v>
      </c>
      <c r="AM83" t="n">
        <v>53</v>
      </c>
      <c r="AN83" t="n">
        <v>0</v>
      </c>
      <c r="AO83" t="n">
        <v>0</v>
      </c>
      <c r="AP83" t="n">
        <v>2</v>
      </c>
      <c r="AQ83" t="n">
        <v>1</v>
      </c>
      <c r="AR83" t="n">
        <v>131</v>
      </c>
      <c r="AS83" t="n">
        <v>121</v>
      </c>
      <c r="AT83" t="n">
        <v>3</v>
      </c>
      <c r="AU83" t="n">
        <v>2</v>
      </c>
      <c r="AV83" t="n">
        <v>30</v>
      </c>
      <c r="AW83" t="n">
        <v>26</v>
      </c>
      <c r="AX83" t="n">
        <v>5</v>
      </c>
      <c r="AY83" t="n">
        <v>27</v>
      </c>
      <c r="AZ83" t="n">
        <v>4</v>
      </c>
      <c r="BA83" t="n">
        <v>46</v>
      </c>
      <c r="BB83" t="n">
        <v>97</v>
      </c>
      <c r="BC83" t="n">
        <v>47</v>
      </c>
      <c r="BD83" t="n">
        <v>43</v>
      </c>
      <c r="BE83" t="n">
        <v>26</v>
      </c>
      <c r="BF83" t="n">
        <v>23</v>
      </c>
      <c r="BG83" t="n">
        <v>4</v>
      </c>
      <c r="BH83" t="n">
        <v>6</v>
      </c>
      <c r="BI83" t="n">
        <v>15</v>
      </c>
      <c r="BJ83" t="n">
        <v>20</v>
      </c>
      <c r="BK83" t="n">
        <v>3</v>
      </c>
      <c r="BL83" t="n">
        <v>33</v>
      </c>
      <c r="BM83" t="n">
        <v>49</v>
      </c>
      <c r="BN83" t="n">
        <v>19</v>
      </c>
      <c r="BO83" t="n">
        <v>2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261</v>
      </c>
      <c r="Z84" t="n">
        <v>158</v>
      </c>
      <c r="AA84" t="n">
        <v>73</v>
      </c>
      <c r="AB84" t="n">
        <v>0</v>
      </c>
      <c r="AC84" t="n">
        <v>0</v>
      </c>
      <c r="AD84" t="n">
        <v>5</v>
      </c>
      <c r="AE84" t="n">
        <v>6</v>
      </c>
      <c r="AF84" t="n">
        <v>3</v>
      </c>
      <c r="AG84" t="n">
        <v>2</v>
      </c>
      <c r="AH84" t="n">
        <v>54</v>
      </c>
      <c r="AI84" t="n">
        <v>34</v>
      </c>
      <c r="AJ84" t="n">
        <v>19</v>
      </c>
      <c r="AK84" t="n">
        <v>45</v>
      </c>
      <c r="AL84" t="n">
        <v>2</v>
      </c>
      <c r="AM84" t="n">
        <v>35</v>
      </c>
      <c r="AN84" t="n">
        <v>0</v>
      </c>
      <c r="AO84" t="n">
        <v>0</v>
      </c>
      <c r="AP84" t="n">
        <v>5</v>
      </c>
      <c r="AQ84" t="n">
        <v>42</v>
      </c>
      <c r="AR84" t="n">
        <v>142</v>
      </c>
      <c r="AS84" t="n">
        <v>107</v>
      </c>
      <c r="AT84" t="n">
        <v>1</v>
      </c>
      <c r="AU84" t="n">
        <v>0</v>
      </c>
      <c r="AV84" t="n">
        <v>2</v>
      </c>
      <c r="AW84" t="n">
        <v>1</v>
      </c>
      <c r="AX84" t="n">
        <v>0</v>
      </c>
      <c r="AY84" t="n">
        <v>26</v>
      </c>
      <c r="AZ84" t="n">
        <v>5</v>
      </c>
      <c r="BA84" t="n">
        <v>15</v>
      </c>
      <c r="BB84" t="n">
        <v>85</v>
      </c>
      <c r="BC84" t="n">
        <v>29</v>
      </c>
      <c r="BD84" t="n">
        <v>49</v>
      </c>
      <c r="BE84" t="n">
        <v>1</v>
      </c>
      <c r="BF84" t="n">
        <v>22</v>
      </c>
      <c r="BG84" t="n">
        <v>4</v>
      </c>
      <c r="BH84" t="n">
        <v>12</v>
      </c>
      <c r="BI84" t="n">
        <v>71</v>
      </c>
      <c r="BJ84" t="n">
        <v>84</v>
      </c>
      <c r="BK84" t="n">
        <v>0</v>
      </c>
      <c r="BL84" t="n">
        <v>1</v>
      </c>
      <c r="BM84" t="n">
        <v>33</v>
      </c>
      <c r="BN84" t="n">
        <v>19</v>
      </c>
      <c r="BO84" t="n">
        <v>2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170</v>
      </c>
      <c r="Z85" t="n">
        <v>349</v>
      </c>
      <c r="AA85" t="n">
        <v>40</v>
      </c>
      <c r="AB85" t="n">
        <v>2</v>
      </c>
      <c r="AC85" t="n">
        <v>0</v>
      </c>
      <c r="AD85" t="n">
        <v>1</v>
      </c>
      <c r="AE85" t="n">
        <v>4</v>
      </c>
      <c r="AF85" t="n">
        <v>5</v>
      </c>
      <c r="AG85" t="n">
        <v>1</v>
      </c>
      <c r="AH85" t="n">
        <v>16</v>
      </c>
      <c r="AI85" t="n">
        <v>55</v>
      </c>
      <c r="AJ85" t="n">
        <v>66</v>
      </c>
      <c r="AK85" t="n">
        <v>15</v>
      </c>
      <c r="AL85" t="n">
        <v>1</v>
      </c>
      <c r="AM85" t="n">
        <v>2</v>
      </c>
      <c r="AN85" t="n">
        <v>0</v>
      </c>
      <c r="AO85" t="n">
        <v>0</v>
      </c>
      <c r="AP85" t="n">
        <v>3</v>
      </c>
      <c r="AQ85" t="n">
        <v>19</v>
      </c>
      <c r="AR85" t="n">
        <v>139</v>
      </c>
      <c r="AS85" t="n">
        <v>120</v>
      </c>
      <c r="AT85" t="n">
        <v>2</v>
      </c>
      <c r="AU85" t="n">
        <v>1</v>
      </c>
      <c r="AV85" t="n">
        <v>9</v>
      </c>
      <c r="AW85" t="n">
        <v>29</v>
      </c>
      <c r="AX85" t="n">
        <v>8</v>
      </c>
      <c r="AY85" t="n">
        <v>77</v>
      </c>
      <c r="AZ85" t="n">
        <v>3</v>
      </c>
      <c r="BA85" t="n">
        <v>9</v>
      </c>
      <c r="BB85" t="n">
        <v>46</v>
      </c>
      <c r="BC85" t="n">
        <v>14</v>
      </c>
      <c r="BD85" t="n">
        <v>19</v>
      </c>
      <c r="BE85" t="n">
        <v>29</v>
      </c>
      <c r="BF85" t="n">
        <v>52</v>
      </c>
      <c r="BG85" t="n">
        <v>2</v>
      </c>
      <c r="BH85" t="n">
        <v>0</v>
      </c>
      <c r="BI85" t="n">
        <v>23</v>
      </c>
      <c r="BJ85" t="n">
        <v>27</v>
      </c>
      <c r="BK85" t="n">
        <v>3</v>
      </c>
      <c r="BL85" t="n">
        <v>15</v>
      </c>
      <c r="BM85" t="n">
        <v>33</v>
      </c>
      <c r="BN85" t="n">
        <v>15</v>
      </c>
      <c r="BO85" t="n">
        <v>2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126</v>
      </c>
      <c r="Z86" t="n">
        <v>152</v>
      </c>
      <c r="AA86" t="n">
        <v>115</v>
      </c>
      <c r="AB86" t="n">
        <v>2</v>
      </c>
      <c r="AC86" t="n">
        <v>4</v>
      </c>
      <c r="AD86" t="n">
        <v>2</v>
      </c>
      <c r="AE86" t="n">
        <v>9</v>
      </c>
      <c r="AF86" t="n">
        <v>2</v>
      </c>
      <c r="AG86" t="n">
        <v>2</v>
      </c>
      <c r="AH86" t="n">
        <v>33</v>
      </c>
      <c r="AI86" t="n">
        <v>55</v>
      </c>
      <c r="AJ86" t="n">
        <v>10</v>
      </c>
      <c r="AK86" t="n">
        <v>1</v>
      </c>
      <c r="AL86" t="n">
        <v>4</v>
      </c>
      <c r="AM86" t="n">
        <v>25</v>
      </c>
      <c r="AN86" t="n">
        <v>0</v>
      </c>
      <c r="AO86" t="n">
        <v>0</v>
      </c>
      <c r="AP86" t="n">
        <v>0</v>
      </c>
      <c r="AQ86" t="n">
        <v>1</v>
      </c>
      <c r="AR86" t="n">
        <v>86</v>
      </c>
      <c r="AS86" t="n">
        <v>79</v>
      </c>
      <c r="AT86" t="n">
        <v>4</v>
      </c>
      <c r="AU86" t="n">
        <v>3</v>
      </c>
      <c r="AV86" t="n">
        <v>30</v>
      </c>
      <c r="AW86" t="n">
        <v>19</v>
      </c>
      <c r="AX86" t="n">
        <v>6</v>
      </c>
      <c r="AY86" t="n">
        <v>32</v>
      </c>
      <c r="AZ86" t="n">
        <v>3</v>
      </c>
      <c r="BA86" t="n">
        <v>31</v>
      </c>
      <c r="BB86" t="n">
        <v>139</v>
      </c>
      <c r="BC86" t="n">
        <v>20</v>
      </c>
      <c r="BD86" t="n">
        <v>33</v>
      </c>
      <c r="BE86" t="n">
        <v>20</v>
      </c>
      <c r="BF86" t="n">
        <v>8</v>
      </c>
      <c r="BG86" t="n">
        <v>3</v>
      </c>
      <c r="BH86" t="n">
        <v>0</v>
      </c>
      <c r="BI86" t="n">
        <v>22</v>
      </c>
      <c r="BJ86" t="n">
        <v>19</v>
      </c>
      <c r="BK86" t="n">
        <v>0</v>
      </c>
      <c r="BL86" t="n">
        <v>1</v>
      </c>
      <c r="BM86" t="n">
        <v>-6</v>
      </c>
      <c r="BN86" t="n">
        <v>-4</v>
      </c>
      <c r="BO86" t="n">
        <v>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189</v>
      </c>
      <c r="Z87" t="n">
        <v>127</v>
      </c>
      <c r="AA87" t="n">
        <v>41</v>
      </c>
      <c r="AB87" t="n">
        <v>4</v>
      </c>
      <c r="AC87" t="n">
        <v>1</v>
      </c>
      <c r="AD87" t="n">
        <v>4</v>
      </c>
      <c r="AE87" t="n">
        <v>3</v>
      </c>
      <c r="AF87" t="n">
        <v>0</v>
      </c>
      <c r="AG87" t="n">
        <v>2</v>
      </c>
      <c r="AH87" t="n">
        <v>58</v>
      </c>
      <c r="AI87" t="n">
        <v>16</v>
      </c>
      <c r="AJ87" t="n">
        <v>46</v>
      </c>
      <c r="AK87" t="n">
        <v>22</v>
      </c>
      <c r="AL87" t="n">
        <v>5</v>
      </c>
      <c r="AM87" t="n">
        <v>33</v>
      </c>
      <c r="AN87" t="n">
        <v>2</v>
      </c>
      <c r="AO87" t="n">
        <v>0</v>
      </c>
      <c r="AP87" t="n">
        <v>8</v>
      </c>
      <c r="AQ87" t="n">
        <v>129</v>
      </c>
      <c r="AR87" t="n">
        <v>125</v>
      </c>
      <c r="AS87" t="n">
        <v>11</v>
      </c>
      <c r="AT87" t="n">
        <v>1</v>
      </c>
      <c r="AU87" t="n">
        <v>1</v>
      </c>
      <c r="AV87" t="n">
        <v>5</v>
      </c>
      <c r="AW87" t="n">
        <v>7</v>
      </c>
      <c r="AX87" t="n">
        <v>2</v>
      </c>
      <c r="AY87" t="n">
        <v>1</v>
      </c>
      <c r="AZ87" t="n">
        <v>3</v>
      </c>
      <c r="BA87" t="n">
        <v>36</v>
      </c>
      <c r="BB87" t="n">
        <v>78</v>
      </c>
      <c r="BC87" t="n">
        <v>29</v>
      </c>
      <c r="BD87" t="n">
        <v>73</v>
      </c>
      <c r="BE87" t="n">
        <v>7</v>
      </c>
      <c r="BF87" t="n">
        <v>36</v>
      </c>
      <c r="BG87" t="n">
        <v>0</v>
      </c>
      <c r="BH87" t="n">
        <v>1</v>
      </c>
      <c r="BI87" t="n">
        <v>1</v>
      </c>
      <c r="BJ87" t="n">
        <v>1</v>
      </c>
      <c r="BK87" t="n">
        <v>5</v>
      </c>
      <c r="BL87" t="n">
        <v>30</v>
      </c>
      <c r="BM87" t="n">
        <v>23</v>
      </c>
      <c r="BN87" t="n">
        <v>4</v>
      </c>
      <c r="BO87" t="n">
        <v>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272</v>
      </c>
      <c r="Z88" t="n">
        <v>201</v>
      </c>
      <c r="AA88" t="n">
        <v>17</v>
      </c>
      <c r="AB88" t="n">
        <v>4</v>
      </c>
      <c r="AC88" t="n">
        <v>0</v>
      </c>
      <c r="AD88" t="n">
        <v>4</v>
      </c>
      <c r="AE88" t="n">
        <v>6</v>
      </c>
      <c r="AF88" t="n">
        <v>1</v>
      </c>
      <c r="AG88" t="n">
        <v>5</v>
      </c>
      <c r="AH88" t="n">
        <v>101</v>
      </c>
      <c r="AI88" t="n">
        <v>65</v>
      </c>
      <c r="AJ88" t="n">
        <v>21</v>
      </c>
      <c r="AK88" t="n">
        <v>57</v>
      </c>
      <c r="AL88" t="n">
        <v>0</v>
      </c>
      <c r="AM88" t="n">
        <v>35</v>
      </c>
      <c r="AN88" t="n">
        <v>0</v>
      </c>
      <c r="AO88" t="n">
        <v>0</v>
      </c>
      <c r="AP88" t="n">
        <v>2</v>
      </c>
      <c r="AQ88" t="n">
        <v>1</v>
      </c>
      <c r="AR88" t="n">
        <v>170</v>
      </c>
      <c r="AS88" t="n">
        <v>157</v>
      </c>
      <c r="AT88" t="n">
        <v>6</v>
      </c>
      <c r="AU88" t="n">
        <v>4</v>
      </c>
      <c r="AV88" t="n">
        <v>49</v>
      </c>
      <c r="AW88" t="n">
        <v>43</v>
      </c>
      <c r="AX88" t="n">
        <v>0</v>
      </c>
      <c r="AY88" t="n">
        <v>103</v>
      </c>
      <c r="AZ88" t="n">
        <v>4</v>
      </c>
      <c r="BA88" t="n">
        <v>9</v>
      </c>
      <c r="BB88" t="n">
        <v>25</v>
      </c>
      <c r="BC88" t="n">
        <v>34</v>
      </c>
      <c r="BD88" t="n">
        <v>94</v>
      </c>
      <c r="BE88" t="n">
        <v>44</v>
      </c>
      <c r="BF88" t="n">
        <v>19</v>
      </c>
      <c r="BG88" t="n">
        <v>2</v>
      </c>
      <c r="BH88" t="n">
        <v>2</v>
      </c>
      <c r="BI88" t="n">
        <v>1</v>
      </c>
      <c r="BJ88" t="n">
        <v>9</v>
      </c>
      <c r="BK88" t="n">
        <v>2</v>
      </c>
      <c r="BL88" t="n">
        <v>1</v>
      </c>
      <c r="BM88" t="n">
        <v>10</v>
      </c>
      <c r="BN88" t="n">
        <v>5</v>
      </c>
      <c r="BO88" t="n">
        <v>11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192</v>
      </c>
      <c r="Z89" t="n">
        <v>181</v>
      </c>
      <c r="AA89" t="n">
        <v>24</v>
      </c>
      <c r="AB89" t="n">
        <v>3</v>
      </c>
      <c r="AC89" t="n">
        <v>0</v>
      </c>
      <c r="AD89" t="n">
        <v>1</v>
      </c>
      <c r="AE89" t="n">
        <v>5</v>
      </c>
      <c r="AF89" t="n">
        <v>9</v>
      </c>
      <c r="AG89" t="n">
        <v>0</v>
      </c>
      <c r="AH89" t="n">
        <v>15</v>
      </c>
      <c r="AI89" t="n">
        <v>92</v>
      </c>
      <c r="AJ89" t="n">
        <v>92</v>
      </c>
      <c r="AK89" t="n">
        <v>16</v>
      </c>
      <c r="AL89" t="n">
        <v>3</v>
      </c>
      <c r="AM89" t="n">
        <v>36</v>
      </c>
      <c r="AN89" t="n">
        <v>0</v>
      </c>
      <c r="AO89" t="n">
        <v>0</v>
      </c>
      <c r="AP89" t="n">
        <v>1</v>
      </c>
      <c r="AQ89" t="n">
        <v>64</v>
      </c>
      <c r="AR89" t="n">
        <v>156</v>
      </c>
      <c r="AS89" t="n">
        <v>100</v>
      </c>
      <c r="AT89" t="n">
        <v>0</v>
      </c>
      <c r="AU89" t="n">
        <v>1</v>
      </c>
      <c r="AV89" t="n">
        <v>9</v>
      </c>
      <c r="AW89" t="n">
        <v>1</v>
      </c>
      <c r="AX89" t="n">
        <v>13</v>
      </c>
      <c r="AY89" t="n">
        <v>19</v>
      </c>
      <c r="AZ89" t="n">
        <v>2</v>
      </c>
      <c r="BA89" t="n">
        <v>34</v>
      </c>
      <c r="BB89" t="n">
        <v>60</v>
      </c>
      <c r="BC89" t="n">
        <v>31</v>
      </c>
      <c r="BD89" t="n">
        <v>18</v>
      </c>
      <c r="BE89" t="n">
        <v>4</v>
      </c>
      <c r="BF89" t="n">
        <v>75</v>
      </c>
      <c r="BG89" t="n">
        <v>2</v>
      </c>
      <c r="BH89" t="n">
        <v>0</v>
      </c>
      <c r="BI89" t="n">
        <v>6</v>
      </c>
      <c r="BJ89" t="n">
        <v>30</v>
      </c>
      <c r="BK89" t="n">
        <v>4</v>
      </c>
      <c r="BL89" t="n">
        <v>24</v>
      </c>
      <c r="BM89" t="n">
        <v>72</v>
      </c>
      <c r="BN89" t="n">
        <v>41</v>
      </c>
      <c r="BO89" t="n">
        <v>93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293</v>
      </c>
      <c r="Z90" t="n">
        <v>220</v>
      </c>
      <c r="AA90" t="n">
        <v>42</v>
      </c>
      <c r="AB90" t="n">
        <v>3</v>
      </c>
      <c r="AC90" t="n">
        <v>2</v>
      </c>
      <c r="AD90" t="n">
        <v>5</v>
      </c>
      <c r="AE90" t="n">
        <v>5</v>
      </c>
      <c r="AF90" t="n">
        <v>5</v>
      </c>
      <c r="AG90" t="n">
        <v>5</v>
      </c>
      <c r="AH90" t="n">
        <v>46</v>
      </c>
      <c r="AI90" t="n">
        <v>44</v>
      </c>
      <c r="AJ90" t="n">
        <v>50</v>
      </c>
      <c r="AK90" t="n">
        <v>57</v>
      </c>
      <c r="AL90" t="n">
        <v>5</v>
      </c>
      <c r="AM90" t="n">
        <v>55</v>
      </c>
      <c r="AN90" t="n">
        <v>0</v>
      </c>
      <c r="AO90" t="n">
        <v>0</v>
      </c>
      <c r="AP90" t="n">
        <v>1</v>
      </c>
      <c r="AQ90" t="n">
        <v>16</v>
      </c>
      <c r="AR90" t="n">
        <v>94</v>
      </c>
      <c r="AS90" t="n">
        <v>79</v>
      </c>
      <c r="AT90" t="n">
        <v>2</v>
      </c>
      <c r="AU90" t="n">
        <v>2</v>
      </c>
      <c r="AV90" t="n">
        <v>10</v>
      </c>
      <c r="AW90" t="n">
        <v>42</v>
      </c>
      <c r="AX90" t="n">
        <v>5</v>
      </c>
      <c r="AY90" t="n">
        <v>44</v>
      </c>
      <c r="AZ90" t="n">
        <v>5</v>
      </c>
      <c r="BA90" t="n">
        <v>10</v>
      </c>
      <c r="BB90" t="n">
        <v>51</v>
      </c>
      <c r="BC90" t="n">
        <v>46</v>
      </c>
      <c r="BD90" t="n">
        <v>50</v>
      </c>
      <c r="BE90" t="n">
        <v>50</v>
      </c>
      <c r="BF90" t="n">
        <v>40</v>
      </c>
      <c r="BG90" t="n">
        <v>8</v>
      </c>
      <c r="BH90" t="n">
        <v>16</v>
      </c>
      <c r="BI90" t="n">
        <v>113</v>
      </c>
      <c r="BJ90" t="n">
        <v>111</v>
      </c>
      <c r="BK90" t="n">
        <v>7</v>
      </c>
      <c r="BL90" t="n">
        <v>50</v>
      </c>
      <c r="BM90" t="n">
        <v>33</v>
      </c>
      <c r="BN90" t="n">
        <v>0</v>
      </c>
      <c r="BO90" t="n">
        <v>2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3</v>
      </c>
      <c r="U91" t="n">
        <v>0</v>
      </c>
      <c r="V91" t="n">
        <v>1</v>
      </c>
      <c r="W91" t="n">
        <v>0</v>
      </c>
      <c r="X91" t="n">
        <v>0</v>
      </c>
      <c r="Y91" t="n">
        <v>109</v>
      </c>
      <c r="Z91" t="n">
        <v>146</v>
      </c>
      <c r="AA91" t="n">
        <v>40</v>
      </c>
      <c r="AB91" t="n">
        <v>3</v>
      </c>
      <c r="AC91" t="n">
        <v>1</v>
      </c>
      <c r="AD91" t="n">
        <v>5</v>
      </c>
      <c r="AE91" t="n">
        <v>5</v>
      </c>
      <c r="AF91" t="n">
        <v>6</v>
      </c>
      <c r="AG91" t="n">
        <v>4</v>
      </c>
      <c r="AH91" t="n">
        <v>63</v>
      </c>
      <c r="AI91" t="n">
        <v>34</v>
      </c>
      <c r="AJ91" t="n">
        <v>33</v>
      </c>
      <c r="AK91" t="n">
        <v>22</v>
      </c>
      <c r="AL91" t="n">
        <v>4</v>
      </c>
      <c r="AM91" t="n">
        <v>53</v>
      </c>
      <c r="AN91" t="n">
        <v>0</v>
      </c>
      <c r="AO91" t="n">
        <v>0</v>
      </c>
      <c r="AP91" t="n">
        <v>4</v>
      </c>
      <c r="AQ91" t="n">
        <v>19</v>
      </c>
      <c r="AR91" t="n">
        <v>113</v>
      </c>
      <c r="AS91" t="n">
        <v>95</v>
      </c>
      <c r="AT91" t="n">
        <v>0</v>
      </c>
      <c r="AU91" t="n">
        <v>1</v>
      </c>
      <c r="AV91" t="n">
        <v>1</v>
      </c>
      <c r="AW91" t="n">
        <v>12</v>
      </c>
      <c r="AX91" t="n">
        <v>-1</v>
      </c>
      <c r="AY91" t="n">
        <v>52</v>
      </c>
      <c r="AZ91" t="n">
        <v>2</v>
      </c>
      <c r="BA91" t="n">
        <v>31</v>
      </c>
      <c r="BB91" t="n">
        <v>70</v>
      </c>
      <c r="BC91" t="n">
        <v>46</v>
      </c>
      <c r="BD91" t="n">
        <v>57</v>
      </c>
      <c r="BE91" t="n">
        <v>18</v>
      </c>
      <c r="BF91" t="n">
        <v>29</v>
      </c>
      <c r="BG91" t="n">
        <v>1</v>
      </c>
      <c r="BH91" t="n">
        <v>0</v>
      </c>
      <c r="BI91" t="n">
        <v>0</v>
      </c>
      <c r="BJ91" t="n">
        <v>6</v>
      </c>
      <c r="BK91" t="n">
        <v>1</v>
      </c>
      <c r="BL91" t="n">
        <v>25</v>
      </c>
      <c r="BM91" t="n">
        <v>23</v>
      </c>
      <c r="BN91" t="n">
        <v>5</v>
      </c>
      <c r="BO91" t="n">
        <v>37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232</v>
      </c>
      <c r="Z92" t="n">
        <v>172</v>
      </c>
      <c r="AA92" t="n">
        <v>56</v>
      </c>
      <c r="AB92" t="n">
        <v>1</v>
      </c>
      <c r="AC92" t="n">
        <v>0</v>
      </c>
      <c r="AD92" t="n">
        <v>8</v>
      </c>
      <c r="AE92" t="n">
        <v>2</v>
      </c>
      <c r="AF92" t="n">
        <v>2</v>
      </c>
      <c r="AG92" t="n">
        <v>6</v>
      </c>
      <c r="AH92" t="n">
        <v>66</v>
      </c>
      <c r="AI92" t="n">
        <v>13</v>
      </c>
      <c r="AJ92" t="n">
        <v>38</v>
      </c>
      <c r="AK92" t="n">
        <v>74</v>
      </c>
      <c r="AL92" t="n">
        <v>2</v>
      </c>
      <c r="AM92" t="n">
        <v>40</v>
      </c>
      <c r="AN92" t="n">
        <v>0</v>
      </c>
      <c r="AO92" t="n">
        <v>0</v>
      </c>
      <c r="AP92" t="n">
        <v>1</v>
      </c>
      <c r="AQ92" t="n">
        <v>9</v>
      </c>
      <c r="AR92" t="n">
        <v>106</v>
      </c>
      <c r="AS92" t="n">
        <v>95</v>
      </c>
      <c r="AT92" t="n">
        <v>0</v>
      </c>
      <c r="AU92" t="n">
        <v>2</v>
      </c>
      <c r="AV92" t="n">
        <v>6</v>
      </c>
      <c r="AW92" t="n">
        <v>19</v>
      </c>
      <c r="AX92" t="n">
        <v>2</v>
      </c>
      <c r="AY92" t="n">
        <v>27</v>
      </c>
      <c r="AZ92" t="n">
        <v>0</v>
      </c>
      <c r="BA92" t="n">
        <v>1</v>
      </c>
      <c r="BB92" t="n">
        <v>55</v>
      </c>
      <c r="BC92" t="n">
        <v>48</v>
      </c>
      <c r="BD92" t="n">
        <v>61</v>
      </c>
      <c r="BE92" t="n">
        <v>20</v>
      </c>
      <c r="BF92" t="n">
        <v>32</v>
      </c>
      <c r="BG92" t="n">
        <v>3</v>
      </c>
      <c r="BH92" t="n">
        <v>0</v>
      </c>
      <c r="BI92" t="n">
        <v>22</v>
      </c>
      <c r="BJ92" t="n">
        <v>21</v>
      </c>
      <c r="BK92" t="n">
        <v>4</v>
      </c>
      <c r="BL92" t="n">
        <v>33</v>
      </c>
      <c r="BM92" t="n">
        <v>22</v>
      </c>
      <c r="BN92" t="n">
        <v>0</v>
      </c>
      <c r="BO92" t="n">
        <v>28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276</v>
      </c>
      <c r="Z93" t="n">
        <v>139</v>
      </c>
      <c r="AA93" t="n">
        <v>61</v>
      </c>
      <c r="AB93" t="n">
        <v>1</v>
      </c>
      <c r="AC93" t="n">
        <v>0</v>
      </c>
      <c r="AD93" t="n">
        <v>6</v>
      </c>
      <c r="AE93" t="n">
        <v>9</v>
      </c>
      <c r="AF93" t="n">
        <v>6</v>
      </c>
      <c r="AG93" t="n">
        <v>5</v>
      </c>
      <c r="AH93" t="n">
        <v>66</v>
      </c>
      <c r="AI93" t="n">
        <v>33</v>
      </c>
      <c r="AJ93" t="n">
        <v>50</v>
      </c>
      <c r="AK93" t="n">
        <v>54</v>
      </c>
      <c r="AL93" t="n">
        <v>4</v>
      </c>
      <c r="AM93" t="n">
        <v>7</v>
      </c>
      <c r="AN93" t="n">
        <v>0</v>
      </c>
      <c r="AO93" t="n">
        <v>0</v>
      </c>
      <c r="AP93" t="n">
        <v>3</v>
      </c>
      <c r="AQ93" t="n">
        <v>1</v>
      </c>
      <c r="AR93" t="n">
        <v>163</v>
      </c>
      <c r="AS93" t="n">
        <v>153</v>
      </c>
      <c r="AT93" t="n">
        <v>2</v>
      </c>
      <c r="AU93" t="n">
        <v>3</v>
      </c>
      <c r="AV93" t="n">
        <v>1</v>
      </c>
      <c r="AW93" t="n">
        <v>16</v>
      </c>
      <c r="AX93" t="n">
        <v>0</v>
      </c>
      <c r="AY93" t="n">
        <v>14</v>
      </c>
      <c r="AZ93" t="n">
        <v>3</v>
      </c>
      <c r="BA93" t="n">
        <v>31</v>
      </c>
      <c r="BB93" t="n">
        <v>92</v>
      </c>
      <c r="BC93" t="n">
        <v>6</v>
      </c>
      <c r="BD93" t="n">
        <v>65</v>
      </c>
      <c r="BE93" t="n">
        <v>23</v>
      </c>
      <c r="BF93" t="n">
        <v>49</v>
      </c>
      <c r="BG93" t="n">
        <v>8</v>
      </c>
      <c r="BH93" t="n">
        <v>8</v>
      </c>
      <c r="BI93" t="n">
        <v>77</v>
      </c>
      <c r="BJ93" t="n">
        <v>71</v>
      </c>
      <c r="BK93" t="n">
        <v>0</v>
      </c>
      <c r="BL93" t="n">
        <v>5</v>
      </c>
      <c r="BM93" t="n">
        <v>4</v>
      </c>
      <c r="BN93" t="n">
        <v>2</v>
      </c>
      <c r="BO93" t="n">
        <v>9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176</v>
      </c>
      <c r="Z94" t="n">
        <v>149</v>
      </c>
      <c r="AA94" t="n">
        <v>70</v>
      </c>
      <c r="AB94" t="n">
        <v>2</v>
      </c>
      <c r="AC94" t="n">
        <v>0</v>
      </c>
      <c r="AD94" t="n">
        <v>4</v>
      </c>
      <c r="AE94" t="n">
        <v>8</v>
      </c>
      <c r="AF94" t="n">
        <v>4</v>
      </c>
      <c r="AG94" t="n">
        <v>3</v>
      </c>
      <c r="AH94" t="n">
        <v>32</v>
      </c>
      <c r="AI94" t="n">
        <v>65</v>
      </c>
      <c r="AJ94" t="n">
        <v>51</v>
      </c>
      <c r="AK94" t="n">
        <v>22</v>
      </c>
      <c r="AL94" t="n">
        <v>8</v>
      </c>
      <c r="AM94" t="n">
        <v>68</v>
      </c>
      <c r="AN94" t="n">
        <v>0</v>
      </c>
      <c r="AO94" t="n">
        <v>0</v>
      </c>
      <c r="AP94" t="n">
        <v>4</v>
      </c>
      <c r="AQ94" t="n">
        <v>35</v>
      </c>
      <c r="AR94" t="n">
        <v>71</v>
      </c>
      <c r="AS94" t="n">
        <v>42</v>
      </c>
      <c r="AT94" t="n">
        <v>2</v>
      </c>
      <c r="AU94" t="n">
        <v>0</v>
      </c>
      <c r="AV94" t="n">
        <v>1</v>
      </c>
      <c r="AW94" t="n">
        <v>6</v>
      </c>
      <c r="AX94" t="n">
        <v>3</v>
      </c>
      <c r="AY94" t="n">
        <v>19</v>
      </c>
      <c r="AZ94" t="n">
        <v>2</v>
      </c>
      <c r="BA94" t="n">
        <v>8</v>
      </c>
      <c r="BB94" t="n">
        <v>74</v>
      </c>
      <c r="BC94" t="n">
        <v>65</v>
      </c>
      <c r="BD94" t="n">
        <v>37</v>
      </c>
      <c r="BE94" t="n">
        <v>6</v>
      </c>
      <c r="BF94" t="n">
        <v>52</v>
      </c>
      <c r="BG94" t="n">
        <v>0</v>
      </c>
      <c r="BH94" t="n">
        <v>19</v>
      </c>
      <c r="BI94" t="n">
        <v>1</v>
      </c>
      <c r="BJ94" t="n">
        <v>20</v>
      </c>
      <c r="BK94" t="n">
        <v>1</v>
      </c>
      <c r="BL94" t="n">
        <v>7</v>
      </c>
      <c r="BM94" t="n">
        <v>6</v>
      </c>
      <c r="BN94" t="n">
        <v>2</v>
      </c>
      <c r="BO94" t="n">
        <v>32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215</v>
      </c>
      <c r="Z95" t="n">
        <v>316</v>
      </c>
      <c r="AA95" t="n">
        <v>43</v>
      </c>
      <c r="AB95" t="n">
        <v>1</v>
      </c>
      <c r="AC95" t="n">
        <v>3</v>
      </c>
      <c r="AD95" t="n">
        <v>5</v>
      </c>
      <c r="AE95" t="n">
        <v>13</v>
      </c>
      <c r="AF95" t="n">
        <v>5</v>
      </c>
      <c r="AG95" t="n">
        <v>0</v>
      </c>
      <c r="AH95" t="n">
        <v>116</v>
      </c>
      <c r="AI95" t="n">
        <v>132</v>
      </c>
      <c r="AJ95" t="n">
        <v>16</v>
      </c>
      <c r="AK95" t="n">
        <v>1</v>
      </c>
      <c r="AL95" t="n">
        <v>5</v>
      </c>
      <c r="AM95" t="n">
        <v>69</v>
      </c>
      <c r="AN95" t="n">
        <v>0</v>
      </c>
      <c r="AO95" t="n">
        <v>0</v>
      </c>
      <c r="AP95" t="n">
        <v>5</v>
      </c>
      <c r="AQ95" t="n">
        <v>21</v>
      </c>
      <c r="AR95" t="n">
        <v>185</v>
      </c>
      <c r="AS95" t="n">
        <v>163</v>
      </c>
      <c r="AT95" t="n">
        <v>1</v>
      </c>
      <c r="AU95" t="n">
        <v>1</v>
      </c>
      <c r="AV95" t="n">
        <v>11</v>
      </c>
      <c r="AW95" t="n">
        <v>1</v>
      </c>
      <c r="AX95" t="n">
        <v>0</v>
      </c>
      <c r="AY95" t="n">
        <v>25</v>
      </c>
      <c r="AZ95" t="n">
        <v>4</v>
      </c>
      <c r="BA95" t="n">
        <v>35</v>
      </c>
      <c r="BB95" t="n">
        <v>78</v>
      </c>
      <c r="BC95" t="n">
        <v>57</v>
      </c>
      <c r="BD95" t="n">
        <v>113</v>
      </c>
      <c r="BE95" t="n">
        <v>7</v>
      </c>
      <c r="BF95" t="n">
        <v>23</v>
      </c>
      <c r="BG95" t="n">
        <v>2</v>
      </c>
      <c r="BH95" t="n">
        <v>9</v>
      </c>
      <c r="BI95" t="n">
        <v>20</v>
      </c>
      <c r="BJ95" t="n">
        <v>25</v>
      </c>
      <c r="BK95" t="n">
        <v>0</v>
      </c>
      <c r="BL95" t="n">
        <v>1</v>
      </c>
      <c r="BM95" t="n">
        <v>43</v>
      </c>
      <c r="BN95" t="n">
        <v>26</v>
      </c>
      <c r="BO95" t="n">
        <v>11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3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172</v>
      </c>
      <c r="Z96" t="n">
        <v>103</v>
      </c>
      <c r="AA96" t="n">
        <v>206</v>
      </c>
      <c r="AB96" t="n">
        <v>1</v>
      </c>
      <c r="AC96" t="n">
        <v>1</v>
      </c>
      <c r="AD96" t="n">
        <v>6</v>
      </c>
      <c r="AE96" t="n">
        <v>1</v>
      </c>
      <c r="AF96" t="n">
        <v>0</v>
      </c>
      <c r="AG96" t="n">
        <v>3</v>
      </c>
      <c r="AH96" t="n">
        <v>51</v>
      </c>
      <c r="AI96" t="n">
        <v>39</v>
      </c>
      <c r="AJ96" t="n">
        <v>39</v>
      </c>
      <c r="AK96" t="n">
        <v>4</v>
      </c>
      <c r="AL96" t="n">
        <v>1</v>
      </c>
      <c r="AM96" t="n">
        <v>3</v>
      </c>
      <c r="AN96" t="n">
        <v>0</v>
      </c>
      <c r="AO96" t="n">
        <v>0</v>
      </c>
      <c r="AP96" t="n">
        <v>4</v>
      </c>
      <c r="AQ96" t="n">
        <v>9</v>
      </c>
      <c r="AR96" t="n">
        <v>165</v>
      </c>
      <c r="AS96" t="n">
        <v>152</v>
      </c>
      <c r="AT96" t="n">
        <v>4</v>
      </c>
      <c r="AU96" t="n">
        <v>2</v>
      </c>
      <c r="AV96" t="n">
        <v>24</v>
      </c>
      <c r="AW96" t="n">
        <v>1</v>
      </c>
      <c r="AX96" t="n">
        <v>0</v>
      </c>
      <c r="AY96" t="n">
        <v>13</v>
      </c>
      <c r="AZ96" t="n">
        <v>3</v>
      </c>
      <c r="BA96" t="n">
        <v>7</v>
      </c>
      <c r="BB96" t="n">
        <v>199</v>
      </c>
      <c r="BC96" t="n">
        <v>7</v>
      </c>
      <c r="BD96" t="n">
        <v>44</v>
      </c>
      <c r="BE96" t="n">
        <v>1</v>
      </c>
      <c r="BF96" t="n">
        <v>31</v>
      </c>
      <c r="BG96" t="n">
        <v>1</v>
      </c>
      <c r="BH96" t="n">
        <v>13</v>
      </c>
      <c r="BI96" t="n">
        <v>1</v>
      </c>
      <c r="BJ96" t="n">
        <v>9</v>
      </c>
      <c r="BK96" t="n">
        <v>6</v>
      </c>
      <c r="BL96" t="n">
        <v>44</v>
      </c>
      <c r="BM96" t="n">
        <v>30</v>
      </c>
      <c r="BN96" t="n">
        <v>0</v>
      </c>
      <c r="BO96" t="n">
        <v>16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2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1</v>
      </c>
      <c r="V97" t="n">
        <v>0</v>
      </c>
      <c r="W97" t="n">
        <v>0</v>
      </c>
      <c r="X97" t="n">
        <v>0</v>
      </c>
      <c r="Y97" t="n">
        <v>253</v>
      </c>
      <c r="Z97" t="n">
        <v>346</v>
      </c>
      <c r="AA97" t="n">
        <v>73</v>
      </c>
      <c r="AB97" t="n">
        <v>0</v>
      </c>
      <c r="AC97" t="n">
        <v>4</v>
      </c>
      <c r="AD97" t="n">
        <v>2</v>
      </c>
      <c r="AE97" t="n">
        <v>4</v>
      </c>
      <c r="AF97" t="n">
        <v>0</v>
      </c>
      <c r="AG97" t="n">
        <v>2</v>
      </c>
      <c r="AH97" t="n">
        <v>28</v>
      </c>
      <c r="AI97" t="n">
        <v>143</v>
      </c>
      <c r="AJ97" t="n">
        <v>33</v>
      </c>
      <c r="AK97" t="n">
        <v>15</v>
      </c>
      <c r="AL97" t="n">
        <v>0</v>
      </c>
      <c r="AM97" t="n">
        <v>10</v>
      </c>
      <c r="AN97" t="n">
        <v>0</v>
      </c>
      <c r="AO97" t="n">
        <v>0</v>
      </c>
      <c r="AP97" t="n">
        <v>5</v>
      </c>
      <c r="AQ97" t="n">
        <v>39</v>
      </c>
      <c r="AR97" t="n">
        <v>212</v>
      </c>
      <c r="AS97" t="n">
        <v>179</v>
      </c>
      <c r="AT97" t="n">
        <v>1</v>
      </c>
      <c r="AU97" t="n">
        <v>2</v>
      </c>
      <c r="AV97" t="n">
        <v>49</v>
      </c>
      <c r="AW97" t="n">
        <v>14</v>
      </c>
      <c r="AX97" t="n">
        <v>0</v>
      </c>
      <c r="AY97" t="n">
        <v>22</v>
      </c>
      <c r="AZ97" t="n">
        <v>1</v>
      </c>
      <c r="BA97" t="n">
        <v>9</v>
      </c>
      <c r="BB97" t="n">
        <v>78</v>
      </c>
      <c r="BC97" t="n">
        <v>17</v>
      </c>
      <c r="BD97" t="n">
        <v>26</v>
      </c>
      <c r="BE97" t="n">
        <v>14</v>
      </c>
      <c r="BF97" t="n">
        <v>26</v>
      </c>
      <c r="BG97" t="n">
        <v>1</v>
      </c>
      <c r="BH97" t="n">
        <v>34</v>
      </c>
      <c r="BI97" t="n">
        <v>6</v>
      </c>
      <c r="BJ97" t="n">
        <v>1</v>
      </c>
      <c r="BK97" t="n">
        <v>3</v>
      </c>
      <c r="BL97" t="n">
        <v>52</v>
      </c>
      <c r="BM97" t="n">
        <v>64</v>
      </c>
      <c r="BN97" t="n">
        <v>22</v>
      </c>
      <c r="BO97" t="n">
        <v>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110</v>
      </c>
      <c r="Z98" t="n">
        <v>237</v>
      </c>
      <c r="AA98" t="n">
        <v>4</v>
      </c>
      <c r="AB98" t="n">
        <v>0</v>
      </c>
      <c r="AC98" t="n">
        <v>1</v>
      </c>
      <c r="AD98" t="n">
        <v>4</v>
      </c>
      <c r="AE98" t="n">
        <v>5</v>
      </c>
      <c r="AF98" t="n">
        <v>3</v>
      </c>
      <c r="AG98" t="n">
        <v>0</v>
      </c>
      <c r="AH98" t="n">
        <v>12</v>
      </c>
      <c r="AI98" t="n">
        <v>42</v>
      </c>
      <c r="AJ98" t="n">
        <v>30</v>
      </c>
      <c r="AK98" t="n">
        <v>1</v>
      </c>
      <c r="AL98" t="n">
        <v>4</v>
      </c>
      <c r="AM98" t="n">
        <v>107</v>
      </c>
      <c r="AN98" t="n">
        <v>3</v>
      </c>
      <c r="AO98" t="n">
        <v>0</v>
      </c>
      <c r="AP98" t="n">
        <v>3</v>
      </c>
      <c r="AQ98" t="n">
        <v>27</v>
      </c>
      <c r="AR98" t="n">
        <v>117</v>
      </c>
      <c r="AS98" t="n">
        <v>92</v>
      </c>
      <c r="AT98" t="n">
        <v>2</v>
      </c>
      <c r="AU98" t="n">
        <v>3</v>
      </c>
      <c r="AV98" t="n">
        <v>15</v>
      </c>
      <c r="AW98" t="n">
        <v>23</v>
      </c>
      <c r="AX98" t="n">
        <v>3</v>
      </c>
      <c r="AY98" t="n">
        <v>23</v>
      </c>
      <c r="AZ98" t="n">
        <v>3</v>
      </c>
      <c r="BA98" t="n">
        <v>21</v>
      </c>
      <c r="BB98" t="n">
        <v>28</v>
      </c>
      <c r="BC98" t="n">
        <v>105</v>
      </c>
      <c r="BD98" t="n">
        <v>23</v>
      </c>
      <c r="BE98" t="n">
        <v>22</v>
      </c>
      <c r="BF98" t="n">
        <v>24</v>
      </c>
      <c r="BG98" t="n">
        <v>3</v>
      </c>
      <c r="BH98" t="n">
        <v>5</v>
      </c>
      <c r="BI98" t="n">
        <v>46</v>
      </c>
      <c r="BJ98" t="n">
        <v>42</v>
      </c>
      <c r="BK98" t="n">
        <v>2</v>
      </c>
      <c r="BL98" t="n">
        <v>1</v>
      </c>
      <c r="BM98" t="n">
        <v>14</v>
      </c>
      <c r="BN98" t="n">
        <v>8</v>
      </c>
      <c r="BO98" t="n">
        <v>28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154</v>
      </c>
      <c r="Z99" t="n">
        <v>203</v>
      </c>
      <c r="AA99" t="n">
        <v>49</v>
      </c>
      <c r="AB99" t="n">
        <v>0</v>
      </c>
      <c r="AC99" t="n">
        <v>0</v>
      </c>
      <c r="AD99" t="n">
        <v>1</v>
      </c>
      <c r="AE99" t="n">
        <v>0</v>
      </c>
      <c r="AF99" t="n">
        <v>5</v>
      </c>
      <c r="AG99" t="n">
        <v>0</v>
      </c>
      <c r="AH99" t="n">
        <v>11</v>
      </c>
      <c r="AI99" t="n">
        <v>2</v>
      </c>
      <c r="AJ99" t="n">
        <v>50</v>
      </c>
      <c r="AK99" t="n">
        <v>1</v>
      </c>
      <c r="AL99" t="n">
        <v>3</v>
      </c>
      <c r="AM99" t="n">
        <v>50</v>
      </c>
      <c r="AN99" t="n">
        <v>0</v>
      </c>
      <c r="AO99" t="n">
        <v>0</v>
      </c>
      <c r="AP99" t="n">
        <v>3</v>
      </c>
      <c r="AQ99" t="n">
        <v>21</v>
      </c>
      <c r="AR99" t="n">
        <v>89</v>
      </c>
      <c r="AS99" t="n">
        <v>71</v>
      </c>
      <c r="AT99" t="n">
        <v>2</v>
      </c>
      <c r="AU99" t="n">
        <v>1</v>
      </c>
      <c r="AV99" t="n">
        <v>55</v>
      </c>
      <c r="AW99" t="n">
        <v>7</v>
      </c>
      <c r="AX99" t="n">
        <v>2</v>
      </c>
      <c r="AY99" t="n">
        <v>68</v>
      </c>
      <c r="AZ99" t="n">
        <v>2</v>
      </c>
      <c r="BA99" t="n">
        <v>21</v>
      </c>
      <c r="BB99" t="n">
        <v>66</v>
      </c>
      <c r="BC99" t="n">
        <v>47</v>
      </c>
      <c r="BD99" t="n">
        <v>8</v>
      </c>
      <c r="BE99" t="n">
        <v>7</v>
      </c>
      <c r="BF99" t="n">
        <v>41</v>
      </c>
      <c r="BG99" t="n">
        <v>3</v>
      </c>
      <c r="BH99" t="n">
        <v>0</v>
      </c>
      <c r="BI99" t="n">
        <v>20</v>
      </c>
      <c r="BJ99" t="n">
        <v>18</v>
      </c>
      <c r="BK99" t="n">
        <v>1</v>
      </c>
      <c r="BL99" t="n">
        <v>42</v>
      </c>
      <c r="BM99" t="n">
        <v>30</v>
      </c>
      <c r="BN99" t="n">
        <v>2</v>
      </c>
      <c r="BO99" t="n">
        <v>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173</v>
      </c>
      <c r="Z100" t="n">
        <v>193</v>
      </c>
      <c r="AA100" t="n">
        <v>58</v>
      </c>
      <c r="AB100" t="n">
        <v>1</v>
      </c>
      <c r="AC100" t="n">
        <v>0</v>
      </c>
      <c r="AD100" t="n">
        <v>2</v>
      </c>
      <c r="AE100" t="n">
        <v>1</v>
      </c>
      <c r="AF100" t="n">
        <v>3</v>
      </c>
      <c r="AG100" t="n">
        <v>4</v>
      </c>
      <c r="AH100" t="n">
        <v>16</v>
      </c>
      <c r="AI100" t="n">
        <v>28</v>
      </c>
      <c r="AJ100" t="n">
        <v>34</v>
      </c>
      <c r="AK100" t="n">
        <v>66</v>
      </c>
      <c r="AL100" t="n">
        <v>3</v>
      </c>
      <c r="AM100" t="n">
        <v>25</v>
      </c>
      <c r="AN100" t="n">
        <v>0</v>
      </c>
      <c r="AO100" t="n">
        <v>0</v>
      </c>
      <c r="AP100" t="n">
        <v>4</v>
      </c>
      <c r="AQ100" t="n">
        <v>9</v>
      </c>
      <c r="AR100" t="n">
        <v>147</v>
      </c>
      <c r="AS100" t="n">
        <v>133</v>
      </c>
      <c r="AT100" t="n">
        <v>0</v>
      </c>
      <c r="AU100" t="n">
        <v>0</v>
      </c>
      <c r="AV100" t="n">
        <v>1</v>
      </c>
      <c r="AW100" t="n">
        <v>12</v>
      </c>
      <c r="AX100" t="n">
        <v>2</v>
      </c>
      <c r="AY100" t="n">
        <v>7</v>
      </c>
      <c r="AZ100" t="n">
        <v>1</v>
      </c>
      <c r="BA100" t="n">
        <v>45</v>
      </c>
      <c r="BB100" t="n">
        <v>103</v>
      </c>
      <c r="BC100" t="n">
        <v>20</v>
      </c>
      <c r="BD100" t="n">
        <v>18</v>
      </c>
      <c r="BE100" t="n">
        <v>12</v>
      </c>
      <c r="BF100" t="n">
        <v>42</v>
      </c>
      <c r="BG100" t="n">
        <v>0</v>
      </c>
      <c r="BH100" t="n">
        <v>21</v>
      </c>
      <c r="BI100" t="n">
        <v>4</v>
      </c>
      <c r="BJ100" t="n">
        <v>4</v>
      </c>
      <c r="BK100" t="n">
        <v>0</v>
      </c>
      <c r="BL100" t="n">
        <v>1</v>
      </c>
      <c r="BM100" t="n">
        <v>1</v>
      </c>
      <c r="BN100" t="n">
        <v>1</v>
      </c>
      <c r="BO100" t="n">
        <v>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240</v>
      </c>
      <c r="Z101" t="n">
        <v>135</v>
      </c>
      <c r="AA101" t="n">
        <v>34</v>
      </c>
      <c r="AB101" t="n">
        <v>1</v>
      </c>
      <c r="AC101" t="n">
        <v>0</v>
      </c>
      <c r="AD101" t="n">
        <v>4</v>
      </c>
      <c r="AE101" t="n">
        <v>8</v>
      </c>
      <c r="AF101" t="n">
        <v>2</v>
      </c>
      <c r="AG101" t="n">
        <v>1</v>
      </c>
      <c r="AH101" t="n">
        <v>72</v>
      </c>
      <c r="AI101" t="n">
        <v>51</v>
      </c>
      <c r="AJ101" t="n">
        <v>44</v>
      </c>
      <c r="AK101" t="n">
        <v>1</v>
      </c>
      <c r="AL101" t="n">
        <v>1</v>
      </c>
      <c r="AM101" t="n">
        <v>20</v>
      </c>
      <c r="AN101" t="n">
        <v>1</v>
      </c>
      <c r="AO101" t="n">
        <v>0</v>
      </c>
      <c r="AP101" t="n">
        <v>4</v>
      </c>
      <c r="AQ101" t="n">
        <v>50</v>
      </c>
      <c r="AR101" t="n">
        <v>107</v>
      </c>
      <c r="AS101" t="n">
        <v>66</v>
      </c>
      <c r="AT101" t="n">
        <v>1</v>
      </c>
      <c r="AU101" t="n">
        <v>1</v>
      </c>
      <c r="AV101" t="n">
        <v>1</v>
      </c>
      <c r="AW101" t="n">
        <v>8</v>
      </c>
      <c r="AX101" t="n">
        <v>0</v>
      </c>
      <c r="AY101" t="n">
        <v>76</v>
      </c>
      <c r="AZ101" t="n">
        <v>3</v>
      </c>
      <c r="BA101" t="n">
        <v>52</v>
      </c>
      <c r="BB101" t="n">
        <v>91</v>
      </c>
      <c r="BC101" t="n">
        <v>16</v>
      </c>
      <c r="BD101" t="n">
        <v>65</v>
      </c>
      <c r="BE101" t="n">
        <v>7</v>
      </c>
      <c r="BF101" t="n">
        <v>34</v>
      </c>
      <c r="BG101" t="n">
        <v>1</v>
      </c>
      <c r="BH101" t="n">
        <v>10</v>
      </c>
      <c r="BI101" t="n">
        <v>21</v>
      </c>
      <c r="BJ101" t="n">
        <v>18</v>
      </c>
      <c r="BK101" t="n">
        <v>1</v>
      </c>
      <c r="BL101" t="n">
        <v>14</v>
      </c>
      <c r="BM101" t="n">
        <v>12</v>
      </c>
      <c r="BN101" t="n">
        <v>2</v>
      </c>
      <c r="BO101" t="n">
        <v>2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207</v>
      </c>
      <c r="Z102" t="n">
        <v>115</v>
      </c>
      <c r="AA102" t="n">
        <v>3</v>
      </c>
      <c r="AB102" t="n">
        <v>2</v>
      </c>
      <c r="AC102" t="n">
        <v>1</v>
      </c>
      <c r="AD102" t="n">
        <v>7</v>
      </c>
      <c r="AE102" t="n">
        <v>3</v>
      </c>
      <c r="AF102" t="n">
        <v>0</v>
      </c>
      <c r="AG102" t="n">
        <v>2</v>
      </c>
      <c r="AH102" t="n">
        <v>21</v>
      </c>
      <c r="AI102" t="n">
        <v>16</v>
      </c>
      <c r="AJ102" t="n">
        <v>19</v>
      </c>
      <c r="AK102" t="n">
        <v>1</v>
      </c>
      <c r="AL102" t="n">
        <v>4</v>
      </c>
      <c r="AM102" t="n">
        <v>50</v>
      </c>
      <c r="AN102" t="n">
        <v>1</v>
      </c>
      <c r="AO102" t="n">
        <v>0</v>
      </c>
      <c r="AP102" t="n">
        <v>6</v>
      </c>
      <c r="AQ102" t="n">
        <v>73</v>
      </c>
      <c r="AR102" t="n">
        <v>183</v>
      </c>
      <c r="AS102" t="n">
        <v>118</v>
      </c>
      <c r="AT102" t="n">
        <v>4</v>
      </c>
      <c r="AU102" t="n">
        <v>1</v>
      </c>
      <c r="AV102" t="n">
        <v>42</v>
      </c>
      <c r="AW102" t="n">
        <v>4</v>
      </c>
      <c r="AX102" t="n">
        <v>0</v>
      </c>
      <c r="AY102" t="n">
        <v>9</v>
      </c>
      <c r="AZ102" t="n">
        <v>2</v>
      </c>
      <c r="BA102" t="n">
        <v>-4</v>
      </c>
      <c r="BB102" t="n">
        <v>3</v>
      </c>
      <c r="BC102" t="n">
        <v>41</v>
      </c>
      <c r="BD102" t="n">
        <v>22</v>
      </c>
      <c r="BE102" t="n">
        <v>7</v>
      </c>
      <c r="BF102" t="n">
        <v>15</v>
      </c>
      <c r="BG102" t="n">
        <v>4</v>
      </c>
      <c r="BH102" t="n">
        <v>6</v>
      </c>
      <c r="BI102" t="n">
        <v>28</v>
      </c>
      <c r="BJ102" t="n">
        <v>33</v>
      </c>
      <c r="BK102" t="n">
        <v>9</v>
      </c>
      <c r="BL102" t="n">
        <v>56</v>
      </c>
      <c r="BM102" t="n">
        <v>45</v>
      </c>
      <c r="BN102" t="n">
        <v>6</v>
      </c>
      <c r="BO102" t="n">
        <v>35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t="n">
        <v>144</v>
      </c>
      <c r="Z103" t="n">
        <v>205</v>
      </c>
      <c r="AA103" t="n">
        <v>36</v>
      </c>
      <c r="AB103" t="n">
        <v>2</v>
      </c>
      <c r="AC103" t="n">
        <v>1</v>
      </c>
      <c r="AD103" t="n">
        <v>4</v>
      </c>
      <c r="AE103" t="n">
        <v>7</v>
      </c>
      <c r="AF103" t="n">
        <v>1</v>
      </c>
      <c r="AG103" t="n">
        <v>5</v>
      </c>
      <c r="AH103" t="n">
        <v>16</v>
      </c>
      <c r="AI103" t="n">
        <v>72</v>
      </c>
      <c r="AJ103" t="n">
        <v>2</v>
      </c>
      <c r="AK103" t="n">
        <v>53</v>
      </c>
      <c r="AL103" t="n">
        <v>0</v>
      </c>
      <c r="AM103" t="n">
        <v>35</v>
      </c>
      <c r="AN103" t="n">
        <v>0</v>
      </c>
      <c r="AO103" t="n">
        <v>2</v>
      </c>
      <c r="AP103" t="n">
        <v>2</v>
      </c>
      <c r="AQ103" t="n">
        <v>33</v>
      </c>
      <c r="AR103" t="n">
        <v>79</v>
      </c>
      <c r="AS103" t="n">
        <v>51</v>
      </c>
      <c r="AT103" t="n">
        <v>1</v>
      </c>
      <c r="AU103" t="n">
        <v>1</v>
      </c>
      <c r="AV103" t="n">
        <v>12</v>
      </c>
      <c r="AW103" t="n">
        <v>11</v>
      </c>
      <c r="AX103" t="n">
        <v>0</v>
      </c>
      <c r="AY103" t="n">
        <v>41</v>
      </c>
      <c r="AZ103" t="n">
        <v>7</v>
      </c>
      <c r="BA103" t="n">
        <v>98</v>
      </c>
      <c r="BB103" t="n">
        <v>155</v>
      </c>
      <c r="BC103" t="n">
        <v>29</v>
      </c>
      <c r="BD103" t="n">
        <v>37</v>
      </c>
      <c r="BE103" t="n">
        <v>10</v>
      </c>
      <c r="BF103" t="n">
        <v>2</v>
      </c>
      <c r="BG103" t="n">
        <v>2</v>
      </c>
      <c r="BH103" t="n">
        <v>5</v>
      </c>
      <c r="BI103" t="n">
        <v>2</v>
      </c>
      <c r="BJ103" t="n">
        <v>1</v>
      </c>
      <c r="BK103" t="n">
        <v>0</v>
      </c>
      <c r="BL103" t="n">
        <v>1</v>
      </c>
      <c r="BM103" t="n">
        <v>2</v>
      </c>
      <c r="BN103" t="n">
        <v>0</v>
      </c>
      <c r="BO103" t="n">
        <v>32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297</v>
      </c>
      <c r="Z104" t="n">
        <v>171</v>
      </c>
      <c r="AA104" t="n">
        <v>60</v>
      </c>
      <c r="AB104" t="n">
        <v>1</v>
      </c>
      <c r="AC104" t="n">
        <v>2</v>
      </c>
      <c r="AD104" t="n">
        <v>5</v>
      </c>
      <c r="AE104" t="n">
        <v>3</v>
      </c>
      <c r="AF104" t="n">
        <v>3</v>
      </c>
      <c r="AG104" t="n">
        <v>2</v>
      </c>
      <c r="AH104" t="n">
        <v>133</v>
      </c>
      <c r="AI104" t="n">
        <v>31</v>
      </c>
      <c r="AJ104" t="n">
        <v>24</v>
      </c>
      <c r="AK104" t="n">
        <v>19</v>
      </c>
      <c r="AL104" t="n">
        <v>1</v>
      </c>
      <c r="AM104" t="n">
        <v>29</v>
      </c>
      <c r="AN104" t="n">
        <v>0</v>
      </c>
      <c r="AO104" t="n">
        <v>0</v>
      </c>
      <c r="AP104" t="n">
        <v>1</v>
      </c>
      <c r="AQ104" t="n">
        <v>21</v>
      </c>
      <c r="AR104" t="n">
        <v>333</v>
      </c>
      <c r="AS104" t="n">
        <v>326</v>
      </c>
      <c r="AT104" t="n">
        <v>4</v>
      </c>
      <c r="AU104" t="n">
        <v>2</v>
      </c>
      <c r="AV104" t="n">
        <v>43</v>
      </c>
      <c r="AW104" t="n">
        <v>8</v>
      </c>
      <c r="AX104" t="n">
        <v>1</v>
      </c>
      <c r="AY104" t="n">
        <v>35</v>
      </c>
      <c r="AZ104" t="n">
        <v>0</v>
      </c>
      <c r="BA104" t="n">
        <v>5</v>
      </c>
      <c r="BB104" t="n">
        <v>61</v>
      </c>
      <c r="BC104" t="n">
        <v>24</v>
      </c>
      <c r="BD104" t="n">
        <v>127</v>
      </c>
      <c r="BE104" t="n">
        <v>7</v>
      </c>
      <c r="BF104" t="n">
        <v>20</v>
      </c>
      <c r="BG104" t="n">
        <v>2</v>
      </c>
      <c r="BH104" t="n">
        <v>6</v>
      </c>
      <c r="BI104" t="n">
        <v>19</v>
      </c>
      <c r="BJ104" t="n">
        <v>17</v>
      </c>
      <c r="BK104" t="n">
        <v>0</v>
      </c>
      <c r="BL104" t="n">
        <v>1</v>
      </c>
      <c r="BM104" t="n">
        <v>31</v>
      </c>
      <c r="BN104" t="n">
        <v>18</v>
      </c>
      <c r="BO104" t="n">
        <v>9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209</v>
      </c>
      <c r="Z105" t="n">
        <v>152</v>
      </c>
      <c r="AA105" t="n">
        <v>24</v>
      </c>
      <c r="AB105" t="n">
        <v>1</v>
      </c>
      <c r="AC105" t="n">
        <v>0</v>
      </c>
      <c r="AD105" t="n">
        <v>2</v>
      </c>
      <c r="AE105" t="n">
        <v>0</v>
      </c>
      <c r="AF105" t="n">
        <v>3</v>
      </c>
      <c r="AG105" t="n">
        <v>2</v>
      </c>
      <c r="AH105" t="n">
        <v>42</v>
      </c>
      <c r="AI105" t="n">
        <v>2</v>
      </c>
      <c r="AJ105" t="n">
        <v>58</v>
      </c>
      <c r="AK105" t="n">
        <v>41</v>
      </c>
      <c r="AL105" t="n">
        <v>5</v>
      </c>
      <c r="AM105" t="n">
        <v>42</v>
      </c>
      <c r="AN105" t="n">
        <v>1</v>
      </c>
      <c r="AO105" t="n">
        <v>0</v>
      </c>
      <c r="AP105" t="n">
        <v>2</v>
      </c>
      <c r="AQ105" t="n">
        <v>-5</v>
      </c>
      <c r="AR105" t="n">
        <v>65</v>
      </c>
      <c r="AS105" t="n">
        <v>64</v>
      </c>
      <c r="AT105" t="n">
        <v>2</v>
      </c>
      <c r="AU105" t="n">
        <v>1</v>
      </c>
      <c r="AV105" t="n">
        <v>46</v>
      </c>
      <c r="AW105" t="n">
        <v>11</v>
      </c>
      <c r="AX105" t="n">
        <v>0</v>
      </c>
      <c r="AY105" t="n">
        <v>5</v>
      </c>
      <c r="AZ105" t="n">
        <v>0</v>
      </c>
      <c r="BA105" t="n">
        <v>1</v>
      </c>
      <c r="BB105" t="n">
        <v>24</v>
      </c>
      <c r="BC105" t="n">
        <v>36</v>
      </c>
      <c r="BD105" t="n">
        <v>43</v>
      </c>
      <c r="BE105" t="n">
        <v>10</v>
      </c>
      <c r="BF105" t="n">
        <v>46</v>
      </c>
      <c r="BG105" t="n">
        <v>2</v>
      </c>
      <c r="BH105" t="n">
        <v>10</v>
      </c>
      <c r="BI105" t="n">
        <v>9</v>
      </c>
      <c r="BJ105" t="n">
        <v>11</v>
      </c>
      <c r="BK105" t="n">
        <v>2</v>
      </c>
      <c r="BL105" t="n">
        <v>1</v>
      </c>
      <c r="BM105" t="n">
        <v>3</v>
      </c>
      <c r="BN105" t="n">
        <v>1</v>
      </c>
      <c r="BO105" t="n">
        <v>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177</v>
      </c>
      <c r="Z106" t="n">
        <v>281</v>
      </c>
      <c r="AA106" t="n">
        <v>91</v>
      </c>
      <c r="AB106" t="n">
        <v>1</v>
      </c>
      <c r="AC106" t="n">
        <v>0</v>
      </c>
      <c r="AD106" t="n">
        <v>6</v>
      </c>
      <c r="AE106" t="n">
        <v>9</v>
      </c>
      <c r="AF106" t="n">
        <v>1</v>
      </c>
      <c r="AG106" t="n">
        <v>4</v>
      </c>
      <c r="AH106" t="n">
        <v>37</v>
      </c>
      <c r="AI106" t="n">
        <v>81</v>
      </c>
      <c r="AJ106" t="n">
        <v>24</v>
      </c>
      <c r="AK106" t="n">
        <v>19</v>
      </c>
      <c r="AL106" t="n">
        <v>4</v>
      </c>
      <c r="AM106" t="n">
        <v>50</v>
      </c>
      <c r="AN106" t="n">
        <v>0</v>
      </c>
      <c r="AO106" t="n">
        <v>0</v>
      </c>
      <c r="AP106" t="n">
        <v>2</v>
      </c>
      <c r="AQ106" t="n">
        <v>13</v>
      </c>
      <c r="AR106" t="n">
        <v>61</v>
      </c>
      <c r="AS106" t="n">
        <v>49</v>
      </c>
      <c r="AT106" t="n">
        <v>3</v>
      </c>
      <c r="AU106" t="n">
        <v>3</v>
      </c>
      <c r="AV106" t="n">
        <v>9</v>
      </c>
      <c r="AW106" t="n">
        <v>24</v>
      </c>
      <c r="AX106" t="n">
        <v>10</v>
      </c>
      <c r="AY106" t="n">
        <v>15</v>
      </c>
      <c r="AZ106" t="n">
        <v>4</v>
      </c>
      <c r="BA106" t="n">
        <v>47</v>
      </c>
      <c r="BB106" t="n">
        <v>136</v>
      </c>
      <c r="BC106" t="n">
        <v>41</v>
      </c>
      <c r="BD106" t="n">
        <v>41</v>
      </c>
      <c r="BE106" t="n">
        <v>24</v>
      </c>
      <c r="BF106" t="n">
        <v>38</v>
      </c>
      <c r="BG106" t="n">
        <v>4</v>
      </c>
      <c r="BH106" t="n">
        <v>6</v>
      </c>
      <c r="BI106" t="n">
        <v>33</v>
      </c>
      <c r="BJ106" t="n">
        <v>46</v>
      </c>
      <c r="BK106" t="n">
        <v>5</v>
      </c>
      <c r="BL106" t="n">
        <v>60</v>
      </c>
      <c r="BM106" t="n">
        <v>41</v>
      </c>
      <c r="BN106" t="n">
        <v>1</v>
      </c>
      <c r="BO106" t="n">
        <v>-10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314</v>
      </c>
      <c r="Z107" t="n">
        <v>353</v>
      </c>
      <c r="AA107" t="n">
        <v>38</v>
      </c>
      <c r="AB107" t="n">
        <v>1</v>
      </c>
      <c r="AC107" t="n">
        <v>2</v>
      </c>
      <c r="AD107" t="n">
        <v>3</v>
      </c>
      <c r="AE107" t="n">
        <v>11</v>
      </c>
      <c r="AF107" t="n">
        <v>5</v>
      </c>
      <c r="AG107" t="n">
        <v>9</v>
      </c>
      <c r="AH107" t="n">
        <v>18</v>
      </c>
      <c r="AI107" t="n">
        <v>140</v>
      </c>
      <c r="AJ107" t="n">
        <v>57</v>
      </c>
      <c r="AK107" t="n">
        <v>105</v>
      </c>
      <c r="AL107" t="n">
        <v>2</v>
      </c>
      <c r="AM107" t="n">
        <v>13</v>
      </c>
      <c r="AN107" t="n">
        <v>0</v>
      </c>
      <c r="AO107" t="n">
        <v>0</v>
      </c>
      <c r="AP107" t="n">
        <v>1</v>
      </c>
      <c r="AQ107" t="n">
        <v>-2</v>
      </c>
      <c r="AR107" t="n">
        <v>79</v>
      </c>
      <c r="AS107" t="n">
        <v>75</v>
      </c>
      <c r="AT107" t="n">
        <v>5</v>
      </c>
      <c r="AU107" t="n">
        <v>1</v>
      </c>
      <c r="AV107" t="n">
        <v>42</v>
      </c>
      <c r="AW107" t="n">
        <v>29</v>
      </c>
      <c r="AX107" t="n">
        <v>0</v>
      </c>
      <c r="AY107" t="n">
        <v>18</v>
      </c>
      <c r="AZ107" t="n">
        <v>6</v>
      </c>
      <c r="BA107" t="n">
        <v>54</v>
      </c>
      <c r="BB107" t="n">
        <v>97</v>
      </c>
      <c r="BC107" t="n">
        <v>11</v>
      </c>
      <c r="BD107" t="n">
        <v>56</v>
      </c>
      <c r="BE107" t="n">
        <v>29</v>
      </c>
      <c r="BF107" t="n">
        <v>48</v>
      </c>
      <c r="BG107" t="n">
        <v>8</v>
      </c>
      <c r="BH107" t="n">
        <v>6</v>
      </c>
      <c r="BI107" t="n">
        <v>121</v>
      </c>
      <c r="BJ107" t="n">
        <v>110</v>
      </c>
      <c r="BK107" t="n">
        <v>4</v>
      </c>
      <c r="BL107" t="n">
        <v>37</v>
      </c>
      <c r="BM107" t="n">
        <v>35</v>
      </c>
      <c r="BN107" t="n">
        <v>8</v>
      </c>
      <c r="BO107" t="n">
        <v>68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2</v>
      </c>
      <c r="U108" t="n">
        <v>1</v>
      </c>
      <c r="V108" t="n">
        <v>0</v>
      </c>
      <c r="W108" t="n">
        <v>0</v>
      </c>
      <c r="X108" t="n">
        <v>0</v>
      </c>
      <c r="Y108" t="n">
        <v>199</v>
      </c>
      <c r="Z108" t="n">
        <v>207</v>
      </c>
      <c r="AA108" t="n">
        <v>69</v>
      </c>
      <c r="AB108" t="n">
        <v>3</v>
      </c>
      <c r="AC108" t="n">
        <v>2</v>
      </c>
      <c r="AD108" t="n">
        <v>7</v>
      </c>
      <c r="AE108" t="n">
        <v>1</v>
      </c>
      <c r="AF108" t="n">
        <v>2</v>
      </c>
      <c r="AG108" t="n">
        <v>0</v>
      </c>
      <c r="AH108" t="n">
        <v>52</v>
      </c>
      <c r="AI108" t="n">
        <v>25</v>
      </c>
      <c r="AJ108" t="n">
        <v>45</v>
      </c>
      <c r="AK108" t="n">
        <v>13</v>
      </c>
      <c r="AL108" t="n">
        <v>5</v>
      </c>
      <c r="AM108" t="n">
        <v>74</v>
      </c>
      <c r="AN108" t="n">
        <v>0</v>
      </c>
      <c r="AO108" t="n">
        <v>0</v>
      </c>
      <c r="AP108" t="n">
        <v>2</v>
      </c>
      <c r="AQ108" t="n">
        <v>4</v>
      </c>
      <c r="AR108" t="n">
        <v>127</v>
      </c>
      <c r="AS108" t="n">
        <v>116</v>
      </c>
      <c r="AT108" t="n">
        <v>1</v>
      </c>
      <c r="AU108" t="n">
        <v>1</v>
      </c>
      <c r="AV108" t="n">
        <v>21</v>
      </c>
      <c r="AW108" t="n">
        <v>1</v>
      </c>
      <c r="AX108" t="n">
        <v>0</v>
      </c>
      <c r="AY108" t="n">
        <v>36</v>
      </c>
      <c r="AZ108" t="n">
        <v>4</v>
      </c>
      <c r="BA108" t="n">
        <v>23</v>
      </c>
      <c r="BB108" t="n">
        <v>89</v>
      </c>
      <c r="BC108" t="n">
        <v>62</v>
      </c>
      <c r="BD108" t="n">
        <v>47</v>
      </c>
      <c r="BE108" t="n">
        <v>1</v>
      </c>
      <c r="BF108" t="n">
        <v>40</v>
      </c>
      <c r="BG108" t="n">
        <v>0</v>
      </c>
      <c r="BH108" t="n">
        <v>0</v>
      </c>
      <c r="BI108" t="n">
        <v>19</v>
      </c>
      <c r="BJ108" t="n">
        <v>28</v>
      </c>
      <c r="BK108" t="n">
        <v>5</v>
      </c>
      <c r="BL108" t="n">
        <v>19</v>
      </c>
      <c r="BM108" t="n">
        <v>52</v>
      </c>
      <c r="BN108" t="n">
        <v>26</v>
      </c>
      <c r="BO108" t="n">
        <v>75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170</v>
      </c>
      <c r="Z109" t="n">
        <v>165</v>
      </c>
      <c r="AA109" t="n">
        <v>34</v>
      </c>
      <c r="AB109" t="n">
        <v>0</v>
      </c>
      <c r="AC109" t="n">
        <v>1</v>
      </c>
      <c r="AD109" t="n">
        <v>1</v>
      </c>
      <c r="AE109" t="n">
        <v>6</v>
      </c>
      <c r="AF109" t="n">
        <v>2</v>
      </c>
      <c r="AG109" t="n">
        <v>3</v>
      </c>
      <c r="AH109" t="n">
        <v>2</v>
      </c>
      <c r="AI109" t="n">
        <v>39</v>
      </c>
      <c r="AJ109" t="n">
        <v>22</v>
      </c>
      <c r="AK109" t="n">
        <v>24</v>
      </c>
      <c r="AL109" t="n">
        <v>0</v>
      </c>
      <c r="AM109" t="n">
        <v>14</v>
      </c>
      <c r="AN109" t="n">
        <v>0</v>
      </c>
      <c r="AO109" t="n">
        <v>1</v>
      </c>
      <c r="AP109" t="n">
        <v>3</v>
      </c>
      <c r="AQ109" t="n">
        <v>15</v>
      </c>
      <c r="AR109" t="n">
        <v>30</v>
      </c>
      <c r="AS109" t="n">
        <v>19</v>
      </c>
      <c r="AT109" t="n">
        <v>1</v>
      </c>
      <c r="AU109" t="n">
        <v>1</v>
      </c>
      <c r="AV109" t="n">
        <v>6</v>
      </c>
      <c r="AW109" t="n">
        <v>37</v>
      </c>
      <c r="AX109" t="n">
        <v>0</v>
      </c>
      <c r="AY109" t="n">
        <v>52</v>
      </c>
      <c r="AZ109" t="n">
        <v>3</v>
      </c>
      <c r="BA109" t="n">
        <v>23</v>
      </c>
      <c r="BB109" t="n">
        <v>56</v>
      </c>
      <c r="BC109" t="n">
        <v>11</v>
      </c>
      <c r="BD109" t="n">
        <v>9</v>
      </c>
      <c r="BE109" t="n">
        <v>41</v>
      </c>
      <c r="BF109" t="n">
        <v>17</v>
      </c>
      <c r="BG109" t="n">
        <v>1</v>
      </c>
      <c r="BH109" t="n">
        <v>19</v>
      </c>
      <c r="BI109" t="n">
        <v>33</v>
      </c>
      <c r="BJ109" t="n">
        <v>30</v>
      </c>
      <c r="BK109" t="n">
        <v>0</v>
      </c>
      <c r="BL109" t="n">
        <v>1</v>
      </c>
      <c r="BM109" t="n">
        <v>48</v>
      </c>
      <c r="BN109" t="n">
        <v>29</v>
      </c>
      <c r="BO109" t="n">
        <v>-3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162</v>
      </c>
      <c r="Z110" t="n">
        <v>189</v>
      </c>
      <c r="AA110" t="n">
        <v>177</v>
      </c>
      <c r="AB110" t="n">
        <v>0</v>
      </c>
      <c r="AC110" t="n">
        <v>1</v>
      </c>
      <c r="AD110" t="n">
        <v>3</v>
      </c>
      <c r="AE110" t="n">
        <v>3</v>
      </c>
      <c r="AF110" t="n">
        <v>4</v>
      </c>
      <c r="AG110" t="n">
        <v>1</v>
      </c>
      <c r="AH110" t="n">
        <v>26</v>
      </c>
      <c r="AI110" t="n">
        <v>48</v>
      </c>
      <c r="AJ110" t="n">
        <v>27</v>
      </c>
      <c r="AK110" t="n">
        <v>18</v>
      </c>
      <c r="AL110" t="n">
        <v>6</v>
      </c>
      <c r="AM110" t="n">
        <v>65</v>
      </c>
      <c r="AN110" t="n">
        <v>0</v>
      </c>
      <c r="AO110" t="n">
        <v>0</v>
      </c>
      <c r="AP110" t="n">
        <v>1</v>
      </c>
      <c r="AQ110" t="n">
        <v>1</v>
      </c>
      <c r="AR110" t="n">
        <v>144</v>
      </c>
      <c r="AS110" t="n">
        <v>134</v>
      </c>
      <c r="AT110" t="n">
        <v>5</v>
      </c>
      <c r="AU110" t="n">
        <v>0</v>
      </c>
      <c r="AV110" t="n">
        <v>30</v>
      </c>
      <c r="AW110" t="n">
        <v>10</v>
      </c>
      <c r="AX110" t="n">
        <v>0</v>
      </c>
      <c r="AY110" t="n">
        <v>33</v>
      </c>
      <c r="AZ110" t="n">
        <v>2</v>
      </c>
      <c r="BA110" t="n">
        <v>26</v>
      </c>
      <c r="BB110" t="n">
        <v>186</v>
      </c>
      <c r="BC110" t="n">
        <v>54</v>
      </c>
      <c r="BD110" t="n">
        <v>23</v>
      </c>
      <c r="BE110" t="n">
        <v>9</v>
      </c>
      <c r="BF110" t="n">
        <v>21</v>
      </c>
      <c r="BG110" t="n">
        <v>4</v>
      </c>
      <c r="BH110" t="n">
        <v>6</v>
      </c>
      <c r="BI110" t="n">
        <v>72</v>
      </c>
      <c r="BJ110" t="n">
        <v>66</v>
      </c>
      <c r="BK110" t="n">
        <v>0</v>
      </c>
      <c r="BL110" t="n">
        <v>1</v>
      </c>
      <c r="BM110" t="n">
        <v>1</v>
      </c>
      <c r="BN110" t="n">
        <v>0</v>
      </c>
      <c r="BO110" t="n">
        <v>14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380</v>
      </c>
      <c r="Z111" t="n">
        <v>134</v>
      </c>
      <c r="AA111" t="n">
        <v>22</v>
      </c>
      <c r="AB111" t="n">
        <v>2</v>
      </c>
      <c r="AC111" t="n">
        <v>3</v>
      </c>
      <c r="AD111" t="n">
        <v>1</v>
      </c>
      <c r="AE111" t="n">
        <v>7</v>
      </c>
      <c r="AF111" t="n">
        <v>6</v>
      </c>
      <c r="AG111" t="n">
        <v>6</v>
      </c>
      <c r="AH111" t="n">
        <v>42</v>
      </c>
      <c r="AI111" t="n">
        <v>44</v>
      </c>
      <c r="AJ111" t="n">
        <v>93</v>
      </c>
      <c r="AK111" t="n">
        <v>68</v>
      </c>
      <c r="AL111" t="n">
        <v>0</v>
      </c>
      <c r="AM111" t="n">
        <v>27</v>
      </c>
      <c r="AN111" t="n">
        <v>0</v>
      </c>
      <c r="AO111" t="n">
        <v>0</v>
      </c>
      <c r="AP111" t="n">
        <v>5</v>
      </c>
      <c r="AQ111" t="n">
        <v>33</v>
      </c>
      <c r="AR111" t="n">
        <v>86</v>
      </c>
      <c r="AS111" t="n">
        <v>57</v>
      </c>
      <c r="AT111" t="n">
        <v>7</v>
      </c>
      <c r="AU111" t="n">
        <v>1</v>
      </c>
      <c r="AV111" t="n">
        <v>114</v>
      </c>
      <c r="AW111" t="n">
        <v>9</v>
      </c>
      <c r="AX111" t="n">
        <v>5</v>
      </c>
      <c r="AY111" t="n">
        <v>13</v>
      </c>
      <c r="AZ111" t="n">
        <v>1</v>
      </c>
      <c r="BA111" t="n">
        <v>14</v>
      </c>
      <c r="BB111" t="n">
        <v>35</v>
      </c>
      <c r="BC111" t="n">
        <v>28</v>
      </c>
      <c r="BD111" t="n">
        <v>37</v>
      </c>
      <c r="BE111" t="n">
        <v>9</v>
      </c>
      <c r="BF111" t="n">
        <v>74</v>
      </c>
      <c r="BG111" t="n">
        <v>1</v>
      </c>
      <c r="BH111" t="n">
        <v>19</v>
      </c>
      <c r="BI111" t="n">
        <v>8</v>
      </c>
      <c r="BJ111" t="n">
        <v>49</v>
      </c>
      <c r="BK111" t="n">
        <v>2</v>
      </c>
      <c r="BL111" t="n">
        <v>20</v>
      </c>
      <c r="BM111" t="n">
        <v>36</v>
      </c>
      <c r="BN111" t="n">
        <v>15</v>
      </c>
      <c r="BO111" t="n">
        <v>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200</v>
      </c>
      <c r="Z112" t="n">
        <v>201</v>
      </c>
      <c r="AA112" t="n">
        <v>103</v>
      </c>
      <c r="AB112" t="n">
        <v>4</v>
      </c>
      <c r="AC112" t="n">
        <v>0</v>
      </c>
      <c r="AD112" t="n">
        <v>1</v>
      </c>
      <c r="AE112" t="n">
        <v>2</v>
      </c>
      <c r="AF112" t="n">
        <v>5</v>
      </c>
      <c r="AG112" t="n">
        <v>5</v>
      </c>
      <c r="AH112" t="n">
        <v>2</v>
      </c>
      <c r="AI112" t="n">
        <v>18</v>
      </c>
      <c r="AJ112" t="n">
        <v>50</v>
      </c>
      <c r="AK112" t="n">
        <v>50</v>
      </c>
      <c r="AL112" t="n">
        <v>4</v>
      </c>
      <c r="AM112" t="n">
        <v>64</v>
      </c>
      <c r="AN112" t="n">
        <v>0</v>
      </c>
      <c r="AO112" t="n">
        <v>0</v>
      </c>
      <c r="AP112" t="n">
        <v>5</v>
      </c>
      <c r="AQ112" t="n">
        <v>15</v>
      </c>
      <c r="AR112" t="n">
        <v>145</v>
      </c>
      <c r="AS112" t="n">
        <v>128</v>
      </c>
      <c r="AT112" t="n">
        <v>1</v>
      </c>
      <c r="AU112" t="n">
        <v>1</v>
      </c>
      <c r="AV112" t="n">
        <v>10</v>
      </c>
      <c r="AW112" t="n">
        <v>9</v>
      </c>
      <c r="AX112" t="n">
        <v>7</v>
      </c>
      <c r="AY112" t="n">
        <v>8</v>
      </c>
      <c r="AZ112" t="n">
        <v>1</v>
      </c>
      <c r="BA112" t="n">
        <v>21</v>
      </c>
      <c r="BB112" t="n">
        <v>118</v>
      </c>
      <c r="BC112" t="n">
        <v>57</v>
      </c>
      <c r="BD112" t="n">
        <v>4</v>
      </c>
      <c r="BE112" t="n">
        <v>17</v>
      </c>
      <c r="BF112" t="n">
        <v>61</v>
      </c>
      <c r="BG112" t="n">
        <v>0</v>
      </c>
      <c r="BH112" t="n">
        <v>19</v>
      </c>
      <c r="BI112" t="n">
        <v>1</v>
      </c>
      <c r="BJ112" t="n">
        <v>8</v>
      </c>
      <c r="BK112" t="n">
        <v>0</v>
      </c>
      <c r="BL112" t="n">
        <v>1</v>
      </c>
      <c r="BM112" t="n">
        <v>29</v>
      </c>
      <c r="BN112" t="n">
        <v>17</v>
      </c>
      <c r="BO112" t="n">
        <v>2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186</v>
      </c>
      <c r="Z113" t="n">
        <v>368</v>
      </c>
      <c r="AA113" t="n">
        <v>38</v>
      </c>
      <c r="AB113" t="n">
        <v>1</v>
      </c>
      <c r="AC113" t="n">
        <v>1</v>
      </c>
      <c r="AD113" t="n">
        <v>1</v>
      </c>
      <c r="AE113" t="n">
        <v>7</v>
      </c>
      <c r="AF113" t="n">
        <v>3</v>
      </c>
      <c r="AG113" t="n">
        <v>5</v>
      </c>
      <c r="AH113" t="n">
        <v>11</v>
      </c>
      <c r="AI113" t="n">
        <v>105</v>
      </c>
      <c r="AJ113" t="n">
        <v>29</v>
      </c>
      <c r="AK113" t="n">
        <v>42</v>
      </c>
      <c r="AL113" t="n">
        <v>3</v>
      </c>
      <c r="AM113" t="n">
        <v>29</v>
      </c>
      <c r="AN113" t="n">
        <v>0</v>
      </c>
      <c r="AO113" t="n">
        <v>0</v>
      </c>
      <c r="AP113" t="n">
        <v>5</v>
      </c>
      <c r="AQ113" t="n">
        <v>26</v>
      </c>
      <c r="AR113" t="n">
        <v>82</v>
      </c>
      <c r="AS113" t="n">
        <v>61</v>
      </c>
      <c r="AT113" t="n">
        <v>0</v>
      </c>
      <c r="AU113" t="n">
        <v>2</v>
      </c>
      <c r="AV113" t="n">
        <v>3</v>
      </c>
      <c r="AW113" t="n">
        <v>37</v>
      </c>
      <c r="AX113" t="n">
        <v>7</v>
      </c>
      <c r="AY113" t="n">
        <v>19</v>
      </c>
      <c r="AZ113" t="n">
        <v>4</v>
      </c>
      <c r="BA113" t="n">
        <v>47</v>
      </c>
      <c r="BB113" t="n">
        <v>87</v>
      </c>
      <c r="BC113" t="n">
        <v>74</v>
      </c>
      <c r="BD113" t="n">
        <v>19</v>
      </c>
      <c r="BE113" t="n">
        <v>37</v>
      </c>
      <c r="BF113" t="n">
        <v>23</v>
      </c>
      <c r="BG113" t="n">
        <v>6</v>
      </c>
      <c r="BH113" t="n">
        <v>6</v>
      </c>
      <c r="BI113" t="n">
        <v>69</v>
      </c>
      <c r="BJ113" t="n">
        <v>72</v>
      </c>
      <c r="BK113" t="n">
        <v>2</v>
      </c>
      <c r="BL113" t="n">
        <v>20</v>
      </c>
      <c r="BM113" t="n">
        <v>13</v>
      </c>
      <c r="BN113" t="n">
        <v>0</v>
      </c>
      <c r="BO113" t="n">
        <v>51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189</v>
      </c>
      <c r="Z114" t="n">
        <v>174</v>
      </c>
      <c r="AA114" t="n">
        <v>47</v>
      </c>
      <c r="AB114" t="n">
        <v>0</v>
      </c>
      <c r="AC114" t="n">
        <v>0</v>
      </c>
      <c r="AD114" t="n">
        <v>2</v>
      </c>
      <c r="AE114" t="n">
        <v>7</v>
      </c>
      <c r="AF114" t="n">
        <v>2</v>
      </c>
      <c r="AG114" t="n">
        <v>6</v>
      </c>
      <c r="AH114" t="n">
        <v>11</v>
      </c>
      <c r="AI114" t="n">
        <v>39</v>
      </c>
      <c r="AJ114" t="n">
        <v>51</v>
      </c>
      <c r="AK114" t="n">
        <v>27</v>
      </c>
      <c r="AL114" t="n">
        <v>3</v>
      </c>
      <c r="AM114" t="n">
        <v>35</v>
      </c>
      <c r="AN114" t="n">
        <v>0</v>
      </c>
      <c r="AO114" t="n">
        <v>0</v>
      </c>
      <c r="AP114" t="n">
        <v>4</v>
      </c>
      <c r="AQ114" t="n">
        <v>16</v>
      </c>
      <c r="AR114" t="n">
        <v>112</v>
      </c>
      <c r="AS114" t="n">
        <v>96</v>
      </c>
      <c r="AT114" t="n">
        <v>2</v>
      </c>
      <c r="AU114" t="n">
        <v>0</v>
      </c>
      <c r="AV114" t="n">
        <v>15</v>
      </c>
      <c r="AW114" t="n">
        <v>10</v>
      </c>
      <c r="AX114" t="n">
        <v>0</v>
      </c>
      <c r="AY114" t="n">
        <v>40</v>
      </c>
      <c r="AZ114" t="n">
        <v>4</v>
      </c>
      <c r="BA114" t="n">
        <v>12</v>
      </c>
      <c r="BB114" t="n">
        <v>57</v>
      </c>
      <c r="BC114" t="n">
        <v>29</v>
      </c>
      <c r="BD114" t="n">
        <v>9</v>
      </c>
      <c r="BE114" t="n">
        <v>20</v>
      </c>
      <c r="BF114" t="n">
        <v>43</v>
      </c>
      <c r="BG114" t="n">
        <v>0</v>
      </c>
      <c r="BH114" t="n">
        <v>15</v>
      </c>
      <c r="BI114" t="n">
        <v>45</v>
      </c>
      <c r="BJ114" t="n">
        <v>40</v>
      </c>
      <c r="BK114" t="n">
        <v>3</v>
      </c>
      <c r="BL114" t="n">
        <v>11</v>
      </c>
      <c r="BM114" t="n">
        <v>8</v>
      </c>
      <c r="BN114" t="n">
        <v>0</v>
      </c>
      <c r="BO114" t="n">
        <v>16</v>
      </c>
    </row>
    <row r="115">
      <c r="A115" t="n">
        <v>0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234</v>
      </c>
      <c r="Z115" t="n">
        <v>328</v>
      </c>
      <c r="AA115" t="n">
        <v>61</v>
      </c>
      <c r="AB115" t="n">
        <v>3</v>
      </c>
      <c r="AC115" t="n">
        <v>1</v>
      </c>
      <c r="AD115" t="n">
        <v>7</v>
      </c>
      <c r="AE115" t="n">
        <v>13</v>
      </c>
      <c r="AF115" t="n">
        <v>5</v>
      </c>
      <c r="AG115" t="n">
        <v>5</v>
      </c>
      <c r="AH115" t="n">
        <v>57</v>
      </c>
      <c r="AI115" t="n">
        <v>99</v>
      </c>
      <c r="AJ115" t="n">
        <v>81</v>
      </c>
      <c r="AK115" t="n">
        <v>30</v>
      </c>
      <c r="AL115" t="n">
        <v>5</v>
      </c>
      <c r="AM115" t="n">
        <v>53</v>
      </c>
      <c r="AN115" t="n">
        <v>0</v>
      </c>
      <c r="AO115" t="n">
        <v>0</v>
      </c>
      <c r="AP115" t="n">
        <v>2</v>
      </c>
      <c r="AQ115" t="n">
        <v>13</v>
      </c>
      <c r="AR115" t="n">
        <v>51</v>
      </c>
      <c r="AS115" t="n">
        <v>39</v>
      </c>
      <c r="AT115" t="n">
        <v>3</v>
      </c>
      <c r="AU115" t="n">
        <v>3</v>
      </c>
      <c r="AV115" t="n">
        <v>38</v>
      </c>
      <c r="AW115" t="n">
        <v>10</v>
      </c>
      <c r="AX115" t="n">
        <v>12</v>
      </c>
      <c r="AY115" t="n">
        <v>32</v>
      </c>
      <c r="AZ115" t="n">
        <v>4</v>
      </c>
      <c r="BA115" t="n">
        <v>46</v>
      </c>
      <c r="BB115" t="n">
        <v>107</v>
      </c>
      <c r="BC115" t="n">
        <v>48</v>
      </c>
      <c r="BD115" t="n">
        <v>57</v>
      </c>
      <c r="BE115" t="n">
        <v>10</v>
      </c>
      <c r="BF115" t="n">
        <v>70</v>
      </c>
      <c r="BG115" t="n">
        <v>2</v>
      </c>
      <c r="BH115" t="n">
        <v>6</v>
      </c>
      <c r="BI115" t="n">
        <v>40</v>
      </c>
      <c r="BJ115" t="n">
        <v>36</v>
      </c>
      <c r="BK115" t="n">
        <v>5</v>
      </c>
      <c r="BL115" t="n">
        <v>30</v>
      </c>
      <c r="BM115" t="n">
        <v>31</v>
      </c>
      <c r="BN115" t="n">
        <v>8</v>
      </c>
      <c r="BO115" t="n">
        <v>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355</v>
      </c>
      <c r="Z116" t="n">
        <v>120</v>
      </c>
      <c r="AA116" t="n">
        <v>56</v>
      </c>
      <c r="AB116" t="n">
        <v>0</v>
      </c>
      <c r="AC116" t="n">
        <v>2</v>
      </c>
      <c r="AD116" t="n">
        <v>5</v>
      </c>
      <c r="AE116" t="n">
        <v>1</v>
      </c>
      <c r="AF116" t="n">
        <v>7</v>
      </c>
      <c r="AG116" t="n">
        <v>3</v>
      </c>
      <c r="AH116" t="n">
        <v>77</v>
      </c>
      <c r="AI116" t="n">
        <v>20</v>
      </c>
      <c r="AJ116" t="n">
        <v>117</v>
      </c>
      <c r="AK116" t="n">
        <v>47</v>
      </c>
      <c r="AL116" t="n">
        <v>3</v>
      </c>
      <c r="AM116" t="n">
        <v>44</v>
      </c>
      <c r="AN116" t="n">
        <v>0</v>
      </c>
      <c r="AO116" t="n">
        <v>0</v>
      </c>
      <c r="AP116" t="n">
        <v>4</v>
      </c>
      <c r="AQ116" t="n">
        <v>56</v>
      </c>
      <c r="AR116" t="n">
        <v>135</v>
      </c>
      <c r="AS116" t="n">
        <v>87</v>
      </c>
      <c r="AT116" t="n">
        <v>0</v>
      </c>
      <c r="AU116" t="n">
        <v>1</v>
      </c>
      <c r="AV116" t="n">
        <v>4</v>
      </c>
      <c r="AW116" t="n">
        <v>24</v>
      </c>
      <c r="AX116" t="n">
        <v>0</v>
      </c>
      <c r="AY116" t="n">
        <v>13</v>
      </c>
      <c r="AZ116" t="n">
        <v>2</v>
      </c>
      <c r="BA116" t="n">
        <v>7</v>
      </c>
      <c r="BB116" t="n">
        <v>59</v>
      </c>
      <c r="BC116" t="n">
        <v>37</v>
      </c>
      <c r="BD116" t="n">
        <v>70</v>
      </c>
      <c r="BE116" t="n">
        <v>37</v>
      </c>
      <c r="BF116" t="n">
        <v>92</v>
      </c>
      <c r="BG116" t="n">
        <v>2</v>
      </c>
      <c r="BH116" t="n">
        <v>19</v>
      </c>
      <c r="BI116" t="n">
        <v>48</v>
      </c>
      <c r="BJ116" t="n">
        <v>48</v>
      </c>
      <c r="BK116" t="n">
        <v>1</v>
      </c>
      <c r="BL116" t="n">
        <v>4</v>
      </c>
      <c r="BM116" t="n">
        <v>12</v>
      </c>
      <c r="BN116" t="n">
        <v>7</v>
      </c>
      <c r="BO116" t="n">
        <v>2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270</v>
      </c>
      <c r="Z117" t="n">
        <v>187</v>
      </c>
      <c r="AA117" t="n">
        <v>88</v>
      </c>
      <c r="AB117" t="n">
        <v>1</v>
      </c>
      <c r="AC117" t="n">
        <v>1</v>
      </c>
      <c r="AD117" t="n">
        <v>3</v>
      </c>
      <c r="AE117" t="n">
        <v>6</v>
      </c>
      <c r="AF117" t="n">
        <v>7</v>
      </c>
      <c r="AG117" t="n">
        <v>2</v>
      </c>
      <c r="AH117" t="n">
        <v>85</v>
      </c>
      <c r="AI117" t="n">
        <v>38</v>
      </c>
      <c r="AJ117" t="n">
        <v>83</v>
      </c>
      <c r="AK117" t="n">
        <v>30</v>
      </c>
      <c r="AL117" t="n">
        <v>4</v>
      </c>
      <c r="AM117" t="n">
        <v>29</v>
      </c>
      <c r="AN117" t="n">
        <v>0</v>
      </c>
      <c r="AO117" t="n">
        <v>0</v>
      </c>
      <c r="AP117" t="n">
        <v>2</v>
      </c>
      <c r="AQ117" t="n">
        <v>1</v>
      </c>
      <c r="AR117" t="n">
        <v>51</v>
      </c>
      <c r="AS117" t="n">
        <v>46</v>
      </c>
      <c r="AT117" t="n">
        <v>1</v>
      </c>
      <c r="AU117" t="n">
        <v>2</v>
      </c>
      <c r="AV117" t="n">
        <v>8</v>
      </c>
      <c r="AW117" t="n">
        <v>13</v>
      </c>
      <c r="AX117" t="n">
        <v>0</v>
      </c>
      <c r="AY117" t="n">
        <v>14</v>
      </c>
      <c r="AZ117" t="n">
        <v>0</v>
      </c>
      <c r="BA117" t="n">
        <v>1</v>
      </c>
      <c r="BB117" t="n">
        <v>85</v>
      </c>
      <c r="BC117" t="n">
        <v>29</v>
      </c>
      <c r="BD117" t="n">
        <v>76</v>
      </c>
      <c r="BE117" t="n">
        <v>12</v>
      </c>
      <c r="BF117" t="n">
        <v>70</v>
      </c>
      <c r="BG117" t="n">
        <v>1</v>
      </c>
      <c r="BH117" t="n">
        <v>3</v>
      </c>
      <c r="BI117" t="n">
        <v>13</v>
      </c>
      <c r="BJ117" t="n">
        <v>12</v>
      </c>
      <c r="BK117" t="n">
        <v>3</v>
      </c>
      <c r="BL117" t="n">
        <v>9</v>
      </c>
      <c r="BM117" t="n">
        <v>11</v>
      </c>
      <c r="BN117" t="n">
        <v>4</v>
      </c>
      <c r="BO117" t="n">
        <v>2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309</v>
      </c>
      <c r="Z118" t="n">
        <v>206</v>
      </c>
      <c r="AA118" t="n">
        <v>53</v>
      </c>
      <c r="AB118" t="n">
        <v>2</v>
      </c>
      <c r="AC118" t="n">
        <v>1</v>
      </c>
      <c r="AD118" t="n">
        <v>9</v>
      </c>
      <c r="AE118" t="n">
        <v>3</v>
      </c>
      <c r="AF118" t="n">
        <v>3</v>
      </c>
      <c r="AG118" t="n">
        <v>3</v>
      </c>
      <c r="AH118" t="n">
        <v>86</v>
      </c>
      <c r="AI118" t="n">
        <v>39</v>
      </c>
      <c r="AJ118" t="n">
        <v>19</v>
      </c>
      <c r="AK118" t="n">
        <v>22</v>
      </c>
      <c r="AL118" t="n">
        <v>1</v>
      </c>
      <c r="AM118" t="n">
        <v>18</v>
      </c>
      <c r="AN118" t="n">
        <v>0</v>
      </c>
      <c r="AO118" t="n">
        <v>0</v>
      </c>
      <c r="AP118" t="n">
        <v>6</v>
      </c>
      <c r="AQ118" t="n">
        <v>56</v>
      </c>
      <c r="AR118" t="n">
        <v>170</v>
      </c>
      <c r="AS118" t="n">
        <v>119</v>
      </c>
      <c r="AT118" t="n">
        <v>0</v>
      </c>
      <c r="AU118" t="n">
        <v>0</v>
      </c>
      <c r="AV118" t="n">
        <v>1</v>
      </c>
      <c r="AW118" t="n">
        <v>9</v>
      </c>
      <c r="AX118" t="n">
        <v>14</v>
      </c>
      <c r="AY118" t="n">
        <v>35</v>
      </c>
      <c r="AZ118" t="n">
        <v>9</v>
      </c>
      <c r="BA118" t="n">
        <v>81</v>
      </c>
      <c r="BB118" t="n">
        <v>142</v>
      </c>
      <c r="BC118" t="n">
        <v>14</v>
      </c>
      <c r="BD118" t="n">
        <v>76</v>
      </c>
      <c r="BE118" t="n">
        <v>9</v>
      </c>
      <c r="BF118" t="n">
        <v>19</v>
      </c>
      <c r="BG118" t="n">
        <v>5</v>
      </c>
      <c r="BH118" t="n">
        <v>8</v>
      </c>
      <c r="BI118" t="n">
        <v>32</v>
      </c>
      <c r="BJ118" t="n">
        <v>36</v>
      </c>
      <c r="BK118" t="n">
        <v>3</v>
      </c>
      <c r="BL118" t="n">
        <v>27</v>
      </c>
      <c r="BM118" t="n">
        <v>19</v>
      </c>
      <c r="BN118" t="n">
        <v>1</v>
      </c>
      <c r="BO118" t="n">
        <v>2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160</v>
      </c>
      <c r="Z119" t="n">
        <v>179</v>
      </c>
      <c r="AA119" t="n">
        <v>52</v>
      </c>
      <c r="AB119" t="n">
        <v>1</v>
      </c>
      <c r="AC119" t="n">
        <v>1</v>
      </c>
      <c r="AD119" t="n">
        <v>0</v>
      </c>
      <c r="AE119" t="n">
        <v>5</v>
      </c>
      <c r="AF119" t="n">
        <v>4</v>
      </c>
      <c r="AG119" t="n">
        <v>8</v>
      </c>
      <c r="AH119" t="n">
        <v>17</v>
      </c>
      <c r="AI119" t="n">
        <v>67</v>
      </c>
      <c r="AJ119" t="n">
        <v>48</v>
      </c>
      <c r="AK119" t="n">
        <v>68</v>
      </c>
      <c r="AL119" t="n">
        <v>3</v>
      </c>
      <c r="AM119" t="n">
        <v>50</v>
      </c>
      <c r="AN119" t="n">
        <v>0</v>
      </c>
      <c r="AO119" t="n">
        <v>0</v>
      </c>
      <c r="AP119" t="n">
        <v>1</v>
      </c>
      <c r="AQ119" t="n">
        <v>13</v>
      </c>
      <c r="AR119" t="n">
        <v>203</v>
      </c>
      <c r="AS119" t="n">
        <v>190</v>
      </c>
      <c r="AT119" t="n">
        <v>2</v>
      </c>
      <c r="AU119" t="n">
        <v>1</v>
      </c>
      <c r="AV119" t="n">
        <v>1</v>
      </c>
      <c r="AW119" t="n">
        <v>24</v>
      </c>
      <c r="AX119" t="n">
        <v>0</v>
      </c>
      <c r="AY119" t="n">
        <v>35</v>
      </c>
      <c r="AZ119" t="n">
        <v>1</v>
      </c>
      <c r="BA119" t="n">
        <v>4</v>
      </c>
      <c r="BB119" t="n">
        <v>52</v>
      </c>
      <c r="BC119" t="n">
        <v>42</v>
      </c>
      <c r="BD119" t="n">
        <v>15</v>
      </c>
      <c r="BE119" t="n">
        <v>32</v>
      </c>
      <c r="BF119" t="n">
        <v>40</v>
      </c>
      <c r="BG119" t="n">
        <v>2</v>
      </c>
      <c r="BH119" t="n">
        <v>6</v>
      </c>
      <c r="BI119" t="n">
        <v>1</v>
      </c>
      <c r="BJ119" t="n">
        <v>1</v>
      </c>
      <c r="BK119" t="n">
        <v>1</v>
      </c>
      <c r="BL119" t="n">
        <v>22</v>
      </c>
      <c r="BM119" t="n">
        <v>64</v>
      </c>
      <c r="BN119" t="n">
        <v>36</v>
      </c>
      <c r="BO119" t="n">
        <v>28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331</v>
      </c>
      <c r="Z120" t="n">
        <v>161</v>
      </c>
      <c r="AA120" t="n">
        <v>45</v>
      </c>
      <c r="AB120" t="n">
        <v>0</v>
      </c>
      <c r="AC120" t="n">
        <v>1</v>
      </c>
      <c r="AD120" t="n">
        <v>5</v>
      </c>
      <c r="AE120" t="n">
        <v>4</v>
      </c>
      <c r="AF120" t="n">
        <v>2</v>
      </c>
      <c r="AG120" t="n">
        <v>5</v>
      </c>
      <c r="AH120" t="n">
        <v>57</v>
      </c>
      <c r="AI120" t="n">
        <v>12</v>
      </c>
      <c r="AJ120" t="n">
        <v>30</v>
      </c>
      <c r="AK120" t="n">
        <v>65</v>
      </c>
      <c r="AL120" t="n">
        <v>1</v>
      </c>
      <c r="AM120" t="n">
        <v>10</v>
      </c>
      <c r="AN120" t="n">
        <v>0</v>
      </c>
      <c r="AO120" t="n">
        <v>0</v>
      </c>
      <c r="AP120" t="n">
        <v>4</v>
      </c>
      <c r="AQ120" t="n">
        <v>53</v>
      </c>
      <c r="AR120" t="n">
        <v>70</v>
      </c>
      <c r="AS120" t="n">
        <v>25</v>
      </c>
      <c r="AT120" t="n">
        <v>4</v>
      </c>
      <c r="AU120" t="n">
        <v>3</v>
      </c>
      <c r="AV120" t="n">
        <v>71</v>
      </c>
      <c r="AW120" t="n">
        <v>29</v>
      </c>
      <c r="AX120" t="n">
        <v>1</v>
      </c>
      <c r="AY120" t="n">
        <v>21</v>
      </c>
      <c r="AZ120" t="n">
        <v>2</v>
      </c>
      <c r="BA120" t="n">
        <v>20</v>
      </c>
      <c r="BB120" t="n">
        <v>63</v>
      </c>
      <c r="BC120" t="n">
        <v>9</v>
      </c>
      <c r="BD120" t="n">
        <v>55</v>
      </c>
      <c r="BE120" t="n">
        <v>32</v>
      </c>
      <c r="BF120" t="n">
        <v>24</v>
      </c>
      <c r="BG120" t="n">
        <v>5</v>
      </c>
      <c r="BH120" t="n">
        <v>0</v>
      </c>
      <c r="BI120" t="n">
        <v>52</v>
      </c>
      <c r="BJ120" t="n">
        <v>52</v>
      </c>
      <c r="BK120" t="n">
        <v>3</v>
      </c>
      <c r="BL120" t="n">
        <v>18</v>
      </c>
      <c r="BM120" t="n">
        <v>12</v>
      </c>
      <c r="BN120" t="n">
        <v>1</v>
      </c>
      <c r="BO120" t="n">
        <v>4</v>
      </c>
    </row>
    <row r="121">
      <c r="A121" t="n">
        <v>0</v>
      </c>
      <c r="B121" t="n">
        <v>0</v>
      </c>
      <c r="C121" t="n">
        <v>0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274</v>
      </c>
      <c r="Z121" t="n">
        <v>204</v>
      </c>
      <c r="AA121" t="n">
        <v>42</v>
      </c>
      <c r="AB121" t="n">
        <v>1</v>
      </c>
      <c r="AC121" t="n">
        <v>0</v>
      </c>
      <c r="AD121" t="n">
        <v>3</v>
      </c>
      <c r="AE121" t="n">
        <v>14</v>
      </c>
      <c r="AF121" t="n">
        <v>1</v>
      </c>
      <c r="AG121" t="n">
        <v>3</v>
      </c>
      <c r="AH121" t="n">
        <v>41</v>
      </c>
      <c r="AI121" t="n">
        <v>179</v>
      </c>
      <c r="AJ121" t="n">
        <v>7</v>
      </c>
      <c r="AK121" t="n">
        <v>16</v>
      </c>
      <c r="AL121" t="n">
        <v>3</v>
      </c>
      <c r="AM121" t="n">
        <v>32</v>
      </c>
      <c r="AN121" t="n">
        <v>0</v>
      </c>
      <c r="AO121" t="n">
        <v>0</v>
      </c>
      <c r="AP121" t="n">
        <v>8</v>
      </c>
      <c r="AQ121" t="n">
        <v>85</v>
      </c>
      <c r="AR121" t="n">
        <v>96</v>
      </c>
      <c r="AS121" t="n">
        <v>23</v>
      </c>
      <c r="AT121" t="n">
        <v>3</v>
      </c>
      <c r="AU121" t="n">
        <v>2</v>
      </c>
      <c r="AV121" t="n">
        <v>48</v>
      </c>
      <c r="AW121" t="n">
        <v>7</v>
      </c>
      <c r="AX121" t="n">
        <v>11</v>
      </c>
      <c r="AY121" t="n">
        <v>48</v>
      </c>
      <c r="AZ121" t="n">
        <v>0</v>
      </c>
      <c r="BA121" t="n">
        <v>2</v>
      </c>
      <c r="BB121" t="n">
        <v>41</v>
      </c>
      <c r="BC121" t="n">
        <v>47</v>
      </c>
      <c r="BD121" t="n">
        <v>36</v>
      </c>
      <c r="BE121" t="n">
        <v>8</v>
      </c>
      <c r="BF121" t="n">
        <v>9</v>
      </c>
      <c r="BG121" t="n">
        <v>6</v>
      </c>
      <c r="BH121" t="n">
        <v>0</v>
      </c>
      <c r="BI121" t="n">
        <v>77</v>
      </c>
      <c r="BJ121" t="n">
        <v>70</v>
      </c>
      <c r="BK121" t="n">
        <v>3</v>
      </c>
      <c r="BL121" t="n">
        <v>1</v>
      </c>
      <c r="BM121" t="n">
        <v>24</v>
      </c>
      <c r="BN121" t="n">
        <v>14</v>
      </c>
      <c r="BO121" t="n">
        <v>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222</v>
      </c>
      <c r="Z122" t="n">
        <v>133</v>
      </c>
      <c r="AA122" t="n">
        <v>79</v>
      </c>
      <c r="AB122" t="n">
        <v>0</v>
      </c>
      <c r="AC122" t="n">
        <v>1</v>
      </c>
      <c r="AD122" t="n">
        <v>8</v>
      </c>
      <c r="AE122" t="n">
        <v>1</v>
      </c>
      <c r="AF122" t="n">
        <v>5</v>
      </c>
      <c r="AG122" t="n">
        <v>6</v>
      </c>
      <c r="AH122" t="n">
        <v>72</v>
      </c>
      <c r="AI122" t="n">
        <v>37</v>
      </c>
      <c r="AJ122" t="n">
        <v>54</v>
      </c>
      <c r="AK122" t="n">
        <v>51</v>
      </c>
      <c r="AL122" t="n">
        <v>0</v>
      </c>
      <c r="AM122" t="n">
        <v>20</v>
      </c>
      <c r="AN122" t="n">
        <v>0</v>
      </c>
      <c r="AO122" t="n">
        <v>0</v>
      </c>
      <c r="AP122" t="n">
        <v>6</v>
      </c>
      <c r="AQ122" t="n">
        <v>47</v>
      </c>
      <c r="AR122" t="n">
        <v>101</v>
      </c>
      <c r="AS122" t="n">
        <v>62</v>
      </c>
      <c r="AT122" t="n">
        <v>3</v>
      </c>
      <c r="AU122" t="n">
        <v>1</v>
      </c>
      <c r="AV122" t="n">
        <v>22</v>
      </c>
      <c r="AW122" t="n">
        <v>16</v>
      </c>
      <c r="AX122" t="n">
        <v>0</v>
      </c>
      <c r="AY122" t="n">
        <v>20</v>
      </c>
      <c r="AZ122" t="n">
        <v>2</v>
      </c>
      <c r="BA122" t="n">
        <v>15</v>
      </c>
      <c r="BB122" t="n">
        <v>89</v>
      </c>
      <c r="BC122" t="n">
        <v>27</v>
      </c>
      <c r="BD122" t="n">
        <v>67</v>
      </c>
      <c r="BE122" t="n">
        <v>23</v>
      </c>
      <c r="BF122" t="n">
        <v>45</v>
      </c>
      <c r="BG122" t="n">
        <v>1</v>
      </c>
      <c r="BH122" t="n">
        <v>2</v>
      </c>
      <c r="BI122" t="n">
        <v>26</v>
      </c>
      <c r="BJ122" t="n">
        <v>25</v>
      </c>
      <c r="BK122" t="n">
        <v>2</v>
      </c>
      <c r="BL122" t="n">
        <v>24</v>
      </c>
      <c r="BM122" t="n">
        <v>34</v>
      </c>
      <c r="BN122" t="n">
        <v>13</v>
      </c>
      <c r="BO122" t="n">
        <v>2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2</v>
      </c>
      <c r="U123" t="n">
        <v>0</v>
      </c>
      <c r="V123" t="n">
        <v>0</v>
      </c>
      <c r="W123" t="n">
        <v>1</v>
      </c>
      <c r="X123" t="n">
        <v>0</v>
      </c>
      <c r="Y123" t="n">
        <v>180</v>
      </c>
      <c r="Z123" t="n">
        <v>294</v>
      </c>
      <c r="AA123" t="n">
        <v>179</v>
      </c>
      <c r="AB123" t="n">
        <v>3</v>
      </c>
      <c r="AC123" t="n">
        <v>2</v>
      </c>
      <c r="AD123" t="n">
        <v>2</v>
      </c>
      <c r="AE123" t="n">
        <v>6</v>
      </c>
      <c r="AF123" t="n">
        <v>2</v>
      </c>
      <c r="AG123" t="n">
        <v>6</v>
      </c>
      <c r="AH123" t="n">
        <v>24</v>
      </c>
      <c r="AI123" t="n">
        <v>40</v>
      </c>
      <c r="AJ123" t="n">
        <v>2</v>
      </c>
      <c r="AK123" t="n">
        <v>32</v>
      </c>
      <c r="AL123" t="n">
        <v>2</v>
      </c>
      <c r="AM123" t="n">
        <v>69</v>
      </c>
      <c r="AN123" t="n">
        <v>0</v>
      </c>
      <c r="AO123" t="n">
        <v>0</v>
      </c>
      <c r="AP123" t="n">
        <v>8</v>
      </c>
      <c r="AQ123" t="n">
        <v>36</v>
      </c>
      <c r="AR123" t="n">
        <v>72</v>
      </c>
      <c r="AS123" t="n">
        <v>42</v>
      </c>
      <c r="AT123" t="n">
        <v>1</v>
      </c>
      <c r="AU123" t="n">
        <v>2</v>
      </c>
      <c r="AV123" t="n">
        <v>15</v>
      </c>
      <c r="AW123" t="n">
        <v>21</v>
      </c>
      <c r="AX123" t="n">
        <v>1</v>
      </c>
      <c r="AY123" t="n">
        <v>27</v>
      </c>
      <c r="AZ123" t="n">
        <v>0</v>
      </c>
      <c r="BA123" t="n">
        <v>33</v>
      </c>
      <c r="BB123" t="n">
        <v>199</v>
      </c>
      <c r="BC123" t="n">
        <v>57</v>
      </c>
      <c r="BD123" t="n">
        <v>22</v>
      </c>
      <c r="BE123" t="n">
        <v>26</v>
      </c>
      <c r="BF123" t="n">
        <v>12</v>
      </c>
      <c r="BG123" t="n">
        <v>1</v>
      </c>
      <c r="BH123" t="n">
        <v>14</v>
      </c>
      <c r="BI123" t="n">
        <v>28</v>
      </c>
      <c r="BJ123" t="n">
        <v>25</v>
      </c>
      <c r="BK123" t="n">
        <v>2</v>
      </c>
      <c r="BL123" t="n">
        <v>7</v>
      </c>
      <c r="BM123" t="n">
        <v>5</v>
      </c>
      <c r="BN123" t="n">
        <v>0</v>
      </c>
      <c r="BO123" t="n">
        <v>9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164</v>
      </c>
      <c r="Z124" t="n">
        <v>294</v>
      </c>
      <c r="AA124" t="n">
        <v>15</v>
      </c>
      <c r="AB124" t="n">
        <v>2</v>
      </c>
      <c r="AC124" t="n">
        <v>2</v>
      </c>
      <c r="AD124" t="n">
        <v>3</v>
      </c>
      <c r="AE124" t="n">
        <v>11</v>
      </c>
      <c r="AF124" t="n">
        <v>1</v>
      </c>
      <c r="AG124" t="n">
        <v>2</v>
      </c>
      <c r="AH124" t="n">
        <v>47</v>
      </c>
      <c r="AI124" t="n">
        <v>96</v>
      </c>
      <c r="AJ124" t="n">
        <v>10</v>
      </c>
      <c r="AK124" t="n">
        <v>1</v>
      </c>
      <c r="AL124" t="n">
        <v>6</v>
      </c>
      <c r="AM124" t="n">
        <v>117</v>
      </c>
      <c r="AN124" t="n">
        <v>0</v>
      </c>
      <c r="AO124" t="n">
        <v>0</v>
      </c>
      <c r="AP124" t="n">
        <v>5</v>
      </c>
      <c r="AQ124" t="n">
        <v>30</v>
      </c>
      <c r="AR124" t="n">
        <v>103</v>
      </c>
      <c r="AS124" t="n">
        <v>77</v>
      </c>
      <c r="AT124" t="n">
        <v>2</v>
      </c>
      <c r="AU124" t="n">
        <v>3</v>
      </c>
      <c r="AV124" t="n">
        <v>5</v>
      </c>
      <c r="AW124" t="n">
        <v>8</v>
      </c>
      <c r="AX124" t="n">
        <v>1</v>
      </c>
      <c r="AY124" t="n">
        <v>25</v>
      </c>
      <c r="AZ124" t="n">
        <v>1</v>
      </c>
      <c r="BA124" t="n">
        <v>1</v>
      </c>
      <c r="BB124" t="n">
        <v>15</v>
      </c>
      <c r="BC124" t="n">
        <v>95</v>
      </c>
      <c r="BD124" t="n">
        <v>51</v>
      </c>
      <c r="BE124" t="n">
        <v>8</v>
      </c>
      <c r="BF124" t="n">
        <v>7</v>
      </c>
      <c r="BG124" t="n">
        <v>1</v>
      </c>
      <c r="BH124" t="n">
        <v>16</v>
      </c>
      <c r="BI124" t="n">
        <v>11</v>
      </c>
      <c r="BJ124" t="n">
        <v>9</v>
      </c>
      <c r="BK124" t="n">
        <v>3</v>
      </c>
      <c r="BL124" t="n">
        <v>1</v>
      </c>
      <c r="BM124" t="n">
        <v>15</v>
      </c>
      <c r="BN124" t="n">
        <v>8</v>
      </c>
      <c r="BO124" t="n">
        <v>14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292</v>
      </c>
      <c r="Z125" t="n">
        <v>174</v>
      </c>
      <c r="AA125" t="n">
        <v>80</v>
      </c>
      <c r="AB125" t="n">
        <v>2</v>
      </c>
      <c r="AC125" t="n">
        <v>2</v>
      </c>
      <c r="AD125" t="n">
        <v>2</v>
      </c>
      <c r="AE125" t="n">
        <v>3</v>
      </c>
      <c r="AF125" t="n">
        <v>6</v>
      </c>
      <c r="AG125" t="n">
        <v>3</v>
      </c>
      <c r="AH125" t="n">
        <v>11</v>
      </c>
      <c r="AI125" t="n">
        <v>19</v>
      </c>
      <c r="AJ125" t="n">
        <v>90</v>
      </c>
      <c r="AK125" t="n">
        <v>21</v>
      </c>
      <c r="AL125" t="n">
        <v>1</v>
      </c>
      <c r="AM125" t="n">
        <v>2</v>
      </c>
      <c r="AN125" t="n">
        <v>0</v>
      </c>
      <c r="AO125" t="n">
        <v>0</v>
      </c>
      <c r="AP125" t="n">
        <v>3</v>
      </c>
      <c r="AQ125" t="n">
        <v>24</v>
      </c>
      <c r="AR125" t="n">
        <v>55</v>
      </c>
      <c r="AS125" t="n">
        <v>36</v>
      </c>
      <c r="AT125" t="n">
        <v>4</v>
      </c>
      <c r="AU125" t="n">
        <v>2</v>
      </c>
      <c r="AV125" t="n">
        <v>57</v>
      </c>
      <c r="AW125" t="n">
        <v>20</v>
      </c>
      <c r="AX125" t="n">
        <v>4</v>
      </c>
      <c r="AY125" t="n">
        <v>59</v>
      </c>
      <c r="AZ125" t="n">
        <v>6</v>
      </c>
      <c r="BA125" t="n">
        <v>35</v>
      </c>
      <c r="BB125" t="n">
        <v>113</v>
      </c>
      <c r="BC125" t="n">
        <v>2</v>
      </c>
      <c r="BD125" t="n">
        <v>10</v>
      </c>
      <c r="BE125" t="n">
        <v>20</v>
      </c>
      <c r="BF125" t="n">
        <v>127</v>
      </c>
      <c r="BG125" t="n">
        <v>0</v>
      </c>
      <c r="BH125" t="n">
        <v>33</v>
      </c>
      <c r="BI125" t="n">
        <v>1</v>
      </c>
      <c r="BJ125" t="n">
        <v>9</v>
      </c>
      <c r="BK125" t="n">
        <v>1</v>
      </c>
      <c r="BL125" t="n">
        <v>9</v>
      </c>
      <c r="BM125" t="n">
        <v>31</v>
      </c>
      <c r="BN125" t="n">
        <v>16</v>
      </c>
      <c r="BO125" t="n">
        <v>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181</v>
      </c>
      <c r="Z126" t="n">
        <v>174</v>
      </c>
      <c r="AA126" t="n">
        <v>47</v>
      </c>
      <c r="AB126" t="n">
        <v>1</v>
      </c>
      <c r="AC126" t="n">
        <v>2</v>
      </c>
      <c r="AD126" t="n">
        <v>4</v>
      </c>
      <c r="AE126" t="n">
        <v>2</v>
      </c>
      <c r="AF126" t="n">
        <v>6</v>
      </c>
      <c r="AG126" t="n">
        <v>0</v>
      </c>
      <c r="AH126" t="n">
        <v>27</v>
      </c>
      <c r="AI126" t="n">
        <v>15</v>
      </c>
      <c r="AJ126" t="n">
        <v>51</v>
      </c>
      <c r="AK126" t="n">
        <v>1</v>
      </c>
      <c r="AL126" t="n">
        <v>3</v>
      </c>
      <c r="AM126" t="n">
        <v>27</v>
      </c>
      <c r="AN126" t="n">
        <v>0</v>
      </c>
      <c r="AO126" t="n">
        <v>0</v>
      </c>
      <c r="AP126" t="n">
        <v>5</v>
      </c>
      <c r="AQ126" t="n">
        <v>26</v>
      </c>
      <c r="AR126" t="n">
        <v>63</v>
      </c>
      <c r="AS126" t="n">
        <v>41</v>
      </c>
      <c r="AT126" t="n">
        <v>1</v>
      </c>
      <c r="AU126" t="n">
        <v>2</v>
      </c>
      <c r="AV126" t="n">
        <v>1</v>
      </c>
      <c r="AW126" t="n">
        <v>9</v>
      </c>
      <c r="AX126" t="n">
        <v>8</v>
      </c>
      <c r="AY126" t="n">
        <v>11</v>
      </c>
      <c r="AZ126" t="n">
        <v>3</v>
      </c>
      <c r="BA126" t="n">
        <v>14</v>
      </c>
      <c r="BB126" t="n">
        <v>57</v>
      </c>
      <c r="BC126" t="n">
        <v>25</v>
      </c>
      <c r="BD126" t="n">
        <v>24</v>
      </c>
      <c r="BE126" t="n">
        <v>9</v>
      </c>
      <c r="BF126" t="n">
        <v>45</v>
      </c>
      <c r="BG126" t="n">
        <v>1</v>
      </c>
      <c r="BH126" t="n">
        <v>23</v>
      </c>
      <c r="BI126" t="n">
        <v>10</v>
      </c>
      <c r="BJ126" t="n">
        <v>12</v>
      </c>
      <c r="BK126" t="n">
        <v>0</v>
      </c>
      <c r="BL126" t="n">
        <v>41</v>
      </c>
      <c r="BM126" t="n">
        <v>32</v>
      </c>
      <c r="BN126" t="n">
        <v>4</v>
      </c>
      <c r="BO126" t="n">
        <v>2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2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292</v>
      </c>
      <c r="Z127" t="n">
        <v>110</v>
      </c>
      <c r="AA127" t="n">
        <v>90</v>
      </c>
      <c r="AB127" t="n">
        <v>1</v>
      </c>
      <c r="AC127" t="n">
        <v>1</v>
      </c>
      <c r="AD127" t="n">
        <v>1</v>
      </c>
      <c r="AE127" t="n">
        <v>4</v>
      </c>
      <c r="AF127" t="n">
        <v>6</v>
      </c>
      <c r="AG127" t="n">
        <v>3</v>
      </c>
      <c r="AH127" t="n">
        <v>2</v>
      </c>
      <c r="AI127" t="n">
        <v>34</v>
      </c>
      <c r="AJ127" t="n">
        <v>67</v>
      </c>
      <c r="AK127" t="n">
        <v>69</v>
      </c>
      <c r="AL127" t="n">
        <v>2</v>
      </c>
      <c r="AM127" t="n">
        <v>42</v>
      </c>
      <c r="AN127" t="n">
        <v>0</v>
      </c>
      <c r="AO127" t="n">
        <v>0</v>
      </c>
      <c r="AP127" t="n">
        <v>7</v>
      </c>
      <c r="AQ127" t="n">
        <v>23</v>
      </c>
      <c r="AR127" t="n">
        <v>101</v>
      </c>
      <c r="AS127" t="n">
        <v>81</v>
      </c>
      <c r="AT127" t="n">
        <v>0</v>
      </c>
      <c r="AU127" t="n">
        <v>0</v>
      </c>
      <c r="AV127" t="n">
        <v>1</v>
      </c>
      <c r="AW127" t="n">
        <v>9</v>
      </c>
      <c r="AX127" t="n">
        <v>0</v>
      </c>
      <c r="AY127" t="n">
        <v>74</v>
      </c>
      <c r="AZ127" t="n">
        <v>0</v>
      </c>
      <c r="BA127" t="n">
        <v>1</v>
      </c>
      <c r="BB127" t="n">
        <v>89</v>
      </c>
      <c r="BC127" t="n">
        <v>35</v>
      </c>
      <c r="BD127" t="n">
        <v>11</v>
      </c>
      <c r="BE127" t="n">
        <v>9</v>
      </c>
      <c r="BF127" t="n">
        <v>55</v>
      </c>
      <c r="BG127" t="n">
        <v>1</v>
      </c>
      <c r="BH127" t="n">
        <v>28</v>
      </c>
      <c r="BI127" t="n">
        <v>11</v>
      </c>
      <c r="BJ127" t="n">
        <v>9</v>
      </c>
      <c r="BK127" t="n">
        <v>1</v>
      </c>
      <c r="BL127" t="n">
        <v>1</v>
      </c>
      <c r="BM127" t="n">
        <v>1</v>
      </c>
      <c r="BN127" t="n">
        <v>1</v>
      </c>
      <c r="BO127" t="n">
        <v>2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186</v>
      </c>
      <c r="Z128" t="n">
        <v>185</v>
      </c>
      <c r="AA128" t="n">
        <v>42</v>
      </c>
      <c r="AB128" t="n">
        <v>3</v>
      </c>
      <c r="AC128" t="n">
        <v>1</v>
      </c>
      <c r="AD128" t="n">
        <v>6</v>
      </c>
      <c r="AE128" t="n">
        <v>2</v>
      </c>
      <c r="AF128" t="n">
        <v>3</v>
      </c>
      <c r="AG128" t="n">
        <v>1</v>
      </c>
      <c r="AH128" t="n">
        <v>34</v>
      </c>
      <c r="AI128" t="n">
        <v>49</v>
      </c>
      <c r="AJ128" t="n">
        <v>27</v>
      </c>
      <c r="AK128" t="n">
        <v>7</v>
      </c>
      <c r="AL128" t="n">
        <v>2</v>
      </c>
      <c r="AM128" t="n">
        <v>28</v>
      </c>
      <c r="AN128" t="n">
        <v>0</v>
      </c>
      <c r="AO128" t="n">
        <v>0</v>
      </c>
      <c r="AP128" t="n">
        <v>6</v>
      </c>
      <c r="AQ128" t="n">
        <v>59</v>
      </c>
      <c r="AR128" t="n">
        <v>136</v>
      </c>
      <c r="AS128" t="n">
        <v>85</v>
      </c>
      <c r="AT128" t="n">
        <v>3</v>
      </c>
      <c r="AU128" t="n">
        <v>0</v>
      </c>
      <c r="AV128" t="n">
        <v>38</v>
      </c>
      <c r="AW128" t="n">
        <v>1</v>
      </c>
      <c r="AX128" t="n">
        <v>1</v>
      </c>
      <c r="AY128" t="n">
        <v>17</v>
      </c>
      <c r="AZ128" t="n">
        <v>0</v>
      </c>
      <c r="BA128" t="n">
        <v>1</v>
      </c>
      <c r="BB128" t="n">
        <v>42</v>
      </c>
      <c r="BC128" t="n">
        <v>23</v>
      </c>
      <c r="BD128" t="n">
        <v>36</v>
      </c>
      <c r="BE128" t="n">
        <v>4</v>
      </c>
      <c r="BF128" t="n">
        <v>21</v>
      </c>
      <c r="BG128" t="n">
        <v>1</v>
      </c>
      <c r="BH128" t="n">
        <v>10</v>
      </c>
      <c r="BI128" t="n">
        <v>1</v>
      </c>
      <c r="BJ128" t="n">
        <v>1</v>
      </c>
      <c r="BK128" t="n">
        <v>3</v>
      </c>
      <c r="BL128" t="n">
        <v>16</v>
      </c>
      <c r="BM128" t="n">
        <v>20</v>
      </c>
      <c r="BN128" t="n">
        <v>7</v>
      </c>
      <c r="BO128" t="n">
        <v>47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0</v>
      </c>
      <c r="J129" t="n">
        <v>2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316</v>
      </c>
      <c r="Z129" t="n">
        <v>164</v>
      </c>
      <c r="AA129" t="n">
        <v>105</v>
      </c>
      <c r="AB129" t="n">
        <v>0</v>
      </c>
      <c r="AC129" t="n">
        <v>2</v>
      </c>
      <c r="AD129" t="n">
        <v>3</v>
      </c>
      <c r="AE129" t="n">
        <v>5</v>
      </c>
      <c r="AF129" t="n">
        <v>3</v>
      </c>
      <c r="AG129" t="n">
        <v>1</v>
      </c>
      <c r="AH129" t="n">
        <v>34</v>
      </c>
      <c r="AI129" t="n">
        <v>105</v>
      </c>
      <c r="AJ129" t="n">
        <v>27</v>
      </c>
      <c r="AK129" t="n">
        <v>63</v>
      </c>
      <c r="AL129" t="n">
        <v>8</v>
      </c>
      <c r="AM129" t="n">
        <v>77</v>
      </c>
      <c r="AN129" t="n">
        <v>0</v>
      </c>
      <c r="AO129" t="n">
        <v>0</v>
      </c>
      <c r="AP129" t="n">
        <v>3</v>
      </c>
      <c r="AQ129" t="n">
        <v>52</v>
      </c>
      <c r="AR129" t="n">
        <v>84</v>
      </c>
      <c r="AS129" t="n">
        <v>41</v>
      </c>
      <c r="AT129" t="n">
        <v>1</v>
      </c>
      <c r="AU129" t="n">
        <v>2</v>
      </c>
      <c r="AV129" t="n">
        <v>52</v>
      </c>
      <c r="AW129" t="n">
        <v>1</v>
      </c>
      <c r="AX129" t="n">
        <v>0</v>
      </c>
      <c r="AY129" t="n">
        <v>21</v>
      </c>
      <c r="AZ129" t="n">
        <v>1</v>
      </c>
      <c r="BA129" t="n">
        <v>5</v>
      </c>
      <c r="BB129" t="n">
        <v>105</v>
      </c>
      <c r="BC129" t="n">
        <v>64</v>
      </c>
      <c r="BD129" t="n">
        <v>38</v>
      </c>
      <c r="BE129" t="n">
        <v>1</v>
      </c>
      <c r="BF129" t="n">
        <v>22</v>
      </c>
      <c r="BG129" t="n">
        <v>3</v>
      </c>
      <c r="BH129" t="n">
        <v>8</v>
      </c>
      <c r="BI129" t="n">
        <v>69</v>
      </c>
      <c r="BJ129" t="n">
        <v>74</v>
      </c>
      <c r="BK129" t="n">
        <v>0</v>
      </c>
      <c r="BL129" t="n">
        <v>1</v>
      </c>
      <c r="BM129" t="n">
        <v>3</v>
      </c>
      <c r="BN129" t="n">
        <v>1</v>
      </c>
      <c r="BO129" t="n">
        <v>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2</v>
      </c>
      <c r="K130" t="n">
        <v>1</v>
      </c>
      <c r="L130" t="n">
        <v>0</v>
      </c>
      <c r="M130" t="n">
        <v>4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234</v>
      </c>
      <c r="Z130" t="n">
        <v>89</v>
      </c>
      <c r="AA130" t="n">
        <v>15</v>
      </c>
      <c r="AB130" t="n">
        <v>3</v>
      </c>
      <c r="AC130" t="n">
        <v>1</v>
      </c>
      <c r="AD130" t="n">
        <v>3</v>
      </c>
      <c r="AE130" t="n">
        <v>7</v>
      </c>
      <c r="AF130" t="n">
        <v>3</v>
      </c>
      <c r="AG130" t="n">
        <v>4</v>
      </c>
      <c r="AH130" t="n">
        <v>43</v>
      </c>
      <c r="AI130" t="n">
        <v>93</v>
      </c>
      <c r="AJ130" t="n">
        <v>21</v>
      </c>
      <c r="AK130" t="n">
        <v>15</v>
      </c>
      <c r="AL130" t="n">
        <v>4</v>
      </c>
      <c r="AM130" t="n">
        <v>11</v>
      </c>
      <c r="AN130" t="n">
        <v>0</v>
      </c>
      <c r="AO130" t="n">
        <v>0</v>
      </c>
      <c r="AP130" t="n">
        <v>4</v>
      </c>
      <c r="AQ130" t="n">
        <v>53</v>
      </c>
      <c r="AR130" t="n">
        <v>241</v>
      </c>
      <c r="AS130" t="n">
        <v>198</v>
      </c>
      <c r="AT130" t="n">
        <v>1</v>
      </c>
      <c r="AU130" t="n">
        <v>0</v>
      </c>
      <c r="AV130" t="n">
        <v>9</v>
      </c>
      <c r="AW130" t="n">
        <v>1</v>
      </c>
      <c r="AX130" t="n">
        <v>0</v>
      </c>
      <c r="AY130" t="n">
        <v>5</v>
      </c>
      <c r="AZ130" t="n">
        <v>0</v>
      </c>
      <c r="BA130" t="n">
        <v>1</v>
      </c>
      <c r="BB130" t="n">
        <v>16</v>
      </c>
      <c r="BC130" t="n">
        <v>8</v>
      </c>
      <c r="BD130" t="n">
        <v>38</v>
      </c>
      <c r="BE130" t="n">
        <v>1</v>
      </c>
      <c r="BF130" t="n">
        <v>17</v>
      </c>
      <c r="BG130" t="n">
        <v>2</v>
      </c>
      <c r="BH130" t="n">
        <v>23</v>
      </c>
      <c r="BI130" t="n">
        <v>30</v>
      </c>
      <c r="BJ130" t="n">
        <v>27</v>
      </c>
      <c r="BK130" t="n">
        <v>0</v>
      </c>
      <c r="BL130" t="n">
        <v>1</v>
      </c>
      <c r="BM130" t="n">
        <v>63</v>
      </c>
      <c r="BN130" t="n">
        <v>42</v>
      </c>
      <c r="BO130" t="n">
        <v>2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222</v>
      </c>
      <c r="Z131" t="n">
        <v>335</v>
      </c>
      <c r="AA131" t="n">
        <v>62</v>
      </c>
      <c r="AB131" t="n">
        <v>3</v>
      </c>
      <c r="AC131" t="n">
        <v>0</v>
      </c>
      <c r="AD131" t="n">
        <v>0</v>
      </c>
      <c r="AE131" t="n">
        <v>7</v>
      </c>
      <c r="AF131" t="n">
        <v>2</v>
      </c>
      <c r="AG131" t="n">
        <v>1</v>
      </c>
      <c r="AH131" t="n">
        <v>2</v>
      </c>
      <c r="AI131" t="n">
        <v>72</v>
      </c>
      <c r="AJ131" t="n">
        <v>47</v>
      </c>
      <c r="AK131" t="n">
        <v>36</v>
      </c>
      <c r="AL131" t="n">
        <v>7</v>
      </c>
      <c r="AM131" t="n">
        <v>53</v>
      </c>
      <c r="AN131" t="n">
        <v>1</v>
      </c>
      <c r="AO131" t="n">
        <v>0</v>
      </c>
      <c r="AP131" t="n">
        <v>3</v>
      </c>
      <c r="AQ131" t="n">
        <v>15</v>
      </c>
      <c r="AR131" t="n">
        <v>72</v>
      </c>
      <c r="AS131" t="n">
        <v>58</v>
      </c>
      <c r="AT131" t="n">
        <v>0</v>
      </c>
      <c r="AU131" t="n">
        <v>2</v>
      </c>
      <c r="AV131" t="n">
        <v>5</v>
      </c>
      <c r="AW131" t="n">
        <v>57</v>
      </c>
      <c r="AX131" t="n">
        <v>5</v>
      </c>
      <c r="AY131" t="n">
        <v>35</v>
      </c>
      <c r="AZ131" t="n">
        <v>6</v>
      </c>
      <c r="BA131" t="n">
        <v>60</v>
      </c>
      <c r="BB131" t="n">
        <v>126</v>
      </c>
      <c r="BC131" t="n">
        <v>53</v>
      </c>
      <c r="BD131" t="n">
        <v>38</v>
      </c>
      <c r="BE131" t="n">
        <v>63</v>
      </c>
      <c r="BF131" t="n">
        <v>36</v>
      </c>
      <c r="BG131" t="n">
        <v>1</v>
      </c>
      <c r="BH131" t="n">
        <v>30</v>
      </c>
      <c r="BI131" t="n">
        <v>1</v>
      </c>
      <c r="BJ131" t="n">
        <v>8</v>
      </c>
      <c r="BK131" t="n">
        <v>6</v>
      </c>
      <c r="BL131" t="n">
        <v>49</v>
      </c>
      <c r="BM131" t="n">
        <v>50</v>
      </c>
      <c r="BN131" t="n">
        <v>13</v>
      </c>
      <c r="BO131" t="n">
        <v>14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351</v>
      </c>
      <c r="Z132" t="n">
        <v>226</v>
      </c>
      <c r="AA132" t="n">
        <v>12</v>
      </c>
      <c r="AB132" t="n">
        <v>2</v>
      </c>
      <c r="AC132" t="n">
        <v>0</v>
      </c>
      <c r="AD132" t="n">
        <v>4</v>
      </c>
      <c r="AE132" t="n">
        <v>9</v>
      </c>
      <c r="AF132" t="n">
        <v>7</v>
      </c>
      <c r="AG132" t="n">
        <v>2</v>
      </c>
      <c r="AH132" t="n">
        <v>88</v>
      </c>
      <c r="AI132" t="n">
        <v>69</v>
      </c>
      <c r="AJ132" t="n">
        <v>74</v>
      </c>
      <c r="AK132" t="n">
        <v>1</v>
      </c>
      <c r="AL132" t="n">
        <v>6</v>
      </c>
      <c r="AM132" t="n">
        <v>48</v>
      </c>
      <c r="AN132" t="n">
        <v>0</v>
      </c>
      <c r="AO132" t="n">
        <v>0</v>
      </c>
      <c r="AP132" t="n">
        <v>0</v>
      </c>
      <c r="AQ132" t="n">
        <v>1</v>
      </c>
      <c r="AR132" t="n">
        <v>61</v>
      </c>
      <c r="AS132" t="n">
        <v>55</v>
      </c>
      <c r="AT132" t="n">
        <v>2</v>
      </c>
      <c r="AU132" t="n">
        <v>2</v>
      </c>
      <c r="AV132" t="n">
        <v>27</v>
      </c>
      <c r="AW132" t="n">
        <v>8</v>
      </c>
      <c r="AX132" t="n">
        <v>14</v>
      </c>
      <c r="AY132" t="n">
        <v>0</v>
      </c>
      <c r="AZ132" t="n">
        <v>2</v>
      </c>
      <c r="BA132" t="n">
        <v>14</v>
      </c>
      <c r="BB132" t="n">
        <v>25</v>
      </c>
      <c r="BC132" t="n">
        <v>42</v>
      </c>
      <c r="BD132" t="n">
        <v>80</v>
      </c>
      <c r="BE132" t="n">
        <v>8</v>
      </c>
      <c r="BF132" t="n">
        <v>59</v>
      </c>
      <c r="BG132" t="n">
        <v>5</v>
      </c>
      <c r="BH132" t="n">
        <v>22</v>
      </c>
      <c r="BI132" t="n">
        <v>69</v>
      </c>
      <c r="BJ132" t="n">
        <v>67</v>
      </c>
      <c r="BK132" t="n">
        <v>3</v>
      </c>
      <c r="BL132" t="n">
        <v>7</v>
      </c>
      <c r="BM132" t="n">
        <v>9</v>
      </c>
      <c r="BN132" t="n">
        <v>4</v>
      </c>
      <c r="BO132" t="n">
        <v>2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2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348</v>
      </c>
      <c r="Z133" t="n">
        <v>182</v>
      </c>
      <c r="AA133" t="n">
        <v>48</v>
      </c>
      <c r="AB133" t="n">
        <v>2</v>
      </c>
      <c r="AC133" t="n">
        <v>0</v>
      </c>
      <c r="AD133" t="n">
        <v>5</v>
      </c>
      <c r="AE133" t="n">
        <v>4</v>
      </c>
      <c r="AF133" t="n">
        <v>8</v>
      </c>
      <c r="AG133" t="n">
        <v>3</v>
      </c>
      <c r="AH133" t="n">
        <v>45</v>
      </c>
      <c r="AI133" t="n">
        <v>44</v>
      </c>
      <c r="AJ133" t="n">
        <v>108</v>
      </c>
      <c r="AK133" t="n">
        <v>60</v>
      </c>
      <c r="AL133" t="n">
        <v>4</v>
      </c>
      <c r="AM133" t="n">
        <v>16</v>
      </c>
      <c r="AN133" t="n">
        <v>0</v>
      </c>
      <c r="AO133" t="n">
        <v>0</v>
      </c>
      <c r="AP133" t="n">
        <v>5</v>
      </c>
      <c r="AQ133" t="n">
        <v>10</v>
      </c>
      <c r="AR133" t="n">
        <v>168</v>
      </c>
      <c r="AS133" t="n">
        <v>153</v>
      </c>
      <c r="AT133" t="n">
        <v>4</v>
      </c>
      <c r="AU133" t="n">
        <v>0</v>
      </c>
      <c r="AV133" t="n">
        <v>69</v>
      </c>
      <c r="AW133" t="n">
        <v>1</v>
      </c>
      <c r="AX133" t="n">
        <v>9</v>
      </c>
      <c r="AY133" t="n">
        <v>1</v>
      </c>
      <c r="AZ133" t="n">
        <v>0</v>
      </c>
      <c r="BA133" t="n">
        <v>1</v>
      </c>
      <c r="BB133" t="n">
        <v>48</v>
      </c>
      <c r="BC133" t="n">
        <v>13</v>
      </c>
      <c r="BD133" t="n">
        <v>40</v>
      </c>
      <c r="BE133" t="n">
        <v>1</v>
      </c>
      <c r="BF133" t="n">
        <v>93</v>
      </c>
      <c r="BG133" t="n">
        <v>1</v>
      </c>
      <c r="BH133" t="n">
        <v>11</v>
      </c>
      <c r="BI133" t="n">
        <v>10</v>
      </c>
      <c r="BJ133" t="n">
        <v>9</v>
      </c>
      <c r="BK133" t="n">
        <v>2</v>
      </c>
      <c r="BL133" t="n">
        <v>7</v>
      </c>
      <c r="BM133" t="n">
        <v>4</v>
      </c>
      <c r="BN133" t="n">
        <v>1</v>
      </c>
      <c r="BO133" t="n">
        <v>7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106</v>
      </c>
      <c r="Z134" t="n">
        <v>189</v>
      </c>
      <c r="AA134" t="n">
        <v>10</v>
      </c>
      <c r="AB134" t="n">
        <v>1</v>
      </c>
      <c r="AC134" t="n">
        <v>4</v>
      </c>
      <c r="AD134" t="n">
        <v>3</v>
      </c>
      <c r="AE134" t="n">
        <v>12</v>
      </c>
      <c r="AF134" t="n">
        <v>2</v>
      </c>
      <c r="AG134" t="n">
        <v>3</v>
      </c>
      <c r="AH134" t="n">
        <v>22</v>
      </c>
      <c r="AI134" t="n">
        <v>160</v>
      </c>
      <c r="AJ134" t="n">
        <v>59</v>
      </c>
      <c r="AK134" t="n">
        <v>1</v>
      </c>
      <c r="AL134" t="n">
        <v>2</v>
      </c>
      <c r="AM134" t="n">
        <v>20</v>
      </c>
      <c r="AN134" t="n">
        <v>0</v>
      </c>
      <c r="AO134" t="n">
        <v>0</v>
      </c>
      <c r="AP134" t="n">
        <v>1</v>
      </c>
      <c r="AQ134" t="n">
        <v>36</v>
      </c>
      <c r="AR134" t="n">
        <v>145</v>
      </c>
      <c r="AS134" t="n">
        <v>114</v>
      </c>
      <c r="AT134" t="n">
        <v>4</v>
      </c>
      <c r="AU134" t="n">
        <v>2</v>
      </c>
      <c r="AV134" t="n">
        <v>13</v>
      </c>
      <c r="AW134" t="n">
        <v>18</v>
      </c>
      <c r="AX134" t="n">
        <v>0</v>
      </c>
      <c r="AY134" t="n">
        <v>34</v>
      </c>
      <c r="AZ134" t="n">
        <v>0</v>
      </c>
      <c r="BA134" t="n">
        <v>1</v>
      </c>
      <c r="BB134" t="n">
        <v>11</v>
      </c>
      <c r="BC134" t="n">
        <v>16</v>
      </c>
      <c r="BD134" t="n">
        <v>22</v>
      </c>
      <c r="BE134" t="n">
        <v>27</v>
      </c>
      <c r="BF134" t="n">
        <v>50</v>
      </c>
      <c r="BG134" t="n">
        <v>1</v>
      </c>
      <c r="BH134" t="n">
        <v>3</v>
      </c>
      <c r="BI134" t="n">
        <v>1</v>
      </c>
      <c r="BJ134" t="n">
        <v>6</v>
      </c>
      <c r="BK134" t="n">
        <v>0</v>
      </c>
      <c r="BL134" t="n">
        <v>1</v>
      </c>
      <c r="BM134" t="n">
        <v>17</v>
      </c>
      <c r="BN134" t="n">
        <v>10</v>
      </c>
      <c r="BO134" t="n">
        <v>-7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2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232</v>
      </c>
      <c r="Z135" t="n">
        <v>215</v>
      </c>
      <c r="AA135" t="n">
        <v>41</v>
      </c>
      <c r="AB135" t="n">
        <v>2</v>
      </c>
      <c r="AC135" t="n">
        <v>1</v>
      </c>
      <c r="AD135" t="n">
        <v>4</v>
      </c>
      <c r="AE135" t="n">
        <v>7</v>
      </c>
      <c r="AF135" t="n">
        <v>4</v>
      </c>
      <c r="AG135" t="n">
        <v>3</v>
      </c>
      <c r="AH135" t="n">
        <v>84</v>
      </c>
      <c r="AI135" t="n">
        <v>54</v>
      </c>
      <c r="AJ135" t="n">
        <v>21</v>
      </c>
      <c r="AK135" t="n">
        <v>10</v>
      </c>
      <c r="AL135" t="n">
        <v>3</v>
      </c>
      <c r="AM135" t="n">
        <v>33</v>
      </c>
      <c r="AN135" t="n">
        <v>0</v>
      </c>
      <c r="AO135" t="n">
        <v>0</v>
      </c>
      <c r="AP135" t="n">
        <v>4</v>
      </c>
      <c r="AQ135" t="n">
        <v>41</v>
      </c>
      <c r="AR135" t="n">
        <v>171</v>
      </c>
      <c r="AS135" t="n">
        <v>130</v>
      </c>
      <c r="AT135" t="n">
        <v>2</v>
      </c>
      <c r="AU135" t="n">
        <v>0</v>
      </c>
      <c r="AV135" t="n">
        <v>8</v>
      </c>
      <c r="AW135" t="n">
        <v>5</v>
      </c>
      <c r="AX135" t="n">
        <v>25</v>
      </c>
      <c r="AY135" t="n">
        <v>74</v>
      </c>
      <c r="AZ135" t="n">
        <v>2</v>
      </c>
      <c r="BA135" t="n">
        <v>12</v>
      </c>
      <c r="BB135" t="n">
        <v>51</v>
      </c>
      <c r="BC135" t="n">
        <v>28</v>
      </c>
      <c r="BD135" t="n">
        <v>91</v>
      </c>
      <c r="BE135" t="n">
        <v>10</v>
      </c>
      <c r="BF135" t="n">
        <v>21</v>
      </c>
      <c r="BG135" t="n">
        <v>3</v>
      </c>
      <c r="BH135" t="n">
        <v>22</v>
      </c>
      <c r="BI135" t="n">
        <v>8</v>
      </c>
      <c r="BJ135" t="n">
        <v>14</v>
      </c>
      <c r="BK135" t="n">
        <v>4</v>
      </c>
      <c r="BL135" t="n">
        <v>14</v>
      </c>
      <c r="BM135" t="n">
        <v>14</v>
      </c>
      <c r="BN135" t="n">
        <v>4</v>
      </c>
      <c r="BO135" t="n">
        <v>103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155</v>
      </c>
      <c r="Z136" t="n">
        <v>106</v>
      </c>
      <c r="AA136" t="n">
        <v>17</v>
      </c>
      <c r="AB136" t="n">
        <v>4</v>
      </c>
      <c r="AC136" t="n">
        <v>0</v>
      </c>
      <c r="AD136" t="n">
        <v>2</v>
      </c>
      <c r="AE136" t="n">
        <v>5</v>
      </c>
      <c r="AF136" t="n">
        <v>5</v>
      </c>
      <c r="AG136" t="n">
        <v>5</v>
      </c>
      <c r="AH136" t="n">
        <v>40</v>
      </c>
      <c r="AI136" t="n">
        <v>37</v>
      </c>
      <c r="AJ136" t="n">
        <v>28</v>
      </c>
      <c r="AK136" t="n">
        <v>1</v>
      </c>
      <c r="AL136" t="n">
        <v>3</v>
      </c>
      <c r="AM136" t="n">
        <v>13</v>
      </c>
      <c r="AN136" t="n">
        <v>0</v>
      </c>
      <c r="AO136" t="n">
        <v>0</v>
      </c>
      <c r="AP136" t="n">
        <v>2</v>
      </c>
      <c r="AQ136" t="n">
        <v>23</v>
      </c>
      <c r="AR136" t="n">
        <v>90</v>
      </c>
      <c r="AS136" t="n">
        <v>71</v>
      </c>
      <c r="AT136" t="n">
        <v>0</v>
      </c>
      <c r="AU136" t="n">
        <v>2</v>
      </c>
      <c r="AV136" t="n">
        <v>5</v>
      </c>
      <c r="AW136" t="n">
        <v>8</v>
      </c>
      <c r="AX136" t="n">
        <v>0</v>
      </c>
      <c r="AY136" t="n">
        <v>27</v>
      </c>
      <c r="AZ136" t="n">
        <v>3</v>
      </c>
      <c r="BA136" t="n">
        <v>-8</v>
      </c>
      <c r="BB136" t="n">
        <v>10</v>
      </c>
      <c r="BC136" t="n">
        <v>10</v>
      </c>
      <c r="BD136" t="n">
        <v>42</v>
      </c>
      <c r="BE136" t="n">
        <v>19</v>
      </c>
      <c r="BF136" t="n">
        <v>30</v>
      </c>
      <c r="BG136" t="n">
        <v>3</v>
      </c>
      <c r="BH136" t="n">
        <v>12</v>
      </c>
      <c r="BI136" t="n">
        <v>14</v>
      </c>
      <c r="BJ136" t="n">
        <v>12</v>
      </c>
      <c r="BK136" t="n">
        <v>2</v>
      </c>
      <c r="BL136" t="n">
        <v>19</v>
      </c>
      <c r="BM136" t="n">
        <v>22</v>
      </c>
      <c r="BN136" t="n">
        <v>7</v>
      </c>
      <c r="BO136" t="n">
        <v>126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276</v>
      </c>
      <c r="Z137" t="n">
        <v>136</v>
      </c>
      <c r="AA137" t="n">
        <v>124</v>
      </c>
      <c r="AB137" t="n">
        <v>2</v>
      </c>
      <c r="AC137" t="n">
        <v>2</v>
      </c>
      <c r="AD137" t="n">
        <v>2</v>
      </c>
      <c r="AE137" t="n">
        <v>0</v>
      </c>
      <c r="AF137" t="n">
        <v>6</v>
      </c>
      <c r="AG137" t="n">
        <v>5</v>
      </c>
      <c r="AH137" t="n">
        <v>57</v>
      </c>
      <c r="AI137" t="n">
        <v>6</v>
      </c>
      <c r="AJ137" t="n">
        <v>97</v>
      </c>
      <c r="AK137" t="n">
        <v>41</v>
      </c>
      <c r="AL137" t="n">
        <v>5</v>
      </c>
      <c r="AM137" t="n">
        <v>64</v>
      </c>
      <c r="AN137" t="n">
        <v>0</v>
      </c>
      <c r="AO137" t="n">
        <v>0</v>
      </c>
      <c r="AP137" t="n">
        <v>3</v>
      </c>
      <c r="AQ137" t="n">
        <v>30</v>
      </c>
      <c r="AR137" t="n">
        <v>144</v>
      </c>
      <c r="AS137" t="n">
        <v>118</v>
      </c>
      <c r="AT137" t="n">
        <v>5</v>
      </c>
      <c r="AU137" t="n">
        <v>0</v>
      </c>
      <c r="AV137" t="n">
        <v>48</v>
      </c>
      <c r="AW137" t="n">
        <v>6</v>
      </c>
      <c r="AX137" t="n">
        <v>2</v>
      </c>
      <c r="AY137" t="n">
        <v>108</v>
      </c>
      <c r="AZ137" t="n">
        <v>1</v>
      </c>
      <c r="BA137" t="n">
        <v>33</v>
      </c>
      <c r="BB137" t="n">
        <v>149</v>
      </c>
      <c r="BC137" t="n">
        <v>53</v>
      </c>
      <c r="BD137" t="n">
        <v>79</v>
      </c>
      <c r="BE137" t="n">
        <v>11</v>
      </c>
      <c r="BF137" t="n">
        <v>80</v>
      </c>
      <c r="BG137" t="n">
        <v>7</v>
      </c>
      <c r="BH137" t="n">
        <v>2</v>
      </c>
      <c r="BI137" t="n">
        <v>45</v>
      </c>
      <c r="BJ137" t="n">
        <v>48</v>
      </c>
      <c r="BK137" t="n">
        <v>1</v>
      </c>
      <c r="BL137" t="n">
        <v>30</v>
      </c>
      <c r="BM137" t="n">
        <v>66</v>
      </c>
      <c r="BN137" t="n">
        <v>35</v>
      </c>
      <c r="BO137" t="n">
        <v>37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275</v>
      </c>
      <c r="Z138" t="n">
        <v>207</v>
      </c>
      <c r="AA138" t="n">
        <v>38</v>
      </c>
      <c r="AB138" t="n">
        <v>0</v>
      </c>
      <c r="AC138" t="n">
        <v>0</v>
      </c>
      <c r="AD138" t="n">
        <v>7</v>
      </c>
      <c r="AE138" t="n">
        <v>16</v>
      </c>
      <c r="AF138" t="n">
        <v>5</v>
      </c>
      <c r="AG138" t="n">
        <v>0</v>
      </c>
      <c r="AH138" t="n">
        <v>115</v>
      </c>
      <c r="AI138" t="n">
        <v>157</v>
      </c>
      <c r="AJ138" t="n">
        <v>42</v>
      </c>
      <c r="AK138" t="n">
        <v>1</v>
      </c>
      <c r="AL138" t="n">
        <v>2</v>
      </c>
      <c r="AM138" t="n">
        <v>21</v>
      </c>
      <c r="AN138" t="n">
        <v>0</v>
      </c>
      <c r="AO138" t="n">
        <v>0</v>
      </c>
      <c r="AP138" t="n">
        <v>3</v>
      </c>
      <c r="AQ138" t="n">
        <v>38</v>
      </c>
      <c r="AR138" t="n">
        <v>77</v>
      </c>
      <c r="AS138" t="n">
        <v>44</v>
      </c>
      <c r="AT138" t="n">
        <v>3</v>
      </c>
      <c r="AU138" t="n">
        <v>1</v>
      </c>
      <c r="AV138" t="n">
        <v>34</v>
      </c>
      <c r="AW138" t="n">
        <v>19</v>
      </c>
      <c r="AX138" t="n">
        <v>0</v>
      </c>
      <c r="AY138" t="n">
        <v>3</v>
      </c>
      <c r="AZ138" t="n">
        <v>5</v>
      </c>
      <c r="BA138" t="n">
        <v>18</v>
      </c>
      <c r="BB138" t="n">
        <v>55</v>
      </c>
      <c r="BC138" t="n">
        <v>17</v>
      </c>
      <c r="BD138" t="n">
        <v>116</v>
      </c>
      <c r="BE138" t="n">
        <v>19</v>
      </c>
      <c r="BF138" t="n">
        <v>34</v>
      </c>
      <c r="BG138" t="n">
        <v>2</v>
      </c>
      <c r="BH138" t="n">
        <v>2</v>
      </c>
      <c r="BI138" t="n">
        <v>1</v>
      </c>
      <c r="BJ138" t="n">
        <v>1</v>
      </c>
      <c r="BK138" t="n">
        <v>0</v>
      </c>
      <c r="BL138" t="n">
        <v>1</v>
      </c>
      <c r="BM138" t="n">
        <v>8</v>
      </c>
      <c r="BN138" t="n">
        <v>4</v>
      </c>
      <c r="BO138" t="n">
        <v>18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179</v>
      </c>
      <c r="Z139" t="n">
        <v>164</v>
      </c>
      <c r="AA139" t="n">
        <v>35</v>
      </c>
      <c r="AB139" t="n">
        <v>1</v>
      </c>
      <c r="AC139" t="n">
        <v>3</v>
      </c>
      <c r="AD139" t="n">
        <v>4</v>
      </c>
      <c r="AE139" t="n">
        <v>3</v>
      </c>
      <c r="AF139" t="n">
        <v>4</v>
      </c>
      <c r="AG139" t="n">
        <v>6</v>
      </c>
      <c r="AH139" t="n">
        <v>39</v>
      </c>
      <c r="AI139" t="n">
        <v>2</v>
      </c>
      <c r="AJ139" t="n">
        <v>50</v>
      </c>
      <c r="AK139" t="n">
        <v>21</v>
      </c>
      <c r="AL139" t="n">
        <v>1</v>
      </c>
      <c r="AM139" t="n">
        <v>7</v>
      </c>
      <c r="AN139" t="n">
        <v>0</v>
      </c>
      <c r="AO139" t="n">
        <v>0</v>
      </c>
      <c r="AP139" t="n">
        <v>6</v>
      </c>
      <c r="AQ139" t="n">
        <v>13</v>
      </c>
      <c r="AR139" t="n">
        <v>52</v>
      </c>
      <c r="AS139" t="n">
        <v>39</v>
      </c>
      <c r="AT139" t="n">
        <v>5</v>
      </c>
      <c r="AU139" t="n">
        <v>2</v>
      </c>
      <c r="AV139" t="n">
        <v>17</v>
      </c>
      <c r="AW139" t="n">
        <v>32</v>
      </c>
      <c r="AX139" t="n">
        <v>6</v>
      </c>
      <c r="AY139" t="n">
        <v>1</v>
      </c>
      <c r="AZ139" t="n">
        <v>1</v>
      </c>
      <c r="BA139" t="n">
        <v>4</v>
      </c>
      <c r="BB139" t="n">
        <v>36</v>
      </c>
      <c r="BC139" t="n">
        <v>10</v>
      </c>
      <c r="BD139" t="n">
        <v>38</v>
      </c>
      <c r="BE139" t="n">
        <v>32</v>
      </c>
      <c r="BF139" t="n">
        <v>49</v>
      </c>
      <c r="BG139" t="n">
        <v>6</v>
      </c>
      <c r="BH139" t="n">
        <v>12</v>
      </c>
      <c r="BI139" t="n">
        <v>46</v>
      </c>
      <c r="BJ139" t="n">
        <v>43</v>
      </c>
      <c r="BK139" t="n">
        <v>2</v>
      </c>
      <c r="BL139" t="n">
        <v>14</v>
      </c>
      <c r="BM139" t="n">
        <v>9</v>
      </c>
      <c r="BN139" t="n">
        <v>1</v>
      </c>
      <c r="BO139" t="n">
        <v>2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288</v>
      </c>
      <c r="Z140" t="n">
        <v>244</v>
      </c>
      <c r="AA140" t="n">
        <v>68</v>
      </c>
      <c r="AB140" t="n">
        <v>2</v>
      </c>
      <c r="AC140" t="n">
        <v>0</v>
      </c>
      <c r="AD140" t="n">
        <v>8</v>
      </c>
      <c r="AE140" t="n">
        <v>3</v>
      </c>
      <c r="AF140" t="n">
        <v>2</v>
      </c>
      <c r="AG140" t="n">
        <v>3</v>
      </c>
      <c r="AH140" t="n">
        <v>80</v>
      </c>
      <c r="AI140" t="n">
        <v>40</v>
      </c>
      <c r="AJ140" t="n">
        <v>10</v>
      </c>
      <c r="AK140" t="n">
        <v>44</v>
      </c>
      <c r="AL140" t="n">
        <v>5</v>
      </c>
      <c r="AM140" t="n">
        <v>94</v>
      </c>
      <c r="AN140" t="n">
        <v>0</v>
      </c>
      <c r="AO140" t="n">
        <v>0</v>
      </c>
      <c r="AP140" t="n">
        <v>2</v>
      </c>
      <c r="AQ140" t="n">
        <v>30</v>
      </c>
      <c r="AR140" t="n">
        <v>114</v>
      </c>
      <c r="AS140" t="n">
        <v>86</v>
      </c>
      <c r="AT140" t="n">
        <v>4</v>
      </c>
      <c r="AU140" t="n">
        <v>0</v>
      </c>
      <c r="AV140" t="n">
        <v>20</v>
      </c>
      <c r="AW140" t="n">
        <v>1</v>
      </c>
      <c r="AX140" t="n">
        <v>8</v>
      </c>
      <c r="AY140" t="n">
        <v>40</v>
      </c>
      <c r="AZ140" t="n">
        <v>8</v>
      </c>
      <c r="BA140" t="n">
        <v>75</v>
      </c>
      <c r="BB140" t="n">
        <v>148</v>
      </c>
      <c r="BC140" t="n">
        <v>90</v>
      </c>
      <c r="BD140" t="n">
        <v>68</v>
      </c>
      <c r="BE140" t="n">
        <v>2</v>
      </c>
      <c r="BF140" t="n">
        <v>8</v>
      </c>
      <c r="BG140" t="n">
        <v>6</v>
      </c>
      <c r="BH140" t="n">
        <v>0</v>
      </c>
      <c r="BI140" t="n">
        <v>93</v>
      </c>
      <c r="BJ140" t="n">
        <v>111</v>
      </c>
      <c r="BK140" t="n">
        <v>0</v>
      </c>
      <c r="BL140" t="n">
        <v>2</v>
      </c>
      <c r="BM140" t="n">
        <v>11</v>
      </c>
      <c r="BN140" t="n">
        <v>6</v>
      </c>
      <c r="BO140" t="n">
        <v>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2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3</v>
      </c>
      <c r="U141" t="n">
        <v>0</v>
      </c>
      <c r="V141" t="n">
        <v>0</v>
      </c>
      <c r="W141" t="n">
        <v>1</v>
      </c>
      <c r="X141" t="n">
        <v>0</v>
      </c>
      <c r="Y141" t="n">
        <v>298</v>
      </c>
      <c r="Z141" t="n">
        <v>210</v>
      </c>
      <c r="AA141" t="n">
        <v>86</v>
      </c>
      <c r="AB141" t="n">
        <v>1</v>
      </c>
      <c r="AC141" t="n">
        <v>1</v>
      </c>
      <c r="AD141" t="n">
        <v>5</v>
      </c>
      <c r="AE141" t="n">
        <v>6</v>
      </c>
      <c r="AF141" t="n">
        <v>5</v>
      </c>
      <c r="AG141" t="n">
        <v>2</v>
      </c>
      <c r="AH141" t="n">
        <v>60</v>
      </c>
      <c r="AI141" t="n">
        <v>71</v>
      </c>
      <c r="AJ141" t="n">
        <v>38</v>
      </c>
      <c r="AK141" t="n">
        <v>80</v>
      </c>
      <c r="AL141" t="n">
        <v>2</v>
      </c>
      <c r="AM141" t="n">
        <v>10</v>
      </c>
      <c r="AN141" t="n">
        <v>0</v>
      </c>
      <c r="AO141" t="n">
        <v>0</v>
      </c>
      <c r="AP141" t="n">
        <v>0</v>
      </c>
      <c r="AQ141" t="n">
        <v>1</v>
      </c>
      <c r="AR141" t="n">
        <v>52</v>
      </c>
      <c r="AS141" t="n">
        <v>46</v>
      </c>
      <c r="AT141" t="n">
        <v>0</v>
      </c>
      <c r="AU141" t="n">
        <v>2</v>
      </c>
      <c r="AV141" t="n">
        <v>1</v>
      </c>
      <c r="AW141" t="n">
        <v>21</v>
      </c>
      <c r="AX141" t="n">
        <v>0</v>
      </c>
      <c r="AY141" t="n">
        <v>11</v>
      </c>
      <c r="AZ141" t="n">
        <v>6</v>
      </c>
      <c r="BA141" t="n">
        <v>31</v>
      </c>
      <c r="BB141" t="n">
        <v>113</v>
      </c>
      <c r="BC141" t="n">
        <v>5</v>
      </c>
      <c r="BD141" t="n">
        <v>61</v>
      </c>
      <c r="BE141" t="n">
        <v>21</v>
      </c>
      <c r="BF141" t="n">
        <v>49</v>
      </c>
      <c r="BG141" t="n">
        <v>5</v>
      </c>
      <c r="BH141" t="n">
        <v>10</v>
      </c>
      <c r="BI141" t="n">
        <v>70</v>
      </c>
      <c r="BJ141" t="n">
        <v>67</v>
      </c>
      <c r="BK141" t="n">
        <v>6</v>
      </c>
      <c r="BL141" t="n">
        <v>69</v>
      </c>
      <c r="BM141" t="n">
        <v>47</v>
      </c>
      <c r="BN141" t="n">
        <v>1</v>
      </c>
      <c r="BO141" t="n">
        <v>25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328</v>
      </c>
      <c r="Z142" t="n">
        <v>259</v>
      </c>
      <c r="AA142" t="n">
        <v>42</v>
      </c>
      <c r="AB142" t="n">
        <v>0</v>
      </c>
      <c r="AC142" t="n">
        <v>3</v>
      </c>
      <c r="AD142" t="n">
        <v>7</v>
      </c>
      <c r="AE142" t="n">
        <v>7</v>
      </c>
      <c r="AF142" t="n">
        <v>4</v>
      </c>
      <c r="AG142" t="n">
        <v>7</v>
      </c>
      <c r="AH142" t="n">
        <v>92</v>
      </c>
      <c r="AI142" t="n">
        <v>73</v>
      </c>
      <c r="AJ142" t="n">
        <v>36</v>
      </c>
      <c r="AK142" t="n">
        <v>90</v>
      </c>
      <c r="AL142" t="n">
        <v>5</v>
      </c>
      <c r="AM142" t="n">
        <v>68</v>
      </c>
      <c r="AN142" t="n">
        <v>0</v>
      </c>
      <c r="AO142" t="n">
        <v>0</v>
      </c>
      <c r="AP142" t="n">
        <v>5</v>
      </c>
      <c r="AQ142" t="n">
        <v>30</v>
      </c>
      <c r="AR142" t="n">
        <v>132</v>
      </c>
      <c r="AS142" t="n">
        <v>105</v>
      </c>
      <c r="AT142" t="n">
        <v>3</v>
      </c>
      <c r="AU142" t="n">
        <v>4</v>
      </c>
      <c r="AV142" t="n">
        <v>13</v>
      </c>
      <c r="AW142" t="n">
        <v>44</v>
      </c>
      <c r="AX142" t="n">
        <v>0</v>
      </c>
      <c r="AY142" t="n">
        <v>25</v>
      </c>
      <c r="AZ142" t="n">
        <v>0</v>
      </c>
      <c r="BA142" t="n">
        <v>1</v>
      </c>
      <c r="BB142" t="n">
        <v>41</v>
      </c>
      <c r="BC142" t="n">
        <v>55</v>
      </c>
      <c r="BD142" t="n">
        <v>83</v>
      </c>
      <c r="BE142" t="n">
        <v>49</v>
      </c>
      <c r="BF142" t="n">
        <v>60</v>
      </c>
      <c r="BG142" t="n">
        <v>3</v>
      </c>
      <c r="BH142" t="n">
        <v>13</v>
      </c>
      <c r="BI142" t="n">
        <v>62</v>
      </c>
      <c r="BJ142" t="n">
        <v>59</v>
      </c>
      <c r="BK142" t="n">
        <v>5</v>
      </c>
      <c r="BL142" t="n">
        <v>11</v>
      </c>
      <c r="BM142" t="n">
        <v>23</v>
      </c>
      <c r="BN142" t="n">
        <v>10</v>
      </c>
      <c r="BO142" t="n">
        <v>7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164</v>
      </c>
      <c r="Z143" t="n">
        <v>155</v>
      </c>
      <c r="AA143" t="n">
        <v>41</v>
      </c>
      <c r="AB143" t="n">
        <v>2</v>
      </c>
      <c r="AC143" t="n">
        <v>2</v>
      </c>
      <c r="AD143" t="n">
        <v>3</v>
      </c>
      <c r="AE143" t="n">
        <v>4</v>
      </c>
      <c r="AF143" t="n">
        <v>1</v>
      </c>
      <c r="AG143" t="n">
        <v>10</v>
      </c>
      <c r="AH143" t="n">
        <v>20</v>
      </c>
      <c r="AI143" t="n">
        <v>80</v>
      </c>
      <c r="AJ143" t="n">
        <v>11</v>
      </c>
      <c r="AK143" t="n">
        <v>56</v>
      </c>
      <c r="AL143" t="n">
        <v>4</v>
      </c>
      <c r="AM143" t="n">
        <v>51</v>
      </c>
      <c r="AN143" t="n">
        <v>0</v>
      </c>
      <c r="AO143" t="n">
        <v>0</v>
      </c>
      <c r="AP143" t="n">
        <v>5</v>
      </c>
      <c r="AQ143" t="n">
        <v>15</v>
      </c>
      <c r="AR143" t="n">
        <v>54</v>
      </c>
      <c r="AS143" t="n">
        <v>41</v>
      </c>
      <c r="AT143" t="n">
        <v>3</v>
      </c>
      <c r="AU143" t="n">
        <v>2</v>
      </c>
      <c r="AV143" t="n">
        <v>25</v>
      </c>
      <c r="AW143" t="n">
        <v>18</v>
      </c>
      <c r="AX143" t="n">
        <v>5</v>
      </c>
      <c r="AY143" t="n">
        <v>11</v>
      </c>
      <c r="AZ143" t="n">
        <v>1</v>
      </c>
      <c r="BA143" t="n">
        <v>1</v>
      </c>
      <c r="BB143" t="n">
        <v>40</v>
      </c>
      <c r="BC143" t="n">
        <v>44</v>
      </c>
      <c r="BD143" t="n">
        <v>17</v>
      </c>
      <c r="BE143" t="n">
        <v>21</v>
      </c>
      <c r="BF143" t="n">
        <v>9</v>
      </c>
      <c r="BG143" t="n">
        <v>5</v>
      </c>
      <c r="BH143" t="n">
        <v>5</v>
      </c>
      <c r="BI143" t="n">
        <v>43</v>
      </c>
      <c r="BJ143" t="n">
        <v>41</v>
      </c>
      <c r="BK143" t="n">
        <v>0</v>
      </c>
      <c r="BL143" t="n">
        <v>1</v>
      </c>
      <c r="BM143" t="n">
        <v>15</v>
      </c>
      <c r="BN143" t="n">
        <v>8</v>
      </c>
      <c r="BO143" t="n">
        <v>2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</v>
      </c>
      <c r="U144" t="n">
        <v>0</v>
      </c>
      <c r="V144" t="n">
        <v>0</v>
      </c>
      <c r="W144" t="n">
        <v>0</v>
      </c>
      <c r="X144" t="n">
        <v>0</v>
      </c>
      <c r="Y144" t="n">
        <v>252</v>
      </c>
      <c r="Z144" t="n">
        <v>108</v>
      </c>
      <c r="AA144" t="n">
        <v>95</v>
      </c>
      <c r="AB144" t="n">
        <v>0</v>
      </c>
      <c r="AC144" t="n">
        <v>0</v>
      </c>
      <c r="AD144" t="n">
        <v>5</v>
      </c>
      <c r="AE144" t="n">
        <v>12</v>
      </c>
      <c r="AF144" t="n">
        <v>2</v>
      </c>
      <c r="AG144" t="n">
        <v>5</v>
      </c>
      <c r="AH144" t="n">
        <v>51</v>
      </c>
      <c r="AI144" t="n">
        <v>89</v>
      </c>
      <c r="AJ144" t="n">
        <v>28</v>
      </c>
      <c r="AK144" t="n">
        <v>81</v>
      </c>
      <c r="AL144" t="n">
        <v>1</v>
      </c>
      <c r="AM144" t="n">
        <v>25</v>
      </c>
      <c r="AN144" t="n">
        <v>0</v>
      </c>
      <c r="AO144" t="n">
        <v>0</v>
      </c>
      <c r="AP144" t="n">
        <v>4</v>
      </c>
      <c r="AQ144" t="n">
        <v>59</v>
      </c>
      <c r="AR144" t="n">
        <v>81</v>
      </c>
      <c r="AS144" t="n">
        <v>31</v>
      </c>
      <c r="AT144" t="n">
        <v>2</v>
      </c>
      <c r="AU144" t="n">
        <v>1</v>
      </c>
      <c r="AV144" t="n">
        <v>13</v>
      </c>
      <c r="AW144" t="n">
        <v>6</v>
      </c>
      <c r="AX144" t="n">
        <v>14</v>
      </c>
      <c r="AY144" t="n">
        <v>1</v>
      </c>
      <c r="AZ144" t="n">
        <v>0</v>
      </c>
      <c r="BA144" t="n">
        <v>3</v>
      </c>
      <c r="BB144" t="n">
        <v>93</v>
      </c>
      <c r="BC144" t="n">
        <v>22</v>
      </c>
      <c r="BD144" t="n">
        <v>58</v>
      </c>
      <c r="BE144" t="n">
        <v>6</v>
      </c>
      <c r="BF144" t="n">
        <v>37</v>
      </c>
      <c r="BG144" t="n">
        <v>6</v>
      </c>
      <c r="BH144" t="n">
        <v>11</v>
      </c>
      <c r="BI144" t="n">
        <v>39</v>
      </c>
      <c r="BJ144" t="n">
        <v>43</v>
      </c>
      <c r="BK144" t="n">
        <v>0</v>
      </c>
      <c r="BL144" t="n">
        <v>15</v>
      </c>
      <c r="BM144" t="n">
        <v>11</v>
      </c>
      <c r="BN144" t="n">
        <v>0</v>
      </c>
      <c r="BO144" t="n">
        <v>28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3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126</v>
      </c>
      <c r="Z145" t="n">
        <v>239</v>
      </c>
      <c r="AA145" t="n">
        <v>29</v>
      </c>
      <c r="AB145" t="n">
        <v>1</v>
      </c>
      <c r="AC145" t="n">
        <v>3</v>
      </c>
      <c r="AD145" t="n">
        <v>9</v>
      </c>
      <c r="AE145" t="n">
        <v>5</v>
      </c>
      <c r="AF145" t="n">
        <v>6</v>
      </c>
      <c r="AG145" t="n">
        <v>4</v>
      </c>
      <c r="AH145" t="n">
        <v>56</v>
      </c>
      <c r="AI145" t="n">
        <v>78</v>
      </c>
      <c r="AJ145" t="n">
        <v>29</v>
      </c>
      <c r="AK145" t="n">
        <v>16</v>
      </c>
      <c r="AL145" t="n">
        <v>7</v>
      </c>
      <c r="AM145" t="n">
        <v>101</v>
      </c>
      <c r="AN145" t="n">
        <v>0</v>
      </c>
      <c r="AO145" t="n">
        <v>0</v>
      </c>
      <c r="AP145" t="n">
        <v>5</v>
      </c>
      <c r="AQ145" t="n">
        <v>47</v>
      </c>
      <c r="AR145" t="n">
        <v>212</v>
      </c>
      <c r="AS145" t="n">
        <v>174</v>
      </c>
      <c r="AT145" t="n">
        <v>2</v>
      </c>
      <c r="AU145" t="n">
        <v>1</v>
      </c>
      <c r="AV145" t="n">
        <v>-5</v>
      </c>
      <c r="AW145" t="n">
        <v>13</v>
      </c>
      <c r="AX145" t="n">
        <v>0</v>
      </c>
      <c r="AY145" t="n">
        <v>146</v>
      </c>
      <c r="AZ145" t="n">
        <v>3</v>
      </c>
      <c r="BA145" t="n">
        <v>8</v>
      </c>
      <c r="BB145" t="n">
        <v>35</v>
      </c>
      <c r="BC145" t="n">
        <v>81</v>
      </c>
      <c r="BD145" t="n">
        <v>57</v>
      </c>
      <c r="BE145" t="n">
        <v>14</v>
      </c>
      <c r="BF145" t="n">
        <v>23</v>
      </c>
      <c r="BG145" t="n">
        <v>2</v>
      </c>
      <c r="BH145" t="n">
        <v>5</v>
      </c>
      <c r="BI145" t="n">
        <v>7</v>
      </c>
      <c r="BJ145" t="n">
        <v>5</v>
      </c>
      <c r="BK145" t="n">
        <v>3</v>
      </c>
      <c r="BL145" t="n">
        <v>11</v>
      </c>
      <c r="BM145" t="n">
        <v>18</v>
      </c>
      <c r="BN145" t="n">
        <v>7</v>
      </c>
      <c r="BO145" t="n">
        <v>18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283</v>
      </c>
      <c r="Z146" t="n">
        <v>169</v>
      </c>
      <c r="AA146" t="n">
        <v>50</v>
      </c>
      <c r="AB146" t="n">
        <v>5</v>
      </c>
      <c r="AC146" t="n">
        <v>0</v>
      </c>
      <c r="AD146" t="n">
        <v>5</v>
      </c>
      <c r="AE146" t="n">
        <v>3</v>
      </c>
      <c r="AF146" t="n">
        <v>2</v>
      </c>
      <c r="AG146" t="n">
        <v>0</v>
      </c>
      <c r="AH146" t="n">
        <v>83</v>
      </c>
      <c r="AI146" t="n">
        <v>15</v>
      </c>
      <c r="AJ146" t="n">
        <v>15</v>
      </c>
      <c r="AK146" t="n">
        <v>12</v>
      </c>
      <c r="AL146" t="n">
        <v>2</v>
      </c>
      <c r="AM146" t="n">
        <v>42</v>
      </c>
      <c r="AN146" t="n">
        <v>0</v>
      </c>
      <c r="AO146" t="n">
        <v>0</v>
      </c>
      <c r="AP146" t="n">
        <v>4</v>
      </c>
      <c r="AQ146" t="n">
        <v>35</v>
      </c>
      <c r="AR146" t="n">
        <v>136</v>
      </c>
      <c r="AS146" t="n">
        <v>106</v>
      </c>
      <c r="AT146" t="n">
        <v>1</v>
      </c>
      <c r="AU146" t="n">
        <v>2</v>
      </c>
      <c r="AV146" t="n">
        <v>15</v>
      </c>
      <c r="AW146" t="n">
        <v>20</v>
      </c>
      <c r="AX146" t="n">
        <v>0</v>
      </c>
      <c r="AY146" t="n">
        <v>33</v>
      </c>
      <c r="AZ146" t="n">
        <v>2</v>
      </c>
      <c r="BA146" t="n">
        <v>28</v>
      </c>
      <c r="BB146" t="n">
        <v>76</v>
      </c>
      <c r="BC146" t="n">
        <v>37</v>
      </c>
      <c r="BD146" t="n">
        <v>75</v>
      </c>
      <c r="BE146" t="n">
        <v>22</v>
      </c>
      <c r="BF146" t="n">
        <v>12</v>
      </c>
      <c r="BG146" t="n">
        <v>1</v>
      </c>
      <c r="BH146" t="n">
        <v>25</v>
      </c>
      <c r="BI146" t="n">
        <v>1</v>
      </c>
      <c r="BJ146" t="n">
        <v>1</v>
      </c>
      <c r="BK146" t="n">
        <v>7</v>
      </c>
      <c r="BL146" t="n">
        <v>22</v>
      </c>
      <c r="BM146" t="n">
        <v>56</v>
      </c>
      <c r="BN146" t="n">
        <v>29</v>
      </c>
      <c r="BO146" t="n">
        <v>14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193</v>
      </c>
      <c r="Z147" t="n">
        <v>174</v>
      </c>
      <c r="AA147" t="n">
        <v>70</v>
      </c>
      <c r="AB147" t="n">
        <v>2</v>
      </c>
      <c r="AC147" t="n">
        <v>2</v>
      </c>
      <c r="AD147" t="n">
        <v>1</v>
      </c>
      <c r="AE147" t="n">
        <v>0</v>
      </c>
      <c r="AF147" t="n">
        <v>5</v>
      </c>
      <c r="AG147" t="n">
        <v>4</v>
      </c>
      <c r="AH147" t="n">
        <v>10</v>
      </c>
      <c r="AI147" t="n">
        <v>2</v>
      </c>
      <c r="AJ147" t="n">
        <v>67</v>
      </c>
      <c r="AK147" t="n">
        <v>90</v>
      </c>
      <c r="AL147" t="n">
        <v>4</v>
      </c>
      <c r="AM147" t="n">
        <v>51</v>
      </c>
      <c r="AN147" t="n">
        <v>0</v>
      </c>
      <c r="AO147" t="n">
        <v>0</v>
      </c>
      <c r="AP147" t="n">
        <v>0</v>
      </c>
      <c r="AQ147" t="n">
        <v>4</v>
      </c>
      <c r="AR147" t="n">
        <v>88</v>
      </c>
      <c r="AS147" t="n">
        <v>81</v>
      </c>
      <c r="AT147" t="n">
        <v>3</v>
      </c>
      <c r="AU147" t="n">
        <v>1</v>
      </c>
      <c r="AV147" t="n">
        <v>10</v>
      </c>
      <c r="AW147" t="n">
        <v>1</v>
      </c>
      <c r="AX147" t="n">
        <v>0</v>
      </c>
      <c r="AY147" t="n">
        <v>49</v>
      </c>
      <c r="AZ147" t="n">
        <v>2</v>
      </c>
      <c r="BA147" t="n">
        <v>1</v>
      </c>
      <c r="BB147" t="n">
        <v>68</v>
      </c>
      <c r="BC147" t="n">
        <v>45</v>
      </c>
      <c r="BD147" t="n">
        <v>6</v>
      </c>
      <c r="BE147" t="n">
        <v>1</v>
      </c>
      <c r="BF147" t="n">
        <v>53</v>
      </c>
      <c r="BG147" t="n">
        <v>0</v>
      </c>
      <c r="BH147" t="n">
        <v>0</v>
      </c>
      <c r="BI147" t="n">
        <v>1</v>
      </c>
      <c r="BJ147" t="n">
        <v>11</v>
      </c>
      <c r="BK147" t="n">
        <v>9</v>
      </c>
      <c r="BL147" t="n">
        <v>88</v>
      </c>
      <c r="BM147" t="n">
        <v>100</v>
      </c>
      <c r="BN147" t="n">
        <v>28</v>
      </c>
      <c r="BO147" t="n">
        <v>2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309</v>
      </c>
      <c r="Z148" t="n">
        <v>163</v>
      </c>
      <c r="AA148" t="n">
        <v>77</v>
      </c>
      <c r="AB148" t="n">
        <v>0</v>
      </c>
      <c r="AC148" t="n">
        <v>1</v>
      </c>
      <c r="AD148" t="n">
        <v>4</v>
      </c>
      <c r="AE148" t="n">
        <v>2</v>
      </c>
      <c r="AF148" t="n">
        <v>8</v>
      </c>
      <c r="AG148" t="n">
        <v>9</v>
      </c>
      <c r="AH148" t="n">
        <v>31</v>
      </c>
      <c r="AI148" t="n">
        <v>43</v>
      </c>
      <c r="AJ148" t="n">
        <v>89</v>
      </c>
      <c r="AK148" t="n">
        <v>80</v>
      </c>
      <c r="AL148" t="n">
        <v>4</v>
      </c>
      <c r="AM148" t="n">
        <v>80</v>
      </c>
      <c r="AN148" t="n">
        <v>0</v>
      </c>
      <c r="AO148" t="n">
        <v>0</v>
      </c>
      <c r="AP148" t="n">
        <v>4</v>
      </c>
      <c r="AQ148" t="n">
        <v>32</v>
      </c>
      <c r="AR148" t="n">
        <v>94</v>
      </c>
      <c r="AS148" t="n">
        <v>67</v>
      </c>
      <c r="AT148" t="n">
        <v>6</v>
      </c>
      <c r="AU148" t="n">
        <v>1</v>
      </c>
      <c r="AV148" t="n">
        <v>62</v>
      </c>
      <c r="AW148" t="n">
        <v>6</v>
      </c>
      <c r="AX148" t="n">
        <v>1</v>
      </c>
      <c r="AY148" t="n">
        <v>106</v>
      </c>
      <c r="AZ148" t="n">
        <v>0</v>
      </c>
      <c r="BA148" t="n">
        <v>1</v>
      </c>
      <c r="BB148" t="n">
        <v>75</v>
      </c>
      <c r="BC148" t="n">
        <v>93</v>
      </c>
      <c r="BD148" t="n">
        <v>28</v>
      </c>
      <c r="BE148" t="n">
        <v>6</v>
      </c>
      <c r="BF148" t="n">
        <v>80</v>
      </c>
      <c r="BG148" t="n">
        <v>4</v>
      </c>
      <c r="BH148" t="n">
        <v>4</v>
      </c>
      <c r="BI148" t="n">
        <v>46</v>
      </c>
      <c r="BJ148" t="n">
        <v>42</v>
      </c>
      <c r="BK148" t="n">
        <v>1</v>
      </c>
      <c r="BL148" t="n">
        <v>1</v>
      </c>
      <c r="BM148" t="n">
        <v>5</v>
      </c>
      <c r="BN148" t="n">
        <v>3</v>
      </c>
      <c r="BO148" t="n">
        <v>2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334</v>
      </c>
      <c r="Z149" t="n">
        <v>317</v>
      </c>
      <c r="AA149" t="n">
        <v>56</v>
      </c>
      <c r="AB149" t="n">
        <v>1</v>
      </c>
      <c r="AC149" t="n">
        <v>0</v>
      </c>
      <c r="AD149" t="n">
        <v>7</v>
      </c>
      <c r="AE149" t="n">
        <v>8</v>
      </c>
      <c r="AF149" t="n">
        <v>4</v>
      </c>
      <c r="AG149" t="n">
        <v>5</v>
      </c>
      <c r="AH149" t="n">
        <v>103</v>
      </c>
      <c r="AI149" t="n">
        <v>154</v>
      </c>
      <c r="AJ149" t="n">
        <v>83</v>
      </c>
      <c r="AK149" t="n">
        <v>16</v>
      </c>
      <c r="AL149" t="n">
        <v>3</v>
      </c>
      <c r="AM149" t="n">
        <v>53</v>
      </c>
      <c r="AN149" t="n">
        <v>0</v>
      </c>
      <c r="AO149" t="n">
        <v>0</v>
      </c>
      <c r="AP149" t="n">
        <v>4</v>
      </c>
      <c r="AQ149" t="n">
        <v>12</v>
      </c>
      <c r="AR149" t="n">
        <v>72</v>
      </c>
      <c r="AS149" t="n">
        <v>61</v>
      </c>
      <c r="AT149" t="n">
        <v>5</v>
      </c>
      <c r="AU149" t="n">
        <v>2</v>
      </c>
      <c r="AV149" t="n">
        <v>92</v>
      </c>
      <c r="AW149" t="n">
        <v>24</v>
      </c>
      <c r="AX149" t="n">
        <v>0</v>
      </c>
      <c r="AY149" t="n">
        <v>74</v>
      </c>
      <c r="AZ149" t="n">
        <v>5</v>
      </c>
      <c r="BA149" t="n">
        <v>48</v>
      </c>
      <c r="BB149" t="n">
        <v>107</v>
      </c>
      <c r="BC149" t="n">
        <v>42</v>
      </c>
      <c r="BD149" t="n">
        <v>100</v>
      </c>
      <c r="BE149" t="n">
        <v>24</v>
      </c>
      <c r="BF149" t="n">
        <v>65</v>
      </c>
      <c r="BG149" t="n">
        <v>5</v>
      </c>
      <c r="BH149" t="n">
        <v>3</v>
      </c>
      <c r="BI149" t="n">
        <v>40</v>
      </c>
      <c r="BJ149" t="n">
        <v>39</v>
      </c>
      <c r="BK149" t="n">
        <v>3</v>
      </c>
      <c r="BL149" t="n">
        <v>25</v>
      </c>
      <c r="BM149" t="n">
        <v>29</v>
      </c>
      <c r="BN149" t="n">
        <v>10</v>
      </c>
      <c r="BO149" t="n">
        <v>14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212</v>
      </c>
      <c r="Z150" t="n">
        <v>260</v>
      </c>
      <c r="AA150" t="n">
        <v>33</v>
      </c>
      <c r="AB150" t="n">
        <v>2</v>
      </c>
      <c r="AC150" t="n">
        <v>3</v>
      </c>
      <c r="AD150" t="n">
        <v>3</v>
      </c>
      <c r="AE150" t="n">
        <v>7</v>
      </c>
      <c r="AF150" t="n">
        <v>2</v>
      </c>
      <c r="AG150" t="n">
        <v>3</v>
      </c>
      <c r="AH150" t="n">
        <v>75</v>
      </c>
      <c r="AI150" t="n">
        <v>45</v>
      </c>
      <c r="AJ150" t="n">
        <v>19</v>
      </c>
      <c r="AK150" t="n">
        <v>16</v>
      </c>
      <c r="AL150" t="n">
        <v>1</v>
      </c>
      <c r="AM150" t="n">
        <v>17</v>
      </c>
      <c r="AN150" t="n">
        <v>0</v>
      </c>
      <c r="AO150" t="n">
        <v>0</v>
      </c>
      <c r="AP150" t="n">
        <v>2</v>
      </c>
      <c r="AQ150" t="n">
        <v>1</v>
      </c>
      <c r="AR150" t="n">
        <v>97</v>
      </c>
      <c r="AS150" t="n">
        <v>90</v>
      </c>
      <c r="AT150" t="n">
        <v>1</v>
      </c>
      <c r="AU150" t="n">
        <v>1</v>
      </c>
      <c r="AV150" t="n">
        <v>58</v>
      </c>
      <c r="AW150" t="n">
        <v>20</v>
      </c>
      <c r="AX150" t="n">
        <v>4</v>
      </c>
      <c r="AY150" t="n">
        <v>32</v>
      </c>
      <c r="AZ150" t="n">
        <v>1</v>
      </c>
      <c r="BA150" t="n">
        <v>1</v>
      </c>
      <c r="BB150" t="n">
        <v>33</v>
      </c>
      <c r="BC150" t="n">
        <v>14</v>
      </c>
      <c r="BD150" t="n">
        <v>68</v>
      </c>
      <c r="BE150" t="n">
        <v>21</v>
      </c>
      <c r="BF150" t="n">
        <v>25</v>
      </c>
      <c r="BG150" t="n">
        <v>2</v>
      </c>
      <c r="BH150" t="n">
        <v>7</v>
      </c>
      <c r="BI150" t="n">
        <v>13</v>
      </c>
      <c r="BJ150" t="n">
        <v>11</v>
      </c>
      <c r="BK150" t="n">
        <v>0</v>
      </c>
      <c r="BL150" t="n">
        <v>1</v>
      </c>
      <c r="BM150" t="n">
        <v>32</v>
      </c>
      <c r="BN150" t="n">
        <v>19</v>
      </c>
      <c r="BO150" t="n">
        <v>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190</v>
      </c>
      <c r="Z151" t="n">
        <v>142</v>
      </c>
      <c r="AA151" t="n">
        <v>54</v>
      </c>
      <c r="AB151" t="n">
        <v>0</v>
      </c>
      <c r="AC151" t="n">
        <v>3</v>
      </c>
      <c r="AD151" t="n">
        <v>5</v>
      </c>
      <c r="AE151" t="n">
        <v>2</v>
      </c>
      <c r="AF151" t="n">
        <v>4</v>
      </c>
      <c r="AG151" t="n">
        <v>10</v>
      </c>
      <c r="AH151" t="n">
        <v>13</v>
      </c>
      <c r="AI151" t="n">
        <v>26</v>
      </c>
      <c r="AJ151" t="n">
        <v>32</v>
      </c>
      <c r="AK151" t="n">
        <v>96</v>
      </c>
      <c r="AL151" t="n">
        <v>2</v>
      </c>
      <c r="AM151" t="n">
        <v>43</v>
      </c>
      <c r="AN151" t="n">
        <v>0</v>
      </c>
      <c r="AO151" t="n">
        <v>0</v>
      </c>
      <c r="AP151" t="n">
        <v>0</v>
      </c>
      <c r="AQ151" t="n">
        <v>6</v>
      </c>
      <c r="AR151" t="n">
        <v>97</v>
      </c>
      <c r="AS151" t="n">
        <v>90</v>
      </c>
      <c r="AT151" t="n">
        <v>4</v>
      </c>
      <c r="AU151" t="n">
        <v>2</v>
      </c>
      <c r="AV151" t="n">
        <v>29</v>
      </c>
      <c r="AW151" t="n">
        <v>5</v>
      </c>
      <c r="AX151" t="n">
        <v>-1</v>
      </c>
      <c r="AY151" t="n">
        <v>56</v>
      </c>
      <c r="AZ151" t="n">
        <v>2</v>
      </c>
      <c r="BA151" t="n">
        <v>7</v>
      </c>
      <c r="BB151" t="n">
        <v>58</v>
      </c>
      <c r="BC151" t="n">
        <v>51</v>
      </c>
      <c r="BD151" t="n">
        <v>10</v>
      </c>
      <c r="BE151" t="n">
        <v>14</v>
      </c>
      <c r="BF151" t="n">
        <v>25</v>
      </c>
      <c r="BG151" t="n">
        <v>2</v>
      </c>
      <c r="BH151" t="n">
        <v>11</v>
      </c>
      <c r="BI151" t="n">
        <v>14</v>
      </c>
      <c r="BJ151" t="n">
        <v>14</v>
      </c>
      <c r="BK151" t="n">
        <v>2</v>
      </c>
      <c r="BL151" t="n">
        <v>1</v>
      </c>
      <c r="BM151" t="n">
        <v>1</v>
      </c>
      <c r="BN151" t="n">
        <v>0</v>
      </c>
      <c r="BO151" t="n">
        <v>2</v>
      </c>
    </row>
    <row r="152">
      <c r="A152" t="n">
        <v>0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144</v>
      </c>
      <c r="Z152" t="n">
        <v>248</v>
      </c>
      <c r="AA152" t="n">
        <v>53</v>
      </c>
      <c r="AB152" t="n">
        <v>3</v>
      </c>
      <c r="AC152" t="n">
        <v>0</v>
      </c>
      <c r="AD152" t="n">
        <v>2</v>
      </c>
      <c r="AE152" t="n">
        <v>3</v>
      </c>
      <c r="AF152" t="n">
        <v>1</v>
      </c>
      <c r="AG152" t="n">
        <v>4</v>
      </c>
      <c r="AH152" t="n">
        <v>33</v>
      </c>
      <c r="AI152" t="n">
        <v>37</v>
      </c>
      <c r="AJ152" t="n">
        <v>12</v>
      </c>
      <c r="AK152" t="n">
        <v>32</v>
      </c>
      <c r="AL152" t="n">
        <v>3</v>
      </c>
      <c r="AM152" t="n">
        <v>57</v>
      </c>
      <c r="AN152" t="n">
        <v>0</v>
      </c>
      <c r="AO152" t="n">
        <v>0</v>
      </c>
      <c r="AP152" t="n">
        <v>4</v>
      </c>
      <c r="AQ152" t="n">
        <v>24</v>
      </c>
      <c r="AR152" t="n">
        <v>34</v>
      </c>
      <c r="AS152" t="n">
        <v>15</v>
      </c>
      <c r="AT152" t="n">
        <v>1</v>
      </c>
      <c r="AU152" t="n">
        <v>2</v>
      </c>
      <c r="AV152" t="n">
        <v>32</v>
      </c>
      <c r="AW152" t="n">
        <v>22</v>
      </c>
      <c r="AX152" t="n">
        <v>0</v>
      </c>
      <c r="AY152" t="n">
        <v>15</v>
      </c>
      <c r="AZ152" t="n">
        <v>1</v>
      </c>
      <c r="BA152" t="n">
        <v>16</v>
      </c>
      <c r="BB152" t="n">
        <v>66</v>
      </c>
      <c r="BC152" t="n">
        <v>47</v>
      </c>
      <c r="BD152" t="n">
        <v>29</v>
      </c>
      <c r="BE152" t="n">
        <v>24</v>
      </c>
      <c r="BF152" t="n">
        <v>22</v>
      </c>
      <c r="BG152" t="n">
        <v>3</v>
      </c>
      <c r="BH152" t="n">
        <v>0</v>
      </c>
      <c r="BI152" t="n">
        <v>30</v>
      </c>
      <c r="BJ152" t="n">
        <v>41</v>
      </c>
      <c r="BK152" t="n">
        <v>3</v>
      </c>
      <c r="BL152" t="n">
        <v>14</v>
      </c>
      <c r="BM152" t="n">
        <v>38</v>
      </c>
      <c r="BN152" t="n">
        <v>19</v>
      </c>
      <c r="BO152" t="n">
        <v>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165</v>
      </c>
      <c r="Z153" t="n">
        <v>80</v>
      </c>
      <c r="AA153" t="n">
        <v>35</v>
      </c>
      <c r="AB153" t="n">
        <v>3</v>
      </c>
      <c r="AC153" t="n">
        <v>0</v>
      </c>
      <c r="AD153" t="n">
        <v>3</v>
      </c>
      <c r="AE153" t="n">
        <v>2</v>
      </c>
      <c r="AF153" t="n">
        <v>3</v>
      </c>
      <c r="AG153" t="n">
        <v>5</v>
      </c>
      <c r="AH153" t="n">
        <v>10</v>
      </c>
      <c r="AI153" t="n">
        <v>2</v>
      </c>
      <c r="AJ153" t="n">
        <v>51</v>
      </c>
      <c r="AK153" t="n">
        <v>45</v>
      </c>
      <c r="AL153" t="n">
        <v>3</v>
      </c>
      <c r="AM153" t="n">
        <v>31</v>
      </c>
      <c r="AN153" t="n">
        <v>0</v>
      </c>
      <c r="AO153" t="n">
        <v>0</v>
      </c>
      <c r="AP153" t="n">
        <v>3</v>
      </c>
      <c r="AQ153" t="n">
        <v>24</v>
      </c>
      <c r="AR153" t="n">
        <v>141</v>
      </c>
      <c r="AS153" t="n">
        <v>118</v>
      </c>
      <c r="AT153" t="n">
        <v>2</v>
      </c>
      <c r="AU153" t="n">
        <v>0</v>
      </c>
      <c r="AV153" t="n">
        <v>11</v>
      </c>
      <c r="AW153" t="n">
        <v>2</v>
      </c>
      <c r="AX153" t="n">
        <v>4</v>
      </c>
      <c r="AY153" t="n">
        <v>33</v>
      </c>
      <c r="AZ153" t="n">
        <v>1</v>
      </c>
      <c r="BA153" t="n">
        <v>3</v>
      </c>
      <c r="BB153" t="n">
        <v>35</v>
      </c>
      <c r="BC153" t="n">
        <v>32</v>
      </c>
      <c r="BD153" t="n">
        <v>17</v>
      </c>
      <c r="BE153" t="n">
        <v>1</v>
      </c>
      <c r="BF153" t="n">
        <v>40</v>
      </c>
      <c r="BG153" t="n">
        <v>5</v>
      </c>
      <c r="BH153" t="n">
        <v>0</v>
      </c>
      <c r="BI153" t="n">
        <v>53</v>
      </c>
      <c r="BJ153" t="n">
        <v>49</v>
      </c>
      <c r="BK153" t="n">
        <v>0</v>
      </c>
      <c r="BL153" t="n">
        <v>1</v>
      </c>
      <c r="BM153" t="n">
        <v>2</v>
      </c>
      <c r="BN153" t="n">
        <v>0</v>
      </c>
      <c r="BO153" t="n">
        <v>2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256</v>
      </c>
      <c r="Z154" t="n">
        <v>97</v>
      </c>
      <c r="AA154" t="n">
        <v>63</v>
      </c>
      <c r="AB154" t="n">
        <v>2</v>
      </c>
      <c r="AC154" t="n">
        <v>2</v>
      </c>
      <c r="AD154" t="n">
        <v>3</v>
      </c>
      <c r="AE154" t="n">
        <v>2</v>
      </c>
      <c r="AF154" t="n">
        <v>6</v>
      </c>
      <c r="AG154" t="n">
        <v>10</v>
      </c>
      <c r="AH154" t="n">
        <v>33</v>
      </c>
      <c r="AI154" t="n">
        <v>2</v>
      </c>
      <c r="AJ154" t="n">
        <v>56</v>
      </c>
      <c r="AK154" t="n">
        <v>90</v>
      </c>
      <c r="AL154" t="n">
        <v>0</v>
      </c>
      <c r="AM154" t="n">
        <v>11</v>
      </c>
      <c r="AN154" t="n">
        <v>0</v>
      </c>
      <c r="AO154" t="n">
        <v>0</v>
      </c>
      <c r="AP154" t="n">
        <v>8</v>
      </c>
      <c r="AQ154" t="n">
        <v>35</v>
      </c>
      <c r="AR154" t="n">
        <v>77</v>
      </c>
      <c r="AS154" t="n">
        <v>48</v>
      </c>
      <c r="AT154" t="n">
        <v>5</v>
      </c>
      <c r="AU154" t="n">
        <v>2</v>
      </c>
      <c r="AV154" t="n">
        <v>66</v>
      </c>
      <c r="AW154" t="n">
        <v>29</v>
      </c>
      <c r="AX154" t="n">
        <v>7</v>
      </c>
      <c r="AY154" t="n">
        <v>14</v>
      </c>
      <c r="AZ154" t="n">
        <v>1</v>
      </c>
      <c r="BA154" t="n">
        <v>1</v>
      </c>
      <c r="BB154" t="n">
        <v>62</v>
      </c>
      <c r="BC154" t="n">
        <v>32</v>
      </c>
      <c r="BD154" t="n">
        <v>35</v>
      </c>
      <c r="BE154" t="n">
        <v>28</v>
      </c>
      <c r="BF154" t="n">
        <v>63</v>
      </c>
      <c r="BG154" t="n">
        <v>2</v>
      </c>
      <c r="BH154" t="n">
        <v>8</v>
      </c>
      <c r="BI154" t="n">
        <v>13</v>
      </c>
      <c r="BJ154" t="n">
        <v>11</v>
      </c>
      <c r="BK154" t="n">
        <v>0</v>
      </c>
      <c r="BL154" t="n">
        <v>5</v>
      </c>
      <c r="BM154" t="n">
        <v>8</v>
      </c>
      <c r="BN154" t="n">
        <v>4</v>
      </c>
      <c r="BO154" t="n">
        <v>2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4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193</v>
      </c>
      <c r="Z155" t="n">
        <v>184</v>
      </c>
      <c r="AA155" t="n">
        <v>70</v>
      </c>
      <c r="AB155" t="n">
        <v>2</v>
      </c>
      <c r="AC155" t="n">
        <v>1</v>
      </c>
      <c r="AD155" t="n">
        <v>4</v>
      </c>
      <c r="AE155" t="n">
        <v>6</v>
      </c>
      <c r="AF155" t="n">
        <v>0</v>
      </c>
      <c r="AG155" t="n">
        <v>3</v>
      </c>
      <c r="AH155" t="n">
        <v>42</v>
      </c>
      <c r="AI155" t="n">
        <v>55</v>
      </c>
      <c r="AJ155" t="n">
        <v>14</v>
      </c>
      <c r="AK155" t="n">
        <v>27</v>
      </c>
      <c r="AL155" t="n">
        <v>1</v>
      </c>
      <c r="AM155" t="n">
        <v>1</v>
      </c>
      <c r="AN155" t="n">
        <v>0</v>
      </c>
      <c r="AO155" t="n">
        <v>0</v>
      </c>
      <c r="AP155" t="n">
        <v>3</v>
      </c>
      <c r="AQ155" t="n">
        <v>21</v>
      </c>
      <c r="AR155" t="n">
        <v>139</v>
      </c>
      <c r="AS155" t="n">
        <v>119</v>
      </c>
      <c r="AT155" t="n">
        <v>1</v>
      </c>
      <c r="AU155" t="n">
        <v>1</v>
      </c>
      <c r="AV155" t="n">
        <v>1</v>
      </c>
      <c r="AW155" t="n">
        <v>24</v>
      </c>
      <c r="AX155" t="n">
        <v>0</v>
      </c>
      <c r="AY155" t="n">
        <v>27</v>
      </c>
      <c r="AZ155" t="n">
        <v>5</v>
      </c>
      <c r="BA155" t="n">
        <v>30</v>
      </c>
      <c r="BB155" t="n">
        <v>98</v>
      </c>
      <c r="BC155" t="n">
        <v>9</v>
      </c>
      <c r="BD155" t="n">
        <v>38</v>
      </c>
      <c r="BE155" t="n">
        <v>24</v>
      </c>
      <c r="BF155" t="n">
        <v>21</v>
      </c>
      <c r="BG155" t="n">
        <v>1</v>
      </c>
      <c r="BH155" t="n">
        <v>10</v>
      </c>
      <c r="BI155" t="n">
        <v>45</v>
      </c>
      <c r="BJ155" t="n">
        <v>42</v>
      </c>
      <c r="BK155" t="n">
        <v>3</v>
      </c>
      <c r="BL155" t="n">
        <v>36</v>
      </c>
      <c r="BM155" t="n">
        <v>41</v>
      </c>
      <c r="BN155" t="n">
        <v>13</v>
      </c>
      <c r="BO155" t="n">
        <v>11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325</v>
      </c>
      <c r="Z156" t="n">
        <v>133</v>
      </c>
      <c r="AA156" t="n">
        <v>49</v>
      </c>
      <c r="AB156" t="n">
        <v>2</v>
      </c>
      <c r="AC156" t="n">
        <v>0</v>
      </c>
      <c r="AD156" t="n">
        <v>5</v>
      </c>
      <c r="AE156" t="n">
        <v>3</v>
      </c>
      <c r="AF156" t="n">
        <v>2</v>
      </c>
      <c r="AG156" t="n">
        <v>2</v>
      </c>
      <c r="AH156" t="n">
        <v>27</v>
      </c>
      <c r="AI156" t="n">
        <v>2</v>
      </c>
      <c r="AJ156" t="n">
        <v>80</v>
      </c>
      <c r="AK156" t="n">
        <v>22</v>
      </c>
      <c r="AL156" t="n">
        <v>1</v>
      </c>
      <c r="AM156" t="n">
        <v>50</v>
      </c>
      <c r="AN156" t="n">
        <v>0</v>
      </c>
      <c r="AO156" t="n">
        <v>0</v>
      </c>
      <c r="AP156" t="n">
        <v>8</v>
      </c>
      <c r="AQ156" t="n">
        <v>64</v>
      </c>
      <c r="AR156" t="n">
        <v>93</v>
      </c>
      <c r="AS156" t="n">
        <v>38</v>
      </c>
      <c r="AT156" t="n">
        <v>5</v>
      </c>
      <c r="AU156" t="n">
        <v>1</v>
      </c>
      <c r="AV156" t="n">
        <v>37</v>
      </c>
      <c r="AW156" t="n">
        <v>8</v>
      </c>
      <c r="AX156" t="n">
        <v>6</v>
      </c>
      <c r="AY156" t="n">
        <v>76</v>
      </c>
      <c r="AZ156" t="n">
        <v>7</v>
      </c>
      <c r="BA156" t="n">
        <v>58</v>
      </c>
      <c r="BB156" t="n">
        <v>111</v>
      </c>
      <c r="BC156" t="n">
        <v>53</v>
      </c>
      <c r="BD156" t="n">
        <v>30</v>
      </c>
      <c r="BE156" t="n">
        <v>8</v>
      </c>
      <c r="BF156" t="n">
        <v>87</v>
      </c>
      <c r="BG156" t="n">
        <v>4</v>
      </c>
      <c r="BH156" t="n">
        <v>23</v>
      </c>
      <c r="BI156" t="n">
        <v>74</v>
      </c>
      <c r="BJ156" t="n">
        <v>74</v>
      </c>
      <c r="BK156" t="n">
        <v>2</v>
      </c>
      <c r="BL156" t="n">
        <v>1</v>
      </c>
      <c r="BM156" t="n">
        <v>59</v>
      </c>
      <c r="BN156" t="n">
        <v>39</v>
      </c>
      <c r="BO156" t="n">
        <v>166</v>
      </c>
    </row>
    <row r="157">
      <c r="A157" t="n">
        <v>0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317</v>
      </c>
      <c r="Z157" t="n">
        <v>224</v>
      </c>
      <c r="AA157" t="n">
        <v>61</v>
      </c>
      <c r="AB157" t="n">
        <v>6</v>
      </c>
      <c r="AC157" t="n">
        <v>0</v>
      </c>
      <c r="AD157" t="n">
        <v>4</v>
      </c>
      <c r="AE157" t="n">
        <v>5</v>
      </c>
      <c r="AF157" t="n">
        <v>3</v>
      </c>
      <c r="AG157" t="n">
        <v>2</v>
      </c>
      <c r="AH157" t="n">
        <v>66</v>
      </c>
      <c r="AI157" t="n">
        <v>19</v>
      </c>
      <c r="AJ157" t="n">
        <v>31</v>
      </c>
      <c r="AK157" t="n">
        <v>60</v>
      </c>
      <c r="AL157" t="n">
        <v>2</v>
      </c>
      <c r="AM157" t="n">
        <v>22</v>
      </c>
      <c r="AN157" t="n">
        <v>0</v>
      </c>
      <c r="AO157" t="n">
        <v>0</v>
      </c>
      <c r="AP157" t="n">
        <v>3</v>
      </c>
      <c r="AQ157" t="n">
        <v>15</v>
      </c>
      <c r="AR157" t="n">
        <v>46</v>
      </c>
      <c r="AS157" t="n">
        <v>35</v>
      </c>
      <c r="AT157" t="n">
        <v>5</v>
      </c>
      <c r="AU157" t="n">
        <v>3</v>
      </c>
      <c r="AV157" t="n">
        <v>79</v>
      </c>
      <c r="AW157" t="n">
        <v>37</v>
      </c>
      <c r="AX157" t="n">
        <v>34</v>
      </c>
      <c r="AY157" t="n">
        <v>33</v>
      </c>
      <c r="AZ157" t="n">
        <v>0</v>
      </c>
      <c r="BA157" t="n">
        <v>1</v>
      </c>
      <c r="BB157" t="n">
        <v>60</v>
      </c>
      <c r="BC157" t="n">
        <v>44</v>
      </c>
      <c r="BD157" t="n">
        <v>69</v>
      </c>
      <c r="BE157" t="n">
        <v>38</v>
      </c>
      <c r="BF157" t="n">
        <v>38</v>
      </c>
      <c r="BG157" t="n">
        <v>4</v>
      </c>
      <c r="BH157" t="n">
        <v>11</v>
      </c>
      <c r="BI157" t="n">
        <v>43</v>
      </c>
      <c r="BJ157" t="n">
        <v>39</v>
      </c>
      <c r="BK157" t="n">
        <v>3</v>
      </c>
      <c r="BL157" t="n">
        <v>62</v>
      </c>
      <c r="BM157" t="n">
        <v>53</v>
      </c>
      <c r="BN157" t="n">
        <v>10</v>
      </c>
      <c r="BO157" t="n">
        <v>61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198</v>
      </c>
      <c r="Z158" t="n">
        <v>153</v>
      </c>
      <c r="AA158" t="n">
        <v>11</v>
      </c>
      <c r="AB158" t="n">
        <v>0</v>
      </c>
      <c r="AC158" t="n">
        <v>0</v>
      </c>
      <c r="AD158" t="n">
        <v>2</v>
      </c>
      <c r="AE158" t="n">
        <v>1</v>
      </c>
      <c r="AF158" t="n">
        <v>7</v>
      </c>
      <c r="AG158" t="n">
        <v>12</v>
      </c>
      <c r="AH158" t="n">
        <v>19</v>
      </c>
      <c r="AI158" t="n">
        <v>2</v>
      </c>
      <c r="AJ158" t="n">
        <v>54</v>
      </c>
      <c r="AK158" t="n">
        <v>90</v>
      </c>
      <c r="AL158" t="n">
        <v>3</v>
      </c>
      <c r="AM158" t="n">
        <v>37</v>
      </c>
      <c r="AN158" t="n">
        <v>0</v>
      </c>
      <c r="AO158" t="n">
        <v>0</v>
      </c>
      <c r="AP158" t="n">
        <v>0</v>
      </c>
      <c r="AQ158" t="n">
        <v>26</v>
      </c>
      <c r="AR158" t="n">
        <v>73</v>
      </c>
      <c r="AS158" t="n">
        <v>52</v>
      </c>
      <c r="AT158" t="n">
        <v>0</v>
      </c>
      <c r="AU158" t="n">
        <v>1</v>
      </c>
      <c r="AV158" t="n">
        <v>1</v>
      </c>
      <c r="AW158" t="n">
        <v>12</v>
      </c>
      <c r="AX158" t="n">
        <v>9</v>
      </c>
      <c r="AY158" t="n">
        <v>5</v>
      </c>
      <c r="AZ158" t="n">
        <v>2</v>
      </c>
      <c r="BA158" t="n">
        <v>28</v>
      </c>
      <c r="BB158" t="n">
        <v>42</v>
      </c>
      <c r="BC158" t="n">
        <v>31</v>
      </c>
      <c r="BD158" t="n">
        <v>17</v>
      </c>
      <c r="BE158" t="n">
        <v>12</v>
      </c>
      <c r="BF158" t="n">
        <v>44</v>
      </c>
      <c r="BG158" t="n">
        <v>1</v>
      </c>
      <c r="BH158" t="n">
        <v>13</v>
      </c>
      <c r="BI158" t="n">
        <v>7</v>
      </c>
      <c r="BJ158" t="n">
        <v>1</v>
      </c>
      <c r="BK158" t="n">
        <v>4</v>
      </c>
      <c r="BL158" t="n">
        <v>39</v>
      </c>
      <c r="BM158" t="n">
        <v>30</v>
      </c>
      <c r="BN158" t="n">
        <v>4</v>
      </c>
      <c r="BO158" t="n">
        <v>40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79</v>
      </c>
      <c r="Z159" t="n">
        <v>122</v>
      </c>
      <c r="AA159" t="n">
        <v>31</v>
      </c>
      <c r="AB159" t="n">
        <v>0</v>
      </c>
      <c r="AC159" t="n">
        <v>0</v>
      </c>
      <c r="AD159" t="n">
        <v>0</v>
      </c>
      <c r="AE159" t="n">
        <v>4</v>
      </c>
      <c r="AF159" t="n">
        <v>2</v>
      </c>
      <c r="AG159" t="n">
        <v>1</v>
      </c>
      <c r="AH159" t="n">
        <v>4</v>
      </c>
      <c r="AI159" t="n">
        <v>21</v>
      </c>
      <c r="AJ159" t="n">
        <v>23</v>
      </c>
      <c r="AK159" t="n">
        <v>1</v>
      </c>
      <c r="AL159" t="n">
        <v>1</v>
      </c>
      <c r="AM159" t="n">
        <v>20</v>
      </c>
      <c r="AN159" t="n">
        <v>0</v>
      </c>
      <c r="AO159" t="n">
        <v>0</v>
      </c>
      <c r="AP159" t="n">
        <v>4</v>
      </c>
      <c r="AQ159" t="n">
        <v>16</v>
      </c>
      <c r="AR159" t="n">
        <v>150</v>
      </c>
      <c r="AS159" t="n">
        <v>130</v>
      </c>
      <c r="AT159" t="n">
        <v>1</v>
      </c>
      <c r="AU159" t="n">
        <v>2</v>
      </c>
      <c r="AV159" t="n">
        <v>9</v>
      </c>
      <c r="AW159" t="n">
        <v>15</v>
      </c>
      <c r="AX159" t="n">
        <v>7</v>
      </c>
      <c r="AY159" t="n">
        <v>59</v>
      </c>
      <c r="AZ159" t="n">
        <v>0</v>
      </c>
      <c r="BA159" t="n">
        <v>1</v>
      </c>
      <c r="BB159" t="n">
        <v>30</v>
      </c>
      <c r="BC159" t="n">
        <v>16</v>
      </c>
      <c r="BD159" t="n">
        <v>12</v>
      </c>
      <c r="BE159" t="n">
        <v>15</v>
      </c>
      <c r="BF159" t="n">
        <v>23</v>
      </c>
      <c r="BG159" t="n">
        <v>1</v>
      </c>
      <c r="BH159" t="n">
        <v>6</v>
      </c>
      <c r="BI159" t="n">
        <v>7</v>
      </c>
      <c r="BJ159" t="n">
        <v>15</v>
      </c>
      <c r="BK159" t="n">
        <v>1</v>
      </c>
      <c r="BL159" t="n">
        <v>1</v>
      </c>
      <c r="BM159" t="n">
        <v>4</v>
      </c>
      <c r="BN159" t="n">
        <v>2</v>
      </c>
      <c r="BO159" t="n">
        <v>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2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193</v>
      </c>
      <c r="Z160" t="n">
        <v>144</v>
      </c>
      <c r="AA160" t="n">
        <v>78</v>
      </c>
      <c r="AB160" t="n">
        <v>1</v>
      </c>
      <c r="AC160" t="n">
        <v>2</v>
      </c>
      <c r="AD160" t="n">
        <v>2</v>
      </c>
      <c r="AE160" t="n">
        <v>4</v>
      </c>
      <c r="AF160" t="n">
        <v>4</v>
      </c>
      <c r="AG160" t="n">
        <v>4</v>
      </c>
      <c r="AH160" t="n">
        <v>57</v>
      </c>
      <c r="AI160" t="n">
        <v>49</v>
      </c>
      <c r="AJ160" t="n">
        <v>55</v>
      </c>
      <c r="AK160" t="n">
        <v>36</v>
      </c>
      <c r="AL160" t="n">
        <v>3</v>
      </c>
      <c r="AM160" t="n">
        <v>59</v>
      </c>
      <c r="AN160" t="n">
        <v>0</v>
      </c>
      <c r="AO160" t="n">
        <v>0</v>
      </c>
      <c r="AP160" t="n">
        <v>1</v>
      </c>
      <c r="AQ160" t="n">
        <v>1</v>
      </c>
      <c r="AR160" t="n">
        <v>169</v>
      </c>
      <c r="AS160" t="n">
        <v>157</v>
      </c>
      <c r="AT160" t="n">
        <v>1</v>
      </c>
      <c r="AU160" t="n">
        <v>1</v>
      </c>
      <c r="AV160" t="n">
        <v>13</v>
      </c>
      <c r="AW160" t="n">
        <v>19</v>
      </c>
      <c r="AX160" t="n">
        <v>7</v>
      </c>
      <c r="AY160" t="n">
        <v>35</v>
      </c>
      <c r="AZ160" t="n">
        <v>1</v>
      </c>
      <c r="BA160" t="n">
        <v>8</v>
      </c>
      <c r="BB160" t="n">
        <v>81</v>
      </c>
      <c r="BC160" t="n">
        <v>50</v>
      </c>
      <c r="BD160" t="n">
        <v>51</v>
      </c>
      <c r="BE160" t="n">
        <v>30</v>
      </c>
      <c r="BF160" t="n">
        <v>43</v>
      </c>
      <c r="BG160" t="n">
        <v>1</v>
      </c>
      <c r="BH160" t="n">
        <v>0</v>
      </c>
      <c r="BI160" t="n">
        <v>25</v>
      </c>
      <c r="BJ160" t="n">
        <v>27</v>
      </c>
      <c r="BK160" t="n">
        <v>0</v>
      </c>
      <c r="BL160" t="n">
        <v>1</v>
      </c>
      <c r="BM160" t="n">
        <v>14</v>
      </c>
      <c r="BN160" t="n">
        <v>8</v>
      </c>
      <c r="BO160" t="n">
        <v>75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5</v>
      </c>
      <c r="U161" t="n">
        <v>0</v>
      </c>
      <c r="V161" t="n">
        <v>0</v>
      </c>
      <c r="W161" t="n">
        <v>0</v>
      </c>
      <c r="X161" t="n">
        <v>0</v>
      </c>
      <c r="Y161" t="n">
        <v>167</v>
      </c>
      <c r="Z161" t="n">
        <v>271</v>
      </c>
      <c r="AA161" t="n">
        <v>140</v>
      </c>
      <c r="AB161" t="n">
        <v>1</v>
      </c>
      <c r="AC161" t="n">
        <v>2</v>
      </c>
      <c r="AD161" t="n">
        <v>6</v>
      </c>
      <c r="AE161" t="n">
        <v>5</v>
      </c>
      <c r="AF161" t="n">
        <v>3</v>
      </c>
      <c r="AG161" t="n">
        <v>1</v>
      </c>
      <c r="AH161" t="n">
        <v>73</v>
      </c>
      <c r="AI161" t="n">
        <v>40</v>
      </c>
      <c r="AJ161" t="n">
        <v>45</v>
      </c>
      <c r="AK161" t="n">
        <v>19</v>
      </c>
      <c r="AL161" t="n">
        <v>2</v>
      </c>
      <c r="AM161" t="n">
        <v>88</v>
      </c>
      <c r="AN161" t="n">
        <v>1</v>
      </c>
      <c r="AO161" t="n">
        <v>0</v>
      </c>
      <c r="AP161" t="n">
        <v>3</v>
      </c>
      <c r="AQ161" t="n">
        <v>33</v>
      </c>
      <c r="AR161" t="n">
        <v>159</v>
      </c>
      <c r="AS161" t="n">
        <v>128</v>
      </c>
      <c r="AT161" t="n">
        <v>2</v>
      </c>
      <c r="AU161" t="n">
        <v>3</v>
      </c>
      <c r="AV161" t="n">
        <v>1</v>
      </c>
      <c r="AW161" t="n">
        <v>37</v>
      </c>
      <c r="AX161" t="n">
        <v>0</v>
      </c>
      <c r="AY161" t="n">
        <v>22</v>
      </c>
      <c r="AZ161" t="n">
        <v>1</v>
      </c>
      <c r="BA161" t="n">
        <v>10</v>
      </c>
      <c r="BB161" t="n">
        <v>138</v>
      </c>
      <c r="BC161" t="n">
        <v>73</v>
      </c>
      <c r="BD161" t="n">
        <v>77</v>
      </c>
      <c r="BE161" t="n">
        <v>37</v>
      </c>
      <c r="BF161" t="n">
        <v>53</v>
      </c>
      <c r="BG161" t="n">
        <v>0</v>
      </c>
      <c r="BH161" t="n">
        <v>5</v>
      </c>
      <c r="BI161" t="n">
        <v>16</v>
      </c>
      <c r="BJ161" t="n">
        <v>13</v>
      </c>
      <c r="BK161" t="n">
        <v>0</v>
      </c>
      <c r="BL161" t="n">
        <v>1</v>
      </c>
      <c r="BM161" t="n">
        <v>1</v>
      </c>
      <c r="BN161" t="n">
        <v>0</v>
      </c>
      <c r="BO161" t="n">
        <v>-3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276</v>
      </c>
      <c r="Z162" t="n">
        <v>264</v>
      </c>
      <c r="AA162" t="n">
        <v>176</v>
      </c>
      <c r="AB162" t="n">
        <v>1</v>
      </c>
      <c r="AC162" t="n">
        <v>1</v>
      </c>
      <c r="AD162" t="n">
        <v>9</v>
      </c>
      <c r="AE162" t="n">
        <v>9</v>
      </c>
      <c r="AF162" t="n">
        <v>5</v>
      </c>
      <c r="AG162" t="n">
        <v>0</v>
      </c>
      <c r="AH162" t="n">
        <v>87</v>
      </c>
      <c r="AI162" t="n">
        <v>84</v>
      </c>
      <c r="AJ162" t="n">
        <v>25</v>
      </c>
      <c r="AK162" t="n">
        <v>24</v>
      </c>
      <c r="AL162" t="n">
        <v>3</v>
      </c>
      <c r="AM162" t="n">
        <v>73</v>
      </c>
      <c r="AN162" t="n">
        <v>1</v>
      </c>
      <c r="AO162" t="n">
        <v>0</v>
      </c>
      <c r="AP162" t="n">
        <v>6</v>
      </c>
      <c r="AQ162" t="n">
        <v>90</v>
      </c>
      <c r="AR162" t="n">
        <v>235</v>
      </c>
      <c r="AS162" t="n">
        <v>159</v>
      </c>
      <c r="AT162" t="n">
        <v>0</v>
      </c>
      <c r="AU162" t="n">
        <v>1</v>
      </c>
      <c r="AV162" t="n">
        <v>9</v>
      </c>
      <c r="AW162" t="n">
        <v>14</v>
      </c>
      <c r="AX162" t="n">
        <v>1</v>
      </c>
      <c r="AY162" t="n">
        <v>98</v>
      </c>
      <c r="AZ162" t="n">
        <v>6</v>
      </c>
      <c r="BA162" t="n">
        <v>35</v>
      </c>
      <c r="BB162" t="n">
        <v>198</v>
      </c>
      <c r="BC162" t="n">
        <v>62</v>
      </c>
      <c r="BD162" t="n">
        <v>80</v>
      </c>
      <c r="BE162" t="n">
        <v>14</v>
      </c>
      <c r="BF162" t="n">
        <v>20</v>
      </c>
      <c r="BG162" t="n">
        <v>5</v>
      </c>
      <c r="BH162" t="n">
        <v>15</v>
      </c>
      <c r="BI162" t="n">
        <v>27</v>
      </c>
      <c r="BJ162" t="n">
        <v>28</v>
      </c>
      <c r="BK162" t="n">
        <v>3</v>
      </c>
      <c r="BL162" t="n">
        <v>16</v>
      </c>
      <c r="BM162" t="n">
        <v>22</v>
      </c>
      <c r="BN162" t="n">
        <v>8</v>
      </c>
      <c r="BO162" t="n">
        <v>-3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265</v>
      </c>
      <c r="Z163" t="n">
        <v>291</v>
      </c>
      <c r="AA163" t="n">
        <v>98</v>
      </c>
      <c r="AB163" t="n">
        <v>2</v>
      </c>
      <c r="AC163" t="n">
        <v>4</v>
      </c>
      <c r="AD163" t="n">
        <v>4</v>
      </c>
      <c r="AE163" t="n">
        <v>6</v>
      </c>
      <c r="AF163" t="n">
        <v>2</v>
      </c>
      <c r="AG163" t="n">
        <v>5</v>
      </c>
      <c r="AH163" t="n">
        <v>30</v>
      </c>
      <c r="AI163" t="n">
        <v>104</v>
      </c>
      <c r="AJ163" t="n">
        <v>4</v>
      </c>
      <c r="AK163" t="n">
        <v>116</v>
      </c>
      <c r="AL163" t="n">
        <v>4</v>
      </c>
      <c r="AM163" t="n">
        <v>54</v>
      </c>
      <c r="AN163" t="n">
        <v>0</v>
      </c>
      <c r="AO163" t="n">
        <v>0</v>
      </c>
      <c r="AP163" t="n">
        <v>0</v>
      </c>
      <c r="AQ163" t="n">
        <v>1</v>
      </c>
      <c r="AR163" t="n">
        <v>61</v>
      </c>
      <c r="AS163" t="n">
        <v>54</v>
      </c>
      <c r="AT163" t="n">
        <v>3</v>
      </c>
      <c r="AU163" t="n">
        <v>2</v>
      </c>
      <c r="AV163" t="n">
        <v>14</v>
      </c>
      <c r="AW163" t="n">
        <v>38</v>
      </c>
      <c r="AX163" t="n">
        <v>0</v>
      </c>
      <c r="AY163" t="n">
        <v>121</v>
      </c>
      <c r="AZ163" t="n">
        <v>0</v>
      </c>
      <c r="BA163" t="n">
        <v>1</v>
      </c>
      <c r="BB163" t="n">
        <v>96</v>
      </c>
      <c r="BC163" t="n">
        <v>44</v>
      </c>
      <c r="BD163" t="n">
        <v>28</v>
      </c>
      <c r="BE163" t="n">
        <v>40</v>
      </c>
      <c r="BF163" t="n">
        <v>2</v>
      </c>
      <c r="BG163" t="n">
        <v>6</v>
      </c>
      <c r="BH163" t="n">
        <v>17</v>
      </c>
      <c r="BI163" t="n">
        <v>49</v>
      </c>
      <c r="BJ163" t="n">
        <v>46</v>
      </c>
      <c r="BK163" t="n">
        <v>3</v>
      </c>
      <c r="BL163" t="n">
        <v>4</v>
      </c>
      <c r="BM163" t="n">
        <v>9</v>
      </c>
      <c r="BN163" t="n">
        <v>4</v>
      </c>
      <c r="BO163" t="n">
        <v>2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2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159</v>
      </c>
      <c r="Z164" t="n">
        <v>74</v>
      </c>
      <c r="AA164" t="n">
        <v>101</v>
      </c>
      <c r="AB164" t="n">
        <v>0</v>
      </c>
      <c r="AC164" t="n">
        <v>1</v>
      </c>
      <c r="AD164" t="n">
        <v>5</v>
      </c>
      <c r="AE164" t="n">
        <v>5</v>
      </c>
      <c r="AF164" t="n">
        <v>7</v>
      </c>
      <c r="AG164" t="n">
        <v>5</v>
      </c>
      <c r="AH164" t="n">
        <v>47</v>
      </c>
      <c r="AI164" t="n">
        <v>47</v>
      </c>
      <c r="AJ164" t="n">
        <v>37</v>
      </c>
      <c r="AK164" t="n">
        <v>28</v>
      </c>
      <c r="AL164" t="n">
        <v>3</v>
      </c>
      <c r="AM164" t="n">
        <v>18</v>
      </c>
      <c r="AN164" t="n">
        <v>0</v>
      </c>
      <c r="AO164" t="n">
        <v>0</v>
      </c>
      <c r="AP164" t="n">
        <v>5</v>
      </c>
      <c r="AQ164" t="n">
        <v>1</v>
      </c>
      <c r="AR164" t="n">
        <v>68</v>
      </c>
      <c r="AS164" t="n">
        <v>61</v>
      </c>
      <c r="AT164" t="n">
        <v>5</v>
      </c>
      <c r="AU164" t="n">
        <v>0</v>
      </c>
      <c r="AV164" t="n">
        <v>50</v>
      </c>
      <c r="AW164" t="n">
        <v>3</v>
      </c>
      <c r="AX164" t="n">
        <v>1</v>
      </c>
      <c r="AY164" t="n">
        <v>39</v>
      </c>
      <c r="AZ164" t="n">
        <v>0</v>
      </c>
      <c r="BA164" t="n">
        <v>1</v>
      </c>
      <c r="BB164" t="n">
        <v>99</v>
      </c>
      <c r="BC164" t="n">
        <v>47</v>
      </c>
      <c r="BD164" t="n">
        <v>47</v>
      </c>
      <c r="BE164" t="n">
        <v>3</v>
      </c>
      <c r="BF164" t="n">
        <v>31</v>
      </c>
      <c r="BG164" t="n">
        <v>4</v>
      </c>
      <c r="BH164" t="n">
        <v>8</v>
      </c>
      <c r="BI164" t="n">
        <v>14</v>
      </c>
      <c r="BJ164" t="n">
        <v>24</v>
      </c>
      <c r="BK164" t="n">
        <v>3</v>
      </c>
      <c r="BL164" t="n">
        <v>8</v>
      </c>
      <c r="BM164" t="n">
        <v>19</v>
      </c>
      <c r="BN164" t="n">
        <v>9</v>
      </c>
      <c r="BO164" t="n">
        <v>11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184</v>
      </c>
      <c r="Z165" t="n">
        <v>179</v>
      </c>
      <c r="AA165" t="n">
        <v>24</v>
      </c>
      <c r="AB165" t="n">
        <v>0</v>
      </c>
      <c r="AC165" t="n">
        <v>0</v>
      </c>
      <c r="AD165" t="n">
        <v>3</v>
      </c>
      <c r="AE165" t="n">
        <v>8</v>
      </c>
      <c r="AF165" t="n">
        <v>2</v>
      </c>
      <c r="AG165" t="n">
        <v>0</v>
      </c>
      <c r="AH165" t="n">
        <v>26</v>
      </c>
      <c r="AI165" t="n">
        <v>50</v>
      </c>
      <c r="AJ165" t="n">
        <v>20</v>
      </c>
      <c r="AK165" t="n">
        <v>1</v>
      </c>
      <c r="AL165" t="n">
        <v>2</v>
      </c>
      <c r="AM165" t="n">
        <v>31</v>
      </c>
      <c r="AN165" t="n">
        <v>0</v>
      </c>
      <c r="AO165" t="n">
        <v>0</v>
      </c>
      <c r="AP165" t="n">
        <v>3</v>
      </c>
      <c r="AQ165" t="n">
        <v>48</v>
      </c>
      <c r="AR165" t="n">
        <v>89</v>
      </c>
      <c r="AS165" t="n">
        <v>49</v>
      </c>
      <c r="AT165" t="n">
        <v>1</v>
      </c>
      <c r="AU165" t="n">
        <v>0</v>
      </c>
      <c r="AV165" t="n">
        <v>9</v>
      </c>
      <c r="AW165" t="n">
        <v>1</v>
      </c>
      <c r="AX165" t="n">
        <v>2</v>
      </c>
      <c r="AY165" t="n">
        <v>19</v>
      </c>
      <c r="AZ165" t="n">
        <v>4</v>
      </c>
      <c r="BA165" t="n">
        <v>92</v>
      </c>
      <c r="BB165" t="n">
        <v>134</v>
      </c>
      <c r="BC165" t="n">
        <v>32</v>
      </c>
      <c r="BD165" t="n">
        <v>33</v>
      </c>
      <c r="BE165" t="n">
        <v>5</v>
      </c>
      <c r="BF165" t="n">
        <v>25</v>
      </c>
      <c r="BG165" t="n">
        <v>3</v>
      </c>
      <c r="BH165" t="n">
        <v>13</v>
      </c>
      <c r="BI165" t="n">
        <v>17</v>
      </c>
      <c r="BJ165" t="n">
        <v>15</v>
      </c>
      <c r="BK165" t="n">
        <v>4</v>
      </c>
      <c r="BL165" t="n">
        <v>13</v>
      </c>
      <c r="BM165" t="n">
        <v>45</v>
      </c>
      <c r="BN165" t="n">
        <v>25</v>
      </c>
      <c r="BO165" t="n">
        <v>30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0</v>
      </c>
      <c r="Y166" t="n">
        <v>222</v>
      </c>
      <c r="Z166" t="n">
        <v>185</v>
      </c>
      <c r="AA166" t="n">
        <v>116</v>
      </c>
      <c r="AB166" t="n">
        <v>0</v>
      </c>
      <c r="AC166" t="n">
        <v>0</v>
      </c>
      <c r="AD166" t="n">
        <v>1</v>
      </c>
      <c r="AE166" t="n">
        <v>1</v>
      </c>
      <c r="AF166" t="n">
        <v>10</v>
      </c>
      <c r="AG166" t="n">
        <v>2</v>
      </c>
      <c r="AH166" t="n">
        <v>22</v>
      </c>
      <c r="AI166" t="n">
        <v>4</v>
      </c>
      <c r="AJ166" t="n">
        <v>160</v>
      </c>
      <c r="AK166" t="n">
        <v>1</v>
      </c>
      <c r="AL166" t="n">
        <v>0</v>
      </c>
      <c r="AM166" t="n">
        <v>13</v>
      </c>
      <c r="AN166" t="n">
        <v>0</v>
      </c>
      <c r="AO166" t="n">
        <v>0</v>
      </c>
      <c r="AP166" t="n">
        <v>8</v>
      </c>
      <c r="AQ166" t="n">
        <v>42</v>
      </c>
      <c r="AR166" t="n">
        <v>71</v>
      </c>
      <c r="AS166" t="n">
        <v>37</v>
      </c>
      <c r="AT166" t="n">
        <v>4</v>
      </c>
      <c r="AU166" t="n">
        <v>1</v>
      </c>
      <c r="AV166" t="n">
        <v>21</v>
      </c>
      <c r="AW166" t="n">
        <v>12</v>
      </c>
      <c r="AX166" t="n">
        <v>7</v>
      </c>
      <c r="AY166" t="n">
        <v>84</v>
      </c>
      <c r="AZ166" t="n">
        <v>4</v>
      </c>
      <c r="BA166" t="n">
        <v>46</v>
      </c>
      <c r="BB166" t="n">
        <v>158</v>
      </c>
      <c r="BC166" t="n">
        <v>14</v>
      </c>
      <c r="BD166" t="n">
        <v>88</v>
      </c>
      <c r="BE166" t="n">
        <v>12</v>
      </c>
      <c r="BF166" t="n">
        <v>145</v>
      </c>
      <c r="BG166" t="n">
        <v>0</v>
      </c>
      <c r="BH166" t="n">
        <v>0</v>
      </c>
      <c r="BI166" t="n">
        <v>11</v>
      </c>
      <c r="BJ166" t="n">
        <v>15</v>
      </c>
      <c r="BK166" t="n">
        <v>2</v>
      </c>
      <c r="BL166" t="n">
        <v>1</v>
      </c>
      <c r="BM166" t="n">
        <v>4</v>
      </c>
      <c r="BN166" t="n">
        <v>2</v>
      </c>
      <c r="BO166" t="n">
        <v>2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0</v>
      </c>
      <c r="J167" t="n">
        <v>1</v>
      </c>
      <c r="K167" t="n">
        <v>0</v>
      </c>
      <c r="L167" t="n">
        <v>0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191</v>
      </c>
      <c r="Z167" t="n">
        <v>250</v>
      </c>
      <c r="AA167" t="n">
        <v>27</v>
      </c>
      <c r="AB167" t="n">
        <v>1</v>
      </c>
      <c r="AC167" t="n">
        <v>3</v>
      </c>
      <c r="AD167" t="n">
        <v>2</v>
      </c>
      <c r="AE167" t="n">
        <v>7</v>
      </c>
      <c r="AF167" t="n">
        <v>1</v>
      </c>
      <c r="AG167" t="n">
        <v>6</v>
      </c>
      <c r="AH167" t="n">
        <v>7</v>
      </c>
      <c r="AI167" t="n">
        <v>73</v>
      </c>
      <c r="AJ167" t="n">
        <v>23</v>
      </c>
      <c r="AK167" t="n">
        <v>123</v>
      </c>
      <c r="AL167" t="n">
        <v>2</v>
      </c>
      <c r="AM167" t="n">
        <v>18</v>
      </c>
      <c r="AN167" t="n">
        <v>0</v>
      </c>
      <c r="AO167" t="n">
        <v>0</v>
      </c>
      <c r="AP167" t="n">
        <v>0</v>
      </c>
      <c r="AQ167" t="n">
        <v>6</v>
      </c>
      <c r="AR167" t="n">
        <v>101</v>
      </c>
      <c r="AS167" t="n">
        <v>93</v>
      </c>
      <c r="AT167" t="n">
        <v>2</v>
      </c>
      <c r="AU167" t="n">
        <v>1</v>
      </c>
      <c r="AV167" t="n">
        <v>13</v>
      </c>
      <c r="AW167" t="n">
        <v>31</v>
      </c>
      <c r="AX167" t="n">
        <v>1</v>
      </c>
      <c r="AY167" t="n">
        <v>9</v>
      </c>
      <c r="AZ167" t="n">
        <v>1</v>
      </c>
      <c r="BA167" t="n">
        <v>1</v>
      </c>
      <c r="BB167" t="n">
        <v>28</v>
      </c>
      <c r="BC167" t="n">
        <v>17</v>
      </c>
      <c r="BD167" t="n">
        <v>15</v>
      </c>
      <c r="BE167" t="n">
        <v>31</v>
      </c>
      <c r="BF167" t="n">
        <v>18</v>
      </c>
      <c r="BG167" t="n">
        <v>3</v>
      </c>
      <c r="BH167" t="n">
        <v>0</v>
      </c>
      <c r="BI167" t="n">
        <v>44</v>
      </c>
      <c r="BJ167" t="n">
        <v>42</v>
      </c>
      <c r="BK167" t="n">
        <v>6</v>
      </c>
      <c r="BL167" t="n">
        <v>37</v>
      </c>
      <c r="BM167" t="n">
        <v>46</v>
      </c>
      <c r="BN167" t="n">
        <v>15</v>
      </c>
      <c r="BO167" t="n">
        <v>-12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119</v>
      </c>
      <c r="Z168" t="n">
        <v>193</v>
      </c>
      <c r="AA168" t="n">
        <v>68</v>
      </c>
      <c r="AB168" t="n">
        <v>1</v>
      </c>
      <c r="AC168" t="n">
        <v>2</v>
      </c>
      <c r="AD168" t="n">
        <v>3</v>
      </c>
      <c r="AE168" t="n">
        <v>4</v>
      </c>
      <c r="AF168" t="n">
        <v>2</v>
      </c>
      <c r="AG168" t="n">
        <v>6</v>
      </c>
      <c r="AH168" t="n">
        <v>13</v>
      </c>
      <c r="AI168" t="n">
        <v>10</v>
      </c>
      <c r="AJ168" t="n">
        <v>4</v>
      </c>
      <c r="AK168" t="n">
        <v>41</v>
      </c>
      <c r="AL168" t="n">
        <v>4</v>
      </c>
      <c r="AM168" t="n">
        <v>43</v>
      </c>
      <c r="AN168" t="n">
        <v>0</v>
      </c>
      <c r="AO168" t="n">
        <v>0</v>
      </c>
      <c r="AP168" t="n">
        <v>3</v>
      </c>
      <c r="AQ168" t="n">
        <v>16</v>
      </c>
      <c r="AR168" t="n">
        <v>74</v>
      </c>
      <c r="AS168" t="n">
        <v>61</v>
      </c>
      <c r="AT168" t="n">
        <v>3</v>
      </c>
      <c r="AU168" t="n">
        <v>2</v>
      </c>
      <c r="AV168" t="n">
        <v>21</v>
      </c>
      <c r="AW168" t="n">
        <v>31</v>
      </c>
      <c r="AX168" t="n">
        <v>2</v>
      </c>
      <c r="AY168" t="n">
        <v>47</v>
      </c>
      <c r="AZ168" t="n">
        <v>5</v>
      </c>
      <c r="BA168" t="n">
        <v>10</v>
      </c>
      <c r="BB168" t="n">
        <v>75</v>
      </c>
      <c r="BC168" t="n">
        <v>36</v>
      </c>
      <c r="BD168" t="n">
        <v>16</v>
      </c>
      <c r="BE168" t="n">
        <v>38</v>
      </c>
      <c r="BF168" t="n">
        <v>2</v>
      </c>
      <c r="BG168" t="n">
        <v>4</v>
      </c>
      <c r="BH168" t="n">
        <v>12</v>
      </c>
      <c r="BI168" t="n">
        <v>22</v>
      </c>
      <c r="BJ168" t="n">
        <v>26</v>
      </c>
      <c r="BK168" t="n">
        <v>0</v>
      </c>
      <c r="BL168" t="n">
        <v>1</v>
      </c>
      <c r="BM168" t="n">
        <v>19</v>
      </c>
      <c r="BN168" t="n">
        <v>11</v>
      </c>
      <c r="BO168" t="n">
        <v>14</v>
      </c>
    </row>
    <row r="169">
      <c r="A169" t="n">
        <v>1</v>
      </c>
      <c r="B169" t="n">
        <v>0</v>
      </c>
      <c r="C169" t="n">
        <v>3</v>
      </c>
      <c r="D169" t="n">
        <v>0</v>
      </c>
      <c r="E169" t="n">
        <v>0</v>
      </c>
      <c r="F169" t="n">
        <v>0</v>
      </c>
      <c r="G169" t="n">
        <v>2</v>
      </c>
      <c r="H169" t="n">
        <v>0</v>
      </c>
      <c r="I169" t="n">
        <v>0</v>
      </c>
      <c r="J169" t="n">
        <v>3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0</v>
      </c>
      <c r="Y169" t="n">
        <v>217</v>
      </c>
      <c r="Z169" t="n">
        <v>246</v>
      </c>
      <c r="AA169" t="n">
        <v>61</v>
      </c>
      <c r="AB169" t="n">
        <v>5</v>
      </c>
      <c r="AC169" t="n">
        <v>6</v>
      </c>
      <c r="AD169" t="n">
        <v>2</v>
      </c>
      <c r="AE169" t="n">
        <v>9</v>
      </c>
      <c r="AF169" t="n">
        <v>5</v>
      </c>
      <c r="AG169" t="n">
        <v>3</v>
      </c>
      <c r="AH169" t="n">
        <v>32</v>
      </c>
      <c r="AI169" t="n">
        <v>104</v>
      </c>
      <c r="AJ169" t="n">
        <v>37</v>
      </c>
      <c r="AK169" t="n">
        <v>10</v>
      </c>
      <c r="AL169" t="n">
        <v>5</v>
      </c>
      <c r="AM169" t="n">
        <v>102</v>
      </c>
      <c r="AN169" t="n">
        <v>0</v>
      </c>
      <c r="AO169" t="n">
        <v>1</v>
      </c>
      <c r="AP169" t="n">
        <v>3</v>
      </c>
      <c r="AQ169" t="n">
        <v>-7</v>
      </c>
      <c r="AR169" t="n">
        <v>88</v>
      </c>
      <c r="AS169" t="n">
        <v>86</v>
      </c>
      <c r="AT169" t="n">
        <v>3</v>
      </c>
      <c r="AU169" t="n">
        <v>1</v>
      </c>
      <c r="AV169" t="n">
        <v>13</v>
      </c>
      <c r="AW169" t="n">
        <v>7</v>
      </c>
      <c r="AX169" t="n">
        <v>17</v>
      </c>
      <c r="AY169" t="n">
        <v>23</v>
      </c>
      <c r="AZ169" t="n">
        <v>0</v>
      </c>
      <c r="BA169" t="n">
        <v>1</v>
      </c>
      <c r="BB169" t="n">
        <v>59</v>
      </c>
      <c r="BC169" t="n">
        <v>94</v>
      </c>
      <c r="BD169" t="n">
        <v>36</v>
      </c>
      <c r="BE169" t="n">
        <v>15</v>
      </c>
      <c r="BF169" t="n">
        <v>29</v>
      </c>
      <c r="BG169" t="n">
        <v>8</v>
      </c>
      <c r="BH169" t="n">
        <v>14</v>
      </c>
      <c r="BI169" t="n">
        <v>73</v>
      </c>
      <c r="BJ169" t="n">
        <v>69</v>
      </c>
      <c r="BK169" t="n">
        <v>3</v>
      </c>
      <c r="BL169" t="n">
        <v>11</v>
      </c>
      <c r="BM169" t="n">
        <v>32</v>
      </c>
      <c r="BN169" t="n">
        <v>16</v>
      </c>
      <c r="BO169" t="n">
        <v>25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265</v>
      </c>
      <c r="Z170" t="n">
        <v>198</v>
      </c>
      <c r="AA170" t="n">
        <v>45</v>
      </c>
      <c r="AB170" t="n">
        <v>1</v>
      </c>
      <c r="AC170" t="n">
        <v>1</v>
      </c>
      <c r="AD170" t="n">
        <v>5</v>
      </c>
      <c r="AE170" t="n">
        <v>3</v>
      </c>
      <c r="AF170" t="n">
        <v>7</v>
      </c>
      <c r="AG170" t="n">
        <v>6</v>
      </c>
      <c r="AH170" t="n">
        <v>42</v>
      </c>
      <c r="AI170" t="n">
        <v>25</v>
      </c>
      <c r="AJ170" t="n">
        <v>74</v>
      </c>
      <c r="AK170" t="n">
        <v>74</v>
      </c>
      <c r="AL170" t="n">
        <v>1</v>
      </c>
      <c r="AM170" t="n">
        <v>2</v>
      </c>
      <c r="AN170" t="n">
        <v>0</v>
      </c>
      <c r="AO170" t="n">
        <v>0</v>
      </c>
      <c r="AP170" t="n">
        <v>6</v>
      </c>
      <c r="AQ170" t="n">
        <v>55</v>
      </c>
      <c r="AR170" t="n">
        <v>75</v>
      </c>
      <c r="AS170" t="n">
        <v>29</v>
      </c>
      <c r="AT170" t="n">
        <v>1</v>
      </c>
      <c r="AU170" t="n">
        <v>4</v>
      </c>
      <c r="AV170" t="n">
        <v>1</v>
      </c>
      <c r="AW170" t="n">
        <v>44</v>
      </c>
      <c r="AX170" t="n">
        <v>0</v>
      </c>
      <c r="AY170" t="n">
        <v>8</v>
      </c>
      <c r="AZ170" t="n">
        <v>1</v>
      </c>
      <c r="BA170" t="n">
        <v>4</v>
      </c>
      <c r="BB170" t="n">
        <v>46</v>
      </c>
      <c r="BC170" t="n">
        <v>40</v>
      </c>
      <c r="BD170" t="n">
        <v>38</v>
      </c>
      <c r="BE170" t="n">
        <v>52</v>
      </c>
      <c r="BF170" t="n">
        <v>70</v>
      </c>
      <c r="BG170" t="n">
        <v>1</v>
      </c>
      <c r="BH170" t="n">
        <v>25</v>
      </c>
      <c r="BI170" t="n">
        <v>1</v>
      </c>
      <c r="BJ170" t="n">
        <v>13</v>
      </c>
      <c r="BK170" t="n">
        <v>4</v>
      </c>
      <c r="BL170" t="n">
        <v>8</v>
      </c>
      <c r="BM170" t="n">
        <v>10</v>
      </c>
      <c r="BN170" t="n">
        <v>4</v>
      </c>
      <c r="BO170" t="n">
        <v>28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0</v>
      </c>
      <c r="Y171" t="n">
        <v>387</v>
      </c>
      <c r="Z171" t="n">
        <v>117</v>
      </c>
      <c r="AA171" t="n">
        <v>64</v>
      </c>
      <c r="AB171" t="n">
        <v>1</v>
      </c>
      <c r="AC171" t="n">
        <v>1</v>
      </c>
      <c r="AD171" t="n">
        <v>4</v>
      </c>
      <c r="AE171" t="n">
        <v>3</v>
      </c>
      <c r="AF171" t="n">
        <v>8</v>
      </c>
      <c r="AG171" t="n">
        <v>4</v>
      </c>
      <c r="AH171" t="n">
        <v>42</v>
      </c>
      <c r="AI171" t="n">
        <v>33</v>
      </c>
      <c r="AJ171" t="n">
        <v>82</v>
      </c>
      <c r="AK171" t="n">
        <v>35</v>
      </c>
      <c r="AL171" t="n">
        <v>3</v>
      </c>
      <c r="AM171" t="n">
        <v>13</v>
      </c>
      <c r="AN171" t="n">
        <v>0</v>
      </c>
      <c r="AO171" t="n">
        <v>0</v>
      </c>
      <c r="AP171" t="n">
        <v>2</v>
      </c>
      <c r="AQ171" t="n">
        <v>41</v>
      </c>
      <c r="AR171" t="n">
        <v>153</v>
      </c>
      <c r="AS171" t="n">
        <v>118</v>
      </c>
      <c r="AT171" t="n">
        <v>4</v>
      </c>
      <c r="AU171" t="n">
        <v>2</v>
      </c>
      <c r="AV171" t="n">
        <v>21</v>
      </c>
      <c r="AW171" t="n">
        <v>19</v>
      </c>
      <c r="AX171" t="n">
        <v>9</v>
      </c>
      <c r="AY171" t="n">
        <v>39</v>
      </c>
      <c r="AZ171" t="n">
        <v>2</v>
      </c>
      <c r="BA171" t="n">
        <v>11</v>
      </c>
      <c r="BB171" t="n">
        <v>73</v>
      </c>
      <c r="BC171" t="n">
        <v>10</v>
      </c>
      <c r="BD171" t="n">
        <v>41</v>
      </c>
      <c r="BE171" t="n">
        <v>19</v>
      </c>
      <c r="BF171" t="n">
        <v>67</v>
      </c>
      <c r="BG171" t="n">
        <v>4</v>
      </c>
      <c r="BH171" t="n">
        <v>36</v>
      </c>
      <c r="BI171" t="n">
        <v>53</v>
      </c>
      <c r="BJ171" t="n">
        <v>51</v>
      </c>
      <c r="BK171" t="n">
        <v>3</v>
      </c>
      <c r="BL171" t="n">
        <v>7</v>
      </c>
      <c r="BM171" t="n">
        <v>19</v>
      </c>
      <c r="BN171" t="n">
        <v>10</v>
      </c>
      <c r="BO171" t="n">
        <v>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172</v>
      </c>
      <c r="Z172" t="n">
        <v>146</v>
      </c>
      <c r="AA172" t="n">
        <v>80</v>
      </c>
      <c r="AB172" t="n">
        <v>2</v>
      </c>
      <c r="AC172" t="n">
        <v>0</v>
      </c>
      <c r="AD172" t="n">
        <v>5</v>
      </c>
      <c r="AE172" t="n">
        <v>7</v>
      </c>
      <c r="AF172" t="n">
        <v>2</v>
      </c>
      <c r="AG172" t="n">
        <v>9</v>
      </c>
      <c r="AH172" t="n">
        <v>46</v>
      </c>
      <c r="AI172" t="n">
        <v>62</v>
      </c>
      <c r="AJ172" t="n">
        <v>19</v>
      </c>
      <c r="AK172" t="n">
        <v>87</v>
      </c>
      <c r="AL172" t="n">
        <v>2</v>
      </c>
      <c r="AM172" t="n">
        <v>39</v>
      </c>
      <c r="AN172" t="n">
        <v>0</v>
      </c>
      <c r="AO172" t="n">
        <v>0</v>
      </c>
      <c r="AP172" t="n">
        <v>0</v>
      </c>
      <c r="AQ172" t="n">
        <v>4</v>
      </c>
      <c r="AR172" t="n">
        <v>76</v>
      </c>
      <c r="AS172" t="n">
        <v>69</v>
      </c>
      <c r="AT172" t="n">
        <v>0</v>
      </c>
      <c r="AU172" t="n">
        <v>2</v>
      </c>
      <c r="AV172" t="n">
        <v>4</v>
      </c>
      <c r="AW172" t="n">
        <v>9</v>
      </c>
      <c r="AX172" t="n">
        <v>0</v>
      </c>
      <c r="AY172" t="n">
        <v>23</v>
      </c>
      <c r="AZ172" t="n">
        <v>0</v>
      </c>
      <c r="BA172" t="n">
        <v>1</v>
      </c>
      <c r="BB172" t="n">
        <v>78</v>
      </c>
      <c r="BC172" t="n">
        <v>32</v>
      </c>
      <c r="BD172" t="n">
        <v>41</v>
      </c>
      <c r="BE172" t="n">
        <v>9</v>
      </c>
      <c r="BF172" t="n">
        <v>33</v>
      </c>
      <c r="BG172" t="n">
        <v>1</v>
      </c>
      <c r="BH172" t="n">
        <v>3</v>
      </c>
      <c r="BI172" t="n">
        <v>36</v>
      </c>
      <c r="BJ172" t="n">
        <v>33</v>
      </c>
      <c r="BK172" t="n">
        <v>0</v>
      </c>
      <c r="BL172" t="n">
        <v>4</v>
      </c>
      <c r="BM172" t="n">
        <v>1</v>
      </c>
      <c r="BN172" t="n">
        <v>0</v>
      </c>
      <c r="BO172" t="n">
        <v>2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181</v>
      </c>
      <c r="Z173" t="n">
        <v>259</v>
      </c>
      <c r="AA173" t="n">
        <v>49</v>
      </c>
      <c r="AB173" t="n">
        <v>2</v>
      </c>
      <c r="AC173" t="n">
        <v>0</v>
      </c>
      <c r="AD173" t="n">
        <v>3</v>
      </c>
      <c r="AE173" t="n">
        <v>6</v>
      </c>
      <c r="AF173" t="n">
        <v>2</v>
      </c>
      <c r="AG173" t="n">
        <v>5</v>
      </c>
      <c r="AH173" t="n">
        <v>51</v>
      </c>
      <c r="AI173" t="n">
        <v>20</v>
      </c>
      <c r="AJ173" t="n">
        <v>11</v>
      </c>
      <c r="AK173" t="n">
        <v>30</v>
      </c>
      <c r="AL173" t="n">
        <v>0</v>
      </c>
      <c r="AM173" t="n">
        <v>65</v>
      </c>
      <c r="AN173" t="n">
        <v>0</v>
      </c>
      <c r="AO173" t="n">
        <v>0</v>
      </c>
      <c r="AP173" t="n">
        <v>8</v>
      </c>
      <c r="AQ173" t="n">
        <v>41</v>
      </c>
      <c r="AR173" t="n">
        <v>60</v>
      </c>
      <c r="AS173" t="n">
        <v>25</v>
      </c>
      <c r="AT173" t="n">
        <v>1</v>
      </c>
      <c r="AU173" t="n">
        <v>2</v>
      </c>
      <c r="AV173" t="n">
        <v>6</v>
      </c>
      <c r="AW173" t="n">
        <v>37</v>
      </c>
      <c r="AX173" t="n">
        <v>0</v>
      </c>
      <c r="AY173" t="n">
        <v>13</v>
      </c>
      <c r="AZ173" t="n">
        <v>3</v>
      </c>
      <c r="BA173" t="n">
        <v>20</v>
      </c>
      <c r="BB173" t="n">
        <v>66</v>
      </c>
      <c r="BC173" t="n">
        <v>55</v>
      </c>
      <c r="BD173" t="n">
        <v>45</v>
      </c>
      <c r="BE173" t="n">
        <v>36</v>
      </c>
      <c r="BF173" t="n">
        <v>9</v>
      </c>
      <c r="BG173" t="n">
        <v>5</v>
      </c>
      <c r="BH173" t="n">
        <v>17</v>
      </c>
      <c r="BI173" t="n">
        <v>24</v>
      </c>
      <c r="BJ173" t="n">
        <v>22</v>
      </c>
      <c r="BK173" t="n">
        <v>2</v>
      </c>
      <c r="BL173" t="n">
        <v>16</v>
      </c>
      <c r="BM173" t="n">
        <v>36</v>
      </c>
      <c r="BN173" t="n">
        <v>17</v>
      </c>
      <c r="BO173" t="n">
        <v>2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186</v>
      </c>
      <c r="Z174" t="n">
        <v>169</v>
      </c>
      <c r="AA174" t="n">
        <v>53</v>
      </c>
      <c r="AB174" t="n">
        <v>4</v>
      </c>
      <c r="AC174" t="n">
        <v>1</v>
      </c>
      <c r="AD174" t="n">
        <v>5</v>
      </c>
      <c r="AE174" t="n">
        <v>7</v>
      </c>
      <c r="AF174" t="n">
        <v>0</v>
      </c>
      <c r="AG174" t="n">
        <v>0</v>
      </c>
      <c r="AH174" t="n">
        <v>68</v>
      </c>
      <c r="AI174" t="n">
        <v>51</v>
      </c>
      <c r="AJ174" t="n">
        <v>12</v>
      </c>
      <c r="AK174" t="n">
        <v>3</v>
      </c>
      <c r="AL174" t="n">
        <v>2</v>
      </c>
      <c r="AM174" t="n">
        <v>25</v>
      </c>
      <c r="AN174" t="n">
        <v>0</v>
      </c>
      <c r="AO174" t="n">
        <v>0</v>
      </c>
      <c r="AP174" t="n">
        <v>8</v>
      </c>
      <c r="AQ174" t="n">
        <v>64</v>
      </c>
      <c r="AR174" t="n">
        <v>182</v>
      </c>
      <c r="AS174" t="n">
        <v>123</v>
      </c>
      <c r="AT174" t="n">
        <v>3</v>
      </c>
      <c r="AU174" t="n">
        <v>2</v>
      </c>
      <c r="AV174" t="n">
        <v>15</v>
      </c>
      <c r="AW174" t="n">
        <v>10</v>
      </c>
      <c r="AX174" t="n">
        <v>4</v>
      </c>
      <c r="AY174" t="n">
        <v>41</v>
      </c>
      <c r="AZ174" t="n">
        <v>0</v>
      </c>
      <c r="BA174" t="n">
        <v>1</v>
      </c>
      <c r="BB174" t="n">
        <v>53</v>
      </c>
      <c r="BC174" t="n">
        <v>22</v>
      </c>
      <c r="BD174" t="n">
        <v>65</v>
      </c>
      <c r="BE174" t="n">
        <v>12</v>
      </c>
      <c r="BF174" t="n">
        <v>10</v>
      </c>
      <c r="BG174" t="n">
        <v>2</v>
      </c>
      <c r="BH174" t="n">
        <v>13</v>
      </c>
      <c r="BI174" t="n">
        <v>23</v>
      </c>
      <c r="BJ174" t="n">
        <v>21</v>
      </c>
      <c r="BK174" t="n">
        <v>6</v>
      </c>
      <c r="BL174" t="n">
        <v>73</v>
      </c>
      <c r="BM174" t="n">
        <v>58</v>
      </c>
      <c r="BN174" t="n">
        <v>7</v>
      </c>
      <c r="BO174" t="n">
        <v>28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0</v>
      </c>
      <c r="Y175" t="n">
        <v>303</v>
      </c>
      <c r="Z175" t="n">
        <v>141</v>
      </c>
      <c r="AA175" t="n">
        <v>103</v>
      </c>
      <c r="AB175" t="n">
        <v>1</v>
      </c>
      <c r="AC175" t="n">
        <v>1</v>
      </c>
      <c r="AD175" t="n">
        <v>4</v>
      </c>
      <c r="AE175" t="n">
        <v>1</v>
      </c>
      <c r="AF175" t="n">
        <v>4</v>
      </c>
      <c r="AG175" t="n">
        <v>6</v>
      </c>
      <c r="AH175" t="n">
        <v>69</v>
      </c>
      <c r="AI175" t="n">
        <v>13</v>
      </c>
      <c r="AJ175" t="n">
        <v>71</v>
      </c>
      <c r="AK175" t="n">
        <v>51</v>
      </c>
      <c r="AL175" t="n">
        <v>1</v>
      </c>
      <c r="AM175" t="n">
        <v>35</v>
      </c>
      <c r="AN175" t="n">
        <v>0</v>
      </c>
      <c r="AO175" t="n">
        <v>0</v>
      </c>
      <c r="AP175" t="n">
        <v>7</v>
      </c>
      <c r="AQ175" t="n">
        <v>65</v>
      </c>
      <c r="AR175" t="n">
        <v>180</v>
      </c>
      <c r="AS175" t="n">
        <v>121</v>
      </c>
      <c r="AT175" t="n">
        <v>1</v>
      </c>
      <c r="AU175" t="n">
        <v>0</v>
      </c>
      <c r="AV175" t="n">
        <v>1</v>
      </c>
      <c r="AW175" t="n">
        <v>33</v>
      </c>
      <c r="AX175" t="n">
        <v>7</v>
      </c>
      <c r="AY175" t="n">
        <v>24</v>
      </c>
      <c r="AZ175" t="n">
        <v>0</v>
      </c>
      <c r="BA175" t="n">
        <v>1</v>
      </c>
      <c r="BB175" t="n">
        <v>100</v>
      </c>
      <c r="BC175" t="n">
        <v>32</v>
      </c>
      <c r="BD175" t="n">
        <v>61</v>
      </c>
      <c r="BE175" t="n">
        <v>33</v>
      </c>
      <c r="BF175" t="n">
        <v>85</v>
      </c>
      <c r="BG175" t="n">
        <v>3</v>
      </c>
      <c r="BH175" t="n">
        <v>15</v>
      </c>
      <c r="BI175" t="n">
        <v>10</v>
      </c>
      <c r="BJ175" t="n">
        <v>9</v>
      </c>
      <c r="BK175" t="n">
        <v>1</v>
      </c>
      <c r="BL175" t="n">
        <v>1</v>
      </c>
      <c r="BM175" t="n">
        <v>20</v>
      </c>
      <c r="BN175" t="n">
        <v>11</v>
      </c>
      <c r="BO175" t="n">
        <v>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129</v>
      </c>
      <c r="Z176" t="n">
        <v>203</v>
      </c>
      <c r="AA176" t="n">
        <v>47</v>
      </c>
      <c r="AB176" t="n">
        <v>0</v>
      </c>
      <c r="AC176" t="n">
        <v>0</v>
      </c>
      <c r="AD176" t="n">
        <v>4</v>
      </c>
      <c r="AE176" t="n">
        <v>4</v>
      </c>
      <c r="AF176" t="n">
        <v>2</v>
      </c>
      <c r="AG176" t="n">
        <v>0</v>
      </c>
      <c r="AH176" t="n">
        <v>28</v>
      </c>
      <c r="AI176" t="n">
        <v>36</v>
      </c>
      <c r="AJ176" t="n">
        <v>32</v>
      </c>
      <c r="AK176" t="n">
        <v>1</v>
      </c>
      <c r="AL176" t="n">
        <v>4</v>
      </c>
      <c r="AM176" t="n">
        <v>51</v>
      </c>
      <c r="AN176" t="n">
        <v>0</v>
      </c>
      <c r="AO176" t="n">
        <v>0</v>
      </c>
      <c r="AP176" t="n">
        <v>6</v>
      </c>
      <c r="AQ176" t="n">
        <v>44</v>
      </c>
      <c r="AR176" t="n">
        <v>90</v>
      </c>
      <c r="AS176" t="n">
        <v>54</v>
      </c>
      <c r="AT176" t="n">
        <v>1</v>
      </c>
      <c r="AU176" t="n">
        <v>0</v>
      </c>
      <c r="AV176" t="n">
        <v>9</v>
      </c>
      <c r="AW176" t="n">
        <v>13</v>
      </c>
      <c r="AX176" t="n">
        <v>0</v>
      </c>
      <c r="AY176" t="n">
        <v>28</v>
      </c>
      <c r="AZ176" t="n">
        <v>5</v>
      </c>
      <c r="BA176" t="n">
        <v>59</v>
      </c>
      <c r="BB176" t="n">
        <v>111</v>
      </c>
      <c r="BC176" t="n">
        <v>43</v>
      </c>
      <c r="BD176" t="n">
        <v>29</v>
      </c>
      <c r="BE176" t="n">
        <v>19</v>
      </c>
      <c r="BF176" t="n">
        <v>26</v>
      </c>
      <c r="BG176" t="n">
        <v>3</v>
      </c>
      <c r="BH176" t="n">
        <v>4</v>
      </c>
      <c r="BI176" t="n">
        <v>29</v>
      </c>
      <c r="BJ176" t="n">
        <v>28</v>
      </c>
      <c r="BK176" t="n">
        <v>0</v>
      </c>
      <c r="BL176" t="n">
        <v>3</v>
      </c>
      <c r="BM176" t="n">
        <v>29</v>
      </c>
      <c r="BN176" t="n">
        <v>17</v>
      </c>
      <c r="BO176" t="n">
        <v>2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112</v>
      </c>
      <c r="Z177" t="n">
        <v>281</v>
      </c>
      <c r="AA177" t="n">
        <v>44</v>
      </c>
      <c r="AB177" t="n">
        <v>2</v>
      </c>
      <c r="AC177" t="n">
        <v>0</v>
      </c>
      <c r="AD177" t="n">
        <v>4</v>
      </c>
      <c r="AE177" t="n">
        <v>1</v>
      </c>
      <c r="AF177" t="n">
        <v>1</v>
      </c>
      <c r="AG177" t="n">
        <v>1</v>
      </c>
      <c r="AH177" t="n">
        <v>36</v>
      </c>
      <c r="AI177" t="n">
        <v>31</v>
      </c>
      <c r="AJ177" t="n">
        <v>6</v>
      </c>
      <c r="AK177" t="n">
        <v>9</v>
      </c>
      <c r="AL177" t="n">
        <v>5</v>
      </c>
      <c r="AM177" t="n">
        <v>121</v>
      </c>
      <c r="AN177" t="n">
        <v>0</v>
      </c>
      <c r="AO177" t="n">
        <v>0</v>
      </c>
      <c r="AP177" t="n">
        <v>4</v>
      </c>
      <c r="AQ177" t="n">
        <v>29</v>
      </c>
      <c r="AR177" t="n">
        <v>71</v>
      </c>
      <c r="AS177" t="n">
        <v>48</v>
      </c>
      <c r="AT177" t="n">
        <v>1</v>
      </c>
      <c r="AU177" t="n">
        <v>2</v>
      </c>
      <c r="AV177" t="n">
        <v>8</v>
      </c>
      <c r="AW177" t="n">
        <v>17</v>
      </c>
      <c r="AX177" t="n">
        <v>1</v>
      </c>
      <c r="AY177" t="n">
        <v>1</v>
      </c>
      <c r="AZ177" t="n">
        <v>6</v>
      </c>
      <c r="BA177" t="n">
        <v>31</v>
      </c>
      <c r="BB177" t="n">
        <v>75</v>
      </c>
      <c r="BC177" t="n">
        <v>103</v>
      </c>
      <c r="BD177" t="n">
        <v>32</v>
      </c>
      <c r="BE177" t="n">
        <v>23</v>
      </c>
      <c r="BF177" t="n">
        <v>3</v>
      </c>
      <c r="BG177" t="n">
        <v>1</v>
      </c>
      <c r="BH177" t="n">
        <v>1</v>
      </c>
      <c r="BI177" t="n">
        <v>32</v>
      </c>
      <c r="BJ177" t="n">
        <v>29</v>
      </c>
      <c r="BK177" t="n">
        <v>3</v>
      </c>
      <c r="BL177" t="n">
        <v>15</v>
      </c>
      <c r="BM177" t="n">
        <v>24</v>
      </c>
      <c r="BN177" t="n">
        <v>10</v>
      </c>
      <c r="BO177" t="n">
        <v>-3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4</v>
      </c>
      <c r="F178" t="n">
        <v>3</v>
      </c>
      <c r="G178" t="n">
        <v>2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292</v>
      </c>
      <c r="Z178" t="n">
        <v>223</v>
      </c>
      <c r="AA178" t="n">
        <v>22</v>
      </c>
      <c r="AB178" t="n">
        <v>2</v>
      </c>
      <c r="AC178" t="n">
        <v>5</v>
      </c>
      <c r="AD178" t="n">
        <v>6</v>
      </c>
      <c r="AE178" t="n">
        <v>3</v>
      </c>
      <c r="AF178" t="n">
        <v>9</v>
      </c>
      <c r="AG178" t="n">
        <v>2</v>
      </c>
      <c r="AH178" t="n">
        <v>104</v>
      </c>
      <c r="AI178" t="n">
        <v>59</v>
      </c>
      <c r="AJ178" t="n">
        <v>90</v>
      </c>
      <c r="AK178" t="n">
        <v>6</v>
      </c>
      <c r="AL178" t="n">
        <v>7</v>
      </c>
      <c r="AM178" t="n">
        <v>72</v>
      </c>
      <c r="AN178" t="n">
        <v>0</v>
      </c>
      <c r="AO178" t="n">
        <v>0</v>
      </c>
      <c r="AP178" t="n">
        <v>9</v>
      </c>
      <c r="AQ178" t="n">
        <v>56</v>
      </c>
      <c r="AR178" t="n">
        <v>119</v>
      </c>
      <c r="AS178" t="n">
        <v>71</v>
      </c>
      <c r="AT178" t="n">
        <v>3</v>
      </c>
      <c r="AU178" t="n">
        <v>3</v>
      </c>
      <c r="AV178" t="n">
        <v>37</v>
      </c>
      <c r="AW178" t="n">
        <v>30</v>
      </c>
      <c r="AX178" t="n">
        <v>1</v>
      </c>
      <c r="AY178" t="n">
        <v>80</v>
      </c>
      <c r="AZ178" t="n">
        <v>0</v>
      </c>
      <c r="BA178" t="n">
        <v>1</v>
      </c>
      <c r="BB178" t="n">
        <v>21</v>
      </c>
      <c r="BC178" t="n">
        <v>65</v>
      </c>
      <c r="BD178" t="n">
        <v>104</v>
      </c>
      <c r="BE178" t="n">
        <v>36</v>
      </c>
      <c r="BF178" t="n">
        <v>71</v>
      </c>
      <c r="BG178" t="n">
        <v>4</v>
      </c>
      <c r="BH178" t="n">
        <v>0</v>
      </c>
      <c r="BI178" t="n">
        <v>11</v>
      </c>
      <c r="BJ178" t="n">
        <v>9</v>
      </c>
      <c r="BK178" t="n">
        <v>0</v>
      </c>
      <c r="BL178" t="n">
        <v>1</v>
      </c>
      <c r="BM178" t="n">
        <v>7</v>
      </c>
      <c r="BN178" t="n">
        <v>4</v>
      </c>
      <c r="BO178" t="n">
        <v>4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3</v>
      </c>
      <c r="U179" t="n">
        <v>0</v>
      </c>
      <c r="V179" t="n">
        <v>0</v>
      </c>
      <c r="W179" t="n">
        <v>0</v>
      </c>
      <c r="X179" t="n">
        <v>0</v>
      </c>
      <c r="Y179" t="n">
        <v>196</v>
      </c>
      <c r="Z179" t="n">
        <v>180</v>
      </c>
      <c r="AA179" t="n">
        <v>101</v>
      </c>
      <c r="AB179" t="n">
        <v>2</v>
      </c>
      <c r="AC179" t="n">
        <v>2</v>
      </c>
      <c r="AD179" t="n">
        <v>2</v>
      </c>
      <c r="AE179" t="n">
        <v>7</v>
      </c>
      <c r="AF179" t="n">
        <v>5</v>
      </c>
      <c r="AG179" t="n">
        <v>3</v>
      </c>
      <c r="AH179" t="n">
        <v>36</v>
      </c>
      <c r="AI179" t="n">
        <v>92</v>
      </c>
      <c r="AJ179" t="n">
        <v>89</v>
      </c>
      <c r="AK179" t="n">
        <v>9</v>
      </c>
      <c r="AL179" t="n">
        <v>4</v>
      </c>
      <c r="AM179" t="n">
        <v>31</v>
      </c>
      <c r="AN179" t="n">
        <v>0</v>
      </c>
      <c r="AO179" t="n">
        <v>0</v>
      </c>
      <c r="AP179" t="n">
        <v>3</v>
      </c>
      <c r="AQ179" t="n">
        <v>39</v>
      </c>
      <c r="AR179" t="n">
        <v>117</v>
      </c>
      <c r="AS179" t="n">
        <v>83</v>
      </c>
      <c r="AT179" t="n">
        <v>4</v>
      </c>
      <c r="AU179" t="n">
        <v>4</v>
      </c>
      <c r="AV179" t="n">
        <v>25</v>
      </c>
      <c r="AW179" t="n">
        <v>19</v>
      </c>
      <c r="AX179" t="n">
        <v>22</v>
      </c>
      <c r="AY179" t="n">
        <v>44</v>
      </c>
      <c r="AZ179" t="n">
        <v>3</v>
      </c>
      <c r="BA179" t="n">
        <v>24</v>
      </c>
      <c r="BB179" t="n">
        <v>121</v>
      </c>
      <c r="BC179" t="n">
        <v>25</v>
      </c>
      <c r="BD179" t="n">
        <v>53</v>
      </c>
      <c r="BE179" t="n">
        <v>19</v>
      </c>
      <c r="BF179" t="n">
        <v>84</v>
      </c>
      <c r="BG179" t="n">
        <v>1</v>
      </c>
      <c r="BH179" t="n">
        <v>1</v>
      </c>
      <c r="BI179" t="n">
        <v>18</v>
      </c>
      <c r="BJ179" t="n">
        <v>15</v>
      </c>
      <c r="BK179" t="n">
        <v>0</v>
      </c>
      <c r="BL179" t="n">
        <v>1</v>
      </c>
      <c r="BM179" t="n">
        <v>1</v>
      </c>
      <c r="BN179" t="n">
        <v>0</v>
      </c>
      <c r="BO179" t="n">
        <v>86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217</v>
      </c>
      <c r="Z180" t="n">
        <v>138</v>
      </c>
      <c r="AA180" t="n">
        <v>73</v>
      </c>
      <c r="AB180" t="n">
        <v>2</v>
      </c>
      <c r="AC180" t="n">
        <v>3</v>
      </c>
      <c r="AD180" t="n">
        <v>8</v>
      </c>
      <c r="AE180" t="n">
        <v>0</v>
      </c>
      <c r="AF180" t="n">
        <v>1</v>
      </c>
      <c r="AG180" t="n">
        <v>8</v>
      </c>
      <c r="AH180" t="n">
        <v>62</v>
      </c>
      <c r="AI180" t="n">
        <v>20</v>
      </c>
      <c r="AJ180" t="n">
        <v>18</v>
      </c>
      <c r="AK180" t="n">
        <v>60</v>
      </c>
      <c r="AL180" t="n">
        <v>3</v>
      </c>
      <c r="AM180" t="n">
        <v>20</v>
      </c>
      <c r="AN180" t="n">
        <v>0</v>
      </c>
      <c r="AO180" t="n">
        <v>0</v>
      </c>
      <c r="AP180" t="n">
        <v>5</v>
      </c>
      <c r="AQ180" t="n">
        <v>15</v>
      </c>
      <c r="AR180" t="n">
        <v>21</v>
      </c>
      <c r="AS180" t="n">
        <v>8</v>
      </c>
      <c r="AT180" t="n">
        <v>3</v>
      </c>
      <c r="AU180" t="n">
        <v>1</v>
      </c>
      <c r="AV180" t="n">
        <v>25</v>
      </c>
      <c r="AW180" t="n">
        <v>5</v>
      </c>
      <c r="AX180" t="n">
        <v>0</v>
      </c>
      <c r="AY180" t="n">
        <v>34</v>
      </c>
      <c r="AZ180" t="n">
        <v>1</v>
      </c>
      <c r="BA180" t="n">
        <v>1</v>
      </c>
      <c r="BB180" t="n">
        <v>72</v>
      </c>
      <c r="BC180" t="n">
        <v>18</v>
      </c>
      <c r="BD180" t="n">
        <v>55</v>
      </c>
      <c r="BE180" t="n">
        <v>4</v>
      </c>
      <c r="BF180" t="n">
        <v>14</v>
      </c>
      <c r="BG180" t="n">
        <v>3</v>
      </c>
      <c r="BH180" t="n">
        <v>7</v>
      </c>
      <c r="BI180" t="n">
        <v>16</v>
      </c>
      <c r="BJ180" t="n">
        <v>14</v>
      </c>
      <c r="BK180" t="n">
        <v>2</v>
      </c>
      <c r="BL180" t="n">
        <v>15</v>
      </c>
      <c r="BM180" t="n">
        <v>18</v>
      </c>
      <c r="BN180" t="n">
        <v>6</v>
      </c>
      <c r="BO180" t="n">
        <v>2</v>
      </c>
    </row>
    <row r="181">
      <c r="A181" t="n">
        <v>1</v>
      </c>
      <c r="B181" t="n">
        <v>0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335</v>
      </c>
      <c r="Z181" t="n">
        <v>115</v>
      </c>
      <c r="AA181" t="n">
        <v>81</v>
      </c>
      <c r="AB181" t="n">
        <v>0</v>
      </c>
      <c r="AC181" t="n">
        <v>2</v>
      </c>
      <c r="AD181" t="n">
        <v>2</v>
      </c>
      <c r="AE181" t="n">
        <v>7</v>
      </c>
      <c r="AF181" t="n">
        <v>6</v>
      </c>
      <c r="AG181" t="n">
        <v>3</v>
      </c>
      <c r="AH181" t="n">
        <v>39</v>
      </c>
      <c r="AI181" t="n">
        <v>30</v>
      </c>
      <c r="AJ181" t="n">
        <v>109</v>
      </c>
      <c r="AK181" t="n">
        <v>25</v>
      </c>
      <c r="AL181" t="n">
        <v>1</v>
      </c>
      <c r="AM181" t="n">
        <v>9</v>
      </c>
      <c r="AN181" t="n">
        <v>0</v>
      </c>
      <c r="AO181" t="n">
        <v>0</v>
      </c>
      <c r="AP181" t="n">
        <v>9</v>
      </c>
      <c r="AQ181" t="n">
        <v>131</v>
      </c>
      <c r="AR181" t="n">
        <v>191</v>
      </c>
      <c r="AS181" t="n">
        <v>82</v>
      </c>
      <c r="AT181" t="n">
        <v>1</v>
      </c>
      <c r="AU181" t="n">
        <v>0</v>
      </c>
      <c r="AV181" t="n">
        <v>1</v>
      </c>
      <c r="AW181" t="n">
        <v>3</v>
      </c>
      <c r="AX181" t="n">
        <v>4</v>
      </c>
      <c r="AY181" t="n">
        <v>54</v>
      </c>
      <c r="AZ181" t="n">
        <v>3</v>
      </c>
      <c r="BA181" t="n">
        <v>10</v>
      </c>
      <c r="BB181" t="n">
        <v>87</v>
      </c>
      <c r="BC181" t="n">
        <v>6</v>
      </c>
      <c r="BD181" t="n">
        <v>33</v>
      </c>
      <c r="BE181" t="n">
        <v>2</v>
      </c>
      <c r="BF181" t="n">
        <v>87</v>
      </c>
      <c r="BG181" t="n">
        <v>1</v>
      </c>
      <c r="BH181" t="n">
        <v>13</v>
      </c>
      <c r="BI181" t="n">
        <v>31</v>
      </c>
      <c r="BJ181" t="n">
        <v>28</v>
      </c>
      <c r="BK181" t="n">
        <v>3</v>
      </c>
      <c r="BL181" t="n">
        <v>7</v>
      </c>
      <c r="BM181" t="n">
        <v>8</v>
      </c>
      <c r="BN181" t="n">
        <v>4</v>
      </c>
      <c r="BO181" t="n">
        <v>2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107</v>
      </c>
      <c r="Z182" t="n">
        <v>194</v>
      </c>
      <c r="AA182" t="n">
        <v>54</v>
      </c>
      <c r="AB182" t="n">
        <v>0</v>
      </c>
      <c r="AC182" t="n">
        <v>3</v>
      </c>
      <c r="AD182" t="n">
        <v>3</v>
      </c>
      <c r="AE182" t="n">
        <v>3</v>
      </c>
      <c r="AF182" t="n">
        <v>3</v>
      </c>
      <c r="AG182" t="n">
        <v>0</v>
      </c>
      <c r="AH182" t="n">
        <v>38</v>
      </c>
      <c r="AI182" t="n">
        <v>57</v>
      </c>
      <c r="AJ182" t="n">
        <v>22</v>
      </c>
      <c r="AK182" t="n">
        <v>1</v>
      </c>
      <c r="AL182" t="n">
        <v>2</v>
      </c>
      <c r="AM182" t="n">
        <v>18</v>
      </c>
      <c r="AN182" t="n">
        <v>2</v>
      </c>
      <c r="AO182" t="n">
        <v>0</v>
      </c>
      <c r="AP182" t="n">
        <v>5</v>
      </c>
      <c r="AQ182" t="n">
        <v>-3</v>
      </c>
      <c r="AR182" t="n">
        <v>130</v>
      </c>
      <c r="AS182" t="n">
        <v>122</v>
      </c>
      <c r="AT182" t="n">
        <v>0</v>
      </c>
      <c r="AU182" t="n">
        <v>2</v>
      </c>
      <c r="AV182" t="n">
        <v>4</v>
      </c>
      <c r="AW182" t="n">
        <v>7</v>
      </c>
      <c r="AX182" t="n">
        <v>5</v>
      </c>
      <c r="AY182" t="n">
        <v>41</v>
      </c>
      <c r="AZ182" t="n">
        <v>4</v>
      </c>
      <c r="BA182" t="n">
        <v>17</v>
      </c>
      <c r="BB182" t="n">
        <v>69</v>
      </c>
      <c r="BC182" t="n">
        <v>14</v>
      </c>
      <c r="BD182" t="n">
        <v>33</v>
      </c>
      <c r="BE182" t="n">
        <v>7</v>
      </c>
      <c r="BF182" t="n">
        <v>19</v>
      </c>
      <c r="BG182" t="n">
        <v>0</v>
      </c>
      <c r="BH182" t="n">
        <v>6</v>
      </c>
      <c r="BI182" t="n">
        <v>1</v>
      </c>
      <c r="BJ182" t="n">
        <v>1</v>
      </c>
      <c r="BK182" t="n">
        <v>3</v>
      </c>
      <c r="BL182" t="n">
        <v>7</v>
      </c>
      <c r="BM182" t="n">
        <v>4</v>
      </c>
      <c r="BN182" t="n">
        <v>0</v>
      </c>
      <c r="BO182" t="n">
        <v>7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268</v>
      </c>
      <c r="Z183" t="n">
        <v>222</v>
      </c>
      <c r="AA183" t="n">
        <v>48</v>
      </c>
      <c r="AB183" t="n">
        <v>3</v>
      </c>
      <c r="AC183" t="n">
        <v>0</v>
      </c>
      <c r="AD183" t="n">
        <v>5</v>
      </c>
      <c r="AE183" t="n">
        <v>4</v>
      </c>
      <c r="AF183" t="n">
        <v>5</v>
      </c>
      <c r="AG183" t="n">
        <v>2</v>
      </c>
      <c r="AH183" t="n">
        <v>47</v>
      </c>
      <c r="AI183" t="n">
        <v>120</v>
      </c>
      <c r="AJ183" t="n">
        <v>44</v>
      </c>
      <c r="AK183" t="n">
        <v>24</v>
      </c>
      <c r="AL183" t="n">
        <v>6</v>
      </c>
      <c r="AM183" t="n">
        <v>48</v>
      </c>
      <c r="AN183" t="n">
        <v>0</v>
      </c>
      <c r="AO183" t="n">
        <v>0</v>
      </c>
      <c r="AP183" t="n">
        <v>6</v>
      </c>
      <c r="AQ183" t="n">
        <v>52</v>
      </c>
      <c r="AR183" t="n">
        <v>104</v>
      </c>
      <c r="AS183" t="n">
        <v>61</v>
      </c>
      <c r="AT183" t="n">
        <v>3</v>
      </c>
      <c r="AU183" t="n">
        <v>2</v>
      </c>
      <c r="AV183" t="n">
        <v>34</v>
      </c>
      <c r="AW183" t="n">
        <v>18</v>
      </c>
      <c r="AX183" t="n">
        <v>1</v>
      </c>
      <c r="AY183" t="n">
        <v>1</v>
      </c>
      <c r="AZ183" t="n">
        <v>4</v>
      </c>
      <c r="BA183" t="n">
        <v>29</v>
      </c>
      <c r="BB183" t="n">
        <v>75</v>
      </c>
      <c r="BC183" t="n">
        <v>40</v>
      </c>
      <c r="BD183" t="n">
        <v>51</v>
      </c>
      <c r="BE183" t="n">
        <v>18</v>
      </c>
      <c r="BF183" t="n">
        <v>34</v>
      </c>
      <c r="BG183" t="n">
        <v>5</v>
      </c>
      <c r="BH183" t="n">
        <v>4</v>
      </c>
      <c r="BI183" t="n">
        <v>72</v>
      </c>
      <c r="BJ183" t="n">
        <v>73</v>
      </c>
      <c r="BK183" t="n">
        <v>2</v>
      </c>
      <c r="BL183" t="n">
        <v>1</v>
      </c>
      <c r="BM183" t="n">
        <v>10</v>
      </c>
      <c r="BN183" t="n">
        <v>5</v>
      </c>
      <c r="BO183" t="n">
        <v>11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241</v>
      </c>
      <c r="Z184" t="n">
        <v>211</v>
      </c>
      <c r="AA184" t="n">
        <v>44</v>
      </c>
      <c r="AB184" t="n">
        <v>0</v>
      </c>
      <c r="AC184" t="n">
        <v>3</v>
      </c>
      <c r="AD184" t="n">
        <v>5</v>
      </c>
      <c r="AE184" t="n">
        <v>3</v>
      </c>
      <c r="AF184" t="n">
        <v>3</v>
      </c>
      <c r="AG184" t="n">
        <v>4</v>
      </c>
      <c r="AH184" t="n">
        <v>57</v>
      </c>
      <c r="AI184" t="n">
        <v>32</v>
      </c>
      <c r="AJ184" t="n">
        <v>42</v>
      </c>
      <c r="AK184" t="n">
        <v>15</v>
      </c>
      <c r="AL184" t="n">
        <v>3</v>
      </c>
      <c r="AM184" t="n">
        <v>47</v>
      </c>
      <c r="AN184" t="n">
        <v>0</v>
      </c>
      <c r="AO184" t="n">
        <v>0</v>
      </c>
      <c r="AP184" t="n">
        <v>0</v>
      </c>
      <c r="AQ184" t="n">
        <v>4</v>
      </c>
      <c r="AR184" t="n">
        <v>25</v>
      </c>
      <c r="AS184" t="n">
        <v>22</v>
      </c>
      <c r="AT184" t="n">
        <v>4</v>
      </c>
      <c r="AU184" t="n">
        <v>2</v>
      </c>
      <c r="AV184" t="n">
        <v>24</v>
      </c>
      <c r="AW184" t="n">
        <v>17</v>
      </c>
      <c r="AX184" t="n">
        <v>0</v>
      </c>
      <c r="AY184" t="n">
        <v>25</v>
      </c>
      <c r="AZ184" t="n">
        <v>0</v>
      </c>
      <c r="BA184" t="n">
        <v>1</v>
      </c>
      <c r="BB184" t="n">
        <v>44</v>
      </c>
      <c r="BC184" t="n">
        <v>40</v>
      </c>
      <c r="BD184" t="n">
        <v>57</v>
      </c>
      <c r="BE184" t="n">
        <v>17</v>
      </c>
      <c r="BF184" t="n">
        <v>33</v>
      </c>
      <c r="BG184" t="n">
        <v>2</v>
      </c>
      <c r="BH184" t="n">
        <v>13</v>
      </c>
      <c r="BI184" t="n">
        <v>46</v>
      </c>
      <c r="BJ184" t="n">
        <v>47</v>
      </c>
      <c r="BK184" t="n">
        <v>3</v>
      </c>
      <c r="BL184" t="n">
        <v>15</v>
      </c>
      <c r="BM184" t="n">
        <v>12</v>
      </c>
      <c r="BN184" t="n">
        <v>1</v>
      </c>
      <c r="BO184" t="n">
        <v>2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143</v>
      </c>
      <c r="Z185" t="n">
        <v>251</v>
      </c>
      <c r="AA185" t="n">
        <v>42</v>
      </c>
      <c r="AB185" t="n">
        <v>2</v>
      </c>
      <c r="AC185" t="n">
        <v>0</v>
      </c>
      <c r="AD185" t="n">
        <v>7</v>
      </c>
      <c r="AE185" t="n">
        <v>6</v>
      </c>
      <c r="AF185" t="n">
        <v>4</v>
      </c>
      <c r="AG185" t="n">
        <v>3</v>
      </c>
      <c r="AH185" t="n">
        <v>82</v>
      </c>
      <c r="AI185" t="n">
        <v>57</v>
      </c>
      <c r="AJ185" t="n">
        <v>19</v>
      </c>
      <c r="AK185" t="n">
        <v>21</v>
      </c>
      <c r="AL185" t="n">
        <v>5</v>
      </c>
      <c r="AM185" t="n">
        <v>64</v>
      </c>
      <c r="AN185" t="n">
        <v>2</v>
      </c>
      <c r="AO185" t="n">
        <v>0</v>
      </c>
      <c r="AP185" t="n">
        <v>6</v>
      </c>
      <c r="AQ185" t="n">
        <v>32</v>
      </c>
      <c r="AR185" t="n">
        <v>108</v>
      </c>
      <c r="AS185" t="n">
        <v>81</v>
      </c>
      <c r="AT185" t="n">
        <v>2</v>
      </c>
      <c r="AU185" t="n">
        <v>0</v>
      </c>
      <c r="AV185" t="n">
        <v>6</v>
      </c>
      <c r="AW185" t="n">
        <v>5</v>
      </c>
      <c r="AX185" t="n">
        <v>6</v>
      </c>
      <c r="AY185" t="n">
        <v>25</v>
      </c>
      <c r="AZ185" t="n">
        <v>6</v>
      </c>
      <c r="BA185" t="n">
        <v>48</v>
      </c>
      <c r="BB185" t="n">
        <v>93</v>
      </c>
      <c r="BC185" t="n">
        <v>62</v>
      </c>
      <c r="BD185" t="n">
        <v>75</v>
      </c>
      <c r="BE185" t="n">
        <v>7</v>
      </c>
      <c r="BF185" t="n">
        <v>32</v>
      </c>
      <c r="BG185" t="n">
        <v>0</v>
      </c>
      <c r="BH185" t="n">
        <v>5</v>
      </c>
      <c r="BI185" t="n">
        <v>9</v>
      </c>
      <c r="BJ185" t="n">
        <v>24</v>
      </c>
      <c r="BK185" t="n">
        <v>2</v>
      </c>
      <c r="BL185" t="n">
        <v>56</v>
      </c>
      <c r="BM185" t="n">
        <v>40</v>
      </c>
      <c r="BN185" t="n">
        <v>3</v>
      </c>
      <c r="BO185" t="n">
        <v>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157</v>
      </c>
      <c r="Z186" t="n">
        <v>129</v>
      </c>
      <c r="AA186" t="n">
        <v>16</v>
      </c>
      <c r="AB186" t="n">
        <v>0</v>
      </c>
      <c r="AC186" t="n">
        <v>0</v>
      </c>
      <c r="AD186" t="n">
        <v>8</v>
      </c>
      <c r="AE186" t="n">
        <v>3</v>
      </c>
      <c r="AF186" t="n">
        <v>5</v>
      </c>
      <c r="AG186" t="n">
        <v>7</v>
      </c>
      <c r="AH186" t="n">
        <v>42</v>
      </c>
      <c r="AI186" t="n">
        <v>30</v>
      </c>
      <c r="AJ186" t="n">
        <v>59</v>
      </c>
      <c r="AK186" t="n">
        <v>50</v>
      </c>
      <c r="AL186" t="n">
        <v>3</v>
      </c>
      <c r="AM186" t="n">
        <v>13</v>
      </c>
      <c r="AN186" t="n">
        <v>0</v>
      </c>
      <c r="AO186" t="n">
        <v>0</v>
      </c>
      <c r="AP186" t="n">
        <v>6</v>
      </c>
      <c r="AQ186" t="n">
        <v>21</v>
      </c>
      <c r="AR186" t="n">
        <v>128</v>
      </c>
      <c r="AS186" t="n">
        <v>107</v>
      </c>
      <c r="AT186" t="n">
        <v>3</v>
      </c>
      <c r="AU186" t="n">
        <v>2</v>
      </c>
      <c r="AV186" t="n">
        <v>12</v>
      </c>
      <c r="AW186" t="n">
        <v>23</v>
      </c>
      <c r="AX186" t="n">
        <v>2</v>
      </c>
      <c r="AY186" t="n">
        <v>51</v>
      </c>
      <c r="AZ186" t="n">
        <v>2</v>
      </c>
      <c r="BA186" t="n">
        <v>1</v>
      </c>
      <c r="BB186" t="n">
        <v>16</v>
      </c>
      <c r="BC186" t="n">
        <v>10</v>
      </c>
      <c r="BD186" t="n">
        <v>37</v>
      </c>
      <c r="BE186" t="n">
        <v>28</v>
      </c>
      <c r="BF186" t="n">
        <v>47</v>
      </c>
      <c r="BG186" t="n">
        <v>3</v>
      </c>
      <c r="BH186" t="n">
        <v>5</v>
      </c>
      <c r="BI186" t="n">
        <v>16</v>
      </c>
      <c r="BJ186" t="n">
        <v>14</v>
      </c>
      <c r="BK186" t="n">
        <v>8</v>
      </c>
      <c r="BL186" t="n">
        <v>35</v>
      </c>
      <c r="BM186" t="n">
        <v>22</v>
      </c>
      <c r="BN186" t="n">
        <v>0</v>
      </c>
      <c r="BO186" t="n">
        <v>2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2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225</v>
      </c>
      <c r="Z187" t="n">
        <v>252</v>
      </c>
      <c r="AA187" t="n">
        <v>82</v>
      </c>
      <c r="AB187" t="n">
        <v>1</v>
      </c>
      <c r="AC187" t="n">
        <v>1</v>
      </c>
      <c r="AD187" t="n">
        <v>4</v>
      </c>
      <c r="AE187" t="n">
        <v>5</v>
      </c>
      <c r="AF187" t="n">
        <v>4</v>
      </c>
      <c r="AG187" t="n">
        <v>6</v>
      </c>
      <c r="AH187" t="n">
        <v>57</v>
      </c>
      <c r="AI187" t="n">
        <v>38</v>
      </c>
      <c r="AJ187" t="n">
        <v>31</v>
      </c>
      <c r="AK187" t="n">
        <v>65</v>
      </c>
      <c r="AL187" t="n">
        <v>2</v>
      </c>
      <c r="AM187" t="n">
        <v>21</v>
      </c>
      <c r="AN187" t="n">
        <v>0</v>
      </c>
      <c r="AO187" t="n">
        <v>0</v>
      </c>
      <c r="AP187" t="n">
        <v>6</v>
      </c>
      <c r="AQ187" t="n">
        <v>42</v>
      </c>
      <c r="AR187" t="n">
        <v>215</v>
      </c>
      <c r="AS187" t="n">
        <v>181</v>
      </c>
      <c r="AT187" t="n">
        <v>2</v>
      </c>
      <c r="AU187" t="n">
        <v>1</v>
      </c>
      <c r="AV187" t="n">
        <v>17</v>
      </c>
      <c r="AW187" t="n">
        <v>28</v>
      </c>
      <c r="AX187" t="n">
        <v>8</v>
      </c>
      <c r="AY187" t="n">
        <v>8</v>
      </c>
      <c r="AZ187" t="n">
        <v>3</v>
      </c>
      <c r="BA187" t="n">
        <v>26</v>
      </c>
      <c r="BB187" t="n">
        <v>104</v>
      </c>
      <c r="BC187" t="n">
        <v>17</v>
      </c>
      <c r="BD187" t="n">
        <v>50</v>
      </c>
      <c r="BE187" t="n">
        <v>28</v>
      </c>
      <c r="BF187" t="n">
        <v>25</v>
      </c>
      <c r="BG187" t="n">
        <v>1</v>
      </c>
      <c r="BH187" t="n">
        <v>15</v>
      </c>
      <c r="BI187" t="n">
        <v>17</v>
      </c>
      <c r="BJ187" t="n">
        <v>14</v>
      </c>
      <c r="BK187" t="n">
        <v>5</v>
      </c>
      <c r="BL187" t="n">
        <v>39</v>
      </c>
      <c r="BM187" t="n">
        <v>27</v>
      </c>
      <c r="BN187" t="n">
        <v>0</v>
      </c>
      <c r="BO187" t="n">
        <v>2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0</v>
      </c>
      <c r="X188" t="n">
        <v>0</v>
      </c>
      <c r="Y188" t="n">
        <v>241</v>
      </c>
      <c r="Z188" t="n">
        <v>144</v>
      </c>
      <c r="AA188" t="n">
        <v>124</v>
      </c>
      <c r="AB188" t="n">
        <v>0</v>
      </c>
      <c r="AC188" t="n">
        <v>0</v>
      </c>
      <c r="AD188" t="n">
        <v>5</v>
      </c>
      <c r="AE188" t="n">
        <v>1</v>
      </c>
      <c r="AF188" t="n">
        <v>10</v>
      </c>
      <c r="AG188" t="n">
        <v>4</v>
      </c>
      <c r="AH188" t="n">
        <v>99</v>
      </c>
      <c r="AI188" t="n">
        <v>16</v>
      </c>
      <c r="AJ188" t="n">
        <v>70</v>
      </c>
      <c r="AK188" t="n">
        <v>27</v>
      </c>
      <c r="AL188" t="n">
        <v>1</v>
      </c>
      <c r="AM188" t="n">
        <v>11</v>
      </c>
      <c r="AN188" t="n">
        <v>0</v>
      </c>
      <c r="AO188" t="n">
        <v>0</v>
      </c>
      <c r="AP188" t="n">
        <v>6</v>
      </c>
      <c r="AQ188" t="n">
        <v>36</v>
      </c>
      <c r="AR188" t="n">
        <v>56</v>
      </c>
      <c r="AS188" t="n">
        <v>25</v>
      </c>
      <c r="AT188" t="n">
        <v>1</v>
      </c>
      <c r="AU188" t="n">
        <v>1</v>
      </c>
      <c r="AV188" t="n">
        <v>15</v>
      </c>
      <c r="AW188" t="n">
        <v>24</v>
      </c>
      <c r="AX188" t="n">
        <v>4</v>
      </c>
      <c r="AY188" t="n">
        <v>37</v>
      </c>
      <c r="AZ188" t="n">
        <v>1</v>
      </c>
      <c r="BA188" t="n">
        <v>8</v>
      </c>
      <c r="BB188" t="n">
        <v>125</v>
      </c>
      <c r="BC188" t="n">
        <v>26</v>
      </c>
      <c r="BD188" t="n">
        <v>90</v>
      </c>
      <c r="BE188" t="n">
        <v>28</v>
      </c>
      <c r="BF188" t="n">
        <v>55</v>
      </c>
      <c r="BG188" t="n">
        <v>5</v>
      </c>
      <c r="BH188" t="n">
        <v>6</v>
      </c>
      <c r="BI188" t="n">
        <v>23</v>
      </c>
      <c r="BJ188" t="n">
        <v>24</v>
      </c>
      <c r="BK188" t="n">
        <v>1</v>
      </c>
      <c r="BL188" t="n">
        <v>19</v>
      </c>
      <c r="BM188" t="n">
        <v>29</v>
      </c>
      <c r="BN188" t="n">
        <v>11</v>
      </c>
      <c r="BO188" t="n">
        <v>42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261</v>
      </c>
      <c r="Z189" t="n">
        <v>155</v>
      </c>
      <c r="AA189" t="n">
        <v>105</v>
      </c>
      <c r="AB189" t="n">
        <v>1</v>
      </c>
      <c r="AC189" t="n">
        <v>0</v>
      </c>
      <c r="AD189" t="n">
        <v>2</v>
      </c>
      <c r="AE189" t="n">
        <v>5</v>
      </c>
      <c r="AF189" t="n">
        <v>1</v>
      </c>
      <c r="AG189" t="n">
        <v>9</v>
      </c>
      <c r="AH189" t="n">
        <v>2</v>
      </c>
      <c r="AI189" t="n">
        <v>69</v>
      </c>
      <c r="AJ189" t="n">
        <v>33</v>
      </c>
      <c r="AK189" t="n">
        <v>96</v>
      </c>
      <c r="AL189" t="n">
        <v>1</v>
      </c>
      <c r="AM189" t="n">
        <v>33</v>
      </c>
      <c r="AN189" t="n">
        <v>0</v>
      </c>
      <c r="AO189" t="n">
        <v>1</v>
      </c>
      <c r="AP189" t="n">
        <v>1</v>
      </c>
      <c r="AQ189" t="n">
        <v>24</v>
      </c>
      <c r="AR189" t="n">
        <v>32</v>
      </c>
      <c r="AS189" t="n">
        <v>13</v>
      </c>
      <c r="AT189" t="n">
        <v>0</v>
      </c>
      <c r="AU189" t="n">
        <v>1</v>
      </c>
      <c r="AV189" t="n">
        <v>1</v>
      </c>
      <c r="AW189" t="n">
        <v>4</v>
      </c>
      <c r="AX189" t="n">
        <v>9</v>
      </c>
      <c r="AY189" t="n">
        <v>96</v>
      </c>
      <c r="AZ189" t="n">
        <v>2</v>
      </c>
      <c r="BA189" t="n">
        <v>5</v>
      </c>
      <c r="BB189" t="n">
        <v>105</v>
      </c>
      <c r="BC189" t="n">
        <v>54</v>
      </c>
      <c r="BD189" t="n">
        <v>27</v>
      </c>
      <c r="BE189" t="n">
        <v>3</v>
      </c>
      <c r="BF189" t="n">
        <v>40</v>
      </c>
      <c r="BG189" t="n">
        <v>3</v>
      </c>
      <c r="BH189" t="n">
        <v>21</v>
      </c>
      <c r="BI189" t="n">
        <v>14</v>
      </c>
      <c r="BJ189" t="n">
        <v>23</v>
      </c>
      <c r="BK189" t="n">
        <v>5</v>
      </c>
      <c r="BL189" t="n">
        <v>36</v>
      </c>
      <c r="BM189" t="n">
        <v>36</v>
      </c>
      <c r="BN189" t="n">
        <v>9</v>
      </c>
      <c r="BO189" t="n">
        <v>51</v>
      </c>
    </row>
    <row r="190">
      <c r="A190" t="n">
        <v>0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249</v>
      </c>
      <c r="Z190" t="n">
        <v>195</v>
      </c>
      <c r="AA190" t="n">
        <v>53</v>
      </c>
      <c r="AB190" t="n">
        <v>3</v>
      </c>
      <c r="AC190" t="n">
        <v>0</v>
      </c>
      <c r="AD190" t="n">
        <v>1</v>
      </c>
      <c r="AE190" t="n">
        <v>8</v>
      </c>
      <c r="AF190" t="n">
        <v>3</v>
      </c>
      <c r="AG190" t="n">
        <v>3</v>
      </c>
      <c r="AH190" t="n">
        <v>6</v>
      </c>
      <c r="AI190" t="n">
        <v>110</v>
      </c>
      <c r="AJ190" t="n">
        <v>18</v>
      </c>
      <c r="AK190" t="n">
        <v>30</v>
      </c>
      <c r="AL190" t="n">
        <v>0</v>
      </c>
      <c r="AM190" t="n">
        <v>2</v>
      </c>
      <c r="AN190" t="n">
        <v>1</v>
      </c>
      <c r="AO190" t="n">
        <v>0</v>
      </c>
      <c r="AP190" t="n">
        <v>6</v>
      </c>
      <c r="AQ190" t="n">
        <v>68</v>
      </c>
      <c r="AR190" t="n">
        <v>188</v>
      </c>
      <c r="AS190" t="n">
        <v>126</v>
      </c>
      <c r="AT190" t="n">
        <v>11</v>
      </c>
      <c r="AU190" t="n">
        <v>0</v>
      </c>
      <c r="AV190" t="n">
        <v>83</v>
      </c>
      <c r="AW190" t="n">
        <v>12</v>
      </c>
      <c r="AX190" t="n">
        <v>17</v>
      </c>
      <c r="AY190" t="n">
        <v>19</v>
      </c>
      <c r="AZ190" t="n">
        <v>3</v>
      </c>
      <c r="BA190" t="n">
        <v>26</v>
      </c>
      <c r="BB190" t="n">
        <v>78</v>
      </c>
      <c r="BC190" t="n">
        <v>11</v>
      </c>
      <c r="BD190" t="n">
        <v>39</v>
      </c>
      <c r="BE190" t="n">
        <v>12</v>
      </c>
      <c r="BF190" t="n">
        <v>22</v>
      </c>
      <c r="BG190" t="n">
        <v>4</v>
      </c>
      <c r="BH190" t="n">
        <v>2</v>
      </c>
      <c r="BI190" t="n">
        <v>88</v>
      </c>
      <c r="BJ190" t="n">
        <v>79</v>
      </c>
      <c r="BK190" t="n">
        <v>1</v>
      </c>
      <c r="BL190" t="n">
        <v>1</v>
      </c>
      <c r="BM190" t="n">
        <v>14</v>
      </c>
      <c r="BN190" t="n">
        <v>8</v>
      </c>
      <c r="BO190" t="n">
        <v>30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3</v>
      </c>
      <c r="U191" t="n">
        <v>0</v>
      </c>
      <c r="V191" t="n">
        <v>1</v>
      </c>
      <c r="W191" t="n">
        <v>0</v>
      </c>
      <c r="X191" t="n">
        <v>0</v>
      </c>
      <c r="Y191" t="n">
        <v>193</v>
      </c>
      <c r="Z191" t="n">
        <v>127</v>
      </c>
      <c r="AA191" t="n">
        <v>61</v>
      </c>
      <c r="AB191" t="n">
        <v>3</v>
      </c>
      <c r="AC191" t="n">
        <v>0</v>
      </c>
      <c r="AD191" t="n">
        <v>7</v>
      </c>
      <c r="AE191" t="n">
        <v>7</v>
      </c>
      <c r="AF191" t="n">
        <v>1</v>
      </c>
      <c r="AG191" t="n">
        <v>4</v>
      </c>
      <c r="AH191" t="n">
        <v>54</v>
      </c>
      <c r="AI191" t="n">
        <v>55</v>
      </c>
      <c r="AJ191" t="n">
        <v>45</v>
      </c>
      <c r="AK191" t="n">
        <v>50</v>
      </c>
      <c r="AL191" t="n">
        <v>1</v>
      </c>
      <c r="AM191" t="n">
        <v>21</v>
      </c>
      <c r="AN191" t="n">
        <v>1</v>
      </c>
      <c r="AO191" t="n">
        <v>0</v>
      </c>
      <c r="AP191" t="n">
        <v>3</v>
      </c>
      <c r="AQ191" t="n">
        <v>38</v>
      </c>
      <c r="AR191" t="n">
        <v>69</v>
      </c>
      <c r="AS191" t="n">
        <v>38</v>
      </c>
      <c r="AT191" t="n">
        <v>1</v>
      </c>
      <c r="AU191" t="n">
        <v>0</v>
      </c>
      <c r="AV191" t="n">
        <v>5</v>
      </c>
      <c r="AW191" t="n">
        <v>11</v>
      </c>
      <c r="AX191" t="n">
        <v>2</v>
      </c>
      <c r="AY191" t="n">
        <v>25</v>
      </c>
      <c r="AZ191" t="n">
        <v>2</v>
      </c>
      <c r="BA191" t="n">
        <v>33</v>
      </c>
      <c r="BB191" t="n">
        <v>93</v>
      </c>
      <c r="BC191" t="n">
        <v>19</v>
      </c>
      <c r="BD191" t="n">
        <v>52</v>
      </c>
      <c r="BE191" t="n">
        <v>10</v>
      </c>
      <c r="BF191" t="n">
        <v>63</v>
      </c>
      <c r="BG191" t="n">
        <v>0</v>
      </c>
      <c r="BH191" t="n">
        <v>13</v>
      </c>
      <c r="BI191" t="n">
        <v>11</v>
      </c>
      <c r="BJ191" t="n">
        <v>7</v>
      </c>
      <c r="BK191" t="n">
        <v>1</v>
      </c>
      <c r="BL191" t="n">
        <v>15</v>
      </c>
      <c r="BM191" t="n">
        <v>46</v>
      </c>
      <c r="BN191" t="n">
        <v>25</v>
      </c>
      <c r="BO191" t="n">
        <v>49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211</v>
      </c>
      <c r="Z192" t="n">
        <v>229</v>
      </c>
      <c r="AA192" t="n">
        <v>77</v>
      </c>
      <c r="AB192" t="n">
        <v>2</v>
      </c>
      <c r="AC192" t="n">
        <v>1</v>
      </c>
      <c r="AD192" t="n">
        <v>2</v>
      </c>
      <c r="AE192" t="n">
        <v>2</v>
      </c>
      <c r="AF192" t="n">
        <v>3</v>
      </c>
      <c r="AG192" t="n">
        <v>1</v>
      </c>
      <c r="AH192" t="n">
        <v>19</v>
      </c>
      <c r="AI192" t="n">
        <v>66</v>
      </c>
      <c r="AJ192" t="n">
        <v>65</v>
      </c>
      <c r="AK192" t="n">
        <v>7</v>
      </c>
      <c r="AL192" t="n">
        <v>4</v>
      </c>
      <c r="AM192" t="n">
        <v>51</v>
      </c>
      <c r="AN192" t="n">
        <v>0</v>
      </c>
      <c r="AO192" t="n">
        <v>0</v>
      </c>
      <c r="AP192" t="n">
        <v>10</v>
      </c>
      <c r="AQ192" t="n">
        <v>111</v>
      </c>
      <c r="AR192" t="n">
        <v>163</v>
      </c>
      <c r="AS192" t="n">
        <v>69</v>
      </c>
      <c r="AT192" t="n">
        <v>5</v>
      </c>
      <c r="AU192" t="n">
        <v>0</v>
      </c>
      <c r="AV192" t="n">
        <v>49</v>
      </c>
      <c r="AW192" t="n">
        <v>1</v>
      </c>
      <c r="AX192" t="n">
        <v>13</v>
      </c>
      <c r="AY192" t="n">
        <v>41</v>
      </c>
      <c r="AZ192" t="n">
        <v>2</v>
      </c>
      <c r="BA192" t="n">
        <v>14</v>
      </c>
      <c r="BB192" t="n">
        <v>87</v>
      </c>
      <c r="BC192" t="n">
        <v>50</v>
      </c>
      <c r="BD192" t="n">
        <v>16</v>
      </c>
      <c r="BE192" t="n">
        <v>7</v>
      </c>
      <c r="BF192" t="n">
        <v>51</v>
      </c>
      <c r="BG192" t="n">
        <v>1</v>
      </c>
      <c r="BH192" t="n">
        <v>3</v>
      </c>
      <c r="BI192" t="n">
        <v>14</v>
      </c>
      <c r="BJ192" t="n">
        <v>12</v>
      </c>
      <c r="BK192" t="n">
        <v>3</v>
      </c>
      <c r="BL192" t="n">
        <v>42</v>
      </c>
      <c r="BM192" t="n">
        <v>28</v>
      </c>
      <c r="BN192" t="n">
        <v>-1</v>
      </c>
      <c r="BO192" t="n">
        <v>2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274</v>
      </c>
      <c r="Z193" t="n">
        <v>188</v>
      </c>
      <c r="AA193" t="n">
        <v>54</v>
      </c>
      <c r="AB193" t="n">
        <v>0</v>
      </c>
      <c r="AC193" t="n">
        <v>1</v>
      </c>
      <c r="AD193" t="n">
        <v>3</v>
      </c>
      <c r="AE193" t="n">
        <v>7</v>
      </c>
      <c r="AF193" t="n">
        <v>7</v>
      </c>
      <c r="AG193" t="n">
        <v>3</v>
      </c>
      <c r="AH193" t="n">
        <v>69</v>
      </c>
      <c r="AI193" t="n">
        <v>78</v>
      </c>
      <c r="AJ193" t="n">
        <v>77</v>
      </c>
      <c r="AK193" t="n">
        <v>18</v>
      </c>
      <c r="AL193" t="n">
        <v>2</v>
      </c>
      <c r="AM193" t="n">
        <v>39</v>
      </c>
      <c r="AN193" t="n">
        <v>0</v>
      </c>
      <c r="AO193" t="n">
        <v>0</v>
      </c>
      <c r="AP193" t="n">
        <v>2</v>
      </c>
      <c r="AQ193" t="n">
        <v>27</v>
      </c>
      <c r="AR193" t="n">
        <v>91</v>
      </c>
      <c r="AS193" t="n">
        <v>68</v>
      </c>
      <c r="AT193" t="n">
        <v>5</v>
      </c>
      <c r="AU193" t="n">
        <v>1</v>
      </c>
      <c r="AV193" t="n">
        <v>58</v>
      </c>
      <c r="AW193" t="n">
        <v>22</v>
      </c>
      <c r="AX193" t="n">
        <v>0</v>
      </c>
      <c r="AY193" t="n">
        <v>-3</v>
      </c>
      <c r="AZ193" t="n">
        <v>2</v>
      </c>
      <c r="BA193" t="n">
        <v>3</v>
      </c>
      <c r="BB193" t="n">
        <v>54</v>
      </c>
      <c r="BC193" t="n">
        <v>33</v>
      </c>
      <c r="BD193" t="n">
        <v>88</v>
      </c>
      <c r="BE193" t="n">
        <v>22</v>
      </c>
      <c r="BF193" t="n">
        <v>62</v>
      </c>
      <c r="BG193" t="n">
        <v>7</v>
      </c>
      <c r="BH193" t="n">
        <v>12</v>
      </c>
      <c r="BI193" t="n">
        <v>38</v>
      </c>
      <c r="BJ193" t="n">
        <v>28</v>
      </c>
      <c r="BK193" t="n">
        <v>2</v>
      </c>
      <c r="BL193" t="n">
        <v>19</v>
      </c>
      <c r="BM193" t="n">
        <v>12</v>
      </c>
      <c r="BN193" t="n">
        <v>0</v>
      </c>
      <c r="BO193" t="n">
        <v>2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156</v>
      </c>
      <c r="Z194" t="n">
        <v>195</v>
      </c>
      <c r="AA194" t="n">
        <v>47</v>
      </c>
      <c r="AB194" t="n">
        <v>0</v>
      </c>
      <c r="AC194" t="n">
        <v>2</v>
      </c>
      <c r="AD194" t="n">
        <v>6</v>
      </c>
      <c r="AE194" t="n">
        <v>5</v>
      </c>
      <c r="AF194" t="n">
        <v>4</v>
      </c>
      <c r="AG194" t="n">
        <v>4</v>
      </c>
      <c r="AH194" t="n">
        <v>75</v>
      </c>
      <c r="AI194" t="n">
        <v>34</v>
      </c>
      <c r="AJ194" t="n">
        <v>41</v>
      </c>
      <c r="AK194" t="n">
        <v>18</v>
      </c>
      <c r="AL194" t="n">
        <v>1</v>
      </c>
      <c r="AM194" t="n">
        <v>20</v>
      </c>
      <c r="AN194" t="n">
        <v>0</v>
      </c>
      <c r="AO194" t="n">
        <v>0</v>
      </c>
      <c r="AP194" t="n">
        <v>7</v>
      </c>
      <c r="AQ194" t="n">
        <v>21</v>
      </c>
      <c r="AR194" t="n">
        <v>69</v>
      </c>
      <c r="AS194" t="n">
        <v>51</v>
      </c>
      <c r="AT194" t="n">
        <v>2</v>
      </c>
      <c r="AU194" t="n">
        <v>1</v>
      </c>
      <c r="AV194" t="n">
        <v>6</v>
      </c>
      <c r="AW194" t="n">
        <v>29</v>
      </c>
      <c r="AX194" t="n">
        <v>10</v>
      </c>
      <c r="AY194" t="n">
        <v>18</v>
      </c>
      <c r="AZ194" t="n">
        <v>2</v>
      </c>
      <c r="BA194" t="n">
        <v>10</v>
      </c>
      <c r="BB194" t="n">
        <v>54</v>
      </c>
      <c r="BC194" t="n">
        <v>16</v>
      </c>
      <c r="BD194" t="n">
        <v>68</v>
      </c>
      <c r="BE194" t="n">
        <v>29</v>
      </c>
      <c r="BF194" t="n">
        <v>36</v>
      </c>
      <c r="BG194" t="n">
        <v>0</v>
      </c>
      <c r="BH194" t="n">
        <v>3</v>
      </c>
      <c r="BI194" t="n">
        <v>1</v>
      </c>
      <c r="BJ194" t="n">
        <v>14</v>
      </c>
      <c r="BK194" t="n">
        <v>1</v>
      </c>
      <c r="BL194" t="n">
        <v>19</v>
      </c>
      <c r="BM194" t="n">
        <v>41</v>
      </c>
      <c r="BN194" t="n">
        <v>19</v>
      </c>
      <c r="BO194" t="n">
        <v>23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212</v>
      </c>
      <c r="Z195" t="n">
        <v>125</v>
      </c>
      <c r="AA195" t="n">
        <v>49</v>
      </c>
      <c r="AB195" t="n">
        <v>2</v>
      </c>
      <c r="AC195" t="n">
        <v>1</v>
      </c>
      <c r="AD195" t="n">
        <v>6</v>
      </c>
      <c r="AE195" t="n">
        <v>4</v>
      </c>
      <c r="AF195" t="n">
        <v>3</v>
      </c>
      <c r="AG195" t="n">
        <v>3</v>
      </c>
      <c r="AH195" t="n">
        <v>48</v>
      </c>
      <c r="AI195" t="n">
        <v>20</v>
      </c>
      <c r="AJ195" t="n">
        <v>45</v>
      </c>
      <c r="AK195" t="n">
        <v>39</v>
      </c>
      <c r="AL195" t="n">
        <v>2</v>
      </c>
      <c r="AM195" t="n">
        <v>27</v>
      </c>
      <c r="AN195" t="n">
        <v>0</v>
      </c>
      <c r="AO195" t="n">
        <v>0</v>
      </c>
      <c r="AP195" t="n">
        <v>0</v>
      </c>
      <c r="AQ195" t="n">
        <v>1</v>
      </c>
      <c r="AR195" t="n">
        <v>31</v>
      </c>
      <c r="AS195" t="n">
        <v>26</v>
      </c>
      <c r="AT195" t="n">
        <v>1</v>
      </c>
      <c r="AU195" t="n">
        <v>2</v>
      </c>
      <c r="AV195" t="n">
        <v>33</v>
      </c>
      <c r="AW195" t="n">
        <v>8</v>
      </c>
      <c r="AX195" t="n">
        <v>3</v>
      </c>
      <c r="AY195" t="n">
        <v>28</v>
      </c>
      <c r="AZ195" t="n">
        <v>2</v>
      </c>
      <c r="BA195" t="n">
        <v>22</v>
      </c>
      <c r="BB195" t="n">
        <v>68</v>
      </c>
      <c r="BC195" t="n">
        <v>23</v>
      </c>
      <c r="BD195" t="n">
        <v>70</v>
      </c>
      <c r="BE195" t="n">
        <v>8</v>
      </c>
      <c r="BF195" t="n">
        <v>42</v>
      </c>
      <c r="BG195" t="n">
        <v>2</v>
      </c>
      <c r="BH195" t="n">
        <v>0</v>
      </c>
      <c r="BI195" t="n">
        <v>83</v>
      </c>
      <c r="BJ195" t="n">
        <v>77</v>
      </c>
      <c r="BK195" t="n">
        <v>3</v>
      </c>
      <c r="BL195" t="n">
        <v>24</v>
      </c>
      <c r="BM195" t="n">
        <v>24</v>
      </c>
      <c r="BN195" t="n">
        <v>7</v>
      </c>
      <c r="BO195" t="n">
        <v>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263</v>
      </c>
      <c r="Z196" t="n">
        <v>357</v>
      </c>
      <c r="AA196" t="n">
        <v>35</v>
      </c>
      <c r="AB196" t="n">
        <v>2</v>
      </c>
      <c r="AC196" t="n">
        <v>0</v>
      </c>
      <c r="AD196" t="n">
        <v>4</v>
      </c>
      <c r="AE196" t="n">
        <v>5</v>
      </c>
      <c r="AF196" t="n">
        <v>3</v>
      </c>
      <c r="AG196" t="n">
        <v>4</v>
      </c>
      <c r="AH196" t="n">
        <v>96</v>
      </c>
      <c r="AI196" t="n">
        <v>108</v>
      </c>
      <c r="AJ196" t="n">
        <v>34</v>
      </c>
      <c r="AK196" t="n">
        <v>39</v>
      </c>
      <c r="AL196" t="n">
        <v>4</v>
      </c>
      <c r="AM196" t="n">
        <v>129</v>
      </c>
      <c r="AN196" t="n">
        <v>0</v>
      </c>
      <c r="AO196" t="n">
        <v>0</v>
      </c>
      <c r="AP196" t="n">
        <v>0</v>
      </c>
      <c r="AQ196" t="n">
        <v>1</v>
      </c>
      <c r="AR196" t="n">
        <v>137</v>
      </c>
      <c r="AS196" t="n">
        <v>126</v>
      </c>
      <c r="AT196" t="n">
        <v>1</v>
      </c>
      <c r="AU196" t="n">
        <v>1</v>
      </c>
      <c r="AV196" t="n">
        <v>41</v>
      </c>
      <c r="AW196" t="n">
        <v>19</v>
      </c>
      <c r="AX196" t="n">
        <v>0</v>
      </c>
      <c r="AY196" t="n">
        <v>9</v>
      </c>
      <c r="AZ196" t="n">
        <v>3</v>
      </c>
      <c r="BA196" t="n">
        <v>9</v>
      </c>
      <c r="BB196" t="n">
        <v>41</v>
      </c>
      <c r="BC196" t="n">
        <v>105</v>
      </c>
      <c r="BD196" t="n">
        <v>87</v>
      </c>
      <c r="BE196" t="n">
        <v>37</v>
      </c>
      <c r="BF196" t="n">
        <v>27</v>
      </c>
      <c r="BG196" t="n">
        <v>2</v>
      </c>
      <c r="BH196" t="n">
        <v>10</v>
      </c>
      <c r="BI196" t="n">
        <v>26</v>
      </c>
      <c r="BJ196" t="n">
        <v>24</v>
      </c>
      <c r="BK196" t="n">
        <v>4</v>
      </c>
      <c r="BL196" t="n">
        <v>37</v>
      </c>
      <c r="BM196" t="n">
        <v>29</v>
      </c>
      <c r="BN196" t="n">
        <v>4</v>
      </c>
      <c r="BO196" t="n">
        <v>42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204</v>
      </c>
      <c r="Z197" t="n">
        <v>174</v>
      </c>
      <c r="AA197" t="n">
        <v>72</v>
      </c>
      <c r="AB197" t="n">
        <v>1</v>
      </c>
      <c r="AC197" t="n">
        <v>0</v>
      </c>
      <c r="AD197" t="n">
        <v>4</v>
      </c>
      <c r="AE197" t="n">
        <v>6</v>
      </c>
      <c r="AF197" t="n">
        <v>7</v>
      </c>
      <c r="AG197" t="n">
        <v>3</v>
      </c>
      <c r="AH197" t="n">
        <v>48</v>
      </c>
      <c r="AI197" t="n">
        <v>31</v>
      </c>
      <c r="AJ197" t="n">
        <v>58</v>
      </c>
      <c r="AK197" t="n">
        <v>33</v>
      </c>
      <c r="AL197" t="n">
        <v>6</v>
      </c>
      <c r="AM197" t="n">
        <v>102</v>
      </c>
      <c r="AN197" t="n">
        <v>0</v>
      </c>
      <c r="AO197" t="n">
        <v>0</v>
      </c>
      <c r="AP197" t="n">
        <v>2</v>
      </c>
      <c r="AQ197" t="n">
        <v>18</v>
      </c>
      <c r="AR197" t="n">
        <v>63</v>
      </c>
      <c r="AS197" t="n">
        <v>48</v>
      </c>
      <c r="AT197" t="n">
        <v>1</v>
      </c>
      <c r="AU197" t="n">
        <v>2</v>
      </c>
      <c r="AV197" t="n">
        <v>11</v>
      </c>
      <c r="AW197" t="n">
        <v>9</v>
      </c>
      <c r="AX197" t="n">
        <v>0</v>
      </c>
      <c r="AY197" t="n">
        <v>7</v>
      </c>
      <c r="AZ197" t="n">
        <v>3</v>
      </c>
      <c r="BA197" t="n">
        <v>43</v>
      </c>
      <c r="BB197" t="n">
        <v>114</v>
      </c>
      <c r="BC197" t="n">
        <v>83</v>
      </c>
      <c r="BD197" t="n">
        <v>46</v>
      </c>
      <c r="BE197" t="n">
        <v>9</v>
      </c>
      <c r="BF197" t="n">
        <v>47</v>
      </c>
      <c r="BG197" t="n">
        <v>2</v>
      </c>
      <c r="BH197" t="n">
        <v>10</v>
      </c>
      <c r="BI197" t="n">
        <v>54</v>
      </c>
      <c r="BJ197" t="n">
        <v>78</v>
      </c>
      <c r="BK197" t="n">
        <v>0</v>
      </c>
      <c r="BL197" t="n">
        <v>1</v>
      </c>
      <c r="BM197" t="n">
        <v>12</v>
      </c>
      <c r="BN197" t="n">
        <v>7</v>
      </c>
      <c r="BO197" t="n">
        <v>2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183</v>
      </c>
      <c r="Z198" t="n">
        <v>235</v>
      </c>
      <c r="AA198" t="n">
        <v>8</v>
      </c>
      <c r="AB198" t="n">
        <v>1</v>
      </c>
      <c r="AC198" t="n">
        <v>0</v>
      </c>
      <c r="AD198" t="n">
        <v>1</v>
      </c>
      <c r="AE198" t="n">
        <v>1</v>
      </c>
      <c r="AF198" t="n">
        <v>2</v>
      </c>
      <c r="AG198" t="n">
        <v>6</v>
      </c>
      <c r="AH198" t="n">
        <v>26</v>
      </c>
      <c r="AI198" t="n">
        <v>34</v>
      </c>
      <c r="AJ198" t="n">
        <v>55</v>
      </c>
      <c r="AK198" t="n">
        <v>48</v>
      </c>
      <c r="AL198" t="n">
        <v>4</v>
      </c>
      <c r="AM198" t="n">
        <v>64</v>
      </c>
      <c r="AN198" t="n">
        <v>0</v>
      </c>
      <c r="AO198" t="n">
        <v>0</v>
      </c>
      <c r="AP198" t="n">
        <v>3</v>
      </c>
      <c r="AQ198" t="n">
        <v>27</v>
      </c>
      <c r="AR198" t="n">
        <v>77</v>
      </c>
      <c r="AS198" t="n">
        <v>54</v>
      </c>
      <c r="AT198" t="n">
        <v>1</v>
      </c>
      <c r="AU198" t="n">
        <v>2</v>
      </c>
      <c r="AV198" t="n">
        <v>10</v>
      </c>
      <c r="AW198" t="n">
        <v>42</v>
      </c>
      <c r="AX198" t="n">
        <v>10</v>
      </c>
      <c r="AY198" t="n">
        <v>23</v>
      </c>
      <c r="AZ198" t="n">
        <v>2</v>
      </c>
      <c r="BA198" t="n">
        <v>18</v>
      </c>
      <c r="BB198" t="n">
        <v>29</v>
      </c>
      <c r="BC198" t="n">
        <v>54</v>
      </c>
      <c r="BD198" t="n">
        <v>29</v>
      </c>
      <c r="BE198" t="n">
        <v>41</v>
      </c>
      <c r="BF198" t="n">
        <v>48</v>
      </c>
      <c r="BG198" t="n">
        <v>3</v>
      </c>
      <c r="BH198" t="n">
        <v>15</v>
      </c>
      <c r="BI198" t="n">
        <v>10</v>
      </c>
      <c r="BJ198" t="n">
        <v>9</v>
      </c>
      <c r="BK198" t="n">
        <v>0</v>
      </c>
      <c r="BL198" t="n">
        <v>1</v>
      </c>
      <c r="BM198" t="n">
        <v>27</v>
      </c>
      <c r="BN198" t="n">
        <v>15</v>
      </c>
      <c r="BO198" t="n">
        <v>7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182</v>
      </c>
      <c r="Z199" t="n">
        <v>119</v>
      </c>
      <c r="AA199" t="n">
        <v>53</v>
      </c>
      <c r="AB199" t="n">
        <v>2</v>
      </c>
      <c r="AC199" t="n">
        <v>2</v>
      </c>
      <c r="AD199" t="n">
        <v>3</v>
      </c>
      <c r="AE199" t="n">
        <v>11</v>
      </c>
      <c r="AF199" t="n">
        <v>9</v>
      </c>
      <c r="AG199" t="n">
        <v>1</v>
      </c>
      <c r="AH199" t="n">
        <v>11</v>
      </c>
      <c r="AI199" t="n">
        <v>89</v>
      </c>
      <c r="AJ199" t="n">
        <v>79</v>
      </c>
      <c r="AK199" t="n">
        <v>19</v>
      </c>
      <c r="AL199" t="n">
        <v>0</v>
      </c>
      <c r="AM199" t="n">
        <v>10</v>
      </c>
      <c r="AN199" t="n">
        <v>2</v>
      </c>
      <c r="AO199" t="n">
        <v>0</v>
      </c>
      <c r="AP199" t="n">
        <v>3</v>
      </c>
      <c r="AQ199" t="n">
        <v>10</v>
      </c>
      <c r="AR199" t="n">
        <v>28</v>
      </c>
      <c r="AS199" t="n">
        <v>20</v>
      </c>
      <c r="AT199" t="n">
        <v>2</v>
      </c>
      <c r="AU199" t="n">
        <v>0</v>
      </c>
      <c r="AV199" t="n">
        <v>31</v>
      </c>
      <c r="AW199" t="n">
        <v>13</v>
      </c>
      <c r="AX199" t="n">
        <v>0</v>
      </c>
      <c r="AY199" t="n">
        <v>46</v>
      </c>
      <c r="AZ199" t="n">
        <v>0</v>
      </c>
      <c r="BA199" t="n">
        <v>1</v>
      </c>
      <c r="BB199" t="n">
        <v>52</v>
      </c>
      <c r="BC199" t="n">
        <v>10</v>
      </c>
      <c r="BD199" t="n">
        <v>18</v>
      </c>
      <c r="BE199" t="n">
        <v>12</v>
      </c>
      <c r="BF199" t="n">
        <v>64</v>
      </c>
      <c r="BG199" t="n">
        <v>1</v>
      </c>
      <c r="BH199" t="n">
        <v>8</v>
      </c>
      <c r="BI199" t="n">
        <v>18</v>
      </c>
      <c r="BJ199" t="n">
        <v>18</v>
      </c>
      <c r="BK199" t="n">
        <v>0</v>
      </c>
      <c r="BL199" t="n">
        <v>1</v>
      </c>
      <c r="BM199" t="n">
        <v>20</v>
      </c>
      <c r="BN199" t="n">
        <v>11</v>
      </c>
      <c r="BO199" t="n">
        <v>2</v>
      </c>
    </row>
    <row r="200">
      <c r="A200" t="n">
        <v>2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286</v>
      </c>
      <c r="Z200" t="n">
        <v>151</v>
      </c>
      <c r="AA200" t="n">
        <v>91</v>
      </c>
      <c r="AB200" t="n">
        <v>1</v>
      </c>
      <c r="AC200" t="n">
        <v>3</v>
      </c>
      <c r="AD200" t="n">
        <v>3</v>
      </c>
      <c r="AE200" t="n">
        <v>3</v>
      </c>
      <c r="AF200" t="n">
        <v>5</v>
      </c>
      <c r="AG200" t="n">
        <v>4</v>
      </c>
      <c r="AH200" t="n">
        <v>57</v>
      </c>
      <c r="AI200" t="n">
        <v>33</v>
      </c>
      <c r="AJ200" t="n">
        <v>30</v>
      </c>
      <c r="AK200" t="n">
        <v>48</v>
      </c>
      <c r="AL200" t="n">
        <v>2</v>
      </c>
      <c r="AM200" t="n">
        <v>28</v>
      </c>
      <c r="AN200" t="n">
        <v>0</v>
      </c>
      <c r="AO200" t="n">
        <v>0</v>
      </c>
      <c r="AP200" t="n">
        <v>6</v>
      </c>
      <c r="AQ200" t="n">
        <v>65</v>
      </c>
      <c r="AR200" t="n">
        <v>120</v>
      </c>
      <c r="AS200" t="n">
        <v>63</v>
      </c>
      <c r="AT200" t="n">
        <v>2</v>
      </c>
      <c r="AU200" t="n">
        <v>0</v>
      </c>
      <c r="AV200" t="n">
        <v>61</v>
      </c>
      <c r="AW200" t="n">
        <v>8</v>
      </c>
      <c r="AX200" t="n">
        <v>-1</v>
      </c>
      <c r="AY200" t="n">
        <v>88</v>
      </c>
      <c r="AZ200" t="n">
        <v>4</v>
      </c>
      <c r="BA200" t="n">
        <v>17</v>
      </c>
      <c r="BB200" t="n">
        <v>104</v>
      </c>
      <c r="BC200" t="n">
        <v>23</v>
      </c>
      <c r="BD200" t="n">
        <v>51</v>
      </c>
      <c r="BE200" t="n">
        <v>7</v>
      </c>
      <c r="BF200" t="n">
        <v>24</v>
      </c>
      <c r="BG200" t="n">
        <v>0</v>
      </c>
      <c r="BH200" t="n">
        <v>0</v>
      </c>
      <c r="BI200" t="n">
        <v>4</v>
      </c>
      <c r="BJ200" t="n">
        <v>10</v>
      </c>
      <c r="BK200" t="n">
        <v>3</v>
      </c>
      <c r="BL200" t="n">
        <v>11</v>
      </c>
      <c r="BM200" t="n">
        <v>27</v>
      </c>
      <c r="BN200" t="n">
        <v>12</v>
      </c>
      <c r="BO200" t="n">
        <v>14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0</v>
      </c>
      <c r="V201" t="n">
        <v>0</v>
      </c>
      <c r="W201" t="n">
        <v>0</v>
      </c>
      <c r="X201" t="n">
        <v>0</v>
      </c>
      <c r="Y201" t="n">
        <v>118</v>
      </c>
      <c r="Z201" t="n">
        <v>177</v>
      </c>
      <c r="AA201" t="n">
        <v>52</v>
      </c>
      <c r="AB201" t="n">
        <v>1</v>
      </c>
      <c r="AC201" t="n">
        <v>2</v>
      </c>
      <c r="AD201" t="n">
        <v>1</v>
      </c>
      <c r="AE201" t="n">
        <v>10</v>
      </c>
      <c r="AF201" t="n">
        <v>8</v>
      </c>
      <c r="AG201" t="n">
        <v>2</v>
      </c>
      <c r="AH201" t="n">
        <v>2</v>
      </c>
      <c r="AI201" t="n">
        <v>75</v>
      </c>
      <c r="AJ201" t="n">
        <v>45</v>
      </c>
      <c r="AK201" t="n">
        <v>1</v>
      </c>
      <c r="AL201" t="n">
        <v>0</v>
      </c>
      <c r="AM201" t="n">
        <v>2</v>
      </c>
      <c r="AN201" t="n">
        <v>0</v>
      </c>
      <c r="AO201" t="n">
        <v>0</v>
      </c>
      <c r="AP201" t="n">
        <v>2</v>
      </c>
      <c r="AQ201" t="n">
        <v>6</v>
      </c>
      <c r="AR201" t="n">
        <v>96</v>
      </c>
      <c r="AS201" t="n">
        <v>89</v>
      </c>
      <c r="AT201" t="n">
        <v>5</v>
      </c>
      <c r="AU201" t="n">
        <v>1</v>
      </c>
      <c r="AV201" t="n">
        <v>43</v>
      </c>
      <c r="AW201" t="n">
        <v>24</v>
      </c>
      <c r="AX201" t="n">
        <v>11</v>
      </c>
      <c r="AY201" t="n">
        <v>51</v>
      </c>
      <c r="AZ201" t="n">
        <v>4</v>
      </c>
      <c r="BA201" t="n">
        <v>42</v>
      </c>
      <c r="BB201" t="n">
        <v>94</v>
      </c>
      <c r="BC201" t="n">
        <v>7</v>
      </c>
      <c r="BD201" t="n">
        <v>17</v>
      </c>
      <c r="BE201" t="n">
        <v>24</v>
      </c>
      <c r="BF201" t="n">
        <v>39</v>
      </c>
      <c r="BG201" t="n">
        <v>0</v>
      </c>
      <c r="BH201" t="n">
        <v>5</v>
      </c>
      <c r="BI201" t="n">
        <v>11</v>
      </c>
      <c r="BJ201" t="n">
        <v>9</v>
      </c>
      <c r="BK201" t="n">
        <v>2</v>
      </c>
      <c r="BL201" t="n">
        <v>10</v>
      </c>
      <c r="BM201" t="n">
        <v>7</v>
      </c>
      <c r="BN201" t="n">
        <v>0</v>
      </c>
      <c r="BO201" t="n">
        <v>30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217</v>
      </c>
      <c r="Z202" t="n">
        <v>163</v>
      </c>
      <c r="AA202" t="n">
        <v>96</v>
      </c>
      <c r="AB202" t="n">
        <v>0</v>
      </c>
      <c r="AC202" t="n">
        <v>3</v>
      </c>
      <c r="AD202" t="n">
        <v>2</v>
      </c>
      <c r="AE202" t="n">
        <v>4</v>
      </c>
      <c r="AF202" t="n">
        <v>6</v>
      </c>
      <c r="AG202" t="n">
        <v>7</v>
      </c>
      <c r="AH202" t="n">
        <v>11</v>
      </c>
      <c r="AI202" t="n">
        <v>38</v>
      </c>
      <c r="AJ202" t="n">
        <v>63</v>
      </c>
      <c r="AK202" t="n">
        <v>51</v>
      </c>
      <c r="AL202" t="n">
        <v>3</v>
      </c>
      <c r="AM202" t="n">
        <v>35</v>
      </c>
      <c r="AN202" t="n">
        <v>0</v>
      </c>
      <c r="AO202" t="n">
        <v>1</v>
      </c>
      <c r="AP202" t="n">
        <v>3</v>
      </c>
      <c r="AQ202" t="n">
        <v>7</v>
      </c>
      <c r="AR202" t="n">
        <v>139</v>
      </c>
      <c r="AS202" t="n">
        <v>128</v>
      </c>
      <c r="AT202" t="n">
        <v>3</v>
      </c>
      <c r="AU202" t="n">
        <v>1</v>
      </c>
      <c r="AV202" t="n">
        <v>12</v>
      </c>
      <c r="AW202" t="n">
        <v>2</v>
      </c>
      <c r="AX202" t="n">
        <v>14</v>
      </c>
      <c r="AY202" t="n">
        <v>37</v>
      </c>
      <c r="AZ202" t="n">
        <v>1</v>
      </c>
      <c r="BA202" t="n">
        <v>12</v>
      </c>
      <c r="BB202" t="n">
        <v>105</v>
      </c>
      <c r="BC202" t="n">
        <v>31</v>
      </c>
      <c r="BD202" t="n">
        <v>9</v>
      </c>
      <c r="BE202" t="n">
        <v>7</v>
      </c>
      <c r="BF202" t="n">
        <v>53</v>
      </c>
      <c r="BG202" t="n">
        <v>3</v>
      </c>
      <c r="BH202" t="n">
        <v>17</v>
      </c>
      <c r="BI202" t="n">
        <v>1</v>
      </c>
      <c r="BJ202" t="n">
        <v>1</v>
      </c>
      <c r="BK202" t="n">
        <v>3</v>
      </c>
      <c r="BL202" t="n">
        <v>16</v>
      </c>
      <c r="BM202" t="n">
        <v>21</v>
      </c>
      <c r="BN202" t="n">
        <v>7</v>
      </c>
      <c r="BO202" t="n">
        <v>225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237</v>
      </c>
      <c r="Z203" t="n">
        <v>298</v>
      </c>
      <c r="AA203" t="n">
        <v>84</v>
      </c>
      <c r="AB203" t="n">
        <v>1</v>
      </c>
      <c r="AC203" t="n">
        <v>2</v>
      </c>
      <c r="AD203" t="n">
        <v>3</v>
      </c>
      <c r="AE203" t="n">
        <v>6</v>
      </c>
      <c r="AF203" t="n">
        <v>7</v>
      </c>
      <c r="AG203" t="n">
        <v>3</v>
      </c>
      <c r="AH203" t="n">
        <v>29</v>
      </c>
      <c r="AI203" t="n">
        <v>110</v>
      </c>
      <c r="AJ203" t="n">
        <v>46</v>
      </c>
      <c r="AK203" t="n">
        <v>30</v>
      </c>
      <c r="AL203" t="n">
        <v>3</v>
      </c>
      <c r="AM203" t="n">
        <v>57</v>
      </c>
      <c r="AN203" t="n">
        <v>1</v>
      </c>
      <c r="AO203" t="n">
        <v>0</v>
      </c>
      <c r="AP203" t="n">
        <v>5</v>
      </c>
      <c r="AQ203" t="n">
        <v>30</v>
      </c>
      <c r="AR203" t="n">
        <v>154</v>
      </c>
      <c r="AS203" t="n">
        <v>126</v>
      </c>
      <c r="AT203" t="n">
        <v>0</v>
      </c>
      <c r="AU203" t="n">
        <v>1</v>
      </c>
      <c r="AV203" t="n">
        <v>1</v>
      </c>
      <c r="AW203" t="n">
        <v>26</v>
      </c>
      <c r="AX203" t="n">
        <v>0</v>
      </c>
      <c r="AY203" t="n">
        <v>51</v>
      </c>
      <c r="AZ203" t="n">
        <v>1</v>
      </c>
      <c r="BA203" t="n">
        <v>1</v>
      </c>
      <c r="BB203" t="n">
        <v>81</v>
      </c>
      <c r="BC203" t="n">
        <v>47</v>
      </c>
      <c r="BD203" t="n">
        <v>34</v>
      </c>
      <c r="BE203" t="n">
        <v>25</v>
      </c>
      <c r="BF203" t="n">
        <v>36</v>
      </c>
      <c r="BG203" t="n">
        <v>5</v>
      </c>
      <c r="BH203" t="n">
        <v>3</v>
      </c>
      <c r="BI203" t="n">
        <v>68</v>
      </c>
      <c r="BJ203" t="n">
        <v>61</v>
      </c>
      <c r="BK203" t="n">
        <v>2</v>
      </c>
      <c r="BL203" t="n">
        <v>1</v>
      </c>
      <c r="BM203" t="n">
        <v>43</v>
      </c>
      <c r="BN203" t="n">
        <v>26</v>
      </c>
      <c r="BO203" t="n">
        <v>25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139</v>
      </c>
      <c r="Z204" t="n">
        <v>214</v>
      </c>
      <c r="AA204" t="n">
        <v>155</v>
      </c>
      <c r="AB204" t="n">
        <v>0</v>
      </c>
      <c r="AC204" t="n">
        <v>0</v>
      </c>
      <c r="AD204" t="n">
        <v>1</v>
      </c>
      <c r="AE204" t="n">
        <v>7</v>
      </c>
      <c r="AF204" t="n">
        <v>0</v>
      </c>
      <c r="AG204" t="n">
        <v>3</v>
      </c>
      <c r="AH204" t="n">
        <v>14</v>
      </c>
      <c r="AI204" t="n">
        <v>66</v>
      </c>
      <c r="AJ204" t="n">
        <v>2</v>
      </c>
      <c r="AK204" t="n">
        <v>1</v>
      </c>
      <c r="AL204" t="n">
        <v>5</v>
      </c>
      <c r="AM204" t="n">
        <v>59</v>
      </c>
      <c r="AN204" t="n">
        <v>0</v>
      </c>
      <c r="AO204" t="n">
        <v>0</v>
      </c>
      <c r="AP204" t="n">
        <v>3</v>
      </c>
      <c r="AQ204" t="n">
        <v>13</v>
      </c>
      <c r="AR204" t="n">
        <v>50</v>
      </c>
      <c r="AS204" t="n">
        <v>38</v>
      </c>
      <c r="AT204" t="n">
        <v>3</v>
      </c>
      <c r="AU204" t="n">
        <v>2</v>
      </c>
      <c r="AV204" t="n">
        <v>33</v>
      </c>
      <c r="AW204" t="n">
        <v>27</v>
      </c>
      <c r="AX204" t="n">
        <v>1</v>
      </c>
      <c r="AY204" t="n">
        <v>11</v>
      </c>
      <c r="AZ204" t="n">
        <v>5</v>
      </c>
      <c r="BA204" t="n">
        <v>18</v>
      </c>
      <c r="BB204" t="n">
        <v>160</v>
      </c>
      <c r="BC204" t="n">
        <v>60</v>
      </c>
      <c r="BD204" t="n">
        <v>13</v>
      </c>
      <c r="BE204" t="n">
        <v>27</v>
      </c>
      <c r="BF204" t="n">
        <v>6</v>
      </c>
      <c r="BG204" t="n">
        <v>1</v>
      </c>
      <c r="BH204" t="n">
        <v>6</v>
      </c>
      <c r="BI204" t="n">
        <v>25</v>
      </c>
      <c r="BJ204" t="n">
        <v>22</v>
      </c>
      <c r="BK204" t="n">
        <v>3</v>
      </c>
      <c r="BL204" t="n">
        <v>3</v>
      </c>
      <c r="BM204" t="n">
        <v>40</v>
      </c>
      <c r="BN204" t="n">
        <v>25</v>
      </c>
      <c r="BO204" t="n">
        <v>4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</v>
      </c>
      <c r="U205" t="n">
        <v>0</v>
      </c>
      <c r="V205" t="n">
        <v>0</v>
      </c>
      <c r="W205" t="n">
        <v>0</v>
      </c>
      <c r="X205" t="n">
        <v>0</v>
      </c>
      <c r="Y205" t="n">
        <v>210</v>
      </c>
      <c r="Z205" t="n">
        <v>149</v>
      </c>
      <c r="AA205" t="n">
        <v>78</v>
      </c>
      <c r="AB205" t="n">
        <v>1</v>
      </c>
      <c r="AC205" t="n">
        <v>1</v>
      </c>
      <c r="AD205" t="n">
        <v>3</v>
      </c>
      <c r="AE205" t="n">
        <v>5</v>
      </c>
      <c r="AF205" t="n">
        <v>4</v>
      </c>
      <c r="AG205" t="n">
        <v>8</v>
      </c>
      <c r="AH205" t="n">
        <v>22</v>
      </c>
      <c r="AI205" t="n">
        <v>30</v>
      </c>
      <c r="AJ205" t="n">
        <v>34</v>
      </c>
      <c r="AK205" t="n">
        <v>78</v>
      </c>
      <c r="AL205" t="n">
        <v>3</v>
      </c>
      <c r="AM205" t="n">
        <v>59</v>
      </c>
      <c r="AN205" t="n">
        <v>0</v>
      </c>
      <c r="AO205" t="n">
        <v>0</v>
      </c>
      <c r="AP205" t="n">
        <v>6</v>
      </c>
      <c r="AQ205" t="n">
        <v>15</v>
      </c>
      <c r="AR205" t="n">
        <v>53</v>
      </c>
      <c r="AS205" t="n">
        <v>40</v>
      </c>
      <c r="AT205" t="n">
        <v>0</v>
      </c>
      <c r="AU205" t="n">
        <v>3</v>
      </c>
      <c r="AV205" t="n">
        <v>1</v>
      </c>
      <c r="AW205" t="n">
        <v>19</v>
      </c>
      <c r="AX205" t="n">
        <v>2</v>
      </c>
      <c r="AY205" t="n">
        <v>34</v>
      </c>
      <c r="AZ205" t="n">
        <v>1</v>
      </c>
      <c r="BA205" t="n">
        <v>11</v>
      </c>
      <c r="BB205" t="n">
        <v>85</v>
      </c>
      <c r="BC205" t="n">
        <v>78</v>
      </c>
      <c r="BD205" t="n">
        <v>19</v>
      </c>
      <c r="BE205" t="n">
        <v>18</v>
      </c>
      <c r="BF205" t="n">
        <v>28</v>
      </c>
      <c r="BG205" t="n">
        <v>5</v>
      </c>
      <c r="BH205" t="n">
        <v>4</v>
      </c>
      <c r="BI205" t="n">
        <v>76</v>
      </c>
      <c r="BJ205" t="n">
        <v>70</v>
      </c>
      <c r="BK205" t="n">
        <v>1</v>
      </c>
      <c r="BL205" t="n">
        <v>22</v>
      </c>
      <c r="BM205" t="n">
        <v>18</v>
      </c>
      <c r="BN205" t="n">
        <v>3</v>
      </c>
      <c r="BO205" t="n">
        <v>58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129</v>
      </c>
      <c r="Z206" t="n">
        <v>212</v>
      </c>
      <c r="AA206" t="n">
        <v>93</v>
      </c>
      <c r="AB206" t="n">
        <v>1</v>
      </c>
      <c r="AC206" t="n">
        <v>0</v>
      </c>
      <c r="AD206" t="n">
        <v>3</v>
      </c>
      <c r="AE206" t="n">
        <v>7</v>
      </c>
      <c r="AF206" t="n">
        <v>3</v>
      </c>
      <c r="AG206" t="n">
        <v>3</v>
      </c>
      <c r="AH206" t="n">
        <v>50</v>
      </c>
      <c r="AI206" t="n">
        <v>66</v>
      </c>
      <c r="AJ206" t="n">
        <v>23</v>
      </c>
      <c r="AK206" t="n">
        <v>16</v>
      </c>
      <c r="AL206" t="n">
        <v>0</v>
      </c>
      <c r="AM206" t="n">
        <v>2</v>
      </c>
      <c r="AN206" t="n">
        <v>0</v>
      </c>
      <c r="AO206" t="n">
        <v>0</v>
      </c>
      <c r="AP206" t="n">
        <v>0</v>
      </c>
      <c r="AQ206" t="n">
        <v>4</v>
      </c>
      <c r="AR206" t="n">
        <v>10</v>
      </c>
      <c r="AS206" t="n">
        <v>5</v>
      </c>
      <c r="AT206" t="n">
        <v>0</v>
      </c>
      <c r="AU206" t="n">
        <v>1</v>
      </c>
      <c r="AV206" t="n">
        <v>1</v>
      </c>
      <c r="AW206" t="n">
        <v>10</v>
      </c>
      <c r="AX206" t="n">
        <v>7</v>
      </c>
      <c r="AY206" t="n">
        <v>24</v>
      </c>
      <c r="AZ206" t="n">
        <v>2</v>
      </c>
      <c r="BA206" t="n">
        <v>21</v>
      </c>
      <c r="BB206" t="n">
        <v>108</v>
      </c>
      <c r="BC206" t="n">
        <v>18</v>
      </c>
      <c r="BD206" t="n">
        <v>44</v>
      </c>
      <c r="BE206" t="n">
        <v>10</v>
      </c>
      <c r="BF206" t="n">
        <v>18</v>
      </c>
      <c r="BG206" t="n">
        <v>5</v>
      </c>
      <c r="BH206" t="n">
        <v>0</v>
      </c>
      <c r="BI206" t="n">
        <v>16</v>
      </c>
      <c r="BJ206" t="n">
        <v>13</v>
      </c>
      <c r="BK206" t="n">
        <v>0</v>
      </c>
      <c r="BL206" t="n">
        <v>32</v>
      </c>
      <c r="BM206" t="n">
        <v>28</v>
      </c>
      <c r="BN206" t="n">
        <v>5</v>
      </c>
      <c r="BO206" t="n">
        <v>2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195</v>
      </c>
      <c r="Z207" t="n">
        <v>190</v>
      </c>
      <c r="AA207" t="n">
        <v>121</v>
      </c>
      <c r="AB207" t="n">
        <v>0</v>
      </c>
      <c r="AC207" t="n">
        <v>0</v>
      </c>
      <c r="AD207" t="n">
        <v>5</v>
      </c>
      <c r="AE207" t="n">
        <v>6</v>
      </c>
      <c r="AF207" t="n">
        <v>0</v>
      </c>
      <c r="AG207" t="n">
        <v>3</v>
      </c>
      <c r="AH207" t="n">
        <v>116</v>
      </c>
      <c r="AI207" t="n">
        <v>65</v>
      </c>
      <c r="AJ207" t="n">
        <v>4</v>
      </c>
      <c r="AK207" t="n">
        <v>38</v>
      </c>
      <c r="AL207" t="n">
        <v>3</v>
      </c>
      <c r="AM207" t="n">
        <v>54</v>
      </c>
      <c r="AN207" t="n">
        <v>0</v>
      </c>
      <c r="AO207" t="n">
        <v>0</v>
      </c>
      <c r="AP207" t="n">
        <v>0</v>
      </c>
      <c r="AQ207" t="n">
        <v>6</v>
      </c>
      <c r="AR207" t="n">
        <v>112</v>
      </c>
      <c r="AS207" t="n">
        <v>104</v>
      </c>
      <c r="AT207" t="n">
        <v>0</v>
      </c>
      <c r="AU207" t="n">
        <v>1</v>
      </c>
      <c r="AV207" t="n">
        <v>4</v>
      </c>
      <c r="AW207" t="n">
        <v>11</v>
      </c>
      <c r="AX207" t="n">
        <v>1</v>
      </c>
      <c r="AY207" t="n">
        <v>75</v>
      </c>
      <c r="AZ207" t="n">
        <v>1</v>
      </c>
      <c r="BA207" t="n">
        <v>15</v>
      </c>
      <c r="BB207" t="n">
        <v>128</v>
      </c>
      <c r="BC207" t="n">
        <v>49</v>
      </c>
      <c r="BD207" t="n">
        <v>118</v>
      </c>
      <c r="BE207" t="n">
        <v>10</v>
      </c>
      <c r="BF207" t="n">
        <v>2</v>
      </c>
      <c r="BG207" t="n">
        <v>3</v>
      </c>
      <c r="BH207" t="n">
        <v>0</v>
      </c>
      <c r="BI207" t="n">
        <v>29</v>
      </c>
      <c r="BJ207" t="n">
        <v>26</v>
      </c>
      <c r="BK207" t="n">
        <v>3</v>
      </c>
      <c r="BL207" t="n">
        <v>39</v>
      </c>
      <c r="BM207" t="n">
        <v>57</v>
      </c>
      <c r="BN207" t="n">
        <v>22</v>
      </c>
      <c r="BO207" t="n">
        <v>14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205</v>
      </c>
      <c r="Z208" t="n">
        <v>204</v>
      </c>
      <c r="AA208" t="n">
        <v>36</v>
      </c>
      <c r="AB208" t="n">
        <v>0</v>
      </c>
      <c r="AC208" t="n">
        <v>0</v>
      </c>
      <c r="AD208" t="n">
        <v>2</v>
      </c>
      <c r="AE208" t="n">
        <v>6</v>
      </c>
      <c r="AF208" t="n">
        <v>4</v>
      </c>
      <c r="AG208" t="n">
        <v>0</v>
      </c>
      <c r="AH208" t="n">
        <v>31</v>
      </c>
      <c r="AI208" t="n">
        <v>32</v>
      </c>
      <c r="AJ208" t="n">
        <v>41</v>
      </c>
      <c r="AK208" t="n">
        <v>9</v>
      </c>
      <c r="AL208" t="n">
        <v>4</v>
      </c>
      <c r="AM208" t="n">
        <v>11</v>
      </c>
      <c r="AN208" t="n">
        <v>0</v>
      </c>
      <c r="AO208" t="n">
        <v>0</v>
      </c>
      <c r="AP208" t="n">
        <v>2</v>
      </c>
      <c r="AQ208" t="n">
        <v>1</v>
      </c>
      <c r="AR208" t="n">
        <v>122</v>
      </c>
      <c r="AS208" t="n">
        <v>112</v>
      </c>
      <c r="AT208" t="n">
        <v>2</v>
      </c>
      <c r="AU208" t="n">
        <v>3</v>
      </c>
      <c r="AV208" t="n">
        <v>11</v>
      </c>
      <c r="AW208" t="n">
        <v>23</v>
      </c>
      <c r="AX208" t="n">
        <v>5</v>
      </c>
      <c r="AY208" t="n">
        <v>10</v>
      </c>
      <c r="AZ208" t="n">
        <v>5</v>
      </c>
      <c r="BA208" t="n">
        <v>18</v>
      </c>
      <c r="BB208" t="n">
        <v>53</v>
      </c>
      <c r="BC208" t="n">
        <v>10</v>
      </c>
      <c r="BD208" t="n">
        <v>33</v>
      </c>
      <c r="BE208" t="n">
        <v>23</v>
      </c>
      <c r="BF208" t="n">
        <v>45</v>
      </c>
      <c r="BG208" t="n">
        <v>5</v>
      </c>
      <c r="BH208" t="n">
        <v>2</v>
      </c>
      <c r="BI208" t="n">
        <v>92</v>
      </c>
      <c r="BJ208" t="n">
        <v>83</v>
      </c>
      <c r="BK208" t="n">
        <v>3</v>
      </c>
      <c r="BL208" t="n">
        <v>22</v>
      </c>
      <c r="BM208" t="n">
        <v>46</v>
      </c>
      <c r="BN208" t="n">
        <v>21</v>
      </c>
      <c r="BO208" t="n">
        <v>16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311</v>
      </c>
      <c r="Z209" t="n">
        <v>234</v>
      </c>
      <c r="AA209" t="n">
        <v>163</v>
      </c>
      <c r="AB209" t="n">
        <v>1</v>
      </c>
      <c r="AC209" t="n">
        <v>4</v>
      </c>
      <c r="AD209" t="n">
        <v>4</v>
      </c>
      <c r="AE209" t="n">
        <v>10</v>
      </c>
      <c r="AF209" t="n">
        <v>4</v>
      </c>
      <c r="AG209" t="n">
        <v>10</v>
      </c>
      <c r="AH209" t="n">
        <v>29</v>
      </c>
      <c r="AI209" t="n">
        <v>61</v>
      </c>
      <c r="AJ209" t="n">
        <v>57</v>
      </c>
      <c r="AK209" t="n">
        <v>99</v>
      </c>
      <c r="AL209" t="n">
        <v>3</v>
      </c>
      <c r="AM209" t="n">
        <v>42</v>
      </c>
      <c r="AN209" t="n">
        <v>0</v>
      </c>
      <c r="AO209" t="n">
        <v>0</v>
      </c>
      <c r="AP209" t="n">
        <v>0</v>
      </c>
      <c r="AQ209" t="n">
        <v>23</v>
      </c>
      <c r="AR209" t="n">
        <v>32</v>
      </c>
      <c r="AS209" t="n">
        <v>15</v>
      </c>
      <c r="AT209" t="n">
        <v>2</v>
      </c>
      <c r="AU209" t="n">
        <v>2</v>
      </c>
      <c r="AV209" t="n">
        <v>1</v>
      </c>
      <c r="AW209" t="n">
        <v>21</v>
      </c>
      <c r="AX209" t="n">
        <v>2</v>
      </c>
      <c r="AY209" t="n">
        <v>29</v>
      </c>
      <c r="AZ209" t="n">
        <v>3</v>
      </c>
      <c r="BA209" t="n">
        <v>8</v>
      </c>
      <c r="BB209" t="n">
        <v>157</v>
      </c>
      <c r="BC209" t="n">
        <v>34</v>
      </c>
      <c r="BD209" t="n">
        <v>26</v>
      </c>
      <c r="BE209" t="n">
        <v>21</v>
      </c>
      <c r="BF209" t="n">
        <v>57</v>
      </c>
      <c r="BG209" t="n">
        <v>2</v>
      </c>
      <c r="BH209" t="n">
        <v>30</v>
      </c>
      <c r="BI209" t="n">
        <v>6</v>
      </c>
      <c r="BJ209" t="n">
        <v>1</v>
      </c>
      <c r="BK209" t="n">
        <v>5</v>
      </c>
      <c r="BL209" t="n">
        <v>39</v>
      </c>
      <c r="BM209" t="n">
        <v>35</v>
      </c>
      <c r="BN209" t="n">
        <v>7</v>
      </c>
      <c r="BO209" t="n">
        <v>2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3</v>
      </c>
      <c r="U210" t="n">
        <v>0</v>
      </c>
      <c r="V210" t="n">
        <v>0</v>
      </c>
      <c r="W210" t="n">
        <v>0</v>
      </c>
      <c r="X210" t="n">
        <v>0</v>
      </c>
      <c r="Y210" t="n">
        <v>200</v>
      </c>
      <c r="Z210" t="n">
        <v>209</v>
      </c>
      <c r="AA210" t="n">
        <v>33</v>
      </c>
      <c r="AB210" t="n">
        <v>3</v>
      </c>
      <c r="AC210" t="n">
        <v>0</v>
      </c>
      <c r="AD210" t="n">
        <v>0</v>
      </c>
      <c r="AE210" t="n">
        <v>3</v>
      </c>
      <c r="AF210" t="n">
        <v>4</v>
      </c>
      <c r="AG210" t="n">
        <v>4</v>
      </c>
      <c r="AH210" t="n">
        <v>2</v>
      </c>
      <c r="AI210" t="n">
        <v>15</v>
      </c>
      <c r="AJ210" t="n">
        <v>4</v>
      </c>
      <c r="AK210" t="n">
        <v>13</v>
      </c>
      <c r="AL210" t="n">
        <v>5</v>
      </c>
      <c r="AM210" t="n">
        <v>44</v>
      </c>
      <c r="AN210" t="n">
        <v>0</v>
      </c>
      <c r="AO210" t="n">
        <v>0</v>
      </c>
      <c r="AP210" t="n">
        <v>5</v>
      </c>
      <c r="AQ210" t="n">
        <v>29</v>
      </c>
      <c r="AR210" t="n">
        <v>104</v>
      </c>
      <c r="AS210" t="n">
        <v>80</v>
      </c>
      <c r="AT210" t="n">
        <v>5</v>
      </c>
      <c r="AU210" t="n">
        <v>2</v>
      </c>
      <c r="AV210" t="n">
        <v>78</v>
      </c>
      <c r="AW210" t="n">
        <v>23</v>
      </c>
      <c r="AX210" t="n">
        <v>20</v>
      </c>
      <c r="AY210" t="n">
        <v>13</v>
      </c>
      <c r="AZ210" t="n">
        <v>5</v>
      </c>
      <c r="BA210" t="n">
        <v>36</v>
      </c>
      <c r="BB210" t="n">
        <v>70</v>
      </c>
      <c r="BC210" t="n">
        <v>37</v>
      </c>
      <c r="BD210" t="n">
        <v>10</v>
      </c>
      <c r="BE210" t="n">
        <v>23</v>
      </c>
      <c r="BF210" t="n">
        <v>2</v>
      </c>
      <c r="BG210" t="n">
        <v>5</v>
      </c>
      <c r="BH210" t="n">
        <v>19</v>
      </c>
      <c r="BI210" t="n">
        <v>16</v>
      </c>
      <c r="BJ210" t="n">
        <v>14</v>
      </c>
      <c r="BK210" t="n">
        <v>0</v>
      </c>
      <c r="BL210" t="n">
        <v>1</v>
      </c>
      <c r="BM210" t="n">
        <v>6</v>
      </c>
      <c r="BN210" t="n">
        <v>3</v>
      </c>
      <c r="BO210" t="n">
        <v>23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308</v>
      </c>
      <c r="Z211" t="n">
        <v>143</v>
      </c>
      <c r="AA211" t="n">
        <v>113</v>
      </c>
      <c r="AB211" t="n">
        <v>1</v>
      </c>
      <c r="AC211" t="n">
        <v>0</v>
      </c>
      <c r="AD211" t="n">
        <v>2</v>
      </c>
      <c r="AE211" t="n">
        <v>7</v>
      </c>
      <c r="AF211" t="n">
        <v>2</v>
      </c>
      <c r="AG211" t="n">
        <v>7</v>
      </c>
      <c r="AH211" t="n">
        <v>42</v>
      </c>
      <c r="AI211" t="n">
        <v>53</v>
      </c>
      <c r="AJ211" t="n">
        <v>50</v>
      </c>
      <c r="AK211" t="n">
        <v>66</v>
      </c>
      <c r="AL211" t="n">
        <v>3</v>
      </c>
      <c r="AM211" t="n">
        <v>29</v>
      </c>
      <c r="AN211" t="n">
        <v>0</v>
      </c>
      <c r="AO211" t="n">
        <v>0</v>
      </c>
      <c r="AP211" t="n">
        <v>9</v>
      </c>
      <c r="AQ211" t="n">
        <v>103</v>
      </c>
      <c r="AR211" t="n">
        <v>120</v>
      </c>
      <c r="AS211" t="n">
        <v>28</v>
      </c>
      <c r="AT211" t="n">
        <v>3</v>
      </c>
      <c r="AU211" t="n">
        <v>0</v>
      </c>
      <c r="AV211" t="n">
        <v>55</v>
      </c>
      <c r="AW211" t="n">
        <v>3</v>
      </c>
      <c r="AX211" t="n">
        <v>0</v>
      </c>
      <c r="AY211" t="n">
        <v>29</v>
      </c>
      <c r="AZ211" t="n">
        <v>5</v>
      </c>
      <c r="BA211" t="n">
        <v>52</v>
      </c>
      <c r="BB211" t="n">
        <v>163</v>
      </c>
      <c r="BC211" t="n">
        <v>26</v>
      </c>
      <c r="BD211" t="n">
        <v>47</v>
      </c>
      <c r="BE211" t="n">
        <v>5</v>
      </c>
      <c r="BF211" t="n">
        <v>40</v>
      </c>
      <c r="BG211" t="n">
        <v>6</v>
      </c>
      <c r="BH211" t="n">
        <v>12</v>
      </c>
      <c r="BI211" t="n">
        <v>30</v>
      </c>
      <c r="BJ211" t="n">
        <v>27</v>
      </c>
      <c r="BK211" t="n">
        <v>4</v>
      </c>
      <c r="BL211" t="n">
        <v>8</v>
      </c>
      <c r="BM211" t="n">
        <v>12</v>
      </c>
      <c r="BN211" t="n">
        <v>4</v>
      </c>
      <c r="BO211" t="n">
        <v>7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251</v>
      </c>
      <c r="Z212" t="n">
        <v>180</v>
      </c>
      <c r="AA212" t="n">
        <v>161</v>
      </c>
      <c r="AB212" t="n">
        <v>3</v>
      </c>
      <c r="AC212" t="n">
        <v>0</v>
      </c>
      <c r="AD212" t="n">
        <v>3</v>
      </c>
      <c r="AE212" t="n">
        <v>4</v>
      </c>
      <c r="AF212" t="n">
        <v>4</v>
      </c>
      <c r="AG212" t="n">
        <v>1</v>
      </c>
      <c r="AH212" t="n">
        <v>33</v>
      </c>
      <c r="AI212" t="n">
        <v>15</v>
      </c>
      <c r="AJ212" t="n">
        <v>15</v>
      </c>
      <c r="AK212" t="n">
        <v>21</v>
      </c>
      <c r="AL212" t="n">
        <v>1</v>
      </c>
      <c r="AM212" t="n">
        <v>11</v>
      </c>
      <c r="AN212" t="n">
        <v>1</v>
      </c>
      <c r="AO212" t="n">
        <v>0</v>
      </c>
      <c r="AP212" t="n">
        <v>7</v>
      </c>
      <c r="AQ212" t="n">
        <v>41</v>
      </c>
      <c r="AR212" t="n">
        <v>91</v>
      </c>
      <c r="AS212" t="n">
        <v>56</v>
      </c>
      <c r="AT212" t="n">
        <v>2</v>
      </c>
      <c r="AU212" t="n">
        <v>2</v>
      </c>
      <c r="AV212" t="n">
        <v>32</v>
      </c>
      <c r="AW212" t="n">
        <v>14</v>
      </c>
      <c r="AX212" t="n">
        <v>0</v>
      </c>
      <c r="AY212" t="n">
        <v>27</v>
      </c>
      <c r="AZ212" t="n">
        <v>3</v>
      </c>
      <c r="BA212" t="n">
        <v>37</v>
      </c>
      <c r="BB212" t="n">
        <v>183</v>
      </c>
      <c r="BC212" t="n">
        <v>9</v>
      </c>
      <c r="BD212" t="n">
        <v>30</v>
      </c>
      <c r="BE212" t="n">
        <v>14</v>
      </c>
      <c r="BF212" t="n">
        <v>18</v>
      </c>
      <c r="BG212" t="n">
        <v>1</v>
      </c>
      <c r="BH212" t="n">
        <v>2</v>
      </c>
      <c r="BI212" t="n">
        <v>8</v>
      </c>
      <c r="BJ212" t="n">
        <v>7</v>
      </c>
      <c r="BK212" t="n">
        <v>0</v>
      </c>
      <c r="BL212" t="n">
        <v>20</v>
      </c>
      <c r="BM212" t="n">
        <v>22</v>
      </c>
      <c r="BN212" t="n">
        <v>7</v>
      </c>
      <c r="BO212" t="n">
        <v>11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193</v>
      </c>
      <c r="Z213" t="n">
        <v>305</v>
      </c>
      <c r="AA213" t="n">
        <v>115</v>
      </c>
      <c r="AB213" t="n">
        <v>1</v>
      </c>
      <c r="AC213" t="n">
        <v>2</v>
      </c>
      <c r="AD213" t="n">
        <v>7</v>
      </c>
      <c r="AE213" t="n">
        <v>7</v>
      </c>
      <c r="AF213" t="n">
        <v>2</v>
      </c>
      <c r="AG213" t="n">
        <v>1</v>
      </c>
      <c r="AH213" t="n">
        <v>84</v>
      </c>
      <c r="AI213" t="n">
        <v>98</v>
      </c>
      <c r="AJ213" t="n">
        <v>23</v>
      </c>
      <c r="AK213" t="n">
        <v>1</v>
      </c>
      <c r="AL213" t="n">
        <v>7</v>
      </c>
      <c r="AM213" t="n">
        <v>118</v>
      </c>
      <c r="AN213" t="n">
        <v>0</v>
      </c>
      <c r="AO213" t="n">
        <v>0</v>
      </c>
      <c r="AP213" t="n">
        <v>4</v>
      </c>
      <c r="AQ213" t="n">
        <v>30</v>
      </c>
      <c r="AR213" t="n">
        <v>86</v>
      </c>
      <c r="AS213" t="n">
        <v>61</v>
      </c>
      <c r="AT213" t="n">
        <v>1</v>
      </c>
      <c r="AU213" t="n">
        <v>1</v>
      </c>
      <c r="AV213" t="n">
        <v>8</v>
      </c>
      <c r="AW213" t="n">
        <v>39</v>
      </c>
      <c r="AX213" t="n">
        <v>22</v>
      </c>
      <c r="AY213" t="n">
        <v>27</v>
      </c>
      <c r="AZ213" t="n">
        <v>6</v>
      </c>
      <c r="BA213" t="n">
        <v>50</v>
      </c>
      <c r="BB213" t="n">
        <v>164</v>
      </c>
      <c r="BC213" t="n">
        <v>97</v>
      </c>
      <c r="BD213" t="n">
        <v>75</v>
      </c>
      <c r="BE213" t="n">
        <v>38</v>
      </c>
      <c r="BF213" t="n">
        <v>30</v>
      </c>
      <c r="BG213" t="n">
        <v>6</v>
      </c>
      <c r="BH213" t="n">
        <v>7</v>
      </c>
      <c r="BI213" t="n">
        <v>51</v>
      </c>
      <c r="BJ213" t="n">
        <v>45</v>
      </c>
      <c r="BK213" t="n">
        <v>3</v>
      </c>
      <c r="BL213" t="n">
        <v>11</v>
      </c>
      <c r="BM213" t="n">
        <v>19</v>
      </c>
      <c r="BN213" t="n">
        <v>8</v>
      </c>
      <c r="BO213" t="n">
        <v>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189</v>
      </c>
      <c r="Z214" t="n">
        <v>113</v>
      </c>
      <c r="AA214" t="n">
        <v>84</v>
      </c>
      <c r="AB214" t="n">
        <v>0</v>
      </c>
      <c r="AC214" t="n">
        <v>0</v>
      </c>
      <c r="AD214" t="n">
        <v>3</v>
      </c>
      <c r="AE214" t="n">
        <v>0</v>
      </c>
      <c r="AF214" t="n">
        <v>2</v>
      </c>
      <c r="AG214" t="n">
        <v>4</v>
      </c>
      <c r="AH214" t="n">
        <v>34</v>
      </c>
      <c r="AI214" t="n">
        <v>2</v>
      </c>
      <c r="AJ214" t="n">
        <v>41</v>
      </c>
      <c r="AK214" t="n">
        <v>59</v>
      </c>
      <c r="AL214" t="n">
        <v>2</v>
      </c>
      <c r="AM214" t="n">
        <v>50</v>
      </c>
      <c r="AN214" t="n">
        <v>0</v>
      </c>
      <c r="AO214" t="n">
        <v>0</v>
      </c>
      <c r="AP214" t="n">
        <v>3</v>
      </c>
      <c r="AQ214" t="n">
        <v>21</v>
      </c>
      <c r="AR214" t="n">
        <v>173</v>
      </c>
      <c r="AS214" t="n">
        <v>149</v>
      </c>
      <c r="AT214" t="n">
        <v>1</v>
      </c>
      <c r="AU214" t="n">
        <v>1</v>
      </c>
      <c r="AV214" t="n">
        <v>13</v>
      </c>
      <c r="AW214" t="n">
        <v>7</v>
      </c>
      <c r="AX214" t="n">
        <v>1</v>
      </c>
      <c r="AY214" t="n">
        <v>8</v>
      </c>
      <c r="AZ214" t="n">
        <v>2</v>
      </c>
      <c r="BA214" t="n">
        <v>28</v>
      </c>
      <c r="BB214" t="n">
        <v>107</v>
      </c>
      <c r="BC214" t="n">
        <v>44</v>
      </c>
      <c r="BD214" t="n">
        <v>46</v>
      </c>
      <c r="BE214" t="n">
        <v>7</v>
      </c>
      <c r="BF214" t="n">
        <v>32</v>
      </c>
      <c r="BG214" t="n">
        <v>0</v>
      </c>
      <c r="BH214" t="n">
        <v>13</v>
      </c>
      <c r="BI214" t="n">
        <v>1</v>
      </c>
      <c r="BJ214" t="n">
        <v>31</v>
      </c>
      <c r="BK214" t="n">
        <v>0</v>
      </c>
      <c r="BL214" t="n">
        <v>1</v>
      </c>
      <c r="BM214" t="n">
        <v>2</v>
      </c>
      <c r="BN214" t="n">
        <v>0</v>
      </c>
      <c r="BO214" t="n">
        <v>2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262</v>
      </c>
      <c r="Z215" t="n">
        <v>235</v>
      </c>
      <c r="AA215" t="n">
        <v>96</v>
      </c>
      <c r="AB215" t="n">
        <v>2</v>
      </c>
      <c r="AC215" t="n">
        <v>2</v>
      </c>
      <c r="AD215" t="n">
        <v>1</v>
      </c>
      <c r="AE215" t="n">
        <v>4</v>
      </c>
      <c r="AF215" t="n">
        <v>3</v>
      </c>
      <c r="AG215" t="n">
        <v>5</v>
      </c>
      <c r="AH215" t="n">
        <v>31</v>
      </c>
      <c r="AI215" t="n">
        <v>25</v>
      </c>
      <c r="AJ215" t="n">
        <v>59</v>
      </c>
      <c r="AK215" t="n">
        <v>95</v>
      </c>
      <c r="AL215" t="n">
        <v>6</v>
      </c>
      <c r="AM215" t="n">
        <v>77</v>
      </c>
      <c r="AN215" t="n">
        <v>0</v>
      </c>
      <c r="AO215" t="n">
        <v>0</v>
      </c>
      <c r="AP215" t="n">
        <v>2</v>
      </c>
      <c r="AQ215" t="n">
        <v>1</v>
      </c>
      <c r="AR215" t="n">
        <v>68</v>
      </c>
      <c r="AS215" t="n">
        <v>62</v>
      </c>
      <c r="AT215" t="n">
        <v>3</v>
      </c>
      <c r="AU215" t="n">
        <v>0</v>
      </c>
      <c r="AV215" t="n">
        <v>19</v>
      </c>
      <c r="AW215" t="n">
        <v>3</v>
      </c>
      <c r="AX215" t="n">
        <v>2</v>
      </c>
      <c r="AY215" t="n">
        <v>36</v>
      </c>
      <c r="AZ215" t="n">
        <v>6</v>
      </c>
      <c r="BA215" t="n">
        <v>58</v>
      </c>
      <c r="BB215" t="n">
        <v>154</v>
      </c>
      <c r="BC215" t="n">
        <v>64</v>
      </c>
      <c r="BD215" t="n">
        <v>28</v>
      </c>
      <c r="BE215" t="n">
        <v>2</v>
      </c>
      <c r="BF215" t="n">
        <v>47</v>
      </c>
      <c r="BG215" t="n">
        <v>1</v>
      </c>
      <c r="BH215" t="n">
        <v>5</v>
      </c>
      <c r="BI215" t="n">
        <v>82</v>
      </c>
      <c r="BJ215" t="n">
        <v>75</v>
      </c>
      <c r="BK215" t="n">
        <v>0</v>
      </c>
      <c r="BL215" t="n">
        <v>13</v>
      </c>
      <c r="BM215" t="n">
        <v>12</v>
      </c>
      <c r="BN215" t="n">
        <v>3</v>
      </c>
      <c r="BO215" t="n">
        <v>14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1</v>
      </c>
      <c r="X216" t="n">
        <v>0</v>
      </c>
      <c r="Y216" t="n">
        <v>262</v>
      </c>
      <c r="Z216" t="n">
        <v>182</v>
      </c>
      <c r="AA216" t="n">
        <v>62</v>
      </c>
      <c r="AB216" t="n">
        <v>2</v>
      </c>
      <c r="AC216" t="n">
        <v>4</v>
      </c>
      <c r="AD216" t="n">
        <v>2</v>
      </c>
      <c r="AE216" t="n">
        <v>2</v>
      </c>
      <c r="AF216" t="n">
        <v>3</v>
      </c>
      <c r="AG216" t="n">
        <v>3</v>
      </c>
      <c r="AH216" t="n">
        <v>57</v>
      </c>
      <c r="AI216" t="n">
        <v>42</v>
      </c>
      <c r="AJ216" t="n">
        <v>48</v>
      </c>
      <c r="AK216" t="n">
        <v>59</v>
      </c>
      <c r="AL216" t="n">
        <v>4</v>
      </c>
      <c r="AM216" t="n">
        <v>46</v>
      </c>
      <c r="AN216" t="n">
        <v>0</v>
      </c>
      <c r="AO216" t="n">
        <v>0</v>
      </c>
      <c r="AP216" t="n">
        <v>2</v>
      </c>
      <c r="AQ216" t="n">
        <v>21</v>
      </c>
      <c r="AR216" t="n">
        <v>28</v>
      </c>
      <c r="AS216" t="n">
        <v>10</v>
      </c>
      <c r="AT216" t="n">
        <v>3</v>
      </c>
      <c r="AU216" t="n">
        <v>2</v>
      </c>
      <c r="AV216" t="n">
        <v>11</v>
      </c>
      <c r="AW216" t="n">
        <v>10</v>
      </c>
      <c r="AX216" t="n">
        <v>1</v>
      </c>
      <c r="AY216" t="n">
        <v>13</v>
      </c>
      <c r="AZ216" t="n">
        <v>0</v>
      </c>
      <c r="BA216" t="n">
        <v>2</v>
      </c>
      <c r="BB216" t="n">
        <v>60</v>
      </c>
      <c r="BC216" t="n">
        <v>39</v>
      </c>
      <c r="BD216" t="n">
        <v>51</v>
      </c>
      <c r="BE216" t="n">
        <v>10</v>
      </c>
      <c r="BF216" t="n">
        <v>38</v>
      </c>
      <c r="BG216" t="n">
        <v>3</v>
      </c>
      <c r="BH216" t="n">
        <v>12</v>
      </c>
      <c r="BI216" t="n">
        <v>31</v>
      </c>
      <c r="BJ216" t="n">
        <v>28</v>
      </c>
      <c r="BK216" t="n">
        <v>0</v>
      </c>
      <c r="BL216" t="n">
        <v>4</v>
      </c>
      <c r="BM216" t="n">
        <v>18</v>
      </c>
      <c r="BN216" t="n">
        <v>10</v>
      </c>
      <c r="BO216" t="n">
        <v>4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221</v>
      </c>
      <c r="Z217" t="n">
        <v>284</v>
      </c>
      <c r="AA217" t="n">
        <v>119</v>
      </c>
      <c r="AB217" t="n">
        <v>1</v>
      </c>
      <c r="AC217" t="n">
        <v>2</v>
      </c>
      <c r="AD217" t="n">
        <v>3</v>
      </c>
      <c r="AE217" t="n">
        <v>4</v>
      </c>
      <c r="AF217" t="n">
        <v>1</v>
      </c>
      <c r="AG217" t="n">
        <v>5</v>
      </c>
      <c r="AH217" t="n">
        <v>7</v>
      </c>
      <c r="AI217" t="n">
        <v>67</v>
      </c>
      <c r="AJ217" t="n">
        <v>9</v>
      </c>
      <c r="AK217" t="n">
        <v>71</v>
      </c>
      <c r="AL217" t="n">
        <v>6</v>
      </c>
      <c r="AM217" t="n">
        <v>59</v>
      </c>
      <c r="AN217" t="n">
        <v>0</v>
      </c>
      <c r="AO217" t="n">
        <v>0</v>
      </c>
      <c r="AP217" t="n">
        <v>1</v>
      </c>
      <c r="AQ217" t="n">
        <v>13</v>
      </c>
      <c r="AR217" t="n">
        <v>128</v>
      </c>
      <c r="AS217" t="n">
        <v>111</v>
      </c>
      <c r="AT217" t="n">
        <v>2</v>
      </c>
      <c r="AU217" t="n">
        <v>2</v>
      </c>
      <c r="AV217" t="n">
        <v>4</v>
      </c>
      <c r="AW217" t="n">
        <v>6</v>
      </c>
      <c r="AX217" t="n">
        <v>3</v>
      </c>
      <c r="AY217" t="n">
        <v>40</v>
      </c>
      <c r="AZ217" t="n">
        <v>0</v>
      </c>
      <c r="BA217" t="n">
        <v>1</v>
      </c>
      <c r="BB217" t="n">
        <v>116</v>
      </c>
      <c r="BC217" t="n">
        <v>53</v>
      </c>
      <c r="BD217" t="n">
        <v>15</v>
      </c>
      <c r="BE217" t="n">
        <v>5</v>
      </c>
      <c r="BF217" t="n">
        <v>6</v>
      </c>
      <c r="BG217" t="n">
        <v>1</v>
      </c>
      <c r="BH217" t="n">
        <v>20</v>
      </c>
      <c r="BI217" t="n">
        <v>1</v>
      </c>
      <c r="BJ217" t="n">
        <v>3</v>
      </c>
      <c r="BK217" t="n">
        <v>1</v>
      </c>
      <c r="BL217" t="n">
        <v>1</v>
      </c>
      <c r="BM217" t="n">
        <v>1</v>
      </c>
      <c r="BN217" t="n">
        <v>0</v>
      </c>
      <c r="BO217" t="n">
        <v>7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193</v>
      </c>
      <c r="Z218" t="n">
        <v>206</v>
      </c>
      <c r="AA218" t="n">
        <v>79</v>
      </c>
      <c r="AB218" t="n">
        <v>1</v>
      </c>
      <c r="AC218" t="n">
        <v>1</v>
      </c>
      <c r="AD218" t="n">
        <v>7</v>
      </c>
      <c r="AE218" t="n">
        <v>11</v>
      </c>
      <c r="AF218" t="n">
        <v>1</v>
      </c>
      <c r="AG218" t="n">
        <v>2</v>
      </c>
      <c r="AH218" t="n">
        <v>67</v>
      </c>
      <c r="AI218" t="n">
        <v>79</v>
      </c>
      <c r="AJ218" t="n">
        <v>38</v>
      </c>
      <c r="AK218" t="n">
        <v>62</v>
      </c>
      <c r="AL218" t="n">
        <v>3</v>
      </c>
      <c r="AM218" t="n">
        <v>28</v>
      </c>
      <c r="AN218" t="n">
        <v>0</v>
      </c>
      <c r="AO218" t="n">
        <v>1</v>
      </c>
      <c r="AP218" t="n">
        <v>0</v>
      </c>
      <c r="AQ218" t="n">
        <v>1</v>
      </c>
      <c r="AR218" t="n">
        <v>111</v>
      </c>
      <c r="AS218" t="n">
        <v>101</v>
      </c>
      <c r="AT218" t="n">
        <v>2</v>
      </c>
      <c r="AU218" t="n">
        <v>3</v>
      </c>
      <c r="AV218" t="n">
        <v>15</v>
      </c>
      <c r="AW218" t="n">
        <v>21</v>
      </c>
      <c r="AX218" t="n">
        <v>0</v>
      </c>
      <c r="AY218" t="n">
        <v>60</v>
      </c>
      <c r="AZ218" t="n">
        <v>5</v>
      </c>
      <c r="BA218" t="n">
        <v>40</v>
      </c>
      <c r="BB218" t="n">
        <v>116</v>
      </c>
      <c r="BC218" t="n">
        <v>23</v>
      </c>
      <c r="BD218" t="n">
        <v>87</v>
      </c>
      <c r="BE218" t="n">
        <v>21</v>
      </c>
      <c r="BF218" t="n">
        <v>39</v>
      </c>
      <c r="BG218" t="n">
        <v>0</v>
      </c>
      <c r="BH218" t="n">
        <v>7</v>
      </c>
      <c r="BI218" t="n">
        <v>1</v>
      </c>
      <c r="BJ218" t="n">
        <v>6</v>
      </c>
      <c r="BK218" t="n">
        <v>3</v>
      </c>
      <c r="BL218" t="n">
        <v>36</v>
      </c>
      <c r="BM218" t="n">
        <v>58</v>
      </c>
      <c r="BN218" t="n">
        <v>25</v>
      </c>
      <c r="BO218" t="n">
        <v>14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239</v>
      </c>
      <c r="Z219" t="n">
        <v>215</v>
      </c>
      <c r="AA219" t="n">
        <v>33</v>
      </c>
      <c r="AB219" t="n">
        <v>1</v>
      </c>
      <c r="AC219" t="n">
        <v>1</v>
      </c>
      <c r="AD219" t="n">
        <v>2</v>
      </c>
      <c r="AE219" t="n">
        <v>4</v>
      </c>
      <c r="AF219" t="n">
        <v>9</v>
      </c>
      <c r="AG219" t="n">
        <v>2</v>
      </c>
      <c r="AH219" t="n">
        <v>30</v>
      </c>
      <c r="AI219" t="n">
        <v>44</v>
      </c>
      <c r="AJ219" t="n">
        <v>106</v>
      </c>
      <c r="AK219" t="n">
        <v>1</v>
      </c>
      <c r="AL219" t="n">
        <v>4</v>
      </c>
      <c r="AM219" t="n">
        <v>55</v>
      </c>
      <c r="AN219" t="n">
        <v>0</v>
      </c>
      <c r="AO219" t="n">
        <v>0</v>
      </c>
      <c r="AP219" t="n">
        <v>5</v>
      </c>
      <c r="AQ219" t="n">
        <v>12</v>
      </c>
      <c r="AR219" t="n">
        <v>77</v>
      </c>
      <c r="AS219" t="n">
        <v>65</v>
      </c>
      <c r="AT219" t="n">
        <v>0</v>
      </c>
      <c r="AU219" t="n">
        <v>3</v>
      </c>
      <c r="AV219" t="n">
        <v>1</v>
      </c>
      <c r="AW219" t="n">
        <v>32</v>
      </c>
      <c r="AX219" t="n">
        <v>0</v>
      </c>
      <c r="AY219" t="n">
        <v>34</v>
      </c>
      <c r="AZ219" t="n">
        <v>1</v>
      </c>
      <c r="BA219" t="n">
        <v>28</v>
      </c>
      <c r="BB219" t="n">
        <v>60</v>
      </c>
      <c r="BC219" t="n">
        <v>54</v>
      </c>
      <c r="BD219" t="n">
        <v>47</v>
      </c>
      <c r="BE219" t="n">
        <v>33</v>
      </c>
      <c r="BF219" t="n">
        <v>85</v>
      </c>
      <c r="BG219" t="n">
        <v>0</v>
      </c>
      <c r="BH219" t="n">
        <v>28</v>
      </c>
      <c r="BI219" t="n">
        <v>1</v>
      </c>
      <c r="BJ219" t="n">
        <v>1</v>
      </c>
      <c r="BK219" t="n">
        <v>3</v>
      </c>
      <c r="BL219" t="n">
        <v>48</v>
      </c>
      <c r="BM219" t="n">
        <v>52</v>
      </c>
      <c r="BN219" t="n">
        <v>14</v>
      </c>
      <c r="BO219" t="n">
        <v>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221</v>
      </c>
      <c r="Z220" t="n">
        <v>75</v>
      </c>
      <c r="AA220" t="n">
        <v>8</v>
      </c>
      <c r="AB220" t="n">
        <v>1</v>
      </c>
      <c r="AC220" t="n">
        <v>0</v>
      </c>
      <c r="AD220" t="n">
        <v>3</v>
      </c>
      <c r="AE220" t="n">
        <v>5</v>
      </c>
      <c r="AF220" t="n">
        <v>4</v>
      </c>
      <c r="AG220" t="n">
        <v>7</v>
      </c>
      <c r="AH220" t="n">
        <v>14</v>
      </c>
      <c r="AI220" t="n">
        <v>22</v>
      </c>
      <c r="AJ220" t="n">
        <v>31</v>
      </c>
      <c r="AK220" t="n">
        <v>80</v>
      </c>
      <c r="AL220" t="n">
        <v>1</v>
      </c>
      <c r="AM220" t="n">
        <v>2</v>
      </c>
      <c r="AN220" t="n">
        <v>0</v>
      </c>
      <c r="AO220" t="n">
        <v>0</v>
      </c>
      <c r="AP220" t="n">
        <v>6</v>
      </c>
      <c r="AQ220" t="n">
        <v>64</v>
      </c>
      <c r="AR220" t="n">
        <v>141</v>
      </c>
      <c r="AS220" t="n">
        <v>86</v>
      </c>
      <c r="AT220" t="n">
        <v>11</v>
      </c>
      <c r="AU220" t="n">
        <v>0</v>
      </c>
      <c r="AV220" t="n">
        <v>89</v>
      </c>
      <c r="AW220" t="n">
        <v>4</v>
      </c>
      <c r="AX220" t="n">
        <v>7</v>
      </c>
      <c r="AY220" t="n">
        <v>7</v>
      </c>
      <c r="AZ220" t="n">
        <v>4</v>
      </c>
      <c r="BA220" t="n">
        <v>27</v>
      </c>
      <c r="BB220" t="n">
        <v>38</v>
      </c>
      <c r="BC220" t="n">
        <v>3</v>
      </c>
      <c r="BD220" t="n">
        <v>12</v>
      </c>
      <c r="BE220" t="n">
        <v>3</v>
      </c>
      <c r="BF220" t="n">
        <v>25</v>
      </c>
      <c r="BG220" t="n">
        <v>1</v>
      </c>
      <c r="BH220" t="n">
        <v>0</v>
      </c>
      <c r="BI220" t="n">
        <v>1</v>
      </c>
      <c r="BJ220" t="n">
        <v>1</v>
      </c>
      <c r="BK220" t="n">
        <v>3</v>
      </c>
      <c r="BL220" t="n">
        <v>27</v>
      </c>
      <c r="BM220" t="n">
        <v>18</v>
      </c>
      <c r="BN220" t="n">
        <v>0</v>
      </c>
      <c r="BO220" t="n">
        <v>28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318</v>
      </c>
      <c r="Z221" t="n">
        <v>197</v>
      </c>
      <c r="AA221" t="n">
        <v>39</v>
      </c>
      <c r="AB221" t="n">
        <v>1</v>
      </c>
      <c r="AC221" t="n">
        <v>1</v>
      </c>
      <c r="AD221" t="n">
        <v>3</v>
      </c>
      <c r="AE221" t="n">
        <v>2</v>
      </c>
      <c r="AF221" t="n">
        <v>4</v>
      </c>
      <c r="AG221" t="n">
        <v>3</v>
      </c>
      <c r="AH221" t="n">
        <v>58</v>
      </c>
      <c r="AI221" t="n">
        <v>19</v>
      </c>
      <c r="AJ221" t="n">
        <v>30</v>
      </c>
      <c r="AK221" t="n">
        <v>22</v>
      </c>
      <c r="AL221" t="n">
        <v>5</v>
      </c>
      <c r="AM221" t="n">
        <v>74</v>
      </c>
      <c r="AN221" t="n">
        <v>1</v>
      </c>
      <c r="AO221" t="n">
        <v>0</v>
      </c>
      <c r="AP221" t="n">
        <v>5</v>
      </c>
      <c r="AQ221" t="n">
        <v>24</v>
      </c>
      <c r="AR221" t="n">
        <v>165</v>
      </c>
      <c r="AS221" t="n">
        <v>139</v>
      </c>
      <c r="AT221" t="n">
        <v>6</v>
      </c>
      <c r="AU221" t="n">
        <v>2</v>
      </c>
      <c r="AV221" t="n">
        <v>48</v>
      </c>
      <c r="AW221" t="n">
        <v>16</v>
      </c>
      <c r="AX221" t="n">
        <v>1</v>
      </c>
      <c r="AY221" t="n">
        <v>69</v>
      </c>
      <c r="AZ221" t="n">
        <v>1</v>
      </c>
      <c r="BA221" t="n">
        <v>1</v>
      </c>
      <c r="BB221" t="n">
        <v>38</v>
      </c>
      <c r="BC221" t="n">
        <v>64</v>
      </c>
      <c r="BD221" t="n">
        <v>63</v>
      </c>
      <c r="BE221" t="n">
        <v>15</v>
      </c>
      <c r="BF221" t="n">
        <v>24</v>
      </c>
      <c r="BG221" t="n">
        <v>3</v>
      </c>
      <c r="BH221" t="n">
        <v>8</v>
      </c>
      <c r="BI221" t="n">
        <v>70</v>
      </c>
      <c r="BJ221" t="n">
        <v>64</v>
      </c>
      <c r="BK221" t="n">
        <v>2</v>
      </c>
      <c r="BL221" t="n">
        <v>1</v>
      </c>
      <c r="BM221" t="n">
        <v>5</v>
      </c>
      <c r="BN221" t="n">
        <v>3</v>
      </c>
      <c r="BO221" t="n">
        <v>124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238</v>
      </c>
      <c r="Z222" t="n">
        <v>163</v>
      </c>
      <c r="AA222" t="n">
        <v>53</v>
      </c>
      <c r="AB222" t="n">
        <v>4</v>
      </c>
      <c r="AC222" t="n">
        <v>0</v>
      </c>
      <c r="AD222" t="n">
        <v>6</v>
      </c>
      <c r="AE222" t="n">
        <v>12</v>
      </c>
      <c r="AF222" t="n">
        <v>3</v>
      </c>
      <c r="AG222" t="n">
        <v>5</v>
      </c>
      <c r="AH222" t="n">
        <v>40</v>
      </c>
      <c r="AI222" t="n">
        <v>87</v>
      </c>
      <c r="AJ222" t="n">
        <v>13</v>
      </c>
      <c r="AK222" t="n">
        <v>84</v>
      </c>
      <c r="AL222" t="n">
        <v>9</v>
      </c>
      <c r="AM222" t="n">
        <v>44</v>
      </c>
      <c r="AN222" t="n">
        <v>0</v>
      </c>
      <c r="AO222" t="n">
        <v>0</v>
      </c>
      <c r="AP222" t="n">
        <v>3</v>
      </c>
      <c r="AQ222" t="n">
        <v>65</v>
      </c>
      <c r="AR222" t="n">
        <v>110</v>
      </c>
      <c r="AS222" t="n">
        <v>54</v>
      </c>
      <c r="AT222" t="n">
        <v>2</v>
      </c>
      <c r="AU222" t="n">
        <v>0</v>
      </c>
      <c r="AV222" t="n">
        <v>9</v>
      </c>
      <c r="AW222" t="n">
        <v>1</v>
      </c>
      <c r="AX222" t="n">
        <v>10</v>
      </c>
      <c r="AY222" t="n">
        <v>36</v>
      </c>
      <c r="AZ222" t="n">
        <v>3</v>
      </c>
      <c r="BA222" t="n">
        <v>12</v>
      </c>
      <c r="BB222" t="n">
        <v>62</v>
      </c>
      <c r="BC222" t="n">
        <v>37</v>
      </c>
      <c r="BD222" t="n">
        <v>35</v>
      </c>
      <c r="BE222" t="n">
        <v>4</v>
      </c>
      <c r="BF222" t="n">
        <v>30</v>
      </c>
      <c r="BG222" t="n">
        <v>3</v>
      </c>
      <c r="BH222" t="n">
        <v>0</v>
      </c>
      <c r="BI222" t="n">
        <v>22</v>
      </c>
      <c r="BJ222" t="n">
        <v>19</v>
      </c>
      <c r="BK222" t="n">
        <v>2</v>
      </c>
      <c r="BL222" t="n">
        <v>13</v>
      </c>
      <c r="BM222" t="n">
        <v>9</v>
      </c>
      <c r="BN222" t="n">
        <v>1</v>
      </c>
      <c r="BO222" t="n">
        <v>2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67</v>
      </c>
      <c r="Z223" t="n">
        <v>141</v>
      </c>
      <c r="AA223" t="n">
        <v>62</v>
      </c>
      <c r="AB223" t="n">
        <v>1</v>
      </c>
      <c r="AC223" t="n">
        <v>0</v>
      </c>
      <c r="AD223" t="n">
        <v>2</v>
      </c>
      <c r="AE223" t="n">
        <v>0</v>
      </c>
      <c r="AF223" t="n">
        <v>3</v>
      </c>
      <c r="AG223" t="n">
        <v>1</v>
      </c>
      <c r="AH223" t="n">
        <v>8</v>
      </c>
      <c r="AI223" t="n">
        <v>14</v>
      </c>
      <c r="AJ223" t="n">
        <v>9</v>
      </c>
      <c r="AK223" t="n">
        <v>19</v>
      </c>
      <c r="AL223" t="n">
        <v>3</v>
      </c>
      <c r="AM223" t="n">
        <v>36</v>
      </c>
      <c r="AN223" t="n">
        <v>0</v>
      </c>
      <c r="AO223" t="n">
        <v>0</v>
      </c>
      <c r="AP223" t="n">
        <v>1</v>
      </c>
      <c r="AQ223" t="n">
        <v>16</v>
      </c>
      <c r="AR223" t="n">
        <v>95</v>
      </c>
      <c r="AS223" t="n">
        <v>80</v>
      </c>
      <c r="AT223" t="n">
        <v>1</v>
      </c>
      <c r="AU223" t="n">
        <v>0</v>
      </c>
      <c r="AV223" t="n">
        <v>19</v>
      </c>
      <c r="AW223" t="n">
        <v>1</v>
      </c>
      <c r="AX223" t="n">
        <v>14</v>
      </c>
      <c r="AY223" t="n">
        <v>48</v>
      </c>
      <c r="AZ223" t="n">
        <v>4</v>
      </c>
      <c r="BA223" t="n">
        <v>34</v>
      </c>
      <c r="BB223" t="n">
        <v>96</v>
      </c>
      <c r="BC223" t="n">
        <v>54</v>
      </c>
      <c r="BD223" t="n">
        <v>11</v>
      </c>
      <c r="BE223" t="n">
        <v>8</v>
      </c>
      <c r="BF223" t="n">
        <v>2</v>
      </c>
      <c r="BG223" t="n">
        <v>0</v>
      </c>
      <c r="BH223" t="n">
        <v>6</v>
      </c>
      <c r="BI223" t="n">
        <v>1</v>
      </c>
      <c r="BJ223" t="n">
        <v>1</v>
      </c>
      <c r="BK223" t="n">
        <v>0</v>
      </c>
      <c r="BL223" t="n">
        <v>19</v>
      </c>
      <c r="BM223" t="n">
        <v>16</v>
      </c>
      <c r="BN223" t="n">
        <v>3</v>
      </c>
      <c r="BO223" t="n">
        <v>14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295</v>
      </c>
      <c r="Z224" t="n">
        <v>257</v>
      </c>
      <c r="AA224" t="n">
        <v>57</v>
      </c>
      <c r="AB224" t="n">
        <v>1</v>
      </c>
      <c r="AC224" t="n">
        <v>1</v>
      </c>
      <c r="AD224" t="n">
        <v>6</v>
      </c>
      <c r="AE224" t="n">
        <v>4</v>
      </c>
      <c r="AF224" t="n">
        <v>3</v>
      </c>
      <c r="AG224" t="n">
        <v>0</v>
      </c>
      <c r="AH224" t="n">
        <v>57</v>
      </c>
      <c r="AI224" t="n">
        <v>49</v>
      </c>
      <c r="AJ224" t="n">
        <v>49</v>
      </c>
      <c r="AK224" t="n">
        <v>1</v>
      </c>
      <c r="AL224" t="n">
        <v>5</v>
      </c>
      <c r="AM224" t="n">
        <v>79</v>
      </c>
      <c r="AN224" t="n">
        <v>0</v>
      </c>
      <c r="AO224" t="n">
        <v>0</v>
      </c>
      <c r="AP224" t="n">
        <v>5</v>
      </c>
      <c r="AQ224" t="n">
        <v>36</v>
      </c>
      <c r="AR224" t="n">
        <v>116</v>
      </c>
      <c r="AS224" t="n">
        <v>84</v>
      </c>
      <c r="AT224" t="n">
        <v>7</v>
      </c>
      <c r="AU224" t="n">
        <v>1</v>
      </c>
      <c r="AV224" t="n">
        <v>86</v>
      </c>
      <c r="AW224" t="n">
        <v>15</v>
      </c>
      <c r="AX224" t="n">
        <v>1</v>
      </c>
      <c r="AY224" t="n">
        <v>59</v>
      </c>
      <c r="AZ224" t="n">
        <v>0</v>
      </c>
      <c r="BA224" t="n">
        <v>5</v>
      </c>
      <c r="BB224" t="n">
        <v>58</v>
      </c>
      <c r="BC224" t="n">
        <v>75</v>
      </c>
      <c r="BD224" t="n">
        <v>51</v>
      </c>
      <c r="BE224" t="n">
        <v>14</v>
      </c>
      <c r="BF224" t="n">
        <v>40</v>
      </c>
      <c r="BG224" t="n">
        <v>1</v>
      </c>
      <c r="BH224" t="n">
        <v>20</v>
      </c>
      <c r="BI224" t="n">
        <v>1</v>
      </c>
      <c r="BJ224" t="n">
        <v>1</v>
      </c>
      <c r="BK224" t="n">
        <v>0</v>
      </c>
      <c r="BL224" t="n">
        <v>44</v>
      </c>
      <c r="BM224" t="n">
        <v>56</v>
      </c>
      <c r="BN224" t="n">
        <v>18</v>
      </c>
      <c r="BO224" t="n">
        <v>32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201</v>
      </c>
      <c r="Z225" t="n">
        <v>289</v>
      </c>
      <c r="AA225" t="n">
        <v>79</v>
      </c>
      <c r="AB225" t="n">
        <v>0</v>
      </c>
      <c r="AC225" t="n">
        <v>2</v>
      </c>
      <c r="AD225" t="n">
        <v>3</v>
      </c>
      <c r="AE225" t="n">
        <v>6</v>
      </c>
      <c r="AF225" t="n">
        <v>2</v>
      </c>
      <c r="AG225" t="n">
        <v>0</v>
      </c>
      <c r="AH225" t="n">
        <v>40</v>
      </c>
      <c r="AI225" t="n">
        <v>56</v>
      </c>
      <c r="AJ225" t="n">
        <v>20</v>
      </c>
      <c r="AK225" t="n">
        <v>18</v>
      </c>
      <c r="AL225" t="n">
        <v>5</v>
      </c>
      <c r="AM225" t="n">
        <v>76</v>
      </c>
      <c r="AN225" t="n">
        <v>0</v>
      </c>
      <c r="AO225" t="n">
        <v>0</v>
      </c>
      <c r="AP225" t="n">
        <v>2</v>
      </c>
      <c r="AQ225" t="n">
        <v>-2</v>
      </c>
      <c r="AR225" t="n">
        <v>78</v>
      </c>
      <c r="AS225" t="n">
        <v>72</v>
      </c>
      <c r="AT225" t="n">
        <v>3</v>
      </c>
      <c r="AU225" t="n">
        <v>2</v>
      </c>
      <c r="AV225" t="n">
        <v>55</v>
      </c>
      <c r="AW225" t="n">
        <v>11</v>
      </c>
      <c r="AX225" t="n">
        <v>0</v>
      </c>
      <c r="AY225" t="n">
        <v>34</v>
      </c>
      <c r="AZ225" t="n">
        <v>4</v>
      </c>
      <c r="BA225" t="n">
        <v>16</v>
      </c>
      <c r="BB225" t="n">
        <v>91</v>
      </c>
      <c r="BC225" t="n">
        <v>63</v>
      </c>
      <c r="BD225" t="n">
        <v>66</v>
      </c>
      <c r="BE225" t="n">
        <v>27</v>
      </c>
      <c r="BF225" t="n">
        <v>21</v>
      </c>
      <c r="BG225" t="n">
        <v>2</v>
      </c>
      <c r="BH225" t="n">
        <v>8</v>
      </c>
      <c r="BI225" t="n">
        <v>34</v>
      </c>
      <c r="BJ225" t="n">
        <v>34</v>
      </c>
      <c r="BK225" t="n">
        <v>2</v>
      </c>
      <c r="BL225" t="n">
        <v>30</v>
      </c>
      <c r="BM225" t="n">
        <v>24</v>
      </c>
      <c r="BN225" t="n">
        <v>4</v>
      </c>
      <c r="BO225" t="n">
        <v>-5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112</v>
      </c>
      <c r="Z226" t="n">
        <v>155</v>
      </c>
      <c r="AA226" t="n">
        <v>64</v>
      </c>
      <c r="AB226" t="n">
        <v>1</v>
      </c>
      <c r="AC226" t="n">
        <v>0</v>
      </c>
      <c r="AD226" t="n">
        <v>6</v>
      </c>
      <c r="AE226" t="n">
        <v>4</v>
      </c>
      <c r="AF226" t="n">
        <v>2</v>
      </c>
      <c r="AG226" t="n">
        <v>5</v>
      </c>
      <c r="AH226" t="n">
        <v>27</v>
      </c>
      <c r="AI226" t="n">
        <v>79</v>
      </c>
      <c r="AJ226" t="n">
        <v>42</v>
      </c>
      <c r="AK226" t="n">
        <v>22</v>
      </c>
      <c r="AL226" t="n">
        <v>1</v>
      </c>
      <c r="AM226" t="n">
        <v>25</v>
      </c>
      <c r="AN226" t="n">
        <v>0</v>
      </c>
      <c r="AO226" t="n">
        <v>0</v>
      </c>
      <c r="AP226" t="n">
        <v>3</v>
      </c>
      <c r="AQ226" t="n">
        <v>12</v>
      </c>
      <c r="AR226" t="n">
        <v>122</v>
      </c>
      <c r="AS226" t="n">
        <v>108</v>
      </c>
      <c r="AT226" t="n">
        <v>0</v>
      </c>
      <c r="AU226" t="n">
        <v>0</v>
      </c>
      <c r="AV226" t="n">
        <v>1</v>
      </c>
      <c r="AW226" t="n">
        <v>1</v>
      </c>
      <c r="AX226" t="n">
        <v>0</v>
      </c>
      <c r="AY226" t="n">
        <v>7</v>
      </c>
      <c r="AZ226" t="n">
        <v>1</v>
      </c>
      <c r="BA226" t="n">
        <v>8</v>
      </c>
      <c r="BB226" t="n">
        <v>68</v>
      </c>
      <c r="BC226" t="n">
        <v>20</v>
      </c>
      <c r="BD226" t="n">
        <v>24</v>
      </c>
      <c r="BE226" t="n">
        <v>1</v>
      </c>
      <c r="BF226" t="n">
        <v>47</v>
      </c>
      <c r="BG226" t="n">
        <v>1</v>
      </c>
      <c r="BH226" t="n">
        <v>7</v>
      </c>
      <c r="BI226" t="n">
        <v>9</v>
      </c>
      <c r="BJ226" t="n">
        <v>8</v>
      </c>
      <c r="BK226" t="n">
        <v>0</v>
      </c>
      <c r="BL226" t="n">
        <v>1</v>
      </c>
      <c r="BM226" t="n">
        <v>24</v>
      </c>
      <c r="BN226" t="n">
        <v>14</v>
      </c>
      <c r="BO226" t="n">
        <v>23</v>
      </c>
    </row>
    <row r="227">
      <c r="A227" t="n">
        <v>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3</v>
      </c>
      <c r="U227" t="n">
        <v>0</v>
      </c>
      <c r="V227" t="n">
        <v>0</v>
      </c>
      <c r="W227" t="n">
        <v>0</v>
      </c>
      <c r="X227" t="n">
        <v>0</v>
      </c>
      <c r="Y227" t="n">
        <v>243</v>
      </c>
      <c r="Z227" t="n">
        <v>168</v>
      </c>
      <c r="AA227" t="n">
        <v>135</v>
      </c>
      <c r="AB227" t="n">
        <v>1</v>
      </c>
      <c r="AC227" t="n">
        <v>0</v>
      </c>
      <c r="AD227" t="n">
        <v>5</v>
      </c>
      <c r="AE227" t="n">
        <v>2</v>
      </c>
      <c r="AF227" t="n">
        <v>2</v>
      </c>
      <c r="AG227" t="n">
        <v>9</v>
      </c>
      <c r="AH227" t="n">
        <v>32</v>
      </c>
      <c r="AI227" t="n">
        <v>28</v>
      </c>
      <c r="AJ227" t="n">
        <v>30</v>
      </c>
      <c r="AK227" t="n">
        <v>165</v>
      </c>
      <c r="AL227" t="n">
        <v>3</v>
      </c>
      <c r="AM227" t="n">
        <v>80</v>
      </c>
      <c r="AN227" t="n">
        <v>0</v>
      </c>
      <c r="AO227" t="n">
        <v>0</v>
      </c>
      <c r="AP227" t="n">
        <v>3</v>
      </c>
      <c r="AQ227" t="n">
        <v>21</v>
      </c>
      <c r="AR227" t="n">
        <v>64</v>
      </c>
      <c r="AS227" t="n">
        <v>48</v>
      </c>
      <c r="AT227" t="n">
        <v>1</v>
      </c>
      <c r="AU227" t="n">
        <v>0</v>
      </c>
      <c r="AV227" t="n">
        <v>13</v>
      </c>
      <c r="AW227" t="n">
        <v>2</v>
      </c>
      <c r="AX227" t="n">
        <v>-1</v>
      </c>
      <c r="AY227" t="n">
        <v>55</v>
      </c>
      <c r="AZ227" t="n">
        <v>2</v>
      </c>
      <c r="BA227" t="n">
        <v>28</v>
      </c>
      <c r="BB227" t="n">
        <v>154</v>
      </c>
      <c r="BC227" t="n">
        <v>82</v>
      </c>
      <c r="BD227" t="n">
        <v>28</v>
      </c>
      <c r="BE227" t="n">
        <v>1</v>
      </c>
      <c r="BF227" t="n">
        <v>24</v>
      </c>
      <c r="BG227" t="n">
        <v>2</v>
      </c>
      <c r="BH227" t="n">
        <v>2</v>
      </c>
      <c r="BI227" t="n">
        <v>26</v>
      </c>
      <c r="BJ227" t="n">
        <v>27</v>
      </c>
      <c r="BK227" t="n">
        <v>0</v>
      </c>
      <c r="BL227" t="n">
        <v>1</v>
      </c>
      <c r="BM227" t="n">
        <v>13</v>
      </c>
      <c r="BN227" t="n">
        <v>7</v>
      </c>
      <c r="BO227" t="n">
        <v>9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173</v>
      </c>
      <c r="Z228" t="n">
        <v>109</v>
      </c>
      <c r="AA228" t="n">
        <v>35</v>
      </c>
      <c r="AB228" t="n">
        <v>0</v>
      </c>
      <c r="AC228" t="n">
        <v>1</v>
      </c>
      <c r="AD228" t="n">
        <v>5</v>
      </c>
      <c r="AE228" t="n">
        <v>7</v>
      </c>
      <c r="AF228" t="n">
        <v>1</v>
      </c>
      <c r="AG228" t="n">
        <v>2</v>
      </c>
      <c r="AH228" t="n">
        <v>42</v>
      </c>
      <c r="AI228" t="n">
        <v>43</v>
      </c>
      <c r="AJ228" t="n">
        <v>1</v>
      </c>
      <c r="AK228" t="n">
        <v>22</v>
      </c>
      <c r="AL228" t="n">
        <v>1</v>
      </c>
      <c r="AM228" t="n">
        <v>2</v>
      </c>
      <c r="AN228" t="n">
        <v>0</v>
      </c>
      <c r="AO228" t="n">
        <v>0</v>
      </c>
      <c r="AP228" t="n">
        <v>6</v>
      </c>
      <c r="AQ228" t="n">
        <v>42</v>
      </c>
      <c r="AR228" t="n">
        <v>48</v>
      </c>
      <c r="AS228" t="n">
        <v>11</v>
      </c>
      <c r="AT228" t="n">
        <v>1</v>
      </c>
      <c r="AU228" t="n">
        <v>1</v>
      </c>
      <c r="AV228" t="n">
        <v>22</v>
      </c>
      <c r="AW228" t="n">
        <v>1</v>
      </c>
      <c r="AX228" t="n">
        <v>1</v>
      </c>
      <c r="AY228" t="n">
        <v>36</v>
      </c>
      <c r="AZ228" t="n">
        <v>1</v>
      </c>
      <c r="BA228" t="n">
        <v>1</v>
      </c>
      <c r="BB228" t="n">
        <v>35</v>
      </c>
      <c r="BC228" t="n">
        <v>5</v>
      </c>
      <c r="BD228" t="n">
        <v>36</v>
      </c>
      <c r="BE228" t="n">
        <v>4</v>
      </c>
      <c r="BF228" t="n">
        <v>2</v>
      </c>
      <c r="BG228" t="n">
        <v>4</v>
      </c>
      <c r="BH228" t="n">
        <v>3</v>
      </c>
      <c r="BI228" t="n">
        <v>42</v>
      </c>
      <c r="BJ228" t="n">
        <v>38</v>
      </c>
      <c r="BK228" t="n">
        <v>3</v>
      </c>
      <c r="BL228" t="n">
        <v>13</v>
      </c>
      <c r="BM228" t="n">
        <v>29</v>
      </c>
      <c r="BN228" t="n">
        <v>14</v>
      </c>
      <c r="BO228" t="n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201</v>
      </c>
      <c r="Z229" t="n">
        <v>244</v>
      </c>
      <c r="AA229" t="n">
        <v>48</v>
      </c>
      <c r="AB229" t="n">
        <v>1</v>
      </c>
      <c r="AC229" t="n">
        <v>2</v>
      </c>
      <c r="AD229" t="n">
        <v>1</v>
      </c>
      <c r="AE229" t="n">
        <v>4</v>
      </c>
      <c r="AF229" t="n">
        <v>0</v>
      </c>
      <c r="AG229" t="n">
        <v>2</v>
      </c>
      <c r="AH229" t="n">
        <v>83</v>
      </c>
      <c r="AI229" t="n">
        <v>59</v>
      </c>
      <c r="AJ229" t="n">
        <v>5</v>
      </c>
      <c r="AK229" t="n">
        <v>6</v>
      </c>
      <c r="AL229" t="n">
        <v>4</v>
      </c>
      <c r="AM229" t="n">
        <v>51</v>
      </c>
      <c r="AN229" t="n">
        <v>0</v>
      </c>
      <c r="AO229" t="n">
        <v>0</v>
      </c>
      <c r="AP229" t="n">
        <v>0</v>
      </c>
      <c r="AQ229" t="n">
        <v>18</v>
      </c>
      <c r="AR229" t="n">
        <v>129</v>
      </c>
      <c r="AS229" t="n">
        <v>110</v>
      </c>
      <c r="AT229" t="n">
        <v>0</v>
      </c>
      <c r="AU229" t="n">
        <v>2</v>
      </c>
      <c r="AV229" t="n">
        <v>1</v>
      </c>
      <c r="AW229" t="n">
        <v>22</v>
      </c>
      <c r="AX229" t="n">
        <v>5</v>
      </c>
      <c r="AY229" t="n">
        <v>7</v>
      </c>
      <c r="AZ229" t="n">
        <v>4</v>
      </c>
      <c r="BA229" t="n">
        <v>29</v>
      </c>
      <c r="BB229" t="n">
        <v>76</v>
      </c>
      <c r="BC229" t="n">
        <v>42</v>
      </c>
      <c r="BD229" t="n">
        <v>81</v>
      </c>
      <c r="BE229" t="n">
        <v>22</v>
      </c>
      <c r="BF229" t="n">
        <v>4</v>
      </c>
      <c r="BG229" t="n">
        <v>1</v>
      </c>
      <c r="BH229" t="n">
        <v>2</v>
      </c>
      <c r="BI229" t="n">
        <v>1</v>
      </c>
      <c r="BJ229" t="n">
        <v>27</v>
      </c>
      <c r="BK229" t="n">
        <v>3</v>
      </c>
      <c r="BL229" t="n">
        <v>42</v>
      </c>
      <c r="BM229" t="n">
        <v>34</v>
      </c>
      <c r="BN229" t="n">
        <v>5</v>
      </c>
      <c r="BO229" t="n">
        <v>161</v>
      </c>
    </row>
    <row r="230">
      <c r="A230" t="n">
        <v>0</v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122</v>
      </c>
      <c r="Z230" t="n">
        <v>192</v>
      </c>
      <c r="AA230" t="n">
        <v>80</v>
      </c>
      <c r="AB230" t="n">
        <v>4</v>
      </c>
      <c r="AC230" t="n">
        <v>2</v>
      </c>
      <c r="AD230" t="n">
        <v>5</v>
      </c>
      <c r="AE230" t="n">
        <v>5</v>
      </c>
      <c r="AF230" t="n">
        <v>1</v>
      </c>
      <c r="AG230" t="n">
        <v>2</v>
      </c>
      <c r="AH230" t="n">
        <v>75</v>
      </c>
      <c r="AI230" t="n">
        <v>62</v>
      </c>
      <c r="AJ230" t="n">
        <v>2</v>
      </c>
      <c r="AK230" t="n">
        <v>7</v>
      </c>
      <c r="AL230" t="n">
        <v>6</v>
      </c>
      <c r="AM230" t="n">
        <v>42</v>
      </c>
      <c r="AN230" t="n">
        <v>0</v>
      </c>
      <c r="AO230" t="n">
        <v>0</v>
      </c>
      <c r="AP230" t="n">
        <v>3</v>
      </c>
      <c r="AQ230" t="n">
        <v>19</v>
      </c>
      <c r="AR230" t="n">
        <v>45</v>
      </c>
      <c r="AS230" t="n">
        <v>31</v>
      </c>
      <c r="AT230" t="n">
        <v>3</v>
      </c>
      <c r="AU230" t="n">
        <v>2</v>
      </c>
      <c r="AV230" t="n">
        <v>27</v>
      </c>
      <c r="AW230" t="n">
        <v>6</v>
      </c>
      <c r="AX230" t="n">
        <v>0</v>
      </c>
      <c r="AY230" t="n">
        <v>22</v>
      </c>
      <c r="AZ230" t="n">
        <v>0</v>
      </c>
      <c r="BA230" t="n">
        <v>1</v>
      </c>
      <c r="BB230" t="n">
        <v>78</v>
      </c>
      <c r="BC230" t="n">
        <v>35</v>
      </c>
      <c r="BD230" t="n">
        <v>68</v>
      </c>
      <c r="BE230" t="n">
        <v>6</v>
      </c>
      <c r="BF230" t="n">
        <v>3</v>
      </c>
      <c r="BG230" t="n">
        <v>3</v>
      </c>
      <c r="BH230" t="n">
        <v>2</v>
      </c>
      <c r="BI230" t="n">
        <v>7</v>
      </c>
      <c r="BJ230" t="n">
        <v>5</v>
      </c>
      <c r="BK230" t="n">
        <v>3</v>
      </c>
      <c r="BL230" t="n">
        <v>8</v>
      </c>
      <c r="BM230" t="n">
        <v>20</v>
      </c>
      <c r="BN230" t="n">
        <v>10</v>
      </c>
      <c r="BO230" t="n">
        <v>42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249</v>
      </c>
      <c r="Z231" t="n">
        <v>169</v>
      </c>
      <c r="AA231" t="n">
        <v>51</v>
      </c>
      <c r="AB231" t="n">
        <v>1</v>
      </c>
      <c r="AC231" t="n">
        <v>0</v>
      </c>
      <c r="AD231" t="n">
        <v>7</v>
      </c>
      <c r="AE231" t="n">
        <v>10</v>
      </c>
      <c r="AF231" t="n">
        <v>1</v>
      </c>
      <c r="AG231" t="n">
        <v>2</v>
      </c>
      <c r="AH231" t="n">
        <v>103</v>
      </c>
      <c r="AI231" t="n">
        <v>77</v>
      </c>
      <c r="AJ231" t="n">
        <v>18</v>
      </c>
      <c r="AK231" t="n">
        <v>28</v>
      </c>
      <c r="AL231" t="n">
        <v>4</v>
      </c>
      <c r="AM231" t="n">
        <v>33</v>
      </c>
      <c r="AN231" t="n">
        <v>0</v>
      </c>
      <c r="AO231" t="n">
        <v>0</v>
      </c>
      <c r="AP231" t="n">
        <v>3</v>
      </c>
      <c r="AQ231" t="n">
        <v>24</v>
      </c>
      <c r="AR231" t="n">
        <v>98</v>
      </c>
      <c r="AS231" t="n">
        <v>79</v>
      </c>
      <c r="AT231" t="n">
        <v>2</v>
      </c>
      <c r="AU231" t="n">
        <v>1</v>
      </c>
      <c r="AV231" t="n">
        <v>15</v>
      </c>
      <c r="AW231" t="n">
        <v>9</v>
      </c>
      <c r="AX231" t="n">
        <v>12</v>
      </c>
      <c r="AY231" t="n">
        <v>7</v>
      </c>
      <c r="AZ231" t="n">
        <v>4</v>
      </c>
      <c r="BA231" t="n">
        <v>29</v>
      </c>
      <c r="BB231" t="n">
        <v>78</v>
      </c>
      <c r="BC231" t="n">
        <v>28</v>
      </c>
      <c r="BD231" t="n">
        <v>93</v>
      </c>
      <c r="BE231" t="n">
        <v>10</v>
      </c>
      <c r="BF231" t="n">
        <v>13</v>
      </c>
      <c r="BG231" t="n">
        <v>4</v>
      </c>
      <c r="BH231" t="n">
        <v>14</v>
      </c>
      <c r="BI231" t="n">
        <v>46</v>
      </c>
      <c r="BJ231" t="n">
        <v>42</v>
      </c>
      <c r="BK231" t="n">
        <v>5</v>
      </c>
      <c r="BL231" t="n">
        <v>56</v>
      </c>
      <c r="BM231" t="n">
        <v>38</v>
      </c>
      <c r="BN231" t="n">
        <v>0</v>
      </c>
      <c r="BO231" t="n">
        <v>7</v>
      </c>
    </row>
    <row r="232">
      <c r="A232" t="n">
        <v>0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80</v>
      </c>
      <c r="Z232" t="n">
        <v>163</v>
      </c>
      <c r="AA232" t="n">
        <v>87</v>
      </c>
      <c r="AB232" t="n">
        <v>1</v>
      </c>
      <c r="AC232" t="n">
        <v>1</v>
      </c>
      <c r="AD232" t="n">
        <v>3</v>
      </c>
      <c r="AE232" t="n">
        <v>5</v>
      </c>
      <c r="AF232" t="n">
        <v>0</v>
      </c>
      <c r="AG232" t="n">
        <v>1</v>
      </c>
      <c r="AH232" t="n">
        <v>12</v>
      </c>
      <c r="AI232" t="n">
        <v>56</v>
      </c>
      <c r="AJ232" t="n">
        <v>1</v>
      </c>
      <c r="AK232" t="n">
        <v>15</v>
      </c>
      <c r="AL232" t="n">
        <v>1</v>
      </c>
      <c r="AM232" t="n">
        <v>37</v>
      </c>
      <c r="AN232" t="n">
        <v>0</v>
      </c>
      <c r="AO232" t="n">
        <v>0</v>
      </c>
      <c r="AP232" t="n">
        <v>3</v>
      </c>
      <c r="AQ232" t="n">
        <v>12</v>
      </c>
      <c r="AR232" t="n">
        <v>79</v>
      </c>
      <c r="AS232" t="n">
        <v>67</v>
      </c>
      <c r="AT232" t="n">
        <v>2</v>
      </c>
      <c r="AU232" t="n">
        <v>4</v>
      </c>
      <c r="AV232" t="n">
        <v>52</v>
      </c>
      <c r="AW232" t="n">
        <v>32</v>
      </c>
      <c r="AX232" t="n">
        <v>0</v>
      </c>
      <c r="AY232" t="n">
        <v>37</v>
      </c>
      <c r="AZ232" t="n">
        <v>1</v>
      </c>
      <c r="BA232" t="n">
        <v>1</v>
      </c>
      <c r="BB232" t="n">
        <v>84</v>
      </c>
      <c r="BC232" t="n">
        <v>55</v>
      </c>
      <c r="BD232" t="n">
        <v>22</v>
      </c>
      <c r="BE232" t="n">
        <v>32</v>
      </c>
      <c r="BF232" t="n">
        <v>5</v>
      </c>
      <c r="BG232" t="n">
        <v>0</v>
      </c>
      <c r="BH232" t="n">
        <v>1</v>
      </c>
      <c r="BI232" t="n">
        <v>1</v>
      </c>
      <c r="BJ232" t="n">
        <v>38</v>
      </c>
      <c r="BK232" t="n">
        <v>3</v>
      </c>
      <c r="BL232" t="n">
        <v>14</v>
      </c>
      <c r="BM232" t="n">
        <v>27</v>
      </c>
      <c r="BN232" t="n">
        <v>11</v>
      </c>
      <c r="BO232" t="n">
        <v>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152</v>
      </c>
      <c r="Z233" t="n">
        <v>135</v>
      </c>
      <c r="AA233" t="n">
        <v>25</v>
      </c>
      <c r="AB233" t="n">
        <v>0</v>
      </c>
      <c r="AC233" t="n">
        <v>2</v>
      </c>
      <c r="AD233" t="n">
        <v>3</v>
      </c>
      <c r="AE233" t="n">
        <v>4</v>
      </c>
      <c r="AF233" t="n">
        <v>2</v>
      </c>
      <c r="AG233" t="n">
        <v>7</v>
      </c>
      <c r="AH233" t="n">
        <v>65</v>
      </c>
      <c r="AI233" t="n">
        <v>27</v>
      </c>
      <c r="AJ233" t="n">
        <v>9</v>
      </c>
      <c r="AK233" t="n">
        <v>30</v>
      </c>
      <c r="AL233" t="n">
        <v>1</v>
      </c>
      <c r="AM233" t="n">
        <v>24</v>
      </c>
      <c r="AN233" t="n">
        <v>0</v>
      </c>
      <c r="AO233" t="n">
        <v>0</v>
      </c>
      <c r="AP233" t="n">
        <v>2</v>
      </c>
      <c r="AQ233" t="n">
        <v>16</v>
      </c>
      <c r="AR233" t="n">
        <v>83</v>
      </c>
      <c r="AS233" t="n">
        <v>67</v>
      </c>
      <c r="AT233" t="n">
        <v>1</v>
      </c>
      <c r="AU233" t="n">
        <v>0</v>
      </c>
      <c r="AV233" t="n">
        <v>20</v>
      </c>
      <c r="AW233" t="n">
        <v>13</v>
      </c>
      <c r="AX233" t="n">
        <v>3</v>
      </c>
      <c r="AY233" t="n">
        <v>62</v>
      </c>
      <c r="AZ233" t="n">
        <v>3</v>
      </c>
      <c r="BA233" t="n">
        <v>27</v>
      </c>
      <c r="BB233" t="n">
        <v>52</v>
      </c>
      <c r="BC233" t="n">
        <v>20</v>
      </c>
      <c r="BD233" t="n">
        <v>63</v>
      </c>
      <c r="BE233" t="n">
        <v>12</v>
      </c>
      <c r="BF233" t="n">
        <v>6</v>
      </c>
      <c r="BG233" t="n">
        <v>4</v>
      </c>
      <c r="BH233" t="n">
        <v>6</v>
      </c>
      <c r="BI233" t="n">
        <v>18</v>
      </c>
      <c r="BJ233" t="n">
        <v>15</v>
      </c>
      <c r="BK233" t="n">
        <v>2</v>
      </c>
      <c r="BL233" t="n">
        <v>3</v>
      </c>
      <c r="BM233" t="n">
        <v>37</v>
      </c>
      <c r="BN233" t="n">
        <v>22</v>
      </c>
      <c r="BO233" t="n">
        <v>35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228</v>
      </c>
      <c r="Z234" t="n">
        <v>208</v>
      </c>
      <c r="AA234" t="n">
        <v>70</v>
      </c>
      <c r="AB234" t="n">
        <v>2</v>
      </c>
      <c r="AC234" t="n">
        <v>3</v>
      </c>
      <c r="AD234" t="n">
        <v>5</v>
      </c>
      <c r="AE234" t="n">
        <v>3</v>
      </c>
      <c r="AF234" t="n">
        <v>1</v>
      </c>
      <c r="AG234" t="n">
        <v>8</v>
      </c>
      <c r="AH234" t="n">
        <v>26</v>
      </c>
      <c r="AI234" t="n">
        <v>22</v>
      </c>
      <c r="AJ234" t="n">
        <v>27</v>
      </c>
      <c r="AK234" t="n">
        <v>28</v>
      </c>
      <c r="AL234" t="n">
        <v>2</v>
      </c>
      <c r="AM234" t="n">
        <v>40</v>
      </c>
      <c r="AN234" t="n">
        <v>0</v>
      </c>
      <c r="AO234" t="n">
        <v>0</v>
      </c>
      <c r="AP234" t="n">
        <v>2</v>
      </c>
      <c r="AQ234" t="n">
        <v>44</v>
      </c>
      <c r="AR234" t="n">
        <v>121</v>
      </c>
      <c r="AS234" t="n">
        <v>83</v>
      </c>
      <c r="AT234" t="n">
        <v>2</v>
      </c>
      <c r="AU234" t="n">
        <v>3</v>
      </c>
      <c r="AV234" t="n">
        <v>11</v>
      </c>
      <c r="AW234" t="n">
        <v>22</v>
      </c>
      <c r="AX234" t="n">
        <v>0</v>
      </c>
      <c r="AY234" t="n">
        <v>33</v>
      </c>
      <c r="AZ234" t="n">
        <v>4</v>
      </c>
      <c r="BA234" t="n">
        <v>21</v>
      </c>
      <c r="BB234" t="n">
        <v>88</v>
      </c>
      <c r="BC234" t="n">
        <v>60</v>
      </c>
      <c r="BD234" t="n">
        <v>26</v>
      </c>
      <c r="BE234" t="n">
        <v>22</v>
      </c>
      <c r="BF234" t="n">
        <v>26</v>
      </c>
      <c r="BG234" t="n">
        <v>0</v>
      </c>
      <c r="BH234" t="n">
        <v>-1</v>
      </c>
      <c r="BI234" t="n">
        <v>1</v>
      </c>
      <c r="BJ234" t="n">
        <v>24</v>
      </c>
      <c r="BK234" t="n">
        <v>2</v>
      </c>
      <c r="BL234" t="n">
        <v>8</v>
      </c>
      <c r="BM234" t="n">
        <v>20</v>
      </c>
      <c r="BN234" t="n">
        <v>10</v>
      </c>
      <c r="BO234" t="n">
        <v>2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235</v>
      </c>
      <c r="Z235" t="n">
        <v>153</v>
      </c>
      <c r="AA235" t="n">
        <v>66</v>
      </c>
      <c r="AB235" t="n">
        <v>1</v>
      </c>
      <c r="AC235" t="n">
        <v>2</v>
      </c>
      <c r="AD235" t="n">
        <v>1</v>
      </c>
      <c r="AE235" t="n">
        <v>3</v>
      </c>
      <c r="AF235" t="n">
        <v>4</v>
      </c>
      <c r="AG235" t="n">
        <v>0</v>
      </c>
      <c r="AH235" t="n">
        <v>24</v>
      </c>
      <c r="AI235" t="n">
        <v>51</v>
      </c>
      <c r="AJ235" t="n">
        <v>19</v>
      </c>
      <c r="AK235" t="n">
        <v>7</v>
      </c>
      <c r="AL235" t="n">
        <v>3</v>
      </c>
      <c r="AM235" t="n">
        <v>18</v>
      </c>
      <c r="AN235" t="n">
        <v>0</v>
      </c>
      <c r="AO235" t="n">
        <v>0</v>
      </c>
      <c r="AP235" t="n">
        <v>2</v>
      </c>
      <c r="AQ235" t="n">
        <v>1</v>
      </c>
      <c r="AR235" t="n">
        <v>62</v>
      </c>
      <c r="AS235" t="n">
        <v>56</v>
      </c>
      <c r="AT235" t="n">
        <v>0</v>
      </c>
      <c r="AU235" t="n">
        <v>1</v>
      </c>
      <c r="AV235" t="n">
        <v>1</v>
      </c>
      <c r="AW235" t="n">
        <v>1</v>
      </c>
      <c r="AX235" t="n">
        <v>1</v>
      </c>
      <c r="AY235" t="n">
        <v>34</v>
      </c>
      <c r="AZ235" t="n">
        <v>5</v>
      </c>
      <c r="BA235" t="n">
        <v>35</v>
      </c>
      <c r="BB235" t="n">
        <v>100</v>
      </c>
      <c r="BC235" t="n">
        <v>15</v>
      </c>
      <c r="BD235" t="n">
        <v>23</v>
      </c>
      <c r="BE235" t="n">
        <v>1</v>
      </c>
      <c r="BF235" t="n">
        <v>15</v>
      </c>
      <c r="BG235" t="n">
        <v>4</v>
      </c>
      <c r="BH235" t="n">
        <v>24</v>
      </c>
      <c r="BI235" t="n">
        <v>15</v>
      </c>
      <c r="BJ235" t="n">
        <v>37</v>
      </c>
      <c r="BK235" t="n">
        <v>8</v>
      </c>
      <c r="BL235" t="n">
        <v>47</v>
      </c>
      <c r="BM235" t="n">
        <v>33</v>
      </c>
      <c r="BN235" t="n">
        <v>2</v>
      </c>
      <c r="BO235" t="n">
        <v>21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3</v>
      </c>
      <c r="V236" t="n">
        <v>0</v>
      </c>
      <c r="W236" t="n">
        <v>0</v>
      </c>
      <c r="X236" t="n">
        <v>0</v>
      </c>
      <c r="Y236" t="n">
        <v>226</v>
      </c>
      <c r="Z236" t="n">
        <v>107</v>
      </c>
      <c r="AA236" t="n">
        <v>63</v>
      </c>
      <c r="AB236" t="n">
        <v>0</v>
      </c>
      <c r="AC236" t="n">
        <v>1</v>
      </c>
      <c r="AD236" t="n">
        <v>5</v>
      </c>
      <c r="AE236" t="n">
        <v>2</v>
      </c>
      <c r="AF236" t="n">
        <v>3</v>
      </c>
      <c r="AG236" t="n">
        <v>6</v>
      </c>
      <c r="AH236" t="n">
        <v>70</v>
      </c>
      <c r="AI236" t="n">
        <v>2</v>
      </c>
      <c r="AJ236" t="n">
        <v>51</v>
      </c>
      <c r="AK236" t="n">
        <v>92</v>
      </c>
      <c r="AL236" t="n">
        <v>1</v>
      </c>
      <c r="AM236" t="n">
        <v>25</v>
      </c>
      <c r="AN236" t="n">
        <v>0</v>
      </c>
      <c r="AO236" t="n">
        <v>0</v>
      </c>
      <c r="AP236" t="n">
        <v>0</v>
      </c>
      <c r="AQ236" t="n">
        <v>7</v>
      </c>
      <c r="AR236" t="n">
        <v>35</v>
      </c>
      <c r="AS236" t="n">
        <v>31</v>
      </c>
      <c r="AT236" t="n">
        <v>2</v>
      </c>
      <c r="AU236" t="n">
        <v>1</v>
      </c>
      <c r="AV236" t="n">
        <v>10</v>
      </c>
      <c r="AW236" t="n">
        <v>20</v>
      </c>
      <c r="AX236" t="n">
        <v>3</v>
      </c>
      <c r="AY236" t="n">
        <v>53</v>
      </c>
      <c r="AZ236" t="n">
        <v>2</v>
      </c>
      <c r="BA236" t="n">
        <v>31</v>
      </c>
      <c r="BB236" t="n">
        <v>92</v>
      </c>
      <c r="BC236" t="n">
        <v>26</v>
      </c>
      <c r="BD236" t="n">
        <v>71</v>
      </c>
      <c r="BE236" t="n">
        <v>20</v>
      </c>
      <c r="BF236" t="n">
        <v>48</v>
      </c>
      <c r="BG236" t="n">
        <v>2</v>
      </c>
      <c r="BH236" t="n">
        <v>12</v>
      </c>
      <c r="BI236" t="n">
        <v>18</v>
      </c>
      <c r="BJ236" t="n">
        <v>19</v>
      </c>
      <c r="BK236" t="n">
        <v>3</v>
      </c>
      <c r="BL236" t="n">
        <v>16</v>
      </c>
      <c r="BM236" t="n">
        <v>39</v>
      </c>
      <c r="BN236" t="n">
        <v>19</v>
      </c>
      <c r="BO236" t="n">
        <v>7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262</v>
      </c>
      <c r="Z237" t="n">
        <v>275</v>
      </c>
      <c r="AA237" t="n">
        <v>38</v>
      </c>
      <c r="AB237" t="n">
        <v>0</v>
      </c>
      <c r="AC237" t="n">
        <v>1</v>
      </c>
      <c r="AD237" t="n">
        <v>5</v>
      </c>
      <c r="AE237" t="n">
        <v>6</v>
      </c>
      <c r="AF237" t="n">
        <v>7</v>
      </c>
      <c r="AG237" t="n">
        <v>0</v>
      </c>
      <c r="AH237" t="n">
        <v>51</v>
      </c>
      <c r="AI237" t="n">
        <v>49</v>
      </c>
      <c r="AJ237" t="n">
        <v>125</v>
      </c>
      <c r="AK237" t="n">
        <v>16</v>
      </c>
      <c r="AL237" t="n">
        <v>7</v>
      </c>
      <c r="AM237" t="n">
        <v>118</v>
      </c>
      <c r="AN237" t="n">
        <v>0</v>
      </c>
      <c r="AO237" t="n">
        <v>0</v>
      </c>
      <c r="AP237" t="n">
        <v>6</v>
      </c>
      <c r="AQ237" t="n">
        <v>53</v>
      </c>
      <c r="AR237" t="n">
        <v>166</v>
      </c>
      <c r="AS237" t="n">
        <v>118</v>
      </c>
      <c r="AT237" t="n">
        <v>1</v>
      </c>
      <c r="AU237" t="n">
        <v>0</v>
      </c>
      <c r="AV237" t="n">
        <v>19</v>
      </c>
      <c r="AW237" t="n">
        <v>1</v>
      </c>
      <c r="AX237" t="n">
        <v>16</v>
      </c>
      <c r="AY237" t="n">
        <v>9</v>
      </c>
      <c r="AZ237" t="n">
        <v>1</v>
      </c>
      <c r="BA237" t="n">
        <v>1</v>
      </c>
      <c r="BB237" t="n">
        <v>36</v>
      </c>
      <c r="BC237" t="n">
        <v>111</v>
      </c>
      <c r="BD237" t="n">
        <v>54</v>
      </c>
      <c r="BE237" t="n">
        <v>3</v>
      </c>
      <c r="BF237" t="n">
        <v>110</v>
      </c>
      <c r="BG237" t="n">
        <v>0</v>
      </c>
      <c r="BH237" t="n">
        <v>0</v>
      </c>
      <c r="BI237" t="n">
        <v>7</v>
      </c>
      <c r="BJ237" t="n">
        <v>4</v>
      </c>
      <c r="BK237" t="n">
        <v>0</v>
      </c>
      <c r="BL237" t="n">
        <v>1</v>
      </c>
      <c r="BM237" t="n">
        <v>22</v>
      </c>
      <c r="BN237" t="n">
        <v>13</v>
      </c>
      <c r="BO237" t="n">
        <v>21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214</v>
      </c>
      <c r="Z238" t="n">
        <v>137</v>
      </c>
      <c r="AA238" t="n">
        <v>90</v>
      </c>
      <c r="AB238" t="n">
        <v>2</v>
      </c>
      <c r="AC238" t="n">
        <v>1</v>
      </c>
      <c r="AD238" t="n">
        <v>3</v>
      </c>
      <c r="AE238" t="n">
        <v>0</v>
      </c>
      <c r="AF238" t="n">
        <v>5</v>
      </c>
      <c r="AG238" t="n">
        <v>8</v>
      </c>
      <c r="AH238" t="n">
        <v>26</v>
      </c>
      <c r="AI238" t="n">
        <v>2</v>
      </c>
      <c r="AJ238" t="n">
        <v>44</v>
      </c>
      <c r="AK238" t="n">
        <v>62</v>
      </c>
      <c r="AL238" t="n">
        <v>0</v>
      </c>
      <c r="AM238" t="n">
        <v>2</v>
      </c>
      <c r="AN238" t="n">
        <v>0</v>
      </c>
      <c r="AO238" t="n">
        <v>0</v>
      </c>
      <c r="AP238" t="n">
        <v>3</v>
      </c>
      <c r="AQ238" t="n">
        <v>13</v>
      </c>
      <c r="AR238" t="n">
        <v>82</v>
      </c>
      <c r="AS238" t="n">
        <v>70</v>
      </c>
      <c r="AT238" t="n">
        <v>6</v>
      </c>
      <c r="AU238" t="n">
        <v>3</v>
      </c>
      <c r="AV238" t="n">
        <v>65</v>
      </c>
      <c r="AW238" t="n">
        <v>10</v>
      </c>
      <c r="AX238" t="n">
        <v>0</v>
      </c>
      <c r="AY238" t="n">
        <v>29</v>
      </c>
      <c r="AZ238" t="n">
        <v>1</v>
      </c>
      <c r="BA238" t="n">
        <v>12</v>
      </c>
      <c r="BB238" t="n">
        <v>99</v>
      </c>
      <c r="BC238" t="n">
        <v>9</v>
      </c>
      <c r="BD238" t="n">
        <v>31</v>
      </c>
      <c r="BE238" t="n">
        <v>12</v>
      </c>
      <c r="BF238" t="n">
        <v>37</v>
      </c>
      <c r="BG238" t="n">
        <v>2</v>
      </c>
      <c r="BH238" t="n">
        <v>10</v>
      </c>
      <c r="BI238" t="n">
        <v>15</v>
      </c>
      <c r="BJ238" t="n">
        <v>13</v>
      </c>
      <c r="BK238" t="n">
        <v>2</v>
      </c>
      <c r="BL238" t="n">
        <v>1</v>
      </c>
      <c r="BM238" t="n">
        <v>15</v>
      </c>
      <c r="BN238" t="n">
        <v>8</v>
      </c>
      <c r="BO238" t="n">
        <v>98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129</v>
      </c>
      <c r="Z239" t="n">
        <v>188</v>
      </c>
      <c r="AA239" t="n">
        <v>89</v>
      </c>
      <c r="AB239" t="n">
        <v>0</v>
      </c>
      <c r="AC239" t="n">
        <v>1</v>
      </c>
      <c r="AD239" t="n">
        <v>3</v>
      </c>
      <c r="AE239" t="n">
        <v>1</v>
      </c>
      <c r="AF239" t="n">
        <v>4</v>
      </c>
      <c r="AG239" t="n">
        <v>4</v>
      </c>
      <c r="AH239" t="n">
        <v>19</v>
      </c>
      <c r="AI239" t="n">
        <v>13</v>
      </c>
      <c r="AJ239" t="n">
        <v>76</v>
      </c>
      <c r="AK239" t="n">
        <v>25</v>
      </c>
      <c r="AL239" t="n">
        <v>1</v>
      </c>
      <c r="AM239" t="n">
        <v>59</v>
      </c>
      <c r="AN239" t="n">
        <v>0</v>
      </c>
      <c r="AO239" t="n">
        <v>0</v>
      </c>
      <c r="AP239" t="n">
        <v>0</v>
      </c>
      <c r="AQ239" t="n">
        <v>1</v>
      </c>
      <c r="AR239" t="n">
        <v>65</v>
      </c>
      <c r="AS239" t="n">
        <v>58</v>
      </c>
      <c r="AT239" t="n">
        <v>0</v>
      </c>
      <c r="AU239" t="n">
        <v>1</v>
      </c>
      <c r="AV239" t="n">
        <v>3</v>
      </c>
      <c r="AW239" t="n">
        <v>11</v>
      </c>
      <c r="AX239" t="n">
        <v>1</v>
      </c>
      <c r="AY239" t="n">
        <v>19</v>
      </c>
      <c r="AZ239" t="n">
        <v>0</v>
      </c>
      <c r="BA239" t="n">
        <v>1</v>
      </c>
      <c r="BB239" t="n">
        <v>87</v>
      </c>
      <c r="BC239" t="n">
        <v>50</v>
      </c>
      <c r="BD239" t="n">
        <v>16</v>
      </c>
      <c r="BE239" t="n">
        <v>11</v>
      </c>
      <c r="BF239" t="n">
        <v>67</v>
      </c>
      <c r="BG239" t="n">
        <v>4</v>
      </c>
      <c r="BH239" t="n">
        <v>8</v>
      </c>
      <c r="BI239" t="n">
        <v>16</v>
      </c>
      <c r="BJ239" t="n">
        <v>14</v>
      </c>
      <c r="BK239" t="n">
        <v>3</v>
      </c>
      <c r="BL239" t="n">
        <v>2</v>
      </c>
      <c r="BM239" t="n">
        <v>2</v>
      </c>
      <c r="BN239" t="n">
        <v>0</v>
      </c>
      <c r="BO239" t="n">
        <v>4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3</v>
      </c>
      <c r="X240" t="n">
        <v>0</v>
      </c>
      <c r="Y240" t="n">
        <v>265</v>
      </c>
      <c r="Z240" t="n">
        <v>258</v>
      </c>
      <c r="AA240" t="n">
        <v>77</v>
      </c>
      <c r="AB240" t="n">
        <v>5</v>
      </c>
      <c r="AC240" t="n">
        <v>0</v>
      </c>
      <c r="AD240" t="n">
        <v>2</v>
      </c>
      <c r="AE240" t="n">
        <v>7</v>
      </c>
      <c r="AF240" t="n">
        <v>5</v>
      </c>
      <c r="AG240" t="n">
        <v>6</v>
      </c>
      <c r="AH240" t="n">
        <v>34</v>
      </c>
      <c r="AI240" t="n">
        <v>73</v>
      </c>
      <c r="AJ240" t="n">
        <v>76</v>
      </c>
      <c r="AK240" t="n">
        <v>90</v>
      </c>
      <c r="AL240" t="n">
        <v>2</v>
      </c>
      <c r="AM240" t="n">
        <v>85</v>
      </c>
      <c r="AN240" t="n">
        <v>0</v>
      </c>
      <c r="AO240" t="n">
        <v>0</v>
      </c>
      <c r="AP240" t="n">
        <v>6</v>
      </c>
      <c r="AQ240" t="n">
        <v>19</v>
      </c>
      <c r="AR240" t="n">
        <v>41</v>
      </c>
      <c r="AS240" t="n">
        <v>25</v>
      </c>
      <c r="AT240" t="n">
        <v>0</v>
      </c>
      <c r="AU240" t="n">
        <v>3</v>
      </c>
      <c r="AV240" t="n">
        <v>39</v>
      </c>
      <c r="AW240" t="n">
        <v>43</v>
      </c>
      <c r="AX240" t="n">
        <v>0</v>
      </c>
      <c r="AY240" t="n">
        <v>12</v>
      </c>
      <c r="AZ240" t="n">
        <v>2</v>
      </c>
      <c r="BA240" t="n">
        <v>15</v>
      </c>
      <c r="BB240" t="n">
        <v>87</v>
      </c>
      <c r="BC240" t="n">
        <v>92</v>
      </c>
      <c r="BD240" t="n">
        <v>30</v>
      </c>
      <c r="BE240" t="n">
        <v>43</v>
      </c>
      <c r="BF240" t="n">
        <v>61</v>
      </c>
      <c r="BG240" t="n">
        <v>4</v>
      </c>
      <c r="BH240" t="n">
        <v>6</v>
      </c>
      <c r="BI240" t="n">
        <v>61</v>
      </c>
      <c r="BJ240" t="n">
        <v>56</v>
      </c>
      <c r="BK240" t="n">
        <v>5</v>
      </c>
      <c r="BL240" t="n">
        <v>27</v>
      </c>
      <c r="BM240" t="n">
        <v>26</v>
      </c>
      <c r="BN240" t="n">
        <v>6</v>
      </c>
      <c r="BO240" t="n">
        <v>2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3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279</v>
      </c>
      <c r="Z241" t="n">
        <v>167</v>
      </c>
      <c r="AA241" t="n">
        <v>64</v>
      </c>
      <c r="AB241" t="n">
        <v>2</v>
      </c>
      <c r="AC241" t="n">
        <v>5</v>
      </c>
      <c r="AD241" t="n">
        <v>5</v>
      </c>
      <c r="AE241" t="n">
        <v>5</v>
      </c>
      <c r="AF241" t="n">
        <v>3</v>
      </c>
      <c r="AG241" t="n">
        <v>11</v>
      </c>
      <c r="AH241" t="n">
        <v>48</v>
      </c>
      <c r="AI241" t="n">
        <v>21</v>
      </c>
      <c r="AJ241" t="n">
        <v>66</v>
      </c>
      <c r="AK241" t="n">
        <v>87</v>
      </c>
      <c r="AL241" t="n">
        <v>3</v>
      </c>
      <c r="AM241" t="n">
        <v>31</v>
      </c>
      <c r="AN241" t="n">
        <v>0</v>
      </c>
      <c r="AO241" t="n">
        <v>0</v>
      </c>
      <c r="AP241" t="n">
        <v>6</v>
      </c>
      <c r="AQ241" t="n">
        <v>67</v>
      </c>
      <c r="AR241" t="n">
        <v>126</v>
      </c>
      <c r="AS241" t="n">
        <v>67</v>
      </c>
      <c r="AT241" t="n">
        <v>0</v>
      </c>
      <c r="AU241" t="n">
        <v>1</v>
      </c>
      <c r="AV241" t="n">
        <v>1</v>
      </c>
      <c r="AW241" t="n">
        <v>6</v>
      </c>
      <c r="AX241" t="n">
        <v>0</v>
      </c>
      <c r="AY241" t="n">
        <v>40</v>
      </c>
      <c r="AZ241" t="n">
        <v>0</v>
      </c>
      <c r="BA241" t="n">
        <v>4</v>
      </c>
      <c r="BB241" t="n">
        <v>64</v>
      </c>
      <c r="BC241" t="n">
        <v>30</v>
      </c>
      <c r="BD241" t="n">
        <v>43</v>
      </c>
      <c r="BE241" t="n">
        <v>8</v>
      </c>
      <c r="BF241" t="n">
        <v>56</v>
      </c>
      <c r="BG241" t="n">
        <v>2</v>
      </c>
      <c r="BH241" t="n">
        <v>19</v>
      </c>
      <c r="BI241" t="n">
        <v>10</v>
      </c>
      <c r="BJ241" t="n">
        <v>18</v>
      </c>
      <c r="BK241" t="n">
        <v>3</v>
      </c>
      <c r="BL241" t="n">
        <v>13</v>
      </c>
      <c r="BM241" t="n">
        <v>12</v>
      </c>
      <c r="BN241" t="n">
        <v>3</v>
      </c>
      <c r="BO241" t="n">
        <v>79</v>
      </c>
    </row>
    <row r="242">
      <c r="A242" t="n">
        <v>0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2</v>
      </c>
      <c r="V242" t="n">
        <v>0</v>
      </c>
      <c r="W242" t="n">
        <v>0</v>
      </c>
      <c r="X242" t="n">
        <v>0</v>
      </c>
      <c r="Y242" t="n">
        <v>197</v>
      </c>
      <c r="Z242" t="n">
        <v>200</v>
      </c>
      <c r="AA242" t="n">
        <v>59</v>
      </c>
      <c r="AB242" t="n">
        <v>1</v>
      </c>
      <c r="AC242" t="n">
        <v>4</v>
      </c>
      <c r="AD242" t="n">
        <v>4</v>
      </c>
      <c r="AE242" t="n">
        <v>1</v>
      </c>
      <c r="AF242" t="n">
        <v>3</v>
      </c>
      <c r="AG242" t="n">
        <v>1</v>
      </c>
      <c r="AH242" t="n">
        <v>63</v>
      </c>
      <c r="AI242" t="n">
        <v>9</v>
      </c>
      <c r="AJ242" t="n">
        <v>37</v>
      </c>
      <c r="AK242" t="n">
        <v>9</v>
      </c>
      <c r="AL242" t="n">
        <v>1</v>
      </c>
      <c r="AM242" t="n">
        <v>46</v>
      </c>
      <c r="AN242" t="n">
        <v>0</v>
      </c>
      <c r="AO242" t="n">
        <v>0</v>
      </c>
      <c r="AP242" t="n">
        <v>3</v>
      </c>
      <c r="AQ242" t="n">
        <v>41</v>
      </c>
      <c r="AR242" t="n">
        <v>198</v>
      </c>
      <c r="AS242" t="n">
        <v>162</v>
      </c>
      <c r="AT242" t="n">
        <v>2</v>
      </c>
      <c r="AU242" t="n">
        <v>1</v>
      </c>
      <c r="AV242" t="n">
        <v>15</v>
      </c>
      <c r="AW242" t="n">
        <v>5</v>
      </c>
      <c r="AX242" t="n">
        <v>0</v>
      </c>
      <c r="AY242" t="n">
        <v>82</v>
      </c>
      <c r="AZ242" t="n">
        <v>1</v>
      </c>
      <c r="BA242" t="n">
        <v>14</v>
      </c>
      <c r="BB242" t="n">
        <v>69</v>
      </c>
      <c r="BC242" t="n">
        <v>48</v>
      </c>
      <c r="BD242" t="n">
        <v>84</v>
      </c>
      <c r="BE242" t="n">
        <v>18</v>
      </c>
      <c r="BF242" t="n">
        <v>29</v>
      </c>
      <c r="BG242" t="n">
        <v>2</v>
      </c>
      <c r="BH242" t="n">
        <v>17</v>
      </c>
      <c r="BI242" t="n">
        <v>1</v>
      </c>
      <c r="BJ242" t="n">
        <v>4</v>
      </c>
      <c r="BK242" t="n">
        <v>4</v>
      </c>
      <c r="BL242" t="n">
        <v>87</v>
      </c>
      <c r="BM242" t="n">
        <v>100</v>
      </c>
      <c r="BN242" t="n">
        <v>28</v>
      </c>
      <c r="BO242" t="n">
        <v>4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2</v>
      </c>
      <c r="U243" t="n">
        <v>1</v>
      </c>
      <c r="V243" t="n">
        <v>0</v>
      </c>
      <c r="W243" t="n">
        <v>0</v>
      </c>
      <c r="X243" t="n">
        <v>0</v>
      </c>
      <c r="Y243" t="n">
        <v>242</v>
      </c>
      <c r="Z243" t="n">
        <v>104</v>
      </c>
      <c r="AA243" t="n">
        <v>39</v>
      </c>
      <c r="AB243" t="n">
        <v>2</v>
      </c>
      <c r="AC243" t="n">
        <v>1</v>
      </c>
      <c r="AD243" t="n">
        <v>10</v>
      </c>
      <c r="AE243" t="n">
        <v>1</v>
      </c>
      <c r="AF243" t="n">
        <v>3</v>
      </c>
      <c r="AG243" t="n">
        <v>8</v>
      </c>
      <c r="AH243" t="n">
        <v>89</v>
      </c>
      <c r="AI243" t="n">
        <v>9</v>
      </c>
      <c r="AJ243" t="n">
        <v>51</v>
      </c>
      <c r="AK243" t="n">
        <v>63</v>
      </c>
      <c r="AL243" t="n">
        <v>4</v>
      </c>
      <c r="AM243" t="n">
        <v>25</v>
      </c>
      <c r="AN243" t="n">
        <v>0</v>
      </c>
      <c r="AO243" t="n">
        <v>0</v>
      </c>
      <c r="AP243" t="n">
        <v>6</v>
      </c>
      <c r="AQ243" t="n">
        <v>65</v>
      </c>
      <c r="AR243" t="n">
        <v>198</v>
      </c>
      <c r="AS243" t="n">
        <v>138</v>
      </c>
      <c r="AT243" t="n">
        <v>1</v>
      </c>
      <c r="AU243" t="n">
        <v>0</v>
      </c>
      <c r="AV243" t="n">
        <v>1</v>
      </c>
      <c r="AW243" t="n">
        <v>3</v>
      </c>
      <c r="AX243" t="n">
        <v>0</v>
      </c>
      <c r="AY243" t="n">
        <v>17</v>
      </c>
      <c r="AZ243" t="n">
        <v>4</v>
      </c>
      <c r="BA243" t="n">
        <v>31</v>
      </c>
      <c r="BB243" t="n">
        <v>71</v>
      </c>
      <c r="BC243" t="n">
        <v>25</v>
      </c>
      <c r="BD243" t="n">
        <v>80</v>
      </c>
      <c r="BE243" t="n">
        <v>14</v>
      </c>
      <c r="BF243" t="n">
        <v>43</v>
      </c>
      <c r="BG243" t="n">
        <v>3</v>
      </c>
      <c r="BH243" t="n">
        <v>0</v>
      </c>
      <c r="BI243" t="n">
        <v>15</v>
      </c>
      <c r="BJ243" t="n">
        <v>13</v>
      </c>
      <c r="BK243" t="n">
        <v>1</v>
      </c>
      <c r="BL243" t="n">
        <v>28</v>
      </c>
      <c r="BM243" t="n">
        <v>34</v>
      </c>
      <c r="BN243" t="n">
        <v>11</v>
      </c>
      <c r="BO243" t="n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2</v>
      </c>
      <c r="U244" t="n">
        <v>0</v>
      </c>
      <c r="V244" t="n">
        <v>0</v>
      </c>
      <c r="W244" t="n">
        <v>1</v>
      </c>
      <c r="X244" t="n">
        <v>0</v>
      </c>
      <c r="Y244" t="n">
        <v>352</v>
      </c>
      <c r="Z244" t="n">
        <v>200</v>
      </c>
      <c r="AA244" t="n">
        <v>56</v>
      </c>
      <c r="AB244" t="n">
        <v>0</v>
      </c>
      <c r="AC244" t="n">
        <v>2</v>
      </c>
      <c r="AD244" t="n">
        <v>7</v>
      </c>
      <c r="AE244" t="n">
        <v>6</v>
      </c>
      <c r="AF244" t="n">
        <v>6</v>
      </c>
      <c r="AG244" t="n">
        <v>2</v>
      </c>
      <c r="AH244" t="n">
        <v>85</v>
      </c>
      <c r="AI244" t="n">
        <v>36</v>
      </c>
      <c r="AJ244" t="n">
        <v>81</v>
      </c>
      <c r="AK244" t="n">
        <v>36</v>
      </c>
      <c r="AL244" t="n">
        <v>2</v>
      </c>
      <c r="AM244" t="n">
        <v>44</v>
      </c>
      <c r="AN244" t="n">
        <v>0</v>
      </c>
      <c r="AO244" t="n">
        <v>0</v>
      </c>
      <c r="AP244" t="n">
        <v>3</v>
      </c>
      <c r="AQ244" t="n">
        <v>18</v>
      </c>
      <c r="AR244" t="n">
        <v>98</v>
      </c>
      <c r="AS244" t="n">
        <v>82</v>
      </c>
      <c r="AT244" t="n">
        <v>1</v>
      </c>
      <c r="AU244" t="n">
        <v>4</v>
      </c>
      <c r="AV244" t="n">
        <v>15</v>
      </c>
      <c r="AW244" t="n">
        <v>22</v>
      </c>
      <c r="AX244" t="n">
        <v>0</v>
      </c>
      <c r="AY244" t="n">
        <v>27</v>
      </c>
      <c r="AZ244" t="n">
        <v>5</v>
      </c>
      <c r="BA244" t="n">
        <v>26</v>
      </c>
      <c r="BB244" t="n">
        <v>79</v>
      </c>
      <c r="BC244" t="n">
        <v>37</v>
      </c>
      <c r="BD244" t="n">
        <v>76</v>
      </c>
      <c r="BE244" t="n">
        <v>24</v>
      </c>
      <c r="BF244" t="n">
        <v>64</v>
      </c>
      <c r="BG244" t="n">
        <v>5</v>
      </c>
      <c r="BH244" t="n">
        <v>13</v>
      </c>
      <c r="BI244" t="n">
        <v>63</v>
      </c>
      <c r="BJ244" t="n">
        <v>72</v>
      </c>
      <c r="BK244" t="n">
        <v>4</v>
      </c>
      <c r="BL244" t="n">
        <v>26</v>
      </c>
      <c r="BM244" t="n">
        <v>20</v>
      </c>
      <c r="BN244" t="n">
        <v>3</v>
      </c>
      <c r="BO244" t="n">
        <v>2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277</v>
      </c>
      <c r="Z245" t="n">
        <v>199</v>
      </c>
      <c r="AA245" t="n">
        <v>32</v>
      </c>
      <c r="AB245" t="n">
        <v>2</v>
      </c>
      <c r="AC245" t="n">
        <v>0</v>
      </c>
      <c r="AD245" t="n">
        <v>4</v>
      </c>
      <c r="AE245" t="n">
        <v>2</v>
      </c>
      <c r="AF245" t="n">
        <v>5</v>
      </c>
      <c r="AG245" t="n">
        <v>5</v>
      </c>
      <c r="AH245" t="n">
        <v>85</v>
      </c>
      <c r="AI245" t="n">
        <v>42</v>
      </c>
      <c r="AJ245" t="n">
        <v>34</v>
      </c>
      <c r="AK245" t="n">
        <v>54</v>
      </c>
      <c r="AL245" t="n">
        <v>5</v>
      </c>
      <c r="AM245" t="n">
        <v>-1</v>
      </c>
      <c r="AN245" t="n">
        <v>0</v>
      </c>
      <c r="AO245" t="n">
        <v>0</v>
      </c>
      <c r="AP245" t="n">
        <v>3</v>
      </c>
      <c r="AQ245" t="n">
        <v>26</v>
      </c>
      <c r="AR245" t="n">
        <v>49</v>
      </c>
      <c r="AS245" t="n">
        <v>28</v>
      </c>
      <c r="AT245" t="n">
        <v>1</v>
      </c>
      <c r="AU245" t="n">
        <v>3</v>
      </c>
      <c r="AV245" t="n">
        <v>42</v>
      </c>
      <c r="AW245" t="n">
        <v>19</v>
      </c>
      <c r="AX245" t="n">
        <v>11</v>
      </c>
      <c r="AY245" t="n">
        <v>39</v>
      </c>
      <c r="AZ245" t="n">
        <v>3</v>
      </c>
      <c r="BA245" t="n">
        <v>14</v>
      </c>
      <c r="BB245" t="n">
        <v>45</v>
      </c>
      <c r="BC245" t="n">
        <v>15</v>
      </c>
      <c r="BD245" t="n">
        <v>113</v>
      </c>
      <c r="BE245" t="n">
        <v>19</v>
      </c>
      <c r="BF245" t="n">
        <v>27</v>
      </c>
      <c r="BG245" t="n">
        <v>0</v>
      </c>
      <c r="BH245" t="n">
        <v>2</v>
      </c>
      <c r="BI245" t="n">
        <v>30</v>
      </c>
      <c r="BJ245" t="n">
        <v>27</v>
      </c>
      <c r="BK245" t="n">
        <v>0</v>
      </c>
      <c r="BL245" t="n">
        <v>1</v>
      </c>
      <c r="BM245" t="n">
        <v>1</v>
      </c>
      <c r="BN245" t="n">
        <v>0</v>
      </c>
      <c r="BO245" t="n">
        <v>2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197</v>
      </c>
      <c r="Z246" t="n">
        <v>201</v>
      </c>
      <c r="AA246" t="n">
        <v>115</v>
      </c>
      <c r="AB246" t="n">
        <v>1</v>
      </c>
      <c r="AC246" t="n">
        <v>0</v>
      </c>
      <c r="AD246" t="n">
        <v>1</v>
      </c>
      <c r="AE246" t="n">
        <v>1</v>
      </c>
      <c r="AF246" t="n">
        <v>5</v>
      </c>
      <c r="AG246" t="n">
        <v>3</v>
      </c>
      <c r="AH246" t="n">
        <v>17</v>
      </c>
      <c r="AI246" t="n">
        <v>2</v>
      </c>
      <c r="AJ246" t="n">
        <v>77</v>
      </c>
      <c r="AK246" t="n">
        <v>10</v>
      </c>
      <c r="AL246" t="n">
        <v>7</v>
      </c>
      <c r="AM246" t="n">
        <v>85</v>
      </c>
      <c r="AN246" t="n">
        <v>0</v>
      </c>
      <c r="AO246" t="n">
        <v>0</v>
      </c>
      <c r="AP246" t="n">
        <v>1</v>
      </c>
      <c r="AQ246" t="n">
        <v>3</v>
      </c>
      <c r="AR246" t="n">
        <v>14</v>
      </c>
      <c r="AS246" t="n">
        <v>10</v>
      </c>
      <c r="AT246" t="n">
        <v>5</v>
      </c>
      <c r="AU246" t="n">
        <v>4</v>
      </c>
      <c r="AV246" t="n">
        <v>38</v>
      </c>
      <c r="AW246" t="n">
        <v>31</v>
      </c>
      <c r="AX246" t="n">
        <v>4</v>
      </c>
      <c r="AY246" t="n">
        <v>7</v>
      </c>
      <c r="AZ246" t="n">
        <v>1</v>
      </c>
      <c r="BA246" t="n">
        <v>16</v>
      </c>
      <c r="BB246" t="n">
        <v>124</v>
      </c>
      <c r="BC246" t="n">
        <v>84</v>
      </c>
      <c r="BD246" t="n">
        <v>42</v>
      </c>
      <c r="BE246" t="n">
        <v>31</v>
      </c>
      <c r="BF246" t="n">
        <v>85</v>
      </c>
      <c r="BG246" t="n">
        <v>1</v>
      </c>
      <c r="BH246" t="n">
        <v>13</v>
      </c>
      <c r="BI246" t="n">
        <v>1</v>
      </c>
      <c r="BJ246" t="n">
        <v>10</v>
      </c>
      <c r="BK246" t="n">
        <v>0</v>
      </c>
      <c r="BL246" t="n">
        <v>1</v>
      </c>
      <c r="BM246" t="n">
        <v>43</v>
      </c>
      <c r="BN246" t="n">
        <v>26</v>
      </c>
      <c r="BO246" t="n">
        <v>61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106</v>
      </c>
      <c r="Z247" t="n">
        <v>327</v>
      </c>
      <c r="AA247" t="n">
        <v>62</v>
      </c>
      <c r="AB247" t="n">
        <v>2</v>
      </c>
      <c r="AC247" t="n">
        <v>1</v>
      </c>
      <c r="AD247" t="n">
        <v>3</v>
      </c>
      <c r="AE247" t="n">
        <v>10</v>
      </c>
      <c r="AF247" t="n">
        <v>1</v>
      </c>
      <c r="AG247" t="n">
        <v>5</v>
      </c>
      <c r="AH247" t="n">
        <v>13</v>
      </c>
      <c r="AI247" t="n">
        <v>54</v>
      </c>
      <c r="AJ247" t="n">
        <v>30</v>
      </c>
      <c r="AK247" t="n">
        <v>1</v>
      </c>
      <c r="AL247" t="n">
        <v>7</v>
      </c>
      <c r="AM247" t="n">
        <v>99</v>
      </c>
      <c r="AN247" t="n">
        <v>0</v>
      </c>
      <c r="AO247" t="n">
        <v>1</v>
      </c>
      <c r="AP247" t="n">
        <v>1</v>
      </c>
      <c r="AQ247" t="n">
        <v>23</v>
      </c>
      <c r="AR247" t="n">
        <v>62</v>
      </c>
      <c r="AS247" t="n">
        <v>43</v>
      </c>
      <c r="AT247" t="n">
        <v>2</v>
      </c>
      <c r="AU247" t="n">
        <v>5</v>
      </c>
      <c r="AV247" t="n">
        <v>12</v>
      </c>
      <c r="AW247" t="n">
        <v>53</v>
      </c>
      <c r="AX247" t="n">
        <v>5</v>
      </c>
      <c r="AY247" t="n">
        <v>35</v>
      </c>
      <c r="AZ247" t="n">
        <v>3</v>
      </c>
      <c r="BA247" t="n">
        <v>35</v>
      </c>
      <c r="BB247" t="n">
        <v>97</v>
      </c>
      <c r="BC247" t="n">
        <v>86</v>
      </c>
      <c r="BD247" t="n">
        <v>11</v>
      </c>
      <c r="BE247" t="n">
        <v>56</v>
      </c>
      <c r="BF247" t="n">
        <v>35</v>
      </c>
      <c r="BG247" t="n">
        <v>3</v>
      </c>
      <c r="BH247" t="n">
        <v>9</v>
      </c>
      <c r="BI247" t="n">
        <v>33</v>
      </c>
      <c r="BJ247" t="n">
        <v>30</v>
      </c>
      <c r="BK247" t="n">
        <v>7</v>
      </c>
      <c r="BL247" t="n">
        <v>49</v>
      </c>
      <c r="BM247" t="n">
        <v>38</v>
      </c>
      <c r="BN247" t="n">
        <v>5</v>
      </c>
      <c r="BO247" t="n">
        <v>72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289</v>
      </c>
      <c r="Z248" t="n">
        <v>284</v>
      </c>
      <c r="AA248" t="n">
        <v>40</v>
      </c>
      <c r="AB248" t="n">
        <v>3</v>
      </c>
      <c r="AC248" t="n">
        <v>2</v>
      </c>
      <c r="AD248" t="n">
        <v>4</v>
      </c>
      <c r="AE248" t="n">
        <v>1</v>
      </c>
      <c r="AF248" t="n">
        <v>3</v>
      </c>
      <c r="AG248" t="n">
        <v>9</v>
      </c>
      <c r="AH248" t="n">
        <v>29</v>
      </c>
      <c r="AI248" t="n">
        <v>50</v>
      </c>
      <c r="AJ248" t="n">
        <v>27</v>
      </c>
      <c r="AK248" t="n">
        <v>77</v>
      </c>
      <c r="AL248" t="n">
        <v>3</v>
      </c>
      <c r="AM248" t="n">
        <v>51</v>
      </c>
      <c r="AN248" t="n">
        <v>0</v>
      </c>
      <c r="AO248" t="n">
        <v>0</v>
      </c>
      <c r="AP248" t="n">
        <v>7</v>
      </c>
      <c r="AQ248" t="n">
        <v>52</v>
      </c>
      <c r="AR248" t="n">
        <v>148</v>
      </c>
      <c r="AS248" t="n">
        <v>105</v>
      </c>
      <c r="AT248" t="n">
        <v>1</v>
      </c>
      <c r="AU248" t="n">
        <v>3</v>
      </c>
      <c r="AV248" t="n">
        <v>1</v>
      </c>
      <c r="AW248" t="n">
        <v>58</v>
      </c>
      <c r="AX248" t="n">
        <v>2</v>
      </c>
      <c r="AY248" t="n">
        <v>27</v>
      </c>
      <c r="AZ248" t="n">
        <v>1</v>
      </c>
      <c r="BA248" t="n">
        <v>22</v>
      </c>
      <c r="BB248" t="n">
        <v>59</v>
      </c>
      <c r="BC248" t="n">
        <v>58</v>
      </c>
      <c r="BD248" t="n">
        <v>32</v>
      </c>
      <c r="BE248" t="n">
        <v>59</v>
      </c>
      <c r="BF248" t="n">
        <v>39</v>
      </c>
      <c r="BG248" t="n">
        <v>1</v>
      </c>
      <c r="BH248" t="n">
        <v>19</v>
      </c>
      <c r="BI248" t="n">
        <v>26</v>
      </c>
      <c r="BJ248" t="n">
        <v>23</v>
      </c>
      <c r="BK248" t="n">
        <v>0</v>
      </c>
      <c r="BL248" t="n">
        <v>1</v>
      </c>
      <c r="BM248" t="n">
        <v>1</v>
      </c>
      <c r="BN248" t="n">
        <v>0</v>
      </c>
      <c r="BO248" t="n">
        <v>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364</v>
      </c>
      <c r="Z249" t="n">
        <v>343</v>
      </c>
      <c r="AA249" t="n">
        <v>56</v>
      </c>
      <c r="AB249" t="n">
        <v>2</v>
      </c>
      <c r="AC249" t="n">
        <v>0</v>
      </c>
      <c r="AD249" t="n">
        <v>5</v>
      </c>
      <c r="AE249" t="n">
        <v>9</v>
      </c>
      <c r="AF249" t="n">
        <v>5</v>
      </c>
      <c r="AG249" t="n">
        <v>6</v>
      </c>
      <c r="AH249" t="n">
        <v>122</v>
      </c>
      <c r="AI249" t="n">
        <v>113</v>
      </c>
      <c r="AJ249" t="n">
        <v>60</v>
      </c>
      <c r="AK249" t="n">
        <v>92</v>
      </c>
      <c r="AL249" t="n">
        <v>7</v>
      </c>
      <c r="AM249" t="n">
        <v>99</v>
      </c>
      <c r="AN249" t="n">
        <v>0</v>
      </c>
      <c r="AO249" t="n">
        <v>0</v>
      </c>
      <c r="AP249" t="n">
        <v>5</v>
      </c>
      <c r="AQ249" t="n">
        <v>21</v>
      </c>
      <c r="AR249" t="n">
        <v>106</v>
      </c>
      <c r="AS249" t="n">
        <v>87</v>
      </c>
      <c r="AT249" t="n">
        <v>3</v>
      </c>
      <c r="AU249" t="n">
        <v>2</v>
      </c>
      <c r="AV249" t="n">
        <v>40</v>
      </c>
      <c r="AW249" t="n">
        <v>14</v>
      </c>
      <c r="AX249" t="n">
        <v>0</v>
      </c>
      <c r="AY249" t="n">
        <v>23</v>
      </c>
      <c r="AZ249" t="n">
        <v>0</v>
      </c>
      <c r="BA249" t="n">
        <v>1</v>
      </c>
      <c r="BB249" t="n">
        <v>55</v>
      </c>
      <c r="BC249" t="n">
        <v>94</v>
      </c>
      <c r="BD249" t="n">
        <v>120</v>
      </c>
      <c r="BE249" t="n">
        <v>14</v>
      </c>
      <c r="BF249" t="n">
        <v>63</v>
      </c>
      <c r="BG249" t="n">
        <v>0</v>
      </c>
      <c r="BH249" t="n">
        <v>0</v>
      </c>
      <c r="BI249" t="n">
        <v>67</v>
      </c>
      <c r="BJ249" t="n">
        <v>61</v>
      </c>
      <c r="BK249" t="n">
        <v>6</v>
      </c>
      <c r="BL249" t="n">
        <v>47</v>
      </c>
      <c r="BM249" t="n">
        <v>35</v>
      </c>
      <c r="BN249" t="n">
        <v>4</v>
      </c>
      <c r="BO249" t="n">
        <v>54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332</v>
      </c>
      <c r="Z250" t="n">
        <v>141</v>
      </c>
      <c r="AA250" t="n">
        <v>42</v>
      </c>
      <c r="AB250" t="n">
        <v>3</v>
      </c>
      <c r="AC250" t="n">
        <v>0</v>
      </c>
      <c r="AD250" t="n">
        <v>6</v>
      </c>
      <c r="AE250" t="n">
        <v>3</v>
      </c>
      <c r="AF250" t="n">
        <v>4</v>
      </c>
      <c r="AG250" t="n">
        <v>5</v>
      </c>
      <c r="AH250" t="n">
        <v>114</v>
      </c>
      <c r="AI250" t="n">
        <v>13</v>
      </c>
      <c r="AJ250" t="n">
        <v>46</v>
      </c>
      <c r="AK250" t="n">
        <v>77</v>
      </c>
      <c r="AL250" t="n">
        <v>4</v>
      </c>
      <c r="AM250" t="n">
        <v>33</v>
      </c>
      <c r="AN250" t="n">
        <v>0</v>
      </c>
      <c r="AO250" t="n">
        <v>0</v>
      </c>
      <c r="AP250" t="n">
        <v>5</v>
      </c>
      <c r="AQ250" t="n">
        <v>45</v>
      </c>
      <c r="AR250" t="n">
        <v>91</v>
      </c>
      <c r="AS250" t="n">
        <v>54</v>
      </c>
      <c r="AT250" t="n">
        <v>2</v>
      </c>
      <c r="AU250" t="n">
        <v>3</v>
      </c>
      <c r="AV250" t="n">
        <v>5</v>
      </c>
      <c r="AW250" t="n">
        <v>8</v>
      </c>
      <c r="AX250" t="n">
        <v>0</v>
      </c>
      <c r="AY250" t="n">
        <v>37</v>
      </c>
      <c r="AZ250" t="n">
        <v>0</v>
      </c>
      <c r="BA250" t="n">
        <v>1</v>
      </c>
      <c r="BB250" t="n">
        <v>41</v>
      </c>
      <c r="BC250" t="n">
        <v>28</v>
      </c>
      <c r="BD250" t="n">
        <v>104</v>
      </c>
      <c r="BE250" t="n">
        <v>7</v>
      </c>
      <c r="BF250" t="n">
        <v>43</v>
      </c>
      <c r="BG250" t="n">
        <v>1</v>
      </c>
      <c r="BH250" t="n">
        <v>30</v>
      </c>
      <c r="BI250" t="n">
        <v>1</v>
      </c>
      <c r="BJ250" t="n">
        <v>37</v>
      </c>
      <c r="BK250" t="n">
        <v>8</v>
      </c>
      <c r="BL250" t="n">
        <v>48</v>
      </c>
      <c r="BM250" t="n">
        <v>38</v>
      </c>
      <c r="BN250" t="n">
        <v>5</v>
      </c>
      <c r="BO250" t="n">
        <v>21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246</v>
      </c>
      <c r="Z251" t="n">
        <v>221</v>
      </c>
      <c r="AA251" t="n">
        <v>38</v>
      </c>
      <c r="AB251" t="n">
        <v>0</v>
      </c>
      <c r="AC251" t="n">
        <v>2</v>
      </c>
      <c r="AD251" t="n">
        <v>1</v>
      </c>
      <c r="AE251" t="n">
        <v>4</v>
      </c>
      <c r="AF251" t="n">
        <v>2</v>
      </c>
      <c r="AG251" t="n">
        <v>1</v>
      </c>
      <c r="AH251" t="n">
        <v>34</v>
      </c>
      <c r="AI251" t="n">
        <v>25</v>
      </c>
      <c r="AJ251" t="n">
        <v>30</v>
      </c>
      <c r="AK251" t="n">
        <v>1</v>
      </c>
      <c r="AL251" t="n">
        <v>5</v>
      </c>
      <c r="AM251" t="n">
        <v>105</v>
      </c>
      <c r="AN251" t="n">
        <v>0</v>
      </c>
      <c r="AO251" t="n">
        <v>0</v>
      </c>
      <c r="AP251" t="n">
        <v>1</v>
      </c>
      <c r="AQ251" t="n">
        <v>1</v>
      </c>
      <c r="AR251" t="n">
        <v>113</v>
      </c>
      <c r="AS251" t="n">
        <v>104</v>
      </c>
      <c r="AT251" t="n">
        <v>4</v>
      </c>
      <c r="AU251" t="n">
        <v>2</v>
      </c>
      <c r="AV251" t="n">
        <v>17</v>
      </c>
      <c r="AW251" t="n">
        <v>30</v>
      </c>
      <c r="AX251" t="n">
        <v>0</v>
      </c>
      <c r="AY251" t="n">
        <v>17</v>
      </c>
      <c r="AZ251" t="n">
        <v>0</v>
      </c>
      <c r="BA251" t="n">
        <v>1</v>
      </c>
      <c r="BB251" t="n">
        <v>37</v>
      </c>
      <c r="BC251" t="n">
        <v>85</v>
      </c>
      <c r="BD251" t="n">
        <v>33</v>
      </c>
      <c r="BE251" t="n">
        <v>29</v>
      </c>
      <c r="BF251" t="n">
        <v>24</v>
      </c>
      <c r="BG251" t="n">
        <v>1</v>
      </c>
      <c r="BH251" t="n">
        <v>15</v>
      </c>
      <c r="BI251" t="n">
        <v>1</v>
      </c>
      <c r="BJ251" t="n">
        <v>4</v>
      </c>
      <c r="BK251" t="n">
        <v>1</v>
      </c>
      <c r="BL251" t="n">
        <v>1</v>
      </c>
      <c r="BM251" t="n">
        <v>9</v>
      </c>
      <c r="BN251" t="n">
        <v>4</v>
      </c>
      <c r="BO251" t="n">
        <v>2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239</v>
      </c>
      <c r="Z252" t="n">
        <v>153</v>
      </c>
      <c r="AA252" t="n">
        <v>91</v>
      </c>
      <c r="AB252" t="n">
        <v>1</v>
      </c>
      <c r="AC252" t="n">
        <v>2</v>
      </c>
      <c r="AD252" t="n">
        <v>2</v>
      </c>
      <c r="AE252" t="n">
        <v>12</v>
      </c>
      <c r="AF252" t="n">
        <v>5</v>
      </c>
      <c r="AG252" t="n">
        <v>3</v>
      </c>
      <c r="AH252" t="n">
        <v>43</v>
      </c>
      <c r="AI252" t="n">
        <v>80</v>
      </c>
      <c r="AJ252" t="n">
        <v>37</v>
      </c>
      <c r="AK252" t="n">
        <v>36</v>
      </c>
      <c r="AL252" t="n">
        <v>2</v>
      </c>
      <c r="AM252" t="n">
        <v>17</v>
      </c>
      <c r="AN252" t="n">
        <v>0</v>
      </c>
      <c r="AO252" t="n">
        <v>0</v>
      </c>
      <c r="AP252" t="n">
        <v>1</v>
      </c>
      <c r="AQ252" t="n">
        <v>12</v>
      </c>
      <c r="AR252" t="n">
        <v>62</v>
      </c>
      <c r="AS252" t="n">
        <v>51</v>
      </c>
      <c r="AT252" t="n">
        <v>6</v>
      </c>
      <c r="AU252" t="n">
        <v>2</v>
      </c>
      <c r="AV252" t="n">
        <v>55</v>
      </c>
      <c r="AW252" t="n">
        <v>14</v>
      </c>
      <c r="AX252" t="n">
        <v>0</v>
      </c>
      <c r="AY252" t="n">
        <v>55</v>
      </c>
      <c r="AZ252" t="n">
        <v>0</v>
      </c>
      <c r="BA252" t="n">
        <v>1</v>
      </c>
      <c r="BB252" t="n">
        <v>90</v>
      </c>
      <c r="BC252" t="n">
        <v>14</v>
      </c>
      <c r="BD252" t="n">
        <v>38</v>
      </c>
      <c r="BE252" t="n">
        <v>14</v>
      </c>
      <c r="BF252" t="n">
        <v>29</v>
      </c>
      <c r="BG252" t="n">
        <v>0</v>
      </c>
      <c r="BH252" t="n">
        <v>20</v>
      </c>
      <c r="BI252" t="n">
        <v>13</v>
      </c>
      <c r="BJ252" t="n">
        <v>11</v>
      </c>
      <c r="BK252" t="n">
        <v>3</v>
      </c>
      <c r="BL252" t="n">
        <v>24</v>
      </c>
      <c r="BM252" t="n">
        <v>18</v>
      </c>
      <c r="BN252" t="n">
        <v>3</v>
      </c>
      <c r="BO252" t="n">
        <v>2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155</v>
      </c>
      <c r="Z253" t="n">
        <v>154</v>
      </c>
      <c r="AA253" t="n">
        <v>54</v>
      </c>
      <c r="AB253" t="n">
        <v>1</v>
      </c>
      <c r="AC253" t="n">
        <v>1</v>
      </c>
      <c r="AD253" t="n">
        <v>3</v>
      </c>
      <c r="AE253" t="n">
        <v>4</v>
      </c>
      <c r="AF253" t="n">
        <v>6</v>
      </c>
      <c r="AG253" t="n">
        <v>2</v>
      </c>
      <c r="AH253" t="n">
        <v>50</v>
      </c>
      <c r="AI253" t="n">
        <v>36</v>
      </c>
      <c r="AJ253" t="n">
        <v>33</v>
      </c>
      <c r="AK253" t="n">
        <v>28</v>
      </c>
      <c r="AL253" t="n">
        <v>6</v>
      </c>
      <c r="AM253" t="n">
        <v>50</v>
      </c>
      <c r="AN253" t="n">
        <v>0</v>
      </c>
      <c r="AO253" t="n">
        <v>0</v>
      </c>
      <c r="AP253" t="n">
        <v>2</v>
      </c>
      <c r="AQ253" t="n">
        <v>1</v>
      </c>
      <c r="AR253" t="n">
        <v>67</v>
      </c>
      <c r="AS253" t="n">
        <v>60</v>
      </c>
      <c r="AT253" t="n">
        <v>4</v>
      </c>
      <c r="AU253" t="n">
        <v>1</v>
      </c>
      <c r="AV253" t="n">
        <v>23</v>
      </c>
      <c r="AW253" t="n">
        <v>15</v>
      </c>
      <c r="AX253" t="n">
        <v>4</v>
      </c>
      <c r="AY253" t="n">
        <v>1</v>
      </c>
      <c r="AZ253" t="n">
        <v>1</v>
      </c>
      <c r="BA253" t="n">
        <v>3</v>
      </c>
      <c r="BB253" t="n">
        <v>54</v>
      </c>
      <c r="BC253" t="n">
        <v>41</v>
      </c>
      <c r="BD253" t="n">
        <v>44</v>
      </c>
      <c r="BE253" t="n">
        <v>14</v>
      </c>
      <c r="BF253" t="n">
        <v>26</v>
      </c>
      <c r="BG253" t="n">
        <v>0</v>
      </c>
      <c r="BH253" t="n">
        <v>11</v>
      </c>
      <c r="BI253" t="n">
        <v>7</v>
      </c>
      <c r="BJ253" t="n">
        <v>17</v>
      </c>
      <c r="BK253" t="n">
        <v>3</v>
      </c>
      <c r="BL253" t="n">
        <v>13</v>
      </c>
      <c r="BM253" t="n">
        <v>9</v>
      </c>
      <c r="BN253" t="n">
        <v>0</v>
      </c>
      <c r="BO253" t="n">
        <v>7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204</v>
      </c>
      <c r="Z254" t="n">
        <v>276</v>
      </c>
      <c r="AA254" t="n">
        <v>35</v>
      </c>
      <c r="AB254" t="n">
        <v>0</v>
      </c>
      <c r="AC254" t="n">
        <v>1</v>
      </c>
      <c r="AD254" t="n">
        <v>4</v>
      </c>
      <c r="AE254" t="n">
        <v>9</v>
      </c>
      <c r="AF254" t="n">
        <v>2</v>
      </c>
      <c r="AG254" t="n">
        <v>6</v>
      </c>
      <c r="AH254" t="n">
        <v>45</v>
      </c>
      <c r="AI254" t="n">
        <v>65</v>
      </c>
      <c r="AJ254" t="n">
        <v>42</v>
      </c>
      <c r="AK254" t="n">
        <v>81</v>
      </c>
      <c r="AL254" t="n">
        <v>2</v>
      </c>
      <c r="AM254" t="n">
        <v>18</v>
      </c>
      <c r="AN254" t="n">
        <v>0</v>
      </c>
      <c r="AO254" t="n">
        <v>1</v>
      </c>
      <c r="AP254" t="n">
        <v>3</v>
      </c>
      <c r="AQ254" t="n">
        <v>15</v>
      </c>
      <c r="AR254" t="n">
        <v>62</v>
      </c>
      <c r="AS254" t="n">
        <v>49</v>
      </c>
      <c r="AT254" t="n">
        <v>0</v>
      </c>
      <c r="AU254" t="n">
        <v>3</v>
      </c>
      <c r="AV254" t="n">
        <v>1</v>
      </c>
      <c r="AW254" t="n">
        <v>42</v>
      </c>
      <c r="AX254" t="n">
        <v>0</v>
      </c>
      <c r="AY254" t="n">
        <v>14</v>
      </c>
      <c r="AZ254" t="n">
        <v>0</v>
      </c>
      <c r="BA254" t="n">
        <v>2</v>
      </c>
      <c r="BB254" t="n">
        <v>35</v>
      </c>
      <c r="BC254" t="n">
        <v>20</v>
      </c>
      <c r="BD254" t="n">
        <v>40</v>
      </c>
      <c r="BE254" t="n">
        <v>41</v>
      </c>
      <c r="BF254" t="n">
        <v>33</v>
      </c>
      <c r="BG254" t="n">
        <v>1</v>
      </c>
      <c r="BH254" t="n">
        <v>19</v>
      </c>
      <c r="BI254" t="n">
        <v>1</v>
      </c>
      <c r="BJ254" t="n">
        <v>4</v>
      </c>
      <c r="BK254" t="n">
        <v>3</v>
      </c>
      <c r="BL254" t="n">
        <v>15</v>
      </c>
      <c r="BM254" t="n">
        <v>17</v>
      </c>
      <c r="BN254" t="n">
        <v>5</v>
      </c>
      <c r="BO254" t="n">
        <v>2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161</v>
      </c>
      <c r="Z255" t="n">
        <v>140</v>
      </c>
      <c r="AA255" t="n">
        <v>77</v>
      </c>
      <c r="AB255" t="n">
        <v>1</v>
      </c>
      <c r="AC255" t="n">
        <v>1</v>
      </c>
      <c r="AD255" t="n">
        <v>2</v>
      </c>
      <c r="AE255" t="n">
        <v>3</v>
      </c>
      <c r="AF255" t="n">
        <v>3</v>
      </c>
      <c r="AG255" t="n">
        <v>4</v>
      </c>
      <c r="AH255" t="n">
        <v>10</v>
      </c>
      <c r="AI255" t="n">
        <v>22</v>
      </c>
      <c r="AJ255" t="n">
        <v>38</v>
      </c>
      <c r="AK255" t="n">
        <v>110</v>
      </c>
      <c r="AL255" t="n">
        <v>1</v>
      </c>
      <c r="AM255" t="n">
        <v>72</v>
      </c>
      <c r="AN255" t="n">
        <v>3</v>
      </c>
      <c r="AO255" t="n">
        <v>0</v>
      </c>
      <c r="AP255" t="n">
        <v>1</v>
      </c>
      <c r="AQ255" t="n">
        <v>13</v>
      </c>
      <c r="AR255" t="n">
        <v>79</v>
      </c>
      <c r="AS255" t="n">
        <v>66</v>
      </c>
      <c r="AT255" t="n">
        <v>2</v>
      </c>
      <c r="AU255" t="n">
        <v>1</v>
      </c>
      <c r="AV255" t="n">
        <v>11</v>
      </c>
      <c r="AW255" t="n">
        <v>16</v>
      </c>
      <c r="AX255" t="n">
        <v>0</v>
      </c>
      <c r="AY255" t="n">
        <v>37</v>
      </c>
      <c r="AZ255" t="n">
        <v>3</v>
      </c>
      <c r="BA255" t="n">
        <v>24</v>
      </c>
      <c r="BB255" t="n">
        <v>99</v>
      </c>
      <c r="BC255" t="n">
        <v>59</v>
      </c>
      <c r="BD255" t="n">
        <v>2</v>
      </c>
      <c r="BE255" t="n">
        <v>17</v>
      </c>
      <c r="BF255" t="n">
        <v>35</v>
      </c>
      <c r="BG255" t="n">
        <v>1</v>
      </c>
      <c r="BH255" t="n">
        <v>5</v>
      </c>
      <c r="BI255" t="n">
        <v>7</v>
      </c>
      <c r="BJ255" t="n">
        <v>8</v>
      </c>
      <c r="BK255" t="n">
        <v>0</v>
      </c>
      <c r="BL255" t="n">
        <v>1</v>
      </c>
      <c r="BM255" t="n">
        <v>1</v>
      </c>
      <c r="BN255" t="n">
        <v>0</v>
      </c>
      <c r="BO255" t="n">
        <v>2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2</v>
      </c>
      <c r="V256" t="n">
        <v>0</v>
      </c>
      <c r="W256" t="n">
        <v>0</v>
      </c>
      <c r="X256" t="n">
        <v>0</v>
      </c>
      <c r="Y256" t="n">
        <v>281</v>
      </c>
      <c r="Z256" t="n">
        <v>366</v>
      </c>
      <c r="AA256" t="n">
        <v>61</v>
      </c>
      <c r="AB256" t="n">
        <v>2</v>
      </c>
      <c r="AC256" t="n">
        <v>1</v>
      </c>
      <c r="AD256" t="n">
        <v>1</v>
      </c>
      <c r="AE256" t="n">
        <v>8</v>
      </c>
      <c r="AF256" t="n">
        <v>3</v>
      </c>
      <c r="AG256" t="n">
        <v>0</v>
      </c>
      <c r="AH256" t="n">
        <v>2</v>
      </c>
      <c r="AI256" t="n">
        <v>103</v>
      </c>
      <c r="AJ256" t="n">
        <v>50</v>
      </c>
      <c r="AK256" t="n">
        <v>9</v>
      </c>
      <c r="AL256" t="n">
        <v>2</v>
      </c>
      <c r="AM256" t="n">
        <v>2</v>
      </c>
      <c r="AN256" t="n">
        <v>0</v>
      </c>
      <c r="AO256" t="n">
        <v>0</v>
      </c>
      <c r="AP256" t="n">
        <v>3</v>
      </c>
      <c r="AQ256" t="n">
        <v>19</v>
      </c>
      <c r="AR256" t="n">
        <v>42</v>
      </c>
      <c r="AS256" t="n">
        <v>27</v>
      </c>
      <c r="AT256" t="n">
        <v>0</v>
      </c>
      <c r="AU256" t="n">
        <v>4</v>
      </c>
      <c r="AV256" t="n">
        <v>1</v>
      </c>
      <c r="AW256" t="n">
        <v>77</v>
      </c>
      <c r="AX256" t="n">
        <v>0</v>
      </c>
      <c r="AY256" t="n">
        <v>19</v>
      </c>
      <c r="AZ256" t="n">
        <v>6</v>
      </c>
      <c r="BA256" t="n">
        <v>34</v>
      </c>
      <c r="BB256" t="n">
        <v>95</v>
      </c>
      <c r="BC256" t="n">
        <v>49</v>
      </c>
      <c r="BD256" t="n">
        <v>7</v>
      </c>
      <c r="BE256" t="n">
        <v>79</v>
      </c>
      <c r="BF256" t="n">
        <v>40</v>
      </c>
      <c r="BG256" t="n">
        <v>3</v>
      </c>
      <c r="BH256" t="n">
        <v>6</v>
      </c>
      <c r="BI256" t="n">
        <v>36</v>
      </c>
      <c r="BJ256" t="n">
        <v>32</v>
      </c>
      <c r="BK256" t="n">
        <v>1</v>
      </c>
      <c r="BL256" t="n">
        <v>21</v>
      </c>
      <c r="BM256" t="n">
        <v>29</v>
      </c>
      <c r="BN256" t="n">
        <v>11</v>
      </c>
      <c r="BO256" t="n">
        <v>14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2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367</v>
      </c>
      <c r="Z257" t="n">
        <v>267</v>
      </c>
      <c r="AA257" t="n">
        <v>75</v>
      </c>
      <c r="AB257" t="n">
        <v>3</v>
      </c>
      <c r="AC257" t="n">
        <v>3</v>
      </c>
      <c r="AD257" t="n">
        <v>6</v>
      </c>
      <c r="AE257" t="n">
        <v>10</v>
      </c>
      <c r="AF257" t="n">
        <v>4</v>
      </c>
      <c r="AG257" t="n">
        <v>6</v>
      </c>
      <c r="AH257" t="n">
        <v>48</v>
      </c>
      <c r="AI257" t="n">
        <v>89</v>
      </c>
      <c r="AJ257" t="n">
        <v>56</v>
      </c>
      <c r="AK257" t="n">
        <v>89</v>
      </c>
      <c r="AL257" t="n">
        <v>2</v>
      </c>
      <c r="AM257" t="n">
        <v>113</v>
      </c>
      <c r="AN257" t="n">
        <v>0</v>
      </c>
      <c r="AO257" t="n">
        <v>0</v>
      </c>
      <c r="AP257" t="n">
        <v>1</v>
      </c>
      <c r="AQ257" t="n">
        <v>19</v>
      </c>
      <c r="AR257" t="n">
        <v>62</v>
      </c>
      <c r="AS257" t="n">
        <v>46</v>
      </c>
      <c r="AT257" t="n">
        <v>5</v>
      </c>
      <c r="AU257" t="n">
        <v>1</v>
      </c>
      <c r="AV257" t="n">
        <v>46</v>
      </c>
      <c r="AW257" t="n">
        <v>12</v>
      </c>
      <c r="AX257" t="n">
        <v>0</v>
      </c>
      <c r="AY257" t="n">
        <v>17</v>
      </c>
      <c r="AZ257" t="n">
        <v>1</v>
      </c>
      <c r="BA257" t="n">
        <v>1</v>
      </c>
      <c r="BB257" t="n">
        <v>73</v>
      </c>
      <c r="BC257" t="n">
        <v>100</v>
      </c>
      <c r="BD257" t="n">
        <v>38</v>
      </c>
      <c r="BE257" t="n">
        <v>11</v>
      </c>
      <c r="BF257" t="n">
        <v>45</v>
      </c>
      <c r="BG257" t="n">
        <v>0</v>
      </c>
      <c r="BH257" t="n">
        <v>45</v>
      </c>
      <c r="BI257" t="n">
        <v>1</v>
      </c>
      <c r="BJ257" t="n">
        <v>1</v>
      </c>
      <c r="BK257" t="n">
        <v>1</v>
      </c>
      <c r="BL257" t="n">
        <v>1</v>
      </c>
      <c r="BM257" t="n">
        <v>31</v>
      </c>
      <c r="BN257" t="n">
        <v>18</v>
      </c>
      <c r="BO257" t="n">
        <v>2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2</v>
      </c>
      <c r="V258" t="n">
        <v>0</v>
      </c>
      <c r="W258" t="n">
        <v>0</v>
      </c>
      <c r="X258" t="n">
        <v>0</v>
      </c>
      <c r="Y258" t="n">
        <v>170</v>
      </c>
      <c r="Z258" t="n">
        <v>115</v>
      </c>
      <c r="AA258" t="n">
        <v>17</v>
      </c>
      <c r="AB258" t="n">
        <v>1</v>
      </c>
      <c r="AC258" t="n">
        <v>4</v>
      </c>
      <c r="AD258" t="n">
        <v>1</v>
      </c>
      <c r="AE258" t="n">
        <v>4</v>
      </c>
      <c r="AF258" t="n">
        <v>2</v>
      </c>
      <c r="AG258" t="n">
        <v>3</v>
      </c>
      <c r="AH258" t="n">
        <v>28</v>
      </c>
      <c r="AI258" t="n">
        <v>30</v>
      </c>
      <c r="AJ258" t="n">
        <v>6</v>
      </c>
      <c r="AK258" t="n">
        <v>42</v>
      </c>
      <c r="AL258" t="n">
        <v>2</v>
      </c>
      <c r="AM258" t="n">
        <v>36</v>
      </c>
      <c r="AN258" t="n">
        <v>0</v>
      </c>
      <c r="AO258" t="n">
        <v>0</v>
      </c>
      <c r="AP258" t="n">
        <v>1</v>
      </c>
      <c r="AQ258" t="n">
        <v>1</v>
      </c>
      <c r="AR258" t="n">
        <v>36</v>
      </c>
      <c r="AS258" t="n">
        <v>32</v>
      </c>
      <c r="AT258" t="n">
        <v>3</v>
      </c>
      <c r="AU258" t="n">
        <v>1</v>
      </c>
      <c r="AV258" t="n">
        <v>51</v>
      </c>
      <c r="AW258" t="n">
        <v>18</v>
      </c>
      <c r="AX258" t="n">
        <v>1</v>
      </c>
      <c r="AY258" t="n">
        <v>31</v>
      </c>
      <c r="AZ258" t="n">
        <v>1</v>
      </c>
      <c r="BA258" t="n">
        <v>1</v>
      </c>
      <c r="BB258" t="n">
        <v>17</v>
      </c>
      <c r="BC258" t="n">
        <v>59</v>
      </c>
      <c r="BD258" t="n">
        <v>25</v>
      </c>
      <c r="BE258" t="n">
        <v>20</v>
      </c>
      <c r="BF258" t="n">
        <v>9</v>
      </c>
      <c r="BG258" t="n">
        <v>1</v>
      </c>
      <c r="BH258" t="n">
        <v>12</v>
      </c>
      <c r="BI258" t="n">
        <v>1</v>
      </c>
      <c r="BJ258" t="n">
        <v>1</v>
      </c>
      <c r="BK258" t="n">
        <v>0</v>
      </c>
      <c r="BL258" t="n">
        <v>1</v>
      </c>
      <c r="BM258" t="n">
        <v>38</v>
      </c>
      <c r="BN258" t="n">
        <v>23</v>
      </c>
      <c r="BO258" t="n">
        <v>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308</v>
      </c>
      <c r="Z259" t="n">
        <v>227</v>
      </c>
      <c r="AA259" t="n">
        <v>11</v>
      </c>
      <c r="AB259" t="n">
        <v>0</v>
      </c>
      <c r="AC259" t="n">
        <v>4</v>
      </c>
      <c r="AD259" t="n">
        <v>8</v>
      </c>
      <c r="AE259" t="n">
        <v>6</v>
      </c>
      <c r="AF259" t="n">
        <v>8</v>
      </c>
      <c r="AG259" t="n">
        <v>8</v>
      </c>
      <c r="AH259" t="n">
        <v>95</v>
      </c>
      <c r="AI259" t="n">
        <v>79</v>
      </c>
      <c r="AJ259" t="n">
        <v>90</v>
      </c>
      <c r="AK259" t="n">
        <v>68</v>
      </c>
      <c r="AL259" t="n">
        <v>0</v>
      </c>
      <c r="AM259" t="n">
        <v>16</v>
      </c>
      <c r="AN259" t="n">
        <v>0</v>
      </c>
      <c r="AO259" t="n">
        <v>0</v>
      </c>
      <c r="AP259" t="n">
        <v>2</v>
      </c>
      <c r="AQ259" t="n">
        <v>13</v>
      </c>
      <c r="AR259" t="n">
        <v>80</v>
      </c>
      <c r="AS259" t="n">
        <v>67</v>
      </c>
      <c r="AT259" t="n">
        <v>3</v>
      </c>
      <c r="AU259" t="n">
        <v>3</v>
      </c>
      <c r="AV259" t="n">
        <v>11</v>
      </c>
      <c r="AW259" t="n">
        <v>49</v>
      </c>
      <c r="AX259" t="n">
        <v>0</v>
      </c>
      <c r="AY259" t="n">
        <v>14</v>
      </c>
      <c r="AZ259" t="n">
        <v>0</v>
      </c>
      <c r="BA259" t="n">
        <v>1</v>
      </c>
      <c r="BB259" t="n">
        <v>12</v>
      </c>
      <c r="BC259" t="n">
        <v>13</v>
      </c>
      <c r="BD259" t="n">
        <v>89</v>
      </c>
      <c r="BE259" t="n">
        <v>49</v>
      </c>
      <c r="BF259" t="n">
        <v>71</v>
      </c>
      <c r="BG259" t="n">
        <v>4</v>
      </c>
      <c r="BH259" t="n">
        <v>1</v>
      </c>
      <c r="BI259" t="n">
        <v>13</v>
      </c>
      <c r="BJ259" t="n">
        <v>22</v>
      </c>
      <c r="BK259" t="n">
        <v>3</v>
      </c>
      <c r="BL259" t="n">
        <v>25</v>
      </c>
      <c r="BM259" t="n">
        <v>21</v>
      </c>
      <c r="BN259" t="n">
        <v>4</v>
      </c>
      <c r="BO259" t="n">
        <v>100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154</v>
      </c>
      <c r="Z260" t="n">
        <v>246</v>
      </c>
      <c r="AA260" t="n">
        <v>56</v>
      </c>
      <c r="AB260" t="n">
        <v>1</v>
      </c>
      <c r="AC260" t="n">
        <v>2</v>
      </c>
      <c r="AD260" t="n">
        <v>5</v>
      </c>
      <c r="AE260" t="n">
        <v>11</v>
      </c>
      <c r="AF260" t="n">
        <v>5</v>
      </c>
      <c r="AG260" t="n">
        <v>3</v>
      </c>
      <c r="AH260" t="n">
        <v>56</v>
      </c>
      <c r="AI260" t="n">
        <v>62</v>
      </c>
      <c r="AJ260" t="n">
        <v>31</v>
      </c>
      <c r="AK260" t="n">
        <v>35</v>
      </c>
      <c r="AL260" t="n">
        <v>4</v>
      </c>
      <c r="AM260" t="n">
        <v>87</v>
      </c>
      <c r="AN260" t="n">
        <v>0</v>
      </c>
      <c r="AO260" t="n">
        <v>0</v>
      </c>
      <c r="AP260" t="n">
        <v>2</v>
      </c>
      <c r="AQ260" t="n">
        <v>13</v>
      </c>
      <c r="AR260" t="n">
        <v>19</v>
      </c>
      <c r="AS260" t="n">
        <v>8</v>
      </c>
      <c r="AT260" t="n">
        <v>3</v>
      </c>
      <c r="AU260" t="n">
        <v>1</v>
      </c>
      <c r="AV260" t="n">
        <v>1</v>
      </c>
      <c r="AW260" t="n">
        <v>10</v>
      </c>
      <c r="AX260" t="n">
        <v>5</v>
      </c>
      <c r="AY260" t="n">
        <v>22</v>
      </c>
      <c r="AZ260" t="n">
        <v>4</v>
      </c>
      <c r="BA260" t="n">
        <v>40</v>
      </c>
      <c r="BB260" t="n">
        <v>95</v>
      </c>
      <c r="BC260" t="n">
        <v>72</v>
      </c>
      <c r="BD260" t="n">
        <v>49</v>
      </c>
      <c r="BE260" t="n">
        <v>22</v>
      </c>
      <c r="BF260" t="n">
        <v>25</v>
      </c>
      <c r="BG260" t="n">
        <v>0</v>
      </c>
      <c r="BH260" t="n">
        <v>10</v>
      </c>
      <c r="BI260" t="n">
        <v>19</v>
      </c>
      <c r="BJ260" t="n">
        <v>43</v>
      </c>
      <c r="BK260" t="n">
        <v>5</v>
      </c>
      <c r="BL260" t="n">
        <v>58</v>
      </c>
      <c r="BM260" t="n">
        <v>52</v>
      </c>
      <c r="BN260" t="n">
        <v>11</v>
      </c>
      <c r="BO260" t="n">
        <v>30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170</v>
      </c>
      <c r="Z261" t="n">
        <v>169</v>
      </c>
      <c r="AA261" t="n">
        <v>61</v>
      </c>
      <c r="AB261" t="n">
        <v>2</v>
      </c>
      <c r="AC261" t="n">
        <v>0</v>
      </c>
      <c r="AD261" t="n">
        <v>4</v>
      </c>
      <c r="AE261" t="n">
        <v>5</v>
      </c>
      <c r="AF261" t="n">
        <v>4</v>
      </c>
      <c r="AG261" t="n">
        <v>1</v>
      </c>
      <c r="AH261" t="n">
        <v>59</v>
      </c>
      <c r="AI261" t="n">
        <v>26</v>
      </c>
      <c r="AJ261" t="n">
        <v>66</v>
      </c>
      <c r="AK261" t="n">
        <v>19</v>
      </c>
      <c r="AL261" t="n">
        <v>1</v>
      </c>
      <c r="AM261" t="n">
        <v>37</v>
      </c>
      <c r="AN261" t="n">
        <v>0</v>
      </c>
      <c r="AO261" t="n">
        <v>0</v>
      </c>
      <c r="AP261" t="n">
        <v>3</v>
      </c>
      <c r="AQ261" t="n">
        <v>1</v>
      </c>
      <c r="AR261" t="n">
        <v>45</v>
      </c>
      <c r="AS261" t="n">
        <v>40</v>
      </c>
      <c r="AT261" t="n">
        <v>0</v>
      </c>
      <c r="AU261" t="n">
        <v>0</v>
      </c>
      <c r="AV261" t="n">
        <v>1</v>
      </c>
      <c r="AW261" t="n">
        <v>11</v>
      </c>
      <c r="AX261" t="n">
        <v>0</v>
      </c>
      <c r="AY261" t="n">
        <v>20</v>
      </c>
      <c r="AZ261" t="n">
        <v>0</v>
      </c>
      <c r="BA261" t="n">
        <v>2</v>
      </c>
      <c r="BB261" t="n">
        <v>59</v>
      </c>
      <c r="BC261" t="n">
        <v>33</v>
      </c>
      <c r="BD261" t="n">
        <v>60</v>
      </c>
      <c r="BE261" t="n">
        <v>11</v>
      </c>
      <c r="BF261" t="n">
        <v>51</v>
      </c>
      <c r="BG261" t="n">
        <v>2</v>
      </c>
      <c r="BH261" t="n">
        <v>0</v>
      </c>
      <c r="BI261" t="n">
        <v>17</v>
      </c>
      <c r="BJ261" t="n">
        <v>14</v>
      </c>
      <c r="BK261" t="n">
        <v>3</v>
      </c>
      <c r="BL261" t="n">
        <v>25</v>
      </c>
      <c r="BM261" t="n">
        <v>20</v>
      </c>
      <c r="BN261" t="n">
        <v>3</v>
      </c>
      <c r="BO261" t="n">
        <v>54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2</v>
      </c>
      <c r="W262" t="n">
        <v>1</v>
      </c>
      <c r="X262" t="n">
        <v>0</v>
      </c>
      <c r="Y262" t="n">
        <v>69</v>
      </c>
      <c r="Z262" t="n">
        <v>340</v>
      </c>
      <c r="AA262" t="n">
        <v>1</v>
      </c>
      <c r="AB262" t="n">
        <v>1</v>
      </c>
      <c r="AC262" t="n">
        <v>0</v>
      </c>
      <c r="AD262" t="n">
        <v>2</v>
      </c>
      <c r="AE262" t="n">
        <v>4</v>
      </c>
      <c r="AF262" t="n">
        <v>1</v>
      </c>
      <c r="AG262" t="n">
        <v>1</v>
      </c>
      <c r="AH262" t="n">
        <v>1</v>
      </c>
      <c r="AI262" t="n">
        <v>20</v>
      </c>
      <c r="AJ262" t="n">
        <v>6</v>
      </c>
      <c r="AK262" t="n">
        <v>7</v>
      </c>
      <c r="AL262" t="n">
        <v>7</v>
      </c>
      <c r="AM262" t="n">
        <v>101</v>
      </c>
      <c r="AN262" t="n">
        <v>0</v>
      </c>
      <c r="AO262" t="n">
        <v>0</v>
      </c>
      <c r="AP262" t="n">
        <v>3</v>
      </c>
      <c r="AQ262" t="n">
        <v>13</v>
      </c>
      <c r="AR262" t="n">
        <v>65</v>
      </c>
      <c r="AS262" t="n">
        <v>53</v>
      </c>
      <c r="AT262" t="n">
        <v>1</v>
      </c>
      <c r="AU262" t="n">
        <v>0</v>
      </c>
      <c r="AV262" t="n">
        <v>17</v>
      </c>
      <c r="AW262" t="n">
        <v>13</v>
      </c>
      <c r="AX262" t="n">
        <v>5</v>
      </c>
      <c r="AY262" t="n">
        <v>9</v>
      </c>
      <c r="AZ262" t="n">
        <v>9</v>
      </c>
      <c r="BA262" t="n">
        <v>137</v>
      </c>
      <c r="BB262" t="n">
        <v>201</v>
      </c>
      <c r="BC262" t="n">
        <v>82</v>
      </c>
      <c r="BD262" t="n">
        <v>14</v>
      </c>
      <c r="BE262" t="n">
        <v>25</v>
      </c>
      <c r="BF262" t="n">
        <v>26</v>
      </c>
      <c r="BG262" t="n">
        <v>1</v>
      </c>
      <c r="BH262" t="n">
        <v>0</v>
      </c>
      <c r="BI262" t="n">
        <v>32</v>
      </c>
      <c r="BJ262" t="n">
        <v>32</v>
      </c>
      <c r="BK262" t="n">
        <v>1</v>
      </c>
      <c r="BL262" t="n">
        <v>45</v>
      </c>
      <c r="BM262" t="n">
        <v>45</v>
      </c>
      <c r="BN262" t="n">
        <v>11</v>
      </c>
      <c r="BO262" t="n">
        <v>32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189</v>
      </c>
      <c r="Z263" t="n">
        <v>209</v>
      </c>
      <c r="AA263" t="n">
        <v>57</v>
      </c>
      <c r="AB263" t="n">
        <v>0</v>
      </c>
      <c r="AC263" t="n">
        <v>1</v>
      </c>
      <c r="AD263" t="n">
        <v>1</v>
      </c>
      <c r="AE263" t="n">
        <v>6</v>
      </c>
      <c r="AF263" t="n">
        <v>4</v>
      </c>
      <c r="AG263" t="n">
        <v>5</v>
      </c>
      <c r="AH263" t="n">
        <v>2</v>
      </c>
      <c r="AI263" t="n">
        <v>89</v>
      </c>
      <c r="AJ263" t="n">
        <v>24</v>
      </c>
      <c r="AK263" t="n">
        <v>21</v>
      </c>
      <c r="AL263" t="n">
        <v>3</v>
      </c>
      <c r="AM263" t="n">
        <v>16</v>
      </c>
      <c r="AN263" t="n">
        <v>0</v>
      </c>
      <c r="AO263" t="n">
        <v>0</v>
      </c>
      <c r="AP263" t="n">
        <v>5</v>
      </c>
      <c r="AQ263" t="n">
        <v>23</v>
      </c>
      <c r="AR263" t="n">
        <v>97</v>
      </c>
      <c r="AS263" t="n">
        <v>78</v>
      </c>
      <c r="AT263" t="n">
        <v>1</v>
      </c>
      <c r="AU263" t="n">
        <v>1</v>
      </c>
      <c r="AV263" t="n">
        <v>64</v>
      </c>
      <c r="AW263" t="n">
        <v>18</v>
      </c>
      <c r="AX263" t="n">
        <v>4</v>
      </c>
      <c r="AY263" t="n">
        <v>14</v>
      </c>
      <c r="AZ263" t="n">
        <v>4</v>
      </c>
      <c r="BA263" t="n">
        <v>10</v>
      </c>
      <c r="BB263" t="n">
        <v>64</v>
      </c>
      <c r="BC263" t="n">
        <v>13</v>
      </c>
      <c r="BD263" t="n">
        <v>12</v>
      </c>
      <c r="BE263" t="n">
        <v>17</v>
      </c>
      <c r="BF263" t="n">
        <v>64</v>
      </c>
      <c r="BG263" t="n">
        <v>4</v>
      </c>
      <c r="BH263" t="n">
        <v>13</v>
      </c>
      <c r="BI263" t="n">
        <v>28</v>
      </c>
      <c r="BJ263" t="n">
        <v>25</v>
      </c>
      <c r="BK263" t="n">
        <v>2</v>
      </c>
      <c r="BL263" t="n">
        <v>10</v>
      </c>
      <c r="BM263" t="n">
        <v>9</v>
      </c>
      <c r="BN263" t="n">
        <v>2</v>
      </c>
      <c r="BO263" t="n">
        <v>56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215</v>
      </c>
      <c r="Z264" t="n">
        <v>249</v>
      </c>
      <c r="AA264" t="n">
        <v>40</v>
      </c>
      <c r="AB264" t="n">
        <v>1</v>
      </c>
      <c r="AC264" t="n">
        <v>0</v>
      </c>
      <c r="AD264" t="n">
        <v>3</v>
      </c>
      <c r="AE264" t="n">
        <v>5</v>
      </c>
      <c r="AF264" t="n">
        <v>3</v>
      </c>
      <c r="AG264" t="n">
        <v>4</v>
      </c>
      <c r="AH264" t="n">
        <v>50</v>
      </c>
      <c r="AI264" t="n">
        <v>80</v>
      </c>
      <c r="AJ264" t="n">
        <v>62</v>
      </c>
      <c r="AK264" t="n">
        <v>30</v>
      </c>
      <c r="AL264" t="n">
        <v>9</v>
      </c>
      <c r="AM264" t="n">
        <v>88</v>
      </c>
      <c r="AN264" t="n">
        <v>0</v>
      </c>
      <c r="AO264" t="n">
        <v>0</v>
      </c>
      <c r="AP264" t="n">
        <v>3</v>
      </c>
      <c r="AQ264" t="n">
        <v>19</v>
      </c>
      <c r="AR264" t="n">
        <v>101</v>
      </c>
      <c r="AS264" t="n">
        <v>84</v>
      </c>
      <c r="AT264" t="n">
        <v>1</v>
      </c>
      <c r="AU264" t="n">
        <v>3</v>
      </c>
      <c r="AV264" t="n">
        <v>1</v>
      </c>
      <c r="AW264" t="n">
        <v>30</v>
      </c>
      <c r="AX264" t="n">
        <v>0</v>
      </c>
      <c r="AY264" t="n">
        <v>-9</v>
      </c>
      <c r="AZ264" t="n">
        <v>2</v>
      </c>
      <c r="BA264" t="n">
        <v>10</v>
      </c>
      <c r="BB264" t="n">
        <v>48</v>
      </c>
      <c r="BC264" t="n">
        <v>76</v>
      </c>
      <c r="BD264" t="n">
        <v>46</v>
      </c>
      <c r="BE264" t="n">
        <v>29</v>
      </c>
      <c r="BF264" t="n">
        <v>48</v>
      </c>
      <c r="BG264" t="n">
        <v>0</v>
      </c>
      <c r="BH264" t="n">
        <v>3</v>
      </c>
      <c r="BI264" t="n">
        <v>1</v>
      </c>
      <c r="BJ264" t="n">
        <v>9</v>
      </c>
      <c r="BK264" t="n">
        <v>0</v>
      </c>
      <c r="BL264" t="n">
        <v>1</v>
      </c>
      <c r="BM264" t="n">
        <v>14</v>
      </c>
      <c r="BN264" t="n">
        <v>8</v>
      </c>
      <c r="BO264" t="n">
        <v>7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150</v>
      </c>
      <c r="Z265" t="n">
        <v>153</v>
      </c>
      <c r="AA265" t="n">
        <v>8</v>
      </c>
      <c r="AB265" t="n">
        <v>0</v>
      </c>
      <c r="AC265" t="n">
        <v>1</v>
      </c>
      <c r="AD265" t="n">
        <v>3</v>
      </c>
      <c r="AE265" t="n">
        <v>5</v>
      </c>
      <c r="AF265" t="n">
        <v>3</v>
      </c>
      <c r="AG265" t="n">
        <v>1</v>
      </c>
      <c r="AH265" t="n">
        <v>26</v>
      </c>
      <c r="AI265" t="n">
        <v>30</v>
      </c>
      <c r="AJ265" t="n">
        <v>18</v>
      </c>
      <c r="AK265" t="n">
        <v>1</v>
      </c>
      <c r="AL265" t="n">
        <v>3</v>
      </c>
      <c r="AM265" t="n">
        <v>39</v>
      </c>
      <c r="AN265" t="n">
        <v>0</v>
      </c>
      <c r="AO265" t="n">
        <v>0</v>
      </c>
      <c r="AP265" t="n">
        <v>6</v>
      </c>
      <c r="AQ265" t="n">
        <v>55</v>
      </c>
      <c r="AR265" t="n">
        <v>240</v>
      </c>
      <c r="AS265" t="n">
        <v>194</v>
      </c>
      <c r="AT265" t="n">
        <v>2</v>
      </c>
      <c r="AU265" t="n">
        <v>1</v>
      </c>
      <c r="AV265" t="n">
        <v>17</v>
      </c>
      <c r="AW265" t="n">
        <v>7</v>
      </c>
      <c r="AX265" t="n">
        <v>1</v>
      </c>
      <c r="AY265" t="n">
        <v>10</v>
      </c>
      <c r="AZ265" t="n">
        <v>4</v>
      </c>
      <c r="BA265" t="n">
        <v>33</v>
      </c>
      <c r="BB265" t="n">
        <v>47</v>
      </c>
      <c r="BC265" t="n">
        <v>32</v>
      </c>
      <c r="BD265" t="n">
        <v>27</v>
      </c>
      <c r="BE265" t="n">
        <v>7</v>
      </c>
      <c r="BF265" t="n">
        <v>29</v>
      </c>
      <c r="BG265" t="n">
        <v>3</v>
      </c>
      <c r="BH265" t="n">
        <v>9</v>
      </c>
      <c r="BI265" t="n">
        <v>49</v>
      </c>
      <c r="BJ265" t="n">
        <v>46</v>
      </c>
      <c r="BK265" t="n">
        <v>7</v>
      </c>
      <c r="BL265" t="n">
        <v>54</v>
      </c>
      <c r="BM265" t="n">
        <v>37</v>
      </c>
      <c r="BN265" t="n">
        <v>1</v>
      </c>
      <c r="BO265" t="n">
        <v>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168</v>
      </c>
      <c r="Z266" t="n">
        <v>216</v>
      </c>
      <c r="AA266" t="n">
        <v>75</v>
      </c>
      <c r="AB266" t="n">
        <v>1</v>
      </c>
      <c r="AC266" t="n">
        <v>0</v>
      </c>
      <c r="AD266" t="n">
        <v>1</v>
      </c>
      <c r="AE266" t="n">
        <v>2</v>
      </c>
      <c r="AF266" t="n">
        <v>1</v>
      </c>
      <c r="AG266" t="n">
        <v>1</v>
      </c>
      <c r="AH266" t="n">
        <v>12</v>
      </c>
      <c r="AI266" t="n">
        <v>15</v>
      </c>
      <c r="AJ266" t="n">
        <v>18</v>
      </c>
      <c r="AK266" t="n">
        <v>63</v>
      </c>
      <c r="AL266" t="n">
        <v>2</v>
      </c>
      <c r="AM266" t="n">
        <v>16</v>
      </c>
      <c r="AN266" t="n">
        <v>0</v>
      </c>
      <c r="AO266" t="n">
        <v>0</v>
      </c>
      <c r="AP266" t="n">
        <v>7</v>
      </c>
      <c r="AQ266" t="n">
        <v>102</v>
      </c>
      <c r="AR266" t="n">
        <v>187</v>
      </c>
      <c r="AS266" t="n">
        <v>99</v>
      </c>
      <c r="AT266" t="n">
        <v>6</v>
      </c>
      <c r="AU266" t="n">
        <v>2</v>
      </c>
      <c r="AV266" t="n">
        <v>15</v>
      </c>
      <c r="AW266" t="n">
        <v>38</v>
      </c>
      <c r="AX266" t="n">
        <v>4</v>
      </c>
      <c r="AY266" t="n">
        <v>15</v>
      </c>
      <c r="AZ266" t="n">
        <v>1</v>
      </c>
      <c r="BA266" t="n">
        <v>17</v>
      </c>
      <c r="BB266" t="n">
        <v>87</v>
      </c>
      <c r="BC266" t="n">
        <v>13</v>
      </c>
      <c r="BD266" t="n">
        <v>34</v>
      </c>
      <c r="BE266" t="n">
        <v>38</v>
      </c>
      <c r="BF266" t="n">
        <v>13</v>
      </c>
      <c r="BG266" t="n">
        <v>0</v>
      </c>
      <c r="BH266" t="n">
        <v>7</v>
      </c>
      <c r="BI266" t="n">
        <v>1</v>
      </c>
      <c r="BJ266" t="n">
        <v>4</v>
      </c>
      <c r="BK266" t="n">
        <v>3</v>
      </c>
      <c r="BL266" t="n">
        <v>30</v>
      </c>
      <c r="BM266" t="n">
        <v>33</v>
      </c>
      <c r="BN266" t="n">
        <v>10</v>
      </c>
      <c r="BO266" t="n">
        <v>51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2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2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250</v>
      </c>
      <c r="Z267" t="n">
        <v>323</v>
      </c>
      <c r="AA267" t="n">
        <v>56</v>
      </c>
      <c r="AB267" t="n">
        <v>1</v>
      </c>
      <c r="AC267" t="n">
        <v>0</v>
      </c>
      <c r="AD267" t="n">
        <v>8</v>
      </c>
      <c r="AE267" t="n">
        <v>2</v>
      </c>
      <c r="AF267" t="n">
        <v>3</v>
      </c>
      <c r="AG267" t="n">
        <v>0</v>
      </c>
      <c r="AH267" t="n">
        <v>93</v>
      </c>
      <c r="AI267" t="n">
        <v>85</v>
      </c>
      <c r="AJ267" t="n">
        <v>54</v>
      </c>
      <c r="AK267" t="n">
        <v>18</v>
      </c>
      <c r="AL267" t="n">
        <v>3</v>
      </c>
      <c r="AM267" t="n">
        <v>53</v>
      </c>
      <c r="AN267" t="n">
        <v>0</v>
      </c>
      <c r="AO267" t="n">
        <v>1</v>
      </c>
      <c r="AP267" t="n">
        <v>4</v>
      </c>
      <c r="AQ267" t="n">
        <v>32</v>
      </c>
      <c r="AR267" t="n">
        <v>247</v>
      </c>
      <c r="AS267" t="n">
        <v>216</v>
      </c>
      <c r="AT267" t="n">
        <v>6</v>
      </c>
      <c r="AU267" t="n">
        <v>0</v>
      </c>
      <c r="AV267" t="n">
        <v>18</v>
      </c>
      <c r="AW267" t="n">
        <v>10</v>
      </c>
      <c r="AX267" t="n">
        <v>13</v>
      </c>
      <c r="AY267" t="n">
        <v>12</v>
      </c>
      <c r="AZ267" t="n">
        <v>6</v>
      </c>
      <c r="BA267" t="n">
        <v>18</v>
      </c>
      <c r="BB267" t="n">
        <v>72</v>
      </c>
      <c r="BC267" t="n">
        <v>43</v>
      </c>
      <c r="BD267" t="n">
        <v>106</v>
      </c>
      <c r="BE267" t="n">
        <v>10</v>
      </c>
      <c r="BF267" t="n">
        <v>42</v>
      </c>
      <c r="BG267" t="n">
        <v>2</v>
      </c>
      <c r="BH267" t="n">
        <v>8</v>
      </c>
      <c r="BI267" t="n">
        <v>12</v>
      </c>
      <c r="BJ267" t="n">
        <v>18</v>
      </c>
      <c r="BK267" t="n">
        <v>3</v>
      </c>
      <c r="BL267" t="n">
        <v>21</v>
      </c>
      <c r="BM267" t="n">
        <v>46</v>
      </c>
      <c r="BN267" t="n">
        <v>22</v>
      </c>
      <c r="BO267" t="n">
        <v>208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239</v>
      </c>
      <c r="Z268" t="n">
        <v>255</v>
      </c>
      <c r="AA268" t="n">
        <v>76</v>
      </c>
      <c r="AB268" t="n">
        <v>4</v>
      </c>
      <c r="AC268" t="n">
        <v>0</v>
      </c>
      <c r="AD268" t="n">
        <v>4</v>
      </c>
      <c r="AE268" t="n">
        <v>5</v>
      </c>
      <c r="AF268" t="n">
        <v>2</v>
      </c>
      <c r="AG268" t="n">
        <v>4</v>
      </c>
      <c r="AH268" t="n">
        <v>22</v>
      </c>
      <c r="AI268" t="n">
        <v>2</v>
      </c>
      <c r="AJ268" t="n">
        <v>16</v>
      </c>
      <c r="AK268" t="n">
        <v>87</v>
      </c>
      <c r="AL268" t="n">
        <v>3</v>
      </c>
      <c r="AM268" t="n">
        <v>16</v>
      </c>
      <c r="AN268" t="n">
        <v>0</v>
      </c>
      <c r="AO268" t="n">
        <v>0</v>
      </c>
      <c r="AP268" t="n">
        <v>5</v>
      </c>
      <c r="AQ268" t="n">
        <v>59</v>
      </c>
      <c r="AR268" t="n">
        <v>188</v>
      </c>
      <c r="AS268" t="n">
        <v>134</v>
      </c>
      <c r="AT268" t="n">
        <v>2</v>
      </c>
      <c r="AU268" t="n">
        <v>4</v>
      </c>
      <c r="AV268" t="n">
        <v>20</v>
      </c>
      <c r="AW268" t="n">
        <v>47</v>
      </c>
      <c r="AX268" t="n">
        <v>6</v>
      </c>
      <c r="AY268" t="n">
        <v>37</v>
      </c>
      <c r="AZ268" t="n">
        <v>3</v>
      </c>
      <c r="BA268" t="n">
        <v>17</v>
      </c>
      <c r="BB268" t="n">
        <v>89</v>
      </c>
      <c r="BC268" t="n">
        <v>12</v>
      </c>
      <c r="BD268" t="n">
        <v>27</v>
      </c>
      <c r="BE268" t="n">
        <v>51</v>
      </c>
      <c r="BF268" t="n">
        <v>13</v>
      </c>
      <c r="BG268" t="n">
        <v>2</v>
      </c>
      <c r="BH268" t="n">
        <v>3</v>
      </c>
      <c r="BI268" t="n">
        <v>10</v>
      </c>
      <c r="BJ268" t="n">
        <v>9</v>
      </c>
      <c r="BK268" t="n">
        <v>2</v>
      </c>
      <c r="BL268" t="n">
        <v>7</v>
      </c>
      <c r="BM268" t="n">
        <v>4</v>
      </c>
      <c r="BN268" t="n">
        <v>1</v>
      </c>
      <c r="BO268" t="n">
        <v>30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84</v>
      </c>
      <c r="Z269" t="n">
        <v>273</v>
      </c>
      <c r="AA269" t="n">
        <v>16</v>
      </c>
      <c r="AB269" t="n">
        <v>2</v>
      </c>
      <c r="AC269" t="n">
        <v>0</v>
      </c>
      <c r="AD269" t="n">
        <v>1</v>
      </c>
      <c r="AE269" t="n">
        <v>7</v>
      </c>
      <c r="AF269" t="n">
        <v>3</v>
      </c>
      <c r="AG269" t="n">
        <v>3</v>
      </c>
      <c r="AH269" t="n">
        <v>5</v>
      </c>
      <c r="AI269" t="n">
        <v>85</v>
      </c>
      <c r="AJ269" t="n">
        <v>29</v>
      </c>
      <c r="AK269" t="n">
        <v>25</v>
      </c>
      <c r="AL269" t="n">
        <v>4</v>
      </c>
      <c r="AM269" t="n">
        <v>36</v>
      </c>
      <c r="AN269" t="n">
        <v>0</v>
      </c>
      <c r="AO269" t="n">
        <v>0</v>
      </c>
      <c r="AP269" t="n">
        <v>1</v>
      </c>
      <c r="AQ269" t="n">
        <v>19</v>
      </c>
      <c r="AR269" t="n">
        <v>70</v>
      </c>
      <c r="AS269" t="n">
        <v>53</v>
      </c>
      <c r="AT269" t="n">
        <v>0</v>
      </c>
      <c r="AU269" t="n">
        <v>2</v>
      </c>
      <c r="AV269" t="n">
        <v>1</v>
      </c>
      <c r="AW269" t="n">
        <v>37</v>
      </c>
      <c r="AX269" t="n">
        <v>0</v>
      </c>
      <c r="AY269" t="n">
        <v>48</v>
      </c>
      <c r="AZ269" t="n">
        <v>10</v>
      </c>
      <c r="BA269" t="n">
        <v>46</v>
      </c>
      <c r="BB269" t="n">
        <v>65</v>
      </c>
      <c r="BC269" t="n">
        <v>30</v>
      </c>
      <c r="BD269" t="n">
        <v>7</v>
      </c>
      <c r="BE269" t="n">
        <v>39</v>
      </c>
      <c r="BF269" t="n">
        <v>23</v>
      </c>
      <c r="BG269" t="n">
        <v>2</v>
      </c>
      <c r="BH269" t="n">
        <v>7</v>
      </c>
      <c r="BI269" t="n">
        <v>21</v>
      </c>
      <c r="BJ269" t="n">
        <v>19</v>
      </c>
      <c r="BK269" t="n">
        <v>3</v>
      </c>
      <c r="BL269" t="n">
        <v>24</v>
      </c>
      <c r="BM269" t="n">
        <v>19</v>
      </c>
      <c r="BN269" t="n">
        <v>3</v>
      </c>
      <c r="BO269" t="n">
        <v>18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2</v>
      </c>
      <c r="F270" t="n">
        <v>0</v>
      </c>
      <c r="G270" t="n">
        <v>2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202</v>
      </c>
      <c r="Z270" t="n">
        <v>276</v>
      </c>
      <c r="AA270" t="n">
        <v>76</v>
      </c>
      <c r="AB270" t="n">
        <v>3</v>
      </c>
      <c r="AC270" t="n">
        <v>2</v>
      </c>
      <c r="AD270" t="n">
        <v>5</v>
      </c>
      <c r="AE270" t="n">
        <v>12</v>
      </c>
      <c r="AF270" t="n">
        <v>0</v>
      </c>
      <c r="AG270" t="n">
        <v>8</v>
      </c>
      <c r="AH270" t="n">
        <v>46</v>
      </c>
      <c r="AI270" t="n">
        <v>67</v>
      </c>
      <c r="AJ270" t="n">
        <v>7</v>
      </c>
      <c r="AK270" t="n">
        <v>101</v>
      </c>
      <c r="AL270" t="n">
        <v>9</v>
      </c>
      <c r="AM270" t="n">
        <v>153</v>
      </c>
      <c r="AN270" t="n">
        <v>0</v>
      </c>
      <c r="AO270" t="n">
        <v>0</v>
      </c>
      <c r="AP270" t="n">
        <v>7</v>
      </c>
      <c r="AQ270" t="n">
        <v>126</v>
      </c>
      <c r="AR270" t="n">
        <v>113</v>
      </c>
      <c r="AS270" t="n">
        <v>4</v>
      </c>
      <c r="AT270" t="n">
        <v>0</v>
      </c>
      <c r="AU270" t="n">
        <v>1</v>
      </c>
      <c r="AV270" t="n">
        <v>10</v>
      </c>
      <c r="AW270" t="n">
        <v>16</v>
      </c>
      <c r="AX270" t="n">
        <v>0</v>
      </c>
      <c r="AY270" t="n">
        <v>39</v>
      </c>
      <c r="AZ270" t="n">
        <v>1</v>
      </c>
      <c r="BA270" t="n">
        <v>1</v>
      </c>
      <c r="BB270" t="n">
        <v>74</v>
      </c>
      <c r="BC270" t="n">
        <v>132</v>
      </c>
      <c r="BD270" t="n">
        <v>41</v>
      </c>
      <c r="BE270" t="n">
        <v>19</v>
      </c>
      <c r="BF270" t="n">
        <v>6</v>
      </c>
      <c r="BG270" t="n">
        <v>2</v>
      </c>
      <c r="BH270" t="n">
        <v>0</v>
      </c>
      <c r="BI270" t="n">
        <v>3</v>
      </c>
      <c r="BJ270" t="n">
        <v>1</v>
      </c>
      <c r="BK270" t="n">
        <v>0</v>
      </c>
      <c r="BL270" t="n">
        <v>1</v>
      </c>
      <c r="BM270" t="n">
        <v>1</v>
      </c>
      <c r="BN270" t="n">
        <v>1</v>
      </c>
      <c r="BO270" t="n">
        <v>4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3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136</v>
      </c>
      <c r="Z271" t="n">
        <v>216</v>
      </c>
      <c r="AA271" t="n">
        <v>43</v>
      </c>
      <c r="AB271" t="n">
        <v>3</v>
      </c>
      <c r="AC271" t="n">
        <v>1</v>
      </c>
      <c r="AD271" t="n">
        <v>5</v>
      </c>
      <c r="AE271" t="n">
        <v>6</v>
      </c>
      <c r="AF271" t="n">
        <v>5</v>
      </c>
      <c r="AG271" t="n">
        <v>3</v>
      </c>
      <c r="AH271" t="n">
        <v>71</v>
      </c>
      <c r="AI271" t="n">
        <v>117</v>
      </c>
      <c r="AJ271" t="n">
        <v>23</v>
      </c>
      <c r="AK271" t="n">
        <v>13</v>
      </c>
      <c r="AL271" t="n">
        <v>4</v>
      </c>
      <c r="AM271" t="n">
        <v>43</v>
      </c>
      <c r="AN271" t="n">
        <v>0</v>
      </c>
      <c r="AO271" t="n">
        <v>0</v>
      </c>
      <c r="AP271" t="n">
        <v>11</v>
      </c>
      <c r="AQ271" t="n">
        <v>38</v>
      </c>
      <c r="AR271" t="n">
        <v>89</v>
      </c>
      <c r="AS271" t="n">
        <v>56</v>
      </c>
      <c r="AT271" t="n">
        <v>3</v>
      </c>
      <c r="AU271" t="n">
        <v>3</v>
      </c>
      <c r="AV271" t="n">
        <v>3</v>
      </c>
      <c r="AW271" t="n">
        <v>8</v>
      </c>
      <c r="AX271" t="n">
        <v>9</v>
      </c>
      <c r="AY271" t="n">
        <v>56</v>
      </c>
      <c r="AZ271" t="n">
        <v>2</v>
      </c>
      <c r="BA271" t="n">
        <v>12</v>
      </c>
      <c r="BB271" t="n">
        <v>54</v>
      </c>
      <c r="BC271" t="n">
        <v>39</v>
      </c>
      <c r="BD271" t="n">
        <v>63</v>
      </c>
      <c r="BE271" t="n">
        <v>8</v>
      </c>
      <c r="BF271" t="n">
        <v>18</v>
      </c>
      <c r="BG271" t="n">
        <v>1</v>
      </c>
      <c r="BH271" t="n">
        <v>2</v>
      </c>
      <c r="BI271" t="n">
        <v>15</v>
      </c>
      <c r="BJ271" t="n">
        <v>14</v>
      </c>
      <c r="BK271" t="n">
        <v>0</v>
      </c>
      <c r="BL271" t="n">
        <v>1</v>
      </c>
      <c r="BM271" t="n">
        <v>10</v>
      </c>
      <c r="BN271" t="n">
        <v>5</v>
      </c>
      <c r="BO271" t="n">
        <v>42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180</v>
      </c>
      <c r="Z272" t="n">
        <v>247</v>
      </c>
      <c r="AA272" t="n">
        <v>60</v>
      </c>
      <c r="AB272" t="n">
        <v>0</v>
      </c>
      <c r="AC272" t="n">
        <v>0</v>
      </c>
      <c r="AD272" t="n">
        <v>5</v>
      </c>
      <c r="AE272" t="n">
        <v>3</v>
      </c>
      <c r="AF272" t="n">
        <v>1</v>
      </c>
      <c r="AG272" t="n">
        <v>2</v>
      </c>
      <c r="AH272" t="n">
        <v>72</v>
      </c>
      <c r="AI272" t="n">
        <v>28</v>
      </c>
      <c r="AJ272" t="n">
        <v>13</v>
      </c>
      <c r="AK272" t="n">
        <v>1</v>
      </c>
      <c r="AL272" t="n">
        <v>4</v>
      </c>
      <c r="AM272" t="n">
        <v>66</v>
      </c>
      <c r="AN272" t="n">
        <v>0</v>
      </c>
      <c r="AO272" t="n">
        <v>0</v>
      </c>
      <c r="AP272" t="n">
        <v>3</v>
      </c>
      <c r="AQ272" t="n">
        <v>1</v>
      </c>
      <c r="AR272" t="n">
        <v>61</v>
      </c>
      <c r="AS272" t="n">
        <v>55</v>
      </c>
      <c r="AT272" t="n">
        <v>1</v>
      </c>
      <c r="AU272" t="n">
        <v>1</v>
      </c>
      <c r="AV272" t="n">
        <v>6</v>
      </c>
      <c r="AW272" t="n">
        <v>16</v>
      </c>
      <c r="AX272" t="n">
        <v>0</v>
      </c>
      <c r="AY272" t="n">
        <v>41</v>
      </c>
      <c r="AZ272" t="n">
        <v>0</v>
      </c>
      <c r="BA272" t="n">
        <v>1</v>
      </c>
      <c r="BB272" t="n">
        <v>59</v>
      </c>
      <c r="BC272" t="n">
        <v>56</v>
      </c>
      <c r="BD272" t="n">
        <v>90</v>
      </c>
      <c r="BE272" t="n">
        <v>15</v>
      </c>
      <c r="BF272" t="n">
        <v>10</v>
      </c>
      <c r="BG272" t="n">
        <v>2</v>
      </c>
      <c r="BH272" t="n">
        <v>8</v>
      </c>
      <c r="BI272" t="n">
        <v>21</v>
      </c>
      <c r="BJ272" t="n">
        <v>37</v>
      </c>
      <c r="BK272" t="n">
        <v>5</v>
      </c>
      <c r="BL272" t="n">
        <v>38</v>
      </c>
      <c r="BM272" t="n">
        <v>39</v>
      </c>
      <c r="BN272" t="n">
        <v>11</v>
      </c>
      <c r="BO272" t="n">
        <v>18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307</v>
      </c>
      <c r="Z273" t="n">
        <v>215</v>
      </c>
      <c r="AA273" t="n">
        <v>16</v>
      </c>
      <c r="AB273" t="n">
        <v>0</v>
      </c>
      <c r="AC273" t="n">
        <v>1</v>
      </c>
      <c r="AD273" t="n">
        <v>4</v>
      </c>
      <c r="AE273" t="n">
        <v>2</v>
      </c>
      <c r="AF273" t="n">
        <v>5</v>
      </c>
      <c r="AG273" t="n">
        <v>3</v>
      </c>
      <c r="AH273" t="n">
        <v>96</v>
      </c>
      <c r="AI273" t="n">
        <v>24</v>
      </c>
      <c r="AJ273" t="n">
        <v>63</v>
      </c>
      <c r="AK273" t="n">
        <v>9</v>
      </c>
      <c r="AL273" t="n">
        <v>4</v>
      </c>
      <c r="AM273" t="n">
        <v>69</v>
      </c>
      <c r="AN273" t="n">
        <v>0</v>
      </c>
      <c r="AO273" t="n">
        <v>0</v>
      </c>
      <c r="AP273" t="n">
        <v>4</v>
      </c>
      <c r="AQ273" t="n">
        <v>56</v>
      </c>
      <c r="AR273" t="n">
        <v>213</v>
      </c>
      <c r="AS273" t="n">
        <v>166</v>
      </c>
      <c r="AT273" t="n">
        <v>5</v>
      </c>
      <c r="AU273" t="n">
        <v>3</v>
      </c>
      <c r="AV273" t="n">
        <v>53</v>
      </c>
      <c r="AW273" t="n">
        <v>22</v>
      </c>
      <c r="AX273" t="n">
        <v>1</v>
      </c>
      <c r="AY273" t="n">
        <v>50</v>
      </c>
      <c r="AZ273" t="n">
        <v>2</v>
      </c>
      <c r="BA273" t="n">
        <v>18</v>
      </c>
      <c r="BB273" t="n">
        <v>35</v>
      </c>
      <c r="BC273" t="n">
        <v>83</v>
      </c>
      <c r="BD273" t="n">
        <v>88</v>
      </c>
      <c r="BE273" t="n">
        <v>22</v>
      </c>
      <c r="BF273" t="n">
        <v>54</v>
      </c>
      <c r="BG273" t="n">
        <v>3</v>
      </c>
      <c r="BH273" t="n">
        <v>2</v>
      </c>
      <c r="BI273" t="n">
        <v>71</v>
      </c>
      <c r="BJ273" t="n">
        <v>64</v>
      </c>
      <c r="BK273" t="n">
        <v>0</v>
      </c>
      <c r="BL273" t="n">
        <v>11</v>
      </c>
      <c r="BM273" t="n">
        <v>14</v>
      </c>
      <c r="BN273" t="n">
        <v>4</v>
      </c>
      <c r="BO273" t="n">
        <v>2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231</v>
      </c>
      <c r="Z274" t="n">
        <v>184</v>
      </c>
      <c r="AA274" t="n">
        <v>11</v>
      </c>
      <c r="AB274" t="n">
        <v>2</v>
      </c>
      <c r="AC274" t="n">
        <v>0</v>
      </c>
      <c r="AD274" t="n">
        <v>1</v>
      </c>
      <c r="AE274" t="n">
        <v>7</v>
      </c>
      <c r="AF274" t="n">
        <v>3</v>
      </c>
      <c r="AG274" t="n">
        <v>14</v>
      </c>
      <c r="AH274" t="n">
        <v>19</v>
      </c>
      <c r="AI274" t="n">
        <v>34</v>
      </c>
      <c r="AJ274" t="n">
        <v>12</v>
      </c>
      <c r="AK274" t="n">
        <v>122</v>
      </c>
      <c r="AL274" t="n">
        <v>2</v>
      </c>
      <c r="AM274" t="n">
        <v>43</v>
      </c>
      <c r="AN274" t="n">
        <v>0</v>
      </c>
      <c r="AO274" t="n">
        <v>0</v>
      </c>
      <c r="AP274" t="n">
        <v>3</v>
      </c>
      <c r="AQ274" t="n">
        <v>1</v>
      </c>
      <c r="AR274" t="n">
        <v>20</v>
      </c>
      <c r="AS274" t="n">
        <v>15</v>
      </c>
      <c r="AT274" t="n">
        <v>2</v>
      </c>
      <c r="AU274" t="n">
        <v>2</v>
      </c>
      <c r="AV274" t="n">
        <v>10</v>
      </c>
      <c r="AW274" t="n">
        <v>17</v>
      </c>
      <c r="AX274" t="n">
        <v>0</v>
      </c>
      <c r="AY274" t="n">
        <v>66</v>
      </c>
      <c r="AZ274" t="n">
        <v>1</v>
      </c>
      <c r="BA274" t="n">
        <v>5</v>
      </c>
      <c r="BB274" t="n">
        <v>13</v>
      </c>
      <c r="BC274" t="n">
        <v>42</v>
      </c>
      <c r="BD274" t="n">
        <v>16</v>
      </c>
      <c r="BE274" t="n">
        <v>17</v>
      </c>
      <c r="BF274" t="n">
        <v>12</v>
      </c>
      <c r="BG274" t="n">
        <v>3</v>
      </c>
      <c r="BH274" t="n">
        <v>0</v>
      </c>
      <c r="BI274" t="n">
        <v>39</v>
      </c>
      <c r="BJ274" t="n">
        <v>36</v>
      </c>
      <c r="BK274" t="n">
        <v>4</v>
      </c>
      <c r="BL274" t="n">
        <v>33</v>
      </c>
      <c r="BM274" t="n">
        <v>28</v>
      </c>
      <c r="BN274" t="n">
        <v>5</v>
      </c>
      <c r="BO274" t="n">
        <v>7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4</v>
      </c>
      <c r="U275" t="n">
        <v>0</v>
      </c>
      <c r="V275" t="n">
        <v>0</v>
      </c>
      <c r="W275" t="n">
        <v>1</v>
      </c>
      <c r="X275" t="n">
        <v>0</v>
      </c>
      <c r="Y275" t="n">
        <v>257</v>
      </c>
      <c r="Z275" t="n">
        <v>204</v>
      </c>
      <c r="AA275" t="n">
        <v>98</v>
      </c>
      <c r="AB275" t="n">
        <v>2</v>
      </c>
      <c r="AC275" t="n">
        <v>1</v>
      </c>
      <c r="AD275" t="n">
        <v>0</v>
      </c>
      <c r="AE275" t="n">
        <v>5</v>
      </c>
      <c r="AF275" t="n">
        <v>5</v>
      </c>
      <c r="AG275" t="n">
        <v>2</v>
      </c>
      <c r="AH275" t="n">
        <v>15</v>
      </c>
      <c r="AI275" t="n">
        <v>21</v>
      </c>
      <c r="AJ275" t="n">
        <v>71</v>
      </c>
      <c r="AK275" t="n">
        <v>27</v>
      </c>
      <c r="AL275" t="n">
        <v>4</v>
      </c>
      <c r="AM275" t="n">
        <v>72</v>
      </c>
      <c r="AN275" t="n">
        <v>0</v>
      </c>
      <c r="AO275" t="n">
        <v>0</v>
      </c>
      <c r="AP275" t="n">
        <v>5</v>
      </c>
      <c r="AQ275" t="n">
        <v>52</v>
      </c>
      <c r="AR275" t="n">
        <v>184</v>
      </c>
      <c r="AS275" t="n">
        <v>138</v>
      </c>
      <c r="AT275" t="n">
        <v>4</v>
      </c>
      <c r="AU275" t="n">
        <v>5</v>
      </c>
      <c r="AV275" t="n">
        <v>17</v>
      </c>
      <c r="AW275" t="n">
        <v>36</v>
      </c>
      <c r="AX275" t="n">
        <v>1</v>
      </c>
      <c r="AY275" t="n">
        <v>21</v>
      </c>
      <c r="AZ275" t="n">
        <v>2</v>
      </c>
      <c r="BA275" t="n">
        <v>2</v>
      </c>
      <c r="BB275" t="n">
        <v>96</v>
      </c>
      <c r="BC275" t="n">
        <v>60</v>
      </c>
      <c r="BD275" t="n">
        <v>13</v>
      </c>
      <c r="BE275" t="n">
        <v>36</v>
      </c>
      <c r="BF275" t="n">
        <v>72</v>
      </c>
      <c r="BG275" t="n">
        <v>10</v>
      </c>
      <c r="BH275" t="n">
        <v>7</v>
      </c>
      <c r="BI275" t="n">
        <v>114</v>
      </c>
      <c r="BJ275" t="n">
        <v>102</v>
      </c>
      <c r="BK275" t="n">
        <v>3</v>
      </c>
      <c r="BL275" t="n">
        <v>10</v>
      </c>
      <c r="BM275" t="n">
        <v>43</v>
      </c>
      <c r="BN275" t="n">
        <v>24</v>
      </c>
      <c r="BO275" t="n">
        <v>9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250</v>
      </c>
      <c r="Z276" t="n">
        <v>223</v>
      </c>
      <c r="AA276" t="n">
        <v>66</v>
      </c>
      <c r="AB276" t="n">
        <v>1</v>
      </c>
      <c r="AC276" t="n">
        <v>1</v>
      </c>
      <c r="AD276" t="n">
        <v>3</v>
      </c>
      <c r="AE276" t="n">
        <v>4</v>
      </c>
      <c r="AF276" t="n">
        <v>3</v>
      </c>
      <c r="AG276" t="n">
        <v>3</v>
      </c>
      <c r="AH276" t="n">
        <v>72</v>
      </c>
      <c r="AI276" t="n">
        <v>72</v>
      </c>
      <c r="AJ276" t="n">
        <v>32</v>
      </c>
      <c r="AK276" t="n">
        <v>39</v>
      </c>
      <c r="AL276" t="n">
        <v>2</v>
      </c>
      <c r="AM276" t="n">
        <v>2</v>
      </c>
      <c r="AN276" t="n">
        <v>0</v>
      </c>
      <c r="AO276" t="n">
        <v>0</v>
      </c>
      <c r="AP276" t="n">
        <v>0</v>
      </c>
      <c r="AQ276" t="n">
        <v>3</v>
      </c>
      <c r="AR276" t="n">
        <v>90</v>
      </c>
      <c r="AS276" t="n">
        <v>84</v>
      </c>
      <c r="AT276" t="n">
        <v>2</v>
      </c>
      <c r="AU276" t="n">
        <v>3</v>
      </c>
      <c r="AV276" t="n">
        <v>5</v>
      </c>
      <c r="AW276" t="n">
        <v>23</v>
      </c>
      <c r="AX276" t="n">
        <v>8</v>
      </c>
      <c r="AY276" t="n">
        <v>39</v>
      </c>
      <c r="AZ276" t="n">
        <v>1</v>
      </c>
      <c r="BA276" t="n">
        <v>14</v>
      </c>
      <c r="BB276" t="n">
        <v>75</v>
      </c>
      <c r="BC276" t="n">
        <v>2</v>
      </c>
      <c r="BD276" t="n">
        <v>64</v>
      </c>
      <c r="BE276" t="n">
        <v>25</v>
      </c>
      <c r="BF276" t="n">
        <v>26</v>
      </c>
      <c r="BG276" t="n">
        <v>3</v>
      </c>
      <c r="BH276" t="n">
        <v>0</v>
      </c>
      <c r="BI276" t="n">
        <v>38</v>
      </c>
      <c r="BJ276" t="n">
        <v>34</v>
      </c>
      <c r="BK276" t="n">
        <v>1</v>
      </c>
      <c r="BL276" t="n">
        <v>49</v>
      </c>
      <c r="BM276" t="n">
        <v>71</v>
      </c>
      <c r="BN276" t="n">
        <v>27</v>
      </c>
      <c r="BO276" t="n">
        <v>23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113</v>
      </c>
      <c r="Z277" t="n">
        <v>113</v>
      </c>
      <c r="AA277" t="n">
        <v>30</v>
      </c>
      <c r="AB277" t="n">
        <v>2</v>
      </c>
      <c r="AC277" t="n">
        <v>1</v>
      </c>
      <c r="AD277" t="n">
        <v>1</v>
      </c>
      <c r="AE277" t="n">
        <v>4</v>
      </c>
      <c r="AF277" t="n">
        <v>5</v>
      </c>
      <c r="AG277" t="n">
        <v>2</v>
      </c>
      <c r="AH277" t="n">
        <v>9</v>
      </c>
      <c r="AI277" t="n">
        <v>37</v>
      </c>
      <c r="AJ277" t="n">
        <v>56</v>
      </c>
      <c r="AK277" t="n">
        <v>1</v>
      </c>
      <c r="AL277" t="n">
        <v>5</v>
      </c>
      <c r="AM277" t="n">
        <v>28</v>
      </c>
      <c r="AN277" t="n">
        <v>0</v>
      </c>
      <c r="AO277" t="n">
        <v>0</v>
      </c>
      <c r="AP277" t="n">
        <v>5</v>
      </c>
      <c r="AQ277" t="n">
        <v>53</v>
      </c>
      <c r="AR277" t="n">
        <v>106</v>
      </c>
      <c r="AS277" t="n">
        <v>61</v>
      </c>
      <c r="AT277" t="n">
        <v>4</v>
      </c>
      <c r="AU277" t="n">
        <v>3</v>
      </c>
      <c r="AV277" t="n">
        <v>12</v>
      </c>
      <c r="AW277" t="n">
        <v>8</v>
      </c>
      <c r="AX277" t="n">
        <v>0</v>
      </c>
      <c r="AY277" t="n">
        <v>46</v>
      </c>
      <c r="AZ277" t="n">
        <v>1</v>
      </c>
      <c r="BA277" t="n">
        <v>18</v>
      </c>
      <c r="BB277" t="n">
        <v>47</v>
      </c>
      <c r="BC277" t="n">
        <v>23</v>
      </c>
      <c r="BD277" t="n">
        <v>11</v>
      </c>
      <c r="BE277" t="n">
        <v>8</v>
      </c>
      <c r="BF277" t="n">
        <v>45</v>
      </c>
      <c r="BG277" t="n">
        <v>1</v>
      </c>
      <c r="BH277" t="n">
        <v>7</v>
      </c>
      <c r="BI277" t="n">
        <v>9</v>
      </c>
      <c r="BJ277" t="n">
        <v>9</v>
      </c>
      <c r="BK277" t="n">
        <v>3</v>
      </c>
      <c r="BL277" t="n">
        <v>30</v>
      </c>
      <c r="BM277" t="n">
        <v>49</v>
      </c>
      <c r="BN277" t="n">
        <v>21</v>
      </c>
      <c r="BO277" t="n">
        <v>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214</v>
      </c>
      <c r="Z278" t="n">
        <v>107</v>
      </c>
      <c r="AA278" t="n">
        <v>76</v>
      </c>
      <c r="AB278" t="n">
        <v>0</v>
      </c>
      <c r="AC278" t="n">
        <v>0</v>
      </c>
      <c r="AD278" t="n">
        <v>1</v>
      </c>
      <c r="AE278" t="n">
        <v>7</v>
      </c>
      <c r="AF278" t="n">
        <v>3</v>
      </c>
      <c r="AG278" t="n">
        <v>6</v>
      </c>
      <c r="AH278" t="n">
        <v>14</v>
      </c>
      <c r="AI278" t="n">
        <v>48</v>
      </c>
      <c r="AJ278" t="n">
        <v>42</v>
      </c>
      <c r="AK278" t="n">
        <v>54</v>
      </c>
      <c r="AL278" t="n">
        <v>1</v>
      </c>
      <c r="AM278" t="n">
        <v>13</v>
      </c>
      <c r="AN278" t="n">
        <v>0</v>
      </c>
      <c r="AO278" t="n">
        <v>0</v>
      </c>
      <c r="AP278" t="n">
        <v>6</v>
      </c>
      <c r="AQ278" t="n">
        <v>45</v>
      </c>
      <c r="AR278" t="n">
        <v>135</v>
      </c>
      <c r="AS278" t="n">
        <v>96</v>
      </c>
      <c r="AT278" t="n">
        <v>0</v>
      </c>
      <c r="AU278" t="n">
        <v>0</v>
      </c>
      <c r="AV278" t="n">
        <v>4</v>
      </c>
      <c r="AW278" t="n">
        <v>17</v>
      </c>
      <c r="AX278" t="n">
        <v>1</v>
      </c>
      <c r="AY278" t="n">
        <v>8</v>
      </c>
      <c r="AZ278" t="n">
        <v>1</v>
      </c>
      <c r="BA278" t="n">
        <v>1</v>
      </c>
      <c r="BB278" t="n">
        <v>73</v>
      </c>
      <c r="BC278" t="n">
        <v>10</v>
      </c>
      <c r="BD278" t="n">
        <v>18</v>
      </c>
      <c r="BE278" t="n">
        <v>30</v>
      </c>
      <c r="BF278" t="n">
        <v>47</v>
      </c>
      <c r="BG278" t="n">
        <v>2</v>
      </c>
      <c r="BH278" t="n">
        <v>5</v>
      </c>
      <c r="BI278" t="n">
        <v>26</v>
      </c>
      <c r="BJ278" t="n">
        <v>31</v>
      </c>
      <c r="BK278" t="n">
        <v>0</v>
      </c>
      <c r="BL278" t="n">
        <v>15</v>
      </c>
      <c r="BM278" t="n">
        <v>34</v>
      </c>
      <c r="BN278" t="n">
        <v>16</v>
      </c>
      <c r="BO278" t="n">
        <v>51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3</v>
      </c>
      <c r="U279" t="n">
        <v>2</v>
      </c>
      <c r="V279" t="n">
        <v>0</v>
      </c>
      <c r="W279" t="n">
        <v>1</v>
      </c>
      <c r="X279" t="n">
        <v>0</v>
      </c>
      <c r="Y279" t="n">
        <v>262</v>
      </c>
      <c r="Z279" t="n">
        <v>207</v>
      </c>
      <c r="AA279" t="n">
        <v>86</v>
      </c>
      <c r="AB279" t="n">
        <v>2</v>
      </c>
      <c r="AC279" t="n">
        <v>3</v>
      </c>
      <c r="AD279" t="n">
        <v>4</v>
      </c>
      <c r="AE279" t="n">
        <v>0</v>
      </c>
      <c r="AF279" t="n">
        <v>1</v>
      </c>
      <c r="AG279" t="n">
        <v>2</v>
      </c>
      <c r="AH279" t="n">
        <v>83</v>
      </c>
      <c r="AI279" t="n">
        <v>18</v>
      </c>
      <c r="AJ279" t="n">
        <v>10</v>
      </c>
      <c r="AK279" t="n">
        <v>57</v>
      </c>
      <c r="AL279" t="n">
        <v>5</v>
      </c>
      <c r="AM279" t="n">
        <v>61</v>
      </c>
      <c r="AN279" t="n">
        <v>0</v>
      </c>
      <c r="AO279" t="n">
        <v>0</v>
      </c>
      <c r="AP279" t="n">
        <v>5</v>
      </c>
      <c r="AQ279" t="n">
        <v>30</v>
      </c>
      <c r="AR279" t="n">
        <v>102</v>
      </c>
      <c r="AS279" t="n">
        <v>76</v>
      </c>
      <c r="AT279" t="n">
        <v>8</v>
      </c>
      <c r="AU279" t="n">
        <v>2</v>
      </c>
      <c r="AV279" t="n">
        <v>51</v>
      </c>
      <c r="AW279" t="n">
        <v>15</v>
      </c>
      <c r="AX279" t="n">
        <v>0</v>
      </c>
      <c r="AY279" t="n">
        <v>82</v>
      </c>
      <c r="AZ279" t="n">
        <v>3</v>
      </c>
      <c r="BA279" t="n">
        <v>20</v>
      </c>
      <c r="BB279" t="n">
        <v>101</v>
      </c>
      <c r="BC279" t="n">
        <v>50</v>
      </c>
      <c r="BD279" t="n">
        <v>76</v>
      </c>
      <c r="BE279" t="n">
        <v>14</v>
      </c>
      <c r="BF279" t="n">
        <v>7</v>
      </c>
      <c r="BG279" t="n">
        <v>4</v>
      </c>
      <c r="BH279" t="n">
        <v>0</v>
      </c>
      <c r="BI279" t="n">
        <v>54</v>
      </c>
      <c r="BJ279" t="n">
        <v>49</v>
      </c>
      <c r="BK279" t="n">
        <v>6</v>
      </c>
      <c r="BL279" t="n">
        <v>78</v>
      </c>
      <c r="BM279" t="n">
        <v>64</v>
      </c>
      <c r="BN279" t="n">
        <v>9</v>
      </c>
      <c r="BO279" t="n">
        <v>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n">
        <v>3</v>
      </c>
      <c r="U280" t="n">
        <v>0</v>
      </c>
      <c r="V280" t="n">
        <v>0</v>
      </c>
      <c r="W280" t="n">
        <v>0</v>
      </c>
      <c r="X280" t="n">
        <v>0</v>
      </c>
      <c r="Y280" t="n">
        <v>331</v>
      </c>
      <c r="Z280" t="n">
        <v>195</v>
      </c>
      <c r="AA280" t="n">
        <v>100</v>
      </c>
      <c r="AB280" t="n">
        <v>2</v>
      </c>
      <c r="AC280" t="n">
        <v>2</v>
      </c>
      <c r="AD280" t="n">
        <v>5</v>
      </c>
      <c r="AE280" t="n">
        <v>10</v>
      </c>
      <c r="AF280" t="n">
        <v>7</v>
      </c>
      <c r="AG280" t="n">
        <v>8</v>
      </c>
      <c r="AH280" t="n">
        <v>66</v>
      </c>
      <c r="AI280" t="n">
        <v>108</v>
      </c>
      <c r="AJ280" t="n">
        <v>86</v>
      </c>
      <c r="AK280" t="n">
        <v>45</v>
      </c>
      <c r="AL280" t="n">
        <v>1</v>
      </c>
      <c r="AM280" t="n">
        <v>43</v>
      </c>
      <c r="AN280" t="n">
        <v>0</v>
      </c>
      <c r="AO280" t="n">
        <v>2</v>
      </c>
      <c r="AP280" t="n">
        <v>5</v>
      </c>
      <c r="AQ280" t="n">
        <v>27</v>
      </c>
      <c r="AR280" t="n">
        <v>49</v>
      </c>
      <c r="AS280" t="n">
        <v>26</v>
      </c>
      <c r="AT280" t="n">
        <v>0</v>
      </c>
      <c r="AU280" t="n">
        <v>0</v>
      </c>
      <c r="AV280" t="n">
        <v>31</v>
      </c>
      <c r="AW280" t="n">
        <v>1</v>
      </c>
      <c r="AX280" t="n">
        <v>10</v>
      </c>
      <c r="AY280" t="n">
        <v>12</v>
      </c>
      <c r="AZ280" t="n">
        <v>3</v>
      </c>
      <c r="BA280" t="n">
        <v>7</v>
      </c>
      <c r="BB280" t="n">
        <v>102</v>
      </c>
      <c r="BC280" t="n">
        <v>39</v>
      </c>
      <c r="BD280" t="n">
        <v>67</v>
      </c>
      <c r="BE280" t="n">
        <v>1</v>
      </c>
      <c r="BF280" t="n">
        <v>69</v>
      </c>
      <c r="BG280" t="n">
        <v>1</v>
      </c>
      <c r="BH280" t="n">
        <v>14</v>
      </c>
      <c r="BI280" t="n">
        <v>17</v>
      </c>
      <c r="BJ280" t="n">
        <v>14</v>
      </c>
      <c r="BK280" t="n">
        <v>2</v>
      </c>
      <c r="BL280" t="n">
        <v>14</v>
      </c>
      <c r="BM280" t="n">
        <v>14</v>
      </c>
      <c r="BN280" t="n">
        <v>3</v>
      </c>
      <c r="BO280" t="n">
        <v>14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4</v>
      </c>
      <c r="U281" t="n">
        <v>1</v>
      </c>
      <c r="V281" t="n">
        <v>0</v>
      </c>
      <c r="W281" t="n">
        <v>0</v>
      </c>
      <c r="X281" t="n">
        <v>0</v>
      </c>
      <c r="Y281" t="n">
        <v>314</v>
      </c>
      <c r="Z281" t="n">
        <v>130</v>
      </c>
      <c r="AA281" t="n">
        <v>93</v>
      </c>
      <c r="AB281" t="n">
        <v>1</v>
      </c>
      <c r="AC281" t="n">
        <v>2</v>
      </c>
      <c r="AD281" t="n">
        <v>3</v>
      </c>
      <c r="AE281" t="n">
        <v>2</v>
      </c>
      <c r="AF281" t="n">
        <v>8</v>
      </c>
      <c r="AG281" t="n">
        <v>3</v>
      </c>
      <c r="AH281" t="n">
        <v>47</v>
      </c>
      <c r="AI281" t="n">
        <v>42</v>
      </c>
      <c r="AJ281" t="n">
        <v>74</v>
      </c>
      <c r="AK281" t="n">
        <v>42</v>
      </c>
      <c r="AL281" t="n">
        <v>3</v>
      </c>
      <c r="AM281" t="n">
        <v>9</v>
      </c>
      <c r="AN281" t="n">
        <v>0</v>
      </c>
      <c r="AO281" t="n">
        <v>0</v>
      </c>
      <c r="AP281" t="n">
        <v>8</v>
      </c>
      <c r="AQ281" t="n">
        <v>71</v>
      </c>
      <c r="AR281" t="n">
        <v>153</v>
      </c>
      <c r="AS281" t="n">
        <v>93</v>
      </c>
      <c r="AT281" t="n">
        <v>2</v>
      </c>
      <c r="AU281" t="n">
        <v>1</v>
      </c>
      <c r="AV281" t="n">
        <v>10</v>
      </c>
      <c r="AW281" t="n">
        <v>13</v>
      </c>
      <c r="AX281" t="n">
        <v>2</v>
      </c>
      <c r="AY281" t="n">
        <v>65</v>
      </c>
      <c r="AZ281" t="n">
        <v>4</v>
      </c>
      <c r="BA281" t="n">
        <v>23</v>
      </c>
      <c r="BB281" t="n">
        <v>111</v>
      </c>
      <c r="BC281" t="n">
        <v>2</v>
      </c>
      <c r="BD281" t="n">
        <v>44</v>
      </c>
      <c r="BE281" t="n">
        <v>22</v>
      </c>
      <c r="BF281" t="n">
        <v>59</v>
      </c>
      <c r="BG281" t="n">
        <v>1</v>
      </c>
      <c r="BH281" t="n">
        <v>7</v>
      </c>
      <c r="BI281" t="n">
        <v>13</v>
      </c>
      <c r="BJ281" t="n">
        <v>18</v>
      </c>
      <c r="BK281" t="n">
        <v>0</v>
      </c>
      <c r="BL281" t="n">
        <v>1</v>
      </c>
      <c r="BM281" t="n">
        <v>28</v>
      </c>
      <c r="BN281" t="n">
        <v>17</v>
      </c>
      <c r="BO281" t="n">
        <v>2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258</v>
      </c>
      <c r="Z282" t="n">
        <v>357</v>
      </c>
      <c r="AA282" t="n">
        <v>137</v>
      </c>
      <c r="AB282" t="n">
        <v>1</v>
      </c>
      <c r="AC282" t="n">
        <v>2</v>
      </c>
      <c r="AD282" t="n">
        <v>9</v>
      </c>
      <c r="AE282" t="n">
        <v>7</v>
      </c>
      <c r="AF282" t="n">
        <v>2</v>
      </c>
      <c r="AG282" t="n">
        <v>0</v>
      </c>
      <c r="AH282" t="n">
        <v>103</v>
      </c>
      <c r="AI282" t="n">
        <v>84</v>
      </c>
      <c r="AJ282" t="n">
        <v>44</v>
      </c>
      <c r="AK282" t="n">
        <v>1</v>
      </c>
      <c r="AL282" t="n">
        <v>11</v>
      </c>
      <c r="AM282" t="n">
        <v>196</v>
      </c>
      <c r="AN282" t="n">
        <v>0</v>
      </c>
      <c r="AO282" t="n">
        <v>0</v>
      </c>
      <c r="AP282" t="n">
        <v>5</v>
      </c>
      <c r="AQ282" t="n">
        <v>36</v>
      </c>
      <c r="AR282" t="n">
        <v>84</v>
      </c>
      <c r="AS282" t="n">
        <v>53</v>
      </c>
      <c r="AT282" t="n">
        <v>3</v>
      </c>
      <c r="AU282" t="n">
        <v>1</v>
      </c>
      <c r="AV282" t="n">
        <v>1</v>
      </c>
      <c r="AW282" t="n">
        <v>1</v>
      </c>
      <c r="AX282" t="n">
        <v>4</v>
      </c>
      <c r="AY282" t="n">
        <v>46</v>
      </c>
      <c r="AZ282" t="n">
        <v>4</v>
      </c>
      <c r="BA282" t="n">
        <v>26</v>
      </c>
      <c r="BB282" t="n">
        <v>153</v>
      </c>
      <c r="BC282" t="n">
        <v>154</v>
      </c>
      <c r="BD282" t="n">
        <v>108</v>
      </c>
      <c r="BE282" t="n">
        <v>1</v>
      </c>
      <c r="BF282" t="n">
        <v>34</v>
      </c>
      <c r="BG282" t="n">
        <v>1</v>
      </c>
      <c r="BH282" t="n">
        <v>23</v>
      </c>
      <c r="BI282" t="n">
        <v>1</v>
      </c>
      <c r="BJ282" t="n">
        <v>26</v>
      </c>
      <c r="BK282" t="n">
        <v>5</v>
      </c>
      <c r="BL282" t="n">
        <v>35</v>
      </c>
      <c r="BM282" t="n">
        <v>26</v>
      </c>
      <c r="BN282" t="n">
        <v>3</v>
      </c>
      <c r="BO282" t="n">
        <v>2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4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0</v>
      </c>
      <c r="Y283" t="n">
        <v>319</v>
      </c>
      <c r="Z283" t="n">
        <v>255</v>
      </c>
      <c r="AA283" t="n">
        <v>101</v>
      </c>
      <c r="AB283" t="n">
        <v>1</v>
      </c>
      <c r="AC283" t="n">
        <v>5</v>
      </c>
      <c r="AD283" t="n">
        <v>0</v>
      </c>
      <c r="AE283" t="n">
        <v>7</v>
      </c>
      <c r="AF283" t="n">
        <v>7</v>
      </c>
      <c r="AG283" t="n">
        <v>6</v>
      </c>
      <c r="AH283" t="n">
        <v>9</v>
      </c>
      <c r="AI283" t="n">
        <v>49</v>
      </c>
      <c r="AJ283" t="n">
        <v>112</v>
      </c>
      <c r="AK283" t="n">
        <v>32</v>
      </c>
      <c r="AL283" t="n">
        <v>3</v>
      </c>
      <c r="AM283" t="n">
        <v>90</v>
      </c>
      <c r="AN283" t="n">
        <v>0</v>
      </c>
      <c r="AO283" t="n">
        <v>1</v>
      </c>
      <c r="AP283" t="n">
        <v>6</v>
      </c>
      <c r="AQ283" t="n">
        <v>41</v>
      </c>
      <c r="AR283" t="n">
        <v>64</v>
      </c>
      <c r="AS283" t="n">
        <v>29</v>
      </c>
      <c r="AT283" t="n">
        <v>2</v>
      </c>
      <c r="AU283" t="n">
        <v>2</v>
      </c>
      <c r="AV283" t="n">
        <v>20</v>
      </c>
      <c r="AW283" t="n">
        <v>25</v>
      </c>
      <c r="AX283" t="n">
        <v>6</v>
      </c>
      <c r="AY283" t="n">
        <v>21</v>
      </c>
      <c r="AZ283" t="n">
        <v>1</v>
      </c>
      <c r="BA283" t="n">
        <v>1</v>
      </c>
      <c r="BB283" t="n">
        <v>100</v>
      </c>
      <c r="BC283" t="n">
        <v>74</v>
      </c>
      <c r="BD283" t="n">
        <v>32</v>
      </c>
      <c r="BE283" t="n">
        <v>26</v>
      </c>
      <c r="BF283" t="n">
        <v>89</v>
      </c>
      <c r="BG283" t="n">
        <v>6</v>
      </c>
      <c r="BH283" t="n">
        <v>21</v>
      </c>
      <c r="BI283" t="n">
        <v>71</v>
      </c>
      <c r="BJ283" t="n">
        <v>80</v>
      </c>
      <c r="BK283" t="n">
        <v>3</v>
      </c>
      <c r="BL283" t="n">
        <v>1</v>
      </c>
      <c r="BM283" t="n">
        <v>18</v>
      </c>
      <c r="BN283" t="n">
        <v>10</v>
      </c>
      <c r="BO283" t="n">
        <v>54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299</v>
      </c>
      <c r="Z284" t="n">
        <v>157</v>
      </c>
      <c r="AA284" t="n">
        <v>21</v>
      </c>
      <c r="AB284" t="n">
        <v>2</v>
      </c>
      <c r="AC284" t="n">
        <v>1</v>
      </c>
      <c r="AD284" t="n">
        <v>1</v>
      </c>
      <c r="AE284" t="n">
        <v>7</v>
      </c>
      <c r="AF284" t="n">
        <v>5</v>
      </c>
      <c r="AG284" t="n">
        <v>14</v>
      </c>
      <c r="AH284" t="n">
        <v>2</v>
      </c>
      <c r="AI284" t="n">
        <v>54</v>
      </c>
      <c r="AJ284" t="n">
        <v>99</v>
      </c>
      <c r="AK284" t="n">
        <v>212</v>
      </c>
      <c r="AL284" t="n">
        <v>7</v>
      </c>
      <c r="AM284" t="n">
        <v>84</v>
      </c>
      <c r="AN284" t="n">
        <v>0</v>
      </c>
      <c r="AO284" t="n">
        <v>0</v>
      </c>
      <c r="AP284" t="n">
        <v>6</v>
      </c>
      <c r="AQ284" t="n">
        <v>39</v>
      </c>
      <c r="AR284" t="n">
        <v>132</v>
      </c>
      <c r="AS284" t="n">
        <v>98</v>
      </c>
      <c r="AT284" t="n">
        <v>0</v>
      </c>
      <c r="AU284" t="n">
        <v>1</v>
      </c>
      <c r="AV284" t="n">
        <v>9</v>
      </c>
      <c r="AW284" t="n">
        <v>9</v>
      </c>
      <c r="AX284" t="n">
        <v>6</v>
      </c>
      <c r="AY284" t="n">
        <v>1</v>
      </c>
      <c r="AZ284" t="n">
        <v>0</v>
      </c>
      <c r="BA284" t="n">
        <v>1</v>
      </c>
      <c r="BB284" t="n">
        <v>20</v>
      </c>
      <c r="BC284" t="n">
        <v>77</v>
      </c>
      <c r="BD284" t="n">
        <v>2</v>
      </c>
      <c r="BE284" t="n">
        <v>10</v>
      </c>
      <c r="BF284" t="n">
        <v>78</v>
      </c>
      <c r="BG284" t="n">
        <v>1</v>
      </c>
      <c r="BH284" t="n">
        <v>2</v>
      </c>
      <c r="BI284" t="n">
        <v>10</v>
      </c>
      <c r="BJ284" t="n">
        <v>9</v>
      </c>
      <c r="BK284" t="n">
        <v>0</v>
      </c>
      <c r="BL284" t="n">
        <v>1</v>
      </c>
      <c r="BM284" t="n">
        <v>17</v>
      </c>
      <c r="BN284" t="n">
        <v>10</v>
      </c>
      <c r="BO284" t="n">
        <v>40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298</v>
      </c>
      <c r="Z285" t="n">
        <v>163</v>
      </c>
      <c r="AA285" t="n">
        <v>63</v>
      </c>
      <c r="AB285" t="n">
        <v>0</v>
      </c>
      <c r="AC285" t="n">
        <v>0</v>
      </c>
      <c r="AD285" t="n">
        <v>2</v>
      </c>
      <c r="AE285" t="n">
        <v>7</v>
      </c>
      <c r="AF285" t="n">
        <v>3</v>
      </c>
      <c r="AG285" t="n">
        <v>0</v>
      </c>
      <c r="AH285" t="n">
        <v>47</v>
      </c>
      <c r="AI285" t="n">
        <v>50</v>
      </c>
      <c r="AJ285" t="n">
        <v>119</v>
      </c>
      <c r="AK285" t="n">
        <v>3</v>
      </c>
      <c r="AL285" t="n">
        <v>6</v>
      </c>
      <c r="AM285" t="n">
        <v>72</v>
      </c>
      <c r="AN285" t="n">
        <v>0</v>
      </c>
      <c r="AO285" t="n">
        <v>0</v>
      </c>
      <c r="AP285" t="n">
        <v>5</v>
      </c>
      <c r="AQ285" t="n">
        <v>35</v>
      </c>
      <c r="AR285" t="n">
        <v>106</v>
      </c>
      <c r="AS285" t="n">
        <v>77</v>
      </c>
      <c r="AT285" t="n">
        <v>6</v>
      </c>
      <c r="AU285" t="n">
        <v>1</v>
      </c>
      <c r="AV285" t="n">
        <v>47</v>
      </c>
      <c r="AW285" t="n">
        <v>5</v>
      </c>
      <c r="AX285" t="n">
        <v>26</v>
      </c>
      <c r="AY285" t="n">
        <v>24</v>
      </c>
      <c r="AZ285" t="n">
        <v>1</v>
      </c>
      <c r="BA285" t="n">
        <v>8</v>
      </c>
      <c r="BB285" t="n">
        <v>67</v>
      </c>
      <c r="BC285" t="n">
        <v>60</v>
      </c>
      <c r="BD285" t="n">
        <v>45</v>
      </c>
      <c r="BE285" t="n">
        <v>11</v>
      </c>
      <c r="BF285" t="n">
        <v>95</v>
      </c>
      <c r="BG285" t="n">
        <v>5</v>
      </c>
      <c r="BH285" t="n">
        <v>5</v>
      </c>
      <c r="BI285" t="n">
        <v>59</v>
      </c>
      <c r="BJ285" t="n">
        <v>54</v>
      </c>
      <c r="BK285" t="n">
        <v>2</v>
      </c>
      <c r="BL285" t="n">
        <v>14</v>
      </c>
      <c r="BM285" t="n">
        <v>23</v>
      </c>
      <c r="BN285" t="n">
        <v>10</v>
      </c>
      <c r="BO285" t="n">
        <v>9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0</v>
      </c>
      <c r="V286" t="n">
        <v>0</v>
      </c>
      <c r="W286" t="n">
        <v>0</v>
      </c>
      <c r="X286" t="n">
        <v>0</v>
      </c>
      <c r="Y286" t="n">
        <v>374</v>
      </c>
      <c r="Z286" t="n">
        <v>227</v>
      </c>
      <c r="AA286" t="n">
        <v>82</v>
      </c>
      <c r="AB286" t="n">
        <v>0</v>
      </c>
      <c r="AC286" t="n">
        <v>2</v>
      </c>
      <c r="AD286" t="n">
        <v>4</v>
      </c>
      <c r="AE286" t="n">
        <v>4</v>
      </c>
      <c r="AF286" t="n">
        <v>2</v>
      </c>
      <c r="AG286" t="n">
        <v>8</v>
      </c>
      <c r="AH286" t="n">
        <v>79</v>
      </c>
      <c r="AI286" t="n">
        <v>57</v>
      </c>
      <c r="AJ286" t="n">
        <v>77</v>
      </c>
      <c r="AK286" t="n">
        <v>56</v>
      </c>
      <c r="AL286" t="n">
        <v>1</v>
      </c>
      <c r="AM286" t="n">
        <v>36</v>
      </c>
      <c r="AN286" t="n">
        <v>0</v>
      </c>
      <c r="AO286" t="n">
        <v>0</v>
      </c>
      <c r="AP286" t="n">
        <v>6</v>
      </c>
      <c r="AQ286" t="n">
        <v>58</v>
      </c>
      <c r="AR286" t="n">
        <v>120</v>
      </c>
      <c r="AS286" t="n">
        <v>70</v>
      </c>
      <c r="AT286" t="n">
        <v>4</v>
      </c>
      <c r="AU286" t="n">
        <v>1</v>
      </c>
      <c r="AV286" t="n">
        <v>50</v>
      </c>
      <c r="AW286" t="n">
        <v>10</v>
      </c>
      <c r="AX286" t="n">
        <v>1</v>
      </c>
      <c r="AY286" t="n">
        <v>44</v>
      </c>
      <c r="AZ286" t="n">
        <v>1</v>
      </c>
      <c r="BA286" t="n">
        <v>1</v>
      </c>
      <c r="BB286" t="n">
        <v>80</v>
      </c>
      <c r="BC286" t="n">
        <v>37</v>
      </c>
      <c r="BD286" t="n">
        <v>71</v>
      </c>
      <c r="BE286" t="n">
        <v>11</v>
      </c>
      <c r="BF286" t="n">
        <v>61</v>
      </c>
      <c r="BG286" t="n">
        <v>3</v>
      </c>
      <c r="BH286" t="n">
        <v>25</v>
      </c>
      <c r="BI286" t="n">
        <v>35</v>
      </c>
      <c r="BJ286" t="n">
        <v>32</v>
      </c>
      <c r="BK286" t="n">
        <v>3</v>
      </c>
      <c r="BL286" t="n">
        <v>8</v>
      </c>
      <c r="BM286" t="n">
        <v>29</v>
      </c>
      <c r="BN286" t="n">
        <v>15</v>
      </c>
      <c r="BO286" t="n">
        <v>7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216</v>
      </c>
      <c r="Z287" t="n">
        <v>140</v>
      </c>
      <c r="AA287" t="n">
        <v>106</v>
      </c>
      <c r="AB287" t="n">
        <v>0</v>
      </c>
      <c r="AC287" t="n">
        <v>1</v>
      </c>
      <c r="AD287" t="n">
        <v>5</v>
      </c>
      <c r="AE287" t="n">
        <v>4</v>
      </c>
      <c r="AF287" t="n">
        <v>4</v>
      </c>
      <c r="AG287" t="n">
        <v>8</v>
      </c>
      <c r="AH287" t="n">
        <v>101</v>
      </c>
      <c r="AI287" t="n">
        <v>20</v>
      </c>
      <c r="AJ287" t="n">
        <v>48</v>
      </c>
      <c r="AK287" t="n">
        <v>30</v>
      </c>
      <c r="AL287" t="n">
        <v>4</v>
      </c>
      <c r="AM287" t="n">
        <v>55</v>
      </c>
      <c r="AN287" t="n">
        <v>0</v>
      </c>
      <c r="AO287" t="n">
        <v>0</v>
      </c>
      <c r="AP287" t="n">
        <v>3</v>
      </c>
      <c r="AQ287" t="n">
        <v>7</v>
      </c>
      <c r="AR287" t="n">
        <v>81</v>
      </c>
      <c r="AS287" t="n">
        <v>73</v>
      </c>
      <c r="AT287" t="n">
        <v>2</v>
      </c>
      <c r="AU287" t="n">
        <v>1</v>
      </c>
      <c r="AV287" t="n">
        <v>21</v>
      </c>
      <c r="AW287" t="n">
        <v>15</v>
      </c>
      <c r="AX287" t="n">
        <v>4</v>
      </c>
      <c r="AY287" t="n">
        <v>44</v>
      </c>
      <c r="AZ287" t="n">
        <v>1</v>
      </c>
      <c r="BA287" t="n">
        <v>27</v>
      </c>
      <c r="BB287" t="n">
        <v>126</v>
      </c>
      <c r="BC287" t="n">
        <v>45</v>
      </c>
      <c r="BD287" t="n">
        <v>104</v>
      </c>
      <c r="BE287" t="n">
        <v>16</v>
      </c>
      <c r="BF287" t="n">
        <v>39</v>
      </c>
      <c r="BG287" t="n">
        <v>3</v>
      </c>
      <c r="BH287" t="n">
        <v>8</v>
      </c>
      <c r="BI287" t="n">
        <v>7</v>
      </c>
      <c r="BJ287" t="n">
        <v>46</v>
      </c>
      <c r="BK287" t="n">
        <v>3</v>
      </c>
      <c r="BL287" t="n">
        <v>3</v>
      </c>
      <c r="BM287" t="n">
        <v>10</v>
      </c>
      <c r="BN287" t="n">
        <v>5</v>
      </c>
      <c r="BO287" t="n">
        <v>2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226</v>
      </c>
      <c r="Z288" t="n">
        <v>187</v>
      </c>
      <c r="AA288" t="n">
        <v>15</v>
      </c>
      <c r="AB288" t="n">
        <v>2</v>
      </c>
      <c r="AC288" t="n">
        <v>1</v>
      </c>
      <c r="AD288" t="n">
        <v>6</v>
      </c>
      <c r="AE288" t="n">
        <v>7</v>
      </c>
      <c r="AF288" t="n">
        <v>4</v>
      </c>
      <c r="AG288" t="n">
        <v>1</v>
      </c>
      <c r="AH288" t="n">
        <v>79</v>
      </c>
      <c r="AI288" t="n">
        <v>57</v>
      </c>
      <c r="AJ288" t="n">
        <v>47</v>
      </c>
      <c r="AK288" t="n">
        <v>22</v>
      </c>
      <c r="AL288" t="n">
        <v>2</v>
      </c>
      <c r="AM288" t="n">
        <v>24</v>
      </c>
      <c r="AN288" t="n">
        <v>0</v>
      </c>
      <c r="AO288" t="n">
        <v>0</v>
      </c>
      <c r="AP288" t="n">
        <v>0</v>
      </c>
      <c r="AQ288" t="n">
        <v>6</v>
      </c>
      <c r="AR288" t="n">
        <v>124</v>
      </c>
      <c r="AS288" t="n">
        <v>113</v>
      </c>
      <c r="AT288" t="n">
        <v>0</v>
      </c>
      <c r="AU288" t="n">
        <v>3</v>
      </c>
      <c r="AV288" t="n">
        <v>1</v>
      </c>
      <c r="AW288" t="n">
        <v>32</v>
      </c>
      <c r="AX288" t="n">
        <v>4</v>
      </c>
      <c r="AY288" t="n">
        <v>45</v>
      </c>
      <c r="AZ288" t="n">
        <v>2</v>
      </c>
      <c r="BA288" t="n">
        <v>7</v>
      </c>
      <c r="BB288" t="n">
        <v>19</v>
      </c>
      <c r="BC288" t="n">
        <v>20</v>
      </c>
      <c r="BD288" t="n">
        <v>71</v>
      </c>
      <c r="BE288" t="n">
        <v>46</v>
      </c>
      <c r="BF288" t="n">
        <v>37</v>
      </c>
      <c r="BG288" t="n">
        <v>0</v>
      </c>
      <c r="BH288" t="n">
        <v>17</v>
      </c>
      <c r="BI288" t="n">
        <v>27</v>
      </c>
      <c r="BJ288" t="n">
        <v>24</v>
      </c>
      <c r="BK288" t="n">
        <v>1</v>
      </c>
      <c r="BL288" t="n">
        <v>1</v>
      </c>
      <c r="BM288" t="n">
        <v>5</v>
      </c>
      <c r="BN288" t="n">
        <v>3</v>
      </c>
      <c r="BO288" t="n">
        <v>2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0</v>
      </c>
      <c r="V289" t="n">
        <v>0</v>
      </c>
      <c r="W289" t="n">
        <v>1</v>
      </c>
      <c r="X289" t="n">
        <v>0</v>
      </c>
      <c r="Y289" t="n">
        <v>282</v>
      </c>
      <c r="Z289" t="n">
        <v>270</v>
      </c>
      <c r="AA289" t="n">
        <v>33</v>
      </c>
      <c r="AB289" t="n">
        <v>2</v>
      </c>
      <c r="AC289" t="n">
        <v>3</v>
      </c>
      <c r="AD289" t="n">
        <v>8</v>
      </c>
      <c r="AE289" t="n">
        <v>13</v>
      </c>
      <c r="AF289" t="n">
        <v>6</v>
      </c>
      <c r="AG289" t="n">
        <v>6</v>
      </c>
      <c r="AH289" t="n">
        <v>75</v>
      </c>
      <c r="AI289" t="n">
        <v>154</v>
      </c>
      <c r="AJ289" t="n">
        <v>45</v>
      </c>
      <c r="AK289" t="n">
        <v>63</v>
      </c>
      <c r="AL289" t="n">
        <v>4</v>
      </c>
      <c r="AM289" t="n">
        <v>46</v>
      </c>
      <c r="AN289" t="n">
        <v>1</v>
      </c>
      <c r="AO289" t="n">
        <v>0</v>
      </c>
      <c r="AP289" t="n">
        <v>6</v>
      </c>
      <c r="AQ289" t="n">
        <v>27</v>
      </c>
      <c r="AR289" t="n">
        <v>49</v>
      </c>
      <c r="AS289" t="n">
        <v>27</v>
      </c>
      <c r="AT289" t="n">
        <v>1</v>
      </c>
      <c r="AU289" t="n">
        <v>1</v>
      </c>
      <c r="AV289" t="n">
        <v>11</v>
      </c>
      <c r="AW289" t="n">
        <v>10</v>
      </c>
      <c r="AX289" t="n">
        <v>0</v>
      </c>
      <c r="AY289" t="n">
        <v>34</v>
      </c>
      <c r="AZ289" t="n">
        <v>1</v>
      </c>
      <c r="BA289" t="n">
        <v>55</v>
      </c>
      <c r="BB289" t="n">
        <v>96</v>
      </c>
      <c r="BC289" t="n">
        <v>47</v>
      </c>
      <c r="BD289" t="n">
        <v>68</v>
      </c>
      <c r="BE289" t="n">
        <v>11</v>
      </c>
      <c r="BF289" t="n">
        <v>35</v>
      </c>
      <c r="BG289" t="n">
        <v>7</v>
      </c>
      <c r="BH289" t="n">
        <v>0</v>
      </c>
      <c r="BI289" t="n">
        <v>41</v>
      </c>
      <c r="BJ289" t="n">
        <v>40</v>
      </c>
      <c r="BK289" t="n">
        <v>4</v>
      </c>
      <c r="BL289" t="n">
        <v>22</v>
      </c>
      <c r="BM289" t="n">
        <v>15</v>
      </c>
      <c r="BN289" t="n">
        <v>1</v>
      </c>
      <c r="BO289" t="n">
        <v>63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188</v>
      </c>
      <c r="Z290" t="n">
        <v>192</v>
      </c>
      <c r="AA290" t="n">
        <v>45</v>
      </c>
      <c r="AB290" t="n">
        <v>1</v>
      </c>
      <c r="AC290" t="n">
        <v>1</v>
      </c>
      <c r="AD290" t="n">
        <v>1</v>
      </c>
      <c r="AE290" t="n">
        <v>9</v>
      </c>
      <c r="AF290" t="n">
        <v>6</v>
      </c>
      <c r="AG290" t="n">
        <v>2</v>
      </c>
      <c r="AH290" t="n">
        <v>29</v>
      </c>
      <c r="AI290" t="n">
        <v>56</v>
      </c>
      <c r="AJ290" t="n">
        <v>41</v>
      </c>
      <c r="AK290" t="n">
        <v>48</v>
      </c>
      <c r="AL290" t="n">
        <v>0</v>
      </c>
      <c r="AM290" t="n">
        <v>37</v>
      </c>
      <c r="AN290" t="n">
        <v>0</v>
      </c>
      <c r="AO290" t="n">
        <v>0</v>
      </c>
      <c r="AP290" t="n">
        <v>5</v>
      </c>
      <c r="AQ290" t="n">
        <v>0</v>
      </c>
      <c r="AR290" t="n">
        <v>89</v>
      </c>
      <c r="AS290" t="n">
        <v>84</v>
      </c>
      <c r="AT290" t="n">
        <v>5</v>
      </c>
      <c r="AU290" t="n">
        <v>1</v>
      </c>
      <c r="AV290" t="n">
        <v>31</v>
      </c>
      <c r="AW290" t="n">
        <v>7</v>
      </c>
      <c r="AX290" t="n">
        <v>1</v>
      </c>
      <c r="AY290" t="n">
        <v>33</v>
      </c>
      <c r="AZ290" t="n">
        <v>0</v>
      </c>
      <c r="BA290" t="n">
        <v>1</v>
      </c>
      <c r="BB290" t="n">
        <v>45</v>
      </c>
      <c r="BC290" t="n">
        <v>31</v>
      </c>
      <c r="BD290" t="n">
        <v>49</v>
      </c>
      <c r="BE290" t="n">
        <v>6</v>
      </c>
      <c r="BF290" t="n">
        <v>43</v>
      </c>
      <c r="BG290" t="n">
        <v>4</v>
      </c>
      <c r="BH290" t="n">
        <v>15</v>
      </c>
      <c r="BI290" t="n">
        <v>39</v>
      </c>
      <c r="BJ290" t="n">
        <v>36</v>
      </c>
      <c r="BK290" t="n">
        <v>2</v>
      </c>
      <c r="BL290" t="n">
        <v>14</v>
      </c>
      <c r="BM290" t="n">
        <v>27</v>
      </c>
      <c r="BN290" t="n">
        <v>12</v>
      </c>
      <c r="BO290" t="n">
        <v>25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4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176</v>
      </c>
      <c r="Z291" t="n">
        <v>161</v>
      </c>
      <c r="AA291" t="n">
        <v>52</v>
      </c>
      <c r="AB291" t="n">
        <v>2</v>
      </c>
      <c r="AC291" t="n">
        <v>0</v>
      </c>
      <c r="AD291" t="n">
        <v>4</v>
      </c>
      <c r="AE291" t="n">
        <v>0</v>
      </c>
      <c r="AF291" t="n">
        <v>10</v>
      </c>
      <c r="AG291" t="n">
        <v>0</v>
      </c>
      <c r="AH291" t="n">
        <v>31</v>
      </c>
      <c r="AI291" t="n">
        <v>4</v>
      </c>
      <c r="AJ291" t="n">
        <v>86</v>
      </c>
      <c r="AK291" t="n">
        <v>6</v>
      </c>
      <c r="AL291" t="n">
        <v>7</v>
      </c>
      <c r="AM291" t="n">
        <v>35</v>
      </c>
      <c r="AN291" t="n">
        <v>0</v>
      </c>
      <c r="AO291" t="n">
        <v>0</v>
      </c>
      <c r="AP291" t="n">
        <v>8</v>
      </c>
      <c r="AQ291" t="n">
        <v>68</v>
      </c>
      <c r="AR291" t="n">
        <v>218</v>
      </c>
      <c r="AS291" t="n">
        <v>163</v>
      </c>
      <c r="AT291" t="n">
        <v>3</v>
      </c>
      <c r="AU291" t="n">
        <v>2</v>
      </c>
      <c r="AV291" t="n">
        <v>-5</v>
      </c>
      <c r="AW291" t="n">
        <v>20</v>
      </c>
      <c r="AX291" t="n">
        <v>0</v>
      </c>
      <c r="AY291" t="n">
        <v>13</v>
      </c>
      <c r="AZ291" t="n">
        <v>0</v>
      </c>
      <c r="BA291" t="n">
        <v>1</v>
      </c>
      <c r="BB291" t="n">
        <v>52</v>
      </c>
      <c r="BC291" t="n">
        <v>29</v>
      </c>
      <c r="BD291" t="n">
        <v>28</v>
      </c>
      <c r="BE291" t="n">
        <v>20</v>
      </c>
      <c r="BF291" t="n">
        <v>71</v>
      </c>
      <c r="BG291" t="n">
        <v>3</v>
      </c>
      <c r="BH291" t="n">
        <v>2</v>
      </c>
      <c r="BI291" t="n">
        <v>8</v>
      </c>
      <c r="BJ291" t="n">
        <v>33</v>
      </c>
      <c r="BK291" t="n">
        <v>3</v>
      </c>
      <c r="BL291" t="n">
        <v>41</v>
      </c>
      <c r="BM291" t="n">
        <v>27</v>
      </c>
      <c r="BN291" t="n">
        <v>0</v>
      </c>
      <c r="BO291" t="n">
        <v>14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2</v>
      </c>
      <c r="X292" t="n">
        <v>0</v>
      </c>
      <c r="Y292" t="n">
        <v>207</v>
      </c>
      <c r="Z292" t="n">
        <v>255</v>
      </c>
      <c r="AA292" t="n">
        <v>91</v>
      </c>
      <c r="AB292" t="n">
        <v>2</v>
      </c>
      <c r="AC292" t="n">
        <v>0</v>
      </c>
      <c r="AD292" t="n">
        <v>3</v>
      </c>
      <c r="AE292" t="n">
        <v>8</v>
      </c>
      <c r="AF292" t="n">
        <v>1</v>
      </c>
      <c r="AG292" t="n">
        <v>1</v>
      </c>
      <c r="AH292" t="n">
        <v>31</v>
      </c>
      <c r="AI292" t="n">
        <v>87</v>
      </c>
      <c r="AJ292" t="n">
        <v>18</v>
      </c>
      <c r="AK292" t="n">
        <v>39</v>
      </c>
      <c r="AL292" t="n">
        <v>1</v>
      </c>
      <c r="AM292" t="n">
        <v>13</v>
      </c>
      <c r="AN292" t="n">
        <v>0</v>
      </c>
      <c r="AO292" t="n">
        <v>0</v>
      </c>
      <c r="AP292" t="n">
        <v>1</v>
      </c>
      <c r="AQ292" t="n">
        <v>23</v>
      </c>
      <c r="AR292" t="n">
        <v>74</v>
      </c>
      <c r="AS292" t="n">
        <v>55</v>
      </c>
      <c r="AT292" t="n">
        <v>0</v>
      </c>
      <c r="AU292" t="n">
        <v>1</v>
      </c>
      <c r="AV292" t="n">
        <v>11</v>
      </c>
      <c r="AW292" t="n">
        <v>8</v>
      </c>
      <c r="AX292" t="n">
        <v>0</v>
      </c>
      <c r="AY292" t="n">
        <v>19</v>
      </c>
      <c r="AZ292" t="n">
        <v>3</v>
      </c>
      <c r="BA292" t="n">
        <v>31</v>
      </c>
      <c r="BB292" t="n">
        <v>118</v>
      </c>
      <c r="BC292" t="n">
        <v>10</v>
      </c>
      <c r="BD292" t="n">
        <v>34</v>
      </c>
      <c r="BE292" t="n">
        <v>14</v>
      </c>
      <c r="BF292" t="n">
        <v>22</v>
      </c>
      <c r="BG292" t="n">
        <v>5</v>
      </c>
      <c r="BH292" t="n">
        <v>10</v>
      </c>
      <c r="BI292" t="n">
        <v>78</v>
      </c>
      <c r="BJ292" t="n">
        <v>79</v>
      </c>
      <c r="BK292" t="n">
        <v>4</v>
      </c>
      <c r="BL292" t="n">
        <v>38</v>
      </c>
      <c r="BM292" t="n">
        <v>26</v>
      </c>
      <c r="BN292" t="n">
        <v>1</v>
      </c>
      <c r="BO292" t="n">
        <v>35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311</v>
      </c>
      <c r="Z293" t="n">
        <v>251</v>
      </c>
      <c r="AA293" t="n">
        <v>64</v>
      </c>
      <c r="AB293" t="n">
        <v>2</v>
      </c>
      <c r="AC293" t="n">
        <v>0</v>
      </c>
      <c r="AD293" t="n">
        <v>2</v>
      </c>
      <c r="AE293" t="n">
        <v>7</v>
      </c>
      <c r="AF293" t="n">
        <v>6</v>
      </c>
      <c r="AG293" t="n">
        <v>8</v>
      </c>
      <c r="AH293" t="n">
        <v>81</v>
      </c>
      <c r="AI293" t="n">
        <v>10</v>
      </c>
      <c r="AJ293" t="n">
        <v>106</v>
      </c>
      <c r="AK293" t="n">
        <v>38</v>
      </c>
      <c r="AL293" t="n">
        <v>6</v>
      </c>
      <c r="AM293" t="n">
        <v>73</v>
      </c>
      <c r="AN293" t="n">
        <v>1</v>
      </c>
      <c r="AO293" t="n">
        <v>0</v>
      </c>
      <c r="AP293" t="n">
        <v>4</v>
      </c>
      <c r="AQ293" t="n">
        <v>18</v>
      </c>
      <c r="AR293" t="n">
        <v>154</v>
      </c>
      <c r="AS293" t="n">
        <v>134</v>
      </c>
      <c r="AT293" t="n">
        <v>5</v>
      </c>
      <c r="AU293" t="n">
        <v>1</v>
      </c>
      <c r="AV293" t="n">
        <v>40</v>
      </c>
      <c r="AW293" t="n">
        <v>6</v>
      </c>
      <c r="AX293" t="n">
        <v>2</v>
      </c>
      <c r="AY293" t="n">
        <v>44</v>
      </c>
      <c r="AZ293" t="n">
        <v>2</v>
      </c>
      <c r="BA293" t="n">
        <v>46</v>
      </c>
      <c r="BB293" t="n">
        <v>111</v>
      </c>
      <c r="BC293" t="n">
        <v>60</v>
      </c>
      <c r="BD293" t="n">
        <v>76</v>
      </c>
      <c r="BE293" t="n">
        <v>18</v>
      </c>
      <c r="BF293" t="n">
        <v>89</v>
      </c>
      <c r="BG293" t="n">
        <v>2</v>
      </c>
      <c r="BH293" t="n">
        <v>24</v>
      </c>
      <c r="BI293" t="n">
        <v>1</v>
      </c>
      <c r="BJ293" t="n">
        <v>20</v>
      </c>
      <c r="BK293" t="n">
        <v>6</v>
      </c>
      <c r="BL293" t="n">
        <v>13</v>
      </c>
      <c r="BM293" t="n">
        <v>9</v>
      </c>
      <c r="BN293" t="n">
        <v>0</v>
      </c>
      <c r="BO293" t="n">
        <v>11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120</v>
      </c>
      <c r="Z294" t="n">
        <v>159</v>
      </c>
      <c r="AA294" t="n">
        <v>26</v>
      </c>
      <c r="AB294" t="n">
        <v>0</v>
      </c>
      <c r="AC294" t="n">
        <v>1</v>
      </c>
      <c r="AD294" t="n">
        <v>3</v>
      </c>
      <c r="AE294" t="n">
        <v>4</v>
      </c>
      <c r="AF294" t="n">
        <v>4</v>
      </c>
      <c r="AG294" t="n">
        <v>3</v>
      </c>
      <c r="AH294" t="n">
        <v>10</v>
      </c>
      <c r="AI294" t="n">
        <v>59</v>
      </c>
      <c r="AJ294" t="n">
        <v>25</v>
      </c>
      <c r="AK294" t="n">
        <v>32</v>
      </c>
      <c r="AL294" t="n">
        <v>6</v>
      </c>
      <c r="AM294" t="n">
        <v>68</v>
      </c>
      <c r="AN294" t="n">
        <v>0</v>
      </c>
      <c r="AO294" t="n">
        <v>0</v>
      </c>
      <c r="AP294" t="n">
        <v>2</v>
      </c>
      <c r="AQ294" t="n">
        <v>19</v>
      </c>
      <c r="AR294" t="n">
        <v>77</v>
      </c>
      <c r="AS294" t="n">
        <v>60</v>
      </c>
      <c r="AT294" t="n">
        <v>2</v>
      </c>
      <c r="AU294" t="n">
        <v>2</v>
      </c>
      <c r="AV294" t="n">
        <v>32</v>
      </c>
      <c r="AW294" t="n">
        <v>9</v>
      </c>
      <c r="AX294" t="n">
        <v>15</v>
      </c>
      <c r="AY294" t="n">
        <v>41</v>
      </c>
      <c r="AZ294" t="n">
        <v>0</v>
      </c>
      <c r="BA294" t="n">
        <v>1</v>
      </c>
      <c r="BB294" t="n">
        <v>27</v>
      </c>
      <c r="BC294" t="n">
        <v>100</v>
      </c>
      <c r="BD294" t="n">
        <v>6</v>
      </c>
      <c r="BE294" t="n">
        <v>9</v>
      </c>
      <c r="BF294" t="n">
        <v>16</v>
      </c>
      <c r="BG294" t="n">
        <v>3</v>
      </c>
      <c r="BH294" t="n">
        <v>7</v>
      </c>
      <c r="BI294" t="n">
        <v>11</v>
      </c>
      <c r="BJ294" t="n">
        <v>12</v>
      </c>
      <c r="BK294" t="n">
        <v>2</v>
      </c>
      <c r="BL294" t="n">
        <v>10</v>
      </c>
      <c r="BM294" t="n">
        <v>13</v>
      </c>
      <c r="BN294" t="n">
        <v>4</v>
      </c>
      <c r="BO294" t="n">
        <v>2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295</v>
      </c>
      <c r="Z295" t="n">
        <v>157</v>
      </c>
      <c r="AA295" t="n">
        <v>18</v>
      </c>
      <c r="AB295" t="n">
        <v>2</v>
      </c>
      <c r="AC295" t="n">
        <v>1</v>
      </c>
      <c r="AD295" t="n">
        <v>4</v>
      </c>
      <c r="AE295" t="n">
        <v>4</v>
      </c>
      <c r="AF295" t="n">
        <v>2</v>
      </c>
      <c r="AG295" t="n">
        <v>2</v>
      </c>
      <c r="AH295" t="n">
        <v>106</v>
      </c>
      <c r="AI295" t="n">
        <v>59</v>
      </c>
      <c r="AJ295" t="n">
        <v>32</v>
      </c>
      <c r="AK295" t="n">
        <v>71</v>
      </c>
      <c r="AL295" t="n">
        <v>1</v>
      </c>
      <c r="AM295" t="n">
        <v>31</v>
      </c>
      <c r="AN295" t="n">
        <v>0</v>
      </c>
      <c r="AO295" t="n">
        <v>0</v>
      </c>
      <c r="AP295" t="n">
        <v>5</v>
      </c>
      <c r="AQ295" t="n">
        <v>35</v>
      </c>
      <c r="AR295" t="n">
        <v>132</v>
      </c>
      <c r="AS295" t="n">
        <v>101</v>
      </c>
      <c r="AT295" t="n">
        <v>4</v>
      </c>
      <c r="AU295" t="n">
        <v>0</v>
      </c>
      <c r="AV295" t="n">
        <v>41</v>
      </c>
      <c r="AW295" t="n">
        <v>3</v>
      </c>
      <c r="AX295" t="n">
        <v>0</v>
      </c>
      <c r="AY295" t="n">
        <v>62</v>
      </c>
      <c r="AZ295" t="n">
        <v>6</v>
      </c>
      <c r="BA295" t="n">
        <v>80</v>
      </c>
      <c r="BB295" t="n">
        <v>113</v>
      </c>
      <c r="BC295" t="n">
        <v>25</v>
      </c>
      <c r="BD295" t="n">
        <v>95</v>
      </c>
      <c r="BE295" t="n">
        <v>1</v>
      </c>
      <c r="BF295" t="n">
        <v>25</v>
      </c>
      <c r="BG295" t="n">
        <v>0</v>
      </c>
      <c r="BH295" t="n">
        <v>2</v>
      </c>
      <c r="BI295" t="n">
        <v>4</v>
      </c>
      <c r="BJ295" t="n">
        <v>1</v>
      </c>
      <c r="BK295" t="n">
        <v>2</v>
      </c>
      <c r="BL295" t="n">
        <v>7</v>
      </c>
      <c r="BM295" t="n">
        <v>8</v>
      </c>
      <c r="BN295" t="n">
        <v>4</v>
      </c>
      <c r="BO295" t="n">
        <v>2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236</v>
      </c>
      <c r="Z296" t="n">
        <v>148</v>
      </c>
      <c r="AA296" t="n">
        <v>62</v>
      </c>
      <c r="AB296" t="n">
        <v>3</v>
      </c>
      <c r="AC296" t="n">
        <v>1</v>
      </c>
      <c r="AD296" t="n">
        <v>4</v>
      </c>
      <c r="AE296" t="n">
        <v>0</v>
      </c>
      <c r="AF296" t="n">
        <v>5</v>
      </c>
      <c r="AG296" t="n">
        <v>2</v>
      </c>
      <c r="AH296" t="n">
        <v>75</v>
      </c>
      <c r="AI296" t="n">
        <v>2</v>
      </c>
      <c r="AJ296" t="n">
        <v>56</v>
      </c>
      <c r="AK296" t="n">
        <v>44</v>
      </c>
      <c r="AL296" t="n">
        <v>6</v>
      </c>
      <c r="AM296" t="n">
        <v>92</v>
      </c>
      <c r="AN296" t="n">
        <v>0</v>
      </c>
      <c r="AO296" t="n">
        <v>0</v>
      </c>
      <c r="AP296" t="n">
        <v>3</v>
      </c>
      <c r="AQ296" t="n">
        <v>24</v>
      </c>
      <c r="AR296" t="n">
        <v>38</v>
      </c>
      <c r="AS296" t="n">
        <v>20</v>
      </c>
      <c r="AT296" t="n">
        <v>3</v>
      </c>
      <c r="AU296" t="n">
        <v>1</v>
      </c>
      <c r="AV296" t="n">
        <v>14</v>
      </c>
      <c r="AW296" t="n">
        <v>19</v>
      </c>
      <c r="AX296" t="n">
        <v>0</v>
      </c>
      <c r="AY296" t="n">
        <v>44</v>
      </c>
      <c r="AZ296" t="n">
        <v>1</v>
      </c>
      <c r="BA296" t="n">
        <v>-8</v>
      </c>
      <c r="BB296" t="n">
        <v>56</v>
      </c>
      <c r="BC296" t="n">
        <v>77</v>
      </c>
      <c r="BD296" t="n">
        <v>68</v>
      </c>
      <c r="BE296" t="n">
        <v>20</v>
      </c>
      <c r="BF296" t="n">
        <v>44</v>
      </c>
      <c r="BG296" t="n">
        <v>1</v>
      </c>
      <c r="BH296" t="n">
        <v>4</v>
      </c>
      <c r="BI296" t="n">
        <v>14</v>
      </c>
      <c r="BJ296" t="n">
        <v>21</v>
      </c>
      <c r="BK296" t="n">
        <v>0</v>
      </c>
      <c r="BL296" t="n">
        <v>1</v>
      </c>
      <c r="BM296" t="n">
        <v>24</v>
      </c>
      <c r="BN296" t="n">
        <v>14</v>
      </c>
      <c r="BO296" t="n">
        <v>2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3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2</v>
      </c>
      <c r="U297" t="n">
        <v>0</v>
      </c>
      <c r="V297" t="n">
        <v>0</v>
      </c>
      <c r="W297" t="n">
        <v>0</v>
      </c>
      <c r="X297" t="n">
        <v>1</v>
      </c>
      <c r="Y297" t="n">
        <v>284</v>
      </c>
      <c r="Z297" t="n">
        <v>197</v>
      </c>
      <c r="AA297" t="n">
        <v>96</v>
      </c>
      <c r="AB297" t="n">
        <v>2</v>
      </c>
      <c r="AC297" t="n">
        <v>5</v>
      </c>
      <c r="AD297" t="n">
        <v>7</v>
      </c>
      <c r="AE297" t="n">
        <v>6</v>
      </c>
      <c r="AF297" t="n">
        <v>12</v>
      </c>
      <c r="AG297" t="n">
        <v>0</v>
      </c>
      <c r="AH297" t="n">
        <v>103</v>
      </c>
      <c r="AI297" t="n">
        <v>51</v>
      </c>
      <c r="AJ297" t="n">
        <v>72</v>
      </c>
      <c r="AK297" t="n">
        <v>18</v>
      </c>
      <c r="AL297" t="n">
        <v>6</v>
      </c>
      <c r="AM297" t="n">
        <v>79</v>
      </c>
      <c r="AN297" t="n">
        <v>0</v>
      </c>
      <c r="AO297" t="n">
        <v>1</v>
      </c>
      <c r="AP297" t="n">
        <v>4</v>
      </c>
      <c r="AQ297" t="n">
        <v>13</v>
      </c>
      <c r="AR297" t="n">
        <v>86</v>
      </c>
      <c r="AS297" t="n">
        <v>72</v>
      </c>
      <c r="AT297" t="n">
        <v>2</v>
      </c>
      <c r="AU297" t="n">
        <v>3</v>
      </c>
      <c r="AV297" t="n">
        <v>19</v>
      </c>
      <c r="AW297" t="n">
        <v>20</v>
      </c>
      <c r="AX297" t="n">
        <v>2</v>
      </c>
      <c r="AY297" t="n">
        <v>52</v>
      </c>
      <c r="AZ297" t="n">
        <v>2</v>
      </c>
      <c r="BA297" t="n">
        <v>5</v>
      </c>
      <c r="BB297" t="n">
        <v>98</v>
      </c>
      <c r="BC297" t="n">
        <v>65</v>
      </c>
      <c r="BD297" t="n">
        <v>102</v>
      </c>
      <c r="BE297" t="n">
        <v>20</v>
      </c>
      <c r="BF297" t="n">
        <v>57</v>
      </c>
      <c r="BG297" t="n">
        <v>6</v>
      </c>
      <c r="BH297" t="n">
        <v>4</v>
      </c>
      <c r="BI297" t="n">
        <v>83</v>
      </c>
      <c r="BJ297" t="n">
        <v>82</v>
      </c>
      <c r="BK297" t="n">
        <v>5</v>
      </c>
      <c r="BL297" t="n">
        <v>28</v>
      </c>
      <c r="BM297" t="n">
        <v>21</v>
      </c>
      <c r="BN297" t="n">
        <v>3</v>
      </c>
      <c r="BO297" t="n">
        <v>7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182</v>
      </c>
      <c r="Z298" t="n">
        <v>182</v>
      </c>
      <c r="AA298" t="n">
        <v>27</v>
      </c>
      <c r="AB298" t="n">
        <v>0</v>
      </c>
      <c r="AC298" t="n">
        <v>1</v>
      </c>
      <c r="AD298" t="n">
        <v>5</v>
      </c>
      <c r="AE298" t="n">
        <v>7</v>
      </c>
      <c r="AF298" t="n">
        <v>2</v>
      </c>
      <c r="AG298" t="n">
        <v>0</v>
      </c>
      <c r="AH298" t="n">
        <v>68</v>
      </c>
      <c r="AI298" t="n">
        <v>72</v>
      </c>
      <c r="AJ298" t="n">
        <v>54</v>
      </c>
      <c r="AK298" t="n">
        <v>12</v>
      </c>
      <c r="AL298" t="n">
        <v>4</v>
      </c>
      <c r="AM298" t="n">
        <v>16</v>
      </c>
      <c r="AN298" t="n">
        <v>0</v>
      </c>
      <c r="AO298" t="n">
        <v>0</v>
      </c>
      <c r="AP298" t="n">
        <v>8</v>
      </c>
      <c r="AQ298" t="n">
        <v>30</v>
      </c>
      <c r="AR298" t="n">
        <v>140</v>
      </c>
      <c r="AS298" t="n">
        <v>113</v>
      </c>
      <c r="AT298" t="n">
        <v>3</v>
      </c>
      <c r="AU298" t="n">
        <v>4</v>
      </c>
      <c r="AV298" t="n">
        <v>6</v>
      </c>
      <c r="AW298" t="n">
        <v>24</v>
      </c>
      <c r="AX298" t="n">
        <v>0</v>
      </c>
      <c r="AY298" t="n">
        <v>92</v>
      </c>
      <c r="AZ298" t="n">
        <v>5</v>
      </c>
      <c r="BA298" t="n">
        <v>36</v>
      </c>
      <c r="BB298" t="n">
        <v>66</v>
      </c>
      <c r="BC298" t="n">
        <v>13</v>
      </c>
      <c r="BD298" t="n">
        <v>60</v>
      </c>
      <c r="BE298" t="n">
        <v>24</v>
      </c>
      <c r="BF298" t="n">
        <v>78</v>
      </c>
      <c r="BG298" t="n">
        <v>2</v>
      </c>
      <c r="BH298" t="n">
        <v>7</v>
      </c>
      <c r="BI298" t="n">
        <v>4</v>
      </c>
      <c r="BJ298" t="n">
        <v>18</v>
      </c>
      <c r="BK298" t="n">
        <v>0</v>
      </c>
      <c r="BL298" t="n">
        <v>1</v>
      </c>
      <c r="BM298" t="n">
        <v>24</v>
      </c>
      <c r="BN298" t="n">
        <v>14</v>
      </c>
      <c r="BO298" t="n">
        <v>23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3</v>
      </c>
      <c r="U299" t="n">
        <v>0</v>
      </c>
      <c r="V299" t="n">
        <v>0</v>
      </c>
      <c r="W299" t="n">
        <v>0</v>
      </c>
      <c r="X299" t="n">
        <v>0</v>
      </c>
      <c r="Y299" t="n">
        <v>137</v>
      </c>
      <c r="Z299" t="n">
        <v>134</v>
      </c>
      <c r="AA299" t="n">
        <v>84</v>
      </c>
      <c r="AB299" t="n">
        <v>0</v>
      </c>
      <c r="AC299" t="n">
        <v>1</v>
      </c>
      <c r="AD299" t="n">
        <v>2</v>
      </c>
      <c r="AE299" t="n">
        <v>5</v>
      </c>
      <c r="AF299" t="n">
        <v>3</v>
      </c>
      <c r="AG299" t="n">
        <v>5</v>
      </c>
      <c r="AH299" t="n">
        <v>40</v>
      </c>
      <c r="AI299" t="n">
        <v>44</v>
      </c>
      <c r="AJ299" t="n">
        <v>45</v>
      </c>
      <c r="AK299" t="n">
        <v>25</v>
      </c>
      <c r="AL299" t="n">
        <v>0</v>
      </c>
      <c r="AM299" t="n">
        <v>2</v>
      </c>
      <c r="AN299" t="n">
        <v>0</v>
      </c>
      <c r="AO299" t="n">
        <v>0</v>
      </c>
      <c r="AP299" t="n">
        <v>2</v>
      </c>
      <c r="AQ299" t="n">
        <v>9</v>
      </c>
      <c r="AR299" t="n">
        <v>60</v>
      </c>
      <c r="AS299" t="n">
        <v>51</v>
      </c>
      <c r="AT299" t="n">
        <v>2</v>
      </c>
      <c r="AU299" t="n">
        <v>1</v>
      </c>
      <c r="AV299" t="n">
        <v>12</v>
      </c>
      <c r="AW299" t="n">
        <v>1</v>
      </c>
      <c r="AX299" t="n">
        <v>4</v>
      </c>
      <c r="AY299" t="n">
        <v>35</v>
      </c>
      <c r="AZ299" t="n">
        <v>4</v>
      </c>
      <c r="BA299" t="n">
        <v>9</v>
      </c>
      <c r="BB299" t="n">
        <v>88</v>
      </c>
      <c r="BC299" t="n">
        <v>10</v>
      </c>
      <c r="BD299" t="n">
        <v>35</v>
      </c>
      <c r="BE299" t="n">
        <v>1</v>
      </c>
      <c r="BF299" t="n">
        <v>36</v>
      </c>
      <c r="BG299" t="n">
        <v>1</v>
      </c>
      <c r="BH299" t="n">
        <v>5</v>
      </c>
      <c r="BI299" t="n">
        <v>24</v>
      </c>
      <c r="BJ299" t="n">
        <v>47</v>
      </c>
      <c r="BK299" t="n">
        <v>2</v>
      </c>
      <c r="BL299" t="n">
        <v>13</v>
      </c>
      <c r="BM299" t="n">
        <v>9</v>
      </c>
      <c r="BN299" t="n">
        <v>0</v>
      </c>
      <c r="BO299" t="n">
        <v>11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202</v>
      </c>
      <c r="Z300" t="n">
        <v>264</v>
      </c>
      <c r="AA300" t="n">
        <v>61</v>
      </c>
      <c r="AB300" t="n">
        <v>0</v>
      </c>
      <c r="AC300" t="n">
        <v>0</v>
      </c>
      <c r="AD300" t="n">
        <v>5</v>
      </c>
      <c r="AE300" t="n">
        <v>4</v>
      </c>
      <c r="AF300" t="n">
        <v>0</v>
      </c>
      <c r="AG300" t="n">
        <v>0</v>
      </c>
      <c r="AH300" t="n">
        <v>75</v>
      </c>
      <c r="AI300" t="n">
        <v>54</v>
      </c>
      <c r="AJ300" t="n">
        <v>15</v>
      </c>
      <c r="AK300" t="n">
        <v>15</v>
      </c>
      <c r="AL300" t="n">
        <v>7</v>
      </c>
      <c r="AM300" t="n">
        <v>57</v>
      </c>
      <c r="AN300" t="n">
        <v>0</v>
      </c>
      <c r="AO300" t="n">
        <v>0</v>
      </c>
      <c r="AP300" t="n">
        <v>0</v>
      </c>
      <c r="AQ300" t="n">
        <v>1</v>
      </c>
      <c r="AR300" t="n">
        <v>52</v>
      </c>
      <c r="AS300" t="n">
        <v>46</v>
      </c>
      <c r="AT300" t="n">
        <v>3</v>
      </c>
      <c r="AU300" t="n">
        <v>4</v>
      </c>
      <c r="AV300" t="n">
        <v>20</v>
      </c>
      <c r="AW300" t="n">
        <v>38</v>
      </c>
      <c r="AX300" t="n">
        <v>0</v>
      </c>
      <c r="AY300" t="n">
        <v>18</v>
      </c>
      <c r="AZ300" t="n">
        <v>7</v>
      </c>
      <c r="BA300" t="n">
        <v>41</v>
      </c>
      <c r="BB300" t="n">
        <v>102</v>
      </c>
      <c r="BC300" t="n">
        <v>56</v>
      </c>
      <c r="BD300" t="n">
        <v>79</v>
      </c>
      <c r="BE300" t="n">
        <v>56</v>
      </c>
      <c r="BF300" t="n">
        <v>11</v>
      </c>
      <c r="BG300" t="n">
        <v>1</v>
      </c>
      <c r="BH300" t="n">
        <v>0</v>
      </c>
      <c r="BI300" t="n">
        <v>21</v>
      </c>
      <c r="BJ300" t="n">
        <v>19</v>
      </c>
      <c r="BK300" t="n">
        <v>3</v>
      </c>
      <c r="BL300" t="n">
        <v>36</v>
      </c>
      <c r="BM300" t="n">
        <v>35</v>
      </c>
      <c r="BN300" t="n">
        <v>8</v>
      </c>
      <c r="BO300" t="n">
        <v>30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232</v>
      </c>
      <c r="Z301" t="n">
        <v>263</v>
      </c>
      <c r="AA301" t="n">
        <v>101</v>
      </c>
      <c r="AB301" t="n">
        <v>0</v>
      </c>
      <c r="AC301" t="n">
        <v>0</v>
      </c>
      <c r="AD301" t="n">
        <v>2</v>
      </c>
      <c r="AE301" t="n">
        <v>8</v>
      </c>
      <c r="AF301" t="n">
        <v>7</v>
      </c>
      <c r="AG301" t="n">
        <v>5</v>
      </c>
      <c r="AH301" t="n">
        <v>57</v>
      </c>
      <c r="AI301" t="n">
        <v>87</v>
      </c>
      <c r="AJ301" t="n">
        <v>48</v>
      </c>
      <c r="AK301" t="n">
        <v>24</v>
      </c>
      <c r="AL301" t="n">
        <v>5</v>
      </c>
      <c r="AM301" t="n">
        <v>53</v>
      </c>
      <c r="AN301" t="n">
        <v>0</v>
      </c>
      <c r="AO301" t="n">
        <v>1</v>
      </c>
      <c r="AP301" t="n">
        <v>3</v>
      </c>
      <c r="AQ301" t="n">
        <v>32</v>
      </c>
      <c r="AR301" t="n">
        <v>114</v>
      </c>
      <c r="AS301" t="n">
        <v>85</v>
      </c>
      <c r="AT301" t="n">
        <v>0</v>
      </c>
      <c r="AU301" t="n">
        <v>0</v>
      </c>
      <c r="AV301" t="n">
        <v>20</v>
      </c>
      <c r="AW301" t="n">
        <v>14</v>
      </c>
      <c r="AX301" t="n">
        <v>10</v>
      </c>
      <c r="AY301" t="n">
        <v>44</v>
      </c>
      <c r="AZ301" t="n">
        <v>2</v>
      </c>
      <c r="BA301" t="n">
        <v>33</v>
      </c>
      <c r="BB301" t="n">
        <v>129</v>
      </c>
      <c r="BC301" t="n">
        <v>44</v>
      </c>
      <c r="BD301" t="n">
        <v>55</v>
      </c>
      <c r="BE301" t="n">
        <v>14</v>
      </c>
      <c r="BF301" t="n">
        <v>41</v>
      </c>
      <c r="BG301" t="n">
        <v>2</v>
      </c>
      <c r="BH301" t="n">
        <v>1</v>
      </c>
      <c r="BI301" t="n">
        <v>32</v>
      </c>
      <c r="BJ301" t="n">
        <v>37</v>
      </c>
      <c r="BK301" t="n">
        <v>1</v>
      </c>
      <c r="BL301" t="n">
        <v>1</v>
      </c>
      <c r="BM301" t="n">
        <v>4</v>
      </c>
      <c r="BN301" t="n">
        <v>1</v>
      </c>
      <c r="BO301" t="n">
        <v>58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215</v>
      </c>
      <c r="Z302" t="n">
        <v>191</v>
      </c>
      <c r="AA302" t="n">
        <v>78</v>
      </c>
      <c r="AB302" t="n">
        <v>0</v>
      </c>
      <c r="AC302" t="n">
        <v>2</v>
      </c>
      <c r="AD302" t="n">
        <v>3</v>
      </c>
      <c r="AE302" t="n">
        <v>8</v>
      </c>
      <c r="AF302" t="n">
        <v>10</v>
      </c>
      <c r="AG302" t="n">
        <v>6</v>
      </c>
      <c r="AH302" t="n">
        <v>44</v>
      </c>
      <c r="AI302" t="n">
        <v>121</v>
      </c>
      <c r="AJ302" t="n">
        <v>91</v>
      </c>
      <c r="AK302" t="n">
        <v>51</v>
      </c>
      <c r="AL302" t="n">
        <v>2</v>
      </c>
      <c r="AM302" t="n">
        <v>51</v>
      </c>
      <c r="AN302" t="n">
        <v>0</v>
      </c>
      <c r="AO302" t="n">
        <v>0</v>
      </c>
      <c r="AP302" t="n">
        <v>2</v>
      </c>
      <c r="AQ302" t="n">
        <v>-2</v>
      </c>
      <c r="AR302" t="n">
        <v>123</v>
      </c>
      <c r="AS302" t="n">
        <v>115</v>
      </c>
      <c r="AT302" t="n">
        <v>4</v>
      </c>
      <c r="AU302" t="n">
        <v>0</v>
      </c>
      <c r="AV302" t="n">
        <v>22</v>
      </c>
      <c r="AW302" t="n">
        <v>1</v>
      </c>
      <c r="AX302" t="n">
        <v>0</v>
      </c>
      <c r="AY302" t="n">
        <v>36</v>
      </c>
      <c r="AZ302" t="n">
        <v>1</v>
      </c>
      <c r="BA302" t="n">
        <v>9</v>
      </c>
      <c r="BB302" t="n">
        <v>83</v>
      </c>
      <c r="BC302" t="n">
        <v>43</v>
      </c>
      <c r="BD302" t="n">
        <v>60</v>
      </c>
      <c r="BE302" t="n">
        <v>1</v>
      </c>
      <c r="BF302" t="n">
        <v>71</v>
      </c>
      <c r="BG302" t="n">
        <v>2</v>
      </c>
      <c r="BH302" t="n">
        <v>16</v>
      </c>
      <c r="BI302" t="n">
        <v>2</v>
      </c>
      <c r="BJ302" t="n">
        <v>1</v>
      </c>
      <c r="BK302" t="n">
        <v>0</v>
      </c>
      <c r="BL302" t="n">
        <v>1</v>
      </c>
      <c r="BM302" t="n">
        <v>16</v>
      </c>
      <c r="BN302" t="n">
        <v>9</v>
      </c>
      <c r="BO302" t="n">
        <v>2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226</v>
      </c>
      <c r="Z303" t="n">
        <v>201</v>
      </c>
      <c r="AA303" t="n">
        <v>53</v>
      </c>
      <c r="AB303" t="n">
        <v>2</v>
      </c>
      <c r="AC303" t="n">
        <v>0</v>
      </c>
      <c r="AD303" t="n">
        <v>9</v>
      </c>
      <c r="AE303" t="n">
        <v>7</v>
      </c>
      <c r="AF303" t="n">
        <v>0</v>
      </c>
      <c r="AG303" t="n">
        <v>4</v>
      </c>
      <c r="AH303" t="n">
        <v>87</v>
      </c>
      <c r="AI303" t="n">
        <v>53</v>
      </c>
      <c r="AJ303" t="n">
        <v>3</v>
      </c>
      <c r="AK303" t="n">
        <v>35</v>
      </c>
      <c r="AL303" t="n">
        <v>2</v>
      </c>
      <c r="AM303" t="n">
        <v>17</v>
      </c>
      <c r="AN303" t="n">
        <v>0</v>
      </c>
      <c r="AO303" t="n">
        <v>0</v>
      </c>
      <c r="AP303" t="n">
        <v>3</v>
      </c>
      <c r="AQ303" t="n">
        <v>18</v>
      </c>
      <c r="AR303" t="n">
        <v>128</v>
      </c>
      <c r="AS303" t="n">
        <v>109</v>
      </c>
      <c r="AT303" t="n">
        <v>3</v>
      </c>
      <c r="AU303" t="n">
        <v>0</v>
      </c>
      <c r="AV303" t="n">
        <v>25</v>
      </c>
      <c r="AW303" t="n">
        <v>12</v>
      </c>
      <c r="AX303" t="n">
        <v>11</v>
      </c>
      <c r="AY303" t="n">
        <v>40</v>
      </c>
      <c r="AZ303" t="n">
        <v>4</v>
      </c>
      <c r="BA303" t="n">
        <v>21</v>
      </c>
      <c r="BB303" t="n">
        <v>72</v>
      </c>
      <c r="BC303" t="n">
        <v>17</v>
      </c>
      <c r="BD303" t="n">
        <v>79</v>
      </c>
      <c r="BE303" t="n">
        <v>14</v>
      </c>
      <c r="BF303" t="n">
        <v>11</v>
      </c>
      <c r="BG303" t="n">
        <v>3</v>
      </c>
      <c r="BH303" t="n">
        <v>3</v>
      </c>
      <c r="BI303" t="n">
        <v>67</v>
      </c>
      <c r="BJ303" t="n">
        <v>62</v>
      </c>
      <c r="BK303" t="n">
        <v>1</v>
      </c>
      <c r="BL303" t="n">
        <v>15</v>
      </c>
      <c r="BM303" t="n">
        <v>14</v>
      </c>
      <c r="BN303" t="n">
        <v>4</v>
      </c>
      <c r="BO303" t="n">
        <v>49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2</v>
      </c>
      <c r="U304" t="n">
        <v>0</v>
      </c>
      <c r="V304" t="n">
        <v>0</v>
      </c>
      <c r="W304" t="n">
        <v>0</v>
      </c>
      <c r="X304" t="n">
        <v>0</v>
      </c>
      <c r="Y304" t="n">
        <v>176</v>
      </c>
      <c r="Z304" t="n">
        <v>68</v>
      </c>
      <c r="AA304" t="n">
        <v>79</v>
      </c>
      <c r="AB304" t="n">
        <v>0</v>
      </c>
      <c r="AC304" t="n">
        <v>0</v>
      </c>
      <c r="AD304" t="n">
        <v>2</v>
      </c>
      <c r="AE304" t="n">
        <v>6</v>
      </c>
      <c r="AF304" t="n">
        <v>6</v>
      </c>
      <c r="AG304" t="n">
        <v>5</v>
      </c>
      <c r="AH304" t="n">
        <v>38</v>
      </c>
      <c r="AI304" t="n">
        <v>71</v>
      </c>
      <c r="AJ304" t="n">
        <v>55</v>
      </c>
      <c r="AK304" t="n">
        <v>35</v>
      </c>
      <c r="AL304" t="n">
        <v>1</v>
      </c>
      <c r="AM304" t="n">
        <v>2</v>
      </c>
      <c r="AN304" t="n">
        <v>0</v>
      </c>
      <c r="AO304" t="n">
        <v>0</v>
      </c>
      <c r="AP304" t="n">
        <v>3</v>
      </c>
      <c r="AQ304" t="n">
        <v>18</v>
      </c>
      <c r="AR304" t="n">
        <v>100</v>
      </c>
      <c r="AS304" t="n">
        <v>83</v>
      </c>
      <c r="AT304" t="n">
        <v>0</v>
      </c>
      <c r="AU304" t="n">
        <v>0</v>
      </c>
      <c r="AV304" t="n">
        <v>41</v>
      </c>
      <c r="AW304" t="n">
        <v>1</v>
      </c>
      <c r="AX304" t="n">
        <v>0</v>
      </c>
      <c r="AY304" t="n">
        <v>79</v>
      </c>
      <c r="AZ304" t="n">
        <v>0</v>
      </c>
      <c r="BA304" t="n">
        <v>1</v>
      </c>
      <c r="BB304" t="n">
        <v>77</v>
      </c>
      <c r="BC304" t="n">
        <v>11</v>
      </c>
      <c r="BD304" t="n">
        <v>33</v>
      </c>
      <c r="BE304" t="n">
        <v>6</v>
      </c>
      <c r="BF304" t="n">
        <v>62</v>
      </c>
      <c r="BG304" t="n">
        <v>1</v>
      </c>
      <c r="BH304" t="n">
        <v>0</v>
      </c>
      <c r="BI304" t="n">
        <v>1</v>
      </c>
      <c r="BJ304" t="n">
        <v>6</v>
      </c>
      <c r="BK304" t="n">
        <v>0</v>
      </c>
      <c r="BL304" t="n">
        <v>11</v>
      </c>
      <c r="BM304" t="n">
        <v>12</v>
      </c>
      <c r="BN304" t="n">
        <v>4</v>
      </c>
      <c r="BO304" t="n">
        <v>2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240</v>
      </c>
      <c r="Z305" t="n">
        <v>137</v>
      </c>
      <c r="AA305" t="n">
        <v>161</v>
      </c>
      <c r="AB305" t="n">
        <v>0</v>
      </c>
      <c r="AC305" t="n">
        <v>0</v>
      </c>
      <c r="AD305" t="n">
        <v>4</v>
      </c>
      <c r="AE305" t="n">
        <v>4</v>
      </c>
      <c r="AF305" t="n">
        <v>5</v>
      </c>
      <c r="AG305" t="n">
        <v>0</v>
      </c>
      <c r="AH305" t="n">
        <v>33</v>
      </c>
      <c r="AI305" t="n">
        <v>56</v>
      </c>
      <c r="AJ305" t="n">
        <v>27</v>
      </c>
      <c r="AK305" t="n">
        <v>1</v>
      </c>
      <c r="AL305" t="n">
        <v>1</v>
      </c>
      <c r="AM305" t="n">
        <v>47</v>
      </c>
      <c r="AN305" t="n">
        <v>0</v>
      </c>
      <c r="AO305" t="n">
        <v>0</v>
      </c>
      <c r="AP305" t="n">
        <v>6</v>
      </c>
      <c r="AQ305" t="n">
        <v>67</v>
      </c>
      <c r="AR305" t="n">
        <v>125</v>
      </c>
      <c r="AS305" t="n">
        <v>66</v>
      </c>
      <c r="AT305" t="n">
        <v>1</v>
      </c>
      <c r="AU305" t="n">
        <v>0</v>
      </c>
      <c r="AV305" t="n">
        <v>21</v>
      </c>
      <c r="AW305" t="n">
        <v>1</v>
      </c>
      <c r="AX305" t="n">
        <v>2</v>
      </c>
      <c r="AY305" t="n">
        <v>50</v>
      </c>
      <c r="AZ305" t="n">
        <v>4</v>
      </c>
      <c r="BA305" t="n">
        <v>14</v>
      </c>
      <c r="BB305" t="n">
        <v>161</v>
      </c>
      <c r="BC305" t="n">
        <v>40</v>
      </c>
      <c r="BD305" t="n">
        <v>37</v>
      </c>
      <c r="BE305" t="n">
        <v>4</v>
      </c>
      <c r="BF305" t="n">
        <v>25</v>
      </c>
      <c r="BG305" t="n">
        <v>1</v>
      </c>
      <c r="BH305" t="n">
        <v>5</v>
      </c>
      <c r="BI305" t="n">
        <v>26</v>
      </c>
      <c r="BJ305" t="n">
        <v>27</v>
      </c>
      <c r="BK305" t="n">
        <v>2</v>
      </c>
      <c r="BL305" t="n">
        <v>16</v>
      </c>
      <c r="BM305" t="n">
        <v>24</v>
      </c>
      <c r="BN305" t="n">
        <v>10</v>
      </c>
      <c r="BO305" t="n">
        <v>28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178</v>
      </c>
      <c r="Z306" t="n">
        <v>175</v>
      </c>
      <c r="AA306" t="n">
        <v>45</v>
      </c>
      <c r="AB306" t="n">
        <v>0</v>
      </c>
      <c r="AC306" t="n">
        <v>0</v>
      </c>
      <c r="AD306" t="n">
        <v>6</v>
      </c>
      <c r="AE306" t="n">
        <v>7</v>
      </c>
      <c r="AF306" t="n">
        <v>2</v>
      </c>
      <c r="AG306" t="n">
        <v>3</v>
      </c>
      <c r="AH306" t="n">
        <v>56</v>
      </c>
      <c r="AI306" t="n">
        <v>90</v>
      </c>
      <c r="AJ306" t="n">
        <v>2</v>
      </c>
      <c r="AK306" t="n">
        <v>10</v>
      </c>
      <c r="AL306" t="n">
        <v>1</v>
      </c>
      <c r="AM306" t="n">
        <v>48</v>
      </c>
      <c r="AN306" t="n">
        <v>0</v>
      </c>
      <c r="AO306" t="n">
        <v>0</v>
      </c>
      <c r="AP306" t="n">
        <v>0</v>
      </c>
      <c r="AQ306" t="n">
        <v>1</v>
      </c>
      <c r="AR306" t="n">
        <v>168</v>
      </c>
      <c r="AS306" t="n">
        <v>156</v>
      </c>
      <c r="AT306" t="n">
        <v>1</v>
      </c>
      <c r="AU306" t="n">
        <v>1</v>
      </c>
      <c r="AV306" t="n">
        <v>13</v>
      </c>
      <c r="AW306" t="n">
        <v>19</v>
      </c>
      <c r="AX306" t="n">
        <v>11</v>
      </c>
      <c r="AY306" t="n">
        <v>13</v>
      </c>
      <c r="AZ306" t="n">
        <v>3</v>
      </c>
      <c r="BA306" t="n">
        <v>16</v>
      </c>
      <c r="BB306" t="n">
        <v>59</v>
      </c>
      <c r="BC306" t="n">
        <v>40</v>
      </c>
      <c r="BD306" t="n">
        <v>49</v>
      </c>
      <c r="BE306" t="n">
        <v>22</v>
      </c>
      <c r="BF306" t="n">
        <v>4</v>
      </c>
      <c r="BG306" t="n">
        <v>0</v>
      </c>
      <c r="BH306" t="n">
        <v>15</v>
      </c>
      <c r="BI306" t="n">
        <v>1</v>
      </c>
      <c r="BJ306" t="n">
        <v>30</v>
      </c>
      <c r="BK306" t="n">
        <v>2</v>
      </c>
      <c r="BL306" t="n">
        <v>1</v>
      </c>
      <c r="BM306" t="n">
        <v>6</v>
      </c>
      <c r="BN306" t="n">
        <v>3</v>
      </c>
      <c r="BO306" t="n">
        <v>68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308</v>
      </c>
      <c r="Z307" t="n">
        <v>97</v>
      </c>
      <c r="AA307" t="n">
        <v>52</v>
      </c>
      <c r="AB307" t="n">
        <v>0</v>
      </c>
      <c r="AC307" t="n">
        <v>2</v>
      </c>
      <c r="AD307" t="n">
        <v>8</v>
      </c>
      <c r="AE307" t="n">
        <v>8</v>
      </c>
      <c r="AF307" t="n">
        <v>6</v>
      </c>
      <c r="AG307" t="n">
        <v>3</v>
      </c>
      <c r="AH307" t="n">
        <v>94</v>
      </c>
      <c r="AI307" t="n">
        <v>48</v>
      </c>
      <c r="AJ307" t="n">
        <v>64</v>
      </c>
      <c r="AK307" t="n">
        <v>25</v>
      </c>
      <c r="AL307" t="n">
        <v>2</v>
      </c>
      <c r="AM307" t="n">
        <v>29</v>
      </c>
      <c r="AN307" t="n">
        <v>0</v>
      </c>
      <c r="AO307" t="n">
        <v>0</v>
      </c>
      <c r="AP307" t="n">
        <v>1</v>
      </c>
      <c r="AQ307" t="n">
        <v>30</v>
      </c>
      <c r="AR307" t="n">
        <v>53</v>
      </c>
      <c r="AS307" t="n">
        <v>28</v>
      </c>
      <c r="AT307" t="n">
        <v>4</v>
      </c>
      <c r="AU307" t="n">
        <v>0</v>
      </c>
      <c r="AV307" t="n">
        <v>18</v>
      </c>
      <c r="AW307" t="n">
        <v>21</v>
      </c>
      <c r="AX307" t="n">
        <v>0</v>
      </c>
      <c r="AY307" t="n">
        <v>44</v>
      </c>
      <c r="AZ307" t="n">
        <v>0</v>
      </c>
      <c r="BA307" t="n">
        <v>3</v>
      </c>
      <c r="BB307" t="n">
        <v>51</v>
      </c>
      <c r="BC307" t="n">
        <v>24</v>
      </c>
      <c r="BD307" t="n">
        <v>88</v>
      </c>
      <c r="BE307" t="n">
        <v>21</v>
      </c>
      <c r="BF307" t="n">
        <v>56</v>
      </c>
      <c r="BG307" t="n">
        <v>0</v>
      </c>
      <c r="BH307" t="n">
        <v>11</v>
      </c>
      <c r="BI307" t="n">
        <v>7</v>
      </c>
      <c r="BJ307" t="n">
        <v>34</v>
      </c>
      <c r="BK307" t="n">
        <v>1</v>
      </c>
      <c r="BL307" t="n">
        <v>1</v>
      </c>
      <c r="BM307" t="n">
        <v>9</v>
      </c>
      <c r="BN307" t="n">
        <v>5</v>
      </c>
      <c r="BO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221</v>
      </c>
      <c r="Z308" t="n">
        <v>345</v>
      </c>
      <c r="AA308" t="n">
        <v>58</v>
      </c>
      <c r="AB308" t="n">
        <v>1</v>
      </c>
      <c r="AC308" t="n">
        <v>2</v>
      </c>
      <c r="AD308" t="n">
        <v>9</v>
      </c>
      <c r="AE308" t="n">
        <v>8</v>
      </c>
      <c r="AF308" t="n">
        <v>0</v>
      </c>
      <c r="AG308" t="n">
        <v>5</v>
      </c>
      <c r="AH308" t="n">
        <v>81</v>
      </c>
      <c r="AI308" t="n">
        <v>43</v>
      </c>
      <c r="AJ308" t="n">
        <v>46</v>
      </c>
      <c r="AK308" t="n">
        <v>62</v>
      </c>
      <c r="AL308" t="n">
        <v>3</v>
      </c>
      <c r="AM308" t="n">
        <v>37</v>
      </c>
      <c r="AN308" t="n">
        <v>0</v>
      </c>
      <c r="AO308" t="n">
        <v>0</v>
      </c>
      <c r="AP308" t="n">
        <v>4</v>
      </c>
      <c r="AQ308" t="n">
        <v>55</v>
      </c>
      <c r="AR308" t="n">
        <v>160</v>
      </c>
      <c r="AS308" t="n">
        <v>113</v>
      </c>
      <c r="AT308" t="n">
        <v>1</v>
      </c>
      <c r="AU308" t="n">
        <v>4</v>
      </c>
      <c r="AV308" t="n">
        <v>1</v>
      </c>
      <c r="AW308" t="n">
        <v>55</v>
      </c>
      <c r="AX308" t="n">
        <v>0</v>
      </c>
      <c r="AY308" t="n">
        <v>18</v>
      </c>
      <c r="AZ308" t="n">
        <v>3</v>
      </c>
      <c r="BA308" t="n">
        <v>45</v>
      </c>
      <c r="BB308" t="n">
        <v>102</v>
      </c>
      <c r="BC308" t="n">
        <v>45</v>
      </c>
      <c r="BD308" t="n">
        <v>75</v>
      </c>
      <c r="BE308" t="n">
        <v>57</v>
      </c>
      <c r="BF308" t="n">
        <v>36</v>
      </c>
      <c r="BG308" t="n">
        <v>0</v>
      </c>
      <c r="BH308" t="n">
        <v>2</v>
      </c>
      <c r="BI308" t="n">
        <v>12</v>
      </c>
      <c r="BJ308" t="n">
        <v>17</v>
      </c>
      <c r="BK308" t="n">
        <v>1</v>
      </c>
      <c r="BL308" t="n">
        <v>1</v>
      </c>
      <c r="BM308" t="n">
        <v>9</v>
      </c>
      <c r="BN308" t="n">
        <v>5</v>
      </c>
      <c r="BO308" t="n">
        <v>2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153</v>
      </c>
      <c r="Z309" t="n">
        <v>275</v>
      </c>
      <c r="AA309" t="n">
        <v>23</v>
      </c>
      <c r="AB309" t="n">
        <v>2</v>
      </c>
      <c r="AC309" t="n">
        <v>0</v>
      </c>
      <c r="AD309" t="n">
        <v>4</v>
      </c>
      <c r="AE309" t="n">
        <v>10</v>
      </c>
      <c r="AF309" t="n">
        <v>6</v>
      </c>
      <c r="AG309" t="n">
        <v>5</v>
      </c>
      <c r="AH309" t="n">
        <v>26</v>
      </c>
      <c r="AI309" t="n">
        <v>74</v>
      </c>
      <c r="AJ309" t="n">
        <v>55</v>
      </c>
      <c r="AK309" t="n">
        <v>65</v>
      </c>
      <c r="AL309" t="n">
        <v>5</v>
      </c>
      <c r="AM309" t="n">
        <v>17</v>
      </c>
      <c r="AN309" t="n">
        <v>0</v>
      </c>
      <c r="AO309" t="n">
        <v>0</v>
      </c>
      <c r="AP309" t="n">
        <v>4</v>
      </c>
      <c r="AQ309" t="n">
        <v>38</v>
      </c>
      <c r="AR309" t="n">
        <v>74</v>
      </c>
      <c r="AS309" t="n">
        <v>43</v>
      </c>
      <c r="AT309" t="n">
        <v>0</v>
      </c>
      <c r="AU309" t="n">
        <v>3</v>
      </c>
      <c r="AV309" t="n">
        <v>1</v>
      </c>
      <c r="AW309" t="n">
        <v>36</v>
      </c>
      <c r="AX309" t="n">
        <v>10</v>
      </c>
      <c r="AY309" t="n">
        <v>13</v>
      </c>
      <c r="AZ309" t="n">
        <v>6</v>
      </c>
      <c r="BA309" t="n">
        <v>96</v>
      </c>
      <c r="BB309" t="n">
        <v>136</v>
      </c>
      <c r="BC309" t="n">
        <v>31</v>
      </c>
      <c r="BD309" t="n">
        <v>37</v>
      </c>
      <c r="BE309" t="n">
        <v>36</v>
      </c>
      <c r="BF309" t="n">
        <v>45</v>
      </c>
      <c r="BG309" t="n">
        <v>0</v>
      </c>
      <c r="BH309" t="n">
        <v>8</v>
      </c>
      <c r="BI309" t="n">
        <v>5</v>
      </c>
      <c r="BJ309" t="n">
        <v>12</v>
      </c>
      <c r="BK309" t="n">
        <v>0</v>
      </c>
      <c r="BL309" t="n">
        <v>1</v>
      </c>
      <c r="BM309" t="n">
        <v>2</v>
      </c>
      <c r="BN309" t="n">
        <v>0</v>
      </c>
      <c r="BO309" t="n">
        <v>54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0</v>
      </c>
      <c r="V310" t="n">
        <v>0</v>
      </c>
      <c r="W310" t="n">
        <v>0</v>
      </c>
      <c r="X310" t="n">
        <v>0</v>
      </c>
      <c r="Y310" t="n">
        <v>156</v>
      </c>
      <c r="Z310" t="n">
        <v>78</v>
      </c>
      <c r="AA310" t="n">
        <v>108</v>
      </c>
      <c r="AB310" t="n">
        <v>0</v>
      </c>
      <c r="AC310" t="n">
        <v>0</v>
      </c>
      <c r="AD310" t="n">
        <v>5</v>
      </c>
      <c r="AE310" t="n">
        <v>2</v>
      </c>
      <c r="AF310" t="n">
        <v>1</v>
      </c>
      <c r="AG310" t="n">
        <v>1</v>
      </c>
      <c r="AH310" t="n">
        <v>80</v>
      </c>
      <c r="AI310" t="n">
        <v>56</v>
      </c>
      <c r="AJ310" t="n">
        <v>33</v>
      </c>
      <c r="AK310" t="n">
        <v>18</v>
      </c>
      <c r="AL310" t="n">
        <v>1</v>
      </c>
      <c r="AM310" t="n">
        <v>11</v>
      </c>
      <c r="AN310" t="n">
        <v>4</v>
      </c>
      <c r="AO310" t="n">
        <v>1</v>
      </c>
      <c r="AP310" t="n">
        <v>1</v>
      </c>
      <c r="AQ310" t="n">
        <v>1</v>
      </c>
      <c r="AR310" t="n">
        <v>49</v>
      </c>
      <c r="AS310" t="n">
        <v>43</v>
      </c>
      <c r="AT310" t="n">
        <v>0</v>
      </c>
      <c r="AU310" t="n">
        <v>1</v>
      </c>
      <c r="AV310" t="n">
        <v>1</v>
      </c>
      <c r="AW310" t="n">
        <v>8</v>
      </c>
      <c r="AX310" t="n">
        <v>0</v>
      </c>
      <c r="AY310" t="n">
        <v>27</v>
      </c>
      <c r="AZ310" t="n">
        <v>0</v>
      </c>
      <c r="BA310" t="n">
        <v>-3</v>
      </c>
      <c r="BB310" t="n">
        <v>104</v>
      </c>
      <c r="BC310" t="n">
        <v>16</v>
      </c>
      <c r="BD310" t="n">
        <v>72</v>
      </c>
      <c r="BE310" t="n">
        <v>7</v>
      </c>
      <c r="BF310" t="n">
        <v>26</v>
      </c>
      <c r="BG310" t="n">
        <v>0</v>
      </c>
      <c r="BH310" t="n">
        <v>8</v>
      </c>
      <c r="BI310" t="n">
        <v>1</v>
      </c>
      <c r="BJ310" t="n">
        <v>1</v>
      </c>
      <c r="BK310" t="n">
        <v>1</v>
      </c>
      <c r="BL310" t="n">
        <v>1</v>
      </c>
      <c r="BM310" t="n">
        <v>4</v>
      </c>
      <c r="BN310" t="n">
        <v>2</v>
      </c>
      <c r="BO310" t="n">
        <v>140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314</v>
      </c>
      <c r="Z311" t="n">
        <v>293</v>
      </c>
      <c r="AA311" t="n">
        <v>29</v>
      </c>
      <c r="AB311" t="n">
        <v>1</v>
      </c>
      <c r="AC311" t="n">
        <v>2</v>
      </c>
      <c r="AD311" t="n">
        <v>4</v>
      </c>
      <c r="AE311" t="n">
        <v>2</v>
      </c>
      <c r="AF311" t="n">
        <v>4</v>
      </c>
      <c r="AG311" t="n">
        <v>5</v>
      </c>
      <c r="AH311" t="n">
        <v>53</v>
      </c>
      <c r="AI311" t="n">
        <v>14</v>
      </c>
      <c r="AJ311" t="n">
        <v>72</v>
      </c>
      <c r="AK311" t="n">
        <v>32</v>
      </c>
      <c r="AL311" t="n">
        <v>4</v>
      </c>
      <c r="AM311" t="n">
        <v>58</v>
      </c>
      <c r="AN311" t="n">
        <v>0</v>
      </c>
      <c r="AO311" t="n">
        <v>0</v>
      </c>
      <c r="AP311" t="n">
        <v>6</v>
      </c>
      <c r="AQ311" t="n">
        <v>81</v>
      </c>
      <c r="AR311" t="n">
        <v>96</v>
      </c>
      <c r="AS311" t="n">
        <v>28</v>
      </c>
      <c r="AT311" t="n">
        <v>3</v>
      </c>
      <c r="AU311" t="n">
        <v>1</v>
      </c>
      <c r="AV311" t="n">
        <v>28</v>
      </c>
      <c r="AW311" t="n">
        <v>36</v>
      </c>
      <c r="AX311" t="n">
        <v>0</v>
      </c>
      <c r="AY311" t="n">
        <v>20</v>
      </c>
      <c r="AZ311" t="n">
        <v>3</v>
      </c>
      <c r="BA311" t="n">
        <v>18</v>
      </c>
      <c r="BB311" t="n">
        <v>47</v>
      </c>
      <c r="BC311" t="n">
        <v>48</v>
      </c>
      <c r="BD311" t="n">
        <v>47</v>
      </c>
      <c r="BE311" t="n">
        <v>49</v>
      </c>
      <c r="BF311" t="n">
        <v>57</v>
      </c>
      <c r="BG311" t="n">
        <v>1</v>
      </c>
      <c r="BH311" t="n">
        <v>17</v>
      </c>
      <c r="BI311" t="n">
        <v>1</v>
      </c>
      <c r="BJ311" t="n">
        <v>3</v>
      </c>
      <c r="BK311" t="n">
        <v>2</v>
      </c>
      <c r="BL311" t="n">
        <v>1</v>
      </c>
      <c r="BM311" t="n">
        <v>3</v>
      </c>
      <c r="BN311" t="n">
        <v>1</v>
      </c>
      <c r="BO311" t="n">
        <v>2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153</v>
      </c>
      <c r="Z312" t="n">
        <v>97</v>
      </c>
      <c r="AA312" t="n">
        <v>25</v>
      </c>
      <c r="AB312" t="n">
        <v>2</v>
      </c>
      <c r="AC312" t="n">
        <v>0</v>
      </c>
      <c r="AD312" t="n">
        <v>4</v>
      </c>
      <c r="AE312" t="n">
        <v>4</v>
      </c>
      <c r="AF312" t="n">
        <v>3</v>
      </c>
      <c r="AG312" t="n">
        <v>3</v>
      </c>
      <c r="AH312" t="n">
        <v>39</v>
      </c>
      <c r="AI312" t="n">
        <v>10</v>
      </c>
      <c r="AJ312" t="n">
        <v>47</v>
      </c>
      <c r="AK312" t="n">
        <v>25</v>
      </c>
      <c r="AL312" t="n">
        <v>4</v>
      </c>
      <c r="AM312" t="n">
        <v>27</v>
      </c>
      <c r="AN312" t="n">
        <v>0</v>
      </c>
      <c r="AO312" t="n">
        <v>0</v>
      </c>
      <c r="AP312" t="n">
        <v>0</v>
      </c>
      <c r="AQ312" t="n">
        <v>1</v>
      </c>
      <c r="AR312" t="n">
        <v>62</v>
      </c>
      <c r="AS312" t="n">
        <v>55</v>
      </c>
      <c r="AT312" t="n">
        <v>4</v>
      </c>
      <c r="AU312" t="n">
        <v>2</v>
      </c>
      <c r="AV312" t="n">
        <v>46</v>
      </c>
      <c r="AW312" t="n">
        <v>9</v>
      </c>
      <c r="AX312" t="n">
        <v>5</v>
      </c>
      <c r="AY312" t="n">
        <v>41</v>
      </c>
      <c r="AZ312" t="n">
        <v>2</v>
      </c>
      <c r="BA312" t="n">
        <v>8</v>
      </c>
      <c r="BB312" t="n">
        <v>31</v>
      </c>
      <c r="BC312" t="n">
        <v>22</v>
      </c>
      <c r="BD312" t="n">
        <v>38</v>
      </c>
      <c r="BE312" t="n">
        <v>9</v>
      </c>
      <c r="BF312" t="n">
        <v>41</v>
      </c>
      <c r="BG312" t="n">
        <v>0</v>
      </c>
      <c r="BH312" t="n">
        <v>5</v>
      </c>
      <c r="BI312" t="n">
        <v>1</v>
      </c>
      <c r="BJ312" t="n">
        <v>15</v>
      </c>
      <c r="BK312" t="n">
        <v>2</v>
      </c>
      <c r="BL312" t="n">
        <v>13</v>
      </c>
      <c r="BM312" t="n">
        <v>18</v>
      </c>
      <c r="BN312" t="n">
        <v>6</v>
      </c>
      <c r="BO312" t="n">
        <v>23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202</v>
      </c>
      <c r="Z313" t="n">
        <v>228</v>
      </c>
      <c r="AA313" t="n">
        <v>45</v>
      </c>
      <c r="AB313" t="n">
        <v>0</v>
      </c>
      <c r="AC313" t="n">
        <v>3</v>
      </c>
      <c r="AD313" t="n">
        <v>2</v>
      </c>
      <c r="AE313" t="n">
        <v>5</v>
      </c>
      <c r="AF313" t="n">
        <v>4</v>
      </c>
      <c r="AG313" t="n">
        <v>3</v>
      </c>
      <c r="AH313" t="n">
        <v>28</v>
      </c>
      <c r="AI313" t="n">
        <v>43</v>
      </c>
      <c r="AJ313" t="n">
        <v>57</v>
      </c>
      <c r="AK313" t="n">
        <v>47</v>
      </c>
      <c r="AL313" t="n">
        <v>1</v>
      </c>
      <c r="AM313" t="n">
        <v>24</v>
      </c>
      <c r="AN313" t="n">
        <v>0</v>
      </c>
      <c r="AO313" t="n">
        <v>0</v>
      </c>
      <c r="AP313" t="n">
        <v>0</v>
      </c>
      <c r="AQ313" t="n">
        <v>7</v>
      </c>
      <c r="AR313" t="n">
        <v>52</v>
      </c>
      <c r="AS313" t="n">
        <v>47</v>
      </c>
      <c r="AT313" t="n">
        <v>1</v>
      </c>
      <c r="AU313" t="n">
        <v>0</v>
      </c>
      <c r="AV313" t="n">
        <v>10</v>
      </c>
      <c r="AW313" t="n">
        <v>9</v>
      </c>
      <c r="AX313" t="n">
        <v>0</v>
      </c>
      <c r="AY313" t="n">
        <v>28</v>
      </c>
      <c r="AZ313" t="n">
        <v>3</v>
      </c>
      <c r="BA313" t="n">
        <v>8</v>
      </c>
      <c r="BB313" t="n">
        <v>51</v>
      </c>
      <c r="BC313" t="n">
        <v>36</v>
      </c>
      <c r="BD313" t="n">
        <v>27</v>
      </c>
      <c r="BE313" t="n">
        <v>8</v>
      </c>
      <c r="BF313" t="n">
        <v>50</v>
      </c>
      <c r="BG313" t="n">
        <v>1</v>
      </c>
      <c r="BH313" t="n">
        <v>12</v>
      </c>
      <c r="BI313" t="n">
        <v>52</v>
      </c>
      <c r="BJ313" t="n">
        <v>50</v>
      </c>
      <c r="BK313" t="n">
        <v>7</v>
      </c>
      <c r="BL313" t="n">
        <v>58</v>
      </c>
      <c r="BM313" t="n">
        <v>66</v>
      </c>
      <c r="BN313" t="n">
        <v>19</v>
      </c>
      <c r="BO313" t="n">
        <v>2</v>
      </c>
    </row>
    <row r="314">
      <c r="A314" t="n">
        <v>0</v>
      </c>
      <c r="B314" t="n">
        <v>2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149</v>
      </c>
      <c r="Z314" t="n">
        <v>304</v>
      </c>
      <c r="AA314" t="n">
        <v>52</v>
      </c>
      <c r="AB314" t="n">
        <v>2</v>
      </c>
      <c r="AC314" t="n">
        <v>1</v>
      </c>
      <c r="AD314" t="n">
        <v>4</v>
      </c>
      <c r="AE314" t="n">
        <v>4</v>
      </c>
      <c r="AF314" t="n">
        <v>1</v>
      </c>
      <c r="AG314" t="n">
        <v>2</v>
      </c>
      <c r="AH314" t="n">
        <v>25</v>
      </c>
      <c r="AI314" t="n">
        <v>54</v>
      </c>
      <c r="AJ314" t="n">
        <v>24</v>
      </c>
      <c r="AK314" t="n">
        <v>1</v>
      </c>
      <c r="AL314" t="n">
        <v>2</v>
      </c>
      <c r="AM314" t="n">
        <v>109</v>
      </c>
      <c r="AN314" t="n">
        <v>0</v>
      </c>
      <c r="AO314" t="n">
        <v>0</v>
      </c>
      <c r="AP314" t="n">
        <v>5</v>
      </c>
      <c r="AQ314" t="n">
        <v>23</v>
      </c>
      <c r="AR314" t="n">
        <v>108</v>
      </c>
      <c r="AS314" t="n">
        <v>87</v>
      </c>
      <c r="AT314" t="n">
        <v>1</v>
      </c>
      <c r="AU314" t="n">
        <v>2</v>
      </c>
      <c r="AV314" t="n">
        <v>10</v>
      </c>
      <c r="AW314" t="n">
        <v>35</v>
      </c>
      <c r="AX314" t="n">
        <v>4</v>
      </c>
      <c r="AY314" t="n">
        <v>29</v>
      </c>
      <c r="AZ314" t="n">
        <v>6</v>
      </c>
      <c r="BA314" t="n">
        <v>31</v>
      </c>
      <c r="BB314" t="n">
        <v>83</v>
      </c>
      <c r="BC314" t="n">
        <v>97</v>
      </c>
      <c r="BD314" t="n">
        <v>29</v>
      </c>
      <c r="BE314" t="n">
        <v>39</v>
      </c>
      <c r="BF314" t="n">
        <v>19</v>
      </c>
      <c r="BG314" t="n">
        <v>4</v>
      </c>
      <c r="BH314" t="n">
        <v>9</v>
      </c>
      <c r="BI314" t="n">
        <v>21</v>
      </c>
      <c r="BJ314" t="n">
        <v>19</v>
      </c>
      <c r="BK314" t="n">
        <v>9</v>
      </c>
      <c r="BL314" t="n">
        <v>76</v>
      </c>
      <c r="BM314" t="n">
        <v>58</v>
      </c>
      <c r="BN314" t="n">
        <v>5</v>
      </c>
      <c r="BO314" t="n">
        <v>25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157</v>
      </c>
      <c r="Z315" t="n">
        <v>94</v>
      </c>
      <c r="AA315" t="n">
        <v>52</v>
      </c>
      <c r="AB315" t="n">
        <v>0</v>
      </c>
      <c r="AC315" t="n">
        <v>0</v>
      </c>
      <c r="AD315" t="n">
        <v>6</v>
      </c>
      <c r="AE315" t="n">
        <v>3</v>
      </c>
      <c r="AF315" t="n">
        <v>0</v>
      </c>
      <c r="AG315" t="n">
        <v>0</v>
      </c>
      <c r="AH315" t="n">
        <v>83</v>
      </c>
      <c r="AI315" t="n">
        <v>25</v>
      </c>
      <c r="AJ315" t="n">
        <v>9</v>
      </c>
      <c r="AK315" t="n">
        <v>3</v>
      </c>
      <c r="AL315" t="n">
        <v>3</v>
      </c>
      <c r="AM315" t="n">
        <v>18</v>
      </c>
      <c r="AN315" t="n">
        <v>0</v>
      </c>
      <c r="AO315" t="n">
        <v>0</v>
      </c>
      <c r="AP315" t="n">
        <v>3</v>
      </c>
      <c r="AQ315" t="n">
        <v>33</v>
      </c>
      <c r="AR315" t="n">
        <v>166</v>
      </c>
      <c r="AS315" t="n">
        <v>132</v>
      </c>
      <c r="AT315" t="n">
        <v>3</v>
      </c>
      <c r="AU315" t="n">
        <v>2</v>
      </c>
      <c r="AV315" t="n">
        <v>1</v>
      </c>
      <c r="AW315" t="n">
        <v>19</v>
      </c>
      <c r="AX315" t="n">
        <v>0</v>
      </c>
      <c r="AY315" t="n">
        <v>40</v>
      </c>
      <c r="AZ315" t="n">
        <v>0</v>
      </c>
      <c r="BA315" t="n">
        <v>3</v>
      </c>
      <c r="BB315" t="n">
        <v>51</v>
      </c>
      <c r="BC315" t="n">
        <v>23</v>
      </c>
      <c r="BD315" t="n">
        <v>75</v>
      </c>
      <c r="BE315" t="n">
        <v>27</v>
      </c>
      <c r="BF315" t="n">
        <v>9</v>
      </c>
      <c r="BG315" t="n">
        <v>3</v>
      </c>
      <c r="BH315" t="n">
        <v>8</v>
      </c>
      <c r="BI315" t="n">
        <v>1</v>
      </c>
      <c r="BJ315" t="n">
        <v>9</v>
      </c>
      <c r="BK315" t="n">
        <v>0</v>
      </c>
      <c r="BL315" t="n">
        <v>1</v>
      </c>
      <c r="BM315" t="n">
        <v>69</v>
      </c>
      <c r="BN315" t="n">
        <v>47</v>
      </c>
      <c r="BO315" t="n">
        <v>11</v>
      </c>
    </row>
    <row r="316">
      <c r="A316" t="n">
        <v>0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179</v>
      </c>
      <c r="Z316" t="n">
        <v>117</v>
      </c>
      <c r="AA316" t="n">
        <v>24</v>
      </c>
      <c r="AB316" t="n">
        <v>1</v>
      </c>
      <c r="AC316" t="n">
        <v>2</v>
      </c>
      <c r="AD316" t="n">
        <v>2</v>
      </c>
      <c r="AE316" t="n">
        <v>5</v>
      </c>
      <c r="AF316" t="n">
        <v>3</v>
      </c>
      <c r="AG316" t="n">
        <v>5</v>
      </c>
      <c r="AH316" t="n">
        <v>25</v>
      </c>
      <c r="AI316" t="n">
        <v>32</v>
      </c>
      <c r="AJ316" t="n">
        <v>60</v>
      </c>
      <c r="AK316" t="n">
        <v>28</v>
      </c>
      <c r="AL316" t="n">
        <v>1</v>
      </c>
      <c r="AM316" t="n">
        <v>2</v>
      </c>
      <c r="AN316" t="n">
        <v>0</v>
      </c>
      <c r="AO316" t="n">
        <v>0</v>
      </c>
      <c r="AP316" t="n">
        <v>3</v>
      </c>
      <c r="AQ316" t="n">
        <v>27</v>
      </c>
      <c r="AR316" t="n">
        <v>93</v>
      </c>
      <c r="AS316" t="n">
        <v>70</v>
      </c>
      <c r="AT316" t="n">
        <v>5</v>
      </c>
      <c r="AU316" t="n">
        <v>2</v>
      </c>
      <c r="AV316" t="n">
        <v>37</v>
      </c>
      <c r="AW316" t="n">
        <v>8</v>
      </c>
      <c r="AX316" t="n">
        <v>1</v>
      </c>
      <c r="AY316" t="n">
        <v>22</v>
      </c>
      <c r="AZ316" t="n">
        <v>3</v>
      </c>
      <c r="BA316" t="n">
        <v>45</v>
      </c>
      <c r="BB316" t="n">
        <v>72</v>
      </c>
      <c r="BC316" t="n">
        <v>10</v>
      </c>
      <c r="BD316" t="n">
        <v>22</v>
      </c>
      <c r="BE316" t="n">
        <v>11</v>
      </c>
      <c r="BF316" t="n">
        <v>59</v>
      </c>
      <c r="BG316" t="n">
        <v>1</v>
      </c>
      <c r="BH316" t="n">
        <v>5</v>
      </c>
      <c r="BI316" t="n">
        <v>22</v>
      </c>
      <c r="BJ316" t="n">
        <v>22</v>
      </c>
      <c r="BK316" t="n">
        <v>1</v>
      </c>
      <c r="BL316" t="n">
        <v>19</v>
      </c>
      <c r="BM316" t="n">
        <v>45</v>
      </c>
      <c r="BN316" t="n">
        <v>22</v>
      </c>
      <c r="BO316" t="n">
        <v>2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180</v>
      </c>
      <c r="Z317" t="n">
        <v>173</v>
      </c>
      <c r="AA317" t="n">
        <v>29</v>
      </c>
      <c r="AB317" t="n">
        <v>0</v>
      </c>
      <c r="AC317" t="n">
        <v>1</v>
      </c>
      <c r="AD317" t="n">
        <v>1</v>
      </c>
      <c r="AE317" t="n">
        <v>6</v>
      </c>
      <c r="AF317" t="n">
        <v>4</v>
      </c>
      <c r="AG317" t="n">
        <v>3</v>
      </c>
      <c r="AH317" t="n">
        <v>24</v>
      </c>
      <c r="AI317" t="n">
        <v>60</v>
      </c>
      <c r="AJ317" t="n">
        <v>56</v>
      </c>
      <c r="AK317" t="n">
        <v>13</v>
      </c>
      <c r="AL317" t="n">
        <v>0</v>
      </c>
      <c r="AM317" t="n">
        <v>2</v>
      </c>
      <c r="AN317" t="n">
        <v>0</v>
      </c>
      <c r="AO317" t="n">
        <v>0</v>
      </c>
      <c r="AP317" t="n">
        <v>6</v>
      </c>
      <c r="AQ317" t="n">
        <v>47</v>
      </c>
      <c r="AR317" t="n">
        <v>119</v>
      </c>
      <c r="AS317" t="n">
        <v>80</v>
      </c>
      <c r="AT317" t="n">
        <v>5</v>
      </c>
      <c r="AU317" t="n">
        <v>0</v>
      </c>
      <c r="AV317" t="n">
        <v>31</v>
      </c>
      <c r="AW317" t="n">
        <v>1</v>
      </c>
      <c r="AX317" t="n">
        <v>3</v>
      </c>
      <c r="AY317" t="n">
        <v>41</v>
      </c>
      <c r="AZ317" t="n">
        <v>2</v>
      </c>
      <c r="BA317" t="n">
        <v>17</v>
      </c>
      <c r="BB317" t="n">
        <v>44</v>
      </c>
      <c r="BC317" t="n">
        <v>16</v>
      </c>
      <c r="BD317" t="n">
        <v>20</v>
      </c>
      <c r="BE317" t="n">
        <v>4</v>
      </c>
      <c r="BF317" t="n">
        <v>46</v>
      </c>
      <c r="BG317" t="n">
        <v>1</v>
      </c>
      <c r="BH317" t="n">
        <v>7</v>
      </c>
      <c r="BI317" t="n">
        <v>1</v>
      </c>
      <c r="BJ317" t="n">
        <v>8</v>
      </c>
      <c r="BK317" t="n">
        <v>3</v>
      </c>
      <c r="BL317" t="n">
        <v>18</v>
      </c>
      <c r="BM317" t="n">
        <v>12</v>
      </c>
      <c r="BN317" t="n">
        <v>1</v>
      </c>
      <c r="BO317" t="n">
        <v>4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135</v>
      </c>
      <c r="Z318" t="n">
        <v>296</v>
      </c>
      <c r="AA318" t="n">
        <v>26</v>
      </c>
      <c r="AB318" t="n">
        <v>1</v>
      </c>
      <c r="AC318" t="n">
        <v>1</v>
      </c>
      <c r="AD318" t="n">
        <v>3</v>
      </c>
      <c r="AE318" t="n">
        <v>6</v>
      </c>
      <c r="AF318" t="n">
        <v>3</v>
      </c>
      <c r="AG318" t="n">
        <v>4</v>
      </c>
      <c r="AH318" t="n">
        <v>9</v>
      </c>
      <c r="AI318" t="n">
        <v>33</v>
      </c>
      <c r="AJ318" t="n">
        <v>-1</v>
      </c>
      <c r="AK318" t="n">
        <v>19</v>
      </c>
      <c r="AL318" t="n">
        <v>5</v>
      </c>
      <c r="AM318" t="n">
        <v>35</v>
      </c>
      <c r="AN318" t="n">
        <v>0</v>
      </c>
      <c r="AO318" t="n">
        <v>0</v>
      </c>
      <c r="AP318" t="n">
        <v>2</v>
      </c>
      <c r="AQ318" t="n">
        <v>7</v>
      </c>
      <c r="AR318" t="n">
        <v>170</v>
      </c>
      <c r="AS318" t="n">
        <v>157</v>
      </c>
      <c r="AT318" t="n">
        <v>3</v>
      </c>
      <c r="AU318" t="n">
        <v>4</v>
      </c>
      <c r="AV318" t="n">
        <v>22</v>
      </c>
      <c r="AW318" t="n">
        <v>78</v>
      </c>
      <c r="AX318" t="n">
        <v>7</v>
      </c>
      <c r="AY318" t="n">
        <v>24</v>
      </c>
      <c r="AZ318" t="n">
        <v>3</v>
      </c>
      <c r="BA318" t="n">
        <v>33</v>
      </c>
      <c r="BB318" t="n">
        <v>60</v>
      </c>
      <c r="BC318" t="n">
        <v>29</v>
      </c>
      <c r="BD318" t="n">
        <v>5</v>
      </c>
      <c r="BE318" t="n">
        <v>81</v>
      </c>
      <c r="BF318" t="n">
        <v>1</v>
      </c>
      <c r="BG318" t="n">
        <v>3</v>
      </c>
      <c r="BH318" t="n">
        <v>10</v>
      </c>
      <c r="BI318" t="n">
        <v>20</v>
      </c>
      <c r="BJ318" t="n">
        <v>42</v>
      </c>
      <c r="BK318" t="n">
        <v>2</v>
      </c>
      <c r="BL318" t="n">
        <v>22</v>
      </c>
      <c r="BM318" t="n">
        <v>18</v>
      </c>
      <c r="BN318" t="n">
        <v>3</v>
      </c>
      <c r="BO318" t="n">
        <v>49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192</v>
      </c>
      <c r="Z319" t="n">
        <v>201</v>
      </c>
      <c r="AA319" t="n">
        <v>75</v>
      </c>
      <c r="AB319" t="n">
        <v>1</v>
      </c>
      <c r="AC319" t="n">
        <v>1</v>
      </c>
      <c r="AD319" t="n">
        <v>1</v>
      </c>
      <c r="AE319" t="n">
        <v>4</v>
      </c>
      <c r="AF319" t="n">
        <v>4</v>
      </c>
      <c r="AG319" t="n">
        <v>9</v>
      </c>
      <c r="AH319" t="n">
        <v>23</v>
      </c>
      <c r="AI319" t="n">
        <v>38</v>
      </c>
      <c r="AJ319" t="n">
        <v>14</v>
      </c>
      <c r="AK319" t="n">
        <v>129</v>
      </c>
      <c r="AL319" t="n">
        <v>3</v>
      </c>
      <c r="AM319" t="n">
        <v>48</v>
      </c>
      <c r="AN319" t="n">
        <v>0</v>
      </c>
      <c r="AO319" t="n">
        <v>0</v>
      </c>
      <c r="AP319" t="n">
        <v>6</v>
      </c>
      <c r="AQ319" t="n">
        <v>7</v>
      </c>
      <c r="AR319" t="n">
        <v>69</v>
      </c>
      <c r="AS319" t="n">
        <v>61</v>
      </c>
      <c r="AT319" t="n">
        <v>2</v>
      </c>
      <c r="AU319" t="n">
        <v>2</v>
      </c>
      <c r="AV319" t="n">
        <v>8</v>
      </c>
      <c r="AW319" t="n">
        <v>24</v>
      </c>
      <c r="AX319" t="n">
        <v>0</v>
      </c>
      <c r="AY319" t="n">
        <v>8</v>
      </c>
      <c r="AZ319" t="n">
        <v>0</v>
      </c>
      <c r="BA319" t="n">
        <v>1</v>
      </c>
      <c r="BB319" t="n">
        <v>73</v>
      </c>
      <c r="BC319" t="n">
        <v>44</v>
      </c>
      <c r="BD319" t="n">
        <v>22</v>
      </c>
      <c r="BE319" t="n">
        <v>24</v>
      </c>
      <c r="BF319" t="n">
        <v>11</v>
      </c>
      <c r="BG319" t="n">
        <v>2</v>
      </c>
      <c r="BH319" t="n">
        <v>4</v>
      </c>
      <c r="BI319" t="n">
        <v>22</v>
      </c>
      <c r="BJ319" t="n">
        <v>22</v>
      </c>
      <c r="BK319" t="n">
        <v>3</v>
      </c>
      <c r="BL319" t="n">
        <v>13</v>
      </c>
      <c r="BM319" t="n">
        <v>39</v>
      </c>
      <c r="BN319" t="n">
        <v>21</v>
      </c>
      <c r="BO319" t="n">
        <v>44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2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1</v>
      </c>
      <c r="X320" t="n">
        <v>0</v>
      </c>
      <c r="Y320" t="n">
        <v>193</v>
      </c>
      <c r="Z320" t="n">
        <v>202</v>
      </c>
      <c r="AA320" t="n">
        <v>51</v>
      </c>
      <c r="AB320" t="n">
        <v>2</v>
      </c>
      <c r="AC320" t="n">
        <v>0</v>
      </c>
      <c r="AD320" t="n">
        <v>5</v>
      </c>
      <c r="AE320" t="n">
        <v>8</v>
      </c>
      <c r="AF320" t="n">
        <v>0</v>
      </c>
      <c r="AG320" t="n">
        <v>0</v>
      </c>
      <c r="AH320" t="n">
        <v>72</v>
      </c>
      <c r="AI320" t="n">
        <v>87</v>
      </c>
      <c r="AJ320" t="n">
        <v>19</v>
      </c>
      <c r="AK320" t="n">
        <v>1</v>
      </c>
      <c r="AL320" t="n">
        <v>1</v>
      </c>
      <c r="AM320" t="n">
        <v>24</v>
      </c>
      <c r="AN320" t="n">
        <v>0</v>
      </c>
      <c r="AO320" t="n">
        <v>0</v>
      </c>
      <c r="AP320" t="n">
        <v>3</v>
      </c>
      <c r="AQ320" t="n">
        <v>18</v>
      </c>
      <c r="AR320" t="n">
        <v>21</v>
      </c>
      <c r="AS320" t="n">
        <v>6</v>
      </c>
      <c r="AT320" t="n">
        <v>0</v>
      </c>
      <c r="AU320" t="n">
        <v>2</v>
      </c>
      <c r="AV320" t="n">
        <v>1</v>
      </c>
      <c r="AW320" t="n">
        <v>17</v>
      </c>
      <c r="AX320" t="n">
        <v>1</v>
      </c>
      <c r="AY320" t="n">
        <v>1</v>
      </c>
      <c r="AZ320" t="n">
        <v>0</v>
      </c>
      <c r="BA320" t="n">
        <v>1</v>
      </c>
      <c r="BB320" t="n">
        <v>51</v>
      </c>
      <c r="BC320" t="n">
        <v>19</v>
      </c>
      <c r="BD320" t="n">
        <v>65</v>
      </c>
      <c r="BE320" t="n">
        <v>17</v>
      </c>
      <c r="BF320" t="n">
        <v>17</v>
      </c>
      <c r="BG320" t="n">
        <v>4</v>
      </c>
      <c r="BH320" t="n">
        <v>4</v>
      </c>
      <c r="BI320" t="n">
        <v>82</v>
      </c>
      <c r="BJ320" t="n">
        <v>76</v>
      </c>
      <c r="BK320" t="n">
        <v>4</v>
      </c>
      <c r="BL320" t="n">
        <v>39</v>
      </c>
      <c r="BM320" t="n">
        <v>27</v>
      </c>
      <c r="BN320" t="n">
        <v>0</v>
      </c>
      <c r="BO320" t="n">
        <v>23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249</v>
      </c>
      <c r="Z321" t="n">
        <v>177</v>
      </c>
      <c r="AA321" t="n">
        <v>21</v>
      </c>
      <c r="AB321" t="n">
        <v>1</v>
      </c>
      <c r="AC321" t="n">
        <v>1</v>
      </c>
      <c r="AD321" t="n">
        <v>1</v>
      </c>
      <c r="AE321" t="n">
        <v>6</v>
      </c>
      <c r="AF321" t="n">
        <v>7</v>
      </c>
      <c r="AG321" t="n">
        <v>0</v>
      </c>
      <c r="AH321" t="n">
        <v>57</v>
      </c>
      <c r="AI321" t="n">
        <v>55</v>
      </c>
      <c r="AJ321" t="n">
        <v>110</v>
      </c>
      <c r="AK321" t="n">
        <v>1</v>
      </c>
      <c r="AL321" t="n">
        <v>3</v>
      </c>
      <c r="AM321" t="n">
        <v>18</v>
      </c>
      <c r="AN321" t="n">
        <v>0</v>
      </c>
      <c r="AO321" t="n">
        <v>0</v>
      </c>
      <c r="AP321" t="n">
        <v>5</v>
      </c>
      <c r="AQ321" t="n">
        <v>19</v>
      </c>
      <c r="AR321" t="n">
        <v>176</v>
      </c>
      <c r="AS321" t="n">
        <v>154</v>
      </c>
      <c r="AT321" t="n">
        <v>1</v>
      </c>
      <c r="AU321" t="n">
        <v>2</v>
      </c>
      <c r="AV321" t="n">
        <v>4</v>
      </c>
      <c r="AW321" t="n">
        <v>9</v>
      </c>
      <c r="AX321" t="n">
        <v>0</v>
      </c>
      <c r="AY321" t="n">
        <v>5</v>
      </c>
      <c r="AZ321" t="n">
        <v>6</v>
      </c>
      <c r="BA321" t="n">
        <v>45</v>
      </c>
      <c r="BB321" t="n">
        <v>69</v>
      </c>
      <c r="BC321" t="n">
        <v>19</v>
      </c>
      <c r="BD321" t="n">
        <v>66</v>
      </c>
      <c r="BE321" t="n">
        <v>16</v>
      </c>
      <c r="BF321" t="n">
        <v>100</v>
      </c>
      <c r="BG321" t="n">
        <v>4</v>
      </c>
      <c r="BH321" t="n">
        <v>0</v>
      </c>
      <c r="BI321" t="n">
        <v>42</v>
      </c>
      <c r="BJ321" t="n">
        <v>45</v>
      </c>
      <c r="BK321" t="n">
        <v>3</v>
      </c>
      <c r="BL321" t="n">
        <v>20</v>
      </c>
      <c r="BM321" t="n">
        <v>37</v>
      </c>
      <c r="BN321" t="n">
        <v>17</v>
      </c>
      <c r="BO321" t="n">
        <v>-5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2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255</v>
      </c>
      <c r="Z322" t="n">
        <v>108</v>
      </c>
      <c r="AA322" t="n">
        <v>158</v>
      </c>
      <c r="AB322" t="n">
        <v>1</v>
      </c>
      <c r="AC322" t="n">
        <v>1</v>
      </c>
      <c r="AD322" t="n">
        <v>0</v>
      </c>
      <c r="AE322" t="n">
        <v>10</v>
      </c>
      <c r="AF322" t="n">
        <v>9</v>
      </c>
      <c r="AG322" t="n">
        <v>4</v>
      </c>
      <c r="AH322" t="n">
        <v>6</v>
      </c>
      <c r="AI322" t="n">
        <v>47</v>
      </c>
      <c r="AJ322" t="n">
        <v>170</v>
      </c>
      <c r="AK322" t="n">
        <v>15</v>
      </c>
      <c r="AL322" t="n">
        <v>3</v>
      </c>
      <c r="AM322" t="n">
        <v>35</v>
      </c>
      <c r="AN322" t="n">
        <v>0</v>
      </c>
      <c r="AO322" t="n">
        <v>1</v>
      </c>
      <c r="AP322" t="n">
        <v>4</v>
      </c>
      <c r="AQ322" t="n">
        <v>26</v>
      </c>
      <c r="AR322" t="n">
        <v>174</v>
      </c>
      <c r="AS322" t="n">
        <v>144</v>
      </c>
      <c r="AT322" t="n">
        <v>3</v>
      </c>
      <c r="AU322" t="n">
        <v>2</v>
      </c>
      <c r="AV322" t="n">
        <v>9</v>
      </c>
      <c r="AW322" t="n">
        <v>14</v>
      </c>
      <c r="AX322" t="n">
        <v>6</v>
      </c>
      <c r="AY322" t="n">
        <v>15</v>
      </c>
      <c r="AZ322" t="n">
        <v>4</v>
      </c>
      <c r="BA322" t="n">
        <v>-5</v>
      </c>
      <c r="BB322" t="n">
        <v>141</v>
      </c>
      <c r="BC322" t="n">
        <v>30</v>
      </c>
      <c r="BD322" t="n">
        <v>8</v>
      </c>
      <c r="BE322" t="n">
        <v>15</v>
      </c>
      <c r="BF322" t="n">
        <v>139</v>
      </c>
      <c r="BG322" t="n">
        <v>4</v>
      </c>
      <c r="BH322" t="n">
        <v>3</v>
      </c>
      <c r="BI322" t="n">
        <v>19</v>
      </c>
      <c r="BJ322" t="n">
        <v>18</v>
      </c>
      <c r="BK322" t="n">
        <v>0</v>
      </c>
      <c r="BL322" t="n">
        <v>1</v>
      </c>
      <c r="BM322" t="n">
        <v>22</v>
      </c>
      <c r="BN322" t="n">
        <v>13</v>
      </c>
      <c r="BO322" t="n">
        <v>-5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146</v>
      </c>
      <c r="Z323" t="n">
        <v>86</v>
      </c>
      <c r="AA323" t="n">
        <v>39</v>
      </c>
      <c r="AB323" t="n">
        <v>1</v>
      </c>
      <c r="AC323" t="n">
        <v>1</v>
      </c>
      <c r="AD323" t="n">
        <v>2</v>
      </c>
      <c r="AE323" t="n">
        <v>7</v>
      </c>
      <c r="AF323" t="n">
        <v>4</v>
      </c>
      <c r="AG323" t="n">
        <v>3</v>
      </c>
      <c r="AH323" t="n">
        <v>26</v>
      </c>
      <c r="AI323" t="n">
        <v>21</v>
      </c>
      <c r="AJ323" t="n">
        <v>51</v>
      </c>
      <c r="AK323" t="n">
        <v>7</v>
      </c>
      <c r="AL323" t="n">
        <v>1</v>
      </c>
      <c r="AM323" t="n">
        <v>2</v>
      </c>
      <c r="AN323" t="n">
        <v>0</v>
      </c>
      <c r="AO323" t="n">
        <v>0</v>
      </c>
      <c r="AP323" t="n">
        <v>1</v>
      </c>
      <c r="AQ323" t="n">
        <v>15</v>
      </c>
      <c r="AR323" t="n">
        <v>61</v>
      </c>
      <c r="AS323" t="n">
        <v>48</v>
      </c>
      <c r="AT323" t="n">
        <v>2</v>
      </c>
      <c r="AU323" t="n">
        <v>1</v>
      </c>
      <c r="AV323" t="n">
        <v>1</v>
      </c>
      <c r="AW323" t="n">
        <v>5</v>
      </c>
      <c r="AX323" t="n">
        <v>4</v>
      </c>
      <c r="AY323" t="n">
        <v>12</v>
      </c>
      <c r="AZ323" t="n">
        <v>1</v>
      </c>
      <c r="BA323" t="n">
        <v>4</v>
      </c>
      <c r="BB323" t="n">
        <v>38</v>
      </c>
      <c r="BC323" t="n">
        <v>17</v>
      </c>
      <c r="BD323" t="n">
        <v>24</v>
      </c>
      <c r="BE323" t="n">
        <v>10</v>
      </c>
      <c r="BF323" t="n">
        <v>67</v>
      </c>
      <c r="BG323" t="n">
        <v>1</v>
      </c>
      <c r="BH323" t="n">
        <v>11</v>
      </c>
      <c r="BI323" t="n">
        <v>1</v>
      </c>
      <c r="BJ323" t="n">
        <v>6</v>
      </c>
      <c r="BK323" t="n">
        <v>6</v>
      </c>
      <c r="BL323" t="n">
        <v>22</v>
      </c>
      <c r="BM323" t="n">
        <v>50</v>
      </c>
      <c r="BN323" t="n">
        <v>24</v>
      </c>
      <c r="BO323" t="n">
        <v>28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2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251</v>
      </c>
      <c r="Z324" t="n">
        <v>113</v>
      </c>
      <c r="AA324" t="n">
        <v>95</v>
      </c>
      <c r="AB324" t="n">
        <v>1</v>
      </c>
      <c r="AC324" t="n">
        <v>1</v>
      </c>
      <c r="AD324" t="n">
        <v>7</v>
      </c>
      <c r="AE324" t="n">
        <v>4</v>
      </c>
      <c r="AF324" t="n">
        <v>2</v>
      </c>
      <c r="AG324" t="n">
        <v>2</v>
      </c>
      <c r="AH324" t="n">
        <v>133</v>
      </c>
      <c r="AI324" t="n">
        <v>28</v>
      </c>
      <c r="AJ324" t="n">
        <v>18</v>
      </c>
      <c r="AK324" t="n">
        <v>18</v>
      </c>
      <c r="AL324" t="n">
        <v>3</v>
      </c>
      <c r="AM324" t="n">
        <v>24</v>
      </c>
      <c r="AN324" t="n">
        <v>0</v>
      </c>
      <c r="AO324" t="n">
        <v>0</v>
      </c>
      <c r="AP324" t="n">
        <v>9</v>
      </c>
      <c r="AQ324" t="n">
        <v>68</v>
      </c>
      <c r="AR324" t="n">
        <v>148</v>
      </c>
      <c r="AS324" t="n">
        <v>91</v>
      </c>
      <c r="AT324" t="n">
        <v>1</v>
      </c>
      <c r="AU324" t="n">
        <v>2</v>
      </c>
      <c r="AV324" t="n">
        <v>10</v>
      </c>
      <c r="AW324" t="n">
        <v>13</v>
      </c>
      <c r="AX324" t="n">
        <v>3</v>
      </c>
      <c r="AY324" t="n">
        <v>56</v>
      </c>
      <c r="AZ324" t="n">
        <v>4</v>
      </c>
      <c r="BA324" t="n">
        <v>30</v>
      </c>
      <c r="BB324" t="n">
        <v>121</v>
      </c>
      <c r="BC324" t="n">
        <v>20</v>
      </c>
      <c r="BD324" t="n">
        <v>118</v>
      </c>
      <c r="BE324" t="n">
        <v>15</v>
      </c>
      <c r="BF324" t="n">
        <v>13</v>
      </c>
      <c r="BG324" t="n">
        <v>1</v>
      </c>
      <c r="BH324" t="n">
        <v>14</v>
      </c>
      <c r="BI324" t="n">
        <v>9</v>
      </c>
      <c r="BJ324" t="n">
        <v>4</v>
      </c>
      <c r="BK324" t="n">
        <v>0</v>
      </c>
      <c r="BL324" t="n">
        <v>1</v>
      </c>
      <c r="BM324" t="n">
        <v>22</v>
      </c>
      <c r="BN324" t="n">
        <v>12</v>
      </c>
      <c r="BO324" t="n">
        <v>2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2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295</v>
      </c>
      <c r="Z325" t="n">
        <v>260</v>
      </c>
      <c r="AA325" t="n">
        <v>29</v>
      </c>
      <c r="AB325" t="n">
        <v>3</v>
      </c>
      <c r="AC325" t="n">
        <v>1</v>
      </c>
      <c r="AD325" t="n">
        <v>9</v>
      </c>
      <c r="AE325" t="n">
        <v>7</v>
      </c>
      <c r="AF325" t="n">
        <v>3</v>
      </c>
      <c r="AG325" t="n">
        <v>7</v>
      </c>
      <c r="AH325" t="n">
        <v>46</v>
      </c>
      <c r="AI325" t="n">
        <v>83</v>
      </c>
      <c r="AJ325" t="n">
        <v>11</v>
      </c>
      <c r="AK325" t="n">
        <v>90</v>
      </c>
      <c r="AL325" t="n">
        <v>3</v>
      </c>
      <c r="AM325" t="n">
        <v>22</v>
      </c>
      <c r="AN325" t="n">
        <v>0</v>
      </c>
      <c r="AO325" t="n">
        <v>0</v>
      </c>
      <c r="AP325" t="n">
        <v>2</v>
      </c>
      <c r="AQ325" t="n">
        <v>19</v>
      </c>
      <c r="AR325" t="n">
        <v>146</v>
      </c>
      <c r="AS325" t="n">
        <v>125</v>
      </c>
      <c r="AT325" t="n">
        <v>3</v>
      </c>
      <c r="AU325" t="n">
        <v>1</v>
      </c>
      <c r="AV325" t="n">
        <v>1</v>
      </c>
      <c r="AW325" t="n">
        <v>8</v>
      </c>
      <c r="AX325" t="n">
        <v>2</v>
      </c>
      <c r="AY325" t="n">
        <v>20</v>
      </c>
      <c r="AZ325" t="n">
        <v>3</v>
      </c>
      <c r="BA325" t="n">
        <v>33</v>
      </c>
      <c r="BB325" t="n">
        <v>63</v>
      </c>
      <c r="BC325" t="n">
        <v>16</v>
      </c>
      <c r="BD325" t="n">
        <v>42</v>
      </c>
      <c r="BE325" t="n">
        <v>14</v>
      </c>
      <c r="BF325" t="n">
        <v>9</v>
      </c>
      <c r="BG325" t="n">
        <v>6</v>
      </c>
      <c r="BH325" t="n">
        <v>5</v>
      </c>
      <c r="BI325" t="n">
        <v>142</v>
      </c>
      <c r="BJ325" t="n">
        <v>125</v>
      </c>
      <c r="BK325" t="n">
        <v>3</v>
      </c>
      <c r="BL325" t="n">
        <v>18</v>
      </c>
      <c r="BM325" t="n">
        <v>79</v>
      </c>
      <c r="BN325" t="n">
        <v>48</v>
      </c>
      <c r="BO325" t="n">
        <v>16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255</v>
      </c>
      <c r="Z326" t="n">
        <v>193</v>
      </c>
      <c r="AA326" t="n">
        <v>73</v>
      </c>
      <c r="AB326" t="n">
        <v>4</v>
      </c>
      <c r="AC326" t="n">
        <v>0</v>
      </c>
      <c r="AD326" t="n">
        <v>9</v>
      </c>
      <c r="AE326" t="n">
        <v>0</v>
      </c>
      <c r="AF326" t="n">
        <v>3</v>
      </c>
      <c r="AG326" t="n">
        <v>2</v>
      </c>
      <c r="AH326" t="n">
        <v>114</v>
      </c>
      <c r="AI326" t="n">
        <v>2</v>
      </c>
      <c r="AJ326" t="n">
        <v>25</v>
      </c>
      <c r="AK326" t="n">
        <v>1</v>
      </c>
      <c r="AL326" t="n">
        <v>6</v>
      </c>
      <c r="AM326" t="n">
        <v>113</v>
      </c>
      <c r="AN326" t="n">
        <v>0</v>
      </c>
      <c r="AO326" t="n">
        <v>0</v>
      </c>
      <c r="AP326" t="n">
        <v>6</v>
      </c>
      <c r="AQ326" t="n">
        <v>84</v>
      </c>
      <c r="AR326" t="n">
        <v>101</v>
      </c>
      <c r="AS326" t="n">
        <v>29</v>
      </c>
      <c r="AT326" t="n">
        <v>2</v>
      </c>
      <c r="AU326" t="n">
        <v>1</v>
      </c>
      <c r="AV326" t="n">
        <v>0</v>
      </c>
      <c r="AW326" t="n">
        <v>1</v>
      </c>
      <c r="AX326" t="n">
        <v>0</v>
      </c>
      <c r="AY326" t="n">
        <v>76</v>
      </c>
      <c r="AZ326" t="n">
        <v>2</v>
      </c>
      <c r="BA326" t="n">
        <v>7</v>
      </c>
      <c r="BB326" t="n">
        <v>77</v>
      </c>
      <c r="BC326" t="n">
        <v>93</v>
      </c>
      <c r="BD326" t="n">
        <v>102</v>
      </c>
      <c r="BE326" t="n">
        <v>1</v>
      </c>
      <c r="BF326" t="n">
        <v>20</v>
      </c>
      <c r="BG326" t="n">
        <v>5</v>
      </c>
      <c r="BH326" t="n">
        <v>9</v>
      </c>
      <c r="BI326" t="n">
        <v>44</v>
      </c>
      <c r="BJ326" t="n">
        <v>40</v>
      </c>
      <c r="BK326" t="n">
        <v>3</v>
      </c>
      <c r="BL326" t="n">
        <v>37</v>
      </c>
      <c r="BM326" t="n">
        <v>25</v>
      </c>
      <c r="BN326" t="n">
        <v>0</v>
      </c>
      <c r="BO326" t="n">
        <v>2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2</v>
      </c>
      <c r="U327" t="n">
        <v>0</v>
      </c>
      <c r="V327" t="n">
        <v>0</v>
      </c>
      <c r="W327" t="n">
        <v>0</v>
      </c>
      <c r="X327" t="n">
        <v>0</v>
      </c>
      <c r="Y327" t="n">
        <v>279</v>
      </c>
      <c r="Z327" t="n">
        <v>165</v>
      </c>
      <c r="AA327" t="n">
        <v>68</v>
      </c>
      <c r="AB327" t="n">
        <v>1</v>
      </c>
      <c r="AC327" t="n">
        <v>1</v>
      </c>
      <c r="AD327" t="n">
        <v>3</v>
      </c>
      <c r="AE327" t="n">
        <v>4</v>
      </c>
      <c r="AF327" t="n">
        <v>3</v>
      </c>
      <c r="AG327" t="n">
        <v>0</v>
      </c>
      <c r="AH327" t="n">
        <v>42</v>
      </c>
      <c r="AI327" t="n">
        <v>62</v>
      </c>
      <c r="AJ327" t="n">
        <v>28</v>
      </c>
      <c r="AK327" t="n">
        <v>1</v>
      </c>
      <c r="AL327" t="n">
        <v>2</v>
      </c>
      <c r="AM327" t="n">
        <v>21</v>
      </c>
      <c r="AN327" t="n">
        <v>0</v>
      </c>
      <c r="AO327" t="n">
        <v>0</v>
      </c>
      <c r="AP327" t="n">
        <v>4</v>
      </c>
      <c r="AQ327" t="n">
        <v>24</v>
      </c>
      <c r="AR327" t="n">
        <v>139</v>
      </c>
      <c r="AS327" t="n">
        <v>116</v>
      </c>
      <c r="AT327" t="n">
        <v>1</v>
      </c>
      <c r="AU327" t="n">
        <v>2</v>
      </c>
      <c r="AV327" t="n">
        <v>36</v>
      </c>
      <c r="AW327" t="n">
        <v>16</v>
      </c>
      <c r="AX327" t="n">
        <v>0</v>
      </c>
      <c r="AY327" t="n">
        <v>41</v>
      </c>
      <c r="AZ327" t="n">
        <v>0</v>
      </c>
      <c r="BA327" t="n">
        <v>3</v>
      </c>
      <c r="BB327" t="n">
        <v>66</v>
      </c>
      <c r="BC327" t="n">
        <v>25</v>
      </c>
      <c r="BD327" t="n">
        <v>38</v>
      </c>
      <c r="BE327" t="n">
        <v>18</v>
      </c>
      <c r="BF327" t="n">
        <v>33</v>
      </c>
      <c r="BG327" t="n">
        <v>1</v>
      </c>
      <c r="BH327" t="n">
        <v>13</v>
      </c>
      <c r="BI327" t="n">
        <v>14</v>
      </c>
      <c r="BJ327" t="n">
        <v>49</v>
      </c>
      <c r="BK327" t="n">
        <v>1</v>
      </c>
      <c r="BL327" t="n">
        <v>1</v>
      </c>
      <c r="BM327" t="n">
        <v>3</v>
      </c>
      <c r="BN327" t="n">
        <v>1</v>
      </c>
      <c r="BO327" t="n">
        <v>4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244</v>
      </c>
      <c r="Z328" t="n">
        <v>117</v>
      </c>
      <c r="AA328" t="n">
        <v>75</v>
      </c>
      <c r="AB328" t="n">
        <v>1</v>
      </c>
      <c r="AC328" t="n">
        <v>0</v>
      </c>
      <c r="AD328" t="n">
        <v>1</v>
      </c>
      <c r="AE328" t="n">
        <v>2</v>
      </c>
      <c r="AF328" t="n">
        <v>6</v>
      </c>
      <c r="AG328" t="n">
        <v>3</v>
      </c>
      <c r="AH328" t="n">
        <v>32</v>
      </c>
      <c r="AI328" t="n">
        <v>34</v>
      </c>
      <c r="AJ328" t="n">
        <v>92</v>
      </c>
      <c r="AK328" t="n">
        <v>54</v>
      </c>
      <c r="AL328" t="n">
        <v>3</v>
      </c>
      <c r="AM328" t="n">
        <v>18</v>
      </c>
      <c r="AN328" t="n">
        <v>0</v>
      </c>
      <c r="AO328" t="n">
        <v>0</v>
      </c>
      <c r="AP328" t="n">
        <v>7</v>
      </c>
      <c r="AQ328" t="n">
        <v>61</v>
      </c>
      <c r="AR328" t="n">
        <v>174</v>
      </c>
      <c r="AS328" t="n">
        <v>119</v>
      </c>
      <c r="AT328" t="n">
        <v>6</v>
      </c>
      <c r="AU328" t="n">
        <v>0</v>
      </c>
      <c r="AV328" t="n">
        <v>37</v>
      </c>
      <c r="AW328" t="n">
        <v>4</v>
      </c>
      <c r="AX328" t="n">
        <v>-1</v>
      </c>
      <c r="AY328" t="n">
        <v>22</v>
      </c>
      <c r="AZ328" t="n">
        <v>0</v>
      </c>
      <c r="BA328" t="n">
        <v>12</v>
      </c>
      <c r="BB328" t="n">
        <v>83</v>
      </c>
      <c r="BC328" t="n">
        <v>17</v>
      </c>
      <c r="BD328" t="n">
        <v>33</v>
      </c>
      <c r="BE328" t="n">
        <v>6</v>
      </c>
      <c r="BF328" t="n">
        <v>73</v>
      </c>
      <c r="BG328" t="n">
        <v>2</v>
      </c>
      <c r="BH328" t="n">
        <v>5</v>
      </c>
      <c r="BI328" t="n">
        <v>23</v>
      </c>
      <c r="BJ328" t="n">
        <v>26</v>
      </c>
      <c r="BK328" t="n">
        <v>9</v>
      </c>
      <c r="BL328" t="n">
        <v>58</v>
      </c>
      <c r="BM328" t="n">
        <v>40</v>
      </c>
      <c r="BN328" t="n">
        <v>0</v>
      </c>
      <c r="BO328" t="n">
        <v>2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3</v>
      </c>
      <c r="H329" t="n">
        <v>0</v>
      </c>
      <c r="I329" t="n">
        <v>0</v>
      </c>
      <c r="J329" t="n">
        <v>0</v>
      </c>
      <c r="K329" t="n">
        <v>2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2</v>
      </c>
      <c r="U329" t="n">
        <v>0</v>
      </c>
      <c r="V329" t="n">
        <v>0</v>
      </c>
      <c r="W329" t="n">
        <v>0</v>
      </c>
      <c r="X329" t="n">
        <v>0</v>
      </c>
      <c r="Y329" t="n">
        <v>163</v>
      </c>
      <c r="Z329" t="n">
        <v>230</v>
      </c>
      <c r="AA329" t="n">
        <v>42</v>
      </c>
      <c r="AB329" t="n">
        <v>5</v>
      </c>
      <c r="AC329" t="n">
        <v>2</v>
      </c>
      <c r="AD329" t="n">
        <v>6</v>
      </c>
      <c r="AE329" t="n">
        <v>0</v>
      </c>
      <c r="AF329" t="n">
        <v>0</v>
      </c>
      <c r="AG329" t="n">
        <v>2</v>
      </c>
      <c r="AH329" t="n">
        <v>84</v>
      </c>
      <c r="AI329" t="n">
        <v>2</v>
      </c>
      <c r="AJ329" t="n">
        <v>2</v>
      </c>
      <c r="AK329" t="n">
        <v>69</v>
      </c>
      <c r="AL329" t="n">
        <v>2</v>
      </c>
      <c r="AM329" t="n">
        <v>20</v>
      </c>
      <c r="AN329" t="n">
        <v>0</v>
      </c>
      <c r="AO329" t="n">
        <v>0</v>
      </c>
      <c r="AP329" t="n">
        <v>3</v>
      </c>
      <c r="AQ329" t="n">
        <v>32</v>
      </c>
      <c r="AR329" t="n">
        <v>100</v>
      </c>
      <c r="AS329" t="n">
        <v>72</v>
      </c>
      <c r="AT329" t="n">
        <v>0</v>
      </c>
      <c r="AU329" t="n">
        <v>1</v>
      </c>
      <c r="AV329" t="n">
        <v>5</v>
      </c>
      <c r="AW329" t="n">
        <v>3</v>
      </c>
      <c r="AX329" t="n">
        <v>7</v>
      </c>
      <c r="AY329" t="n">
        <v>1</v>
      </c>
      <c r="AZ329" t="n">
        <v>5</v>
      </c>
      <c r="BA329" t="n">
        <v>42</v>
      </c>
      <c r="BB329" t="n">
        <v>85</v>
      </c>
      <c r="BC329" t="n">
        <v>16</v>
      </c>
      <c r="BD329" t="n">
        <v>75</v>
      </c>
      <c r="BE329" t="n">
        <v>4</v>
      </c>
      <c r="BF329" t="n">
        <v>4</v>
      </c>
      <c r="BG329" t="n">
        <v>0</v>
      </c>
      <c r="BH329" t="n">
        <v>5</v>
      </c>
      <c r="BI329" t="n">
        <v>7</v>
      </c>
      <c r="BJ329" t="n">
        <v>1</v>
      </c>
      <c r="BK329" t="n">
        <v>3</v>
      </c>
      <c r="BL329" t="n">
        <v>13</v>
      </c>
      <c r="BM329" t="n">
        <v>20</v>
      </c>
      <c r="BN329" t="n">
        <v>8</v>
      </c>
      <c r="BO329" t="n">
        <v>4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320</v>
      </c>
      <c r="Z330" t="n">
        <v>209</v>
      </c>
      <c r="AA330" t="n">
        <v>45</v>
      </c>
      <c r="AB330" t="n">
        <v>0</v>
      </c>
      <c r="AC330" t="n">
        <v>0</v>
      </c>
      <c r="AD330" t="n">
        <v>6</v>
      </c>
      <c r="AE330" t="n">
        <v>4</v>
      </c>
      <c r="AF330" t="n">
        <v>2</v>
      </c>
      <c r="AG330" t="n">
        <v>3</v>
      </c>
      <c r="AH330" t="n">
        <v>103</v>
      </c>
      <c r="AI330" t="n">
        <v>42</v>
      </c>
      <c r="AJ330" t="n">
        <v>37</v>
      </c>
      <c r="AK330" t="n">
        <v>24</v>
      </c>
      <c r="AL330" t="n">
        <v>8</v>
      </c>
      <c r="AM330" t="n">
        <v>79</v>
      </c>
      <c r="AN330" t="n">
        <v>0</v>
      </c>
      <c r="AO330" t="n">
        <v>0</v>
      </c>
      <c r="AP330" t="n">
        <v>3</v>
      </c>
      <c r="AQ330" t="n">
        <v>10</v>
      </c>
      <c r="AR330" t="n">
        <v>126</v>
      </c>
      <c r="AS330" t="n">
        <v>111</v>
      </c>
      <c r="AT330" t="n">
        <v>3</v>
      </c>
      <c r="AU330" t="n">
        <v>2</v>
      </c>
      <c r="AV330" t="n">
        <v>78</v>
      </c>
      <c r="AW330" t="n">
        <v>30</v>
      </c>
      <c r="AX330" t="n">
        <v>0</v>
      </c>
      <c r="AY330" t="n">
        <v>29</v>
      </c>
      <c r="AZ330" t="n">
        <v>0</v>
      </c>
      <c r="BA330" t="n">
        <v>1</v>
      </c>
      <c r="BB330" t="n">
        <v>45</v>
      </c>
      <c r="BC330" t="n">
        <v>65</v>
      </c>
      <c r="BD330" t="n">
        <v>95</v>
      </c>
      <c r="BE330" t="n">
        <v>30</v>
      </c>
      <c r="BF330" t="n">
        <v>61</v>
      </c>
      <c r="BG330" t="n">
        <v>0</v>
      </c>
      <c r="BH330" t="n">
        <v>10</v>
      </c>
      <c r="BI330" t="n">
        <v>1</v>
      </c>
      <c r="BJ330" t="n">
        <v>1</v>
      </c>
      <c r="BK330" t="n">
        <v>3</v>
      </c>
      <c r="BL330" t="n">
        <v>31</v>
      </c>
      <c r="BM330" t="n">
        <v>42</v>
      </c>
      <c r="BN330" t="n">
        <v>15</v>
      </c>
      <c r="BO330" t="n">
        <v>25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0</v>
      </c>
      <c r="V331" t="n">
        <v>0</v>
      </c>
      <c r="W331" t="n">
        <v>0</v>
      </c>
      <c r="X331" t="n">
        <v>0</v>
      </c>
      <c r="Y331" t="n">
        <v>59</v>
      </c>
      <c r="Z331" t="n">
        <v>103</v>
      </c>
      <c r="AA331" t="n">
        <v>23</v>
      </c>
      <c r="AB331" t="n">
        <v>2</v>
      </c>
      <c r="AC331" t="n">
        <v>0</v>
      </c>
      <c r="AD331" t="n">
        <v>1</v>
      </c>
      <c r="AE331" t="n">
        <v>4</v>
      </c>
      <c r="AF331" t="n">
        <v>2</v>
      </c>
      <c r="AG331" t="n">
        <v>3</v>
      </c>
      <c r="AH331" t="n">
        <v>2</v>
      </c>
      <c r="AI331" t="n">
        <v>45</v>
      </c>
      <c r="AJ331" t="n">
        <v>33</v>
      </c>
      <c r="AK331" t="n">
        <v>33</v>
      </c>
      <c r="AL331" t="n">
        <v>2</v>
      </c>
      <c r="AM331" t="n">
        <v>2</v>
      </c>
      <c r="AN331" t="n">
        <v>0</v>
      </c>
      <c r="AO331" t="n">
        <v>0</v>
      </c>
      <c r="AP331" t="n">
        <v>1</v>
      </c>
      <c r="AQ331" t="n">
        <v>12</v>
      </c>
      <c r="AR331" t="n">
        <v>39</v>
      </c>
      <c r="AS331" t="n">
        <v>29</v>
      </c>
      <c r="AT331" t="n">
        <v>0</v>
      </c>
      <c r="AU331" t="n">
        <v>1</v>
      </c>
      <c r="AV331" t="n">
        <v>1</v>
      </c>
      <c r="AW331" t="n">
        <v>8</v>
      </c>
      <c r="AX331" t="n">
        <v>3</v>
      </c>
      <c r="AY331" t="n">
        <v>29</v>
      </c>
      <c r="AZ331" t="n">
        <v>3</v>
      </c>
      <c r="BA331" t="n">
        <v>14</v>
      </c>
      <c r="BB331" t="n">
        <v>36</v>
      </c>
      <c r="BC331" t="n">
        <v>8</v>
      </c>
      <c r="BD331" t="n">
        <v>9</v>
      </c>
      <c r="BE331" t="n">
        <v>6</v>
      </c>
      <c r="BF331" t="n">
        <v>26</v>
      </c>
      <c r="BG331" t="n">
        <v>0</v>
      </c>
      <c r="BH331" t="n">
        <v>1</v>
      </c>
      <c r="BI331" t="n">
        <v>1</v>
      </c>
      <c r="BJ331" t="n">
        <v>10</v>
      </c>
      <c r="BK331" t="n">
        <v>4</v>
      </c>
      <c r="BL331" t="n">
        <v>36</v>
      </c>
      <c r="BM331" t="n">
        <v>46</v>
      </c>
      <c r="BN331" t="n">
        <v>16</v>
      </c>
      <c r="BO331" t="n">
        <v>2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225</v>
      </c>
      <c r="Z332" t="n">
        <v>195</v>
      </c>
      <c r="AA332" t="n">
        <v>44</v>
      </c>
      <c r="AB332" t="n">
        <v>2</v>
      </c>
      <c r="AC332" t="n">
        <v>0</v>
      </c>
      <c r="AD332" t="n">
        <v>6</v>
      </c>
      <c r="AE332" t="n">
        <v>4</v>
      </c>
      <c r="AF332" t="n">
        <v>1</v>
      </c>
      <c r="AG332" t="n">
        <v>2</v>
      </c>
      <c r="AH332" t="n">
        <v>48</v>
      </c>
      <c r="AI332" t="n">
        <v>72</v>
      </c>
      <c r="AJ332" t="n">
        <v>13</v>
      </c>
      <c r="AK332" t="n">
        <v>12</v>
      </c>
      <c r="AL332" t="n">
        <v>5</v>
      </c>
      <c r="AM332" t="n">
        <v>59</v>
      </c>
      <c r="AN332" t="n">
        <v>0</v>
      </c>
      <c r="AO332" t="n">
        <v>0</v>
      </c>
      <c r="AP332" t="n">
        <v>0</v>
      </c>
      <c r="AQ332" t="n">
        <v>1</v>
      </c>
      <c r="AR332" t="n">
        <v>94</v>
      </c>
      <c r="AS332" t="n">
        <v>86</v>
      </c>
      <c r="AT332" t="n">
        <v>0</v>
      </c>
      <c r="AU332" t="n">
        <v>2</v>
      </c>
      <c r="AV332" t="n">
        <v>1</v>
      </c>
      <c r="AW332" t="n">
        <v>13</v>
      </c>
      <c r="AX332" t="n">
        <v>21</v>
      </c>
      <c r="AY332" t="n">
        <v>26</v>
      </c>
      <c r="AZ332" t="n">
        <v>5</v>
      </c>
      <c r="BA332" t="n">
        <v>22</v>
      </c>
      <c r="BB332" t="n">
        <v>64</v>
      </c>
      <c r="BC332" t="n">
        <v>81</v>
      </c>
      <c r="BD332" t="n">
        <v>59</v>
      </c>
      <c r="BE332" t="n">
        <v>12</v>
      </c>
      <c r="BF332" t="n">
        <v>16</v>
      </c>
      <c r="BG332" t="n">
        <v>1</v>
      </c>
      <c r="BH332" t="n">
        <v>5</v>
      </c>
      <c r="BI332" t="n">
        <v>51</v>
      </c>
      <c r="BJ332" t="n">
        <v>47</v>
      </c>
      <c r="BK332" t="n">
        <v>2</v>
      </c>
      <c r="BL332" t="n">
        <v>9</v>
      </c>
      <c r="BM332" t="n">
        <v>12</v>
      </c>
      <c r="BN332" t="n">
        <v>4</v>
      </c>
      <c r="BO332" t="n">
        <v>2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2</v>
      </c>
      <c r="X333" t="n">
        <v>0</v>
      </c>
      <c r="Y333" t="n">
        <v>274</v>
      </c>
      <c r="Z333" t="n">
        <v>384</v>
      </c>
      <c r="AA333" t="n">
        <v>80</v>
      </c>
      <c r="AB333" t="n">
        <v>1</v>
      </c>
      <c r="AC333" t="n">
        <v>0</v>
      </c>
      <c r="AD333" t="n">
        <v>5</v>
      </c>
      <c r="AE333" t="n">
        <v>3</v>
      </c>
      <c r="AF333" t="n">
        <v>7</v>
      </c>
      <c r="AG333" t="n">
        <v>0</v>
      </c>
      <c r="AH333" t="n">
        <v>50</v>
      </c>
      <c r="AI333" t="n">
        <v>40</v>
      </c>
      <c r="AJ333" t="n">
        <v>101</v>
      </c>
      <c r="AK333" t="n">
        <v>1</v>
      </c>
      <c r="AL333" t="n">
        <v>7</v>
      </c>
      <c r="AM333" t="n">
        <v>210</v>
      </c>
      <c r="AN333" t="n">
        <v>0</v>
      </c>
      <c r="AO333" t="n">
        <v>0</v>
      </c>
      <c r="AP333" t="n">
        <v>3</v>
      </c>
      <c r="AQ333" t="n">
        <v>24</v>
      </c>
      <c r="AR333" t="n">
        <v>79</v>
      </c>
      <c r="AS333" t="n">
        <v>58</v>
      </c>
      <c r="AT333" t="n">
        <v>2</v>
      </c>
      <c r="AU333" t="n">
        <v>2</v>
      </c>
      <c r="AV333" t="n">
        <v>39</v>
      </c>
      <c r="AW333" t="n">
        <v>26</v>
      </c>
      <c r="AX333" t="n">
        <v>0</v>
      </c>
      <c r="AY333" t="n">
        <v>34</v>
      </c>
      <c r="AZ333" t="n">
        <v>1</v>
      </c>
      <c r="BA333" t="n">
        <v>60</v>
      </c>
      <c r="BB333" t="n">
        <v>141</v>
      </c>
      <c r="BC333" t="n">
        <v>170</v>
      </c>
      <c r="BD333" t="n">
        <v>51</v>
      </c>
      <c r="BE333" t="n">
        <v>28</v>
      </c>
      <c r="BF333" t="n">
        <v>81</v>
      </c>
      <c r="BG333" t="n">
        <v>2</v>
      </c>
      <c r="BH333" t="n">
        <v>2</v>
      </c>
      <c r="BI333" t="n">
        <v>17</v>
      </c>
      <c r="BJ333" t="n">
        <v>25</v>
      </c>
      <c r="BK333" t="n">
        <v>1</v>
      </c>
      <c r="BL333" t="n">
        <v>1</v>
      </c>
      <c r="BM333" t="n">
        <v>14</v>
      </c>
      <c r="BN333" t="n">
        <v>8</v>
      </c>
      <c r="BO333" t="n">
        <v>2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141</v>
      </c>
      <c r="Z334" t="n">
        <v>155</v>
      </c>
      <c r="AA334" t="n">
        <v>35</v>
      </c>
      <c r="AB334" t="n">
        <v>2</v>
      </c>
      <c r="AC334" t="n">
        <v>1</v>
      </c>
      <c r="AD334" t="n">
        <v>0</v>
      </c>
      <c r="AE334" t="n">
        <v>7</v>
      </c>
      <c r="AF334" t="n">
        <v>1</v>
      </c>
      <c r="AG334" t="n">
        <v>2</v>
      </c>
      <c r="AH334" t="n">
        <v>6</v>
      </c>
      <c r="AI334" t="n">
        <v>19</v>
      </c>
      <c r="AJ334" t="n">
        <v>7</v>
      </c>
      <c r="AK334" t="n">
        <v>10</v>
      </c>
      <c r="AL334" t="n">
        <v>4</v>
      </c>
      <c r="AM334" t="n">
        <v>57</v>
      </c>
      <c r="AN334" t="n">
        <v>0</v>
      </c>
      <c r="AO334" t="n">
        <v>1</v>
      </c>
      <c r="AP334" t="n">
        <v>3</v>
      </c>
      <c r="AQ334" t="n">
        <v>10</v>
      </c>
      <c r="AR334" t="n">
        <v>64</v>
      </c>
      <c r="AS334" t="n">
        <v>54</v>
      </c>
      <c r="AT334" t="n">
        <v>9</v>
      </c>
      <c r="AU334" t="n">
        <v>2</v>
      </c>
      <c r="AV334" t="n">
        <v>58</v>
      </c>
      <c r="AW334" t="n">
        <v>24</v>
      </c>
      <c r="AX334" t="n">
        <v>0</v>
      </c>
      <c r="AY334" t="n">
        <v>67</v>
      </c>
      <c r="AZ334" t="n">
        <v>1</v>
      </c>
      <c r="BA334" t="n">
        <v>17</v>
      </c>
      <c r="BB334" t="n">
        <v>51</v>
      </c>
      <c r="BC334" t="n">
        <v>53</v>
      </c>
      <c r="BD334" t="n">
        <v>10</v>
      </c>
      <c r="BE334" t="n">
        <v>23</v>
      </c>
      <c r="BF334" t="n">
        <v>11</v>
      </c>
      <c r="BG334" t="n">
        <v>0</v>
      </c>
      <c r="BH334" t="n">
        <v>0</v>
      </c>
      <c r="BI334" t="n">
        <v>1</v>
      </c>
      <c r="BJ334" t="n">
        <v>1</v>
      </c>
      <c r="BK334" t="n">
        <v>8</v>
      </c>
      <c r="BL334" t="n">
        <v>19</v>
      </c>
      <c r="BM334" t="n">
        <v>12</v>
      </c>
      <c r="BN334" t="n">
        <v>0</v>
      </c>
      <c r="BO334" t="n">
        <v>49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364</v>
      </c>
      <c r="Z335" t="n">
        <v>343</v>
      </c>
      <c r="AA335" t="n">
        <v>61</v>
      </c>
      <c r="AB335" t="n">
        <v>1</v>
      </c>
      <c r="AC335" t="n">
        <v>0</v>
      </c>
      <c r="AD335" t="n">
        <v>6</v>
      </c>
      <c r="AE335" t="n">
        <v>7</v>
      </c>
      <c r="AF335" t="n">
        <v>1</v>
      </c>
      <c r="AG335" t="n">
        <v>3</v>
      </c>
      <c r="AH335" t="n">
        <v>129</v>
      </c>
      <c r="AI335" t="n">
        <v>44</v>
      </c>
      <c r="AJ335" t="n">
        <v>25</v>
      </c>
      <c r="AK335" t="n">
        <v>22</v>
      </c>
      <c r="AL335" t="n">
        <v>2</v>
      </c>
      <c r="AM335" t="n">
        <v>109</v>
      </c>
      <c r="AN335" t="n">
        <v>0</v>
      </c>
      <c r="AO335" t="n">
        <v>0</v>
      </c>
      <c r="AP335" t="n">
        <v>1</v>
      </c>
      <c r="AQ335" t="n">
        <v>1</v>
      </c>
      <c r="AR335" t="n">
        <v>126</v>
      </c>
      <c r="AS335" t="n">
        <v>114</v>
      </c>
      <c r="AT335" t="n">
        <v>3</v>
      </c>
      <c r="AU335" t="n">
        <v>4</v>
      </c>
      <c r="AV335" t="n">
        <v>15</v>
      </c>
      <c r="AW335" t="n">
        <v>76</v>
      </c>
      <c r="AX335" t="n">
        <v>6</v>
      </c>
      <c r="AY335" t="n">
        <v>1</v>
      </c>
      <c r="AZ335" t="n">
        <v>1</v>
      </c>
      <c r="BA335" t="n">
        <v>2</v>
      </c>
      <c r="BB335" t="n">
        <v>59</v>
      </c>
      <c r="BC335" t="n">
        <v>88</v>
      </c>
      <c r="BD335" t="n">
        <v>126</v>
      </c>
      <c r="BE335" t="n">
        <v>76</v>
      </c>
      <c r="BF335" t="n">
        <v>20</v>
      </c>
      <c r="BG335" t="n">
        <v>2</v>
      </c>
      <c r="BH335" t="n">
        <v>45</v>
      </c>
      <c r="BI335" t="n">
        <v>16</v>
      </c>
      <c r="BJ335" t="n">
        <v>14</v>
      </c>
      <c r="BK335" t="n">
        <v>4</v>
      </c>
      <c r="BL335" t="n">
        <v>1</v>
      </c>
      <c r="BM335" t="n">
        <v>30</v>
      </c>
      <c r="BN335" t="n">
        <v>17</v>
      </c>
      <c r="BO335" t="n">
        <v>2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3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277</v>
      </c>
      <c r="Z336" t="n">
        <v>136</v>
      </c>
      <c r="AA336" t="n">
        <v>38</v>
      </c>
      <c r="AB336" t="n">
        <v>2</v>
      </c>
      <c r="AC336" t="n">
        <v>3</v>
      </c>
      <c r="AD336" t="n">
        <v>10</v>
      </c>
      <c r="AE336" t="n">
        <v>3</v>
      </c>
      <c r="AF336" t="n">
        <v>2</v>
      </c>
      <c r="AG336" t="n">
        <v>5</v>
      </c>
      <c r="AH336" t="n">
        <v>114</v>
      </c>
      <c r="AI336" t="n">
        <v>59</v>
      </c>
      <c r="AJ336" t="n">
        <v>51</v>
      </c>
      <c r="AK336" t="n">
        <v>32</v>
      </c>
      <c r="AL336" t="n">
        <v>5</v>
      </c>
      <c r="AM336" t="n">
        <v>20</v>
      </c>
      <c r="AN336" t="n">
        <v>0</v>
      </c>
      <c r="AO336" t="n">
        <v>0</v>
      </c>
      <c r="AP336" t="n">
        <v>0</v>
      </c>
      <c r="AQ336" t="n">
        <v>16</v>
      </c>
      <c r="AR336" t="n">
        <v>78</v>
      </c>
      <c r="AS336" t="n">
        <v>63</v>
      </c>
      <c r="AT336" t="n">
        <v>2</v>
      </c>
      <c r="AU336" t="n">
        <v>2</v>
      </c>
      <c r="AV336" t="n">
        <v>8</v>
      </c>
      <c r="AW336" t="n">
        <v>19</v>
      </c>
      <c r="AX336" t="n">
        <v>7</v>
      </c>
      <c r="AY336" t="n">
        <v>35</v>
      </c>
      <c r="AZ336" t="n">
        <v>0</v>
      </c>
      <c r="BA336" t="n">
        <v>1</v>
      </c>
      <c r="BB336" t="n">
        <v>37</v>
      </c>
      <c r="BC336" t="n">
        <v>22</v>
      </c>
      <c r="BD336" t="n">
        <v>104</v>
      </c>
      <c r="BE336" t="n">
        <v>18</v>
      </c>
      <c r="BF336" t="n">
        <v>42</v>
      </c>
      <c r="BG336" t="n">
        <v>2</v>
      </c>
      <c r="BH336" t="n">
        <v>6</v>
      </c>
      <c r="BI336" t="n">
        <v>53</v>
      </c>
      <c r="BJ336" t="n">
        <v>70</v>
      </c>
      <c r="BK336" t="n">
        <v>0</v>
      </c>
      <c r="BL336" t="n">
        <v>1</v>
      </c>
      <c r="BM336" t="n">
        <v>20</v>
      </c>
      <c r="BN336" t="n">
        <v>12</v>
      </c>
      <c r="BO336" t="n">
        <v>2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274</v>
      </c>
      <c r="Z337" t="n">
        <v>135</v>
      </c>
      <c r="AA337" t="n">
        <v>36</v>
      </c>
      <c r="AB337" t="n">
        <v>0</v>
      </c>
      <c r="AC337" t="n">
        <v>0</v>
      </c>
      <c r="AD337" t="n">
        <v>5</v>
      </c>
      <c r="AE337" t="n">
        <v>5</v>
      </c>
      <c r="AF337" t="n">
        <v>2</v>
      </c>
      <c r="AG337" t="n">
        <v>0</v>
      </c>
      <c r="AH337" t="n">
        <v>82</v>
      </c>
      <c r="AI337" t="n">
        <v>113</v>
      </c>
      <c r="AJ337" t="n">
        <v>29</v>
      </c>
      <c r="AK337" t="n">
        <v>1</v>
      </c>
      <c r="AL337" t="n">
        <v>0</v>
      </c>
      <c r="AM337" t="n">
        <v>2</v>
      </c>
      <c r="AN337" t="n">
        <v>0</v>
      </c>
      <c r="AO337" t="n">
        <v>0</v>
      </c>
      <c r="AP337" t="n">
        <v>6</v>
      </c>
      <c r="AQ337" t="n">
        <v>36</v>
      </c>
      <c r="AR337" t="n">
        <v>160</v>
      </c>
      <c r="AS337" t="n">
        <v>125</v>
      </c>
      <c r="AT337" t="n">
        <v>3</v>
      </c>
      <c r="AU337" t="n">
        <v>1</v>
      </c>
      <c r="AV337" t="n">
        <v>39</v>
      </c>
      <c r="AW337" t="n">
        <v>9</v>
      </c>
      <c r="AX337" t="n">
        <v>4</v>
      </c>
      <c r="AY337" t="n">
        <v>36</v>
      </c>
      <c r="AZ337" t="n">
        <v>0</v>
      </c>
      <c r="BA337" t="n">
        <v>1</v>
      </c>
      <c r="BB337" t="n">
        <v>36</v>
      </c>
      <c r="BC337" t="n">
        <v>23</v>
      </c>
      <c r="BD337" t="n">
        <v>76</v>
      </c>
      <c r="BE337" t="n">
        <v>9</v>
      </c>
      <c r="BF337" t="n">
        <v>23</v>
      </c>
      <c r="BG337" t="n">
        <v>1</v>
      </c>
      <c r="BH337" t="n">
        <v>14</v>
      </c>
      <c r="BI337" t="n">
        <v>13</v>
      </c>
      <c r="BJ337" t="n">
        <v>22</v>
      </c>
      <c r="BK337" t="n">
        <v>1</v>
      </c>
      <c r="BL337" t="n">
        <v>9</v>
      </c>
      <c r="BM337" t="n">
        <v>16</v>
      </c>
      <c r="BN337" t="n">
        <v>7</v>
      </c>
      <c r="BO337" t="n">
        <v>70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398</v>
      </c>
      <c r="Z338" t="n">
        <v>248</v>
      </c>
      <c r="AA338" t="n">
        <v>38</v>
      </c>
      <c r="AB338" t="n">
        <v>0</v>
      </c>
      <c r="AC338" t="n">
        <v>3</v>
      </c>
      <c r="AD338" t="n">
        <v>8</v>
      </c>
      <c r="AE338" t="n">
        <v>9</v>
      </c>
      <c r="AF338" t="n">
        <v>7</v>
      </c>
      <c r="AG338" t="n">
        <v>7</v>
      </c>
      <c r="AH338" t="n">
        <v>145</v>
      </c>
      <c r="AI338" t="n">
        <v>73</v>
      </c>
      <c r="AJ338" t="n">
        <v>58</v>
      </c>
      <c r="AK338" t="n">
        <v>18</v>
      </c>
      <c r="AL338" t="n">
        <v>3</v>
      </c>
      <c r="AM338" t="n">
        <v>16</v>
      </c>
      <c r="AN338" t="n">
        <v>0</v>
      </c>
      <c r="AO338" t="n">
        <v>0</v>
      </c>
      <c r="AP338" t="n">
        <v>3</v>
      </c>
      <c r="AQ338" t="n">
        <v>44</v>
      </c>
      <c r="AR338" t="n">
        <v>139</v>
      </c>
      <c r="AS338" t="n">
        <v>101</v>
      </c>
      <c r="AT338" t="n">
        <v>3</v>
      </c>
      <c r="AU338" t="n">
        <v>2</v>
      </c>
      <c r="AV338" t="n">
        <v>44</v>
      </c>
      <c r="AW338" t="n">
        <v>23</v>
      </c>
      <c r="AX338" t="n">
        <v>9</v>
      </c>
      <c r="AY338" t="n">
        <v>31</v>
      </c>
      <c r="AZ338" t="n">
        <v>0</v>
      </c>
      <c r="BA338" t="n">
        <v>1</v>
      </c>
      <c r="BB338" t="n">
        <v>37</v>
      </c>
      <c r="BC338" t="n">
        <v>12</v>
      </c>
      <c r="BD338" t="n">
        <v>152</v>
      </c>
      <c r="BE338" t="n">
        <v>23</v>
      </c>
      <c r="BF338" t="n">
        <v>47</v>
      </c>
      <c r="BG338" t="n">
        <v>3</v>
      </c>
      <c r="BH338" t="n">
        <v>32</v>
      </c>
      <c r="BI338" t="n">
        <v>16</v>
      </c>
      <c r="BJ338" t="n">
        <v>65</v>
      </c>
      <c r="BK338" t="n">
        <v>5</v>
      </c>
      <c r="BL338" t="n">
        <v>56</v>
      </c>
      <c r="BM338" t="n">
        <v>49</v>
      </c>
      <c r="BN338" t="n">
        <v>8</v>
      </c>
      <c r="BO338" t="n">
        <v>16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3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200</v>
      </c>
      <c r="Z339" t="n">
        <v>293</v>
      </c>
      <c r="AA339" t="n">
        <v>34</v>
      </c>
      <c r="AB339" t="n">
        <v>2</v>
      </c>
      <c r="AC339" t="n">
        <v>0</v>
      </c>
      <c r="AD339" t="n">
        <v>3</v>
      </c>
      <c r="AE339" t="n">
        <v>0</v>
      </c>
      <c r="AF339" t="n">
        <v>4</v>
      </c>
      <c r="AG339" t="n">
        <v>4</v>
      </c>
      <c r="AH339" t="n">
        <v>52</v>
      </c>
      <c r="AI339" t="n">
        <v>8</v>
      </c>
      <c r="AJ339" t="n">
        <v>28</v>
      </c>
      <c r="AK339" t="n">
        <v>78</v>
      </c>
      <c r="AL339" t="n">
        <v>3</v>
      </c>
      <c r="AM339" t="n">
        <v>136</v>
      </c>
      <c r="AN339" t="n">
        <v>0</v>
      </c>
      <c r="AO339" t="n">
        <v>0</v>
      </c>
      <c r="AP339" t="n">
        <v>3</v>
      </c>
      <c r="AQ339" t="n">
        <v>7</v>
      </c>
      <c r="AR339" t="n">
        <v>86</v>
      </c>
      <c r="AS339" t="n">
        <v>79</v>
      </c>
      <c r="AT339" t="n">
        <v>1</v>
      </c>
      <c r="AU339" t="n">
        <v>0</v>
      </c>
      <c r="AV339" t="n">
        <v>6</v>
      </c>
      <c r="AW339" t="n">
        <v>3</v>
      </c>
      <c r="AX339" t="n">
        <v>0</v>
      </c>
      <c r="AY339" t="n">
        <v>20</v>
      </c>
      <c r="AZ339" t="n">
        <v>6</v>
      </c>
      <c r="BA339" t="n">
        <v>31</v>
      </c>
      <c r="BB339" t="n">
        <v>65</v>
      </c>
      <c r="BC339" t="n">
        <v>111</v>
      </c>
      <c r="BD339" t="n">
        <v>46</v>
      </c>
      <c r="BE339" t="n">
        <v>1</v>
      </c>
      <c r="BF339" t="n">
        <v>30</v>
      </c>
      <c r="BG339" t="n">
        <v>0</v>
      </c>
      <c r="BH339" t="n">
        <v>3</v>
      </c>
      <c r="BI339" t="n">
        <v>13</v>
      </c>
      <c r="BJ339" t="n">
        <v>12</v>
      </c>
      <c r="BK339" t="n">
        <v>0</v>
      </c>
      <c r="BL339" t="n">
        <v>1</v>
      </c>
      <c r="BM339" t="n">
        <v>10</v>
      </c>
      <c r="BN339" t="n">
        <v>5</v>
      </c>
      <c r="BO339" t="n">
        <v>2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379</v>
      </c>
      <c r="Z340" t="n">
        <v>287</v>
      </c>
      <c r="AA340" t="n">
        <v>52</v>
      </c>
      <c r="AB340" t="n">
        <v>1</v>
      </c>
      <c r="AC340" t="n">
        <v>1</v>
      </c>
      <c r="AD340" t="n">
        <v>2</v>
      </c>
      <c r="AE340" t="n">
        <v>6</v>
      </c>
      <c r="AF340" t="n">
        <v>3</v>
      </c>
      <c r="AG340" t="n">
        <v>8</v>
      </c>
      <c r="AH340" t="n">
        <v>66</v>
      </c>
      <c r="AI340" t="n">
        <v>72</v>
      </c>
      <c r="AJ340" t="n">
        <v>38</v>
      </c>
      <c r="AK340" t="n">
        <v>152</v>
      </c>
      <c r="AL340" t="n">
        <v>1</v>
      </c>
      <c r="AM340" t="n">
        <v>13</v>
      </c>
      <c r="AN340" t="n">
        <v>0</v>
      </c>
      <c r="AO340" t="n">
        <v>0</v>
      </c>
      <c r="AP340" t="n">
        <v>6</v>
      </c>
      <c r="AQ340" t="n">
        <v>47</v>
      </c>
      <c r="AR340" t="n">
        <v>133</v>
      </c>
      <c r="AS340" t="n">
        <v>94</v>
      </c>
      <c r="AT340" t="n">
        <v>4</v>
      </c>
      <c r="AU340" t="n">
        <v>1</v>
      </c>
      <c r="AV340" t="n">
        <v>48</v>
      </c>
      <c r="AW340" t="n">
        <v>17</v>
      </c>
      <c r="AX340" t="n">
        <v>0</v>
      </c>
      <c r="AY340" t="n">
        <v>23</v>
      </c>
      <c r="AZ340" t="n">
        <v>2</v>
      </c>
      <c r="BA340" t="n">
        <v>14</v>
      </c>
      <c r="BB340" t="n">
        <v>63</v>
      </c>
      <c r="BC340" t="n">
        <v>15</v>
      </c>
      <c r="BD340" t="n">
        <v>58</v>
      </c>
      <c r="BE340" t="n">
        <v>19</v>
      </c>
      <c r="BF340" t="n">
        <v>30</v>
      </c>
      <c r="BG340" t="n">
        <v>2</v>
      </c>
      <c r="BH340" t="n">
        <v>21</v>
      </c>
      <c r="BI340" t="n">
        <v>14</v>
      </c>
      <c r="BJ340" t="n">
        <v>12</v>
      </c>
      <c r="BK340" t="n">
        <v>6</v>
      </c>
      <c r="BL340" t="n">
        <v>28</v>
      </c>
      <c r="BM340" t="n">
        <v>25</v>
      </c>
      <c r="BN340" t="n">
        <v>5</v>
      </c>
      <c r="BO340" t="n">
        <v>2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166</v>
      </c>
      <c r="Z341" t="n">
        <v>167</v>
      </c>
      <c r="AA341" t="n">
        <v>5</v>
      </c>
      <c r="AB341" t="n">
        <v>1</v>
      </c>
      <c r="AC341" t="n">
        <v>0</v>
      </c>
      <c r="AD341" t="n">
        <v>5</v>
      </c>
      <c r="AE341" t="n">
        <v>5</v>
      </c>
      <c r="AF341" t="n">
        <v>7</v>
      </c>
      <c r="AG341" t="n">
        <v>0</v>
      </c>
      <c r="AH341" t="n">
        <v>12</v>
      </c>
      <c r="AI341" t="n">
        <v>22</v>
      </c>
      <c r="AJ341" t="n">
        <v>90</v>
      </c>
      <c r="AK341" t="n">
        <v>1</v>
      </c>
      <c r="AL341" t="n">
        <v>2</v>
      </c>
      <c r="AM341" t="n">
        <v>17</v>
      </c>
      <c r="AN341" t="n">
        <v>0</v>
      </c>
      <c r="AO341" t="n">
        <v>0</v>
      </c>
      <c r="AP341" t="n">
        <v>1</v>
      </c>
      <c r="AQ341" t="n">
        <v>12</v>
      </c>
      <c r="AR341" t="n">
        <v>149</v>
      </c>
      <c r="AS341" t="n">
        <v>133</v>
      </c>
      <c r="AT341" t="n">
        <v>1</v>
      </c>
      <c r="AU341" t="n">
        <v>0</v>
      </c>
      <c r="AV341" t="n">
        <v>33</v>
      </c>
      <c r="AW341" t="n">
        <v>13</v>
      </c>
      <c r="AX341" t="n">
        <v>1</v>
      </c>
      <c r="AY341" t="n">
        <v>1</v>
      </c>
      <c r="AZ341" t="n">
        <v>1</v>
      </c>
      <c r="BA341" t="n">
        <v>12</v>
      </c>
      <c r="BB341" t="n">
        <v>19</v>
      </c>
      <c r="BC341" t="n">
        <v>14</v>
      </c>
      <c r="BD341" t="n">
        <v>10</v>
      </c>
      <c r="BE341" t="n">
        <v>15</v>
      </c>
      <c r="BF341" t="n">
        <v>71</v>
      </c>
      <c r="BG341" t="n">
        <v>0</v>
      </c>
      <c r="BH341" t="n">
        <v>4</v>
      </c>
      <c r="BI341" t="n">
        <v>11</v>
      </c>
      <c r="BJ341" t="n">
        <v>9</v>
      </c>
      <c r="BK341" t="n">
        <v>3</v>
      </c>
      <c r="BL341" t="n">
        <v>7</v>
      </c>
      <c r="BM341" t="n">
        <v>9</v>
      </c>
      <c r="BN341" t="n">
        <v>4</v>
      </c>
      <c r="BO341" t="n">
        <v>2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1</v>
      </c>
      <c r="V342" t="n">
        <v>0</v>
      </c>
      <c r="W342" t="n">
        <v>1</v>
      </c>
      <c r="X342" t="n">
        <v>0</v>
      </c>
      <c r="Y342" t="n">
        <v>180</v>
      </c>
      <c r="Z342" t="n">
        <v>93</v>
      </c>
      <c r="AA342" t="n">
        <v>87</v>
      </c>
      <c r="AB342" t="n">
        <v>4</v>
      </c>
      <c r="AC342" t="n">
        <v>1</v>
      </c>
      <c r="AD342" t="n">
        <v>5</v>
      </c>
      <c r="AE342" t="n">
        <v>1</v>
      </c>
      <c r="AF342" t="n">
        <v>2</v>
      </c>
      <c r="AG342" t="n">
        <v>9</v>
      </c>
      <c r="AH342" t="n">
        <v>20</v>
      </c>
      <c r="AI342" t="n">
        <v>2</v>
      </c>
      <c r="AJ342" t="n">
        <v>21</v>
      </c>
      <c r="AK342" t="n">
        <v>30</v>
      </c>
      <c r="AL342" t="n">
        <v>2</v>
      </c>
      <c r="AM342" t="n">
        <v>27</v>
      </c>
      <c r="AN342" t="n">
        <v>1</v>
      </c>
      <c r="AO342" t="n">
        <v>0</v>
      </c>
      <c r="AP342" t="n">
        <v>4</v>
      </c>
      <c r="AQ342" t="n">
        <v>62</v>
      </c>
      <c r="AR342" t="n">
        <v>88</v>
      </c>
      <c r="AS342" t="n">
        <v>34</v>
      </c>
      <c r="AT342" t="n">
        <v>5</v>
      </c>
      <c r="AU342" t="n">
        <v>2</v>
      </c>
      <c r="AV342" t="n">
        <v>15</v>
      </c>
      <c r="AW342" t="n">
        <v>14</v>
      </c>
      <c r="AX342" t="n">
        <v>0</v>
      </c>
      <c r="AY342" t="n">
        <v>8</v>
      </c>
      <c r="AZ342" t="n">
        <v>1</v>
      </c>
      <c r="BA342" t="n">
        <v>2</v>
      </c>
      <c r="BB342" t="n">
        <v>84</v>
      </c>
      <c r="BC342" t="n">
        <v>21</v>
      </c>
      <c r="BD342" t="n">
        <v>19</v>
      </c>
      <c r="BE342" t="n">
        <v>14</v>
      </c>
      <c r="BF342" t="n">
        <v>17</v>
      </c>
      <c r="BG342" t="n">
        <v>1</v>
      </c>
      <c r="BH342" t="n">
        <v>2</v>
      </c>
      <c r="BI342" t="n">
        <v>34</v>
      </c>
      <c r="BJ342" t="n">
        <v>46</v>
      </c>
      <c r="BK342" t="n">
        <v>1</v>
      </c>
      <c r="BL342" t="n">
        <v>22</v>
      </c>
      <c r="BM342" t="n">
        <v>17</v>
      </c>
      <c r="BN342" t="n">
        <v>3</v>
      </c>
      <c r="BO342" t="n">
        <v>7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97</v>
      </c>
      <c r="Z343" t="n">
        <v>119</v>
      </c>
      <c r="AA343" t="n">
        <v>6</v>
      </c>
      <c r="AB343" t="n">
        <v>1</v>
      </c>
      <c r="AC343" t="n">
        <v>1</v>
      </c>
      <c r="AD343" t="n">
        <v>3</v>
      </c>
      <c r="AE343" t="n">
        <v>3</v>
      </c>
      <c r="AF343" t="n">
        <v>1</v>
      </c>
      <c r="AG343" t="n">
        <v>1</v>
      </c>
      <c r="AH343" t="n">
        <v>21</v>
      </c>
      <c r="AI343" t="n">
        <v>21</v>
      </c>
      <c r="AJ343" t="n">
        <v>16</v>
      </c>
      <c r="AK343" t="n">
        <v>1</v>
      </c>
      <c r="AL343" t="n">
        <v>2</v>
      </c>
      <c r="AM343" t="n">
        <v>21</v>
      </c>
      <c r="AN343" t="n">
        <v>1</v>
      </c>
      <c r="AO343" t="n">
        <v>0</v>
      </c>
      <c r="AP343" t="n">
        <v>4</v>
      </c>
      <c r="AQ343" t="n">
        <v>15</v>
      </c>
      <c r="AR343" t="n">
        <v>103</v>
      </c>
      <c r="AS343" t="n">
        <v>87</v>
      </c>
      <c r="AT343" t="n">
        <v>1</v>
      </c>
      <c r="AU343" t="n">
        <v>2</v>
      </c>
      <c r="AV343" t="n">
        <v>3</v>
      </c>
      <c r="AW343" t="n">
        <v>16</v>
      </c>
      <c r="AX343" t="n">
        <v>18</v>
      </c>
      <c r="AY343" t="n">
        <v>48</v>
      </c>
      <c r="AZ343" t="n">
        <v>1</v>
      </c>
      <c r="BA343" t="n">
        <v>3</v>
      </c>
      <c r="BB343" t="n">
        <v>6</v>
      </c>
      <c r="BC343" t="n">
        <v>17</v>
      </c>
      <c r="BD343" t="n">
        <v>46</v>
      </c>
      <c r="BE343" t="n">
        <v>17</v>
      </c>
      <c r="BF343" t="n">
        <v>13</v>
      </c>
      <c r="BG343" t="n">
        <v>1</v>
      </c>
      <c r="BH343" t="n">
        <v>4</v>
      </c>
      <c r="BI343" t="n">
        <v>9</v>
      </c>
      <c r="BJ343" t="n">
        <v>9</v>
      </c>
      <c r="BK343" t="n">
        <v>1</v>
      </c>
      <c r="BL343" t="n">
        <v>16</v>
      </c>
      <c r="BM343" t="n">
        <v>20</v>
      </c>
      <c r="BN343" t="n">
        <v>7</v>
      </c>
      <c r="BO343" t="n">
        <v>37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303</v>
      </c>
      <c r="Z344" t="n">
        <v>315</v>
      </c>
      <c r="AA344" t="n">
        <v>11</v>
      </c>
      <c r="AB344" t="n">
        <v>1</v>
      </c>
      <c r="AC344" t="n">
        <v>3</v>
      </c>
      <c r="AD344" t="n">
        <v>4</v>
      </c>
      <c r="AE344" t="n">
        <v>7</v>
      </c>
      <c r="AF344" t="n">
        <v>4</v>
      </c>
      <c r="AG344" t="n">
        <v>3</v>
      </c>
      <c r="AH344" t="n">
        <v>36</v>
      </c>
      <c r="AI344" t="n">
        <v>80</v>
      </c>
      <c r="AJ344" t="n">
        <v>16</v>
      </c>
      <c r="AK344" t="n">
        <v>84</v>
      </c>
      <c r="AL344" t="n">
        <v>5</v>
      </c>
      <c r="AM344" t="n">
        <v>114</v>
      </c>
      <c r="AN344" t="n">
        <v>0</v>
      </c>
      <c r="AO344" t="n">
        <v>0</v>
      </c>
      <c r="AP344" t="n">
        <v>14</v>
      </c>
      <c r="AQ344" t="n">
        <v>126</v>
      </c>
      <c r="AR344" t="n">
        <v>223</v>
      </c>
      <c r="AS344" t="n">
        <v>120</v>
      </c>
      <c r="AT344" t="n">
        <v>4</v>
      </c>
      <c r="AU344" t="n">
        <v>1</v>
      </c>
      <c r="AV344" t="n">
        <v>29</v>
      </c>
      <c r="AW344" t="n">
        <v>25</v>
      </c>
      <c r="AX344" t="n">
        <v>3</v>
      </c>
      <c r="AY344" t="n">
        <v>20</v>
      </c>
      <c r="AZ344" t="n">
        <v>0</v>
      </c>
      <c r="BA344" t="n">
        <v>1</v>
      </c>
      <c r="BB344" t="n">
        <v>11</v>
      </c>
      <c r="BC344" t="n">
        <v>103</v>
      </c>
      <c r="BD344" t="n">
        <v>35</v>
      </c>
      <c r="BE344" t="n">
        <v>25</v>
      </c>
      <c r="BF344" t="n">
        <v>13</v>
      </c>
      <c r="BG344" t="n">
        <v>5</v>
      </c>
      <c r="BH344" t="n">
        <v>23</v>
      </c>
      <c r="BI344" t="n">
        <v>37</v>
      </c>
      <c r="BJ344" t="n">
        <v>40</v>
      </c>
      <c r="BK344" t="n">
        <v>5</v>
      </c>
      <c r="BL344" t="n">
        <v>11</v>
      </c>
      <c r="BM344" t="n">
        <v>34</v>
      </c>
      <c r="BN344" t="n">
        <v>17</v>
      </c>
      <c r="BO344" t="n">
        <v>61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332</v>
      </c>
      <c r="Z345" t="n">
        <v>181</v>
      </c>
      <c r="AA345" t="n">
        <v>58</v>
      </c>
      <c r="AB345" t="n">
        <v>2</v>
      </c>
      <c r="AC345" t="n">
        <v>1</v>
      </c>
      <c r="AD345" t="n">
        <v>5</v>
      </c>
      <c r="AE345" t="n">
        <v>11</v>
      </c>
      <c r="AF345" t="n">
        <v>4</v>
      </c>
      <c r="AG345" t="n">
        <v>3</v>
      </c>
      <c r="AH345" t="n">
        <v>125</v>
      </c>
      <c r="AI345" t="n">
        <v>86</v>
      </c>
      <c r="AJ345" t="n">
        <v>89</v>
      </c>
      <c r="AK345" t="n">
        <v>16</v>
      </c>
      <c r="AL345" t="n">
        <v>1</v>
      </c>
      <c r="AM345" t="n">
        <v>11</v>
      </c>
      <c r="AN345" t="n">
        <v>3</v>
      </c>
      <c r="AO345" t="n">
        <v>0</v>
      </c>
      <c r="AP345" t="n">
        <v>6</v>
      </c>
      <c r="AQ345" t="n">
        <v>45</v>
      </c>
      <c r="AR345" t="n">
        <v>90</v>
      </c>
      <c r="AS345" t="n">
        <v>54</v>
      </c>
      <c r="AT345" t="n">
        <v>0</v>
      </c>
      <c r="AU345" t="n">
        <v>1</v>
      </c>
      <c r="AV345" t="n">
        <v>27</v>
      </c>
      <c r="AW345" t="n">
        <v>1</v>
      </c>
      <c r="AX345" t="n">
        <v>0</v>
      </c>
      <c r="AY345" t="n">
        <v>45</v>
      </c>
      <c r="AZ345" t="n">
        <v>0</v>
      </c>
      <c r="BA345" t="n">
        <v>4</v>
      </c>
      <c r="BB345" t="n">
        <v>57</v>
      </c>
      <c r="BC345" t="n">
        <v>9</v>
      </c>
      <c r="BD345" t="n">
        <v>111</v>
      </c>
      <c r="BE345" t="n">
        <v>1</v>
      </c>
      <c r="BF345" t="n">
        <v>77</v>
      </c>
      <c r="BG345" t="n">
        <v>1</v>
      </c>
      <c r="BH345" t="n">
        <v>10</v>
      </c>
      <c r="BI345" t="n">
        <v>24</v>
      </c>
      <c r="BJ345" t="n">
        <v>33</v>
      </c>
      <c r="BK345" t="n">
        <v>0</v>
      </c>
      <c r="BL345" t="n">
        <v>1</v>
      </c>
      <c r="BM345" t="n">
        <v>59</v>
      </c>
      <c r="BN345" t="n">
        <v>39</v>
      </c>
      <c r="BO345" t="n">
        <v>2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225</v>
      </c>
      <c r="Z346" t="n">
        <v>205</v>
      </c>
      <c r="AA346" t="n">
        <v>56</v>
      </c>
      <c r="AB346" t="n">
        <v>3</v>
      </c>
      <c r="AC346" t="n">
        <v>0</v>
      </c>
      <c r="AD346" t="n">
        <v>2</v>
      </c>
      <c r="AE346" t="n">
        <v>7</v>
      </c>
      <c r="AF346" t="n">
        <v>3</v>
      </c>
      <c r="AG346" t="n">
        <v>3</v>
      </c>
      <c r="AH346" t="n">
        <v>26</v>
      </c>
      <c r="AI346" t="n">
        <v>36</v>
      </c>
      <c r="AJ346" t="n">
        <v>51</v>
      </c>
      <c r="AK346" t="n">
        <v>22</v>
      </c>
      <c r="AL346" t="n">
        <v>4</v>
      </c>
      <c r="AM346" t="n">
        <v>59</v>
      </c>
      <c r="AN346" t="n">
        <v>0</v>
      </c>
      <c r="AO346" t="n">
        <v>0</v>
      </c>
      <c r="AP346" t="n">
        <v>3</v>
      </c>
      <c r="AQ346" t="n">
        <v>21</v>
      </c>
      <c r="AR346" t="n">
        <v>97</v>
      </c>
      <c r="AS346" t="n">
        <v>80</v>
      </c>
      <c r="AT346" t="n">
        <v>2</v>
      </c>
      <c r="AU346" t="n">
        <v>1</v>
      </c>
      <c r="AV346" t="n">
        <v>8</v>
      </c>
      <c r="AW346" t="n">
        <v>1</v>
      </c>
      <c r="AX346" t="n">
        <v>0</v>
      </c>
      <c r="AY346" t="n">
        <v>26</v>
      </c>
      <c r="AZ346" t="n">
        <v>3</v>
      </c>
      <c r="BA346" t="n">
        <v>17</v>
      </c>
      <c r="BB346" t="n">
        <v>69</v>
      </c>
      <c r="BC346" t="n">
        <v>51</v>
      </c>
      <c r="BD346" t="n">
        <v>24</v>
      </c>
      <c r="BE346" t="n">
        <v>1</v>
      </c>
      <c r="BF346" t="n">
        <v>62</v>
      </c>
      <c r="BG346" t="n">
        <v>2</v>
      </c>
      <c r="BH346" t="n">
        <v>3</v>
      </c>
      <c r="BI346" t="n">
        <v>48</v>
      </c>
      <c r="BJ346" t="n">
        <v>49</v>
      </c>
      <c r="BK346" t="n">
        <v>3</v>
      </c>
      <c r="BL346" t="n">
        <v>35</v>
      </c>
      <c r="BM346" t="n">
        <v>37</v>
      </c>
      <c r="BN346" t="n">
        <v>11</v>
      </c>
      <c r="BO346" t="n">
        <v>2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308</v>
      </c>
      <c r="Z347" t="n">
        <v>273</v>
      </c>
      <c r="AA347" t="n">
        <v>160</v>
      </c>
      <c r="AB347" t="n">
        <v>2</v>
      </c>
      <c r="AC347" t="n">
        <v>3</v>
      </c>
      <c r="AD347" t="n">
        <v>7</v>
      </c>
      <c r="AE347" t="n">
        <v>12</v>
      </c>
      <c r="AF347" t="n">
        <v>2</v>
      </c>
      <c r="AG347" t="n">
        <v>4</v>
      </c>
      <c r="AH347" t="n">
        <v>59</v>
      </c>
      <c r="AI347" t="n">
        <v>107</v>
      </c>
      <c r="AJ347" t="n">
        <v>33</v>
      </c>
      <c r="AK347" t="n">
        <v>28</v>
      </c>
      <c r="AL347" t="n">
        <v>5</v>
      </c>
      <c r="AM347" t="n">
        <v>120</v>
      </c>
      <c r="AN347" t="n">
        <v>0</v>
      </c>
      <c r="AO347" t="n">
        <v>0</v>
      </c>
      <c r="AP347" t="n">
        <v>8</v>
      </c>
      <c r="AQ347" t="n">
        <v>96</v>
      </c>
      <c r="AR347" t="n">
        <v>240</v>
      </c>
      <c r="AS347" t="n">
        <v>162</v>
      </c>
      <c r="AT347" t="n">
        <v>0</v>
      </c>
      <c r="AU347" t="n">
        <v>1</v>
      </c>
      <c r="AV347" t="n">
        <v>13</v>
      </c>
      <c r="AW347" t="n">
        <v>14</v>
      </c>
      <c r="AX347" t="n">
        <v>4</v>
      </c>
      <c r="AY347" t="n">
        <v>28</v>
      </c>
      <c r="AZ347" t="n">
        <v>3</v>
      </c>
      <c r="BA347" t="n">
        <v>27</v>
      </c>
      <c r="BB347" t="n">
        <v>173</v>
      </c>
      <c r="BC347" t="n">
        <v>99</v>
      </c>
      <c r="BD347" t="n">
        <v>52</v>
      </c>
      <c r="BE347" t="n">
        <v>14</v>
      </c>
      <c r="BF347" t="n">
        <v>33</v>
      </c>
      <c r="BG347" t="n">
        <v>3</v>
      </c>
      <c r="BH347" t="n">
        <v>15</v>
      </c>
      <c r="BI347" t="n">
        <v>11</v>
      </c>
      <c r="BJ347" t="n">
        <v>9</v>
      </c>
      <c r="BK347" t="n">
        <v>0</v>
      </c>
      <c r="BL347" t="n">
        <v>5</v>
      </c>
      <c r="BM347" t="n">
        <v>9</v>
      </c>
      <c r="BN347" t="n">
        <v>5</v>
      </c>
      <c r="BO347" t="n">
        <v>-3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241</v>
      </c>
      <c r="Z348" t="n">
        <v>166</v>
      </c>
      <c r="AA348" t="n">
        <v>49</v>
      </c>
      <c r="AB348" t="n">
        <v>0</v>
      </c>
      <c r="AC348" t="n">
        <v>0</v>
      </c>
      <c r="AD348" t="n">
        <v>6</v>
      </c>
      <c r="AE348" t="n">
        <v>2</v>
      </c>
      <c r="AF348" t="n">
        <v>5</v>
      </c>
      <c r="AG348" t="n">
        <v>4</v>
      </c>
      <c r="AH348" t="n">
        <v>58</v>
      </c>
      <c r="AI348" t="n">
        <v>8</v>
      </c>
      <c r="AJ348" t="n">
        <v>30</v>
      </c>
      <c r="AK348" t="n">
        <v>39</v>
      </c>
      <c r="AL348" t="n">
        <v>4</v>
      </c>
      <c r="AM348" t="n">
        <v>42</v>
      </c>
      <c r="AN348" t="n">
        <v>0</v>
      </c>
      <c r="AO348" t="n">
        <v>0</v>
      </c>
      <c r="AP348" t="n">
        <v>2</v>
      </c>
      <c r="AQ348" t="n">
        <v>18</v>
      </c>
      <c r="AR348" t="n">
        <v>80</v>
      </c>
      <c r="AS348" t="n">
        <v>64</v>
      </c>
      <c r="AT348" t="n">
        <v>0</v>
      </c>
      <c r="AU348" t="n">
        <v>0</v>
      </c>
      <c r="AV348" t="n">
        <v>1</v>
      </c>
      <c r="AW348" t="n">
        <v>1</v>
      </c>
      <c r="AX348" t="n">
        <v>0</v>
      </c>
      <c r="AY348" t="n">
        <v>12</v>
      </c>
      <c r="AZ348" t="n">
        <v>5</v>
      </c>
      <c r="BA348" t="n">
        <v>53</v>
      </c>
      <c r="BB348" t="n">
        <v>107</v>
      </c>
      <c r="BC348" t="n">
        <v>35</v>
      </c>
      <c r="BD348" t="n">
        <v>62</v>
      </c>
      <c r="BE348" t="n">
        <v>1</v>
      </c>
      <c r="BF348" t="n">
        <v>24</v>
      </c>
      <c r="BG348" t="n">
        <v>3</v>
      </c>
      <c r="BH348" t="n">
        <v>9</v>
      </c>
      <c r="BI348" t="n">
        <v>60</v>
      </c>
      <c r="BJ348" t="n">
        <v>55</v>
      </c>
      <c r="BK348" t="n">
        <v>0</v>
      </c>
      <c r="BL348" t="n">
        <v>43</v>
      </c>
      <c r="BM348" t="n">
        <v>30</v>
      </c>
      <c r="BN348" t="n">
        <v>1</v>
      </c>
      <c r="BO348" t="n">
        <v>2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243</v>
      </c>
      <c r="Z349" t="n">
        <v>108</v>
      </c>
      <c r="AA349" t="n">
        <v>77</v>
      </c>
      <c r="AB349" t="n">
        <v>0</v>
      </c>
      <c r="AC349" t="n">
        <v>0</v>
      </c>
      <c r="AD349" t="n">
        <v>5</v>
      </c>
      <c r="AE349" t="n">
        <v>5</v>
      </c>
      <c r="AF349" t="n">
        <v>4</v>
      </c>
      <c r="AG349" t="n">
        <v>2</v>
      </c>
      <c r="AH349" t="n">
        <v>57</v>
      </c>
      <c r="AI349" t="n">
        <v>33</v>
      </c>
      <c r="AJ349" t="n">
        <v>37</v>
      </c>
      <c r="AK349" t="n">
        <v>28</v>
      </c>
      <c r="AL349" t="n">
        <v>2</v>
      </c>
      <c r="AM349" t="n">
        <v>33</v>
      </c>
      <c r="AN349" t="n">
        <v>0</v>
      </c>
      <c r="AO349" t="n">
        <v>0</v>
      </c>
      <c r="AP349" t="n">
        <v>3</v>
      </c>
      <c r="AQ349" t="n">
        <v>15</v>
      </c>
      <c r="AR349" t="n">
        <v>58</v>
      </c>
      <c r="AS349" t="n">
        <v>46</v>
      </c>
      <c r="AT349" t="n">
        <v>4</v>
      </c>
      <c r="AU349" t="n">
        <v>2</v>
      </c>
      <c r="AV349" t="n">
        <v>17</v>
      </c>
      <c r="AW349" t="n">
        <v>5</v>
      </c>
      <c r="AX349" t="n">
        <v>0</v>
      </c>
      <c r="AY349" t="n">
        <v>5</v>
      </c>
      <c r="AZ349" t="n">
        <v>0</v>
      </c>
      <c r="BA349" t="n">
        <v>9</v>
      </c>
      <c r="BB349" t="n">
        <v>82</v>
      </c>
      <c r="BC349" t="n">
        <v>31</v>
      </c>
      <c r="BD349" t="n">
        <v>50</v>
      </c>
      <c r="BE349" t="n">
        <v>5</v>
      </c>
      <c r="BF349" t="n">
        <v>30</v>
      </c>
      <c r="BG349" t="n">
        <v>3</v>
      </c>
      <c r="BH349" t="n">
        <v>27</v>
      </c>
      <c r="BI349" t="n">
        <v>27</v>
      </c>
      <c r="BJ349" t="n">
        <v>24</v>
      </c>
      <c r="BK349" t="n">
        <v>0</v>
      </c>
      <c r="BL349" t="n">
        <v>1</v>
      </c>
      <c r="BM349" t="n">
        <v>2</v>
      </c>
      <c r="BN349" t="n">
        <v>1</v>
      </c>
      <c r="BO349" t="n">
        <v>2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76</v>
      </c>
      <c r="Z350" t="n">
        <v>138</v>
      </c>
      <c r="AA350" t="n">
        <v>39</v>
      </c>
      <c r="AB350" t="n">
        <v>2</v>
      </c>
      <c r="AC350" t="n">
        <v>0</v>
      </c>
      <c r="AD350" t="n">
        <v>1</v>
      </c>
      <c r="AE350" t="n">
        <v>5</v>
      </c>
      <c r="AF350" t="n">
        <v>3</v>
      </c>
      <c r="AG350" t="n">
        <v>1</v>
      </c>
      <c r="AH350" t="n">
        <v>12</v>
      </c>
      <c r="AI350" t="n">
        <v>32</v>
      </c>
      <c r="AJ350" t="n">
        <v>45</v>
      </c>
      <c r="AK350" t="n">
        <v>1</v>
      </c>
      <c r="AL350" t="n">
        <v>0</v>
      </c>
      <c r="AM350" t="n">
        <v>2</v>
      </c>
      <c r="AN350" t="n">
        <v>0</v>
      </c>
      <c r="AO350" t="n">
        <v>0</v>
      </c>
      <c r="AP350" t="n">
        <v>1</v>
      </c>
      <c r="AQ350" t="n">
        <v>6</v>
      </c>
      <c r="AR350" t="n">
        <v>123</v>
      </c>
      <c r="AS350" t="n">
        <v>112</v>
      </c>
      <c r="AT350" t="n">
        <v>0</v>
      </c>
      <c r="AU350" t="n">
        <v>1</v>
      </c>
      <c r="AV350" t="n">
        <v>1</v>
      </c>
      <c r="AW350" t="n">
        <v>27</v>
      </c>
      <c r="AX350" t="n">
        <v>10</v>
      </c>
      <c r="AY350" t="n">
        <v>36</v>
      </c>
      <c r="AZ350" t="n">
        <v>1</v>
      </c>
      <c r="BA350" t="n">
        <v>2</v>
      </c>
      <c r="BB350" t="n">
        <v>38</v>
      </c>
      <c r="BC350" t="n">
        <v>6</v>
      </c>
      <c r="BD350" t="n">
        <v>16</v>
      </c>
      <c r="BE350" t="n">
        <v>27</v>
      </c>
      <c r="BF350" t="n">
        <v>40</v>
      </c>
      <c r="BG350" t="n">
        <v>0</v>
      </c>
      <c r="BH350" t="n">
        <v>1</v>
      </c>
      <c r="BI350" t="n">
        <v>5</v>
      </c>
      <c r="BJ350" t="n">
        <v>1</v>
      </c>
      <c r="BK350" t="n">
        <v>1</v>
      </c>
      <c r="BL350" t="n">
        <v>11</v>
      </c>
      <c r="BM350" t="n">
        <v>15</v>
      </c>
      <c r="BN350" t="n">
        <v>5</v>
      </c>
      <c r="BO350" t="n">
        <v>35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231</v>
      </c>
      <c r="Z351" t="n">
        <v>68</v>
      </c>
      <c r="AA351" t="n">
        <v>76</v>
      </c>
      <c r="AB351" t="n">
        <v>0</v>
      </c>
      <c r="AC351" t="n">
        <v>1</v>
      </c>
      <c r="AD351" t="n">
        <v>2</v>
      </c>
      <c r="AE351" t="n">
        <v>5</v>
      </c>
      <c r="AF351" t="n">
        <v>4</v>
      </c>
      <c r="AG351" t="n">
        <v>0</v>
      </c>
      <c r="AH351" t="n">
        <v>4</v>
      </c>
      <c r="AI351" t="n">
        <v>9</v>
      </c>
      <c r="AJ351" t="n">
        <v>12</v>
      </c>
      <c r="AK351" t="n">
        <v>1</v>
      </c>
      <c r="AL351" t="n">
        <v>0</v>
      </c>
      <c r="AM351" t="n">
        <v>11</v>
      </c>
      <c r="AN351" t="n">
        <v>0</v>
      </c>
      <c r="AO351" t="n">
        <v>0</v>
      </c>
      <c r="AP351" t="n">
        <v>6</v>
      </c>
      <c r="AQ351" t="n">
        <v>36</v>
      </c>
      <c r="AR351" t="n">
        <v>70</v>
      </c>
      <c r="AS351" t="n">
        <v>39</v>
      </c>
      <c r="AT351" t="n">
        <v>7</v>
      </c>
      <c r="AU351" t="n">
        <v>0</v>
      </c>
      <c r="AV351" t="n">
        <v>71</v>
      </c>
      <c r="AW351" t="n">
        <v>10</v>
      </c>
      <c r="AX351" t="n">
        <v>0</v>
      </c>
      <c r="AY351" t="n">
        <v>54</v>
      </c>
      <c r="AZ351" t="n">
        <v>0</v>
      </c>
      <c r="BA351" t="n">
        <v>1</v>
      </c>
      <c r="BB351" t="n">
        <v>74</v>
      </c>
      <c r="BC351" t="n">
        <v>11</v>
      </c>
      <c r="BD351" t="n">
        <v>3</v>
      </c>
      <c r="BE351" t="n">
        <v>9</v>
      </c>
      <c r="BF351" t="n">
        <v>12</v>
      </c>
      <c r="BG351" t="n">
        <v>3</v>
      </c>
      <c r="BH351" t="n">
        <v>13</v>
      </c>
      <c r="BI351" t="n">
        <v>65</v>
      </c>
      <c r="BJ351" t="n">
        <v>67</v>
      </c>
      <c r="BK351" t="n">
        <v>0</v>
      </c>
      <c r="BL351" t="n">
        <v>1</v>
      </c>
      <c r="BM351" t="n">
        <v>16</v>
      </c>
      <c r="BN351" t="n">
        <v>9</v>
      </c>
      <c r="BO351" t="n">
        <v>2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224</v>
      </c>
      <c r="Z352" t="n">
        <v>131</v>
      </c>
      <c r="AA352" t="n">
        <v>150</v>
      </c>
      <c r="AB352" t="n">
        <v>2</v>
      </c>
      <c r="AC352" t="n">
        <v>0</v>
      </c>
      <c r="AD352" t="n">
        <v>4</v>
      </c>
      <c r="AE352" t="n">
        <v>5</v>
      </c>
      <c r="AF352" t="n">
        <v>4</v>
      </c>
      <c r="AG352" t="n">
        <v>1</v>
      </c>
      <c r="AH352" t="n">
        <v>92</v>
      </c>
      <c r="AI352" t="n">
        <v>78</v>
      </c>
      <c r="AJ352" t="n">
        <v>44</v>
      </c>
      <c r="AK352" t="n">
        <v>41</v>
      </c>
      <c r="AL352" t="n">
        <v>1</v>
      </c>
      <c r="AM352" t="n">
        <v>2</v>
      </c>
      <c r="AN352" t="n">
        <v>0</v>
      </c>
      <c r="AO352" t="n">
        <v>0</v>
      </c>
      <c r="AP352" t="n">
        <v>6</v>
      </c>
      <c r="AQ352" t="n">
        <v>33</v>
      </c>
      <c r="AR352" t="n">
        <v>126</v>
      </c>
      <c r="AS352" t="n">
        <v>95</v>
      </c>
      <c r="AT352" t="n">
        <v>2</v>
      </c>
      <c r="AU352" t="n">
        <v>0</v>
      </c>
      <c r="AV352" t="n">
        <v>1</v>
      </c>
      <c r="AW352" t="n">
        <v>8</v>
      </c>
      <c r="AX352" t="n">
        <v>0</v>
      </c>
      <c r="AY352" t="n">
        <v>36</v>
      </c>
      <c r="AZ352" t="n">
        <v>2</v>
      </c>
      <c r="BA352" t="n">
        <v>-2</v>
      </c>
      <c r="BB352" t="n">
        <v>138</v>
      </c>
      <c r="BC352" t="n">
        <v>25</v>
      </c>
      <c r="BD352" t="n">
        <v>92</v>
      </c>
      <c r="BE352" t="n">
        <v>14</v>
      </c>
      <c r="BF352" t="n">
        <v>36</v>
      </c>
      <c r="BG352" t="n">
        <v>2</v>
      </c>
      <c r="BH352" t="n">
        <v>0</v>
      </c>
      <c r="BI352" t="n">
        <v>17</v>
      </c>
      <c r="BJ352" t="n">
        <v>14</v>
      </c>
      <c r="BK352" t="n">
        <v>0</v>
      </c>
      <c r="BL352" t="n">
        <v>1</v>
      </c>
      <c r="BM352" t="n">
        <v>11</v>
      </c>
      <c r="BN352" t="n">
        <v>6</v>
      </c>
      <c r="BO352" t="n">
        <v>11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263</v>
      </c>
      <c r="Z353" t="n">
        <v>181</v>
      </c>
      <c r="AA353" t="n">
        <v>78</v>
      </c>
      <c r="AB353" t="n">
        <v>1</v>
      </c>
      <c r="AC353" t="n">
        <v>1</v>
      </c>
      <c r="AD353" t="n">
        <v>0</v>
      </c>
      <c r="AE353" t="n">
        <v>2</v>
      </c>
      <c r="AF353" t="n">
        <v>5</v>
      </c>
      <c r="AG353" t="n">
        <v>1</v>
      </c>
      <c r="AH353" t="n">
        <v>15</v>
      </c>
      <c r="AI353" t="n">
        <v>27</v>
      </c>
      <c r="AJ353" t="n">
        <v>89</v>
      </c>
      <c r="AK353" t="n">
        <v>77</v>
      </c>
      <c r="AL353" t="n">
        <v>0</v>
      </c>
      <c r="AM353" t="n">
        <v>25</v>
      </c>
      <c r="AN353" t="n">
        <v>0</v>
      </c>
      <c r="AO353" t="n">
        <v>0</v>
      </c>
      <c r="AP353" t="n">
        <v>4</v>
      </c>
      <c r="AQ353" t="n">
        <v>24</v>
      </c>
      <c r="AR353" t="n">
        <v>66</v>
      </c>
      <c r="AS353" t="n">
        <v>46</v>
      </c>
      <c r="AT353" t="n">
        <v>2</v>
      </c>
      <c r="AU353" t="n">
        <v>1</v>
      </c>
      <c r="AV353" t="n">
        <v>8</v>
      </c>
      <c r="AW353" t="n">
        <v>43</v>
      </c>
      <c r="AX353" t="n">
        <v>12</v>
      </c>
      <c r="AY353" t="n">
        <v>31</v>
      </c>
      <c r="AZ353" t="n">
        <v>0</v>
      </c>
      <c r="BA353" t="n">
        <v>1</v>
      </c>
      <c r="BB353" t="n">
        <v>76</v>
      </c>
      <c r="BC353" t="n">
        <v>20</v>
      </c>
      <c r="BD353" t="n">
        <v>28</v>
      </c>
      <c r="BE353" t="n">
        <v>43</v>
      </c>
      <c r="BF353" t="n">
        <v>70</v>
      </c>
      <c r="BG353" t="n">
        <v>3</v>
      </c>
      <c r="BH353" t="n">
        <v>24</v>
      </c>
      <c r="BI353" t="n">
        <v>14</v>
      </c>
      <c r="BJ353" t="n">
        <v>24</v>
      </c>
      <c r="BK353" t="n">
        <v>1</v>
      </c>
      <c r="BL353" t="n">
        <v>9</v>
      </c>
      <c r="BM353" t="n">
        <v>12</v>
      </c>
      <c r="BN353" t="n">
        <v>4</v>
      </c>
      <c r="BO353" t="n">
        <v>25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270</v>
      </c>
      <c r="Z354" t="n">
        <v>214</v>
      </c>
      <c r="AA354" t="n">
        <v>50</v>
      </c>
      <c r="AB354" t="n">
        <v>0</v>
      </c>
      <c r="AC354" t="n">
        <v>0</v>
      </c>
      <c r="AD354" t="n">
        <v>5</v>
      </c>
      <c r="AE354" t="n">
        <v>8</v>
      </c>
      <c r="AF354" t="n">
        <v>12</v>
      </c>
      <c r="AG354" t="n">
        <v>6</v>
      </c>
      <c r="AH354" t="n">
        <v>51</v>
      </c>
      <c r="AI354" t="n">
        <v>86</v>
      </c>
      <c r="AJ354" t="n">
        <v>119</v>
      </c>
      <c r="AK354" t="n">
        <v>60</v>
      </c>
      <c r="AL354" t="n">
        <v>1</v>
      </c>
      <c r="AM354" t="n">
        <v>40</v>
      </c>
      <c r="AN354" t="n">
        <v>0</v>
      </c>
      <c r="AO354" t="n">
        <v>0</v>
      </c>
      <c r="AP354" t="n">
        <v>0</v>
      </c>
      <c r="AQ354" t="n">
        <v>7</v>
      </c>
      <c r="AR354" t="n">
        <v>44</v>
      </c>
      <c r="AS354" t="n">
        <v>38</v>
      </c>
      <c r="AT354" t="n">
        <v>0</v>
      </c>
      <c r="AU354" t="n">
        <v>0</v>
      </c>
      <c r="AV354" t="n">
        <v>1</v>
      </c>
      <c r="AW354" t="n">
        <v>3</v>
      </c>
      <c r="AX354" t="n">
        <v>1</v>
      </c>
      <c r="AY354" t="n">
        <v>64</v>
      </c>
      <c r="AZ354" t="n">
        <v>1</v>
      </c>
      <c r="BA354" t="n">
        <v>3</v>
      </c>
      <c r="BB354" t="n">
        <v>49</v>
      </c>
      <c r="BC354" t="n">
        <v>33</v>
      </c>
      <c r="BD354" t="n">
        <v>54</v>
      </c>
      <c r="BE354" t="n">
        <v>3</v>
      </c>
      <c r="BF354" t="n">
        <v>93</v>
      </c>
      <c r="BG354" t="n">
        <v>2</v>
      </c>
      <c r="BH354" t="n">
        <v>3</v>
      </c>
      <c r="BI354" t="n">
        <v>20</v>
      </c>
      <c r="BJ354" t="n">
        <v>20</v>
      </c>
      <c r="BK354" t="n">
        <v>0</v>
      </c>
      <c r="BL354" t="n">
        <v>4</v>
      </c>
      <c r="BM354" t="n">
        <v>9</v>
      </c>
      <c r="BN354" t="n">
        <v>5</v>
      </c>
      <c r="BO354" t="n">
        <v>2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2</v>
      </c>
      <c r="F355" t="n">
        <v>2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123</v>
      </c>
      <c r="Z355" t="n">
        <v>246</v>
      </c>
      <c r="AA355" t="n">
        <v>61</v>
      </c>
      <c r="AB355" t="n">
        <v>0</v>
      </c>
      <c r="AC355" t="n">
        <v>3</v>
      </c>
      <c r="AD355" t="n">
        <v>3</v>
      </c>
      <c r="AE355" t="n">
        <v>1</v>
      </c>
      <c r="AF355" t="n">
        <v>0</v>
      </c>
      <c r="AG355" t="n">
        <v>0</v>
      </c>
      <c r="AH355" t="n">
        <v>14</v>
      </c>
      <c r="AI355" t="n">
        <v>60</v>
      </c>
      <c r="AJ355" t="n">
        <v>9</v>
      </c>
      <c r="AK355" t="n">
        <v>1</v>
      </c>
      <c r="AL355" t="n">
        <v>6</v>
      </c>
      <c r="AM355" t="n">
        <v>116</v>
      </c>
      <c r="AN355" t="n">
        <v>0</v>
      </c>
      <c r="AO355" t="n">
        <v>0</v>
      </c>
      <c r="AP355" t="n">
        <v>6</v>
      </c>
      <c r="AQ355" t="n">
        <v>35</v>
      </c>
      <c r="AR355" t="n">
        <v>213</v>
      </c>
      <c r="AS355" t="n">
        <v>185</v>
      </c>
      <c r="AT355" t="n">
        <v>6</v>
      </c>
      <c r="AU355" t="n">
        <v>2</v>
      </c>
      <c r="AV355" t="n">
        <v>51</v>
      </c>
      <c r="AW355" t="n">
        <v>5</v>
      </c>
      <c r="AX355" t="n">
        <v>1</v>
      </c>
      <c r="AY355" t="n">
        <v>61</v>
      </c>
      <c r="AZ355" t="n">
        <v>1</v>
      </c>
      <c r="BA355" t="n">
        <v>49</v>
      </c>
      <c r="BB355" t="n">
        <v>114</v>
      </c>
      <c r="BC355" t="n">
        <v>93</v>
      </c>
      <c r="BD355" t="n">
        <v>12</v>
      </c>
      <c r="BE355" t="n">
        <v>5</v>
      </c>
      <c r="BF355" t="n">
        <v>2</v>
      </c>
      <c r="BG355" t="n">
        <v>1</v>
      </c>
      <c r="BH355" t="n">
        <v>6</v>
      </c>
      <c r="BI355" t="n">
        <v>11</v>
      </c>
      <c r="BJ355" t="n">
        <v>10</v>
      </c>
      <c r="BK355" t="n">
        <v>4</v>
      </c>
      <c r="BL355" t="n">
        <v>14</v>
      </c>
      <c r="BM355" t="n">
        <v>26</v>
      </c>
      <c r="BN355" t="n">
        <v>11</v>
      </c>
      <c r="BO355" t="n">
        <v>2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189</v>
      </c>
      <c r="Z356" t="n">
        <v>117</v>
      </c>
      <c r="AA356" t="n">
        <v>146</v>
      </c>
      <c r="AB356" t="n">
        <v>0</v>
      </c>
      <c r="AC356" t="n">
        <v>0</v>
      </c>
      <c r="AD356" t="n">
        <v>5</v>
      </c>
      <c r="AE356" t="n">
        <v>2</v>
      </c>
      <c r="AF356" t="n">
        <v>6</v>
      </c>
      <c r="AG356" t="n">
        <v>1</v>
      </c>
      <c r="AH356" t="n">
        <v>39</v>
      </c>
      <c r="AI356" t="n">
        <v>32</v>
      </c>
      <c r="AJ356" t="n">
        <v>73</v>
      </c>
      <c r="AK356" t="n">
        <v>7</v>
      </c>
      <c r="AL356" t="n">
        <v>2</v>
      </c>
      <c r="AM356" t="n">
        <v>17</v>
      </c>
      <c r="AN356" t="n">
        <v>0</v>
      </c>
      <c r="AO356" t="n">
        <v>0</v>
      </c>
      <c r="AP356" t="n">
        <v>0</v>
      </c>
      <c r="AQ356" t="n">
        <v>4</v>
      </c>
      <c r="AR356" t="n">
        <v>69</v>
      </c>
      <c r="AS356" t="n">
        <v>62</v>
      </c>
      <c r="AT356" t="n">
        <v>0</v>
      </c>
      <c r="AU356" t="n">
        <v>1</v>
      </c>
      <c r="AV356" t="n">
        <v>1</v>
      </c>
      <c r="AW356" t="n">
        <v>27</v>
      </c>
      <c r="AX356" t="n">
        <v>2</v>
      </c>
      <c r="AY356" t="n">
        <v>68</v>
      </c>
      <c r="AZ356" t="n">
        <v>1</v>
      </c>
      <c r="BA356" t="n">
        <v>18</v>
      </c>
      <c r="BB356" t="n">
        <v>150</v>
      </c>
      <c r="BC356" t="n">
        <v>14</v>
      </c>
      <c r="BD356" t="n">
        <v>73</v>
      </c>
      <c r="BE356" t="n">
        <v>27</v>
      </c>
      <c r="BF356" t="n">
        <v>99</v>
      </c>
      <c r="BG356" t="n">
        <v>0</v>
      </c>
      <c r="BH356" t="n">
        <v>9</v>
      </c>
      <c r="BI356" t="n">
        <v>19</v>
      </c>
      <c r="BJ356" t="n">
        <v>18</v>
      </c>
      <c r="BK356" t="n">
        <v>0</v>
      </c>
      <c r="BL356" t="n">
        <v>22</v>
      </c>
      <c r="BM356" t="n">
        <v>15</v>
      </c>
      <c r="BN356" t="n">
        <v>0</v>
      </c>
      <c r="BO356" t="n">
        <v>7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305</v>
      </c>
      <c r="Z357" t="n">
        <v>171</v>
      </c>
      <c r="AA357" t="n">
        <v>107</v>
      </c>
      <c r="AB357" t="n">
        <v>1</v>
      </c>
      <c r="AC357" t="n">
        <v>1</v>
      </c>
      <c r="AD357" t="n">
        <v>0</v>
      </c>
      <c r="AE357" t="n">
        <v>4</v>
      </c>
      <c r="AF357" t="n">
        <v>10</v>
      </c>
      <c r="AG357" t="n">
        <v>1</v>
      </c>
      <c r="AH357" t="n">
        <v>4</v>
      </c>
      <c r="AI357" t="n">
        <v>57</v>
      </c>
      <c r="AJ357" t="n">
        <v>215</v>
      </c>
      <c r="AK357" t="n">
        <v>12</v>
      </c>
      <c r="AL357" t="n">
        <v>7</v>
      </c>
      <c r="AM357" t="n">
        <v>59</v>
      </c>
      <c r="AN357" t="n">
        <v>0</v>
      </c>
      <c r="AO357" t="n">
        <v>0</v>
      </c>
      <c r="AP357" t="n">
        <v>1</v>
      </c>
      <c r="AQ357" t="n">
        <v>21</v>
      </c>
      <c r="AR357" t="n">
        <v>64</v>
      </c>
      <c r="AS357" t="n">
        <v>48</v>
      </c>
      <c r="AT357" t="n">
        <v>2</v>
      </c>
      <c r="AU357" t="n">
        <v>1</v>
      </c>
      <c r="AV357" t="n">
        <v>52</v>
      </c>
      <c r="AW357" t="n">
        <v>8</v>
      </c>
      <c r="AX357" t="n">
        <v>3</v>
      </c>
      <c r="AY357" t="n">
        <v>107</v>
      </c>
      <c r="AZ357" t="n">
        <v>0</v>
      </c>
      <c r="BA357" t="n">
        <v>8</v>
      </c>
      <c r="BB357" t="n">
        <v>109</v>
      </c>
      <c r="BC357" t="n">
        <v>49</v>
      </c>
      <c r="BD357" t="n">
        <v>10</v>
      </c>
      <c r="BE357" t="n">
        <v>10</v>
      </c>
      <c r="BF357" t="n">
        <v>168</v>
      </c>
      <c r="BG357" t="n">
        <v>2</v>
      </c>
      <c r="BH357" t="n">
        <v>0</v>
      </c>
      <c r="BI357" t="n">
        <v>23</v>
      </c>
      <c r="BJ357" t="n">
        <v>20</v>
      </c>
      <c r="BK357" t="n">
        <v>1</v>
      </c>
      <c r="BL357" t="n">
        <v>10</v>
      </c>
      <c r="BM357" t="n">
        <v>18</v>
      </c>
      <c r="BN357" t="n">
        <v>8</v>
      </c>
      <c r="BO357" t="n">
        <v>2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0</v>
      </c>
      <c r="V358" t="n">
        <v>0</v>
      </c>
      <c r="W358" t="n">
        <v>0</v>
      </c>
      <c r="X358" t="n">
        <v>0</v>
      </c>
      <c r="Y358" t="n">
        <v>102</v>
      </c>
      <c r="Z358" t="n">
        <v>247</v>
      </c>
      <c r="AA358" t="n">
        <v>38</v>
      </c>
      <c r="AB358" t="n">
        <v>1</v>
      </c>
      <c r="AC358" t="n">
        <v>1</v>
      </c>
      <c r="AD358" t="n">
        <v>2</v>
      </c>
      <c r="AE358" t="n">
        <v>5</v>
      </c>
      <c r="AF358" t="n">
        <v>4</v>
      </c>
      <c r="AG358" t="n">
        <v>5</v>
      </c>
      <c r="AH358" t="n">
        <v>24</v>
      </c>
      <c r="AI358" t="n">
        <v>45</v>
      </c>
      <c r="AJ358" t="n">
        <v>41</v>
      </c>
      <c r="AK358" t="n">
        <v>18</v>
      </c>
      <c r="AL358" t="n">
        <v>2</v>
      </c>
      <c r="AM358" t="n">
        <v>18</v>
      </c>
      <c r="AN358" t="n">
        <v>0</v>
      </c>
      <c r="AO358" t="n">
        <v>0</v>
      </c>
      <c r="AP358" t="n">
        <v>3</v>
      </c>
      <c r="AQ358" t="n">
        <v>4</v>
      </c>
      <c r="AR358" t="n">
        <v>128</v>
      </c>
      <c r="AS358" t="n">
        <v>118</v>
      </c>
      <c r="AT358" t="n">
        <v>0</v>
      </c>
      <c r="AU358" t="n">
        <v>1</v>
      </c>
      <c r="AV358" t="n">
        <v>5</v>
      </c>
      <c r="AW358" t="n">
        <v>28</v>
      </c>
      <c r="AX358" t="n">
        <v>0</v>
      </c>
      <c r="AY358" t="n">
        <v>24</v>
      </c>
      <c r="AZ358" t="n">
        <v>3</v>
      </c>
      <c r="BA358" t="n">
        <v>17</v>
      </c>
      <c r="BB358" t="n">
        <v>53</v>
      </c>
      <c r="BC358" t="n">
        <v>62</v>
      </c>
      <c r="BD358" t="n">
        <v>21</v>
      </c>
      <c r="BE358" t="n">
        <v>28</v>
      </c>
      <c r="BF358" t="n">
        <v>43</v>
      </c>
      <c r="BG358" t="n">
        <v>2</v>
      </c>
      <c r="BH358" t="n">
        <v>6</v>
      </c>
      <c r="BI358" t="n">
        <v>18</v>
      </c>
      <c r="BJ358" t="n">
        <v>15</v>
      </c>
      <c r="BK358" t="n">
        <v>6</v>
      </c>
      <c r="BL358" t="n">
        <v>52</v>
      </c>
      <c r="BM358" t="n">
        <v>40</v>
      </c>
      <c r="BN358" t="n">
        <v>5</v>
      </c>
      <c r="BO358" t="n">
        <v>40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0</v>
      </c>
      <c r="V359" t="n">
        <v>0</v>
      </c>
      <c r="W359" t="n">
        <v>0</v>
      </c>
      <c r="X359" t="n">
        <v>0</v>
      </c>
      <c r="Y359" t="n">
        <v>126</v>
      </c>
      <c r="Z359" t="n">
        <v>226</v>
      </c>
      <c r="AA359" t="n">
        <v>75</v>
      </c>
      <c r="AB359" t="n">
        <v>1</v>
      </c>
      <c r="AC359" t="n">
        <v>0</v>
      </c>
      <c r="AD359" t="n">
        <v>3</v>
      </c>
      <c r="AE359" t="n">
        <v>6</v>
      </c>
      <c r="AF359" t="n">
        <v>4</v>
      </c>
      <c r="AG359" t="n">
        <v>2</v>
      </c>
      <c r="AH359" t="n">
        <v>33</v>
      </c>
      <c r="AI359" t="n">
        <v>30</v>
      </c>
      <c r="AJ359" t="n">
        <v>48</v>
      </c>
      <c r="AK359" t="n">
        <v>13</v>
      </c>
      <c r="AL359" t="n">
        <v>3</v>
      </c>
      <c r="AM359" t="n">
        <v>94</v>
      </c>
      <c r="AN359" t="n">
        <v>0</v>
      </c>
      <c r="AO359" t="n">
        <v>0</v>
      </c>
      <c r="AP359" t="n">
        <v>0</v>
      </c>
      <c r="AQ359" t="n">
        <v>1</v>
      </c>
      <c r="AR359" t="n">
        <v>101</v>
      </c>
      <c r="AS359" t="n">
        <v>93</v>
      </c>
      <c r="AT359" t="n">
        <v>1</v>
      </c>
      <c r="AU359" t="n">
        <v>1</v>
      </c>
      <c r="AV359" t="n">
        <v>14</v>
      </c>
      <c r="AW359" t="n">
        <v>1</v>
      </c>
      <c r="AX359" t="n">
        <v>0</v>
      </c>
      <c r="AY359" t="n">
        <v>24</v>
      </c>
      <c r="AZ359" t="n">
        <v>5</v>
      </c>
      <c r="BA359" t="n">
        <v>21</v>
      </c>
      <c r="BB359" t="n">
        <v>93</v>
      </c>
      <c r="BC359" t="n">
        <v>78</v>
      </c>
      <c r="BD359" t="n">
        <v>28</v>
      </c>
      <c r="BE359" t="n">
        <v>3</v>
      </c>
      <c r="BF359" t="n">
        <v>38</v>
      </c>
      <c r="BG359" t="n">
        <v>1</v>
      </c>
      <c r="BH359" t="n">
        <v>0</v>
      </c>
      <c r="BI359" t="n">
        <v>23</v>
      </c>
      <c r="BJ359" t="n">
        <v>21</v>
      </c>
      <c r="BK359" t="n">
        <v>7</v>
      </c>
      <c r="BL359" t="n">
        <v>56</v>
      </c>
      <c r="BM359" t="n">
        <v>54</v>
      </c>
      <c r="BN359" t="n">
        <v>12</v>
      </c>
      <c r="BO359" t="n">
        <v>2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161</v>
      </c>
      <c r="Z360" t="n">
        <v>112</v>
      </c>
      <c r="AA360" t="n">
        <v>16</v>
      </c>
      <c r="AB360" t="n">
        <v>2</v>
      </c>
      <c r="AC360" t="n">
        <v>1</v>
      </c>
      <c r="AD360" t="n">
        <v>2</v>
      </c>
      <c r="AE360" t="n">
        <v>4</v>
      </c>
      <c r="AF360" t="n">
        <v>3</v>
      </c>
      <c r="AG360" t="n">
        <v>1</v>
      </c>
      <c r="AH360" t="n">
        <v>10</v>
      </c>
      <c r="AI360" t="n">
        <v>12</v>
      </c>
      <c r="AJ360" t="n">
        <v>48</v>
      </c>
      <c r="AK360" t="n">
        <v>22</v>
      </c>
      <c r="AL360" t="n">
        <v>2</v>
      </c>
      <c r="AM360" t="n">
        <v>35</v>
      </c>
      <c r="AN360" t="n">
        <v>0</v>
      </c>
      <c r="AO360" t="n">
        <v>0</v>
      </c>
      <c r="AP360" t="n">
        <v>3</v>
      </c>
      <c r="AQ360" t="n">
        <v>16</v>
      </c>
      <c r="AR360" t="n">
        <v>62</v>
      </c>
      <c r="AS360" t="n">
        <v>48</v>
      </c>
      <c r="AT360" t="n">
        <v>2</v>
      </c>
      <c r="AU360" t="n">
        <v>0</v>
      </c>
      <c r="AV360" t="n">
        <v>19</v>
      </c>
      <c r="AW360" t="n">
        <v>7</v>
      </c>
      <c r="AX360" t="n">
        <v>7</v>
      </c>
      <c r="AY360" t="n">
        <v>68</v>
      </c>
      <c r="AZ360" t="n">
        <v>3</v>
      </c>
      <c r="BA360" t="n">
        <v>23</v>
      </c>
      <c r="BB360" t="n">
        <v>40</v>
      </c>
      <c r="BC360" t="n">
        <v>30</v>
      </c>
      <c r="BD360" t="n">
        <v>5</v>
      </c>
      <c r="BE360" t="n">
        <v>7</v>
      </c>
      <c r="BF360" t="n">
        <v>39</v>
      </c>
      <c r="BG360" t="n">
        <v>2</v>
      </c>
      <c r="BH360" t="n">
        <v>0</v>
      </c>
      <c r="BI360" t="n">
        <v>55</v>
      </c>
      <c r="BJ360" t="n">
        <v>50</v>
      </c>
      <c r="BK360" t="n">
        <v>1</v>
      </c>
      <c r="BL360" t="n">
        <v>1</v>
      </c>
      <c r="BM360" t="n">
        <v>26</v>
      </c>
      <c r="BN360" t="n">
        <v>15</v>
      </c>
      <c r="BO360" t="n">
        <v>2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2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232</v>
      </c>
      <c r="Z361" t="n">
        <v>106</v>
      </c>
      <c r="AA361" t="n">
        <v>29</v>
      </c>
      <c r="AB361" t="n">
        <v>2</v>
      </c>
      <c r="AC361" t="n">
        <v>0</v>
      </c>
      <c r="AD361" t="n">
        <v>12</v>
      </c>
      <c r="AE361" t="n">
        <v>4</v>
      </c>
      <c r="AF361" t="n">
        <v>1</v>
      </c>
      <c r="AG361" t="n">
        <v>10</v>
      </c>
      <c r="AH361" t="n">
        <v>109</v>
      </c>
      <c r="AI361" t="n">
        <v>27</v>
      </c>
      <c r="AJ361" t="n">
        <v>10</v>
      </c>
      <c r="AK361" t="n">
        <v>98</v>
      </c>
      <c r="AL361" t="n">
        <v>5</v>
      </c>
      <c r="AM361" t="n">
        <v>29</v>
      </c>
      <c r="AN361" t="n">
        <v>0</v>
      </c>
      <c r="AO361" t="n">
        <v>0</v>
      </c>
      <c r="AP361" t="n">
        <v>2</v>
      </c>
      <c r="AQ361" t="n">
        <v>4</v>
      </c>
      <c r="AR361" t="n">
        <v>119</v>
      </c>
      <c r="AS361" t="n">
        <v>109</v>
      </c>
      <c r="AT361" t="n">
        <v>3</v>
      </c>
      <c r="AU361" t="n">
        <v>0</v>
      </c>
      <c r="AV361" t="n">
        <v>24</v>
      </c>
      <c r="AW361" t="n">
        <v>4</v>
      </c>
      <c r="AX361" t="n">
        <v>1</v>
      </c>
      <c r="AY361" t="n">
        <v>3</v>
      </c>
      <c r="AZ361" t="n">
        <v>3</v>
      </c>
      <c r="BA361" t="n">
        <v>5</v>
      </c>
      <c r="BB361" t="n">
        <v>31</v>
      </c>
      <c r="BC361" t="n">
        <v>25</v>
      </c>
      <c r="BD361" t="n">
        <v>101</v>
      </c>
      <c r="BE361" t="n">
        <v>4</v>
      </c>
      <c r="BF361" t="n">
        <v>7</v>
      </c>
      <c r="BG361" t="n">
        <v>1</v>
      </c>
      <c r="BH361" t="n">
        <v>0</v>
      </c>
      <c r="BI361" t="n">
        <v>17</v>
      </c>
      <c r="BJ361" t="n">
        <v>14</v>
      </c>
      <c r="BK361" t="n">
        <v>0</v>
      </c>
      <c r="BL361" t="n">
        <v>1</v>
      </c>
      <c r="BM361" t="n">
        <v>7</v>
      </c>
      <c r="BN361" t="n">
        <v>4</v>
      </c>
      <c r="BO361" t="n">
        <v>9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0</v>
      </c>
      <c r="V362" t="n">
        <v>0</v>
      </c>
      <c r="W362" t="n">
        <v>0</v>
      </c>
      <c r="X362" t="n">
        <v>0</v>
      </c>
      <c r="Y362" t="n">
        <v>342</v>
      </c>
      <c r="Z362" t="n">
        <v>72</v>
      </c>
      <c r="AA362" t="n">
        <v>36</v>
      </c>
      <c r="AB362" t="n">
        <v>0</v>
      </c>
      <c r="AC362" t="n">
        <v>0</v>
      </c>
      <c r="AD362" t="n">
        <v>1</v>
      </c>
      <c r="AE362" t="n">
        <v>4</v>
      </c>
      <c r="AF362" t="n">
        <v>2</v>
      </c>
      <c r="AG362" t="n">
        <v>3</v>
      </c>
      <c r="AH362" t="n">
        <v>33</v>
      </c>
      <c r="AI362" t="n">
        <v>61</v>
      </c>
      <c r="AJ362" t="n">
        <v>23</v>
      </c>
      <c r="AK362" t="n">
        <v>60</v>
      </c>
      <c r="AL362" t="n">
        <v>0</v>
      </c>
      <c r="AM362" t="n">
        <v>2</v>
      </c>
      <c r="AN362" t="n">
        <v>0</v>
      </c>
      <c r="AO362" t="n">
        <v>0</v>
      </c>
      <c r="AP362" t="n">
        <v>3</v>
      </c>
      <c r="AQ362" t="n">
        <v>10</v>
      </c>
      <c r="AR362" t="n">
        <v>22</v>
      </c>
      <c r="AS362" t="n">
        <v>13</v>
      </c>
      <c r="AT362" t="n">
        <v>5</v>
      </c>
      <c r="AU362" t="n">
        <v>0</v>
      </c>
      <c r="AV362" t="n">
        <v>31</v>
      </c>
      <c r="AW362" t="n">
        <v>1</v>
      </c>
      <c r="AX362" t="n">
        <v>1</v>
      </c>
      <c r="AY362" t="n">
        <v>24</v>
      </c>
      <c r="AZ362" t="n">
        <v>1</v>
      </c>
      <c r="BA362" t="n">
        <v>17</v>
      </c>
      <c r="BB362" t="n">
        <v>52</v>
      </c>
      <c r="BC362" t="n">
        <v>2</v>
      </c>
      <c r="BD362" t="n">
        <v>31</v>
      </c>
      <c r="BE362" t="n">
        <v>14</v>
      </c>
      <c r="BF362" t="n">
        <v>24</v>
      </c>
      <c r="BG362" t="n">
        <v>3</v>
      </c>
      <c r="BH362" t="n">
        <v>16</v>
      </c>
      <c r="BI362" t="n">
        <v>77</v>
      </c>
      <c r="BJ362" t="n">
        <v>73</v>
      </c>
      <c r="BK362" t="n">
        <v>1</v>
      </c>
      <c r="BL362" t="n">
        <v>1</v>
      </c>
      <c r="BM362" t="n">
        <v>-5</v>
      </c>
      <c r="BN362" t="n">
        <v>-3</v>
      </c>
      <c r="BO362" t="n">
        <v>2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230</v>
      </c>
      <c r="Z363" t="n">
        <v>240</v>
      </c>
      <c r="AA363" t="n">
        <v>43</v>
      </c>
      <c r="AB363" t="n">
        <v>1</v>
      </c>
      <c r="AC363" t="n">
        <v>1</v>
      </c>
      <c r="AD363" t="n">
        <v>8</v>
      </c>
      <c r="AE363" t="n">
        <v>1</v>
      </c>
      <c r="AF363" t="n">
        <v>6</v>
      </c>
      <c r="AG363" t="n">
        <v>2</v>
      </c>
      <c r="AH363" t="n">
        <v>83</v>
      </c>
      <c r="AI363" t="n">
        <v>49</v>
      </c>
      <c r="AJ363" t="n">
        <v>90</v>
      </c>
      <c r="AK363" t="n">
        <v>1</v>
      </c>
      <c r="AL363" t="n">
        <v>5</v>
      </c>
      <c r="AM363" t="n">
        <v>94</v>
      </c>
      <c r="AN363" t="n">
        <v>0</v>
      </c>
      <c r="AO363" t="n">
        <v>0</v>
      </c>
      <c r="AP363" t="n">
        <v>6</v>
      </c>
      <c r="AQ363" t="n">
        <v>45</v>
      </c>
      <c r="AR363" t="n">
        <v>64</v>
      </c>
      <c r="AS363" t="n">
        <v>27</v>
      </c>
      <c r="AT363" t="n">
        <v>1</v>
      </c>
      <c r="AU363" t="n">
        <v>0</v>
      </c>
      <c r="AV363" t="n">
        <v>11</v>
      </c>
      <c r="AW363" t="n">
        <v>8</v>
      </c>
      <c r="AX363" t="n">
        <v>2</v>
      </c>
      <c r="AY363" t="n">
        <v>9</v>
      </c>
      <c r="AZ363" t="n">
        <v>1</v>
      </c>
      <c r="BA363" t="n">
        <v>1</v>
      </c>
      <c r="BB363" t="n">
        <v>42</v>
      </c>
      <c r="BC363" t="n">
        <v>97</v>
      </c>
      <c r="BD363" t="n">
        <v>74</v>
      </c>
      <c r="BE363" t="n">
        <v>14</v>
      </c>
      <c r="BF363" t="n">
        <v>71</v>
      </c>
      <c r="BG363" t="n">
        <v>2</v>
      </c>
      <c r="BH363" t="n">
        <v>4</v>
      </c>
      <c r="BI363" t="n">
        <v>6</v>
      </c>
      <c r="BJ363" t="n">
        <v>1</v>
      </c>
      <c r="BK363" t="n">
        <v>0</v>
      </c>
      <c r="BL363" t="n">
        <v>18</v>
      </c>
      <c r="BM363" t="n">
        <v>25</v>
      </c>
      <c r="BN363" t="n">
        <v>9</v>
      </c>
      <c r="BO363" t="n">
        <v>11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203</v>
      </c>
      <c r="Z364" t="n">
        <v>196</v>
      </c>
      <c r="AA364" t="n">
        <v>169</v>
      </c>
      <c r="AB364" t="n">
        <v>0</v>
      </c>
      <c r="AC364" t="n">
        <v>0</v>
      </c>
      <c r="AD364" t="n">
        <v>7</v>
      </c>
      <c r="AE364" t="n">
        <v>5</v>
      </c>
      <c r="AF364" t="n">
        <v>1</v>
      </c>
      <c r="AG364" t="n">
        <v>5</v>
      </c>
      <c r="AH364" t="n">
        <v>78</v>
      </c>
      <c r="AI364" t="n">
        <v>60</v>
      </c>
      <c r="AJ364" t="n">
        <v>4</v>
      </c>
      <c r="AK364" t="n">
        <v>27</v>
      </c>
      <c r="AL364" t="n">
        <v>2</v>
      </c>
      <c r="AM364" t="n">
        <v>72</v>
      </c>
      <c r="AN364" t="n">
        <v>0</v>
      </c>
      <c r="AO364" t="n">
        <v>2</v>
      </c>
      <c r="AP364" t="n">
        <v>4</v>
      </c>
      <c r="AQ364" t="n">
        <v>36</v>
      </c>
      <c r="AR364" t="n">
        <v>84</v>
      </c>
      <c r="AS364" t="n">
        <v>54</v>
      </c>
      <c r="AT364" t="n">
        <v>1</v>
      </c>
      <c r="AU364" t="n">
        <v>2</v>
      </c>
      <c r="AV364" t="n">
        <v>37</v>
      </c>
      <c r="AW364" t="n">
        <v>19</v>
      </c>
      <c r="AX364" t="n">
        <v>0</v>
      </c>
      <c r="AY364" t="n">
        <v>8</v>
      </c>
      <c r="AZ364" t="n">
        <v>0</v>
      </c>
      <c r="BA364" t="n">
        <v>1</v>
      </c>
      <c r="BB364" t="n">
        <v>160</v>
      </c>
      <c r="BC364" t="n">
        <v>59</v>
      </c>
      <c r="BD364" t="n">
        <v>75</v>
      </c>
      <c r="BE364" t="n">
        <v>26</v>
      </c>
      <c r="BF364" t="n">
        <v>5</v>
      </c>
      <c r="BG364" t="n">
        <v>1</v>
      </c>
      <c r="BH364" t="n">
        <v>18</v>
      </c>
      <c r="BI364" t="n">
        <v>1</v>
      </c>
      <c r="BJ364" t="n">
        <v>1</v>
      </c>
      <c r="BK364" t="n">
        <v>3</v>
      </c>
      <c r="BL364" t="n">
        <v>13</v>
      </c>
      <c r="BM364" t="n">
        <v>59</v>
      </c>
      <c r="BN364" t="n">
        <v>35</v>
      </c>
      <c r="BO364" t="n">
        <v>2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3</v>
      </c>
      <c r="U365" t="n">
        <v>0</v>
      </c>
      <c r="V365" t="n">
        <v>0</v>
      </c>
      <c r="W365" t="n">
        <v>0</v>
      </c>
      <c r="X365" t="n">
        <v>0</v>
      </c>
      <c r="Y365" t="n">
        <v>217</v>
      </c>
      <c r="Z365" t="n">
        <v>188</v>
      </c>
      <c r="AA365" t="n">
        <v>32</v>
      </c>
      <c r="AB365" t="n">
        <v>0</v>
      </c>
      <c r="AC365" t="n">
        <v>3</v>
      </c>
      <c r="AD365" t="n">
        <v>3</v>
      </c>
      <c r="AE365" t="n">
        <v>4</v>
      </c>
      <c r="AF365" t="n">
        <v>10</v>
      </c>
      <c r="AG365" t="n">
        <v>3</v>
      </c>
      <c r="AH365" t="n">
        <v>89</v>
      </c>
      <c r="AI365" t="n">
        <v>14</v>
      </c>
      <c r="AJ365" t="n">
        <v>82</v>
      </c>
      <c r="AK365" t="n">
        <v>21</v>
      </c>
      <c r="AL365" t="n">
        <v>4</v>
      </c>
      <c r="AM365" t="n">
        <v>58</v>
      </c>
      <c r="AN365" t="n">
        <v>0</v>
      </c>
      <c r="AO365" t="n">
        <v>0</v>
      </c>
      <c r="AP365" t="n">
        <v>5</v>
      </c>
      <c r="AQ365" t="n">
        <v>42</v>
      </c>
      <c r="AR365" t="n">
        <v>65</v>
      </c>
      <c r="AS365" t="n">
        <v>31</v>
      </c>
      <c r="AT365" t="n">
        <v>2</v>
      </c>
      <c r="AU365" t="n">
        <v>2</v>
      </c>
      <c r="AV365" t="n">
        <v>1</v>
      </c>
      <c r="AW365" t="n">
        <v>17</v>
      </c>
      <c r="AX365" t="n">
        <v>0</v>
      </c>
      <c r="AY365" t="n">
        <v>36</v>
      </c>
      <c r="AZ365" t="n">
        <v>6</v>
      </c>
      <c r="BA365" t="n">
        <v>48</v>
      </c>
      <c r="BB365" t="n">
        <v>83</v>
      </c>
      <c r="BC365" t="n">
        <v>48</v>
      </c>
      <c r="BD365" t="n">
        <v>80</v>
      </c>
      <c r="BE365" t="n">
        <v>23</v>
      </c>
      <c r="BF365" t="n">
        <v>65</v>
      </c>
      <c r="BG365" t="n">
        <v>0</v>
      </c>
      <c r="BH365" t="n">
        <v>9</v>
      </c>
      <c r="BI365" t="n">
        <v>7</v>
      </c>
      <c r="BJ365" t="n">
        <v>9</v>
      </c>
      <c r="BK365" t="n">
        <v>2</v>
      </c>
      <c r="BL365" t="n">
        <v>11</v>
      </c>
      <c r="BM365" t="n">
        <v>14</v>
      </c>
      <c r="BN365" t="n">
        <v>5</v>
      </c>
      <c r="BO365" t="n">
        <v>2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3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210</v>
      </c>
      <c r="Z366" t="n">
        <v>169</v>
      </c>
      <c r="AA366" t="n">
        <v>75</v>
      </c>
      <c r="AB366" t="n">
        <v>1</v>
      </c>
      <c r="AC366" t="n">
        <v>3</v>
      </c>
      <c r="AD366" t="n">
        <v>0</v>
      </c>
      <c r="AE366" t="n">
        <v>2</v>
      </c>
      <c r="AF366" t="n">
        <v>11</v>
      </c>
      <c r="AG366" t="n">
        <v>3</v>
      </c>
      <c r="AH366" t="n">
        <v>24</v>
      </c>
      <c r="AI366" t="n">
        <v>9</v>
      </c>
      <c r="AJ366" t="n">
        <v>141</v>
      </c>
      <c r="AK366" t="n">
        <v>1</v>
      </c>
      <c r="AL366" t="n">
        <v>2</v>
      </c>
      <c r="AM366" t="n">
        <v>31</v>
      </c>
      <c r="AN366" t="n">
        <v>0</v>
      </c>
      <c r="AO366" t="n">
        <v>0</v>
      </c>
      <c r="AP366" t="n">
        <v>2</v>
      </c>
      <c r="AQ366" t="n">
        <v>1</v>
      </c>
      <c r="AR366" t="n">
        <v>69</v>
      </c>
      <c r="AS366" t="n">
        <v>63</v>
      </c>
      <c r="AT366" t="n">
        <v>0</v>
      </c>
      <c r="AU366" t="n">
        <v>3</v>
      </c>
      <c r="AV366" t="n">
        <v>3</v>
      </c>
      <c r="AW366" t="n">
        <v>34</v>
      </c>
      <c r="AX366" t="n">
        <v>0</v>
      </c>
      <c r="AY366" t="n">
        <v>5</v>
      </c>
      <c r="AZ366" t="n">
        <v>5</v>
      </c>
      <c r="BA366" t="n">
        <v>30</v>
      </c>
      <c r="BB366" t="n">
        <v>102</v>
      </c>
      <c r="BC366" t="n">
        <v>24</v>
      </c>
      <c r="BD366" t="n">
        <v>34</v>
      </c>
      <c r="BE366" t="n">
        <v>67</v>
      </c>
      <c r="BF366" t="n">
        <v>116</v>
      </c>
      <c r="BG366" t="n">
        <v>2</v>
      </c>
      <c r="BH366" t="n">
        <v>0</v>
      </c>
      <c r="BI366" t="n">
        <v>41</v>
      </c>
      <c r="BJ366" t="n">
        <v>37</v>
      </c>
      <c r="BK366" t="n">
        <v>0</v>
      </c>
      <c r="BL366" t="n">
        <v>3</v>
      </c>
      <c r="BM366" t="n">
        <v>5</v>
      </c>
      <c r="BN366" t="n">
        <v>3</v>
      </c>
      <c r="BO366" t="n">
        <v>16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0</v>
      </c>
      <c r="V367" t="n">
        <v>0</v>
      </c>
      <c r="W367" t="n">
        <v>0</v>
      </c>
      <c r="X367" t="n">
        <v>0</v>
      </c>
      <c r="Y367" t="n">
        <v>204</v>
      </c>
      <c r="Z367" t="n">
        <v>285</v>
      </c>
      <c r="AA367" t="n">
        <v>104</v>
      </c>
      <c r="AB367" t="n">
        <v>2</v>
      </c>
      <c r="AC367" t="n">
        <v>0</v>
      </c>
      <c r="AD367" t="n">
        <v>4</v>
      </c>
      <c r="AE367" t="n">
        <v>4</v>
      </c>
      <c r="AF367" t="n">
        <v>7</v>
      </c>
      <c r="AG367" t="n">
        <v>0</v>
      </c>
      <c r="AH367" t="n">
        <v>57</v>
      </c>
      <c r="AI367" t="n">
        <v>74</v>
      </c>
      <c r="AJ367" t="n">
        <v>72</v>
      </c>
      <c r="AK367" t="n">
        <v>1</v>
      </c>
      <c r="AL367" t="n">
        <v>2</v>
      </c>
      <c r="AM367" t="n">
        <v>127</v>
      </c>
      <c r="AN367" t="n">
        <v>0</v>
      </c>
      <c r="AO367" t="n">
        <v>0</v>
      </c>
      <c r="AP367" t="n">
        <v>5</v>
      </c>
      <c r="AQ367" t="n">
        <v>27</v>
      </c>
      <c r="AR367" t="n">
        <v>73</v>
      </c>
      <c r="AS367" t="n">
        <v>51</v>
      </c>
      <c r="AT367" t="n">
        <v>2</v>
      </c>
      <c r="AU367" t="n">
        <v>0</v>
      </c>
      <c r="AV367" t="n">
        <v>17</v>
      </c>
      <c r="AW367" t="n">
        <v>1</v>
      </c>
      <c r="AX367" t="n">
        <v>0</v>
      </c>
      <c r="AY367" t="n">
        <v>76</v>
      </c>
      <c r="AZ367" t="n">
        <v>4</v>
      </c>
      <c r="BA367" t="n">
        <v>20</v>
      </c>
      <c r="BB367" t="n">
        <v>118</v>
      </c>
      <c r="BC367" t="n">
        <v>131</v>
      </c>
      <c r="BD367" t="n">
        <v>51</v>
      </c>
      <c r="BE367" t="n">
        <v>7</v>
      </c>
      <c r="BF367" t="n">
        <v>57</v>
      </c>
      <c r="BG367" t="n">
        <v>2</v>
      </c>
      <c r="BH367" t="n">
        <v>0</v>
      </c>
      <c r="BI367" t="n">
        <v>12</v>
      </c>
      <c r="BJ367" t="n">
        <v>15</v>
      </c>
      <c r="BK367" t="n">
        <v>2</v>
      </c>
      <c r="BL367" t="n">
        <v>5</v>
      </c>
      <c r="BM367" t="n">
        <v>5</v>
      </c>
      <c r="BN367" t="n">
        <v>2</v>
      </c>
      <c r="BO367" t="n">
        <v>86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225</v>
      </c>
      <c r="Z368" t="n">
        <v>204</v>
      </c>
      <c r="AA368" t="n">
        <v>104</v>
      </c>
      <c r="AB368" t="n">
        <v>1</v>
      </c>
      <c r="AC368" t="n">
        <v>1</v>
      </c>
      <c r="AD368" t="n">
        <v>4</v>
      </c>
      <c r="AE368" t="n">
        <v>4</v>
      </c>
      <c r="AF368" t="n">
        <v>0</v>
      </c>
      <c r="AG368" t="n">
        <v>0</v>
      </c>
      <c r="AH368" t="n">
        <v>39</v>
      </c>
      <c r="AI368" t="n">
        <v>79</v>
      </c>
      <c r="AJ368" t="n">
        <v>2</v>
      </c>
      <c r="AK368" t="n">
        <v>1</v>
      </c>
      <c r="AL368" t="n">
        <v>2</v>
      </c>
      <c r="AM368" t="n">
        <v>17</v>
      </c>
      <c r="AN368" t="n">
        <v>0</v>
      </c>
      <c r="AO368" t="n">
        <v>0</v>
      </c>
      <c r="AP368" t="n">
        <v>4</v>
      </c>
      <c r="AQ368" t="n">
        <v>44</v>
      </c>
      <c r="AR368" t="n">
        <v>96</v>
      </c>
      <c r="AS368" t="n">
        <v>60</v>
      </c>
      <c r="AT368" t="n">
        <v>1</v>
      </c>
      <c r="AU368" t="n">
        <v>2</v>
      </c>
      <c r="AV368" t="n">
        <v>11</v>
      </c>
      <c r="AW368" t="n">
        <v>18</v>
      </c>
      <c r="AX368" t="n">
        <v>0</v>
      </c>
      <c r="AY368" t="n">
        <v>108</v>
      </c>
      <c r="AZ368" t="n">
        <v>1</v>
      </c>
      <c r="BA368" t="n">
        <v>10</v>
      </c>
      <c r="BB368" t="n">
        <v>109</v>
      </c>
      <c r="BC368" t="n">
        <v>14</v>
      </c>
      <c r="BD368" t="n">
        <v>32</v>
      </c>
      <c r="BE368" t="n">
        <v>27</v>
      </c>
      <c r="BF368" t="n">
        <v>8</v>
      </c>
      <c r="BG368" t="n">
        <v>3</v>
      </c>
      <c r="BH368" t="n">
        <v>12</v>
      </c>
      <c r="BI368" t="n">
        <v>18</v>
      </c>
      <c r="BJ368" t="n">
        <v>16</v>
      </c>
      <c r="BK368" t="n">
        <v>6</v>
      </c>
      <c r="BL368" t="n">
        <v>32</v>
      </c>
      <c r="BM368" t="n">
        <v>34</v>
      </c>
      <c r="BN368" t="n">
        <v>10</v>
      </c>
      <c r="BO368" t="n">
        <v>-24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2</v>
      </c>
      <c r="H369" t="n">
        <v>2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0</v>
      </c>
      <c r="W369" t="n">
        <v>0</v>
      </c>
      <c r="X369" t="n">
        <v>0</v>
      </c>
      <c r="Y369" t="n">
        <v>246</v>
      </c>
      <c r="Z369" t="n">
        <v>230</v>
      </c>
      <c r="AA369" t="n">
        <v>88</v>
      </c>
      <c r="AB369" t="n">
        <v>1</v>
      </c>
      <c r="AC369" t="n">
        <v>2</v>
      </c>
      <c r="AD369" t="n">
        <v>3</v>
      </c>
      <c r="AE369" t="n">
        <v>9</v>
      </c>
      <c r="AF369" t="n">
        <v>4</v>
      </c>
      <c r="AG369" t="n">
        <v>2</v>
      </c>
      <c r="AH369" t="n">
        <v>52</v>
      </c>
      <c r="AI369" t="n">
        <v>84</v>
      </c>
      <c r="AJ369" t="n">
        <v>38</v>
      </c>
      <c r="AK369" t="n">
        <v>1</v>
      </c>
      <c r="AL369" t="n">
        <v>3</v>
      </c>
      <c r="AM369" t="n">
        <v>85</v>
      </c>
      <c r="AN369" t="n">
        <v>0</v>
      </c>
      <c r="AO369" t="n">
        <v>0</v>
      </c>
      <c r="AP369" t="n">
        <v>9</v>
      </c>
      <c r="AQ369" t="n">
        <v>76</v>
      </c>
      <c r="AR369" t="n">
        <v>85</v>
      </c>
      <c r="AS369" t="n">
        <v>19</v>
      </c>
      <c r="AT369" t="n">
        <v>0</v>
      </c>
      <c r="AU369" t="n">
        <v>1</v>
      </c>
      <c r="AV369" t="n">
        <v>1</v>
      </c>
      <c r="AW369" t="n">
        <v>5</v>
      </c>
      <c r="AX369" t="n">
        <v>10</v>
      </c>
      <c r="AY369" t="n">
        <v>19</v>
      </c>
      <c r="AZ369" t="n">
        <v>4</v>
      </c>
      <c r="BA369" t="n">
        <v>30</v>
      </c>
      <c r="BB369" t="n">
        <v>114</v>
      </c>
      <c r="BC369" t="n">
        <v>78</v>
      </c>
      <c r="BD369" t="n">
        <v>45</v>
      </c>
      <c r="BE369" t="n">
        <v>6</v>
      </c>
      <c r="BF369" t="n">
        <v>30</v>
      </c>
      <c r="BG369" t="n">
        <v>3</v>
      </c>
      <c r="BH369" t="n">
        <v>7</v>
      </c>
      <c r="BI369" t="n">
        <v>46</v>
      </c>
      <c r="BJ369" t="n">
        <v>43</v>
      </c>
      <c r="BK369" t="n">
        <v>5</v>
      </c>
      <c r="BL369" t="n">
        <v>16</v>
      </c>
      <c r="BM369" t="n">
        <v>25</v>
      </c>
      <c r="BN369" t="n">
        <v>10</v>
      </c>
      <c r="BO369" t="n">
        <v>2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183</v>
      </c>
      <c r="Z370" t="n">
        <v>206</v>
      </c>
      <c r="AA370" t="n">
        <v>32</v>
      </c>
      <c r="AB370" t="n">
        <v>3</v>
      </c>
      <c r="AC370" t="n">
        <v>0</v>
      </c>
      <c r="AD370" t="n">
        <v>5</v>
      </c>
      <c r="AE370" t="n">
        <v>2</v>
      </c>
      <c r="AF370" t="n">
        <v>3</v>
      </c>
      <c r="AG370" t="n">
        <v>4</v>
      </c>
      <c r="AH370" t="n">
        <v>47</v>
      </c>
      <c r="AI370" t="n">
        <v>26</v>
      </c>
      <c r="AJ370" t="n">
        <v>41</v>
      </c>
      <c r="AK370" t="n">
        <v>39</v>
      </c>
      <c r="AL370" t="n">
        <v>4</v>
      </c>
      <c r="AM370" t="n">
        <v>54</v>
      </c>
      <c r="AN370" t="n">
        <v>0</v>
      </c>
      <c r="AO370" t="n">
        <v>0</v>
      </c>
      <c r="AP370" t="n">
        <v>6</v>
      </c>
      <c r="AQ370" t="n">
        <v>39</v>
      </c>
      <c r="AR370" t="n">
        <v>111</v>
      </c>
      <c r="AS370" t="n">
        <v>78</v>
      </c>
      <c r="AT370" t="n">
        <v>4</v>
      </c>
      <c r="AU370" t="n">
        <v>1</v>
      </c>
      <c r="AV370" t="n">
        <v>37</v>
      </c>
      <c r="AW370" t="n">
        <v>8</v>
      </c>
      <c r="AX370" t="n">
        <v>11</v>
      </c>
      <c r="AY370" t="n">
        <v>42</v>
      </c>
      <c r="AZ370" t="n">
        <v>3</v>
      </c>
      <c r="BA370" t="n">
        <v>23</v>
      </c>
      <c r="BB370" t="n">
        <v>54</v>
      </c>
      <c r="BC370" t="n">
        <v>55</v>
      </c>
      <c r="BD370" t="n">
        <v>42</v>
      </c>
      <c r="BE370" t="n">
        <v>22</v>
      </c>
      <c r="BF370" t="n">
        <v>32</v>
      </c>
      <c r="BG370" t="n">
        <v>2</v>
      </c>
      <c r="BH370" t="n">
        <v>3</v>
      </c>
      <c r="BI370" t="n">
        <v>14</v>
      </c>
      <c r="BJ370" t="n">
        <v>11</v>
      </c>
      <c r="BK370" t="n">
        <v>5</v>
      </c>
      <c r="BL370" t="n">
        <v>41</v>
      </c>
      <c r="BM370" t="n">
        <v>28</v>
      </c>
      <c r="BN370" t="n">
        <v>1</v>
      </c>
      <c r="BO370" t="n">
        <v>2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2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322</v>
      </c>
      <c r="Z371" t="n">
        <v>496</v>
      </c>
      <c r="AA371" t="n">
        <v>17</v>
      </c>
      <c r="AB371" t="n">
        <v>2</v>
      </c>
      <c r="AC371" t="n">
        <v>0</v>
      </c>
      <c r="AD371" t="n">
        <v>10</v>
      </c>
      <c r="AE371" t="n">
        <v>5</v>
      </c>
      <c r="AF371" t="n">
        <v>2</v>
      </c>
      <c r="AG371" t="n">
        <v>4</v>
      </c>
      <c r="AH371" t="n">
        <v>126</v>
      </c>
      <c r="AI371" t="n">
        <v>168</v>
      </c>
      <c r="AJ371" t="n">
        <v>58</v>
      </c>
      <c r="AK371" t="n">
        <v>68</v>
      </c>
      <c r="AL371" t="n">
        <v>7</v>
      </c>
      <c r="AM371" t="n">
        <v>133</v>
      </c>
      <c r="AN371" t="n">
        <v>0</v>
      </c>
      <c r="AO371" t="n">
        <v>0</v>
      </c>
      <c r="AP371" t="n">
        <v>6</v>
      </c>
      <c r="AQ371" t="n">
        <v>81</v>
      </c>
      <c r="AR371" t="n">
        <v>140</v>
      </c>
      <c r="AS371" t="n">
        <v>72</v>
      </c>
      <c r="AT371" t="n">
        <v>1</v>
      </c>
      <c r="AU371" t="n">
        <v>1</v>
      </c>
      <c r="AV371" t="n">
        <v>1</v>
      </c>
      <c r="AW371" t="n">
        <v>48</v>
      </c>
      <c r="AX371" t="n">
        <v>6</v>
      </c>
      <c r="AY371" t="n">
        <v>1</v>
      </c>
      <c r="AZ371" t="n">
        <v>2</v>
      </c>
      <c r="BA371" t="n">
        <v>28</v>
      </c>
      <c r="BB371" t="n">
        <v>47</v>
      </c>
      <c r="BC371" t="n">
        <v>109</v>
      </c>
      <c r="BD371" t="n">
        <v>113</v>
      </c>
      <c r="BE371" t="n">
        <v>51</v>
      </c>
      <c r="BF371" t="n">
        <v>55</v>
      </c>
      <c r="BG371" t="n">
        <v>1</v>
      </c>
      <c r="BH371" t="n">
        <v>8</v>
      </c>
      <c r="BI371" t="n">
        <v>22</v>
      </c>
      <c r="BJ371" t="n">
        <v>20</v>
      </c>
      <c r="BK371" t="n">
        <v>4</v>
      </c>
      <c r="BL371" t="n">
        <v>43</v>
      </c>
      <c r="BM371" t="n">
        <v>29</v>
      </c>
      <c r="BN371" t="n">
        <v>1</v>
      </c>
      <c r="BO371" t="n">
        <v>2</v>
      </c>
    </row>
    <row r="372">
      <c r="A372" t="n">
        <v>0</v>
      </c>
      <c r="B372" t="n">
        <v>0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154</v>
      </c>
      <c r="Z372" t="n">
        <v>176</v>
      </c>
      <c r="AA372" t="n">
        <v>72</v>
      </c>
      <c r="AB372" t="n">
        <v>3</v>
      </c>
      <c r="AC372" t="n">
        <v>0</v>
      </c>
      <c r="AD372" t="n">
        <v>2</v>
      </c>
      <c r="AE372" t="n">
        <v>0</v>
      </c>
      <c r="AF372" t="n">
        <v>3</v>
      </c>
      <c r="AG372" t="n">
        <v>1</v>
      </c>
      <c r="AH372" t="n">
        <v>26</v>
      </c>
      <c r="AI372" t="n">
        <v>2</v>
      </c>
      <c r="AJ372" t="n">
        <v>30</v>
      </c>
      <c r="AK372" t="n">
        <v>10</v>
      </c>
      <c r="AL372" t="n">
        <v>1</v>
      </c>
      <c r="AM372" t="n">
        <v>2</v>
      </c>
      <c r="AN372" t="n">
        <v>0</v>
      </c>
      <c r="AO372" t="n">
        <v>0</v>
      </c>
      <c r="AP372" t="n">
        <v>0</v>
      </c>
      <c r="AQ372" t="n">
        <v>1</v>
      </c>
      <c r="AR372" t="n">
        <v>127</v>
      </c>
      <c r="AS372" t="n">
        <v>116</v>
      </c>
      <c r="AT372" t="n">
        <v>1</v>
      </c>
      <c r="AU372" t="n">
        <v>1</v>
      </c>
      <c r="AV372" t="n">
        <v>50</v>
      </c>
      <c r="AW372" t="n">
        <v>1</v>
      </c>
      <c r="AX372" t="n">
        <v>13</v>
      </c>
      <c r="AY372" t="n">
        <v>24</v>
      </c>
      <c r="AZ372" t="n">
        <v>1</v>
      </c>
      <c r="BA372" t="n">
        <v>8</v>
      </c>
      <c r="BB372" t="n">
        <v>76</v>
      </c>
      <c r="BC372" t="n">
        <v>9</v>
      </c>
      <c r="BD372" t="n">
        <v>33</v>
      </c>
      <c r="BE372" t="n">
        <v>1</v>
      </c>
      <c r="BF372" t="n">
        <v>36</v>
      </c>
      <c r="BG372" t="n">
        <v>1</v>
      </c>
      <c r="BH372" t="n">
        <v>0</v>
      </c>
      <c r="BI372" t="n">
        <v>27</v>
      </c>
      <c r="BJ372" t="n">
        <v>24</v>
      </c>
      <c r="BK372" t="n">
        <v>0</v>
      </c>
      <c r="BL372" t="n">
        <v>1</v>
      </c>
      <c r="BM372" t="n">
        <v>1</v>
      </c>
      <c r="BN372" t="n">
        <v>0</v>
      </c>
      <c r="BO372" t="n">
        <v>2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182</v>
      </c>
      <c r="Z373" t="n">
        <v>73</v>
      </c>
      <c r="AA373" t="n">
        <v>59</v>
      </c>
      <c r="AB373" t="n">
        <v>0</v>
      </c>
      <c r="AC373" t="n">
        <v>0</v>
      </c>
      <c r="AD373" t="n">
        <v>1</v>
      </c>
      <c r="AE373" t="n">
        <v>4</v>
      </c>
      <c r="AF373" t="n">
        <v>5</v>
      </c>
      <c r="AG373" t="n">
        <v>3</v>
      </c>
      <c r="AH373" t="n">
        <v>16</v>
      </c>
      <c r="AI373" t="n">
        <v>2</v>
      </c>
      <c r="AJ373" t="n">
        <v>73</v>
      </c>
      <c r="AK373" t="n">
        <v>1</v>
      </c>
      <c r="AL373" t="n">
        <v>2</v>
      </c>
      <c r="AM373" t="n">
        <v>13</v>
      </c>
      <c r="AN373" t="n">
        <v>0</v>
      </c>
      <c r="AO373" t="n">
        <v>0</v>
      </c>
      <c r="AP373" t="n">
        <v>3</v>
      </c>
      <c r="AQ373" t="n">
        <v>19</v>
      </c>
      <c r="AR373" t="n">
        <v>146</v>
      </c>
      <c r="AS373" t="n">
        <v>126</v>
      </c>
      <c r="AT373" t="n">
        <v>5</v>
      </c>
      <c r="AU373" t="n">
        <v>1</v>
      </c>
      <c r="AV373" t="n">
        <v>48</v>
      </c>
      <c r="AW373" t="n">
        <v>16</v>
      </c>
      <c r="AX373" t="n">
        <v>4</v>
      </c>
      <c r="AY373" t="n">
        <v>20</v>
      </c>
      <c r="AZ373" t="n">
        <v>0</v>
      </c>
      <c r="BA373" t="n">
        <v>1</v>
      </c>
      <c r="BB373" t="n">
        <v>58</v>
      </c>
      <c r="BC373" t="n">
        <v>14</v>
      </c>
      <c r="BD373" t="n">
        <v>14</v>
      </c>
      <c r="BE373" t="n">
        <v>16</v>
      </c>
      <c r="BF373" t="n">
        <v>57</v>
      </c>
      <c r="BG373" t="n">
        <v>2</v>
      </c>
      <c r="BH373" t="n">
        <v>15</v>
      </c>
      <c r="BI373" t="n">
        <v>1</v>
      </c>
      <c r="BJ373" t="n">
        <v>1</v>
      </c>
      <c r="BK373" t="n">
        <v>1</v>
      </c>
      <c r="BL373" t="n">
        <v>8</v>
      </c>
      <c r="BM373" t="n">
        <v>6</v>
      </c>
      <c r="BN373" t="n">
        <v>1</v>
      </c>
      <c r="BO373" t="n">
        <v>2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200</v>
      </c>
      <c r="Z374" t="n">
        <v>226</v>
      </c>
      <c r="AA374" t="n">
        <v>64</v>
      </c>
      <c r="AB374" t="n">
        <v>0</v>
      </c>
      <c r="AC374" t="n">
        <v>1</v>
      </c>
      <c r="AD374" t="n">
        <v>3</v>
      </c>
      <c r="AE374" t="n">
        <v>7</v>
      </c>
      <c r="AF374" t="n">
        <v>0</v>
      </c>
      <c r="AG374" t="n">
        <v>2</v>
      </c>
      <c r="AH374" t="n">
        <v>32</v>
      </c>
      <c r="AI374" t="n">
        <v>66</v>
      </c>
      <c r="AJ374" t="n">
        <v>16</v>
      </c>
      <c r="AK374" t="n">
        <v>1</v>
      </c>
      <c r="AL374" t="n">
        <v>2</v>
      </c>
      <c r="AM374" t="n">
        <v>3</v>
      </c>
      <c r="AN374" t="n">
        <v>0</v>
      </c>
      <c r="AO374" t="n">
        <v>0</v>
      </c>
      <c r="AP374" t="n">
        <v>3</v>
      </c>
      <c r="AQ374" t="n">
        <v>9</v>
      </c>
      <c r="AR374" t="n">
        <v>71</v>
      </c>
      <c r="AS374" t="n">
        <v>62</v>
      </c>
      <c r="AT374" t="n">
        <v>5</v>
      </c>
      <c r="AU374" t="n">
        <v>2</v>
      </c>
      <c r="AV374" t="n">
        <v>28</v>
      </c>
      <c r="AW374" t="n">
        <v>11</v>
      </c>
      <c r="AX374" t="n">
        <v>14</v>
      </c>
      <c r="AY374" t="n">
        <v>46</v>
      </c>
      <c r="AZ374" t="n">
        <v>6</v>
      </c>
      <c r="BA374" t="n">
        <v>75</v>
      </c>
      <c r="BB374" t="n">
        <v>147</v>
      </c>
      <c r="BC374" t="n">
        <v>12</v>
      </c>
      <c r="BD374" t="n">
        <v>63</v>
      </c>
      <c r="BE374" t="n">
        <v>11</v>
      </c>
      <c r="BF374" t="n">
        <v>14</v>
      </c>
      <c r="BG374" t="n">
        <v>5</v>
      </c>
      <c r="BH374" t="n">
        <v>7</v>
      </c>
      <c r="BI374" t="n">
        <v>101</v>
      </c>
      <c r="BJ374" t="n">
        <v>93</v>
      </c>
      <c r="BK374" t="n">
        <v>2</v>
      </c>
      <c r="BL374" t="n">
        <v>1</v>
      </c>
      <c r="BM374" t="n">
        <v>23</v>
      </c>
      <c r="BN374" t="n">
        <v>14</v>
      </c>
      <c r="BO374" t="n">
        <v>2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314</v>
      </c>
      <c r="Z375" t="n">
        <v>93</v>
      </c>
      <c r="AA375" t="n">
        <v>36</v>
      </c>
      <c r="AB375" t="n">
        <v>0</v>
      </c>
      <c r="AC375" t="n">
        <v>1</v>
      </c>
      <c r="AD375" t="n">
        <v>11</v>
      </c>
      <c r="AE375" t="n">
        <v>3</v>
      </c>
      <c r="AF375" t="n">
        <v>5</v>
      </c>
      <c r="AG375" t="n">
        <v>4</v>
      </c>
      <c r="AH375" t="n">
        <v>131</v>
      </c>
      <c r="AI375" t="n">
        <v>16</v>
      </c>
      <c r="AJ375" t="n">
        <v>20</v>
      </c>
      <c r="AK375" t="n">
        <v>63</v>
      </c>
      <c r="AL375" t="n">
        <v>3</v>
      </c>
      <c r="AM375" t="n">
        <v>47</v>
      </c>
      <c r="AN375" t="n">
        <v>0</v>
      </c>
      <c r="AO375" t="n">
        <v>0</v>
      </c>
      <c r="AP375" t="n">
        <v>11</v>
      </c>
      <c r="AQ375" t="n">
        <v>90</v>
      </c>
      <c r="AR375" t="n">
        <v>137</v>
      </c>
      <c r="AS375" t="n">
        <v>62</v>
      </c>
      <c r="AT375" t="n">
        <v>0</v>
      </c>
      <c r="AU375" t="n">
        <v>3</v>
      </c>
      <c r="AV375" t="n">
        <v>1</v>
      </c>
      <c r="AW375" t="n">
        <v>6</v>
      </c>
      <c r="AX375" t="n">
        <v>0</v>
      </c>
      <c r="AY375" t="n">
        <v>29</v>
      </c>
      <c r="AZ375" t="n">
        <v>2</v>
      </c>
      <c r="BA375" t="n">
        <v>8</v>
      </c>
      <c r="BB375" t="n">
        <v>41</v>
      </c>
      <c r="BC375" t="n">
        <v>55</v>
      </c>
      <c r="BD375" t="n">
        <v>118</v>
      </c>
      <c r="BE375" t="n">
        <v>6</v>
      </c>
      <c r="BF375" t="n">
        <v>26</v>
      </c>
      <c r="BG375" t="n">
        <v>3</v>
      </c>
      <c r="BH375" t="n">
        <v>5</v>
      </c>
      <c r="BI375" t="n">
        <v>20</v>
      </c>
      <c r="BJ375" t="n">
        <v>34</v>
      </c>
      <c r="BK375" t="n">
        <v>0</v>
      </c>
      <c r="BL375" t="n">
        <v>1</v>
      </c>
      <c r="BM375" t="n">
        <v>8</v>
      </c>
      <c r="BN375" t="n">
        <v>4</v>
      </c>
      <c r="BO375" t="n">
        <v>79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265</v>
      </c>
      <c r="Z376" t="n">
        <v>94</v>
      </c>
      <c r="AA376" t="n">
        <v>36</v>
      </c>
      <c r="AB376" t="n">
        <v>2</v>
      </c>
      <c r="AC376" t="n">
        <v>1</v>
      </c>
      <c r="AD376" t="n">
        <v>5</v>
      </c>
      <c r="AE376" t="n">
        <v>5</v>
      </c>
      <c r="AF376" t="n">
        <v>5</v>
      </c>
      <c r="AG376" t="n">
        <v>1</v>
      </c>
      <c r="AH376" t="n">
        <v>87</v>
      </c>
      <c r="AI376" t="n">
        <v>33</v>
      </c>
      <c r="AJ376" t="n">
        <v>64</v>
      </c>
      <c r="AK376" t="n">
        <v>1</v>
      </c>
      <c r="AL376" t="n">
        <v>3</v>
      </c>
      <c r="AM376" t="n">
        <v>33</v>
      </c>
      <c r="AN376" t="n">
        <v>0</v>
      </c>
      <c r="AO376" t="n">
        <v>0</v>
      </c>
      <c r="AP376" t="n">
        <v>1</v>
      </c>
      <c r="AQ376" t="n">
        <v>1</v>
      </c>
      <c r="AR376" t="n">
        <v>101</v>
      </c>
      <c r="AS376" t="n">
        <v>93</v>
      </c>
      <c r="AT376" t="n">
        <v>3</v>
      </c>
      <c r="AU376" t="n">
        <v>0</v>
      </c>
      <c r="AV376" t="n">
        <v>14</v>
      </c>
      <c r="AW376" t="n">
        <v>1</v>
      </c>
      <c r="AX376" t="n">
        <v>11</v>
      </c>
      <c r="AY376" t="n">
        <v>32</v>
      </c>
      <c r="AZ376" t="n">
        <v>0</v>
      </c>
      <c r="BA376" t="n">
        <v>1</v>
      </c>
      <c r="BB376" t="n">
        <v>36</v>
      </c>
      <c r="BC376" t="n">
        <v>28</v>
      </c>
      <c r="BD376" t="n">
        <v>120</v>
      </c>
      <c r="BE376" t="n">
        <v>7</v>
      </c>
      <c r="BF376" t="n">
        <v>64</v>
      </c>
      <c r="BG376" t="n">
        <v>2</v>
      </c>
      <c r="BH376" t="n">
        <v>11</v>
      </c>
      <c r="BI376" t="n">
        <v>19</v>
      </c>
      <c r="BJ376" t="n">
        <v>16</v>
      </c>
      <c r="BK376" t="n">
        <v>0</v>
      </c>
      <c r="BL376" t="n">
        <v>1</v>
      </c>
      <c r="BM376" t="n">
        <v>3</v>
      </c>
      <c r="BN376" t="n">
        <v>0</v>
      </c>
      <c r="BO376" t="n">
        <v>42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159</v>
      </c>
      <c r="Z377" t="n">
        <v>383</v>
      </c>
      <c r="AA377" t="n">
        <v>96</v>
      </c>
      <c r="AB377" t="n">
        <v>3</v>
      </c>
      <c r="AC377" t="n">
        <v>1</v>
      </c>
      <c r="AD377" t="n">
        <v>2</v>
      </c>
      <c r="AE377" t="n">
        <v>7</v>
      </c>
      <c r="AF377" t="n">
        <v>5</v>
      </c>
      <c r="AG377" t="n">
        <v>2</v>
      </c>
      <c r="AH377" t="n">
        <v>26</v>
      </c>
      <c r="AI377" t="n">
        <v>105</v>
      </c>
      <c r="AJ377" t="n">
        <v>30</v>
      </c>
      <c r="AK377" t="n">
        <v>9</v>
      </c>
      <c r="AL377" t="n">
        <v>2</v>
      </c>
      <c r="AM377" t="n">
        <v>58</v>
      </c>
      <c r="AN377" t="n">
        <v>0</v>
      </c>
      <c r="AO377" t="n">
        <v>0</v>
      </c>
      <c r="AP377" t="n">
        <v>9</v>
      </c>
      <c r="AQ377" t="n">
        <v>82</v>
      </c>
      <c r="AR377" t="n">
        <v>158</v>
      </c>
      <c r="AS377" t="n">
        <v>89</v>
      </c>
      <c r="AT377" t="n">
        <v>4</v>
      </c>
      <c r="AU377" t="n">
        <v>4</v>
      </c>
      <c r="AV377" t="n">
        <v>12</v>
      </c>
      <c r="AW377" t="n">
        <v>78</v>
      </c>
      <c r="AX377" t="n">
        <v>2</v>
      </c>
      <c r="AY377" t="n">
        <v>50</v>
      </c>
      <c r="AZ377" t="n">
        <v>0</v>
      </c>
      <c r="BA377" t="n">
        <v>1</v>
      </c>
      <c r="BB377" t="n">
        <v>94</v>
      </c>
      <c r="BC377" t="n">
        <v>48</v>
      </c>
      <c r="BD377" t="n">
        <v>24</v>
      </c>
      <c r="BE377" t="n">
        <v>81</v>
      </c>
      <c r="BF377" t="n">
        <v>24</v>
      </c>
      <c r="BG377" t="n">
        <v>2</v>
      </c>
      <c r="BH377" t="n">
        <v>11</v>
      </c>
      <c r="BI377" t="n">
        <v>9</v>
      </c>
      <c r="BJ377" t="n">
        <v>7</v>
      </c>
      <c r="BK377" t="n">
        <v>6</v>
      </c>
      <c r="BL377" t="n">
        <v>33</v>
      </c>
      <c r="BM377" t="n">
        <v>32</v>
      </c>
      <c r="BN377" t="n">
        <v>7</v>
      </c>
      <c r="BO377" t="n">
        <v>23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306</v>
      </c>
      <c r="Z378" t="n">
        <v>263</v>
      </c>
      <c r="AA378" t="n">
        <v>56</v>
      </c>
      <c r="AB378" t="n">
        <v>2</v>
      </c>
      <c r="AC378" t="n">
        <v>0</v>
      </c>
      <c r="AD378" t="n">
        <v>4</v>
      </c>
      <c r="AE378" t="n">
        <v>2</v>
      </c>
      <c r="AF378" t="n">
        <v>1</v>
      </c>
      <c r="AG378" t="n">
        <v>4</v>
      </c>
      <c r="AH378" t="n">
        <v>48</v>
      </c>
      <c r="AI378" t="n">
        <v>12</v>
      </c>
      <c r="AJ378" t="n">
        <v>2</v>
      </c>
      <c r="AK378" t="n">
        <v>54</v>
      </c>
      <c r="AL378" t="n">
        <v>4</v>
      </c>
      <c r="AM378" t="n">
        <v>64</v>
      </c>
      <c r="AN378" t="n">
        <v>1</v>
      </c>
      <c r="AO378" t="n">
        <v>1</v>
      </c>
      <c r="AP378" t="n">
        <v>3</v>
      </c>
      <c r="AQ378" t="n">
        <v>24</v>
      </c>
      <c r="AR378" t="n">
        <v>153</v>
      </c>
      <c r="AS378" t="n">
        <v>128</v>
      </c>
      <c r="AT378" t="n">
        <v>2</v>
      </c>
      <c r="AU378" t="n">
        <v>3</v>
      </c>
      <c r="AV378" t="n">
        <v>6</v>
      </c>
      <c r="AW378" t="n">
        <v>19</v>
      </c>
      <c r="AX378" t="n">
        <v>6</v>
      </c>
      <c r="AY378" t="n">
        <v>11</v>
      </c>
      <c r="AZ378" t="n">
        <v>6</v>
      </c>
      <c r="BA378" t="n">
        <v>62</v>
      </c>
      <c r="BB378" t="n">
        <v>123</v>
      </c>
      <c r="BC378" t="n">
        <v>53</v>
      </c>
      <c r="BD378" t="n">
        <v>43</v>
      </c>
      <c r="BE378" t="n">
        <v>19</v>
      </c>
      <c r="BF378" t="n">
        <v>2</v>
      </c>
      <c r="BG378" t="n">
        <v>0</v>
      </c>
      <c r="BH378" t="n">
        <v>35</v>
      </c>
      <c r="BI378" t="n">
        <v>1</v>
      </c>
      <c r="BJ378" t="n">
        <v>9</v>
      </c>
      <c r="BK378" t="n">
        <v>1</v>
      </c>
      <c r="BL378" t="n">
        <v>24</v>
      </c>
      <c r="BM378" t="n">
        <v>16</v>
      </c>
      <c r="BN378" t="n">
        <v>1</v>
      </c>
      <c r="BO378" t="n">
        <v>47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3</v>
      </c>
      <c r="U379" t="n">
        <v>0</v>
      </c>
      <c r="V379" t="n">
        <v>0</v>
      </c>
      <c r="W379" t="n">
        <v>0</v>
      </c>
      <c r="X379" t="n">
        <v>1</v>
      </c>
      <c r="Y379" t="n">
        <v>143</v>
      </c>
      <c r="Z379" t="n">
        <v>217</v>
      </c>
      <c r="AA379" t="n">
        <v>86</v>
      </c>
      <c r="AB379" t="n">
        <v>1</v>
      </c>
      <c r="AC379" t="n">
        <v>3</v>
      </c>
      <c r="AD379" t="n">
        <v>1</v>
      </c>
      <c r="AE379" t="n">
        <v>4</v>
      </c>
      <c r="AF379" t="n">
        <v>2</v>
      </c>
      <c r="AG379" t="n">
        <v>6</v>
      </c>
      <c r="AH379" t="n">
        <v>26</v>
      </c>
      <c r="AI379" t="n">
        <v>27</v>
      </c>
      <c r="AJ379" t="n">
        <v>45</v>
      </c>
      <c r="AK379" t="n">
        <v>51</v>
      </c>
      <c r="AL379" t="n">
        <v>1</v>
      </c>
      <c r="AM379" t="n">
        <v>11</v>
      </c>
      <c r="AN379" t="n">
        <v>0</v>
      </c>
      <c r="AO379" t="n">
        <v>1</v>
      </c>
      <c r="AP379" t="n">
        <v>0</v>
      </c>
      <c r="AQ379" t="n">
        <v>6</v>
      </c>
      <c r="AR379" t="n">
        <v>36</v>
      </c>
      <c r="AS379" t="n">
        <v>32</v>
      </c>
      <c r="AT379" t="n">
        <v>2</v>
      </c>
      <c r="AU379" t="n">
        <v>2</v>
      </c>
      <c r="AV379" t="n">
        <v>1</v>
      </c>
      <c r="AW379" t="n">
        <v>41</v>
      </c>
      <c r="AX379" t="n">
        <v>0</v>
      </c>
      <c r="AY379" t="n">
        <v>24</v>
      </c>
      <c r="AZ379" t="n">
        <v>2</v>
      </c>
      <c r="BA379" t="n">
        <v>36</v>
      </c>
      <c r="BB379" t="n">
        <v>118</v>
      </c>
      <c r="BC379" t="n">
        <v>9</v>
      </c>
      <c r="BD379" t="n">
        <v>28</v>
      </c>
      <c r="BE379" t="n">
        <v>41</v>
      </c>
      <c r="BF379" t="n">
        <v>35</v>
      </c>
      <c r="BG379" t="n">
        <v>1</v>
      </c>
      <c r="BH379" t="n">
        <v>9</v>
      </c>
      <c r="BI379" t="n">
        <v>14</v>
      </c>
      <c r="BJ379" t="n">
        <v>10</v>
      </c>
      <c r="BK379" t="n">
        <v>0</v>
      </c>
      <c r="BL379" t="n">
        <v>1</v>
      </c>
      <c r="BM379" t="n">
        <v>18</v>
      </c>
      <c r="BN379" t="n">
        <v>10</v>
      </c>
      <c r="BO379" t="n">
        <v>18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162</v>
      </c>
      <c r="Z380" t="n">
        <v>177</v>
      </c>
      <c r="AA380" t="n">
        <v>82</v>
      </c>
      <c r="AB380" t="n">
        <v>1</v>
      </c>
      <c r="AC380" t="n">
        <v>2</v>
      </c>
      <c r="AD380" t="n">
        <v>1</v>
      </c>
      <c r="AE380" t="n">
        <v>6</v>
      </c>
      <c r="AF380" t="n">
        <v>3</v>
      </c>
      <c r="AG380" t="n">
        <v>5</v>
      </c>
      <c r="AH380" t="n">
        <v>53</v>
      </c>
      <c r="AI380" t="n">
        <v>43</v>
      </c>
      <c r="AJ380" t="n">
        <v>47</v>
      </c>
      <c r="AK380" t="n">
        <v>51</v>
      </c>
      <c r="AL380" t="n">
        <v>4</v>
      </c>
      <c r="AM380" t="n">
        <v>25</v>
      </c>
      <c r="AN380" t="n">
        <v>0</v>
      </c>
      <c r="AO380" t="n">
        <v>0</v>
      </c>
      <c r="AP380" t="n">
        <v>2</v>
      </c>
      <c r="AQ380" t="n">
        <v>-2</v>
      </c>
      <c r="AR380" t="n">
        <v>71</v>
      </c>
      <c r="AS380" t="n">
        <v>67</v>
      </c>
      <c r="AT380" t="n">
        <v>0</v>
      </c>
      <c r="AU380" t="n">
        <v>1</v>
      </c>
      <c r="AV380" t="n">
        <v>1</v>
      </c>
      <c r="AW380" t="n">
        <v>9</v>
      </c>
      <c r="AX380" t="n">
        <v>0</v>
      </c>
      <c r="AY380" t="n">
        <v>137</v>
      </c>
      <c r="AZ380" t="n">
        <v>1</v>
      </c>
      <c r="BA380" t="n">
        <v>10</v>
      </c>
      <c r="BB380" t="n">
        <v>88</v>
      </c>
      <c r="BC380" t="n">
        <v>22</v>
      </c>
      <c r="BD380" t="n">
        <v>47</v>
      </c>
      <c r="BE380" t="n">
        <v>9</v>
      </c>
      <c r="BF380" t="n">
        <v>41</v>
      </c>
      <c r="BG380" t="n">
        <v>0</v>
      </c>
      <c r="BH380" t="n">
        <v>3</v>
      </c>
      <c r="BI380" t="n">
        <v>5</v>
      </c>
      <c r="BJ380" t="n">
        <v>2</v>
      </c>
      <c r="BK380" t="n">
        <v>0</v>
      </c>
      <c r="BL380" t="n">
        <v>1</v>
      </c>
      <c r="BM380" t="n">
        <v>23</v>
      </c>
      <c r="BN380" t="n">
        <v>13</v>
      </c>
      <c r="BO380" t="n">
        <v>2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0</v>
      </c>
      <c r="V381" t="n">
        <v>0</v>
      </c>
      <c r="W381" t="n">
        <v>0</v>
      </c>
      <c r="X381" t="n">
        <v>0</v>
      </c>
      <c r="Y381" t="n">
        <v>293</v>
      </c>
      <c r="Z381" t="n">
        <v>121</v>
      </c>
      <c r="AA381" t="n">
        <v>68</v>
      </c>
      <c r="AB381" t="n">
        <v>0</v>
      </c>
      <c r="AC381" t="n">
        <v>0</v>
      </c>
      <c r="AD381" t="n">
        <v>6</v>
      </c>
      <c r="AE381" t="n">
        <v>6</v>
      </c>
      <c r="AF381" t="n">
        <v>0</v>
      </c>
      <c r="AG381" t="n">
        <v>4</v>
      </c>
      <c r="AH381" t="n">
        <v>27</v>
      </c>
      <c r="AI381" t="n">
        <v>43</v>
      </c>
      <c r="AJ381" t="n">
        <v>9</v>
      </c>
      <c r="AK381" t="n">
        <v>18</v>
      </c>
      <c r="AL381" t="n">
        <v>4</v>
      </c>
      <c r="AM381" t="n">
        <v>32</v>
      </c>
      <c r="AN381" t="n">
        <v>0</v>
      </c>
      <c r="AO381" t="n">
        <v>0</v>
      </c>
      <c r="AP381" t="n">
        <v>8</v>
      </c>
      <c r="AQ381" t="n">
        <v>24</v>
      </c>
      <c r="AR381" t="n">
        <v>123</v>
      </c>
      <c r="AS381" t="n">
        <v>100</v>
      </c>
      <c r="AT381" t="n">
        <v>8</v>
      </c>
      <c r="AU381" t="n">
        <v>1</v>
      </c>
      <c r="AV381" t="n">
        <v>80</v>
      </c>
      <c r="AW381" t="n">
        <v>14</v>
      </c>
      <c r="AX381" t="n">
        <v>3</v>
      </c>
      <c r="AY381" t="n">
        <v>41</v>
      </c>
      <c r="AZ381" t="n">
        <v>2</v>
      </c>
      <c r="BA381" t="n">
        <v>3</v>
      </c>
      <c r="BB381" t="n">
        <v>66</v>
      </c>
      <c r="BC381" t="n">
        <v>31</v>
      </c>
      <c r="BD381" t="n">
        <v>24</v>
      </c>
      <c r="BE381" t="n">
        <v>14</v>
      </c>
      <c r="BF381" t="n">
        <v>4</v>
      </c>
      <c r="BG381" t="n">
        <v>6</v>
      </c>
      <c r="BH381" t="n">
        <v>5</v>
      </c>
      <c r="BI381" t="n">
        <v>92</v>
      </c>
      <c r="BJ381" t="n">
        <v>84</v>
      </c>
      <c r="BK381" t="n">
        <v>5</v>
      </c>
      <c r="BL381" t="n">
        <v>22</v>
      </c>
      <c r="BM381" t="n">
        <v>15</v>
      </c>
      <c r="BN381" t="n">
        <v>0</v>
      </c>
      <c r="BO381" t="n">
        <v>2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0</v>
      </c>
      <c r="V382" t="n">
        <v>0</v>
      </c>
      <c r="W382" t="n">
        <v>0</v>
      </c>
      <c r="X382" t="n">
        <v>0</v>
      </c>
      <c r="Y382" t="n">
        <v>152</v>
      </c>
      <c r="Z382" t="n">
        <v>263</v>
      </c>
      <c r="AA382" t="n">
        <v>113</v>
      </c>
      <c r="AB382" t="n">
        <v>0</v>
      </c>
      <c r="AC382" t="n">
        <v>3</v>
      </c>
      <c r="AD382" t="n">
        <v>5</v>
      </c>
      <c r="AE382" t="n">
        <v>4</v>
      </c>
      <c r="AF382" t="n">
        <v>2</v>
      </c>
      <c r="AG382" t="n">
        <v>0</v>
      </c>
      <c r="AH382" t="n">
        <v>90</v>
      </c>
      <c r="AI382" t="n">
        <v>32</v>
      </c>
      <c r="AJ382" t="n">
        <v>22</v>
      </c>
      <c r="AK382" t="n">
        <v>9</v>
      </c>
      <c r="AL382" t="n">
        <v>2</v>
      </c>
      <c r="AM382" t="n">
        <v>35</v>
      </c>
      <c r="AN382" t="n">
        <v>0</v>
      </c>
      <c r="AO382" t="n">
        <v>0</v>
      </c>
      <c r="AP382" t="n">
        <v>0</v>
      </c>
      <c r="AQ382" t="n">
        <v>35</v>
      </c>
      <c r="AR382" t="n">
        <v>70</v>
      </c>
      <c r="AS382" t="n">
        <v>40</v>
      </c>
      <c r="AT382" t="n">
        <v>1</v>
      </c>
      <c r="AU382" t="n">
        <v>1</v>
      </c>
      <c r="AV382" t="n">
        <v>1</v>
      </c>
      <c r="AW382" t="n">
        <v>41</v>
      </c>
      <c r="AX382" t="n">
        <v>3</v>
      </c>
      <c r="AY382" t="n">
        <v>0</v>
      </c>
      <c r="AZ382" t="n">
        <v>4</v>
      </c>
      <c r="BA382" t="n">
        <v>24</v>
      </c>
      <c r="BB382" t="n">
        <v>129</v>
      </c>
      <c r="BC382" t="n">
        <v>30</v>
      </c>
      <c r="BD382" t="n">
        <v>93</v>
      </c>
      <c r="BE382" t="n">
        <v>41</v>
      </c>
      <c r="BF382" t="n">
        <v>17</v>
      </c>
      <c r="BG382" t="n">
        <v>0</v>
      </c>
      <c r="BH382" t="n">
        <v>4</v>
      </c>
      <c r="BI382" t="n">
        <v>1</v>
      </c>
      <c r="BJ382" t="n">
        <v>1</v>
      </c>
      <c r="BK382" t="n">
        <v>1</v>
      </c>
      <c r="BL382" t="n">
        <v>7</v>
      </c>
      <c r="BM382" t="n">
        <v>13</v>
      </c>
      <c r="BN382" t="n">
        <v>7</v>
      </c>
      <c r="BO382" t="n">
        <v>18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107</v>
      </c>
      <c r="Z383" t="n">
        <v>162</v>
      </c>
      <c r="AA383" t="n">
        <v>-1</v>
      </c>
      <c r="AB383" t="n">
        <v>2</v>
      </c>
      <c r="AC383" t="n">
        <v>1</v>
      </c>
      <c r="AD383" t="n">
        <v>1</v>
      </c>
      <c r="AE383" t="n">
        <v>3</v>
      </c>
      <c r="AF383" t="n">
        <v>3</v>
      </c>
      <c r="AG383" t="n">
        <v>3</v>
      </c>
      <c r="AH383" t="n">
        <v>28</v>
      </c>
      <c r="AI383" t="n">
        <v>44</v>
      </c>
      <c r="AJ383" t="n">
        <v>40</v>
      </c>
      <c r="AK383" t="n">
        <v>13</v>
      </c>
      <c r="AL383" t="n">
        <v>3</v>
      </c>
      <c r="AM383" t="n">
        <v>61</v>
      </c>
      <c r="AN383" t="n">
        <v>0</v>
      </c>
      <c r="AO383" t="n">
        <v>0</v>
      </c>
      <c r="AP383" t="n">
        <v>1</v>
      </c>
      <c r="AQ383" t="n">
        <v>1</v>
      </c>
      <c r="AR383" t="n">
        <v>65</v>
      </c>
      <c r="AS383" t="n">
        <v>58</v>
      </c>
      <c r="AT383" t="n">
        <v>2</v>
      </c>
      <c r="AU383" t="n">
        <v>1</v>
      </c>
      <c r="AV383" t="n">
        <v>37</v>
      </c>
      <c r="AW383" t="n">
        <v>9</v>
      </c>
      <c r="AX383" t="n">
        <v>0</v>
      </c>
      <c r="AY383" t="n">
        <v>18</v>
      </c>
      <c r="AZ383" t="n">
        <v>0</v>
      </c>
      <c r="BA383" t="n">
        <v>1</v>
      </c>
      <c r="BB383" t="n">
        <v>3</v>
      </c>
      <c r="BC383" t="n">
        <v>56</v>
      </c>
      <c r="BD383" t="n">
        <v>25</v>
      </c>
      <c r="BE383" t="n">
        <v>9</v>
      </c>
      <c r="BF383" t="n">
        <v>31</v>
      </c>
      <c r="BG383" t="n">
        <v>3</v>
      </c>
      <c r="BH383" t="n">
        <v>4</v>
      </c>
      <c r="BI383" t="n">
        <v>9</v>
      </c>
      <c r="BJ383" t="n">
        <v>9</v>
      </c>
      <c r="BK383" t="n">
        <v>3</v>
      </c>
      <c r="BL383" t="n">
        <v>28</v>
      </c>
      <c r="BM383" t="n">
        <v>21</v>
      </c>
      <c r="BN383" t="n">
        <v>2</v>
      </c>
      <c r="BO383" t="n">
        <v>9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154</v>
      </c>
      <c r="Z384" t="n">
        <v>245</v>
      </c>
      <c r="AA384" t="n">
        <v>54</v>
      </c>
      <c r="AB384" t="n">
        <v>1</v>
      </c>
      <c r="AC384" t="n">
        <v>0</v>
      </c>
      <c r="AD384" t="n">
        <v>5</v>
      </c>
      <c r="AE384" t="n">
        <v>4</v>
      </c>
      <c r="AF384" t="n">
        <v>3</v>
      </c>
      <c r="AG384" t="n">
        <v>0</v>
      </c>
      <c r="AH384" t="n">
        <v>87</v>
      </c>
      <c r="AI384" t="n">
        <v>49</v>
      </c>
      <c r="AJ384" t="n">
        <v>24</v>
      </c>
      <c r="AK384" t="n">
        <v>7</v>
      </c>
      <c r="AL384" t="n">
        <v>5</v>
      </c>
      <c r="AM384" t="n">
        <v>53</v>
      </c>
      <c r="AN384" t="n">
        <v>0</v>
      </c>
      <c r="AO384" t="n">
        <v>0</v>
      </c>
      <c r="AP384" t="n">
        <v>5</v>
      </c>
      <c r="AQ384" t="n">
        <v>7</v>
      </c>
      <c r="AR384" t="n">
        <v>26</v>
      </c>
      <c r="AS384" t="n">
        <v>22</v>
      </c>
      <c r="AT384" t="n">
        <v>3</v>
      </c>
      <c r="AU384" t="n">
        <v>3</v>
      </c>
      <c r="AV384" t="n">
        <v>42</v>
      </c>
      <c r="AW384" t="n">
        <v>27</v>
      </c>
      <c r="AX384" t="n">
        <v>1</v>
      </c>
      <c r="AY384" t="n">
        <v>33</v>
      </c>
      <c r="AZ384" t="n">
        <v>4</v>
      </c>
      <c r="BA384" t="n">
        <v>23</v>
      </c>
      <c r="BB384" t="n">
        <v>76</v>
      </c>
      <c r="BC384" t="n">
        <v>43</v>
      </c>
      <c r="BD384" t="n">
        <v>90</v>
      </c>
      <c r="BE384" t="n">
        <v>33</v>
      </c>
      <c r="BF384" t="n">
        <v>19</v>
      </c>
      <c r="BG384" t="n">
        <v>1</v>
      </c>
      <c r="BH384" t="n">
        <v>0</v>
      </c>
      <c r="BI384" t="n">
        <v>9</v>
      </c>
      <c r="BJ384" t="n">
        <v>11</v>
      </c>
      <c r="BK384" t="n">
        <v>2</v>
      </c>
      <c r="BL384" t="n">
        <v>14</v>
      </c>
      <c r="BM384" t="n">
        <v>12</v>
      </c>
      <c r="BN384" t="n">
        <v>2</v>
      </c>
      <c r="BO384" t="n">
        <v>2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</v>
      </c>
      <c r="X385" t="n">
        <v>0</v>
      </c>
      <c r="Y385" t="n">
        <v>242</v>
      </c>
      <c r="Z385" t="n">
        <v>109</v>
      </c>
      <c r="AA385" t="n">
        <v>56</v>
      </c>
      <c r="AB385" t="n">
        <v>2</v>
      </c>
      <c r="AC385" t="n">
        <v>1</v>
      </c>
      <c r="AD385" t="n">
        <v>1</v>
      </c>
      <c r="AE385" t="n">
        <v>4</v>
      </c>
      <c r="AF385" t="n">
        <v>2</v>
      </c>
      <c r="AG385" t="n">
        <v>4</v>
      </c>
      <c r="AH385" t="n">
        <v>17</v>
      </c>
      <c r="AI385" t="n">
        <v>45</v>
      </c>
      <c r="AJ385" t="n">
        <v>20</v>
      </c>
      <c r="AK385" t="n">
        <v>18</v>
      </c>
      <c r="AL385" t="n">
        <v>2</v>
      </c>
      <c r="AM385" t="n">
        <v>2</v>
      </c>
      <c r="AN385" t="n">
        <v>0</v>
      </c>
      <c r="AO385" t="n">
        <v>0</v>
      </c>
      <c r="AP385" t="n">
        <v>1</v>
      </c>
      <c r="AQ385" t="n">
        <v>1</v>
      </c>
      <c r="AR385" t="n">
        <v>117</v>
      </c>
      <c r="AS385" t="n">
        <v>108</v>
      </c>
      <c r="AT385" t="n">
        <v>3</v>
      </c>
      <c r="AU385" t="n">
        <v>0</v>
      </c>
      <c r="AV385" t="n">
        <v>25</v>
      </c>
      <c r="AW385" t="n">
        <v>1</v>
      </c>
      <c r="AX385" t="n">
        <v>0</v>
      </c>
      <c r="AY385" t="n">
        <v>27</v>
      </c>
      <c r="AZ385" t="n">
        <v>0</v>
      </c>
      <c r="BA385" t="n">
        <v>1</v>
      </c>
      <c r="BB385" t="n">
        <v>55</v>
      </c>
      <c r="BC385" t="n">
        <v>-4</v>
      </c>
      <c r="BD385" t="n">
        <v>14</v>
      </c>
      <c r="BE385" t="n">
        <v>3</v>
      </c>
      <c r="BF385" t="n">
        <v>45</v>
      </c>
      <c r="BG385" t="n">
        <v>5</v>
      </c>
      <c r="BH385" t="n">
        <v>13</v>
      </c>
      <c r="BI385" t="n">
        <v>123</v>
      </c>
      <c r="BJ385" t="n">
        <v>117</v>
      </c>
      <c r="BK385" t="n">
        <v>3</v>
      </c>
      <c r="BL385" t="n">
        <v>1</v>
      </c>
      <c r="BM385" t="n">
        <v>66</v>
      </c>
      <c r="BN385" t="n">
        <v>45</v>
      </c>
      <c r="BO385" t="n">
        <v>9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2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2</v>
      </c>
      <c r="U386" t="n">
        <v>1</v>
      </c>
      <c r="V386" t="n">
        <v>0</v>
      </c>
      <c r="W386" t="n">
        <v>0</v>
      </c>
      <c r="X386" t="n">
        <v>0</v>
      </c>
      <c r="Y386" t="n">
        <v>238</v>
      </c>
      <c r="Z386" t="n">
        <v>346</v>
      </c>
      <c r="AA386" t="n">
        <v>40</v>
      </c>
      <c r="AB386" t="n">
        <v>1</v>
      </c>
      <c r="AC386" t="n">
        <v>1</v>
      </c>
      <c r="AD386" t="n">
        <v>12</v>
      </c>
      <c r="AE386" t="n">
        <v>8</v>
      </c>
      <c r="AF386" t="n">
        <v>6</v>
      </c>
      <c r="AG386" t="n">
        <v>0</v>
      </c>
      <c r="AH386" t="n">
        <v>94</v>
      </c>
      <c r="AI386" t="n">
        <v>80</v>
      </c>
      <c r="AJ386" t="n">
        <v>88</v>
      </c>
      <c r="AK386" t="n">
        <v>1</v>
      </c>
      <c r="AL386" t="n">
        <v>8</v>
      </c>
      <c r="AM386" t="n">
        <v>85</v>
      </c>
      <c r="AN386" t="n">
        <v>0</v>
      </c>
      <c r="AO386" t="n">
        <v>0</v>
      </c>
      <c r="AP386" t="n">
        <v>1</v>
      </c>
      <c r="AQ386" t="n">
        <v>1</v>
      </c>
      <c r="AR386" t="n">
        <v>92</v>
      </c>
      <c r="AS386" t="n">
        <v>85</v>
      </c>
      <c r="AT386" t="n">
        <v>2</v>
      </c>
      <c r="AU386" t="n">
        <v>3</v>
      </c>
      <c r="AV386" t="n">
        <v>62</v>
      </c>
      <c r="AW386" t="n">
        <v>45</v>
      </c>
      <c r="AX386" t="n">
        <v>1</v>
      </c>
      <c r="AY386" t="n">
        <v>21</v>
      </c>
      <c r="AZ386" t="n">
        <v>7</v>
      </c>
      <c r="BA386" t="n">
        <v>66</v>
      </c>
      <c r="BB386" t="n">
        <v>114</v>
      </c>
      <c r="BC386" t="n">
        <v>71</v>
      </c>
      <c r="BD386" t="n">
        <v>86</v>
      </c>
      <c r="BE386" t="n">
        <v>45</v>
      </c>
      <c r="BF386" t="n">
        <v>84</v>
      </c>
      <c r="BG386" t="n">
        <v>0</v>
      </c>
      <c r="BH386" t="n">
        <v>0</v>
      </c>
      <c r="BI386" t="n">
        <v>1</v>
      </c>
      <c r="BJ386" t="n">
        <v>21</v>
      </c>
      <c r="BK386" t="n">
        <v>1</v>
      </c>
      <c r="BL386" t="n">
        <v>-1</v>
      </c>
      <c r="BM386" t="n">
        <v>35</v>
      </c>
      <c r="BN386" t="n">
        <v>22</v>
      </c>
      <c r="BO386" t="n">
        <v>108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335</v>
      </c>
      <c r="Z387" t="n">
        <v>206</v>
      </c>
      <c r="AA387" t="n">
        <v>56</v>
      </c>
      <c r="AB387" t="n">
        <v>2</v>
      </c>
      <c r="AC387" t="n">
        <v>0</v>
      </c>
      <c r="AD387" t="n">
        <v>4</v>
      </c>
      <c r="AE387" t="n">
        <v>4</v>
      </c>
      <c r="AF387" t="n">
        <v>4</v>
      </c>
      <c r="AG387" t="n">
        <v>6</v>
      </c>
      <c r="AH387" t="n">
        <v>38</v>
      </c>
      <c r="AI387" t="n">
        <v>22</v>
      </c>
      <c r="AJ387" t="n">
        <v>62</v>
      </c>
      <c r="AK387" t="n">
        <v>57</v>
      </c>
      <c r="AL387" t="n">
        <v>5</v>
      </c>
      <c r="AM387" t="n">
        <v>21</v>
      </c>
      <c r="AN387" t="n">
        <v>0</v>
      </c>
      <c r="AO387" t="n">
        <v>0</v>
      </c>
      <c r="AP387" t="n">
        <v>6</v>
      </c>
      <c r="AQ387" t="n">
        <v>24</v>
      </c>
      <c r="AR387" t="n">
        <v>59</v>
      </c>
      <c r="AS387" t="n">
        <v>39</v>
      </c>
      <c r="AT387" t="n">
        <v>4</v>
      </c>
      <c r="AU387" t="n">
        <v>1</v>
      </c>
      <c r="AV387" t="n">
        <v>55</v>
      </c>
      <c r="AW387" t="n">
        <v>35</v>
      </c>
      <c r="AX387" t="n">
        <v>1</v>
      </c>
      <c r="AY387" t="n">
        <v>22</v>
      </c>
      <c r="AZ387" t="n">
        <v>0</v>
      </c>
      <c r="BA387" t="n">
        <v>8</v>
      </c>
      <c r="BB387" t="n">
        <v>60</v>
      </c>
      <c r="BC387" t="n">
        <v>34</v>
      </c>
      <c r="BD387" t="n">
        <v>57</v>
      </c>
      <c r="BE387" t="n">
        <v>34</v>
      </c>
      <c r="BF387" t="n">
        <v>67</v>
      </c>
      <c r="BG387" t="n">
        <v>5</v>
      </c>
      <c r="BH387" t="n">
        <v>22</v>
      </c>
      <c r="BI387" t="n">
        <v>39</v>
      </c>
      <c r="BJ387" t="n">
        <v>44</v>
      </c>
      <c r="BK387" t="n">
        <v>1</v>
      </c>
      <c r="BL387" t="n">
        <v>1</v>
      </c>
      <c r="BM387" t="n">
        <v>5</v>
      </c>
      <c r="BN387" t="n">
        <v>3</v>
      </c>
      <c r="BO387" t="n">
        <v>14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</v>
      </c>
      <c r="U388" t="n">
        <v>0</v>
      </c>
      <c r="V388" t="n">
        <v>0</v>
      </c>
      <c r="W388" t="n">
        <v>0</v>
      </c>
      <c r="X388" t="n">
        <v>0</v>
      </c>
      <c r="Y388" t="n">
        <v>179</v>
      </c>
      <c r="Z388" t="n">
        <v>165</v>
      </c>
      <c r="AA388" t="n">
        <v>182</v>
      </c>
      <c r="AB388" t="n">
        <v>1</v>
      </c>
      <c r="AC388" t="n">
        <v>0</v>
      </c>
      <c r="AD388" t="n">
        <v>4</v>
      </c>
      <c r="AE388" t="n">
        <v>3</v>
      </c>
      <c r="AF388" t="n">
        <v>5</v>
      </c>
      <c r="AG388" t="n">
        <v>4</v>
      </c>
      <c r="AH388" t="n">
        <v>36</v>
      </c>
      <c r="AI388" t="n">
        <v>26</v>
      </c>
      <c r="AJ388" t="n">
        <v>36</v>
      </c>
      <c r="AK388" t="n">
        <v>33</v>
      </c>
      <c r="AL388" t="n">
        <v>2</v>
      </c>
      <c r="AM388" t="n">
        <v>6</v>
      </c>
      <c r="AN388" t="n">
        <v>0</v>
      </c>
      <c r="AO388" t="n">
        <v>0</v>
      </c>
      <c r="AP388" t="n">
        <v>5</v>
      </c>
      <c r="AQ388" t="n">
        <v>30</v>
      </c>
      <c r="AR388" t="n">
        <v>63</v>
      </c>
      <c r="AS388" t="n">
        <v>38</v>
      </c>
      <c r="AT388" t="n">
        <v>4</v>
      </c>
      <c r="AU388" t="n">
        <v>2</v>
      </c>
      <c r="AV388" t="n">
        <v>30</v>
      </c>
      <c r="AW388" t="n">
        <v>35</v>
      </c>
      <c r="AX388" t="n">
        <v>0</v>
      </c>
      <c r="AY388" t="n">
        <v>45</v>
      </c>
      <c r="AZ388" t="n">
        <v>3</v>
      </c>
      <c r="BA388" t="n">
        <v>7</v>
      </c>
      <c r="BB388" t="n">
        <v>178</v>
      </c>
      <c r="BC388" t="n">
        <v>14</v>
      </c>
      <c r="BD388" t="n">
        <v>32</v>
      </c>
      <c r="BE388" t="n">
        <v>44</v>
      </c>
      <c r="BF388" t="n">
        <v>28</v>
      </c>
      <c r="BG388" t="n">
        <v>3</v>
      </c>
      <c r="BH388" t="n">
        <v>12</v>
      </c>
      <c r="BI388" t="n">
        <v>18</v>
      </c>
      <c r="BJ388" t="n">
        <v>15</v>
      </c>
      <c r="BK388" t="n">
        <v>2</v>
      </c>
      <c r="BL388" t="n">
        <v>18</v>
      </c>
      <c r="BM388" t="n">
        <v>12</v>
      </c>
      <c r="BN388" t="n">
        <v>0</v>
      </c>
      <c r="BO388" t="n">
        <v>37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104</v>
      </c>
      <c r="Z389" t="n">
        <v>228</v>
      </c>
      <c r="AA389" t="n">
        <v>89</v>
      </c>
      <c r="AB389" t="n">
        <v>1</v>
      </c>
      <c r="AC389" t="n">
        <v>0</v>
      </c>
      <c r="AD389" t="n">
        <v>6</v>
      </c>
      <c r="AE389" t="n">
        <v>4</v>
      </c>
      <c r="AF389" t="n">
        <v>4</v>
      </c>
      <c r="AG389" t="n">
        <v>0</v>
      </c>
      <c r="AH389" t="n">
        <v>39</v>
      </c>
      <c r="AI389" t="n">
        <v>19</v>
      </c>
      <c r="AJ389" t="n">
        <v>34</v>
      </c>
      <c r="AK389" t="n">
        <v>1</v>
      </c>
      <c r="AL389" t="n">
        <v>7</v>
      </c>
      <c r="AM389" t="n">
        <v>109</v>
      </c>
      <c r="AN389" t="n">
        <v>0</v>
      </c>
      <c r="AO389" t="n">
        <v>0</v>
      </c>
      <c r="AP389" t="n">
        <v>3</v>
      </c>
      <c r="AQ389" t="n">
        <v>12</v>
      </c>
      <c r="AR389" t="n">
        <v>104</v>
      </c>
      <c r="AS389" t="n">
        <v>92</v>
      </c>
      <c r="AT389" t="n">
        <v>4</v>
      </c>
      <c r="AU389" t="n">
        <v>1</v>
      </c>
      <c r="AV389" t="n">
        <v>23</v>
      </c>
      <c r="AW389" t="n">
        <v>2</v>
      </c>
      <c r="AX389" t="n">
        <v>0</v>
      </c>
      <c r="AY389" t="n">
        <v>12</v>
      </c>
      <c r="AZ389" t="n">
        <v>1</v>
      </c>
      <c r="BA389" t="n">
        <v>5</v>
      </c>
      <c r="BB389" t="n">
        <v>89</v>
      </c>
      <c r="BC389" t="n">
        <v>103</v>
      </c>
      <c r="BD389" t="n">
        <v>35</v>
      </c>
      <c r="BE389" t="n">
        <v>5</v>
      </c>
      <c r="BF389" t="n">
        <v>30</v>
      </c>
      <c r="BG389" t="n">
        <v>3</v>
      </c>
      <c r="BH389" t="n">
        <v>1</v>
      </c>
      <c r="BI389" t="n">
        <v>10</v>
      </c>
      <c r="BJ389" t="n">
        <v>13</v>
      </c>
      <c r="BK389" t="n">
        <v>0</v>
      </c>
      <c r="BL389" t="n">
        <v>7</v>
      </c>
      <c r="BM389" t="n">
        <v>1</v>
      </c>
      <c r="BN389" t="n">
        <v>0</v>
      </c>
      <c r="BO389" t="n">
        <v>9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2</v>
      </c>
      <c r="V390" t="n">
        <v>0</v>
      </c>
      <c r="W390" t="n">
        <v>0</v>
      </c>
      <c r="X390" t="n">
        <v>0</v>
      </c>
      <c r="Y390" t="n">
        <v>282</v>
      </c>
      <c r="Z390" t="n">
        <v>219</v>
      </c>
      <c r="AA390" t="n">
        <v>27</v>
      </c>
      <c r="AB390" t="n">
        <v>0</v>
      </c>
      <c r="AC390" t="n">
        <v>3</v>
      </c>
      <c r="AD390" t="n">
        <v>1</v>
      </c>
      <c r="AE390" t="n">
        <v>6</v>
      </c>
      <c r="AF390" t="n">
        <v>4</v>
      </c>
      <c r="AG390" t="n">
        <v>5</v>
      </c>
      <c r="AH390" t="n">
        <v>57</v>
      </c>
      <c r="AI390" t="n">
        <v>67</v>
      </c>
      <c r="AJ390" t="n">
        <v>10</v>
      </c>
      <c r="AK390" t="n">
        <v>137</v>
      </c>
      <c r="AL390" t="n">
        <v>4</v>
      </c>
      <c r="AM390" t="n">
        <v>36</v>
      </c>
      <c r="AN390" t="n">
        <v>0</v>
      </c>
      <c r="AO390" t="n">
        <v>0</v>
      </c>
      <c r="AP390" t="n">
        <v>3</v>
      </c>
      <c r="AQ390" t="n">
        <v>0</v>
      </c>
      <c r="AR390" t="n">
        <v>141</v>
      </c>
      <c r="AS390" t="n">
        <v>130</v>
      </c>
      <c r="AT390" t="n">
        <v>2</v>
      </c>
      <c r="AU390" t="n">
        <v>1</v>
      </c>
      <c r="AV390" t="n">
        <v>22</v>
      </c>
      <c r="AW390" t="n">
        <v>1</v>
      </c>
      <c r="AX390" t="n">
        <v>0</v>
      </c>
      <c r="AY390" t="n">
        <v>63</v>
      </c>
      <c r="AZ390" t="n">
        <v>2</v>
      </c>
      <c r="BA390" t="n">
        <v>12</v>
      </c>
      <c r="BB390" t="n">
        <v>40</v>
      </c>
      <c r="BC390" t="n">
        <v>31</v>
      </c>
      <c r="BD390" t="n">
        <v>57</v>
      </c>
      <c r="BE390" t="n">
        <v>1</v>
      </c>
      <c r="BF390" t="n">
        <v>7</v>
      </c>
      <c r="BG390" t="n">
        <v>3</v>
      </c>
      <c r="BH390" t="n">
        <v>6</v>
      </c>
      <c r="BI390" t="n">
        <v>51</v>
      </c>
      <c r="BJ390" t="n">
        <v>53</v>
      </c>
      <c r="BK390" t="n">
        <v>9</v>
      </c>
      <c r="BL390" t="n">
        <v>43</v>
      </c>
      <c r="BM390" t="n">
        <v>52</v>
      </c>
      <c r="BN390" t="n">
        <v>16</v>
      </c>
      <c r="BO390" t="n">
        <v>-19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191</v>
      </c>
      <c r="Z391" t="n">
        <v>137</v>
      </c>
      <c r="AA391" t="n">
        <v>62</v>
      </c>
      <c r="AB391" t="n">
        <v>3</v>
      </c>
      <c r="AC391" t="n">
        <v>1</v>
      </c>
      <c r="AD391" t="n">
        <v>2</v>
      </c>
      <c r="AE391" t="n">
        <v>7</v>
      </c>
      <c r="AF391" t="n">
        <v>2</v>
      </c>
      <c r="AG391" t="n">
        <v>7</v>
      </c>
      <c r="AH391" t="n">
        <v>19</v>
      </c>
      <c r="AI391" t="n">
        <v>86</v>
      </c>
      <c r="AJ391" t="n">
        <v>27</v>
      </c>
      <c r="AK391" t="n">
        <v>45</v>
      </c>
      <c r="AL391" t="n">
        <v>4</v>
      </c>
      <c r="AM391" t="n">
        <v>42</v>
      </c>
      <c r="AN391" t="n">
        <v>0</v>
      </c>
      <c r="AO391" t="n">
        <v>0</v>
      </c>
      <c r="AP391" t="n">
        <v>3</v>
      </c>
      <c r="AQ391" t="n">
        <v>27</v>
      </c>
      <c r="AR391" t="n">
        <v>49</v>
      </c>
      <c r="AS391" t="n">
        <v>26</v>
      </c>
      <c r="AT391" t="n">
        <v>1</v>
      </c>
      <c r="AU391" t="n">
        <v>1</v>
      </c>
      <c r="AV391" t="n">
        <v>1</v>
      </c>
      <c r="AW391" t="n">
        <v>8</v>
      </c>
      <c r="AX391" t="n">
        <v>0</v>
      </c>
      <c r="AY391" t="n">
        <v>50</v>
      </c>
      <c r="AZ391" t="n">
        <v>0</v>
      </c>
      <c r="BA391" t="n">
        <v>1</v>
      </c>
      <c r="BB391" t="n">
        <v>61</v>
      </c>
      <c r="BC391" t="n">
        <v>38</v>
      </c>
      <c r="BD391" t="n">
        <v>32</v>
      </c>
      <c r="BE391" t="n">
        <v>7</v>
      </c>
      <c r="BF391" t="n">
        <v>21</v>
      </c>
      <c r="BG391" t="n">
        <v>3</v>
      </c>
      <c r="BH391" t="n">
        <v>16</v>
      </c>
      <c r="BI391" t="n">
        <v>49</v>
      </c>
      <c r="BJ391" t="n">
        <v>50</v>
      </c>
      <c r="BK391" t="n">
        <v>2</v>
      </c>
      <c r="BL391" t="n">
        <v>1</v>
      </c>
      <c r="BM391" t="n">
        <v>15</v>
      </c>
      <c r="BN391" t="n">
        <v>8</v>
      </c>
      <c r="BO391" t="n">
        <v>2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273</v>
      </c>
      <c r="Z392" t="n">
        <v>223</v>
      </c>
      <c r="AA392" t="n">
        <v>49</v>
      </c>
      <c r="AB392" t="n">
        <v>1</v>
      </c>
      <c r="AC392" t="n">
        <v>4</v>
      </c>
      <c r="AD392" t="n">
        <v>1</v>
      </c>
      <c r="AE392" t="n">
        <v>6</v>
      </c>
      <c r="AF392" t="n">
        <v>6</v>
      </c>
      <c r="AG392" t="n">
        <v>8</v>
      </c>
      <c r="AH392" t="n">
        <v>9</v>
      </c>
      <c r="AI392" t="n">
        <v>43</v>
      </c>
      <c r="AJ392" t="n">
        <v>89</v>
      </c>
      <c r="AK392" t="n">
        <v>101</v>
      </c>
      <c r="AL392" t="n">
        <v>6</v>
      </c>
      <c r="AM392" t="n">
        <v>87</v>
      </c>
      <c r="AN392" t="n">
        <v>0</v>
      </c>
      <c r="AO392" t="n">
        <v>0</v>
      </c>
      <c r="AP392" t="n">
        <v>3</v>
      </c>
      <c r="AQ392" t="n">
        <v>1</v>
      </c>
      <c r="AR392" t="n">
        <v>101</v>
      </c>
      <c r="AS392" t="n">
        <v>94</v>
      </c>
      <c r="AT392" t="n">
        <v>5</v>
      </c>
      <c r="AU392" t="n">
        <v>2</v>
      </c>
      <c r="AV392" t="n">
        <v>38</v>
      </c>
      <c r="AW392" t="n">
        <v>30</v>
      </c>
      <c r="AX392" t="n">
        <v>0</v>
      </c>
      <c r="AY392" t="n">
        <v>26</v>
      </c>
      <c r="AZ392" t="n">
        <v>4</v>
      </c>
      <c r="BA392" t="n">
        <v>21</v>
      </c>
      <c r="BB392" t="n">
        <v>66</v>
      </c>
      <c r="BC392" t="n">
        <v>77</v>
      </c>
      <c r="BD392" t="n">
        <v>5</v>
      </c>
      <c r="BE392" t="n">
        <v>31</v>
      </c>
      <c r="BF392" t="n">
        <v>94</v>
      </c>
      <c r="BG392" t="n">
        <v>3</v>
      </c>
      <c r="BH392" t="n">
        <v>6</v>
      </c>
      <c r="BI392" t="n">
        <v>12</v>
      </c>
      <c r="BJ392" t="n">
        <v>13</v>
      </c>
      <c r="BK392" t="n">
        <v>3</v>
      </c>
      <c r="BL392" t="n">
        <v>37</v>
      </c>
      <c r="BM392" t="n">
        <v>69</v>
      </c>
      <c r="BN392" t="n">
        <v>32</v>
      </c>
      <c r="BO392" t="n">
        <v>11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263</v>
      </c>
      <c r="Z393" t="n">
        <v>286</v>
      </c>
      <c r="AA393" t="n">
        <v>61</v>
      </c>
      <c r="AB393" t="n">
        <v>3</v>
      </c>
      <c r="AC393" t="n">
        <v>0</v>
      </c>
      <c r="AD393" t="n">
        <v>6</v>
      </c>
      <c r="AE393" t="n">
        <v>3</v>
      </c>
      <c r="AF393" t="n">
        <v>0</v>
      </c>
      <c r="AG393" t="n">
        <v>2</v>
      </c>
      <c r="AH393" t="n">
        <v>57</v>
      </c>
      <c r="AI393" t="n">
        <v>48</v>
      </c>
      <c r="AJ393" t="n">
        <v>19</v>
      </c>
      <c r="AK393" t="n">
        <v>21</v>
      </c>
      <c r="AL393" t="n">
        <v>7</v>
      </c>
      <c r="AM393" t="n">
        <v>69</v>
      </c>
      <c r="AN393" t="n">
        <v>0</v>
      </c>
      <c r="AO393" t="n">
        <v>0</v>
      </c>
      <c r="AP393" t="n">
        <v>2</v>
      </c>
      <c r="AQ393" t="n">
        <v>1</v>
      </c>
      <c r="AR393" t="n">
        <v>70</v>
      </c>
      <c r="AS393" t="n">
        <v>64</v>
      </c>
      <c r="AT393" t="n">
        <v>2</v>
      </c>
      <c r="AU393" t="n">
        <v>1</v>
      </c>
      <c r="AV393" t="n">
        <v>21</v>
      </c>
      <c r="AW393" t="n">
        <v>6</v>
      </c>
      <c r="AX393" t="n">
        <v>0</v>
      </c>
      <c r="AY393" t="n">
        <v>69</v>
      </c>
      <c r="AZ393" t="n">
        <v>10</v>
      </c>
      <c r="BA393" t="n">
        <v>75</v>
      </c>
      <c r="BB393" t="n">
        <v>142</v>
      </c>
      <c r="BC393" t="n">
        <v>71</v>
      </c>
      <c r="BD393" t="n">
        <v>51</v>
      </c>
      <c r="BE393" t="n">
        <v>8</v>
      </c>
      <c r="BF393" t="n">
        <v>15</v>
      </c>
      <c r="BG393" t="n">
        <v>5</v>
      </c>
      <c r="BH393" t="n">
        <v>9</v>
      </c>
      <c r="BI393" t="n">
        <v>35</v>
      </c>
      <c r="BJ393" t="n">
        <v>36</v>
      </c>
      <c r="BK393" t="n">
        <v>6</v>
      </c>
      <c r="BL393" t="n">
        <v>92</v>
      </c>
      <c r="BM393" t="n">
        <v>79</v>
      </c>
      <c r="BN393" t="n">
        <v>12</v>
      </c>
      <c r="BO393" t="n">
        <v>2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5</v>
      </c>
      <c r="I394" t="n">
        <v>0</v>
      </c>
      <c r="J394" t="n">
        <v>1</v>
      </c>
      <c r="K394" t="n">
        <v>0</v>
      </c>
      <c r="L394" t="n">
        <v>0</v>
      </c>
      <c r="M394" t="n">
        <v>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2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202</v>
      </c>
      <c r="Z394" t="n">
        <v>212</v>
      </c>
      <c r="AA394" t="n">
        <v>77</v>
      </c>
      <c r="AB394" t="n">
        <v>2</v>
      </c>
      <c r="AC394" t="n">
        <v>0</v>
      </c>
      <c r="AD394" t="n">
        <v>3</v>
      </c>
      <c r="AE394" t="n">
        <v>4</v>
      </c>
      <c r="AF394" t="n">
        <v>4</v>
      </c>
      <c r="AG394" t="n">
        <v>10</v>
      </c>
      <c r="AH394" t="n">
        <v>24</v>
      </c>
      <c r="AI394" t="n">
        <v>36</v>
      </c>
      <c r="AJ394" t="n">
        <v>28</v>
      </c>
      <c r="AK394" t="n">
        <v>101</v>
      </c>
      <c r="AL394" t="n">
        <v>6</v>
      </c>
      <c r="AM394" t="n">
        <v>121</v>
      </c>
      <c r="AN394" t="n">
        <v>1</v>
      </c>
      <c r="AO394" t="n">
        <v>0</v>
      </c>
      <c r="AP394" t="n">
        <v>5</v>
      </c>
      <c r="AQ394" t="n">
        <v>19</v>
      </c>
      <c r="AR394" t="n">
        <v>88</v>
      </c>
      <c r="AS394" t="n">
        <v>70</v>
      </c>
      <c r="AT394" t="n">
        <v>3</v>
      </c>
      <c r="AU394" t="n">
        <v>1</v>
      </c>
      <c r="AV394" t="n">
        <v>2</v>
      </c>
      <c r="AW394" t="n">
        <v>1</v>
      </c>
      <c r="AX394" t="n">
        <v>0</v>
      </c>
      <c r="AY394" t="n">
        <v>40</v>
      </c>
      <c r="AZ394" t="n">
        <v>3</v>
      </c>
      <c r="BA394" t="n">
        <v>10</v>
      </c>
      <c r="BB394" t="n">
        <v>84</v>
      </c>
      <c r="BC394" t="n">
        <v>103</v>
      </c>
      <c r="BD394" t="n">
        <v>42</v>
      </c>
      <c r="BE394" t="n">
        <v>1</v>
      </c>
      <c r="BF394" t="n">
        <v>22</v>
      </c>
      <c r="BG394" t="n">
        <v>1</v>
      </c>
      <c r="BH394" t="n">
        <v>3</v>
      </c>
      <c r="BI394" t="n">
        <v>20</v>
      </c>
      <c r="BJ394" t="n">
        <v>29</v>
      </c>
      <c r="BK394" t="n">
        <v>2</v>
      </c>
      <c r="BL394" t="n">
        <v>1</v>
      </c>
      <c r="BM394" t="n">
        <v>1</v>
      </c>
      <c r="BN394" t="n">
        <v>0</v>
      </c>
      <c r="BO394" t="n">
        <v>2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2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2</v>
      </c>
      <c r="U395" t="n">
        <v>1</v>
      </c>
      <c r="V395" t="n">
        <v>1</v>
      </c>
      <c r="W395" t="n">
        <v>0</v>
      </c>
      <c r="X395" t="n">
        <v>0</v>
      </c>
      <c r="Y395" t="n">
        <v>236</v>
      </c>
      <c r="Z395" t="n">
        <v>85</v>
      </c>
      <c r="AA395" t="n">
        <v>124</v>
      </c>
      <c r="AB395" t="n">
        <v>3</v>
      </c>
      <c r="AC395" t="n">
        <v>0</v>
      </c>
      <c r="AD395" t="n">
        <v>4</v>
      </c>
      <c r="AE395" t="n">
        <v>3</v>
      </c>
      <c r="AF395" t="n">
        <v>4</v>
      </c>
      <c r="AG395" t="n">
        <v>8</v>
      </c>
      <c r="AH395" t="n">
        <v>27</v>
      </c>
      <c r="AI395" t="n">
        <v>28</v>
      </c>
      <c r="AJ395" t="n">
        <v>44</v>
      </c>
      <c r="AK395" t="n">
        <v>50</v>
      </c>
      <c r="AL395" t="n">
        <v>0</v>
      </c>
      <c r="AM395" t="n">
        <v>6</v>
      </c>
      <c r="AN395" t="n">
        <v>0</v>
      </c>
      <c r="AO395" t="n">
        <v>0</v>
      </c>
      <c r="AP395" t="n">
        <v>2</v>
      </c>
      <c r="AQ395" t="n">
        <v>15</v>
      </c>
      <c r="AR395" t="n">
        <v>60</v>
      </c>
      <c r="AS395" t="n">
        <v>46</v>
      </c>
      <c r="AT395" t="n">
        <v>5</v>
      </c>
      <c r="AU395" t="n">
        <v>1</v>
      </c>
      <c r="AV395" t="n">
        <v>24</v>
      </c>
      <c r="AW395" t="n">
        <v>16</v>
      </c>
      <c r="AX395" t="n">
        <v>0</v>
      </c>
      <c r="AY395" t="n">
        <v>54</v>
      </c>
      <c r="AZ395" t="n">
        <v>3</v>
      </c>
      <c r="BA395" t="n">
        <v>16</v>
      </c>
      <c r="BB395" t="n">
        <v>132</v>
      </c>
      <c r="BC395" t="n">
        <v>41</v>
      </c>
      <c r="BD395" t="n">
        <v>25</v>
      </c>
      <c r="BE395" t="n">
        <v>16</v>
      </c>
      <c r="BF395" t="n">
        <v>36</v>
      </c>
      <c r="BG395" t="n">
        <v>1</v>
      </c>
      <c r="BH395" t="n">
        <v>9</v>
      </c>
      <c r="BI395" t="n">
        <v>1</v>
      </c>
      <c r="BJ395" t="n">
        <v>11</v>
      </c>
      <c r="BK395" t="n">
        <v>2</v>
      </c>
      <c r="BL395" t="n">
        <v>1</v>
      </c>
      <c r="BM395" t="n">
        <v>24</v>
      </c>
      <c r="BN395" t="n">
        <v>14</v>
      </c>
      <c r="BO395" t="n">
        <v>159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235</v>
      </c>
      <c r="Z396" t="n">
        <v>157</v>
      </c>
      <c r="AA396" t="n">
        <v>105</v>
      </c>
      <c r="AB396" t="n">
        <v>2</v>
      </c>
      <c r="AC396" t="n">
        <v>0</v>
      </c>
      <c r="AD396" t="n">
        <v>6</v>
      </c>
      <c r="AE396" t="n">
        <v>1</v>
      </c>
      <c r="AF396" t="n">
        <v>2</v>
      </c>
      <c r="AG396" t="n">
        <v>3</v>
      </c>
      <c r="AH396" t="n">
        <v>49</v>
      </c>
      <c r="AI396" t="n">
        <v>4</v>
      </c>
      <c r="AJ396" t="n">
        <v>30</v>
      </c>
      <c r="AK396" t="n">
        <v>39</v>
      </c>
      <c r="AL396" t="n">
        <v>0</v>
      </c>
      <c r="AM396" t="n">
        <v>2</v>
      </c>
      <c r="AN396" t="n">
        <v>0</v>
      </c>
      <c r="AO396" t="n">
        <v>0</v>
      </c>
      <c r="AP396" t="n">
        <v>6</v>
      </c>
      <c r="AQ396" t="n">
        <v>39</v>
      </c>
      <c r="AR396" t="n">
        <v>179</v>
      </c>
      <c r="AS396" t="n">
        <v>140</v>
      </c>
      <c r="AT396" t="n">
        <v>0</v>
      </c>
      <c r="AU396" t="n">
        <v>3</v>
      </c>
      <c r="AV396" t="n">
        <v>-1</v>
      </c>
      <c r="AW396" t="n">
        <v>24</v>
      </c>
      <c r="AX396" t="n">
        <v>2</v>
      </c>
      <c r="AY396" t="n">
        <v>32</v>
      </c>
      <c r="AZ396" t="n">
        <v>3</v>
      </c>
      <c r="BA396" t="n">
        <v>14</v>
      </c>
      <c r="BB396" t="n">
        <v>113</v>
      </c>
      <c r="BC396" t="n">
        <v>31</v>
      </c>
      <c r="BD396" t="n">
        <v>57</v>
      </c>
      <c r="BE396" t="n">
        <v>25</v>
      </c>
      <c r="BF396" t="n">
        <v>24</v>
      </c>
      <c r="BG396" t="n">
        <v>4</v>
      </c>
      <c r="BH396" t="n">
        <v>14</v>
      </c>
      <c r="BI396" t="n">
        <v>63</v>
      </c>
      <c r="BJ396" t="n">
        <v>63</v>
      </c>
      <c r="BK396" t="n">
        <v>1</v>
      </c>
      <c r="BL396" t="n">
        <v>43</v>
      </c>
      <c r="BM396" t="n">
        <v>40</v>
      </c>
      <c r="BN396" t="n">
        <v>8</v>
      </c>
      <c r="BO396" t="n">
        <v>2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2</v>
      </c>
      <c r="G397" t="n">
        <v>2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217</v>
      </c>
      <c r="Z397" t="n">
        <v>255</v>
      </c>
      <c r="AA397" t="n">
        <v>97</v>
      </c>
      <c r="AB397" t="n">
        <v>2</v>
      </c>
      <c r="AC397" t="n">
        <v>0</v>
      </c>
      <c r="AD397" t="n">
        <v>13</v>
      </c>
      <c r="AE397" t="n">
        <v>4</v>
      </c>
      <c r="AF397" t="n">
        <v>0</v>
      </c>
      <c r="AG397" t="n">
        <v>1</v>
      </c>
      <c r="AH397" t="n">
        <v>136</v>
      </c>
      <c r="AI397" t="n">
        <v>57</v>
      </c>
      <c r="AJ397" t="n">
        <v>5</v>
      </c>
      <c r="AK397" t="n">
        <v>10</v>
      </c>
      <c r="AL397" t="n">
        <v>4</v>
      </c>
      <c r="AM397" t="n">
        <v>59</v>
      </c>
      <c r="AN397" t="n">
        <v>0</v>
      </c>
      <c r="AO397" t="n">
        <v>2</v>
      </c>
      <c r="AP397" t="n">
        <v>0</v>
      </c>
      <c r="AQ397" t="n">
        <v>15</v>
      </c>
      <c r="AR397" t="n">
        <v>77</v>
      </c>
      <c r="AS397" t="n">
        <v>63</v>
      </c>
      <c r="AT397" t="n">
        <v>3</v>
      </c>
      <c r="AU397" t="n">
        <v>0</v>
      </c>
      <c r="AV397" t="n">
        <v>2</v>
      </c>
      <c r="AW397" t="n">
        <v>13</v>
      </c>
      <c r="AX397" t="n">
        <v>1</v>
      </c>
      <c r="AY397" t="n">
        <v>11</v>
      </c>
      <c r="AZ397" t="n">
        <v>4</v>
      </c>
      <c r="BA397" t="n">
        <v>49</v>
      </c>
      <c r="BB397" t="n">
        <v>144</v>
      </c>
      <c r="BC397" t="n">
        <v>50</v>
      </c>
      <c r="BD397" t="n">
        <v>123</v>
      </c>
      <c r="BE397" t="n">
        <v>19</v>
      </c>
      <c r="BF397" t="n">
        <v>2</v>
      </c>
      <c r="BG397" t="n">
        <v>2</v>
      </c>
      <c r="BH397" t="n">
        <v>15</v>
      </c>
      <c r="BI397" t="n">
        <v>9</v>
      </c>
      <c r="BJ397" t="n">
        <v>24</v>
      </c>
      <c r="BK397" t="n">
        <v>3</v>
      </c>
      <c r="BL397" t="n">
        <v>8</v>
      </c>
      <c r="BM397" t="n">
        <v>15</v>
      </c>
      <c r="BN397" t="n">
        <v>7</v>
      </c>
      <c r="BO397" t="n">
        <v>89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341</v>
      </c>
      <c r="Z398" t="n">
        <v>219</v>
      </c>
      <c r="AA398" t="n">
        <v>63</v>
      </c>
      <c r="AB398" t="n">
        <v>3</v>
      </c>
      <c r="AC398" t="n">
        <v>0</v>
      </c>
      <c r="AD398" t="n">
        <v>7</v>
      </c>
      <c r="AE398" t="n">
        <v>4</v>
      </c>
      <c r="AF398" t="n">
        <v>2</v>
      </c>
      <c r="AG398" t="n">
        <v>3</v>
      </c>
      <c r="AH398" t="n">
        <v>138</v>
      </c>
      <c r="AI398" t="n">
        <v>19</v>
      </c>
      <c r="AJ398" t="n">
        <v>18</v>
      </c>
      <c r="AK398" t="n">
        <v>32</v>
      </c>
      <c r="AL398" t="n">
        <v>5</v>
      </c>
      <c r="AM398" t="n">
        <v>72</v>
      </c>
      <c r="AN398" t="n">
        <v>0</v>
      </c>
      <c r="AO398" t="n">
        <v>0</v>
      </c>
      <c r="AP398" t="n">
        <v>2</v>
      </c>
      <c r="AQ398" t="n">
        <v>15</v>
      </c>
      <c r="AR398" t="n">
        <v>23</v>
      </c>
      <c r="AS398" t="n">
        <v>10</v>
      </c>
      <c r="AT398" t="n">
        <v>1</v>
      </c>
      <c r="AU398" t="n">
        <v>3</v>
      </c>
      <c r="AV398" t="n">
        <v>2</v>
      </c>
      <c r="AW398" t="n">
        <v>6</v>
      </c>
      <c r="AX398" t="n">
        <v>18</v>
      </c>
      <c r="AY398" t="n">
        <v>33</v>
      </c>
      <c r="AZ398" t="n">
        <v>4</v>
      </c>
      <c r="BA398" t="n">
        <v>10</v>
      </c>
      <c r="BB398" t="n">
        <v>69</v>
      </c>
      <c r="BC398" t="n">
        <v>60</v>
      </c>
      <c r="BD398" t="n">
        <v>126</v>
      </c>
      <c r="BE398" t="n">
        <v>13</v>
      </c>
      <c r="BF398" t="n">
        <v>14</v>
      </c>
      <c r="BG398" t="n">
        <v>4</v>
      </c>
      <c r="BH398" t="n">
        <v>8</v>
      </c>
      <c r="BI398" t="n">
        <v>93</v>
      </c>
      <c r="BJ398" t="n">
        <v>83</v>
      </c>
      <c r="BK398" t="n">
        <v>3</v>
      </c>
      <c r="BL398" t="n">
        <v>16</v>
      </c>
      <c r="BM398" t="n">
        <v>11</v>
      </c>
      <c r="BN398" t="n">
        <v>0</v>
      </c>
      <c r="BO398" t="n">
        <v>2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292</v>
      </c>
      <c r="Z399" t="n">
        <v>241</v>
      </c>
      <c r="AA399" t="n">
        <v>70</v>
      </c>
      <c r="AB399" t="n">
        <v>0</v>
      </c>
      <c r="AC399" t="n">
        <v>0</v>
      </c>
      <c r="AD399" t="n">
        <v>9</v>
      </c>
      <c r="AE399" t="n">
        <v>5</v>
      </c>
      <c r="AF399" t="n">
        <v>3</v>
      </c>
      <c r="AG399" t="n">
        <v>6</v>
      </c>
      <c r="AH399" t="n">
        <v>101</v>
      </c>
      <c r="AI399" t="n">
        <v>40</v>
      </c>
      <c r="AJ399" t="n">
        <v>31</v>
      </c>
      <c r="AK399" t="n">
        <v>36</v>
      </c>
      <c r="AL399" t="n">
        <v>1</v>
      </c>
      <c r="AM399" t="n">
        <v>65</v>
      </c>
      <c r="AN399" t="n">
        <v>1</v>
      </c>
      <c r="AO399" t="n">
        <v>0</v>
      </c>
      <c r="AP399" t="n">
        <v>1</v>
      </c>
      <c r="AQ399" t="n">
        <v>3</v>
      </c>
      <c r="AR399" t="n">
        <v>100</v>
      </c>
      <c r="AS399" t="n">
        <v>92</v>
      </c>
      <c r="AT399" t="n">
        <v>8</v>
      </c>
      <c r="AU399" t="n">
        <v>2</v>
      </c>
      <c r="AV399" t="n">
        <v>69</v>
      </c>
      <c r="AW399" t="n">
        <v>14</v>
      </c>
      <c r="AX399" t="n">
        <v>1</v>
      </c>
      <c r="AY399" t="n">
        <v>40</v>
      </c>
      <c r="AZ399" t="n">
        <v>7</v>
      </c>
      <c r="BA399" t="n">
        <v>58</v>
      </c>
      <c r="BB399" t="n">
        <v>130</v>
      </c>
      <c r="BC399" t="n">
        <v>77</v>
      </c>
      <c r="BD399" t="n">
        <v>103</v>
      </c>
      <c r="BE399" t="n">
        <v>20</v>
      </c>
      <c r="BF399" t="n">
        <v>25</v>
      </c>
      <c r="BG399" t="n">
        <v>1</v>
      </c>
      <c r="BH399" t="n">
        <v>6</v>
      </c>
      <c r="BI399" t="n">
        <v>29</v>
      </c>
      <c r="BJ399" t="n">
        <v>27</v>
      </c>
      <c r="BK399" t="n">
        <v>1</v>
      </c>
      <c r="BL399" t="n">
        <v>14</v>
      </c>
      <c r="BM399" t="n">
        <v>41</v>
      </c>
      <c r="BN399" t="n">
        <v>21</v>
      </c>
      <c r="BO399" t="n">
        <v>2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0</v>
      </c>
      <c r="W400" t="n">
        <v>0</v>
      </c>
      <c r="X400" t="n">
        <v>0</v>
      </c>
      <c r="Y400" t="n">
        <v>290</v>
      </c>
      <c r="Z400" t="n">
        <v>224</v>
      </c>
      <c r="AA400" t="n">
        <v>54</v>
      </c>
      <c r="AB400" t="n">
        <v>1</v>
      </c>
      <c r="AC400" t="n">
        <v>2</v>
      </c>
      <c r="AD400" t="n">
        <v>10</v>
      </c>
      <c r="AE400" t="n">
        <v>6</v>
      </c>
      <c r="AF400" t="n">
        <v>5</v>
      </c>
      <c r="AG400" t="n">
        <v>8</v>
      </c>
      <c r="AH400" t="n">
        <v>148</v>
      </c>
      <c r="AI400" t="n">
        <v>32</v>
      </c>
      <c r="AJ400" t="n">
        <v>51</v>
      </c>
      <c r="AK400" t="n">
        <v>93</v>
      </c>
      <c r="AL400" t="n">
        <v>4</v>
      </c>
      <c r="AM400" t="n">
        <v>92</v>
      </c>
      <c r="AN400" t="n">
        <v>1</v>
      </c>
      <c r="AO400" t="n">
        <v>0</v>
      </c>
      <c r="AP400" t="n">
        <v>3</v>
      </c>
      <c r="AQ400" t="n">
        <v>12</v>
      </c>
      <c r="AR400" t="n">
        <v>124</v>
      </c>
      <c r="AS400" t="n">
        <v>109</v>
      </c>
      <c r="AT400" t="n">
        <v>0</v>
      </c>
      <c r="AU400" t="n">
        <v>1</v>
      </c>
      <c r="AV400" t="n">
        <v>1</v>
      </c>
      <c r="AW400" t="n">
        <v>1</v>
      </c>
      <c r="AX400" t="n">
        <v>0</v>
      </c>
      <c r="AY400" t="n">
        <v>58</v>
      </c>
      <c r="AZ400" t="n">
        <v>2</v>
      </c>
      <c r="BA400" t="n">
        <v>1</v>
      </c>
      <c r="BB400" t="n">
        <v>53</v>
      </c>
      <c r="BC400" t="n">
        <v>78</v>
      </c>
      <c r="BD400" t="n">
        <v>136</v>
      </c>
      <c r="BE400" t="n">
        <v>1</v>
      </c>
      <c r="BF400" t="n">
        <v>41</v>
      </c>
      <c r="BG400" t="n">
        <v>2</v>
      </c>
      <c r="BH400" t="n">
        <v>6</v>
      </c>
      <c r="BI400" t="n">
        <v>1</v>
      </c>
      <c r="BJ400" t="n">
        <v>1</v>
      </c>
      <c r="BK400" t="n">
        <v>0</v>
      </c>
      <c r="BL400" t="n">
        <v>32</v>
      </c>
      <c r="BM400" t="n">
        <v>23</v>
      </c>
      <c r="BN400" t="n">
        <v>2</v>
      </c>
      <c r="BO400" t="n">
        <v>2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220</v>
      </c>
      <c r="Z401" t="n">
        <v>134</v>
      </c>
      <c r="AA401" t="n">
        <v>29</v>
      </c>
      <c r="AB401" t="n">
        <v>2</v>
      </c>
      <c r="AC401" t="n">
        <v>1</v>
      </c>
      <c r="AD401" t="n">
        <v>1</v>
      </c>
      <c r="AE401" t="n">
        <v>7</v>
      </c>
      <c r="AF401" t="n">
        <v>6</v>
      </c>
      <c r="AG401" t="n">
        <v>0</v>
      </c>
      <c r="AH401" t="n">
        <v>42</v>
      </c>
      <c r="AI401" t="n">
        <v>66</v>
      </c>
      <c r="AJ401" t="n">
        <v>68</v>
      </c>
      <c r="AK401" t="n">
        <v>9</v>
      </c>
      <c r="AL401" t="n">
        <v>4</v>
      </c>
      <c r="AM401" t="n">
        <v>24</v>
      </c>
      <c r="AN401" t="n">
        <v>0</v>
      </c>
      <c r="AO401" t="n">
        <v>0</v>
      </c>
      <c r="AP401" t="n">
        <v>0</v>
      </c>
      <c r="AQ401" t="n">
        <v>7</v>
      </c>
      <c r="AR401" t="n">
        <v>88</v>
      </c>
      <c r="AS401" t="n">
        <v>81</v>
      </c>
      <c r="AT401" t="n">
        <v>4</v>
      </c>
      <c r="AU401" t="n">
        <v>1</v>
      </c>
      <c r="AV401" t="n">
        <v>52</v>
      </c>
      <c r="AW401" t="n">
        <v>1</v>
      </c>
      <c r="AX401" t="n">
        <v>1</v>
      </c>
      <c r="AY401" t="n">
        <v>29</v>
      </c>
      <c r="AZ401" t="n">
        <v>1</v>
      </c>
      <c r="BA401" t="n">
        <v>2</v>
      </c>
      <c r="BB401" t="n">
        <v>29</v>
      </c>
      <c r="BC401" t="n">
        <v>26</v>
      </c>
      <c r="BD401" t="n">
        <v>38</v>
      </c>
      <c r="BE401" t="n">
        <v>1</v>
      </c>
      <c r="BF401" t="n">
        <v>60</v>
      </c>
      <c r="BG401" t="n">
        <v>1</v>
      </c>
      <c r="BH401" t="n">
        <v>2</v>
      </c>
      <c r="BI401" t="n">
        <v>15</v>
      </c>
      <c r="BJ401" t="n">
        <v>14</v>
      </c>
      <c r="BK401" t="n">
        <v>5</v>
      </c>
      <c r="BL401" t="n">
        <v>44</v>
      </c>
      <c r="BM401" t="n">
        <v>31</v>
      </c>
      <c r="BN401" t="n">
        <v>1</v>
      </c>
      <c r="BO401" t="n">
        <v>2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154</v>
      </c>
      <c r="Z402" t="n">
        <v>224</v>
      </c>
      <c r="AA402" t="n">
        <v>16</v>
      </c>
      <c r="AB402" t="n">
        <v>1</v>
      </c>
      <c r="AC402" t="n">
        <v>0</v>
      </c>
      <c r="AD402" t="n">
        <v>5</v>
      </c>
      <c r="AE402" t="n">
        <v>7</v>
      </c>
      <c r="AF402" t="n">
        <v>4</v>
      </c>
      <c r="AG402" t="n">
        <v>1</v>
      </c>
      <c r="AH402" t="n">
        <v>53</v>
      </c>
      <c r="AI402" t="n">
        <v>85</v>
      </c>
      <c r="AJ402" t="n">
        <v>51</v>
      </c>
      <c r="AK402" t="n">
        <v>4</v>
      </c>
      <c r="AL402" t="n">
        <v>2</v>
      </c>
      <c r="AM402" t="n">
        <v>14</v>
      </c>
      <c r="AN402" t="n">
        <v>0</v>
      </c>
      <c r="AO402" t="n">
        <v>1</v>
      </c>
      <c r="AP402" t="n">
        <v>3</v>
      </c>
      <c r="AQ402" t="n">
        <v>9</v>
      </c>
      <c r="AR402" t="n">
        <v>89</v>
      </c>
      <c r="AS402" t="n">
        <v>80</v>
      </c>
      <c r="AT402" t="n">
        <v>1</v>
      </c>
      <c r="AU402" t="n">
        <v>1</v>
      </c>
      <c r="AV402" t="n">
        <v>1</v>
      </c>
      <c r="AW402" t="n">
        <v>36</v>
      </c>
      <c r="AX402" t="n">
        <v>3</v>
      </c>
      <c r="AY402" t="n">
        <v>39</v>
      </c>
      <c r="AZ402" t="n">
        <v>2</v>
      </c>
      <c r="BA402" t="n">
        <v>10</v>
      </c>
      <c r="BB402" t="n">
        <v>25</v>
      </c>
      <c r="BC402" t="n">
        <v>16</v>
      </c>
      <c r="BD402" t="n">
        <v>48</v>
      </c>
      <c r="BE402" t="n">
        <v>36</v>
      </c>
      <c r="BF402" t="n">
        <v>41</v>
      </c>
      <c r="BG402" t="n">
        <v>1</v>
      </c>
      <c r="BH402" t="n">
        <v>4</v>
      </c>
      <c r="BI402" t="n">
        <v>33</v>
      </c>
      <c r="BJ402" t="n">
        <v>36</v>
      </c>
      <c r="BK402" t="n">
        <v>3</v>
      </c>
      <c r="BL402" t="n">
        <v>-2</v>
      </c>
      <c r="BM402" t="n">
        <v>32</v>
      </c>
      <c r="BN402" t="n">
        <v>20</v>
      </c>
      <c r="BO402" t="n">
        <v>21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264</v>
      </c>
      <c r="Z403" t="n">
        <v>62</v>
      </c>
      <c r="AA403" t="n">
        <v>40</v>
      </c>
      <c r="AB403" t="n">
        <v>1</v>
      </c>
      <c r="AC403" t="n">
        <v>1</v>
      </c>
      <c r="AD403" t="n">
        <v>5</v>
      </c>
      <c r="AE403" t="n">
        <v>2</v>
      </c>
      <c r="AF403" t="n">
        <v>5</v>
      </c>
      <c r="AG403" t="n">
        <v>2</v>
      </c>
      <c r="AH403" t="n">
        <v>96</v>
      </c>
      <c r="AI403" t="n">
        <v>6</v>
      </c>
      <c r="AJ403" t="n">
        <v>45</v>
      </c>
      <c r="AK403" t="n">
        <v>16</v>
      </c>
      <c r="AL403" t="n">
        <v>3</v>
      </c>
      <c r="AM403" t="n">
        <v>2</v>
      </c>
      <c r="AN403" t="n">
        <v>0</v>
      </c>
      <c r="AO403" t="n">
        <v>0</v>
      </c>
      <c r="AP403" t="n">
        <v>0</v>
      </c>
      <c r="AQ403" t="n">
        <v>1</v>
      </c>
      <c r="AR403" t="n">
        <v>86</v>
      </c>
      <c r="AS403" t="n">
        <v>80</v>
      </c>
      <c r="AT403" t="n">
        <v>4</v>
      </c>
      <c r="AU403" t="n">
        <v>0</v>
      </c>
      <c r="AV403" t="n">
        <v>13</v>
      </c>
      <c r="AW403" t="n">
        <v>9</v>
      </c>
      <c r="AX403" t="n">
        <v>-2</v>
      </c>
      <c r="AY403" t="n">
        <v>15</v>
      </c>
      <c r="AZ403" t="n">
        <v>0</v>
      </c>
      <c r="BA403" t="n">
        <v>1</v>
      </c>
      <c r="BB403" t="n">
        <v>39</v>
      </c>
      <c r="BC403" t="n">
        <v>2</v>
      </c>
      <c r="BD403" t="n">
        <v>87</v>
      </c>
      <c r="BE403" t="n">
        <v>10</v>
      </c>
      <c r="BF403" t="n">
        <v>35</v>
      </c>
      <c r="BG403" t="n">
        <v>3</v>
      </c>
      <c r="BH403" t="n">
        <v>20</v>
      </c>
      <c r="BI403" t="n">
        <v>4</v>
      </c>
      <c r="BJ403" t="n">
        <v>1</v>
      </c>
      <c r="BK403" t="n">
        <v>0</v>
      </c>
      <c r="BL403" t="n">
        <v>1</v>
      </c>
      <c r="BM403" t="n">
        <v>29</v>
      </c>
      <c r="BN403" t="n">
        <v>17</v>
      </c>
      <c r="BO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164</v>
      </c>
      <c r="Z404" t="n">
        <v>228</v>
      </c>
      <c r="AA404" t="n">
        <v>16</v>
      </c>
      <c r="AB404" t="n">
        <v>0</v>
      </c>
      <c r="AC404" t="n">
        <v>2</v>
      </c>
      <c r="AD404" t="n">
        <v>5</v>
      </c>
      <c r="AE404" t="n">
        <v>9</v>
      </c>
      <c r="AF404" t="n">
        <v>3</v>
      </c>
      <c r="AG404" t="n">
        <v>4</v>
      </c>
      <c r="AH404" t="n">
        <v>65</v>
      </c>
      <c r="AI404" t="n">
        <v>68</v>
      </c>
      <c r="AJ404" t="n">
        <v>23</v>
      </c>
      <c r="AK404" t="n">
        <v>56</v>
      </c>
      <c r="AL404" t="n">
        <v>1</v>
      </c>
      <c r="AM404" t="n">
        <v>9</v>
      </c>
      <c r="AN404" t="n">
        <v>0</v>
      </c>
      <c r="AO404" t="n">
        <v>0</v>
      </c>
      <c r="AP404" t="n">
        <v>3</v>
      </c>
      <c r="AQ404" t="n">
        <v>9</v>
      </c>
      <c r="AR404" t="n">
        <v>49</v>
      </c>
      <c r="AS404" t="n">
        <v>41</v>
      </c>
      <c r="AT404" t="n">
        <v>1</v>
      </c>
      <c r="AU404" t="n">
        <v>0</v>
      </c>
      <c r="AV404" t="n">
        <v>1</v>
      </c>
      <c r="AW404" t="n">
        <v>1</v>
      </c>
      <c r="AX404" t="n">
        <v>6</v>
      </c>
      <c r="AY404" t="n">
        <v>18</v>
      </c>
      <c r="AZ404" t="n">
        <v>1</v>
      </c>
      <c r="BA404" t="n">
        <v>4</v>
      </c>
      <c r="BB404" t="n">
        <v>16</v>
      </c>
      <c r="BC404" t="n">
        <v>39</v>
      </c>
      <c r="BD404" t="n">
        <v>58</v>
      </c>
      <c r="BE404" t="n">
        <v>1</v>
      </c>
      <c r="BF404" t="n">
        <v>24</v>
      </c>
      <c r="BG404" t="n">
        <v>1</v>
      </c>
      <c r="BH404" t="n">
        <v>2</v>
      </c>
      <c r="BI404" t="n">
        <v>8</v>
      </c>
      <c r="BJ404" t="n">
        <v>7</v>
      </c>
      <c r="BK404" t="n">
        <v>1</v>
      </c>
      <c r="BL404" t="n">
        <v>4</v>
      </c>
      <c r="BM404" t="n">
        <v>9</v>
      </c>
      <c r="BN404" t="n">
        <v>4</v>
      </c>
      <c r="BO404" t="n">
        <v>28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2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258</v>
      </c>
      <c r="Z405" t="n">
        <v>239</v>
      </c>
      <c r="AA405" t="n">
        <v>3</v>
      </c>
      <c r="AB405" t="n">
        <v>0</v>
      </c>
      <c r="AC405" t="n">
        <v>5</v>
      </c>
      <c r="AD405" t="n">
        <v>10</v>
      </c>
      <c r="AE405" t="n">
        <v>4</v>
      </c>
      <c r="AF405" t="n">
        <v>0</v>
      </c>
      <c r="AG405" t="n">
        <v>2</v>
      </c>
      <c r="AH405" t="n">
        <v>149</v>
      </c>
      <c r="AI405" t="n">
        <v>56</v>
      </c>
      <c r="AJ405" t="n">
        <v>2</v>
      </c>
      <c r="AK405" t="n">
        <v>13</v>
      </c>
      <c r="AL405" t="n">
        <v>2</v>
      </c>
      <c r="AM405" t="n">
        <v>18</v>
      </c>
      <c r="AN405" t="n">
        <v>0</v>
      </c>
      <c r="AO405" t="n">
        <v>0</v>
      </c>
      <c r="AP405" t="n">
        <v>5</v>
      </c>
      <c r="AQ405" t="n">
        <v>26</v>
      </c>
      <c r="AR405" t="n">
        <v>103</v>
      </c>
      <c r="AS405" t="n">
        <v>81</v>
      </c>
      <c r="AT405" t="n">
        <v>2</v>
      </c>
      <c r="AU405" t="n">
        <v>3</v>
      </c>
      <c r="AV405" t="n">
        <v>15</v>
      </c>
      <c r="AW405" t="n">
        <v>37</v>
      </c>
      <c r="AX405" t="n">
        <v>2</v>
      </c>
      <c r="AY405" t="n">
        <v>3</v>
      </c>
      <c r="AZ405" t="n">
        <v>0</v>
      </c>
      <c r="BA405" t="n">
        <v>1</v>
      </c>
      <c r="BB405" t="n">
        <v>7</v>
      </c>
      <c r="BC405" t="n">
        <v>18</v>
      </c>
      <c r="BD405" t="n">
        <v>133</v>
      </c>
      <c r="BE405" t="n">
        <v>36</v>
      </c>
      <c r="BF405" t="n">
        <v>18</v>
      </c>
      <c r="BG405" t="n">
        <v>2</v>
      </c>
      <c r="BH405" t="n">
        <v>0</v>
      </c>
      <c r="BI405" t="n">
        <v>43</v>
      </c>
      <c r="BJ405" t="n">
        <v>42</v>
      </c>
      <c r="BK405" t="n">
        <v>0</v>
      </c>
      <c r="BL405" t="n">
        <v>10</v>
      </c>
      <c r="BM405" t="n">
        <v>15</v>
      </c>
      <c r="BN405" t="n">
        <v>5</v>
      </c>
      <c r="BO405" t="n">
        <v>2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192</v>
      </c>
      <c r="Z406" t="n">
        <v>210</v>
      </c>
      <c r="AA406" t="n">
        <v>18</v>
      </c>
      <c r="AB406" t="n">
        <v>0</v>
      </c>
      <c r="AC406" t="n">
        <v>0</v>
      </c>
      <c r="AD406" t="n">
        <v>2</v>
      </c>
      <c r="AE406" t="n">
        <v>1</v>
      </c>
      <c r="AF406" t="n">
        <v>1</v>
      </c>
      <c r="AG406" t="n">
        <v>1</v>
      </c>
      <c r="AH406" t="n">
        <v>69</v>
      </c>
      <c r="AI406" t="n">
        <v>24</v>
      </c>
      <c r="AJ406" t="n">
        <v>24</v>
      </c>
      <c r="AK406" t="n">
        <v>9</v>
      </c>
      <c r="AL406" t="n">
        <v>2</v>
      </c>
      <c r="AM406" t="n">
        <v>24</v>
      </c>
      <c r="AN406" t="n">
        <v>0</v>
      </c>
      <c r="AO406" t="n">
        <v>0</v>
      </c>
      <c r="AP406" t="n">
        <v>3</v>
      </c>
      <c r="AQ406" t="n">
        <v>12</v>
      </c>
      <c r="AR406" t="n">
        <v>39</v>
      </c>
      <c r="AS406" t="n">
        <v>29</v>
      </c>
      <c r="AT406" t="n">
        <v>3</v>
      </c>
      <c r="AU406" t="n">
        <v>1</v>
      </c>
      <c r="AV406" t="n">
        <v>18</v>
      </c>
      <c r="AW406" t="n">
        <v>36</v>
      </c>
      <c r="AX406" t="n">
        <v>0</v>
      </c>
      <c r="AY406" t="n">
        <v>61</v>
      </c>
      <c r="AZ406" t="n">
        <v>1</v>
      </c>
      <c r="BA406" t="n">
        <v>7</v>
      </c>
      <c r="BB406" t="n">
        <v>23</v>
      </c>
      <c r="BC406" t="n">
        <v>30</v>
      </c>
      <c r="BD406" t="n">
        <v>61</v>
      </c>
      <c r="BE406" t="n">
        <v>40</v>
      </c>
      <c r="BF406" t="n">
        <v>19</v>
      </c>
      <c r="BG406" t="n">
        <v>3</v>
      </c>
      <c r="BH406" t="n">
        <v>0</v>
      </c>
      <c r="BI406" t="n">
        <v>8</v>
      </c>
      <c r="BJ406" t="n">
        <v>7</v>
      </c>
      <c r="BK406" t="n">
        <v>1</v>
      </c>
      <c r="BL406" t="n">
        <v>11</v>
      </c>
      <c r="BM406" t="n">
        <v>22</v>
      </c>
      <c r="BN406" t="n">
        <v>10</v>
      </c>
      <c r="BO406" t="n">
        <v>2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298</v>
      </c>
      <c r="Z407" t="n">
        <v>294</v>
      </c>
      <c r="AA407" t="n">
        <v>75</v>
      </c>
      <c r="AB407" t="n">
        <v>0</v>
      </c>
      <c r="AC407" t="n">
        <v>2</v>
      </c>
      <c r="AD407" t="n">
        <v>4</v>
      </c>
      <c r="AE407" t="n">
        <v>5</v>
      </c>
      <c r="AF407" t="n">
        <v>4</v>
      </c>
      <c r="AG407" t="n">
        <v>2</v>
      </c>
      <c r="AH407" t="n">
        <v>19</v>
      </c>
      <c r="AI407" t="n">
        <v>12</v>
      </c>
      <c r="AJ407" t="n">
        <v>58</v>
      </c>
      <c r="AK407" t="n">
        <v>9</v>
      </c>
      <c r="AL407" t="n">
        <v>4</v>
      </c>
      <c r="AM407" t="n">
        <v>116</v>
      </c>
      <c r="AN407" t="n">
        <v>0</v>
      </c>
      <c r="AO407" t="n">
        <v>0</v>
      </c>
      <c r="AP407" t="n">
        <v>3</v>
      </c>
      <c r="AQ407" t="n">
        <v>44</v>
      </c>
      <c r="AR407" t="n">
        <v>64</v>
      </c>
      <c r="AS407" t="n">
        <v>27</v>
      </c>
      <c r="AT407" t="n">
        <v>3</v>
      </c>
      <c r="AU407" t="n">
        <v>3</v>
      </c>
      <c r="AV407" t="n">
        <v>27</v>
      </c>
      <c r="AW407" t="n">
        <v>48</v>
      </c>
      <c r="AX407" t="n">
        <v>3</v>
      </c>
      <c r="AY407" t="n">
        <v>12</v>
      </c>
      <c r="AZ407" t="n">
        <v>3</v>
      </c>
      <c r="BA407" t="n">
        <v>12</v>
      </c>
      <c r="BB407" t="n">
        <v>83</v>
      </c>
      <c r="BC407" t="n">
        <v>95</v>
      </c>
      <c r="BD407" t="n">
        <v>16</v>
      </c>
      <c r="BE407" t="n">
        <v>49</v>
      </c>
      <c r="BF407" t="n">
        <v>47</v>
      </c>
      <c r="BG407" t="n">
        <v>7</v>
      </c>
      <c r="BH407" t="n">
        <v>5</v>
      </c>
      <c r="BI407" t="n">
        <v>94</v>
      </c>
      <c r="BJ407" t="n">
        <v>86</v>
      </c>
      <c r="BK407" t="n">
        <v>6</v>
      </c>
      <c r="BL407" t="n">
        <v>60</v>
      </c>
      <c r="BM407" t="n">
        <v>41</v>
      </c>
      <c r="BN407" t="n">
        <v>0</v>
      </c>
      <c r="BO407" t="n">
        <v>18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153</v>
      </c>
      <c r="Z408" t="n">
        <v>225</v>
      </c>
      <c r="AA408" t="n">
        <v>112</v>
      </c>
      <c r="AB408" t="n">
        <v>3</v>
      </c>
      <c r="AC408" t="n">
        <v>1</v>
      </c>
      <c r="AD408" t="n">
        <v>4</v>
      </c>
      <c r="AE408" t="n">
        <v>3</v>
      </c>
      <c r="AF408" t="n">
        <v>2</v>
      </c>
      <c r="AG408" t="n">
        <v>5</v>
      </c>
      <c r="AH408" t="n">
        <v>67</v>
      </c>
      <c r="AI408" t="n">
        <v>20</v>
      </c>
      <c r="AJ408" t="n">
        <v>16</v>
      </c>
      <c r="AK408" t="n">
        <v>1</v>
      </c>
      <c r="AL408" t="n">
        <v>1</v>
      </c>
      <c r="AM408" t="n">
        <v>2</v>
      </c>
      <c r="AN408" t="n">
        <v>0</v>
      </c>
      <c r="AO408" t="n">
        <v>0</v>
      </c>
      <c r="AP408" t="n">
        <v>6</v>
      </c>
      <c r="AQ408" t="n">
        <v>55</v>
      </c>
      <c r="AR408" t="n">
        <v>57</v>
      </c>
      <c r="AS408" t="n">
        <v>9</v>
      </c>
      <c r="AT408" t="n">
        <v>0</v>
      </c>
      <c r="AU408" t="n">
        <v>2</v>
      </c>
      <c r="AV408" t="n">
        <v>1</v>
      </c>
      <c r="AW408" t="n">
        <v>27</v>
      </c>
      <c r="AX408" t="n">
        <v>26</v>
      </c>
      <c r="AY408" t="n">
        <v>32</v>
      </c>
      <c r="AZ408" t="n">
        <v>6</v>
      </c>
      <c r="BA408" t="n">
        <v>48</v>
      </c>
      <c r="BB408" t="n">
        <v>158</v>
      </c>
      <c r="BC408" t="n">
        <v>23</v>
      </c>
      <c r="BD408" t="n">
        <v>75</v>
      </c>
      <c r="BE408" t="n">
        <v>26</v>
      </c>
      <c r="BF408" t="n">
        <v>16</v>
      </c>
      <c r="BG408" t="n">
        <v>5</v>
      </c>
      <c r="BH408" t="n">
        <v>0</v>
      </c>
      <c r="BI408" t="n">
        <v>24</v>
      </c>
      <c r="BJ408" t="n">
        <v>32</v>
      </c>
      <c r="BK408" t="n">
        <v>0</v>
      </c>
      <c r="BL408" t="n">
        <v>15</v>
      </c>
      <c r="BM408" t="n">
        <v>9</v>
      </c>
      <c r="BN408" t="n">
        <v>-1</v>
      </c>
      <c r="BO408" t="n">
        <v>2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198</v>
      </c>
      <c r="Z409" t="n">
        <v>203</v>
      </c>
      <c r="AA409" t="n">
        <v>48</v>
      </c>
      <c r="AB409" t="n">
        <v>1</v>
      </c>
      <c r="AC409" t="n">
        <v>0</v>
      </c>
      <c r="AD409" t="n">
        <v>2</v>
      </c>
      <c r="AE409" t="n">
        <v>2</v>
      </c>
      <c r="AF409" t="n">
        <v>3</v>
      </c>
      <c r="AG409" t="n">
        <v>8</v>
      </c>
      <c r="AH409" t="n">
        <v>34</v>
      </c>
      <c r="AI409" t="n">
        <v>37</v>
      </c>
      <c r="AJ409" t="n">
        <v>16</v>
      </c>
      <c r="AK409" t="n">
        <v>65</v>
      </c>
      <c r="AL409" t="n">
        <v>3</v>
      </c>
      <c r="AM409" t="n">
        <v>88</v>
      </c>
      <c r="AN409" t="n">
        <v>0</v>
      </c>
      <c r="AO409" t="n">
        <v>0</v>
      </c>
      <c r="AP409" t="n">
        <v>3</v>
      </c>
      <c r="AQ409" t="n">
        <v>10</v>
      </c>
      <c r="AR409" t="n">
        <v>98</v>
      </c>
      <c r="AS409" t="n">
        <v>86</v>
      </c>
      <c r="AT409" t="n">
        <v>3</v>
      </c>
      <c r="AU409" t="n">
        <v>2</v>
      </c>
      <c r="AV409" t="n">
        <v>46</v>
      </c>
      <c r="AW409" t="n">
        <v>14</v>
      </c>
      <c r="AX409" t="n">
        <v>1</v>
      </c>
      <c r="AY409" t="n">
        <v>50</v>
      </c>
      <c r="AZ409" t="n">
        <v>1</v>
      </c>
      <c r="BA409" t="n">
        <v>1</v>
      </c>
      <c r="BB409" t="n">
        <v>48</v>
      </c>
      <c r="BC409" t="n">
        <v>75</v>
      </c>
      <c r="BD409" t="n">
        <v>33</v>
      </c>
      <c r="BE409" t="n">
        <v>13</v>
      </c>
      <c r="BF409" t="n">
        <v>29</v>
      </c>
      <c r="BG409" t="n">
        <v>4</v>
      </c>
      <c r="BH409" t="n">
        <v>6</v>
      </c>
      <c r="BI409" t="n">
        <v>62</v>
      </c>
      <c r="BJ409" t="n">
        <v>56</v>
      </c>
      <c r="BK409" t="n">
        <v>0</v>
      </c>
      <c r="BL409" t="n">
        <v>1</v>
      </c>
      <c r="BM409" t="n">
        <v>67</v>
      </c>
      <c r="BN409" t="n">
        <v>46</v>
      </c>
      <c r="BO409" t="n">
        <v>11</v>
      </c>
    </row>
    <row r="410">
      <c r="A410" t="n">
        <v>0</v>
      </c>
      <c r="B410" t="n">
        <v>0</v>
      </c>
      <c r="C410" t="n">
        <v>0</v>
      </c>
      <c r="D410" t="n">
        <v>2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215</v>
      </c>
      <c r="Z410" t="n">
        <v>120</v>
      </c>
      <c r="AA410" t="n">
        <v>51</v>
      </c>
      <c r="AB410" t="n">
        <v>2</v>
      </c>
      <c r="AC410" t="n">
        <v>0</v>
      </c>
      <c r="AD410" t="n">
        <v>3</v>
      </c>
      <c r="AE410" t="n">
        <v>3</v>
      </c>
      <c r="AF410" t="n">
        <v>2</v>
      </c>
      <c r="AG410" t="n">
        <v>1</v>
      </c>
      <c r="AH410" t="n">
        <v>36</v>
      </c>
      <c r="AI410" t="n">
        <v>14</v>
      </c>
      <c r="AJ410" t="n">
        <v>23</v>
      </c>
      <c r="AK410" t="n">
        <v>10</v>
      </c>
      <c r="AL410" t="n">
        <v>3</v>
      </c>
      <c r="AM410" t="n">
        <v>39</v>
      </c>
      <c r="AN410" t="n">
        <v>0</v>
      </c>
      <c r="AO410" t="n">
        <v>0</v>
      </c>
      <c r="AP410" t="n">
        <v>0</v>
      </c>
      <c r="AQ410" t="n">
        <v>1</v>
      </c>
      <c r="AR410" t="n">
        <v>145</v>
      </c>
      <c r="AS410" t="n">
        <v>135</v>
      </c>
      <c r="AT410" t="n">
        <v>2</v>
      </c>
      <c r="AU410" t="n">
        <v>1</v>
      </c>
      <c r="AV410" t="n">
        <v>42</v>
      </c>
      <c r="AW410" t="n">
        <v>8</v>
      </c>
      <c r="AX410" t="n">
        <v>3</v>
      </c>
      <c r="AY410" t="n">
        <v>82</v>
      </c>
      <c r="AZ410" t="n">
        <v>2</v>
      </c>
      <c r="BA410" t="n">
        <v>1</v>
      </c>
      <c r="BB410" t="n">
        <v>51</v>
      </c>
      <c r="BC410" t="n">
        <v>32</v>
      </c>
      <c r="BD410" t="n">
        <v>32</v>
      </c>
      <c r="BE410" t="n">
        <v>8</v>
      </c>
      <c r="BF410" t="n">
        <v>18</v>
      </c>
      <c r="BG410" t="n">
        <v>4</v>
      </c>
      <c r="BH410" t="n">
        <v>10</v>
      </c>
      <c r="BI410" t="n">
        <v>50</v>
      </c>
      <c r="BJ410" t="n">
        <v>46</v>
      </c>
      <c r="BK410" t="n">
        <v>7</v>
      </c>
      <c r="BL410" t="n">
        <v>27</v>
      </c>
      <c r="BM410" t="n">
        <v>41</v>
      </c>
      <c r="BN410" t="n">
        <v>16</v>
      </c>
      <c r="BO410" t="n">
        <v>2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3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345</v>
      </c>
      <c r="Z411" t="n">
        <v>207</v>
      </c>
      <c r="AA411" t="n">
        <v>100</v>
      </c>
      <c r="AB411" t="n">
        <v>1</v>
      </c>
      <c r="AC411" t="n">
        <v>0</v>
      </c>
      <c r="AD411" t="n">
        <v>2</v>
      </c>
      <c r="AE411" t="n">
        <v>3</v>
      </c>
      <c r="AF411" t="n">
        <v>7</v>
      </c>
      <c r="AG411" t="n">
        <v>2</v>
      </c>
      <c r="AH411" t="n">
        <v>10</v>
      </c>
      <c r="AI411" t="n">
        <v>34</v>
      </c>
      <c r="AJ411" t="n">
        <v>140</v>
      </c>
      <c r="AK411" t="n">
        <v>77</v>
      </c>
      <c r="AL411" t="n">
        <v>4</v>
      </c>
      <c r="AM411" t="n">
        <v>44</v>
      </c>
      <c r="AN411" t="n">
        <v>0</v>
      </c>
      <c r="AO411" t="n">
        <v>0</v>
      </c>
      <c r="AP411" t="n">
        <v>0</v>
      </c>
      <c r="AQ411" t="n">
        <v>7</v>
      </c>
      <c r="AR411" t="n">
        <v>113</v>
      </c>
      <c r="AS411" t="n">
        <v>104</v>
      </c>
      <c r="AT411" t="n">
        <v>4</v>
      </c>
      <c r="AU411" t="n">
        <v>0</v>
      </c>
      <c r="AV411" t="n">
        <v>61</v>
      </c>
      <c r="AW411" t="n">
        <v>24</v>
      </c>
      <c r="AX411" t="n">
        <v>0</v>
      </c>
      <c r="AY411" t="n">
        <v>51</v>
      </c>
      <c r="AZ411" t="n">
        <v>3</v>
      </c>
      <c r="BA411" t="n">
        <v>18</v>
      </c>
      <c r="BB411" t="n">
        <v>113</v>
      </c>
      <c r="BC411" t="n">
        <v>37</v>
      </c>
      <c r="BD411" t="n">
        <v>41</v>
      </c>
      <c r="BE411" t="n">
        <v>26</v>
      </c>
      <c r="BF411" t="n">
        <v>115</v>
      </c>
      <c r="BG411" t="n">
        <v>1</v>
      </c>
      <c r="BH411" t="n">
        <v>10</v>
      </c>
      <c r="BI411" t="n">
        <v>41</v>
      </c>
      <c r="BJ411" t="n">
        <v>36</v>
      </c>
      <c r="BK411" t="n">
        <v>3</v>
      </c>
      <c r="BL411" t="n">
        <v>26</v>
      </c>
      <c r="BM411" t="n">
        <v>25</v>
      </c>
      <c r="BN411" t="n">
        <v>6</v>
      </c>
      <c r="BO411" t="n">
        <v>2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264</v>
      </c>
      <c r="Z412" t="n">
        <v>341</v>
      </c>
      <c r="AA412" t="n">
        <v>56</v>
      </c>
      <c r="AB412" t="n">
        <v>1</v>
      </c>
      <c r="AC412" t="n">
        <v>0</v>
      </c>
      <c r="AD412" t="n">
        <v>2</v>
      </c>
      <c r="AE412" t="n">
        <v>7</v>
      </c>
      <c r="AF412" t="n">
        <v>5</v>
      </c>
      <c r="AG412" t="n">
        <v>8</v>
      </c>
      <c r="AH412" t="n">
        <v>20</v>
      </c>
      <c r="AI412" t="n">
        <v>104</v>
      </c>
      <c r="AJ412" t="n">
        <v>118</v>
      </c>
      <c r="AK412" t="n">
        <v>32</v>
      </c>
      <c r="AL412" t="n">
        <v>6</v>
      </c>
      <c r="AM412" t="n">
        <v>83</v>
      </c>
      <c r="AN412" t="n">
        <v>0</v>
      </c>
      <c r="AO412" t="n">
        <v>0</v>
      </c>
      <c r="AP412" t="n">
        <v>8</v>
      </c>
      <c r="AQ412" t="n">
        <v>79</v>
      </c>
      <c r="AR412" t="n">
        <v>142</v>
      </c>
      <c r="AS412" t="n">
        <v>77</v>
      </c>
      <c r="AT412" t="n">
        <v>0</v>
      </c>
      <c r="AU412" t="n">
        <v>2</v>
      </c>
      <c r="AV412" t="n">
        <v>3</v>
      </c>
      <c r="AW412" t="n">
        <v>43</v>
      </c>
      <c r="AX412" t="n">
        <v>1</v>
      </c>
      <c r="AY412" t="n">
        <v>15</v>
      </c>
      <c r="AZ412" t="n">
        <v>0</v>
      </c>
      <c r="BA412" t="n">
        <v>1</v>
      </c>
      <c r="BB412" t="n">
        <v>55</v>
      </c>
      <c r="BC412" t="n">
        <v>80</v>
      </c>
      <c r="BD412" t="n">
        <v>18</v>
      </c>
      <c r="BE412" t="n">
        <v>44</v>
      </c>
      <c r="BF412" t="n">
        <v>92</v>
      </c>
      <c r="BG412" t="n">
        <v>0</v>
      </c>
      <c r="BH412" t="n">
        <v>2</v>
      </c>
      <c r="BI412" t="n">
        <v>1</v>
      </c>
      <c r="BJ412" t="n">
        <v>14</v>
      </c>
      <c r="BK412" t="n">
        <v>0</v>
      </c>
      <c r="BL412" t="n">
        <v>7</v>
      </c>
      <c r="BM412" t="n">
        <v>16</v>
      </c>
      <c r="BN412" t="n">
        <v>8</v>
      </c>
      <c r="BO412" t="n">
        <v>16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181</v>
      </c>
      <c r="Z413" t="n">
        <v>246</v>
      </c>
      <c r="AA413" t="n">
        <v>85</v>
      </c>
      <c r="AB413" t="n">
        <v>0</v>
      </c>
      <c r="AC413" t="n">
        <v>1</v>
      </c>
      <c r="AD413" t="n">
        <v>1</v>
      </c>
      <c r="AE413" t="n">
        <v>2</v>
      </c>
      <c r="AF413" t="n">
        <v>3</v>
      </c>
      <c r="AG413" t="n">
        <v>0</v>
      </c>
      <c r="AH413" t="n">
        <v>66</v>
      </c>
      <c r="AI413" t="n">
        <v>25</v>
      </c>
      <c r="AJ413" t="n">
        <v>54</v>
      </c>
      <c r="AK413" t="n">
        <v>21</v>
      </c>
      <c r="AL413" t="n">
        <v>1</v>
      </c>
      <c r="AM413" t="n">
        <v>40</v>
      </c>
      <c r="AN413" t="n">
        <v>0</v>
      </c>
      <c r="AO413" t="n">
        <v>0</v>
      </c>
      <c r="AP413" t="n">
        <v>9</v>
      </c>
      <c r="AQ413" t="n">
        <v>56</v>
      </c>
      <c r="AR413" t="n">
        <v>113</v>
      </c>
      <c r="AS413" t="n">
        <v>66</v>
      </c>
      <c r="AT413" t="n">
        <v>1</v>
      </c>
      <c r="AU413" t="n">
        <v>1</v>
      </c>
      <c r="AV413" t="n">
        <v>12</v>
      </c>
      <c r="AW413" t="n">
        <v>25</v>
      </c>
      <c r="AX413" t="n">
        <v>2</v>
      </c>
      <c r="AY413" t="n">
        <v>37</v>
      </c>
      <c r="AZ413" t="n">
        <v>5</v>
      </c>
      <c r="BA413" t="n">
        <v>52</v>
      </c>
      <c r="BB413" t="n">
        <v>135</v>
      </c>
      <c r="BC413" t="n">
        <v>34</v>
      </c>
      <c r="BD413" t="n">
        <v>58</v>
      </c>
      <c r="BE413" t="n">
        <v>26</v>
      </c>
      <c r="BF413" t="n">
        <v>42</v>
      </c>
      <c r="BG413" t="n">
        <v>0</v>
      </c>
      <c r="BH413" t="n">
        <v>0</v>
      </c>
      <c r="BI413" t="n">
        <v>12</v>
      </c>
      <c r="BJ413" t="n">
        <v>10</v>
      </c>
      <c r="BK413" t="n">
        <v>2</v>
      </c>
      <c r="BL413" t="n">
        <v>13</v>
      </c>
      <c r="BM413" t="n">
        <v>9</v>
      </c>
      <c r="BN413" t="n">
        <v>0</v>
      </c>
      <c r="BO413" t="n">
        <v>9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4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428</v>
      </c>
      <c r="Z414" t="n">
        <v>166</v>
      </c>
      <c r="AA414" t="n">
        <v>93</v>
      </c>
      <c r="AB414" t="n">
        <v>1</v>
      </c>
      <c r="AC414" t="n">
        <v>6</v>
      </c>
      <c r="AD414" t="n">
        <v>3</v>
      </c>
      <c r="AE414" t="n">
        <v>2</v>
      </c>
      <c r="AF414" t="n">
        <v>13</v>
      </c>
      <c r="AG414" t="n">
        <v>2</v>
      </c>
      <c r="AH414" t="n">
        <v>48</v>
      </c>
      <c r="AI414" t="n">
        <v>28</v>
      </c>
      <c r="AJ414" t="n">
        <v>96</v>
      </c>
      <c r="AK414" t="n">
        <v>35</v>
      </c>
      <c r="AL414" t="n">
        <v>0</v>
      </c>
      <c r="AM414" t="n">
        <v>2</v>
      </c>
      <c r="AN414" t="n">
        <v>0</v>
      </c>
      <c r="AO414" t="n">
        <v>0</v>
      </c>
      <c r="AP414" t="n">
        <v>2</v>
      </c>
      <c r="AQ414" t="n">
        <v>12</v>
      </c>
      <c r="AR414" t="n">
        <v>30</v>
      </c>
      <c r="AS414" t="n">
        <v>21</v>
      </c>
      <c r="AT414" t="n">
        <v>3</v>
      </c>
      <c r="AU414" t="n">
        <v>2</v>
      </c>
      <c r="AV414" t="n">
        <v>66</v>
      </c>
      <c r="AW414" t="n">
        <v>49</v>
      </c>
      <c r="AX414" t="n">
        <v>0</v>
      </c>
      <c r="AY414" t="n">
        <v>42</v>
      </c>
      <c r="AZ414" t="n">
        <v>2</v>
      </c>
      <c r="BA414" t="n">
        <v>5</v>
      </c>
      <c r="BB414" t="n">
        <v>93</v>
      </c>
      <c r="BC414" t="n">
        <v>9</v>
      </c>
      <c r="BD414" t="n">
        <v>51</v>
      </c>
      <c r="BE414" t="n">
        <v>49</v>
      </c>
      <c r="BF414" t="n">
        <v>76</v>
      </c>
      <c r="BG414" t="n">
        <v>6</v>
      </c>
      <c r="BH414" t="n">
        <v>22</v>
      </c>
      <c r="BI414" t="n">
        <v>89</v>
      </c>
      <c r="BJ414" t="n">
        <v>91</v>
      </c>
      <c r="BK414" t="n">
        <v>0</v>
      </c>
      <c r="BL414" t="n">
        <v>16</v>
      </c>
      <c r="BM414" t="n">
        <v>12</v>
      </c>
      <c r="BN414" t="n">
        <v>0</v>
      </c>
      <c r="BO414" t="n">
        <v>61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236</v>
      </c>
      <c r="Z415" t="n">
        <v>214</v>
      </c>
      <c r="AA415" t="n">
        <v>48</v>
      </c>
      <c r="AB415" t="n">
        <v>0</v>
      </c>
      <c r="AC415" t="n">
        <v>0</v>
      </c>
      <c r="AD415" t="n">
        <v>4</v>
      </c>
      <c r="AE415" t="n">
        <v>4</v>
      </c>
      <c r="AF415" t="n">
        <v>4</v>
      </c>
      <c r="AG415" t="n">
        <v>3</v>
      </c>
      <c r="AH415" t="n">
        <v>42</v>
      </c>
      <c r="AI415" t="n">
        <v>57</v>
      </c>
      <c r="AJ415" t="n">
        <v>37</v>
      </c>
      <c r="AK415" t="n">
        <v>41</v>
      </c>
      <c r="AL415" t="n">
        <v>3</v>
      </c>
      <c r="AM415" t="n">
        <v>48</v>
      </c>
      <c r="AN415" t="n">
        <v>1</v>
      </c>
      <c r="AO415" t="n">
        <v>0</v>
      </c>
      <c r="AP415" t="n">
        <v>6</v>
      </c>
      <c r="AQ415" t="n">
        <v>26</v>
      </c>
      <c r="AR415" t="n">
        <v>51</v>
      </c>
      <c r="AS415" t="n">
        <v>29</v>
      </c>
      <c r="AT415" t="n">
        <v>4</v>
      </c>
      <c r="AU415" t="n">
        <v>0</v>
      </c>
      <c r="AV415" t="n">
        <v>41</v>
      </c>
      <c r="AW415" t="n">
        <v>16</v>
      </c>
      <c r="AX415" t="n">
        <v>6</v>
      </c>
      <c r="AY415" t="n">
        <v>19</v>
      </c>
      <c r="AZ415" t="n">
        <v>2</v>
      </c>
      <c r="BA415" t="n">
        <v>53</v>
      </c>
      <c r="BB415" t="n">
        <v>106</v>
      </c>
      <c r="BC415" t="n">
        <v>50</v>
      </c>
      <c r="BD415" t="n">
        <v>37</v>
      </c>
      <c r="BE415" t="n">
        <v>16</v>
      </c>
      <c r="BF415" t="n">
        <v>49</v>
      </c>
      <c r="BG415" t="n">
        <v>2</v>
      </c>
      <c r="BH415" t="n">
        <v>4</v>
      </c>
      <c r="BI415" t="n">
        <v>1</v>
      </c>
      <c r="BJ415" t="n">
        <v>5</v>
      </c>
      <c r="BK415" t="n">
        <v>1</v>
      </c>
      <c r="BL415" t="n">
        <v>2</v>
      </c>
      <c r="BM415" t="n">
        <v>18</v>
      </c>
      <c r="BN415" t="n">
        <v>10</v>
      </c>
      <c r="BO415" t="n">
        <v>9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n">
        <v>269</v>
      </c>
      <c r="Z416" t="n">
        <v>235</v>
      </c>
      <c r="AA416" t="n">
        <v>49</v>
      </c>
      <c r="AB416" t="n">
        <v>1</v>
      </c>
      <c r="AC416" t="n">
        <v>0</v>
      </c>
      <c r="AD416" t="n">
        <v>3</v>
      </c>
      <c r="AE416" t="n">
        <v>1</v>
      </c>
      <c r="AF416" t="n">
        <v>9</v>
      </c>
      <c r="AG416" t="n">
        <v>6</v>
      </c>
      <c r="AH416" t="n">
        <v>54</v>
      </c>
      <c r="AI416" t="n">
        <v>2</v>
      </c>
      <c r="AJ416" t="n">
        <v>94</v>
      </c>
      <c r="AK416" t="n">
        <v>28</v>
      </c>
      <c r="AL416" t="n">
        <v>2</v>
      </c>
      <c r="AM416" t="n">
        <v>65</v>
      </c>
      <c r="AN416" t="n">
        <v>0</v>
      </c>
      <c r="AO416" t="n">
        <v>0</v>
      </c>
      <c r="AP416" t="n">
        <v>3</v>
      </c>
      <c r="AQ416" t="n">
        <v>21</v>
      </c>
      <c r="AR416" t="n">
        <v>66</v>
      </c>
      <c r="AS416" t="n">
        <v>48</v>
      </c>
      <c r="AT416" t="n">
        <v>2</v>
      </c>
      <c r="AU416" t="n">
        <v>2</v>
      </c>
      <c r="AV416" t="n">
        <v>33</v>
      </c>
      <c r="AW416" t="n">
        <v>40</v>
      </c>
      <c r="AX416" t="n">
        <v>9</v>
      </c>
      <c r="AY416" t="n">
        <v>23</v>
      </c>
      <c r="AZ416" t="n">
        <v>2</v>
      </c>
      <c r="BA416" t="n">
        <v>7</v>
      </c>
      <c r="BB416" t="n">
        <v>52</v>
      </c>
      <c r="BC416" t="n">
        <v>57</v>
      </c>
      <c r="BD416" t="n">
        <v>47</v>
      </c>
      <c r="BE416" t="n">
        <v>39</v>
      </c>
      <c r="BF416" t="n">
        <v>75</v>
      </c>
      <c r="BG416" t="n">
        <v>2</v>
      </c>
      <c r="BH416" t="n">
        <v>3</v>
      </c>
      <c r="BI416" t="n">
        <v>60</v>
      </c>
      <c r="BJ416" t="n">
        <v>55</v>
      </c>
      <c r="BK416" t="n">
        <v>1</v>
      </c>
      <c r="BL416" t="n">
        <v>1</v>
      </c>
      <c r="BM416" t="n">
        <v>6</v>
      </c>
      <c r="BN416" t="n">
        <v>3</v>
      </c>
      <c r="BO416" t="n">
        <v>42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299</v>
      </c>
      <c r="Z417" t="n">
        <v>336</v>
      </c>
      <c r="AA417" t="n">
        <v>112</v>
      </c>
      <c r="AB417" t="n">
        <v>0</v>
      </c>
      <c r="AC417" t="n">
        <v>3</v>
      </c>
      <c r="AD417" t="n">
        <v>1</v>
      </c>
      <c r="AE417" t="n">
        <v>2</v>
      </c>
      <c r="AF417" t="n">
        <v>10</v>
      </c>
      <c r="AG417" t="n">
        <v>3</v>
      </c>
      <c r="AH417" t="n">
        <v>41</v>
      </c>
      <c r="AI417" t="n">
        <v>8</v>
      </c>
      <c r="AJ417" t="n">
        <v>114</v>
      </c>
      <c r="AK417" t="n">
        <v>57</v>
      </c>
      <c r="AL417" t="n">
        <v>7</v>
      </c>
      <c r="AM417" t="n">
        <v>143</v>
      </c>
      <c r="AN417" t="n">
        <v>0</v>
      </c>
      <c r="AO417" t="n">
        <v>0</v>
      </c>
      <c r="AP417" t="n">
        <v>5</v>
      </c>
      <c r="AQ417" t="n">
        <v>16</v>
      </c>
      <c r="AR417" t="n">
        <v>73</v>
      </c>
      <c r="AS417" t="n">
        <v>58</v>
      </c>
      <c r="AT417" t="n">
        <v>4</v>
      </c>
      <c r="AU417" t="n">
        <v>2</v>
      </c>
      <c r="AV417" t="n">
        <v>6</v>
      </c>
      <c r="AW417" t="n">
        <v>30</v>
      </c>
      <c r="AX417" t="n">
        <v>0</v>
      </c>
      <c r="AY417" t="n">
        <v>19</v>
      </c>
      <c r="AZ417" t="n">
        <v>4</v>
      </c>
      <c r="BA417" t="n">
        <v>45</v>
      </c>
      <c r="BB417" t="n">
        <v>149</v>
      </c>
      <c r="BC417" t="n">
        <v>138</v>
      </c>
      <c r="BD417" t="n">
        <v>47</v>
      </c>
      <c r="BE417" t="n">
        <v>35</v>
      </c>
      <c r="BF417" t="n">
        <v>95</v>
      </c>
      <c r="BG417" t="n">
        <v>4</v>
      </c>
      <c r="BH417" t="n">
        <v>22</v>
      </c>
      <c r="BI417" t="n">
        <v>8</v>
      </c>
      <c r="BJ417" t="n">
        <v>22</v>
      </c>
      <c r="BK417" t="n">
        <v>0</v>
      </c>
      <c r="BL417" t="n">
        <v>1</v>
      </c>
      <c r="BM417" t="n">
        <v>15</v>
      </c>
      <c r="BN417" t="n">
        <v>8</v>
      </c>
      <c r="BO417" t="n">
        <v>2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222</v>
      </c>
      <c r="Z418" t="n">
        <v>198</v>
      </c>
      <c r="AA418" t="n">
        <v>36</v>
      </c>
      <c r="AB418" t="n">
        <v>3</v>
      </c>
      <c r="AC418" t="n">
        <v>2</v>
      </c>
      <c r="AD418" t="n">
        <v>2</v>
      </c>
      <c r="AE418" t="n">
        <v>7</v>
      </c>
      <c r="AF418" t="n">
        <v>4</v>
      </c>
      <c r="AG418" t="n">
        <v>3</v>
      </c>
      <c r="AH418" t="n">
        <v>60</v>
      </c>
      <c r="AI418" t="n">
        <v>38</v>
      </c>
      <c r="AJ418" t="n">
        <v>29</v>
      </c>
      <c r="AK418" t="n">
        <v>1</v>
      </c>
      <c r="AL418" t="n">
        <v>7</v>
      </c>
      <c r="AM418" t="n">
        <v>61</v>
      </c>
      <c r="AN418" t="n">
        <v>0</v>
      </c>
      <c r="AO418" t="n">
        <v>0</v>
      </c>
      <c r="AP418" t="n">
        <v>3</v>
      </c>
      <c r="AQ418" t="n">
        <v>16</v>
      </c>
      <c r="AR418" t="n">
        <v>91</v>
      </c>
      <c r="AS418" t="n">
        <v>76</v>
      </c>
      <c r="AT418" t="n">
        <v>3</v>
      </c>
      <c r="AU418" t="n">
        <v>1</v>
      </c>
      <c r="AV418" t="n">
        <v>8</v>
      </c>
      <c r="AW418" t="n">
        <v>13</v>
      </c>
      <c r="AX418" t="n">
        <v>0</v>
      </c>
      <c r="AY418" t="n">
        <v>9</v>
      </c>
      <c r="AZ418" t="n">
        <v>4</v>
      </c>
      <c r="BA418" t="n">
        <v>-4</v>
      </c>
      <c r="BB418" t="n">
        <v>33</v>
      </c>
      <c r="BC418" t="n">
        <v>55</v>
      </c>
      <c r="BD418" t="n">
        <v>54</v>
      </c>
      <c r="BE418" t="n">
        <v>13</v>
      </c>
      <c r="BF418" t="n">
        <v>35</v>
      </c>
      <c r="BG418" t="n">
        <v>4</v>
      </c>
      <c r="BH418" t="n">
        <v>10</v>
      </c>
      <c r="BI418" t="n">
        <v>34</v>
      </c>
      <c r="BJ418" t="n">
        <v>34</v>
      </c>
      <c r="BK418" t="n">
        <v>0</v>
      </c>
      <c r="BL418" t="n">
        <v>1</v>
      </c>
      <c r="BM418" t="n">
        <v>19</v>
      </c>
      <c r="BN418" t="n">
        <v>11</v>
      </c>
      <c r="BO418" t="n">
        <v>28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</v>
      </c>
      <c r="T419" t="n">
        <v>2</v>
      </c>
      <c r="U419" t="n">
        <v>0</v>
      </c>
      <c r="V419" t="n">
        <v>0</v>
      </c>
      <c r="W419" t="n">
        <v>0</v>
      </c>
      <c r="X419" t="n">
        <v>0</v>
      </c>
      <c r="Y419" t="n">
        <v>201</v>
      </c>
      <c r="Z419" t="n">
        <v>45</v>
      </c>
      <c r="AA419" t="n">
        <v>82</v>
      </c>
      <c r="AB419" t="n">
        <v>1</v>
      </c>
      <c r="AC419" t="n">
        <v>2</v>
      </c>
      <c r="AD419" t="n">
        <v>1</v>
      </c>
      <c r="AE419" t="n">
        <v>3</v>
      </c>
      <c r="AF419" t="n">
        <v>2</v>
      </c>
      <c r="AG419" t="n">
        <v>3</v>
      </c>
      <c r="AH419" t="n">
        <v>31</v>
      </c>
      <c r="AI419" t="n">
        <v>-2</v>
      </c>
      <c r="AJ419" t="n">
        <v>14</v>
      </c>
      <c r="AK419" t="n">
        <v>22</v>
      </c>
      <c r="AL419" t="n">
        <v>2</v>
      </c>
      <c r="AM419" t="n">
        <v>21</v>
      </c>
      <c r="AN419" t="n">
        <v>0</v>
      </c>
      <c r="AO419" t="n">
        <v>0</v>
      </c>
      <c r="AP419" t="n">
        <v>3</v>
      </c>
      <c r="AQ419" t="n">
        <v>19</v>
      </c>
      <c r="AR419" t="n">
        <v>65</v>
      </c>
      <c r="AS419" t="n">
        <v>50</v>
      </c>
      <c r="AT419" t="n">
        <v>6</v>
      </c>
      <c r="AU419" t="n">
        <v>0</v>
      </c>
      <c r="AV419" t="n">
        <v>33</v>
      </c>
      <c r="AW419" t="n">
        <v>3</v>
      </c>
      <c r="AX419" t="n">
        <v>6</v>
      </c>
      <c r="AY419" t="n">
        <v>9</v>
      </c>
      <c r="AZ419" t="n">
        <v>0</v>
      </c>
      <c r="BA419" t="n">
        <v>1</v>
      </c>
      <c r="BB419" t="n">
        <v>80</v>
      </c>
      <c r="BC419" t="n">
        <v>34</v>
      </c>
      <c r="BD419" t="n">
        <v>64</v>
      </c>
      <c r="BE419" t="n">
        <v>1</v>
      </c>
      <c r="BF419" t="n">
        <v>32</v>
      </c>
      <c r="BG419" t="n">
        <v>7</v>
      </c>
      <c r="BH419" t="n">
        <v>2</v>
      </c>
      <c r="BI419" t="n">
        <v>89</v>
      </c>
      <c r="BJ419" t="n">
        <v>92</v>
      </c>
      <c r="BK419" t="n">
        <v>1</v>
      </c>
      <c r="BL419" t="n">
        <v>-3</v>
      </c>
      <c r="BM419" t="n">
        <v>1</v>
      </c>
      <c r="BN419" t="n">
        <v>1</v>
      </c>
      <c r="BO419" t="n">
        <v>32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5</v>
      </c>
      <c r="U420" t="n">
        <v>1</v>
      </c>
      <c r="V420" t="n">
        <v>0</v>
      </c>
      <c r="W420" t="n">
        <v>0</v>
      </c>
      <c r="X420" t="n">
        <v>0</v>
      </c>
      <c r="Y420" t="n">
        <v>167</v>
      </c>
      <c r="Z420" t="n">
        <v>225</v>
      </c>
      <c r="AA420" t="n">
        <v>26</v>
      </c>
      <c r="AB420" t="n">
        <v>0</v>
      </c>
      <c r="AC420" t="n">
        <v>4</v>
      </c>
      <c r="AD420" t="n">
        <v>3</v>
      </c>
      <c r="AE420" t="n">
        <v>3</v>
      </c>
      <c r="AF420" t="n">
        <v>5</v>
      </c>
      <c r="AG420" t="n">
        <v>2</v>
      </c>
      <c r="AH420" t="n">
        <v>24</v>
      </c>
      <c r="AI420" t="n">
        <v>12</v>
      </c>
      <c r="AJ420" t="n">
        <v>33</v>
      </c>
      <c r="AK420" t="n">
        <v>10</v>
      </c>
      <c r="AL420" t="n">
        <v>4</v>
      </c>
      <c r="AM420" t="n">
        <v>39</v>
      </c>
      <c r="AN420" t="n">
        <v>0</v>
      </c>
      <c r="AO420" t="n">
        <v>0</v>
      </c>
      <c r="AP420" t="n">
        <v>3</v>
      </c>
      <c r="AQ420" t="n">
        <v>24</v>
      </c>
      <c r="AR420" t="n">
        <v>28</v>
      </c>
      <c r="AS420" t="n">
        <v>9</v>
      </c>
      <c r="AT420" t="n">
        <v>0</v>
      </c>
      <c r="AU420" t="n">
        <v>1</v>
      </c>
      <c r="AV420" t="n">
        <v>1</v>
      </c>
      <c r="AW420" t="n">
        <v>1</v>
      </c>
      <c r="AX420" t="n">
        <v>1</v>
      </c>
      <c r="AY420" t="n">
        <v>24</v>
      </c>
      <c r="AZ420" t="n">
        <v>6</v>
      </c>
      <c r="BA420" t="n">
        <v>102</v>
      </c>
      <c r="BB420" t="n">
        <v>149</v>
      </c>
      <c r="BC420" t="n">
        <v>38</v>
      </c>
      <c r="BD420" t="n">
        <v>32</v>
      </c>
      <c r="BE420" t="n">
        <v>5</v>
      </c>
      <c r="BF420" t="n">
        <v>31</v>
      </c>
      <c r="BG420" t="n">
        <v>1</v>
      </c>
      <c r="BH420" t="n">
        <v>15</v>
      </c>
      <c r="BI420" t="n">
        <v>1</v>
      </c>
      <c r="BJ420" t="n">
        <v>14</v>
      </c>
      <c r="BK420" t="n">
        <v>2</v>
      </c>
      <c r="BL420" t="n">
        <v>15</v>
      </c>
      <c r="BM420" t="n">
        <v>10</v>
      </c>
      <c r="BN420" t="n">
        <v>0</v>
      </c>
      <c r="BO420" t="n">
        <v>2</v>
      </c>
    </row>
    <row r="421">
      <c r="A421" t="n">
        <v>0</v>
      </c>
      <c r="B421" t="n">
        <v>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256</v>
      </c>
      <c r="Z421" t="n">
        <v>161</v>
      </c>
      <c r="AA421" t="n">
        <v>95</v>
      </c>
      <c r="AB421" t="n">
        <v>2</v>
      </c>
      <c r="AC421" t="n">
        <v>0</v>
      </c>
      <c r="AD421" t="n">
        <v>6</v>
      </c>
      <c r="AE421" t="n">
        <v>4</v>
      </c>
      <c r="AF421" t="n">
        <v>1</v>
      </c>
      <c r="AG421" t="n">
        <v>3</v>
      </c>
      <c r="AH421" t="n">
        <v>89</v>
      </c>
      <c r="AI421" t="n">
        <v>39</v>
      </c>
      <c r="AJ421" t="n">
        <v>40</v>
      </c>
      <c r="AK421" t="n">
        <v>36</v>
      </c>
      <c r="AL421" t="n">
        <v>1</v>
      </c>
      <c r="AM421" t="n">
        <v>2</v>
      </c>
      <c r="AN421" t="n">
        <v>0</v>
      </c>
      <c r="AO421" t="n">
        <v>0</v>
      </c>
      <c r="AP421" t="n">
        <v>6</v>
      </c>
      <c r="AQ421" t="n">
        <v>29</v>
      </c>
      <c r="AR421" t="n">
        <v>113</v>
      </c>
      <c r="AS421" t="n">
        <v>87</v>
      </c>
      <c r="AT421" t="n">
        <v>1</v>
      </c>
      <c r="AU421" t="n">
        <v>0</v>
      </c>
      <c r="AV421" t="n">
        <v>6</v>
      </c>
      <c r="AW421" t="n">
        <v>10</v>
      </c>
      <c r="AX421" t="n">
        <v>2</v>
      </c>
      <c r="AY421" t="n">
        <v>78</v>
      </c>
      <c r="AZ421" t="n">
        <v>0</v>
      </c>
      <c r="BA421" t="n">
        <v>1</v>
      </c>
      <c r="BB421" t="n">
        <v>93</v>
      </c>
      <c r="BC421" t="n">
        <v>10</v>
      </c>
      <c r="BD421" t="n">
        <v>80</v>
      </c>
      <c r="BE421" t="n">
        <v>10</v>
      </c>
      <c r="BF421" t="n">
        <v>40</v>
      </c>
      <c r="BG421" t="n">
        <v>0</v>
      </c>
      <c r="BH421" t="n">
        <v>7</v>
      </c>
      <c r="BI421" t="n">
        <v>17</v>
      </c>
      <c r="BJ421" t="n">
        <v>15</v>
      </c>
      <c r="BK421" t="n">
        <v>3</v>
      </c>
      <c r="BL421" t="n">
        <v>5</v>
      </c>
      <c r="BM421" t="n">
        <v>7</v>
      </c>
      <c r="BN421" t="n">
        <v>4</v>
      </c>
      <c r="BO421" t="n">
        <v>2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263</v>
      </c>
      <c r="Z422" t="n">
        <v>149</v>
      </c>
      <c r="AA422" t="n">
        <v>23</v>
      </c>
      <c r="AB422" t="n">
        <v>2</v>
      </c>
      <c r="AC422" t="n">
        <v>1</v>
      </c>
      <c r="AD422" t="n">
        <v>3</v>
      </c>
      <c r="AE422" t="n">
        <v>8</v>
      </c>
      <c r="AF422" t="n">
        <v>9</v>
      </c>
      <c r="AG422" t="n">
        <v>2</v>
      </c>
      <c r="AH422" t="n">
        <v>33</v>
      </c>
      <c r="AI422" t="n">
        <v>69</v>
      </c>
      <c r="AJ422" t="n">
        <v>170</v>
      </c>
      <c r="AK422" t="n">
        <v>1</v>
      </c>
      <c r="AL422" t="n">
        <v>1</v>
      </c>
      <c r="AM422" t="n">
        <v>25</v>
      </c>
      <c r="AN422" t="n">
        <v>0</v>
      </c>
      <c r="AO422" t="n">
        <v>0</v>
      </c>
      <c r="AP422" t="n">
        <v>11</v>
      </c>
      <c r="AQ422" t="n">
        <v>71</v>
      </c>
      <c r="AR422" t="n">
        <v>115</v>
      </c>
      <c r="AS422" t="n">
        <v>54</v>
      </c>
      <c r="AT422" t="n">
        <v>1</v>
      </c>
      <c r="AU422" t="n">
        <v>1</v>
      </c>
      <c r="AV422" t="n">
        <v>1</v>
      </c>
      <c r="AW422" t="n">
        <v>1</v>
      </c>
      <c r="AX422" t="n">
        <v>4</v>
      </c>
      <c r="AY422" t="n">
        <v>3</v>
      </c>
      <c r="AZ422" t="n">
        <v>4</v>
      </c>
      <c r="BA422" t="n">
        <v>39</v>
      </c>
      <c r="BB422" t="n">
        <v>65</v>
      </c>
      <c r="BC422" t="n">
        <v>26</v>
      </c>
      <c r="BD422" t="n">
        <v>29</v>
      </c>
      <c r="BE422" t="n">
        <v>38</v>
      </c>
      <c r="BF422" t="n">
        <v>139</v>
      </c>
      <c r="BG422" t="n">
        <v>4</v>
      </c>
      <c r="BH422" t="n">
        <v>6</v>
      </c>
      <c r="BI422" t="n">
        <v>5</v>
      </c>
      <c r="BJ422" t="n">
        <v>5</v>
      </c>
      <c r="BK422" t="n">
        <v>5</v>
      </c>
      <c r="BL422" t="n">
        <v>35</v>
      </c>
      <c r="BM422" t="n">
        <v>27</v>
      </c>
      <c r="BN422" t="n">
        <v>4</v>
      </c>
      <c r="BO422" t="n">
        <v>9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</v>
      </c>
      <c r="U423" t="n">
        <v>0</v>
      </c>
      <c r="V423" t="n">
        <v>0</v>
      </c>
      <c r="W423" t="n">
        <v>0</v>
      </c>
      <c r="X423" t="n">
        <v>0</v>
      </c>
      <c r="Y423" t="n">
        <v>379</v>
      </c>
      <c r="Z423" t="n">
        <v>188</v>
      </c>
      <c r="AA423" t="n">
        <v>124</v>
      </c>
      <c r="AB423" t="n">
        <v>0</v>
      </c>
      <c r="AC423" t="n">
        <v>3</v>
      </c>
      <c r="AD423" t="n">
        <v>4</v>
      </c>
      <c r="AE423" t="n">
        <v>4</v>
      </c>
      <c r="AF423" t="n">
        <v>7</v>
      </c>
      <c r="AG423" t="n">
        <v>5</v>
      </c>
      <c r="AH423" t="n">
        <v>57</v>
      </c>
      <c r="AI423" t="n">
        <v>10</v>
      </c>
      <c r="AJ423" t="n">
        <v>45</v>
      </c>
      <c r="AK423" t="n">
        <v>90</v>
      </c>
      <c r="AL423" t="n">
        <v>4</v>
      </c>
      <c r="AM423" t="n">
        <v>87</v>
      </c>
      <c r="AN423" t="n">
        <v>0</v>
      </c>
      <c r="AO423" t="n">
        <v>1</v>
      </c>
      <c r="AP423" t="n">
        <v>9</v>
      </c>
      <c r="AQ423" t="n">
        <v>99</v>
      </c>
      <c r="AR423" t="n">
        <v>126</v>
      </c>
      <c r="AS423" t="n">
        <v>40</v>
      </c>
      <c r="AT423" t="n">
        <v>4</v>
      </c>
      <c r="AU423" t="n">
        <v>0</v>
      </c>
      <c r="AV423" t="n">
        <v>28</v>
      </c>
      <c r="AW423" t="n">
        <v>6</v>
      </c>
      <c r="AX423" t="n">
        <v>0</v>
      </c>
      <c r="AY423" t="n">
        <v>58</v>
      </c>
      <c r="AZ423" t="n">
        <v>3</v>
      </c>
      <c r="BA423" t="n">
        <v>1</v>
      </c>
      <c r="BB423" t="n">
        <v>119</v>
      </c>
      <c r="BC423" t="n">
        <v>74</v>
      </c>
      <c r="BD423" t="n">
        <v>52</v>
      </c>
      <c r="BE423" t="n">
        <v>6</v>
      </c>
      <c r="BF423" t="n">
        <v>39</v>
      </c>
      <c r="BG423" t="n">
        <v>3</v>
      </c>
      <c r="BH423" t="n">
        <v>35</v>
      </c>
      <c r="BI423" t="n">
        <v>28</v>
      </c>
      <c r="BJ423" t="n">
        <v>27</v>
      </c>
      <c r="BK423" t="n">
        <v>2</v>
      </c>
      <c r="BL423" t="n">
        <v>1</v>
      </c>
      <c r="BM423" t="n">
        <v>10</v>
      </c>
      <c r="BN423" t="n">
        <v>5</v>
      </c>
      <c r="BO423" t="n">
        <v>32</v>
      </c>
    </row>
    <row r="424">
      <c r="A424" t="n">
        <v>0</v>
      </c>
      <c r="B424" t="n">
        <v>0</v>
      </c>
      <c r="C424" t="n">
        <v>2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124</v>
      </c>
      <c r="Z424" t="n">
        <v>217</v>
      </c>
      <c r="AA424" t="n">
        <v>85</v>
      </c>
      <c r="AB424" t="n">
        <v>0</v>
      </c>
      <c r="AC424" t="n">
        <v>1</v>
      </c>
      <c r="AD424" t="n">
        <v>5</v>
      </c>
      <c r="AE424" t="n">
        <v>9</v>
      </c>
      <c r="AF424" t="n">
        <v>4</v>
      </c>
      <c r="AG424" t="n">
        <v>0</v>
      </c>
      <c r="AH424" t="n">
        <v>41</v>
      </c>
      <c r="AI424" t="n">
        <v>61</v>
      </c>
      <c r="AJ424" t="n">
        <v>21</v>
      </c>
      <c r="AK424" t="n">
        <v>7</v>
      </c>
      <c r="AL424" t="n">
        <v>0</v>
      </c>
      <c r="AM424" t="n">
        <v>10</v>
      </c>
      <c r="AN424" t="n">
        <v>0</v>
      </c>
      <c r="AO424" t="n">
        <v>0</v>
      </c>
      <c r="AP424" t="n">
        <v>0</v>
      </c>
      <c r="AQ424" t="n">
        <v>1</v>
      </c>
      <c r="AR424" t="n">
        <v>127</v>
      </c>
      <c r="AS424" t="n">
        <v>116</v>
      </c>
      <c r="AT424" t="n">
        <v>2</v>
      </c>
      <c r="AU424" t="n">
        <v>1</v>
      </c>
      <c r="AV424" t="n">
        <v>22</v>
      </c>
      <c r="AW424" t="n">
        <v>22</v>
      </c>
      <c r="AX424" t="n">
        <v>2</v>
      </c>
      <c r="AY424" t="n">
        <v>7</v>
      </c>
      <c r="AZ424" t="n">
        <v>1</v>
      </c>
      <c r="BA424" t="n">
        <v>4</v>
      </c>
      <c r="BB424" t="n">
        <v>83</v>
      </c>
      <c r="BC424" t="n">
        <v>2</v>
      </c>
      <c r="BD424" t="n">
        <v>37</v>
      </c>
      <c r="BE424" t="n">
        <v>21</v>
      </c>
      <c r="BF424" t="n">
        <v>34</v>
      </c>
      <c r="BG424" t="n">
        <v>3</v>
      </c>
      <c r="BH424" t="n">
        <v>0</v>
      </c>
      <c r="BI424" t="n">
        <v>15</v>
      </c>
      <c r="BJ424" t="n">
        <v>13</v>
      </c>
      <c r="BK424" t="n">
        <v>0</v>
      </c>
      <c r="BL424" t="n">
        <v>25</v>
      </c>
      <c r="BM424" t="n">
        <v>17</v>
      </c>
      <c r="BN424" t="n">
        <v>0</v>
      </c>
      <c r="BO424" t="n">
        <v>96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185</v>
      </c>
      <c r="Z425" t="n">
        <v>309</v>
      </c>
      <c r="AA425" t="n">
        <v>36</v>
      </c>
      <c r="AB425" t="n">
        <v>3</v>
      </c>
      <c r="AC425" t="n">
        <v>1</v>
      </c>
      <c r="AD425" t="n">
        <v>0</v>
      </c>
      <c r="AE425" t="n">
        <v>2</v>
      </c>
      <c r="AF425" t="n">
        <v>5</v>
      </c>
      <c r="AG425" t="n">
        <v>7</v>
      </c>
      <c r="AH425" t="n">
        <v>14</v>
      </c>
      <c r="AI425" t="n">
        <v>20</v>
      </c>
      <c r="AJ425" t="n">
        <v>44</v>
      </c>
      <c r="AK425" t="n">
        <v>92</v>
      </c>
      <c r="AL425" t="n">
        <v>3</v>
      </c>
      <c r="AM425" t="n">
        <v>25</v>
      </c>
      <c r="AN425" t="n">
        <v>0</v>
      </c>
      <c r="AO425" t="n">
        <v>0</v>
      </c>
      <c r="AP425" t="n">
        <v>2</v>
      </c>
      <c r="AQ425" t="n">
        <v>7</v>
      </c>
      <c r="AR425" t="n">
        <v>112</v>
      </c>
      <c r="AS425" t="n">
        <v>103</v>
      </c>
      <c r="AT425" t="n">
        <v>0</v>
      </c>
      <c r="AU425" t="n">
        <v>2</v>
      </c>
      <c r="AV425" t="n">
        <v>1</v>
      </c>
      <c r="AW425" t="n">
        <v>24</v>
      </c>
      <c r="AX425" t="n">
        <v>8</v>
      </c>
      <c r="AY425" t="n">
        <v>102</v>
      </c>
      <c r="AZ425" t="n">
        <v>4</v>
      </c>
      <c r="BA425" t="n">
        <v>7</v>
      </c>
      <c r="BB425" t="n">
        <v>40</v>
      </c>
      <c r="BC425" t="n">
        <v>20</v>
      </c>
      <c r="BD425" t="n">
        <v>32</v>
      </c>
      <c r="BE425" t="n">
        <v>37</v>
      </c>
      <c r="BF425" t="n">
        <v>34</v>
      </c>
      <c r="BG425" t="n">
        <v>5</v>
      </c>
      <c r="BH425" t="n">
        <v>0</v>
      </c>
      <c r="BI425" t="n">
        <v>32</v>
      </c>
      <c r="BJ425" t="n">
        <v>29</v>
      </c>
      <c r="BK425" t="n">
        <v>2</v>
      </c>
      <c r="BL425" t="n">
        <v>1</v>
      </c>
      <c r="BM425" t="n">
        <v>1</v>
      </c>
      <c r="BN425" t="n">
        <v>0</v>
      </c>
      <c r="BO425" t="n">
        <v>2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3</v>
      </c>
      <c r="U426" t="n">
        <v>0</v>
      </c>
      <c r="V426" t="n">
        <v>0</v>
      </c>
      <c r="W426" t="n">
        <v>0</v>
      </c>
      <c r="X426" t="n">
        <v>0</v>
      </c>
      <c r="Y426" t="n">
        <v>263</v>
      </c>
      <c r="Z426" t="n">
        <v>313</v>
      </c>
      <c r="AA426" t="n">
        <v>87</v>
      </c>
      <c r="AB426" t="n">
        <v>0</v>
      </c>
      <c r="AC426" t="n">
        <v>0</v>
      </c>
      <c r="AD426" t="n">
        <v>4</v>
      </c>
      <c r="AE426" t="n">
        <v>9</v>
      </c>
      <c r="AF426" t="n">
        <v>2</v>
      </c>
      <c r="AG426" t="n">
        <v>1</v>
      </c>
      <c r="AH426" t="n">
        <v>35</v>
      </c>
      <c r="AI426" t="n">
        <v>39</v>
      </c>
      <c r="AJ426" t="n">
        <v>53</v>
      </c>
      <c r="AK426" t="n">
        <v>41</v>
      </c>
      <c r="AL426" t="n">
        <v>5</v>
      </c>
      <c r="AM426" t="n">
        <v>139</v>
      </c>
      <c r="AN426" t="n">
        <v>0</v>
      </c>
      <c r="AO426" t="n">
        <v>0</v>
      </c>
      <c r="AP426" t="n">
        <v>3</v>
      </c>
      <c r="AQ426" t="n">
        <v>38</v>
      </c>
      <c r="AR426" t="n">
        <v>98</v>
      </c>
      <c r="AS426" t="n">
        <v>67</v>
      </c>
      <c r="AT426" t="n">
        <v>3</v>
      </c>
      <c r="AU426" t="n">
        <v>3</v>
      </c>
      <c r="AV426" t="n">
        <v>17</v>
      </c>
      <c r="AW426" t="n">
        <v>40</v>
      </c>
      <c r="AX426" t="n">
        <v>0</v>
      </c>
      <c r="AY426" t="n">
        <v>45</v>
      </c>
      <c r="AZ426" t="n">
        <v>3</v>
      </c>
      <c r="BA426" t="n">
        <v>34</v>
      </c>
      <c r="BB426" t="n">
        <v>117</v>
      </c>
      <c r="BC426" t="n">
        <v>116</v>
      </c>
      <c r="BD426" t="n">
        <v>32</v>
      </c>
      <c r="BE426" t="n">
        <v>43</v>
      </c>
      <c r="BF426" t="n">
        <v>42</v>
      </c>
      <c r="BG426" t="n">
        <v>0</v>
      </c>
      <c r="BH426" t="n">
        <v>16</v>
      </c>
      <c r="BI426" t="n">
        <v>1</v>
      </c>
      <c r="BJ426" t="n">
        <v>32</v>
      </c>
      <c r="BK426" t="n">
        <v>2</v>
      </c>
      <c r="BL426" t="n">
        <v>60</v>
      </c>
      <c r="BM426" t="n">
        <v>41</v>
      </c>
      <c r="BN426" t="n">
        <v>1</v>
      </c>
      <c r="BO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221</v>
      </c>
      <c r="Z427" t="n">
        <v>162</v>
      </c>
      <c r="AA427" t="n">
        <v>61</v>
      </c>
      <c r="AB427" t="n">
        <v>1</v>
      </c>
      <c r="AC427" t="n">
        <v>0</v>
      </c>
      <c r="AD427" t="n">
        <v>4</v>
      </c>
      <c r="AE427" t="n">
        <v>7</v>
      </c>
      <c r="AF427" t="n">
        <v>4</v>
      </c>
      <c r="AG427" t="n">
        <v>7</v>
      </c>
      <c r="AH427" t="n">
        <v>27</v>
      </c>
      <c r="AI427" t="n">
        <v>65</v>
      </c>
      <c r="AJ427" t="n">
        <v>21</v>
      </c>
      <c r="AK427" t="n">
        <v>63</v>
      </c>
      <c r="AL427" t="n">
        <v>3</v>
      </c>
      <c r="AM427" t="n">
        <v>21</v>
      </c>
      <c r="AN427" t="n">
        <v>0</v>
      </c>
      <c r="AO427" t="n">
        <v>1</v>
      </c>
      <c r="AP427" t="n">
        <v>2</v>
      </c>
      <c r="AQ427" t="n">
        <v>1</v>
      </c>
      <c r="AR427" t="n">
        <v>104</v>
      </c>
      <c r="AS427" t="n">
        <v>96</v>
      </c>
      <c r="AT427" t="n">
        <v>9</v>
      </c>
      <c r="AU427" t="n">
        <v>2</v>
      </c>
      <c r="AV427" t="n">
        <v>120</v>
      </c>
      <c r="AW427" t="n">
        <v>30</v>
      </c>
      <c r="AX427" t="n">
        <v>12</v>
      </c>
      <c r="AY427" t="n">
        <v>25</v>
      </c>
      <c r="AZ427" t="n">
        <v>3</v>
      </c>
      <c r="BA427" t="n">
        <v>12</v>
      </c>
      <c r="BB427" t="n">
        <v>71</v>
      </c>
      <c r="BC427" t="n">
        <v>17</v>
      </c>
      <c r="BD427" t="n">
        <v>24</v>
      </c>
      <c r="BE427" t="n">
        <v>39</v>
      </c>
      <c r="BF427" t="n">
        <v>17</v>
      </c>
      <c r="BG427" t="n">
        <v>4</v>
      </c>
      <c r="BH427" t="n">
        <v>5</v>
      </c>
      <c r="BI427" t="n">
        <v>21</v>
      </c>
      <c r="BJ427" t="n">
        <v>22</v>
      </c>
      <c r="BK427" t="n">
        <v>0</v>
      </c>
      <c r="BL427" t="n">
        <v>1</v>
      </c>
      <c r="BM427" t="n">
        <v>14</v>
      </c>
      <c r="BN427" t="n">
        <v>8</v>
      </c>
      <c r="BO427" t="n">
        <v>32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2</v>
      </c>
      <c r="T428" t="n">
        <v>4</v>
      </c>
      <c r="U428" t="n">
        <v>1</v>
      </c>
      <c r="V428" t="n">
        <v>0</v>
      </c>
      <c r="W428" t="n">
        <v>0</v>
      </c>
      <c r="X428" t="n">
        <v>0</v>
      </c>
      <c r="Y428" t="n">
        <v>198</v>
      </c>
      <c r="Z428" t="n">
        <v>106</v>
      </c>
      <c r="AA428" t="n">
        <v>75</v>
      </c>
      <c r="AB428" t="n">
        <v>2</v>
      </c>
      <c r="AC428" t="n">
        <v>3</v>
      </c>
      <c r="AD428" t="n">
        <v>3</v>
      </c>
      <c r="AE428" t="n">
        <v>6</v>
      </c>
      <c r="AF428" t="n">
        <v>1</v>
      </c>
      <c r="AG428" t="n">
        <v>9</v>
      </c>
      <c r="AH428" t="n">
        <v>41</v>
      </c>
      <c r="AI428" t="n">
        <v>18</v>
      </c>
      <c r="AJ428" t="n">
        <v>16</v>
      </c>
      <c r="AK428" t="n">
        <v>111</v>
      </c>
      <c r="AL428" t="n">
        <v>0</v>
      </c>
      <c r="AM428" t="n">
        <v>2</v>
      </c>
      <c r="AN428" t="n">
        <v>0</v>
      </c>
      <c r="AO428" t="n">
        <v>0</v>
      </c>
      <c r="AP428" t="n">
        <v>1</v>
      </c>
      <c r="AQ428" t="n">
        <v>1</v>
      </c>
      <c r="AR428" t="n">
        <v>9</v>
      </c>
      <c r="AS428" t="n">
        <v>4</v>
      </c>
      <c r="AT428" t="n">
        <v>1</v>
      </c>
      <c r="AU428" t="n">
        <v>2</v>
      </c>
      <c r="AV428" t="n">
        <v>28</v>
      </c>
      <c r="AW428" t="n">
        <v>9</v>
      </c>
      <c r="AX428" t="n">
        <v>0</v>
      </c>
      <c r="AY428" t="n">
        <v>32</v>
      </c>
      <c r="AZ428" t="n">
        <v>1</v>
      </c>
      <c r="BA428" t="n">
        <v>24</v>
      </c>
      <c r="BB428" t="n">
        <v>97</v>
      </c>
      <c r="BC428" t="n">
        <v>14</v>
      </c>
      <c r="BD428" t="n">
        <v>43</v>
      </c>
      <c r="BE428" t="n">
        <v>8</v>
      </c>
      <c r="BF428" t="n">
        <v>10</v>
      </c>
      <c r="BG428" t="n">
        <v>1</v>
      </c>
      <c r="BH428" t="n">
        <v>5</v>
      </c>
      <c r="BI428" t="n">
        <v>1</v>
      </c>
      <c r="BJ428" t="n">
        <v>1</v>
      </c>
      <c r="BK428" t="n">
        <v>4</v>
      </c>
      <c r="BL428" t="n">
        <v>19</v>
      </c>
      <c r="BM428" t="n">
        <v>12</v>
      </c>
      <c r="BN428" t="n">
        <v>0</v>
      </c>
      <c r="BO428" t="n">
        <v>7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3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165</v>
      </c>
      <c r="Z429" t="n">
        <v>233</v>
      </c>
      <c r="AA429" t="n">
        <v>43</v>
      </c>
      <c r="AB429" t="n">
        <v>0</v>
      </c>
      <c r="AC429" t="n">
        <v>2</v>
      </c>
      <c r="AD429" t="n">
        <v>3</v>
      </c>
      <c r="AE429" t="n">
        <v>1</v>
      </c>
      <c r="AF429" t="n">
        <v>2</v>
      </c>
      <c r="AG429" t="n">
        <v>0</v>
      </c>
      <c r="AH429" t="n">
        <v>92</v>
      </c>
      <c r="AI429" t="n">
        <v>48</v>
      </c>
      <c r="AJ429" t="n">
        <v>27</v>
      </c>
      <c r="AK429" t="n">
        <v>7</v>
      </c>
      <c r="AL429" t="n">
        <v>2</v>
      </c>
      <c r="AM429" t="n">
        <v>21</v>
      </c>
      <c r="AN429" t="n">
        <v>0</v>
      </c>
      <c r="AO429" t="n">
        <v>0</v>
      </c>
      <c r="AP429" t="n">
        <v>4</v>
      </c>
      <c r="AQ429" t="n">
        <v>39</v>
      </c>
      <c r="AR429" t="n">
        <v>120</v>
      </c>
      <c r="AS429" t="n">
        <v>85</v>
      </c>
      <c r="AT429" t="n">
        <v>0</v>
      </c>
      <c r="AU429" t="n">
        <v>0</v>
      </c>
      <c r="AV429" t="n">
        <v>1</v>
      </c>
      <c r="AW429" t="n">
        <v>3</v>
      </c>
      <c r="AX429" t="n">
        <v>2</v>
      </c>
      <c r="AY429" t="n">
        <v>1</v>
      </c>
      <c r="AZ429" t="n">
        <v>0</v>
      </c>
      <c r="BA429" t="n">
        <v>1</v>
      </c>
      <c r="BB429" t="n">
        <v>42</v>
      </c>
      <c r="BC429" t="n">
        <v>17</v>
      </c>
      <c r="BD429" t="n">
        <v>90</v>
      </c>
      <c r="BE429" t="n">
        <v>5</v>
      </c>
      <c r="BF429" t="n">
        <v>29</v>
      </c>
      <c r="BG429" t="n">
        <v>2</v>
      </c>
      <c r="BH429" t="n">
        <v>2</v>
      </c>
      <c r="BI429" t="n">
        <v>11</v>
      </c>
      <c r="BJ429" t="n">
        <v>16</v>
      </c>
      <c r="BK429" t="n">
        <v>1</v>
      </c>
      <c r="BL429" t="n">
        <v>1</v>
      </c>
      <c r="BM429" t="n">
        <v>1</v>
      </c>
      <c r="BN429" t="n">
        <v>0</v>
      </c>
      <c r="BO429" t="n">
        <v>65</v>
      </c>
    </row>
    <row r="430">
      <c r="A430" t="n">
        <v>0</v>
      </c>
      <c r="B430" t="n">
        <v>0</v>
      </c>
      <c r="C430" t="n">
        <v>3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148</v>
      </c>
      <c r="Z430" t="n">
        <v>100</v>
      </c>
      <c r="AA430" t="n">
        <v>61</v>
      </c>
      <c r="AB430" t="n">
        <v>1</v>
      </c>
      <c r="AC430" t="n">
        <v>4</v>
      </c>
      <c r="AD430" t="n">
        <v>2</v>
      </c>
      <c r="AE430" t="n">
        <v>2</v>
      </c>
      <c r="AF430" t="n">
        <v>5</v>
      </c>
      <c r="AG430" t="n">
        <v>5</v>
      </c>
      <c r="AH430" t="n">
        <v>23</v>
      </c>
      <c r="AI430" t="n">
        <v>21</v>
      </c>
      <c r="AJ430" t="n">
        <v>37</v>
      </c>
      <c r="AK430" t="n">
        <v>54</v>
      </c>
      <c r="AL430" t="n">
        <v>0</v>
      </c>
      <c r="AM430" t="n">
        <v>6</v>
      </c>
      <c r="AN430" t="n">
        <v>0</v>
      </c>
      <c r="AO430" t="n">
        <v>0</v>
      </c>
      <c r="AP430" t="n">
        <v>5</v>
      </c>
      <c r="AQ430" t="n">
        <v>23</v>
      </c>
      <c r="AR430" t="n">
        <v>31</v>
      </c>
      <c r="AS430" t="n">
        <v>12</v>
      </c>
      <c r="AT430" t="n">
        <v>4</v>
      </c>
      <c r="AU430" t="n">
        <v>2</v>
      </c>
      <c r="AV430" t="n">
        <v>42</v>
      </c>
      <c r="AW430" t="n">
        <v>13</v>
      </c>
      <c r="AX430" t="n">
        <v>0</v>
      </c>
      <c r="AY430" t="n">
        <v>20</v>
      </c>
      <c r="AZ430" t="n">
        <v>4</v>
      </c>
      <c r="BA430" t="n">
        <v>5</v>
      </c>
      <c r="BB430" t="n">
        <v>62</v>
      </c>
      <c r="BC430" t="n">
        <v>2</v>
      </c>
      <c r="BD430" t="n">
        <v>23</v>
      </c>
      <c r="BE430" t="n">
        <v>14</v>
      </c>
      <c r="BF430" t="n">
        <v>29</v>
      </c>
      <c r="BG430" t="n">
        <v>0</v>
      </c>
      <c r="BH430" t="n">
        <v>0</v>
      </c>
      <c r="BI430" t="n">
        <v>7</v>
      </c>
      <c r="BJ430" t="n">
        <v>4</v>
      </c>
      <c r="BK430" t="n">
        <v>0</v>
      </c>
      <c r="BL430" t="n">
        <v>1</v>
      </c>
      <c r="BM430" t="n">
        <v>18</v>
      </c>
      <c r="BN430" t="n">
        <v>10</v>
      </c>
      <c r="BO430" t="n">
        <v>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269</v>
      </c>
      <c r="Z431" t="n">
        <v>116</v>
      </c>
      <c r="AA431" t="n">
        <v>60</v>
      </c>
      <c r="AB431" t="n">
        <v>0</v>
      </c>
      <c r="AC431" t="n">
        <v>1</v>
      </c>
      <c r="AD431" t="n">
        <v>1</v>
      </c>
      <c r="AE431" t="n">
        <v>6</v>
      </c>
      <c r="AF431" t="n">
        <v>2</v>
      </c>
      <c r="AG431" t="n">
        <v>5</v>
      </c>
      <c r="AH431" t="n">
        <v>46</v>
      </c>
      <c r="AI431" t="n">
        <v>44</v>
      </c>
      <c r="AJ431" t="n">
        <v>53</v>
      </c>
      <c r="AK431" t="n">
        <v>84</v>
      </c>
      <c r="AL431" t="n">
        <v>4</v>
      </c>
      <c r="AM431" t="n">
        <v>43</v>
      </c>
      <c r="AN431" t="n">
        <v>0</v>
      </c>
      <c r="AO431" t="n">
        <v>0</v>
      </c>
      <c r="AP431" t="n">
        <v>0</v>
      </c>
      <c r="AQ431" t="n">
        <v>1</v>
      </c>
      <c r="AR431" t="n">
        <v>24</v>
      </c>
      <c r="AS431" t="n">
        <v>21</v>
      </c>
      <c r="AT431" t="n">
        <v>9</v>
      </c>
      <c r="AU431" t="n">
        <v>2</v>
      </c>
      <c r="AV431" t="n">
        <v>60</v>
      </c>
      <c r="AW431" t="n">
        <v>10</v>
      </c>
      <c r="AX431" t="n">
        <v>0</v>
      </c>
      <c r="AY431" t="n">
        <v>52</v>
      </c>
      <c r="AZ431" t="n">
        <v>0</v>
      </c>
      <c r="BA431" t="n">
        <v>1</v>
      </c>
      <c r="BB431" t="n">
        <v>58</v>
      </c>
      <c r="BC431" t="n">
        <v>39</v>
      </c>
      <c r="BD431" t="n">
        <v>42</v>
      </c>
      <c r="BE431" t="n">
        <v>12</v>
      </c>
      <c r="BF431" t="n">
        <v>44</v>
      </c>
      <c r="BG431" t="n">
        <v>1</v>
      </c>
      <c r="BH431" t="n">
        <v>19</v>
      </c>
      <c r="BI431" t="n">
        <v>6</v>
      </c>
      <c r="BJ431" t="n">
        <v>14</v>
      </c>
      <c r="BK431" t="n">
        <v>0</v>
      </c>
      <c r="BL431" t="n">
        <v>2</v>
      </c>
      <c r="BM431" t="n">
        <v>0</v>
      </c>
      <c r="BN431" t="n">
        <v>0</v>
      </c>
      <c r="BO431" t="n">
        <v>18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2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223</v>
      </c>
      <c r="Z432" t="n">
        <v>98</v>
      </c>
      <c r="AA432" t="n">
        <v>18</v>
      </c>
      <c r="AB432" t="n">
        <v>2</v>
      </c>
      <c r="AC432" t="n">
        <v>1</v>
      </c>
      <c r="AD432" t="n">
        <v>11</v>
      </c>
      <c r="AE432" t="n">
        <v>3</v>
      </c>
      <c r="AF432" t="n">
        <v>0</v>
      </c>
      <c r="AG432" t="n">
        <v>2</v>
      </c>
      <c r="AH432" t="n">
        <v>101</v>
      </c>
      <c r="AI432" t="n">
        <v>25</v>
      </c>
      <c r="AJ432" t="n">
        <v>13</v>
      </c>
      <c r="AK432" t="n">
        <v>1</v>
      </c>
      <c r="AL432" t="n">
        <v>3</v>
      </c>
      <c r="AM432" t="n">
        <v>3</v>
      </c>
      <c r="AN432" t="n">
        <v>0</v>
      </c>
      <c r="AO432" t="n">
        <v>0</v>
      </c>
      <c r="AP432" t="n">
        <v>5</v>
      </c>
      <c r="AQ432" t="n">
        <v>23</v>
      </c>
      <c r="AR432" t="n">
        <v>77</v>
      </c>
      <c r="AS432" t="n">
        <v>58</v>
      </c>
      <c r="AT432" t="n">
        <v>5</v>
      </c>
      <c r="AU432" t="n">
        <v>2</v>
      </c>
      <c r="AV432" t="n">
        <v>27</v>
      </c>
      <c r="AW432" t="n">
        <v>18</v>
      </c>
      <c r="AX432" t="n">
        <v>1</v>
      </c>
      <c r="AY432" t="n">
        <v>87</v>
      </c>
      <c r="AZ432" t="n">
        <v>0</v>
      </c>
      <c r="BA432" t="n">
        <v>1</v>
      </c>
      <c r="BB432" t="n">
        <v>18</v>
      </c>
      <c r="BC432" t="n">
        <v>10</v>
      </c>
      <c r="BD432" t="n">
        <v>91</v>
      </c>
      <c r="BE432" t="n">
        <v>45</v>
      </c>
      <c r="BF432" t="n">
        <v>21</v>
      </c>
      <c r="BG432" t="n">
        <v>1</v>
      </c>
      <c r="BH432" t="n">
        <v>12</v>
      </c>
      <c r="BI432" t="n">
        <v>1</v>
      </c>
      <c r="BJ432" t="n">
        <v>8</v>
      </c>
      <c r="BK432" t="n">
        <v>0</v>
      </c>
      <c r="BL432" t="n">
        <v>1</v>
      </c>
      <c r="BM432" t="n">
        <v>17</v>
      </c>
      <c r="BN432" t="n">
        <v>10</v>
      </c>
      <c r="BO432" t="n">
        <v>2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189</v>
      </c>
      <c r="Z433" t="n">
        <v>215</v>
      </c>
      <c r="AA433" t="n">
        <v>33</v>
      </c>
      <c r="AB433" t="n">
        <v>0</v>
      </c>
      <c r="AC433" t="n">
        <v>1</v>
      </c>
      <c r="AD433" t="n">
        <v>3</v>
      </c>
      <c r="AE433" t="n">
        <v>1</v>
      </c>
      <c r="AF433" t="n">
        <v>5</v>
      </c>
      <c r="AG433" t="n">
        <v>0</v>
      </c>
      <c r="AH433" t="n">
        <v>29</v>
      </c>
      <c r="AI433" t="n">
        <v>8</v>
      </c>
      <c r="AJ433" t="n">
        <v>32</v>
      </c>
      <c r="AK433" t="n">
        <v>12</v>
      </c>
      <c r="AL433" t="n">
        <v>5</v>
      </c>
      <c r="AM433" t="n">
        <v>139</v>
      </c>
      <c r="AN433" t="n">
        <v>0</v>
      </c>
      <c r="AO433" t="n">
        <v>0</v>
      </c>
      <c r="AP433" t="n">
        <v>6</v>
      </c>
      <c r="AQ433" t="n">
        <v>38</v>
      </c>
      <c r="AR433" t="n">
        <v>130</v>
      </c>
      <c r="AS433" t="n">
        <v>97</v>
      </c>
      <c r="AT433" t="n">
        <v>1</v>
      </c>
      <c r="AU433" t="n">
        <v>0</v>
      </c>
      <c r="AV433" t="n">
        <v>1</v>
      </c>
      <c r="AW433" t="n">
        <v>8</v>
      </c>
      <c r="AX433" t="n">
        <v>0</v>
      </c>
      <c r="AY433" t="n">
        <v>56</v>
      </c>
      <c r="AZ433" t="n">
        <v>1</v>
      </c>
      <c r="BA433" t="n">
        <v>8</v>
      </c>
      <c r="BB433" t="n">
        <v>39</v>
      </c>
      <c r="BC433" t="n">
        <v>126</v>
      </c>
      <c r="BD433" t="n">
        <v>59</v>
      </c>
      <c r="BE433" t="n">
        <v>13</v>
      </c>
      <c r="BF433" t="n">
        <v>26</v>
      </c>
      <c r="BG433" t="n">
        <v>4</v>
      </c>
      <c r="BH433" t="n">
        <v>28</v>
      </c>
      <c r="BI433" t="n">
        <v>14</v>
      </c>
      <c r="BJ433" t="n">
        <v>12</v>
      </c>
      <c r="BK433" t="n">
        <v>1</v>
      </c>
      <c r="BL433" t="n">
        <v>9</v>
      </c>
      <c r="BM433" t="n">
        <v>16</v>
      </c>
      <c r="BN433" t="n">
        <v>7</v>
      </c>
      <c r="BO433" t="n">
        <v>25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174</v>
      </c>
      <c r="Z434" t="n">
        <v>279</v>
      </c>
      <c r="AA434" t="n">
        <v>144</v>
      </c>
      <c r="AB434" t="n">
        <v>3</v>
      </c>
      <c r="AC434" t="n">
        <v>1</v>
      </c>
      <c r="AD434" t="n">
        <v>7</v>
      </c>
      <c r="AE434" t="n">
        <v>10</v>
      </c>
      <c r="AF434" t="n">
        <v>2</v>
      </c>
      <c r="AG434" t="n">
        <v>2</v>
      </c>
      <c r="AH434" t="n">
        <v>71</v>
      </c>
      <c r="AI434" t="n">
        <v>167</v>
      </c>
      <c r="AJ434" t="n">
        <v>11</v>
      </c>
      <c r="AK434" t="n">
        <v>24</v>
      </c>
      <c r="AL434" t="n">
        <v>2</v>
      </c>
      <c r="AM434" t="n">
        <v>37</v>
      </c>
      <c r="AN434" t="n">
        <v>0</v>
      </c>
      <c r="AO434" t="n">
        <v>0</v>
      </c>
      <c r="AP434" t="n">
        <v>5</v>
      </c>
      <c r="AQ434" t="n">
        <v>30</v>
      </c>
      <c r="AR434" t="n">
        <v>81</v>
      </c>
      <c r="AS434" t="n">
        <v>56</v>
      </c>
      <c r="AT434" t="n">
        <v>3</v>
      </c>
      <c r="AU434" t="n">
        <v>2</v>
      </c>
      <c r="AV434" t="n">
        <v>15</v>
      </c>
      <c r="AW434" t="n">
        <v>24</v>
      </c>
      <c r="AX434" t="n">
        <v>0</v>
      </c>
      <c r="AY434" t="n">
        <v>37</v>
      </c>
      <c r="AZ434" t="n">
        <v>4</v>
      </c>
      <c r="BA434" t="n">
        <v>12</v>
      </c>
      <c r="BB434" t="n">
        <v>142</v>
      </c>
      <c r="BC434" t="n">
        <v>31</v>
      </c>
      <c r="BD434" t="n">
        <v>68</v>
      </c>
      <c r="BE434" t="n">
        <v>24</v>
      </c>
      <c r="BF434" t="n">
        <v>9</v>
      </c>
      <c r="BG434" t="n">
        <v>1</v>
      </c>
      <c r="BH434" t="n">
        <v>9</v>
      </c>
      <c r="BI434" t="n">
        <v>1</v>
      </c>
      <c r="BJ434" t="n">
        <v>5</v>
      </c>
      <c r="BK434" t="n">
        <v>2</v>
      </c>
      <c r="BL434" t="n">
        <v>7</v>
      </c>
      <c r="BM434" t="n">
        <v>13</v>
      </c>
      <c r="BN434" t="n">
        <v>6</v>
      </c>
      <c r="BO434" t="n">
        <v>56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287</v>
      </c>
      <c r="Z435" t="n">
        <v>141</v>
      </c>
      <c r="AA435" t="n">
        <v>150</v>
      </c>
      <c r="AB435" t="n">
        <v>1</v>
      </c>
      <c r="AC435" t="n">
        <v>2</v>
      </c>
      <c r="AD435" t="n">
        <v>3</v>
      </c>
      <c r="AE435" t="n">
        <v>6</v>
      </c>
      <c r="AF435" t="n">
        <v>2</v>
      </c>
      <c r="AG435" t="n">
        <v>5</v>
      </c>
      <c r="AH435" t="n">
        <v>50</v>
      </c>
      <c r="AI435" t="n">
        <v>105</v>
      </c>
      <c r="AJ435" t="n">
        <v>14</v>
      </c>
      <c r="AK435" t="n">
        <v>45</v>
      </c>
      <c r="AL435" t="n">
        <v>1</v>
      </c>
      <c r="AM435" t="n">
        <v>5</v>
      </c>
      <c r="AN435" t="n">
        <v>0</v>
      </c>
      <c r="AO435" t="n">
        <v>0</v>
      </c>
      <c r="AP435" t="n">
        <v>2</v>
      </c>
      <c r="AQ435" t="n">
        <v>16</v>
      </c>
      <c r="AR435" t="n">
        <v>61</v>
      </c>
      <c r="AS435" t="n">
        <v>47</v>
      </c>
      <c r="AT435" t="n">
        <v>1</v>
      </c>
      <c r="AU435" t="n">
        <v>1</v>
      </c>
      <c r="AV435" t="n">
        <v>1</v>
      </c>
      <c r="AW435" t="n">
        <v>5</v>
      </c>
      <c r="AX435" t="n">
        <v>3</v>
      </c>
      <c r="AY435" t="n">
        <v>74</v>
      </c>
      <c r="AZ435" t="n">
        <v>4</v>
      </c>
      <c r="BA435" t="n">
        <v>16</v>
      </c>
      <c r="BB435" t="n">
        <v>149</v>
      </c>
      <c r="BC435" t="n">
        <v>2</v>
      </c>
      <c r="BD435" t="n">
        <v>48</v>
      </c>
      <c r="BE435" t="n">
        <v>4</v>
      </c>
      <c r="BF435" t="n">
        <v>11</v>
      </c>
      <c r="BG435" t="n">
        <v>5</v>
      </c>
      <c r="BH435" t="n">
        <v>7</v>
      </c>
      <c r="BI435" t="n">
        <v>45</v>
      </c>
      <c r="BJ435" t="n">
        <v>42</v>
      </c>
      <c r="BK435" t="n">
        <v>2</v>
      </c>
      <c r="BL435" t="n">
        <v>1</v>
      </c>
      <c r="BM435" t="n">
        <v>0</v>
      </c>
      <c r="BN435" t="n">
        <v>0</v>
      </c>
      <c r="BO435" t="n">
        <v>18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2</v>
      </c>
      <c r="F436" t="n">
        <v>2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2</v>
      </c>
      <c r="U436" t="n">
        <v>0</v>
      </c>
      <c r="V436" t="n">
        <v>0</v>
      </c>
      <c r="W436" t="n">
        <v>1</v>
      </c>
      <c r="X436" t="n">
        <v>0</v>
      </c>
      <c r="Y436" t="n">
        <v>376</v>
      </c>
      <c r="Z436" t="n">
        <v>201</v>
      </c>
      <c r="AA436" t="n">
        <v>60</v>
      </c>
      <c r="AB436" t="n">
        <v>3</v>
      </c>
      <c r="AC436" t="n">
        <v>2</v>
      </c>
      <c r="AD436" t="n">
        <v>8</v>
      </c>
      <c r="AE436" t="n">
        <v>3</v>
      </c>
      <c r="AF436" t="n">
        <v>6</v>
      </c>
      <c r="AG436" t="n">
        <v>2</v>
      </c>
      <c r="AH436" t="n">
        <v>86</v>
      </c>
      <c r="AI436" t="n">
        <v>19</v>
      </c>
      <c r="AJ436" t="n">
        <v>101</v>
      </c>
      <c r="AK436" t="n">
        <v>10</v>
      </c>
      <c r="AL436" t="n">
        <v>9</v>
      </c>
      <c r="AM436" t="n">
        <v>107</v>
      </c>
      <c r="AN436" t="n">
        <v>0</v>
      </c>
      <c r="AO436" t="n">
        <v>0</v>
      </c>
      <c r="AP436" t="n">
        <v>5</v>
      </c>
      <c r="AQ436" t="n">
        <v>12</v>
      </c>
      <c r="AR436" t="n">
        <v>87</v>
      </c>
      <c r="AS436" t="n">
        <v>75</v>
      </c>
      <c r="AT436" t="n">
        <v>4</v>
      </c>
      <c r="AU436" t="n">
        <v>3</v>
      </c>
      <c r="AV436" t="n">
        <v>50</v>
      </c>
      <c r="AW436" t="n">
        <v>18</v>
      </c>
      <c r="AX436" t="n">
        <v>0</v>
      </c>
      <c r="AY436" t="n">
        <v>6</v>
      </c>
      <c r="AZ436" t="n">
        <v>2</v>
      </c>
      <c r="BA436" t="n">
        <v>1</v>
      </c>
      <c r="BB436" t="n">
        <v>58</v>
      </c>
      <c r="BC436" t="n">
        <v>89</v>
      </c>
      <c r="BD436" t="n">
        <v>76</v>
      </c>
      <c r="BE436" t="n">
        <v>24</v>
      </c>
      <c r="BF436" t="n">
        <v>84</v>
      </c>
      <c r="BG436" t="n">
        <v>5</v>
      </c>
      <c r="BH436" t="n">
        <v>20</v>
      </c>
      <c r="BI436" t="n">
        <v>81</v>
      </c>
      <c r="BJ436" t="n">
        <v>75</v>
      </c>
      <c r="BK436" t="n">
        <v>5</v>
      </c>
      <c r="BL436" t="n">
        <v>20</v>
      </c>
      <c r="BM436" t="n">
        <v>17</v>
      </c>
      <c r="BN436" t="n">
        <v>3</v>
      </c>
      <c r="BO436" t="n">
        <v>96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2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2</v>
      </c>
      <c r="W437" t="n">
        <v>0</v>
      </c>
      <c r="X437" t="n">
        <v>0</v>
      </c>
      <c r="Y437" t="n">
        <v>185</v>
      </c>
      <c r="Z437" t="n">
        <v>216</v>
      </c>
      <c r="AA437" t="n">
        <v>53</v>
      </c>
      <c r="AB437" t="n">
        <v>2</v>
      </c>
      <c r="AC437" t="n">
        <v>2</v>
      </c>
      <c r="AD437" t="n">
        <v>2</v>
      </c>
      <c r="AE437" t="n">
        <v>4</v>
      </c>
      <c r="AF437" t="n">
        <v>1</v>
      </c>
      <c r="AG437" t="n">
        <v>1</v>
      </c>
      <c r="AH437" t="n">
        <v>22</v>
      </c>
      <c r="AI437" t="n">
        <v>32</v>
      </c>
      <c r="AJ437" t="n">
        <v>21</v>
      </c>
      <c r="AK437" t="n">
        <v>1</v>
      </c>
      <c r="AL437" t="n">
        <v>7</v>
      </c>
      <c r="AM437" t="n">
        <v>85</v>
      </c>
      <c r="AN437" t="n">
        <v>0</v>
      </c>
      <c r="AO437" t="n">
        <v>0</v>
      </c>
      <c r="AP437" t="n">
        <v>9</v>
      </c>
      <c r="AQ437" t="n">
        <v>102</v>
      </c>
      <c r="AR437" t="n">
        <v>221</v>
      </c>
      <c r="AS437" t="n">
        <v>133</v>
      </c>
      <c r="AT437" t="n">
        <v>1</v>
      </c>
      <c r="AU437" t="n">
        <v>0</v>
      </c>
      <c r="AV437" t="n">
        <v>24</v>
      </c>
      <c r="AW437" t="n">
        <v>33</v>
      </c>
      <c r="AX437" t="n">
        <v>0</v>
      </c>
      <c r="AY437" t="n">
        <v>25</v>
      </c>
      <c r="AZ437" t="n">
        <v>0</v>
      </c>
      <c r="BA437" t="n">
        <v>1</v>
      </c>
      <c r="BB437" t="n">
        <v>53</v>
      </c>
      <c r="BC437" t="n">
        <v>74</v>
      </c>
      <c r="BD437" t="n">
        <v>14</v>
      </c>
      <c r="BE437" t="n">
        <v>34</v>
      </c>
      <c r="BF437" t="n">
        <v>25</v>
      </c>
      <c r="BG437" t="n">
        <v>4</v>
      </c>
      <c r="BH437" t="n">
        <v>8</v>
      </c>
      <c r="BI437" t="n">
        <v>19</v>
      </c>
      <c r="BJ437" t="n">
        <v>16</v>
      </c>
      <c r="BK437" t="n">
        <v>3</v>
      </c>
      <c r="BL437" t="n">
        <v>1</v>
      </c>
      <c r="BM437" t="n">
        <v>13</v>
      </c>
      <c r="BN437" t="n">
        <v>7</v>
      </c>
      <c r="BO437" t="n">
        <v>4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2</v>
      </c>
      <c r="X438" t="n">
        <v>0</v>
      </c>
      <c r="Y438" t="n">
        <v>251</v>
      </c>
      <c r="Z438" t="n">
        <v>194</v>
      </c>
      <c r="AA438" t="n">
        <v>59</v>
      </c>
      <c r="AB438" t="n">
        <v>2</v>
      </c>
      <c r="AC438" t="n">
        <v>2</v>
      </c>
      <c r="AD438" t="n">
        <v>6</v>
      </c>
      <c r="AE438" t="n">
        <v>7</v>
      </c>
      <c r="AF438" t="n">
        <v>2</v>
      </c>
      <c r="AG438" t="n">
        <v>3</v>
      </c>
      <c r="AH438" t="n">
        <v>49</v>
      </c>
      <c r="AI438" t="n">
        <v>60</v>
      </c>
      <c r="AJ438" t="n">
        <v>10</v>
      </c>
      <c r="AK438" t="n">
        <v>39</v>
      </c>
      <c r="AL438" t="n">
        <v>3</v>
      </c>
      <c r="AM438" t="n">
        <v>98</v>
      </c>
      <c r="AN438" t="n">
        <v>0</v>
      </c>
      <c r="AO438" t="n">
        <v>0</v>
      </c>
      <c r="AP438" t="n">
        <v>7</v>
      </c>
      <c r="AQ438" t="n">
        <v>39</v>
      </c>
      <c r="AR438" t="n">
        <v>79</v>
      </c>
      <c r="AS438" t="n">
        <v>46</v>
      </c>
      <c r="AT438" t="n">
        <v>1</v>
      </c>
      <c r="AU438" t="n">
        <v>1</v>
      </c>
      <c r="AV438" t="n">
        <v>15</v>
      </c>
      <c r="AW438" t="n">
        <v>6</v>
      </c>
      <c r="AX438" t="n">
        <v>7</v>
      </c>
      <c r="AY438" t="n">
        <v>41</v>
      </c>
      <c r="AZ438" t="n">
        <v>4</v>
      </c>
      <c r="BA438" t="n">
        <v>18</v>
      </c>
      <c r="BB438" t="n">
        <v>74</v>
      </c>
      <c r="BC438" t="n">
        <v>92</v>
      </c>
      <c r="BD438" t="n">
        <v>44</v>
      </c>
      <c r="BE438" t="n">
        <v>7</v>
      </c>
      <c r="BF438" t="n">
        <v>21</v>
      </c>
      <c r="BG438" t="n">
        <v>5</v>
      </c>
      <c r="BH438" t="n">
        <v>0</v>
      </c>
      <c r="BI438" t="n">
        <v>82</v>
      </c>
      <c r="BJ438" t="n">
        <v>76</v>
      </c>
      <c r="BK438" t="n">
        <v>0</v>
      </c>
      <c r="BL438" t="n">
        <v>1</v>
      </c>
      <c r="BM438" t="n">
        <v>12</v>
      </c>
      <c r="BN438" t="n">
        <v>7</v>
      </c>
      <c r="BO438" t="n">
        <v>14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238</v>
      </c>
      <c r="Z439" t="n">
        <v>209</v>
      </c>
      <c r="AA439" t="n">
        <v>70</v>
      </c>
      <c r="AB439" t="n">
        <v>2</v>
      </c>
      <c r="AC439" t="n">
        <v>0</v>
      </c>
      <c r="AD439" t="n">
        <v>3</v>
      </c>
      <c r="AE439" t="n">
        <v>10</v>
      </c>
      <c r="AF439" t="n">
        <v>2</v>
      </c>
      <c r="AG439" t="n">
        <v>2</v>
      </c>
      <c r="AH439" t="n">
        <v>26</v>
      </c>
      <c r="AI439" t="n">
        <v>75</v>
      </c>
      <c r="AJ439" t="n">
        <v>47</v>
      </c>
      <c r="AK439" t="n">
        <v>1</v>
      </c>
      <c r="AL439" t="n">
        <v>1</v>
      </c>
      <c r="AM439" t="n">
        <v>11</v>
      </c>
      <c r="AN439" t="n">
        <v>0</v>
      </c>
      <c r="AO439" t="n">
        <v>0</v>
      </c>
      <c r="AP439" t="n">
        <v>8</v>
      </c>
      <c r="AQ439" t="n">
        <v>82</v>
      </c>
      <c r="AR439" t="n">
        <v>85</v>
      </c>
      <c r="AS439" t="n">
        <v>12</v>
      </c>
      <c r="AT439" t="n">
        <v>0</v>
      </c>
      <c r="AU439" t="n">
        <v>1</v>
      </c>
      <c r="AV439" t="n">
        <v>11</v>
      </c>
      <c r="AW439" t="n">
        <v>5</v>
      </c>
      <c r="AX439" t="n">
        <v>8</v>
      </c>
      <c r="AY439" t="n">
        <v>11</v>
      </c>
      <c r="AZ439" t="n">
        <v>4</v>
      </c>
      <c r="BA439" t="n">
        <v>22</v>
      </c>
      <c r="BB439" t="n">
        <v>89</v>
      </c>
      <c r="BC439" t="n">
        <v>23</v>
      </c>
      <c r="BD439" t="n">
        <v>24</v>
      </c>
      <c r="BE439" t="n">
        <v>4</v>
      </c>
      <c r="BF439" t="n">
        <v>37</v>
      </c>
      <c r="BG439" t="n">
        <v>2</v>
      </c>
      <c r="BH439" t="n">
        <v>25</v>
      </c>
      <c r="BI439" t="n">
        <v>11</v>
      </c>
      <c r="BJ439" t="n">
        <v>17</v>
      </c>
      <c r="BK439" t="n">
        <v>3</v>
      </c>
      <c r="BL439" t="n">
        <v>82</v>
      </c>
      <c r="BM439" t="n">
        <v>64</v>
      </c>
      <c r="BN439" t="n">
        <v>8</v>
      </c>
      <c r="BO439" t="n">
        <v>2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2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248</v>
      </c>
      <c r="Z440" t="n">
        <v>287</v>
      </c>
      <c r="AA440" t="n">
        <v>73</v>
      </c>
      <c r="AB440" t="n">
        <v>1</v>
      </c>
      <c r="AC440" t="n">
        <v>2</v>
      </c>
      <c r="AD440" t="n">
        <v>9</v>
      </c>
      <c r="AE440" t="n">
        <v>1</v>
      </c>
      <c r="AF440" t="n">
        <v>1</v>
      </c>
      <c r="AG440" t="n">
        <v>3</v>
      </c>
      <c r="AH440" t="n">
        <v>138</v>
      </c>
      <c r="AI440" t="n">
        <v>2</v>
      </c>
      <c r="AJ440" t="n">
        <v>2</v>
      </c>
      <c r="AK440" t="n">
        <v>25</v>
      </c>
      <c r="AL440" t="n">
        <v>6</v>
      </c>
      <c r="AM440" t="n">
        <v>92</v>
      </c>
      <c r="AN440" t="n">
        <v>0</v>
      </c>
      <c r="AO440" t="n">
        <v>0</v>
      </c>
      <c r="AP440" t="n">
        <v>3</v>
      </c>
      <c r="AQ440" t="n">
        <v>24</v>
      </c>
      <c r="AR440" t="n">
        <v>102</v>
      </c>
      <c r="AS440" t="n">
        <v>82</v>
      </c>
      <c r="AT440" t="n">
        <v>4</v>
      </c>
      <c r="AU440" t="n">
        <v>1</v>
      </c>
      <c r="AV440" t="n">
        <v>27</v>
      </c>
      <c r="AW440" t="n">
        <v>39</v>
      </c>
      <c r="AX440" t="n">
        <v>0</v>
      </c>
      <c r="AY440" t="n">
        <v>19</v>
      </c>
      <c r="AZ440" t="n">
        <v>5</v>
      </c>
      <c r="BA440" t="n">
        <v>41</v>
      </c>
      <c r="BB440" t="n">
        <v>114</v>
      </c>
      <c r="BC440" t="n">
        <v>85</v>
      </c>
      <c r="BD440" t="n">
        <v>126</v>
      </c>
      <c r="BE440" t="n">
        <v>38</v>
      </c>
      <c r="BF440" t="n">
        <v>3</v>
      </c>
      <c r="BG440" t="n">
        <v>2</v>
      </c>
      <c r="BH440" t="n">
        <v>14</v>
      </c>
      <c r="BI440" t="n">
        <v>-1</v>
      </c>
      <c r="BJ440" t="n">
        <v>0</v>
      </c>
      <c r="BK440" t="n">
        <v>3</v>
      </c>
      <c r="BL440" t="n">
        <v>53</v>
      </c>
      <c r="BM440" t="n">
        <v>92</v>
      </c>
      <c r="BN440" t="n">
        <v>41</v>
      </c>
      <c r="BO440" t="n">
        <v>2</v>
      </c>
    </row>
    <row r="441">
      <c r="A441" t="n">
        <v>0</v>
      </c>
      <c r="B441" t="n">
        <v>2</v>
      </c>
      <c r="C441" t="n">
        <v>0</v>
      </c>
      <c r="D441" t="n">
        <v>0</v>
      </c>
      <c r="E441" t="n">
        <v>0</v>
      </c>
      <c r="F441" t="n">
        <v>1</v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245</v>
      </c>
      <c r="Z441" t="n">
        <v>265</v>
      </c>
      <c r="AA441" t="n">
        <v>56</v>
      </c>
      <c r="AB441" t="n">
        <v>1</v>
      </c>
      <c r="AC441" t="n">
        <v>0</v>
      </c>
      <c r="AD441" t="n">
        <v>1</v>
      </c>
      <c r="AE441" t="n">
        <v>8</v>
      </c>
      <c r="AF441" t="n">
        <v>3</v>
      </c>
      <c r="AG441" t="n">
        <v>1</v>
      </c>
      <c r="AH441" t="n">
        <v>74</v>
      </c>
      <c r="AI441" t="n">
        <v>74</v>
      </c>
      <c r="AJ441" t="n">
        <v>19</v>
      </c>
      <c r="AK441" t="n">
        <v>1</v>
      </c>
      <c r="AL441" t="n">
        <v>4</v>
      </c>
      <c r="AM441" t="n">
        <v>44</v>
      </c>
      <c r="AN441" t="n">
        <v>0</v>
      </c>
      <c r="AO441" t="n">
        <v>0</v>
      </c>
      <c r="AP441" t="n">
        <v>4</v>
      </c>
      <c r="AQ441" t="n">
        <v>47</v>
      </c>
      <c r="AR441" t="n">
        <v>126</v>
      </c>
      <c r="AS441" t="n">
        <v>86</v>
      </c>
      <c r="AT441" t="n">
        <v>2</v>
      </c>
      <c r="AU441" t="n">
        <v>2</v>
      </c>
      <c r="AV441" t="n">
        <v>24</v>
      </c>
      <c r="AW441" t="n">
        <v>25</v>
      </c>
      <c r="AX441" t="n">
        <v>1</v>
      </c>
      <c r="AY441" t="n">
        <v>37</v>
      </c>
      <c r="AZ441" t="n">
        <v>2</v>
      </c>
      <c r="BA441" t="n">
        <v>1</v>
      </c>
      <c r="BB441" t="n">
        <v>55</v>
      </c>
      <c r="BC441" t="n">
        <v>37</v>
      </c>
      <c r="BD441" t="n">
        <v>71</v>
      </c>
      <c r="BE441" t="n">
        <v>25</v>
      </c>
      <c r="BF441" t="n">
        <v>15</v>
      </c>
      <c r="BG441" t="n">
        <v>4</v>
      </c>
      <c r="BH441" t="n">
        <v>3</v>
      </c>
      <c r="BI441" t="n">
        <v>55</v>
      </c>
      <c r="BJ441" t="n">
        <v>52</v>
      </c>
      <c r="BK441" t="n">
        <v>4</v>
      </c>
      <c r="BL441" t="n">
        <v>25</v>
      </c>
      <c r="BM441" t="n">
        <v>22</v>
      </c>
      <c r="BN441" t="n">
        <v>4</v>
      </c>
      <c r="BO441" t="n">
        <v>23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4</v>
      </c>
      <c r="U442" t="n">
        <v>0</v>
      </c>
      <c r="V442" t="n">
        <v>0</v>
      </c>
      <c r="W442" t="n">
        <v>0</v>
      </c>
      <c r="X442" t="n">
        <v>0</v>
      </c>
      <c r="Y442" t="n">
        <v>200</v>
      </c>
      <c r="Z442" t="n">
        <v>142</v>
      </c>
      <c r="AA442" t="n">
        <v>69</v>
      </c>
      <c r="AB442" t="n">
        <v>0</v>
      </c>
      <c r="AC442" t="n">
        <v>3</v>
      </c>
      <c r="AD442" t="n">
        <v>6</v>
      </c>
      <c r="AE442" t="n">
        <v>0</v>
      </c>
      <c r="AF442" t="n">
        <v>2</v>
      </c>
      <c r="AG442" t="n">
        <v>6</v>
      </c>
      <c r="AH442" t="n">
        <v>55</v>
      </c>
      <c r="AI442" t="n">
        <v>2</v>
      </c>
      <c r="AJ442" t="n">
        <v>15</v>
      </c>
      <c r="AK442" t="n">
        <v>92</v>
      </c>
      <c r="AL442" t="n">
        <v>5</v>
      </c>
      <c r="AM442" t="n">
        <v>90</v>
      </c>
      <c r="AN442" t="n">
        <v>0</v>
      </c>
      <c r="AO442" t="n">
        <v>0</v>
      </c>
      <c r="AP442" t="n">
        <v>3</v>
      </c>
      <c r="AQ442" t="n">
        <v>18</v>
      </c>
      <c r="AR442" t="n">
        <v>33</v>
      </c>
      <c r="AS442" t="n">
        <v>20</v>
      </c>
      <c r="AT442" t="n">
        <v>1</v>
      </c>
      <c r="AU442" t="n">
        <v>0</v>
      </c>
      <c r="AV442" t="n">
        <v>1</v>
      </c>
      <c r="AW442" t="n">
        <v>1</v>
      </c>
      <c r="AX442" t="n">
        <v>3</v>
      </c>
      <c r="AY442" t="n">
        <v>38</v>
      </c>
      <c r="AZ442" t="n">
        <v>4</v>
      </c>
      <c r="BA442" t="n">
        <v>7</v>
      </c>
      <c r="BB442" t="n">
        <v>71</v>
      </c>
      <c r="BC442" t="n">
        <v>74</v>
      </c>
      <c r="BD442" t="n">
        <v>56</v>
      </c>
      <c r="BE442" t="n">
        <v>1</v>
      </c>
      <c r="BF442" t="n">
        <v>12</v>
      </c>
      <c r="BG442" t="n">
        <v>2</v>
      </c>
      <c r="BH442" t="n">
        <v>12</v>
      </c>
      <c r="BI442" t="n">
        <v>1</v>
      </c>
      <c r="BJ442" t="n">
        <v>5</v>
      </c>
      <c r="BK442" t="n">
        <v>3</v>
      </c>
      <c r="BL442" t="n">
        <v>11</v>
      </c>
      <c r="BM442" t="n">
        <v>9</v>
      </c>
      <c r="BN442" t="n">
        <v>1</v>
      </c>
      <c r="BO442" t="n">
        <v>7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2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106</v>
      </c>
      <c r="Z443" t="n">
        <v>113</v>
      </c>
      <c r="AA443" t="n">
        <v>82</v>
      </c>
      <c r="AB443" t="n">
        <v>3</v>
      </c>
      <c r="AC443" t="n">
        <v>0</v>
      </c>
      <c r="AD443" t="n">
        <v>1</v>
      </c>
      <c r="AE443" t="n">
        <v>1</v>
      </c>
      <c r="AF443" t="n">
        <v>3</v>
      </c>
      <c r="AG443" t="n">
        <v>4</v>
      </c>
      <c r="AH443" t="n">
        <v>13</v>
      </c>
      <c r="AI443" t="n">
        <v>20</v>
      </c>
      <c r="AJ443" t="n">
        <v>41</v>
      </c>
      <c r="AK443" t="n">
        <v>32</v>
      </c>
      <c r="AL443" t="n">
        <v>1</v>
      </c>
      <c r="AM443" t="n">
        <v>10</v>
      </c>
      <c r="AN443" t="n">
        <v>0</v>
      </c>
      <c r="AO443" t="n">
        <v>0</v>
      </c>
      <c r="AP443" t="n">
        <v>4</v>
      </c>
      <c r="AQ443" t="n">
        <v>52</v>
      </c>
      <c r="AR443" t="n">
        <v>113</v>
      </c>
      <c r="AS443" t="n">
        <v>69</v>
      </c>
      <c r="AT443" t="n">
        <v>1</v>
      </c>
      <c r="AU443" t="n">
        <v>0</v>
      </c>
      <c r="AV443" t="n">
        <v>1</v>
      </c>
      <c r="AW443" t="n">
        <v>8</v>
      </c>
      <c r="AX443" t="n">
        <v>0</v>
      </c>
      <c r="AY443" t="n">
        <v>50</v>
      </c>
      <c r="AZ443" t="n">
        <v>2</v>
      </c>
      <c r="BA443" t="n">
        <v>12</v>
      </c>
      <c r="BB443" t="n">
        <v>90</v>
      </c>
      <c r="BC443" t="n">
        <v>1</v>
      </c>
      <c r="BD443" t="n">
        <v>26</v>
      </c>
      <c r="BE443" t="n">
        <v>8</v>
      </c>
      <c r="BF443" t="n">
        <v>36</v>
      </c>
      <c r="BG443" t="n">
        <v>1</v>
      </c>
      <c r="BH443" t="n">
        <v>4</v>
      </c>
      <c r="BI443" t="n">
        <v>1</v>
      </c>
      <c r="BJ443" t="n">
        <v>9</v>
      </c>
      <c r="BK443" t="n">
        <v>1</v>
      </c>
      <c r="BL443" t="n">
        <v>9</v>
      </c>
      <c r="BM443" t="n">
        <v>20</v>
      </c>
      <c r="BN443" t="n">
        <v>10</v>
      </c>
      <c r="BO443" t="n">
        <v>-10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</v>
      </c>
      <c r="U444" t="n">
        <v>0</v>
      </c>
      <c r="V444" t="n">
        <v>0</v>
      </c>
      <c r="W444" t="n">
        <v>1</v>
      </c>
      <c r="X444" t="n">
        <v>0</v>
      </c>
      <c r="Y444" t="n">
        <v>212</v>
      </c>
      <c r="Z444" t="n">
        <v>83</v>
      </c>
      <c r="AA444" t="n">
        <v>54</v>
      </c>
      <c r="AB444" t="n">
        <v>1</v>
      </c>
      <c r="AC444" t="n">
        <v>1</v>
      </c>
      <c r="AD444" t="n">
        <v>0</v>
      </c>
      <c r="AE444" t="n">
        <v>2</v>
      </c>
      <c r="AF444" t="n">
        <v>3</v>
      </c>
      <c r="AG444" t="n">
        <v>3</v>
      </c>
      <c r="AH444" t="n">
        <v>5</v>
      </c>
      <c r="AI444" t="n">
        <v>13</v>
      </c>
      <c r="AJ444" t="n">
        <v>32</v>
      </c>
      <c r="AK444" t="n">
        <v>16</v>
      </c>
      <c r="AL444" t="n">
        <v>4</v>
      </c>
      <c r="AM444" t="n">
        <v>18</v>
      </c>
      <c r="AN444" t="n">
        <v>0</v>
      </c>
      <c r="AO444" t="n">
        <v>0</v>
      </c>
      <c r="AP444" t="n">
        <v>4</v>
      </c>
      <c r="AQ444" t="n">
        <v>64</v>
      </c>
      <c r="AR444" t="n">
        <v>82</v>
      </c>
      <c r="AS444" t="n">
        <v>26</v>
      </c>
      <c r="AT444" t="n">
        <v>3</v>
      </c>
      <c r="AU444" t="n">
        <v>1</v>
      </c>
      <c r="AV444" t="n">
        <v>1</v>
      </c>
      <c r="AW444" t="n">
        <v>4</v>
      </c>
      <c r="AX444" t="n">
        <v>0</v>
      </c>
      <c r="AY444" t="n">
        <v>101</v>
      </c>
      <c r="AZ444" t="n">
        <v>3</v>
      </c>
      <c r="BA444" t="n">
        <v>15</v>
      </c>
      <c r="BB444" t="n">
        <v>66</v>
      </c>
      <c r="BC444" t="n">
        <v>26</v>
      </c>
      <c r="BD444" t="n">
        <v>5</v>
      </c>
      <c r="BE444" t="n">
        <v>4</v>
      </c>
      <c r="BF444" t="n">
        <v>39</v>
      </c>
      <c r="BG444" t="n">
        <v>4</v>
      </c>
      <c r="BH444" t="n">
        <v>4</v>
      </c>
      <c r="BI444" t="n">
        <v>93</v>
      </c>
      <c r="BJ444" t="n">
        <v>86</v>
      </c>
      <c r="BK444" t="n">
        <v>0</v>
      </c>
      <c r="BL444" t="n">
        <v>1</v>
      </c>
      <c r="BM444" t="n">
        <v>5</v>
      </c>
      <c r="BN444" t="n">
        <v>2</v>
      </c>
      <c r="BO444" t="n">
        <v>37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171</v>
      </c>
      <c r="Z445" t="n">
        <v>285</v>
      </c>
      <c r="AA445" t="n">
        <v>70</v>
      </c>
      <c r="AB445" t="n">
        <v>0</v>
      </c>
      <c r="AC445" t="n">
        <v>1</v>
      </c>
      <c r="AD445" t="n">
        <v>2</v>
      </c>
      <c r="AE445" t="n">
        <v>5</v>
      </c>
      <c r="AF445" t="n">
        <v>5</v>
      </c>
      <c r="AG445" t="n">
        <v>2</v>
      </c>
      <c r="AH445" t="n">
        <v>2</v>
      </c>
      <c r="AI445" t="n">
        <v>53</v>
      </c>
      <c r="AJ445" t="n">
        <v>66</v>
      </c>
      <c r="AK445" t="n">
        <v>9</v>
      </c>
      <c r="AL445" t="n">
        <v>9</v>
      </c>
      <c r="AM445" t="n">
        <v>127</v>
      </c>
      <c r="AN445" t="n">
        <v>0</v>
      </c>
      <c r="AO445" t="n">
        <v>0</v>
      </c>
      <c r="AP445" t="n">
        <v>3</v>
      </c>
      <c r="AQ445" t="n">
        <v>29</v>
      </c>
      <c r="AR445" t="n">
        <v>101</v>
      </c>
      <c r="AS445" t="n">
        <v>77</v>
      </c>
      <c r="AT445" t="n">
        <v>3</v>
      </c>
      <c r="AU445" t="n">
        <v>2</v>
      </c>
      <c r="AV445" t="n">
        <v>1</v>
      </c>
      <c r="AW445" t="n">
        <v>15</v>
      </c>
      <c r="AX445" t="n">
        <v>0</v>
      </c>
      <c r="AY445" t="n">
        <v>21</v>
      </c>
      <c r="AZ445" t="n">
        <v>5</v>
      </c>
      <c r="BA445" t="n">
        <v>47</v>
      </c>
      <c r="BB445" t="n">
        <v>117</v>
      </c>
      <c r="BC445" t="n">
        <v>105</v>
      </c>
      <c r="BD445" t="n">
        <v>25</v>
      </c>
      <c r="BE445" t="n">
        <v>15</v>
      </c>
      <c r="BF445" t="n">
        <v>55</v>
      </c>
      <c r="BG445" t="n">
        <v>2</v>
      </c>
      <c r="BH445" t="n">
        <v>2</v>
      </c>
      <c r="BI445" t="n">
        <v>24</v>
      </c>
      <c r="BJ445" t="n">
        <v>22</v>
      </c>
      <c r="BK445" t="n">
        <v>2</v>
      </c>
      <c r="BL445" t="n">
        <v>14</v>
      </c>
      <c r="BM445" t="n">
        <v>16</v>
      </c>
      <c r="BN445" t="n">
        <v>5</v>
      </c>
      <c r="BO445" t="n">
        <v>37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173</v>
      </c>
      <c r="Z446" t="n">
        <v>301</v>
      </c>
      <c r="AA446" t="n">
        <v>39</v>
      </c>
      <c r="AB446" t="n">
        <v>2</v>
      </c>
      <c r="AC446" t="n">
        <v>1</v>
      </c>
      <c r="AD446" t="n">
        <v>3</v>
      </c>
      <c r="AE446" t="n">
        <v>5</v>
      </c>
      <c r="AF446" t="n">
        <v>2</v>
      </c>
      <c r="AG446" t="n">
        <v>1</v>
      </c>
      <c r="AH446" t="n">
        <v>40</v>
      </c>
      <c r="AI446" t="n">
        <v>105</v>
      </c>
      <c r="AJ446" t="n">
        <v>21</v>
      </c>
      <c r="AK446" t="n">
        <v>28</v>
      </c>
      <c r="AL446" t="n">
        <v>3</v>
      </c>
      <c r="AM446" t="n">
        <v>33</v>
      </c>
      <c r="AN446" t="n">
        <v>0</v>
      </c>
      <c r="AO446" t="n">
        <v>0</v>
      </c>
      <c r="AP446" t="n">
        <v>0</v>
      </c>
      <c r="AQ446" t="n">
        <v>6</v>
      </c>
      <c r="AR446" t="n">
        <v>109</v>
      </c>
      <c r="AS446" t="n">
        <v>99</v>
      </c>
      <c r="AT446" t="n">
        <v>0</v>
      </c>
      <c r="AU446" t="n">
        <v>2</v>
      </c>
      <c r="AV446" t="n">
        <v>25</v>
      </c>
      <c r="AW446" t="n">
        <v>25</v>
      </c>
      <c r="AX446" t="n">
        <v>0</v>
      </c>
      <c r="AY446" t="n">
        <v>22</v>
      </c>
      <c r="AZ446" t="n">
        <v>4</v>
      </c>
      <c r="BA446" t="n">
        <v>31</v>
      </c>
      <c r="BB446" t="n">
        <v>70</v>
      </c>
      <c r="BC446" t="n">
        <v>39</v>
      </c>
      <c r="BD446" t="n">
        <v>35</v>
      </c>
      <c r="BE446" t="n">
        <v>25</v>
      </c>
      <c r="BF446" t="n">
        <v>28</v>
      </c>
      <c r="BG446" t="n">
        <v>2</v>
      </c>
      <c r="BH446" t="n">
        <v>15</v>
      </c>
      <c r="BI446" t="n">
        <v>15</v>
      </c>
      <c r="BJ446" t="n">
        <v>13</v>
      </c>
      <c r="BK446" t="n">
        <v>10</v>
      </c>
      <c r="BL446" t="n">
        <v>87</v>
      </c>
      <c r="BM446" t="n">
        <v>66</v>
      </c>
      <c r="BN446" t="n">
        <v>7</v>
      </c>
      <c r="BO446" t="n">
        <v>2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177</v>
      </c>
      <c r="Z447" t="n">
        <v>282</v>
      </c>
      <c r="AA447" t="n">
        <v>95</v>
      </c>
      <c r="AB447" t="n">
        <v>2</v>
      </c>
      <c r="AC447" t="n">
        <v>0</v>
      </c>
      <c r="AD447" t="n">
        <v>0</v>
      </c>
      <c r="AE447" t="n">
        <v>10</v>
      </c>
      <c r="AF447" t="n">
        <v>4</v>
      </c>
      <c r="AG447" t="n">
        <v>5</v>
      </c>
      <c r="AH447" t="n">
        <v>3</v>
      </c>
      <c r="AI447" t="n">
        <v>92</v>
      </c>
      <c r="AJ447" t="n">
        <v>28</v>
      </c>
      <c r="AK447" t="n">
        <v>51</v>
      </c>
      <c r="AL447" t="n">
        <v>1</v>
      </c>
      <c r="AM447" t="n">
        <v>16</v>
      </c>
      <c r="AN447" t="n">
        <v>0</v>
      </c>
      <c r="AO447" t="n">
        <v>0</v>
      </c>
      <c r="AP447" t="n">
        <v>4</v>
      </c>
      <c r="AQ447" t="n">
        <v>52</v>
      </c>
      <c r="AR447" t="n">
        <v>158</v>
      </c>
      <c r="AS447" t="n">
        <v>113</v>
      </c>
      <c r="AT447" t="n">
        <v>2</v>
      </c>
      <c r="AU447" t="n">
        <v>2</v>
      </c>
      <c r="AV447" t="n">
        <v>10</v>
      </c>
      <c r="AW447" t="n">
        <v>36</v>
      </c>
      <c r="AX447" t="n">
        <v>11</v>
      </c>
      <c r="AY447" t="n">
        <v>88</v>
      </c>
      <c r="AZ447" t="n">
        <v>2</v>
      </c>
      <c r="BA447" t="n">
        <v>22</v>
      </c>
      <c r="BB447" t="n">
        <v>113</v>
      </c>
      <c r="BC447" t="n">
        <v>12</v>
      </c>
      <c r="BD447" t="n">
        <v>6</v>
      </c>
      <c r="BE447" t="n">
        <v>36</v>
      </c>
      <c r="BF447" t="n">
        <v>31</v>
      </c>
      <c r="BG447" t="n">
        <v>1</v>
      </c>
      <c r="BH447" t="n">
        <v>13</v>
      </c>
      <c r="BI447" t="n">
        <v>30</v>
      </c>
      <c r="BJ447" t="n">
        <v>27</v>
      </c>
      <c r="BK447" t="n">
        <v>6</v>
      </c>
      <c r="BL447" t="n">
        <v>65</v>
      </c>
      <c r="BM447" t="n">
        <v>71</v>
      </c>
      <c r="BN447" t="n">
        <v>20</v>
      </c>
      <c r="BO447" t="n">
        <v>54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2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210</v>
      </c>
      <c r="Z448" t="n">
        <v>146</v>
      </c>
      <c r="AA448" t="n">
        <v>14</v>
      </c>
      <c r="AB448" t="n">
        <v>3</v>
      </c>
      <c r="AC448" t="n">
        <v>0</v>
      </c>
      <c r="AD448" t="n">
        <v>4</v>
      </c>
      <c r="AE448" t="n">
        <v>7</v>
      </c>
      <c r="AF448" t="n">
        <v>9</v>
      </c>
      <c r="AG448" t="n">
        <v>10</v>
      </c>
      <c r="AH448" t="n">
        <v>45</v>
      </c>
      <c r="AI448" t="n">
        <v>12</v>
      </c>
      <c r="AJ448" t="n">
        <v>86</v>
      </c>
      <c r="AK448" t="n">
        <v>38</v>
      </c>
      <c r="AL448" t="n">
        <v>3</v>
      </c>
      <c r="AM448" t="n">
        <v>11</v>
      </c>
      <c r="AN448" t="n">
        <v>0</v>
      </c>
      <c r="AO448" t="n">
        <v>0</v>
      </c>
      <c r="AP448" t="n">
        <v>2</v>
      </c>
      <c r="AQ448" t="n">
        <v>12</v>
      </c>
      <c r="AR448" t="n">
        <v>49</v>
      </c>
      <c r="AS448" t="n">
        <v>38</v>
      </c>
      <c r="AT448" t="n">
        <v>4</v>
      </c>
      <c r="AU448" t="n">
        <v>1</v>
      </c>
      <c r="AV448" t="n">
        <v>53</v>
      </c>
      <c r="AW448" t="n">
        <v>8</v>
      </c>
      <c r="AX448" t="n">
        <v>1</v>
      </c>
      <c r="AY448" t="n">
        <v>8</v>
      </c>
      <c r="AZ448" t="n">
        <v>1</v>
      </c>
      <c r="BA448" t="n">
        <v>15</v>
      </c>
      <c r="BB448" t="n">
        <v>29</v>
      </c>
      <c r="BC448" t="n">
        <v>25</v>
      </c>
      <c r="BD448" t="n">
        <v>66</v>
      </c>
      <c r="BE448" t="n">
        <v>8</v>
      </c>
      <c r="BF448" t="n">
        <v>72</v>
      </c>
      <c r="BG448" t="n">
        <v>1</v>
      </c>
      <c r="BH448" t="n">
        <v>5</v>
      </c>
      <c r="BI448" t="n">
        <v>1</v>
      </c>
      <c r="BJ448" t="n">
        <v>0</v>
      </c>
      <c r="BK448" t="n">
        <v>2</v>
      </c>
      <c r="BL448" t="n">
        <v>19</v>
      </c>
      <c r="BM448" t="n">
        <v>23</v>
      </c>
      <c r="BN448" t="n">
        <v>8</v>
      </c>
      <c r="BO448" t="n">
        <v>21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276</v>
      </c>
      <c r="Z449" t="n">
        <v>201</v>
      </c>
      <c r="AA449" t="n">
        <v>86</v>
      </c>
      <c r="AB449" t="n">
        <v>2</v>
      </c>
      <c r="AC449" t="n">
        <v>0</v>
      </c>
      <c r="AD449" t="n">
        <v>1</v>
      </c>
      <c r="AE449" t="n">
        <v>10</v>
      </c>
      <c r="AF449" t="n">
        <v>0</v>
      </c>
      <c r="AG449" t="n">
        <v>2</v>
      </c>
      <c r="AH449" t="n">
        <v>75</v>
      </c>
      <c r="AI449" t="n">
        <v>63</v>
      </c>
      <c r="AJ449" t="n">
        <v>31</v>
      </c>
      <c r="AK449" t="n">
        <v>1</v>
      </c>
      <c r="AL449" t="n">
        <v>3</v>
      </c>
      <c r="AM449" t="n">
        <v>36</v>
      </c>
      <c r="AN449" t="n">
        <v>0</v>
      </c>
      <c r="AO449" t="n">
        <v>0</v>
      </c>
      <c r="AP449" t="n">
        <v>3</v>
      </c>
      <c r="AQ449" t="n">
        <v>53</v>
      </c>
      <c r="AR449" t="n">
        <v>196</v>
      </c>
      <c r="AS449" t="n">
        <v>149</v>
      </c>
      <c r="AT449" t="n">
        <v>4</v>
      </c>
      <c r="AU449" t="n">
        <v>2</v>
      </c>
      <c r="AV449" t="n">
        <v>49</v>
      </c>
      <c r="AW449" t="n">
        <v>38</v>
      </c>
      <c r="AX449" t="n">
        <v>0</v>
      </c>
      <c r="AY449" t="n">
        <v>13</v>
      </c>
      <c r="AZ449" t="n">
        <v>1</v>
      </c>
      <c r="BA449" t="n">
        <v>7</v>
      </c>
      <c r="BB449" t="n">
        <v>86</v>
      </c>
      <c r="BC449" t="n">
        <v>32</v>
      </c>
      <c r="BD449" t="n">
        <v>67</v>
      </c>
      <c r="BE449" t="n">
        <v>37</v>
      </c>
      <c r="BF449" t="n">
        <v>25</v>
      </c>
      <c r="BG449" t="n">
        <v>4</v>
      </c>
      <c r="BH449" t="n">
        <v>6</v>
      </c>
      <c r="BI449" t="n">
        <v>76</v>
      </c>
      <c r="BJ449" t="n">
        <v>69</v>
      </c>
      <c r="BK449" t="n">
        <v>0</v>
      </c>
      <c r="BL449" t="n">
        <v>1</v>
      </c>
      <c r="BM449" t="n">
        <v>1</v>
      </c>
      <c r="BN449" t="n">
        <v>1</v>
      </c>
      <c r="BO449" t="n">
        <v>2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2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102</v>
      </c>
      <c r="Z450" t="n">
        <v>174</v>
      </c>
      <c r="AA450" t="n">
        <v>84</v>
      </c>
      <c r="AB450" t="n">
        <v>3</v>
      </c>
      <c r="AC450" t="n">
        <v>0</v>
      </c>
      <c r="AD450" t="n">
        <v>3</v>
      </c>
      <c r="AE450" t="n">
        <v>6</v>
      </c>
      <c r="AF450" t="n">
        <v>5</v>
      </c>
      <c r="AG450" t="n">
        <v>3</v>
      </c>
      <c r="AH450" t="n">
        <v>48</v>
      </c>
      <c r="AI450" t="n">
        <v>48</v>
      </c>
      <c r="AJ450" t="n">
        <v>4</v>
      </c>
      <c r="AK450" t="n">
        <v>10</v>
      </c>
      <c r="AL450" t="n">
        <v>4</v>
      </c>
      <c r="AM450" t="n">
        <v>57</v>
      </c>
      <c r="AN450" t="n">
        <v>0</v>
      </c>
      <c r="AO450" t="n">
        <v>0</v>
      </c>
      <c r="AP450" t="n">
        <v>0</v>
      </c>
      <c r="AQ450" t="n">
        <v>1</v>
      </c>
      <c r="AR450" t="n">
        <v>98</v>
      </c>
      <c r="AS450" t="n">
        <v>91</v>
      </c>
      <c r="AT450" t="n">
        <v>0</v>
      </c>
      <c r="AU450" t="n">
        <v>1</v>
      </c>
      <c r="AV450" t="n">
        <v>1</v>
      </c>
      <c r="AW450" t="n">
        <v>4</v>
      </c>
      <c r="AX450" t="n">
        <v>0</v>
      </c>
      <c r="AY450" t="n">
        <v>19</v>
      </c>
      <c r="AZ450" t="n">
        <v>1</v>
      </c>
      <c r="BA450" t="n">
        <v>4</v>
      </c>
      <c r="BB450" t="n">
        <v>81</v>
      </c>
      <c r="BC450" t="n">
        <v>68</v>
      </c>
      <c r="BD450" t="n">
        <v>43</v>
      </c>
      <c r="BE450" t="n">
        <v>5</v>
      </c>
      <c r="BF450" t="n">
        <v>71</v>
      </c>
      <c r="BG450" t="n">
        <v>2</v>
      </c>
      <c r="BH450" t="n">
        <v>4</v>
      </c>
      <c r="BI450" t="n">
        <v>1</v>
      </c>
      <c r="BJ450" t="n">
        <v>1</v>
      </c>
      <c r="BK450" t="n">
        <v>2</v>
      </c>
      <c r="BL450" t="n">
        <v>1</v>
      </c>
      <c r="BM450" t="n">
        <v>4</v>
      </c>
      <c r="BN450" t="n">
        <v>2</v>
      </c>
      <c r="BO450" t="n">
        <v>-10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287</v>
      </c>
      <c r="Z451" t="n">
        <v>148</v>
      </c>
      <c r="AA451" t="n">
        <v>47</v>
      </c>
      <c r="AB451" t="n">
        <v>0</v>
      </c>
      <c r="AC451" t="n">
        <v>0</v>
      </c>
      <c r="AD451" t="n">
        <v>6</v>
      </c>
      <c r="AE451" t="n">
        <v>6</v>
      </c>
      <c r="AF451" t="n">
        <v>5</v>
      </c>
      <c r="AG451" t="n">
        <v>3</v>
      </c>
      <c r="AH451" t="n">
        <v>64</v>
      </c>
      <c r="AI451" t="n">
        <v>51</v>
      </c>
      <c r="AJ451" t="n">
        <v>39</v>
      </c>
      <c r="AK451" t="n">
        <v>22</v>
      </c>
      <c r="AL451" t="n">
        <v>3</v>
      </c>
      <c r="AM451" t="n">
        <v>18</v>
      </c>
      <c r="AN451" t="n">
        <v>0</v>
      </c>
      <c r="AO451" t="n">
        <v>0</v>
      </c>
      <c r="AP451" t="n">
        <v>2</v>
      </c>
      <c r="AQ451" t="n">
        <v>10</v>
      </c>
      <c r="AR451" t="n">
        <v>180</v>
      </c>
      <c r="AS451" t="n">
        <v>164</v>
      </c>
      <c r="AT451" t="n">
        <v>0</v>
      </c>
      <c r="AU451" t="n">
        <v>1</v>
      </c>
      <c r="AV451" t="n">
        <v>1</v>
      </c>
      <c r="AW451" t="n">
        <v>8</v>
      </c>
      <c r="AX451" t="n">
        <v>1</v>
      </c>
      <c r="AY451" t="n">
        <v>4</v>
      </c>
      <c r="AZ451" t="n">
        <v>0</v>
      </c>
      <c r="BA451" t="n">
        <v>22</v>
      </c>
      <c r="BB451" t="n">
        <v>66</v>
      </c>
      <c r="BC451" t="n">
        <v>19</v>
      </c>
      <c r="BD451" t="n">
        <v>57</v>
      </c>
      <c r="BE451" t="n">
        <v>20</v>
      </c>
      <c r="BF451" t="n">
        <v>31</v>
      </c>
      <c r="BG451" t="n">
        <v>1</v>
      </c>
      <c r="BH451" t="n">
        <v>9</v>
      </c>
      <c r="BI451" t="n">
        <v>41</v>
      </c>
      <c r="BJ451" t="n">
        <v>50</v>
      </c>
      <c r="BK451" t="n">
        <v>3</v>
      </c>
      <c r="BL451" t="n">
        <v>38</v>
      </c>
      <c r="BM451" t="n">
        <v>31</v>
      </c>
      <c r="BN451" t="n">
        <v>5</v>
      </c>
      <c r="BO451" t="n">
        <v>18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5</v>
      </c>
      <c r="U452" t="n">
        <v>0</v>
      </c>
      <c r="V452" t="n">
        <v>0</v>
      </c>
      <c r="W452" t="n">
        <v>0</v>
      </c>
      <c r="X452" t="n">
        <v>0</v>
      </c>
      <c r="Y452" t="n">
        <v>137</v>
      </c>
      <c r="Z452" t="n">
        <v>349</v>
      </c>
      <c r="AA452" t="n">
        <v>73</v>
      </c>
      <c r="AB452" t="n">
        <v>2</v>
      </c>
      <c r="AC452" t="n">
        <v>1</v>
      </c>
      <c r="AD452" t="n">
        <v>1</v>
      </c>
      <c r="AE452" t="n">
        <v>10</v>
      </c>
      <c r="AF452" t="n">
        <v>7</v>
      </c>
      <c r="AG452" t="n">
        <v>2</v>
      </c>
      <c r="AH452" t="n">
        <v>2</v>
      </c>
      <c r="AI452" t="n">
        <v>83</v>
      </c>
      <c r="AJ452" t="n">
        <v>40</v>
      </c>
      <c r="AK452" t="n">
        <v>18</v>
      </c>
      <c r="AL452" t="n">
        <v>11</v>
      </c>
      <c r="AM452" t="n">
        <v>166</v>
      </c>
      <c r="AN452" t="n">
        <v>0</v>
      </c>
      <c r="AO452" t="n">
        <v>0</v>
      </c>
      <c r="AP452" t="n">
        <v>1</v>
      </c>
      <c r="AQ452" t="n">
        <v>12</v>
      </c>
      <c r="AR452" t="n">
        <v>78</v>
      </c>
      <c r="AS452" t="n">
        <v>66</v>
      </c>
      <c r="AT452" t="n">
        <v>1</v>
      </c>
      <c r="AU452" t="n">
        <v>1</v>
      </c>
      <c r="AV452" t="n">
        <v>11</v>
      </c>
      <c r="AW452" t="n">
        <v>1</v>
      </c>
      <c r="AX452" t="n">
        <v>5</v>
      </c>
      <c r="AY452" t="n">
        <v>11</v>
      </c>
      <c r="AZ452" t="n">
        <v>5</v>
      </c>
      <c r="BA452" t="n">
        <v>41</v>
      </c>
      <c r="BB452" t="n">
        <v>113</v>
      </c>
      <c r="BC452" t="n">
        <v>136</v>
      </c>
      <c r="BD452" t="n">
        <v>2</v>
      </c>
      <c r="BE452" t="n">
        <v>4</v>
      </c>
      <c r="BF452" t="n">
        <v>48</v>
      </c>
      <c r="BG452" t="n">
        <v>2</v>
      </c>
      <c r="BH452" t="n">
        <v>0</v>
      </c>
      <c r="BI452" t="n">
        <v>14</v>
      </c>
      <c r="BJ452" t="n">
        <v>38</v>
      </c>
      <c r="BK452" t="n">
        <v>1</v>
      </c>
      <c r="BL452" t="n">
        <v>1</v>
      </c>
      <c r="BM452" t="n">
        <v>9</v>
      </c>
      <c r="BN452" t="n">
        <v>5</v>
      </c>
      <c r="BO452" t="n">
        <v>2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149</v>
      </c>
      <c r="Z453" t="n">
        <v>225</v>
      </c>
      <c r="AA453" t="n">
        <v>14</v>
      </c>
      <c r="AB453" t="n">
        <v>0</v>
      </c>
      <c r="AC453" t="n">
        <v>0</v>
      </c>
      <c r="AD453" t="n">
        <v>6</v>
      </c>
      <c r="AE453" t="n">
        <v>0</v>
      </c>
      <c r="AF453" t="n">
        <v>2</v>
      </c>
      <c r="AG453" t="n">
        <v>2</v>
      </c>
      <c r="AH453" t="n">
        <v>107</v>
      </c>
      <c r="AI453" t="n">
        <v>-5</v>
      </c>
      <c r="AJ453" t="n">
        <v>14</v>
      </c>
      <c r="AK453" t="n">
        <v>18</v>
      </c>
      <c r="AL453" t="n">
        <v>4</v>
      </c>
      <c r="AM453" t="n">
        <v>88</v>
      </c>
      <c r="AN453" t="n">
        <v>1</v>
      </c>
      <c r="AO453" t="n">
        <v>0</v>
      </c>
      <c r="AP453" t="n">
        <v>0</v>
      </c>
      <c r="AQ453" t="n">
        <v>1</v>
      </c>
      <c r="AR453" t="n">
        <v>83</v>
      </c>
      <c r="AS453" t="n">
        <v>76</v>
      </c>
      <c r="AT453" t="n">
        <v>3</v>
      </c>
      <c r="AU453" t="n">
        <v>2</v>
      </c>
      <c r="AV453" t="n">
        <v>11</v>
      </c>
      <c r="AW453" t="n">
        <v>10</v>
      </c>
      <c r="AX453" t="n">
        <v>7</v>
      </c>
      <c r="AY453" t="n">
        <v>80</v>
      </c>
      <c r="AZ453" t="n">
        <v>0</v>
      </c>
      <c r="BA453" t="n">
        <v>1</v>
      </c>
      <c r="BB453" t="n">
        <v>14</v>
      </c>
      <c r="BC453" t="n">
        <v>73</v>
      </c>
      <c r="BD453" t="n">
        <v>119</v>
      </c>
      <c r="BE453" t="n">
        <v>12</v>
      </c>
      <c r="BF453" t="n">
        <v>41</v>
      </c>
      <c r="BG453" t="n">
        <v>2</v>
      </c>
      <c r="BH453" t="n">
        <v>3</v>
      </c>
      <c r="BI453" t="n">
        <v>7</v>
      </c>
      <c r="BJ453" t="n">
        <v>5</v>
      </c>
      <c r="BK453" t="n">
        <v>3</v>
      </c>
      <c r="BL453" t="n">
        <v>19</v>
      </c>
      <c r="BM453" t="n">
        <v>26</v>
      </c>
      <c r="BN453" t="n">
        <v>10</v>
      </c>
      <c r="BO453" t="n">
        <v>2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2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142</v>
      </c>
      <c r="Z454" t="n">
        <v>276</v>
      </c>
      <c r="AA454" t="n">
        <v>45</v>
      </c>
      <c r="AB454" t="n">
        <v>2</v>
      </c>
      <c r="AC454" t="n">
        <v>1</v>
      </c>
      <c r="AD454" t="n">
        <v>8</v>
      </c>
      <c r="AE454" t="n">
        <v>13</v>
      </c>
      <c r="AF454" t="n">
        <v>4</v>
      </c>
      <c r="AG454" t="n">
        <v>7</v>
      </c>
      <c r="AH454" t="n">
        <v>56</v>
      </c>
      <c r="AI454" t="n">
        <v>114</v>
      </c>
      <c r="AJ454" t="n">
        <v>25</v>
      </c>
      <c r="AK454" t="n">
        <v>50</v>
      </c>
      <c r="AL454" t="n">
        <v>1</v>
      </c>
      <c r="AM454" t="n">
        <v>20</v>
      </c>
      <c r="AN454" t="n">
        <v>0</v>
      </c>
      <c r="AO454" t="n">
        <v>0</v>
      </c>
      <c r="AP454" t="n">
        <v>2</v>
      </c>
      <c r="AQ454" t="n">
        <v>10</v>
      </c>
      <c r="AR454" t="n">
        <v>95</v>
      </c>
      <c r="AS454" t="n">
        <v>84</v>
      </c>
      <c r="AT454" t="n">
        <v>2</v>
      </c>
      <c r="AU454" t="n">
        <v>3</v>
      </c>
      <c r="AV454" t="n">
        <v>1</v>
      </c>
      <c r="AW454" t="n">
        <v>40</v>
      </c>
      <c r="AX454" t="n">
        <v>3</v>
      </c>
      <c r="AY454" t="n">
        <v>80</v>
      </c>
      <c r="AZ454" t="n">
        <v>0</v>
      </c>
      <c r="BA454" t="n">
        <v>14</v>
      </c>
      <c r="BB454" t="n">
        <v>56</v>
      </c>
      <c r="BC454" t="n">
        <v>16</v>
      </c>
      <c r="BD454" t="n">
        <v>56</v>
      </c>
      <c r="BE454" t="n">
        <v>44</v>
      </c>
      <c r="BF454" t="n">
        <v>33</v>
      </c>
      <c r="BG454" t="n">
        <v>3</v>
      </c>
      <c r="BH454" t="n">
        <v>0</v>
      </c>
      <c r="BI454" t="n">
        <v>7</v>
      </c>
      <c r="BJ454" t="n">
        <v>22</v>
      </c>
      <c r="BK454" t="n">
        <v>3</v>
      </c>
      <c r="BL454" t="n">
        <v>32</v>
      </c>
      <c r="BM454" t="n">
        <v>22</v>
      </c>
      <c r="BN454" t="n">
        <v>0</v>
      </c>
      <c r="BO454" t="n">
        <v>2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n">
        <v>248</v>
      </c>
      <c r="Z455" t="n">
        <v>241</v>
      </c>
      <c r="AA455" t="n">
        <v>43</v>
      </c>
      <c r="AB455" t="n">
        <v>4</v>
      </c>
      <c r="AC455" t="n">
        <v>0</v>
      </c>
      <c r="AD455" t="n">
        <v>7</v>
      </c>
      <c r="AE455" t="n">
        <v>9</v>
      </c>
      <c r="AF455" t="n">
        <v>6</v>
      </c>
      <c r="AG455" t="n">
        <v>0</v>
      </c>
      <c r="AH455" t="n">
        <v>60</v>
      </c>
      <c r="AI455" t="n">
        <v>113</v>
      </c>
      <c r="AJ455" t="n">
        <v>68</v>
      </c>
      <c r="AK455" t="n">
        <v>6</v>
      </c>
      <c r="AL455" t="n">
        <v>6</v>
      </c>
      <c r="AM455" t="n">
        <v>88</v>
      </c>
      <c r="AN455" t="n">
        <v>0</v>
      </c>
      <c r="AO455" t="n">
        <v>0</v>
      </c>
      <c r="AP455" t="n">
        <v>5</v>
      </c>
      <c r="AQ455" t="n">
        <v>23</v>
      </c>
      <c r="AR455" t="n">
        <v>56</v>
      </c>
      <c r="AS455" t="n">
        <v>38</v>
      </c>
      <c r="AT455" t="n">
        <v>0</v>
      </c>
      <c r="AU455" t="n">
        <v>0</v>
      </c>
      <c r="AV455" t="n">
        <v>1</v>
      </c>
      <c r="AW455" t="n">
        <v>3</v>
      </c>
      <c r="AX455" t="n">
        <v>11</v>
      </c>
      <c r="AY455" t="n">
        <v>15</v>
      </c>
      <c r="AZ455" t="n">
        <v>1</v>
      </c>
      <c r="BA455" t="n">
        <v>29</v>
      </c>
      <c r="BB455" t="n">
        <v>71</v>
      </c>
      <c r="BC455" t="n">
        <v>73</v>
      </c>
      <c r="BD455" t="n">
        <v>53</v>
      </c>
      <c r="BE455" t="n">
        <v>4</v>
      </c>
      <c r="BF455" t="n">
        <v>54</v>
      </c>
      <c r="BG455" t="n">
        <v>4</v>
      </c>
      <c r="BH455" t="n">
        <v>4</v>
      </c>
      <c r="BI455" t="n">
        <v>69</v>
      </c>
      <c r="BJ455" t="n">
        <v>71</v>
      </c>
      <c r="BK455" t="n">
        <v>5</v>
      </c>
      <c r="BL455" t="n">
        <v>28</v>
      </c>
      <c r="BM455" t="n">
        <v>57</v>
      </c>
      <c r="BN455" t="n">
        <v>26</v>
      </c>
      <c r="BO455" t="n">
        <v>51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312</v>
      </c>
      <c r="Z456" t="n">
        <v>69</v>
      </c>
      <c r="AA456" t="n">
        <v>32</v>
      </c>
      <c r="AB456" t="n">
        <v>0</v>
      </c>
      <c r="AC456" t="n">
        <v>1</v>
      </c>
      <c r="AD456" t="n">
        <v>3</v>
      </c>
      <c r="AE456" t="n">
        <v>4</v>
      </c>
      <c r="AF456" t="n">
        <v>6</v>
      </c>
      <c r="AG456" t="n">
        <v>0</v>
      </c>
      <c r="AH456" t="n">
        <v>48</v>
      </c>
      <c r="AI456" t="n">
        <v>33</v>
      </c>
      <c r="AJ456" t="n">
        <v>49</v>
      </c>
      <c r="AK456" t="n">
        <v>4</v>
      </c>
      <c r="AL456" t="n">
        <v>0</v>
      </c>
      <c r="AM456" t="n">
        <v>39</v>
      </c>
      <c r="AN456" t="n">
        <v>0</v>
      </c>
      <c r="AO456" t="n">
        <v>0</v>
      </c>
      <c r="AP456" t="n">
        <v>2</v>
      </c>
      <c r="AQ456" t="n">
        <v>65</v>
      </c>
      <c r="AR456" t="n">
        <v>98</v>
      </c>
      <c r="AS456" t="n">
        <v>42</v>
      </c>
      <c r="AT456" t="n">
        <v>5</v>
      </c>
      <c r="AU456" t="n">
        <v>0</v>
      </c>
      <c r="AV456" t="n">
        <v>39</v>
      </c>
      <c r="AW456" t="n">
        <v>3</v>
      </c>
      <c r="AX456" t="n">
        <v>1</v>
      </c>
      <c r="AY456" t="n">
        <v>29</v>
      </c>
      <c r="AZ456" t="n">
        <v>1</v>
      </c>
      <c r="BA456" t="n">
        <v>-4</v>
      </c>
      <c r="BB456" t="n">
        <v>29</v>
      </c>
      <c r="BC456" t="n">
        <v>33</v>
      </c>
      <c r="BD456" t="n">
        <v>43</v>
      </c>
      <c r="BE456" t="n">
        <v>2</v>
      </c>
      <c r="BF456" t="n">
        <v>51</v>
      </c>
      <c r="BG456" t="n">
        <v>5</v>
      </c>
      <c r="BH456" t="n">
        <v>17</v>
      </c>
      <c r="BI456" t="n">
        <v>35</v>
      </c>
      <c r="BJ456" t="n">
        <v>42</v>
      </c>
      <c r="BK456" t="n">
        <v>0</v>
      </c>
      <c r="BL456" t="n">
        <v>1</v>
      </c>
      <c r="BM456" t="n">
        <v>7</v>
      </c>
      <c r="BN456" t="n">
        <v>4</v>
      </c>
      <c r="BO456" t="n">
        <v>2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207</v>
      </c>
      <c r="Z457" t="n">
        <v>294</v>
      </c>
      <c r="AA457" t="n">
        <v>32</v>
      </c>
      <c r="AB457" t="n">
        <v>2</v>
      </c>
      <c r="AC457" t="n">
        <v>0</v>
      </c>
      <c r="AD457" t="n">
        <v>5</v>
      </c>
      <c r="AE457" t="n">
        <v>3</v>
      </c>
      <c r="AF457" t="n">
        <v>5</v>
      </c>
      <c r="AG457" t="n">
        <v>6</v>
      </c>
      <c r="AH457" t="n">
        <v>37</v>
      </c>
      <c r="AI457" t="n">
        <v>27</v>
      </c>
      <c r="AJ457" t="n">
        <v>18</v>
      </c>
      <c r="AK457" t="n">
        <v>41</v>
      </c>
      <c r="AL457" t="n">
        <v>3</v>
      </c>
      <c r="AM457" t="n">
        <v>127</v>
      </c>
      <c r="AN457" t="n">
        <v>0</v>
      </c>
      <c r="AO457" t="n">
        <v>0</v>
      </c>
      <c r="AP457" t="n">
        <v>4</v>
      </c>
      <c r="AQ457" t="n">
        <v>103</v>
      </c>
      <c r="AR457" t="n">
        <v>127</v>
      </c>
      <c r="AS457" t="n">
        <v>36</v>
      </c>
      <c r="AT457" t="n">
        <v>5</v>
      </c>
      <c r="AU457" t="n">
        <v>4</v>
      </c>
      <c r="AV457" t="n">
        <v>70</v>
      </c>
      <c r="AW457" t="n">
        <v>37</v>
      </c>
      <c r="AX457" t="n">
        <v>5</v>
      </c>
      <c r="AY457" t="n">
        <v>3</v>
      </c>
      <c r="AZ457" t="n">
        <v>1</v>
      </c>
      <c r="BA457" t="n">
        <v>9</v>
      </c>
      <c r="BB457" t="n">
        <v>39</v>
      </c>
      <c r="BC457" t="n">
        <v>105</v>
      </c>
      <c r="BD457" t="n">
        <v>38</v>
      </c>
      <c r="BE457" t="n">
        <v>37</v>
      </c>
      <c r="BF457" t="n">
        <v>14</v>
      </c>
      <c r="BG457" t="n">
        <v>1</v>
      </c>
      <c r="BH457" t="n">
        <v>3</v>
      </c>
      <c r="BI457" t="n">
        <v>1</v>
      </c>
      <c r="BJ457" t="n">
        <v>16</v>
      </c>
      <c r="BK457" t="n">
        <v>1</v>
      </c>
      <c r="BL457" t="n">
        <v>37</v>
      </c>
      <c r="BM457" t="n">
        <v>36</v>
      </c>
      <c r="BN457" t="n">
        <v>9</v>
      </c>
      <c r="BO457" t="n">
        <v>23</v>
      </c>
    </row>
    <row r="458">
      <c r="A458" t="n">
        <v>0</v>
      </c>
      <c r="B458" t="n">
        <v>0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362</v>
      </c>
      <c r="Z458" t="n">
        <v>119</v>
      </c>
      <c r="AA458" t="n">
        <v>45</v>
      </c>
      <c r="AB458" t="n">
        <v>3</v>
      </c>
      <c r="AC458" t="n">
        <v>1</v>
      </c>
      <c r="AD458" t="n">
        <v>4</v>
      </c>
      <c r="AE458" t="n">
        <v>4</v>
      </c>
      <c r="AF458" t="n">
        <v>5</v>
      </c>
      <c r="AG458" t="n">
        <v>6</v>
      </c>
      <c r="AH458" t="n">
        <v>86</v>
      </c>
      <c r="AI458" t="n">
        <v>30</v>
      </c>
      <c r="AJ458" t="n">
        <v>32</v>
      </c>
      <c r="AK458" t="n">
        <v>39</v>
      </c>
      <c r="AL458" t="n">
        <v>4</v>
      </c>
      <c r="AM458" t="n">
        <v>18</v>
      </c>
      <c r="AN458" t="n">
        <v>0</v>
      </c>
      <c r="AO458" t="n">
        <v>0</v>
      </c>
      <c r="AP458" t="n">
        <v>11</v>
      </c>
      <c r="AQ458" t="n">
        <v>84</v>
      </c>
      <c r="AR458" t="n">
        <v>102</v>
      </c>
      <c r="AS458" t="n">
        <v>31</v>
      </c>
      <c r="AT458" t="n">
        <v>7</v>
      </c>
      <c r="AU458" t="n">
        <v>1</v>
      </c>
      <c r="AV458" t="n">
        <v>53</v>
      </c>
      <c r="AW458" t="n">
        <v>17</v>
      </c>
      <c r="AX458" t="n">
        <v>0</v>
      </c>
      <c r="AY458" t="n">
        <v>38</v>
      </c>
      <c r="AZ458" t="n">
        <v>5</v>
      </c>
      <c r="BA458" t="n">
        <v>36</v>
      </c>
      <c r="BB458" t="n">
        <v>82</v>
      </c>
      <c r="BC458" t="n">
        <v>12</v>
      </c>
      <c r="BD458" t="n">
        <v>76</v>
      </c>
      <c r="BE458" t="n">
        <v>21</v>
      </c>
      <c r="BF458" t="n">
        <v>25</v>
      </c>
      <c r="BG458" t="n">
        <v>4</v>
      </c>
      <c r="BH458" t="n">
        <v>20</v>
      </c>
      <c r="BI458" t="n">
        <v>60</v>
      </c>
      <c r="BJ458" t="n">
        <v>55</v>
      </c>
      <c r="BK458" t="n">
        <v>5</v>
      </c>
      <c r="BL458" t="n">
        <v>13</v>
      </c>
      <c r="BM458" t="n">
        <v>13</v>
      </c>
      <c r="BN458" t="n">
        <v>4</v>
      </c>
      <c r="BO458" t="n">
        <v>2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177</v>
      </c>
      <c r="Z459" t="n">
        <v>113</v>
      </c>
      <c r="AA459" t="n">
        <v>32</v>
      </c>
      <c r="AB459" t="n">
        <v>1</v>
      </c>
      <c r="AC459" t="n">
        <v>2</v>
      </c>
      <c r="AD459" t="n">
        <v>4</v>
      </c>
      <c r="AE459" t="n">
        <v>5</v>
      </c>
      <c r="AF459" t="n">
        <v>0</v>
      </c>
      <c r="AG459" t="n">
        <v>1</v>
      </c>
      <c r="AH459" t="n">
        <v>91</v>
      </c>
      <c r="AI459" t="n">
        <v>60</v>
      </c>
      <c r="AJ459" t="n">
        <v>2</v>
      </c>
      <c r="AK459" t="n">
        <v>6</v>
      </c>
      <c r="AL459" t="n">
        <v>0</v>
      </c>
      <c r="AM459" t="n">
        <v>2</v>
      </c>
      <c r="AN459" t="n">
        <v>0</v>
      </c>
      <c r="AO459" t="n">
        <v>0</v>
      </c>
      <c r="AP459" t="n">
        <v>3</v>
      </c>
      <c r="AQ459" t="n">
        <v>16</v>
      </c>
      <c r="AR459" t="n">
        <v>88</v>
      </c>
      <c r="AS459" t="n">
        <v>73</v>
      </c>
      <c r="AT459" t="n">
        <v>5</v>
      </c>
      <c r="AU459" t="n">
        <v>0</v>
      </c>
      <c r="AV459" t="n">
        <v>34</v>
      </c>
      <c r="AW459" t="n">
        <v>1</v>
      </c>
      <c r="AX459" t="n">
        <v>1</v>
      </c>
      <c r="AY459" t="n">
        <v>15</v>
      </c>
      <c r="AZ459" t="n">
        <v>0</v>
      </c>
      <c r="BA459" t="n">
        <v>1</v>
      </c>
      <c r="BB459" t="n">
        <v>33</v>
      </c>
      <c r="BC459" t="n">
        <v>9</v>
      </c>
      <c r="BD459" t="n">
        <v>93</v>
      </c>
      <c r="BE459" t="n">
        <v>3</v>
      </c>
      <c r="BF459" t="n">
        <v>2</v>
      </c>
      <c r="BG459" t="n">
        <v>0</v>
      </c>
      <c r="BH459" t="n">
        <v>6</v>
      </c>
      <c r="BI459" t="n">
        <v>1</v>
      </c>
      <c r="BJ459" t="n">
        <v>6</v>
      </c>
      <c r="BK459" t="n">
        <v>1</v>
      </c>
      <c r="BL459" t="n">
        <v>4</v>
      </c>
      <c r="BM459" t="n">
        <v>5</v>
      </c>
      <c r="BN459" t="n">
        <v>3</v>
      </c>
      <c r="BO459" t="n">
        <v>11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250</v>
      </c>
      <c r="Z460" t="n">
        <v>188</v>
      </c>
      <c r="AA460" t="n">
        <v>44</v>
      </c>
      <c r="AB460" t="n">
        <v>0</v>
      </c>
      <c r="AC460" t="n">
        <v>1</v>
      </c>
      <c r="AD460" t="n">
        <v>3</v>
      </c>
      <c r="AE460" t="n">
        <v>4</v>
      </c>
      <c r="AF460" t="n">
        <v>2</v>
      </c>
      <c r="AG460" t="n">
        <v>0</v>
      </c>
      <c r="AH460" t="n">
        <v>20</v>
      </c>
      <c r="AI460" t="n">
        <v>34</v>
      </c>
      <c r="AJ460" t="n">
        <v>16</v>
      </c>
      <c r="AK460" t="n">
        <v>1</v>
      </c>
      <c r="AL460" t="n">
        <v>1</v>
      </c>
      <c r="AM460" t="n">
        <v>25</v>
      </c>
      <c r="AN460" t="n">
        <v>0</v>
      </c>
      <c r="AO460" t="n">
        <v>0</v>
      </c>
      <c r="AP460" t="n">
        <v>3</v>
      </c>
      <c r="AQ460" t="n">
        <v>10</v>
      </c>
      <c r="AR460" t="n">
        <v>108</v>
      </c>
      <c r="AS460" t="n">
        <v>96</v>
      </c>
      <c r="AT460" t="n">
        <v>3</v>
      </c>
      <c r="AU460" t="n">
        <v>2</v>
      </c>
      <c r="AV460" t="n">
        <v>25</v>
      </c>
      <c r="AW460" t="n">
        <v>49</v>
      </c>
      <c r="AX460" t="n">
        <v>0</v>
      </c>
      <c r="AY460" t="n">
        <v>19</v>
      </c>
      <c r="AZ460" t="n">
        <v>3</v>
      </c>
      <c r="BA460" t="n">
        <v>12</v>
      </c>
      <c r="BB460" t="n">
        <v>54</v>
      </c>
      <c r="BC460" t="n">
        <v>31</v>
      </c>
      <c r="BD460" t="n">
        <v>17</v>
      </c>
      <c r="BE460" t="n">
        <v>51</v>
      </c>
      <c r="BF460" t="n">
        <v>24</v>
      </c>
      <c r="BG460" t="n">
        <v>7</v>
      </c>
      <c r="BH460" t="n">
        <v>12</v>
      </c>
      <c r="BI460" t="n">
        <v>120</v>
      </c>
      <c r="BJ460" t="n">
        <v>109</v>
      </c>
      <c r="BK460" t="n">
        <v>2</v>
      </c>
      <c r="BL460" t="n">
        <v>1</v>
      </c>
      <c r="BM460" t="n">
        <v>62</v>
      </c>
      <c r="BN460" t="n">
        <v>41</v>
      </c>
      <c r="BO460" t="n">
        <v>2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270</v>
      </c>
      <c r="Z461" t="n">
        <v>223</v>
      </c>
      <c r="AA461" t="n">
        <v>58</v>
      </c>
      <c r="AB461" t="n">
        <v>2</v>
      </c>
      <c r="AC461" t="n">
        <v>1</v>
      </c>
      <c r="AD461" t="n">
        <v>10</v>
      </c>
      <c r="AE461" t="n">
        <v>10</v>
      </c>
      <c r="AF461" t="n">
        <v>3</v>
      </c>
      <c r="AG461" t="n">
        <v>3</v>
      </c>
      <c r="AH461" t="n">
        <v>164</v>
      </c>
      <c r="AI461" t="n">
        <v>73</v>
      </c>
      <c r="AJ461" t="n">
        <v>36</v>
      </c>
      <c r="AK461" t="n">
        <v>15</v>
      </c>
      <c r="AL461" t="n">
        <v>1</v>
      </c>
      <c r="AM461" t="n">
        <v>62</v>
      </c>
      <c r="AN461" t="n">
        <v>0</v>
      </c>
      <c r="AO461" t="n">
        <v>0</v>
      </c>
      <c r="AP461" t="n">
        <v>3</v>
      </c>
      <c r="AQ461" t="n">
        <v>36</v>
      </c>
      <c r="AR461" t="n">
        <v>102</v>
      </c>
      <c r="AS461" t="n">
        <v>71</v>
      </c>
      <c r="AT461" t="n">
        <v>0</v>
      </c>
      <c r="AU461" t="n">
        <v>2</v>
      </c>
      <c r="AV461" t="n">
        <v>1</v>
      </c>
      <c r="AW461" t="n">
        <v>19</v>
      </c>
      <c r="AX461" t="n">
        <v>3</v>
      </c>
      <c r="AY461" t="n">
        <v>36</v>
      </c>
      <c r="AZ461" t="n">
        <v>3</v>
      </c>
      <c r="BA461" t="n">
        <v>39</v>
      </c>
      <c r="BB461" t="n">
        <v>96</v>
      </c>
      <c r="BC461" t="n">
        <v>52</v>
      </c>
      <c r="BD461" t="n">
        <v>146</v>
      </c>
      <c r="BE461" t="n">
        <v>20</v>
      </c>
      <c r="BF461" t="n">
        <v>28</v>
      </c>
      <c r="BG461" t="n">
        <v>0</v>
      </c>
      <c r="BH461" t="n">
        <v>4</v>
      </c>
      <c r="BI461" t="n">
        <v>1</v>
      </c>
      <c r="BJ461" t="n">
        <v>50</v>
      </c>
      <c r="BK461" t="n">
        <v>3</v>
      </c>
      <c r="BL461" t="n">
        <v>18</v>
      </c>
      <c r="BM461" t="n">
        <v>12</v>
      </c>
      <c r="BN461" t="n">
        <v>1</v>
      </c>
      <c r="BO461" t="n">
        <v>2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270</v>
      </c>
      <c r="Z462" t="n">
        <v>267</v>
      </c>
      <c r="AA462" t="n">
        <v>99</v>
      </c>
      <c r="AB462" t="n">
        <v>0</v>
      </c>
      <c r="AC462" t="n">
        <v>2</v>
      </c>
      <c r="AD462" t="n">
        <v>9</v>
      </c>
      <c r="AE462" t="n">
        <v>3</v>
      </c>
      <c r="AF462" t="n">
        <v>2</v>
      </c>
      <c r="AG462" t="n">
        <v>5</v>
      </c>
      <c r="AH462" t="n">
        <v>43</v>
      </c>
      <c r="AI462" t="n">
        <v>30</v>
      </c>
      <c r="AJ462" t="n">
        <v>33</v>
      </c>
      <c r="AK462" t="n">
        <v>83</v>
      </c>
      <c r="AL462" t="n">
        <v>2</v>
      </c>
      <c r="AM462" t="n">
        <v>33</v>
      </c>
      <c r="AN462" t="n">
        <v>0</v>
      </c>
      <c r="AO462" t="n">
        <v>0</v>
      </c>
      <c r="AP462" t="n">
        <v>3</v>
      </c>
      <c r="AQ462" t="n">
        <v>0</v>
      </c>
      <c r="AR462" t="n">
        <v>56</v>
      </c>
      <c r="AS462" t="n">
        <v>51</v>
      </c>
      <c r="AT462" t="n">
        <v>1</v>
      </c>
      <c r="AU462" t="n">
        <v>3</v>
      </c>
      <c r="AV462" t="n">
        <v>23</v>
      </c>
      <c r="AW462" t="n">
        <v>63</v>
      </c>
      <c r="AX462" t="n">
        <v>0</v>
      </c>
      <c r="AY462" t="n">
        <v>28</v>
      </c>
      <c r="AZ462" t="n">
        <v>2</v>
      </c>
      <c r="BA462" t="n">
        <v>24</v>
      </c>
      <c r="BB462" t="n">
        <v>119</v>
      </c>
      <c r="BC462" t="n">
        <v>24</v>
      </c>
      <c r="BD462" t="n">
        <v>38</v>
      </c>
      <c r="BE462" t="n">
        <v>69</v>
      </c>
      <c r="BF462" t="n">
        <v>26</v>
      </c>
      <c r="BG462" t="n">
        <v>3</v>
      </c>
      <c r="BH462" t="n">
        <v>8</v>
      </c>
      <c r="BI462" t="n">
        <v>28</v>
      </c>
      <c r="BJ462" t="n">
        <v>22</v>
      </c>
      <c r="BK462" t="n">
        <v>9</v>
      </c>
      <c r="BL462" t="n">
        <v>59</v>
      </c>
      <c r="BM462" t="n">
        <v>61</v>
      </c>
      <c r="BN462" t="n">
        <v>15</v>
      </c>
      <c r="BO462" t="n">
        <v>2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186</v>
      </c>
      <c r="Z463" t="n">
        <v>160</v>
      </c>
      <c r="AA463" t="n">
        <v>85</v>
      </c>
      <c r="AB463" t="n">
        <v>1</v>
      </c>
      <c r="AC463" t="n">
        <v>0</v>
      </c>
      <c r="AD463" t="n">
        <v>1</v>
      </c>
      <c r="AE463" t="n">
        <v>7</v>
      </c>
      <c r="AF463" t="n">
        <v>4</v>
      </c>
      <c r="AG463" t="n">
        <v>7</v>
      </c>
      <c r="AH463" t="n">
        <v>14</v>
      </c>
      <c r="AI463" t="n">
        <v>60</v>
      </c>
      <c r="AJ463" t="n">
        <v>22</v>
      </c>
      <c r="AK463" t="n">
        <v>53</v>
      </c>
      <c r="AL463" t="n">
        <v>5</v>
      </c>
      <c r="AM463" t="n">
        <v>35</v>
      </c>
      <c r="AN463" t="n">
        <v>0</v>
      </c>
      <c r="AO463" t="n">
        <v>0</v>
      </c>
      <c r="AP463" t="n">
        <v>6</v>
      </c>
      <c r="AQ463" t="n">
        <v>71</v>
      </c>
      <c r="AR463" t="n">
        <v>122</v>
      </c>
      <c r="AS463" t="n">
        <v>61</v>
      </c>
      <c r="AT463" t="n">
        <v>1</v>
      </c>
      <c r="AU463" t="n">
        <v>1</v>
      </c>
      <c r="AV463" t="n">
        <v>6</v>
      </c>
      <c r="AW463" t="n">
        <v>12</v>
      </c>
      <c r="AX463" t="n">
        <v>0</v>
      </c>
      <c r="AY463" t="n">
        <v>-4</v>
      </c>
      <c r="AZ463" t="n">
        <v>5</v>
      </c>
      <c r="BA463" t="n">
        <v>46</v>
      </c>
      <c r="BB463" t="n">
        <v>127</v>
      </c>
      <c r="BC463" t="n">
        <v>37</v>
      </c>
      <c r="BD463" t="n">
        <v>21</v>
      </c>
      <c r="BE463" t="n">
        <v>12</v>
      </c>
      <c r="BF463" t="n">
        <v>37</v>
      </c>
      <c r="BG463" t="n">
        <v>1</v>
      </c>
      <c r="BH463" t="n">
        <v>1</v>
      </c>
      <c r="BI463" t="n">
        <v>14</v>
      </c>
      <c r="BJ463" t="n">
        <v>25</v>
      </c>
      <c r="BK463" t="n">
        <v>2</v>
      </c>
      <c r="BL463" t="n">
        <v>7</v>
      </c>
      <c r="BM463" t="n">
        <v>82</v>
      </c>
      <c r="BN463" t="n">
        <v>53</v>
      </c>
      <c r="BO463" t="n">
        <v>21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153</v>
      </c>
      <c r="Z464" t="n">
        <v>171</v>
      </c>
      <c r="AA464" t="n">
        <v>34</v>
      </c>
      <c r="AB464" t="n">
        <v>0</v>
      </c>
      <c r="AC464" t="n">
        <v>0</v>
      </c>
      <c r="AD464" t="n">
        <v>8</v>
      </c>
      <c r="AE464" t="n">
        <v>11</v>
      </c>
      <c r="AF464" t="n">
        <v>2</v>
      </c>
      <c r="AG464" t="n">
        <v>5</v>
      </c>
      <c r="AH464" t="n">
        <v>67</v>
      </c>
      <c r="AI464" t="n">
        <v>71</v>
      </c>
      <c r="AJ464" t="n">
        <v>15</v>
      </c>
      <c r="AK464" t="n">
        <v>10</v>
      </c>
      <c r="AL464" t="n">
        <v>2</v>
      </c>
      <c r="AM464" t="n">
        <v>16</v>
      </c>
      <c r="AN464" t="n">
        <v>0</v>
      </c>
      <c r="AO464" t="n">
        <v>0</v>
      </c>
      <c r="AP464" t="n">
        <v>5</v>
      </c>
      <c r="AQ464" t="n">
        <v>26</v>
      </c>
      <c r="AR464" t="n">
        <v>121</v>
      </c>
      <c r="AS464" t="n">
        <v>97</v>
      </c>
      <c r="AT464" t="n">
        <v>1</v>
      </c>
      <c r="AU464" t="n">
        <v>3</v>
      </c>
      <c r="AV464" t="n">
        <v>2</v>
      </c>
      <c r="AW464" t="n">
        <v>26</v>
      </c>
      <c r="AX464" t="n">
        <v>11</v>
      </c>
      <c r="AY464" t="n">
        <v>38</v>
      </c>
      <c r="AZ464" t="n">
        <v>1</v>
      </c>
      <c r="BA464" t="n">
        <v>9</v>
      </c>
      <c r="BB464" t="n">
        <v>41</v>
      </c>
      <c r="BC464" t="n">
        <v>14</v>
      </c>
      <c r="BD464" t="n">
        <v>60</v>
      </c>
      <c r="BE464" t="n">
        <v>26</v>
      </c>
      <c r="BF464" t="n">
        <v>13</v>
      </c>
      <c r="BG464" t="n">
        <v>2</v>
      </c>
      <c r="BH464" t="n">
        <v>5</v>
      </c>
      <c r="BI464" t="n">
        <v>13</v>
      </c>
      <c r="BJ464" t="n">
        <v>17</v>
      </c>
      <c r="BK464" t="n">
        <v>4</v>
      </c>
      <c r="BL464" t="n">
        <v>26</v>
      </c>
      <c r="BM464" t="n">
        <v>21</v>
      </c>
      <c r="BN464" t="n">
        <v>4</v>
      </c>
      <c r="BO464" t="n">
        <v>68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106</v>
      </c>
      <c r="Z465" t="n">
        <v>239</v>
      </c>
      <c r="AA465" t="n">
        <v>24</v>
      </c>
      <c r="AB465" t="n">
        <v>2</v>
      </c>
      <c r="AC465" t="n">
        <v>0</v>
      </c>
      <c r="AD465" t="n">
        <v>3</v>
      </c>
      <c r="AE465" t="n">
        <v>1</v>
      </c>
      <c r="AF465" t="n">
        <v>1</v>
      </c>
      <c r="AG465" t="n">
        <v>8</v>
      </c>
      <c r="AH465" t="n">
        <v>20</v>
      </c>
      <c r="AI465" t="n">
        <v>12</v>
      </c>
      <c r="AJ465" t="n">
        <v>10</v>
      </c>
      <c r="AK465" t="n">
        <v>36</v>
      </c>
      <c r="AL465" t="n">
        <v>10</v>
      </c>
      <c r="AM465" t="n">
        <v>88</v>
      </c>
      <c r="AN465" t="n">
        <v>0</v>
      </c>
      <c r="AO465" t="n">
        <v>0</v>
      </c>
      <c r="AP465" t="n">
        <v>1</v>
      </c>
      <c r="AQ465" t="n">
        <v>19</v>
      </c>
      <c r="AR465" t="n">
        <v>149</v>
      </c>
      <c r="AS465" t="n">
        <v>128</v>
      </c>
      <c r="AT465" t="n">
        <v>1</v>
      </c>
      <c r="AU465" t="n">
        <v>2</v>
      </c>
      <c r="AV465" t="n">
        <v>1</v>
      </c>
      <c r="AW465" t="n">
        <v>39</v>
      </c>
      <c r="AX465" t="n">
        <v>0</v>
      </c>
      <c r="AY465" t="n">
        <v>9</v>
      </c>
      <c r="AZ465" t="n">
        <v>2</v>
      </c>
      <c r="BA465" t="n">
        <v>1</v>
      </c>
      <c r="BB465" t="n">
        <v>24</v>
      </c>
      <c r="BC465" t="n">
        <v>121</v>
      </c>
      <c r="BD465" t="n">
        <v>27</v>
      </c>
      <c r="BE465" t="n">
        <v>38</v>
      </c>
      <c r="BF465" t="n">
        <v>8</v>
      </c>
      <c r="BG465" t="n">
        <v>1</v>
      </c>
      <c r="BH465" t="n">
        <v>3</v>
      </c>
      <c r="BI465" t="n">
        <v>49</v>
      </c>
      <c r="BJ465" t="n">
        <v>46</v>
      </c>
      <c r="BK465" t="n">
        <v>1</v>
      </c>
      <c r="BL465" t="n">
        <v>9</v>
      </c>
      <c r="BM465" t="n">
        <v>9</v>
      </c>
      <c r="BN465" t="n">
        <v>3</v>
      </c>
      <c r="BO465" t="n">
        <v>75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378</v>
      </c>
      <c r="Z466" t="n">
        <v>131</v>
      </c>
      <c r="AA466" t="n">
        <v>75</v>
      </c>
      <c r="AB466" t="n">
        <v>1</v>
      </c>
      <c r="AC466" t="n">
        <v>1</v>
      </c>
      <c r="AD466" t="n">
        <v>3</v>
      </c>
      <c r="AE466" t="n">
        <v>2</v>
      </c>
      <c r="AF466" t="n">
        <v>5</v>
      </c>
      <c r="AG466" t="n">
        <v>3</v>
      </c>
      <c r="AH466" t="n">
        <v>42</v>
      </c>
      <c r="AI466" t="n">
        <v>22</v>
      </c>
      <c r="AJ466" t="n">
        <v>58</v>
      </c>
      <c r="AK466" t="n">
        <v>48</v>
      </c>
      <c r="AL466" t="n">
        <v>4</v>
      </c>
      <c r="AM466" t="n">
        <v>28</v>
      </c>
      <c r="AN466" t="n">
        <v>1</v>
      </c>
      <c r="AO466" t="n">
        <v>0</v>
      </c>
      <c r="AP466" t="n">
        <v>5</v>
      </c>
      <c r="AQ466" t="n">
        <v>30</v>
      </c>
      <c r="AR466" t="n">
        <v>141</v>
      </c>
      <c r="AS466" t="n">
        <v>114</v>
      </c>
      <c r="AT466" t="n">
        <v>6</v>
      </c>
      <c r="AU466" t="n">
        <v>1</v>
      </c>
      <c r="AV466" t="n">
        <v>13</v>
      </c>
      <c r="AW466" t="n">
        <v>1</v>
      </c>
      <c r="AX466" t="n">
        <v>0</v>
      </c>
      <c r="AY466" t="n">
        <v>17</v>
      </c>
      <c r="AZ466" t="n">
        <v>0</v>
      </c>
      <c r="BA466" t="n">
        <v>1</v>
      </c>
      <c r="BB466" t="n">
        <v>73</v>
      </c>
      <c r="BC466" t="n">
        <v>23</v>
      </c>
      <c r="BD466" t="n">
        <v>40</v>
      </c>
      <c r="BE466" t="n">
        <v>1</v>
      </c>
      <c r="BF466" t="n">
        <v>47</v>
      </c>
      <c r="BG466" t="n">
        <v>3</v>
      </c>
      <c r="BH466" t="n">
        <v>33</v>
      </c>
      <c r="BI466" t="n">
        <v>64</v>
      </c>
      <c r="BJ466" t="n">
        <v>58</v>
      </c>
      <c r="BK466" t="n">
        <v>2</v>
      </c>
      <c r="BL466" t="n">
        <v>1</v>
      </c>
      <c r="BM466" t="n">
        <v>14</v>
      </c>
      <c r="BN466" t="n">
        <v>8</v>
      </c>
      <c r="BO466" t="n">
        <v>2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164</v>
      </c>
      <c r="Z467" t="n">
        <v>87</v>
      </c>
      <c r="AA467" t="n">
        <v>73</v>
      </c>
      <c r="AB467" t="n">
        <v>0</v>
      </c>
      <c r="AC467" t="n">
        <v>0</v>
      </c>
      <c r="AD467" t="n">
        <v>0</v>
      </c>
      <c r="AE467" t="n">
        <v>3</v>
      </c>
      <c r="AF467" t="n">
        <v>2</v>
      </c>
      <c r="AG467" t="n">
        <v>3</v>
      </c>
      <c r="AH467" t="n">
        <v>21</v>
      </c>
      <c r="AI467" t="n">
        <v>20</v>
      </c>
      <c r="AJ467" t="n">
        <v>20</v>
      </c>
      <c r="AK467" t="n">
        <v>16</v>
      </c>
      <c r="AL467" t="n">
        <v>2</v>
      </c>
      <c r="AM467" t="n">
        <v>59</v>
      </c>
      <c r="AN467" t="n">
        <v>0</v>
      </c>
      <c r="AO467" t="n">
        <v>0</v>
      </c>
      <c r="AP467" t="n">
        <v>1</v>
      </c>
      <c r="AQ467" t="n">
        <v>0</v>
      </c>
      <c r="AR467" t="n">
        <v>40</v>
      </c>
      <c r="AS467" t="n">
        <v>37</v>
      </c>
      <c r="AT467" t="n">
        <v>1</v>
      </c>
      <c r="AU467" t="n">
        <v>0</v>
      </c>
      <c r="AV467" t="n">
        <v>1</v>
      </c>
      <c r="AW467" t="n">
        <v>1</v>
      </c>
      <c r="AX467" t="n">
        <v>0</v>
      </c>
      <c r="AY467" t="n">
        <v>61</v>
      </c>
      <c r="AZ467" t="n">
        <v>1</v>
      </c>
      <c r="BA467" t="n">
        <v>3</v>
      </c>
      <c r="BB467" t="n">
        <v>71</v>
      </c>
      <c r="BC467" t="n">
        <v>74</v>
      </c>
      <c r="BD467" t="n">
        <v>26</v>
      </c>
      <c r="BE467" t="n">
        <v>1</v>
      </c>
      <c r="BF467" t="n">
        <v>16</v>
      </c>
      <c r="BG467" t="n">
        <v>3</v>
      </c>
      <c r="BH467" t="n">
        <v>1</v>
      </c>
      <c r="BI467" t="n">
        <v>28</v>
      </c>
      <c r="BJ467" t="n">
        <v>29</v>
      </c>
      <c r="BK467" t="n">
        <v>1</v>
      </c>
      <c r="BL467" t="n">
        <v>8</v>
      </c>
      <c r="BM467" t="n">
        <v>73</v>
      </c>
      <c r="BN467" t="n">
        <v>46</v>
      </c>
      <c r="BO467" t="n">
        <v>58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250</v>
      </c>
      <c r="Z468" t="n">
        <v>166</v>
      </c>
      <c r="AA468" t="n">
        <v>22</v>
      </c>
      <c r="AB468" t="n">
        <v>1</v>
      </c>
      <c r="AC468" t="n">
        <v>2</v>
      </c>
      <c r="AD468" t="n">
        <v>4</v>
      </c>
      <c r="AE468" t="n">
        <v>2</v>
      </c>
      <c r="AF468" t="n">
        <v>8</v>
      </c>
      <c r="AG468" t="n">
        <v>3</v>
      </c>
      <c r="AH468" t="n">
        <v>75</v>
      </c>
      <c r="AI468" t="n">
        <v>3</v>
      </c>
      <c r="AJ468" t="n">
        <v>97</v>
      </c>
      <c r="AK468" t="n">
        <v>39</v>
      </c>
      <c r="AL468" t="n">
        <v>0</v>
      </c>
      <c r="AM468" t="n">
        <v>2</v>
      </c>
      <c r="AN468" t="n">
        <v>0</v>
      </c>
      <c r="AO468" t="n">
        <v>0</v>
      </c>
      <c r="AP468" t="n">
        <v>6</v>
      </c>
      <c r="AQ468" t="n">
        <v>18</v>
      </c>
      <c r="AR468" t="n">
        <v>126</v>
      </c>
      <c r="AS468" t="n">
        <v>107</v>
      </c>
      <c r="AT468" t="n">
        <v>3</v>
      </c>
      <c r="AU468" t="n">
        <v>3</v>
      </c>
      <c r="AV468" t="n">
        <v>11</v>
      </c>
      <c r="AW468" t="n">
        <v>34</v>
      </c>
      <c r="AX468" t="n">
        <v>1</v>
      </c>
      <c r="AY468" t="n">
        <v>3</v>
      </c>
      <c r="AZ468" t="n">
        <v>5</v>
      </c>
      <c r="BA468" t="n">
        <v>34</v>
      </c>
      <c r="BB468" t="n">
        <v>59</v>
      </c>
      <c r="BC468" t="n">
        <v>2</v>
      </c>
      <c r="BD468" t="n">
        <v>76</v>
      </c>
      <c r="BE468" t="n">
        <v>33</v>
      </c>
      <c r="BF468" t="n">
        <v>95</v>
      </c>
      <c r="BG468" t="n">
        <v>0</v>
      </c>
      <c r="BH468" t="n">
        <v>17</v>
      </c>
      <c r="BI468" t="n">
        <v>1</v>
      </c>
      <c r="BJ468" t="n">
        <v>1</v>
      </c>
      <c r="BK468" t="n">
        <v>2</v>
      </c>
      <c r="BL468" t="n">
        <v>35</v>
      </c>
      <c r="BM468" t="n">
        <v>22</v>
      </c>
      <c r="BN468" t="n">
        <v>0</v>
      </c>
      <c r="BO468" t="n">
        <v>75</v>
      </c>
    </row>
    <row r="469">
      <c r="A469" t="n">
        <v>0</v>
      </c>
      <c r="B469" t="n">
        <v>0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218</v>
      </c>
      <c r="Z469" t="n">
        <v>156</v>
      </c>
      <c r="AA469" t="n">
        <v>13</v>
      </c>
      <c r="AB469" t="n">
        <v>4</v>
      </c>
      <c r="AC469" t="n">
        <v>0</v>
      </c>
      <c r="AD469" t="n">
        <v>2</v>
      </c>
      <c r="AE469" t="n">
        <v>9</v>
      </c>
      <c r="AF469" t="n">
        <v>1</v>
      </c>
      <c r="AG469" t="n">
        <v>2</v>
      </c>
      <c r="AH469" t="n">
        <v>14</v>
      </c>
      <c r="AI469" t="n">
        <v>36</v>
      </c>
      <c r="AJ469" t="n">
        <v>25</v>
      </c>
      <c r="AK469" t="n">
        <v>1</v>
      </c>
      <c r="AL469" t="n">
        <v>3</v>
      </c>
      <c r="AM469" t="n">
        <v>20</v>
      </c>
      <c r="AN469" t="n">
        <v>0</v>
      </c>
      <c r="AO469" t="n">
        <v>0</v>
      </c>
      <c r="AP469" t="n">
        <v>2</v>
      </c>
      <c r="AQ469" t="n">
        <v>7</v>
      </c>
      <c r="AR469" t="n">
        <v>58</v>
      </c>
      <c r="AS469" t="n">
        <v>51</v>
      </c>
      <c r="AT469" t="n">
        <v>5</v>
      </c>
      <c r="AU469" t="n">
        <v>1</v>
      </c>
      <c r="AV469" t="n">
        <v>51</v>
      </c>
      <c r="AW469" t="n">
        <v>1</v>
      </c>
      <c r="AX469" t="n">
        <v>11</v>
      </c>
      <c r="AY469" t="n">
        <v>22</v>
      </c>
      <c r="AZ469" t="n">
        <v>1</v>
      </c>
      <c r="BA469" t="n">
        <v>8</v>
      </c>
      <c r="BB469" t="n">
        <v>19</v>
      </c>
      <c r="BC469" t="n">
        <v>16</v>
      </c>
      <c r="BD469" t="n">
        <v>16</v>
      </c>
      <c r="BE469" t="n">
        <v>1</v>
      </c>
      <c r="BF469" t="n">
        <v>20</v>
      </c>
      <c r="BG469" t="n">
        <v>8</v>
      </c>
      <c r="BH469" t="n">
        <v>6</v>
      </c>
      <c r="BI469" t="n">
        <v>79</v>
      </c>
      <c r="BJ469" t="n">
        <v>73</v>
      </c>
      <c r="BK469" t="n">
        <v>5</v>
      </c>
      <c r="BL469" t="n">
        <v>27</v>
      </c>
      <c r="BM469" t="n">
        <v>28</v>
      </c>
      <c r="BN469" t="n">
        <v>8</v>
      </c>
      <c r="BO469" t="n">
        <v>7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142</v>
      </c>
      <c r="Z470" t="n">
        <v>286</v>
      </c>
      <c r="AA470" t="n">
        <v>43</v>
      </c>
      <c r="AB470" t="n">
        <v>1</v>
      </c>
      <c r="AC470" t="n">
        <v>0</v>
      </c>
      <c r="AD470" t="n">
        <v>2</v>
      </c>
      <c r="AE470" t="n">
        <v>6</v>
      </c>
      <c r="AF470" t="n">
        <v>2</v>
      </c>
      <c r="AG470" t="n">
        <v>0</v>
      </c>
      <c r="AH470" t="n">
        <v>30</v>
      </c>
      <c r="AI470" t="n">
        <v>90</v>
      </c>
      <c r="AJ470" t="n">
        <v>45</v>
      </c>
      <c r="AK470" t="n">
        <v>13</v>
      </c>
      <c r="AL470" t="n">
        <v>5</v>
      </c>
      <c r="AM470" t="n">
        <v>35</v>
      </c>
      <c r="AN470" t="n">
        <v>0</v>
      </c>
      <c r="AO470" t="n">
        <v>1</v>
      </c>
      <c r="AP470" t="n">
        <v>3</v>
      </c>
      <c r="AQ470" t="n">
        <v>-2</v>
      </c>
      <c r="AR470" t="n">
        <v>227</v>
      </c>
      <c r="AS470" t="n">
        <v>215</v>
      </c>
      <c r="AT470" t="n">
        <v>1</v>
      </c>
      <c r="AU470" t="n">
        <v>0</v>
      </c>
      <c r="AV470" t="n">
        <v>23</v>
      </c>
      <c r="AW470" t="n">
        <v>20</v>
      </c>
      <c r="AX470" t="n">
        <v>0</v>
      </c>
      <c r="AY470" t="n">
        <v>3</v>
      </c>
      <c r="AZ470" t="n">
        <v>2</v>
      </c>
      <c r="BA470" t="n">
        <v>24</v>
      </c>
      <c r="BB470" t="n">
        <v>65</v>
      </c>
      <c r="BC470" t="n">
        <v>30</v>
      </c>
      <c r="BD470" t="n">
        <v>27</v>
      </c>
      <c r="BE470" t="n">
        <v>30</v>
      </c>
      <c r="BF470" t="n">
        <v>36</v>
      </c>
      <c r="BG470" t="n">
        <v>0</v>
      </c>
      <c r="BH470" t="n">
        <v>14</v>
      </c>
      <c r="BI470" t="n">
        <v>5</v>
      </c>
      <c r="BJ470" t="n">
        <v>7</v>
      </c>
      <c r="BK470" t="n">
        <v>1</v>
      </c>
      <c r="BL470" t="n">
        <v>1</v>
      </c>
      <c r="BM470" t="n">
        <v>3</v>
      </c>
      <c r="BN470" t="n">
        <v>0</v>
      </c>
      <c r="BO470" t="n">
        <v>11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138</v>
      </c>
      <c r="Z471" t="n">
        <v>137</v>
      </c>
      <c r="AA471" t="n">
        <v>18</v>
      </c>
      <c r="AB471" t="n">
        <v>0</v>
      </c>
      <c r="AC471" t="n">
        <v>3</v>
      </c>
      <c r="AD471" t="n">
        <v>4</v>
      </c>
      <c r="AE471" t="n">
        <v>3</v>
      </c>
      <c r="AF471" t="n">
        <v>1</v>
      </c>
      <c r="AG471" t="n">
        <v>0</v>
      </c>
      <c r="AH471" t="n">
        <v>64</v>
      </c>
      <c r="AI471" t="n">
        <v>22</v>
      </c>
      <c r="AJ471" t="n">
        <v>2</v>
      </c>
      <c r="AK471" t="n">
        <v>1</v>
      </c>
      <c r="AL471" t="n">
        <v>3</v>
      </c>
      <c r="AM471" t="n">
        <v>29</v>
      </c>
      <c r="AN471" t="n">
        <v>0</v>
      </c>
      <c r="AO471" t="n">
        <v>0</v>
      </c>
      <c r="AP471" t="n">
        <v>2</v>
      </c>
      <c r="AQ471" t="n">
        <v>3</v>
      </c>
      <c r="AR471" t="n">
        <v>100</v>
      </c>
      <c r="AS471" t="n">
        <v>92</v>
      </c>
      <c r="AT471" t="n">
        <v>0</v>
      </c>
      <c r="AU471" t="n">
        <v>2</v>
      </c>
      <c r="AV471" t="n">
        <v>4</v>
      </c>
      <c r="AW471" t="n">
        <v>36</v>
      </c>
      <c r="AX471" t="n">
        <v>6</v>
      </c>
      <c r="AY471" t="n">
        <v>34</v>
      </c>
      <c r="AZ471" t="n">
        <v>1</v>
      </c>
      <c r="BA471" t="n">
        <v>1</v>
      </c>
      <c r="BB471" t="n">
        <v>18</v>
      </c>
      <c r="BC471" t="n">
        <v>27</v>
      </c>
      <c r="BD471" t="n">
        <v>65</v>
      </c>
      <c r="BE471" t="n">
        <v>37</v>
      </c>
      <c r="BF471" t="n">
        <v>2</v>
      </c>
      <c r="BG471" t="n">
        <v>3</v>
      </c>
      <c r="BH471" t="n">
        <v>7</v>
      </c>
      <c r="BI471" t="n">
        <v>36</v>
      </c>
      <c r="BJ471" t="n">
        <v>40</v>
      </c>
      <c r="BK471" t="n">
        <v>2</v>
      </c>
      <c r="BL471" t="n">
        <v>7</v>
      </c>
      <c r="BM471" t="n">
        <v>9</v>
      </c>
      <c r="BN471" t="n">
        <v>4</v>
      </c>
      <c r="BO471" t="n">
        <v>9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147</v>
      </c>
      <c r="Z472" t="n">
        <v>133</v>
      </c>
      <c r="AA472" t="n">
        <v>115</v>
      </c>
      <c r="AB472" t="n">
        <v>0</v>
      </c>
      <c r="AC472" t="n">
        <v>0</v>
      </c>
      <c r="AD472" t="n">
        <v>2</v>
      </c>
      <c r="AE472" t="n">
        <v>1</v>
      </c>
      <c r="AF472" t="n">
        <v>4</v>
      </c>
      <c r="AG472" t="n">
        <v>4</v>
      </c>
      <c r="AH472" t="n">
        <v>17</v>
      </c>
      <c r="AI472" t="n">
        <v>38</v>
      </c>
      <c r="AJ472" t="n">
        <v>55</v>
      </c>
      <c r="AK472" t="n">
        <v>28</v>
      </c>
      <c r="AL472" t="n">
        <v>3</v>
      </c>
      <c r="AM472" t="n">
        <v>43</v>
      </c>
      <c r="AN472" t="n">
        <v>0</v>
      </c>
      <c r="AO472" t="n">
        <v>0</v>
      </c>
      <c r="AP472" t="n">
        <v>4</v>
      </c>
      <c r="AQ472" t="n">
        <v>47</v>
      </c>
      <c r="AR472" t="n">
        <v>176</v>
      </c>
      <c r="AS472" t="n">
        <v>130</v>
      </c>
      <c r="AT472" t="n">
        <v>3</v>
      </c>
      <c r="AU472" t="n">
        <v>0</v>
      </c>
      <c r="AV472" t="n">
        <v>18</v>
      </c>
      <c r="AW472" t="n">
        <v>13</v>
      </c>
      <c r="AX472" t="n">
        <v>-1</v>
      </c>
      <c r="AY472" t="n">
        <v>28</v>
      </c>
      <c r="AZ472" t="n">
        <v>1</v>
      </c>
      <c r="BA472" t="n">
        <v>9</v>
      </c>
      <c r="BB472" t="n">
        <v>118</v>
      </c>
      <c r="BC472" t="n">
        <v>39</v>
      </c>
      <c r="BD472" t="n">
        <v>20</v>
      </c>
      <c r="BE472" t="n">
        <v>13</v>
      </c>
      <c r="BF472" t="n">
        <v>43</v>
      </c>
      <c r="BG472" t="n">
        <v>1</v>
      </c>
      <c r="BH472" t="n">
        <v>4</v>
      </c>
      <c r="BI472" t="n">
        <v>22</v>
      </c>
      <c r="BJ472" t="n">
        <v>37</v>
      </c>
      <c r="BK472" t="n">
        <v>3</v>
      </c>
      <c r="BL472" t="n">
        <v>16</v>
      </c>
      <c r="BM472" t="n">
        <v>11</v>
      </c>
      <c r="BN472" t="n">
        <v>0</v>
      </c>
      <c r="BO472" t="n">
        <v>7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275</v>
      </c>
      <c r="Z473" t="n">
        <v>119</v>
      </c>
      <c r="AA473" t="n">
        <v>29</v>
      </c>
      <c r="AB473" t="n">
        <v>1</v>
      </c>
      <c r="AC473" t="n">
        <v>2</v>
      </c>
      <c r="AD473" t="n">
        <v>4</v>
      </c>
      <c r="AE473" t="n">
        <v>4</v>
      </c>
      <c r="AF473" t="n">
        <v>5</v>
      </c>
      <c r="AG473" t="n">
        <v>6</v>
      </c>
      <c r="AH473" t="n">
        <v>86</v>
      </c>
      <c r="AI473" t="n">
        <v>44</v>
      </c>
      <c r="AJ473" t="n">
        <v>41</v>
      </c>
      <c r="AK473" t="n">
        <v>137</v>
      </c>
      <c r="AL473" t="n">
        <v>2</v>
      </c>
      <c r="AM473" t="n">
        <v>43</v>
      </c>
      <c r="AN473" t="n">
        <v>0</v>
      </c>
      <c r="AO473" t="n">
        <v>0</v>
      </c>
      <c r="AP473" t="n">
        <v>4</v>
      </c>
      <c r="AQ473" t="n">
        <v>12</v>
      </c>
      <c r="AR473" t="n">
        <v>105</v>
      </c>
      <c r="AS473" t="n">
        <v>92</v>
      </c>
      <c r="AT473" t="n">
        <v>0</v>
      </c>
      <c r="AU473" t="n">
        <v>0</v>
      </c>
      <c r="AV473" t="n">
        <v>1</v>
      </c>
      <c r="AW473" t="n">
        <v>1</v>
      </c>
      <c r="AX473" t="n">
        <v>10</v>
      </c>
      <c r="AY473" t="n">
        <v>24</v>
      </c>
      <c r="AZ473" t="n">
        <v>1</v>
      </c>
      <c r="BA473" t="n">
        <v>7</v>
      </c>
      <c r="BB473" t="n">
        <v>33</v>
      </c>
      <c r="BC473" t="n">
        <v>36</v>
      </c>
      <c r="BD473" t="n">
        <v>77</v>
      </c>
      <c r="BE473" t="n">
        <v>4</v>
      </c>
      <c r="BF473" t="n">
        <v>41</v>
      </c>
      <c r="BG473" t="n">
        <v>1</v>
      </c>
      <c r="BH473" t="n">
        <v>7</v>
      </c>
      <c r="BI473" t="n">
        <v>12</v>
      </c>
      <c r="BJ473" t="n">
        <v>18</v>
      </c>
      <c r="BK473" t="n">
        <v>0</v>
      </c>
      <c r="BL473" t="n">
        <v>1</v>
      </c>
      <c r="BM473" t="n">
        <v>44</v>
      </c>
      <c r="BN473" t="n">
        <v>27</v>
      </c>
      <c r="BO473" t="n">
        <v>32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162</v>
      </c>
      <c r="Z474" t="n">
        <v>240</v>
      </c>
      <c r="AA474" t="n">
        <v>32</v>
      </c>
      <c r="AB474" t="n">
        <v>4</v>
      </c>
      <c r="AC474" t="n">
        <v>1</v>
      </c>
      <c r="AD474" t="n">
        <v>1</v>
      </c>
      <c r="AE474" t="n">
        <v>7</v>
      </c>
      <c r="AF474" t="n">
        <v>1</v>
      </c>
      <c r="AG474" t="n">
        <v>0</v>
      </c>
      <c r="AH474" t="n">
        <v>0</v>
      </c>
      <c r="AI474" t="n">
        <v>56</v>
      </c>
      <c r="AJ474" t="n">
        <v>4</v>
      </c>
      <c r="AK474" t="n">
        <v>9</v>
      </c>
      <c r="AL474" t="n">
        <v>6</v>
      </c>
      <c r="AM474" t="n">
        <v>22</v>
      </c>
      <c r="AN474" t="n">
        <v>0</v>
      </c>
      <c r="AO474" t="n">
        <v>0</v>
      </c>
      <c r="AP474" t="n">
        <v>9</v>
      </c>
      <c r="AQ474" t="n">
        <v>65</v>
      </c>
      <c r="AR474" t="n">
        <v>102</v>
      </c>
      <c r="AS474" t="n">
        <v>46</v>
      </c>
      <c r="AT474" t="n">
        <v>3</v>
      </c>
      <c r="AU474" t="n">
        <v>0</v>
      </c>
      <c r="AV474" t="n">
        <v>32</v>
      </c>
      <c r="AW474" t="n">
        <v>3</v>
      </c>
      <c r="AX474" t="n">
        <v>4</v>
      </c>
      <c r="AY474" t="n">
        <v>28</v>
      </c>
      <c r="AZ474" t="n">
        <v>5</v>
      </c>
      <c r="BA474" t="n">
        <v>42</v>
      </c>
      <c r="BB474" t="n">
        <v>76</v>
      </c>
      <c r="BC474" t="n">
        <v>19</v>
      </c>
      <c r="BD474" t="n">
        <v>13</v>
      </c>
      <c r="BE474" t="n">
        <v>7</v>
      </c>
      <c r="BF474" t="n">
        <v>2</v>
      </c>
      <c r="BG474" t="n">
        <v>4</v>
      </c>
      <c r="BH474" t="n">
        <v>9</v>
      </c>
      <c r="BI474" t="n">
        <v>50</v>
      </c>
      <c r="BJ474" t="n">
        <v>49</v>
      </c>
      <c r="BK474" t="n">
        <v>0</v>
      </c>
      <c r="BL474" t="n">
        <v>2</v>
      </c>
      <c r="BM474" t="n">
        <v>14</v>
      </c>
      <c r="BN474" t="n">
        <v>8</v>
      </c>
      <c r="BO474" t="n">
        <v>30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312</v>
      </c>
      <c r="Z475" t="n">
        <v>134</v>
      </c>
      <c r="AA475" t="n">
        <v>135</v>
      </c>
      <c r="AB475" t="n">
        <v>1</v>
      </c>
      <c r="AC475" t="n">
        <v>3</v>
      </c>
      <c r="AD475" t="n">
        <v>4</v>
      </c>
      <c r="AE475" t="n">
        <v>3</v>
      </c>
      <c r="AF475" t="n">
        <v>3</v>
      </c>
      <c r="AG475" t="n">
        <v>8</v>
      </c>
      <c r="AH475" t="n">
        <v>87</v>
      </c>
      <c r="AI475" t="n">
        <v>2</v>
      </c>
      <c r="AJ475" t="n">
        <v>49</v>
      </c>
      <c r="AK475" t="n">
        <v>122</v>
      </c>
      <c r="AL475" t="n">
        <v>0</v>
      </c>
      <c r="AM475" t="n">
        <v>9</v>
      </c>
      <c r="AN475" t="n">
        <v>0</v>
      </c>
      <c r="AO475" t="n">
        <v>0</v>
      </c>
      <c r="AP475" t="n">
        <v>2</v>
      </c>
      <c r="AQ475" t="n">
        <v>4</v>
      </c>
      <c r="AR475" t="n">
        <v>134</v>
      </c>
      <c r="AS475" t="n">
        <v>123</v>
      </c>
      <c r="AT475" t="n">
        <v>3</v>
      </c>
      <c r="AU475" t="n">
        <v>1</v>
      </c>
      <c r="AV475" t="n">
        <v>44</v>
      </c>
      <c r="AW475" t="n">
        <v>1</v>
      </c>
      <c r="AX475" t="n">
        <v>0</v>
      </c>
      <c r="AY475" t="n">
        <v>80</v>
      </c>
      <c r="AZ475" t="n">
        <v>2</v>
      </c>
      <c r="BA475" t="n">
        <v>16</v>
      </c>
      <c r="BB475" t="n">
        <v>141</v>
      </c>
      <c r="BC475" t="n">
        <v>2</v>
      </c>
      <c r="BD475" t="n">
        <v>77</v>
      </c>
      <c r="BE475" t="n">
        <v>6</v>
      </c>
      <c r="BF475" t="n">
        <v>37</v>
      </c>
      <c r="BG475" t="n">
        <v>5</v>
      </c>
      <c r="BH475" t="n">
        <v>11</v>
      </c>
      <c r="BI475" t="n">
        <v>32</v>
      </c>
      <c r="BJ475" t="n">
        <v>30</v>
      </c>
      <c r="BK475" t="n">
        <v>2</v>
      </c>
      <c r="BL475" t="n">
        <v>1</v>
      </c>
      <c r="BM475" t="n">
        <v>20</v>
      </c>
      <c r="BN475" t="n">
        <v>11</v>
      </c>
      <c r="BO475" t="n">
        <v>2</v>
      </c>
    </row>
    <row r="476">
      <c r="A476" t="n">
        <v>0</v>
      </c>
      <c r="B476" t="n">
        <v>0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375</v>
      </c>
      <c r="Z476" t="n">
        <v>144</v>
      </c>
      <c r="AA476" t="n">
        <v>68</v>
      </c>
      <c r="AB476" t="n">
        <v>1</v>
      </c>
      <c r="AC476" t="n">
        <v>1</v>
      </c>
      <c r="AD476" t="n">
        <v>4</v>
      </c>
      <c r="AE476" t="n">
        <v>6</v>
      </c>
      <c r="AF476" t="n">
        <v>6</v>
      </c>
      <c r="AG476" t="n">
        <v>5</v>
      </c>
      <c r="AH476" t="n">
        <v>63</v>
      </c>
      <c r="AI476" t="n">
        <v>47</v>
      </c>
      <c r="AJ476" t="n">
        <v>111</v>
      </c>
      <c r="AK476" t="n">
        <v>33</v>
      </c>
      <c r="AL476" t="n">
        <v>0</v>
      </c>
      <c r="AM476" t="n">
        <v>18</v>
      </c>
      <c r="AN476" t="n">
        <v>0</v>
      </c>
      <c r="AO476" t="n">
        <v>0</v>
      </c>
      <c r="AP476" t="n">
        <v>8</v>
      </c>
      <c r="AQ476" t="n">
        <v>24</v>
      </c>
      <c r="AR476" t="n">
        <v>124</v>
      </c>
      <c r="AS476" t="n">
        <v>100</v>
      </c>
      <c r="AT476" t="n">
        <v>11</v>
      </c>
      <c r="AU476" t="n">
        <v>1</v>
      </c>
      <c r="AV476" t="n">
        <v>124</v>
      </c>
      <c r="AW476" t="n">
        <v>-3</v>
      </c>
      <c r="AX476" t="n">
        <v>0</v>
      </c>
      <c r="AY476" t="n">
        <v>31</v>
      </c>
      <c r="AZ476" t="n">
        <v>6</v>
      </c>
      <c r="BA476" t="n">
        <v>43</v>
      </c>
      <c r="BB476" t="n">
        <v>111</v>
      </c>
      <c r="BC476" t="n">
        <v>15</v>
      </c>
      <c r="BD476" t="n">
        <v>56</v>
      </c>
      <c r="BE476" t="n">
        <v>17</v>
      </c>
      <c r="BF476" t="n">
        <v>89</v>
      </c>
      <c r="BG476" t="n">
        <v>6</v>
      </c>
      <c r="BH476" t="n">
        <v>7</v>
      </c>
      <c r="BI476" t="n">
        <v>49</v>
      </c>
      <c r="BJ476" t="n">
        <v>46</v>
      </c>
      <c r="BK476" t="n">
        <v>5</v>
      </c>
      <c r="BL476" t="n">
        <v>30</v>
      </c>
      <c r="BM476" t="n">
        <v>20</v>
      </c>
      <c r="BN476" t="n">
        <v>1</v>
      </c>
      <c r="BO476" t="n">
        <v>4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218</v>
      </c>
      <c r="Z477" t="n">
        <v>147</v>
      </c>
      <c r="AA477" t="n">
        <v>59</v>
      </c>
      <c r="AB477" t="n">
        <v>0</v>
      </c>
      <c r="AC477" t="n">
        <v>1</v>
      </c>
      <c r="AD477" t="n">
        <v>1</v>
      </c>
      <c r="AE477" t="n">
        <v>4</v>
      </c>
      <c r="AF477" t="n">
        <v>1</v>
      </c>
      <c r="AG477" t="n">
        <v>3</v>
      </c>
      <c r="AH477" t="n">
        <v>11</v>
      </c>
      <c r="AI477" t="n">
        <v>31</v>
      </c>
      <c r="AJ477" t="n">
        <v>32</v>
      </c>
      <c r="AK477" t="n">
        <v>16</v>
      </c>
      <c r="AL477" t="n">
        <v>6</v>
      </c>
      <c r="AM477" t="n">
        <v>48</v>
      </c>
      <c r="AN477" t="n">
        <v>0</v>
      </c>
      <c r="AO477" t="n">
        <v>0</v>
      </c>
      <c r="AP477" t="n">
        <v>9</v>
      </c>
      <c r="AQ477" t="n">
        <v>52</v>
      </c>
      <c r="AR477" t="n">
        <v>202</v>
      </c>
      <c r="AS477" t="n">
        <v>158</v>
      </c>
      <c r="AT477" t="n">
        <v>3</v>
      </c>
      <c r="AU477" t="n">
        <v>0</v>
      </c>
      <c r="AV477" t="n">
        <v>12</v>
      </c>
      <c r="AW477" t="n">
        <v>9</v>
      </c>
      <c r="AX477" t="n">
        <v>4</v>
      </c>
      <c r="AY477" t="n">
        <v>32</v>
      </c>
      <c r="AZ477" t="n">
        <v>0</v>
      </c>
      <c r="BA477" t="n">
        <v>3</v>
      </c>
      <c r="BB477" t="n">
        <v>58</v>
      </c>
      <c r="BC477" t="n">
        <v>48</v>
      </c>
      <c r="BD477" t="n">
        <v>30</v>
      </c>
      <c r="BE477" t="n">
        <v>9</v>
      </c>
      <c r="BF477" t="n">
        <v>29</v>
      </c>
      <c r="BG477" t="n">
        <v>5</v>
      </c>
      <c r="BH477" t="n">
        <v>8</v>
      </c>
      <c r="BI477" t="n">
        <v>103</v>
      </c>
      <c r="BJ477" t="n">
        <v>93</v>
      </c>
      <c r="BK477" t="n">
        <v>5</v>
      </c>
      <c r="BL477" t="n">
        <v>16</v>
      </c>
      <c r="BM477" t="n">
        <v>13</v>
      </c>
      <c r="BN477" t="n">
        <v>3</v>
      </c>
      <c r="BO477" t="n">
        <v>35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288</v>
      </c>
      <c r="Z478" t="n">
        <v>24</v>
      </c>
      <c r="AA478" t="n">
        <v>44</v>
      </c>
      <c r="AB478" t="n">
        <v>4</v>
      </c>
      <c r="AC478" t="n">
        <v>1</v>
      </c>
      <c r="AD478" t="n">
        <v>3</v>
      </c>
      <c r="AE478" t="n">
        <v>2</v>
      </c>
      <c r="AF478" t="n">
        <v>12</v>
      </c>
      <c r="AG478" t="n">
        <v>3</v>
      </c>
      <c r="AH478" t="n">
        <v>49</v>
      </c>
      <c r="AI478" t="n">
        <v>2</v>
      </c>
      <c r="AJ478" t="n">
        <v>108</v>
      </c>
      <c r="AK478" t="n">
        <v>56</v>
      </c>
      <c r="AL478" t="n">
        <v>0</v>
      </c>
      <c r="AM478" t="n">
        <v>2</v>
      </c>
      <c r="AN478" t="n">
        <v>0</v>
      </c>
      <c r="AO478" t="n">
        <v>0</v>
      </c>
      <c r="AP478" t="n">
        <v>8</v>
      </c>
      <c r="AQ478" t="n">
        <v>81</v>
      </c>
      <c r="AR478" t="n">
        <v>202</v>
      </c>
      <c r="AS478" t="n">
        <v>132</v>
      </c>
      <c r="AT478" t="n">
        <v>4</v>
      </c>
      <c r="AU478" t="n">
        <v>2</v>
      </c>
      <c r="AV478" t="n">
        <v>12</v>
      </c>
      <c r="AW478" t="n">
        <v>6</v>
      </c>
      <c r="AX478" t="n">
        <v>4</v>
      </c>
      <c r="AY478" t="n">
        <v>21</v>
      </c>
      <c r="AZ478" t="n">
        <v>1</v>
      </c>
      <c r="BA478" t="n">
        <v>9</v>
      </c>
      <c r="BB478" t="n">
        <v>50</v>
      </c>
      <c r="BC478" t="n">
        <v>2</v>
      </c>
      <c r="BD478" t="n">
        <v>59</v>
      </c>
      <c r="BE478" t="n">
        <v>7</v>
      </c>
      <c r="BF478" t="n">
        <v>86</v>
      </c>
      <c r="BG478" t="n">
        <v>1</v>
      </c>
      <c r="BH478" t="n">
        <v>11</v>
      </c>
      <c r="BI478" t="n">
        <v>1</v>
      </c>
      <c r="BJ478" t="n">
        <v>1</v>
      </c>
      <c r="BK478" t="n">
        <v>0</v>
      </c>
      <c r="BL478" t="n">
        <v>1</v>
      </c>
      <c r="BM478" t="n">
        <v>4</v>
      </c>
      <c r="BN478" t="n">
        <v>1</v>
      </c>
      <c r="BO478" t="n">
        <v>18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231</v>
      </c>
      <c r="Z479" t="n">
        <v>329</v>
      </c>
      <c r="AA479" t="n">
        <v>21</v>
      </c>
      <c r="AB479" t="n">
        <v>4</v>
      </c>
      <c r="AC479" t="n">
        <v>3</v>
      </c>
      <c r="AD479" t="n">
        <v>7</v>
      </c>
      <c r="AE479" t="n">
        <v>10</v>
      </c>
      <c r="AF479" t="n">
        <v>5</v>
      </c>
      <c r="AG479" t="n">
        <v>5</v>
      </c>
      <c r="AH479" t="n">
        <v>76</v>
      </c>
      <c r="AI479" t="n">
        <v>166</v>
      </c>
      <c r="AJ479" t="n">
        <v>46</v>
      </c>
      <c r="AK479" t="n">
        <v>38</v>
      </c>
      <c r="AL479" t="n">
        <v>6</v>
      </c>
      <c r="AM479" t="n">
        <v>87</v>
      </c>
      <c r="AN479" t="n">
        <v>0</v>
      </c>
      <c r="AO479" t="n">
        <v>0</v>
      </c>
      <c r="AP479" t="n">
        <v>2</v>
      </c>
      <c r="AQ479" t="n">
        <v>9</v>
      </c>
      <c r="AR479" t="n">
        <v>130</v>
      </c>
      <c r="AS479" t="n">
        <v>118</v>
      </c>
      <c r="AT479" t="n">
        <v>3</v>
      </c>
      <c r="AU479" t="n">
        <v>2</v>
      </c>
      <c r="AV479" t="n">
        <v>11</v>
      </c>
      <c r="AW479" t="n">
        <v>33</v>
      </c>
      <c r="AX479" t="n">
        <v>1</v>
      </c>
      <c r="AY479" t="n">
        <v>25</v>
      </c>
      <c r="AZ479" t="n">
        <v>2</v>
      </c>
      <c r="BA479" t="n">
        <v>7</v>
      </c>
      <c r="BB479" t="n">
        <v>25</v>
      </c>
      <c r="BC479" t="n">
        <v>72</v>
      </c>
      <c r="BD479" t="n">
        <v>68</v>
      </c>
      <c r="BE479" t="n">
        <v>34</v>
      </c>
      <c r="BF479" t="n">
        <v>36</v>
      </c>
      <c r="BG479" t="n">
        <v>6</v>
      </c>
      <c r="BH479" t="n">
        <v>4</v>
      </c>
      <c r="BI479" t="n">
        <v>37</v>
      </c>
      <c r="BJ479" t="n">
        <v>34</v>
      </c>
      <c r="BK479" t="n">
        <v>3</v>
      </c>
      <c r="BL479" t="n">
        <v>18</v>
      </c>
      <c r="BM479" t="n">
        <v>12</v>
      </c>
      <c r="BN479" t="n">
        <v>0</v>
      </c>
      <c r="BO479" t="n">
        <v>49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100</v>
      </c>
      <c r="Z480" t="n">
        <v>135</v>
      </c>
      <c r="AA480" t="n">
        <v>82</v>
      </c>
      <c r="AB480" t="n">
        <v>2</v>
      </c>
      <c r="AC480" t="n">
        <v>0</v>
      </c>
      <c r="AD480" t="n">
        <v>1</v>
      </c>
      <c r="AE480" t="n">
        <v>1</v>
      </c>
      <c r="AF480" t="n">
        <v>4</v>
      </c>
      <c r="AG480" t="n">
        <v>5</v>
      </c>
      <c r="AH480" t="n">
        <v>10</v>
      </c>
      <c r="AI480" t="n">
        <v>25</v>
      </c>
      <c r="AJ480" t="n">
        <v>32</v>
      </c>
      <c r="AK480" t="n">
        <v>30</v>
      </c>
      <c r="AL480" t="n">
        <v>1</v>
      </c>
      <c r="AM480" t="n">
        <v>33</v>
      </c>
      <c r="AN480" t="n">
        <v>0</v>
      </c>
      <c r="AO480" t="n">
        <v>0</v>
      </c>
      <c r="AP480" t="n">
        <v>0</v>
      </c>
      <c r="AQ480" t="n">
        <v>1</v>
      </c>
      <c r="AR480" t="n">
        <v>138</v>
      </c>
      <c r="AS480" t="n">
        <v>126</v>
      </c>
      <c r="AT480" t="n">
        <v>1</v>
      </c>
      <c r="AU480" t="n">
        <v>1</v>
      </c>
      <c r="AV480" t="n">
        <v>1</v>
      </c>
      <c r="AW480" t="n">
        <v>15</v>
      </c>
      <c r="AX480" t="n">
        <v>2</v>
      </c>
      <c r="AY480" t="n">
        <v>31</v>
      </c>
      <c r="AZ480" t="n">
        <v>2</v>
      </c>
      <c r="BA480" t="n">
        <v>15</v>
      </c>
      <c r="BB480" t="n">
        <v>93</v>
      </c>
      <c r="BC480" t="n">
        <v>27</v>
      </c>
      <c r="BD480" t="n">
        <v>43</v>
      </c>
      <c r="BE480" t="n">
        <v>28</v>
      </c>
      <c r="BF480" t="n">
        <v>26</v>
      </c>
      <c r="BG480" t="n">
        <v>1</v>
      </c>
      <c r="BH480" t="n">
        <v>11</v>
      </c>
      <c r="BI480" t="n">
        <v>1</v>
      </c>
      <c r="BJ480" t="n">
        <v>9</v>
      </c>
      <c r="BK480" t="n">
        <v>1</v>
      </c>
      <c r="BL480" t="n">
        <v>8</v>
      </c>
      <c r="BM480" t="n">
        <v>13</v>
      </c>
      <c r="BN480" t="n">
        <v>5</v>
      </c>
      <c r="BO480" t="n">
        <v>2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2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191</v>
      </c>
      <c r="Z481" t="n">
        <v>235</v>
      </c>
      <c r="AA481" t="n">
        <v>51</v>
      </c>
      <c r="AB481" t="n">
        <v>1</v>
      </c>
      <c r="AC481" t="n">
        <v>1</v>
      </c>
      <c r="AD481" t="n">
        <v>1</v>
      </c>
      <c r="AE481" t="n">
        <v>11</v>
      </c>
      <c r="AF481" t="n">
        <v>6</v>
      </c>
      <c r="AG481" t="n">
        <v>4</v>
      </c>
      <c r="AH481" t="n">
        <v>2</v>
      </c>
      <c r="AI481" t="n">
        <v>59</v>
      </c>
      <c r="AJ481" t="n">
        <v>79</v>
      </c>
      <c r="AK481" t="n">
        <v>33</v>
      </c>
      <c r="AL481" t="n">
        <v>1</v>
      </c>
      <c r="AM481" t="n">
        <v>7</v>
      </c>
      <c r="AN481" t="n">
        <v>0</v>
      </c>
      <c r="AO481" t="n">
        <v>0</v>
      </c>
      <c r="AP481" t="n">
        <v>4</v>
      </c>
      <c r="AQ481" t="n">
        <v>56</v>
      </c>
      <c r="AR481" t="n">
        <v>255</v>
      </c>
      <c r="AS481" t="n">
        <v>210</v>
      </c>
      <c r="AT481" t="n">
        <v>1</v>
      </c>
      <c r="AU481" t="n">
        <v>1</v>
      </c>
      <c r="AV481" t="n">
        <v>9</v>
      </c>
      <c r="AW481" t="n">
        <v>19</v>
      </c>
      <c r="AX481" t="n">
        <v>0</v>
      </c>
      <c r="AY481" t="n">
        <v>11</v>
      </c>
      <c r="AZ481" t="n">
        <v>2</v>
      </c>
      <c r="BA481" t="n">
        <v>22</v>
      </c>
      <c r="BB481" t="n">
        <v>71</v>
      </c>
      <c r="BC481" t="n">
        <v>11</v>
      </c>
      <c r="BD481" t="n">
        <v>5</v>
      </c>
      <c r="BE481" t="n">
        <v>20</v>
      </c>
      <c r="BF481" t="n">
        <v>63</v>
      </c>
      <c r="BG481" t="n">
        <v>3</v>
      </c>
      <c r="BH481" t="n">
        <v>2</v>
      </c>
      <c r="BI481" t="n">
        <v>21</v>
      </c>
      <c r="BJ481" t="n">
        <v>18</v>
      </c>
      <c r="BK481" t="n">
        <v>0</v>
      </c>
      <c r="BL481" t="n">
        <v>1</v>
      </c>
      <c r="BM481" t="n">
        <v>28</v>
      </c>
      <c r="BN481" t="n">
        <v>16</v>
      </c>
      <c r="BO481" t="n">
        <v>77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245</v>
      </c>
      <c r="Z482" t="n">
        <v>257</v>
      </c>
      <c r="AA482" t="n">
        <v>51</v>
      </c>
      <c r="AB482" t="n">
        <v>0</v>
      </c>
      <c r="AC482" t="n">
        <v>0</v>
      </c>
      <c r="AD482" t="n">
        <v>2</v>
      </c>
      <c r="AE482" t="n">
        <v>7</v>
      </c>
      <c r="AF482" t="n">
        <v>4</v>
      </c>
      <c r="AG482" t="n">
        <v>3</v>
      </c>
      <c r="AH482" t="n">
        <v>72</v>
      </c>
      <c r="AI482" t="n">
        <v>77</v>
      </c>
      <c r="AJ482" t="n">
        <v>54</v>
      </c>
      <c r="AK482" t="n">
        <v>21</v>
      </c>
      <c r="AL482" t="n">
        <v>2</v>
      </c>
      <c r="AM482" t="n">
        <v>27</v>
      </c>
      <c r="AN482" t="n">
        <v>0</v>
      </c>
      <c r="AO482" t="n">
        <v>0</v>
      </c>
      <c r="AP482" t="n">
        <v>0</v>
      </c>
      <c r="AQ482" t="n">
        <v>1</v>
      </c>
      <c r="AR482" t="n">
        <v>88</v>
      </c>
      <c r="AS482" t="n">
        <v>81</v>
      </c>
      <c r="AT482" t="n">
        <v>0</v>
      </c>
      <c r="AU482" t="n">
        <v>1</v>
      </c>
      <c r="AV482" t="n">
        <v>1</v>
      </c>
      <c r="AW482" t="n">
        <v>21</v>
      </c>
      <c r="AX482" t="n">
        <v>9</v>
      </c>
      <c r="AY482" t="n">
        <v>34</v>
      </c>
      <c r="AZ482" t="n">
        <v>3</v>
      </c>
      <c r="BA482" t="n">
        <v>40</v>
      </c>
      <c r="BB482" t="n">
        <v>91</v>
      </c>
      <c r="BC482" t="n">
        <v>21</v>
      </c>
      <c r="BD482" t="n">
        <v>69</v>
      </c>
      <c r="BE482" t="n">
        <v>26</v>
      </c>
      <c r="BF482" t="n">
        <v>42</v>
      </c>
      <c r="BG482" t="n">
        <v>2</v>
      </c>
      <c r="BH482" t="n">
        <v>7</v>
      </c>
      <c r="BI482" t="n">
        <v>32</v>
      </c>
      <c r="BJ482" t="n">
        <v>41</v>
      </c>
      <c r="BK482" t="n">
        <v>3</v>
      </c>
      <c r="BL482" t="n">
        <v>-1</v>
      </c>
      <c r="BM482" t="n">
        <v>4</v>
      </c>
      <c r="BN482" t="n">
        <v>1</v>
      </c>
      <c r="BO482" t="n">
        <v>4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3</v>
      </c>
      <c r="U483" t="n">
        <v>0</v>
      </c>
      <c r="V483" t="n">
        <v>0</v>
      </c>
      <c r="W483" t="n">
        <v>0</v>
      </c>
      <c r="X483" t="n">
        <v>0</v>
      </c>
      <c r="Y483" t="n">
        <v>224</v>
      </c>
      <c r="Z483" t="n">
        <v>307</v>
      </c>
      <c r="AA483" t="n">
        <v>87</v>
      </c>
      <c r="AB483" t="n">
        <v>2</v>
      </c>
      <c r="AC483" t="n">
        <v>2</v>
      </c>
      <c r="AD483" t="n">
        <v>5</v>
      </c>
      <c r="AE483" t="n">
        <v>10</v>
      </c>
      <c r="AF483" t="n">
        <v>3</v>
      </c>
      <c r="AG483" t="n">
        <v>3</v>
      </c>
      <c r="AH483" t="n">
        <v>53</v>
      </c>
      <c r="AI483" t="n">
        <v>72</v>
      </c>
      <c r="AJ483" t="n">
        <v>65</v>
      </c>
      <c r="AK483" t="n">
        <v>68</v>
      </c>
      <c r="AL483" t="n">
        <v>6</v>
      </c>
      <c r="AM483" t="n">
        <v>110</v>
      </c>
      <c r="AN483" t="n">
        <v>0</v>
      </c>
      <c r="AO483" t="n">
        <v>0</v>
      </c>
      <c r="AP483" t="n">
        <v>1</v>
      </c>
      <c r="AQ483" t="n">
        <v>1</v>
      </c>
      <c r="AR483" t="n">
        <v>62</v>
      </c>
      <c r="AS483" t="n">
        <v>56</v>
      </c>
      <c r="AT483" t="n">
        <v>1</v>
      </c>
      <c r="AU483" t="n">
        <v>3</v>
      </c>
      <c r="AV483" t="n">
        <v>6</v>
      </c>
      <c r="AW483" t="n">
        <v>51</v>
      </c>
      <c r="AX483" t="n">
        <v>0</v>
      </c>
      <c r="AY483" t="n">
        <v>38</v>
      </c>
      <c r="AZ483" t="n">
        <v>5</v>
      </c>
      <c r="BA483" t="n">
        <v>41</v>
      </c>
      <c r="BB483" t="n">
        <v>125</v>
      </c>
      <c r="BC483" t="n">
        <v>90</v>
      </c>
      <c r="BD483" t="n">
        <v>47</v>
      </c>
      <c r="BE483" t="n">
        <v>53</v>
      </c>
      <c r="BF483" t="n">
        <v>65</v>
      </c>
      <c r="BG483" t="n">
        <v>2</v>
      </c>
      <c r="BH483" t="n">
        <v>2</v>
      </c>
      <c r="BI483" t="n">
        <v>13</v>
      </c>
      <c r="BJ483" t="n">
        <v>11</v>
      </c>
      <c r="BK483" t="n">
        <v>0</v>
      </c>
      <c r="BL483" t="n">
        <v>1</v>
      </c>
      <c r="BM483" t="n">
        <v>-3</v>
      </c>
      <c r="BN483" t="n">
        <v>-2</v>
      </c>
      <c r="BO483" t="n">
        <v>2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153</v>
      </c>
      <c r="Z484" t="n">
        <v>184</v>
      </c>
      <c r="AA484" t="n">
        <v>31</v>
      </c>
      <c r="AB484" t="n">
        <v>1</v>
      </c>
      <c r="AC484" t="n">
        <v>2</v>
      </c>
      <c r="AD484" t="n">
        <v>4</v>
      </c>
      <c r="AE484" t="n">
        <v>5</v>
      </c>
      <c r="AF484" t="n">
        <v>3</v>
      </c>
      <c r="AG484" t="n">
        <v>3</v>
      </c>
      <c r="AH484" t="n">
        <v>11</v>
      </c>
      <c r="AI484" t="n">
        <v>14</v>
      </c>
      <c r="AJ484" t="n">
        <v>23</v>
      </c>
      <c r="AK484" t="n">
        <v>18</v>
      </c>
      <c r="AL484" t="n">
        <v>2</v>
      </c>
      <c r="AM484" t="n">
        <v>51</v>
      </c>
      <c r="AN484" t="n">
        <v>0</v>
      </c>
      <c r="AO484" t="n">
        <v>0</v>
      </c>
      <c r="AP484" t="n">
        <v>4</v>
      </c>
      <c r="AQ484" t="n">
        <v>47</v>
      </c>
      <c r="AR484" t="n">
        <v>124</v>
      </c>
      <c r="AS484" t="n">
        <v>84</v>
      </c>
      <c r="AT484" t="n">
        <v>0</v>
      </c>
      <c r="AU484" t="n">
        <v>1</v>
      </c>
      <c r="AV484" t="n">
        <v>1</v>
      </c>
      <c r="AW484" t="n">
        <v>5</v>
      </c>
      <c r="AX484" t="n">
        <v>4</v>
      </c>
      <c r="AY484" t="n">
        <v>31</v>
      </c>
      <c r="AZ484" t="n">
        <v>2</v>
      </c>
      <c r="BA484" t="n">
        <v>9</v>
      </c>
      <c r="BB484" t="n">
        <v>38</v>
      </c>
      <c r="BC484" t="n">
        <v>56</v>
      </c>
      <c r="BD484" t="n">
        <v>22</v>
      </c>
      <c r="BE484" t="n">
        <v>8</v>
      </c>
      <c r="BF484" t="n">
        <v>19</v>
      </c>
      <c r="BG484" t="n">
        <v>5</v>
      </c>
      <c r="BH484" t="n">
        <v>16</v>
      </c>
      <c r="BI484" t="n">
        <v>40</v>
      </c>
      <c r="BJ484" t="n">
        <v>37</v>
      </c>
      <c r="BK484" t="n">
        <v>3</v>
      </c>
      <c r="BL484" t="n">
        <v>9</v>
      </c>
      <c r="BM484" t="n">
        <v>6</v>
      </c>
      <c r="BN484" t="n">
        <v>1</v>
      </c>
      <c r="BO484" t="n">
        <v>2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124</v>
      </c>
      <c r="Z485" t="n">
        <v>129</v>
      </c>
      <c r="AA485" t="n">
        <v>27</v>
      </c>
      <c r="AB485" t="n">
        <v>0</v>
      </c>
      <c r="AC485" t="n">
        <v>1</v>
      </c>
      <c r="AD485" t="n">
        <v>0</v>
      </c>
      <c r="AE485" t="n">
        <v>10</v>
      </c>
      <c r="AF485" t="n">
        <v>4</v>
      </c>
      <c r="AG485" t="n">
        <v>5</v>
      </c>
      <c r="AH485" t="n">
        <v>36</v>
      </c>
      <c r="AI485" t="n">
        <v>107</v>
      </c>
      <c r="AJ485" t="n">
        <v>28</v>
      </c>
      <c r="AK485" t="n">
        <v>19</v>
      </c>
      <c r="AL485" t="n">
        <v>3</v>
      </c>
      <c r="AM485" t="n">
        <v>7</v>
      </c>
      <c r="AN485" t="n">
        <v>0</v>
      </c>
      <c r="AO485" t="n">
        <v>0</v>
      </c>
      <c r="AP485" t="n">
        <v>2</v>
      </c>
      <c r="AQ485" t="n">
        <v>1</v>
      </c>
      <c r="AR485" t="n">
        <v>129</v>
      </c>
      <c r="AS485" t="n">
        <v>118</v>
      </c>
      <c r="AT485" t="n">
        <v>3</v>
      </c>
      <c r="AU485" t="n">
        <v>2</v>
      </c>
      <c r="AV485" t="n">
        <v>3</v>
      </c>
      <c r="AW485" t="n">
        <v>8</v>
      </c>
      <c r="AX485" t="n">
        <v>0</v>
      </c>
      <c r="AY485" t="n">
        <v>31</v>
      </c>
      <c r="AZ485" t="n">
        <v>0</v>
      </c>
      <c r="BA485" t="n">
        <v>4</v>
      </c>
      <c r="BB485" t="n">
        <v>28</v>
      </c>
      <c r="BC485" t="n">
        <v>6</v>
      </c>
      <c r="BD485" t="n">
        <v>41</v>
      </c>
      <c r="BE485" t="n">
        <v>9</v>
      </c>
      <c r="BF485" t="n">
        <v>47</v>
      </c>
      <c r="BG485" t="n">
        <v>3</v>
      </c>
      <c r="BH485" t="n">
        <v>11</v>
      </c>
      <c r="BI485" t="n">
        <v>25</v>
      </c>
      <c r="BJ485" t="n">
        <v>24</v>
      </c>
      <c r="BK485" t="n">
        <v>0</v>
      </c>
      <c r="BL485" t="n">
        <v>1</v>
      </c>
      <c r="BM485" t="n">
        <v>18</v>
      </c>
      <c r="BN485" t="n">
        <v>10</v>
      </c>
      <c r="BO485" t="n">
        <v>7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237</v>
      </c>
      <c r="Z486" t="n">
        <v>123</v>
      </c>
      <c r="AA486" t="n">
        <v>36</v>
      </c>
      <c r="AB486" t="n">
        <v>2</v>
      </c>
      <c r="AC486" t="n">
        <v>1</v>
      </c>
      <c r="AD486" t="n">
        <v>3</v>
      </c>
      <c r="AE486" t="n">
        <v>5</v>
      </c>
      <c r="AF486" t="n">
        <v>4</v>
      </c>
      <c r="AG486" t="n">
        <v>3</v>
      </c>
      <c r="AH486" t="n">
        <v>48</v>
      </c>
      <c r="AI486" t="n">
        <v>50</v>
      </c>
      <c r="AJ486" t="n">
        <v>86</v>
      </c>
      <c r="AK486" t="n">
        <v>10</v>
      </c>
      <c r="AL486" t="n">
        <v>3</v>
      </c>
      <c r="AM486" t="n">
        <v>43</v>
      </c>
      <c r="AN486" t="n">
        <v>0</v>
      </c>
      <c r="AO486" t="n">
        <v>0</v>
      </c>
      <c r="AP486" t="n">
        <v>4</v>
      </c>
      <c r="AQ486" t="n">
        <v>3</v>
      </c>
      <c r="AR486" t="n">
        <v>73</v>
      </c>
      <c r="AS486" t="n">
        <v>66</v>
      </c>
      <c r="AT486" t="n">
        <v>4</v>
      </c>
      <c r="AU486" t="n">
        <v>2</v>
      </c>
      <c r="AV486" t="n">
        <v>14</v>
      </c>
      <c r="AW486" t="n">
        <v>16</v>
      </c>
      <c r="AX486" t="n">
        <v>18</v>
      </c>
      <c r="AY486" t="n">
        <v>-3</v>
      </c>
      <c r="AZ486" t="n">
        <v>0</v>
      </c>
      <c r="BA486" t="n">
        <v>1</v>
      </c>
      <c r="BB486" t="n">
        <v>36</v>
      </c>
      <c r="BC486" t="n">
        <v>36</v>
      </c>
      <c r="BD486" t="n">
        <v>61</v>
      </c>
      <c r="BE486" t="n">
        <v>30</v>
      </c>
      <c r="BF486" t="n">
        <v>69</v>
      </c>
      <c r="BG486" t="n">
        <v>1</v>
      </c>
      <c r="BH486" t="n">
        <v>3</v>
      </c>
      <c r="BI486" t="n">
        <v>54</v>
      </c>
      <c r="BJ486" t="n">
        <v>49</v>
      </c>
      <c r="BK486" t="n">
        <v>1</v>
      </c>
      <c r="BL486" t="n">
        <v>14</v>
      </c>
      <c r="BM486" t="n">
        <v>8</v>
      </c>
      <c r="BN486" t="n">
        <v>-1</v>
      </c>
      <c r="BO486" t="n">
        <v>7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203</v>
      </c>
      <c r="Z487" t="n">
        <v>79</v>
      </c>
      <c r="AA487" t="n">
        <v>78</v>
      </c>
      <c r="AB487" t="n">
        <v>0</v>
      </c>
      <c r="AC487" t="n">
        <v>0</v>
      </c>
      <c r="AD487" t="n">
        <v>4</v>
      </c>
      <c r="AE487" t="n">
        <v>4</v>
      </c>
      <c r="AF487" t="n">
        <v>6</v>
      </c>
      <c r="AG487" t="n">
        <v>9</v>
      </c>
      <c r="AH487" t="n">
        <v>60</v>
      </c>
      <c r="AI487" t="n">
        <v>26</v>
      </c>
      <c r="AJ487" t="n">
        <v>56</v>
      </c>
      <c r="AK487" t="n">
        <v>69</v>
      </c>
      <c r="AL487" t="n">
        <v>1</v>
      </c>
      <c r="AM487" t="n">
        <v>3</v>
      </c>
      <c r="AN487" t="n">
        <v>0</v>
      </c>
      <c r="AO487" t="n">
        <v>0</v>
      </c>
      <c r="AP487" t="n">
        <v>7</v>
      </c>
      <c r="AQ487" t="n">
        <v>48</v>
      </c>
      <c r="AR487" t="n">
        <v>70</v>
      </c>
      <c r="AS487" t="n">
        <v>29</v>
      </c>
      <c r="AT487" t="n">
        <v>1</v>
      </c>
      <c r="AU487" t="n">
        <v>2</v>
      </c>
      <c r="AV487" t="n">
        <v>1</v>
      </c>
      <c r="AW487" t="n">
        <v>14</v>
      </c>
      <c r="AX487" t="n">
        <v>0</v>
      </c>
      <c r="AY487" t="n">
        <v>75</v>
      </c>
      <c r="AZ487" t="n">
        <v>2</v>
      </c>
      <c r="BA487" t="n">
        <v>22</v>
      </c>
      <c r="BB487" t="n">
        <v>97</v>
      </c>
      <c r="BC487" t="n">
        <v>14</v>
      </c>
      <c r="BD487" t="n">
        <v>75</v>
      </c>
      <c r="BE487" t="n">
        <v>13</v>
      </c>
      <c r="BF487" t="n">
        <v>77</v>
      </c>
      <c r="BG487" t="n">
        <v>2</v>
      </c>
      <c r="BH487" t="n">
        <v>5</v>
      </c>
      <c r="BI487" t="n">
        <v>12</v>
      </c>
      <c r="BJ487" t="n">
        <v>29</v>
      </c>
      <c r="BK487" t="n">
        <v>0</v>
      </c>
      <c r="BL487" t="n">
        <v>1</v>
      </c>
      <c r="BM487" t="n">
        <v>30</v>
      </c>
      <c r="BN487" t="n">
        <v>17</v>
      </c>
      <c r="BO487" t="n">
        <v>2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233</v>
      </c>
      <c r="Z488" t="n">
        <v>186</v>
      </c>
      <c r="AA488" t="n">
        <v>31</v>
      </c>
      <c r="AB488" t="n">
        <v>3</v>
      </c>
      <c r="AC488" t="n">
        <v>1</v>
      </c>
      <c r="AD488" t="n">
        <v>1</v>
      </c>
      <c r="AE488" t="n">
        <v>8</v>
      </c>
      <c r="AF488" t="n">
        <v>3</v>
      </c>
      <c r="AG488" t="n">
        <v>1</v>
      </c>
      <c r="AH488" t="n">
        <v>2</v>
      </c>
      <c r="AI488" t="n">
        <v>66</v>
      </c>
      <c r="AJ488" t="n">
        <v>20</v>
      </c>
      <c r="AK488" t="n">
        <v>1</v>
      </c>
      <c r="AL488" t="n">
        <v>5</v>
      </c>
      <c r="AM488" t="n">
        <v>80</v>
      </c>
      <c r="AN488" t="n">
        <v>0</v>
      </c>
      <c r="AO488" t="n">
        <v>0</v>
      </c>
      <c r="AP488" t="n">
        <v>4</v>
      </c>
      <c r="AQ488" t="n">
        <v>13</v>
      </c>
      <c r="AR488" t="n">
        <v>76</v>
      </c>
      <c r="AS488" t="n">
        <v>63</v>
      </c>
      <c r="AT488" t="n">
        <v>5</v>
      </c>
      <c r="AU488" t="n">
        <v>0</v>
      </c>
      <c r="AV488" t="n">
        <v>50</v>
      </c>
      <c r="AW488" t="n">
        <v>2</v>
      </c>
      <c r="AX488" t="n">
        <v>0</v>
      </c>
      <c r="AY488" t="n">
        <v>24</v>
      </c>
      <c r="AZ488" t="n">
        <v>2</v>
      </c>
      <c r="BA488" t="n">
        <v>29</v>
      </c>
      <c r="BB488" t="n">
        <v>59</v>
      </c>
      <c r="BC488" t="n">
        <v>83</v>
      </c>
      <c r="BD488" t="n">
        <v>13</v>
      </c>
      <c r="BE488" t="n">
        <v>3</v>
      </c>
      <c r="BF488" t="n">
        <v>16</v>
      </c>
      <c r="BG488" t="n">
        <v>2</v>
      </c>
      <c r="BH488" t="n">
        <v>13</v>
      </c>
      <c r="BI488" t="n">
        <v>48</v>
      </c>
      <c r="BJ488" t="n">
        <v>44</v>
      </c>
      <c r="BK488" t="n">
        <v>0</v>
      </c>
      <c r="BL488" t="n">
        <v>1</v>
      </c>
      <c r="BM488" t="n">
        <v>6</v>
      </c>
      <c r="BN488" t="n">
        <v>3</v>
      </c>
      <c r="BO488" t="n">
        <v>49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196</v>
      </c>
      <c r="Z489" t="n">
        <v>97</v>
      </c>
      <c r="AA489" t="n">
        <v>54</v>
      </c>
      <c r="AB489" t="n">
        <v>1</v>
      </c>
      <c r="AC489" t="n">
        <v>0</v>
      </c>
      <c r="AD489" t="n">
        <v>2</v>
      </c>
      <c r="AE489" t="n">
        <v>6</v>
      </c>
      <c r="AF489" t="n">
        <v>7</v>
      </c>
      <c r="AG489" t="n">
        <v>0</v>
      </c>
      <c r="AH489" t="n">
        <v>17</v>
      </c>
      <c r="AI489" t="n">
        <v>18</v>
      </c>
      <c r="AJ489" t="n">
        <v>101</v>
      </c>
      <c r="AK489" t="n">
        <v>16</v>
      </c>
      <c r="AL489" t="n">
        <v>5</v>
      </c>
      <c r="AM489" t="n">
        <v>28</v>
      </c>
      <c r="AN489" t="n">
        <v>0</v>
      </c>
      <c r="AO489" t="n">
        <v>0</v>
      </c>
      <c r="AP489" t="n">
        <v>5</v>
      </c>
      <c r="AQ489" t="n">
        <v>12</v>
      </c>
      <c r="AR489" t="n">
        <v>73</v>
      </c>
      <c r="AS489" t="n">
        <v>61</v>
      </c>
      <c r="AT489" t="n">
        <v>0</v>
      </c>
      <c r="AU489" t="n">
        <v>1</v>
      </c>
      <c r="AV489" t="n">
        <v>1</v>
      </c>
      <c r="AW489" t="n">
        <v>6</v>
      </c>
      <c r="AX489" t="n">
        <v>0</v>
      </c>
      <c r="AY489" t="n">
        <v>32</v>
      </c>
      <c r="AZ489" t="n">
        <v>1</v>
      </c>
      <c r="BA489" t="n">
        <v>1</v>
      </c>
      <c r="BB489" t="n">
        <v>53</v>
      </c>
      <c r="BC489" t="n">
        <v>23</v>
      </c>
      <c r="BD489" t="n">
        <v>14</v>
      </c>
      <c r="BE489" t="n">
        <v>6</v>
      </c>
      <c r="BF489" t="n">
        <v>82</v>
      </c>
      <c r="BG489" t="n">
        <v>7</v>
      </c>
      <c r="BH489" t="n">
        <v>9</v>
      </c>
      <c r="BI489" t="n">
        <v>45</v>
      </c>
      <c r="BJ489" t="n">
        <v>54</v>
      </c>
      <c r="BK489" t="n">
        <v>0</v>
      </c>
      <c r="BL489" t="n">
        <v>1</v>
      </c>
      <c r="BM489" t="n">
        <v>4</v>
      </c>
      <c r="BN489" t="n">
        <v>1</v>
      </c>
      <c r="BO489" t="n">
        <v>2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188</v>
      </c>
      <c r="Z490" t="n">
        <v>188</v>
      </c>
      <c r="AA490" t="n">
        <v>59</v>
      </c>
      <c r="AB490" t="n">
        <v>1</v>
      </c>
      <c r="AC490" t="n">
        <v>2</v>
      </c>
      <c r="AD490" t="n">
        <v>8</v>
      </c>
      <c r="AE490" t="n">
        <v>9</v>
      </c>
      <c r="AF490" t="n">
        <v>6</v>
      </c>
      <c r="AG490" t="n">
        <v>7</v>
      </c>
      <c r="AH490" t="n">
        <v>53</v>
      </c>
      <c r="AI490" t="n">
        <v>93</v>
      </c>
      <c r="AJ490" t="n">
        <v>66</v>
      </c>
      <c r="AK490" t="n">
        <v>57</v>
      </c>
      <c r="AL490" t="n">
        <v>3</v>
      </c>
      <c r="AM490" t="n">
        <v>31</v>
      </c>
      <c r="AN490" t="n">
        <v>0</v>
      </c>
      <c r="AO490" t="n">
        <v>0</v>
      </c>
      <c r="AP490" t="n">
        <v>0</v>
      </c>
      <c r="AQ490" t="n">
        <v>1</v>
      </c>
      <c r="AR490" t="n">
        <v>103</v>
      </c>
      <c r="AS490" t="n">
        <v>95</v>
      </c>
      <c r="AT490" t="n">
        <v>4</v>
      </c>
      <c r="AU490" t="n">
        <v>0</v>
      </c>
      <c r="AV490" t="n">
        <v>13</v>
      </c>
      <c r="AW490" t="n">
        <v>25</v>
      </c>
      <c r="AX490" t="n">
        <v>0</v>
      </c>
      <c r="AY490" t="n">
        <v>35</v>
      </c>
      <c r="AZ490" t="n">
        <v>0</v>
      </c>
      <c r="BA490" t="n">
        <v>12</v>
      </c>
      <c r="BB490" t="n">
        <v>68</v>
      </c>
      <c r="BC490" t="n">
        <v>29</v>
      </c>
      <c r="BD490" t="n">
        <v>47</v>
      </c>
      <c r="BE490" t="n">
        <v>27</v>
      </c>
      <c r="BF490" t="n">
        <v>57</v>
      </c>
      <c r="BG490" t="n">
        <v>2</v>
      </c>
      <c r="BH490" t="n">
        <v>0</v>
      </c>
      <c r="BI490" t="n">
        <v>3</v>
      </c>
      <c r="BJ490" t="n">
        <v>1</v>
      </c>
      <c r="BK490" t="n">
        <v>2</v>
      </c>
      <c r="BL490" t="n">
        <v>1</v>
      </c>
      <c r="BM490" t="n">
        <v>32</v>
      </c>
      <c r="BN490" t="n">
        <v>19</v>
      </c>
      <c r="BO490" t="n">
        <v>21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197</v>
      </c>
      <c r="Z491" t="n">
        <v>197</v>
      </c>
      <c r="AA491" t="n">
        <v>89</v>
      </c>
      <c r="AB491" t="n">
        <v>2</v>
      </c>
      <c r="AC491" t="n">
        <v>0</v>
      </c>
      <c r="AD491" t="n">
        <v>5</v>
      </c>
      <c r="AE491" t="n">
        <v>0</v>
      </c>
      <c r="AF491" t="n">
        <v>5</v>
      </c>
      <c r="AG491" t="n">
        <v>2</v>
      </c>
      <c r="AH491" t="n">
        <v>44</v>
      </c>
      <c r="AI491" t="n">
        <v>2</v>
      </c>
      <c r="AJ491" t="n">
        <v>99</v>
      </c>
      <c r="AK491" t="n">
        <v>7</v>
      </c>
      <c r="AL491" t="n">
        <v>9</v>
      </c>
      <c r="AM491" t="n">
        <v>83</v>
      </c>
      <c r="AN491" t="n">
        <v>0</v>
      </c>
      <c r="AO491" t="n">
        <v>0</v>
      </c>
      <c r="AP491" t="n">
        <v>0</v>
      </c>
      <c r="AQ491" t="n">
        <v>9</v>
      </c>
      <c r="AR491" t="n">
        <v>219</v>
      </c>
      <c r="AS491" t="n">
        <v>209</v>
      </c>
      <c r="AT491" t="n">
        <v>5</v>
      </c>
      <c r="AU491" t="n">
        <v>1</v>
      </c>
      <c r="AV491" t="n">
        <v>40</v>
      </c>
      <c r="AW491" t="n">
        <v>7</v>
      </c>
      <c r="AX491" t="n">
        <v>6</v>
      </c>
      <c r="AY491" t="n">
        <v>22</v>
      </c>
      <c r="AZ491" t="n">
        <v>2</v>
      </c>
      <c r="BA491" t="n">
        <v>17</v>
      </c>
      <c r="BB491" t="n">
        <v>102</v>
      </c>
      <c r="BC491" t="n">
        <v>75</v>
      </c>
      <c r="BD491" t="n">
        <v>47</v>
      </c>
      <c r="BE491" t="n">
        <v>7</v>
      </c>
      <c r="BF491" t="n">
        <v>83</v>
      </c>
      <c r="BG491" t="n">
        <v>2</v>
      </c>
      <c r="BH491" t="n">
        <v>6</v>
      </c>
      <c r="BI491" t="n">
        <v>3</v>
      </c>
      <c r="BJ491" t="n">
        <v>1</v>
      </c>
      <c r="BK491" t="n">
        <v>3</v>
      </c>
      <c r="BL491" t="n">
        <v>18</v>
      </c>
      <c r="BM491" t="n">
        <v>12</v>
      </c>
      <c r="BN491" t="n">
        <v>1</v>
      </c>
      <c r="BO491" t="n">
        <v>7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2</v>
      </c>
      <c r="K492" t="n">
        <v>0</v>
      </c>
      <c r="L492" t="n">
        <v>0</v>
      </c>
      <c r="M492" t="n">
        <v>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2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244</v>
      </c>
      <c r="Z492" t="n">
        <v>153</v>
      </c>
      <c r="AA492" t="n">
        <v>25</v>
      </c>
      <c r="AB492" t="n">
        <v>5</v>
      </c>
      <c r="AC492" t="n">
        <v>2</v>
      </c>
      <c r="AD492" t="n">
        <v>4</v>
      </c>
      <c r="AE492" t="n">
        <v>5</v>
      </c>
      <c r="AF492" t="n">
        <v>4</v>
      </c>
      <c r="AG492" t="n">
        <v>6</v>
      </c>
      <c r="AH492" t="n">
        <v>86</v>
      </c>
      <c r="AI492" t="n">
        <v>55</v>
      </c>
      <c r="AJ492" t="n">
        <v>56</v>
      </c>
      <c r="AK492" t="n">
        <v>47</v>
      </c>
      <c r="AL492" t="n">
        <v>2</v>
      </c>
      <c r="AM492" t="n">
        <v>11</v>
      </c>
      <c r="AN492" t="n">
        <v>0</v>
      </c>
      <c r="AO492" t="n">
        <v>1</v>
      </c>
      <c r="AP492" t="n">
        <v>1</v>
      </c>
      <c r="AQ492" t="n">
        <v>0</v>
      </c>
      <c r="AR492" t="n">
        <v>96</v>
      </c>
      <c r="AS492" t="n">
        <v>90</v>
      </c>
      <c r="AT492" t="n">
        <v>0</v>
      </c>
      <c r="AU492" t="n">
        <v>2</v>
      </c>
      <c r="AV492" t="n">
        <v>1</v>
      </c>
      <c r="AW492" t="n">
        <v>24</v>
      </c>
      <c r="AX492" t="n">
        <v>5</v>
      </c>
      <c r="AY492" t="n">
        <v>49</v>
      </c>
      <c r="AZ492" t="n">
        <v>1</v>
      </c>
      <c r="BA492" t="n">
        <v>-5</v>
      </c>
      <c r="BB492" t="n">
        <v>20</v>
      </c>
      <c r="BC492" t="n">
        <v>8</v>
      </c>
      <c r="BD492" t="n">
        <v>88</v>
      </c>
      <c r="BE492" t="n">
        <v>24</v>
      </c>
      <c r="BF492" t="n">
        <v>45</v>
      </c>
      <c r="BG492" t="n">
        <v>4</v>
      </c>
      <c r="BH492" t="n">
        <v>9</v>
      </c>
      <c r="BI492" t="n">
        <v>52</v>
      </c>
      <c r="BJ492" t="n">
        <v>51</v>
      </c>
      <c r="BK492" t="n">
        <v>1</v>
      </c>
      <c r="BL492" t="n">
        <v>10</v>
      </c>
      <c r="BM492" t="n">
        <v>16</v>
      </c>
      <c r="BN492" t="n">
        <v>7</v>
      </c>
      <c r="BO492" t="n">
        <v>30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2</v>
      </c>
      <c r="X493" t="n">
        <v>0</v>
      </c>
      <c r="Y493" t="n">
        <v>151</v>
      </c>
      <c r="Z493" t="n">
        <v>190</v>
      </c>
      <c r="AA493" t="n">
        <v>51</v>
      </c>
      <c r="AB493" t="n">
        <v>3</v>
      </c>
      <c r="AC493" t="n">
        <v>1</v>
      </c>
      <c r="AD493" t="n">
        <v>3</v>
      </c>
      <c r="AE493" t="n">
        <v>7</v>
      </c>
      <c r="AF493" t="n">
        <v>1</v>
      </c>
      <c r="AG493" t="n">
        <v>1</v>
      </c>
      <c r="AH493" t="n">
        <v>11</v>
      </c>
      <c r="AI493" t="n">
        <v>81</v>
      </c>
      <c r="AJ493" t="n">
        <v>29</v>
      </c>
      <c r="AK493" t="n">
        <v>1</v>
      </c>
      <c r="AL493" t="n">
        <v>3</v>
      </c>
      <c r="AM493" t="n">
        <v>21</v>
      </c>
      <c r="AN493" t="n">
        <v>0</v>
      </c>
      <c r="AO493" t="n">
        <v>1</v>
      </c>
      <c r="AP493" t="n">
        <v>7</v>
      </c>
      <c r="AQ493" t="n">
        <v>87</v>
      </c>
      <c r="AR493" t="n">
        <v>87</v>
      </c>
      <c r="AS493" t="n">
        <v>11</v>
      </c>
      <c r="AT493" t="n">
        <v>0</v>
      </c>
      <c r="AU493" t="n">
        <v>1</v>
      </c>
      <c r="AV493" t="n">
        <v>6</v>
      </c>
      <c r="AW493" t="n">
        <v>29</v>
      </c>
      <c r="AX493" t="n">
        <v>0</v>
      </c>
      <c r="AY493" t="n">
        <v>10</v>
      </c>
      <c r="AZ493" t="n">
        <v>1</v>
      </c>
      <c r="BA493" t="n">
        <v>3</v>
      </c>
      <c r="BB493" t="n">
        <v>51</v>
      </c>
      <c r="BC493" t="n">
        <v>43</v>
      </c>
      <c r="BD493" t="n">
        <v>10</v>
      </c>
      <c r="BE493" t="n">
        <v>29</v>
      </c>
      <c r="BF493" t="n">
        <v>26</v>
      </c>
      <c r="BG493" t="n">
        <v>2</v>
      </c>
      <c r="BH493" t="n">
        <v>2</v>
      </c>
      <c r="BI493" t="n">
        <v>7</v>
      </c>
      <c r="BJ493" t="n">
        <v>7</v>
      </c>
      <c r="BK493" t="n">
        <v>6</v>
      </c>
      <c r="BL493" t="n">
        <v>50</v>
      </c>
      <c r="BM493" t="n">
        <v>34</v>
      </c>
      <c r="BN493" t="n">
        <v>0</v>
      </c>
      <c r="BO493" t="n">
        <v>96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130</v>
      </c>
      <c r="Z494" t="n">
        <v>80</v>
      </c>
      <c r="AA494" t="n">
        <v>44</v>
      </c>
      <c r="AB494" t="n">
        <v>1</v>
      </c>
      <c r="AC494" t="n">
        <v>1</v>
      </c>
      <c r="AD494" t="n">
        <v>4</v>
      </c>
      <c r="AE494" t="n">
        <v>2</v>
      </c>
      <c r="AF494" t="n">
        <v>3</v>
      </c>
      <c r="AG494" t="n">
        <v>0</v>
      </c>
      <c r="AH494" t="n">
        <v>28</v>
      </c>
      <c r="AI494" t="n">
        <v>26</v>
      </c>
      <c r="AJ494" t="n">
        <v>25</v>
      </c>
      <c r="AK494" t="n">
        <v>19</v>
      </c>
      <c r="AL494" t="n">
        <v>0</v>
      </c>
      <c r="AM494" t="n">
        <v>2</v>
      </c>
      <c r="AN494" t="n">
        <v>0</v>
      </c>
      <c r="AO494" t="n">
        <v>0</v>
      </c>
      <c r="AP494" t="n">
        <v>6</v>
      </c>
      <c r="AQ494" t="n">
        <v>58</v>
      </c>
      <c r="AR494" t="n">
        <v>151</v>
      </c>
      <c r="AS494" t="n">
        <v>101</v>
      </c>
      <c r="AT494" t="n">
        <v>0</v>
      </c>
      <c r="AU494" t="n">
        <v>1</v>
      </c>
      <c r="AV494" t="n">
        <v>31</v>
      </c>
      <c r="AW494" t="n">
        <v>1</v>
      </c>
      <c r="AX494" t="n">
        <v>0</v>
      </c>
      <c r="AY494" t="n">
        <v>26</v>
      </c>
      <c r="AZ494" t="n">
        <v>2</v>
      </c>
      <c r="BA494" t="n">
        <v>9</v>
      </c>
      <c r="BB494" t="n">
        <v>51</v>
      </c>
      <c r="BC494" t="n">
        <v>20</v>
      </c>
      <c r="BD494" t="n">
        <v>28</v>
      </c>
      <c r="BE494" t="n">
        <v>4</v>
      </c>
      <c r="BF494" t="n">
        <v>21</v>
      </c>
      <c r="BG494" t="n">
        <v>2</v>
      </c>
      <c r="BH494" t="n">
        <v>0</v>
      </c>
      <c r="BI494" t="n">
        <v>1</v>
      </c>
      <c r="BJ494" t="n">
        <v>10</v>
      </c>
      <c r="BK494" t="n">
        <v>2</v>
      </c>
      <c r="BL494" t="n">
        <v>7</v>
      </c>
      <c r="BM494" t="n">
        <v>13</v>
      </c>
      <c r="BN494" t="n">
        <v>7</v>
      </c>
      <c r="BO494" t="n">
        <v>32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1</v>
      </c>
      <c r="V495" t="n">
        <v>0</v>
      </c>
      <c r="W495" t="n">
        <v>0</v>
      </c>
      <c r="X495" t="n">
        <v>0</v>
      </c>
      <c r="Y495" t="n">
        <v>263</v>
      </c>
      <c r="Z495" t="n">
        <v>217</v>
      </c>
      <c r="AA495" t="n">
        <v>48</v>
      </c>
      <c r="AB495" t="n">
        <v>1</v>
      </c>
      <c r="AC495" t="n">
        <v>1</v>
      </c>
      <c r="AD495" t="n">
        <v>2</v>
      </c>
      <c r="AE495" t="n">
        <v>3</v>
      </c>
      <c r="AF495" t="n">
        <v>4</v>
      </c>
      <c r="AG495" t="n">
        <v>3</v>
      </c>
      <c r="AH495" t="n">
        <v>23</v>
      </c>
      <c r="AI495" t="n">
        <v>12</v>
      </c>
      <c r="AJ495" t="n">
        <v>32</v>
      </c>
      <c r="AK495" t="n">
        <v>48</v>
      </c>
      <c r="AL495" t="n">
        <v>4</v>
      </c>
      <c r="AM495" t="n">
        <v>40</v>
      </c>
      <c r="AN495" t="n">
        <v>0</v>
      </c>
      <c r="AO495" t="n">
        <v>0</v>
      </c>
      <c r="AP495" t="n">
        <v>3</v>
      </c>
      <c r="AQ495" t="n">
        <v>45</v>
      </c>
      <c r="AR495" t="n">
        <v>72</v>
      </c>
      <c r="AS495" t="n">
        <v>36</v>
      </c>
      <c r="AT495" t="n">
        <v>7</v>
      </c>
      <c r="AU495" t="n">
        <v>1</v>
      </c>
      <c r="AV495" t="n">
        <v>81</v>
      </c>
      <c r="AW495" t="n">
        <v>3</v>
      </c>
      <c r="AX495" t="n">
        <v>0</v>
      </c>
      <c r="AY495" t="n">
        <v>4</v>
      </c>
      <c r="AZ495" t="n">
        <v>1</v>
      </c>
      <c r="BA495" t="n">
        <v>20</v>
      </c>
      <c r="BB495" t="n">
        <v>65</v>
      </c>
      <c r="BC495" t="n">
        <v>73</v>
      </c>
      <c r="BD495" t="n">
        <v>28</v>
      </c>
      <c r="BE495" t="n">
        <v>1</v>
      </c>
      <c r="BF495" t="n">
        <v>27</v>
      </c>
      <c r="BG495" t="n">
        <v>6</v>
      </c>
      <c r="BH495" t="n">
        <v>9</v>
      </c>
      <c r="BI495" t="n">
        <v>75</v>
      </c>
      <c r="BJ495" t="n">
        <v>69</v>
      </c>
      <c r="BK495" t="n">
        <v>1</v>
      </c>
      <c r="BL495" t="n">
        <v>7</v>
      </c>
      <c r="BM495" t="n">
        <v>13</v>
      </c>
      <c r="BN495" t="n">
        <v>7</v>
      </c>
      <c r="BO495" t="n">
        <v>14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169</v>
      </c>
      <c r="Z496" t="n">
        <v>211</v>
      </c>
      <c r="AA496" t="n">
        <v>124</v>
      </c>
      <c r="AB496" t="n">
        <v>0</v>
      </c>
      <c r="AC496" t="n">
        <v>1</v>
      </c>
      <c r="AD496" t="n">
        <v>1</v>
      </c>
      <c r="AE496" t="n">
        <v>9</v>
      </c>
      <c r="AF496" t="n">
        <v>2</v>
      </c>
      <c r="AG496" t="n">
        <v>2</v>
      </c>
      <c r="AH496" t="n">
        <v>12</v>
      </c>
      <c r="AI496" t="n">
        <v>104</v>
      </c>
      <c r="AJ496" t="n">
        <v>23</v>
      </c>
      <c r="AK496" t="n">
        <v>32</v>
      </c>
      <c r="AL496" t="n">
        <v>4</v>
      </c>
      <c r="AM496" t="n">
        <v>80</v>
      </c>
      <c r="AN496" t="n">
        <v>0</v>
      </c>
      <c r="AO496" t="n">
        <v>0</v>
      </c>
      <c r="AP496" t="n">
        <v>0</v>
      </c>
      <c r="AQ496" t="n">
        <v>1</v>
      </c>
      <c r="AR496" t="n">
        <v>64</v>
      </c>
      <c r="AS496" t="n">
        <v>57</v>
      </c>
      <c r="AT496" t="n">
        <v>1</v>
      </c>
      <c r="AU496" t="n">
        <v>1</v>
      </c>
      <c r="AV496" t="n">
        <v>37</v>
      </c>
      <c r="AW496" t="n">
        <v>1</v>
      </c>
      <c r="AX496" t="n">
        <v>-2</v>
      </c>
      <c r="AY496" t="n">
        <v>5</v>
      </c>
      <c r="AZ496" t="n">
        <v>4</v>
      </c>
      <c r="BA496" t="n">
        <v>16</v>
      </c>
      <c r="BB496" t="n">
        <v>130</v>
      </c>
      <c r="BC496" t="n">
        <v>70</v>
      </c>
      <c r="BD496" t="n">
        <v>43</v>
      </c>
      <c r="BE496" t="n">
        <v>2</v>
      </c>
      <c r="BF496" t="n">
        <v>26</v>
      </c>
      <c r="BG496" t="n">
        <v>1</v>
      </c>
      <c r="BH496" t="n">
        <v>6</v>
      </c>
      <c r="BI496" t="n">
        <v>1</v>
      </c>
      <c r="BJ496" t="n">
        <v>23</v>
      </c>
      <c r="BK496" t="n">
        <v>3</v>
      </c>
      <c r="BL496" t="n">
        <v>10</v>
      </c>
      <c r="BM496" t="n">
        <v>30</v>
      </c>
      <c r="BN496" t="n">
        <v>15</v>
      </c>
      <c r="BO496" t="n">
        <v>30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2</v>
      </c>
      <c r="S497" t="n">
        <v>0</v>
      </c>
      <c r="T497" t="n">
        <v>0</v>
      </c>
      <c r="U497" t="n">
        <v>0</v>
      </c>
      <c r="V497" t="n">
        <v>0</v>
      </c>
      <c r="W497" t="n">
        <v>2</v>
      </c>
      <c r="X497" t="n">
        <v>0</v>
      </c>
      <c r="Y497" t="n">
        <v>183</v>
      </c>
      <c r="Z497" t="n">
        <v>286</v>
      </c>
      <c r="AA497" t="n">
        <v>3</v>
      </c>
      <c r="AB497" t="n">
        <v>3</v>
      </c>
      <c r="AC497" t="n">
        <v>0</v>
      </c>
      <c r="AD497" t="n">
        <v>4</v>
      </c>
      <c r="AE497" t="n">
        <v>8</v>
      </c>
      <c r="AF497" t="n">
        <v>4</v>
      </c>
      <c r="AG497" t="n">
        <v>6</v>
      </c>
      <c r="AH497" t="n">
        <v>28</v>
      </c>
      <c r="AI497" t="n">
        <v>129</v>
      </c>
      <c r="AJ497" t="n">
        <v>38</v>
      </c>
      <c r="AK497" t="n">
        <v>69</v>
      </c>
      <c r="AL497" t="n">
        <v>1</v>
      </c>
      <c r="AM497" t="n">
        <v>11</v>
      </c>
      <c r="AN497" t="n">
        <v>0</v>
      </c>
      <c r="AO497" t="n">
        <v>0</v>
      </c>
      <c r="AP497" t="n">
        <v>0</v>
      </c>
      <c r="AQ497" t="n">
        <v>1</v>
      </c>
      <c r="AR497" t="n">
        <v>134</v>
      </c>
      <c r="AS497" t="n">
        <v>122</v>
      </c>
      <c r="AT497" t="n">
        <v>0</v>
      </c>
      <c r="AU497" t="n">
        <v>3</v>
      </c>
      <c r="AV497" t="n">
        <v>1</v>
      </c>
      <c r="AW497" t="n">
        <v>58</v>
      </c>
      <c r="AX497" t="n">
        <v>0</v>
      </c>
      <c r="AY497" t="n">
        <v>23</v>
      </c>
      <c r="AZ497" t="n">
        <v>0</v>
      </c>
      <c r="BA497" t="n">
        <v>1</v>
      </c>
      <c r="BB497" t="n">
        <v>6</v>
      </c>
      <c r="BC497" t="n">
        <v>6</v>
      </c>
      <c r="BD497" t="n">
        <v>29</v>
      </c>
      <c r="BE497" t="n">
        <v>60</v>
      </c>
      <c r="BF497" t="n">
        <v>30</v>
      </c>
      <c r="BG497" t="n">
        <v>2</v>
      </c>
      <c r="BH497" t="n">
        <v>0</v>
      </c>
      <c r="BI497" t="n">
        <v>59</v>
      </c>
      <c r="BJ497" t="n">
        <v>54</v>
      </c>
      <c r="BK497" t="n">
        <v>1</v>
      </c>
      <c r="BL497" t="n">
        <v>5</v>
      </c>
      <c r="BM497" t="n">
        <v>8</v>
      </c>
      <c r="BN497" t="n">
        <v>4</v>
      </c>
      <c r="BO497" t="n">
        <v>2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254</v>
      </c>
      <c r="Z498" t="n">
        <v>214</v>
      </c>
      <c r="AA498" t="n">
        <v>70</v>
      </c>
      <c r="AB498" t="n">
        <v>2</v>
      </c>
      <c r="AC498" t="n">
        <v>0</v>
      </c>
      <c r="AD498" t="n">
        <v>9</v>
      </c>
      <c r="AE498" t="n">
        <v>6</v>
      </c>
      <c r="AF498" t="n">
        <v>9</v>
      </c>
      <c r="AG498" t="n">
        <v>7</v>
      </c>
      <c r="AH498" t="n">
        <v>121</v>
      </c>
      <c r="AI498" t="n">
        <v>33</v>
      </c>
      <c r="AJ498" t="n">
        <v>70</v>
      </c>
      <c r="AK498" t="n">
        <v>42</v>
      </c>
      <c r="AL498" t="n">
        <v>4</v>
      </c>
      <c r="AM498" t="n">
        <v>46</v>
      </c>
      <c r="AN498" t="n">
        <v>0</v>
      </c>
      <c r="AO498" t="n">
        <v>0</v>
      </c>
      <c r="AP498" t="n">
        <v>0</v>
      </c>
      <c r="AQ498" t="n">
        <v>12</v>
      </c>
      <c r="AR498" t="n">
        <v>42</v>
      </c>
      <c r="AS498" t="n">
        <v>34</v>
      </c>
      <c r="AT498" t="n">
        <v>3</v>
      </c>
      <c r="AU498" t="n">
        <v>3</v>
      </c>
      <c r="AV498" t="n">
        <v>39</v>
      </c>
      <c r="AW498" t="n">
        <v>27</v>
      </c>
      <c r="AX498" t="n">
        <v>2</v>
      </c>
      <c r="AY498" t="n">
        <v>54</v>
      </c>
      <c r="AZ498" t="n">
        <v>4</v>
      </c>
      <c r="BA498" t="n">
        <v>45</v>
      </c>
      <c r="BB498" t="n">
        <v>113</v>
      </c>
      <c r="BC498" t="n">
        <v>45</v>
      </c>
      <c r="BD498" t="n">
        <v>109</v>
      </c>
      <c r="BE498" t="n">
        <v>34</v>
      </c>
      <c r="BF498" t="n">
        <v>55</v>
      </c>
      <c r="BG498" t="n">
        <v>0</v>
      </c>
      <c r="BH498" t="n">
        <v>5</v>
      </c>
      <c r="BI498" t="n">
        <v>1</v>
      </c>
      <c r="BJ498" t="n">
        <v>1</v>
      </c>
      <c r="BK498" t="n">
        <v>6</v>
      </c>
      <c r="BL498" t="n">
        <v>20</v>
      </c>
      <c r="BM498" t="n">
        <v>12</v>
      </c>
      <c r="BN498" t="n">
        <v>-1</v>
      </c>
      <c r="BO498" t="n">
        <v>2</v>
      </c>
    </row>
    <row r="499">
      <c r="A499" t="n">
        <v>2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186</v>
      </c>
      <c r="Z499" t="n">
        <v>290</v>
      </c>
      <c r="AA499" t="n">
        <v>62</v>
      </c>
      <c r="AB499" t="n">
        <v>1</v>
      </c>
      <c r="AC499" t="n">
        <v>1</v>
      </c>
      <c r="AD499" t="n">
        <v>1</v>
      </c>
      <c r="AE499" t="n">
        <v>10</v>
      </c>
      <c r="AF499" t="n">
        <v>3</v>
      </c>
      <c r="AG499" t="n">
        <v>1</v>
      </c>
      <c r="AH499" t="n">
        <v>26</v>
      </c>
      <c r="AI499" t="n">
        <v>59</v>
      </c>
      <c r="AJ499" t="n">
        <v>13</v>
      </c>
      <c r="AK499" t="n">
        <v>32</v>
      </c>
      <c r="AL499" t="n">
        <v>2</v>
      </c>
      <c r="AM499" t="n">
        <v>70</v>
      </c>
      <c r="AN499" t="n">
        <v>0</v>
      </c>
      <c r="AO499" t="n">
        <v>0</v>
      </c>
      <c r="AP499" t="n">
        <v>4</v>
      </c>
      <c r="AQ499" t="n">
        <v>18</v>
      </c>
      <c r="AR499" t="n">
        <v>200</v>
      </c>
      <c r="AS499" t="n">
        <v>183</v>
      </c>
      <c r="AT499" t="n">
        <v>2</v>
      </c>
      <c r="AU499" t="n">
        <v>3</v>
      </c>
      <c r="AV499" t="n">
        <v>32</v>
      </c>
      <c r="AW499" t="n">
        <v>64</v>
      </c>
      <c r="AX499" t="n">
        <v>20</v>
      </c>
      <c r="AY499" t="n">
        <v>80</v>
      </c>
      <c r="AZ499" t="n">
        <v>3</v>
      </c>
      <c r="BA499" t="n">
        <v>23</v>
      </c>
      <c r="BB499" t="n">
        <v>84</v>
      </c>
      <c r="BC499" t="n">
        <v>59</v>
      </c>
      <c r="BD499" t="n">
        <v>23</v>
      </c>
      <c r="BE499" t="n">
        <v>67</v>
      </c>
      <c r="BF499" t="n">
        <v>10</v>
      </c>
      <c r="BG499" t="n">
        <v>6</v>
      </c>
      <c r="BH499" t="n">
        <v>10</v>
      </c>
      <c r="BI499" t="n">
        <v>57</v>
      </c>
      <c r="BJ499" t="n">
        <v>52</v>
      </c>
      <c r="BK499" t="n">
        <v>3</v>
      </c>
      <c r="BL499" t="n">
        <v>21</v>
      </c>
      <c r="BM499" t="n">
        <v>47</v>
      </c>
      <c r="BN499" t="n">
        <v>22</v>
      </c>
      <c r="BO499" t="n">
        <v>28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168</v>
      </c>
      <c r="Z500" t="n">
        <v>239</v>
      </c>
      <c r="AA500" t="n">
        <v>107</v>
      </c>
      <c r="AB500" t="n">
        <v>1</v>
      </c>
      <c r="AC500" t="n">
        <v>0</v>
      </c>
      <c r="AD500" t="n">
        <v>5</v>
      </c>
      <c r="AE500" t="n">
        <v>0</v>
      </c>
      <c r="AF500" t="n">
        <v>3</v>
      </c>
      <c r="AG500" t="n">
        <v>6</v>
      </c>
      <c r="AH500" t="n">
        <v>51</v>
      </c>
      <c r="AI500" t="n">
        <v>7</v>
      </c>
      <c r="AJ500" t="n">
        <v>10</v>
      </c>
      <c r="AK500" t="n">
        <v>63</v>
      </c>
      <c r="AL500" t="n">
        <v>6</v>
      </c>
      <c r="AM500" t="n">
        <v>91</v>
      </c>
      <c r="AN500" t="n">
        <v>0</v>
      </c>
      <c r="AO500" t="n">
        <v>0</v>
      </c>
      <c r="AP500" t="n">
        <v>1</v>
      </c>
      <c r="AQ500" t="n">
        <v>10</v>
      </c>
      <c r="AR500" t="n">
        <v>53</v>
      </c>
      <c r="AS500" t="n">
        <v>44</v>
      </c>
      <c r="AT500" t="n">
        <v>1</v>
      </c>
      <c r="AU500" t="n">
        <v>0</v>
      </c>
      <c r="AV500" t="n">
        <v>23</v>
      </c>
      <c r="AW500" t="n">
        <v>9</v>
      </c>
      <c r="AX500" t="n">
        <v>0</v>
      </c>
      <c r="AY500" t="n">
        <v>35</v>
      </c>
      <c r="AZ500" t="n">
        <v>2</v>
      </c>
      <c r="BA500" t="n">
        <v>8</v>
      </c>
      <c r="BB500" t="n">
        <v>110</v>
      </c>
      <c r="BC500" t="n">
        <v>87</v>
      </c>
      <c r="BD500" t="n">
        <v>46</v>
      </c>
      <c r="BE500" t="n">
        <v>9</v>
      </c>
      <c r="BF500" t="n">
        <v>16</v>
      </c>
      <c r="BG500" t="n">
        <v>2</v>
      </c>
      <c r="BH500" t="n">
        <v>7</v>
      </c>
      <c r="BI500" t="n">
        <v>22</v>
      </c>
      <c r="BJ500" t="n">
        <v>19</v>
      </c>
      <c r="BK500" t="n">
        <v>4</v>
      </c>
      <c r="BL500" t="n">
        <v>38</v>
      </c>
      <c r="BM500" t="n">
        <v>34</v>
      </c>
      <c r="BN500" t="n">
        <v>7</v>
      </c>
      <c r="BO500" t="n">
        <v>42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186</v>
      </c>
      <c r="Z501" t="n">
        <v>193</v>
      </c>
      <c r="AA501" t="n">
        <v>43</v>
      </c>
      <c r="AB501" t="n">
        <v>1</v>
      </c>
      <c r="AC501" t="n">
        <v>1</v>
      </c>
      <c r="AD501" t="n">
        <v>5</v>
      </c>
      <c r="AE501" t="n">
        <v>4</v>
      </c>
      <c r="AF501" t="n">
        <v>1</v>
      </c>
      <c r="AG501" t="n">
        <v>1</v>
      </c>
      <c r="AH501" t="n">
        <v>61</v>
      </c>
      <c r="AI501" t="n">
        <v>31</v>
      </c>
      <c r="AJ501" t="n">
        <v>24</v>
      </c>
      <c r="AK501" t="n">
        <v>36</v>
      </c>
      <c r="AL501" t="n">
        <v>3</v>
      </c>
      <c r="AM501" t="n">
        <v>18</v>
      </c>
      <c r="AN501" t="n">
        <v>0</v>
      </c>
      <c r="AO501" t="n">
        <v>0</v>
      </c>
      <c r="AP501" t="n">
        <v>1</v>
      </c>
      <c r="AQ501" t="n">
        <v>1</v>
      </c>
      <c r="AR501" t="n">
        <v>89</v>
      </c>
      <c r="AS501" t="n">
        <v>82</v>
      </c>
      <c r="AT501" t="n">
        <v>3</v>
      </c>
      <c r="AU501" t="n">
        <v>1</v>
      </c>
      <c r="AV501" t="n">
        <v>32</v>
      </c>
      <c r="AW501" t="n">
        <v>13</v>
      </c>
      <c r="AX501" t="n">
        <v>9</v>
      </c>
      <c r="AY501" t="n">
        <v>22</v>
      </c>
      <c r="AZ501" t="n">
        <v>1</v>
      </c>
      <c r="BA501" t="n">
        <v>17</v>
      </c>
      <c r="BB501" t="n">
        <v>58</v>
      </c>
      <c r="BC501" t="n">
        <v>16</v>
      </c>
      <c r="BD501" t="n">
        <v>55</v>
      </c>
      <c r="BE501" t="n">
        <v>14</v>
      </c>
      <c r="BF501" t="n">
        <v>19</v>
      </c>
      <c r="BG501" t="n">
        <v>1</v>
      </c>
      <c r="BH501" t="n">
        <v>2</v>
      </c>
      <c r="BI501" t="n">
        <v>7</v>
      </c>
      <c r="BJ501" t="n">
        <v>31</v>
      </c>
      <c r="BK501" t="n">
        <v>3</v>
      </c>
      <c r="BL501" t="n">
        <v>27</v>
      </c>
      <c r="BM501" t="n">
        <v>37</v>
      </c>
      <c r="BN501" t="n">
        <v>14</v>
      </c>
      <c r="BO501" t="n">
        <v>21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300</v>
      </c>
      <c r="Z502" t="n">
        <v>214</v>
      </c>
      <c r="AA502" t="n">
        <v>40</v>
      </c>
      <c r="AB502" t="n">
        <v>0</v>
      </c>
      <c r="AC502" t="n">
        <v>4</v>
      </c>
      <c r="AD502" t="n">
        <v>3</v>
      </c>
      <c r="AE502" t="n">
        <v>3</v>
      </c>
      <c r="AF502" t="n">
        <v>6</v>
      </c>
      <c r="AG502" t="n">
        <v>8</v>
      </c>
      <c r="AH502" t="n">
        <v>49</v>
      </c>
      <c r="AI502" t="n">
        <v>24</v>
      </c>
      <c r="AJ502" t="n">
        <v>85</v>
      </c>
      <c r="AK502" t="n">
        <v>69</v>
      </c>
      <c r="AL502" t="n">
        <v>9</v>
      </c>
      <c r="AM502" t="n">
        <v>113</v>
      </c>
      <c r="AN502" t="n">
        <v>0</v>
      </c>
      <c r="AO502" t="n">
        <v>0</v>
      </c>
      <c r="AP502" t="n">
        <v>6</v>
      </c>
      <c r="AQ502" t="n">
        <v>35</v>
      </c>
      <c r="AR502" t="n">
        <v>51</v>
      </c>
      <c r="AS502" t="n">
        <v>22</v>
      </c>
      <c r="AT502" t="n">
        <v>5</v>
      </c>
      <c r="AU502" t="n">
        <v>3</v>
      </c>
      <c r="AV502" t="n">
        <v>44</v>
      </c>
      <c r="AW502" t="n">
        <v>17</v>
      </c>
      <c r="AX502" t="n">
        <v>0</v>
      </c>
      <c r="AY502" t="n">
        <v>42</v>
      </c>
      <c r="AZ502" t="n">
        <v>2</v>
      </c>
      <c r="BA502" t="n">
        <v>29</v>
      </c>
      <c r="BB502" t="n">
        <v>68</v>
      </c>
      <c r="BC502" t="n">
        <v>92</v>
      </c>
      <c r="BD502" t="n">
        <v>46</v>
      </c>
      <c r="BE502" t="n">
        <v>18</v>
      </c>
      <c r="BF502" t="n">
        <v>82</v>
      </c>
      <c r="BG502" t="n">
        <v>2</v>
      </c>
      <c r="BH502" t="n">
        <v>19</v>
      </c>
      <c r="BI502" t="n">
        <v>1</v>
      </c>
      <c r="BJ502" t="n">
        <v>13</v>
      </c>
      <c r="BK502" t="n">
        <v>1</v>
      </c>
      <c r="BL502" t="n">
        <v>7</v>
      </c>
      <c r="BM502" t="n">
        <v>19</v>
      </c>
      <c r="BN502" t="n">
        <v>11</v>
      </c>
      <c r="BO502" t="n">
        <v>16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2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298</v>
      </c>
      <c r="Z503" t="n">
        <v>188</v>
      </c>
      <c r="AA503" t="n">
        <v>90</v>
      </c>
      <c r="AB503" t="n">
        <v>0</v>
      </c>
      <c r="AC503" t="n">
        <v>3</v>
      </c>
      <c r="AD503" t="n">
        <v>5</v>
      </c>
      <c r="AE503" t="n">
        <v>7</v>
      </c>
      <c r="AF503" t="n">
        <v>8</v>
      </c>
      <c r="AG503" t="n">
        <v>3</v>
      </c>
      <c r="AH503" t="n">
        <v>52</v>
      </c>
      <c r="AI503" t="n">
        <v>109</v>
      </c>
      <c r="AJ503" t="n">
        <v>107</v>
      </c>
      <c r="AK503" t="n">
        <v>32</v>
      </c>
      <c r="AL503" t="n">
        <v>5</v>
      </c>
      <c r="AM503" t="n">
        <v>37</v>
      </c>
      <c r="AN503" t="n">
        <v>0</v>
      </c>
      <c r="AO503" t="n">
        <v>0</v>
      </c>
      <c r="AP503" t="n">
        <v>8</v>
      </c>
      <c r="AQ503" t="n">
        <v>47</v>
      </c>
      <c r="AR503" t="n">
        <v>117</v>
      </c>
      <c r="AS503" t="n">
        <v>78</v>
      </c>
      <c r="AT503" t="n">
        <v>3</v>
      </c>
      <c r="AU503" t="n">
        <v>0</v>
      </c>
      <c r="AV503" t="n">
        <v>34</v>
      </c>
      <c r="AW503" t="n">
        <v>10</v>
      </c>
      <c r="AX503" t="n">
        <v>8</v>
      </c>
      <c r="AY503" t="n">
        <v>79</v>
      </c>
      <c r="AZ503" t="n">
        <v>2</v>
      </c>
      <c r="BA503" t="n">
        <v>9</v>
      </c>
      <c r="BB503" t="n">
        <v>95</v>
      </c>
      <c r="BC503" t="n">
        <v>31</v>
      </c>
      <c r="BD503" t="n">
        <v>45</v>
      </c>
      <c r="BE503" t="n">
        <v>9</v>
      </c>
      <c r="BF503" t="n">
        <v>86</v>
      </c>
      <c r="BG503" t="n">
        <v>5</v>
      </c>
      <c r="BH503" t="n">
        <v>11</v>
      </c>
      <c r="BI503" t="n">
        <v>18</v>
      </c>
      <c r="BJ503" t="n">
        <v>19</v>
      </c>
      <c r="BK503" t="n">
        <v>0</v>
      </c>
      <c r="BL503" t="n">
        <v>1</v>
      </c>
      <c r="BM503" t="n">
        <v>17</v>
      </c>
      <c r="BN503" t="n">
        <v>10</v>
      </c>
      <c r="BO503" t="n">
        <v>32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297</v>
      </c>
      <c r="Z504" t="n">
        <v>250</v>
      </c>
      <c r="AA504" t="n">
        <v>78</v>
      </c>
      <c r="AB504" t="n">
        <v>2</v>
      </c>
      <c r="AC504" t="n">
        <v>1</v>
      </c>
      <c r="AD504" t="n">
        <v>6</v>
      </c>
      <c r="AE504" t="n">
        <v>7</v>
      </c>
      <c r="AF504" t="n">
        <v>6</v>
      </c>
      <c r="AG504" t="n">
        <v>0</v>
      </c>
      <c r="AH504" t="n">
        <v>115</v>
      </c>
      <c r="AI504" t="n">
        <v>28</v>
      </c>
      <c r="AJ504" t="n">
        <v>85</v>
      </c>
      <c r="AK504" t="n">
        <v>1</v>
      </c>
      <c r="AL504" t="n">
        <v>0</v>
      </c>
      <c r="AM504" t="n">
        <v>2</v>
      </c>
      <c r="AN504" t="n">
        <v>0</v>
      </c>
      <c r="AO504" t="n">
        <v>0</v>
      </c>
      <c r="AP504" t="n">
        <v>2</v>
      </c>
      <c r="AQ504" t="n">
        <v>10</v>
      </c>
      <c r="AR504" t="n">
        <v>131</v>
      </c>
      <c r="AS504" t="n">
        <v>118</v>
      </c>
      <c r="AT504" t="n">
        <v>0</v>
      </c>
      <c r="AU504" t="n">
        <v>4</v>
      </c>
      <c r="AV504" t="n">
        <v>1</v>
      </c>
      <c r="AW504" t="n">
        <v>42</v>
      </c>
      <c r="AX504" t="n">
        <v>11</v>
      </c>
      <c r="AY504" t="n">
        <v>35</v>
      </c>
      <c r="AZ504" t="n">
        <v>5</v>
      </c>
      <c r="BA504" t="n">
        <v>93</v>
      </c>
      <c r="BB504" t="n">
        <v>181</v>
      </c>
      <c r="BC504" t="n">
        <v>6</v>
      </c>
      <c r="BD504" t="n">
        <v>113</v>
      </c>
      <c r="BE504" t="n">
        <v>42</v>
      </c>
      <c r="BF504" t="n">
        <v>68</v>
      </c>
      <c r="BG504" t="n">
        <v>5</v>
      </c>
      <c r="BH504" t="n">
        <v>3</v>
      </c>
      <c r="BI504" t="n">
        <v>80</v>
      </c>
      <c r="BJ504" t="n">
        <v>75</v>
      </c>
      <c r="BK504" t="n">
        <v>6</v>
      </c>
      <c r="BL504" t="n">
        <v>33</v>
      </c>
      <c r="BM504" t="n">
        <v>22</v>
      </c>
      <c r="BN504" t="n">
        <v>0</v>
      </c>
      <c r="BO504" t="n">
        <v>122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210</v>
      </c>
      <c r="Z505" t="n">
        <v>165</v>
      </c>
      <c r="AA505" t="n">
        <v>32</v>
      </c>
      <c r="AB505" t="n">
        <v>2</v>
      </c>
      <c r="AC505" t="n">
        <v>0</v>
      </c>
      <c r="AD505" t="n">
        <v>2</v>
      </c>
      <c r="AE505" t="n">
        <v>7</v>
      </c>
      <c r="AF505" t="n">
        <v>2</v>
      </c>
      <c r="AG505" t="n">
        <v>3</v>
      </c>
      <c r="AH505" t="n">
        <v>28</v>
      </c>
      <c r="AI505" t="n">
        <v>87</v>
      </c>
      <c r="AJ505" t="n">
        <v>14</v>
      </c>
      <c r="AK505" t="n">
        <v>21</v>
      </c>
      <c r="AL505" t="n">
        <v>1</v>
      </c>
      <c r="AM505" t="n">
        <v>13</v>
      </c>
      <c r="AN505" t="n">
        <v>0</v>
      </c>
      <c r="AO505" t="n">
        <v>0</v>
      </c>
      <c r="AP505" t="n">
        <v>0</v>
      </c>
      <c r="AQ505" t="n">
        <v>4</v>
      </c>
      <c r="AR505" t="n">
        <v>73</v>
      </c>
      <c r="AS505" t="n">
        <v>67</v>
      </c>
      <c r="AT505" t="n">
        <v>4</v>
      </c>
      <c r="AU505" t="n">
        <v>1</v>
      </c>
      <c r="AV505" t="n">
        <v>81</v>
      </c>
      <c r="AW505" t="n">
        <v>1</v>
      </c>
      <c r="AX505" t="n">
        <v>0</v>
      </c>
      <c r="AY505" t="n">
        <v>18</v>
      </c>
      <c r="AZ505" t="n">
        <v>1</v>
      </c>
      <c r="BA505" t="n">
        <v>30</v>
      </c>
      <c r="BB505" t="n">
        <v>62</v>
      </c>
      <c r="BC505" t="n">
        <v>13</v>
      </c>
      <c r="BD505" t="n">
        <v>29</v>
      </c>
      <c r="BE505" t="n">
        <v>1</v>
      </c>
      <c r="BF505" t="n">
        <v>23</v>
      </c>
      <c r="BG505" t="n">
        <v>2</v>
      </c>
      <c r="BH505" t="n">
        <v>9</v>
      </c>
      <c r="BI505" t="n">
        <v>1</v>
      </c>
      <c r="BJ505" t="n">
        <v>24</v>
      </c>
      <c r="BK505" t="n">
        <v>1</v>
      </c>
      <c r="BL505" t="n">
        <v>25</v>
      </c>
      <c r="BM505" t="n">
        <v>28</v>
      </c>
      <c r="BN505" t="n">
        <v>8</v>
      </c>
      <c r="BO505" t="n">
        <v>35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170</v>
      </c>
      <c r="Z506" t="n">
        <v>172</v>
      </c>
      <c r="AA506" t="n">
        <v>24</v>
      </c>
      <c r="AB506" t="n">
        <v>1</v>
      </c>
      <c r="AC506" t="n">
        <v>0</v>
      </c>
      <c r="AD506" t="n">
        <v>4</v>
      </c>
      <c r="AE506" t="n">
        <v>4</v>
      </c>
      <c r="AF506" t="n">
        <v>4</v>
      </c>
      <c r="AG506" t="n">
        <v>5</v>
      </c>
      <c r="AH506" t="n">
        <v>53</v>
      </c>
      <c r="AI506" t="n">
        <v>25</v>
      </c>
      <c r="AJ506" t="n">
        <v>21</v>
      </c>
      <c r="AK506" t="n">
        <v>60</v>
      </c>
      <c r="AL506" t="n">
        <v>1</v>
      </c>
      <c r="AM506" t="n">
        <v>21</v>
      </c>
      <c r="AN506" t="n">
        <v>0</v>
      </c>
      <c r="AO506" t="n">
        <v>0</v>
      </c>
      <c r="AP506" t="n">
        <v>3</v>
      </c>
      <c r="AQ506" t="n">
        <v>9</v>
      </c>
      <c r="AR506" t="n">
        <v>96</v>
      </c>
      <c r="AS506" t="n">
        <v>86</v>
      </c>
      <c r="AT506" t="n">
        <v>4</v>
      </c>
      <c r="AU506" t="n">
        <v>2</v>
      </c>
      <c r="AV506" t="n">
        <v>6</v>
      </c>
      <c r="AW506" t="n">
        <v>30</v>
      </c>
      <c r="AX506" t="n">
        <v>6</v>
      </c>
      <c r="AY506" t="n">
        <v>26</v>
      </c>
      <c r="AZ506" t="n">
        <v>0</v>
      </c>
      <c r="BA506" t="n">
        <v>1</v>
      </c>
      <c r="BB506" t="n">
        <v>24</v>
      </c>
      <c r="BC506" t="n">
        <v>23</v>
      </c>
      <c r="BD506" t="n">
        <v>57</v>
      </c>
      <c r="BE506" t="n">
        <v>30</v>
      </c>
      <c r="BF506" t="n">
        <v>16</v>
      </c>
      <c r="BG506" t="n">
        <v>3</v>
      </c>
      <c r="BH506" t="n">
        <v>4</v>
      </c>
      <c r="BI506" t="n">
        <v>24</v>
      </c>
      <c r="BJ506" t="n">
        <v>22</v>
      </c>
      <c r="BK506" t="n">
        <v>2</v>
      </c>
      <c r="BL506" t="n">
        <v>19</v>
      </c>
      <c r="BM506" t="n">
        <v>20</v>
      </c>
      <c r="BN506" t="n">
        <v>6</v>
      </c>
      <c r="BO506" t="n">
        <v>16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246</v>
      </c>
      <c r="Z507" t="n">
        <v>211</v>
      </c>
      <c r="AA507" t="n">
        <v>69</v>
      </c>
      <c r="AB507" t="n">
        <v>0</v>
      </c>
      <c r="AC507" t="n">
        <v>1</v>
      </c>
      <c r="AD507" t="n">
        <v>11</v>
      </c>
      <c r="AE507" t="n">
        <v>0</v>
      </c>
      <c r="AF507" t="n">
        <v>0</v>
      </c>
      <c r="AG507" t="n">
        <v>8</v>
      </c>
      <c r="AH507" t="n">
        <v>131</v>
      </c>
      <c r="AI507" t="n">
        <v>34</v>
      </c>
      <c r="AJ507" t="n">
        <v>4</v>
      </c>
      <c r="AK507" t="n">
        <v>53</v>
      </c>
      <c r="AL507" t="n">
        <v>2</v>
      </c>
      <c r="AM507" t="n">
        <v>64</v>
      </c>
      <c r="AN507" t="n">
        <v>2</v>
      </c>
      <c r="AO507" t="n">
        <v>0</v>
      </c>
      <c r="AP507" t="n">
        <v>3</v>
      </c>
      <c r="AQ507" t="n">
        <v>18</v>
      </c>
      <c r="AR507" t="n">
        <v>87</v>
      </c>
      <c r="AS507" t="n">
        <v>71</v>
      </c>
      <c r="AT507" t="n">
        <v>1</v>
      </c>
      <c r="AU507" t="n">
        <v>2</v>
      </c>
      <c r="AV507" t="n">
        <v>5</v>
      </c>
      <c r="AW507" t="n">
        <v>35</v>
      </c>
      <c r="AX507" t="n">
        <v>0</v>
      </c>
      <c r="AY507" t="n">
        <v>52</v>
      </c>
      <c r="AZ507" t="n">
        <v>1</v>
      </c>
      <c r="BA507" t="n">
        <v>7</v>
      </c>
      <c r="BB507" t="n">
        <v>71</v>
      </c>
      <c r="BC507" t="n">
        <v>52</v>
      </c>
      <c r="BD507" t="n">
        <v>119</v>
      </c>
      <c r="BE507" t="n">
        <v>71</v>
      </c>
      <c r="BF507" t="n">
        <v>2</v>
      </c>
      <c r="BG507" t="n">
        <v>1</v>
      </c>
      <c r="BH507" t="n">
        <v>4</v>
      </c>
      <c r="BI507" t="n">
        <v>1</v>
      </c>
      <c r="BJ507" t="n">
        <v>1</v>
      </c>
      <c r="BK507" t="n">
        <v>1</v>
      </c>
      <c r="BL507" t="n">
        <v>9</v>
      </c>
      <c r="BM507" t="n">
        <v>53</v>
      </c>
      <c r="BN507" t="n">
        <v>32</v>
      </c>
      <c r="BO507" t="n">
        <v>23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2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250</v>
      </c>
      <c r="Z508" t="n">
        <v>151</v>
      </c>
      <c r="AA508" t="n">
        <v>89</v>
      </c>
      <c r="AB508" t="n">
        <v>3</v>
      </c>
      <c r="AC508" t="n">
        <v>0</v>
      </c>
      <c r="AD508" t="n">
        <v>0</v>
      </c>
      <c r="AE508" t="n">
        <v>8</v>
      </c>
      <c r="AF508" t="n">
        <v>8</v>
      </c>
      <c r="AG508" t="n">
        <v>3</v>
      </c>
      <c r="AH508" t="n">
        <v>6</v>
      </c>
      <c r="AI508" t="n">
        <v>95</v>
      </c>
      <c r="AJ508" t="n">
        <v>118</v>
      </c>
      <c r="AK508" t="n">
        <v>1</v>
      </c>
      <c r="AL508" t="n">
        <v>2</v>
      </c>
      <c r="AM508" t="n">
        <v>18</v>
      </c>
      <c r="AN508" t="n">
        <v>0</v>
      </c>
      <c r="AO508" t="n">
        <v>0</v>
      </c>
      <c r="AP508" t="n">
        <v>4</v>
      </c>
      <c r="AQ508" t="n">
        <v>96</v>
      </c>
      <c r="AR508" t="n">
        <v>118</v>
      </c>
      <c r="AS508" t="n">
        <v>36</v>
      </c>
      <c r="AT508" t="n">
        <v>4</v>
      </c>
      <c r="AU508" t="n">
        <v>3</v>
      </c>
      <c r="AV508" t="n">
        <v>67</v>
      </c>
      <c r="AW508" t="n">
        <v>28</v>
      </c>
      <c r="AX508" t="n">
        <v>6</v>
      </c>
      <c r="AY508" t="n">
        <v>39</v>
      </c>
      <c r="AZ508" t="n">
        <v>1</v>
      </c>
      <c r="BA508" t="n">
        <v>1</v>
      </c>
      <c r="BB508" t="n">
        <v>86</v>
      </c>
      <c r="BC508" t="n">
        <v>14</v>
      </c>
      <c r="BD508" t="n">
        <v>2</v>
      </c>
      <c r="BE508" t="n">
        <v>28</v>
      </c>
      <c r="BF508" t="n">
        <v>93</v>
      </c>
      <c r="BG508" t="n">
        <v>1</v>
      </c>
      <c r="BH508" t="n">
        <v>2</v>
      </c>
      <c r="BI508" t="n">
        <v>21</v>
      </c>
      <c r="BJ508" t="n">
        <v>20</v>
      </c>
      <c r="BK508" t="n">
        <v>0</v>
      </c>
      <c r="BL508" t="n">
        <v>4</v>
      </c>
      <c r="BM508" t="n">
        <v>12</v>
      </c>
      <c r="BN508" t="n">
        <v>7</v>
      </c>
      <c r="BO508" t="n">
        <v>49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319</v>
      </c>
      <c r="Z509" t="n">
        <v>254</v>
      </c>
      <c r="AA509" t="n">
        <v>43</v>
      </c>
      <c r="AB509" t="n">
        <v>1</v>
      </c>
      <c r="AC509" t="n">
        <v>0</v>
      </c>
      <c r="AD509" t="n">
        <v>3</v>
      </c>
      <c r="AE509" t="n">
        <v>3</v>
      </c>
      <c r="AF509" t="n">
        <v>8</v>
      </c>
      <c r="AG509" t="n">
        <v>9</v>
      </c>
      <c r="AH509" t="n">
        <v>26</v>
      </c>
      <c r="AI509" t="n">
        <v>31</v>
      </c>
      <c r="AJ509" t="n">
        <v>88</v>
      </c>
      <c r="AK509" t="n">
        <v>135</v>
      </c>
      <c r="AL509" t="n">
        <v>8</v>
      </c>
      <c r="AM509" t="n">
        <v>80</v>
      </c>
      <c r="AN509" t="n">
        <v>0</v>
      </c>
      <c r="AO509" t="n">
        <v>0</v>
      </c>
      <c r="AP509" t="n">
        <v>8</v>
      </c>
      <c r="AQ509" t="n">
        <v>38</v>
      </c>
      <c r="AR509" t="n">
        <v>154</v>
      </c>
      <c r="AS509" t="n">
        <v>121</v>
      </c>
      <c r="AT509" t="n">
        <v>4</v>
      </c>
      <c r="AU509" t="n">
        <v>2</v>
      </c>
      <c r="AV509" t="n">
        <v>55</v>
      </c>
      <c r="AW509" t="n">
        <v>32</v>
      </c>
      <c r="AX509" t="n">
        <v>20</v>
      </c>
      <c r="AY509" t="n">
        <v>13</v>
      </c>
      <c r="AZ509" t="n">
        <v>1</v>
      </c>
      <c r="BA509" t="n">
        <v>23</v>
      </c>
      <c r="BB509" t="n">
        <v>65</v>
      </c>
      <c r="BC509" t="n">
        <v>74</v>
      </c>
      <c r="BD509" t="n">
        <v>24</v>
      </c>
      <c r="BE509" t="n">
        <v>42</v>
      </c>
      <c r="BF509" t="n">
        <v>69</v>
      </c>
      <c r="BG509" t="n">
        <v>2</v>
      </c>
      <c r="BH509" t="n">
        <v>6</v>
      </c>
      <c r="BI509" t="n">
        <v>21</v>
      </c>
      <c r="BJ509" t="n">
        <v>18</v>
      </c>
      <c r="BK509" t="n">
        <v>2</v>
      </c>
      <c r="BL509" t="n">
        <v>24</v>
      </c>
      <c r="BM509" t="n">
        <v>21</v>
      </c>
      <c r="BN509" t="n">
        <v>5</v>
      </c>
      <c r="BO509" t="n">
        <v>65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248</v>
      </c>
      <c r="Z510" t="n">
        <v>220</v>
      </c>
      <c r="AA510" t="n">
        <v>61</v>
      </c>
      <c r="AB510" t="n">
        <v>0</v>
      </c>
      <c r="AC510" t="n">
        <v>1</v>
      </c>
      <c r="AD510" t="n">
        <v>3</v>
      </c>
      <c r="AE510" t="n">
        <v>4</v>
      </c>
      <c r="AF510" t="n">
        <v>3</v>
      </c>
      <c r="AG510" t="n">
        <v>3</v>
      </c>
      <c r="AH510" t="n">
        <v>77</v>
      </c>
      <c r="AI510" t="n">
        <v>37</v>
      </c>
      <c r="AJ510" t="n">
        <v>37</v>
      </c>
      <c r="AK510" t="n">
        <v>21</v>
      </c>
      <c r="AL510" t="n">
        <v>8</v>
      </c>
      <c r="AM510" t="n">
        <v>90</v>
      </c>
      <c r="AN510" t="n">
        <v>0</v>
      </c>
      <c r="AO510" t="n">
        <v>0</v>
      </c>
      <c r="AP510" t="n">
        <v>3</v>
      </c>
      <c r="AQ510" t="n">
        <v>41</v>
      </c>
      <c r="AR510" t="n">
        <v>208</v>
      </c>
      <c r="AS510" t="n">
        <v>172</v>
      </c>
      <c r="AT510" t="n">
        <v>0</v>
      </c>
      <c r="AU510" t="n">
        <v>0</v>
      </c>
      <c r="AV510" t="n">
        <v>1</v>
      </c>
      <c r="AW510" t="n">
        <v>5</v>
      </c>
      <c r="AX510" t="n">
        <v>0</v>
      </c>
      <c r="AY510" t="n">
        <v>21</v>
      </c>
      <c r="AZ510" t="n">
        <v>4</v>
      </c>
      <c r="BA510" t="n">
        <v>48</v>
      </c>
      <c r="BB510" t="n">
        <v>110</v>
      </c>
      <c r="BC510" t="n">
        <v>78</v>
      </c>
      <c r="BD510" t="n">
        <v>70</v>
      </c>
      <c r="BE510" t="n">
        <v>5</v>
      </c>
      <c r="BF510" t="n">
        <v>29</v>
      </c>
      <c r="BG510" t="n">
        <v>3</v>
      </c>
      <c r="BH510" t="n">
        <v>26</v>
      </c>
      <c r="BI510" t="n">
        <v>17</v>
      </c>
      <c r="BJ510" t="n">
        <v>14</v>
      </c>
      <c r="BK510" t="n">
        <v>0</v>
      </c>
      <c r="BL510" t="n">
        <v>16</v>
      </c>
      <c r="BM510" t="n">
        <v>26</v>
      </c>
      <c r="BN510" t="n">
        <v>10</v>
      </c>
      <c r="BO510" t="n">
        <v>2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213</v>
      </c>
      <c r="Z511" t="n">
        <v>192</v>
      </c>
      <c r="AA511" t="n">
        <v>112</v>
      </c>
      <c r="AB511" t="n">
        <v>0</v>
      </c>
      <c r="AC511" t="n">
        <v>2</v>
      </c>
      <c r="AD511" t="n">
        <v>3</v>
      </c>
      <c r="AE511" t="n">
        <v>1</v>
      </c>
      <c r="AF511" t="n">
        <v>5</v>
      </c>
      <c r="AG511" t="n">
        <v>6</v>
      </c>
      <c r="AH511" t="n">
        <v>17</v>
      </c>
      <c r="AI511" t="n">
        <v>40</v>
      </c>
      <c r="AJ511" t="n">
        <v>96</v>
      </c>
      <c r="AK511" t="n">
        <v>47</v>
      </c>
      <c r="AL511" t="n">
        <v>3</v>
      </c>
      <c r="AM511" t="n">
        <v>21</v>
      </c>
      <c r="AN511" t="n">
        <v>0</v>
      </c>
      <c r="AO511" t="n">
        <v>0</v>
      </c>
      <c r="AP511" t="n">
        <v>3</v>
      </c>
      <c r="AQ511" t="n">
        <v>26</v>
      </c>
      <c r="AR511" t="n">
        <v>54</v>
      </c>
      <c r="AS511" t="n">
        <v>34</v>
      </c>
      <c r="AT511" t="n">
        <v>0</v>
      </c>
      <c r="AU511" t="n">
        <v>2</v>
      </c>
      <c r="AV511" t="n">
        <v>1</v>
      </c>
      <c r="AW511" t="n">
        <v>19</v>
      </c>
      <c r="AX511" t="n">
        <v>1</v>
      </c>
      <c r="AY511" t="n">
        <v>65</v>
      </c>
      <c r="AZ511" t="n">
        <v>3</v>
      </c>
      <c r="BA511" t="n">
        <v>20</v>
      </c>
      <c r="BB511" t="n">
        <v>125</v>
      </c>
      <c r="BC511" t="n">
        <v>30</v>
      </c>
      <c r="BD511" t="n">
        <v>18</v>
      </c>
      <c r="BE511" t="n">
        <v>20</v>
      </c>
      <c r="BF511" t="n">
        <v>81</v>
      </c>
      <c r="BG511" t="n">
        <v>2</v>
      </c>
      <c r="BH511" t="n">
        <v>12</v>
      </c>
      <c r="BI511" t="n">
        <v>29</v>
      </c>
      <c r="BJ511" t="n">
        <v>26</v>
      </c>
      <c r="BK511" t="n">
        <v>4</v>
      </c>
      <c r="BL511" t="n">
        <v>24</v>
      </c>
      <c r="BM511" t="n">
        <v>18</v>
      </c>
      <c r="BN511" t="n">
        <v>2</v>
      </c>
      <c r="BO511" t="n">
        <v>2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251</v>
      </c>
      <c r="Z512" t="n">
        <v>269</v>
      </c>
      <c r="AA512" t="n">
        <v>33</v>
      </c>
      <c r="AB512" t="n">
        <v>1</v>
      </c>
      <c r="AC512" t="n">
        <v>1</v>
      </c>
      <c r="AD512" t="n">
        <v>4</v>
      </c>
      <c r="AE512" t="n">
        <v>4</v>
      </c>
      <c r="AF512" t="n">
        <v>2</v>
      </c>
      <c r="AG512" t="n">
        <v>3</v>
      </c>
      <c r="AH512" t="n">
        <v>54</v>
      </c>
      <c r="AI512" t="n">
        <v>16</v>
      </c>
      <c r="AJ512" t="n">
        <v>12</v>
      </c>
      <c r="AK512" t="n">
        <v>35</v>
      </c>
      <c r="AL512" t="n">
        <v>3</v>
      </c>
      <c r="AM512" t="n">
        <v>25</v>
      </c>
      <c r="AN512" t="n">
        <v>0</v>
      </c>
      <c r="AO512" t="n">
        <v>0</v>
      </c>
      <c r="AP512" t="n">
        <v>3</v>
      </c>
      <c r="AQ512" t="n">
        <v>12</v>
      </c>
      <c r="AR512" t="n">
        <v>88</v>
      </c>
      <c r="AS512" t="n">
        <v>76</v>
      </c>
      <c r="AT512" t="n">
        <v>0</v>
      </c>
      <c r="AU512" t="n">
        <v>5</v>
      </c>
      <c r="AV512" t="n">
        <v>1</v>
      </c>
      <c r="AW512" t="n">
        <v>43</v>
      </c>
      <c r="AX512" t="n">
        <v>0</v>
      </c>
      <c r="AY512" t="n">
        <v>61</v>
      </c>
      <c r="AZ512" t="n">
        <v>1</v>
      </c>
      <c r="BA512" t="n">
        <v>15</v>
      </c>
      <c r="BB512" t="n">
        <v>46</v>
      </c>
      <c r="BC512" t="n">
        <v>20</v>
      </c>
      <c r="BD512" t="n">
        <v>47</v>
      </c>
      <c r="BE512" t="n">
        <v>45</v>
      </c>
      <c r="BF512" t="n">
        <v>10</v>
      </c>
      <c r="BG512" t="n">
        <v>3</v>
      </c>
      <c r="BH512" t="n">
        <v>23</v>
      </c>
      <c r="BI512" t="n">
        <v>19</v>
      </c>
      <c r="BJ512" t="n">
        <v>17</v>
      </c>
      <c r="BK512" t="n">
        <v>3</v>
      </c>
      <c r="BL512" t="n">
        <v>1</v>
      </c>
      <c r="BM512" t="n">
        <v>24</v>
      </c>
      <c r="BN512" t="n">
        <v>14</v>
      </c>
      <c r="BO512" t="n">
        <v>2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276</v>
      </c>
      <c r="Z513" t="n">
        <v>217</v>
      </c>
      <c r="AA513" t="n">
        <v>48</v>
      </c>
      <c r="AB513" t="n">
        <v>0</v>
      </c>
      <c r="AC513" t="n">
        <v>3</v>
      </c>
      <c r="AD513" t="n">
        <v>7</v>
      </c>
      <c r="AE513" t="n">
        <v>7</v>
      </c>
      <c r="AF513" t="n">
        <v>5</v>
      </c>
      <c r="AG513" t="n">
        <v>7</v>
      </c>
      <c r="AH513" t="n">
        <v>62</v>
      </c>
      <c r="AI513" t="n">
        <v>30</v>
      </c>
      <c r="AJ513" t="n">
        <v>59</v>
      </c>
      <c r="AK513" t="n">
        <v>27</v>
      </c>
      <c r="AL513" t="n">
        <v>6</v>
      </c>
      <c r="AM513" t="n">
        <v>87</v>
      </c>
      <c r="AN513" t="n">
        <v>0</v>
      </c>
      <c r="AO513" t="n">
        <v>0</v>
      </c>
      <c r="AP513" t="n">
        <v>5</v>
      </c>
      <c r="AQ513" t="n">
        <v>27</v>
      </c>
      <c r="AR513" t="n">
        <v>51</v>
      </c>
      <c r="AS513" t="n">
        <v>28</v>
      </c>
      <c r="AT513" t="n">
        <v>4</v>
      </c>
      <c r="AU513" t="n">
        <v>1</v>
      </c>
      <c r="AV513" t="n">
        <v>24</v>
      </c>
      <c r="AW513" t="n">
        <v>11</v>
      </c>
      <c r="AX513" t="n">
        <v>0</v>
      </c>
      <c r="AY513" t="n">
        <v>28</v>
      </c>
      <c r="AZ513" t="n">
        <v>1</v>
      </c>
      <c r="BA513" t="n">
        <v>1</v>
      </c>
      <c r="BB513" t="n">
        <v>48</v>
      </c>
      <c r="BC513" t="n">
        <v>83</v>
      </c>
      <c r="BD513" t="n">
        <v>59</v>
      </c>
      <c r="BE513" t="n">
        <v>11</v>
      </c>
      <c r="BF513" t="n">
        <v>47</v>
      </c>
      <c r="BG513" t="n">
        <v>1</v>
      </c>
      <c r="BH513" t="n">
        <v>7</v>
      </c>
      <c r="BI513" t="n">
        <v>76</v>
      </c>
      <c r="BJ513" t="n">
        <v>69</v>
      </c>
      <c r="BK513" t="n">
        <v>3</v>
      </c>
      <c r="BL513" t="n">
        <v>28</v>
      </c>
      <c r="BM513" t="n">
        <v>26</v>
      </c>
      <c r="BN513" t="n">
        <v>6</v>
      </c>
      <c r="BO513" t="n">
        <v>2</v>
      </c>
    </row>
    <row r="514">
      <c r="A514" t="n">
        <v>0</v>
      </c>
      <c r="B514" t="n">
        <v>0</v>
      </c>
      <c r="C514" t="n">
        <v>0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269</v>
      </c>
      <c r="Z514" t="n">
        <v>132</v>
      </c>
      <c r="AA514" t="n">
        <v>151</v>
      </c>
      <c r="AB514" t="n">
        <v>2</v>
      </c>
      <c r="AC514" t="n">
        <v>1</v>
      </c>
      <c r="AD514" t="n">
        <v>2</v>
      </c>
      <c r="AE514" t="n">
        <v>4</v>
      </c>
      <c r="AF514" t="n">
        <v>3</v>
      </c>
      <c r="AG514" t="n">
        <v>3</v>
      </c>
      <c r="AH514" t="n">
        <v>44</v>
      </c>
      <c r="AI514" t="n">
        <v>21</v>
      </c>
      <c r="AJ514" t="n">
        <v>11</v>
      </c>
      <c r="AK514" t="n">
        <v>59</v>
      </c>
      <c r="AL514" t="n">
        <v>7</v>
      </c>
      <c r="AM514" t="n">
        <v>44</v>
      </c>
      <c r="AN514" t="n">
        <v>0</v>
      </c>
      <c r="AO514" t="n">
        <v>0</v>
      </c>
      <c r="AP514" t="n">
        <v>3</v>
      </c>
      <c r="AQ514" t="n">
        <v>10</v>
      </c>
      <c r="AR514" t="n">
        <v>54</v>
      </c>
      <c r="AS514" t="n">
        <v>46</v>
      </c>
      <c r="AT514" t="n">
        <v>2</v>
      </c>
      <c r="AU514" t="n">
        <v>1</v>
      </c>
      <c r="AV514" t="n">
        <v>83</v>
      </c>
      <c r="AW514" t="n">
        <v>6</v>
      </c>
      <c r="AX514" t="n">
        <v>0</v>
      </c>
      <c r="AY514" t="n">
        <v>38</v>
      </c>
      <c r="AZ514" t="n">
        <v>0</v>
      </c>
      <c r="BA514" t="n">
        <v>1</v>
      </c>
      <c r="BB514" t="n">
        <v>140</v>
      </c>
      <c r="BC514" t="n">
        <v>37</v>
      </c>
      <c r="BD514" t="n">
        <v>39</v>
      </c>
      <c r="BE514" t="n">
        <v>13</v>
      </c>
      <c r="BF514" t="n">
        <v>8</v>
      </c>
      <c r="BG514" t="n">
        <v>0</v>
      </c>
      <c r="BH514" t="n">
        <v>20</v>
      </c>
      <c r="BI514" t="n">
        <v>1</v>
      </c>
      <c r="BJ514" t="n">
        <v>7</v>
      </c>
      <c r="BK514" t="n">
        <v>3</v>
      </c>
      <c r="BL514" t="n">
        <v>16</v>
      </c>
      <c r="BM514" t="n">
        <v>11</v>
      </c>
      <c r="BN514" t="n">
        <v>0</v>
      </c>
      <c r="BO514" t="n">
        <v>2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179</v>
      </c>
      <c r="Z515" t="n">
        <v>175</v>
      </c>
      <c r="AA515" t="n">
        <v>71</v>
      </c>
      <c r="AB515" t="n">
        <v>1</v>
      </c>
      <c r="AC515" t="n">
        <v>2</v>
      </c>
      <c r="AD515" t="n">
        <v>2</v>
      </c>
      <c r="AE515" t="n">
        <v>2</v>
      </c>
      <c r="AF515" t="n">
        <v>2</v>
      </c>
      <c r="AG515" t="n">
        <v>5</v>
      </c>
      <c r="AH515" t="n">
        <v>20</v>
      </c>
      <c r="AI515" t="n">
        <v>2</v>
      </c>
      <c r="AJ515" t="n">
        <v>18</v>
      </c>
      <c r="AK515" t="n">
        <v>47</v>
      </c>
      <c r="AL515" t="n">
        <v>3</v>
      </c>
      <c r="AM515" t="n">
        <v>29</v>
      </c>
      <c r="AN515" t="n">
        <v>0</v>
      </c>
      <c r="AO515" t="n">
        <v>2</v>
      </c>
      <c r="AP515" t="n">
        <v>3</v>
      </c>
      <c r="AQ515" t="n">
        <v>10</v>
      </c>
      <c r="AR515" t="n">
        <v>12</v>
      </c>
      <c r="AS515" t="n">
        <v>4</v>
      </c>
      <c r="AT515" t="n">
        <v>3</v>
      </c>
      <c r="AU515" t="n">
        <v>4</v>
      </c>
      <c r="AV515" t="n">
        <v>14</v>
      </c>
      <c r="AW515" t="n">
        <v>22</v>
      </c>
      <c r="AX515" t="n">
        <v>0</v>
      </c>
      <c r="AY515" t="n">
        <v>32</v>
      </c>
      <c r="AZ515" t="n">
        <v>3</v>
      </c>
      <c r="BA515" t="n">
        <v>7</v>
      </c>
      <c r="BB515" t="n">
        <v>74</v>
      </c>
      <c r="BC515" t="n">
        <v>24</v>
      </c>
      <c r="BD515" t="n">
        <v>17</v>
      </c>
      <c r="BE515" t="n">
        <v>24</v>
      </c>
      <c r="BF515" t="n">
        <v>14</v>
      </c>
      <c r="BG515" t="n">
        <v>6</v>
      </c>
      <c r="BH515" t="n">
        <v>4</v>
      </c>
      <c r="BI515" t="n">
        <v>39</v>
      </c>
      <c r="BJ515" t="n">
        <v>38</v>
      </c>
      <c r="BK515" t="n">
        <v>2</v>
      </c>
      <c r="BL515" t="n">
        <v>9</v>
      </c>
      <c r="BM515" t="n">
        <v>18</v>
      </c>
      <c r="BN515" t="n">
        <v>7</v>
      </c>
      <c r="BO515" t="n">
        <v>11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239</v>
      </c>
      <c r="Z516" t="n">
        <v>86</v>
      </c>
      <c r="AA516" t="n">
        <v>-1</v>
      </c>
      <c r="AB516" t="n">
        <v>1</v>
      </c>
      <c r="AC516" t="n">
        <v>3</v>
      </c>
      <c r="AD516" t="n">
        <v>8</v>
      </c>
      <c r="AE516" t="n">
        <v>0</v>
      </c>
      <c r="AF516" t="n">
        <v>4</v>
      </c>
      <c r="AG516" t="n">
        <v>3</v>
      </c>
      <c r="AH516" t="n">
        <v>70</v>
      </c>
      <c r="AI516" t="n">
        <v>18</v>
      </c>
      <c r="AJ516" t="n">
        <v>36</v>
      </c>
      <c r="AK516" t="n">
        <v>6</v>
      </c>
      <c r="AL516" t="n">
        <v>4</v>
      </c>
      <c r="AM516" t="n">
        <v>61</v>
      </c>
      <c r="AN516" t="n">
        <v>0</v>
      </c>
      <c r="AO516" t="n">
        <v>0</v>
      </c>
      <c r="AP516" t="n">
        <v>12</v>
      </c>
      <c r="AQ516" t="n">
        <v>126</v>
      </c>
      <c r="AR516" t="n">
        <v>190</v>
      </c>
      <c r="AS516" t="n">
        <v>89</v>
      </c>
      <c r="AT516" t="n">
        <v>4</v>
      </c>
      <c r="AU516" t="n">
        <v>0</v>
      </c>
      <c r="AV516" t="n">
        <v>33</v>
      </c>
      <c r="AW516" t="n">
        <v>8</v>
      </c>
      <c r="AX516" t="n">
        <v>17</v>
      </c>
      <c r="AY516" t="n">
        <v>29</v>
      </c>
      <c r="AZ516" t="n">
        <v>3</v>
      </c>
      <c r="BA516" t="n">
        <v>12</v>
      </c>
      <c r="BB516" t="n">
        <v>15</v>
      </c>
      <c r="BC516" t="n">
        <v>50</v>
      </c>
      <c r="BD516" t="n">
        <v>66</v>
      </c>
      <c r="BE516" t="n">
        <v>8</v>
      </c>
      <c r="BF516" t="n">
        <v>61</v>
      </c>
      <c r="BG516" t="n">
        <v>1</v>
      </c>
      <c r="BH516" t="n">
        <v>12</v>
      </c>
      <c r="BI516" t="n">
        <v>12</v>
      </c>
      <c r="BJ516" t="n">
        <v>16</v>
      </c>
      <c r="BK516" t="n">
        <v>5</v>
      </c>
      <c r="BL516" t="n">
        <v>1</v>
      </c>
      <c r="BM516" t="n">
        <v>1</v>
      </c>
      <c r="BN516" t="n">
        <v>0</v>
      </c>
      <c r="BO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3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2</v>
      </c>
      <c r="X517" t="n">
        <v>1</v>
      </c>
      <c r="Y517" t="n">
        <v>318</v>
      </c>
      <c r="Z517" t="n">
        <v>134</v>
      </c>
      <c r="AA517" t="n">
        <v>43</v>
      </c>
      <c r="AB517" t="n">
        <v>3</v>
      </c>
      <c r="AC517" t="n">
        <v>3</v>
      </c>
      <c r="AD517" t="n">
        <v>4</v>
      </c>
      <c r="AE517" t="n">
        <v>4</v>
      </c>
      <c r="AF517" t="n">
        <v>1</v>
      </c>
      <c r="AG517" t="n">
        <v>5</v>
      </c>
      <c r="AH517" t="n">
        <v>40</v>
      </c>
      <c r="AI517" t="n">
        <v>28</v>
      </c>
      <c r="AJ517" t="n">
        <v>2</v>
      </c>
      <c r="AK517" t="n">
        <v>28</v>
      </c>
      <c r="AL517" t="n">
        <v>5</v>
      </c>
      <c r="AM517" t="n">
        <v>25</v>
      </c>
      <c r="AN517" t="n">
        <v>0</v>
      </c>
      <c r="AO517" t="n">
        <v>0</v>
      </c>
      <c r="AP517" t="n">
        <v>10</v>
      </c>
      <c r="AQ517" t="n">
        <v>177</v>
      </c>
      <c r="AR517" t="n">
        <v>224</v>
      </c>
      <c r="AS517" t="n">
        <v>79</v>
      </c>
      <c r="AT517" t="n">
        <v>4</v>
      </c>
      <c r="AU517" t="n">
        <v>0</v>
      </c>
      <c r="AV517" t="n">
        <v>30</v>
      </c>
      <c r="AW517" t="n">
        <v>15</v>
      </c>
      <c r="AX517" t="n">
        <v>0</v>
      </c>
      <c r="AY517" t="n">
        <v>60</v>
      </c>
      <c r="AZ517" t="n">
        <v>1</v>
      </c>
      <c r="BA517" t="n">
        <v>8</v>
      </c>
      <c r="BB517" t="n">
        <v>48</v>
      </c>
      <c r="BC517" t="n">
        <v>37</v>
      </c>
      <c r="BD517" t="n">
        <v>36</v>
      </c>
      <c r="BE517" t="n">
        <v>15</v>
      </c>
      <c r="BF517" t="n">
        <v>2</v>
      </c>
      <c r="BG517" t="n">
        <v>6</v>
      </c>
      <c r="BH517" t="n">
        <v>10</v>
      </c>
      <c r="BI517" t="n">
        <v>57</v>
      </c>
      <c r="BJ517" t="n">
        <v>53</v>
      </c>
      <c r="BK517" t="n">
        <v>3</v>
      </c>
      <c r="BL517" t="n">
        <v>44</v>
      </c>
      <c r="BM517" t="n">
        <v>41</v>
      </c>
      <c r="BN517" t="n">
        <v>8</v>
      </c>
      <c r="BO517" t="n">
        <v>2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241</v>
      </c>
      <c r="Z518" t="n">
        <v>85</v>
      </c>
      <c r="AA518" t="n">
        <v>15</v>
      </c>
      <c r="AB518" t="n">
        <v>0</v>
      </c>
      <c r="AC518" t="n">
        <v>0</v>
      </c>
      <c r="AD518" t="n">
        <v>3</v>
      </c>
      <c r="AE518" t="n">
        <v>4</v>
      </c>
      <c r="AF518" t="n">
        <v>4</v>
      </c>
      <c r="AG518" t="n">
        <v>0</v>
      </c>
      <c r="AH518" t="n">
        <v>58</v>
      </c>
      <c r="AI518" t="n">
        <v>42</v>
      </c>
      <c r="AJ518" t="n">
        <v>96</v>
      </c>
      <c r="AK518" t="n">
        <v>9</v>
      </c>
      <c r="AL518" t="n">
        <v>0</v>
      </c>
      <c r="AM518" t="n">
        <v>2</v>
      </c>
      <c r="AN518" t="n">
        <v>0</v>
      </c>
      <c r="AO518" t="n">
        <v>0</v>
      </c>
      <c r="AP518" t="n">
        <v>0</v>
      </c>
      <c r="AQ518" t="n">
        <v>6</v>
      </c>
      <c r="AR518" t="n">
        <v>13</v>
      </c>
      <c r="AS518" t="n">
        <v>9</v>
      </c>
      <c r="AT518" t="n">
        <v>0</v>
      </c>
      <c r="AU518" t="n">
        <v>1</v>
      </c>
      <c r="AV518" t="n">
        <v>20</v>
      </c>
      <c r="AW518" t="n">
        <v>16</v>
      </c>
      <c r="AX518" t="n">
        <v>2</v>
      </c>
      <c r="AY518" t="n">
        <v>77</v>
      </c>
      <c r="AZ518" t="n">
        <v>2</v>
      </c>
      <c r="BA518" t="n">
        <v>11</v>
      </c>
      <c r="BB518" t="n">
        <v>25</v>
      </c>
      <c r="BC518" t="n">
        <v>2</v>
      </c>
      <c r="BD518" t="n">
        <v>77</v>
      </c>
      <c r="BE518" t="n">
        <v>18</v>
      </c>
      <c r="BF518" t="n">
        <v>76</v>
      </c>
      <c r="BG518" t="n">
        <v>5</v>
      </c>
      <c r="BH518" t="n">
        <v>10</v>
      </c>
      <c r="BI518" t="n">
        <v>33</v>
      </c>
      <c r="BJ518" t="n">
        <v>35</v>
      </c>
      <c r="BK518" t="n">
        <v>1</v>
      </c>
      <c r="BL518" t="n">
        <v>1</v>
      </c>
      <c r="BM518" t="n">
        <v>9</v>
      </c>
      <c r="BN518" t="n">
        <v>5</v>
      </c>
      <c r="BO518" t="n">
        <v>2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0</v>
      </c>
      <c r="V519" t="n">
        <v>0</v>
      </c>
      <c r="W519" t="n">
        <v>1</v>
      </c>
      <c r="X519" t="n">
        <v>0</v>
      </c>
      <c r="Y519" t="n">
        <v>336</v>
      </c>
      <c r="Z519" t="n">
        <v>172</v>
      </c>
      <c r="AA519" t="n">
        <v>149</v>
      </c>
      <c r="AB519" t="n">
        <v>0</v>
      </c>
      <c r="AC519" t="n">
        <v>0</v>
      </c>
      <c r="AD519" t="n">
        <v>5</v>
      </c>
      <c r="AE519" t="n">
        <v>3</v>
      </c>
      <c r="AF519" t="n">
        <v>1</v>
      </c>
      <c r="AG519" t="n">
        <v>2</v>
      </c>
      <c r="AH519" t="n">
        <v>50</v>
      </c>
      <c r="AI519" t="n">
        <v>62</v>
      </c>
      <c r="AJ519" t="n">
        <v>92</v>
      </c>
      <c r="AK519" t="n">
        <v>12</v>
      </c>
      <c r="AL519" t="n">
        <v>6</v>
      </c>
      <c r="AM519" t="n">
        <v>74</v>
      </c>
      <c r="AN519" t="n">
        <v>1</v>
      </c>
      <c r="AO519" t="n">
        <v>0</v>
      </c>
      <c r="AP519" t="n">
        <v>3</v>
      </c>
      <c r="AQ519" t="n">
        <v>19</v>
      </c>
      <c r="AR519" t="n">
        <v>88</v>
      </c>
      <c r="AS519" t="n">
        <v>71</v>
      </c>
      <c r="AT519" t="n">
        <v>5</v>
      </c>
      <c r="AU519" t="n">
        <v>1</v>
      </c>
      <c r="AV519" t="n">
        <v>50</v>
      </c>
      <c r="AW519" t="n">
        <v>6</v>
      </c>
      <c r="AX519" t="n">
        <v>3</v>
      </c>
      <c r="AY519" t="n">
        <v>65</v>
      </c>
      <c r="AZ519" t="n">
        <v>0</v>
      </c>
      <c r="BA519" t="n">
        <v>1</v>
      </c>
      <c r="BB519" t="n">
        <v>137</v>
      </c>
      <c r="BC519" t="n">
        <v>61</v>
      </c>
      <c r="BD519" t="n">
        <v>57</v>
      </c>
      <c r="BE519" t="n">
        <v>6</v>
      </c>
      <c r="BF519" t="n">
        <v>73</v>
      </c>
      <c r="BG519" t="n">
        <v>7</v>
      </c>
      <c r="BH519" t="n">
        <v>4</v>
      </c>
      <c r="BI519" t="n">
        <v>116</v>
      </c>
      <c r="BJ519" t="n">
        <v>102</v>
      </c>
      <c r="BK519" t="n">
        <v>3</v>
      </c>
      <c r="BL519" t="n">
        <v>28</v>
      </c>
      <c r="BM519" t="n">
        <v>30</v>
      </c>
      <c r="BN519" t="n">
        <v>9</v>
      </c>
      <c r="BO519" t="n">
        <v>14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173</v>
      </c>
      <c r="Z520" t="n">
        <v>143</v>
      </c>
      <c r="AA520" t="n">
        <v>94</v>
      </c>
      <c r="AB520" t="n">
        <v>1</v>
      </c>
      <c r="AC520" t="n">
        <v>0</v>
      </c>
      <c r="AD520" t="n">
        <v>8</v>
      </c>
      <c r="AE520" t="n">
        <v>8</v>
      </c>
      <c r="AF520" t="n">
        <v>3</v>
      </c>
      <c r="AG520" t="n">
        <v>1</v>
      </c>
      <c r="AH520" t="n">
        <v>72</v>
      </c>
      <c r="AI520" t="n">
        <v>80</v>
      </c>
      <c r="AJ520" t="n">
        <v>33</v>
      </c>
      <c r="AK520" t="n">
        <v>25</v>
      </c>
      <c r="AL520" t="n">
        <v>1</v>
      </c>
      <c r="AM520" t="n">
        <v>16</v>
      </c>
      <c r="AN520" t="n">
        <v>0</v>
      </c>
      <c r="AO520" t="n">
        <v>0</v>
      </c>
      <c r="AP520" t="n">
        <v>3</v>
      </c>
      <c r="AQ520" t="n">
        <v>6</v>
      </c>
      <c r="AR520" t="n">
        <v>59</v>
      </c>
      <c r="AS520" t="n">
        <v>53</v>
      </c>
      <c r="AT520" t="n">
        <v>2</v>
      </c>
      <c r="AU520" t="n">
        <v>1</v>
      </c>
      <c r="AV520" t="n">
        <v>21</v>
      </c>
      <c r="AW520" t="n">
        <v>13</v>
      </c>
      <c r="AX520" t="n">
        <v>0</v>
      </c>
      <c r="AY520" t="n">
        <v>35</v>
      </c>
      <c r="AZ520" t="n">
        <v>2</v>
      </c>
      <c r="BA520" t="n">
        <v>21</v>
      </c>
      <c r="BB520" t="n">
        <v>110</v>
      </c>
      <c r="BC520" t="n">
        <v>26</v>
      </c>
      <c r="BD520" t="n">
        <v>65</v>
      </c>
      <c r="BE520" t="n">
        <v>16</v>
      </c>
      <c r="BF520" t="n">
        <v>26</v>
      </c>
      <c r="BG520" t="n">
        <v>2</v>
      </c>
      <c r="BH520" t="n">
        <v>6</v>
      </c>
      <c r="BI520" t="n">
        <v>20</v>
      </c>
      <c r="BJ520" t="n">
        <v>21</v>
      </c>
      <c r="BK520" t="n">
        <v>6</v>
      </c>
      <c r="BL520" t="n">
        <v>45</v>
      </c>
      <c r="BM520" t="n">
        <v>30</v>
      </c>
      <c r="BN520" t="n">
        <v>0</v>
      </c>
      <c r="BO520" t="n">
        <v>21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217</v>
      </c>
      <c r="Z521" t="n">
        <v>185</v>
      </c>
      <c r="AA521" t="n">
        <v>99</v>
      </c>
      <c r="AB521" t="n">
        <v>2</v>
      </c>
      <c r="AC521" t="n">
        <v>2</v>
      </c>
      <c r="AD521" t="n">
        <v>2</v>
      </c>
      <c r="AE521" t="n">
        <v>4</v>
      </c>
      <c r="AF521" t="n">
        <v>2</v>
      </c>
      <c r="AG521" t="n">
        <v>3</v>
      </c>
      <c r="AH521" t="n">
        <v>37</v>
      </c>
      <c r="AI521" t="n">
        <v>38</v>
      </c>
      <c r="AJ521" t="n">
        <v>25</v>
      </c>
      <c r="AK521" t="n">
        <v>6</v>
      </c>
      <c r="AL521" t="n">
        <v>2</v>
      </c>
      <c r="AM521" t="n">
        <v>-1</v>
      </c>
      <c r="AN521" t="n">
        <v>0</v>
      </c>
      <c r="AO521" t="n">
        <v>0</v>
      </c>
      <c r="AP521" t="n">
        <v>9</v>
      </c>
      <c r="AQ521" t="n">
        <v>58</v>
      </c>
      <c r="AR521" t="n">
        <v>89</v>
      </c>
      <c r="AS521" t="n">
        <v>40</v>
      </c>
      <c r="AT521" t="n">
        <v>6</v>
      </c>
      <c r="AU521" t="n">
        <v>4</v>
      </c>
      <c r="AV521" t="n">
        <v>43</v>
      </c>
      <c r="AW521" t="n">
        <v>41</v>
      </c>
      <c r="AX521" t="n">
        <v>0</v>
      </c>
      <c r="AY521" t="n">
        <v>42</v>
      </c>
      <c r="AZ521" t="n">
        <v>4</v>
      </c>
      <c r="BA521" t="n">
        <v>18</v>
      </c>
      <c r="BB521" t="n">
        <v>113</v>
      </c>
      <c r="BC521" t="n">
        <v>0</v>
      </c>
      <c r="BD521" t="n">
        <v>33</v>
      </c>
      <c r="BE521" t="n">
        <v>40</v>
      </c>
      <c r="BF521" t="n">
        <v>20</v>
      </c>
      <c r="BG521" t="n">
        <v>1</v>
      </c>
      <c r="BH521" t="n">
        <v>4</v>
      </c>
      <c r="BI521" t="n">
        <v>9</v>
      </c>
      <c r="BJ521" t="n">
        <v>8</v>
      </c>
      <c r="BK521" t="n">
        <v>3</v>
      </c>
      <c r="BL521" t="n">
        <v>13</v>
      </c>
      <c r="BM521" t="n">
        <v>38</v>
      </c>
      <c r="BN521" t="n">
        <v>19</v>
      </c>
      <c r="BO521" t="n">
        <v>2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140</v>
      </c>
      <c r="Z522" t="n">
        <v>349</v>
      </c>
      <c r="AA522" t="n">
        <v>43</v>
      </c>
      <c r="AB522" t="n">
        <v>1</v>
      </c>
      <c r="AC522" t="n">
        <v>0</v>
      </c>
      <c r="AD522" t="n">
        <v>2</v>
      </c>
      <c r="AE522" t="n">
        <v>5</v>
      </c>
      <c r="AF522" t="n">
        <v>8</v>
      </c>
      <c r="AG522" t="n">
        <v>6</v>
      </c>
      <c r="AH522" t="n">
        <v>19</v>
      </c>
      <c r="AI522" t="n">
        <v>54</v>
      </c>
      <c r="AJ522" t="n">
        <v>57</v>
      </c>
      <c r="AK522" t="n">
        <v>77</v>
      </c>
      <c r="AL522" t="n">
        <v>2</v>
      </c>
      <c r="AM522" t="n">
        <v>64</v>
      </c>
      <c r="AN522" t="n">
        <v>0</v>
      </c>
      <c r="AO522" t="n">
        <v>0</v>
      </c>
      <c r="AP522" t="n">
        <v>4</v>
      </c>
      <c r="AQ522" t="n">
        <v>33</v>
      </c>
      <c r="AR522" t="n">
        <v>98</v>
      </c>
      <c r="AS522" t="n">
        <v>70</v>
      </c>
      <c r="AT522" t="n">
        <v>0</v>
      </c>
      <c r="AU522" t="n">
        <v>1</v>
      </c>
      <c r="AV522" t="n">
        <v>1</v>
      </c>
      <c r="AW522" t="n">
        <v>24</v>
      </c>
      <c r="AX522" t="n">
        <v>2</v>
      </c>
      <c r="AY522" t="n">
        <v>22</v>
      </c>
      <c r="AZ522" t="n">
        <v>1</v>
      </c>
      <c r="BA522" t="n">
        <v>54</v>
      </c>
      <c r="BB522" t="n">
        <v>103</v>
      </c>
      <c r="BC522" t="n">
        <v>52</v>
      </c>
      <c r="BD522" t="n">
        <v>26</v>
      </c>
      <c r="BE522" t="n">
        <v>26</v>
      </c>
      <c r="BF522" t="n">
        <v>67</v>
      </c>
      <c r="BG522" t="n">
        <v>1</v>
      </c>
      <c r="BH522" t="n">
        <v>4</v>
      </c>
      <c r="BI522" t="n">
        <v>1</v>
      </c>
      <c r="BJ522" t="n">
        <v>5</v>
      </c>
      <c r="BK522" t="n">
        <v>1</v>
      </c>
      <c r="BL522" t="n">
        <v>32</v>
      </c>
      <c r="BM522" t="n">
        <v>30</v>
      </c>
      <c r="BN522" t="n">
        <v>7</v>
      </c>
      <c r="BO522" t="n">
        <v>18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</v>
      </c>
      <c r="S523" t="n">
        <v>0</v>
      </c>
      <c r="T523" t="n">
        <v>0</v>
      </c>
      <c r="U523" t="n">
        <v>0</v>
      </c>
      <c r="V523" t="n">
        <v>0</v>
      </c>
      <c r="W523" t="n">
        <v>2</v>
      </c>
      <c r="X523" t="n">
        <v>0</v>
      </c>
      <c r="Y523" t="n">
        <v>293</v>
      </c>
      <c r="Z523" t="n">
        <v>151</v>
      </c>
      <c r="AA523" t="n">
        <v>8</v>
      </c>
      <c r="AB523" t="n">
        <v>3</v>
      </c>
      <c r="AC523" t="n">
        <v>1</v>
      </c>
      <c r="AD523" t="n">
        <v>3</v>
      </c>
      <c r="AE523" t="n">
        <v>3</v>
      </c>
      <c r="AF523" t="n">
        <v>5</v>
      </c>
      <c r="AG523" t="n">
        <v>6</v>
      </c>
      <c r="AH523" t="n">
        <v>33</v>
      </c>
      <c r="AI523" t="n">
        <v>27</v>
      </c>
      <c r="AJ523" t="n">
        <v>55</v>
      </c>
      <c r="AK523" t="n">
        <v>27</v>
      </c>
      <c r="AL523" t="n">
        <v>2</v>
      </c>
      <c r="AM523" t="n">
        <v>25</v>
      </c>
      <c r="AN523" t="n">
        <v>0</v>
      </c>
      <c r="AO523" t="n">
        <v>0</v>
      </c>
      <c r="AP523" t="n">
        <v>12</v>
      </c>
      <c r="AQ523" t="n">
        <v>77</v>
      </c>
      <c r="AR523" t="n">
        <v>104</v>
      </c>
      <c r="AS523" t="n">
        <v>38</v>
      </c>
      <c r="AT523" t="n">
        <v>1</v>
      </c>
      <c r="AU523" t="n">
        <v>1</v>
      </c>
      <c r="AV523" t="n">
        <v>33</v>
      </c>
      <c r="AW523" t="n">
        <v>1</v>
      </c>
      <c r="AX523" t="n">
        <v>2</v>
      </c>
      <c r="AY523" t="n">
        <v>0</v>
      </c>
      <c r="AZ523" t="n">
        <v>5</v>
      </c>
      <c r="BA523" t="n">
        <v>27</v>
      </c>
      <c r="BB523" t="n">
        <v>38</v>
      </c>
      <c r="BC523" t="n">
        <v>20</v>
      </c>
      <c r="BD523" t="n">
        <v>36</v>
      </c>
      <c r="BE523" t="n">
        <v>1</v>
      </c>
      <c r="BF523" t="n">
        <v>48</v>
      </c>
      <c r="BG523" t="n">
        <v>4</v>
      </c>
      <c r="BH523" t="n">
        <v>11</v>
      </c>
      <c r="BI523" t="n">
        <v>40</v>
      </c>
      <c r="BJ523" t="n">
        <v>46</v>
      </c>
      <c r="BK523" t="n">
        <v>8</v>
      </c>
      <c r="BL523" t="n">
        <v>38</v>
      </c>
      <c r="BM523" t="n">
        <v>40</v>
      </c>
      <c r="BN523" t="n">
        <v>11</v>
      </c>
      <c r="BO523" t="n">
        <v>25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</v>
      </c>
      <c r="U524" t="n">
        <v>0</v>
      </c>
      <c r="V524" t="n">
        <v>0</v>
      </c>
      <c r="W524" t="n">
        <v>0</v>
      </c>
      <c r="X524" t="n">
        <v>0</v>
      </c>
      <c r="Y524" t="n">
        <v>210</v>
      </c>
      <c r="Z524" t="n">
        <v>141</v>
      </c>
      <c r="AA524" t="n">
        <v>47</v>
      </c>
      <c r="AB524" t="n">
        <v>0</v>
      </c>
      <c r="AC524" t="n">
        <v>3</v>
      </c>
      <c r="AD524" t="n">
        <v>5</v>
      </c>
      <c r="AE524" t="n">
        <v>1</v>
      </c>
      <c r="AF524" t="n">
        <v>1</v>
      </c>
      <c r="AG524" t="n">
        <v>3</v>
      </c>
      <c r="AH524" t="n">
        <v>41</v>
      </c>
      <c r="AI524" t="n">
        <v>6</v>
      </c>
      <c r="AJ524" t="n">
        <v>4</v>
      </c>
      <c r="AK524" t="n">
        <v>47</v>
      </c>
      <c r="AL524" t="n">
        <v>1</v>
      </c>
      <c r="AM524" t="n">
        <v>27</v>
      </c>
      <c r="AN524" t="n">
        <v>0</v>
      </c>
      <c r="AO524" t="n">
        <v>0</v>
      </c>
      <c r="AP524" t="n">
        <v>7</v>
      </c>
      <c r="AQ524" t="n">
        <v>64</v>
      </c>
      <c r="AR524" t="n">
        <v>141</v>
      </c>
      <c r="AS524" t="n">
        <v>87</v>
      </c>
      <c r="AT524" t="n">
        <v>3</v>
      </c>
      <c r="AU524" t="n">
        <v>1</v>
      </c>
      <c r="AV524" t="n">
        <v>75</v>
      </c>
      <c r="AW524" t="n">
        <v>-1</v>
      </c>
      <c r="AX524" t="n">
        <v>0</v>
      </c>
      <c r="AY524" t="n">
        <v>32</v>
      </c>
      <c r="AZ524" t="n">
        <v>3</v>
      </c>
      <c r="BA524" t="n">
        <v>20</v>
      </c>
      <c r="BB524" t="n">
        <v>65</v>
      </c>
      <c r="BC524" t="n">
        <v>22</v>
      </c>
      <c r="BD524" t="n">
        <v>46</v>
      </c>
      <c r="BE524" t="n">
        <v>-1</v>
      </c>
      <c r="BF524" t="n">
        <v>7</v>
      </c>
      <c r="BG524" t="n">
        <v>0</v>
      </c>
      <c r="BH524" t="n">
        <v>6</v>
      </c>
      <c r="BI524" t="n">
        <v>1</v>
      </c>
      <c r="BJ524" t="n">
        <v>14</v>
      </c>
      <c r="BK524" t="n">
        <v>3</v>
      </c>
      <c r="BL524" t="n">
        <v>5</v>
      </c>
      <c r="BM524" t="n">
        <v>5</v>
      </c>
      <c r="BN524" t="n">
        <v>2</v>
      </c>
      <c r="BO524" t="n">
        <v>2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270</v>
      </c>
      <c r="Z525" t="n">
        <v>63</v>
      </c>
      <c r="AA525" t="n">
        <v>49</v>
      </c>
      <c r="AB525" t="n">
        <v>0</v>
      </c>
      <c r="AC525" t="n">
        <v>2</v>
      </c>
      <c r="AD525" t="n">
        <v>5</v>
      </c>
      <c r="AE525" t="n">
        <v>3</v>
      </c>
      <c r="AF525" t="n">
        <v>2</v>
      </c>
      <c r="AG525" t="n">
        <v>6</v>
      </c>
      <c r="AH525" t="n">
        <v>83</v>
      </c>
      <c r="AI525" t="n">
        <v>32</v>
      </c>
      <c r="AJ525" t="n">
        <v>63</v>
      </c>
      <c r="AK525" t="n">
        <v>45</v>
      </c>
      <c r="AL525" t="n">
        <v>1</v>
      </c>
      <c r="AM525" t="n">
        <v>9</v>
      </c>
      <c r="AN525" t="n">
        <v>0</v>
      </c>
      <c r="AO525" t="n">
        <v>0</v>
      </c>
      <c r="AP525" t="n">
        <v>0</v>
      </c>
      <c r="AQ525" t="n">
        <v>3</v>
      </c>
      <c r="AR525" t="n">
        <v>78</v>
      </c>
      <c r="AS525" t="n">
        <v>70</v>
      </c>
      <c r="AT525" t="n">
        <v>4</v>
      </c>
      <c r="AU525" t="n">
        <v>3</v>
      </c>
      <c r="AV525" t="n">
        <v>15</v>
      </c>
      <c r="AW525" t="n">
        <v>16</v>
      </c>
      <c r="AX525" t="n">
        <v>2</v>
      </c>
      <c r="AY525" t="n">
        <v>8</v>
      </c>
      <c r="AZ525" t="n">
        <v>0</v>
      </c>
      <c r="BA525" t="n">
        <v>1</v>
      </c>
      <c r="BB525" t="n">
        <v>49</v>
      </c>
      <c r="BC525" t="n">
        <v>2</v>
      </c>
      <c r="BD525" t="n">
        <v>79</v>
      </c>
      <c r="BE525" t="n">
        <v>16</v>
      </c>
      <c r="BF525" t="n">
        <v>71</v>
      </c>
      <c r="BG525" t="n">
        <v>3</v>
      </c>
      <c r="BH525" t="n">
        <v>2</v>
      </c>
      <c r="BI525" t="n">
        <v>20</v>
      </c>
      <c r="BJ525" t="n">
        <v>30</v>
      </c>
      <c r="BK525" t="n">
        <v>0</v>
      </c>
      <c r="BL525" t="n">
        <v>1</v>
      </c>
      <c r="BM525" t="n">
        <v>1</v>
      </c>
      <c r="BN525" t="n">
        <v>0</v>
      </c>
      <c r="BO525" t="n">
        <v>2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249</v>
      </c>
      <c r="Z526" t="n">
        <v>184</v>
      </c>
      <c r="AA526" t="n">
        <v>53</v>
      </c>
      <c r="AB526" t="n">
        <v>0</v>
      </c>
      <c r="AC526" t="n">
        <v>1</v>
      </c>
      <c r="AD526" t="n">
        <v>4</v>
      </c>
      <c r="AE526" t="n">
        <v>4</v>
      </c>
      <c r="AF526" t="n">
        <v>7</v>
      </c>
      <c r="AG526" t="n">
        <v>5</v>
      </c>
      <c r="AH526" t="n">
        <v>11</v>
      </c>
      <c r="AI526" t="n">
        <v>67</v>
      </c>
      <c r="AJ526" t="n">
        <v>83</v>
      </c>
      <c r="AK526" t="n">
        <v>69</v>
      </c>
      <c r="AL526" t="n">
        <v>2</v>
      </c>
      <c r="AM526" t="n">
        <v>80</v>
      </c>
      <c r="AN526" t="n">
        <v>0</v>
      </c>
      <c r="AO526" t="n">
        <v>0</v>
      </c>
      <c r="AP526" t="n">
        <v>6</v>
      </c>
      <c r="AQ526" t="n">
        <v>36</v>
      </c>
      <c r="AR526" t="n">
        <v>168</v>
      </c>
      <c r="AS526" t="n">
        <v>133</v>
      </c>
      <c r="AT526" t="n">
        <v>2</v>
      </c>
      <c r="AU526" t="n">
        <v>0</v>
      </c>
      <c r="AV526" t="n">
        <v>42</v>
      </c>
      <c r="AW526" t="n">
        <v>8</v>
      </c>
      <c r="AX526" t="n">
        <v>4</v>
      </c>
      <c r="AY526" t="n">
        <v>32</v>
      </c>
      <c r="AZ526" t="n">
        <v>2</v>
      </c>
      <c r="BA526" t="n">
        <v>5</v>
      </c>
      <c r="BB526" t="n">
        <v>56</v>
      </c>
      <c r="BC526" t="n">
        <v>66</v>
      </c>
      <c r="BD526" t="n">
        <v>18</v>
      </c>
      <c r="BE526" t="n">
        <v>7</v>
      </c>
      <c r="BF526" t="n">
        <v>66</v>
      </c>
      <c r="BG526" t="n">
        <v>5</v>
      </c>
      <c r="BH526" t="n">
        <v>5</v>
      </c>
      <c r="BI526" t="n">
        <v>63</v>
      </c>
      <c r="BJ526" t="n">
        <v>57</v>
      </c>
      <c r="BK526" t="n">
        <v>3</v>
      </c>
      <c r="BL526" t="n">
        <v>9</v>
      </c>
      <c r="BM526" t="n">
        <v>29</v>
      </c>
      <c r="BN526" t="n">
        <v>15</v>
      </c>
      <c r="BO526" t="n">
        <v>2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2</v>
      </c>
      <c r="U527" t="n">
        <v>0</v>
      </c>
      <c r="V527" t="n">
        <v>0</v>
      </c>
      <c r="W527" t="n">
        <v>0</v>
      </c>
      <c r="X527" t="n">
        <v>1</v>
      </c>
      <c r="Y527" t="n">
        <v>201</v>
      </c>
      <c r="Z527" t="n">
        <v>218</v>
      </c>
      <c r="AA527" t="n">
        <v>86</v>
      </c>
      <c r="AB527" t="n">
        <v>1</v>
      </c>
      <c r="AC527" t="n">
        <v>1</v>
      </c>
      <c r="AD527" t="n">
        <v>6</v>
      </c>
      <c r="AE527" t="n">
        <v>3</v>
      </c>
      <c r="AF527" t="n">
        <v>2</v>
      </c>
      <c r="AG527" t="n">
        <v>3</v>
      </c>
      <c r="AH527" t="n">
        <v>30</v>
      </c>
      <c r="AI527" t="n">
        <v>30</v>
      </c>
      <c r="AJ527" t="n">
        <v>64</v>
      </c>
      <c r="AK527" t="n">
        <v>77</v>
      </c>
      <c r="AL527" t="n">
        <v>4</v>
      </c>
      <c r="AM527" t="n">
        <v>81</v>
      </c>
      <c r="AN527" t="n">
        <v>0</v>
      </c>
      <c r="AO527" t="n">
        <v>0</v>
      </c>
      <c r="AP527" t="n">
        <v>2</v>
      </c>
      <c r="AQ527" t="n">
        <v>1</v>
      </c>
      <c r="AR527" t="n">
        <v>93</v>
      </c>
      <c r="AS527" t="n">
        <v>85</v>
      </c>
      <c r="AT527" t="n">
        <v>4</v>
      </c>
      <c r="AU527" t="n">
        <v>2</v>
      </c>
      <c r="AV527" t="n">
        <v>43</v>
      </c>
      <c r="AW527" t="n">
        <v>20</v>
      </c>
      <c r="AX527" t="n">
        <v>0</v>
      </c>
      <c r="AY527" t="n">
        <v>19</v>
      </c>
      <c r="AZ527" t="n">
        <v>1</v>
      </c>
      <c r="BA527" t="n">
        <v>1</v>
      </c>
      <c r="BB527" t="n">
        <v>83</v>
      </c>
      <c r="BC527" t="n">
        <v>67</v>
      </c>
      <c r="BD527" t="n">
        <v>29</v>
      </c>
      <c r="BE527" t="n">
        <v>20</v>
      </c>
      <c r="BF527" t="n">
        <v>50</v>
      </c>
      <c r="BG527" t="n">
        <v>1</v>
      </c>
      <c r="BH527" t="n">
        <v>2</v>
      </c>
      <c r="BI527" t="n">
        <v>1</v>
      </c>
      <c r="BJ527" t="n">
        <v>14</v>
      </c>
      <c r="BK527" t="n">
        <v>2</v>
      </c>
      <c r="BL527" t="n">
        <v>37</v>
      </c>
      <c r="BM527" t="n">
        <v>25</v>
      </c>
      <c r="BN527" t="n">
        <v>1</v>
      </c>
      <c r="BO527" t="n">
        <v>35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3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3</v>
      </c>
      <c r="N528" t="n">
        <v>0</v>
      </c>
      <c r="O528" t="n">
        <v>0</v>
      </c>
      <c r="P528" t="n">
        <v>1</v>
      </c>
      <c r="Q528" t="n">
        <v>0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257</v>
      </c>
      <c r="Z528" t="n">
        <v>156</v>
      </c>
      <c r="AA528" t="n">
        <v>22</v>
      </c>
      <c r="AB528" t="n">
        <v>3</v>
      </c>
      <c r="AC528" t="n">
        <v>0</v>
      </c>
      <c r="AD528" t="n">
        <v>2</v>
      </c>
      <c r="AE528" t="n">
        <v>7</v>
      </c>
      <c r="AF528" t="n">
        <v>3</v>
      </c>
      <c r="AG528" t="n">
        <v>3</v>
      </c>
      <c r="AH528" t="n">
        <v>38</v>
      </c>
      <c r="AI528" t="n">
        <v>48</v>
      </c>
      <c r="AJ528" t="n">
        <v>60</v>
      </c>
      <c r="AK528" t="n">
        <v>30</v>
      </c>
      <c r="AL528" t="n">
        <v>6</v>
      </c>
      <c r="AM528" t="n">
        <v>85</v>
      </c>
      <c r="AN528" t="n">
        <v>0</v>
      </c>
      <c r="AO528" t="n">
        <v>0</v>
      </c>
      <c r="AP528" t="n">
        <v>0</v>
      </c>
      <c r="AQ528" t="n">
        <v>4</v>
      </c>
      <c r="AR528" t="n">
        <v>188</v>
      </c>
      <c r="AS528" t="n">
        <v>179</v>
      </c>
      <c r="AT528" t="n">
        <v>1</v>
      </c>
      <c r="AU528" t="n">
        <v>0</v>
      </c>
      <c r="AV528" t="n">
        <v>19</v>
      </c>
      <c r="AW528" t="n">
        <v>1</v>
      </c>
      <c r="AX528" t="n">
        <v>0</v>
      </c>
      <c r="AY528" t="n">
        <v>35</v>
      </c>
      <c r="AZ528" t="n">
        <v>1</v>
      </c>
      <c r="BA528" t="n">
        <v>17</v>
      </c>
      <c r="BB528" t="n">
        <v>38</v>
      </c>
      <c r="BC528" t="n">
        <v>71</v>
      </c>
      <c r="BD528" t="n">
        <v>33</v>
      </c>
      <c r="BE528" t="n">
        <v>3</v>
      </c>
      <c r="BF528" t="n">
        <v>63</v>
      </c>
      <c r="BG528" t="n">
        <v>3</v>
      </c>
      <c r="BH528" t="n">
        <v>5</v>
      </c>
      <c r="BI528" t="n">
        <v>89</v>
      </c>
      <c r="BJ528" t="n">
        <v>81</v>
      </c>
      <c r="BK528" t="n">
        <v>3</v>
      </c>
      <c r="BL528" t="n">
        <v>10</v>
      </c>
      <c r="BM528" t="n">
        <v>4</v>
      </c>
      <c r="BN528" t="n">
        <v>-3</v>
      </c>
      <c r="BO528" t="n">
        <v>-10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232</v>
      </c>
      <c r="Z529" t="n">
        <v>258</v>
      </c>
      <c r="AA529" t="n">
        <v>103</v>
      </c>
      <c r="AB529" t="n">
        <v>0</v>
      </c>
      <c r="AC529" t="n">
        <v>0</v>
      </c>
      <c r="AD529" t="n">
        <v>2</v>
      </c>
      <c r="AE529" t="n">
        <v>3</v>
      </c>
      <c r="AF529" t="n">
        <v>7</v>
      </c>
      <c r="AG529" t="n">
        <v>2</v>
      </c>
      <c r="AH529" t="n">
        <v>2</v>
      </c>
      <c r="AI529" t="n">
        <v>37</v>
      </c>
      <c r="AJ529" t="n">
        <v>51</v>
      </c>
      <c r="AK529" t="n">
        <v>22</v>
      </c>
      <c r="AL529" t="n">
        <v>10</v>
      </c>
      <c r="AM529" t="n">
        <v>59</v>
      </c>
      <c r="AN529" t="n">
        <v>0</v>
      </c>
      <c r="AO529" t="n">
        <v>0</v>
      </c>
      <c r="AP529" t="n">
        <v>6</v>
      </c>
      <c r="AQ529" t="n">
        <v>44</v>
      </c>
      <c r="AR529" t="n">
        <v>113</v>
      </c>
      <c r="AS529" t="n">
        <v>75</v>
      </c>
      <c r="AT529" t="n">
        <v>10</v>
      </c>
      <c r="AU529" t="n">
        <v>2</v>
      </c>
      <c r="AV529" t="n">
        <v>121</v>
      </c>
      <c r="AW529" t="n">
        <v>23</v>
      </c>
      <c r="AX529" t="n">
        <v>11</v>
      </c>
      <c r="AY529" t="n">
        <v>33</v>
      </c>
      <c r="AZ529" t="n">
        <v>3</v>
      </c>
      <c r="BA529" t="n">
        <v>11</v>
      </c>
      <c r="BB529" t="n">
        <v>110</v>
      </c>
      <c r="BC529" t="n">
        <v>52</v>
      </c>
      <c r="BD529" t="n">
        <v>15</v>
      </c>
      <c r="BE529" t="n">
        <v>36</v>
      </c>
      <c r="BF529" t="n">
        <v>41</v>
      </c>
      <c r="BG529" t="n">
        <v>5</v>
      </c>
      <c r="BH529" t="n">
        <v>4</v>
      </c>
      <c r="BI529" t="n">
        <v>24</v>
      </c>
      <c r="BJ529" t="n">
        <v>22</v>
      </c>
      <c r="BK529" t="n">
        <v>8</v>
      </c>
      <c r="BL529" t="n">
        <v>64</v>
      </c>
      <c r="BM529" t="n">
        <v>47</v>
      </c>
      <c r="BN529" t="n">
        <v>4</v>
      </c>
      <c r="BO529" t="n">
        <v>2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2</v>
      </c>
      <c r="U530" t="n">
        <v>0</v>
      </c>
      <c r="V530" t="n">
        <v>0</v>
      </c>
      <c r="W530" t="n">
        <v>0</v>
      </c>
      <c r="X530" t="n">
        <v>0</v>
      </c>
      <c r="Y530" t="n">
        <v>274</v>
      </c>
      <c r="Z530" t="n">
        <v>79</v>
      </c>
      <c r="AA530" t="n">
        <v>101</v>
      </c>
      <c r="AB530" t="n">
        <v>1</v>
      </c>
      <c r="AC530" t="n">
        <v>1</v>
      </c>
      <c r="AD530" t="n">
        <v>2</v>
      </c>
      <c r="AE530" t="n">
        <v>0</v>
      </c>
      <c r="AF530" t="n">
        <v>2</v>
      </c>
      <c r="AG530" t="n">
        <v>8</v>
      </c>
      <c r="AH530" t="n">
        <v>43</v>
      </c>
      <c r="AI530" t="n">
        <v>13</v>
      </c>
      <c r="AJ530" t="n">
        <v>66</v>
      </c>
      <c r="AK530" t="n">
        <v>68</v>
      </c>
      <c r="AL530" t="n">
        <v>1</v>
      </c>
      <c r="AM530" t="n">
        <v>9</v>
      </c>
      <c r="AN530" t="n">
        <v>0</v>
      </c>
      <c r="AO530" t="n">
        <v>0</v>
      </c>
      <c r="AP530" t="n">
        <v>6</v>
      </c>
      <c r="AQ530" t="n">
        <v>48</v>
      </c>
      <c r="AR530" t="n">
        <v>50</v>
      </c>
      <c r="AS530" t="n">
        <v>8</v>
      </c>
      <c r="AT530" t="n">
        <v>2</v>
      </c>
      <c r="AU530" t="n">
        <v>0</v>
      </c>
      <c r="AV530" t="n">
        <v>11</v>
      </c>
      <c r="AW530" t="n">
        <v>3</v>
      </c>
      <c r="AX530" t="n">
        <v>0</v>
      </c>
      <c r="AY530" t="n">
        <v>4</v>
      </c>
      <c r="AZ530" t="n">
        <v>3</v>
      </c>
      <c r="BA530" t="n">
        <v>18</v>
      </c>
      <c r="BB530" t="n">
        <v>114</v>
      </c>
      <c r="BC530" t="n">
        <v>9</v>
      </c>
      <c r="BD530" t="n">
        <v>38</v>
      </c>
      <c r="BE530" t="n">
        <v>1</v>
      </c>
      <c r="BF530" t="n">
        <v>52</v>
      </c>
      <c r="BG530" t="n">
        <v>2</v>
      </c>
      <c r="BH530" t="n">
        <v>0</v>
      </c>
      <c r="BI530" t="n">
        <v>26</v>
      </c>
      <c r="BJ530" t="n">
        <v>22</v>
      </c>
      <c r="BK530" t="n">
        <v>1</v>
      </c>
      <c r="BL530" t="n">
        <v>9</v>
      </c>
      <c r="BM530" t="n">
        <v>10</v>
      </c>
      <c r="BN530" t="n">
        <v>3</v>
      </c>
      <c r="BO530" t="n">
        <v>2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323</v>
      </c>
      <c r="Z531" t="n">
        <v>248</v>
      </c>
      <c r="AA531" t="n">
        <v>88</v>
      </c>
      <c r="AB531" t="n">
        <v>0</v>
      </c>
      <c r="AC531" t="n">
        <v>0</v>
      </c>
      <c r="AD531" t="n">
        <v>7</v>
      </c>
      <c r="AE531" t="n">
        <v>5</v>
      </c>
      <c r="AF531" t="n">
        <v>3</v>
      </c>
      <c r="AG531" t="n">
        <v>1</v>
      </c>
      <c r="AH531" t="n">
        <v>96</v>
      </c>
      <c r="AI531" t="n">
        <v>56</v>
      </c>
      <c r="AJ531" t="n">
        <v>70</v>
      </c>
      <c r="AK531" t="n">
        <v>1</v>
      </c>
      <c r="AL531" t="n">
        <v>1</v>
      </c>
      <c r="AM531" t="n">
        <v>28</v>
      </c>
      <c r="AN531" t="n">
        <v>0</v>
      </c>
      <c r="AO531" t="n">
        <v>0</v>
      </c>
      <c r="AP531" t="n">
        <v>3</v>
      </c>
      <c r="AQ531" t="n">
        <v>23</v>
      </c>
      <c r="AR531" t="n">
        <v>99</v>
      </c>
      <c r="AS531" t="n">
        <v>80</v>
      </c>
      <c r="AT531" t="n">
        <v>2</v>
      </c>
      <c r="AU531" t="n">
        <v>1</v>
      </c>
      <c r="AV531" t="n">
        <v>72</v>
      </c>
      <c r="AW531" t="n">
        <v>22</v>
      </c>
      <c r="AX531" t="n">
        <v>11</v>
      </c>
      <c r="AY531" t="n">
        <v>64</v>
      </c>
      <c r="AZ531" t="n">
        <v>1</v>
      </c>
      <c r="BA531" t="n">
        <v>20</v>
      </c>
      <c r="BB531" t="n">
        <v>103</v>
      </c>
      <c r="BC531" t="n">
        <v>23</v>
      </c>
      <c r="BD531" t="n">
        <v>123</v>
      </c>
      <c r="BE531" t="n">
        <v>24</v>
      </c>
      <c r="BF531" t="n">
        <v>64</v>
      </c>
      <c r="BG531" t="n">
        <v>0</v>
      </c>
      <c r="BH531" t="n">
        <v>18</v>
      </c>
      <c r="BI531" t="n">
        <v>22</v>
      </c>
      <c r="BJ531" t="n">
        <v>32</v>
      </c>
      <c r="BK531" t="n">
        <v>3</v>
      </c>
      <c r="BL531" t="n">
        <v>30</v>
      </c>
      <c r="BM531" t="n">
        <v>30</v>
      </c>
      <c r="BN531" t="n">
        <v>8</v>
      </c>
      <c r="BO531" t="n">
        <v>4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212</v>
      </c>
      <c r="Z532" t="n">
        <v>183</v>
      </c>
      <c r="AA532" t="n">
        <v>100</v>
      </c>
      <c r="AB532" t="n">
        <v>3</v>
      </c>
      <c r="AC532" t="n">
        <v>1</v>
      </c>
      <c r="AD532" t="n">
        <v>2</v>
      </c>
      <c r="AE532" t="n">
        <v>5</v>
      </c>
      <c r="AF532" t="n">
        <v>8</v>
      </c>
      <c r="AG532" t="n">
        <v>3</v>
      </c>
      <c r="AH532" t="n">
        <v>2</v>
      </c>
      <c r="AI532" t="n">
        <v>48</v>
      </c>
      <c r="AJ532" t="n">
        <v>83</v>
      </c>
      <c r="AK532" t="n">
        <v>38</v>
      </c>
      <c r="AL532" t="n">
        <v>6</v>
      </c>
      <c r="AM532" t="n">
        <v>33</v>
      </c>
      <c r="AN532" t="n">
        <v>0</v>
      </c>
      <c r="AO532" t="n">
        <v>0</v>
      </c>
      <c r="AP532" t="n">
        <v>4</v>
      </c>
      <c r="AQ532" t="n">
        <v>1</v>
      </c>
      <c r="AR532" t="n">
        <v>109</v>
      </c>
      <c r="AS532" t="n">
        <v>99</v>
      </c>
      <c r="AT532" t="n">
        <v>2</v>
      </c>
      <c r="AU532" t="n">
        <v>0</v>
      </c>
      <c r="AV532" t="n">
        <v>78</v>
      </c>
      <c r="AW532" t="n">
        <v>16</v>
      </c>
      <c r="AX532" t="n">
        <v>2</v>
      </c>
      <c r="AY532" t="n">
        <v>21</v>
      </c>
      <c r="AZ532" t="n">
        <v>1</v>
      </c>
      <c r="BA532" t="n">
        <v>4</v>
      </c>
      <c r="BB532" t="n">
        <v>99</v>
      </c>
      <c r="BC532" t="n">
        <v>27</v>
      </c>
      <c r="BD532" t="n">
        <v>5</v>
      </c>
      <c r="BE532" t="n">
        <v>16</v>
      </c>
      <c r="BF532" t="n">
        <v>69</v>
      </c>
      <c r="BG532" t="n">
        <v>2</v>
      </c>
      <c r="BH532" t="n">
        <v>4</v>
      </c>
      <c r="BI532" t="n">
        <v>20</v>
      </c>
      <c r="BJ532" t="n">
        <v>27</v>
      </c>
      <c r="BK532" t="n">
        <v>1</v>
      </c>
      <c r="BL532" t="n">
        <v>19</v>
      </c>
      <c r="BM532" t="n">
        <v>12</v>
      </c>
      <c r="BN532" t="n">
        <v>0</v>
      </c>
      <c r="BO532" t="n">
        <v>42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160</v>
      </c>
      <c r="Z533" t="n">
        <v>173</v>
      </c>
      <c r="AA533" t="n">
        <v>71</v>
      </c>
      <c r="AB533" t="n">
        <v>0</v>
      </c>
      <c r="AC533" t="n">
        <v>0</v>
      </c>
      <c r="AD533" t="n">
        <v>4</v>
      </c>
      <c r="AE533" t="n">
        <v>5</v>
      </c>
      <c r="AF533" t="n">
        <v>6</v>
      </c>
      <c r="AG533" t="n">
        <v>0</v>
      </c>
      <c r="AH533" t="n">
        <v>55</v>
      </c>
      <c r="AI533" t="n">
        <v>62</v>
      </c>
      <c r="AJ533" t="n">
        <v>75</v>
      </c>
      <c r="AK533" t="n">
        <v>1</v>
      </c>
      <c r="AL533" t="n">
        <v>2</v>
      </c>
      <c r="AM533" t="n">
        <v>28</v>
      </c>
      <c r="AN533" t="n">
        <v>0</v>
      </c>
      <c r="AO533" t="n">
        <v>0</v>
      </c>
      <c r="AP533" t="n">
        <v>0</v>
      </c>
      <c r="AQ533" t="n">
        <v>1</v>
      </c>
      <c r="AR533" t="n">
        <v>107</v>
      </c>
      <c r="AS533" t="n">
        <v>98</v>
      </c>
      <c r="AT533" t="n">
        <v>2</v>
      </c>
      <c r="AU533" t="n">
        <v>1</v>
      </c>
      <c r="AV533" t="n">
        <v>15</v>
      </c>
      <c r="AW533" t="n">
        <v>8</v>
      </c>
      <c r="AX533" t="n">
        <v>-2</v>
      </c>
      <c r="AY533" t="n">
        <v>79</v>
      </c>
      <c r="AZ533" t="n">
        <v>1</v>
      </c>
      <c r="BA533" t="n">
        <v>1</v>
      </c>
      <c r="BB533" t="n">
        <v>69</v>
      </c>
      <c r="BC533" t="n">
        <v>24</v>
      </c>
      <c r="BD533" t="n">
        <v>48</v>
      </c>
      <c r="BE533" t="n">
        <v>7</v>
      </c>
      <c r="BF533" t="n">
        <v>62</v>
      </c>
      <c r="BG533" t="n">
        <v>1</v>
      </c>
      <c r="BH533" t="n">
        <v>5</v>
      </c>
      <c r="BI533" t="n">
        <v>9</v>
      </c>
      <c r="BJ533" t="n">
        <v>7</v>
      </c>
      <c r="BK533" t="n">
        <v>1</v>
      </c>
      <c r="BL533" t="n">
        <v>10</v>
      </c>
      <c r="BM533" t="n">
        <v>7</v>
      </c>
      <c r="BN533" t="n">
        <v>0</v>
      </c>
      <c r="BO533" t="n">
        <v>32</v>
      </c>
    </row>
    <row r="534">
      <c r="A534" t="n">
        <v>0</v>
      </c>
      <c r="B534" t="n">
        <v>0</v>
      </c>
      <c r="C534" t="n">
        <v>0</v>
      </c>
      <c r="D534" t="n">
        <v>2</v>
      </c>
      <c r="E534" t="n">
        <v>0</v>
      </c>
      <c r="F534" t="n">
        <v>0</v>
      </c>
      <c r="G534" t="n">
        <v>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3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184</v>
      </c>
      <c r="Z534" t="n">
        <v>192</v>
      </c>
      <c r="AA534" t="n">
        <v>51</v>
      </c>
      <c r="AB534" t="n">
        <v>6</v>
      </c>
      <c r="AC534" t="n">
        <v>0</v>
      </c>
      <c r="AD534" t="n">
        <v>13</v>
      </c>
      <c r="AE534" t="n">
        <v>7</v>
      </c>
      <c r="AF534" t="n">
        <v>2</v>
      </c>
      <c r="AG534" t="n">
        <v>1</v>
      </c>
      <c r="AH534" t="n">
        <v>60</v>
      </c>
      <c r="AI534" t="n">
        <v>40</v>
      </c>
      <c r="AJ534" t="n">
        <v>47</v>
      </c>
      <c r="AK534" t="n">
        <v>54</v>
      </c>
      <c r="AL534" t="n">
        <v>2</v>
      </c>
      <c r="AM534" t="n">
        <v>55</v>
      </c>
      <c r="AN534" t="n">
        <v>1</v>
      </c>
      <c r="AO534" t="n">
        <v>0</v>
      </c>
      <c r="AP534" t="n">
        <v>1</v>
      </c>
      <c r="AQ534" t="n">
        <v>15</v>
      </c>
      <c r="AR534" t="n">
        <v>85</v>
      </c>
      <c r="AS534" t="n">
        <v>71</v>
      </c>
      <c r="AT534" t="n">
        <v>1</v>
      </c>
      <c r="AU534" t="n">
        <v>0</v>
      </c>
      <c r="AV534" t="n">
        <v>14</v>
      </c>
      <c r="AW534" t="n">
        <v>12</v>
      </c>
      <c r="AX534" t="n">
        <v>1</v>
      </c>
      <c r="AY534" t="n">
        <v>42</v>
      </c>
      <c r="AZ534" t="n">
        <v>2</v>
      </c>
      <c r="BA534" t="n">
        <v>9</v>
      </c>
      <c r="BB534" t="n">
        <v>56</v>
      </c>
      <c r="BC534" t="n">
        <v>46</v>
      </c>
      <c r="BD534" t="n">
        <v>53</v>
      </c>
      <c r="BE534" t="n">
        <v>14</v>
      </c>
      <c r="BF534" t="n">
        <v>38</v>
      </c>
      <c r="BG534" t="n">
        <v>0</v>
      </c>
      <c r="BH534" t="n">
        <v>12</v>
      </c>
      <c r="BI534" t="n">
        <v>2</v>
      </c>
      <c r="BJ534" t="n">
        <v>1</v>
      </c>
      <c r="BK534" t="n">
        <v>3</v>
      </c>
      <c r="BL534" t="n">
        <v>15</v>
      </c>
      <c r="BM534" t="n">
        <v>26</v>
      </c>
      <c r="BN534" t="n">
        <v>11</v>
      </c>
      <c r="BO534" t="n">
        <v>42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175</v>
      </c>
      <c r="Z535" t="n">
        <v>262</v>
      </c>
      <c r="AA535" t="n">
        <v>32</v>
      </c>
      <c r="AB535" t="n">
        <v>1</v>
      </c>
      <c r="AC535" t="n">
        <v>1</v>
      </c>
      <c r="AD535" t="n">
        <v>5</v>
      </c>
      <c r="AE535" t="n">
        <v>4</v>
      </c>
      <c r="AF535" t="n">
        <v>6</v>
      </c>
      <c r="AG535" t="n">
        <v>3</v>
      </c>
      <c r="AH535" t="n">
        <v>37</v>
      </c>
      <c r="AI535" t="n">
        <v>22</v>
      </c>
      <c r="AJ535" t="n">
        <v>64</v>
      </c>
      <c r="AK535" t="n">
        <v>19</v>
      </c>
      <c r="AL535" t="n">
        <v>6</v>
      </c>
      <c r="AM535" t="n">
        <v>68</v>
      </c>
      <c r="AN535" t="n">
        <v>0</v>
      </c>
      <c r="AO535" t="n">
        <v>0</v>
      </c>
      <c r="AP535" t="n">
        <v>3</v>
      </c>
      <c r="AQ535" t="n">
        <v>18</v>
      </c>
      <c r="AR535" t="n">
        <v>85</v>
      </c>
      <c r="AS535" t="n">
        <v>68</v>
      </c>
      <c r="AT535" t="n">
        <v>0</v>
      </c>
      <c r="AU535" t="n">
        <v>4</v>
      </c>
      <c r="AV535" t="n">
        <v>1</v>
      </c>
      <c r="AW535" t="n">
        <v>52</v>
      </c>
      <c r="AX535" t="n">
        <v>0</v>
      </c>
      <c r="AY535" t="n">
        <v>10</v>
      </c>
      <c r="AZ535" t="n">
        <v>1</v>
      </c>
      <c r="BA535" t="n">
        <v>1</v>
      </c>
      <c r="BB535" t="n">
        <v>32</v>
      </c>
      <c r="BC535" t="n">
        <v>75</v>
      </c>
      <c r="BD535" t="n">
        <v>33</v>
      </c>
      <c r="BE535" t="n">
        <v>53</v>
      </c>
      <c r="BF535" t="n">
        <v>49</v>
      </c>
      <c r="BG535" t="n">
        <v>6</v>
      </c>
      <c r="BH535" t="n">
        <v>6</v>
      </c>
      <c r="BI535" t="n">
        <v>54</v>
      </c>
      <c r="BJ535" t="n">
        <v>49</v>
      </c>
      <c r="BK535" t="n">
        <v>2</v>
      </c>
      <c r="BL535" t="n">
        <v>1</v>
      </c>
      <c r="BM535" t="n">
        <v>12</v>
      </c>
      <c r="BN535" t="n">
        <v>7</v>
      </c>
      <c r="BO535" t="n">
        <v>14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243</v>
      </c>
      <c r="Z536" t="n">
        <v>283</v>
      </c>
      <c r="AA536" t="n">
        <v>98</v>
      </c>
      <c r="AB536" t="n">
        <v>1</v>
      </c>
      <c r="AC536" t="n">
        <v>0</v>
      </c>
      <c r="AD536" t="n">
        <v>4</v>
      </c>
      <c r="AE536" t="n">
        <v>9</v>
      </c>
      <c r="AF536" t="n">
        <v>6</v>
      </c>
      <c r="AG536" t="n">
        <v>3</v>
      </c>
      <c r="AH536" t="n">
        <v>40</v>
      </c>
      <c r="AI536" t="n">
        <v>90</v>
      </c>
      <c r="AJ536" t="n">
        <v>92</v>
      </c>
      <c r="AK536" t="n">
        <v>42</v>
      </c>
      <c r="AL536" t="n">
        <v>6</v>
      </c>
      <c r="AM536" t="n">
        <v>101</v>
      </c>
      <c r="AN536" t="n">
        <v>0</v>
      </c>
      <c r="AO536" t="n">
        <v>0</v>
      </c>
      <c r="AP536" t="n">
        <v>0</v>
      </c>
      <c r="AQ536" t="n">
        <v>1</v>
      </c>
      <c r="AR536" t="n">
        <v>119</v>
      </c>
      <c r="AS536" t="n">
        <v>109</v>
      </c>
      <c r="AT536" t="n">
        <v>0</v>
      </c>
      <c r="AU536" t="n">
        <v>2</v>
      </c>
      <c r="AV536" t="n">
        <v>1</v>
      </c>
      <c r="AW536" t="n">
        <v>23</v>
      </c>
      <c r="AX536" t="n">
        <v>2</v>
      </c>
      <c r="AY536" t="n">
        <v>15</v>
      </c>
      <c r="AZ536" t="n">
        <v>0</v>
      </c>
      <c r="BA536" t="n">
        <v>5</v>
      </c>
      <c r="BB536" t="n">
        <v>99</v>
      </c>
      <c r="BC536" t="n">
        <v>83</v>
      </c>
      <c r="BD536" t="n">
        <v>39</v>
      </c>
      <c r="BE536" t="n">
        <v>23</v>
      </c>
      <c r="BF536" t="n">
        <v>75</v>
      </c>
      <c r="BG536" t="n">
        <v>0</v>
      </c>
      <c r="BH536" t="n">
        <v>20</v>
      </c>
      <c r="BI536" t="n">
        <v>1</v>
      </c>
      <c r="BJ536" t="n">
        <v>1</v>
      </c>
      <c r="BK536" t="n">
        <v>5</v>
      </c>
      <c r="BL536" t="n">
        <v>42</v>
      </c>
      <c r="BM536" t="n">
        <v>37</v>
      </c>
      <c r="BN536" t="n">
        <v>7</v>
      </c>
      <c r="BO536" t="n">
        <v>32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142</v>
      </c>
      <c r="Z537" t="n">
        <v>245</v>
      </c>
      <c r="AA537" t="n">
        <v>57</v>
      </c>
      <c r="AB537" t="n">
        <v>1</v>
      </c>
      <c r="AC537" t="n">
        <v>1</v>
      </c>
      <c r="AD537" t="n">
        <v>5</v>
      </c>
      <c r="AE537" t="n">
        <v>7</v>
      </c>
      <c r="AF537" t="n">
        <v>5</v>
      </c>
      <c r="AG537" t="n">
        <v>3</v>
      </c>
      <c r="AH537" t="n">
        <v>54</v>
      </c>
      <c r="AI537" t="n">
        <v>21</v>
      </c>
      <c r="AJ537" t="n">
        <v>41</v>
      </c>
      <c r="AK537" t="n">
        <v>3</v>
      </c>
      <c r="AL537" t="n">
        <v>2</v>
      </c>
      <c r="AM537" t="n">
        <v>70</v>
      </c>
      <c r="AN537" t="n">
        <v>0</v>
      </c>
      <c r="AO537" t="n">
        <v>0</v>
      </c>
      <c r="AP537" t="n">
        <v>3</v>
      </c>
      <c r="AQ537" t="n">
        <v>55</v>
      </c>
      <c r="AR537" t="n">
        <v>80</v>
      </c>
      <c r="AS537" t="n">
        <v>35</v>
      </c>
      <c r="AT537" t="n">
        <v>1</v>
      </c>
      <c r="AU537" t="n">
        <v>1</v>
      </c>
      <c r="AV537" t="n">
        <v>11</v>
      </c>
      <c r="AW537" t="n">
        <v>33</v>
      </c>
      <c r="AX537" t="n">
        <v>0</v>
      </c>
      <c r="AY537" t="n">
        <v>19</v>
      </c>
      <c r="AZ537" t="n">
        <v>2</v>
      </c>
      <c r="BA537" t="n">
        <v>20</v>
      </c>
      <c r="BB537" t="n">
        <v>74</v>
      </c>
      <c r="BC537" t="n">
        <v>59</v>
      </c>
      <c r="BD537" t="n">
        <v>67</v>
      </c>
      <c r="BE537" t="n">
        <v>33</v>
      </c>
      <c r="BF537" t="n">
        <v>32</v>
      </c>
      <c r="BG537" t="n">
        <v>3</v>
      </c>
      <c r="BH537" t="n">
        <v>0</v>
      </c>
      <c r="BI537" t="n">
        <v>-1</v>
      </c>
      <c r="BJ537" t="n">
        <v>15</v>
      </c>
      <c r="BK537" t="n">
        <v>1</v>
      </c>
      <c r="BL537" t="n">
        <v>11</v>
      </c>
      <c r="BM537" t="n">
        <v>35</v>
      </c>
      <c r="BN537" t="n">
        <v>17</v>
      </c>
      <c r="BO537" t="n">
        <v>2</v>
      </c>
    </row>
    <row r="538">
      <c r="A538" t="n">
        <v>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3</v>
      </c>
      <c r="T538" t="n">
        <v>3</v>
      </c>
      <c r="U538" t="n">
        <v>0</v>
      </c>
      <c r="V538" t="n">
        <v>0</v>
      </c>
      <c r="W538" t="n">
        <v>0</v>
      </c>
      <c r="X538" t="n">
        <v>0</v>
      </c>
      <c r="Y538" t="n">
        <v>285</v>
      </c>
      <c r="Z538" t="n">
        <v>168</v>
      </c>
      <c r="AA538" t="n">
        <v>62</v>
      </c>
      <c r="AB538" t="n">
        <v>3</v>
      </c>
      <c r="AC538" t="n">
        <v>1</v>
      </c>
      <c r="AD538" t="n">
        <v>3</v>
      </c>
      <c r="AE538" t="n">
        <v>1</v>
      </c>
      <c r="AF538" t="n">
        <v>3</v>
      </c>
      <c r="AG538" t="n">
        <v>11</v>
      </c>
      <c r="AH538" t="n">
        <v>98</v>
      </c>
      <c r="AI538" t="n">
        <v>2</v>
      </c>
      <c r="AJ538" t="n">
        <v>11</v>
      </c>
      <c r="AK538" t="n">
        <v>108</v>
      </c>
      <c r="AL538" t="n">
        <v>3</v>
      </c>
      <c r="AM538" t="n">
        <v>46</v>
      </c>
      <c r="AN538" t="n">
        <v>1</v>
      </c>
      <c r="AO538" t="n">
        <v>0</v>
      </c>
      <c r="AP538" t="n">
        <v>6</v>
      </c>
      <c r="AQ538" t="n">
        <v>79</v>
      </c>
      <c r="AR538" t="n">
        <v>127</v>
      </c>
      <c r="AS538" t="n">
        <v>60</v>
      </c>
      <c r="AT538" t="n">
        <v>1</v>
      </c>
      <c r="AU538" t="n">
        <v>1</v>
      </c>
      <c r="AV538" t="n">
        <v>11</v>
      </c>
      <c r="AW538" t="n">
        <v>1</v>
      </c>
      <c r="AX538" t="n">
        <v>11</v>
      </c>
      <c r="AY538" t="n">
        <v>28</v>
      </c>
      <c r="AZ538" t="n">
        <v>7</v>
      </c>
      <c r="BA538" t="n">
        <v>88</v>
      </c>
      <c r="BB538" t="n">
        <v>159</v>
      </c>
      <c r="BC538" t="n">
        <v>60</v>
      </c>
      <c r="BD538" t="n">
        <v>91</v>
      </c>
      <c r="BE538" t="n">
        <v>1</v>
      </c>
      <c r="BF538" t="n">
        <v>12</v>
      </c>
      <c r="BG538" t="n">
        <v>1</v>
      </c>
      <c r="BH538" t="n">
        <v>4</v>
      </c>
      <c r="BI538" t="n">
        <v>15</v>
      </c>
      <c r="BJ538" t="n">
        <v>23</v>
      </c>
      <c r="BK538" t="n">
        <v>1</v>
      </c>
      <c r="BL538" t="n">
        <v>10</v>
      </c>
      <c r="BM538" t="n">
        <v>12</v>
      </c>
      <c r="BN538" t="n">
        <v>4</v>
      </c>
      <c r="BO538" t="n">
        <v>2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5</v>
      </c>
      <c r="U539" t="n">
        <v>0</v>
      </c>
      <c r="V539" t="n">
        <v>0</v>
      </c>
      <c r="W539" t="n">
        <v>0</v>
      </c>
      <c r="X539" t="n">
        <v>0</v>
      </c>
      <c r="Y539" t="n">
        <v>277</v>
      </c>
      <c r="Z539" t="n">
        <v>92</v>
      </c>
      <c r="AA539" t="n">
        <v>73</v>
      </c>
      <c r="AB539" t="n">
        <v>2</v>
      </c>
      <c r="AC539" t="n">
        <v>0</v>
      </c>
      <c r="AD539" t="n">
        <v>4</v>
      </c>
      <c r="AE539" t="n">
        <v>5</v>
      </c>
      <c r="AF539" t="n">
        <v>4</v>
      </c>
      <c r="AG539" t="n">
        <v>5</v>
      </c>
      <c r="AH539" t="n">
        <v>126</v>
      </c>
      <c r="AI539" t="n">
        <v>16</v>
      </c>
      <c r="AJ539" t="n">
        <v>21</v>
      </c>
      <c r="AK539" t="n">
        <v>24</v>
      </c>
      <c r="AL539" t="n">
        <v>2</v>
      </c>
      <c r="AM539" t="n">
        <v>21</v>
      </c>
      <c r="AN539" t="n">
        <v>0</v>
      </c>
      <c r="AO539" t="n">
        <v>0</v>
      </c>
      <c r="AP539" t="n">
        <v>9</v>
      </c>
      <c r="AQ539" t="n">
        <v>132</v>
      </c>
      <c r="AR539" t="n">
        <v>238</v>
      </c>
      <c r="AS539" t="n">
        <v>126</v>
      </c>
      <c r="AT539" t="n">
        <v>0</v>
      </c>
      <c r="AU539" t="n">
        <v>1</v>
      </c>
      <c r="AV539" t="n">
        <v>14</v>
      </c>
      <c r="AW539" t="n">
        <v>13</v>
      </c>
      <c r="AX539" t="n">
        <v>1</v>
      </c>
      <c r="AY539" t="n">
        <v>5</v>
      </c>
      <c r="AZ539" t="n">
        <v>3</v>
      </c>
      <c r="BA539" t="n">
        <v>-4</v>
      </c>
      <c r="BB539" t="n">
        <v>68</v>
      </c>
      <c r="BC539" t="n">
        <v>17</v>
      </c>
      <c r="BD539" t="n">
        <v>113</v>
      </c>
      <c r="BE539" t="n">
        <v>12</v>
      </c>
      <c r="BF539" t="n">
        <v>20</v>
      </c>
      <c r="BG539" t="n">
        <v>1</v>
      </c>
      <c r="BH539" t="n">
        <v>0</v>
      </c>
      <c r="BI539" t="n">
        <v>1</v>
      </c>
      <c r="BJ539" t="n">
        <v>16</v>
      </c>
      <c r="BK539" t="n">
        <v>1</v>
      </c>
      <c r="BL539" t="n">
        <v>1</v>
      </c>
      <c r="BM539" t="n">
        <v>20</v>
      </c>
      <c r="BN539" t="n">
        <v>11</v>
      </c>
      <c r="BO539" t="n">
        <v>2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387</v>
      </c>
      <c r="Z540" t="n">
        <v>171</v>
      </c>
      <c r="AA540" t="n">
        <v>8</v>
      </c>
      <c r="AB540" t="n">
        <v>0</v>
      </c>
      <c r="AC540" t="n">
        <v>2</v>
      </c>
      <c r="AD540" t="n">
        <v>10</v>
      </c>
      <c r="AE540" t="n">
        <v>6</v>
      </c>
      <c r="AF540" t="n">
        <v>0</v>
      </c>
      <c r="AG540" t="n">
        <v>7</v>
      </c>
      <c r="AH540" t="n">
        <v>186</v>
      </c>
      <c r="AI540" t="n">
        <v>57</v>
      </c>
      <c r="AJ540" t="n">
        <v>11</v>
      </c>
      <c r="AK540" t="n">
        <v>158</v>
      </c>
      <c r="AL540" t="n">
        <v>1</v>
      </c>
      <c r="AM540" t="n">
        <v>27</v>
      </c>
      <c r="AN540" t="n">
        <v>0</v>
      </c>
      <c r="AO540" t="n">
        <v>0</v>
      </c>
      <c r="AP540" t="n">
        <v>5</v>
      </c>
      <c r="AQ540" t="n">
        <v>39</v>
      </c>
      <c r="AR540" t="n">
        <v>121</v>
      </c>
      <c r="AS540" t="n">
        <v>86</v>
      </c>
      <c r="AT540" t="n">
        <v>1</v>
      </c>
      <c r="AU540" t="n">
        <v>1</v>
      </c>
      <c r="AV540" t="n">
        <v>1</v>
      </c>
      <c r="AW540" t="n">
        <v>12</v>
      </c>
      <c r="AX540" t="n">
        <v>0</v>
      </c>
      <c r="AY540" t="n">
        <v>28</v>
      </c>
      <c r="AZ540" t="n">
        <v>3</v>
      </c>
      <c r="BA540" t="n">
        <v>27</v>
      </c>
      <c r="BB540" t="n">
        <v>40</v>
      </c>
      <c r="BC540" t="n">
        <v>31</v>
      </c>
      <c r="BD540" t="n">
        <v>166</v>
      </c>
      <c r="BE540" t="n">
        <v>19</v>
      </c>
      <c r="BF540" t="n">
        <v>8</v>
      </c>
      <c r="BG540" t="n">
        <v>1</v>
      </c>
      <c r="BH540" t="n">
        <v>12</v>
      </c>
      <c r="BI540" t="n">
        <v>1</v>
      </c>
      <c r="BJ540" t="n">
        <v>1</v>
      </c>
      <c r="BK540" t="n">
        <v>2</v>
      </c>
      <c r="BL540" t="n">
        <v>1</v>
      </c>
      <c r="BM540" t="n">
        <v>6</v>
      </c>
      <c r="BN540" t="n">
        <v>3</v>
      </c>
      <c r="BO540" t="n">
        <v>32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172</v>
      </c>
      <c r="Z541" t="n">
        <v>158</v>
      </c>
      <c r="AA541" t="n">
        <v>68</v>
      </c>
      <c r="AB541" t="n">
        <v>2</v>
      </c>
      <c r="AC541" t="n">
        <v>1</v>
      </c>
      <c r="AD541" t="n">
        <v>5</v>
      </c>
      <c r="AE541" t="n">
        <v>0</v>
      </c>
      <c r="AF541" t="n">
        <v>2</v>
      </c>
      <c r="AG541" t="n">
        <v>6</v>
      </c>
      <c r="AH541" t="n">
        <v>66</v>
      </c>
      <c r="AI541" t="n">
        <v>2</v>
      </c>
      <c r="AJ541" t="n">
        <v>21</v>
      </c>
      <c r="AK541" t="n">
        <v>41</v>
      </c>
      <c r="AL541" t="n">
        <v>2</v>
      </c>
      <c r="AM541" t="n">
        <v>37</v>
      </c>
      <c r="AN541" t="n">
        <v>1</v>
      </c>
      <c r="AO541" t="n">
        <v>0</v>
      </c>
      <c r="AP541" t="n">
        <v>8</v>
      </c>
      <c r="AQ541" t="n">
        <v>10</v>
      </c>
      <c r="AR541" t="n">
        <v>89</v>
      </c>
      <c r="AS541" t="n">
        <v>80</v>
      </c>
      <c r="AT541" t="n">
        <v>1</v>
      </c>
      <c r="AU541" t="n">
        <v>2</v>
      </c>
      <c r="AV541" t="n">
        <v>27</v>
      </c>
      <c r="AW541" t="n">
        <v>18</v>
      </c>
      <c r="AX541" t="n">
        <v>0</v>
      </c>
      <c r="AY541" t="n">
        <v>42</v>
      </c>
      <c r="AZ541" t="n">
        <v>4</v>
      </c>
      <c r="BA541" t="n">
        <v>11</v>
      </c>
      <c r="BB541" t="n">
        <v>76</v>
      </c>
      <c r="BC541" t="n">
        <v>34</v>
      </c>
      <c r="BD541" t="n">
        <v>113</v>
      </c>
      <c r="BE541" t="n">
        <v>19</v>
      </c>
      <c r="BF541" t="n">
        <v>17</v>
      </c>
      <c r="BG541" t="n">
        <v>0</v>
      </c>
      <c r="BH541" t="n">
        <v>4</v>
      </c>
      <c r="BI541" t="n">
        <v>6</v>
      </c>
      <c r="BJ541" t="n">
        <v>27</v>
      </c>
      <c r="BK541" t="n">
        <v>4</v>
      </c>
      <c r="BL541" t="n">
        <v>33</v>
      </c>
      <c r="BM541" t="n">
        <v>32</v>
      </c>
      <c r="BN541" t="n">
        <v>8</v>
      </c>
      <c r="BO541" t="n">
        <v>51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193</v>
      </c>
      <c r="Z542" t="n">
        <v>217</v>
      </c>
      <c r="AA542" t="n">
        <v>27</v>
      </c>
      <c r="AB542" t="n">
        <v>2</v>
      </c>
      <c r="AC542" t="n">
        <v>0</v>
      </c>
      <c r="AD542" t="n">
        <v>4</v>
      </c>
      <c r="AE542" t="n">
        <v>3</v>
      </c>
      <c r="AF542" t="n">
        <v>6</v>
      </c>
      <c r="AG542" t="n">
        <v>5</v>
      </c>
      <c r="AH542" t="n">
        <v>40</v>
      </c>
      <c r="AI542" t="n">
        <v>32</v>
      </c>
      <c r="AJ542" t="n">
        <v>63</v>
      </c>
      <c r="AK542" t="n">
        <v>36</v>
      </c>
      <c r="AL542" t="n">
        <v>4</v>
      </c>
      <c r="AM542" t="n">
        <v>33</v>
      </c>
      <c r="AN542" t="n">
        <v>0</v>
      </c>
      <c r="AO542" t="n">
        <v>0</v>
      </c>
      <c r="AP542" t="n">
        <v>5</v>
      </c>
      <c r="AQ542" t="n">
        <v>30</v>
      </c>
      <c r="AR542" t="n">
        <v>85</v>
      </c>
      <c r="AS542" t="n">
        <v>60</v>
      </c>
      <c r="AT542" t="n">
        <v>3</v>
      </c>
      <c r="AU542" t="n">
        <v>2</v>
      </c>
      <c r="AV542" t="n">
        <v>29</v>
      </c>
      <c r="AW542" t="n">
        <v>32</v>
      </c>
      <c r="AX542" t="n">
        <v>0</v>
      </c>
      <c r="AY542" t="n">
        <v>4</v>
      </c>
      <c r="AZ542" t="n">
        <v>0</v>
      </c>
      <c r="BA542" t="n">
        <v>2</v>
      </c>
      <c r="BB542" t="n">
        <v>27</v>
      </c>
      <c r="BC542" t="n">
        <v>28</v>
      </c>
      <c r="BD542" t="n">
        <v>42</v>
      </c>
      <c r="BE542" t="n">
        <v>32</v>
      </c>
      <c r="BF542" t="n">
        <v>49</v>
      </c>
      <c r="BG542" t="n">
        <v>2</v>
      </c>
      <c r="BH542" t="n">
        <v>8</v>
      </c>
      <c r="BI542" t="n">
        <v>1</v>
      </c>
      <c r="BJ542" t="n">
        <v>11</v>
      </c>
      <c r="BK542" t="n">
        <v>9</v>
      </c>
      <c r="BL542" t="n">
        <v>81</v>
      </c>
      <c r="BM542" t="n">
        <v>62</v>
      </c>
      <c r="BN542" t="n">
        <v>7</v>
      </c>
      <c r="BO542" t="n">
        <v>7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3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256</v>
      </c>
      <c r="Z543" t="n">
        <v>115</v>
      </c>
      <c r="AA543" t="n">
        <v>12</v>
      </c>
      <c r="AB543" t="n">
        <v>1</v>
      </c>
      <c r="AC543" t="n">
        <v>0</v>
      </c>
      <c r="AD543" t="n">
        <v>13</v>
      </c>
      <c r="AE543" t="n">
        <v>4</v>
      </c>
      <c r="AF543" t="n">
        <v>4</v>
      </c>
      <c r="AG543" t="n">
        <v>6</v>
      </c>
      <c r="AH543" t="n">
        <v>122</v>
      </c>
      <c r="AI543" t="n">
        <v>19</v>
      </c>
      <c r="AJ543" t="n">
        <v>14</v>
      </c>
      <c r="AK543" t="n">
        <v>63</v>
      </c>
      <c r="AL543" t="n">
        <v>1</v>
      </c>
      <c r="AM543" t="n">
        <v>18</v>
      </c>
      <c r="AN543" t="n">
        <v>0</v>
      </c>
      <c r="AO543" t="n">
        <v>0</v>
      </c>
      <c r="AP543" t="n">
        <v>2</v>
      </c>
      <c r="AQ543" t="n">
        <v>-2</v>
      </c>
      <c r="AR543" t="n">
        <v>44</v>
      </c>
      <c r="AS543" t="n">
        <v>41</v>
      </c>
      <c r="AT543" t="n">
        <v>4</v>
      </c>
      <c r="AU543" t="n">
        <v>0</v>
      </c>
      <c r="AV543" t="n">
        <v>11</v>
      </c>
      <c r="AW543" t="n">
        <v>1</v>
      </c>
      <c r="AX543" t="n">
        <v>-1</v>
      </c>
      <c r="AY543" t="n">
        <v>10</v>
      </c>
      <c r="AZ543" t="n">
        <v>0</v>
      </c>
      <c r="BA543" t="n">
        <v>9</v>
      </c>
      <c r="BB543" t="n">
        <v>20</v>
      </c>
      <c r="BC543" t="n">
        <v>14</v>
      </c>
      <c r="BD543" t="n">
        <v>111</v>
      </c>
      <c r="BE543" t="n">
        <v>1</v>
      </c>
      <c r="BF543" t="n">
        <v>15</v>
      </c>
      <c r="BG543" t="n">
        <v>4</v>
      </c>
      <c r="BH543" t="n">
        <v>12</v>
      </c>
      <c r="BI543" t="n">
        <v>30</v>
      </c>
      <c r="BJ543" t="n">
        <v>29</v>
      </c>
      <c r="BK543" t="n">
        <v>2</v>
      </c>
      <c r="BL543" t="n">
        <v>1</v>
      </c>
      <c r="BM543" t="n">
        <v>1</v>
      </c>
      <c r="BN543" t="n">
        <v>1</v>
      </c>
      <c r="BO543" t="n">
        <v>2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202</v>
      </c>
      <c r="Z544" t="n">
        <v>101</v>
      </c>
      <c r="AA544" t="n">
        <v>51</v>
      </c>
      <c r="AB544" t="n">
        <v>2</v>
      </c>
      <c r="AC544" t="n">
        <v>1</v>
      </c>
      <c r="AD544" t="n">
        <v>6</v>
      </c>
      <c r="AE544" t="n">
        <v>4</v>
      </c>
      <c r="AF544" t="n">
        <v>5</v>
      </c>
      <c r="AG544" t="n">
        <v>5</v>
      </c>
      <c r="AH544" t="n">
        <v>40</v>
      </c>
      <c r="AI544" t="n">
        <v>30</v>
      </c>
      <c r="AJ544" t="n">
        <v>60</v>
      </c>
      <c r="AK544" t="n">
        <v>69</v>
      </c>
      <c r="AL544" t="n">
        <v>1</v>
      </c>
      <c r="AM544" t="n">
        <v>2</v>
      </c>
      <c r="AN544" t="n">
        <v>0</v>
      </c>
      <c r="AO544" t="n">
        <v>0</v>
      </c>
      <c r="AP544" t="n">
        <v>3</v>
      </c>
      <c r="AQ544" t="n">
        <v>32</v>
      </c>
      <c r="AR544" t="n">
        <v>167</v>
      </c>
      <c r="AS544" t="n">
        <v>135</v>
      </c>
      <c r="AT544" t="n">
        <v>3</v>
      </c>
      <c r="AU544" t="n">
        <v>1</v>
      </c>
      <c r="AV544" t="n">
        <v>15</v>
      </c>
      <c r="AW544" t="n">
        <v>11</v>
      </c>
      <c r="AX544" t="n">
        <v>0</v>
      </c>
      <c r="AY544" t="n">
        <v>1</v>
      </c>
      <c r="AZ544" t="n">
        <v>2</v>
      </c>
      <c r="BA544" t="n">
        <v>1</v>
      </c>
      <c r="BB544" t="n">
        <v>51</v>
      </c>
      <c r="BC544" t="n">
        <v>10</v>
      </c>
      <c r="BD544" t="n">
        <v>43</v>
      </c>
      <c r="BE544" t="n">
        <v>15</v>
      </c>
      <c r="BF544" t="n">
        <v>48</v>
      </c>
      <c r="BG544" t="n">
        <v>0</v>
      </c>
      <c r="BH544" t="n">
        <v>2</v>
      </c>
      <c r="BI544" t="n">
        <v>1</v>
      </c>
      <c r="BJ544" t="n">
        <v>1</v>
      </c>
      <c r="BK544" t="n">
        <v>2</v>
      </c>
      <c r="BL544" t="n">
        <v>8</v>
      </c>
      <c r="BM544" t="n">
        <v>5</v>
      </c>
      <c r="BN544" t="n">
        <v>0</v>
      </c>
      <c r="BO544" t="n">
        <v>2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2</v>
      </c>
      <c r="U545" t="n">
        <v>0</v>
      </c>
      <c r="V545" t="n">
        <v>0</v>
      </c>
      <c r="W545" t="n">
        <v>0</v>
      </c>
      <c r="X545" t="n">
        <v>0</v>
      </c>
      <c r="Y545" t="n">
        <v>275</v>
      </c>
      <c r="Z545" t="n">
        <v>308</v>
      </c>
      <c r="AA545" t="n">
        <v>66</v>
      </c>
      <c r="AB545" t="n">
        <v>0</v>
      </c>
      <c r="AC545" t="n">
        <v>3</v>
      </c>
      <c r="AD545" t="n">
        <v>4</v>
      </c>
      <c r="AE545" t="n">
        <v>13</v>
      </c>
      <c r="AF545" t="n">
        <v>1</v>
      </c>
      <c r="AG545" t="n">
        <v>8</v>
      </c>
      <c r="AH545" t="n">
        <v>95</v>
      </c>
      <c r="AI545" t="n">
        <v>107</v>
      </c>
      <c r="AJ545" t="n">
        <v>46</v>
      </c>
      <c r="AK545" t="n">
        <v>12</v>
      </c>
      <c r="AL545" t="n">
        <v>3</v>
      </c>
      <c r="AM545" t="n">
        <v>24</v>
      </c>
      <c r="AN545" t="n">
        <v>0</v>
      </c>
      <c r="AO545" t="n">
        <v>0</v>
      </c>
      <c r="AP545" t="n">
        <v>2</v>
      </c>
      <c r="AQ545" t="n">
        <v>12</v>
      </c>
      <c r="AR545" t="n">
        <v>79</v>
      </c>
      <c r="AS545" t="n">
        <v>67</v>
      </c>
      <c r="AT545" t="n">
        <v>3</v>
      </c>
      <c r="AU545" t="n">
        <v>1</v>
      </c>
      <c r="AV545" t="n">
        <v>11</v>
      </c>
      <c r="AW545" t="n">
        <v>0</v>
      </c>
      <c r="AX545" t="n">
        <v>0</v>
      </c>
      <c r="AY545" t="n">
        <v>13</v>
      </c>
      <c r="AZ545" t="n">
        <v>5</v>
      </c>
      <c r="BA545" t="n">
        <v>26</v>
      </c>
      <c r="BB545" t="n">
        <v>89</v>
      </c>
      <c r="BC545" t="n">
        <v>19</v>
      </c>
      <c r="BD545" t="n">
        <v>87</v>
      </c>
      <c r="BE545" t="n">
        <v>-1</v>
      </c>
      <c r="BF545" t="n">
        <v>45</v>
      </c>
      <c r="BG545" t="n">
        <v>4</v>
      </c>
      <c r="BH545" t="n">
        <v>8</v>
      </c>
      <c r="BI545" t="n">
        <v>70</v>
      </c>
      <c r="BJ545" t="n">
        <v>65</v>
      </c>
      <c r="BK545" t="n">
        <v>3</v>
      </c>
      <c r="BL545" t="n">
        <v>28</v>
      </c>
      <c r="BM545" t="n">
        <v>20</v>
      </c>
      <c r="BN545" t="n">
        <v>3</v>
      </c>
      <c r="BO545" t="n">
        <v>2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121</v>
      </c>
      <c r="Z546" t="n">
        <v>168</v>
      </c>
      <c r="AA546" t="n">
        <v>96</v>
      </c>
      <c r="AB546" t="n">
        <v>1</v>
      </c>
      <c r="AC546" t="n">
        <v>1</v>
      </c>
      <c r="AD546" t="n">
        <v>1</v>
      </c>
      <c r="AE546" t="n">
        <v>2</v>
      </c>
      <c r="AF546" t="n">
        <v>7</v>
      </c>
      <c r="AG546" t="n">
        <v>3</v>
      </c>
      <c r="AH546" t="n">
        <v>16</v>
      </c>
      <c r="AI546" t="n">
        <v>10</v>
      </c>
      <c r="AJ546" t="n">
        <v>55</v>
      </c>
      <c r="AK546" t="n">
        <v>1</v>
      </c>
      <c r="AL546" t="n">
        <v>4</v>
      </c>
      <c r="AM546" t="n">
        <v>39</v>
      </c>
      <c r="AN546" t="n">
        <v>0</v>
      </c>
      <c r="AO546" t="n">
        <v>0</v>
      </c>
      <c r="AP546" t="n">
        <v>3</v>
      </c>
      <c r="AQ546" t="n">
        <v>16</v>
      </c>
      <c r="AR546" t="n">
        <v>61</v>
      </c>
      <c r="AS546" t="n">
        <v>47</v>
      </c>
      <c r="AT546" t="n">
        <v>0</v>
      </c>
      <c r="AU546" t="n">
        <v>2</v>
      </c>
      <c r="AV546" t="n">
        <v>1</v>
      </c>
      <c r="AW546" t="n">
        <v>28</v>
      </c>
      <c r="AX546" t="n">
        <v>0</v>
      </c>
      <c r="AY546" t="n">
        <v>39</v>
      </c>
      <c r="AZ546" t="n">
        <v>5</v>
      </c>
      <c r="BA546" t="n">
        <v>8</v>
      </c>
      <c r="BB546" t="n">
        <v>100</v>
      </c>
      <c r="BC546" t="n">
        <v>32</v>
      </c>
      <c r="BD546" t="n">
        <v>14</v>
      </c>
      <c r="BE546" t="n">
        <v>31</v>
      </c>
      <c r="BF546" t="n">
        <v>46</v>
      </c>
      <c r="BG546" t="n">
        <v>1</v>
      </c>
      <c r="BH546" t="n">
        <v>1</v>
      </c>
      <c r="BI546" t="n">
        <v>27</v>
      </c>
      <c r="BJ546" t="n">
        <v>25</v>
      </c>
      <c r="BK546" t="n">
        <v>3</v>
      </c>
      <c r="BL546" t="n">
        <v>21</v>
      </c>
      <c r="BM546" t="n">
        <v>28</v>
      </c>
      <c r="BN546" t="n">
        <v>10</v>
      </c>
      <c r="BO546" t="n">
        <v>21</v>
      </c>
    </row>
    <row r="547">
      <c r="A547" t="n">
        <v>0</v>
      </c>
      <c r="B547" t="n">
        <v>0</v>
      </c>
      <c r="C547" t="n">
        <v>0</v>
      </c>
      <c r="D547" t="n">
        <v>2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4</v>
      </c>
      <c r="U547" t="n">
        <v>1</v>
      </c>
      <c r="V547" t="n">
        <v>0</v>
      </c>
      <c r="W547" t="n">
        <v>0</v>
      </c>
      <c r="X547" t="n">
        <v>0</v>
      </c>
      <c r="Y547" t="n">
        <v>265</v>
      </c>
      <c r="Z547" t="n">
        <v>186</v>
      </c>
      <c r="AA547" t="n">
        <v>87</v>
      </c>
      <c r="AB547" t="n">
        <v>4</v>
      </c>
      <c r="AC547" t="n">
        <v>2</v>
      </c>
      <c r="AD547" t="n">
        <v>0</v>
      </c>
      <c r="AE547" t="n">
        <v>3</v>
      </c>
      <c r="AF547" t="n">
        <v>3</v>
      </c>
      <c r="AG547" t="n">
        <v>3</v>
      </c>
      <c r="AH547" t="n">
        <v>6</v>
      </c>
      <c r="AI547" t="n">
        <v>14</v>
      </c>
      <c r="AJ547" t="n">
        <v>64</v>
      </c>
      <c r="AK547" t="n">
        <v>44</v>
      </c>
      <c r="AL547" t="n">
        <v>0</v>
      </c>
      <c r="AM547" t="n">
        <v>43</v>
      </c>
      <c r="AN547" t="n">
        <v>0</v>
      </c>
      <c r="AO547" t="n">
        <v>0</v>
      </c>
      <c r="AP547" t="n">
        <v>4</v>
      </c>
      <c r="AQ547" t="n">
        <v>42</v>
      </c>
      <c r="AR547" t="n">
        <v>75</v>
      </c>
      <c r="AS547" t="n">
        <v>40</v>
      </c>
      <c r="AT547" t="n">
        <v>4</v>
      </c>
      <c r="AU547" t="n">
        <v>2</v>
      </c>
      <c r="AV547" t="n">
        <v>42</v>
      </c>
      <c r="AW547" t="n">
        <v>18</v>
      </c>
      <c r="AX547" t="n">
        <v>0</v>
      </c>
      <c r="AY547" t="n">
        <v>25</v>
      </c>
      <c r="AZ547" t="n">
        <v>11</v>
      </c>
      <c r="BA547" t="n">
        <v>79</v>
      </c>
      <c r="BB547" t="n">
        <v>171</v>
      </c>
      <c r="BC547" t="n">
        <v>37</v>
      </c>
      <c r="BD547" t="n">
        <v>4</v>
      </c>
      <c r="BE547" t="n">
        <v>18</v>
      </c>
      <c r="BF547" t="n">
        <v>62</v>
      </c>
      <c r="BG547" t="n">
        <v>1</v>
      </c>
      <c r="BH547" t="n">
        <v>28</v>
      </c>
      <c r="BI547" t="n">
        <v>20</v>
      </c>
      <c r="BJ547" t="n">
        <v>18</v>
      </c>
      <c r="BK547" t="n">
        <v>3</v>
      </c>
      <c r="BL547" t="n">
        <v>20</v>
      </c>
      <c r="BM547" t="n">
        <v>13</v>
      </c>
      <c r="BN547" t="n">
        <v>0</v>
      </c>
      <c r="BO547" t="n">
        <v>63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2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211</v>
      </c>
      <c r="Z548" t="n">
        <v>142</v>
      </c>
      <c r="AA548" t="n">
        <v>75</v>
      </c>
      <c r="AB548" t="n">
        <v>3</v>
      </c>
      <c r="AC548" t="n">
        <v>1</v>
      </c>
      <c r="AD548" t="n">
        <v>3</v>
      </c>
      <c r="AE548" t="n">
        <v>3</v>
      </c>
      <c r="AF548" t="n">
        <v>2</v>
      </c>
      <c r="AG548" t="n">
        <v>4</v>
      </c>
      <c r="AH548" t="n">
        <v>70</v>
      </c>
      <c r="AI548" t="n">
        <v>15</v>
      </c>
      <c r="AJ548" t="n">
        <v>18</v>
      </c>
      <c r="AK548" t="n">
        <v>9</v>
      </c>
      <c r="AL548" t="n">
        <v>3</v>
      </c>
      <c r="AM548" t="n">
        <v>58</v>
      </c>
      <c r="AN548" t="n">
        <v>0</v>
      </c>
      <c r="AO548" t="n">
        <v>0</v>
      </c>
      <c r="AP548" t="n">
        <v>6</v>
      </c>
      <c r="AQ548" t="n">
        <v>16</v>
      </c>
      <c r="AR548" t="n">
        <v>182</v>
      </c>
      <c r="AS548" t="n">
        <v>163</v>
      </c>
      <c r="AT548" t="n">
        <v>3</v>
      </c>
      <c r="AU548" t="n">
        <v>0</v>
      </c>
      <c r="AV548" t="n">
        <v>18</v>
      </c>
      <c r="AW548" t="n">
        <v>5</v>
      </c>
      <c r="AX548" t="n">
        <v>1</v>
      </c>
      <c r="AY548" t="n">
        <v>55</v>
      </c>
      <c r="AZ548" t="n">
        <v>5</v>
      </c>
      <c r="BA548" t="n">
        <v>35</v>
      </c>
      <c r="BB548" t="n">
        <v>108</v>
      </c>
      <c r="BC548" t="n">
        <v>54</v>
      </c>
      <c r="BD548" t="n">
        <v>62</v>
      </c>
      <c r="BE548" t="n">
        <v>5</v>
      </c>
      <c r="BF548" t="n">
        <v>14</v>
      </c>
      <c r="BG548" t="n">
        <v>6</v>
      </c>
      <c r="BH548" t="n">
        <v>11</v>
      </c>
      <c r="BI548" t="n">
        <v>48</v>
      </c>
      <c r="BJ548" t="n">
        <v>48</v>
      </c>
      <c r="BK548" t="n">
        <v>3</v>
      </c>
      <c r="BL548" t="n">
        <v>14</v>
      </c>
      <c r="BM548" t="n">
        <v>18</v>
      </c>
      <c r="BN548" t="n">
        <v>7</v>
      </c>
      <c r="BO548" t="n">
        <v>37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2</v>
      </c>
      <c r="U549" t="n">
        <v>1</v>
      </c>
      <c r="V549" t="n">
        <v>0</v>
      </c>
      <c r="W549" t="n">
        <v>0</v>
      </c>
      <c r="X549" t="n">
        <v>0</v>
      </c>
      <c r="Y549" t="n">
        <v>161</v>
      </c>
      <c r="Z549" t="n">
        <v>129</v>
      </c>
      <c r="AA549" t="n">
        <v>32</v>
      </c>
      <c r="AB549" t="n">
        <v>1</v>
      </c>
      <c r="AC549" t="n">
        <v>3</v>
      </c>
      <c r="AD549" t="n">
        <v>6</v>
      </c>
      <c r="AE549" t="n">
        <v>3</v>
      </c>
      <c r="AF549" t="n">
        <v>6</v>
      </c>
      <c r="AG549" t="n">
        <v>5</v>
      </c>
      <c r="AH549" t="n">
        <v>38</v>
      </c>
      <c r="AI549" t="n">
        <v>9</v>
      </c>
      <c r="AJ549" t="n">
        <v>53</v>
      </c>
      <c r="AK549" t="n">
        <v>22</v>
      </c>
      <c r="AL549" t="n">
        <v>1</v>
      </c>
      <c r="AM549" t="n">
        <v>2</v>
      </c>
      <c r="AN549" t="n">
        <v>0</v>
      </c>
      <c r="AO549" t="n">
        <v>0</v>
      </c>
      <c r="AP549" t="n">
        <v>1</v>
      </c>
      <c r="AQ549" t="n">
        <v>1</v>
      </c>
      <c r="AR549" t="n">
        <v>90</v>
      </c>
      <c r="AS549" t="n">
        <v>83</v>
      </c>
      <c r="AT549" t="n">
        <v>2</v>
      </c>
      <c r="AU549" t="n">
        <v>1</v>
      </c>
      <c r="AV549" t="n">
        <v>23</v>
      </c>
      <c r="AW549" t="n">
        <v>14</v>
      </c>
      <c r="AX549" t="n">
        <v>0</v>
      </c>
      <c r="AY549" t="n">
        <v>13</v>
      </c>
      <c r="AZ549" t="n">
        <v>0</v>
      </c>
      <c r="BA549" t="n">
        <v>11</v>
      </c>
      <c r="BB549" t="n">
        <v>42</v>
      </c>
      <c r="BC549" t="n">
        <v>6</v>
      </c>
      <c r="BD549" t="n">
        <v>43</v>
      </c>
      <c r="BE549" t="n">
        <v>14</v>
      </c>
      <c r="BF549" t="n">
        <v>53</v>
      </c>
      <c r="BG549" t="n">
        <v>2</v>
      </c>
      <c r="BH549" t="n">
        <v>9</v>
      </c>
      <c r="BI549" t="n">
        <v>32</v>
      </c>
      <c r="BJ549" t="n">
        <v>29</v>
      </c>
      <c r="BK549" t="n">
        <v>3</v>
      </c>
      <c r="BL549" t="n">
        <v>30</v>
      </c>
      <c r="BM549" t="n">
        <v>42</v>
      </c>
      <c r="BN549" t="n">
        <v>16</v>
      </c>
      <c r="BO549" t="n">
        <v>2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256</v>
      </c>
      <c r="Z550" t="n">
        <v>293</v>
      </c>
      <c r="AA550" t="n">
        <v>134</v>
      </c>
      <c r="AB550" t="n">
        <v>0</v>
      </c>
      <c r="AC550" t="n">
        <v>1</v>
      </c>
      <c r="AD550" t="n">
        <v>2</v>
      </c>
      <c r="AE550" t="n">
        <v>8</v>
      </c>
      <c r="AF550" t="n">
        <v>2</v>
      </c>
      <c r="AG550" t="n">
        <v>5</v>
      </c>
      <c r="AH550" t="n">
        <v>27</v>
      </c>
      <c r="AI550" t="n">
        <v>152</v>
      </c>
      <c r="AJ550" t="n">
        <v>54</v>
      </c>
      <c r="AK550" t="n">
        <v>69</v>
      </c>
      <c r="AL550" t="n">
        <v>4</v>
      </c>
      <c r="AM550" t="n">
        <v>29</v>
      </c>
      <c r="AN550" t="n">
        <v>0</v>
      </c>
      <c r="AO550" t="n">
        <v>0</v>
      </c>
      <c r="AP550" t="n">
        <v>6</v>
      </c>
      <c r="AQ550" t="n">
        <v>131</v>
      </c>
      <c r="AR550" t="n">
        <v>373</v>
      </c>
      <c r="AS550" t="n">
        <v>232</v>
      </c>
      <c r="AT550" t="n">
        <v>2</v>
      </c>
      <c r="AU550" t="n">
        <v>1</v>
      </c>
      <c r="AV550" t="n">
        <v>24</v>
      </c>
      <c r="AW550" t="n">
        <v>20</v>
      </c>
      <c r="AX550" t="n">
        <v>5</v>
      </c>
      <c r="AY550" t="n">
        <v>5</v>
      </c>
      <c r="AZ550" t="n">
        <v>6</v>
      </c>
      <c r="BA550" t="n">
        <v>69</v>
      </c>
      <c r="BB550" t="n">
        <v>202</v>
      </c>
      <c r="BC550" t="n">
        <v>23</v>
      </c>
      <c r="BD550" t="n">
        <v>29</v>
      </c>
      <c r="BE550" t="n">
        <v>20</v>
      </c>
      <c r="BF550" t="n">
        <v>58</v>
      </c>
      <c r="BG550" t="n">
        <v>2</v>
      </c>
      <c r="BH550" t="n">
        <v>2</v>
      </c>
      <c r="BI550" t="n">
        <v>37</v>
      </c>
      <c r="BJ550" t="n">
        <v>34</v>
      </c>
      <c r="BK550" t="n">
        <v>1</v>
      </c>
      <c r="BL550" t="n">
        <v>7</v>
      </c>
      <c r="BM550" t="n">
        <v>1</v>
      </c>
      <c r="BN550" t="n">
        <v>-1</v>
      </c>
      <c r="BO550" t="n">
        <v>2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127</v>
      </c>
      <c r="Z551" t="n">
        <v>150</v>
      </c>
      <c r="AA551" t="n">
        <v>27</v>
      </c>
      <c r="AB551" t="n">
        <v>1</v>
      </c>
      <c r="AC551" t="n">
        <v>0</v>
      </c>
      <c r="AD551" t="n">
        <v>1</v>
      </c>
      <c r="AE551" t="n">
        <v>7</v>
      </c>
      <c r="AF551" t="n">
        <v>2</v>
      </c>
      <c r="AG551" t="n">
        <v>6</v>
      </c>
      <c r="AH551" t="n">
        <v>2</v>
      </c>
      <c r="AI551" t="n">
        <v>63</v>
      </c>
      <c r="AJ551" t="n">
        <v>18</v>
      </c>
      <c r="AK551" t="n">
        <v>78</v>
      </c>
      <c r="AL551" t="n">
        <v>3</v>
      </c>
      <c r="AM551" t="n">
        <v>28</v>
      </c>
      <c r="AN551" t="n">
        <v>1</v>
      </c>
      <c r="AO551" t="n">
        <v>0</v>
      </c>
      <c r="AP551" t="n">
        <v>4</v>
      </c>
      <c r="AQ551" t="n">
        <v>26</v>
      </c>
      <c r="AR551" t="n">
        <v>119</v>
      </c>
      <c r="AS551" t="n">
        <v>95</v>
      </c>
      <c r="AT551" t="n">
        <v>2</v>
      </c>
      <c r="AU551" t="n">
        <v>0</v>
      </c>
      <c r="AV551" t="n">
        <v>39</v>
      </c>
      <c r="AW551" t="n">
        <v>13</v>
      </c>
      <c r="AX551" t="n">
        <v>4</v>
      </c>
      <c r="AY551" t="n">
        <v>21</v>
      </c>
      <c r="AZ551" t="n">
        <v>3</v>
      </c>
      <c r="BA551" t="n">
        <v>34</v>
      </c>
      <c r="BB551" t="n">
        <v>62</v>
      </c>
      <c r="BC551" t="n">
        <v>27</v>
      </c>
      <c r="BD551" t="n">
        <v>5</v>
      </c>
      <c r="BE551" t="n">
        <v>12</v>
      </c>
      <c r="BF551" t="n">
        <v>17</v>
      </c>
      <c r="BG551" t="n">
        <v>2</v>
      </c>
      <c r="BH551" t="n">
        <v>0</v>
      </c>
      <c r="BI551" t="n">
        <v>-1</v>
      </c>
      <c r="BJ551" t="n">
        <v>-2</v>
      </c>
      <c r="BK551" t="n">
        <v>0</v>
      </c>
      <c r="BL551" t="n">
        <v>44</v>
      </c>
      <c r="BM551" t="n">
        <v>87</v>
      </c>
      <c r="BN551" t="n">
        <v>44</v>
      </c>
      <c r="BO551" t="n">
        <v>4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208</v>
      </c>
      <c r="Z552" t="n">
        <v>148</v>
      </c>
      <c r="AA552" t="n">
        <v>68</v>
      </c>
      <c r="AB552" t="n">
        <v>0</v>
      </c>
      <c r="AC552" t="n">
        <v>0</v>
      </c>
      <c r="AD552" t="n">
        <v>3</v>
      </c>
      <c r="AE552" t="n">
        <v>6</v>
      </c>
      <c r="AF552" t="n">
        <v>2</v>
      </c>
      <c r="AG552" t="n">
        <v>0</v>
      </c>
      <c r="AH552" t="n">
        <v>58</v>
      </c>
      <c r="AI552" t="n">
        <v>45</v>
      </c>
      <c r="AJ552" t="n">
        <v>2</v>
      </c>
      <c r="AK552" t="n">
        <v>19</v>
      </c>
      <c r="AL552" t="n">
        <v>1</v>
      </c>
      <c r="AM552" t="n">
        <v>39</v>
      </c>
      <c r="AN552" t="n">
        <v>0</v>
      </c>
      <c r="AO552" t="n">
        <v>0</v>
      </c>
      <c r="AP552" t="n">
        <v>6</v>
      </c>
      <c r="AQ552" t="n">
        <v>62</v>
      </c>
      <c r="AR552" t="n">
        <v>154</v>
      </c>
      <c r="AS552" t="n">
        <v>100</v>
      </c>
      <c r="AT552" t="n">
        <v>2</v>
      </c>
      <c r="AU552" t="n">
        <v>2</v>
      </c>
      <c r="AV552" t="n">
        <v>15</v>
      </c>
      <c r="AW552" t="n">
        <v>16</v>
      </c>
      <c r="AX552" t="n">
        <v>0</v>
      </c>
      <c r="AY552" t="n">
        <v>10</v>
      </c>
      <c r="AZ552" t="n">
        <v>5</v>
      </c>
      <c r="BA552" t="n">
        <v>42</v>
      </c>
      <c r="BB552" t="n">
        <v>109</v>
      </c>
      <c r="BC552" t="n">
        <v>41</v>
      </c>
      <c r="BD552" t="n">
        <v>55</v>
      </c>
      <c r="BE552" t="n">
        <v>16</v>
      </c>
      <c r="BF552" t="n">
        <v>2</v>
      </c>
      <c r="BG552" t="n">
        <v>1</v>
      </c>
      <c r="BH552" t="n">
        <v>17</v>
      </c>
      <c r="BI552" t="n">
        <v>35</v>
      </c>
      <c r="BJ552" t="n">
        <v>36</v>
      </c>
      <c r="BK552" t="n">
        <v>1</v>
      </c>
      <c r="BL552" t="n">
        <v>8</v>
      </c>
      <c r="BM552" t="n">
        <v>16</v>
      </c>
      <c r="BN552" t="n">
        <v>7</v>
      </c>
      <c r="BO552" t="n">
        <v>2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160</v>
      </c>
      <c r="Z553" t="n">
        <v>251</v>
      </c>
      <c r="AA553" t="n">
        <v>25</v>
      </c>
      <c r="AB553" t="n">
        <v>0</v>
      </c>
      <c r="AC553" t="n">
        <v>1</v>
      </c>
      <c r="AD553" t="n">
        <v>2</v>
      </c>
      <c r="AE553" t="n">
        <v>2</v>
      </c>
      <c r="AF553" t="n">
        <v>1</v>
      </c>
      <c r="AG553" t="n">
        <v>5</v>
      </c>
      <c r="AH553" t="n">
        <v>13</v>
      </c>
      <c r="AI553" t="n">
        <v>2</v>
      </c>
      <c r="AJ553" t="n">
        <v>2</v>
      </c>
      <c r="AK553" t="n">
        <v>36</v>
      </c>
      <c r="AL553" t="n">
        <v>2</v>
      </c>
      <c r="AM553" t="n">
        <v>27</v>
      </c>
      <c r="AN553" t="n">
        <v>0</v>
      </c>
      <c r="AO553" t="n">
        <v>0</v>
      </c>
      <c r="AP553" t="n">
        <v>8</v>
      </c>
      <c r="AQ553" t="n">
        <v>161</v>
      </c>
      <c r="AR553" t="n">
        <v>251</v>
      </c>
      <c r="AS553" t="n">
        <v>123</v>
      </c>
      <c r="AT553" t="n">
        <v>1</v>
      </c>
      <c r="AU553" t="n">
        <v>0</v>
      </c>
      <c r="AV553" t="n">
        <v>4</v>
      </c>
      <c r="AW553" t="n">
        <v>1</v>
      </c>
      <c r="AX553" t="n">
        <v>3</v>
      </c>
      <c r="AY553" t="n">
        <v>27</v>
      </c>
      <c r="AZ553" t="n">
        <v>14</v>
      </c>
      <c r="BA553" t="n">
        <v>126</v>
      </c>
      <c r="BB553" t="n">
        <v>206</v>
      </c>
      <c r="BC553" t="n">
        <v>22</v>
      </c>
      <c r="BD553" t="n">
        <v>43</v>
      </c>
      <c r="BE553" t="n">
        <v>2</v>
      </c>
      <c r="BF553" t="n">
        <v>26</v>
      </c>
      <c r="BG553" t="n">
        <v>1</v>
      </c>
      <c r="BH553" t="n">
        <v>0</v>
      </c>
      <c r="BI553" t="n">
        <v>1</v>
      </c>
      <c r="BJ553" t="n">
        <v>0</v>
      </c>
      <c r="BK553" t="n">
        <v>2</v>
      </c>
      <c r="BL553" t="n">
        <v>19</v>
      </c>
      <c r="BM553" t="n">
        <v>22</v>
      </c>
      <c r="BN553" t="n">
        <v>7</v>
      </c>
      <c r="BO553" t="n">
        <v>9</v>
      </c>
    </row>
    <row r="554">
      <c r="A554" t="n">
        <v>1</v>
      </c>
      <c r="B554" t="n">
        <v>2</v>
      </c>
      <c r="C554" t="n">
        <v>0</v>
      </c>
      <c r="D554" t="n">
        <v>1</v>
      </c>
      <c r="E554" t="n">
        <v>0</v>
      </c>
      <c r="F554" t="n">
        <v>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</v>
      </c>
      <c r="U554" t="n">
        <v>0</v>
      </c>
      <c r="V554" t="n">
        <v>0</v>
      </c>
      <c r="W554" t="n">
        <v>0</v>
      </c>
      <c r="X554" t="n">
        <v>0</v>
      </c>
      <c r="Y554" t="n">
        <v>214</v>
      </c>
      <c r="Z554" t="n">
        <v>109</v>
      </c>
      <c r="AA554" t="n">
        <v>31</v>
      </c>
      <c r="AB554" t="n">
        <v>2</v>
      </c>
      <c r="AC554" t="n">
        <v>0</v>
      </c>
      <c r="AD554" t="n">
        <v>2</v>
      </c>
      <c r="AE554" t="n">
        <v>4</v>
      </c>
      <c r="AF554" t="n">
        <v>4</v>
      </c>
      <c r="AG554" t="n">
        <v>4</v>
      </c>
      <c r="AH554" t="n">
        <v>24</v>
      </c>
      <c r="AI554" t="n">
        <v>22</v>
      </c>
      <c r="AJ554" t="n">
        <v>49</v>
      </c>
      <c r="AK554" t="n">
        <v>66</v>
      </c>
      <c r="AL554" t="n">
        <v>0</v>
      </c>
      <c r="AM554" t="n">
        <v>18</v>
      </c>
      <c r="AN554" t="n">
        <v>2</v>
      </c>
      <c r="AO554" t="n">
        <v>0</v>
      </c>
      <c r="AP554" t="n">
        <v>4</v>
      </c>
      <c r="AQ554" t="n">
        <v>36</v>
      </c>
      <c r="AR554" t="n">
        <v>145</v>
      </c>
      <c r="AS554" t="n">
        <v>113</v>
      </c>
      <c r="AT554" t="n">
        <v>5</v>
      </c>
      <c r="AU554" t="n">
        <v>1</v>
      </c>
      <c r="AV554" t="n">
        <v>41</v>
      </c>
      <c r="AW554" t="n">
        <v>8</v>
      </c>
      <c r="AX554" t="n">
        <v>6</v>
      </c>
      <c r="AY554" t="n">
        <v>46</v>
      </c>
      <c r="AZ554" t="n">
        <v>0</v>
      </c>
      <c r="BA554" t="n">
        <v>3</v>
      </c>
      <c r="BB554" t="n">
        <v>31</v>
      </c>
      <c r="BC554" t="n">
        <v>15</v>
      </c>
      <c r="BD554" t="n">
        <v>27</v>
      </c>
      <c r="BE554" t="n">
        <v>7</v>
      </c>
      <c r="BF554" t="n">
        <v>61</v>
      </c>
      <c r="BG554" t="n">
        <v>2</v>
      </c>
      <c r="BH554" t="n">
        <v>2</v>
      </c>
      <c r="BI554" t="n">
        <v>16</v>
      </c>
      <c r="BJ554" t="n">
        <v>13</v>
      </c>
      <c r="BK554" t="n">
        <v>0</v>
      </c>
      <c r="BL554" t="n">
        <v>1</v>
      </c>
      <c r="BM554" t="n">
        <v>3</v>
      </c>
      <c r="BN554" t="n">
        <v>1</v>
      </c>
      <c r="BO554" t="n">
        <v>30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240</v>
      </c>
      <c r="Z555" t="n">
        <v>235</v>
      </c>
      <c r="AA555" t="n">
        <v>45</v>
      </c>
      <c r="AB555" t="n">
        <v>3</v>
      </c>
      <c r="AC555" t="n">
        <v>0</v>
      </c>
      <c r="AD555" t="n">
        <v>6</v>
      </c>
      <c r="AE555" t="n">
        <v>5</v>
      </c>
      <c r="AF555" t="n">
        <v>4</v>
      </c>
      <c r="AG555" t="n">
        <v>3</v>
      </c>
      <c r="AH555" t="n">
        <v>87</v>
      </c>
      <c r="AI555" t="n">
        <v>99</v>
      </c>
      <c r="AJ555" t="n">
        <v>40</v>
      </c>
      <c r="AK555" t="n">
        <v>53</v>
      </c>
      <c r="AL555" t="n">
        <v>2</v>
      </c>
      <c r="AM555" t="n">
        <v>24</v>
      </c>
      <c r="AN555" t="n">
        <v>0</v>
      </c>
      <c r="AO555" t="n">
        <v>2</v>
      </c>
      <c r="AP555" t="n">
        <v>1</v>
      </c>
      <c r="AQ555" t="n">
        <v>4</v>
      </c>
      <c r="AR555" t="n">
        <v>109</v>
      </c>
      <c r="AS555" t="n">
        <v>100</v>
      </c>
      <c r="AT555" t="n">
        <v>5</v>
      </c>
      <c r="AU555" t="n">
        <v>0</v>
      </c>
      <c r="AV555" t="n">
        <v>37</v>
      </c>
      <c r="AW555" t="n">
        <v>10</v>
      </c>
      <c r="AX555" t="n">
        <v>20</v>
      </c>
      <c r="AY555" t="n">
        <v>6</v>
      </c>
      <c r="AZ555" t="n">
        <v>2</v>
      </c>
      <c r="BA555" t="n">
        <v>12</v>
      </c>
      <c r="BB555" t="n">
        <v>56</v>
      </c>
      <c r="BC555" t="n">
        <v>19</v>
      </c>
      <c r="BD555" t="n">
        <v>79</v>
      </c>
      <c r="BE555" t="n">
        <v>19</v>
      </c>
      <c r="BF555" t="n">
        <v>32</v>
      </c>
      <c r="BG555" t="n">
        <v>3</v>
      </c>
      <c r="BH555" t="n">
        <v>11</v>
      </c>
      <c r="BI555" t="n">
        <v>30</v>
      </c>
      <c r="BJ555" t="n">
        <v>27</v>
      </c>
      <c r="BK555" t="n">
        <v>0</v>
      </c>
      <c r="BL555" t="n">
        <v>1</v>
      </c>
      <c r="BM555" t="n">
        <v>19</v>
      </c>
      <c r="BN555" t="n">
        <v>11</v>
      </c>
      <c r="BO555" t="n">
        <v>47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2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303</v>
      </c>
      <c r="Z556" t="n">
        <v>118</v>
      </c>
      <c r="AA556" t="n">
        <v>47</v>
      </c>
      <c r="AB556" t="n">
        <v>1</v>
      </c>
      <c r="AC556" t="n">
        <v>1</v>
      </c>
      <c r="AD556" t="n">
        <v>2</v>
      </c>
      <c r="AE556" t="n">
        <v>8</v>
      </c>
      <c r="AF556" t="n">
        <v>5</v>
      </c>
      <c r="AG556" t="n">
        <v>3</v>
      </c>
      <c r="AH556" t="n">
        <v>57</v>
      </c>
      <c r="AI556" t="n">
        <v>72</v>
      </c>
      <c r="AJ556" t="n">
        <v>48</v>
      </c>
      <c r="AK556" t="n">
        <v>62</v>
      </c>
      <c r="AL556" t="n">
        <v>0</v>
      </c>
      <c r="AM556" t="n">
        <v>2</v>
      </c>
      <c r="AN556" t="n">
        <v>1</v>
      </c>
      <c r="AO556" t="n">
        <v>0</v>
      </c>
      <c r="AP556" t="n">
        <v>0</v>
      </c>
      <c r="AQ556" t="n">
        <v>3</v>
      </c>
      <c r="AR556" t="n">
        <v>71</v>
      </c>
      <c r="AS556" t="n">
        <v>64</v>
      </c>
      <c r="AT556" t="n">
        <v>1</v>
      </c>
      <c r="AU556" t="n">
        <v>1</v>
      </c>
      <c r="AV556" t="n">
        <v>17</v>
      </c>
      <c r="AW556" t="n">
        <v>12</v>
      </c>
      <c r="AX556" t="n">
        <v>0</v>
      </c>
      <c r="AY556" t="n">
        <v>32</v>
      </c>
      <c r="AZ556" t="n">
        <v>2</v>
      </c>
      <c r="BA556" t="n">
        <v>11</v>
      </c>
      <c r="BB556" t="n">
        <v>55</v>
      </c>
      <c r="BC556" t="n">
        <v>23</v>
      </c>
      <c r="BD556" t="n">
        <v>51</v>
      </c>
      <c r="BE556" t="n">
        <v>11</v>
      </c>
      <c r="BF556" t="n">
        <v>40</v>
      </c>
      <c r="BG556" t="n">
        <v>3</v>
      </c>
      <c r="BH556" t="n">
        <v>11</v>
      </c>
      <c r="BI556" t="n">
        <v>1</v>
      </c>
      <c r="BJ556" t="n">
        <v>1</v>
      </c>
      <c r="BK556" t="n">
        <v>0</v>
      </c>
      <c r="BL556" t="n">
        <v>1</v>
      </c>
      <c r="BM556" t="n">
        <v>1</v>
      </c>
      <c r="BN556" t="n">
        <v>0</v>
      </c>
      <c r="BO556" t="n">
        <v>2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339</v>
      </c>
      <c r="Z557" t="n">
        <v>154</v>
      </c>
      <c r="AA557" t="n">
        <v>42</v>
      </c>
      <c r="AB557" t="n">
        <v>1</v>
      </c>
      <c r="AC557" t="n">
        <v>1</v>
      </c>
      <c r="AD557" t="n">
        <v>1</v>
      </c>
      <c r="AE557" t="n">
        <v>4</v>
      </c>
      <c r="AF557" t="n">
        <v>5</v>
      </c>
      <c r="AG557" t="n">
        <v>5</v>
      </c>
      <c r="AH557" t="n">
        <v>26</v>
      </c>
      <c r="AI557" t="n">
        <v>32</v>
      </c>
      <c r="AJ557" t="n">
        <v>106</v>
      </c>
      <c r="AK557" t="n">
        <v>44</v>
      </c>
      <c r="AL557" t="n">
        <v>1</v>
      </c>
      <c r="AM557" t="n">
        <v>33</v>
      </c>
      <c r="AN557" t="n">
        <v>0</v>
      </c>
      <c r="AO557" t="n">
        <v>0</v>
      </c>
      <c r="AP557" t="n">
        <v>6</v>
      </c>
      <c r="AQ557" t="n">
        <v>79</v>
      </c>
      <c r="AR557" t="n">
        <v>217</v>
      </c>
      <c r="AS557" t="n">
        <v>153</v>
      </c>
      <c r="AT557" t="n">
        <v>2</v>
      </c>
      <c r="AU557" t="n">
        <v>3</v>
      </c>
      <c r="AV557" t="n">
        <v>47</v>
      </c>
      <c r="AW557" t="n">
        <v>30</v>
      </c>
      <c r="AX557" t="n">
        <v>0</v>
      </c>
      <c r="AY557" t="n">
        <v>47</v>
      </c>
      <c r="AZ557" t="n">
        <v>2</v>
      </c>
      <c r="BA557" t="n">
        <v>10</v>
      </c>
      <c r="BB557" t="n">
        <v>50</v>
      </c>
      <c r="BC557" t="n">
        <v>29</v>
      </c>
      <c r="BD557" t="n">
        <v>35</v>
      </c>
      <c r="BE557" t="n">
        <v>31</v>
      </c>
      <c r="BF557" t="n">
        <v>93</v>
      </c>
      <c r="BG557" t="n">
        <v>0</v>
      </c>
      <c r="BH557" t="n">
        <v>15</v>
      </c>
      <c r="BI557" t="n">
        <v>1</v>
      </c>
      <c r="BJ557" t="n">
        <v>13</v>
      </c>
      <c r="BK557" t="n">
        <v>1</v>
      </c>
      <c r="BL557" t="n">
        <v>1</v>
      </c>
      <c r="BM557" t="n">
        <v>28</v>
      </c>
      <c r="BN557" t="n">
        <v>16</v>
      </c>
      <c r="BO557" t="n">
        <v>35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265</v>
      </c>
      <c r="Z558" t="n">
        <v>235</v>
      </c>
      <c r="AA558" t="n">
        <v>13</v>
      </c>
      <c r="AB558" t="n">
        <v>0</v>
      </c>
      <c r="AC558" t="n">
        <v>1</v>
      </c>
      <c r="AD558" t="n">
        <v>4</v>
      </c>
      <c r="AE558" t="n">
        <v>3</v>
      </c>
      <c r="AF558" t="n">
        <v>3</v>
      </c>
      <c r="AG558" t="n">
        <v>2</v>
      </c>
      <c r="AH558" t="n">
        <v>79</v>
      </c>
      <c r="AI558" t="n">
        <v>72</v>
      </c>
      <c r="AJ558" t="n">
        <v>19</v>
      </c>
      <c r="AK558" t="n">
        <v>0</v>
      </c>
      <c r="AL558" t="n">
        <v>5</v>
      </c>
      <c r="AM558" t="n">
        <v>61</v>
      </c>
      <c r="AN558" t="n">
        <v>0</v>
      </c>
      <c r="AO558" t="n">
        <v>0</v>
      </c>
      <c r="AP558" t="n">
        <v>12</v>
      </c>
      <c r="AQ558" t="n">
        <v>132</v>
      </c>
      <c r="AR558" t="n">
        <v>181</v>
      </c>
      <c r="AS558" t="n">
        <v>68</v>
      </c>
      <c r="AT558" t="n">
        <v>2</v>
      </c>
      <c r="AU558" t="n">
        <v>1</v>
      </c>
      <c r="AV558" t="n">
        <v>1</v>
      </c>
      <c r="AW558" t="n">
        <v>17</v>
      </c>
      <c r="AX558" t="n">
        <v>0</v>
      </c>
      <c r="AY558" t="n">
        <v>1</v>
      </c>
      <c r="AZ558" t="n">
        <v>2</v>
      </c>
      <c r="BA558" t="n">
        <v>27</v>
      </c>
      <c r="BB558" t="n">
        <v>43</v>
      </c>
      <c r="BC558" t="n">
        <v>51</v>
      </c>
      <c r="BD558" t="n">
        <v>71</v>
      </c>
      <c r="BE558" t="n">
        <v>17</v>
      </c>
      <c r="BF558" t="n">
        <v>15</v>
      </c>
      <c r="BG558" t="n">
        <v>0</v>
      </c>
      <c r="BH558" t="n">
        <v>27</v>
      </c>
      <c r="BI558" t="n">
        <v>2</v>
      </c>
      <c r="BJ558" t="n">
        <v>1</v>
      </c>
      <c r="BK558" t="n">
        <v>3</v>
      </c>
      <c r="BL558" t="n">
        <v>48</v>
      </c>
      <c r="BM558" t="n">
        <v>43</v>
      </c>
      <c r="BN558" t="n">
        <v>8</v>
      </c>
      <c r="BO558" t="n">
        <v>9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297</v>
      </c>
      <c r="Z559" t="n">
        <v>190</v>
      </c>
      <c r="AA559" t="n">
        <v>47</v>
      </c>
      <c r="AB559" t="n">
        <v>1</v>
      </c>
      <c r="AC559" t="n">
        <v>0</v>
      </c>
      <c r="AD559" t="n">
        <v>4</v>
      </c>
      <c r="AE559" t="n">
        <v>1</v>
      </c>
      <c r="AF559" t="n">
        <v>0</v>
      </c>
      <c r="AG559" t="n">
        <v>4</v>
      </c>
      <c r="AH559" t="n">
        <v>91</v>
      </c>
      <c r="AI559" t="n">
        <v>13</v>
      </c>
      <c r="AJ559" t="n">
        <v>9</v>
      </c>
      <c r="AK559" t="n">
        <v>25</v>
      </c>
      <c r="AL559" t="n">
        <v>8</v>
      </c>
      <c r="AM559" t="n">
        <v>76</v>
      </c>
      <c r="AN559" t="n">
        <v>0</v>
      </c>
      <c r="AO559" t="n">
        <v>0</v>
      </c>
      <c r="AP559" t="n">
        <v>7</v>
      </c>
      <c r="AQ559" t="n">
        <v>126</v>
      </c>
      <c r="AR559" t="n">
        <v>187</v>
      </c>
      <c r="AS559" t="n">
        <v>84</v>
      </c>
      <c r="AT559" t="n">
        <v>0</v>
      </c>
      <c r="AU559" t="n">
        <v>0</v>
      </c>
      <c r="AV559" t="n">
        <v>1</v>
      </c>
      <c r="AW559" t="n">
        <v>7</v>
      </c>
      <c r="AX559" t="n">
        <v>3</v>
      </c>
      <c r="AY559" t="n">
        <v>23</v>
      </c>
      <c r="AZ559" t="n">
        <v>4</v>
      </c>
      <c r="BA559" t="n">
        <v>40</v>
      </c>
      <c r="BB559" t="n">
        <v>86</v>
      </c>
      <c r="BC559" t="n">
        <v>63</v>
      </c>
      <c r="BD559" t="n">
        <v>97</v>
      </c>
      <c r="BE559" t="n">
        <v>6</v>
      </c>
      <c r="BF559" t="n">
        <v>4</v>
      </c>
      <c r="BG559" t="n">
        <v>2</v>
      </c>
      <c r="BH559" t="n">
        <v>6</v>
      </c>
      <c r="BI559" t="n">
        <v>43</v>
      </c>
      <c r="BJ559" t="n">
        <v>48</v>
      </c>
      <c r="BK559" t="n">
        <v>2</v>
      </c>
      <c r="BL559" t="n">
        <v>30</v>
      </c>
      <c r="BM559" t="n">
        <v>38</v>
      </c>
      <c r="BN559" t="n">
        <v>13</v>
      </c>
      <c r="BO559" t="n">
        <v>11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174</v>
      </c>
      <c r="Z560" t="n">
        <v>261</v>
      </c>
      <c r="AA560" t="n">
        <v>42</v>
      </c>
      <c r="AB560" t="n">
        <v>0</v>
      </c>
      <c r="AC560" t="n">
        <v>1</v>
      </c>
      <c r="AD560" t="n">
        <v>5</v>
      </c>
      <c r="AE560" t="n">
        <v>0</v>
      </c>
      <c r="AF560" t="n">
        <v>4</v>
      </c>
      <c r="AG560" t="n">
        <v>4</v>
      </c>
      <c r="AH560" t="n">
        <v>61</v>
      </c>
      <c r="AI560" t="n">
        <v>-4</v>
      </c>
      <c r="AJ560" t="n">
        <v>50</v>
      </c>
      <c r="AK560" t="n">
        <v>33</v>
      </c>
      <c r="AL560" t="n">
        <v>2</v>
      </c>
      <c r="AM560" t="n">
        <v>103</v>
      </c>
      <c r="AN560" t="n">
        <v>0</v>
      </c>
      <c r="AO560" t="n">
        <v>0</v>
      </c>
      <c r="AP560" t="n">
        <v>7</v>
      </c>
      <c r="AQ560" t="n">
        <v>45</v>
      </c>
      <c r="AR560" t="n">
        <v>84</v>
      </c>
      <c r="AS560" t="n">
        <v>46</v>
      </c>
      <c r="AT560" t="n">
        <v>0</v>
      </c>
      <c r="AU560" t="n">
        <v>2</v>
      </c>
      <c r="AV560" t="n">
        <v>1</v>
      </c>
      <c r="AW560" t="n">
        <v>38</v>
      </c>
      <c r="AX560" t="n">
        <v>1</v>
      </c>
      <c r="AY560" t="n">
        <v>31</v>
      </c>
      <c r="AZ560" t="n">
        <v>1</v>
      </c>
      <c r="BA560" t="n">
        <v>4</v>
      </c>
      <c r="BB560" t="n">
        <v>42</v>
      </c>
      <c r="BC560" t="n">
        <v>89</v>
      </c>
      <c r="BD560" t="n">
        <v>59</v>
      </c>
      <c r="BE560" t="n">
        <v>37</v>
      </c>
      <c r="BF560" t="n">
        <v>40</v>
      </c>
      <c r="BG560" t="n">
        <v>1</v>
      </c>
      <c r="BH560" t="n">
        <v>7</v>
      </c>
      <c r="BI560" t="n">
        <v>19</v>
      </c>
      <c r="BJ560" t="n">
        <v>17</v>
      </c>
      <c r="BK560" t="n">
        <v>0</v>
      </c>
      <c r="BL560" t="n">
        <v>1</v>
      </c>
      <c r="BM560" t="n">
        <v>22</v>
      </c>
      <c r="BN560" t="n">
        <v>12</v>
      </c>
      <c r="BO560" t="n">
        <v>2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150</v>
      </c>
      <c r="Z561" t="n">
        <v>168</v>
      </c>
      <c r="AA561" t="n">
        <v>53</v>
      </c>
      <c r="AB561" t="n">
        <v>1</v>
      </c>
      <c r="AC561" t="n">
        <v>0</v>
      </c>
      <c r="AD561" t="n">
        <v>7</v>
      </c>
      <c r="AE561" t="n">
        <v>4</v>
      </c>
      <c r="AF561" t="n">
        <v>5</v>
      </c>
      <c r="AG561" t="n">
        <v>3</v>
      </c>
      <c r="AH561" t="n">
        <v>78</v>
      </c>
      <c r="AI561" t="n">
        <v>19</v>
      </c>
      <c r="AJ561" t="n">
        <v>28</v>
      </c>
      <c r="AK561" t="n">
        <v>19</v>
      </c>
      <c r="AL561" t="n">
        <v>4</v>
      </c>
      <c r="AM561" t="n">
        <v>31</v>
      </c>
      <c r="AN561" t="n">
        <v>0</v>
      </c>
      <c r="AO561" t="n">
        <v>0</v>
      </c>
      <c r="AP561" t="n">
        <v>0</v>
      </c>
      <c r="AQ561" t="n">
        <v>1</v>
      </c>
      <c r="AR561" t="n">
        <v>64</v>
      </c>
      <c r="AS561" t="n">
        <v>57</v>
      </c>
      <c r="AT561" t="n">
        <v>2</v>
      </c>
      <c r="AU561" t="n">
        <v>1</v>
      </c>
      <c r="AV561" t="n">
        <v>27</v>
      </c>
      <c r="AW561" t="n">
        <v>12</v>
      </c>
      <c r="AX561" t="n">
        <v>4</v>
      </c>
      <c r="AY561" t="n">
        <v>11</v>
      </c>
      <c r="AZ561" t="n">
        <v>0</v>
      </c>
      <c r="BA561" t="n">
        <v>1</v>
      </c>
      <c r="BB561" t="n">
        <v>53</v>
      </c>
      <c r="BC561" t="n">
        <v>29</v>
      </c>
      <c r="BD561" t="n">
        <v>101</v>
      </c>
      <c r="BE561" t="n">
        <v>12</v>
      </c>
      <c r="BF561" t="n">
        <v>45</v>
      </c>
      <c r="BG561" t="n">
        <v>3</v>
      </c>
      <c r="BH561" t="n">
        <v>3</v>
      </c>
      <c r="BI561" t="n">
        <v>23</v>
      </c>
      <c r="BJ561" t="n">
        <v>28</v>
      </c>
      <c r="BK561" t="n">
        <v>9</v>
      </c>
      <c r="BL561" t="n">
        <v>72</v>
      </c>
      <c r="BM561" t="n">
        <v>54</v>
      </c>
      <c r="BN561" t="n">
        <v>5</v>
      </c>
      <c r="BO561" t="n">
        <v>30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217</v>
      </c>
      <c r="Z562" t="n">
        <v>120</v>
      </c>
      <c r="AA562" t="n">
        <v>43</v>
      </c>
      <c r="AB562" t="n">
        <v>0</v>
      </c>
      <c r="AC562" t="n">
        <v>2</v>
      </c>
      <c r="AD562" t="n">
        <v>4</v>
      </c>
      <c r="AE562" t="n">
        <v>1</v>
      </c>
      <c r="AF562" t="n">
        <v>0</v>
      </c>
      <c r="AG562" t="n">
        <v>9</v>
      </c>
      <c r="AH562" t="n">
        <v>31</v>
      </c>
      <c r="AI562" t="n">
        <v>59</v>
      </c>
      <c r="AJ562" t="n">
        <v>11</v>
      </c>
      <c r="AK562" t="n">
        <v>165</v>
      </c>
      <c r="AL562" t="n">
        <v>0</v>
      </c>
      <c r="AM562" t="n">
        <v>2</v>
      </c>
      <c r="AN562" t="n">
        <v>0</v>
      </c>
      <c r="AO562" t="n">
        <v>0</v>
      </c>
      <c r="AP562" t="n">
        <v>6</v>
      </c>
      <c r="AQ562" t="n">
        <v>18</v>
      </c>
      <c r="AR562" t="n">
        <v>100</v>
      </c>
      <c r="AS562" t="n">
        <v>83</v>
      </c>
      <c r="AT562" t="n">
        <v>1</v>
      </c>
      <c r="AU562" t="n">
        <v>0</v>
      </c>
      <c r="AV562" t="n">
        <v>14</v>
      </c>
      <c r="AW562" t="n">
        <v>1</v>
      </c>
      <c r="AX562" t="n">
        <v>9</v>
      </c>
      <c r="AY562" t="n">
        <v>77</v>
      </c>
      <c r="AZ562" t="n">
        <v>2</v>
      </c>
      <c r="BA562" t="n">
        <v>18</v>
      </c>
      <c r="BB562" t="n">
        <v>59</v>
      </c>
      <c r="BC562" t="n">
        <v>27</v>
      </c>
      <c r="BD562" t="n">
        <v>28</v>
      </c>
      <c r="BE562" t="n">
        <v>7</v>
      </c>
      <c r="BF562" t="n">
        <v>8</v>
      </c>
      <c r="BG562" t="n">
        <v>3</v>
      </c>
      <c r="BH562" t="n">
        <v>6</v>
      </c>
      <c r="BI562" t="n">
        <v>25</v>
      </c>
      <c r="BJ562" t="n">
        <v>23</v>
      </c>
      <c r="BK562" t="n">
        <v>0</v>
      </c>
      <c r="BL562" t="n">
        <v>1</v>
      </c>
      <c r="BM562" t="n">
        <v>13</v>
      </c>
      <c r="BN562" t="n">
        <v>7</v>
      </c>
      <c r="BO562" t="n">
        <v>2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292</v>
      </c>
      <c r="Z563" t="n">
        <v>179</v>
      </c>
      <c r="AA563" t="n">
        <v>201</v>
      </c>
      <c r="AB563" t="n">
        <v>0</v>
      </c>
      <c r="AC563" t="n">
        <v>1</v>
      </c>
      <c r="AD563" t="n">
        <v>5</v>
      </c>
      <c r="AE563" t="n">
        <v>8</v>
      </c>
      <c r="AF563" t="n">
        <v>8</v>
      </c>
      <c r="AG563" t="n">
        <v>4</v>
      </c>
      <c r="AH563" t="n">
        <v>109</v>
      </c>
      <c r="AI563" t="n">
        <v>91</v>
      </c>
      <c r="AJ563" t="n">
        <v>81</v>
      </c>
      <c r="AK563" t="n">
        <v>36</v>
      </c>
      <c r="AL563" t="n">
        <v>1</v>
      </c>
      <c r="AM563" t="n">
        <v>32</v>
      </c>
      <c r="AN563" t="n">
        <v>0</v>
      </c>
      <c r="AO563" t="n">
        <v>0</v>
      </c>
      <c r="AP563" t="n">
        <v>6</v>
      </c>
      <c r="AQ563" t="n">
        <v>73</v>
      </c>
      <c r="AR563" t="n">
        <v>212</v>
      </c>
      <c r="AS563" t="n">
        <v>150</v>
      </c>
      <c r="AT563" t="n">
        <v>1</v>
      </c>
      <c r="AU563" t="n">
        <v>1</v>
      </c>
      <c r="AV563" t="n">
        <v>1</v>
      </c>
      <c r="AW563" t="n">
        <v>9</v>
      </c>
      <c r="AX563" t="n">
        <v>2</v>
      </c>
      <c r="AY563" t="n">
        <v>117</v>
      </c>
      <c r="AZ563" t="n">
        <v>0</v>
      </c>
      <c r="BA563" t="n">
        <v>3</v>
      </c>
      <c r="BB563" t="n">
        <v>192</v>
      </c>
      <c r="BC563" t="n">
        <v>34</v>
      </c>
      <c r="BD563" t="n">
        <v>103</v>
      </c>
      <c r="BE563" t="n">
        <v>19</v>
      </c>
      <c r="BF563" t="n">
        <v>64</v>
      </c>
      <c r="BG563" t="n">
        <v>1</v>
      </c>
      <c r="BH563" t="n">
        <v>5</v>
      </c>
      <c r="BI563" t="n">
        <v>14</v>
      </c>
      <c r="BJ563" t="n">
        <v>17</v>
      </c>
      <c r="BK563" t="n">
        <v>0</v>
      </c>
      <c r="BL563" t="n">
        <v>1</v>
      </c>
      <c r="BM563" t="n">
        <v>-5</v>
      </c>
      <c r="BN563" t="n">
        <v>-3</v>
      </c>
      <c r="BO563" t="n">
        <v>23</v>
      </c>
    </row>
    <row r="564">
      <c r="A564" t="n">
        <v>2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2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235</v>
      </c>
      <c r="Z564" t="n">
        <v>267</v>
      </c>
      <c r="AA564" t="n">
        <v>16</v>
      </c>
      <c r="AB564" t="n">
        <v>2</v>
      </c>
      <c r="AC564" t="n">
        <v>3</v>
      </c>
      <c r="AD564" t="n">
        <v>3</v>
      </c>
      <c r="AE564" t="n">
        <v>3</v>
      </c>
      <c r="AF564" t="n">
        <v>4</v>
      </c>
      <c r="AG564" t="n">
        <v>0</v>
      </c>
      <c r="AH564" t="n">
        <v>73</v>
      </c>
      <c r="AI564" t="n">
        <v>16</v>
      </c>
      <c r="AJ564" t="n">
        <v>48</v>
      </c>
      <c r="AK564" t="n">
        <v>1</v>
      </c>
      <c r="AL564" t="n">
        <v>7</v>
      </c>
      <c r="AM564" t="n">
        <v>124</v>
      </c>
      <c r="AN564" t="n">
        <v>0</v>
      </c>
      <c r="AO564" t="n">
        <v>0</v>
      </c>
      <c r="AP564" t="n">
        <v>0</v>
      </c>
      <c r="AQ564" t="n">
        <v>1</v>
      </c>
      <c r="AR564" t="n">
        <v>131</v>
      </c>
      <c r="AS564" t="n">
        <v>121</v>
      </c>
      <c r="AT564" t="n">
        <v>4</v>
      </c>
      <c r="AU564" t="n">
        <v>2</v>
      </c>
      <c r="AV564" t="n">
        <v>32</v>
      </c>
      <c r="AW564" t="n">
        <v>17</v>
      </c>
      <c r="AX564" t="n">
        <v>12</v>
      </c>
      <c r="AY564" t="n">
        <v>25</v>
      </c>
      <c r="AZ564" t="n">
        <v>2</v>
      </c>
      <c r="BA564" t="n">
        <v>1</v>
      </c>
      <c r="BB564" t="n">
        <v>16</v>
      </c>
      <c r="BC564" t="n">
        <v>125</v>
      </c>
      <c r="BD564" t="n">
        <v>86</v>
      </c>
      <c r="BE564" t="n">
        <v>17</v>
      </c>
      <c r="BF564" t="n">
        <v>38</v>
      </c>
      <c r="BG564" t="n">
        <v>5</v>
      </c>
      <c r="BH564" t="n">
        <v>16</v>
      </c>
      <c r="BI564" t="n">
        <v>37</v>
      </c>
      <c r="BJ564" t="n">
        <v>34</v>
      </c>
      <c r="BK564" t="n">
        <v>1</v>
      </c>
      <c r="BL564" t="n">
        <v>13</v>
      </c>
      <c r="BM564" t="n">
        <v>41</v>
      </c>
      <c r="BN564" t="n">
        <v>22</v>
      </c>
      <c r="BO564" t="n">
        <v>7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2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117</v>
      </c>
      <c r="Z565" t="n">
        <v>153</v>
      </c>
      <c r="AA565" t="n">
        <v>44</v>
      </c>
      <c r="AB565" t="n">
        <v>1</v>
      </c>
      <c r="AC565" t="n">
        <v>2</v>
      </c>
      <c r="AD565" t="n">
        <v>3</v>
      </c>
      <c r="AE565" t="n">
        <v>4</v>
      </c>
      <c r="AF565" t="n">
        <v>1</v>
      </c>
      <c r="AG565" t="n">
        <v>1</v>
      </c>
      <c r="AH565" t="n">
        <v>37</v>
      </c>
      <c r="AI565" t="n">
        <v>32</v>
      </c>
      <c r="AJ565" t="n">
        <v>2</v>
      </c>
      <c r="AK565" t="n">
        <v>13</v>
      </c>
      <c r="AL565" t="n">
        <v>2</v>
      </c>
      <c r="AM565" t="n">
        <v>51</v>
      </c>
      <c r="AN565" t="n">
        <v>0</v>
      </c>
      <c r="AO565" t="n">
        <v>0</v>
      </c>
      <c r="AP565" t="n">
        <v>6</v>
      </c>
      <c r="AQ565" t="n">
        <v>29</v>
      </c>
      <c r="AR565" t="n">
        <v>44</v>
      </c>
      <c r="AS565" t="n">
        <v>20</v>
      </c>
      <c r="AT565" t="n">
        <v>0</v>
      </c>
      <c r="AU565" t="n">
        <v>1</v>
      </c>
      <c r="AV565" t="n">
        <v>14</v>
      </c>
      <c r="AW565" t="n">
        <v>17</v>
      </c>
      <c r="AX565" t="n">
        <v>0</v>
      </c>
      <c r="AY565" t="n">
        <v>54</v>
      </c>
      <c r="AZ565" t="n">
        <v>2</v>
      </c>
      <c r="BA565" t="n">
        <v>42</v>
      </c>
      <c r="BB565" t="n">
        <v>85</v>
      </c>
      <c r="BC565" t="n">
        <v>42</v>
      </c>
      <c r="BD565" t="n">
        <v>37</v>
      </c>
      <c r="BE565" t="n">
        <v>17</v>
      </c>
      <c r="BF565" t="n">
        <v>10</v>
      </c>
      <c r="BG565" t="n">
        <v>2</v>
      </c>
      <c r="BH565" t="n">
        <v>3</v>
      </c>
      <c r="BI565" t="n">
        <v>17</v>
      </c>
      <c r="BJ565" t="n">
        <v>14</v>
      </c>
      <c r="BK565" t="n">
        <v>3</v>
      </c>
      <c r="BL565" t="n">
        <v>22</v>
      </c>
      <c r="BM565" t="n">
        <v>27</v>
      </c>
      <c r="BN565" t="n">
        <v>8</v>
      </c>
      <c r="BO565" t="n">
        <v>23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266</v>
      </c>
      <c r="Z566" t="n">
        <v>168</v>
      </c>
      <c r="AA566" t="n">
        <v>44</v>
      </c>
      <c r="AB566" t="n">
        <v>0</v>
      </c>
      <c r="AC566" t="n">
        <v>1</v>
      </c>
      <c r="AD566" t="n">
        <v>7</v>
      </c>
      <c r="AE566" t="n">
        <v>4</v>
      </c>
      <c r="AF566" t="n">
        <v>2</v>
      </c>
      <c r="AG566" t="n">
        <v>6</v>
      </c>
      <c r="AH566" t="n">
        <v>84</v>
      </c>
      <c r="AI566" t="n">
        <v>42</v>
      </c>
      <c r="AJ566" t="n">
        <v>60</v>
      </c>
      <c r="AK566" t="n">
        <v>101</v>
      </c>
      <c r="AL566" t="n">
        <v>3</v>
      </c>
      <c r="AM566" t="n">
        <v>57</v>
      </c>
      <c r="AN566" t="n">
        <v>0</v>
      </c>
      <c r="AO566" t="n">
        <v>0</v>
      </c>
      <c r="AP566" t="n">
        <v>3</v>
      </c>
      <c r="AQ566" t="n">
        <v>41</v>
      </c>
      <c r="AR566" t="n">
        <v>44</v>
      </c>
      <c r="AS566" t="n">
        <v>8</v>
      </c>
      <c r="AT566" t="n">
        <v>1</v>
      </c>
      <c r="AU566" t="n">
        <v>1</v>
      </c>
      <c r="AV566" t="n">
        <v>1</v>
      </c>
      <c r="AW566" t="n">
        <v>3</v>
      </c>
      <c r="AX566" t="n">
        <v>0</v>
      </c>
      <c r="AY566" t="n">
        <v>27</v>
      </c>
      <c r="AZ566" t="n">
        <v>2</v>
      </c>
      <c r="BA566" t="n">
        <v>22</v>
      </c>
      <c r="BB566" t="n">
        <v>64</v>
      </c>
      <c r="BC566" t="n">
        <v>46</v>
      </c>
      <c r="BD566" t="n">
        <v>76</v>
      </c>
      <c r="BE566" t="n">
        <v>1</v>
      </c>
      <c r="BF566" t="n">
        <v>48</v>
      </c>
      <c r="BG566" t="n">
        <v>0</v>
      </c>
      <c r="BH566" t="n">
        <v>13</v>
      </c>
      <c r="BI566" t="n">
        <v>1</v>
      </c>
      <c r="BJ566" t="n">
        <v>1</v>
      </c>
      <c r="BK566" t="n">
        <v>0</v>
      </c>
      <c r="BL566" t="n">
        <v>18</v>
      </c>
      <c r="BM566" t="n">
        <v>26</v>
      </c>
      <c r="BN566" t="n">
        <v>10</v>
      </c>
      <c r="BO566" t="n">
        <v>166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287</v>
      </c>
      <c r="Z567" t="n">
        <v>151</v>
      </c>
      <c r="AA567" t="n">
        <v>53</v>
      </c>
      <c r="AB567" t="n">
        <v>1</v>
      </c>
      <c r="AC567" t="n">
        <v>0</v>
      </c>
      <c r="AD567" t="n">
        <v>6</v>
      </c>
      <c r="AE567" t="n">
        <v>6</v>
      </c>
      <c r="AF567" t="n">
        <v>4</v>
      </c>
      <c r="AG567" t="n">
        <v>5</v>
      </c>
      <c r="AH567" t="n">
        <v>109</v>
      </c>
      <c r="AI567" t="n">
        <v>42</v>
      </c>
      <c r="AJ567" t="n">
        <v>77</v>
      </c>
      <c r="AK567" t="n">
        <v>21</v>
      </c>
      <c r="AL567" t="n">
        <v>3</v>
      </c>
      <c r="AM567" t="n">
        <v>20</v>
      </c>
      <c r="AN567" t="n">
        <v>1</v>
      </c>
      <c r="AO567" t="n">
        <v>0</v>
      </c>
      <c r="AP567" t="n">
        <v>2</v>
      </c>
      <c r="AQ567" t="n">
        <v>1</v>
      </c>
      <c r="AR567" t="n">
        <v>39</v>
      </c>
      <c r="AS567" t="n">
        <v>35</v>
      </c>
      <c r="AT567" t="n">
        <v>3</v>
      </c>
      <c r="AU567" t="n">
        <v>0</v>
      </c>
      <c r="AV567" t="n">
        <v>9</v>
      </c>
      <c r="AW567" t="n">
        <v>18</v>
      </c>
      <c r="AX567" t="n">
        <v>6</v>
      </c>
      <c r="AY567" t="n">
        <v>7</v>
      </c>
      <c r="AZ567" t="n">
        <v>6</v>
      </c>
      <c r="BA567" t="n">
        <v>49</v>
      </c>
      <c r="BB567" t="n">
        <v>107</v>
      </c>
      <c r="BC567" t="n">
        <v>19</v>
      </c>
      <c r="BD567" t="n">
        <v>107</v>
      </c>
      <c r="BE567" t="n">
        <v>23</v>
      </c>
      <c r="BF567" t="n">
        <v>62</v>
      </c>
      <c r="BG567" t="n">
        <v>4</v>
      </c>
      <c r="BH567" t="n">
        <v>16</v>
      </c>
      <c r="BI567" t="n">
        <v>13</v>
      </c>
      <c r="BJ567" t="n">
        <v>20</v>
      </c>
      <c r="BK567" t="n">
        <v>2</v>
      </c>
      <c r="BL567" t="n">
        <v>1</v>
      </c>
      <c r="BM567" t="n">
        <v>13</v>
      </c>
      <c r="BN567" t="n">
        <v>7</v>
      </c>
      <c r="BO567" t="n">
        <v>2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2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4</v>
      </c>
      <c r="U568" t="n">
        <v>0</v>
      </c>
      <c r="V568" t="n">
        <v>0</v>
      </c>
      <c r="W568" t="n">
        <v>0</v>
      </c>
      <c r="X568" t="n">
        <v>0</v>
      </c>
      <c r="Y568" t="n">
        <v>297</v>
      </c>
      <c r="Z568" t="n">
        <v>164</v>
      </c>
      <c r="AA568" t="n">
        <v>114</v>
      </c>
      <c r="AB568" t="n">
        <v>1</v>
      </c>
      <c r="AC568" t="n">
        <v>6</v>
      </c>
      <c r="AD568" t="n">
        <v>4</v>
      </c>
      <c r="AE568" t="n">
        <v>2</v>
      </c>
      <c r="AF568" t="n">
        <v>4</v>
      </c>
      <c r="AG568" t="n">
        <v>6</v>
      </c>
      <c r="AH568" t="n">
        <v>49</v>
      </c>
      <c r="AI568" t="n">
        <v>19</v>
      </c>
      <c r="AJ568" t="n">
        <v>15</v>
      </c>
      <c r="AK568" t="n">
        <v>81</v>
      </c>
      <c r="AL568" t="n">
        <v>3</v>
      </c>
      <c r="AM568" t="n">
        <v>24</v>
      </c>
      <c r="AN568" t="n">
        <v>0</v>
      </c>
      <c r="AO568" t="n">
        <v>0</v>
      </c>
      <c r="AP568" t="n">
        <v>4</v>
      </c>
      <c r="AQ568" t="n">
        <v>12</v>
      </c>
      <c r="AR568" t="n">
        <v>55</v>
      </c>
      <c r="AS568" t="n">
        <v>46</v>
      </c>
      <c r="AT568" t="n">
        <v>3</v>
      </c>
      <c r="AU568" t="n">
        <v>2</v>
      </c>
      <c r="AV568" t="n">
        <v>33</v>
      </c>
      <c r="AW568" t="n">
        <v>16</v>
      </c>
      <c r="AX568" t="n">
        <v>4</v>
      </c>
      <c r="AY568" t="n">
        <v>67</v>
      </c>
      <c r="AZ568" t="n">
        <v>2</v>
      </c>
      <c r="BA568" t="n">
        <v>24</v>
      </c>
      <c r="BB568" t="n">
        <v>131</v>
      </c>
      <c r="BC568" t="n">
        <v>20</v>
      </c>
      <c r="BD568" t="n">
        <v>84</v>
      </c>
      <c r="BE568" t="n">
        <v>16</v>
      </c>
      <c r="BF568" t="n">
        <v>11</v>
      </c>
      <c r="BG568" t="n">
        <v>4</v>
      </c>
      <c r="BH568" t="n">
        <v>22</v>
      </c>
      <c r="BI568" t="n">
        <v>34</v>
      </c>
      <c r="BJ568" t="n">
        <v>31</v>
      </c>
      <c r="BK568" t="n">
        <v>3</v>
      </c>
      <c r="BL568" t="n">
        <v>11</v>
      </c>
      <c r="BM568" t="n">
        <v>8</v>
      </c>
      <c r="BN568" t="n">
        <v>0</v>
      </c>
      <c r="BO568" t="n">
        <v>23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2</v>
      </c>
      <c r="G569" t="n">
        <v>0</v>
      </c>
      <c r="H569" t="n">
        <v>0</v>
      </c>
      <c r="I569" t="n">
        <v>1</v>
      </c>
      <c r="J569" t="n">
        <v>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n">
        <v>305</v>
      </c>
      <c r="Z569" t="n">
        <v>247</v>
      </c>
      <c r="AA569" t="n">
        <v>78</v>
      </c>
      <c r="AB569" t="n">
        <v>5</v>
      </c>
      <c r="AC569" t="n">
        <v>1</v>
      </c>
      <c r="AD569" t="n">
        <v>4</v>
      </c>
      <c r="AE569" t="n">
        <v>14</v>
      </c>
      <c r="AF569" t="n">
        <v>3</v>
      </c>
      <c r="AG569" t="n">
        <v>2</v>
      </c>
      <c r="AH569" t="n">
        <v>64</v>
      </c>
      <c r="AI569" t="n">
        <v>173</v>
      </c>
      <c r="AJ569" t="n">
        <v>82</v>
      </c>
      <c r="AK569" t="n">
        <v>15</v>
      </c>
      <c r="AL569" t="n">
        <v>1</v>
      </c>
      <c r="AM569" t="n">
        <v>10</v>
      </c>
      <c r="AN569" t="n">
        <v>0</v>
      </c>
      <c r="AO569" t="n">
        <v>0</v>
      </c>
      <c r="AP569" t="n">
        <v>2</v>
      </c>
      <c r="AQ569" t="n">
        <v>3</v>
      </c>
      <c r="AR569" t="n">
        <v>80</v>
      </c>
      <c r="AS569" t="n">
        <v>73</v>
      </c>
      <c r="AT569" t="n">
        <v>0</v>
      </c>
      <c r="AU569" t="n">
        <v>1</v>
      </c>
      <c r="AV569" t="n">
        <v>1</v>
      </c>
      <c r="AW569" t="n">
        <v>28</v>
      </c>
      <c r="AX569" t="n">
        <v>10</v>
      </c>
      <c r="AY569" t="n">
        <v>26</v>
      </c>
      <c r="AZ569" t="n">
        <v>0</v>
      </c>
      <c r="BA569" t="n">
        <v>10</v>
      </c>
      <c r="BB569" t="n">
        <v>83</v>
      </c>
      <c r="BC569" t="n">
        <v>32</v>
      </c>
      <c r="BD569" t="n">
        <v>57</v>
      </c>
      <c r="BE569" t="n">
        <v>30</v>
      </c>
      <c r="BF569" t="n">
        <v>73</v>
      </c>
      <c r="BG569" t="n">
        <v>6</v>
      </c>
      <c r="BH569" t="n">
        <v>14</v>
      </c>
      <c r="BI569" t="n">
        <v>72</v>
      </c>
      <c r="BJ569" t="n">
        <v>73</v>
      </c>
      <c r="BK569" t="n">
        <v>3</v>
      </c>
      <c r="BL569" t="n">
        <v>27</v>
      </c>
      <c r="BM569" t="n">
        <v>28</v>
      </c>
      <c r="BN569" t="n">
        <v>8</v>
      </c>
      <c r="BO569" t="n">
        <v>2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199</v>
      </c>
      <c r="Z570" t="n">
        <v>252</v>
      </c>
      <c r="AA570" t="n">
        <v>63</v>
      </c>
      <c r="AB570" t="n">
        <v>1</v>
      </c>
      <c r="AC570" t="n">
        <v>2</v>
      </c>
      <c r="AD570" t="n">
        <v>3</v>
      </c>
      <c r="AE570" t="n">
        <v>12</v>
      </c>
      <c r="AF570" t="n">
        <v>2</v>
      </c>
      <c r="AG570" t="n">
        <v>1</v>
      </c>
      <c r="AH570" t="n">
        <v>22</v>
      </c>
      <c r="AI570" t="n">
        <v>98</v>
      </c>
      <c r="AJ570" t="n">
        <v>38</v>
      </c>
      <c r="AK570" t="n">
        <v>16</v>
      </c>
      <c r="AL570" t="n">
        <v>1</v>
      </c>
      <c r="AM570" t="n">
        <v>28</v>
      </c>
      <c r="AN570" t="n">
        <v>0</v>
      </c>
      <c r="AO570" t="n">
        <v>0</v>
      </c>
      <c r="AP570" t="n">
        <v>3</v>
      </c>
      <c r="AQ570" t="n">
        <v>18</v>
      </c>
      <c r="AR570" t="n">
        <v>77</v>
      </c>
      <c r="AS570" t="n">
        <v>60</v>
      </c>
      <c r="AT570" t="n">
        <v>4</v>
      </c>
      <c r="AU570" t="n">
        <v>2</v>
      </c>
      <c r="AV570" t="n">
        <v>61</v>
      </c>
      <c r="AW570" t="n">
        <v>7</v>
      </c>
      <c r="AX570" t="n">
        <v>2</v>
      </c>
      <c r="AY570" t="n">
        <v>50</v>
      </c>
      <c r="AZ570" t="n">
        <v>0</v>
      </c>
      <c r="BA570" t="n">
        <v>1</v>
      </c>
      <c r="BB570" t="n">
        <v>62</v>
      </c>
      <c r="BC570" t="n">
        <v>23</v>
      </c>
      <c r="BD570" t="n">
        <v>19</v>
      </c>
      <c r="BE570" t="n">
        <v>7</v>
      </c>
      <c r="BF570" t="n">
        <v>31</v>
      </c>
      <c r="BG570" t="n">
        <v>0</v>
      </c>
      <c r="BH570" t="n">
        <v>10</v>
      </c>
      <c r="BI570" t="n">
        <v>1</v>
      </c>
      <c r="BJ570" t="n">
        <v>17</v>
      </c>
      <c r="BK570" t="n">
        <v>3</v>
      </c>
      <c r="BL570" t="n">
        <v>64</v>
      </c>
      <c r="BM570" t="n">
        <v>45</v>
      </c>
      <c r="BN570" t="n">
        <v>3</v>
      </c>
      <c r="BO570" t="n">
        <v>2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n">
        <v>176</v>
      </c>
      <c r="Z571" t="n">
        <v>53</v>
      </c>
      <c r="AA571" t="n">
        <v>58</v>
      </c>
      <c r="AB571" t="n">
        <v>4</v>
      </c>
      <c r="AC571" t="n">
        <v>2</v>
      </c>
      <c r="AD571" t="n">
        <v>2</v>
      </c>
      <c r="AE571" t="n">
        <v>1</v>
      </c>
      <c r="AF571" t="n">
        <v>2</v>
      </c>
      <c r="AG571" t="n">
        <v>3</v>
      </c>
      <c r="AH571" t="n">
        <v>33</v>
      </c>
      <c r="AI571" t="n">
        <v>2</v>
      </c>
      <c r="AJ571" t="n">
        <v>7</v>
      </c>
      <c r="AK571" t="n">
        <v>13</v>
      </c>
      <c r="AL571" t="n">
        <v>3</v>
      </c>
      <c r="AM571" t="n">
        <v>46</v>
      </c>
      <c r="AN571" t="n">
        <v>0</v>
      </c>
      <c r="AO571" t="n">
        <v>0</v>
      </c>
      <c r="AP571" t="n">
        <v>6</v>
      </c>
      <c r="AQ571" t="n">
        <v>70</v>
      </c>
      <c r="AR571" t="n">
        <v>115</v>
      </c>
      <c r="AS571" t="n">
        <v>55</v>
      </c>
      <c r="AT571" t="n">
        <v>1</v>
      </c>
      <c r="AU571" t="n">
        <v>0</v>
      </c>
      <c r="AV571" t="n">
        <v>9</v>
      </c>
      <c r="AW571" t="n">
        <v>1</v>
      </c>
      <c r="AX571" t="n">
        <v>6</v>
      </c>
      <c r="AY571" t="n">
        <v>8</v>
      </c>
      <c r="AZ571" t="n">
        <v>0</v>
      </c>
      <c r="BA571" t="n">
        <v>9</v>
      </c>
      <c r="BB571" t="n">
        <v>64</v>
      </c>
      <c r="BC571" t="n">
        <v>37</v>
      </c>
      <c r="BD571" t="n">
        <v>30</v>
      </c>
      <c r="BE571" t="n">
        <v>1</v>
      </c>
      <c r="BF571" t="n">
        <v>5</v>
      </c>
      <c r="BG571" t="n">
        <v>1</v>
      </c>
      <c r="BH571" t="n">
        <v>7</v>
      </c>
      <c r="BI571" t="n">
        <v>16</v>
      </c>
      <c r="BJ571" t="n">
        <v>21</v>
      </c>
      <c r="BK571" t="n">
        <v>1</v>
      </c>
      <c r="BL571" t="n">
        <v>1</v>
      </c>
      <c r="BM571" t="n">
        <v>21</v>
      </c>
      <c r="BN571" t="n">
        <v>12</v>
      </c>
      <c r="BO571" t="n">
        <v>2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206</v>
      </c>
      <c r="Z572" t="n">
        <v>183</v>
      </c>
      <c r="AA572" t="n">
        <v>134</v>
      </c>
      <c r="AB572" t="n">
        <v>0</v>
      </c>
      <c r="AC572" t="n">
        <v>0</v>
      </c>
      <c r="AD572" t="n">
        <v>8</v>
      </c>
      <c r="AE572" t="n">
        <v>6</v>
      </c>
      <c r="AF572" t="n">
        <v>3</v>
      </c>
      <c r="AG572" t="n">
        <v>3</v>
      </c>
      <c r="AH572" t="n">
        <v>107</v>
      </c>
      <c r="AI572" t="n">
        <v>39</v>
      </c>
      <c r="AJ572" t="n">
        <v>19</v>
      </c>
      <c r="AK572" t="n">
        <v>41</v>
      </c>
      <c r="AL572" t="n">
        <v>1</v>
      </c>
      <c r="AM572" t="n">
        <v>66</v>
      </c>
      <c r="AN572" t="n">
        <v>0</v>
      </c>
      <c r="AO572" t="n">
        <v>0</v>
      </c>
      <c r="AP572" t="n">
        <v>0</v>
      </c>
      <c r="AQ572" t="n">
        <v>1</v>
      </c>
      <c r="AR572" t="n">
        <v>63</v>
      </c>
      <c r="AS572" t="n">
        <v>56</v>
      </c>
      <c r="AT572" t="n">
        <v>4</v>
      </c>
      <c r="AU572" t="n">
        <v>1</v>
      </c>
      <c r="AV572" t="n">
        <v>24</v>
      </c>
      <c r="AW572" t="n">
        <v>16</v>
      </c>
      <c r="AX572" t="n">
        <v>3</v>
      </c>
      <c r="AY572" t="n">
        <v>1</v>
      </c>
      <c r="AZ572" t="n">
        <v>2</v>
      </c>
      <c r="BA572" t="n">
        <v>16</v>
      </c>
      <c r="BB572" t="n">
        <v>141</v>
      </c>
      <c r="BC572" t="n">
        <v>55</v>
      </c>
      <c r="BD572" t="n">
        <v>96</v>
      </c>
      <c r="BE572" t="n">
        <v>16</v>
      </c>
      <c r="BF572" t="n">
        <v>41</v>
      </c>
      <c r="BG572" t="n">
        <v>5</v>
      </c>
      <c r="BH572" t="n">
        <v>7</v>
      </c>
      <c r="BI572" t="n">
        <v>15</v>
      </c>
      <c r="BJ572" t="n">
        <v>20</v>
      </c>
      <c r="BK572" t="n">
        <v>2</v>
      </c>
      <c r="BL572" t="n">
        <v>8</v>
      </c>
      <c r="BM572" t="n">
        <v>11</v>
      </c>
      <c r="BN572" t="n">
        <v>4</v>
      </c>
      <c r="BO572" t="n">
        <v>18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3</v>
      </c>
      <c r="S573" t="n">
        <v>0</v>
      </c>
      <c r="T573" t="n">
        <v>3</v>
      </c>
      <c r="U573" t="n">
        <v>0</v>
      </c>
      <c r="V573" t="n">
        <v>0</v>
      </c>
      <c r="W573" t="n">
        <v>3</v>
      </c>
      <c r="X573" t="n">
        <v>0</v>
      </c>
      <c r="Y573" t="n">
        <v>173</v>
      </c>
      <c r="Z573" t="n">
        <v>288</v>
      </c>
      <c r="AA573" t="n">
        <v>75</v>
      </c>
      <c r="AB573" t="n">
        <v>5</v>
      </c>
      <c r="AC573" t="n">
        <v>1</v>
      </c>
      <c r="AD573" t="n">
        <v>2</v>
      </c>
      <c r="AE573" t="n">
        <v>0</v>
      </c>
      <c r="AF573" t="n">
        <v>3</v>
      </c>
      <c r="AG573" t="n">
        <v>4</v>
      </c>
      <c r="AH573" t="n">
        <v>24</v>
      </c>
      <c r="AI573" t="n">
        <v>25</v>
      </c>
      <c r="AJ573" t="n">
        <v>68</v>
      </c>
      <c r="AK573" t="n">
        <v>22</v>
      </c>
      <c r="AL573" t="n">
        <v>6</v>
      </c>
      <c r="AM573" t="n">
        <v>88</v>
      </c>
      <c r="AN573" t="n">
        <v>0</v>
      </c>
      <c r="AO573" t="n">
        <v>0</v>
      </c>
      <c r="AP573" t="n">
        <v>4</v>
      </c>
      <c r="AQ573" t="n">
        <v>38</v>
      </c>
      <c r="AR573" t="n">
        <v>102</v>
      </c>
      <c r="AS573" t="n">
        <v>70</v>
      </c>
      <c r="AT573" t="n">
        <v>0</v>
      </c>
      <c r="AU573" t="n">
        <v>1</v>
      </c>
      <c r="AV573" t="n">
        <v>1</v>
      </c>
      <c r="AW573" t="n">
        <v>8</v>
      </c>
      <c r="AX573" t="n">
        <v>2</v>
      </c>
      <c r="AY573" t="n">
        <v>1</v>
      </c>
      <c r="AZ573" t="n">
        <v>3</v>
      </c>
      <c r="BA573" t="n">
        <v>68</v>
      </c>
      <c r="BB573" t="n">
        <v>147</v>
      </c>
      <c r="BC573" t="n">
        <v>79</v>
      </c>
      <c r="BD573" t="n">
        <v>29</v>
      </c>
      <c r="BE573" t="n">
        <v>7</v>
      </c>
      <c r="BF573" t="n">
        <v>62</v>
      </c>
      <c r="BG573" t="n">
        <v>1</v>
      </c>
      <c r="BH573" t="n">
        <v>0</v>
      </c>
      <c r="BI573" t="n">
        <v>29</v>
      </c>
      <c r="BJ573" t="n">
        <v>32</v>
      </c>
      <c r="BK573" t="n">
        <v>6</v>
      </c>
      <c r="BL573" t="n">
        <v>66</v>
      </c>
      <c r="BM573" t="n">
        <v>45</v>
      </c>
      <c r="BN573" t="n">
        <v>0</v>
      </c>
      <c r="BO573" t="n">
        <v>58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2</v>
      </c>
      <c r="U574" t="n">
        <v>0</v>
      </c>
      <c r="V574" t="n">
        <v>0</v>
      </c>
      <c r="W574" t="n">
        <v>0</v>
      </c>
      <c r="X574" t="n">
        <v>0</v>
      </c>
      <c r="Y574" t="n">
        <v>476</v>
      </c>
      <c r="Z574" t="n">
        <v>191</v>
      </c>
      <c r="AA574" t="n">
        <v>47</v>
      </c>
      <c r="AB574" t="n">
        <v>0</v>
      </c>
      <c r="AC574" t="n">
        <v>3</v>
      </c>
      <c r="AD574" t="n">
        <v>9</v>
      </c>
      <c r="AE574" t="n">
        <v>5</v>
      </c>
      <c r="AF574" t="n">
        <v>6</v>
      </c>
      <c r="AG574" t="n">
        <v>5</v>
      </c>
      <c r="AH574" t="n">
        <v>150</v>
      </c>
      <c r="AI574" t="n">
        <v>12</v>
      </c>
      <c r="AJ574" t="n">
        <v>153</v>
      </c>
      <c r="AK574" t="n">
        <v>72</v>
      </c>
      <c r="AL574" t="n">
        <v>3</v>
      </c>
      <c r="AM574" t="n">
        <v>35</v>
      </c>
      <c r="AN574" t="n">
        <v>0</v>
      </c>
      <c r="AO574" t="n">
        <v>0</v>
      </c>
      <c r="AP574" t="n">
        <v>2</v>
      </c>
      <c r="AQ574" t="n">
        <v>1</v>
      </c>
      <c r="AR574" t="n">
        <v>136</v>
      </c>
      <c r="AS574" t="n">
        <v>125</v>
      </c>
      <c r="AT574" t="n">
        <v>3</v>
      </c>
      <c r="AU574" t="n">
        <v>1</v>
      </c>
      <c r="AV574" t="n">
        <v>12</v>
      </c>
      <c r="AW574" t="n">
        <v>32</v>
      </c>
      <c r="AX574" t="n">
        <v>2</v>
      </c>
      <c r="AY574" t="n">
        <v>11</v>
      </c>
      <c r="AZ574" t="n">
        <v>2</v>
      </c>
      <c r="BA574" t="n">
        <v>2</v>
      </c>
      <c r="BB574" t="n">
        <v>46</v>
      </c>
      <c r="BC574" t="n">
        <v>59</v>
      </c>
      <c r="BD574" t="n">
        <v>133</v>
      </c>
      <c r="BE574" t="n">
        <v>39</v>
      </c>
      <c r="BF574" t="n">
        <v>126</v>
      </c>
      <c r="BG574" t="n">
        <v>6</v>
      </c>
      <c r="BH574" t="n">
        <v>20</v>
      </c>
      <c r="BI574" t="n">
        <v>57</v>
      </c>
      <c r="BJ574" t="n">
        <v>56</v>
      </c>
      <c r="BK574" t="n">
        <v>0</v>
      </c>
      <c r="BL574" t="n">
        <v>1</v>
      </c>
      <c r="BM574" t="n">
        <v>39</v>
      </c>
      <c r="BN574" t="n">
        <v>24</v>
      </c>
      <c r="BO574" t="n">
        <v>2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3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250</v>
      </c>
      <c r="Z575" t="n">
        <v>246</v>
      </c>
      <c r="AA575" t="n">
        <v>107</v>
      </c>
      <c r="AB575" t="n">
        <v>1</v>
      </c>
      <c r="AC575" t="n">
        <v>5</v>
      </c>
      <c r="AD575" t="n">
        <v>0</v>
      </c>
      <c r="AE575" t="n">
        <v>9</v>
      </c>
      <c r="AF575" t="n">
        <v>5</v>
      </c>
      <c r="AG575" t="n">
        <v>5</v>
      </c>
      <c r="AH575" t="n">
        <v>73</v>
      </c>
      <c r="AI575" t="n">
        <v>108</v>
      </c>
      <c r="AJ575" t="n">
        <v>88</v>
      </c>
      <c r="AK575" t="n">
        <v>51</v>
      </c>
      <c r="AL575" t="n">
        <v>3</v>
      </c>
      <c r="AM575" t="n">
        <v>13</v>
      </c>
      <c r="AN575" t="n">
        <v>0</v>
      </c>
      <c r="AO575" t="n">
        <v>0</v>
      </c>
      <c r="AP575" t="n">
        <v>2</v>
      </c>
      <c r="AQ575" t="n">
        <v>29</v>
      </c>
      <c r="AR575" t="n">
        <v>32</v>
      </c>
      <c r="AS575" t="n">
        <v>8</v>
      </c>
      <c r="AT575" t="n">
        <v>3</v>
      </c>
      <c r="AU575" t="n">
        <v>3</v>
      </c>
      <c r="AV575" t="n">
        <v>4</v>
      </c>
      <c r="AW575" t="n">
        <v>20</v>
      </c>
      <c r="AX575" t="n">
        <v>0</v>
      </c>
      <c r="AY575" t="n">
        <v>34</v>
      </c>
      <c r="AZ575" t="n">
        <v>3</v>
      </c>
      <c r="BA575" t="n">
        <v>9</v>
      </c>
      <c r="BB575" t="n">
        <v>110</v>
      </c>
      <c r="BC575" t="n">
        <v>10</v>
      </c>
      <c r="BD575" t="n">
        <v>66</v>
      </c>
      <c r="BE575" t="n">
        <v>26</v>
      </c>
      <c r="BF575" t="n">
        <v>70</v>
      </c>
      <c r="BG575" t="n">
        <v>0</v>
      </c>
      <c r="BH575" t="n">
        <v>3</v>
      </c>
      <c r="BI575" t="n">
        <v>1</v>
      </c>
      <c r="BJ575" t="n">
        <v>1</v>
      </c>
      <c r="BK575" t="n">
        <v>0</v>
      </c>
      <c r="BL575" t="n">
        <v>13</v>
      </c>
      <c r="BM575" t="n">
        <v>32</v>
      </c>
      <c r="BN575" t="n">
        <v>15</v>
      </c>
      <c r="BO575" t="n">
        <v>2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300</v>
      </c>
      <c r="Z576" t="n">
        <v>115</v>
      </c>
      <c r="AA576" t="n">
        <v>73</v>
      </c>
      <c r="AB576" t="n">
        <v>3</v>
      </c>
      <c r="AC576" t="n">
        <v>2</v>
      </c>
      <c r="AD576" t="n">
        <v>7</v>
      </c>
      <c r="AE576" t="n">
        <v>9</v>
      </c>
      <c r="AF576" t="n">
        <v>0</v>
      </c>
      <c r="AG576" t="n">
        <v>2</v>
      </c>
      <c r="AH576" t="n">
        <v>74</v>
      </c>
      <c r="AI576" t="n">
        <v>32</v>
      </c>
      <c r="AJ576" t="n">
        <v>5</v>
      </c>
      <c r="AK576" t="n">
        <v>22</v>
      </c>
      <c r="AL576" t="n">
        <v>3</v>
      </c>
      <c r="AM576" t="n">
        <v>17</v>
      </c>
      <c r="AN576" t="n">
        <v>0</v>
      </c>
      <c r="AO576" t="n">
        <v>0</v>
      </c>
      <c r="AP576" t="n">
        <v>11</v>
      </c>
      <c r="AQ576" t="n">
        <v>126</v>
      </c>
      <c r="AR576" t="n">
        <v>197</v>
      </c>
      <c r="AS576" t="n">
        <v>96</v>
      </c>
      <c r="AT576" t="n">
        <v>1</v>
      </c>
      <c r="AU576" t="n">
        <v>2</v>
      </c>
      <c r="AV576" t="n">
        <v>1</v>
      </c>
      <c r="AW576" t="n">
        <v>21</v>
      </c>
      <c r="AX576" t="n">
        <v>0</v>
      </c>
      <c r="AY576" t="n">
        <v>20</v>
      </c>
      <c r="AZ576" t="n">
        <v>1</v>
      </c>
      <c r="BA576" t="n">
        <v>-3</v>
      </c>
      <c r="BB576" t="n">
        <v>70</v>
      </c>
      <c r="BC576" t="n">
        <v>13</v>
      </c>
      <c r="BD576" t="n">
        <v>67</v>
      </c>
      <c r="BE576" t="n">
        <v>21</v>
      </c>
      <c r="BF576" t="n">
        <v>8</v>
      </c>
      <c r="BG576" t="n">
        <v>6</v>
      </c>
      <c r="BH576" t="n">
        <v>21</v>
      </c>
      <c r="BI576" t="n">
        <v>70</v>
      </c>
      <c r="BJ576" t="n">
        <v>65</v>
      </c>
      <c r="BK576" t="n">
        <v>3</v>
      </c>
      <c r="BL576" t="n">
        <v>41</v>
      </c>
      <c r="BM576" t="n">
        <v>32</v>
      </c>
      <c r="BN576" t="n">
        <v>4</v>
      </c>
      <c r="BO576" t="n">
        <v>18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204</v>
      </c>
      <c r="Z577" t="n">
        <v>237</v>
      </c>
      <c r="AA577" t="n">
        <v>40</v>
      </c>
      <c r="AB577" t="n">
        <v>0</v>
      </c>
      <c r="AC577" t="n">
        <v>0</v>
      </c>
      <c r="AD577" t="n">
        <v>2</v>
      </c>
      <c r="AE577" t="n">
        <v>1</v>
      </c>
      <c r="AF577" t="n">
        <v>5</v>
      </c>
      <c r="AG577" t="n">
        <v>1</v>
      </c>
      <c r="AH577" t="n">
        <v>34</v>
      </c>
      <c r="AI577" t="n">
        <v>0</v>
      </c>
      <c r="AJ577" t="n">
        <v>40</v>
      </c>
      <c r="AK577" t="n">
        <v>25</v>
      </c>
      <c r="AL577" t="n">
        <v>1</v>
      </c>
      <c r="AM577" t="n">
        <v>24</v>
      </c>
      <c r="AN577" t="n">
        <v>0</v>
      </c>
      <c r="AO577" t="n">
        <v>0</v>
      </c>
      <c r="AP577" t="n">
        <v>7</v>
      </c>
      <c r="AQ577" t="n">
        <v>45</v>
      </c>
      <c r="AR577" t="n">
        <v>133</v>
      </c>
      <c r="AS577" t="n">
        <v>95</v>
      </c>
      <c r="AT577" t="n">
        <v>2</v>
      </c>
      <c r="AU577" t="n">
        <v>2</v>
      </c>
      <c r="AV577" t="n">
        <v>49</v>
      </c>
      <c r="AW577" t="n">
        <v>38</v>
      </c>
      <c r="AX577" t="n">
        <v>0</v>
      </c>
      <c r="AY577" t="n">
        <v>118</v>
      </c>
      <c r="AZ577" t="n">
        <v>7</v>
      </c>
      <c r="BA577" t="n">
        <v>50</v>
      </c>
      <c r="BB577" t="n">
        <v>96</v>
      </c>
      <c r="BC577" t="n">
        <v>20</v>
      </c>
      <c r="BD577" t="n">
        <v>33</v>
      </c>
      <c r="BE577" t="n">
        <v>47</v>
      </c>
      <c r="BF577" t="n">
        <v>37</v>
      </c>
      <c r="BG577" t="n">
        <v>0</v>
      </c>
      <c r="BH577" t="n">
        <v>7</v>
      </c>
      <c r="BI577" t="n">
        <v>19</v>
      </c>
      <c r="BJ577" t="n">
        <v>30</v>
      </c>
      <c r="BK577" t="n">
        <v>1</v>
      </c>
      <c r="BL577" t="n">
        <v>-2</v>
      </c>
      <c r="BM577" t="n">
        <v>39</v>
      </c>
      <c r="BN577" t="n">
        <v>25</v>
      </c>
      <c r="BO577" t="n">
        <v>-3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2</v>
      </c>
      <c r="U578" t="n">
        <v>1</v>
      </c>
      <c r="V578" t="n">
        <v>0</v>
      </c>
      <c r="W578" t="n">
        <v>1</v>
      </c>
      <c r="X578" t="n">
        <v>0</v>
      </c>
      <c r="Y578" t="n">
        <v>117</v>
      </c>
      <c r="Z578" t="n">
        <v>257</v>
      </c>
      <c r="AA578" t="n">
        <v>14</v>
      </c>
      <c r="AB578" t="n">
        <v>1</v>
      </c>
      <c r="AC578" t="n">
        <v>0</v>
      </c>
      <c r="AD578" t="n">
        <v>4</v>
      </c>
      <c r="AE578" t="n">
        <v>0</v>
      </c>
      <c r="AF578" t="n">
        <v>5</v>
      </c>
      <c r="AG578" t="n">
        <v>3</v>
      </c>
      <c r="AH578" t="n">
        <v>16</v>
      </c>
      <c r="AI578" t="n">
        <v>8</v>
      </c>
      <c r="AJ578" t="n">
        <v>39</v>
      </c>
      <c r="AK578" t="n">
        <v>22</v>
      </c>
      <c r="AL578" t="n">
        <v>4</v>
      </c>
      <c r="AM578" t="n">
        <v>62</v>
      </c>
      <c r="AN578" t="n">
        <v>0</v>
      </c>
      <c r="AO578" t="n">
        <v>0</v>
      </c>
      <c r="AP578" t="n">
        <v>3</v>
      </c>
      <c r="AQ578" t="n">
        <v>1</v>
      </c>
      <c r="AR578" t="n">
        <v>37</v>
      </c>
      <c r="AS578" t="n">
        <v>33</v>
      </c>
      <c r="AT578" t="n">
        <v>3</v>
      </c>
      <c r="AU578" t="n">
        <v>2</v>
      </c>
      <c r="AV578" t="n">
        <v>12</v>
      </c>
      <c r="AW578" t="n">
        <v>13</v>
      </c>
      <c r="AX578" t="n">
        <v>0</v>
      </c>
      <c r="AY578" t="n">
        <v>27</v>
      </c>
      <c r="AZ578" t="n">
        <v>5</v>
      </c>
      <c r="BA578" t="n">
        <v>21</v>
      </c>
      <c r="BB578" t="n">
        <v>36</v>
      </c>
      <c r="BC578" t="n">
        <v>59</v>
      </c>
      <c r="BD578" t="n">
        <v>14</v>
      </c>
      <c r="BE578" t="n">
        <v>12</v>
      </c>
      <c r="BF578" t="n">
        <v>31</v>
      </c>
      <c r="BG578" t="n">
        <v>2</v>
      </c>
      <c r="BH578" t="n">
        <v>5</v>
      </c>
      <c r="BI578" t="n">
        <v>22</v>
      </c>
      <c r="BJ578" t="n">
        <v>25</v>
      </c>
      <c r="BK578" t="n">
        <v>3</v>
      </c>
      <c r="BL578" t="n">
        <v>8</v>
      </c>
      <c r="BM578" t="n">
        <v>19</v>
      </c>
      <c r="BN578" t="n">
        <v>10</v>
      </c>
      <c r="BO578" t="n">
        <v>63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255</v>
      </c>
      <c r="Z579" t="n">
        <v>113</v>
      </c>
      <c r="AA579" t="n">
        <v>81</v>
      </c>
      <c r="AB579" t="n">
        <v>3</v>
      </c>
      <c r="AC579" t="n">
        <v>1</v>
      </c>
      <c r="AD579" t="n">
        <v>8</v>
      </c>
      <c r="AE579" t="n">
        <v>3</v>
      </c>
      <c r="AF579" t="n">
        <v>3</v>
      </c>
      <c r="AG579" t="n">
        <v>5</v>
      </c>
      <c r="AH579" t="n">
        <v>91</v>
      </c>
      <c r="AI579" t="n">
        <v>20</v>
      </c>
      <c r="AJ579" t="n">
        <v>59</v>
      </c>
      <c r="AK579" t="n">
        <v>19</v>
      </c>
      <c r="AL579" t="n">
        <v>1</v>
      </c>
      <c r="AM579" t="n">
        <v>35</v>
      </c>
      <c r="AN579" t="n">
        <v>0</v>
      </c>
      <c r="AO579" t="n">
        <v>0</v>
      </c>
      <c r="AP579" t="n">
        <v>8</v>
      </c>
      <c r="AQ579" t="n">
        <v>30</v>
      </c>
      <c r="AR579" t="n">
        <v>44</v>
      </c>
      <c r="AS579" t="n">
        <v>19</v>
      </c>
      <c r="AT579" t="n">
        <v>0</v>
      </c>
      <c r="AU579" t="n">
        <v>3</v>
      </c>
      <c r="AV579" t="n">
        <v>1</v>
      </c>
      <c r="AW579" t="n">
        <v>18</v>
      </c>
      <c r="AX579" t="n">
        <v>0</v>
      </c>
      <c r="AY579" t="n">
        <v>73</v>
      </c>
      <c r="AZ579" t="n">
        <v>1</v>
      </c>
      <c r="BA579" t="n">
        <v>11</v>
      </c>
      <c r="BB579" t="n">
        <v>88</v>
      </c>
      <c r="BC579" t="n">
        <v>29</v>
      </c>
      <c r="BD579" t="n">
        <v>87</v>
      </c>
      <c r="BE579" t="n">
        <v>19</v>
      </c>
      <c r="BF579" t="n">
        <v>47</v>
      </c>
      <c r="BG579" t="n">
        <v>4</v>
      </c>
      <c r="BH579" t="n">
        <v>6</v>
      </c>
      <c r="BI579" t="n">
        <v>53</v>
      </c>
      <c r="BJ579" t="n">
        <v>50</v>
      </c>
      <c r="BK579" t="n">
        <v>0</v>
      </c>
      <c r="BL579" t="n">
        <v>33</v>
      </c>
      <c r="BM579" t="n">
        <v>22</v>
      </c>
      <c r="BN579" t="n">
        <v>0</v>
      </c>
      <c r="BO579" t="n">
        <v>2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188</v>
      </c>
      <c r="Z580" t="n">
        <v>217</v>
      </c>
      <c r="AA580" t="n">
        <v>31</v>
      </c>
      <c r="AB580" t="n">
        <v>0</v>
      </c>
      <c r="AC580" t="n">
        <v>1</v>
      </c>
      <c r="AD580" t="n">
        <v>7</v>
      </c>
      <c r="AE580" t="n">
        <v>9</v>
      </c>
      <c r="AF580" t="n">
        <v>5</v>
      </c>
      <c r="AG580" t="n">
        <v>2</v>
      </c>
      <c r="AH580" t="n">
        <v>41</v>
      </c>
      <c r="AI580" t="n">
        <v>30</v>
      </c>
      <c r="AJ580" t="n">
        <v>94</v>
      </c>
      <c r="AK580" t="n">
        <v>22</v>
      </c>
      <c r="AL580" t="n">
        <v>3</v>
      </c>
      <c r="AM580" t="n">
        <v>70</v>
      </c>
      <c r="AN580" t="n">
        <v>0</v>
      </c>
      <c r="AO580" t="n">
        <v>0</v>
      </c>
      <c r="AP580" t="n">
        <v>3</v>
      </c>
      <c r="AQ580" t="n">
        <v>41</v>
      </c>
      <c r="AR580" t="n">
        <v>94</v>
      </c>
      <c r="AS580" t="n">
        <v>61</v>
      </c>
      <c r="AT580" t="n">
        <v>4</v>
      </c>
      <c r="AU580" t="n">
        <v>4</v>
      </c>
      <c r="AV580" t="n">
        <v>10</v>
      </c>
      <c r="AW580" t="n">
        <v>36</v>
      </c>
      <c r="AX580" t="n">
        <v>0</v>
      </c>
      <c r="AY580" t="n">
        <v>35</v>
      </c>
      <c r="AZ580" t="n">
        <v>4</v>
      </c>
      <c r="BA580" t="n">
        <v>16</v>
      </c>
      <c r="BB580" t="n">
        <v>45</v>
      </c>
      <c r="BC580" t="n">
        <v>63</v>
      </c>
      <c r="BD580" t="n">
        <v>36</v>
      </c>
      <c r="BE580" t="n">
        <v>36</v>
      </c>
      <c r="BF580" t="n">
        <v>75</v>
      </c>
      <c r="BG580" t="n">
        <v>4</v>
      </c>
      <c r="BH580" t="n">
        <v>0</v>
      </c>
      <c r="BI580" t="n">
        <v>30</v>
      </c>
      <c r="BJ580" t="n">
        <v>27</v>
      </c>
      <c r="BK580" t="n">
        <v>2</v>
      </c>
      <c r="BL580" t="n">
        <v>27</v>
      </c>
      <c r="BM580" t="n">
        <v>18</v>
      </c>
      <c r="BN580" t="n">
        <v>1</v>
      </c>
      <c r="BO580" t="n">
        <v>2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230</v>
      </c>
      <c r="Z581" t="n">
        <v>177</v>
      </c>
      <c r="AA581" t="n">
        <v>68</v>
      </c>
      <c r="AB581" t="n">
        <v>1</v>
      </c>
      <c r="AC581" t="n">
        <v>1</v>
      </c>
      <c r="AD581" t="n">
        <v>1</v>
      </c>
      <c r="AE581" t="n">
        <v>11</v>
      </c>
      <c r="AF581" t="n">
        <v>4</v>
      </c>
      <c r="AG581" t="n">
        <v>3</v>
      </c>
      <c r="AH581" t="n">
        <v>28</v>
      </c>
      <c r="AI581" t="n">
        <v>59</v>
      </c>
      <c r="AJ581" t="n">
        <v>60</v>
      </c>
      <c r="AK581" t="n">
        <v>30</v>
      </c>
      <c r="AL581" t="n">
        <v>4</v>
      </c>
      <c r="AM581" t="n">
        <v>69</v>
      </c>
      <c r="AN581" t="n">
        <v>0</v>
      </c>
      <c r="AO581" t="n">
        <v>1</v>
      </c>
      <c r="AP581" t="n">
        <v>3</v>
      </c>
      <c r="AQ581" t="n">
        <v>39</v>
      </c>
      <c r="AR581" t="n">
        <v>128</v>
      </c>
      <c r="AS581" t="n">
        <v>94</v>
      </c>
      <c r="AT581" t="n">
        <v>1</v>
      </c>
      <c r="AU581" t="n">
        <v>0</v>
      </c>
      <c r="AV581" t="n">
        <v>84</v>
      </c>
      <c r="AW581" t="n">
        <v>15</v>
      </c>
      <c r="AX581" t="n">
        <v>0</v>
      </c>
      <c r="AY581" t="n">
        <v>32</v>
      </c>
      <c r="AZ581" t="n">
        <v>2</v>
      </c>
      <c r="BA581" t="n">
        <v>7</v>
      </c>
      <c r="BB581" t="n">
        <v>71</v>
      </c>
      <c r="BC581" t="n">
        <v>59</v>
      </c>
      <c r="BD581" t="n">
        <v>26</v>
      </c>
      <c r="BE581" t="n">
        <v>15</v>
      </c>
      <c r="BF581" t="n">
        <v>48</v>
      </c>
      <c r="BG581" t="n">
        <v>1</v>
      </c>
      <c r="BH581" t="n">
        <v>4</v>
      </c>
      <c r="BI581" t="n">
        <v>14</v>
      </c>
      <c r="BJ581" t="n">
        <v>13</v>
      </c>
      <c r="BK581" t="n">
        <v>0</v>
      </c>
      <c r="BL581" t="n">
        <v>13</v>
      </c>
      <c r="BM581" t="n">
        <v>13</v>
      </c>
      <c r="BN581" t="n">
        <v>4</v>
      </c>
      <c r="BO581" t="n">
        <v>72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201</v>
      </c>
      <c r="Z582" t="n">
        <v>130</v>
      </c>
      <c r="AA582" t="n">
        <v>78</v>
      </c>
      <c r="AB582" t="n">
        <v>2</v>
      </c>
      <c r="AC582" t="n">
        <v>1</v>
      </c>
      <c r="AD582" t="n">
        <v>8</v>
      </c>
      <c r="AE582" t="n">
        <v>2</v>
      </c>
      <c r="AF582" t="n">
        <v>5</v>
      </c>
      <c r="AG582" t="n">
        <v>4</v>
      </c>
      <c r="AH582" t="n">
        <v>72</v>
      </c>
      <c r="AI582" t="n">
        <v>9</v>
      </c>
      <c r="AJ582" t="n">
        <v>36</v>
      </c>
      <c r="AK582" t="n">
        <v>10</v>
      </c>
      <c r="AL582" t="n">
        <v>4</v>
      </c>
      <c r="AM582" t="n">
        <v>103</v>
      </c>
      <c r="AN582" t="n">
        <v>0</v>
      </c>
      <c r="AO582" t="n">
        <v>0</v>
      </c>
      <c r="AP582" t="n">
        <v>8</v>
      </c>
      <c r="AQ582" t="n">
        <v>50</v>
      </c>
      <c r="AR582" t="n">
        <v>61</v>
      </c>
      <c r="AS582" t="n">
        <v>19</v>
      </c>
      <c r="AT582" t="n">
        <v>4</v>
      </c>
      <c r="AU582" t="n">
        <v>0</v>
      </c>
      <c r="AV582" t="n">
        <v>14</v>
      </c>
      <c r="AW582" t="n">
        <v>1</v>
      </c>
      <c r="AX582" t="n">
        <v>0</v>
      </c>
      <c r="AY582" t="n">
        <v>15</v>
      </c>
      <c r="AZ582" t="n">
        <v>0</v>
      </c>
      <c r="BA582" t="n">
        <v>1</v>
      </c>
      <c r="BB582" t="n">
        <v>76</v>
      </c>
      <c r="BC582" t="n">
        <v>87</v>
      </c>
      <c r="BD582" t="n">
        <v>74</v>
      </c>
      <c r="BE582" t="n">
        <v>1</v>
      </c>
      <c r="BF582" t="n">
        <v>35</v>
      </c>
      <c r="BG582" t="n">
        <v>0</v>
      </c>
      <c r="BH582" t="n">
        <v>13</v>
      </c>
      <c r="BI582" t="n">
        <v>1</v>
      </c>
      <c r="BJ582" t="n">
        <v>9</v>
      </c>
      <c r="BK582" t="n">
        <v>0</v>
      </c>
      <c r="BL582" t="n">
        <v>1</v>
      </c>
      <c r="BM582" t="n">
        <v>19</v>
      </c>
      <c r="BN582" t="n">
        <v>11</v>
      </c>
      <c r="BO582" t="n">
        <v>18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191</v>
      </c>
      <c r="Z583" t="n">
        <v>160</v>
      </c>
      <c r="AA583" t="n">
        <v>67</v>
      </c>
      <c r="AB583" t="n">
        <v>2</v>
      </c>
      <c r="AC583" t="n">
        <v>2</v>
      </c>
      <c r="AD583" t="n">
        <v>7</v>
      </c>
      <c r="AE583" t="n">
        <v>3</v>
      </c>
      <c r="AF583" t="n">
        <v>4</v>
      </c>
      <c r="AG583" t="n">
        <v>4</v>
      </c>
      <c r="AH583" t="n">
        <v>26</v>
      </c>
      <c r="AI583" t="n">
        <v>69</v>
      </c>
      <c r="AJ583" t="n">
        <v>37</v>
      </c>
      <c r="AK583" t="n">
        <v>18</v>
      </c>
      <c r="AL583" t="n">
        <v>5</v>
      </c>
      <c r="AM583" t="n">
        <v>73</v>
      </c>
      <c r="AN583" t="n">
        <v>2</v>
      </c>
      <c r="AO583" t="n">
        <v>0</v>
      </c>
      <c r="AP583" t="n">
        <v>3</v>
      </c>
      <c r="AQ583" t="n">
        <v>19</v>
      </c>
      <c r="AR583" t="n">
        <v>57</v>
      </c>
      <c r="AS583" t="n">
        <v>41</v>
      </c>
      <c r="AT583" t="n">
        <v>4</v>
      </c>
      <c r="AU583" t="n">
        <v>2</v>
      </c>
      <c r="AV583" t="n">
        <v>46</v>
      </c>
      <c r="AW583" t="n">
        <v>1</v>
      </c>
      <c r="AX583" t="n">
        <v>3</v>
      </c>
      <c r="AY583" t="n">
        <v>60</v>
      </c>
      <c r="AZ583" t="n">
        <v>3</v>
      </c>
      <c r="BA583" t="n">
        <v>18</v>
      </c>
      <c r="BB583" t="n">
        <v>82</v>
      </c>
      <c r="BC583" t="n">
        <v>61</v>
      </c>
      <c r="BD583" t="n">
        <v>28</v>
      </c>
      <c r="BE583" t="n">
        <v>5</v>
      </c>
      <c r="BF583" t="n">
        <v>29</v>
      </c>
      <c r="BG583" t="n">
        <v>4</v>
      </c>
      <c r="BH583" t="n">
        <v>20</v>
      </c>
      <c r="BI583" t="n">
        <v>7</v>
      </c>
      <c r="BJ583" t="n">
        <v>17</v>
      </c>
      <c r="BK583" t="n">
        <v>2</v>
      </c>
      <c r="BL583" t="n">
        <v>1</v>
      </c>
      <c r="BM583" t="n">
        <v>14</v>
      </c>
      <c r="BN583" t="n">
        <v>8</v>
      </c>
      <c r="BO583" t="n">
        <v>2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271</v>
      </c>
      <c r="Z584" t="n">
        <v>102</v>
      </c>
      <c r="AA584" t="n">
        <v>17</v>
      </c>
      <c r="AB584" t="n">
        <v>1</v>
      </c>
      <c r="AC584" t="n">
        <v>0</v>
      </c>
      <c r="AD584" t="n">
        <v>5</v>
      </c>
      <c r="AE584" t="n">
        <v>2</v>
      </c>
      <c r="AF584" t="n">
        <v>3</v>
      </c>
      <c r="AG584" t="n">
        <v>9</v>
      </c>
      <c r="AH584" t="n">
        <v>87</v>
      </c>
      <c r="AI584" t="n">
        <v>19</v>
      </c>
      <c r="AJ584" t="n">
        <v>42</v>
      </c>
      <c r="AK584" t="n">
        <v>87</v>
      </c>
      <c r="AL584" t="n">
        <v>0</v>
      </c>
      <c r="AM584" t="n">
        <v>7</v>
      </c>
      <c r="AN584" t="n">
        <v>0</v>
      </c>
      <c r="AO584" t="n">
        <v>0</v>
      </c>
      <c r="AP584" t="n">
        <v>3</v>
      </c>
      <c r="AQ584" t="n">
        <v>26</v>
      </c>
      <c r="AR584" t="n">
        <v>168</v>
      </c>
      <c r="AS584" t="n">
        <v>139</v>
      </c>
      <c r="AT584" t="n">
        <v>1</v>
      </c>
      <c r="AU584" t="n">
        <v>0</v>
      </c>
      <c r="AV584" t="n">
        <v>11</v>
      </c>
      <c r="AW584" t="n">
        <v>5</v>
      </c>
      <c r="AX584" t="n">
        <v>3</v>
      </c>
      <c r="AY584" t="n">
        <v>11</v>
      </c>
      <c r="AZ584" t="n">
        <v>2</v>
      </c>
      <c r="BA584" t="n">
        <v>36</v>
      </c>
      <c r="BB584" t="n">
        <v>57</v>
      </c>
      <c r="BC584" t="n">
        <v>41</v>
      </c>
      <c r="BD584" t="n">
        <v>88</v>
      </c>
      <c r="BE584" t="n">
        <v>5</v>
      </c>
      <c r="BF584" t="n">
        <v>64</v>
      </c>
      <c r="BG584" t="n">
        <v>2</v>
      </c>
      <c r="BH584" t="n">
        <v>8</v>
      </c>
      <c r="BI584" t="n">
        <v>7</v>
      </c>
      <c r="BJ584" t="n">
        <v>6</v>
      </c>
      <c r="BK584" t="n">
        <v>3</v>
      </c>
      <c r="BL584" t="n">
        <v>18</v>
      </c>
      <c r="BM584" t="n">
        <v>20</v>
      </c>
      <c r="BN584" t="n">
        <v>6</v>
      </c>
      <c r="BO584" t="n">
        <v>7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2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</v>
      </c>
      <c r="X585" t="n">
        <v>0</v>
      </c>
      <c r="Y585" t="n">
        <v>304</v>
      </c>
      <c r="Z585" t="n">
        <v>200</v>
      </c>
      <c r="AA585" t="n">
        <v>143</v>
      </c>
      <c r="AB585" t="n">
        <v>1</v>
      </c>
      <c r="AC585" t="n">
        <v>1</v>
      </c>
      <c r="AD585" t="n">
        <v>8</v>
      </c>
      <c r="AE585" t="n">
        <v>5</v>
      </c>
      <c r="AF585" t="n">
        <v>5</v>
      </c>
      <c r="AG585" t="n">
        <v>1</v>
      </c>
      <c r="AH585" t="n">
        <v>144</v>
      </c>
      <c r="AI585" t="n">
        <v>38</v>
      </c>
      <c r="AJ585" t="n">
        <v>146</v>
      </c>
      <c r="AK585" t="n">
        <v>12</v>
      </c>
      <c r="AL585" t="n">
        <v>7</v>
      </c>
      <c r="AM585" t="n">
        <v>125</v>
      </c>
      <c r="AN585" t="n">
        <v>0</v>
      </c>
      <c r="AO585" t="n">
        <v>0</v>
      </c>
      <c r="AP585" t="n">
        <v>0</v>
      </c>
      <c r="AQ585" t="n">
        <v>1</v>
      </c>
      <c r="AR585" t="n">
        <v>145</v>
      </c>
      <c r="AS585" t="n">
        <v>134</v>
      </c>
      <c r="AT585" t="n">
        <v>0</v>
      </c>
      <c r="AU585" t="n">
        <v>2</v>
      </c>
      <c r="AV585" t="n">
        <v>3</v>
      </c>
      <c r="AW585" t="n">
        <v>8</v>
      </c>
      <c r="AX585" t="n">
        <v>14</v>
      </c>
      <c r="AY585" t="n">
        <v>36</v>
      </c>
      <c r="AZ585" t="n">
        <v>2</v>
      </c>
      <c r="BA585" t="n">
        <v>15</v>
      </c>
      <c r="BB585" t="n">
        <v>144</v>
      </c>
      <c r="BC585" t="n">
        <v>117</v>
      </c>
      <c r="BD585" t="n">
        <v>136</v>
      </c>
      <c r="BE585" t="n">
        <v>8</v>
      </c>
      <c r="BF585" t="n">
        <v>126</v>
      </c>
      <c r="BG585" t="n">
        <v>2</v>
      </c>
      <c r="BH585" t="n">
        <v>3</v>
      </c>
      <c r="BI585" t="n">
        <v>7</v>
      </c>
      <c r="BJ585" t="n">
        <v>53</v>
      </c>
      <c r="BK585" t="n">
        <v>0</v>
      </c>
      <c r="BL585" t="n">
        <v>24</v>
      </c>
      <c r="BM585" t="n">
        <v>32</v>
      </c>
      <c r="BN585" t="n">
        <v>11</v>
      </c>
      <c r="BO585" t="n">
        <v>23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3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153</v>
      </c>
      <c r="Z586" t="n">
        <v>116</v>
      </c>
      <c r="AA586" t="n">
        <v>56</v>
      </c>
      <c r="AB586" t="n">
        <v>3</v>
      </c>
      <c r="AC586" t="n">
        <v>0</v>
      </c>
      <c r="AD586" t="n">
        <v>2</v>
      </c>
      <c r="AE586" t="n">
        <v>5</v>
      </c>
      <c r="AF586" t="n">
        <v>3</v>
      </c>
      <c r="AG586" t="n">
        <v>7</v>
      </c>
      <c r="AH586" t="n">
        <v>12</v>
      </c>
      <c r="AI586" t="n">
        <v>33</v>
      </c>
      <c r="AJ586" t="n">
        <v>45</v>
      </c>
      <c r="AK586" t="n">
        <v>63</v>
      </c>
      <c r="AL586" t="n">
        <v>1</v>
      </c>
      <c r="AM586" t="n">
        <v>9</v>
      </c>
      <c r="AN586" t="n">
        <v>0</v>
      </c>
      <c r="AO586" t="n">
        <v>0</v>
      </c>
      <c r="AP586" t="n">
        <v>1</v>
      </c>
      <c r="AQ586" t="n">
        <v>12</v>
      </c>
      <c r="AR586" t="n">
        <v>95</v>
      </c>
      <c r="AS586" t="n">
        <v>83</v>
      </c>
      <c r="AT586" t="n">
        <v>1</v>
      </c>
      <c r="AU586" t="n">
        <v>0</v>
      </c>
      <c r="AV586" t="n">
        <v>9</v>
      </c>
      <c r="AW586" t="n">
        <v>7</v>
      </c>
      <c r="AX586" t="n">
        <v>0</v>
      </c>
      <c r="AY586" t="n">
        <v>46</v>
      </c>
      <c r="AZ586" t="n">
        <v>0</v>
      </c>
      <c r="BA586" t="n">
        <v>10</v>
      </c>
      <c r="BB586" t="n">
        <v>62</v>
      </c>
      <c r="BC586" t="n">
        <v>2</v>
      </c>
      <c r="BD586" t="n">
        <v>29</v>
      </c>
      <c r="BE586" t="n">
        <v>7</v>
      </c>
      <c r="BF586" t="n">
        <v>64</v>
      </c>
      <c r="BG586" t="n">
        <v>2</v>
      </c>
      <c r="BH586" t="n">
        <v>0</v>
      </c>
      <c r="BI586" t="n">
        <v>21</v>
      </c>
      <c r="BJ586" t="n">
        <v>19</v>
      </c>
      <c r="BK586" t="n">
        <v>0</v>
      </c>
      <c r="BL586" t="n">
        <v>1</v>
      </c>
      <c r="BM586" t="n">
        <v>31</v>
      </c>
      <c r="BN586" t="n">
        <v>18</v>
      </c>
      <c r="BO586" t="n">
        <v>79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165</v>
      </c>
      <c r="Z587" t="n">
        <v>183</v>
      </c>
      <c r="AA587" t="n">
        <v>54</v>
      </c>
      <c r="AB587" t="n">
        <v>0</v>
      </c>
      <c r="AC587" t="n">
        <v>4</v>
      </c>
      <c r="AD587" t="n">
        <v>8</v>
      </c>
      <c r="AE587" t="n">
        <v>0</v>
      </c>
      <c r="AF587" t="n">
        <v>5</v>
      </c>
      <c r="AG587" t="n">
        <v>2</v>
      </c>
      <c r="AH587" t="n">
        <v>68</v>
      </c>
      <c r="AI587" t="n">
        <v>28</v>
      </c>
      <c r="AJ587" t="n">
        <v>7</v>
      </c>
      <c r="AK587" t="n">
        <v>24</v>
      </c>
      <c r="AL587" t="n">
        <v>6</v>
      </c>
      <c r="AM587" t="n">
        <v>70</v>
      </c>
      <c r="AN587" t="n">
        <v>0</v>
      </c>
      <c r="AO587" t="n">
        <v>0</v>
      </c>
      <c r="AP587" t="n">
        <v>8</v>
      </c>
      <c r="AQ587" t="n">
        <v>29</v>
      </c>
      <c r="AR587" t="n">
        <v>109</v>
      </c>
      <c r="AS587" t="n">
        <v>84</v>
      </c>
      <c r="AT587" t="n">
        <v>0</v>
      </c>
      <c r="AU587" t="n">
        <v>1</v>
      </c>
      <c r="AV587" t="n">
        <v>10</v>
      </c>
      <c r="AW587" t="n">
        <v>1</v>
      </c>
      <c r="AX587" t="n">
        <v>1</v>
      </c>
      <c r="AY587" t="n">
        <v>24</v>
      </c>
      <c r="AZ587" t="n">
        <v>3</v>
      </c>
      <c r="BA587" t="n">
        <v>18</v>
      </c>
      <c r="BB587" t="n">
        <v>71</v>
      </c>
      <c r="BC587" t="n">
        <v>66</v>
      </c>
      <c r="BD587" t="n">
        <v>63</v>
      </c>
      <c r="BE587" t="n">
        <v>1</v>
      </c>
      <c r="BF587" t="n">
        <v>11</v>
      </c>
      <c r="BG587" t="n">
        <v>4</v>
      </c>
      <c r="BH587" t="n">
        <v>7</v>
      </c>
      <c r="BI587" t="n">
        <v>22</v>
      </c>
      <c r="BJ587" t="n">
        <v>47</v>
      </c>
      <c r="BK587" t="n">
        <v>0</v>
      </c>
      <c r="BL587" t="n">
        <v>1</v>
      </c>
      <c r="BM587" t="n">
        <v>24</v>
      </c>
      <c r="BN587" t="n">
        <v>14</v>
      </c>
      <c r="BO587" t="n">
        <v>28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228</v>
      </c>
      <c r="Z588" t="n">
        <v>213</v>
      </c>
      <c r="AA588" t="n">
        <v>132</v>
      </c>
      <c r="AB588" t="n">
        <v>1</v>
      </c>
      <c r="AC588" t="n">
        <v>0</v>
      </c>
      <c r="AD588" t="n">
        <v>5</v>
      </c>
      <c r="AE588" t="n">
        <v>2</v>
      </c>
      <c r="AF588" t="n">
        <v>4</v>
      </c>
      <c r="AG588" t="n">
        <v>8</v>
      </c>
      <c r="AH588" t="n">
        <v>78</v>
      </c>
      <c r="AI588" t="n">
        <v>9</v>
      </c>
      <c r="AJ588" t="n">
        <v>24</v>
      </c>
      <c r="AK588" t="n">
        <v>111</v>
      </c>
      <c r="AL588" t="n">
        <v>2</v>
      </c>
      <c r="AM588" t="n">
        <v>16</v>
      </c>
      <c r="AN588" t="n">
        <v>0</v>
      </c>
      <c r="AO588" t="n">
        <v>0</v>
      </c>
      <c r="AP588" t="n">
        <v>3</v>
      </c>
      <c r="AQ588" t="n">
        <v>12</v>
      </c>
      <c r="AR588" t="n">
        <v>139</v>
      </c>
      <c r="AS588" t="n">
        <v>124</v>
      </c>
      <c r="AT588" t="n">
        <v>3</v>
      </c>
      <c r="AU588" t="n">
        <v>3</v>
      </c>
      <c r="AV588" t="n">
        <v>22</v>
      </c>
      <c r="AW588" t="n">
        <v>36</v>
      </c>
      <c r="AX588" t="n">
        <v>19</v>
      </c>
      <c r="AY588" t="n">
        <v>32</v>
      </c>
      <c r="AZ588" t="n">
        <v>6</v>
      </c>
      <c r="BA588" t="n">
        <v>54</v>
      </c>
      <c r="BB588" t="n">
        <v>182</v>
      </c>
      <c r="BC588" t="n">
        <v>23</v>
      </c>
      <c r="BD588" t="n">
        <v>70</v>
      </c>
      <c r="BE588" t="n">
        <v>38</v>
      </c>
      <c r="BF588" t="n">
        <v>19</v>
      </c>
      <c r="BG588" t="n">
        <v>2</v>
      </c>
      <c r="BH588" t="n">
        <v>6</v>
      </c>
      <c r="BI588" t="n">
        <v>10</v>
      </c>
      <c r="BJ588" t="n">
        <v>9</v>
      </c>
      <c r="BK588" t="n">
        <v>2</v>
      </c>
      <c r="BL588" t="n">
        <v>19</v>
      </c>
      <c r="BM588" t="n">
        <v>13</v>
      </c>
      <c r="BN588" t="n">
        <v>0</v>
      </c>
      <c r="BO588" t="n">
        <v>9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212</v>
      </c>
      <c r="Z589" t="n">
        <v>175</v>
      </c>
      <c r="AA589" t="n">
        <v>22</v>
      </c>
      <c r="AB589" t="n">
        <v>1</v>
      </c>
      <c r="AC589" t="n">
        <v>2</v>
      </c>
      <c r="AD589" t="n">
        <v>6</v>
      </c>
      <c r="AE589" t="n">
        <v>6</v>
      </c>
      <c r="AF589" t="n">
        <v>3</v>
      </c>
      <c r="AG589" t="n">
        <v>4</v>
      </c>
      <c r="AH589" t="n">
        <v>86</v>
      </c>
      <c r="AI589" t="n">
        <v>37</v>
      </c>
      <c r="AJ589" t="n">
        <v>2</v>
      </c>
      <c r="AK589" t="n">
        <v>35</v>
      </c>
      <c r="AL589" t="n">
        <v>5</v>
      </c>
      <c r="AM589" t="n">
        <v>72</v>
      </c>
      <c r="AN589" t="n">
        <v>0</v>
      </c>
      <c r="AO589" t="n">
        <v>0</v>
      </c>
      <c r="AP589" t="n">
        <v>8</v>
      </c>
      <c r="AQ589" t="n">
        <v>74</v>
      </c>
      <c r="AR589" t="n">
        <v>177</v>
      </c>
      <c r="AS589" t="n">
        <v>111</v>
      </c>
      <c r="AT589" t="n">
        <v>2</v>
      </c>
      <c r="AU589" t="n">
        <v>3</v>
      </c>
      <c r="AV589" t="n">
        <v>5</v>
      </c>
      <c r="AW589" t="n">
        <v>26</v>
      </c>
      <c r="AX589" t="n">
        <v>3</v>
      </c>
      <c r="AY589" t="n">
        <v>8</v>
      </c>
      <c r="AZ589" t="n">
        <v>0</v>
      </c>
      <c r="BA589" t="n">
        <v>2</v>
      </c>
      <c r="BB589" t="n">
        <v>21</v>
      </c>
      <c r="BC589" t="n">
        <v>59</v>
      </c>
      <c r="BD589" t="n">
        <v>82</v>
      </c>
      <c r="BE589" t="n">
        <v>31</v>
      </c>
      <c r="BF589" t="n">
        <v>26</v>
      </c>
      <c r="BG589" t="n">
        <v>2</v>
      </c>
      <c r="BH589" t="n">
        <v>0</v>
      </c>
      <c r="BI589" t="n">
        <v>36</v>
      </c>
      <c r="BJ589" t="n">
        <v>70</v>
      </c>
      <c r="BK589" t="n">
        <v>3</v>
      </c>
      <c r="BL589" t="n">
        <v>22</v>
      </c>
      <c r="BM589" t="n">
        <v>15</v>
      </c>
      <c r="BN589" t="n">
        <v>1</v>
      </c>
      <c r="BO589" t="n">
        <v>2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344</v>
      </c>
      <c r="Z590" t="n">
        <v>162</v>
      </c>
      <c r="AA590" t="n">
        <v>36</v>
      </c>
      <c r="AB590" t="n">
        <v>1</v>
      </c>
      <c r="AC590" t="n">
        <v>4</v>
      </c>
      <c r="AD590" t="n">
        <v>6</v>
      </c>
      <c r="AE590" t="n">
        <v>2</v>
      </c>
      <c r="AF590" t="n">
        <v>5</v>
      </c>
      <c r="AG590" t="n">
        <v>5</v>
      </c>
      <c r="AH590" t="n">
        <v>113</v>
      </c>
      <c r="AI590" t="n">
        <v>15</v>
      </c>
      <c r="AJ590" t="n">
        <v>93</v>
      </c>
      <c r="AK590" t="n">
        <v>65</v>
      </c>
      <c r="AL590" t="n">
        <v>2</v>
      </c>
      <c r="AM590" t="n">
        <v>16</v>
      </c>
      <c r="AN590" t="n">
        <v>0</v>
      </c>
      <c r="AO590" t="n">
        <v>0</v>
      </c>
      <c r="AP590" t="n">
        <v>11</v>
      </c>
      <c r="AQ590" t="n">
        <v>73</v>
      </c>
      <c r="AR590" t="n">
        <v>151</v>
      </c>
      <c r="AS590" t="n">
        <v>91</v>
      </c>
      <c r="AT590" t="n">
        <v>3</v>
      </c>
      <c r="AU590" t="n">
        <v>1</v>
      </c>
      <c r="AV590" t="n">
        <v>-5</v>
      </c>
      <c r="AW590" t="n">
        <v>17</v>
      </c>
      <c r="AX590" t="n">
        <v>3</v>
      </c>
      <c r="AY590" t="n">
        <v>29</v>
      </c>
      <c r="AZ590" t="n">
        <v>0</v>
      </c>
      <c r="BA590" t="n">
        <v>27</v>
      </c>
      <c r="BB590" t="n">
        <v>62</v>
      </c>
      <c r="BC590" t="n">
        <v>13</v>
      </c>
      <c r="BD590" t="n">
        <v>108</v>
      </c>
      <c r="BE590" t="n">
        <v>18</v>
      </c>
      <c r="BF590" t="n">
        <v>78</v>
      </c>
      <c r="BG590" t="n">
        <v>2</v>
      </c>
      <c r="BH590" t="n">
        <v>1</v>
      </c>
      <c r="BI590" t="n">
        <v>21</v>
      </c>
      <c r="BJ590" t="n">
        <v>18</v>
      </c>
      <c r="BK590" t="n">
        <v>3</v>
      </c>
      <c r="BL590" t="n">
        <v>21</v>
      </c>
      <c r="BM590" t="n">
        <v>22</v>
      </c>
      <c r="BN590" t="n">
        <v>6</v>
      </c>
      <c r="BO590" t="n">
        <v>18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190</v>
      </c>
      <c r="Z591" t="n">
        <v>301</v>
      </c>
      <c r="AA591" t="n">
        <v>80</v>
      </c>
      <c r="AB591" t="n">
        <v>0</v>
      </c>
      <c r="AC591" t="n">
        <v>0</v>
      </c>
      <c r="AD591" t="n">
        <v>3</v>
      </c>
      <c r="AE591" t="n">
        <v>10</v>
      </c>
      <c r="AF591" t="n">
        <v>4</v>
      </c>
      <c r="AG591" t="n">
        <v>5</v>
      </c>
      <c r="AH591" t="n">
        <v>42</v>
      </c>
      <c r="AI591" t="n">
        <v>53</v>
      </c>
      <c r="AJ591" t="n">
        <v>22</v>
      </c>
      <c r="AK591" t="n">
        <v>45</v>
      </c>
      <c r="AL591" t="n">
        <v>8</v>
      </c>
      <c r="AM591" t="n">
        <v>122</v>
      </c>
      <c r="AN591" t="n">
        <v>0</v>
      </c>
      <c r="AO591" t="n">
        <v>0</v>
      </c>
      <c r="AP591" t="n">
        <v>0</v>
      </c>
      <c r="AQ591" t="n">
        <v>1</v>
      </c>
      <c r="AR591" t="n">
        <v>88</v>
      </c>
      <c r="AS591" t="n">
        <v>81</v>
      </c>
      <c r="AT591" t="n">
        <v>1</v>
      </c>
      <c r="AU591" t="n">
        <v>0</v>
      </c>
      <c r="AV591" t="n">
        <v>3</v>
      </c>
      <c r="AW591" t="n">
        <v>16</v>
      </c>
      <c r="AX591" t="n">
        <v>0</v>
      </c>
      <c r="AY591" t="n">
        <v>75</v>
      </c>
      <c r="AZ591" t="n">
        <v>0</v>
      </c>
      <c r="BA591" t="n">
        <v>1</v>
      </c>
      <c r="BB591" t="n">
        <v>77</v>
      </c>
      <c r="BC591" t="n">
        <v>112</v>
      </c>
      <c r="BD591" t="n">
        <v>41</v>
      </c>
      <c r="BE591" t="n">
        <v>18</v>
      </c>
      <c r="BF591" t="n">
        <v>17</v>
      </c>
      <c r="BG591" t="n">
        <v>0</v>
      </c>
      <c r="BH591" t="n">
        <v>3</v>
      </c>
      <c r="BI591" t="n">
        <v>6</v>
      </c>
      <c r="BJ591" t="n">
        <v>10</v>
      </c>
      <c r="BK591" t="n">
        <v>3</v>
      </c>
      <c r="BL591" t="n">
        <v>32</v>
      </c>
      <c r="BM591" t="n">
        <v>27</v>
      </c>
      <c r="BN591" t="n">
        <v>4</v>
      </c>
      <c r="BO591" t="n">
        <v>30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4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230</v>
      </c>
      <c r="Z592" t="n">
        <v>69</v>
      </c>
      <c r="AA592" t="n">
        <v>51</v>
      </c>
      <c r="AB592" t="n">
        <v>4</v>
      </c>
      <c r="AC592" t="n">
        <v>2</v>
      </c>
      <c r="AD592" t="n">
        <v>7</v>
      </c>
      <c r="AE592" t="n">
        <v>4</v>
      </c>
      <c r="AF592" t="n">
        <v>5</v>
      </c>
      <c r="AG592" t="n">
        <v>5</v>
      </c>
      <c r="AH592" t="n">
        <v>143</v>
      </c>
      <c r="AI592" t="n">
        <v>13</v>
      </c>
      <c r="AJ592" t="n">
        <v>34</v>
      </c>
      <c r="AK592" t="n">
        <v>30</v>
      </c>
      <c r="AL592" t="n">
        <v>1</v>
      </c>
      <c r="AM592" t="n">
        <v>2</v>
      </c>
      <c r="AN592" t="n">
        <v>0</v>
      </c>
      <c r="AO592" t="n">
        <v>0</v>
      </c>
      <c r="AP592" t="n">
        <v>3</v>
      </c>
      <c r="AQ592" t="n">
        <v>1</v>
      </c>
      <c r="AR592" t="n">
        <v>74</v>
      </c>
      <c r="AS592" t="n">
        <v>67</v>
      </c>
      <c r="AT592" t="n">
        <v>1</v>
      </c>
      <c r="AU592" t="n">
        <v>0</v>
      </c>
      <c r="AV592" t="n">
        <v>1</v>
      </c>
      <c r="AW592" t="n">
        <v>1</v>
      </c>
      <c r="AX592" t="n">
        <v>9</v>
      </c>
      <c r="AY592" t="n">
        <v>29</v>
      </c>
      <c r="AZ592" t="n">
        <v>1</v>
      </c>
      <c r="BA592" t="n">
        <v>1</v>
      </c>
      <c r="BB592" t="n">
        <v>51</v>
      </c>
      <c r="BC592" t="n">
        <v>9</v>
      </c>
      <c r="BD592" t="n">
        <v>132</v>
      </c>
      <c r="BE592" t="n">
        <v>3</v>
      </c>
      <c r="BF592" t="n">
        <v>27</v>
      </c>
      <c r="BG592" t="n">
        <v>1</v>
      </c>
      <c r="BH592" t="n">
        <v>6</v>
      </c>
      <c r="BI592" t="n">
        <v>28</v>
      </c>
      <c r="BJ592" t="n">
        <v>25</v>
      </c>
      <c r="BK592" t="n">
        <v>2</v>
      </c>
      <c r="BL592" t="n">
        <v>15</v>
      </c>
      <c r="BM592" t="n">
        <v>22</v>
      </c>
      <c r="BN592" t="n">
        <v>8</v>
      </c>
      <c r="BO592" t="n">
        <v>28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192</v>
      </c>
      <c r="Z593" t="n">
        <v>176</v>
      </c>
      <c r="AA593" t="n">
        <v>94</v>
      </c>
      <c r="AB593" t="n">
        <v>0</v>
      </c>
      <c r="AC593" t="n">
        <v>1</v>
      </c>
      <c r="AD593" t="n">
        <v>1</v>
      </c>
      <c r="AE593" t="n">
        <v>4</v>
      </c>
      <c r="AF593" t="n">
        <v>2</v>
      </c>
      <c r="AG593" t="n">
        <v>0</v>
      </c>
      <c r="AH593" t="n">
        <v>8</v>
      </c>
      <c r="AI593" t="n">
        <v>25</v>
      </c>
      <c r="AJ593" t="n">
        <v>11</v>
      </c>
      <c r="AK593" t="n">
        <v>6</v>
      </c>
      <c r="AL593" t="n">
        <v>7</v>
      </c>
      <c r="AM593" t="n">
        <v>77</v>
      </c>
      <c r="AN593" t="n">
        <v>0</v>
      </c>
      <c r="AO593" t="n">
        <v>0</v>
      </c>
      <c r="AP593" t="n">
        <v>6</v>
      </c>
      <c r="AQ593" t="n">
        <v>24</v>
      </c>
      <c r="AR593" t="n">
        <v>32</v>
      </c>
      <c r="AS593" t="n">
        <v>13</v>
      </c>
      <c r="AT593" t="n">
        <v>4</v>
      </c>
      <c r="AU593" t="n">
        <v>1</v>
      </c>
      <c r="AV593" t="n">
        <v>55</v>
      </c>
      <c r="AW593" t="n">
        <v>20</v>
      </c>
      <c r="AX593" t="n">
        <v>0</v>
      </c>
      <c r="AY593" t="n">
        <v>34</v>
      </c>
      <c r="AZ593" t="n">
        <v>4</v>
      </c>
      <c r="BA593" t="n">
        <v>11</v>
      </c>
      <c r="BB593" t="n">
        <v>101</v>
      </c>
      <c r="BC593" t="n">
        <v>64</v>
      </c>
      <c r="BD593" t="n">
        <v>4</v>
      </c>
      <c r="BE593" t="n">
        <v>21</v>
      </c>
      <c r="BF593" t="n">
        <v>9</v>
      </c>
      <c r="BG593" t="n">
        <v>4</v>
      </c>
      <c r="BH593" t="n">
        <v>7</v>
      </c>
      <c r="BI593" t="n">
        <v>23</v>
      </c>
      <c r="BJ593" t="n">
        <v>20</v>
      </c>
      <c r="BK593" t="n">
        <v>6</v>
      </c>
      <c r="BL593" t="n">
        <v>24</v>
      </c>
      <c r="BM593" t="n">
        <v>24</v>
      </c>
      <c r="BN593" t="n">
        <v>6</v>
      </c>
      <c r="BO593" t="n">
        <v>18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3</v>
      </c>
      <c r="U594" t="n">
        <v>0</v>
      </c>
      <c r="V594" t="n">
        <v>0</v>
      </c>
      <c r="W594" t="n">
        <v>0</v>
      </c>
      <c r="X594" t="n">
        <v>0</v>
      </c>
      <c r="Y594" t="n">
        <v>255</v>
      </c>
      <c r="Z594" t="n">
        <v>240</v>
      </c>
      <c r="AA594" t="n">
        <v>52</v>
      </c>
      <c r="AB594" t="n">
        <v>1</v>
      </c>
      <c r="AC594" t="n">
        <v>3</v>
      </c>
      <c r="AD594" t="n">
        <v>6</v>
      </c>
      <c r="AE594" t="n">
        <v>10</v>
      </c>
      <c r="AF594" t="n">
        <v>5</v>
      </c>
      <c r="AG594" t="n">
        <v>5</v>
      </c>
      <c r="AH594" t="n">
        <v>28</v>
      </c>
      <c r="AI594" t="n">
        <v>104</v>
      </c>
      <c r="AJ594" t="n">
        <v>18</v>
      </c>
      <c r="AK594" t="n">
        <v>71</v>
      </c>
      <c r="AL594" t="n">
        <v>3</v>
      </c>
      <c r="AM594" t="n">
        <v>53</v>
      </c>
      <c r="AN594" t="n">
        <v>0</v>
      </c>
      <c r="AO594" t="n">
        <v>0</v>
      </c>
      <c r="AP594" t="n">
        <v>9</v>
      </c>
      <c r="AQ594" t="n">
        <v>106</v>
      </c>
      <c r="AR594" t="n">
        <v>182</v>
      </c>
      <c r="AS594" t="n">
        <v>87</v>
      </c>
      <c r="AT594" t="n">
        <v>2</v>
      </c>
      <c r="AU594" t="n">
        <v>2</v>
      </c>
      <c r="AV594" t="n">
        <v>58</v>
      </c>
      <c r="AW594" t="n">
        <v>7</v>
      </c>
      <c r="AX594" t="n">
        <v>1</v>
      </c>
      <c r="AY594" t="n">
        <v>51</v>
      </c>
      <c r="AZ594" t="n">
        <v>2</v>
      </c>
      <c r="BA594" t="n">
        <v>11</v>
      </c>
      <c r="BB594" t="n">
        <v>60</v>
      </c>
      <c r="BC594" t="n">
        <v>48</v>
      </c>
      <c r="BD594" t="n">
        <v>34</v>
      </c>
      <c r="BE594" t="n">
        <v>10</v>
      </c>
      <c r="BF594" t="n">
        <v>17</v>
      </c>
      <c r="BG594" t="n">
        <v>2</v>
      </c>
      <c r="BH594" t="n">
        <v>13</v>
      </c>
      <c r="BI594" t="n">
        <v>11</v>
      </c>
      <c r="BJ594" t="n">
        <v>9</v>
      </c>
      <c r="BK594" t="n">
        <v>0</v>
      </c>
      <c r="BL594" t="n">
        <v>35</v>
      </c>
      <c r="BM594" t="n">
        <v>26</v>
      </c>
      <c r="BN594" t="n">
        <v>3</v>
      </c>
      <c r="BO594" t="n">
        <v>2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0</v>
      </c>
      <c r="J595" t="n">
        <v>0</v>
      </c>
      <c r="K595" t="n">
        <v>0</v>
      </c>
      <c r="L595" t="n">
        <v>0</v>
      </c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3</v>
      </c>
      <c r="U595" t="n">
        <v>0</v>
      </c>
      <c r="V595" t="n">
        <v>0</v>
      </c>
      <c r="W595" t="n">
        <v>0</v>
      </c>
      <c r="X595" t="n">
        <v>0</v>
      </c>
      <c r="Y595" t="n">
        <v>144</v>
      </c>
      <c r="Z595" t="n">
        <v>257</v>
      </c>
      <c r="AA595" t="n">
        <v>163</v>
      </c>
      <c r="AB595" t="n">
        <v>0</v>
      </c>
      <c r="AC595" t="n">
        <v>0</v>
      </c>
      <c r="AD595" t="n">
        <v>2</v>
      </c>
      <c r="AE595" t="n">
        <v>3</v>
      </c>
      <c r="AF595" t="n">
        <v>2</v>
      </c>
      <c r="AG595" t="n">
        <v>2</v>
      </c>
      <c r="AH595" t="n">
        <v>91</v>
      </c>
      <c r="AI595" t="n">
        <v>28</v>
      </c>
      <c r="AJ595" t="n">
        <v>9</v>
      </c>
      <c r="AK595" t="n">
        <v>7</v>
      </c>
      <c r="AL595" t="n">
        <v>1</v>
      </c>
      <c r="AM595" t="n">
        <v>13</v>
      </c>
      <c r="AN595" t="n">
        <v>0</v>
      </c>
      <c r="AO595" t="n">
        <v>0</v>
      </c>
      <c r="AP595" t="n">
        <v>3</v>
      </c>
      <c r="AQ595" t="n">
        <v>23</v>
      </c>
      <c r="AR595" t="n">
        <v>213</v>
      </c>
      <c r="AS595" t="n">
        <v>193</v>
      </c>
      <c r="AT595" t="n">
        <v>0</v>
      </c>
      <c r="AU595" t="n">
        <v>2</v>
      </c>
      <c r="AV595" t="n">
        <v>4</v>
      </c>
      <c r="AW595" t="n">
        <v>16</v>
      </c>
      <c r="AX595" t="n">
        <v>8</v>
      </c>
      <c r="AY595" t="n">
        <v>27</v>
      </c>
      <c r="AZ595" t="n">
        <v>1</v>
      </c>
      <c r="BA595" t="n">
        <v>35</v>
      </c>
      <c r="BB595" t="n">
        <v>184</v>
      </c>
      <c r="BC595" t="n">
        <v>25</v>
      </c>
      <c r="BD595" t="n">
        <v>91</v>
      </c>
      <c r="BE595" t="n">
        <v>17</v>
      </c>
      <c r="BF595" t="n">
        <v>2</v>
      </c>
      <c r="BG595" t="n">
        <v>0</v>
      </c>
      <c r="BH595" t="n">
        <v>2</v>
      </c>
      <c r="BI595" t="n">
        <v>1</v>
      </c>
      <c r="BJ595" t="n">
        <v>1</v>
      </c>
      <c r="BK595" t="n">
        <v>2</v>
      </c>
      <c r="BL595" t="n">
        <v>38</v>
      </c>
      <c r="BM595" t="n">
        <v>26</v>
      </c>
      <c r="BN595" t="n">
        <v>0</v>
      </c>
      <c r="BO595" t="n">
        <v>2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249</v>
      </c>
      <c r="Z596" t="n">
        <v>362</v>
      </c>
      <c r="AA596" t="n">
        <v>53</v>
      </c>
      <c r="AB596" t="n">
        <v>3</v>
      </c>
      <c r="AC596" t="n">
        <v>2</v>
      </c>
      <c r="AD596" t="n">
        <v>2</v>
      </c>
      <c r="AE596" t="n">
        <v>4</v>
      </c>
      <c r="AF596" t="n">
        <v>1</v>
      </c>
      <c r="AG596" t="n">
        <v>6</v>
      </c>
      <c r="AH596" t="n">
        <v>26</v>
      </c>
      <c r="AI596" t="n">
        <v>57</v>
      </c>
      <c r="AJ596" t="n">
        <v>19</v>
      </c>
      <c r="AK596" t="n">
        <v>41</v>
      </c>
      <c r="AL596" t="n">
        <v>7</v>
      </c>
      <c r="AM596" t="n">
        <v>209</v>
      </c>
      <c r="AN596" t="n">
        <v>0</v>
      </c>
      <c r="AO596" t="n">
        <v>0</v>
      </c>
      <c r="AP596" t="n">
        <v>3</v>
      </c>
      <c r="AQ596" t="n">
        <v>13</v>
      </c>
      <c r="AR596" t="n">
        <v>184</v>
      </c>
      <c r="AS596" t="n">
        <v>168</v>
      </c>
      <c r="AT596" t="n">
        <v>6</v>
      </c>
      <c r="AU596" t="n">
        <v>2</v>
      </c>
      <c r="AV596" t="n">
        <v>81</v>
      </c>
      <c r="AW596" t="n">
        <v>15</v>
      </c>
      <c r="AX596" t="n">
        <v>9</v>
      </c>
      <c r="AY596" t="n">
        <v>23</v>
      </c>
      <c r="AZ596" t="n">
        <v>6</v>
      </c>
      <c r="BA596" t="n">
        <v>42</v>
      </c>
      <c r="BB596" t="n">
        <v>95</v>
      </c>
      <c r="BC596" t="n">
        <v>171</v>
      </c>
      <c r="BD596" t="n">
        <v>24</v>
      </c>
      <c r="BE596" t="n">
        <v>15</v>
      </c>
      <c r="BF596" t="n">
        <v>15</v>
      </c>
      <c r="BG596" t="n">
        <v>1</v>
      </c>
      <c r="BH596" t="n">
        <v>9</v>
      </c>
      <c r="BI596" t="n">
        <v>52</v>
      </c>
      <c r="BJ596" t="n">
        <v>49</v>
      </c>
      <c r="BK596" t="n">
        <v>3</v>
      </c>
      <c r="BL596" t="n">
        <v>42</v>
      </c>
      <c r="BM596" t="n">
        <v>34</v>
      </c>
      <c r="BN596" t="n">
        <v>5</v>
      </c>
      <c r="BO596" t="n">
        <v>2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236</v>
      </c>
      <c r="Z597" t="n">
        <v>120</v>
      </c>
      <c r="AA597" t="n">
        <v>82</v>
      </c>
      <c r="AB597" t="n">
        <v>3</v>
      </c>
      <c r="AC597" t="n">
        <v>1</v>
      </c>
      <c r="AD597" t="n">
        <v>7</v>
      </c>
      <c r="AE597" t="n">
        <v>0</v>
      </c>
      <c r="AF597" t="n">
        <v>1</v>
      </c>
      <c r="AG597" t="n">
        <v>3</v>
      </c>
      <c r="AH597" t="n">
        <v>85</v>
      </c>
      <c r="AI597" t="n">
        <v>2</v>
      </c>
      <c r="AJ597" t="n">
        <v>2</v>
      </c>
      <c r="AK597" t="n">
        <v>57</v>
      </c>
      <c r="AL597" t="n">
        <v>4</v>
      </c>
      <c r="AM597" t="n">
        <v>20</v>
      </c>
      <c r="AN597" t="n">
        <v>0</v>
      </c>
      <c r="AO597" t="n">
        <v>0</v>
      </c>
      <c r="AP597" t="n">
        <v>8</v>
      </c>
      <c r="AQ597" t="n">
        <v>68</v>
      </c>
      <c r="AR597" t="n">
        <v>102</v>
      </c>
      <c r="AS597" t="n">
        <v>42</v>
      </c>
      <c r="AT597" t="n">
        <v>1</v>
      </c>
      <c r="AU597" t="n">
        <v>1</v>
      </c>
      <c r="AV597" t="n">
        <v>21</v>
      </c>
      <c r="AW597" t="n">
        <v>7</v>
      </c>
      <c r="AX597" t="n">
        <v>1</v>
      </c>
      <c r="AY597" t="n">
        <v>76</v>
      </c>
      <c r="AZ597" t="n">
        <v>4</v>
      </c>
      <c r="BA597" t="n">
        <v>11</v>
      </c>
      <c r="BB597" t="n">
        <v>89</v>
      </c>
      <c r="BC597" t="n">
        <v>16</v>
      </c>
      <c r="BD597" t="n">
        <v>82</v>
      </c>
      <c r="BE597" t="n">
        <v>9</v>
      </c>
      <c r="BF597" t="n">
        <v>23</v>
      </c>
      <c r="BG597" t="n">
        <v>1</v>
      </c>
      <c r="BH597" t="n">
        <v>1</v>
      </c>
      <c r="BI597" t="n">
        <v>2</v>
      </c>
      <c r="BJ597" t="n">
        <v>21</v>
      </c>
      <c r="BK597" t="n">
        <v>0</v>
      </c>
      <c r="BL597" t="n">
        <v>1</v>
      </c>
      <c r="BM597" t="n">
        <v>5</v>
      </c>
      <c r="BN597" t="n">
        <v>2</v>
      </c>
      <c r="BO597" t="n">
        <v>21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147</v>
      </c>
      <c r="Z598" t="n">
        <v>277</v>
      </c>
      <c r="AA598" t="n">
        <v>59</v>
      </c>
      <c r="AB598" t="n">
        <v>0</v>
      </c>
      <c r="AC598" t="n">
        <v>0</v>
      </c>
      <c r="AD598" t="n">
        <v>2</v>
      </c>
      <c r="AE598" t="n">
        <v>6</v>
      </c>
      <c r="AF598" t="n">
        <v>5</v>
      </c>
      <c r="AG598" t="n">
        <v>3</v>
      </c>
      <c r="AH598" t="n">
        <v>2</v>
      </c>
      <c r="AI598" t="n">
        <v>59</v>
      </c>
      <c r="AJ598" t="n">
        <v>67</v>
      </c>
      <c r="AK598" t="n">
        <v>21</v>
      </c>
      <c r="AL598" t="n">
        <v>7</v>
      </c>
      <c r="AM598" t="n">
        <v>103</v>
      </c>
      <c r="AN598" t="n">
        <v>0</v>
      </c>
      <c r="AO598" t="n">
        <v>0</v>
      </c>
      <c r="AP598" t="n">
        <v>6</v>
      </c>
      <c r="AQ598" t="n">
        <v>33</v>
      </c>
      <c r="AR598" t="n">
        <v>65</v>
      </c>
      <c r="AS598" t="n">
        <v>38</v>
      </c>
      <c r="AT598" t="n">
        <v>1</v>
      </c>
      <c r="AU598" t="n">
        <v>0</v>
      </c>
      <c r="AV598" t="n">
        <v>12</v>
      </c>
      <c r="AW598" t="n">
        <v>8</v>
      </c>
      <c r="AX598" t="n">
        <v>0</v>
      </c>
      <c r="AY598" t="n">
        <v>65</v>
      </c>
      <c r="AZ598" t="n">
        <v>2</v>
      </c>
      <c r="BA598" t="n">
        <v>11</v>
      </c>
      <c r="BB598" t="n">
        <v>67</v>
      </c>
      <c r="BC598" t="n">
        <v>84</v>
      </c>
      <c r="BD598" t="n">
        <v>9</v>
      </c>
      <c r="BE598" t="n">
        <v>10</v>
      </c>
      <c r="BF598" t="n">
        <v>54</v>
      </c>
      <c r="BG598" t="n">
        <v>3</v>
      </c>
      <c r="BH598" t="n">
        <v>16</v>
      </c>
      <c r="BI598" t="n">
        <v>1</v>
      </c>
      <c r="BJ598" t="n">
        <v>1</v>
      </c>
      <c r="BK598" t="n">
        <v>4</v>
      </c>
      <c r="BL598" t="n">
        <v>39</v>
      </c>
      <c r="BM598" t="n">
        <v>78</v>
      </c>
      <c r="BN598" t="n">
        <v>37</v>
      </c>
      <c r="BO598" t="n">
        <v>2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2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189</v>
      </c>
      <c r="Z599" t="n">
        <v>167</v>
      </c>
      <c r="AA599" t="n">
        <v>96</v>
      </c>
      <c r="AB599" t="n">
        <v>2</v>
      </c>
      <c r="AC599" t="n">
        <v>3</v>
      </c>
      <c r="AD599" t="n">
        <v>2</v>
      </c>
      <c r="AE599" t="n">
        <v>3</v>
      </c>
      <c r="AF599" t="n">
        <v>5</v>
      </c>
      <c r="AG599" t="n">
        <v>10</v>
      </c>
      <c r="AH599" t="n">
        <v>26</v>
      </c>
      <c r="AI599" t="n">
        <v>38</v>
      </c>
      <c r="AJ599" t="n">
        <v>24</v>
      </c>
      <c r="AK599" t="n">
        <v>98</v>
      </c>
      <c r="AL599" t="n">
        <v>3</v>
      </c>
      <c r="AM599" t="n">
        <v>13</v>
      </c>
      <c r="AN599" t="n">
        <v>0</v>
      </c>
      <c r="AO599" t="n">
        <v>0</v>
      </c>
      <c r="AP599" t="n">
        <v>5</v>
      </c>
      <c r="AQ599" t="n">
        <v>47</v>
      </c>
      <c r="AR599" t="n">
        <v>73</v>
      </c>
      <c r="AS599" t="n">
        <v>35</v>
      </c>
      <c r="AT599" t="n">
        <v>0</v>
      </c>
      <c r="AU599" t="n">
        <v>1</v>
      </c>
      <c r="AV599" t="n">
        <v>1</v>
      </c>
      <c r="AW599" t="n">
        <v>16</v>
      </c>
      <c r="AX599" t="n">
        <v>1</v>
      </c>
      <c r="AY599" t="n">
        <v>29</v>
      </c>
      <c r="AZ599" t="n">
        <v>0</v>
      </c>
      <c r="BA599" t="n">
        <v>4</v>
      </c>
      <c r="BB599" t="n">
        <v>94</v>
      </c>
      <c r="BC599" t="n">
        <v>10</v>
      </c>
      <c r="BD599" t="n">
        <v>32</v>
      </c>
      <c r="BE599" t="n">
        <v>16</v>
      </c>
      <c r="BF599" t="n">
        <v>23</v>
      </c>
      <c r="BG599" t="n">
        <v>4</v>
      </c>
      <c r="BH599" t="n">
        <v>11</v>
      </c>
      <c r="BI599" t="n">
        <v>14</v>
      </c>
      <c r="BJ599" t="n">
        <v>18</v>
      </c>
      <c r="BK599" t="n">
        <v>2</v>
      </c>
      <c r="BL599" t="n">
        <v>1</v>
      </c>
      <c r="BM599" t="n">
        <v>5</v>
      </c>
      <c r="BN599" t="n">
        <v>3</v>
      </c>
      <c r="BO599" t="n">
        <v>7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2</v>
      </c>
      <c r="U600" t="n">
        <v>0</v>
      </c>
      <c r="V600" t="n">
        <v>0</v>
      </c>
      <c r="W600" t="n">
        <v>0</v>
      </c>
      <c r="X600" t="n">
        <v>0</v>
      </c>
      <c r="Y600" t="n">
        <v>180</v>
      </c>
      <c r="Z600" t="n">
        <v>164</v>
      </c>
      <c r="AA600" t="n">
        <v>32</v>
      </c>
      <c r="AB600" t="n">
        <v>2</v>
      </c>
      <c r="AC600" t="n">
        <v>3</v>
      </c>
      <c r="AD600" t="n">
        <v>3</v>
      </c>
      <c r="AE600" t="n">
        <v>4</v>
      </c>
      <c r="AF600" t="n">
        <v>2</v>
      </c>
      <c r="AG600" t="n">
        <v>8</v>
      </c>
      <c r="AH600" t="n">
        <v>51</v>
      </c>
      <c r="AI600" t="n">
        <v>18</v>
      </c>
      <c r="AJ600" t="n">
        <v>54</v>
      </c>
      <c r="AK600" t="n">
        <v>12</v>
      </c>
      <c r="AL600" t="n">
        <v>4</v>
      </c>
      <c r="AM600" t="n">
        <v>65</v>
      </c>
      <c r="AN600" t="n">
        <v>0</v>
      </c>
      <c r="AO600" t="n">
        <v>0</v>
      </c>
      <c r="AP600" t="n">
        <v>3</v>
      </c>
      <c r="AQ600" t="n">
        <v>-2</v>
      </c>
      <c r="AR600" t="n">
        <v>66</v>
      </c>
      <c r="AS600" t="n">
        <v>62</v>
      </c>
      <c r="AT600" t="n">
        <v>1</v>
      </c>
      <c r="AU600" t="n">
        <v>4</v>
      </c>
      <c r="AV600" t="n">
        <v>8</v>
      </c>
      <c r="AW600" t="n">
        <v>34</v>
      </c>
      <c r="AX600" t="n">
        <v>6</v>
      </c>
      <c r="AY600" t="n">
        <v>12</v>
      </c>
      <c r="AZ600" t="n">
        <v>4</v>
      </c>
      <c r="BA600" t="n">
        <v>23</v>
      </c>
      <c r="BB600" t="n">
        <v>55</v>
      </c>
      <c r="BC600" t="n">
        <v>54</v>
      </c>
      <c r="BD600" t="n">
        <v>46</v>
      </c>
      <c r="BE600" t="n">
        <v>34</v>
      </c>
      <c r="BF600" t="n">
        <v>42</v>
      </c>
      <c r="BG600" t="n">
        <v>3</v>
      </c>
      <c r="BH600" t="n">
        <v>0</v>
      </c>
      <c r="BI600" t="n">
        <v>23</v>
      </c>
      <c r="BJ600" t="n">
        <v>21</v>
      </c>
      <c r="BK600" t="n">
        <v>0</v>
      </c>
      <c r="BL600" t="n">
        <v>3</v>
      </c>
      <c r="BM600" t="n">
        <v>9</v>
      </c>
      <c r="BN600" t="n">
        <v>5</v>
      </c>
      <c r="BO600" t="n">
        <v>2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2</v>
      </c>
      <c r="U601" t="n">
        <v>0</v>
      </c>
      <c r="V601" t="n">
        <v>0</v>
      </c>
      <c r="W601" t="n">
        <v>0</v>
      </c>
      <c r="X601" t="n">
        <v>0</v>
      </c>
      <c r="Y601" t="n">
        <v>258</v>
      </c>
      <c r="Z601" t="n">
        <v>261</v>
      </c>
      <c r="AA601" t="n">
        <v>61</v>
      </c>
      <c r="AB601" t="n">
        <v>0</v>
      </c>
      <c r="AC601" t="n">
        <v>2</v>
      </c>
      <c r="AD601" t="n">
        <v>2</v>
      </c>
      <c r="AE601" t="n">
        <v>7</v>
      </c>
      <c r="AF601" t="n">
        <v>0</v>
      </c>
      <c r="AG601" t="n">
        <v>5</v>
      </c>
      <c r="AH601" t="n">
        <v>53</v>
      </c>
      <c r="AI601" t="n">
        <v>47</v>
      </c>
      <c r="AJ601" t="n">
        <v>2</v>
      </c>
      <c r="AK601" t="n">
        <v>51</v>
      </c>
      <c r="AL601" t="n">
        <v>5</v>
      </c>
      <c r="AM601" t="n">
        <v>57</v>
      </c>
      <c r="AN601" t="n">
        <v>0</v>
      </c>
      <c r="AO601" t="n">
        <v>0</v>
      </c>
      <c r="AP601" t="n">
        <v>6</v>
      </c>
      <c r="AQ601" t="n">
        <v>73</v>
      </c>
      <c r="AR601" t="n">
        <v>137</v>
      </c>
      <c r="AS601" t="n">
        <v>77</v>
      </c>
      <c r="AT601" t="n">
        <v>1</v>
      </c>
      <c r="AU601" t="n">
        <v>1</v>
      </c>
      <c r="AV601" t="n">
        <v>28</v>
      </c>
      <c r="AW601" t="n">
        <v>18</v>
      </c>
      <c r="AX601" t="n">
        <v>-1</v>
      </c>
      <c r="AY601" t="n">
        <v>60</v>
      </c>
      <c r="AZ601" t="n">
        <v>3</v>
      </c>
      <c r="BA601" t="n">
        <v>43</v>
      </c>
      <c r="BB601" t="n">
        <v>104</v>
      </c>
      <c r="BC601" t="n">
        <v>47</v>
      </c>
      <c r="BD601" t="n">
        <v>46</v>
      </c>
      <c r="BE601" t="n">
        <v>23</v>
      </c>
      <c r="BF601" t="n">
        <v>2</v>
      </c>
      <c r="BG601" t="n">
        <v>3</v>
      </c>
      <c r="BH601" t="n">
        <v>6</v>
      </c>
      <c r="BI601" t="n">
        <v>80</v>
      </c>
      <c r="BJ601" t="n">
        <v>91</v>
      </c>
      <c r="BK601" t="n">
        <v>3</v>
      </c>
      <c r="BL601" t="n">
        <v>36</v>
      </c>
      <c r="BM601" t="n">
        <v>41</v>
      </c>
      <c r="BN601" t="n">
        <v>12</v>
      </c>
      <c r="BO601" t="n">
        <v>7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141</v>
      </c>
      <c r="Z602" t="n">
        <v>262</v>
      </c>
      <c r="AA602" t="n">
        <v>43</v>
      </c>
      <c r="AB602" t="n">
        <v>1</v>
      </c>
      <c r="AC602" t="n">
        <v>2</v>
      </c>
      <c r="AD602" t="n">
        <v>2</v>
      </c>
      <c r="AE602" t="n">
        <v>9</v>
      </c>
      <c r="AF602" t="n">
        <v>0</v>
      </c>
      <c r="AG602" t="n">
        <v>0</v>
      </c>
      <c r="AH602" t="n">
        <v>73</v>
      </c>
      <c r="AI602" t="n">
        <v>67</v>
      </c>
      <c r="AJ602" t="n">
        <v>7</v>
      </c>
      <c r="AK602" t="n">
        <v>1</v>
      </c>
      <c r="AL602" t="n">
        <v>3</v>
      </c>
      <c r="AM602" t="n">
        <v>54</v>
      </c>
      <c r="AN602" t="n">
        <v>0</v>
      </c>
      <c r="AO602" t="n">
        <v>0</v>
      </c>
      <c r="AP602" t="n">
        <v>9</v>
      </c>
      <c r="AQ602" t="n">
        <v>26</v>
      </c>
      <c r="AR602" t="n">
        <v>91</v>
      </c>
      <c r="AS602" t="n">
        <v>69</v>
      </c>
      <c r="AT602" t="n">
        <v>0</v>
      </c>
      <c r="AU602" t="n">
        <v>1</v>
      </c>
      <c r="AV602" t="n">
        <v>1</v>
      </c>
      <c r="AW602" t="n">
        <v>1</v>
      </c>
      <c r="AX602" t="n">
        <v>5</v>
      </c>
      <c r="AY602" t="n">
        <v>75</v>
      </c>
      <c r="AZ602" t="n">
        <v>2</v>
      </c>
      <c r="BA602" t="n">
        <v>16</v>
      </c>
      <c r="BB602" t="n">
        <v>57</v>
      </c>
      <c r="BC602" t="n">
        <v>44</v>
      </c>
      <c r="BD602" t="n">
        <v>66</v>
      </c>
      <c r="BE602" t="n">
        <v>3</v>
      </c>
      <c r="BF602" t="n">
        <v>10</v>
      </c>
      <c r="BG602" t="n">
        <v>0</v>
      </c>
      <c r="BH602" t="n">
        <v>1</v>
      </c>
      <c r="BI602" t="n">
        <v>1</v>
      </c>
      <c r="BJ602" t="n">
        <v>1</v>
      </c>
      <c r="BK602" t="n">
        <v>3</v>
      </c>
      <c r="BL602" t="n">
        <v>49</v>
      </c>
      <c r="BM602" t="n">
        <v>59</v>
      </c>
      <c r="BN602" t="n">
        <v>19</v>
      </c>
      <c r="BO602" t="n">
        <v>58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162</v>
      </c>
      <c r="Z603" t="n">
        <v>160</v>
      </c>
      <c r="AA603" t="n">
        <v>3</v>
      </c>
      <c r="AB603" t="n">
        <v>0</v>
      </c>
      <c r="AC603" t="n">
        <v>1</v>
      </c>
      <c r="AD603" t="n">
        <v>8</v>
      </c>
      <c r="AE603" t="n">
        <v>4</v>
      </c>
      <c r="AF603" t="n">
        <v>2</v>
      </c>
      <c r="AG603" t="n">
        <v>2</v>
      </c>
      <c r="AH603" t="n">
        <v>76</v>
      </c>
      <c r="AI603" t="n">
        <v>55</v>
      </c>
      <c r="AJ603" t="n">
        <v>15</v>
      </c>
      <c r="AK603" t="n">
        <v>7</v>
      </c>
      <c r="AL603" t="n">
        <v>1</v>
      </c>
      <c r="AM603" t="n">
        <v>9</v>
      </c>
      <c r="AN603" t="n">
        <v>0</v>
      </c>
      <c r="AO603" t="n">
        <v>0</v>
      </c>
      <c r="AP603" t="n">
        <v>0</v>
      </c>
      <c r="AQ603" t="n">
        <v>3</v>
      </c>
      <c r="AR603" t="n">
        <v>80</v>
      </c>
      <c r="AS603" t="n">
        <v>72</v>
      </c>
      <c r="AT603" t="n">
        <v>4</v>
      </c>
      <c r="AU603" t="n">
        <v>3</v>
      </c>
      <c r="AV603" t="n">
        <v>17</v>
      </c>
      <c r="AW603" t="n">
        <v>27</v>
      </c>
      <c r="AX603" t="n">
        <v>1</v>
      </c>
      <c r="AY603" t="n">
        <v>56</v>
      </c>
      <c r="AZ603" t="n">
        <v>3</v>
      </c>
      <c r="BA603" t="n">
        <v>-5</v>
      </c>
      <c r="BB603" t="n">
        <v>2</v>
      </c>
      <c r="BC603" t="n">
        <v>4</v>
      </c>
      <c r="BD603" t="n">
        <v>73</v>
      </c>
      <c r="BE603" t="n">
        <v>27</v>
      </c>
      <c r="BF603" t="n">
        <v>21</v>
      </c>
      <c r="BG603" t="n">
        <v>4</v>
      </c>
      <c r="BH603" t="n">
        <v>4</v>
      </c>
      <c r="BI603" t="n">
        <v>18</v>
      </c>
      <c r="BJ603" t="n">
        <v>15</v>
      </c>
      <c r="BK603" t="n">
        <v>2</v>
      </c>
      <c r="BL603" t="n">
        <v>9</v>
      </c>
      <c r="BM603" t="n">
        <v>11</v>
      </c>
      <c r="BN603" t="n">
        <v>3</v>
      </c>
      <c r="BO603" t="n">
        <v>7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291</v>
      </c>
      <c r="Z604" t="n">
        <v>179</v>
      </c>
      <c r="AA604" t="n">
        <v>99</v>
      </c>
      <c r="AB604" t="n">
        <v>0</v>
      </c>
      <c r="AC604" t="n">
        <v>1</v>
      </c>
      <c r="AD604" t="n">
        <v>4</v>
      </c>
      <c r="AE604" t="n">
        <v>7</v>
      </c>
      <c r="AF604" t="n">
        <v>3</v>
      </c>
      <c r="AG604" t="n">
        <v>0</v>
      </c>
      <c r="AH604" t="n">
        <v>23</v>
      </c>
      <c r="AI604" t="n">
        <v>61</v>
      </c>
      <c r="AJ604" t="n">
        <v>47</v>
      </c>
      <c r="AK604" t="n">
        <v>24</v>
      </c>
      <c r="AL604" t="n">
        <v>5</v>
      </c>
      <c r="AM604" t="n">
        <v>40</v>
      </c>
      <c r="AN604" t="n">
        <v>0</v>
      </c>
      <c r="AO604" t="n">
        <v>0</v>
      </c>
      <c r="AP604" t="n">
        <v>1</v>
      </c>
      <c r="AQ604" t="n">
        <v>16</v>
      </c>
      <c r="AR604" t="n">
        <v>101</v>
      </c>
      <c r="AS604" t="n">
        <v>85</v>
      </c>
      <c r="AT604" t="n">
        <v>2</v>
      </c>
      <c r="AU604" t="n">
        <v>0</v>
      </c>
      <c r="AV604" t="n">
        <v>14</v>
      </c>
      <c r="AW604" t="n">
        <v>4</v>
      </c>
      <c r="AX604" t="n">
        <v>8</v>
      </c>
      <c r="AY604" t="n">
        <v>20</v>
      </c>
      <c r="AZ604" t="n">
        <v>1</v>
      </c>
      <c r="BA604" t="n">
        <v>5</v>
      </c>
      <c r="BB604" t="n">
        <v>100</v>
      </c>
      <c r="BC604" t="n">
        <v>36</v>
      </c>
      <c r="BD604" t="n">
        <v>30</v>
      </c>
      <c r="BE604" t="n">
        <v>3</v>
      </c>
      <c r="BF604" t="n">
        <v>37</v>
      </c>
      <c r="BG604" t="n">
        <v>1</v>
      </c>
      <c r="BH604" t="n">
        <v>24</v>
      </c>
      <c r="BI604" t="n">
        <v>40</v>
      </c>
      <c r="BJ604" t="n">
        <v>40</v>
      </c>
      <c r="BK604" t="n">
        <v>1</v>
      </c>
      <c r="BL604" t="n">
        <v>9</v>
      </c>
      <c r="BM604" t="n">
        <v>11</v>
      </c>
      <c r="BN604" t="n">
        <v>3</v>
      </c>
      <c r="BO604" t="n">
        <v>16</v>
      </c>
    </row>
    <row r="605">
      <c r="A605" t="n">
        <v>0</v>
      </c>
      <c r="B605" t="n">
        <v>0</v>
      </c>
      <c r="C605" t="n">
        <v>0</v>
      </c>
      <c r="D605" t="n">
        <v>3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314</v>
      </c>
      <c r="Z605" t="n">
        <v>186</v>
      </c>
      <c r="AA605" t="n">
        <v>3</v>
      </c>
      <c r="AB605" t="n">
        <v>3</v>
      </c>
      <c r="AC605" t="n">
        <v>0</v>
      </c>
      <c r="AD605" t="n">
        <v>4</v>
      </c>
      <c r="AE605" t="n">
        <v>4</v>
      </c>
      <c r="AF605" t="n">
        <v>6</v>
      </c>
      <c r="AG605" t="n">
        <v>3</v>
      </c>
      <c r="AH605" t="n">
        <v>93</v>
      </c>
      <c r="AI605" t="n">
        <v>32</v>
      </c>
      <c r="AJ605" t="n">
        <v>96</v>
      </c>
      <c r="AK605" t="n">
        <v>54</v>
      </c>
      <c r="AL605" t="n">
        <v>4</v>
      </c>
      <c r="AM605" t="n">
        <v>35</v>
      </c>
      <c r="AN605" t="n">
        <v>0</v>
      </c>
      <c r="AO605" t="n">
        <v>0</v>
      </c>
      <c r="AP605" t="n">
        <v>3</v>
      </c>
      <c r="AQ605" t="n">
        <v>1</v>
      </c>
      <c r="AR605" t="n">
        <v>143</v>
      </c>
      <c r="AS605" t="n">
        <v>133</v>
      </c>
      <c r="AT605" t="n">
        <v>6</v>
      </c>
      <c r="AU605" t="n">
        <v>1</v>
      </c>
      <c r="AV605" t="n">
        <v>75</v>
      </c>
      <c r="AW605" t="n">
        <v>19</v>
      </c>
      <c r="AX605" t="n">
        <v>0</v>
      </c>
      <c r="AY605" t="n">
        <v>20</v>
      </c>
      <c r="AZ605" t="n">
        <v>2</v>
      </c>
      <c r="BA605" t="n">
        <v>8</v>
      </c>
      <c r="BB605" t="n">
        <v>11</v>
      </c>
      <c r="BC605" t="n">
        <v>29</v>
      </c>
      <c r="BD605" t="n">
        <v>84</v>
      </c>
      <c r="BE605" t="n">
        <v>18</v>
      </c>
      <c r="BF605" t="n">
        <v>77</v>
      </c>
      <c r="BG605" t="n">
        <v>1</v>
      </c>
      <c r="BH605" t="n">
        <v>8</v>
      </c>
      <c r="BI605" t="n">
        <v>14</v>
      </c>
      <c r="BJ605" t="n">
        <v>12</v>
      </c>
      <c r="BK605" t="n">
        <v>0</v>
      </c>
      <c r="BL605" t="n">
        <v>1</v>
      </c>
      <c r="BM605" t="n">
        <v>11</v>
      </c>
      <c r="BN605" t="n">
        <v>6</v>
      </c>
      <c r="BO605" t="n">
        <v>2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194</v>
      </c>
      <c r="Z606" t="n">
        <v>167</v>
      </c>
      <c r="AA606" t="n">
        <v>52</v>
      </c>
      <c r="AB606" t="n">
        <v>1</v>
      </c>
      <c r="AC606" t="n">
        <v>1</v>
      </c>
      <c r="AD606" t="n">
        <v>2</v>
      </c>
      <c r="AE606" t="n">
        <v>2</v>
      </c>
      <c r="AF606" t="n">
        <v>7</v>
      </c>
      <c r="AG606" t="n">
        <v>1</v>
      </c>
      <c r="AH606" t="n">
        <v>8</v>
      </c>
      <c r="AI606" t="n">
        <v>53</v>
      </c>
      <c r="AJ606" t="n">
        <v>98</v>
      </c>
      <c r="AK606" t="n">
        <v>3</v>
      </c>
      <c r="AL606" t="n">
        <v>4</v>
      </c>
      <c r="AM606" t="n">
        <v>77</v>
      </c>
      <c r="AN606" t="n">
        <v>0</v>
      </c>
      <c r="AO606" t="n">
        <v>0</v>
      </c>
      <c r="AP606" t="n">
        <v>3</v>
      </c>
      <c r="AQ606" t="n">
        <v>10</v>
      </c>
      <c r="AR606" t="n">
        <v>130</v>
      </c>
      <c r="AS606" t="n">
        <v>116</v>
      </c>
      <c r="AT606" t="n">
        <v>1</v>
      </c>
      <c r="AU606" t="n">
        <v>1</v>
      </c>
      <c r="AV606" t="n">
        <v>33</v>
      </c>
      <c r="AW606" t="n">
        <v>5</v>
      </c>
      <c r="AX606" t="n">
        <v>7</v>
      </c>
      <c r="AY606" t="n">
        <v>20</v>
      </c>
      <c r="AZ606" t="n">
        <v>1</v>
      </c>
      <c r="BA606" t="n">
        <v>7</v>
      </c>
      <c r="BB606" t="n">
        <v>55</v>
      </c>
      <c r="BC606" t="n">
        <v>69</v>
      </c>
      <c r="BD606" t="n">
        <v>5</v>
      </c>
      <c r="BE606" t="n">
        <v>5</v>
      </c>
      <c r="BF606" t="n">
        <v>78</v>
      </c>
      <c r="BG606" t="n">
        <v>1</v>
      </c>
      <c r="BH606" t="n">
        <v>6</v>
      </c>
      <c r="BI606" t="n">
        <v>1</v>
      </c>
      <c r="BJ606" t="n">
        <v>1</v>
      </c>
      <c r="BK606" t="n">
        <v>0</v>
      </c>
      <c r="BL606" t="n">
        <v>7</v>
      </c>
      <c r="BM606" t="n">
        <v>28</v>
      </c>
      <c r="BN606" t="n">
        <v>15</v>
      </c>
      <c r="BO606" t="n">
        <v>2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270</v>
      </c>
      <c r="Z607" t="n">
        <v>289</v>
      </c>
      <c r="AA607" t="n">
        <v>58</v>
      </c>
      <c r="AB607" t="n">
        <v>2</v>
      </c>
      <c r="AC607" t="n">
        <v>1</v>
      </c>
      <c r="AD607" t="n">
        <v>8</v>
      </c>
      <c r="AE607" t="n">
        <v>7</v>
      </c>
      <c r="AF607" t="n">
        <v>2</v>
      </c>
      <c r="AG607" t="n">
        <v>3</v>
      </c>
      <c r="AH607" t="n">
        <v>116</v>
      </c>
      <c r="AI607" t="n">
        <v>65</v>
      </c>
      <c r="AJ607" t="n">
        <v>20</v>
      </c>
      <c r="AK607" t="n">
        <v>18</v>
      </c>
      <c r="AL607" t="n">
        <v>7</v>
      </c>
      <c r="AM607" t="n">
        <v>87</v>
      </c>
      <c r="AN607" t="n">
        <v>0</v>
      </c>
      <c r="AO607" t="n">
        <v>0</v>
      </c>
      <c r="AP607" t="n">
        <v>4</v>
      </c>
      <c r="AQ607" t="n">
        <v>24</v>
      </c>
      <c r="AR607" t="n">
        <v>96</v>
      </c>
      <c r="AS607" t="n">
        <v>75</v>
      </c>
      <c r="AT607" t="n">
        <v>0</v>
      </c>
      <c r="AU607" t="n">
        <v>0</v>
      </c>
      <c r="AV607" t="n">
        <v>15</v>
      </c>
      <c r="AW607" t="n">
        <v>8</v>
      </c>
      <c r="AX607" t="n">
        <v>0</v>
      </c>
      <c r="AY607" t="n">
        <v>11</v>
      </c>
      <c r="AZ607" t="n">
        <v>4</v>
      </c>
      <c r="BA607" t="n">
        <v>24</v>
      </c>
      <c r="BB607" t="n">
        <v>80</v>
      </c>
      <c r="BC607" t="n">
        <v>71</v>
      </c>
      <c r="BD607" t="n">
        <v>105</v>
      </c>
      <c r="BE607" t="n">
        <v>7</v>
      </c>
      <c r="BF607" t="n">
        <v>16</v>
      </c>
      <c r="BG607" t="n">
        <v>1</v>
      </c>
      <c r="BH607" t="n">
        <v>11</v>
      </c>
      <c r="BI607" t="n">
        <v>20</v>
      </c>
      <c r="BJ607" t="n">
        <v>17</v>
      </c>
      <c r="BK607" t="n">
        <v>0</v>
      </c>
      <c r="BL607" t="n">
        <v>1</v>
      </c>
      <c r="BM607" t="n">
        <v>3</v>
      </c>
      <c r="BN607" t="n">
        <v>0</v>
      </c>
      <c r="BO607" t="n">
        <v>9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238</v>
      </c>
      <c r="Z608" t="n">
        <v>97</v>
      </c>
      <c r="AA608" t="n">
        <v>25</v>
      </c>
      <c r="AB608" t="n">
        <v>2</v>
      </c>
      <c r="AC608" t="n">
        <v>0</v>
      </c>
      <c r="AD608" t="n">
        <v>6</v>
      </c>
      <c r="AE608" t="n">
        <v>3</v>
      </c>
      <c r="AF608" t="n">
        <v>2</v>
      </c>
      <c r="AG608" t="n">
        <v>1</v>
      </c>
      <c r="AH608" t="n">
        <v>56</v>
      </c>
      <c r="AI608" t="n">
        <v>12</v>
      </c>
      <c r="AJ608" t="n">
        <v>24</v>
      </c>
      <c r="AK608" t="n">
        <v>16</v>
      </c>
      <c r="AL608" t="n">
        <v>3</v>
      </c>
      <c r="AM608" t="n">
        <v>58</v>
      </c>
      <c r="AN608" t="n">
        <v>1</v>
      </c>
      <c r="AO608" t="n">
        <v>0</v>
      </c>
      <c r="AP608" t="n">
        <v>12</v>
      </c>
      <c r="AQ608" t="n">
        <v>91</v>
      </c>
      <c r="AR608" t="n">
        <v>169</v>
      </c>
      <c r="AS608" t="n">
        <v>91</v>
      </c>
      <c r="AT608" t="n">
        <v>2</v>
      </c>
      <c r="AU608" t="n">
        <v>0</v>
      </c>
      <c r="AV608" t="n">
        <v>29</v>
      </c>
      <c r="AW608" t="n">
        <v>1</v>
      </c>
      <c r="AX608" t="n">
        <v>0</v>
      </c>
      <c r="AY608" t="n">
        <v>91</v>
      </c>
      <c r="AZ608" t="n">
        <v>0</v>
      </c>
      <c r="BA608" t="n">
        <v>1</v>
      </c>
      <c r="BB608" t="n">
        <v>26</v>
      </c>
      <c r="BC608" t="n">
        <v>61</v>
      </c>
      <c r="BD608" t="n">
        <v>54</v>
      </c>
      <c r="BE608" t="n">
        <v>1</v>
      </c>
      <c r="BF608" t="n">
        <v>18</v>
      </c>
      <c r="BG608" t="n">
        <v>1</v>
      </c>
      <c r="BH608" t="n">
        <v>12</v>
      </c>
      <c r="BI608" t="n">
        <v>12</v>
      </c>
      <c r="BJ608" t="n">
        <v>23</v>
      </c>
      <c r="BK608" t="n">
        <v>0</v>
      </c>
      <c r="BL608" t="n">
        <v>1</v>
      </c>
      <c r="BM608" t="n">
        <v>7</v>
      </c>
      <c r="BN608" t="n">
        <v>4</v>
      </c>
      <c r="BO608" t="n">
        <v>2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2</v>
      </c>
      <c r="K609" t="n">
        <v>2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2</v>
      </c>
      <c r="T609" t="n">
        <v>2</v>
      </c>
      <c r="U609" t="n">
        <v>1</v>
      </c>
      <c r="V609" t="n">
        <v>0</v>
      </c>
      <c r="W609" t="n">
        <v>0</v>
      </c>
      <c r="X609" t="n">
        <v>0</v>
      </c>
      <c r="Y609" t="n">
        <v>216</v>
      </c>
      <c r="Z609" t="n">
        <v>153</v>
      </c>
      <c r="AA609" t="n">
        <v>58</v>
      </c>
      <c r="AB609" t="n">
        <v>4</v>
      </c>
      <c r="AC609" t="n">
        <v>3</v>
      </c>
      <c r="AD609" t="n">
        <v>8</v>
      </c>
      <c r="AE609" t="n">
        <v>6</v>
      </c>
      <c r="AF609" t="n">
        <v>7</v>
      </c>
      <c r="AG609" t="n">
        <v>8</v>
      </c>
      <c r="AH609" t="n">
        <v>72</v>
      </c>
      <c r="AI609" t="n">
        <v>53</v>
      </c>
      <c r="AJ609" t="n">
        <v>36</v>
      </c>
      <c r="AK609" t="n">
        <v>113</v>
      </c>
      <c r="AL609" t="n">
        <v>1</v>
      </c>
      <c r="AM609" t="n">
        <v>80</v>
      </c>
      <c r="AN609" t="n">
        <v>0</v>
      </c>
      <c r="AO609" t="n">
        <v>0</v>
      </c>
      <c r="AP609" t="n">
        <v>3</v>
      </c>
      <c r="AQ609" t="n">
        <v>18</v>
      </c>
      <c r="AR609" t="n">
        <v>50</v>
      </c>
      <c r="AS609" t="n">
        <v>35</v>
      </c>
      <c r="AT609" t="n">
        <v>1</v>
      </c>
      <c r="AU609" t="n">
        <v>1</v>
      </c>
      <c r="AV609" t="n">
        <v>1</v>
      </c>
      <c r="AW609" t="n">
        <v>1</v>
      </c>
      <c r="AX609" t="n">
        <v>6</v>
      </c>
      <c r="AY609" t="n">
        <v>50</v>
      </c>
      <c r="AZ609" t="n">
        <v>1</v>
      </c>
      <c r="BA609" t="n">
        <v>1</v>
      </c>
      <c r="BB609" t="n">
        <v>57</v>
      </c>
      <c r="BC609" t="n">
        <v>73</v>
      </c>
      <c r="BD609" t="n">
        <v>65</v>
      </c>
      <c r="BE609" t="n">
        <v>7</v>
      </c>
      <c r="BF609" t="n">
        <v>34</v>
      </c>
      <c r="BG609" t="n">
        <v>1</v>
      </c>
      <c r="BH609" t="n">
        <v>10</v>
      </c>
      <c r="BI609" t="n">
        <v>11</v>
      </c>
      <c r="BJ609" t="n">
        <v>9</v>
      </c>
      <c r="BK609" t="n">
        <v>1</v>
      </c>
      <c r="BL609" t="n">
        <v>4</v>
      </c>
      <c r="BM609" t="n">
        <v>6</v>
      </c>
      <c r="BN609" t="n">
        <v>4</v>
      </c>
      <c r="BO609" t="n">
        <v>2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221</v>
      </c>
      <c r="Z610" t="n">
        <v>257</v>
      </c>
      <c r="AA610" t="n">
        <v>45</v>
      </c>
      <c r="AB610" t="n">
        <v>0</v>
      </c>
      <c r="AC610" t="n">
        <v>0</v>
      </c>
      <c r="AD610" t="n">
        <v>3</v>
      </c>
      <c r="AE610" t="n">
        <v>6</v>
      </c>
      <c r="AF610" t="n">
        <v>3</v>
      </c>
      <c r="AG610" t="n">
        <v>4</v>
      </c>
      <c r="AH610" t="n">
        <v>2</v>
      </c>
      <c r="AI610" t="n">
        <v>71</v>
      </c>
      <c r="AJ610" t="n">
        <v>47</v>
      </c>
      <c r="AK610" t="n">
        <v>28</v>
      </c>
      <c r="AL610" t="n">
        <v>6</v>
      </c>
      <c r="AM610" t="n">
        <v>57</v>
      </c>
      <c r="AN610" t="n">
        <v>0</v>
      </c>
      <c r="AO610" t="n">
        <v>0</v>
      </c>
      <c r="AP610" t="n">
        <v>6</v>
      </c>
      <c r="AQ610" t="n">
        <v>41</v>
      </c>
      <c r="AR610" t="n">
        <v>119</v>
      </c>
      <c r="AS610" t="n">
        <v>84</v>
      </c>
      <c r="AT610" t="n">
        <v>3</v>
      </c>
      <c r="AU610" t="n">
        <v>2</v>
      </c>
      <c r="AV610" t="n">
        <v>32</v>
      </c>
      <c r="AW610" t="n">
        <v>9</v>
      </c>
      <c r="AX610" t="n">
        <v>1</v>
      </c>
      <c r="AY610" t="n">
        <v>35</v>
      </c>
      <c r="AZ610" t="n">
        <v>0</v>
      </c>
      <c r="BA610" t="n">
        <v>24</v>
      </c>
      <c r="BB610" t="n">
        <v>68</v>
      </c>
      <c r="BC610" t="n">
        <v>47</v>
      </c>
      <c r="BD610" t="n">
        <v>17</v>
      </c>
      <c r="BE610" t="n">
        <v>9</v>
      </c>
      <c r="BF610" t="n">
        <v>37</v>
      </c>
      <c r="BG610" t="n">
        <v>4</v>
      </c>
      <c r="BH610" t="n">
        <v>20</v>
      </c>
      <c r="BI610" t="n">
        <v>51</v>
      </c>
      <c r="BJ610" t="n">
        <v>47</v>
      </c>
      <c r="BK610" t="n">
        <v>2</v>
      </c>
      <c r="BL610" t="n">
        <v>20</v>
      </c>
      <c r="BM610" t="n">
        <v>10</v>
      </c>
      <c r="BN610" t="n">
        <v>-2</v>
      </c>
      <c r="BO610" t="n">
        <v>4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1</v>
      </c>
      <c r="V611" t="n">
        <v>0</v>
      </c>
      <c r="W611" t="n">
        <v>0</v>
      </c>
      <c r="X611" t="n">
        <v>0</v>
      </c>
      <c r="Y611" t="n">
        <v>214</v>
      </c>
      <c r="Z611" t="n">
        <v>109</v>
      </c>
      <c r="AA611" t="n">
        <v>122</v>
      </c>
      <c r="AB611" t="n">
        <v>1</v>
      </c>
      <c r="AC611" t="n">
        <v>3</v>
      </c>
      <c r="AD611" t="n">
        <v>6</v>
      </c>
      <c r="AE611" t="n">
        <v>0</v>
      </c>
      <c r="AF611" t="n">
        <v>6</v>
      </c>
      <c r="AG611" t="n">
        <v>1</v>
      </c>
      <c r="AH611" t="n">
        <v>105</v>
      </c>
      <c r="AI611" t="n">
        <v>2</v>
      </c>
      <c r="AJ611" t="n">
        <v>29</v>
      </c>
      <c r="AK611" t="n">
        <v>9</v>
      </c>
      <c r="AL611" t="n">
        <v>2</v>
      </c>
      <c r="AM611" t="n">
        <v>40</v>
      </c>
      <c r="AN611" t="n">
        <v>0</v>
      </c>
      <c r="AO611" t="n">
        <v>0</v>
      </c>
      <c r="AP611" t="n">
        <v>3</v>
      </c>
      <c r="AQ611" t="n">
        <v>15</v>
      </c>
      <c r="AR611" t="n">
        <v>63</v>
      </c>
      <c r="AS611" t="n">
        <v>49</v>
      </c>
      <c r="AT611" t="n">
        <v>1</v>
      </c>
      <c r="AU611" t="n">
        <v>0</v>
      </c>
      <c r="AV611" t="n">
        <v>1</v>
      </c>
      <c r="AW611" t="n">
        <v>11</v>
      </c>
      <c r="AX611" t="n">
        <v>6</v>
      </c>
      <c r="AY611" t="n">
        <v>37</v>
      </c>
      <c r="AZ611" t="n">
        <v>3</v>
      </c>
      <c r="BA611" t="n">
        <v>10</v>
      </c>
      <c r="BB611" t="n">
        <v>124</v>
      </c>
      <c r="BC611" t="n">
        <v>34</v>
      </c>
      <c r="BD611" t="n">
        <v>95</v>
      </c>
      <c r="BE611" t="n">
        <v>14</v>
      </c>
      <c r="BF611" t="n">
        <v>25</v>
      </c>
      <c r="BG611" t="n">
        <v>7</v>
      </c>
      <c r="BH611" t="n">
        <v>0</v>
      </c>
      <c r="BI611" t="n">
        <v>60</v>
      </c>
      <c r="BJ611" t="n">
        <v>55</v>
      </c>
      <c r="BK611" t="n">
        <v>3</v>
      </c>
      <c r="BL611" t="n">
        <v>24</v>
      </c>
      <c r="BM611" t="n">
        <v>28</v>
      </c>
      <c r="BN611" t="n">
        <v>10</v>
      </c>
      <c r="BO611" t="n">
        <v>18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4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189</v>
      </c>
      <c r="Z612" t="n">
        <v>251</v>
      </c>
      <c r="AA612" t="n">
        <v>32</v>
      </c>
      <c r="AB612" t="n">
        <v>0</v>
      </c>
      <c r="AC612" t="n">
        <v>1</v>
      </c>
      <c r="AD612" t="n">
        <v>9</v>
      </c>
      <c r="AE612" t="n">
        <v>2</v>
      </c>
      <c r="AF612" t="n">
        <v>5</v>
      </c>
      <c r="AG612" t="n">
        <v>7</v>
      </c>
      <c r="AH612" t="n">
        <v>81</v>
      </c>
      <c r="AI612" t="n">
        <v>8</v>
      </c>
      <c r="AJ612" t="n">
        <v>47</v>
      </c>
      <c r="AK612" t="n">
        <v>44</v>
      </c>
      <c r="AL612" t="n">
        <v>5</v>
      </c>
      <c r="AM612" t="n">
        <v>155</v>
      </c>
      <c r="AN612" t="n">
        <v>0</v>
      </c>
      <c r="AO612" t="n">
        <v>0</v>
      </c>
      <c r="AP612" t="n">
        <v>2</v>
      </c>
      <c r="AQ612" t="n">
        <v>16</v>
      </c>
      <c r="AR612" t="n">
        <v>61</v>
      </c>
      <c r="AS612" t="n">
        <v>47</v>
      </c>
      <c r="AT612" t="n">
        <v>0</v>
      </c>
      <c r="AU612" t="n">
        <v>2</v>
      </c>
      <c r="AV612" t="n">
        <v>1</v>
      </c>
      <c r="AW612" t="n">
        <v>7</v>
      </c>
      <c r="AX612" t="n">
        <v>0</v>
      </c>
      <c r="AY612" t="n">
        <v>25</v>
      </c>
      <c r="AZ612" t="n">
        <v>0</v>
      </c>
      <c r="BA612" t="n">
        <v>9</v>
      </c>
      <c r="BB612" t="n">
        <v>40</v>
      </c>
      <c r="BC612" t="n">
        <v>131</v>
      </c>
      <c r="BD612" t="n">
        <v>76</v>
      </c>
      <c r="BE612" t="n">
        <v>17</v>
      </c>
      <c r="BF612" t="n">
        <v>37</v>
      </c>
      <c r="BG612" t="n">
        <v>2</v>
      </c>
      <c r="BH612" t="n">
        <v>8</v>
      </c>
      <c r="BI612" t="n">
        <v>1</v>
      </c>
      <c r="BJ612" t="n">
        <v>11</v>
      </c>
      <c r="BK612" t="n">
        <v>3</v>
      </c>
      <c r="BL612" t="n">
        <v>10</v>
      </c>
      <c r="BM612" t="n">
        <v>15</v>
      </c>
      <c r="BN612" t="n">
        <v>5</v>
      </c>
      <c r="BO612" t="n">
        <v>30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</v>
      </c>
      <c r="S613" t="n">
        <v>0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166</v>
      </c>
      <c r="Z613" t="n">
        <v>184</v>
      </c>
      <c r="AA613" t="n">
        <v>71</v>
      </c>
      <c r="AB613" t="n">
        <v>2</v>
      </c>
      <c r="AC613" t="n">
        <v>1</v>
      </c>
      <c r="AD613" t="n">
        <v>4</v>
      </c>
      <c r="AE613" t="n">
        <v>4</v>
      </c>
      <c r="AF613" t="n">
        <v>4</v>
      </c>
      <c r="AG613" t="n">
        <v>0</v>
      </c>
      <c r="AH613" t="n">
        <v>67</v>
      </c>
      <c r="AI613" t="n">
        <v>30</v>
      </c>
      <c r="AJ613" t="n">
        <v>53</v>
      </c>
      <c r="AK613" t="n">
        <v>6</v>
      </c>
      <c r="AL613" t="n">
        <v>5</v>
      </c>
      <c r="AM613" t="n">
        <v>32</v>
      </c>
      <c r="AN613" t="n">
        <v>0</v>
      </c>
      <c r="AO613" t="n">
        <v>0</v>
      </c>
      <c r="AP613" t="n">
        <v>5</v>
      </c>
      <c r="AQ613" t="n">
        <v>18</v>
      </c>
      <c r="AR613" t="n">
        <v>88</v>
      </c>
      <c r="AS613" t="n">
        <v>71</v>
      </c>
      <c r="AT613" t="n">
        <v>4</v>
      </c>
      <c r="AU613" t="n">
        <v>2</v>
      </c>
      <c r="AV613" t="n">
        <v>24</v>
      </c>
      <c r="AW613" t="n">
        <v>14</v>
      </c>
      <c r="AX613" t="n">
        <v>1</v>
      </c>
      <c r="AY613" t="n">
        <v>37</v>
      </c>
      <c r="AZ613" t="n">
        <v>0</v>
      </c>
      <c r="BA613" t="n">
        <v>40</v>
      </c>
      <c r="BB613" t="n">
        <v>111</v>
      </c>
      <c r="BC613" t="n">
        <v>30</v>
      </c>
      <c r="BD613" t="n">
        <v>66</v>
      </c>
      <c r="BE613" t="n">
        <v>18</v>
      </c>
      <c r="BF613" t="n">
        <v>42</v>
      </c>
      <c r="BG613" t="n">
        <v>0</v>
      </c>
      <c r="BH613" t="n">
        <v>0</v>
      </c>
      <c r="BI613" t="n">
        <v>10</v>
      </c>
      <c r="BJ613" t="n">
        <v>22</v>
      </c>
      <c r="BK613" t="n">
        <v>3</v>
      </c>
      <c r="BL613" t="n">
        <v>35</v>
      </c>
      <c r="BM613" t="n">
        <v>26</v>
      </c>
      <c r="BN613" t="n">
        <v>3</v>
      </c>
      <c r="BO613" t="n">
        <v>65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241</v>
      </c>
      <c r="Z614" t="n">
        <v>181</v>
      </c>
      <c r="AA614" t="n">
        <v>72</v>
      </c>
      <c r="AB614" t="n">
        <v>1</v>
      </c>
      <c r="AC614" t="n">
        <v>1</v>
      </c>
      <c r="AD614" t="n">
        <v>5</v>
      </c>
      <c r="AE614" t="n">
        <v>11</v>
      </c>
      <c r="AF614" t="n">
        <v>3</v>
      </c>
      <c r="AG614" t="n">
        <v>4</v>
      </c>
      <c r="AH614" t="n">
        <v>62</v>
      </c>
      <c r="AI614" t="n">
        <v>117</v>
      </c>
      <c r="AJ614" t="n">
        <v>9</v>
      </c>
      <c r="AK614" t="n">
        <v>65</v>
      </c>
      <c r="AL614" t="n">
        <v>3</v>
      </c>
      <c r="AM614" t="n">
        <v>27</v>
      </c>
      <c r="AN614" t="n">
        <v>0</v>
      </c>
      <c r="AO614" t="n">
        <v>0</v>
      </c>
      <c r="AP614" t="n">
        <v>3</v>
      </c>
      <c r="AQ614" t="n">
        <v>7</v>
      </c>
      <c r="AR614" t="n">
        <v>117</v>
      </c>
      <c r="AS614" t="n">
        <v>107</v>
      </c>
      <c r="AT614" t="n">
        <v>0</v>
      </c>
      <c r="AU614" t="n">
        <v>3</v>
      </c>
      <c r="AV614" t="n">
        <v>1</v>
      </c>
      <c r="AW614" t="n">
        <v>17</v>
      </c>
      <c r="AX614" t="n">
        <v>3</v>
      </c>
      <c r="AY614" t="n">
        <v>53</v>
      </c>
      <c r="AZ614" t="n">
        <v>3</v>
      </c>
      <c r="BA614" t="n">
        <v>18</v>
      </c>
      <c r="BB614" t="n">
        <v>88</v>
      </c>
      <c r="BC614" t="n">
        <v>43</v>
      </c>
      <c r="BD614" t="n">
        <v>55</v>
      </c>
      <c r="BE614" t="n">
        <v>18</v>
      </c>
      <c r="BF614" t="n">
        <v>15</v>
      </c>
      <c r="BG614" t="n">
        <v>3</v>
      </c>
      <c r="BH614" t="n">
        <v>7</v>
      </c>
      <c r="BI614" t="n">
        <v>42</v>
      </c>
      <c r="BJ614" t="n">
        <v>38</v>
      </c>
      <c r="BK614" t="n">
        <v>0</v>
      </c>
      <c r="BL614" t="n">
        <v>1</v>
      </c>
      <c r="BM614" t="n">
        <v>8</v>
      </c>
      <c r="BN614" t="n">
        <v>4</v>
      </c>
      <c r="BO614" t="n">
        <v>18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2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276</v>
      </c>
      <c r="Z615" t="n">
        <v>113</v>
      </c>
      <c r="AA615" t="n">
        <v>25</v>
      </c>
      <c r="AB615" t="n">
        <v>1</v>
      </c>
      <c r="AC615" t="n">
        <v>3</v>
      </c>
      <c r="AD615" t="n">
        <v>8</v>
      </c>
      <c r="AE615" t="n">
        <v>5</v>
      </c>
      <c r="AF615" t="n">
        <v>2</v>
      </c>
      <c r="AG615" t="n">
        <v>11</v>
      </c>
      <c r="AH615" t="n">
        <v>85</v>
      </c>
      <c r="AI615" t="n">
        <v>26</v>
      </c>
      <c r="AJ615" t="n">
        <v>20</v>
      </c>
      <c r="AK615" t="n">
        <v>131</v>
      </c>
      <c r="AL615" t="n">
        <v>2</v>
      </c>
      <c r="AM615" t="n">
        <v>35</v>
      </c>
      <c r="AN615" t="n">
        <v>0</v>
      </c>
      <c r="AO615" t="n">
        <v>1</v>
      </c>
      <c r="AP615" t="n">
        <v>4</v>
      </c>
      <c r="AQ615" t="n">
        <v>52</v>
      </c>
      <c r="AR615" t="n">
        <v>81</v>
      </c>
      <c r="AS615" t="n">
        <v>39</v>
      </c>
      <c r="AT615" t="n">
        <v>1</v>
      </c>
      <c r="AU615" t="n">
        <v>1</v>
      </c>
      <c r="AV615" t="n">
        <v>4</v>
      </c>
      <c r="AW615" t="n">
        <v>3</v>
      </c>
      <c r="AX615" t="n">
        <v>0</v>
      </c>
      <c r="AY615" t="n">
        <v>25</v>
      </c>
      <c r="AZ615" t="n">
        <v>3</v>
      </c>
      <c r="BA615" t="n">
        <v>7</v>
      </c>
      <c r="BB615" t="n">
        <v>30</v>
      </c>
      <c r="BC615" t="n">
        <v>29</v>
      </c>
      <c r="BD615" t="n">
        <v>76</v>
      </c>
      <c r="BE615" t="n">
        <v>1</v>
      </c>
      <c r="BF615" t="n">
        <v>16</v>
      </c>
      <c r="BG615" t="n">
        <v>3</v>
      </c>
      <c r="BH615" t="n">
        <v>3</v>
      </c>
      <c r="BI615" t="n">
        <v>16</v>
      </c>
      <c r="BJ615" t="n">
        <v>14</v>
      </c>
      <c r="BK615" t="n">
        <v>1</v>
      </c>
      <c r="BL615" t="n">
        <v>1</v>
      </c>
      <c r="BM615" t="n">
        <v>1</v>
      </c>
      <c r="BN615" t="n">
        <v>1</v>
      </c>
      <c r="BO615" t="n">
        <v>30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248</v>
      </c>
      <c r="Z616" t="n">
        <v>267</v>
      </c>
      <c r="AA616" t="n">
        <v>7</v>
      </c>
      <c r="AB616" t="n">
        <v>0</v>
      </c>
      <c r="AC616" t="n">
        <v>0</v>
      </c>
      <c r="AD616" t="n">
        <v>9</v>
      </c>
      <c r="AE616" t="n">
        <v>8</v>
      </c>
      <c r="AF616" t="n">
        <v>3</v>
      </c>
      <c r="AG616" t="n">
        <v>6</v>
      </c>
      <c r="AH616" t="n">
        <v>91</v>
      </c>
      <c r="AI616" t="n">
        <v>60</v>
      </c>
      <c r="AJ616" t="n">
        <v>29</v>
      </c>
      <c r="AK616" t="n">
        <v>38</v>
      </c>
      <c r="AL616" t="n">
        <v>4</v>
      </c>
      <c r="AM616" t="n">
        <v>46</v>
      </c>
      <c r="AN616" t="n">
        <v>0</v>
      </c>
      <c r="AO616" t="n">
        <v>0</v>
      </c>
      <c r="AP616" t="n">
        <v>7</v>
      </c>
      <c r="AQ616" t="n">
        <v>77</v>
      </c>
      <c r="AR616" t="n">
        <v>202</v>
      </c>
      <c r="AS616" t="n">
        <v>135</v>
      </c>
      <c r="AT616" t="n">
        <v>4</v>
      </c>
      <c r="AU616" t="n">
        <v>0</v>
      </c>
      <c r="AV616" t="n">
        <v>34</v>
      </c>
      <c r="AW616" t="n">
        <v>18</v>
      </c>
      <c r="AX616" t="n">
        <v>7</v>
      </c>
      <c r="AY616" t="n">
        <v>50</v>
      </c>
      <c r="AZ616" t="n">
        <v>2</v>
      </c>
      <c r="BA616" t="n">
        <v>40</v>
      </c>
      <c r="BB616" t="n">
        <v>54</v>
      </c>
      <c r="BC616" t="n">
        <v>39</v>
      </c>
      <c r="BD616" t="n">
        <v>82</v>
      </c>
      <c r="BE616" t="n">
        <v>17</v>
      </c>
      <c r="BF616" t="n">
        <v>23</v>
      </c>
      <c r="BG616" t="n">
        <v>5</v>
      </c>
      <c r="BH616" t="n">
        <v>3</v>
      </c>
      <c r="BI616" t="n">
        <v>39</v>
      </c>
      <c r="BJ616" t="n">
        <v>36</v>
      </c>
      <c r="BK616" t="n">
        <v>8</v>
      </c>
      <c r="BL616" t="n">
        <v>42</v>
      </c>
      <c r="BM616" t="n">
        <v>40</v>
      </c>
      <c r="BN616" t="n">
        <v>10</v>
      </c>
      <c r="BO616" t="n">
        <v>2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122</v>
      </c>
      <c r="Z617" t="n">
        <v>247</v>
      </c>
      <c r="AA617" t="n">
        <v>58</v>
      </c>
      <c r="AB617" t="n">
        <v>1</v>
      </c>
      <c r="AC617" t="n">
        <v>1</v>
      </c>
      <c r="AD617" t="n">
        <v>1</v>
      </c>
      <c r="AE617" t="n">
        <v>7</v>
      </c>
      <c r="AF617" t="n">
        <v>1</v>
      </c>
      <c r="AG617" t="n">
        <v>5</v>
      </c>
      <c r="AH617" t="n">
        <v>29</v>
      </c>
      <c r="AI617" t="n">
        <v>78</v>
      </c>
      <c r="AJ617" t="n">
        <v>30</v>
      </c>
      <c r="AK617" t="n">
        <v>1</v>
      </c>
      <c r="AL617" t="n">
        <v>0</v>
      </c>
      <c r="AM617" t="n">
        <v>2</v>
      </c>
      <c r="AN617" t="n">
        <v>0</v>
      </c>
      <c r="AO617" t="n">
        <v>0</v>
      </c>
      <c r="AP617" t="n">
        <v>2</v>
      </c>
      <c r="AQ617" t="n">
        <v>16</v>
      </c>
      <c r="AR617" t="n">
        <v>53</v>
      </c>
      <c r="AS617" t="n">
        <v>40</v>
      </c>
      <c r="AT617" t="n">
        <v>0</v>
      </c>
      <c r="AU617" t="n">
        <v>3</v>
      </c>
      <c r="AV617" t="n">
        <v>1</v>
      </c>
      <c r="AW617" t="n">
        <v>18</v>
      </c>
      <c r="AX617" t="n">
        <v>4</v>
      </c>
      <c r="AY617" t="n">
        <v>95</v>
      </c>
      <c r="AZ617" t="n">
        <v>5</v>
      </c>
      <c r="BA617" t="n">
        <v>43</v>
      </c>
      <c r="BB617" t="n">
        <v>101</v>
      </c>
      <c r="BC617" t="n">
        <v>20</v>
      </c>
      <c r="BD617" t="n">
        <v>37</v>
      </c>
      <c r="BE617" t="n">
        <v>18</v>
      </c>
      <c r="BF617" t="n">
        <v>24</v>
      </c>
      <c r="BG617" t="n">
        <v>1</v>
      </c>
      <c r="BH617" t="n">
        <v>4</v>
      </c>
      <c r="BI617" t="n">
        <v>36</v>
      </c>
      <c r="BJ617" t="n">
        <v>33</v>
      </c>
      <c r="BK617" t="n">
        <v>5</v>
      </c>
      <c r="BL617" t="n">
        <v>36</v>
      </c>
      <c r="BM617" t="n">
        <v>30</v>
      </c>
      <c r="BN617" t="n">
        <v>5</v>
      </c>
      <c r="BO617" t="n">
        <v>2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280</v>
      </c>
      <c r="Z618" t="n">
        <v>183</v>
      </c>
      <c r="AA618" t="n">
        <v>25</v>
      </c>
      <c r="AB618" t="n">
        <v>2</v>
      </c>
      <c r="AC618" t="n">
        <v>1</v>
      </c>
      <c r="AD618" t="n">
        <v>2</v>
      </c>
      <c r="AE618" t="n">
        <v>1</v>
      </c>
      <c r="AF618" t="n">
        <v>3</v>
      </c>
      <c r="AG618" t="n">
        <v>6</v>
      </c>
      <c r="AH618" t="n">
        <v>26</v>
      </c>
      <c r="AI618" t="n">
        <v>8</v>
      </c>
      <c r="AJ618" t="n">
        <v>34</v>
      </c>
      <c r="AK618" t="n">
        <v>59</v>
      </c>
      <c r="AL618" t="n">
        <v>0</v>
      </c>
      <c r="AM618" t="n">
        <v>2</v>
      </c>
      <c r="AN618" t="n">
        <v>0</v>
      </c>
      <c r="AO618" t="n">
        <v>0</v>
      </c>
      <c r="AP618" t="n">
        <v>4</v>
      </c>
      <c r="AQ618" t="n">
        <v>41</v>
      </c>
      <c r="AR618" t="n">
        <v>85</v>
      </c>
      <c r="AS618" t="n">
        <v>50</v>
      </c>
      <c r="AT618" t="n">
        <v>1</v>
      </c>
      <c r="AU618" t="n">
        <v>1</v>
      </c>
      <c r="AV618" t="n">
        <v>39</v>
      </c>
      <c r="AW618" t="n">
        <v>19</v>
      </c>
      <c r="AX618" t="n">
        <v>1</v>
      </c>
      <c r="AY618" t="n">
        <v>23</v>
      </c>
      <c r="AZ618" t="n">
        <v>1</v>
      </c>
      <c r="BA618" t="n">
        <v>9</v>
      </c>
      <c r="BB618" t="n">
        <v>33</v>
      </c>
      <c r="BC618" t="n">
        <v>31</v>
      </c>
      <c r="BD618" t="n">
        <v>35</v>
      </c>
      <c r="BE618" t="n">
        <v>27</v>
      </c>
      <c r="BF618" t="n">
        <v>34</v>
      </c>
      <c r="BG618" t="n">
        <v>3</v>
      </c>
      <c r="BH618" t="n">
        <v>8</v>
      </c>
      <c r="BI618" t="n">
        <v>31</v>
      </c>
      <c r="BJ618" t="n">
        <v>53</v>
      </c>
      <c r="BK618" t="n">
        <v>4</v>
      </c>
      <c r="BL618" t="n">
        <v>60</v>
      </c>
      <c r="BM618" t="n">
        <v>47</v>
      </c>
      <c r="BN618" t="n">
        <v>5</v>
      </c>
      <c r="BO618" t="n">
        <v>47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2</v>
      </c>
      <c r="S619" t="n">
        <v>0</v>
      </c>
      <c r="T619" t="n">
        <v>3</v>
      </c>
      <c r="U619" t="n">
        <v>0</v>
      </c>
      <c r="V619" t="n">
        <v>0</v>
      </c>
      <c r="W619" t="n">
        <v>0</v>
      </c>
      <c r="X619" t="n">
        <v>0</v>
      </c>
      <c r="Y619" t="n">
        <v>129</v>
      </c>
      <c r="Z619" t="n">
        <v>141</v>
      </c>
      <c r="AA619" t="n">
        <v>38</v>
      </c>
      <c r="AB619" t="n">
        <v>1</v>
      </c>
      <c r="AC619" t="n">
        <v>2</v>
      </c>
      <c r="AD619" t="n">
        <v>2</v>
      </c>
      <c r="AE619" t="n">
        <v>4</v>
      </c>
      <c r="AF619" t="n">
        <v>2</v>
      </c>
      <c r="AG619" t="n">
        <v>3</v>
      </c>
      <c r="AH619" t="n">
        <v>21</v>
      </c>
      <c r="AI619" t="n">
        <v>43</v>
      </c>
      <c r="AJ619" t="n">
        <v>15</v>
      </c>
      <c r="AK619" t="n">
        <v>41</v>
      </c>
      <c r="AL619" t="n">
        <v>3</v>
      </c>
      <c r="AM619" t="n">
        <v>14</v>
      </c>
      <c r="AN619" t="n">
        <v>0</v>
      </c>
      <c r="AO619" t="n">
        <v>0</v>
      </c>
      <c r="AP619" t="n">
        <v>3</v>
      </c>
      <c r="AQ619" t="n">
        <v>12</v>
      </c>
      <c r="AR619" t="n">
        <v>105</v>
      </c>
      <c r="AS619" t="n">
        <v>93</v>
      </c>
      <c r="AT619" t="n">
        <v>1</v>
      </c>
      <c r="AU619" t="n">
        <v>4</v>
      </c>
      <c r="AV619" t="n">
        <v>44</v>
      </c>
      <c r="AW619" t="n">
        <v>24</v>
      </c>
      <c r="AX619" t="n">
        <v>0</v>
      </c>
      <c r="AY619" t="n">
        <v>24</v>
      </c>
      <c r="AZ619" t="n">
        <v>1</v>
      </c>
      <c r="BA619" t="n">
        <v>18</v>
      </c>
      <c r="BB619" t="n">
        <v>54</v>
      </c>
      <c r="BC619" t="n">
        <v>18</v>
      </c>
      <c r="BD619" t="n">
        <v>19</v>
      </c>
      <c r="BE619" t="n">
        <v>26</v>
      </c>
      <c r="BF619" t="n">
        <v>54</v>
      </c>
      <c r="BG619" t="n">
        <v>4</v>
      </c>
      <c r="BH619" t="n">
        <v>5</v>
      </c>
      <c r="BI619" t="n">
        <v>13</v>
      </c>
      <c r="BJ619" t="n">
        <v>11</v>
      </c>
      <c r="BK619" t="n">
        <v>0</v>
      </c>
      <c r="BL619" t="n">
        <v>16</v>
      </c>
      <c r="BM619" t="n">
        <v>15</v>
      </c>
      <c r="BN619" t="n">
        <v>3</v>
      </c>
      <c r="BO619" t="n">
        <v>-10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241</v>
      </c>
      <c r="Z620" t="n">
        <v>340</v>
      </c>
      <c r="AA620" t="n">
        <v>58</v>
      </c>
      <c r="AB620" t="n">
        <v>0</v>
      </c>
      <c r="AC620" t="n">
        <v>2</v>
      </c>
      <c r="AD620" t="n">
        <v>2</v>
      </c>
      <c r="AE620" t="n">
        <v>0</v>
      </c>
      <c r="AF620" t="n">
        <v>4</v>
      </c>
      <c r="AG620" t="n">
        <v>2</v>
      </c>
      <c r="AH620" t="n">
        <v>59</v>
      </c>
      <c r="AI620" t="n">
        <v>57</v>
      </c>
      <c r="AJ620" t="n">
        <v>32</v>
      </c>
      <c r="AK620" t="n">
        <v>10</v>
      </c>
      <c r="AL620" t="n">
        <v>1</v>
      </c>
      <c r="AM620" t="n">
        <v>43</v>
      </c>
      <c r="AN620" t="n">
        <v>0</v>
      </c>
      <c r="AO620" t="n">
        <v>0</v>
      </c>
      <c r="AP620" t="n">
        <v>0</v>
      </c>
      <c r="AQ620" t="n">
        <v>1</v>
      </c>
      <c r="AR620" t="n">
        <v>27</v>
      </c>
      <c r="AS620" t="n">
        <v>22</v>
      </c>
      <c r="AT620" t="n">
        <v>4</v>
      </c>
      <c r="AU620" t="n">
        <v>3</v>
      </c>
      <c r="AV620" t="n">
        <v>33</v>
      </c>
      <c r="AW620" t="n">
        <v>32</v>
      </c>
      <c r="AX620" t="n">
        <v>4</v>
      </c>
      <c r="AY620" t="n">
        <v>13</v>
      </c>
      <c r="AZ620" t="n">
        <v>3</v>
      </c>
      <c r="BA620" t="n">
        <v>34</v>
      </c>
      <c r="BB620" t="n">
        <v>91</v>
      </c>
      <c r="BC620" t="n">
        <v>48</v>
      </c>
      <c r="BD620" t="n">
        <v>74</v>
      </c>
      <c r="BE620" t="n">
        <v>33</v>
      </c>
      <c r="BF620" t="n">
        <v>26</v>
      </c>
      <c r="BG620" t="n">
        <v>3</v>
      </c>
      <c r="BH620" t="n">
        <v>8</v>
      </c>
      <c r="BI620" t="n">
        <v>32</v>
      </c>
      <c r="BJ620" t="n">
        <v>29</v>
      </c>
      <c r="BK620" t="n">
        <v>0</v>
      </c>
      <c r="BL620" t="n">
        <v>1</v>
      </c>
      <c r="BM620" t="n">
        <v>1</v>
      </c>
      <c r="BN620" t="n">
        <v>0</v>
      </c>
      <c r="BO620" t="n">
        <v>44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2</v>
      </c>
      <c r="J621" t="n">
        <v>0</v>
      </c>
      <c r="K621" t="n">
        <v>0</v>
      </c>
      <c r="L621" t="n">
        <v>0</v>
      </c>
      <c r="M621" t="n">
        <v>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268</v>
      </c>
      <c r="Z621" t="n">
        <v>283</v>
      </c>
      <c r="AA621" t="n">
        <v>106</v>
      </c>
      <c r="AB621" t="n">
        <v>2</v>
      </c>
      <c r="AC621" t="n">
        <v>1</v>
      </c>
      <c r="AD621" t="n">
        <v>5</v>
      </c>
      <c r="AE621" t="n">
        <v>4</v>
      </c>
      <c r="AF621" t="n">
        <v>1</v>
      </c>
      <c r="AG621" t="n">
        <v>2</v>
      </c>
      <c r="AH621" t="n">
        <v>29</v>
      </c>
      <c r="AI621" t="n">
        <v>66</v>
      </c>
      <c r="AJ621" t="n">
        <v>31</v>
      </c>
      <c r="AK621" t="n">
        <v>33</v>
      </c>
      <c r="AL621" t="n">
        <v>5</v>
      </c>
      <c r="AM621" t="n">
        <v>33</v>
      </c>
      <c r="AN621" t="n">
        <v>0</v>
      </c>
      <c r="AO621" t="n">
        <v>0</v>
      </c>
      <c r="AP621" t="n">
        <v>8</v>
      </c>
      <c r="AQ621" t="n">
        <v>24</v>
      </c>
      <c r="AR621" t="n">
        <v>116</v>
      </c>
      <c r="AS621" t="n">
        <v>94</v>
      </c>
      <c r="AT621" t="n">
        <v>3</v>
      </c>
      <c r="AU621" t="n">
        <v>3</v>
      </c>
      <c r="AV621" t="n">
        <v>37</v>
      </c>
      <c r="AW621" t="n">
        <v>46</v>
      </c>
      <c r="AX621" t="n">
        <v>2</v>
      </c>
      <c r="AY621" t="n">
        <v>63</v>
      </c>
      <c r="AZ621" t="n">
        <v>6</v>
      </c>
      <c r="BA621" t="n">
        <v>41</v>
      </c>
      <c r="BB621" t="n">
        <v>141</v>
      </c>
      <c r="BC621" t="n">
        <v>33</v>
      </c>
      <c r="BD621" t="n">
        <v>27</v>
      </c>
      <c r="BE621" t="n">
        <v>62</v>
      </c>
      <c r="BF621" t="n">
        <v>33</v>
      </c>
      <c r="BG621" t="n">
        <v>0</v>
      </c>
      <c r="BH621" t="n">
        <v>12</v>
      </c>
      <c r="BI621" t="n">
        <v>1</v>
      </c>
      <c r="BJ621" t="n">
        <v>16</v>
      </c>
      <c r="BK621" t="n">
        <v>2</v>
      </c>
      <c r="BL621" t="n">
        <v>11</v>
      </c>
      <c r="BM621" t="n">
        <v>26</v>
      </c>
      <c r="BN621" t="n">
        <v>12</v>
      </c>
      <c r="BO621" t="n">
        <v>11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170</v>
      </c>
      <c r="Z622" t="n">
        <v>170</v>
      </c>
      <c r="AA622" t="n">
        <v>40</v>
      </c>
      <c r="AB622" t="n">
        <v>2</v>
      </c>
      <c r="AC622" t="n">
        <v>1</v>
      </c>
      <c r="AD622" t="n">
        <v>3</v>
      </c>
      <c r="AE622" t="n">
        <v>7</v>
      </c>
      <c r="AF622" t="n">
        <v>4</v>
      </c>
      <c r="AG622" t="n">
        <v>0</v>
      </c>
      <c r="AH622" t="n">
        <v>26</v>
      </c>
      <c r="AI622" t="n">
        <v>66</v>
      </c>
      <c r="AJ622" t="n">
        <v>40</v>
      </c>
      <c r="AK622" t="n">
        <v>9</v>
      </c>
      <c r="AL622" t="n">
        <v>2</v>
      </c>
      <c r="AM622" t="n">
        <v>42</v>
      </c>
      <c r="AN622" t="n">
        <v>0</v>
      </c>
      <c r="AO622" t="n">
        <v>0</v>
      </c>
      <c r="AP622" t="n">
        <v>9</v>
      </c>
      <c r="AQ622" t="n">
        <v>62</v>
      </c>
      <c r="AR622" t="n">
        <v>156</v>
      </c>
      <c r="AS622" t="n">
        <v>103</v>
      </c>
      <c r="AT622" t="n">
        <v>6</v>
      </c>
      <c r="AU622" t="n">
        <v>1</v>
      </c>
      <c r="AV622" t="n">
        <v>55</v>
      </c>
      <c r="AW622" t="n">
        <v>1</v>
      </c>
      <c r="AX622" t="n">
        <v>0</v>
      </c>
      <c r="AY622" t="n">
        <v>39</v>
      </c>
      <c r="AZ622" t="n">
        <v>1</v>
      </c>
      <c r="BA622" t="n">
        <v>1</v>
      </c>
      <c r="BB622" t="n">
        <v>39</v>
      </c>
      <c r="BC622" t="n">
        <v>35</v>
      </c>
      <c r="BD622" t="n">
        <v>23</v>
      </c>
      <c r="BE622" t="n">
        <v>1</v>
      </c>
      <c r="BF622" t="n">
        <v>31</v>
      </c>
      <c r="BG622" t="n">
        <v>0</v>
      </c>
      <c r="BH622" t="n">
        <v>3</v>
      </c>
      <c r="BI622" t="n">
        <v>12</v>
      </c>
      <c r="BJ622" t="n">
        <v>10</v>
      </c>
      <c r="BK622" t="n">
        <v>4</v>
      </c>
      <c r="BL622" t="n">
        <v>19</v>
      </c>
      <c r="BM622" t="n">
        <v>18</v>
      </c>
      <c r="BN622" t="n">
        <v>4</v>
      </c>
      <c r="BO622" t="n">
        <v>2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2</v>
      </c>
      <c r="F623" t="n">
        <v>0</v>
      </c>
      <c r="G623" t="n">
        <v>2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334</v>
      </c>
      <c r="Z623" t="n">
        <v>83</v>
      </c>
      <c r="AA623" t="n">
        <v>118</v>
      </c>
      <c r="AB623" t="n">
        <v>0</v>
      </c>
      <c r="AC623" t="n">
        <v>1</v>
      </c>
      <c r="AD623" t="n">
        <v>8</v>
      </c>
      <c r="AE623" t="n">
        <v>1</v>
      </c>
      <c r="AF623" t="n">
        <v>4</v>
      </c>
      <c r="AG623" t="n">
        <v>3</v>
      </c>
      <c r="AH623" t="n">
        <v>159</v>
      </c>
      <c r="AI623" t="n">
        <v>2</v>
      </c>
      <c r="AJ623" t="n">
        <v>37</v>
      </c>
      <c r="AK623" t="n">
        <v>18</v>
      </c>
      <c r="AL623" t="n">
        <v>1</v>
      </c>
      <c r="AM623" t="n">
        <v>76</v>
      </c>
      <c r="AN623" t="n">
        <v>0</v>
      </c>
      <c r="AO623" t="n">
        <v>0</v>
      </c>
      <c r="AP623" t="n">
        <v>3</v>
      </c>
      <c r="AQ623" t="n">
        <v>16</v>
      </c>
      <c r="AR623" t="n">
        <v>106</v>
      </c>
      <c r="AS623" t="n">
        <v>90</v>
      </c>
      <c r="AT623" t="n">
        <v>2</v>
      </c>
      <c r="AU623" t="n">
        <v>0</v>
      </c>
      <c r="AV623" t="n">
        <v>17</v>
      </c>
      <c r="AW623" t="n">
        <v>1</v>
      </c>
      <c r="AX623" t="n">
        <v>0</v>
      </c>
      <c r="AY623" t="n">
        <v>17</v>
      </c>
      <c r="AZ623" t="n">
        <v>0</v>
      </c>
      <c r="BA623" t="n">
        <v>1</v>
      </c>
      <c r="BB623" t="n">
        <v>115</v>
      </c>
      <c r="BC623" t="n">
        <v>66</v>
      </c>
      <c r="BD623" t="n">
        <v>141</v>
      </c>
      <c r="BE623" t="n">
        <v>4</v>
      </c>
      <c r="BF623" t="n">
        <v>41</v>
      </c>
      <c r="BG623" t="n">
        <v>0</v>
      </c>
      <c r="BH623" t="n">
        <v>0</v>
      </c>
      <c r="BI623" t="n">
        <v>13</v>
      </c>
      <c r="BJ623" t="n">
        <v>27</v>
      </c>
      <c r="BK623" t="n">
        <v>0</v>
      </c>
      <c r="BL623" t="n">
        <v>1</v>
      </c>
      <c r="BM623" t="n">
        <v>1</v>
      </c>
      <c r="BN623" t="n">
        <v>0</v>
      </c>
      <c r="BO623" t="n">
        <v>4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273</v>
      </c>
      <c r="Z624" t="n">
        <v>221</v>
      </c>
      <c r="AA624" t="n">
        <v>41</v>
      </c>
      <c r="AB624" t="n">
        <v>1</v>
      </c>
      <c r="AC624" t="n">
        <v>3</v>
      </c>
      <c r="AD624" t="n">
        <v>1</v>
      </c>
      <c r="AE624" t="n">
        <v>7</v>
      </c>
      <c r="AF624" t="n">
        <v>7</v>
      </c>
      <c r="AG624" t="n">
        <v>11</v>
      </c>
      <c r="AH624" t="n">
        <v>19</v>
      </c>
      <c r="AI624" t="n">
        <v>55</v>
      </c>
      <c r="AJ624" t="n">
        <v>53</v>
      </c>
      <c r="AK624" t="n">
        <v>111</v>
      </c>
      <c r="AL624" t="n">
        <v>4</v>
      </c>
      <c r="AM624" t="n">
        <v>40</v>
      </c>
      <c r="AN624" t="n">
        <v>0</v>
      </c>
      <c r="AO624" t="n">
        <v>0</v>
      </c>
      <c r="AP624" t="n">
        <v>2</v>
      </c>
      <c r="AQ624" t="n">
        <v>39</v>
      </c>
      <c r="AR624" t="n">
        <v>98</v>
      </c>
      <c r="AS624" t="n">
        <v>65</v>
      </c>
      <c r="AT624" t="n">
        <v>3</v>
      </c>
      <c r="AU624" t="n">
        <v>2</v>
      </c>
      <c r="AV624" t="n">
        <v>22</v>
      </c>
      <c r="AW624" t="n">
        <v>33</v>
      </c>
      <c r="AX624" t="n">
        <v>0</v>
      </c>
      <c r="AY624" t="n">
        <v>24</v>
      </c>
      <c r="AZ624" t="n">
        <v>3</v>
      </c>
      <c r="BA624" t="n">
        <v>8</v>
      </c>
      <c r="BB624" t="n">
        <v>46</v>
      </c>
      <c r="BC624" t="n">
        <v>34</v>
      </c>
      <c r="BD624" t="n">
        <v>16</v>
      </c>
      <c r="BE624" t="n">
        <v>32</v>
      </c>
      <c r="BF624" t="n">
        <v>55</v>
      </c>
      <c r="BG624" t="n">
        <v>2</v>
      </c>
      <c r="BH624" t="n">
        <v>16</v>
      </c>
      <c r="BI624" t="n">
        <v>37</v>
      </c>
      <c r="BJ624" t="n">
        <v>45</v>
      </c>
      <c r="BK624" t="n">
        <v>6</v>
      </c>
      <c r="BL624" t="n">
        <v>67</v>
      </c>
      <c r="BM624" t="n">
        <v>45</v>
      </c>
      <c r="BN624" t="n">
        <v>0</v>
      </c>
      <c r="BO624" t="n">
        <v>2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185</v>
      </c>
      <c r="Z625" t="n">
        <v>160</v>
      </c>
      <c r="AA625" t="n">
        <v>82</v>
      </c>
      <c r="AB625" t="n">
        <v>2</v>
      </c>
      <c r="AC625" t="n">
        <v>0</v>
      </c>
      <c r="AD625" t="n">
        <v>2</v>
      </c>
      <c r="AE625" t="n">
        <v>3</v>
      </c>
      <c r="AF625" t="n">
        <v>4</v>
      </c>
      <c r="AG625" t="n">
        <v>3</v>
      </c>
      <c r="AH625" t="n">
        <v>32</v>
      </c>
      <c r="AI625" t="n">
        <v>51</v>
      </c>
      <c r="AJ625" t="n">
        <v>33</v>
      </c>
      <c r="AK625" t="n">
        <v>28</v>
      </c>
      <c r="AL625" t="n">
        <v>2</v>
      </c>
      <c r="AM625" t="n">
        <v>25</v>
      </c>
      <c r="AN625" t="n">
        <v>0</v>
      </c>
      <c r="AO625" t="n">
        <v>1</v>
      </c>
      <c r="AP625" t="n">
        <v>7</v>
      </c>
      <c r="AQ625" t="n">
        <v>45</v>
      </c>
      <c r="AR625" t="n">
        <v>65</v>
      </c>
      <c r="AS625" t="n">
        <v>27</v>
      </c>
      <c r="AT625" t="n">
        <v>5</v>
      </c>
      <c r="AU625" t="n">
        <v>1</v>
      </c>
      <c r="AV625" t="n">
        <v>69</v>
      </c>
      <c r="AW625" t="n">
        <v>15</v>
      </c>
      <c r="AX625" t="n">
        <v>0</v>
      </c>
      <c r="AY625" t="n">
        <v>80</v>
      </c>
      <c r="AZ625" t="n">
        <v>2</v>
      </c>
      <c r="BA625" t="n">
        <v>12</v>
      </c>
      <c r="BB625" t="n">
        <v>90</v>
      </c>
      <c r="BC625" t="n">
        <v>30</v>
      </c>
      <c r="BD625" t="n">
        <v>29</v>
      </c>
      <c r="BE625" t="n">
        <v>16</v>
      </c>
      <c r="BF625" t="n">
        <v>26</v>
      </c>
      <c r="BG625" t="n">
        <v>2</v>
      </c>
      <c r="BH625" t="n">
        <v>8</v>
      </c>
      <c r="BI625" t="n">
        <v>16</v>
      </c>
      <c r="BJ625" t="n">
        <v>21</v>
      </c>
      <c r="BK625" t="n">
        <v>1</v>
      </c>
      <c r="BL625" t="n">
        <v>9</v>
      </c>
      <c r="BM625" t="n">
        <v>23</v>
      </c>
      <c r="BN625" t="n">
        <v>11</v>
      </c>
      <c r="BO625" t="n">
        <v>28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325</v>
      </c>
      <c r="Z626" t="n">
        <v>247</v>
      </c>
      <c r="AA626" t="n">
        <v>58</v>
      </c>
      <c r="AB626" t="n">
        <v>1</v>
      </c>
      <c r="AC626" t="n">
        <v>2</v>
      </c>
      <c r="AD626" t="n">
        <v>3</v>
      </c>
      <c r="AE626" t="n">
        <v>2</v>
      </c>
      <c r="AF626" t="n">
        <v>1</v>
      </c>
      <c r="AG626" t="n">
        <v>5</v>
      </c>
      <c r="AH626" t="n">
        <v>26</v>
      </c>
      <c r="AI626" t="n">
        <v>2</v>
      </c>
      <c r="AJ626" t="n">
        <v>24</v>
      </c>
      <c r="AK626" t="n">
        <v>25</v>
      </c>
      <c r="AL626" t="n">
        <v>5</v>
      </c>
      <c r="AM626" t="n">
        <v>88</v>
      </c>
      <c r="AN626" t="n">
        <v>0</v>
      </c>
      <c r="AO626" t="n">
        <v>0</v>
      </c>
      <c r="AP626" t="n">
        <v>2</v>
      </c>
      <c r="AQ626" t="n">
        <v>1</v>
      </c>
      <c r="AR626" t="n">
        <v>117</v>
      </c>
      <c r="AS626" t="n">
        <v>108</v>
      </c>
      <c r="AT626" t="n">
        <v>6</v>
      </c>
      <c r="AU626" t="n">
        <v>1</v>
      </c>
      <c r="AV626" t="n">
        <v>66</v>
      </c>
      <c r="AW626" t="n">
        <v>17</v>
      </c>
      <c r="AX626" t="n">
        <v>1</v>
      </c>
      <c r="AY626" t="n">
        <v>6</v>
      </c>
      <c r="AZ626" t="n">
        <v>1</v>
      </c>
      <c r="BA626" t="n">
        <v>17</v>
      </c>
      <c r="BB626" t="n">
        <v>72</v>
      </c>
      <c r="BC626" t="n">
        <v>77</v>
      </c>
      <c r="BD626" t="n">
        <v>24</v>
      </c>
      <c r="BE626" t="n">
        <v>18</v>
      </c>
      <c r="BF626" t="n">
        <v>45</v>
      </c>
      <c r="BG626" t="n">
        <v>4</v>
      </c>
      <c r="BH626" t="n">
        <v>11</v>
      </c>
      <c r="BI626" t="n">
        <v>76</v>
      </c>
      <c r="BJ626" t="n">
        <v>69</v>
      </c>
      <c r="BK626" t="n">
        <v>2</v>
      </c>
      <c r="BL626" t="n">
        <v>41</v>
      </c>
      <c r="BM626" t="n">
        <v>117</v>
      </c>
      <c r="BN626" t="n">
        <v>58</v>
      </c>
      <c r="BO626" t="n">
        <v>2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105</v>
      </c>
      <c r="Z627" t="n">
        <v>150</v>
      </c>
      <c r="AA627" t="n">
        <v>58</v>
      </c>
      <c r="AB627" t="n">
        <v>1</v>
      </c>
      <c r="AC627" t="n">
        <v>0</v>
      </c>
      <c r="AD627" t="n">
        <v>1</v>
      </c>
      <c r="AE627" t="n">
        <v>0</v>
      </c>
      <c r="AF627" t="n">
        <v>2</v>
      </c>
      <c r="AG627" t="n">
        <v>0</v>
      </c>
      <c r="AH627" t="n">
        <v>21</v>
      </c>
      <c r="AI627" t="n">
        <v>8</v>
      </c>
      <c r="AJ627" t="n">
        <v>18</v>
      </c>
      <c r="AK627" t="n">
        <v>1</v>
      </c>
      <c r="AL627" t="n">
        <v>5</v>
      </c>
      <c r="AM627" t="n">
        <v>53</v>
      </c>
      <c r="AN627" t="n">
        <v>0</v>
      </c>
      <c r="AO627" t="n">
        <v>0</v>
      </c>
      <c r="AP627" t="n">
        <v>6</v>
      </c>
      <c r="AQ627" t="n">
        <v>23</v>
      </c>
      <c r="AR627" t="n">
        <v>71</v>
      </c>
      <c r="AS627" t="n">
        <v>53</v>
      </c>
      <c r="AT627" t="n">
        <v>1</v>
      </c>
      <c r="AU627" t="n">
        <v>1</v>
      </c>
      <c r="AV627" t="n">
        <v>1</v>
      </c>
      <c r="AW627" t="n">
        <v>3</v>
      </c>
      <c r="AX627" t="n">
        <v>7</v>
      </c>
      <c r="AY627" t="n">
        <v>12</v>
      </c>
      <c r="AZ627" t="n">
        <v>7</v>
      </c>
      <c r="BA627" t="n">
        <v>50</v>
      </c>
      <c r="BB627" t="n">
        <v>111</v>
      </c>
      <c r="BC627" t="n">
        <v>61</v>
      </c>
      <c r="BD627" t="n">
        <v>25</v>
      </c>
      <c r="BE627" t="n">
        <v>12</v>
      </c>
      <c r="BF627" t="n">
        <v>14</v>
      </c>
      <c r="BG627" t="n">
        <v>4</v>
      </c>
      <c r="BH627" t="n">
        <v>7</v>
      </c>
      <c r="BI627" t="n">
        <v>38</v>
      </c>
      <c r="BJ627" t="n">
        <v>35</v>
      </c>
      <c r="BK627" t="n">
        <v>1</v>
      </c>
      <c r="BL627" t="n">
        <v>5</v>
      </c>
      <c r="BM627" t="n">
        <v>6</v>
      </c>
      <c r="BN627" t="n">
        <v>3</v>
      </c>
      <c r="BO627" t="n">
        <v>7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279</v>
      </c>
      <c r="Z628" t="n">
        <v>226</v>
      </c>
      <c r="AA628" t="n">
        <v>98</v>
      </c>
      <c r="AB628" t="n">
        <v>1</v>
      </c>
      <c r="AC628" t="n">
        <v>1</v>
      </c>
      <c r="AD628" t="n">
        <v>6</v>
      </c>
      <c r="AE628" t="n">
        <v>6</v>
      </c>
      <c r="AF628" t="n">
        <v>5</v>
      </c>
      <c r="AG628" t="n">
        <v>8</v>
      </c>
      <c r="AH628" t="n">
        <v>99</v>
      </c>
      <c r="AI628" t="n">
        <v>38</v>
      </c>
      <c r="AJ628" t="n">
        <v>37</v>
      </c>
      <c r="AK628" t="n">
        <v>96</v>
      </c>
      <c r="AL628" t="n">
        <v>5</v>
      </c>
      <c r="AM628" t="n">
        <v>73</v>
      </c>
      <c r="AN628" t="n">
        <v>0</v>
      </c>
      <c r="AO628" t="n">
        <v>0</v>
      </c>
      <c r="AP628" t="n">
        <v>9</v>
      </c>
      <c r="AQ628" t="n">
        <v>45</v>
      </c>
      <c r="AR628" t="n">
        <v>132</v>
      </c>
      <c r="AS628" t="n">
        <v>94</v>
      </c>
      <c r="AT628" t="n">
        <v>2</v>
      </c>
      <c r="AU628" t="n">
        <v>1</v>
      </c>
      <c r="AV628" t="n">
        <v>8</v>
      </c>
      <c r="AW628" t="n">
        <v>20</v>
      </c>
      <c r="AX628" t="n">
        <v>1</v>
      </c>
      <c r="AY628" t="n">
        <v>42</v>
      </c>
      <c r="AZ628" t="n">
        <v>3</v>
      </c>
      <c r="BA628" t="n">
        <v>21</v>
      </c>
      <c r="BB628" t="n">
        <v>115</v>
      </c>
      <c r="BC628" t="n">
        <v>60</v>
      </c>
      <c r="BD628" t="n">
        <v>89</v>
      </c>
      <c r="BE628" t="n">
        <v>20</v>
      </c>
      <c r="BF628" t="n">
        <v>29</v>
      </c>
      <c r="BG628" t="n">
        <v>0</v>
      </c>
      <c r="BH628" t="n">
        <v>15</v>
      </c>
      <c r="BI628" t="n">
        <v>19</v>
      </c>
      <c r="BJ628" t="n">
        <v>23</v>
      </c>
      <c r="BK628" t="n">
        <v>2</v>
      </c>
      <c r="BL628" t="n">
        <v>13</v>
      </c>
      <c r="BM628" t="n">
        <v>9</v>
      </c>
      <c r="BN628" t="n">
        <v>1</v>
      </c>
      <c r="BO628" t="n">
        <v>2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198</v>
      </c>
      <c r="Z629" t="n">
        <v>190</v>
      </c>
      <c r="AA629" t="n">
        <v>45</v>
      </c>
      <c r="AB629" t="n">
        <v>1</v>
      </c>
      <c r="AC629" t="n">
        <v>0</v>
      </c>
      <c r="AD629" t="n">
        <v>2</v>
      </c>
      <c r="AE629" t="n">
        <v>5</v>
      </c>
      <c r="AF629" t="n">
        <v>1</v>
      </c>
      <c r="AG629" t="n">
        <v>4</v>
      </c>
      <c r="AH629" t="n">
        <v>7</v>
      </c>
      <c r="AI629" t="n">
        <v>37</v>
      </c>
      <c r="AJ629" t="n">
        <v>98</v>
      </c>
      <c r="AK629" t="n">
        <v>44</v>
      </c>
      <c r="AL629" t="n">
        <v>3</v>
      </c>
      <c r="AM629" t="n">
        <v>65</v>
      </c>
      <c r="AN629" t="n">
        <v>1</v>
      </c>
      <c r="AO629" t="n">
        <v>0</v>
      </c>
      <c r="AP629" t="n">
        <v>3</v>
      </c>
      <c r="AQ629" t="n">
        <v>4</v>
      </c>
      <c r="AR629" t="n">
        <v>48</v>
      </c>
      <c r="AS629" t="n">
        <v>42</v>
      </c>
      <c r="AT629" t="n">
        <v>0</v>
      </c>
      <c r="AU629" t="n">
        <v>2</v>
      </c>
      <c r="AV629" t="n">
        <v>23</v>
      </c>
      <c r="AW629" t="n">
        <v>42</v>
      </c>
      <c r="AX629" t="n">
        <v>3</v>
      </c>
      <c r="AY629" t="n">
        <v>39</v>
      </c>
      <c r="AZ629" t="n">
        <v>1</v>
      </c>
      <c r="BA629" t="n">
        <v>11</v>
      </c>
      <c r="BB629" t="n">
        <v>55</v>
      </c>
      <c r="BC629" t="n">
        <v>54</v>
      </c>
      <c r="BD629" t="n">
        <v>6</v>
      </c>
      <c r="BE629" t="n">
        <v>50</v>
      </c>
      <c r="BF629" t="n">
        <v>75</v>
      </c>
      <c r="BG629" t="n">
        <v>2</v>
      </c>
      <c r="BH629" t="n">
        <v>6</v>
      </c>
      <c r="BI629" t="n">
        <v>1</v>
      </c>
      <c r="BJ629" t="n">
        <v>4</v>
      </c>
      <c r="BK629" t="n">
        <v>1</v>
      </c>
      <c r="BL629" t="n">
        <v>1</v>
      </c>
      <c r="BM629" t="n">
        <v>12</v>
      </c>
      <c r="BN629" t="n">
        <v>7</v>
      </c>
      <c r="BO629" t="n">
        <v>30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158</v>
      </c>
      <c r="Z630" t="n">
        <v>129</v>
      </c>
      <c r="AA630" t="n">
        <v>114</v>
      </c>
      <c r="AB630" t="n">
        <v>1</v>
      </c>
      <c r="AC630" t="n">
        <v>1</v>
      </c>
      <c r="AD630" t="n">
        <v>4</v>
      </c>
      <c r="AE630" t="n">
        <v>1</v>
      </c>
      <c r="AF630" t="n">
        <v>4</v>
      </c>
      <c r="AG630" t="n">
        <v>2</v>
      </c>
      <c r="AH630" t="n">
        <v>34</v>
      </c>
      <c r="AI630" t="n">
        <v>40</v>
      </c>
      <c r="AJ630" t="n">
        <v>42</v>
      </c>
      <c r="AK630" t="n">
        <v>7</v>
      </c>
      <c r="AL630" t="n">
        <v>1</v>
      </c>
      <c r="AM630" t="n">
        <v>2</v>
      </c>
      <c r="AN630" t="n">
        <v>1</v>
      </c>
      <c r="AO630" t="n">
        <v>0</v>
      </c>
      <c r="AP630" t="n">
        <v>5</v>
      </c>
      <c r="AQ630" t="n">
        <v>30</v>
      </c>
      <c r="AR630" t="n">
        <v>110</v>
      </c>
      <c r="AS630" t="n">
        <v>83</v>
      </c>
      <c r="AT630" t="n">
        <v>4</v>
      </c>
      <c r="AU630" t="n">
        <v>0</v>
      </c>
      <c r="AV630" t="n">
        <v>22</v>
      </c>
      <c r="AW630" t="n">
        <v>1</v>
      </c>
      <c r="AX630" t="n">
        <v>2</v>
      </c>
      <c r="AY630" t="n">
        <v>70</v>
      </c>
      <c r="AZ630" t="n">
        <v>2</v>
      </c>
      <c r="BA630" t="n">
        <v>17</v>
      </c>
      <c r="BB630" t="n">
        <v>123</v>
      </c>
      <c r="BC630" t="n">
        <v>8</v>
      </c>
      <c r="BD630" t="n">
        <v>42</v>
      </c>
      <c r="BE630" t="n">
        <v>13</v>
      </c>
      <c r="BF630" t="n">
        <v>33</v>
      </c>
      <c r="BG630" t="n">
        <v>5</v>
      </c>
      <c r="BH630" t="n">
        <v>0</v>
      </c>
      <c r="BI630" t="n">
        <v>27</v>
      </c>
      <c r="BJ630" t="n">
        <v>25</v>
      </c>
      <c r="BK630" t="n">
        <v>2</v>
      </c>
      <c r="BL630" t="n">
        <v>20</v>
      </c>
      <c r="BM630" t="n">
        <v>16</v>
      </c>
      <c r="BN630" t="n">
        <v>3</v>
      </c>
      <c r="BO630" t="n">
        <v>23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0</v>
      </c>
      <c r="W631" t="n">
        <v>0</v>
      </c>
      <c r="X631" t="n">
        <v>0</v>
      </c>
      <c r="Y631" t="n">
        <v>149</v>
      </c>
      <c r="Z631" t="n">
        <v>115</v>
      </c>
      <c r="AA631" t="n">
        <v>130</v>
      </c>
      <c r="AB631" t="n">
        <v>0</v>
      </c>
      <c r="AC631" t="n">
        <v>0</v>
      </c>
      <c r="AD631" t="n">
        <v>1</v>
      </c>
      <c r="AE631" t="n">
        <v>6</v>
      </c>
      <c r="AF631" t="n">
        <v>4</v>
      </c>
      <c r="AG631" t="n">
        <v>4</v>
      </c>
      <c r="AH631" t="n">
        <v>13</v>
      </c>
      <c r="AI631" t="n">
        <v>40</v>
      </c>
      <c r="AJ631" t="n">
        <v>50</v>
      </c>
      <c r="AK631" t="n">
        <v>38</v>
      </c>
      <c r="AL631" t="n">
        <v>2</v>
      </c>
      <c r="AM631" t="n">
        <v>50</v>
      </c>
      <c r="AN631" t="n">
        <v>0</v>
      </c>
      <c r="AO631" t="n">
        <v>0</v>
      </c>
      <c r="AP631" t="n">
        <v>0</v>
      </c>
      <c r="AQ631" t="n">
        <v>1</v>
      </c>
      <c r="AR631" t="n">
        <v>114</v>
      </c>
      <c r="AS631" t="n">
        <v>105</v>
      </c>
      <c r="AT631" t="n">
        <v>1</v>
      </c>
      <c r="AU631" t="n">
        <v>0</v>
      </c>
      <c r="AV631" t="n">
        <v>1</v>
      </c>
      <c r="AW631" t="n">
        <v>11</v>
      </c>
      <c r="AX631" t="n">
        <v>6</v>
      </c>
      <c r="AY631" t="n">
        <v>42</v>
      </c>
      <c r="AZ631" t="n">
        <v>1</v>
      </c>
      <c r="BA631" t="n">
        <v>26</v>
      </c>
      <c r="BB631" t="n">
        <v>147</v>
      </c>
      <c r="BC631" t="n">
        <v>42</v>
      </c>
      <c r="BD631" t="n">
        <v>22</v>
      </c>
      <c r="BE631" t="n">
        <v>18</v>
      </c>
      <c r="BF631" t="n">
        <v>38</v>
      </c>
      <c r="BG631" t="n">
        <v>0</v>
      </c>
      <c r="BH631" t="n">
        <v>14</v>
      </c>
      <c r="BI631" t="n">
        <v>1</v>
      </c>
      <c r="BJ631" t="n">
        <v>18</v>
      </c>
      <c r="BK631" t="n">
        <v>0</v>
      </c>
      <c r="BL631" t="n">
        <v>11</v>
      </c>
      <c r="BM631" t="n">
        <v>66</v>
      </c>
      <c r="BN631" t="n">
        <v>42</v>
      </c>
      <c r="BO631" t="n">
        <v>93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2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133</v>
      </c>
      <c r="Z632" t="n">
        <v>137</v>
      </c>
      <c r="AA632" t="n">
        <v>116</v>
      </c>
      <c r="AB632" t="n">
        <v>2</v>
      </c>
      <c r="AC632" t="n">
        <v>1</v>
      </c>
      <c r="AD632" t="n">
        <v>2</v>
      </c>
      <c r="AE632" t="n">
        <v>8</v>
      </c>
      <c r="AF632" t="n">
        <v>3</v>
      </c>
      <c r="AG632" t="n">
        <v>3</v>
      </c>
      <c r="AH632" t="n">
        <v>47</v>
      </c>
      <c r="AI632" t="n">
        <v>54</v>
      </c>
      <c r="AJ632" t="n">
        <v>30</v>
      </c>
      <c r="AK632" t="n">
        <v>25</v>
      </c>
      <c r="AL632" t="n">
        <v>1</v>
      </c>
      <c r="AM632" t="n">
        <v>2</v>
      </c>
      <c r="AN632" t="n">
        <v>0</v>
      </c>
      <c r="AO632" t="n">
        <v>1</v>
      </c>
      <c r="AP632" t="n">
        <v>5</v>
      </c>
      <c r="AQ632" t="n">
        <v>35</v>
      </c>
      <c r="AR632" t="n">
        <v>97</v>
      </c>
      <c r="AS632" t="n">
        <v>69</v>
      </c>
      <c r="AT632" t="n">
        <v>4</v>
      </c>
      <c r="AU632" t="n">
        <v>3</v>
      </c>
      <c r="AV632" t="n">
        <v>22</v>
      </c>
      <c r="AW632" t="n">
        <v>26</v>
      </c>
      <c r="AX632" t="n">
        <v>0</v>
      </c>
      <c r="AY632" t="n">
        <v>38</v>
      </c>
      <c r="AZ632" t="n">
        <v>2</v>
      </c>
      <c r="BA632" t="n">
        <v>9</v>
      </c>
      <c r="BB632" t="n">
        <v>118</v>
      </c>
      <c r="BC632" t="n">
        <v>5</v>
      </c>
      <c r="BD632" t="n">
        <v>69</v>
      </c>
      <c r="BE632" t="n">
        <v>26</v>
      </c>
      <c r="BF632" t="n">
        <v>28</v>
      </c>
      <c r="BG632" t="n">
        <v>1</v>
      </c>
      <c r="BH632" t="n">
        <v>5</v>
      </c>
      <c r="BI632" t="n">
        <v>1</v>
      </c>
      <c r="BJ632" t="n">
        <v>9</v>
      </c>
      <c r="BK632" t="n">
        <v>2</v>
      </c>
      <c r="BL632" t="n">
        <v>7</v>
      </c>
      <c r="BM632" t="n">
        <v>4</v>
      </c>
      <c r="BN632" t="n">
        <v>0</v>
      </c>
      <c r="BO632" t="n">
        <v>100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0</v>
      </c>
      <c r="W633" t="n">
        <v>0</v>
      </c>
      <c r="X633" t="n">
        <v>0</v>
      </c>
      <c r="Y633" t="n">
        <v>156</v>
      </c>
      <c r="Z633" t="n">
        <v>99</v>
      </c>
      <c r="AA633" t="n">
        <v>42</v>
      </c>
      <c r="AB633" t="n">
        <v>3</v>
      </c>
      <c r="AC633" t="n">
        <v>1</v>
      </c>
      <c r="AD633" t="n">
        <v>6</v>
      </c>
      <c r="AE633" t="n">
        <v>3</v>
      </c>
      <c r="AF633" t="n">
        <v>7</v>
      </c>
      <c r="AG633" t="n">
        <v>7</v>
      </c>
      <c r="AH633" t="n">
        <v>15</v>
      </c>
      <c r="AI633" t="n">
        <v>19</v>
      </c>
      <c r="AJ633" t="n">
        <v>53</v>
      </c>
      <c r="AK633" t="n">
        <v>21</v>
      </c>
      <c r="AL633" t="n">
        <v>4</v>
      </c>
      <c r="AM633" t="n">
        <v>25</v>
      </c>
      <c r="AN633" t="n">
        <v>0</v>
      </c>
      <c r="AO633" t="n">
        <v>0</v>
      </c>
      <c r="AP633" t="n">
        <v>0</v>
      </c>
      <c r="AQ633" t="n">
        <v>6</v>
      </c>
      <c r="AR633" t="n">
        <v>112</v>
      </c>
      <c r="AS633" t="n">
        <v>104</v>
      </c>
      <c r="AT633" t="n">
        <v>3</v>
      </c>
      <c r="AU633" t="n">
        <v>2</v>
      </c>
      <c r="AV633" t="n">
        <v>25</v>
      </c>
      <c r="AW633" t="n">
        <v>5</v>
      </c>
      <c r="AX633" t="n">
        <v>2</v>
      </c>
      <c r="AY633" t="n">
        <v>41</v>
      </c>
      <c r="AZ633" t="n">
        <v>2</v>
      </c>
      <c r="BA633" t="n">
        <v>9</v>
      </c>
      <c r="BB633" t="n">
        <v>48</v>
      </c>
      <c r="BC633" t="n">
        <v>21</v>
      </c>
      <c r="BD633" t="n">
        <v>17</v>
      </c>
      <c r="BE633" t="n">
        <v>5</v>
      </c>
      <c r="BF633" t="n">
        <v>42</v>
      </c>
      <c r="BG633" t="n">
        <v>2</v>
      </c>
      <c r="BH633" t="n">
        <v>13</v>
      </c>
      <c r="BI633" t="n">
        <v>26</v>
      </c>
      <c r="BJ633" t="n">
        <v>28</v>
      </c>
      <c r="BK633" t="n">
        <v>6</v>
      </c>
      <c r="BL633" t="n">
        <v>27</v>
      </c>
      <c r="BM633" t="n">
        <v>47</v>
      </c>
      <c r="BN633" t="n">
        <v>20</v>
      </c>
      <c r="BO633" t="n">
        <v>16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240</v>
      </c>
      <c r="Z634" t="n">
        <v>120</v>
      </c>
      <c r="AA634" t="n">
        <v>22</v>
      </c>
      <c r="AB634" t="n">
        <v>1</v>
      </c>
      <c r="AC634" t="n">
        <v>1</v>
      </c>
      <c r="AD634" t="n">
        <v>4</v>
      </c>
      <c r="AE634" t="n">
        <v>5</v>
      </c>
      <c r="AF634" t="n">
        <v>4</v>
      </c>
      <c r="AG634" t="n">
        <v>6</v>
      </c>
      <c r="AH634" t="n">
        <v>36</v>
      </c>
      <c r="AI634" t="n">
        <v>34</v>
      </c>
      <c r="AJ634" t="n">
        <v>57</v>
      </c>
      <c r="AK634" t="n">
        <v>60</v>
      </c>
      <c r="AL634" t="n">
        <v>0</v>
      </c>
      <c r="AM634" t="n">
        <v>2</v>
      </c>
      <c r="AN634" t="n">
        <v>0</v>
      </c>
      <c r="AO634" t="n">
        <v>0</v>
      </c>
      <c r="AP634" t="n">
        <v>3</v>
      </c>
      <c r="AQ634" t="n">
        <v>36</v>
      </c>
      <c r="AR634" t="n">
        <v>97</v>
      </c>
      <c r="AS634" t="n">
        <v>66</v>
      </c>
      <c r="AT634" t="n">
        <v>5</v>
      </c>
      <c r="AU634" t="n">
        <v>1</v>
      </c>
      <c r="AV634" t="n">
        <v>48</v>
      </c>
      <c r="AW634" t="n">
        <v>22</v>
      </c>
      <c r="AX634" t="n">
        <v>5</v>
      </c>
      <c r="AY634" t="n">
        <v>27</v>
      </c>
      <c r="AZ634" t="n">
        <v>2</v>
      </c>
      <c r="BA634" t="n">
        <v>16</v>
      </c>
      <c r="BB634" t="n">
        <v>37</v>
      </c>
      <c r="BC634" t="n">
        <v>41</v>
      </c>
      <c r="BD634" t="n">
        <v>32</v>
      </c>
      <c r="BE634" t="n">
        <v>28</v>
      </c>
      <c r="BF634" t="n">
        <v>45</v>
      </c>
      <c r="BG634" t="n">
        <v>3</v>
      </c>
      <c r="BH634" t="n">
        <v>8</v>
      </c>
      <c r="BI634" t="n">
        <v>30</v>
      </c>
      <c r="BJ634" t="n">
        <v>37</v>
      </c>
      <c r="BK634" t="n">
        <v>3</v>
      </c>
      <c r="BL634" t="n">
        <v>3</v>
      </c>
      <c r="BM634" t="n">
        <v>34</v>
      </c>
      <c r="BN634" t="n">
        <v>21</v>
      </c>
      <c r="BO634" t="n">
        <v>2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2</v>
      </c>
      <c r="X635" t="n">
        <v>0</v>
      </c>
      <c r="Y635" t="n">
        <v>202</v>
      </c>
      <c r="Z635" t="n">
        <v>141</v>
      </c>
      <c r="AA635" t="n">
        <v>66</v>
      </c>
      <c r="AB635" t="n">
        <v>2</v>
      </c>
      <c r="AC635" t="n">
        <v>1</v>
      </c>
      <c r="AD635" t="n">
        <v>3</v>
      </c>
      <c r="AE635" t="n">
        <v>1</v>
      </c>
      <c r="AF635" t="n">
        <v>4</v>
      </c>
      <c r="AG635" t="n">
        <v>1</v>
      </c>
      <c r="AH635" t="n">
        <v>44</v>
      </c>
      <c r="AI635" t="n">
        <v>3</v>
      </c>
      <c r="AJ635" t="n">
        <v>59</v>
      </c>
      <c r="AK635" t="n">
        <v>15</v>
      </c>
      <c r="AL635" t="n">
        <v>1</v>
      </c>
      <c r="AM635" t="n">
        <v>14</v>
      </c>
      <c r="AN635" t="n">
        <v>0</v>
      </c>
      <c r="AO635" t="n">
        <v>0</v>
      </c>
      <c r="AP635" t="n">
        <v>1</v>
      </c>
      <c r="AQ635" t="n">
        <v>1</v>
      </c>
      <c r="AR635" t="n">
        <v>79</v>
      </c>
      <c r="AS635" t="n">
        <v>71</v>
      </c>
      <c r="AT635" t="n">
        <v>1</v>
      </c>
      <c r="AU635" t="n">
        <v>3</v>
      </c>
      <c r="AV635" t="n">
        <v>5</v>
      </c>
      <c r="AW635" t="n">
        <v>15</v>
      </c>
      <c r="AX635" t="n">
        <v>0</v>
      </c>
      <c r="AY635" t="n">
        <v>40</v>
      </c>
      <c r="AZ635" t="n">
        <v>3</v>
      </c>
      <c r="BA635" t="n">
        <v>9</v>
      </c>
      <c r="BB635" t="n">
        <v>70</v>
      </c>
      <c r="BC635" t="n">
        <v>14</v>
      </c>
      <c r="BD635" t="n">
        <v>41</v>
      </c>
      <c r="BE635" t="n">
        <v>15</v>
      </c>
      <c r="BF635" t="n">
        <v>49</v>
      </c>
      <c r="BG635" t="n">
        <v>2</v>
      </c>
      <c r="BH635" t="n">
        <v>5</v>
      </c>
      <c r="BI635" t="n">
        <v>40</v>
      </c>
      <c r="BJ635" t="n">
        <v>37</v>
      </c>
      <c r="BK635" t="n">
        <v>1</v>
      </c>
      <c r="BL635" t="n">
        <v>9</v>
      </c>
      <c r="BM635" t="n">
        <v>9</v>
      </c>
      <c r="BN635" t="n">
        <v>3</v>
      </c>
      <c r="BO635" t="n">
        <v>100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256</v>
      </c>
      <c r="Z636" t="n">
        <v>141</v>
      </c>
      <c r="AA636" t="n">
        <v>59</v>
      </c>
      <c r="AB636" t="n">
        <v>1</v>
      </c>
      <c r="AC636" t="n">
        <v>0</v>
      </c>
      <c r="AD636" t="n">
        <v>1</v>
      </c>
      <c r="AE636" t="n">
        <v>6</v>
      </c>
      <c r="AF636" t="n">
        <v>6</v>
      </c>
      <c r="AG636" t="n">
        <v>2</v>
      </c>
      <c r="AH636" t="n">
        <v>2</v>
      </c>
      <c r="AI636" t="n">
        <v>83</v>
      </c>
      <c r="AJ636" t="n">
        <v>47</v>
      </c>
      <c r="AK636" t="n">
        <v>15</v>
      </c>
      <c r="AL636" t="n">
        <v>4</v>
      </c>
      <c r="AM636" t="n">
        <v>51</v>
      </c>
      <c r="AN636" t="n">
        <v>1</v>
      </c>
      <c r="AO636" t="n">
        <v>0</v>
      </c>
      <c r="AP636" t="n">
        <v>6</v>
      </c>
      <c r="AQ636" t="n">
        <v>42</v>
      </c>
      <c r="AR636" t="n">
        <v>126</v>
      </c>
      <c r="AS636" t="n">
        <v>89</v>
      </c>
      <c r="AT636" t="n">
        <v>6</v>
      </c>
      <c r="AU636" t="n">
        <v>1</v>
      </c>
      <c r="AV636" t="n">
        <v>34</v>
      </c>
      <c r="AW636" t="n">
        <v>1</v>
      </c>
      <c r="AX636" t="n">
        <v>1</v>
      </c>
      <c r="AY636" t="n">
        <v>59</v>
      </c>
      <c r="AZ636" t="n">
        <v>4</v>
      </c>
      <c r="BA636" t="n">
        <v>5</v>
      </c>
      <c r="BB636" t="n">
        <v>59</v>
      </c>
      <c r="BC636" t="n">
        <v>43</v>
      </c>
      <c r="BD636" t="n">
        <v>24</v>
      </c>
      <c r="BE636" t="n">
        <v>8</v>
      </c>
      <c r="BF636" t="n">
        <v>39</v>
      </c>
      <c r="BG636" t="n">
        <v>0</v>
      </c>
      <c r="BH636" t="n">
        <v>9</v>
      </c>
      <c r="BI636" t="n">
        <v>11</v>
      </c>
      <c r="BJ636" t="n">
        <v>12</v>
      </c>
      <c r="BK636" t="n">
        <v>8</v>
      </c>
      <c r="BL636" t="n">
        <v>42</v>
      </c>
      <c r="BM636" t="n">
        <v>85</v>
      </c>
      <c r="BN636" t="n">
        <v>44</v>
      </c>
      <c r="BO636" t="n">
        <v>2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215</v>
      </c>
      <c r="Z637" t="n">
        <v>195</v>
      </c>
      <c r="AA637" t="n">
        <v>108</v>
      </c>
      <c r="AB637" t="n">
        <v>0</v>
      </c>
      <c r="AC637" t="n">
        <v>0</v>
      </c>
      <c r="AD637" t="n">
        <v>5</v>
      </c>
      <c r="AE637" t="n">
        <v>2</v>
      </c>
      <c r="AF637" t="n">
        <v>6</v>
      </c>
      <c r="AG637" t="n">
        <v>5</v>
      </c>
      <c r="AH637" t="n">
        <v>37</v>
      </c>
      <c r="AI637" t="n">
        <v>25</v>
      </c>
      <c r="AJ637" t="n">
        <v>55</v>
      </c>
      <c r="AK637" t="n">
        <v>66</v>
      </c>
      <c r="AL637" t="n">
        <v>4</v>
      </c>
      <c r="AM637" t="n">
        <v>31</v>
      </c>
      <c r="AN637" t="n">
        <v>0</v>
      </c>
      <c r="AO637" t="n">
        <v>0</v>
      </c>
      <c r="AP637" t="n">
        <v>5</v>
      </c>
      <c r="AQ637" t="n">
        <v>65</v>
      </c>
      <c r="AR637" t="n">
        <v>90</v>
      </c>
      <c r="AS637" t="n">
        <v>33</v>
      </c>
      <c r="AT637" t="n">
        <v>3</v>
      </c>
      <c r="AU637" t="n">
        <v>2</v>
      </c>
      <c r="AV637" t="n">
        <v>36</v>
      </c>
      <c r="AW637" t="n">
        <v>17</v>
      </c>
      <c r="AX637" t="n">
        <v>2</v>
      </c>
      <c r="AY637" t="n">
        <v>22</v>
      </c>
      <c r="AZ637" t="n">
        <v>2</v>
      </c>
      <c r="BA637" t="n">
        <v>12</v>
      </c>
      <c r="BB637" t="n">
        <v>115</v>
      </c>
      <c r="BC637" t="n">
        <v>27</v>
      </c>
      <c r="BD637" t="n">
        <v>37</v>
      </c>
      <c r="BE637" t="n">
        <v>20</v>
      </c>
      <c r="BF637" t="n">
        <v>46</v>
      </c>
      <c r="BG637" t="n">
        <v>1</v>
      </c>
      <c r="BH637" t="n">
        <v>0</v>
      </c>
      <c r="BI637" t="n">
        <v>1</v>
      </c>
      <c r="BJ637" t="n">
        <v>1</v>
      </c>
      <c r="BK637" t="n">
        <v>3</v>
      </c>
      <c r="BL637" t="n">
        <v>14</v>
      </c>
      <c r="BM637" t="n">
        <v>46</v>
      </c>
      <c r="BN637" t="n">
        <v>25</v>
      </c>
      <c r="BO637" t="n">
        <v>35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216</v>
      </c>
      <c r="Z638" t="n">
        <v>148</v>
      </c>
      <c r="AA638" t="n">
        <v>39</v>
      </c>
      <c r="AB638" t="n">
        <v>2</v>
      </c>
      <c r="AC638" t="n">
        <v>2</v>
      </c>
      <c r="AD638" t="n">
        <v>0</v>
      </c>
      <c r="AE638" t="n">
        <v>5</v>
      </c>
      <c r="AF638" t="n">
        <v>5</v>
      </c>
      <c r="AG638" t="n">
        <v>5</v>
      </c>
      <c r="AH638" t="n">
        <v>21</v>
      </c>
      <c r="AI638" t="n">
        <v>39</v>
      </c>
      <c r="AJ638" t="n">
        <v>98</v>
      </c>
      <c r="AK638" t="n">
        <v>51</v>
      </c>
      <c r="AL638" t="n">
        <v>7</v>
      </c>
      <c r="AM638" t="n">
        <v>46</v>
      </c>
      <c r="AN638" t="n">
        <v>0</v>
      </c>
      <c r="AO638" t="n">
        <v>0</v>
      </c>
      <c r="AP638" t="n">
        <v>3</v>
      </c>
      <c r="AQ638" t="n">
        <v>27</v>
      </c>
      <c r="AR638" t="n">
        <v>75</v>
      </c>
      <c r="AS638" t="n">
        <v>52</v>
      </c>
      <c r="AT638" t="n">
        <v>2</v>
      </c>
      <c r="AU638" t="n">
        <v>1</v>
      </c>
      <c r="AV638" t="n">
        <v>13</v>
      </c>
      <c r="AW638" t="n">
        <v>6</v>
      </c>
      <c r="AX638" t="n">
        <v>0</v>
      </c>
      <c r="AY638" t="n">
        <v>24</v>
      </c>
      <c r="AZ638" t="n">
        <v>2</v>
      </c>
      <c r="BA638" t="n">
        <v>5</v>
      </c>
      <c r="BB638" t="n">
        <v>41</v>
      </c>
      <c r="BC638" t="n">
        <v>38</v>
      </c>
      <c r="BD638" t="n">
        <v>38</v>
      </c>
      <c r="BE638" t="n">
        <v>13</v>
      </c>
      <c r="BF638" t="n">
        <v>81</v>
      </c>
      <c r="BG638" t="n">
        <v>3</v>
      </c>
      <c r="BH638" t="n">
        <v>2</v>
      </c>
      <c r="BI638" t="n">
        <v>49</v>
      </c>
      <c r="BJ638" t="n">
        <v>49</v>
      </c>
      <c r="BK638" t="n">
        <v>1</v>
      </c>
      <c r="BL638" t="n">
        <v>20</v>
      </c>
      <c r="BM638" t="n">
        <v>33</v>
      </c>
      <c r="BN638" t="n">
        <v>14</v>
      </c>
      <c r="BO638" t="n">
        <v>2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170</v>
      </c>
      <c r="Z639" t="n">
        <v>190</v>
      </c>
      <c r="AA639" t="n">
        <v>77</v>
      </c>
      <c r="AB639" t="n">
        <v>0</v>
      </c>
      <c r="AC639" t="n">
        <v>1</v>
      </c>
      <c r="AD639" t="n">
        <v>0</v>
      </c>
      <c r="AE639" t="n">
        <v>4</v>
      </c>
      <c r="AF639" t="n">
        <v>1</v>
      </c>
      <c r="AG639" t="n">
        <v>3</v>
      </c>
      <c r="AH639" t="n">
        <v>8</v>
      </c>
      <c r="AI639" t="n">
        <v>19</v>
      </c>
      <c r="AJ639" t="n">
        <v>12</v>
      </c>
      <c r="AK639" t="n">
        <v>47</v>
      </c>
      <c r="AL639" t="n">
        <v>2</v>
      </c>
      <c r="AM639" t="n">
        <v>24</v>
      </c>
      <c r="AN639" t="n">
        <v>0</v>
      </c>
      <c r="AO639" t="n">
        <v>0</v>
      </c>
      <c r="AP639" t="n">
        <v>6</v>
      </c>
      <c r="AQ639" t="n">
        <v>65</v>
      </c>
      <c r="AR639" t="n">
        <v>78</v>
      </c>
      <c r="AS639" t="n">
        <v>20</v>
      </c>
      <c r="AT639" t="n">
        <v>1</v>
      </c>
      <c r="AU639" t="n">
        <v>1</v>
      </c>
      <c r="AV639" t="n">
        <v>1</v>
      </c>
      <c r="AW639" t="n">
        <v>35</v>
      </c>
      <c r="AX639" t="n">
        <v>10</v>
      </c>
      <c r="AY639" t="n">
        <v>19</v>
      </c>
      <c r="AZ639" t="n">
        <v>0</v>
      </c>
      <c r="BA639" t="n">
        <v>4</v>
      </c>
      <c r="BB639" t="n">
        <v>75</v>
      </c>
      <c r="BC639" t="n">
        <v>39</v>
      </c>
      <c r="BD639" t="n">
        <v>7</v>
      </c>
      <c r="BE639" t="n">
        <v>35</v>
      </c>
      <c r="BF639" t="n">
        <v>10</v>
      </c>
      <c r="BG639" t="n">
        <v>0</v>
      </c>
      <c r="BH639" t="n">
        <v>8</v>
      </c>
      <c r="BI639" t="n">
        <v>16</v>
      </c>
      <c r="BJ639" t="n">
        <v>13</v>
      </c>
      <c r="BK639" t="n">
        <v>2</v>
      </c>
      <c r="BL639" t="n">
        <v>13</v>
      </c>
      <c r="BM639" t="n">
        <v>17</v>
      </c>
      <c r="BN639" t="n">
        <v>6</v>
      </c>
      <c r="BO639" t="n">
        <v>11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2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2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179</v>
      </c>
      <c r="Z640" t="n">
        <v>126</v>
      </c>
      <c r="AA640" t="n">
        <v>48</v>
      </c>
      <c r="AB640" t="n">
        <v>3</v>
      </c>
      <c r="AC640" t="n">
        <v>1</v>
      </c>
      <c r="AD640" t="n">
        <v>5</v>
      </c>
      <c r="AE640" t="n">
        <v>4</v>
      </c>
      <c r="AF640" t="n">
        <v>6</v>
      </c>
      <c r="AG640" t="n">
        <v>3</v>
      </c>
      <c r="AH640" t="n">
        <v>54</v>
      </c>
      <c r="AI640" t="n">
        <v>72</v>
      </c>
      <c r="AJ640" t="n">
        <v>42</v>
      </c>
      <c r="AK640" t="n">
        <v>36</v>
      </c>
      <c r="AL640" t="n">
        <v>3</v>
      </c>
      <c r="AM640" t="n">
        <v>32</v>
      </c>
      <c r="AN640" t="n">
        <v>0</v>
      </c>
      <c r="AO640" t="n">
        <v>0</v>
      </c>
      <c r="AP640" t="n">
        <v>3</v>
      </c>
      <c r="AQ640" t="n">
        <v>10</v>
      </c>
      <c r="AR640" t="n">
        <v>96</v>
      </c>
      <c r="AS640" t="n">
        <v>85</v>
      </c>
      <c r="AT640" t="n">
        <v>4</v>
      </c>
      <c r="AU640" t="n">
        <v>1</v>
      </c>
      <c r="AV640" t="n">
        <v>27</v>
      </c>
      <c r="AW640" t="n">
        <v>4</v>
      </c>
      <c r="AX640" t="n">
        <v>3</v>
      </c>
      <c r="AY640" t="n">
        <v>25</v>
      </c>
      <c r="AZ640" t="n">
        <v>0</v>
      </c>
      <c r="BA640" t="n">
        <v>1</v>
      </c>
      <c r="BB640" t="n">
        <v>47</v>
      </c>
      <c r="BC640" t="n">
        <v>29</v>
      </c>
      <c r="BD640" t="n">
        <v>49</v>
      </c>
      <c r="BE640" t="n">
        <v>4</v>
      </c>
      <c r="BF640" t="n">
        <v>33</v>
      </c>
      <c r="BG640" t="n">
        <v>0</v>
      </c>
      <c r="BH640" t="n">
        <v>16</v>
      </c>
      <c r="BI640" t="n">
        <v>3</v>
      </c>
      <c r="BJ640" t="n">
        <v>1</v>
      </c>
      <c r="BK640" t="n">
        <v>1</v>
      </c>
      <c r="BL640" t="n">
        <v>18</v>
      </c>
      <c r="BM640" t="n">
        <v>16</v>
      </c>
      <c r="BN640" t="n">
        <v>4</v>
      </c>
      <c r="BO640" t="n">
        <v>2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211</v>
      </c>
      <c r="Z641" t="n">
        <v>155</v>
      </c>
      <c r="AA641" t="n">
        <v>39</v>
      </c>
      <c r="AB641" t="n">
        <v>2</v>
      </c>
      <c r="AC641" t="n">
        <v>0</v>
      </c>
      <c r="AD641" t="n">
        <v>6</v>
      </c>
      <c r="AE641" t="n">
        <v>0</v>
      </c>
      <c r="AF641" t="n">
        <v>4</v>
      </c>
      <c r="AG641" t="n">
        <v>4</v>
      </c>
      <c r="AH641" t="n">
        <v>33</v>
      </c>
      <c r="AI641" t="n">
        <v>3</v>
      </c>
      <c r="AJ641" t="n">
        <v>15</v>
      </c>
      <c r="AK641" t="n">
        <v>18</v>
      </c>
      <c r="AL641" t="n">
        <v>4</v>
      </c>
      <c r="AM641" t="n">
        <v>22</v>
      </c>
      <c r="AN641" t="n">
        <v>1</v>
      </c>
      <c r="AO641" t="n">
        <v>0</v>
      </c>
      <c r="AP641" t="n">
        <v>11</v>
      </c>
      <c r="AQ641" t="n">
        <v>56</v>
      </c>
      <c r="AR641" t="n">
        <v>153</v>
      </c>
      <c r="AS641" t="n">
        <v>106</v>
      </c>
      <c r="AT641" t="n">
        <v>3</v>
      </c>
      <c r="AU641" t="n">
        <v>3</v>
      </c>
      <c r="AV641" t="n">
        <v>13</v>
      </c>
      <c r="AW641" t="n">
        <v>16</v>
      </c>
      <c r="AX641" t="n">
        <v>0</v>
      </c>
      <c r="AY641" t="n">
        <v>22</v>
      </c>
      <c r="AZ641" t="n">
        <v>2</v>
      </c>
      <c r="BA641" t="n">
        <v>1</v>
      </c>
      <c r="BB641" t="n">
        <v>38</v>
      </c>
      <c r="BC641" t="n">
        <v>19</v>
      </c>
      <c r="BD641" t="n">
        <v>29</v>
      </c>
      <c r="BE641" t="n">
        <v>17</v>
      </c>
      <c r="BF641" t="n">
        <v>14</v>
      </c>
      <c r="BG641" t="n">
        <v>7</v>
      </c>
      <c r="BH641" t="n">
        <v>0</v>
      </c>
      <c r="BI641" t="n">
        <v>78</v>
      </c>
      <c r="BJ641" t="n">
        <v>72</v>
      </c>
      <c r="BK641" t="n">
        <v>2</v>
      </c>
      <c r="BL641" t="n">
        <v>22</v>
      </c>
      <c r="BM641" t="n">
        <v>16</v>
      </c>
      <c r="BN641" t="n">
        <v>1</v>
      </c>
      <c r="BO641" t="n">
        <v>11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254</v>
      </c>
      <c r="Z642" t="n">
        <v>165</v>
      </c>
      <c r="AA642" t="n">
        <v>66</v>
      </c>
      <c r="AB642" t="n">
        <v>1</v>
      </c>
      <c r="AC642" t="n">
        <v>2</v>
      </c>
      <c r="AD642" t="n">
        <v>6</v>
      </c>
      <c r="AE642" t="n">
        <v>3</v>
      </c>
      <c r="AF642" t="n">
        <v>4</v>
      </c>
      <c r="AG642" t="n">
        <v>1</v>
      </c>
      <c r="AH642" t="n">
        <v>91</v>
      </c>
      <c r="AI642" t="n">
        <v>22</v>
      </c>
      <c r="AJ642" t="n">
        <v>96</v>
      </c>
      <c r="AK642" t="n">
        <v>1</v>
      </c>
      <c r="AL642" t="n">
        <v>1</v>
      </c>
      <c r="AM642" t="n">
        <v>2</v>
      </c>
      <c r="AN642" t="n">
        <v>0</v>
      </c>
      <c r="AO642" t="n">
        <v>0</v>
      </c>
      <c r="AP642" t="n">
        <v>13</v>
      </c>
      <c r="AQ642" t="n">
        <v>79</v>
      </c>
      <c r="AR642" t="n">
        <v>145</v>
      </c>
      <c r="AS642" t="n">
        <v>80</v>
      </c>
      <c r="AT642" t="n">
        <v>2</v>
      </c>
      <c r="AU642" t="n">
        <v>2</v>
      </c>
      <c r="AV642" t="n">
        <v>1</v>
      </c>
      <c r="AW642" t="n">
        <v>1</v>
      </c>
      <c r="AX642" t="n">
        <v>1</v>
      </c>
      <c r="AY642" t="n">
        <v>19</v>
      </c>
      <c r="AZ642" t="n">
        <v>1</v>
      </c>
      <c r="BA642" t="n">
        <v>17</v>
      </c>
      <c r="BB642" t="n">
        <v>79</v>
      </c>
      <c r="BC642" t="n">
        <v>4</v>
      </c>
      <c r="BD642" t="n">
        <v>84</v>
      </c>
      <c r="BE642" t="n">
        <v>3</v>
      </c>
      <c r="BF642" t="n">
        <v>76</v>
      </c>
      <c r="BG642" t="n">
        <v>2</v>
      </c>
      <c r="BH642" t="n">
        <v>3</v>
      </c>
      <c r="BI642" t="n">
        <v>20</v>
      </c>
      <c r="BJ642" t="n">
        <v>18</v>
      </c>
      <c r="BK642" t="n">
        <v>3</v>
      </c>
      <c r="BL642" t="n">
        <v>33</v>
      </c>
      <c r="BM642" t="n">
        <v>24</v>
      </c>
      <c r="BN642" t="n">
        <v>3</v>
      </c>
      <c r="BO642" t="n">
        <v>40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158</v>
      </c>
      <c r="Z643" t="n">
        <v>289</v>
      </c>
      <c r="AA643" t="n">
        <v>99</v>
      </c>
      <c r="AB643" t="n">
        <v>1</v>
      </c>
      <c r="AC643" t="n">
        <v>2</v>
      </c>
      <c r="AD643" t="n">
        <v>4</v>
      </c>
      <c r="AE643" t="n">
        <v>6</v>
      </c>
      <c r="AF643" t="n">
        <v>0</v>
      </c>
      <c r="AG643" t="n">
        <v>3</v>
      </c>
      <c r="AH643" t="n">
        <v>57</v>
      </c>
      <c r="AI643" t="n">
        <v>30</v>
      </c>
      <c r="AJ643" t="n">
        <v>-10</v>
      </c>
      <c r="AK643" t="n">
        <v>93</v>
      </c>
      <c r="AL643" t="n">
        <v>5</v>
      </c>
      <c r="AM643" t="n">
        <v>98</v>
      </c>
      <c r="AN643" t="n">
        <v>0</v>
      </c>
      <c r="AO643" t="n">
        <v>0</v>
      </c>
      <c r="AP643" t="n">
        <v>2</v>
      </c>
      <c r="AQ643" t="n">
        <v>1</v>
      </c>
      <c r="AR643" t="n">
        <v>132</v>
      </c>
      <c r="AS643" t="n">
        <v>122</v>
      </c>
      <c r="AT643" t="n">
        <v>1</v>
      </c>
      <c r="AU643" t="n">
        <v>3</v>
      </c>
      <c r="AV643" t="n">
        <v>1</v>
      </c>
      <c r="AW643" t="n">
        <v>38</v>
      </c>
      <c r="AX643" t="n">
        <v>3</v>
      </c>
      <c r="AY643" t="n">
        <v>19</v>
      </c>
      <c r="AZ643" t="n">
        <v>1</v>
      </c>
      <c r="BA643" t="n">
        <v>10</v>
      </c>
      <c r="BB643" t="n">
        <v>106</v>
      </c>
      <c r="BC643" t="n">
        <v>81</v>
      </c>
      <c r="BD643" t="n">
        <v>50</v>
      </c>
      <c r="BE643" t="n">
        <v>37</v>
      </c>
      <c r="BF643" t="n">
        <v>10</v>
      </c>
      <c r="BG643" t="n">
        <v>0</v>
      </c>
      <c r="BH643" t="n">
        <v>5</v>
      </c>
      <c r="BI643" t="n">
        <v>1</v>
      </c>
      <c r="BJ643" t="n">
        <v>4</v>
      </c>
      <c r="BK643" t="n">
        <v>5</v>
      </c>
      <c r="BL643" t="n">
        <v>25</v>
      </c>
      <c r="BM643" t="n">
        <v>36</v>
      </c>
      <c r="BN643" t="n">
        <v>14</v>
      </c>
      <c r="BO643" t="n">
        <v>72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2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101</v>
      </c>
      <c r="Z644" t="n">
        <v>178</v>
      </c>
      <c r="AA644" t="n">
        <v>42</v>
      </c>
      <c r="AB644" t="n">
        <v>2</v>
      </c>
      <c r="AC644" t="n">
        <v>1</v>
      </c>
      <c r="AD644" t="n">
        <v>3</v>
      </c>
      <c r="AE644" t="n">
        <v>4</v>
      </c>
      <c r="AF644" t="n">
        <v>1</v>
      </c>
      <c r="AG644" t="n">
        <v>5</v>
      </c>
      <c r="AH644" t="n">
        <v>49</v>
      </c>
      <c r="AI644" t="n">
        <v>50</v>
      </c>
      <c r="AJ644" t="n">
        <v>12</v>
      </c>
      <c r="AK644" t="n">
        <v>38</v>
      </c>
      <c r="AL644" t="n">
        <v>2</v>
      </c>
      <c r="AM644" t="n">
        <v>50</v>
      </c>
      <c r="AN644" t="n">
        <v>0</v>
      </c>
      <c r="AO644" t="n">
        <v>0</v>
      </c>
      <c r="AP644" t="n">
        <v>3</v>
      </c>
      <c r="AQ644" t="n">
        <v>12</v>
      </c>
      <c r="AR644" t="n">
        <v>165</v>
      </c>
      <c r="AS644" t="n">
        <v>148</v>
      </c>
      <c r="AT644" t="n">
        <v>1</v>
      </c>
      <c r="AU644" t="n">
        <v>1</v>
      </c>
      <c r="AV644" t="n">
        <v>1</v>
      </c>
      <c r="AW644" t="n">
        <v>1</v>
      </c>
      <c r="AX644" t="n">
        <v>-1</v>
      </c>
      <c r="AY644" t="n">
        <v>3</v>
      </c>
      <c r="AZ644" t="n">
        <v>3</v>
      </c>
      <c r="BA644" t="n">
        <v>15</v>
      </c>
      <c r="BB644" t="n">
        <v>55</v>
      </c>
      <c r="BC644" t="n">
        <v>48</v>
      </c>
      <c r="BD644" t="n">
        <v>54</v>
      </c>
      <c r="BE644" t="n">
        <v>1</v>
      </c>
      <c r="BF644" t="n">
        <v>15</v>
      </c>
      <c r="BG644" t="n">
        <v>2</v>
      </c>
      <c r="BH644" t="n">
        <v>2</v>
      </c>
      <c r="BI644" t="n">
        <v>16</v>
      </c>
      <c r="BJ644" t="n">
        <v>14</v>
      </c>
      <c r="BK644" t="n">
        <v>2</v>
      </c>
      <c r="BL644" t="n">
        <v>27</v>
      </c>
      <c r="BM644" t="n">
        <v>23</v>
      </c>
      <c r="BN644" t="n">
        <v>4</v>
      </c>
      <c r="BO644" t="n">
        <v>18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2</v>
      </c>
      <c r="U645" t="n">
        <v>0</v>
      </c>
      <c r="V645" t="n">
        <v>0</v>
      </c>
      <c r="W645" t="n">
        <v>0</v>
      </c>
      <c r="X645" t="n">
        <v>0</v>
      </c>
      <c r="Y645" t="n">
        <v>165</v>
      </c>
      <c r="Z645" t="n">
        <v>217</v>
      </c>
      <c r="AA645" t="n">
        <v>93</v>
      </c>
      <c r="AB645" t="n">
        <v>0</v>
      </c>
      <c r="AC645" t="n">
        <v>0</v>
      </c>
      <c r="AD645" t="n">
        <v>4</v>
      </c>
      <c r="AE645" t="n">
        <v>9</v>
      </c>
      <c r="AF645" t="n">
        <v>1</v>
      </c>
      <c r="AG645" t="n">
        <v>3</v>
      </c>
      <c r="AH645" t="n">
        <v>40</v>
      </c>
      <c r="AI645" t="n">
        <v>75</v>
      </c>
      <c r="AJ645" t="n">
        <v>13</v>
      </c>
      <c r="AK645" t="n">
        <v>53</v>
      </c>
      <c r="AL645" t="n">
        <v>4</v>
      </c>
      <c r="AM645" t="n">
        <v>59</v>
      </c>
      <c r="AN645" t="n">
        <v>0</v>
      </c>
      <c r="AO645" t="n">
        <v>0</v>
      </c>
      <c r="AP645" t="n">
        <v>5</v>
      </c>
      <c r="AQ645" t="n">
        <v>21</v>
      </c>
      <c r="AR645" t="n">
        <v>98</v>
      </c>
      <c r="AS645" t="n">
        <v>80</v>
      </c>
      <c r="AT645" t="n">
        <v>0</v>
      </c>
      <c r="AU645" t="n">
        <v>1</v>
      </c>
      <c r="AV645" t="n">
        <v>24</v>
      </c>
      <c r="AW645" t="n">
        <v>8</v>
      </c>
      <c r="AX645" t="n">
        <v>0</v>
      </c>
      <c r="AY645" t="n">
        <v>9</v>
      </c>
      <c r="AZ645" t="n">
        <v>3</v>
      </c>
      <c r="BA645" t="n">
        <v>7</v>
      </c>
      <c r="BB645" t="n">
        <v>95</v>
      </c>
      <c r="BC645" t="n">
        <v>54</v>
      </c>
      <c r="BD645" t="n">
        <v>35</v>
      </c>
      <c r="BE645" t="n">
        <v>8</v>
      </c>
      <c r="BF645" t="n">
        <v>10</v>
      </c>
      <c r="BG645" t="n">
        <v>6</v>
      </c>
      <c r="BH645" t="n">
        <v>8</v>
      </c>
      <c r="BI645" t="n">
        <v>46</v>
      </c>
      <c r="BJ645" t="n">
        <v>41</v>
      </c>
      <c r="BK645" t="n">
        <v>9</v>
      </c>
      <c r="BL645" t="n">
        <v>75</v>
      </c>
      <c r="BM645" t="n">
        <v>50</v>
      </c>
      <c r="BN645" t="n">
        <v>1</v>
      </c>
      <c r="BO645" t="n">
        <v>2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360</v>
      </c>
      <c r="Z646" t="n">
        <v>177</v>
      </c>
      <c r="AA646" t="n">
        <v>39</v>
      </c>
      <c r="AB646" t="n">
        <v>0</v>
      </c>
      <c r="AC646" t="n">
        <v>1</v>
      </c>
      <c r="AD646" t="n">
        <v>0</v>
      </c>
      <c r="AE646" t="n">
        <v>7</v>
      </c>
      <c r="AF646" t="n">
        <v>0</v>
      </c>
      <c r="AG646" t="n">
        <v>5</v>
      </c>
      <c r="AH646" t="n">
        <v>51</v>
      </c>
      <c r="AI646" t="n">
        <v>62</v>
      </c>
      <c r="AJ646" t="n">
        <v>63</v>
      </c>
      <c r="AK646" t="n">
        <v>68</v>
      </c>
      <c r="AL646" t="n">
        <v>2</v>
      </c>
      <c r="AM646" t="n">
        <v>72</v>
      </c>
      <c r="AN646" t="n">
        <v>0</v>
      </c>
      <c r="AO646" t="n">
        <v>0</v>
      </c>
      <c r="AP646" t="n">
        <v>1</v>
      </c>
      <c r="AQ646" t="n">
        <v>23</v>
      </c>
      <c r="AR646" t="n">
        <v>188</v>
      </c>
      <c r="AS646" t="n">
        <v>165</v>
      </c>
      <c r="AT646" t="n">
        <v>1</v>
      </c>
      <c r="AU646" t="n">
        <v>0</v>
      </c>
      <c r="AV646" t="n">
        <v>25</v>
      </c>
      <c r="AW646" t="n">
        <v>11</v>
      </c>
      <c r="AX646" t="n">
        <v>6</v>
      </c>
      <c r="AY646" t="n">
        <v>51</v>
      </c>
      <c r="AZ646" t="n">
        <v>1</v>
      </c>
      <c r="BA646" t="n">
        <v>5</v>
      </c>
      <c r="BB646" t="n">
        <v>41</v>
      </c>
      <c r="BC646" t="n">
        <v>60</v>
      </c>
      <c r="BD646" t="n">
        <v>56</v>
      </c>
      <c r="BE646" t="n">
        <v>11</v>
      </c>
      <c r="BF646" t="n">
        <v>65</v>
      </c>
      <c r="BG646" t="n">
        <v>3</v>
      </c>
      <c r="BH646" t="n">
        <v>34</v>
      </c>
      <c r="BI646" t="n">
        <v>27</v>
      </c>
      <c r="BJ646" t="n">
        <v>32</v>
      </c>
      <c r="BK646" t="n">
        <v>3</v>
      </c>
      <c r="BL646" t="n">
        <v>20</v>
      </c>
      <c r="BM646" t="n">
        <v>13</v>
      </c>
      <c r="BN646" t="n">
        <v>-1</v>
      </c>
      <c r="BO646" t="n">
        <v>79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175</v>
      </c>
      <c r="Z647" t="n">
        <v>235</v>
      </c>
      <c r="AA647" t="n">
        <v>86</v>
      </c>
      <c r="AB647" t="n">
        <v>3</v>
      </c>
      <c r="AC647" t="n">
        <v>0</v>
      </c>
      <c r="AD647" t="n">
        <v>2</v>
      </c>
      <c r="AE647" t="n">
        <v>2</v>
      </c>
      <c r="AF647" t="n">
        <v>4</v>
      </c>
      <c r="AG647" t="n">
        <v>8</v>
      </c>
      <c r="AH647" t="n">
        <v>33</v>
      </c>
      <c r="AI647" t="n">
        <v>59</v>
      </c>
      <c r="AJ647" t="n">
        <v>2</v>
      </c>
      <c r="AK647" t="n">
        <v>59</v>
      </c>
      <c r="AL647" t="n">
        <v>7</v>
      </c>
      <c r="AM647" t="n">
        <v>76</v>
      </c>
      <c r="AN647" t="n">
        <v>0</v>
      </c>
      <c r="AO647" t="n">
        <v>0</v>
      </c>
      <c r="AP647" t="n">
        <v>2</v>
      </c>
      <c r="AQ647" t="n">
        <v>7</v>
      </c>
      <c r="AR647" t="n">
        <v>71</v>
      </c>
      <c r="AS647" t="n">
        <v>64</v>
      </c>
      <c r="AT647" t="n">
        <v>0</v>
      </c>
      <c r="AU647" t="n">
        <v>2</v>
      </c>
      <c r="AV647" t="n">
        <v>1</v>
      </c>
      <c r="AW647" t="n">
        <v>10</v>
      </c>
      <c r="AX647" t="n">
        <v>1</v>
      </c>
      <c r="AY647" t="n">
        <v>52</v>
      </c>
      <c r="AZ647" t="n">
        <v>1</v>
      </c>
      <c r="BA647" t="n">
        <v>9</v>
      </c>
      <c r="BB647" t="n">
        <v>90</v>
      </c>
      <c r="BC647" t="n">
        <v>67</v>
      </c>
      <c r="BD647" t="n">
        <v>33</v>
      </c>
      <c r="BE647" t="n">
        <v>13</v>
      </c>
      <c r="BF647" t="n">
        <v>2</v>
      </c>
      <c r="BG647" t="n">
        <v>1</v>
      </c>
      <c r="BH647" t="n">
        <v>19</v>
      </c>
      <c r="BI647" t="n">
        <v>6</v>
      </c>
      <c r="BJ647" t="n">
        <v>1</v>
      </c>
      <c r="BK647" t="n">
        <v>2</v>
      </c>
      <c r="BL647" t="n">
        <v>24</v>
      </c>
      <c r="BM647" t="n">
        <v>16</v>
      </c>
      <c r="BN647" t="n">
        <v>0</v>
      </c>
      <c r="BO647" t="n">
        <v>2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291</v>
      </c>
      <c r="Z648" t="n">
        <v>192</v>
      </c>
      <c r="AA648" t="n">
        <v>34</v>
      </c>
      <c r="AB648" t="n">
        <v>2</v>
      </c>
      <c r="AC648" t="n">
        <v>1</v>
      </c>
      <c r="AD648" t="n">
        <v>7</v>
      </c>
      <c r="AE648" t="n">
        <v>7</v>
      </c>
      <c r="AF648" t="n">
        <v>2</v>
      </c>
      <c r="AG648" t="n">
        <v>2</v>
      </c>
      <c r="AH648" t="n">
        <v>91</v>
      </c>
      <c r="AI648" t="n">
        <v>55</v>
      </c>
      <c r="AJ648" t="n">
        <v>55</v>
      </c>
      <c r="AK648" t="n">
        <v>1</v>
      </c>
      <c r="AL648" t="n">
        <v>1</v>
      </c>
      <c r="AM648" t="n">
        <v>2</v>
      </c>
      <c r="AN648" t="n">
        <v>0</v>
      </c>
      <c r="AO648" t="n">
        <v>0</v>
      </c>
      <c r="AP648" t="n">
        <v>0</v>
      </c>
      <c r="AQ648" t="n">
        <v>16</v>
      </c>
      <c r="AR648" t="n">
        <v>106</v>
      </c>
      <c r="AS648" t="n">
        <v>91</v>
      </c>
      <c r="AT648" t="n">
        <v>4</v>
      </c>
      <c r="AU648" t="n">
        <v>2</v>
      </c>
      <c r="AV648" t="n">
        <v>76</v>
      </c>
      <c r="AW648" t="n">
        <v>19</v>
      </c>
      <c r="AX648" t="n">
        <v>2</v>
      </c>
      <c r="AY648" t="n">
        <v>26</v>
      </c>
      <c r="AZ648" t="n">
        <v>3</v>
      </c>
      <c r="BA648" t="n">
        <v>10</v>
      </c>
      <c r="BB648" t="n">
        <v>42</v>
      </c>
      <c r="BC648" t="n">
        <v>23</v>
      </c>
      <c r="BD648" t="n">
        <v>81</v>
      </c>
      <c r="BE648" t="n">
        <v>19</v>
      </c>
      <c r="BF648" t="n">
        <v>43</v>
      </c>
      <c r="BG648" t="n">
        <v>4</v>
      </c>
      <c r="BH648" t="n">
        <v>-1</v>
      </c>
      <c r="BI648" t="n">
        <v>57</v>
      </c>
      <c r="BJ648" t="n">
        <v>65</v>
      </c>
      <c r="BK648" t="n">
        <v>3</v>
      </c>
      <c r="BL648" t="n">
        <v>25</v>
      </c>
      <c r="BM648" t="n">
        <v>39</v>
      </c>
      <c r="BN648" t="n">
        <v>15</v>
      </c>
      <c r="BO648" t="n">
        <v>28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3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171</v>
      </c>
      <c r="Z649" t="n">
        <v>325</v>
      </c>
      <c r="AA649" t="n">
        <v>38</v>
      </c>
      <c r="AB649" t="n">
        <v>0</v>
      </c>
      <c r="AC649" t="n">
        <v>2</v>
      </c>
      <c r="AD649" t="n">
        <v>7</v>
      </c>
      <c r="AE649" t="n">
        <v>3</v>
      </c>
      <c r="AF649" t="n">
        <v>1</v>
      </c>
      <c r="AG649" t="n">
        <v>0</v>
      </c>
      <c r="AH649" t="n">
        <v>41</v>
      </c>
      <c r="AI649" t="n">
        <v>18</v>
      </c>
      <c r="AJ649" t="n">
        <v>7</v>
      </c>
      <c r="AK649" t="n">
        <v>1</v>
      </c>
      <c r="AL649" t="n">
        <v>3</v>
      </c>
      <c r="AM649" t="n">
        <v>43</v>
      </c>
      <c r="AN649" t="n">
        <v>0</v>
      </c>
      <c r="AO649" t="n">
        <v>0</v>
      </c>
      <c r="AP649" t="n">
        <v>1</v>
      </c>
      <c r="AQ649" t="n">
        <v>9</v>
      </c>
      <c r="AR649" t="n">
        <v>185</v>
      </c>
      <c r="AS649" t="n">
        <v>173</v>
      </c>
      <c r="AT649" t="n">
        <v>5</v>
      </c>
      <c r="AU649" t="n">
        <v>3</v>
      </c>
      <c r="AV649" t="n">
        <v>29</v>
      </c>
      <c r="AW649" t="n">
        <v>48</v>
      </c>
      <c r="AX649" t="n">
        <v>1</v>
      </c>
      <c r="AY649" t="n">
        <v>24</v>
      </c>
      <c r="AZ649" t="n">
        <v>2</v>
      </c>
      <c r="BA649" t="n">
        <v>14</v>
      </c>
      <c r="BB649" t="n">
        <v>50</v>
      </c>
      <c r="BC649" t="n">
        <v>36</v>
      </c>
      <c r="BD649" t="n">
        <v>51</v>
      </c>
      <c r="BE649" t="n">
        <v>48</v>
      </c>
      <c r="BF649" t="n">
        <v>10</v>
      </c>
      <c r="BG649" t="n">
        <v>2</v>
      </c>
      <c r="BH649" t="n">
        <v>15</v>
      </c>
      <c r="BI649" t="n">
        <v>16</v>
      </c>
      <c r="BJ649" t="n">
        <v>31</v>
      </c>
      <c r="BK649" t="n">
        <v>0</v>
      </c>
      <c r="BL649" t="n">
        <v>20</v>
      </c>
      <c r="BM649" t="n">
        <v>13</v>
      </c>
      <c r="BN649" t="n">
        <v>1</v>
      </c>
      <c r="BO649" t="n">
        <v>2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185</v>
      </c>
      <c r="Z650" t="n">
        <v>332</v>
      </c>
      <c r="AA650" t="n">
        <v>47</v>
      </c>
      <c r="AB650" t="n">
        <v>1</v>
      </c>
      <c r="AC650" t="n">
        <v>0</v>
      </c>
      <c r="AD650" t="n">
        <v>3</v>
      </c>
      <c r="AE650" t="n">
        <v>8</v>
      </c>
      <c r="AF650" t="n">
        <v>5</v>
      </c>
      <c r="AG650" t="n">
        <v>3</v>
      </c>
      <c r="AH650" t="n">
        <v>34</v>
      </c>
      <c r="AI650" t="n">
        <v>174</v>
      </c>
      <c r="AJ650" t="n">
        <v>42</v>
      </c>
      <c r="AK650" t="n">
        <v>51</v>
      </c>
      <c r="AL650" t="n">
        <v>3</v>
      </c>
      <c r="AM650" t="n">
        <v>44</v>
      </c>
      <c r="AN650" t="n">
        <v>0</v>
      </c>
      <c r="AO650" t="n">
        <v>0</v>
      </c>
      <c r="AP650" t="n">
        <v>4</v>
      </c>
      <c r="AQ650" t="n">
        <v>29</v>
      </c>
      <c r="AR650" t="n">
        <v>136</v>
      </c>
      <c r="AS650" t="n">
        <v>110</v>
      </c>
      <c r="AT650" t="n">
        <v>0</v>
      </c>
      <c r="AU650" t="n">
        <v>2</v>
      </c>
      <c r="AV650" t="n">
        <v>1</v>
      </c>
      <c r="AW650" t="n">
        <v>23</v>
      </c>
      <c r="AX650" t="n">
        <v>-1</v>
      </c>
      <c r="AY650" t="n">
        <v>41</v>
      </c>
      <c r="AZ650" t="n">
        <v>0</v>
      </c>
      <c r="BA650" t="n">
        <v>11</v>
      </c>
      <c r="BB650" t="n">
        <v>55</v>
      </c>
      <c r="BC650" t="n">
        <v>37</v>
      </c>
      <c r="BD650" t="n">
        <v>30</v>
      </c>
      <c r="BE650" t="n">
        <v>24</v>
      </c>
      <c r="BF650" t="n">
        <v>48</v>
      </c>
      <c r="BG650" t="n">
        <v>3</v>
      </c>
      <c r="BH650" t="n">
        <v>3</v>
      </c>
      <c r="BI650" t="n">
        <v>7</v>
      </c>
      <c r="BJ650" t="n">
        <v>0</v>
      </c>
      <c r="BK650" t="n">
        <v>4</v>
      </c>
      <c r="BL650" t="n">
        <v>33</v>
      </c>
      <c r="BM650" t="n">
        <v>21</v>
      </c>
      <c r="BN650" t="n">
        <v>-1</v>
      </c>
      <c r="BO650" t="n">
        <v>16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176</v>
      </c>
      <c r="Z651" t="n">
        <v>250</v>
      </c>
      <c r="AA651" t="n">
        <v>6</v>
      </c>
      <c r="AB651" t="n">
        <v>0</v>
      </c>
      <c r="AC651" t="n">
        <v>0</v>
      </c>
      <c r="AD651" t="n">
        <v>3</v>
      </c>
      <c r="AE651" t="n">
        <v>10</v>
      </c>
      <c r="AF651" t="n">
        <v>2</v>
      </c>
      <c r="AG651" t="n">
        <v>4</v>
      </c>
      <c r="AH651" t="n">
        <v>21</v>
      </c>
      <c r="AI651" t="n">
        <v>72</v>
      </c>
      <c r="AJ651" t="n">
        <v>15</v>
      </c>
      <c r="AK651" t="n">
        <v>57</v>
      </c>
      <c r="AL651" t="n">
        <v>5</v>
      </c>
      <c r="AM651" t="n">
        <v>42</v>
      </c>
      <c r="AN651" t="n">
        <v>0</v>
      </c>
      <c r="AO651" t="n">
        <v>0</v>
      </c>
      <c r="AP651" t="n">
        <v>6</v>
      </c>
      <c r="AQ651" t="n">
        <v>45</v>
      </c>
      <c r="AR651" t="n">
        <v>115</v>
      </c>
      <c r="AS651" t="n">
        <v>77</v>
      </c>
      <c r="AT651" t="n">
        <v>0</v>
      </c>
      <c r="AU651" t="n">
        <v>2</v>
      </c>
      <c r="AV651" t="n">
        <v>1</v>
      </c>
      <c r="AW651" t="n">
        <v>33</v>
      </c>
      <c r="AX651" t="n">
        <v>9</v>
      </c>
      <c r="AY651" t="n">
        <v>23</v>
      </c>
      <c r="AZ651" t="n">
        <v>3</v>
      </c>
      <c r="BA651" t="n">
        <v>5</v>
      </c>
      <c r="BB651" t="n">
        <v>10</v>
      </c>
      <c r="BC651" t="n">
        <v>41</v>
      </c>
      <c r="BD651" t="n">
        <v>27</v>
      </c>
      <c r="BE651" t="n">
        <v>38</v>
      </c>
      <c r="BF651" t="n">
        <v>13</v>
      </c>
      <c r="BG651" t="n">
        <v>4</v>
      </c>
      <c r="BH651" t="n">
        <v>9</v>
      </c>
      <c r="BI651" t="n">
        <v>29</v>
      </c>
      <c r="BJ651" t="n">
        <v>26</v>
      </c>
      <c r="BK651" t="n">
        <v>0</v>
      </c>
      <c r="BL651" t="n">
        <v>1</v>
      </c>
      <c r="BM651" t="n">
        <v>21</v>
      </c>
      <c r="BN651" t="n">
        <v>12</v>
      </c>
      <c r="BO651" t="n">
        <v>2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5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3</v>
      </c>
      <c r="U652" t="n">
        <v>0</v>
      </c>
      <c r="V652" t="n">
        <v>0</v>
      </c>
      <c r="W652" t="n">
        <v>0</v>
      </c>
      <c r="X652" t="n">
        <v>0</v>
      </c>
      <c r="Y652" t="n">
        <v>188</v>
      </c>
      <c r="Z652" t="n">
        <v>149</v>
      </c>
      <c r="AA652" t="n">
        <v>54</v>
      </c>
      <c r="AB652" t="n">
        <v>3</v>
      </c>
      <c r="AC652" t="n">
        <v>2</v>
      </c>
      <c r="AD652" t="n">
        <v>0</v>
      </c>
      <c r="AE652" t="n">
        <v>2</v>
      </c>
      <c r="AF652" t="n">
        <v>6</v>
      </c>
      <c r="AG652" t="n">
        <v>2</v>
      </c>
      <c r="AH652" t="n">
        <v>8</v>
      </c>
      <c r="AI652" t="n">
        <v>2</v>
      </c>
      <c r="AJ652" t="n">
        <v>85</v>
      </c>
      <c r="AK652" t="n">
        <v>15</v>
      </c>
      <c r="AL652" t="n">
        <v>1</v>
      </c>
      <c r="AM652" t="n">
        <v>28</v>
      </c>
      <c r="AN652" t="n">
        <v>0</v>
      </c>
      <c r="AO652" t="n">
        <v>0</v>
      </c>
      <c r="AP652" t="n">
        <v>11</v>
      </c>
      <c r="AQ652" t="n">
        <v>129</v>
      </c>
      <c r="AR652" t="n">
        <v>163</v>
      </c>
      <c r="AS652" t="n">
        <v>55</v>
      </c>
      <c r="AT652" t="n">
        <v>1</v>
      </c>
      <c r="AU652" t="n">
        <v>1</v>
      </c>
      <c r="AV652" t="n">
        <v>15</v>
      </c>
      <c r="AW652" t="n">
        <v>11</v>
      </c>
      <c r="AX652" t="n">
        <v>7</v>
      </c>
      <c r="AY652" t="n">
        <v>4</v>
      </c>
      <c r="AZ652" t="n">
        <v>4</v>
      </c>
      <c r="BA652" t="n">
        <v>31</v>
      </c>
      <c r="BB652" t="n">
        <v>84</v>
      </c>
      <c r="BC652" t="n">
        <v>28</v>
      </c>
      <c r="BD652" t="n">
        <v>2</v>
      </c>
      <c r="BE652" t="n">
        <v>12</v>
      </c>
      <c r="BF652" t="n">
        <v>68</v>
      </c>
      <c r="BG652" t="n">
        <v>1</v>
      </c>
      <c r="BH652" t="n">
        <v>2</v>
      </c>
      <c r="BI652" t="n">
        <v>1</v>
      </c>
      <c r="BJ652" t="n">
        <v>1</v>
      </c>
      <c r="BK652" t="n">
        <v>2</v>
      </c>
      <c r="BL652" t="n">
        <v>22</v>
      </c>
      <c r="BM652" t="n">
        <v>15</v>
      </c>
      <c r="BN652" t="n">
        <v>0</v>
      </c>
      <c r="BO652" t="n">
        <v>9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214</v>
      </c>
      <c r="Z653" t="n">
        <v>153</v>
      </c>
      <c r="AA653" t="n">
        <v>54</v>
      </c>
      <c r="AB653" t="n">
        <v>2</v>
      </c>
      <c r="AC653" t="n">
        <v>0</v>
      </c>
      <c r="AD653" t="n">
        <v>3</v>
      </c>
      <c r="AE653" t="n">
        <v>4</v>
      </c>
      <c r="AF653" t="n">
        <v>2</v>
      </c>
      <c r="AG653" t="n">
        <v>1</v>
      </c>
      <c r="AH653" t="n">
        <v>47</v>
      </c>
      <c r="AI653" t="n">
        <v>77</v>
      </c>
      <c r="AJ653" t="n">
        <v>31</v>
      </c>
      <c r="AK653" t="n">
        <v>13</v>
      </c>
      <c r="AL653" t="n">
        <v>1</v>
      </c>
      <c r="AM653" t="n">
        <v>21</v>
      </c>
      <c r="AN653" t="n">
        <v>0</v>
      </c>
      <c r="AO653" t="n">
        <v>0</v>
      </c>
      <c r="AP653" t="n">
        <v>4</v>
      </c>
      <c r="AQ653" t="n">
        <v>110</v>
      </c>
      <c r="AR653" t="n">
        <v>223</v>
      </c>
      <c r="AS653" t="n">
        <v>128</v>
      </c>
      <c r="AT653" t="n">
        <v>1</v>
      </c>
      <c r="AU653" t="n">
        <v>1</v>
      </c>
      <c r="AV653" t="n">
        <v>18</v>
      </c>
      <c r="AW653" t="n">
        <v>12</v>
      </c>
      <c r="AX653" t="n">
        <v>2</v>
      </c>
      <c r="AY653" t="n">
        <v>17</v>
      </c>
      <c r="AZ653" t="n">
        <v>0</v>
      </c>
      <c r="BA653" t="n">
        <v>1</v>
      </c>
      <c r="BB653" t="n">
        <v>54</v>
      </c>
      <c r="BC653" t="n">
        <v>17</v>
      </c>
      <c r="BD653" t="n">
        <v>44</v>
      </c>
      <c r="BE653" t="n">
        <v>15</v>
      </c>
      <c r="BF653" t="n">
        <v>25</v>
      </c>
      <c r="BG653" t="n">
        <v>1</v>
      </c>
      <c r="BH653" t="n">
        <v>3</v>
      </c>
      <c r="BI653" t="n">
        <v>9</v>
      </c>
      <c r="BJ653" t="n">
        <v>8</v>
      </c>
      <c r="BK653" t="n">
        <v>0</v>
      </c>
      <c r="BL653" t="n">
        <v>1</v>
      </c>
      <c r="BM653" t="n">
        <v>5</v>
      </c>
      <c r="BN653" t="n">
        <v>2</v>
      </c>
      <c r="BO653" t="n">
        <v>32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3</v>
      </c>
      <c r="U654" t="n">
        <v>0</v>
      </c>
      <c r="V654" t="n">
        <v>0</v>
      </c>
      <c r="W654" t="n">
        <v>0</v>
      </c>
      <c r="X654" t="n">
        <v>0</v>
      </c>
      <c r="Y654" t="n">
        <v>112</v>
      </c>
      <c r="Z654" t="n">
        <v>246</v>
      </c>
      <c r="AA654" t="n">
        <v>57</v>
      </c>
      <c r="AB654" t="n">
        <v>0</v>
      </c>
      <c r="AC654" t="n">
        <v>2</v>
      </c>
      <c r="AD654" t="n">
        <v>3</v>
      </c>
      <c r="AE654" t="n">
        <v>3</v>
      </c>
      <c r="AF654" t="n">
        <v>2</v>
      </c>
      <c r="AG654" t="n">
        <v>0</v>
      </c>
      <c r="AH654" t="n">
        <v>28</v>
      </c>
      <c r="AI654" t="n">
        <v>81</v>
      </c>
      <c r="AJ654" t="n">
        <v>10</v>
      </c>
      <c r="AK654" t="n">
        <v>1</v>
      </c>
      <c r="AL654" t="n">
        <v>6</v>
      </c>
      <c r="AM654" t="n">
        <v>87</v>
      </c>
      <c r="AN654" t="n">
        <v>1</v>
      </c>
      <c r="AO654" t="n">
        <v>0</v>
      </c>
      <c r="AP654" t="n">
        <v>12</v>
      </c>
      <c r="AQ654" t="n">
        <v>79</v>
      </c>
      <c r="AR654" t="n">
        <v>224</v>
      </c>
      <c r="AS654" t="n">
        <v>157</v>
      </c>
      <c r="AT654" t="n">
        <v>1</v>
      </c>
      <c r="AU654" t="n">
        <v>1</v>
      </c>
      <c r="AV654" t="n">
        <v>8</v>
      </c>
      <c r="AW654" t="n">
        <v>2</v>
      </c>
      <c r="AX654" t="n">
        <v>11</v>
      </c>
      <c r="AY654" t="n">
        <v>69</v>
      </c>
      <c r="AZ654" t="n">
        <v>0</v>
      </c>
      <c r="BA654" t="n">
        <v>1</v>
      </c>
      <c r="BB654" t="n">
        <v>56</v>
      </c>
      <c r="BC654" t="n">
        <v>72</v>
      </c>
      <c r="BD654" t="n">
        <v>29</v>
      </c>
      <c r="BE654" t="n">
        <v>7</v>
      </c>
      <c r="BF654" t="n">
        <v>6</v>
      </c>
      <c r="BG654" t="n">
        <v>1</v>
      </c>
      <c r="BH654" t="n">
        <v>0</v>
      </c>
      <c r="BI654" t="n">
        <v>6</v>
      </c>
      <c r="BJ654" t="n">
        <v>12</v>
      </c>
      <c r="BK654" t="n">
        <v>2</v>
      </c>
      <c r="BL654" t="n">
        <v>1</v>
      </c>
      <c r="BM654" t="n">
        <v>1</v>
      </c>
      <c r="BN654" t="n">
        <v>0</v>
      </c>
      <c r="BO654" t="n">
        <v>23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225</v>
      </c>
      <c r="Z655" t="n">
        <v>99</v>
      </c>
      <c r="AA655" t="n">
        <v>77</v>
      </c>
      <c r="AB655" t="n">
        <v>1</v>
      </c>
      <c r="AC655" t="n">
        <v>0</v>
      </c>
      <c r="AD655" t="n">
        <v>4</v>
      </c>
      <c r="AE655" t="n">
        <v>5</v>
      </c>
      <c r="AF655" t="n">
        <v>4</v>
      </c>
      <c r="AG655" t="n">
        <v>1</v>
      </c>
      <c r="AH655" t="n">
        <v>69</v>
      </c>
      <c r="AI655" t="n">
        <v>13</v>
      </c>
      <c r="AJ655" t="n">
        <v>34</v>
      </c>
      <c r="AK655" t="n">
        <v>9</v>
      </c>
      <c r="AL655" t="n">
        <v>1</v>
      </c>
      <c r="AM655" t="n">
        <v>2</v>
      </c>
      <c r="AN655" t="n">
        <v>0</v>
      </c>
      <c r="AO655" t="n">
        <v>0</v>
      </c>
      <c r="AP655" t="n">
        <v>6</v>
      </c>
      <c r="AQ655" t="n">
        <v>36</v>
      </c>
      <c r="AR655" t="n">
        <v>69</v>
      </c>
      <c r="AS655" t="n">
        <v>38</v>
      </c>
      <c r="AT655" t="n">
        <v>3</v>
      </c>
      <c r="AU655" t="n">
        <v>1</v>
      </c>
      <c r="AV655" t="n">
        <v>60</v>
      </c>
      <c r="AW655" t="n">
        <v>12</v>
      </c>
      <c r="AX655" t="n">
        <v>0</v>
      </c>
      <c r="AY655" t="n">
        <v>18</v>
      </c>
      <c r="AZ655" t="n">
        <v>1</v>
      </c>
      <c r="BA655" t="n">
        <v>8</v>
      </c>
      <c r="BB655" t="n">
        <v>79</v>
      </c>
      <c r="BC655" t="n">
        <v>15</v>
      </c>
      <c r="BD655" t="n">
        <v>61</v>
      </c>
      <c r="BE655" t="n">
        <v>11</v>
      </c>
      <c r="BF655" t="n">
        <v>28</v>
      </c>
      <c r="BG655" t="n">
        <v>3</v>
      </c>
      <c r="BH655" t="n">
        <v>2</v>
      </c>
      <c r="BI655" t="n">
        <v>57</v>
      </c>
      <c r="BJ655" t="n">
        <v>58</v>
      </c>
      <c r="BK655" t="n">
        <v>3</v>
      </c>
      <c r="BL655" t="n">
        <v>19</v>
      </c>
      <c r="BM655" t="n">
        <v>19</v>
      </c>
      <c r="BN655" t="n">
        <v>4</v>
      </c>
      <c r="BO655" t="n">
        <v>9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298</v>
      </c>
      <c r="Z656" t="n">
        <v>277</v>
      </c>
      <c r="AA656" t="n">
        <v>21</v>
      </c>
      <c r="AB656" t="n">
        <v>0</v>
      </c>
      <c r="AC656" t="n">
        <v>2</v>
      </c>
      <c r="AD656" t="n">
        <v>6</v>
      </c>
      <c r="AE656" t="n">
        <v>8</v>
      </c>
      <c r="AF656" t="n">
        <v>4</v>
      </c>
      <c r="AG656" t="n">
        <v>5</v>
      </c>
      <c r="AH656" t="n">
        <v>58</v>
      </c>
      <c r="AI656" t="n">
        <v>81</v>
      </c>
      <c r="AJ656" t="n">
        <v>58</v>
      </c>
      <c r="AK656" t="n">
        <v>35</v>
      </c>
      <c r="AL656" t="n">
        <v>3</v>
      </c>
      <c r="AM656" t="n">
        <v>43</v>
      </c>
      <c r="AN656" t="n">
        <v>0</v>
      </c>
      <c r="AO656" t="n">
        <v>0</v>
      </c>
      <c r="AP656" t="n">
        <v>4</v>
      </c>
      <c r="AQ656" t="n">
        <v>19</v>
      </c>
      <c r="AR656" t="n">
        <v>53</v>
      </c>
      <c r="AS656" t="n">
        <v>38</v>
      </c>
      <c r="AT656" t="n">
        <v>2</v>
      </c>
      <c r="AU656" t="n">
        <v>2</v>
      </c>
      <c r="AV656" t="n">
        <v>29</v>
      </c>
      <c r="AW656" t="n">
        <v>17</v>
      </c>
      <c r="AX656" t="n">
        <v>0</v>
      </c>
      <c r="AY656" t="n">
        <v>42</v>
      </c>
      <c r="AZ656" t="n">
        <v>2</v>
      </c>
      <c r="BA656" t="n">
        <v>9</v>
      </c>
      <c r="BB656" t="n">
        <v>28</v>
      </c>
      <c r="BC656" t="n">
        <v>32</v>
      </c>
      <c r="BD656" t="n">
        <v>52</v>
      </c>
      <c r="BE656" t="n">
        <v>17</v>
      </c>
      <c r="BF656" t="n">
        <v>56</v>
      </c>
      <c r="BG656" t="n">
        <v>1</v>
      </c>
      <c r="BH656" t="n">
        <v>6</v>
      </c>
      <c r="BI656" t="n">
        <v>1</v>
      </c>
      <c r="BJ656" t="n">
        <v>13</v>
      </c>
      <c r="BK656" t="n">
        <v>1</v>
      </c>
      <c r="BL656" t="n">
        <v>1</v>
      </c>
      <c r="BM656" t="n">
        <v>12</v>
      </c>
      <c r="BN656" t="n">
        <v>7</v>
      </c>
      <c r="BO656" t="n">
        <v>56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265</v>
      </c>
      <c r="Z657" t="n">
        <v>207</v>
      </c>
      <c r="AA657" t="n">
        <v>151</v>
      </c>
      <c r="AB657" t="n">
        <v>1</v>
      </c>
      <c r="AC657" t="n">
        <v>3</v>
      </c>
      <c r="AD657" t="n">
        <v>2</v>
      </c>
      <c r="AE657" t="n">
        <v>9</v>
      </c>
      <c r="AF657" t="n">
        <v>3</v>
      </c>
      <c r="AG657" t="n">
        <v>0</v>
      </c>
      <c r="AH657" t="n">
        <v>27</v>
      </c>
      <c r="AI657" t="n">
        <v>68</v>
      </c>
      <c r="AJ657" t="n">
        <v>19</v>
      </c>
      <c r="AK657" t="n">
        <v>1</v>
      </c>
      <c r="AL657" t="n">
        <v>6</v>
      </c>
      <c r="AM657" t="n">
        <v>73</v>
      </c>
      <c r="AN657" t="n">
        <v>0</v>
      </c>
      <c r="AO657" t="n">
        <v>0</v>
      </c>
      <c r="AP657" t="n">
        <v>3</v>
      </c>
      <c r="AQ657" t="n">
        <v>38</v>
      </c>
      <c r="AR657" t="n">
        <v>183</v>
      </c>
      <c r="AS657" t="n">
        <v>144</v>
      </c>
      <c r="AT657" t="n">
        <v>5</v>
      </c>
      <c r="AU657" t="n">
        <v>1</v>
      </c>
      <c r="AV657" t="n">
        <v>70</v>
      </c>
      <c r="AW657" t="n">
        <v>9</v>
      </c>
      <c r="AX657" t="n">
        <v>6</v>
      </c>
      <c r="AY657" t="n">
        <v>111</v>
      </c>
      <c r="AZ657" t="n">
        <v>0</v>
      </c>
      <c r="BA657" t="n">
        <v>1</v>
      </c>
      <c r="BB657" t="n">
        <v>140</v>
      </c>
      <c r="BC657" t="n">
        <v>92</v>
      </c>
      <c r="BD657" t="n">
        <v>24</v>
      </c>
      <c r="BE657" t="n">
        <v>9</v>
      </c>
      <c r="BF657" t="n">
        <v>15</v>
      </c>
      <c r="BG657" t="n">
        <v>7</v>
      </c>
      <c r="BH657" t="n">
        <v>21</v>
      </c>
      <c r="BI657" t="n">
        <v>80</v>
      </c>
      <c r="BJ657" t="n">
        <v>80</v>
      </c>
      <c r="BK657" t="n">
        <v>3</v>
      </c>
      <c r="BL657" t="n">
        <v>10</v>
      </c>
      <c r="BM657" t="n">
        <v>20</v>
      </c>
      <c r="BN657" t="n">
        <v>9</v>
      </c>
      <c r="BO657" t="n">
        <v>2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149</v>
      </c>
      <c r="Z658" t="n">
        <v>197</v>
      </c>
      <c r="AA658" t="n">
        <v>35</v>
      </c>
      <c r="AB658" t="n">
        <v>3</v>
      </c>
      <c r="AC658" t="n">
        <v>0</v>
      </c>
      <c r="AD658" t="n">
        <v>6</v>
      </c>
      <c r="AE658" t="n">
        <v>0</v>
      </c>
      <c r="AF658" t="n">
        <v>1</v>
      </c>
      <c r="AG658" t="n">
        <v>2</v>
      </c>
      <c r="AH658" t="n">
        <v>83</v>
      </c>
      <c r="AI658" t="n">
        <v>2</v>
      </c>
      <c r="AJ658" t="n">
        <v>2</v>
      </c>
      <c r="AK658" t="n">
        <v>32</v>
      </c>
      <c r="AL658" t="n">
        <v>6</v>
      </c>
      <c r="AM658" t="n">
        <v>51</v>
      </c>
      <c r="AN658" t="n">
        <v>0</v>
      </c>
      <c r="AO658" t="n">
        <v>0</v>
      </c>
      <c r="AP658" t="n">
        <v>6</v>
      </c>
      <c r="AQ658" t="n">
        <v>38</v>
      </c>
      <c r="AR658" t="n">
        <v>74</v>
      </c>
      <c r="AS658" t="n">
        <v>43</v>
      </c>
      <c r="AT658" t="n">
        <v>1</v>
      </c>
      <c r="AU658" t="n">
        <v>3</v>
      </c>
      <c r="AV658" t="n">
        <v>4</v>
      </c>
      <c r="AW658" t="n">
        <v>23</v>
      </c>
      <c r="AX658" t="n">
        <v>0</v>
      </c>
      <c r="AY658" t="n">
        <v>13</v>
      </c>
      <c r="AZ658" t="n">
        <v>1</v>
      </c>
      <c r="BA658" t="n">
        <v>8</v>
      </c>
      <c r="BB658" t="n">
        <v>41</v>
      </c>
      <c r="BC658" t="n">
        <v>48</v>
      </c>
      <c r="BD658" t="n">
        <v>78</v>
      </c>
      <c r="BE658" t="n">
        <v>23</v>
      </c>
      <c r="BF658" t="n">
        <v>7</v>
      </c>
      <c r="BG658" t="n">
        <v>2</v>
      </c>
      <c r="BH658" t="n">
        <v>0</v>
      </c>
      <c r="BI658" t="n">
        <v>1</v>
      </c>
      <c r="BJ658" t="n">
        <v>4</v>
      </c>
      <c r="BK658" t="n">
        <v>0</v>
      </c>
      <c r="BL658" t="n">
        <v>1</v>
      </c>
      <c r="BM658" t="n">
        <v>1</v>
      </c>
      <c r="BN658" t="n">
        <v>0</v>
      </c>
      <c r="BO658" t="n">
        <v>21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</v>
      </c>
      <c r="U659" t="n">
        <v>0</v>
      </c>
      <c r="V659" t="n">
        <v>0</v>
      </c>
      <c r="W659" t="n">
        <v>1</v>
      </c>
      <c r="X659" t="n">
        <v>0</v>
      </c>
      <c r="Y659" t="n">
        <v>189</v>
      </c>
      <c r="Z659" t="n">
        <v>166</v>
      </c>
      <c r="AA659" t="n">
        <v>90</v>
      </c>
      <c r="AB659" t="n">
        <v>1</v>
      </c>
      <c r="AC659" t="n">
        <v>0</v>
      </c>
      <c r="AD659" t="n">
        <v>5</v>
      </c>
      <c r="AE659" t="n">
        <v>1</v>
      </c>
      <c r="AF659" t="n">
        <v>1</v>
      </c>
      <c r="AG659" t="n">
        <v>1</v>
      </c>
      <c r="AH659" t="n">
        <v>53</v>
      </c>
      <c r="AI659" t="n">
        <v>7</v>
      </c>
      <c r="AJ659" t="n">
        <v>51</v>
      </c>
      <c r="AK659" t="n">
        <v>3</v>
      </c>
      <c r="AL659" t="n">
        <v>2</v>
      </c>
      <c r="AM659" t="n">
        <v>40</v>
      </c>
      <c r="AN659" t="n">
        <v>0</v>
      </c>
      <c r="AO659" t="n">
        <v>0</v>
      </c>
      <c r="AP659" t="n">
        <v>4</v>
      </c>
      <c r="AQ659" t="n">
        <v>33</v>
      </c>
      <c r="AR659" t="n">
        <v>71</v>
      </c>
      <c r="AS659" t="n">
        <v>43</v>
      </c>
      <c r="AT659" t="n">
        <v>3</v>
      </c>
      <c r="AU659" t="n">
        <v>2</v>
      </c>
      <c r="AV659" t="n">
        <v>18</v>
      </c>
      <c r="AW659" t="n">
        <v>26</v>
      </c>
      <c r="AX659" t="n">
        <v>0</v>
      </c>
      <c r="AY659" t="n">
        <v>4</v>
      </c>
      <c r="AZ659" t="n">
        <v>1</v>
      </c>
      <c r="BA659" t="n">
        <v>9</v>
      </c>
      <c r="BB659" t="n">
        <v>94</v>
      </c>
      <c r="BC659" t="n">
        <v>49</v>
      </c>
      <c r="BD659" t="n">
        <v>52</v>
      </c>
      <c r="BE659" t="n">
        <v>26</v>
      </c>
      <c r="BF659" t="n">
        <v>57</v>
      </c>
      <c r="BG659" t="n">
        <v>1</v>
      </c>
      <c r="BH659" t="n">
        <v>13</v>
      </c>
      <c r="BI659" t="n">
        <v>1</v>
      </c>
      <c r="BJ659" t="n">
        <v>15</v>
      </c>
      <c r="BK659" t="n">
        <v>0</v>
      </c>
      <c r="BL659" t="n">
        <v>5</v>
      </c>
      <c r="BM659" t="n">
        <v>2</v>
      </c>
      <c r="BN659" t="n">
        <v>1</v>
      </c>
      <c r="BO659" t="n">
        <v>32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398</v>
      </c>
      <c r="Z660" t="n">
        <v>323</v>
      </c>
      <c r="AA660" t="n">
        <v>14</v>
      </c>
      <c r="AB660" t="n">
        <v>1</v>
      </c>
      <c r="AC660" t="n">
        <v>0</v>
      </c>
      <c r="AD660" t="n">
        <v>5</v>
      </c>
      <c r="AE660" t="n">
        <v>12</v>
      </c>
      <c r="AF660" t="n">
        <v>3</v>
      </c>
      <c r="AG660" t="n">
        <v>5</v>
      </c>
      <c r="AH660" t="n">
        <v>76</v>
      </c>
      <c r="AI660" t="n">
        <v>157</v>
      </c>
      <c r="AJ660" t="n">
        <v>45</v>
      </c>
      <c r="AK660" t="n">
        <v>63</v>
      </c>
      <c r="AL660" t="n">
        <v>6</v>
      </c>
      <c r="AM660" t="n">
        <v>135</v>
      </c>
      <c r="AN660" t="n">
        <v>0</v>
      </c>
      <c r="AO660" t="n">
        <v>0</v>
      </c>
      <c r="AP660" t="n">
        <v>9</v>
      </c>
      <c r="AQ660" t="n">
        <v>44</v>
      </c>
      <c r="AR660" t="n">
        <v>129</v>
      </c>
      <c r="AS660" t="n">
        <v>93</v>
      </c>
      <c r="AT660" t="n">
        <v>1</v>
      </c>
      <c r="AU660" t="n">
        <v>0</v>
      </c>
      <c r="AV660" t="n">
        <v>21</v>
      </c>
      <c r="AW660" t="n">
        <v>8</v>
      </c>
      <c r="AX660" t="n">
        <v>5</v>
      </c>
      <c r="AY660" t="n">
        <v>8</v>
      </c>
      <c r="AZ660" t="n">
        <v>1</v>
      </c>
      <c r="BA660" t="n">
        <v>1</v>
      </c>
      <c r="BB660" t="n">
        <v>14</v>
      </c>
      <c r="BC660" t="n">
        <v>110</v>
      </c>
      <c r="BD660" t="n">
        <v>69</v>
      </c>
      <c r="BE660" t="n">
        <v>38</v>
      </c>
      <c r="BF660" t="n">
        <v>35</v>
      </c>
      <c r="BG660" t="n">
        <v>2</v>
      </c>
      <c r="BH660" t="n">
        <v>27</v>
      </c>
      <c r="BI660" t="n">
        <v>23</v>
      </c>
      <c r="BJ660" t="n">
        <v>28</v>
      </c>
      <c r="BK660" t="n">
        <v>1</v>
      </c>
      <c r="BL660" t="n">
        <v>8</v>
      </c>
      <c r="BM660" t="n">
        <v>5</v>
      </c>
      <c r="BN660" t="n">
        <v>0</v>
      </c>
      <c r="BO660" t="n">
        <v>2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231</v>
      </c>
      <c r="Z661" t="n">
        <v>120</v>
      </c>
      <c r="AA661" t="n">
        <v>51</v>
      </c>
      <c r="AB661" t="n">
        <v>1</v>
      </c>
      <c r="AC661" t="n">
        <v>3</v>
      </c>
      <c r="AD661" t="n">
        <v>3</v>
      </c>
      <c r="AE661" t="n">
        <v>7</v>
      </c>
      <c r="AF661" t="n">
        <v>3</v>
      </c>
      <c r="AG661" t="n">
        <v>4</v>
      </c>
      <c r="AH661" t="n">
        <v>68</v>
      </c>
      <c r="AI661" t="n">
        <v>54</v>
      </c>
      <c r="AJ661" t="n">
        <v>12</v>
      </c>
      <c r="AK661" t="n">
        <v>41</v>
      </c>
      <c r="AL661" t="n">
        <v>2</v>
      </c>
      <c r="AM661" t="n">
        <v>53</v>
      </c>
      <c r="AN661" t="n">
        <v>0</v>
      </c>
      <c r="AO661" t="n">
        <v>0</v>
      </c>
      <c r="AP661" t="n">
        <v>1</v>
      </c>
      <c r="AQ661" t="n">
        <v>1</v>
      </c>
      <c r="AR661" t="n">
        <v>164</v>
      </c>
      <c r="AS661" t="n">
        <v>153</v>
      </c>
      <c r="AT661" t="n">
        <v>1</v>
      </c>
      <c r="AU661" t="n">
        <v>0</v>
      </c>
      <c r="AV661" t="n">
        <v>23</v>
      </c>
      <c r="AW661" t="n">
        <v>4</v>
      </c>
      <c r="AX661" t="n">
        <v>2</v>
      </c>
      <c r="AY661" t="n">
        <v>72</v>
      </c>
      <c r="AZ661" t="n">
        <v>1</v>
      </c>
      <c r="BA661" t="n">
        <v>1</v>
      </c>
      <c r="BB661" t="n">
        <v>51</v>
      </c>
      <c r="BC661" t="n">
        <v>45</v>
      </c>
      <c r="BD661" t="n">
        <v>61</v>
      </c>
      <c r="BE661" t="n">
        <v>5</v>
      </c>
      <c r="BF661" t="n">
        <v>21</v>
      </c>
      <c r="BG661" t="n">
        <v>0</v>
      </c>
      <c r="BH661" t="n">
        <v>6</v>
      </c>
      <c r="BI661" t="n">
        <v>20</v>
      </c>
      <c r="BJ661" t="n">
        <v>18</v>
      </c>
      <c r="BK661" t="n">
        <v>3</v>
      </c>
      <c r="BL661" t="n">
        <v>8</v>
      </c>
      <c r="BM661" t="n">
        <v>42</v>
      </c>
      <c r="BN661" t="n">
        <v>24</v>
      </c>
      <c r="BO661" t="n">
        <v>2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257</v>
      </c>
      <c r="Z662" t="n">
        <v>153</v>
      </c>
      <c r="AA662" t="n">
        <v>36</v>
      </c>
      <c r="AB662" t="n">
        <v>0</v>
      </c>
      <c r="AC662" t="n">
        <v>1</v>
      </c>
      <c r="AD662" t="n">
        <v>7</v>
      </c>
      <c r="AE662" t="n">
        <v>8</v>
      </c>
      <c r="AF662" t="n">
        <v>6</v>
      </c>
      <c r="AG662" t="n">
        <v>4</v>
      </c>
      <c r="AH662" t="n">
        <v>79</v>
      </c>
      <c r="AI662" t="n">
        <v>33</v>
      </c>
      <c r="AJ662" t="n">
        <v>64</v>
      </c>
      <c r="AK662" t="n">
        <v>32</v>
      </c>
      <c r="AL662" t="n">
        <v>2</v>
      </c>
      <c r="AM662" t="n">
        <v>24</v>
      </c>
      <c r="AN662" t="n">
        <v>0</v>
      </c>
      <c r="AO662" t="n">
        <v>0</v>
      </c>
      <c r="AP662" t="n">
        <v>1</v>
      </c>
      <c r="AQ662" t="n">
        <v>21</v>
      </c>
      <c r="AR662" t="n">
        <v>163</v>
      </c>
      <c r="AS662" t="n">
        <v>139</v>
      </c>
      <c r="AT662" t="n">
        <v>2</v>
      </c>
      <c r="AU662" t="n">
        <v>1</v>
      </c>
      <c r="AV662" t="n">
        <v>27</v>
      </c>
      <c r="AW662" t="n">
        <v>6</v>
      </c>
      <c r="AX662" t="n">
        <v>2</v>
      </c>
      <c r="AY662" t="n">
        <v>10</v>
      </c>
      <c r="AZ662" t="n">
        <v>0</v>
      </c>
      <c r="BA662" t="n">
        <v>17</v>
      </c>
      <c r="BB662" t="n">
        <v>52</v>
      </c>
      <c r="BC662" t="n">
        <v>20</v>
      </c>
      <c r="BD662" t="n">
        <v>87</v>
      </c>
      <c r="BE662" t="n">
        <v>13</v>
      </c>
      <c r="BF662" t="n">
        <v>50</v>
      </c>
      <c r="BG662" t="n">
        <v>3</v>
      </c>
      <c r="BH662" t="n">
        <v>11</v>
      </c>
      <c r="BI662" t="n">
        <v>31</v>
      </c>
      <c r="BJ662" t="n">
        <v>50</v>
      </c>
      <c r="BK662" t="n">
        <v>3</v>
      </c>
      <c r="BL662" t="n">
        <v>15</v>
      </c>
      <c r="BM662" t="n">
        <v>19</v>
      </c>
      <c r="BN662" t="n">
        <v>6</v>
      </c>
      <c r="BO662" t="n">
        <v>9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2</v>
      </c>
      <c r="U663" t="n">
        <v>0</v>
      </c>
      <c r="V663" t="n">
        <v>0</v>
      </c>
      <c r="W663" t="n">
        <v>0</v>
      </c>
      <c r="X663" t="n">
        <v>0</v>
      </c>
      <c r="Y663" t="n">
        <v>162</v>
      </c>
      <c r="Z663" t="n">
        <v>241</v>
      </c>
      <c r="AA663" t="n">
        <v>64</v>
      </c>
      <c r="AB663" t="n">
        <v>1</v>
      </c>
      <c r="AC663" t="n">
        <v>0</v>
      </c>
      <c r="AD663" t="n">
        <v>4</v>
      </c>
      <c r="AE663" t="n">
        <v>4</v>
      </c>
      <c r="AF663" t="n">
        <v>0</v>
      </c>
      <c r="AG663" t="n">
        <v>3</v>
      </c>
      <c r="AH663" t="n">
        <v>28</v>
      </c>
      <c r="AI663" t="n">
        <v>42</v>
      </c>
      <c r="AJ663" t="n">
        <v>2</v>
      </c>
      <c r="AK663" t="n">
        <v>22</v>
      </c>
      <c r="AL663" t="n">
        <v>4</v>
      </c>
      <c r="AM663" t="n">
        <v>66</v>
      </c>
      <c r="AN663" t="n">
        <v>0</v>
      </c>
      <c r="AO663" t="n">
        <v>0</v>
      </c>
      <c r="AP663" t="n">
        <v>3</v>
      </c>
      <c r="AQ663" t="n">
        <v>39</v>
      </c>
      <c r="AR663" t="n">
        <v>56</v>
      </c>
      <c r="AS663" t="n">
        <v>23</v>
      </c>
      <c r="AT663" t="n">
        <v>1</v>
      </c>
      <c r="AU663" t="n">
        <v>1</v>
      </c>
      <c r="AV663" t="n">
        <v>1</v>
      </c>
      <c r="AW663" t="n">
        <v>30</v>
      </c>
      <c r="AX663" t="n">
        <v>4</v>
      </c>
      <c r="AY663" t="n">
        <v>3</v>
      </c>
      <c r="AZ663" t="n">
        <v>0</v>
      </c>
      <c r="BA663" t="n">
        <v>1</v>
      </c>
      <c r="BB663" t="n">
        <v>63</v>
      </c>
      <c r="BC663" t="n">
        <v>61</v>
      </c>
      <c r="BD663" t="n">
        <v>25</v>
      </c>
      <c r="BE663" t="n">
        <v>30</v>
      </c>
      <c r="BF663" t="n">
        <v>4</v>
      </c>
      <c r="BG663" t="n">
        <v>1</v>
      </c>
      <c r="BH663" t="n">
        <v>20</v>
      </c>
      <c r="BI663" t="n">
        <v>1</v>
      </c>
      <c r="BJ663" t="n">
        <v>1</v>
      </c>
      <c r="BK663" t="n">
        <v>4</v>
      </c>
      <c r="BL663" t="n">
        <v>54</v>
      </c>
      <c r="BM663" t="n">
        <v>49</v>
      </c>
      <c r="BN663" t="n">
        <v>9</v>
      </c>
      <c r="BO663" t="n">
        <v>18</v>
      </c>
    </row>
    <row r="664">
      <c r="A664" t="n">
        <v>0</v>
      </c>
      <c r="B664" t="n">
        <v>0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2</v>
      </c>
      <c r="J664" t="n">
        <v>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122</v>
      </c>
      <c r="Z664" t="n">
        <v>193</v>
      </c>
      <c r="AA664" t="n">
        <v>123</v>
      </c>
      <c r="AB664" t="n">
        <v>2</v>
      </c>
      <c r="AC664" t="n">
        <v>0</v>
      </c>
      <c r="AD664" t="n">
        <v>3</v>
      </c>
      <c r="AE664" t="n">
        <v>4</v>
      </c>
      <c r="AF664" t="n">
        <v>1</v>
      </c>
      <c r="AG664" t="n">
        <v>6</v>
      </c>
      <c r="AH664" t="n">
        <v>11</v>
      </c>
      <c r="AI664" t="n">
        <v>47</v>
      </c>
      <c r="AJ664" t="n">
        <v>2</v>
      </c>
      <c r="AK664" t="n">
        <v>39</v>
      </c>
      <c r="AL664" t="n">
        <v>4</v>
      </c>
      <c r="AM664" t="n">
        <v>74</v>
      </c>
      <c r="AN664" t="n">
        <v>1</v>
      </c>
      <c r="AO664" t="n">
        <v>0</v>
      </c>
      <c r="AP664" t="n">
        <v>3</v>
      </c>
      <c r="AQ664" t="n">
        <v>50</v>
      </c>
      <c r="AR664" t="n">
        <v>85</v>
      </c>
      <c r="AS664" t="n">
        <v>43</v>
      </c>
      <c r="AT664" t="n">
        <v>3</v>
      </c>
      <c r="AU664" t="n">
        <v>0</v>
      </c>
      <c r="AV664" t="n">
        <v>17</v>
      </c>
      <c r="AW664" t="n">
        <v>1</v>
      </c>
      <c r="AX664" t="n">
        <v>0</v>
      </c>
      <c r="AY664" t="n">
        <v>39</v>
      </c>
      <c r="AZ664" t="n">
        <v>3</v>
      </c>
      <c r="BA664" t="n">
        <v>20</v>
      </c>
      <c r="BB664" t="n">
        <v>134</v>
      </c>
      <c r="BC664" t="n">
        <v>62</v>
      </c>
      <c r="BD664" t="n">
        <v>14</v>
      </c>
      <c r="BE664" t="n">
        <v>1</v>
      </c>
      <c r="BF664" t="n">
        <v>25</v>
      </c>
      <c r="BG664" t="n">
        <v>5</v>
      </c>
      <c r="BH664" t="n">
        <v>11</v>
      </c>
      <c r="BI664" t="n">
        <v>15</v>
      </c>
      <c r="BJ664" t="n">
        <v>13</v>
      </c>
      <c r="BK664" t="n">
        <v>3</v>
      </c>
      <c r="BL664" t="n">
        <v>15</v>
      </c>
      <c r="BM664" t="n">
        <v>17</v>
      </c>
      <c r="BN664" t="n">
        <v>5</v>
      </c>
      <c r="BO664" t="n">
        <v>40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2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193</v>
      </c>
      <c r="Z665" t="n">
        <v>135</v>
      </c>
      <c r="AA665" t="n">
        <v>76</v>
      </c>
      <c r="AB665" t="n">
        <v>1</v>
      </c>
      <c r="AC665" t="n">
        <v>1</v>
      </c>
      <c r="AD665" t="n">
        <v>2</v>
      </c>
      <c r="AE665" t="n">
        <v>5</v>
      </c>
      <c r="AF665" t="n">
        <v>1</v>
      </c>
      <c r="AG665" t="n">
        <v>3</v>
      </c>
      <c r="AH665" t="n">
        <v>70</v>
      </c>
      <c r="AI665" t="n">
        <v>22</v>
      </c>
      <c r="AJ665" t="n">
        <v>38</v>
      </c>
      <c r="AK665" t="n">
        <v>48</v>
      </c>
      <c r="AL665" t="n">
        <v>3</v>
      </c>
      <c r="AM665" t="n">
        <v>44</v>
      </c>
      <c r="AN665" t="n">
        <v>0</v>
      </c>
      <c r="AO665" t="n">
        <v>0</v>
      </c>
      <c r="AP665" t="n">
        <v>7</v>
      </c>
      <c r="AQ665" t="n">
        <v>62</v>
      </c>
      <c r="AR665" t="n">
        <v>130</v>
      </c>
      <c r="AS665" t="n">
        <v>77</v>
      </c>
      <c r="AT665" t="n">
        <v>1</v>
      </c>
      <c r="AU665" t="n">
        <v>0</v>
      </c>
      <c r="AV665" t="n">
        <v>5</v>
      </c>
      <c r="AW665" t="n">
        <v>1</v>
      </c>
      <c r="AX665" t="n">
        <v>1</v>
      </c>
      <c r="AY665" t="n">
        <v>49</v>
      </c>
      <c r="AZ665" t="n">
        <v>4</v>
      </c>
      <c r="BA665" t="n">
        <v>48</v>
      </c>
      <c r="BB665" t="n">
        <v>124</v>
      </c>
      <c r="BC665" t="n">
        <v>50</v>
      </c>
      <c r="BD665" t="n">
        <v>62</v>
      </c>
      <c r="BE665" t="n">
        <v>1</v>
      </c>
      <c r="BF665" t="n">
        <v>33</v>
      </c>
      <c r="BG665" t="n">
        <v>1</v>
      </c>
      <c r="BH665" t="n">
        <v>7</v>
      </c>
      <c r="BI665" t="n">
        <v>18</v>
      </c>
      <c r="BJ665" t="n">
        <v>15</v>
      </c>
      <c r="BK665" t="n">
        <v>0</v>
      </c>
      <c r="BL665" t="n">
        <v>1</v>
      </c>
      <c r="BM665" t="n">
        <v>17</v>
      </c>
      <c r="BN665" t="n">
        <v>10</v>
      </c>
      <c r="BO665" t="n">
        <v>2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2</v>
      </c>
      <c r="G666" t="n">
        <v>1</v>
      </c>
      <c r="H666" t="n">
        <v>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399</v>
      </c>
      <c r="Z666" t="n">
        <v>193</v>
      </c>
      <c r="AA666" t="n">
        <v>200</v>
      </c>
      <c r="AB666" t="n">
        <v>1</v>
      </c>
      <c r="AC666" t="n">
        <v>2</v>
      </c>
      <c r="AD666" t="n">
        <v>6</v>
      </c>
      <c r="AE666" t="n">
        <v>3</v>
      </c>
      <c r="AF666" t="n">
        <v>3</v>
      </c>
      <c r="AG666" t="n">
        <v>3</v>
      </c>
      <c r="AH666" t="n">
        <v>251</v>
      </c>
      <c r="AI666" t="n">
        <v>36</v>
      </c>
      <c r="AJ666" t="n">
        <v>29</v>
      </c>
      <c r="AK666" t="n">
        <v>27</v>
      </c>
      <c r="AL666" t="n">
        <v>0</v>
      </c>
      <c r="AM666" t="n">
        <v>2</v>
      </c>
      <c r="AN666" t="n">
        <v>0</v>
      </c>
      <c r="AO666" t="n">
        <v>0</v>
      </c>
      <c r="AP666" t="n">
        <v>0</v>
      </c>
      <c r="AQ666" t="n">
        <v>7</v>
      </c>
      <c r="AR666" t="n">
        <v>87</v>
      </c>
      <c r="AS666" t="n">
        <v>80</v>
      </c>
      <c r="AT666" t="n">
        <v>0</v>
      </c>
      <c r="AU666" t="n">
        <v>1</v>
      </c>
      <c r="AV666" t="n">
        <v>27</v>
      </c>
      <c r="AW666" t="n">
        <v>24</v>
      </c>
      <c r="AX666" t="n">
        <v>7</v>
      </c>
      <c r="AY666" t="n">
        <v>60</v>
      </c>
      <c r="AZ666" t="n">
        <v>0</v>
      </c>
      <c r="BA666" t="n">
        <v>1</v>
      </c>
      <c r="BB666" t="n">
        <v>188</v>
      </c>
      <c r="BC666" t="n">
        <v>10</v>
      </c>
      <c r="BD666" t="n">
        <v>241</v>
      </c>
      <c r="BE666" t="n">
        <v>24</v>
      </c>
      <c r="BF666" t="n">
        <v>44</v>
      </c>
      <c r="BG666" t="n">
        <v>3</v>
      </c>
      <c r="BH666" t="n">
        <v>11</v>
      </c>
      <c r="BI666" t="n">
        <v>31</v>
      </c>
      <c r="BJ666" t="n">
        <v>27</v>
      </c>
      <c r="BK666" t="n">
        <v>3</v>
      </c>
      <c r="BL666" t="n">
        <v>19</v>
      </c>
      <c r="BM666" t="n">
        <v>35</v>
      </c>
      <c r="BN666" t="n">
        <v>15</v>
      </c>
      <c r="BO666" t="n">
        <v>-5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370</v>
      </c>
      <c r="Z667" t="n">
        <v>115</v>
      </c>
      <c r="AA667" t="n">
        <v>21</v>
      </c>
      <c r="AB667" t="n">
        <v>1</v>
      </c>
      <c r="AC667" t="n">
        <v>0</v>
      </c>
      <c r="AD667" t="n">
        <v>4</v>
      </c>
      <c r="AE667" t="n">
        <v>4</v>
      </c>
      <c r="AF667" t="n">
        <v>2</v>
      </c>
      <c r="AG667" t="n">
        <v>8</v>
      </c>
      <c r="AH667" t="n">
        <v>171</v>
      </c>
      <c r="AI667" t="n">
        <v>24</v>
      </c>
      <c r="AJ667" t="n">
        <v>14</v>
      </c>
      <c r="AK667" t="n">
        <v>119</v>
      </c>
      <c r="AL667" t="n">
        <v>3</v>
      </c>
      <c r="AM667" t="n">
        <v>40</v>
      </c>
      <c r="AN667" t="n">
        <v>0</v>
      </c>
      <c r="AO667" t="n">
        <v>0</v>
      </c>
      <c r="AP667" t="n">
        <v>1</v>
      </c>
      <c r="AQ667" t="n">
        <v>15</v>
      </c>
      <c r="AR667" t="n">
        <v>97</v>
      </c>
      <c r="AS667" t="n">
        <v>83</v>
      </c>
      <c r="AT667" t="n">
        <v>3</v>
      </c>
      <c r="AU667" t="n">
        <v>0</v>
      </c>
      <c r="AV667" t="n">
        <v>24</v>
      </c>
      <c r="AW667" t="n">
        <v>1</v>
      </c>
      <c r="AX667" t="n">
        <v>1</v>
      </c>
      <c r="AY667" t="n">
        <v>35</v>
      </c>
      <c r="AZ667" t="n">
        <v>1</v>
      </c>
      <c r="BA667" t="n">
        <v>5</v>
      </c>
      <c r="BB667" t="n">
        <v>23</v>
      </c>
      <c r="BC667" t="n">
        <v>53</v>
      </c>
      <c r="BD667" t="n">
        <v>181</v>
      </c>
      <c r="BE667" t="n">
        <v>3</v>
      </c>
      <c r="BF667" t="n">
        <v>10</v>
      </c>
      <c r="BG667" t="n">
        <v>0</v>
      </c>
      <c r="BH667" t="n">
        <v>2</v>
      </c>
      <c r="BI667" t="n">
        <v>1</v>
      </c>
      <c r="BJ667" t="n">
        <v>19</v>
      </c>
      <c r="BK667" t="n">
        <v>3</v>
      </c>
      <c r="BL667" t="n">
        <v>20</v>
      </c>
      <c r="BM667" t="n">
        <v>17</v>
      </c>
      <c r="BN667" t="n">
        <v>3</v>
      </c>
      <c r="BO667" t="n">
        <v>40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251</v>
      </c>
      <c r="Z668" t="n">
        <v>237</v>
      </c>
      <c r="AA668" t="n">
        <v>87</v>
      </c>
      <c r="AB668" t="n">
        <v>1</v>
      </c>
      <c r="AC668" t="n">
        <v>0</v>
      </c>
      <c r="AD668" t="n">
        <v>6</v>
      </c>
      <c r="AE668" t="n">
        <v>7</v>
      </c>
      <c r="AF668" t="n">
        <v>6</v>
      </c>
      <c r="AG668" t="n">
        <v>3</v>
      </c>
      <c r="AH668" t="n">
        <v>44</v>
      </c>
      <c r="AI668" t="n">
        <v>91</v>
      </c>
      <c r="AJ668" t="n">
        <v>45</v>
      </c>
      <c r="AK668" t="n">
        <v>84</v>
      </c>
      <c r="AL668" t="n">
        <v>1</v>
      </c>
      <c r="AM668" t="n">
        <v>6</v>
      </c>
      <c r="AN668" t="n">
        <v>0</v>
      </c>
      <c r="AO668" t="n">
        <v>0</v>
      </c>
      <c r="AP668" t="n">
        <v>0</v>
      </c>
      <c r="AQ668" t="n">
        <v>1</v>
      </c>
      <c r="AR668" t="n">
        <v>51</v>
      </c>
      <c r="AS668" t="n">
        <v>46</v>
      </c>
      <c r="AT668" t="n">
        <v>4</v>
      </c>
      <c r="AU668" t="n">
        <v>1</v>
      </c>
      <c r="AV668" t="n">
        <v>51</v>
      </c>
      <c r="AW668" t="n">
        <v>20</v>
      </c>
      <c r="AX668" t="n">
        <v>0</v>
      </c>
      <c r="AY668" t="n">
        <v>1</v>
      </c>
      <c r="AZ668" t="n">
        <v>3</v>
      </c>
      <c r="BA668" t="n">
        <v>22</v>
      </c>
      <c r="BB668" t="n">
        <v>105</v>
      </c>
      <c r="BC668" t="n">
        <v>2</v>
      </c>
      <c r="BD668" t="n">
        <v>84</v>
      </c>
      <c r="BE668" t="n">
        <v>23</v>
      </c>
      <c r="BF668" t="n">
        <v>68</v>
      </c>
      <c r="BG668" t="n">
        <v>4</v>
      </c>
      <c r="BH668" t="n">
        <v>8</v>
      </c>
      <c r="BI668" t="n">
        <v>33</v>
      </c>
      <c r="BJ668" t="n">
        <v>32</v>
      </c>
      <c r="BK668" t="n">
        <v>0</v>
      </c>
      <c r="BL668" t="n">
        <v>41</v>
      </c>
      <c r="BM668" t="n">
        <v>28</v>
      </c>
      <c r="BN668" t="n">
        <v>0</v>
      </c>
      <c r="BO668" t="n">
        <v>18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2</v>
      </c>
      <c r="U669" t="n">
        <v>0</v>
      </c>
      <c r="V669" t="n">
        <v>0</v>
      </c>
      <c r="W669" t="n">
        <v>0</v>
      </c>
      <c r="X669" t="n">
        <v>0</v>
      </c>
      <c r="Y669" t="n">
        <v>263</v>
      </c>
      <c r="Z669" t="n">
        <v>29</v>
      </c>
      <c r="AA669" t="n">
        <v>42</v>
      </c>
      <c r="AB669" t="n">
        <v>3</v>
      </c>
      <c r="AC669" t="n">
        <v>2</v>
      </c>
      <c r="AD669" t="n">
        <v>7</v>
      </c>
      <c r="AE669" t="n">
        <v>0</v>
      </c>
      <c r="AF669" t="n">
        <v>2</v>
      </c>
      <c r="AG669" t="n">
        <v>4</v>
      </c>
      <c r="AH669" t="n">
        <v>95</v>
      </c>
      <c r="AI669" t="n">
        <v>8</v>
      </c>
      <c r="AJ669" t="n">
        <v>14</v>
      </c>
      <c r="AK669" t="n">
        <v>36</v>
      </c>
      <c r="AL669" t="n">
        <v>0</v>
      </c>
      <c r="AM669" t="n">
        <v>2</v>
      </c>
      <c r="AN669" t="n">
        <v>0</v>
      </c>
      <c r="AO669" t="n">
        <v>1</v>
      </c>
      <c r="AP669" t="n">
        <v>8</v>
      </c>
      <c r="AQ669" t="n">
        <v>68</v>
      </c>
      <c r="AR669" t="n">
        <v>103</v>
      </c>
      <c r="AS669" t="n">
        <v>44</v>
      </c>
      <c r="AT669" t="n">
        <v>5</v>
      </c>
      <c r="AU669" t="n">
        <v>2</v>
      </c>
      <c r="AV669" t="n">
        <v>40</v>
      </c>
      <c r="AW669" t="n">
        <v>8</v>
      </c>
      <c r="AX669" t="n">
        <v>0</v>
      </c>
      <c r="AY669" t="n">
        <v>48</v>
      </c>
      <c r="AZ669" t="n">
        <v>2</v>
      </c>
      <c r="BA669" t="n">
        <v>18</v>
      </c>
      <c r="BB669" t="n">
        <v>58</v>
      </c>
      <c r="BC669" t="n">
        <v>14</v>
      </c>
      <c r="BD669" t="n">
        <v>85</v>
      </c>
      <c r="BE669" t="n">
        <v>8</v>
      </c>
      <c r="BF669" t="n">
        <v>11</v>
      </c>
      <c r="BG669" t="n">
        <v>2</v>
      </c>
      <c r="BH669" t="n">
        <v>7</v>
      </c>
      <c r="BI669" t="n">
        <v>11</v>
      </c>
      <c r="BJ669" t="n">
        <v>9</v>
      </c>
      <c r="BK669" t="n">
        <v>0</v>
      </c>
      <c r="BL669" t="n">
        <v>1</v>
      </c>
      <c r="BM669" t="n">
        <v>5</v>
      </c>
      <c r="BN669" t="n">
        <v>3</v>
      </c>
      <c r="BO669" t="n">
        <v>161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297</v>
      </c>
      <c r="Z670" t="n">
        <v>174</v>
      </c>
      <c r="AA670" t="n">
        <v>115</v>
      </c>
      <c r="AB670" t="n">
        <v>1</v>
      </c>
      <c r="AC670" t="n">
        <v>1</v>
      </c>
      <c r="AD670" t="n">
        <v>3</v>
      </c>
      <c r="AE670" t="n">
        <v>0</v>
      </c>
      <c r="AF670" t="n">
        <v>6</v>
      </c>
      <c r="AG670" t="n">
        <v>6</v>
      </c>
      <c r="AH670" t="n">
        <v>22</v>
      </c>
      <c r="AI670" t="n">
        <v>8</v>
      </c>
      <c r="AJ670" t="n">
        <v>108</v>
      </c>
      <c r="AK670" t="n">
        <v>71</v>
      </c>
      <c r="AL670" t="n">
        <v>1</v>
      </c>
      <c r="AM670" t="n">
        <v>13</v>
      </c>
      <c r="AN670" t="n">
        <v>0</v>
      </c>
      <c r="AO670" t="n">
        <v>0</v>
      </c>
      <c r="AP670" t="n">
        <v>4</v>
      </c>
      <c r="AQ670" t="n">
        <v>41</v>
      </c>
      <c r="AR670" t="n">
        <v>149</v>
      </c>
      <c r="AS670" t="n">
        <v>114</v>
      </c>
      <c r="AT670" t="n">
        <v>2</v>
      </c>
      <c r="AU670" t="n">
        <v>0</v>
      </c>
      <c r="AV670" t="n">
        <v>2</v>
      </c>
      <c r="AW670" t="n">
        <v>3</v>
      </c>
      <c r="AX670" t="n">
        <v>0</v>
      </c>
      <c r="AY670" t="n">
        <v>93</v>
      </c>
      <c r="AZ670" t="n">
        <v>0</v>
      </c>
      <c r="BA670" t="n">
        <v>2</v>
      </c>
      <c r="BB670" t="n">
        <v>111</v>
      </c>
      <c r="BC670" t="n">
        <v>14</v>
      </c>
      <c r="BD670" t="n">
        <v>19</v>
      </c>
      <c r="BE670" t="n">
        <v>1</v>
      </c>
      <c r="BF670" t="n">
        <v>89</v>
      </c>
      <c r="BG670" t="n">
        <v>1</v>
      </c>
      <c r="BH670" t="n">
        <v>0</v>
      </c>
      <c r="BI670" t="n">
        <v>7</v>
      </c>
      <c r="BJ670" t="n">
        <v>5</v>
      </c>
      <c r="BK670" t="n">
        <v>1</v>
      </c>
      <c r="BL670" t="n">
        <v>1</v>
      </c>
      <c r="BM670" t="n">
        <v>23</v>
      </c>
      <c r="BN670" t="n">
        <v>14</v>
      </c>
      <c r="BO670" t="n">
        <v>2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171</v>
      </c>
      <c r="Z671" t="n">
        <v>243</v>
      </c>
      <c r="AA671" t="n">
        <v>49</v>
      </c>
      <c r="AB671" t="n">
        <v>0</v>
      </c>
      <c r="AC671" t="n">
        <v>1</v>
      </c>
      <c r="AD671" t="n">
        <v>2</v>
      </c>
      <c r="AE671" t="n">
        <v>4</v>
      </c>
      <c r="AF671" t="n">
        <v>3</v>
      </c>
      <c r="AG671" t="n">
        <v>5</v>
      </c>
      <c r="AH671" t="n">
        <v>40</v>
      </c>
      <c r="AI671" t="n">
        <v>54</v>
      </c>
      <c r="AJ671" t="n">
        <v>53</v>
      </c>
      <c r="AK671" t="n">
        <v>86</v>
      </c>
      <c r="AL671" t="n">
        <v>1</v>
      </c>
      <c r="AM671" t="n">
        <v>2</v>
      </c>
      <c r="AN671" t="n">
        <v>0</v>
      </c>
      <c r="AO671" t="n">
        <v>0</v>
      </c>
      <c r="AP671" t="n">
        <v>0</v>
      </c>
      <c r="AQ671" t="n">
        <v>6</v>
      </c>
      <c r="AR671" t="n">
        <v>99</v>
      </c>
      <c r="AS671" t="n">
        <v>91</v>
      </c>
      <c r="AT671" t="n">
        <v>4</v>
      </c>
      <c r="AU671" t="n">
        <v>2</v>
      </c>
      <c r="AV671" t="n">
        <v>1</v>
      </c>
      <c r="AW671" t="n">
        <v>1</v>
      </c>
      <c r="AX671" t="n">
        <v>9</v>
      </c>
      <c r="AY671" t="n">
        <v>25</v>
      </c>
      <c r="AZ671" t="n">
        <v>5</v>
      </c>
      <c r="BA671" t="n">
        <v>46</v>
      </c>
      <c r="BB671" t="n">
        <v>97</v>
      </c>
      <c r="BC671" t="n">
        <v>6</v>
      </c>
      <c r="BD671" t="n">
        <v>36</v>
      </c>
      <c r="BE671" t="n">
        <v>2</v>
      </c>
      <c r="BF671" t="n">
        <v>45</v>
      </c>
      <c r="BG671" t="n">
        <v>0</v>
      </c>
      <c r="BH671" t="n">
        <v>3</v>
      </c>
      <c r="BI671" t="n">
        <v>1</v>
      </c>
      <c r="BJ671" t="n">
        <v>42</v>
      </c>
      <c r="BK671" t="n">
        <v>3</v>
      </c>
      <c r="BL671" t="n">
        <v>33</v>
      </c>
      <c r="BM671" t="n">
        <v>30</v>
      </c>
      <c r="BN671" t="n">
        <v>6</v>
      </c>
      <c r="BO671" t="n">
        <v>2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4</v>
      </c>
      <c r="U672" t="n">
        <v>0</v>
      </c>
      <c r="V672" t="n">
        <v>0</v>
      </c>
      <c r="W672" t="n">
        <v>0</v>
      </c>
      <c r="X672" t="n">
        <v>0</v>
      </c>
      <c r="Y672" t="n">
        <v>204</v>
      </c>
      <c r="Z672" t="n">
        <v>82</v>
      </c>
      <c r="AA672" t="n">
        <v>124</v>
      </c>
      <c r="AB672" t="n">
        <v>2</v>
      </c>
      <c r="AC672" t="n">
        <v>1</v>
      </c>
      <c r="AD672" t="n">
        <v>5</v>
      </c>
      <c r="AE672" t="n">
        <v>4</v>
      </c>
      <c r="AF672" t="n">
        <v>2</v>
      </c>
      <c r="AG672" t="n">
        <v>3</v>
      </c>
      <c r="AH672" t="n">
        <v>52</v>
      </c>
      <c r="AI672" t="n">
        <v>2</v>
      </c>
      <c r="AJ672" t="n">
        <v>9</v>
      </c>
      <c r="AK672" t="n">
        <v>48</v>
      </c>
      <c r="AL672" t="n">
        <v>2</v>
      </c>
      <c r="AM672" t="n">
        <v>46</v>
      </c>
      <c r="AN672" t="n">
        <v>0</v>
      </c>
      <c r="AO672" t="n">
        <v>0</v>
      </c>
      <c r="AP672" t="n">
        <v>6</v>
      </c>
      <c r="AQ672" t="n">
        <v>58</v>
      </c>
      <c r="AR672" t="n">
        <v>82</v>
      </c>
      <c r="AS672" t="n">
        <v>34</v>
      </c>
      <c r="AT672" t="n">
        <v>6</v>
      </c>
      <c r="AU672" t="n">
        <v>1</v>
      </c>
      <c r="AV672" t="n">
        <v>75</v>
      </c>
      <c r="AW672" t="n">
        <v>22</v>
      </c>
      <c r="AX672" t="n">
        <v>0</v>
      </c>
      <c r="AY672" t="n">
        <v>18</v>
      </c>
      <c r="AZ672" t="n">
        <v>0</v>
      </c>
      <c r="BA672" t="n">
        <v>3</v>
      </c>
      <c r="BB672" t="n">
        <v>120</v>
      </c>
      <c r="BC672" t="n">
        <v>38</v>
      </c>
      <c r="BD672" t="n">
        <v>45</v>
      </c>
      <c r="BE672" t="n">
        <v>22</v>
      </c>
      <c r="BF672" t="n">
        <v>19</v>
      </c>
      <c r="BG672" t="n">
        <v>0</v>
      </c>
      <c r="BH672" t="n">
        <v>5</v>
      </c>
      <c r="BI672" t="n">
        <v>1</v>
      </c>
      <c r="BJ672" t="n">
        <v>1</v>
      </c>
      <c r="BK672" t="n">
        <v>3</v>
      </c>
      <c r="BL672" t="n">
        <v>1</v>
      </c>
      <c r="BM672" t="n">
        <v>6</v>
      </c>
      <c r="BN672" t="n">
        <v>3</v>
      </c>
      <c r="BO672" t="n">
        <v>21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3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253</v>
      </c>
      <c r="Z673" t="n">
        <v>195</v>
      </c>
      <c r="AA673" t="n">
        <v>66</v>
      </c>
      <c r="AB673" t="n">
        <v>4</v>
      </c>
      <c r="AC673" t="n">
        <v>0</v>
      </c>
      <c r="AD673" t="n">
        <v>7</v>
      </c>
      <c r="AE673" t="n">
        <v>2</v>
      </c>
      <c r="AF673" t="n">
        <v>1</v>
      </c>
      <c r="AG673" t="n">
        <v>3</v>
      </c>
      <c r="AH673" t="n">
        <v>87</v>
      </c>
      <c r="AI673" t="n">
        <v>43</v>
      </c>
      <c r="AJ673" t="n">
        <v>11</v>
      </c>
      <c r="AK673" t="n">
        <v>24</v>
      </c>
      <c r="AL673" t="n">
        <v>5</v>
      </c>
      <c r="AM673" t="n">
        <v>116</v>
      </c>
      <c r="AN673" t="n">
        <v>0</v>
      </c>
      <c r="AO673" t="n">
        <v>0</v>
      </c>
      <c r="AP673" t="n">
        <v>0</v>
      </c>
      <c r="AQ673" t="n">
        <v>1</v>
      </c>
      <c r="AR673" t="n">
        <v>154</v>
      </c>
      <c r="AS673" t="n">
        <v>141</v>
      </c>
      <c r="AT673" t="n">
        <v>1</v>
      </c>
      <c r="AU673" t="n">
        <v>1</v>
      </c>
      <c r="AV673" t="n">
        <v>41</v>
      </c>
      <c r="AW673" t="n">
        <v>12</v>
      </c>
      <c r="AX673" t="n">
        <v>0</v>
      </c>
      <c r="AY673" t="n">
        <v>67</v>
      </c>
      <c r="AZ673" t="n">
        <v>2</v>
      </c>
      <c r="BA673" t="n">
        <v>5</v>
      </c>
      <c r="BB673" t="n">
        <v>65</v>
      </c>
      <c r="BC673" t="n">
        <v>94</v>
      </c>
      <c r="BD673" t="n">
        <v>79</v>
      </c>
      <c r="BE673" t="n">
        <v>16</v>
      </c>
      <c r="BF673" t="n">
        <v>8</v>
      </c>
      <c r="BG673" t="n">
        <v>4</v>
      </c>
      <c r="BH673" t="n">
        <v>23</v>
      </c>
      <c r="BI673" t="n">
        <v>44</v>
      </c>
      <c r="BJ673" t="n">
        <v>48</v>
      </c>
      <c r="BK673" t="n">
        <v>3</v>
      </c>
      <c r="BL673" t="n">
        <v>20</v>
      </c>
      <c r="BM673" t="n">
        <v>14</v>
      </c>
      <c r="BN673" t="n">
        <v>2</v>
      </c>
      <c r="BO673" t="n">
        <v>30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191</v>
      </c>
      <c r="Z674" t="n">
        <v>199</v>
      </c>
      <c r="AA674" t="n">
        <v>26</v>
      </c>
      <c r="AB674" t="n">
        <v>0</v>
      </c>
      <c r="AC674" t="n">
        <v>0</v>
      </c>
      <c r="AD674" t="n">
        <v>1</v>
      </c>
      <c r="AE674" t="n">
        <v>7</v>
      </c>
      <c r="AF674" t="n">
        <v>1</v>
      </c>
      <c r="AG674" t="n">
        <v>7</v>
      </c>
      <c r="AH674" t="n">
        <v>2</v>
      </c>
      <c r="AI674" t="n">
        <v>55</v>
      </c>
      <c r="AJ674" t="n">
        <v>39</v>
      </c>
      <c r="AK674" t="n">
        <v>72</v>
      </c>
      <c r="AL674" t="n">
        <v>3</v>
      </c>
      <c r="AM674" t="n">
        <v>14</v>
      </c>
      <c r="AN674" t="n">
        <v>0</v>
      </c>
      <c r="AO674" t="n">
        <v>0</v>
      </c>
      <c r="AP674" t="n">
        <v>0</v>
      </c>
      <c r="AQ674" t="n">
        <v>1</v>
      </c>
      <c r="AR674" t="n">
        <v>111</v>
      </c>
      <c r="AS674" t="n">
        <v>101</v>
      </c>
      <c r="AT674" t="n">
        <v>1</v>
      </c>
      <c r="AU674" t="n">
        <v>2</v>
      </c>
      <c r="AV674" t="n">
        <v>21</v>
      </c>
      <c r="AW674" t="n">
        <v>14</v>
      </c>
      <c r="AX674" t="n">
        <v>0</v>
      </c>
      <c r="AY674" t="n">
        <v>50</v>
      </c>
      <c r="AZ674" t="n">
        <v>2</v>
      </c>
      <c r="BA674" t="n">
        <v>17</v>
      </c>
      <c r="BB674" t="n">
        <v>42</v>
      </c>
      <c r="BC674" t="n">
        <v>10</v>
      </c>
      <c r="BD674" t="n">
        <v>38</v>
      </c>
      <c r="BE674" t="n">
        <v>14</v>
      </c>
      <c r="BF674" t="n">
        <v>31</v>
      </c>
      <c r="BG674" t="n">
        <v>2</v>
      </c>
      <c r="BH674" t="n">
        <v>0</v>
      </c>
      <c r="BI674" t="n">
        <v>24</v>
      </c>
      <c r="BJ674" t="n">
        <v>21</v>
      </c>
      <c r="BK674" t="n">
        <v>3</v>
      </c>
      <c r="BL674" t="n">
        <v>11</v>
      </c>
      <c r="BM674" t="n">
        <v>40</v>
      </c>
      <c r="BN674" t="n">
        <v>21</v>
      </c>
      <c r="BO674" t="n">
        <v>4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207</v>
      </c>
      <c r="Z675" t="n">
        <v>99</v>
      </c>
      <c r="AA675" t="n">
        <v>49</v>
      </c>
      <c r="AB675" t="n">
        <v>2</v>
      </c>
      <c r="AC675" t="n">
        <v>1</v>
      </c>
      <c r="AD675" t="n">
        <v>4</v>
      </c>
      <c r="AE675" t="n">
        <v>3</v>
      </c>
      <c r="AF675" t="n">
        <v>5</v>
      </c>
      <c r="AG675" t="n">
        <v>2</v>
      </c>
      <c r="AH675" t="n">
        <v>38</v>
      </c>
      <c r="AI675" t="n">
        <v>30</v>
      </c>
      <c r="AJ675" t="n">
        <v>59</v>
      </c>
      <c r="AK675" t="n">
        <v>10</v>
      </c>
      <c r="AL675" t="n">
        <v>4</v>
      </c>
      <c r="AM675" t="n">
        <v>48</v>
      </c>
      <c r="AN675" t="n">
        <v>0</v>
      </c>
      <c r="AO675" t="n">
        <v>0</v>
      </c>
      <c r="AP675" t="n">
        <v>6</v>
      </c>
      <c r="AQ675" t="n">
        <v>29</v>
      </c>
      <c r="AR675" t="n">
        <v>142</v>
      </c>
      <c r="AS675" t="n">
        <v>115</v>
      </c>
      <c r="AT675" t="n">
        <v>5</v>
      </c>
      <c r="AU675" t="n">
        <v>0</v>
      </c>
      <c r="AV675" t="n">
        <v>38</v>
      </c>
      <c r="AW675" t="n">
        <v>1</v>
      </c>
      <c r="AX675" t="n">
        <v>0</v>
      </c>
      <c r="AY675" t="n">
        <v>34</v>
      </c>
      <c r="AZ675" t="n">
        <v>2</v>
      </c>
      <c r="BA675" t="n">
        <v>8</v>
      </c>
      <c r="BB675" t="n">
        <v>53</v>
      </c>
      <c r="BC675" t="n">
        <v>42</v>
      </c>
      <c r="BD675" t="n">
        <v>35</v>
      </c>
      <c r="BE675" t="n">
        <v>1</v>
      </c>
      <c r="BF675" t="n">
        <v>50</v>
      </c>
      <c r="BG675" t="n">
        <v>3</v>
      </c>
      <c r="BH675" t="n">
        <v>21</v>
      </c>
      <c r="BI675" t="n">
        <v>12</v>
      </c>
      <c r="BJ675" t="n">
        <v>41</v>
      </c>
      <c r="BK675" t="n">
        <v>3</v>
      </c>
      <c r="BL675" t="n">
        <v>18</v>
      </c>
      <c r="BM675" t="n">
        <v>20</v>
      </c>
      <c r="BN675" t="n">
        <v>6</v>
      </c>
      <c r="BO675" t="n">
        <v>-5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158</v>
      </c>
      <c r="Z676" t="n">
        <v>240</v>
      </c>
      <c r="AA676" t="n">
        <v>171</v>
      </c>
      <c r="AB676" t="n">
        <v>4</v>
      </c>
      <c r="AC676" t="n">
        <v>1</v>
      </c>
      <c r="AD676" t="n">
        <v>4</v>
      </c>
      <c r="AE676" t="n">
        <v>3</v>
      </c>
      <c r="AF676" t="n">
        <v>2</v>
      </c>
      <c r="AG676" t="n">
        <v>5</v>
      </c>
      <c r="AH676" t="n">
        <v>15</v>
      </c>
      <c r="AI676" t="n">
        <v>63</v>
      </c>
      <c r="AJ676" t="n">
        <v>11</v>
      </c>
      <c r="AK676" t="n">
        <v>30</v>
      </c>
      <c r="AL676" t="n">
        <v>3</v>
      </c>
      <c r="AM676" t="n">
        <v>42</v>
      </c>
      <c r="AN676" t="n">
        <v>1</v>
      </c>
      <c r="AO676" t="n">
        <v>0</v>
      </c>
      <c r="AP676" t="n">
        <v>6</v>
      </c>
      <c r="AQ676" t="n">
        <v>32</v>
      </c>
      <c r="AR676" t="n">
        <v>140</v>
      </c>
      <c r="AS676" t="n">
        <v>111</v>
      </c>
      <c r="AT676" t="n">
        <v>5</v>
      </c>
      <c r="AU676" t="n">
        <v>2</v>
      </c>
      <c r="AV676" t="n">
        <v>57</v>
      </c>
      <c r="AW676" t="n">
        <v>3</v>
      </c>
      <c r="AX676" t="n">
        <v>1</v>
      </c>
      <c r="AY676" t="n">
        <v>52</v>
      </c>
      <c r="AZ676" t="n">
        <v>4</v>
      </c>
      <c r="BA676" t="n">
        <v>4</v>
      </c>
      <c r="BB676" t="n">
        <v>162</v>
      </c>
      <c r="BC676" t="n">
        <v>34</v>
      </c>
      <c r="BD676" t="n">
        <v>16</v>
      </c>
      <c r="BE676" t="n">
        <v>4</v>
      </c>
      <c r="BF676" t="n">
        <v>22</v>
      </c>
      <c r="BG676" t="n">
        <v>1</v>
      </c>
      <c r="BH676" t="n">
        <v>11</v>
      </c>
      <c r="BI676" t="n">
        <v>14</v>
      </c>
      <c r="BJ676" t="n">
        <v>12</v>
      </c>
      <c r="BK676" t="n">
        <v>7</v>
      </c>
      <c r="BL676" t="n">
        <v>98</v>
      </c>
      <c r="BM676" t="n">
        <v>84</v>
      </c>
      <c r="BN676" t="n">
        <v>15</v>
      </c>
      <c r="BO676" t="n">
        <v>2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114</v>
      </c>
      <c r="Z677" t="n">
        <v>246</v>
      </c>
      <c r="AA677" t="n">
        <v>20</v>
      </c>
      <c r="AB677" t="n">
        <v>3</v>
      </c>
      <c r="AC677" t="n">
        <v>0</v>
      </c>
      <c r="AD677" t="n">
        <v>2</v>
      </c>
      <c r="AE677" t="n">
        <v>9</v>
      </c>
      <c r="AF677" t="n">
        <v>3</v>
      </c>
      <c r="AG677" t="n">
        <v>3</v>
      </c>
      <c r="AH677" t="n">
        <v>44</v>
      </c>
      <c r="AI677" t="n">
        <v>78</v>
      </c>
      <c r="AJ677" t="n">
        <v>11</v>
      </c>
      <c r="AK677" t="n">
        <v>28</v>
      </c>
      <c r="AL677" t="n">
        <v>4</v>
      </c>
      <c r="AM677" t="n">
        <v>40</v>
      </c>
      <c r="AN677" t="n">
        <v>1</v>
      </c>
      <c r="AO677" t="n">
        <v>0</v>
      </c>
      <c r="AP677" t="n">
        <v>3</v>
      </c>
      <c r="AQ677" t="n">
        <v>9</v>
      </c>
      <c r="AR677" t="n">
        <v>8</v>
      </c>
      <c r="AS677" t="n">
        <v>-1</v>
      </c>
      <c r="AT677" t="n">
        <v>2</v>
      </c>
      <c r="AU677" t="n">
        <v>4</v>
      </c>
      <c r="AV677" t="n">
        <v>2</v>
      </c>
      <c r="AW677" t="n">
        <v>24</v>
      </c>
      <c r="AX677" t="n">
        <v>16</v>
      </c>
      <c r="AY677" t="n">
        <v>35</v>
      </c>
      <c r="AZ677" t="n">
        <v>3</v>
      </c>
      <c r="BA677" t="n">
        <v>27</v>
      </c>
      <c r="BB677" t="n">
        <v>47</v>
      </c>
      <c r="BC677" t="n">
        <v>40</v>
      </c>
      <c r="BD677" t="n">
        <v>45</v>
      </c>
      <c r="BE677" t="n">
        <v>23</v>
      </c>
      <c r="BF677" t="n">
        <v>14</v>
      </c>
      <c r="BG677" t="n">
        <v>1</v>
      </c>
      <c r="BH677" t="n">
        <v>0</v>
      </c>
      <c r="BI677" t="n">
        <v>1</v>
      </c>
      <c r="BJ677" t="n">
        <v>12</v>
      </c>
      <c r="BK677" t="n">
        <v>2</v>
      </c>
      <c r="BL677" t="n">
        <v>37</v>
      </c>
      <c r="BM677" t="n">
        <v>36</v>
      </c>
      <c r="BN677" t="n">
        <v>9</v>
      </c>
      <c r="BO677" t="n">
        <v>25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305</v>
      </c>
      <c r="Z678" t="n">
        <v>149</v>
      </c>
      <c r="AA678" t="n">
        <v>207</v>
      </c>
      <c r="AB678" t="n">
        <v>0</v>
      </c>
      <c r="AC678" t="n">
        <v>1</v>
      </c>
      <c r="AD678" t="n">
        <v>5</v>
      </c>
      <c r="AE678" t="n">
        <v>5</v>
      </c>
      <c r="AF678" t="n">
        <v>5</v>
      </c>
      <c r="AG678" t="n">
        <v>7</v>
      </c>
      <c r="AH678" t="n">
        <v>80</v>
      </c>
      <c r="AI678" t="n">
        <v>22</v>
      </c>
      <c r="AJ678" t="n">
        <v>72</v>
      </c>
      <c r="AK678" t="n">
        <v>48</v>
      </c>
      <c r="AL678" t="n">
        <v>1</v>
      </c>
      <c r="AM678" t="n">
        <v>44</v>
      </c>
      <c r="AN678" t="n">
        <v>0</v>
      </c>
      <c r="AO678" t="n">
        <v>0</v>
      </c>
      <c r="AP678" t="n">
        <v>3</v>
      </c>
      <c r="AQ678" t="n">
        <v>21</v>
      </c>
      <c r="AR678" t="n">
        <v>98</v>
      </c>
      <c r="AS678" t="n">
        <v>81</v>
      </c>
      <c r="AT678" t="n">
        <v>3</v>
      </c>
      <c r="AU678" t="n">
        <v>1</v>
      </c>
      <c r="AV678" t="n">
        <v>14</v>
      </c>
      <c r="AW678" t="n">
        <v>12</v>
      </c>
      <c r="AX678" t="n">
        <v>23</v>
      </c>
      <c r="AY678" t="n">
        <v>73</v>
      </c>
      <c r="AZ678" t="n">
        <v>1</v>
      </c>
      <c r="BA678" t="n">
        <v>17</v>
      </c>
      <c r="BB678" t="n">
        <v>209</v>
      </c>
      <c r="BC678" t="n">
        <v>37</v>
      </c>
      <c r="BD678" t="n">
        <v>72</v>
      </c>
      <c r="BE678" t="n">
        <v>11</v>
      </c>
      <c r="BF678" t="n">
        <v>57</v>
      </c>
      <c r="BG678" t="n">
        <v>2</v>
      </c>
      <c r="BH678" t="n">
        <v>20</v>
      </c>
      <c r="BI678" t="n">
        <v>54</v>
      </c>
      <c r="BJ678" t="n">
        <v>54</v>
      </c>
      <c r="BK678" t="n">
        <v>1</v>
      </c>
      <c r="BL678" t="n">
        <v>7</v>
      </c>
      <c r="BM678" t="n">
        <v>16</v>
      </c>
      <c r="BN678" t="n">
        <v>8</v>
      </c>
      <c r="BO678" t="n">
        <v>86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127</v>
      </c>
      <c r="Z679" t="n">
        <v>77</v>
      </c>
      <c r="AA679" t="n">
        <v>114</v>
      </c>
      <c r="AB679" t="n">
        <v>1</v>
      </c>
      <c r="AC679" t="n">
        <v>1</v>
      </c>
      <c r="AD679" t="n">
        <v>0</v>
      </c>
      <c r="AE679" t="n">
        <v>3</v>
      </c>
      <c r="AF679" t="n">
        <v>2</v>
      </c>
      <c r="AG679" t="n">
        <v>2</v>
      </c>
      <c r="AH679" t="n">
        <v>24</v>
      </c>
      <c r="AI679" t="n">
        <v>2</v>
      </c>
      <c r="AJ679" t="n">
        <v>7</v>
      </c>
      <c r="AK679" t="n">
        <v>12</v>
      </c>
      <c r="AL679" t="n">
        <v>1</v>
      </c>
      <c r="AM679" t="n">
        <v>58</v>
      </c>
      <c r="AN679" t="n">
        <v>0</v>
      </c>
      <c r="AO679" t="n">
        <v>0</v>
      </c>
      <c r="AP679" t="n">
        <v>3</v>
      </c>
      <c r="AQ679" t="n">
        <v>15</v>
      </c>
      <c r="AR679" t="n">
        <v>122</v>
      </c>
      <c r="AS679" t="n">
        <v>105</v>
      </c>
      <c r="AT679" t="n">
        <v>4</v>
      </c>
      <c r="AU679" t="n">
        <v>1</v>
      </c>
      <c r="AV679" t="n">
        <v>9</v>
      </c>
      <c r="AW679" t="n">
        <v>9</v>
      </c>
      <c r="AX679" t="n">
        <v>1</v>
      </c>
      <c r="AY679" t="n">
        <v>62</v>
      </c>
      <c r="AZ679" t="n">
        <v>0</v>
      </c>
      <c r="BA679" t="n">
        <v>1</v>
      </c>
      <c r="BB679" t="n">
        <v>110</v>
      </c>
      <c r="BC679" t="n">
        <v>53</v>
      </c>
      <c r="BD679" t="n">
        <v>21</v>
      </c>
      <c r="BE679" t="n">
        <v>9</v>
      </c>
      <c r="BF679" t="n">
        <v>2</v>
      </c>
      <c r="BG679" t="n">
        <v>4</v>
      </c>
      <c r="BH679" t="n">
        <v>8</v>
      </c>
      <c r="BI679" t="n">
        <v>17</v>
      </c>
      <c r="BJ679" t="n">
        <v>36</v>
      </c>
      <c r="BK679" t="n">
        <v>0</v>
      </c>
      <c r="BL679" t="n">
        <v>5</v>
      </c>
      <c r="BM679" t="n">
        <v>17</v>
      </c>
      <c r="BN679" t="n">
        <v>10</v>
      </c>
      <c r="BO679" t="n">
        <v>2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260</v>
      </c>
      <c r="Z680" t="n">
        <v>262</v>
      </c>
      <c r="AA680" t="n">
        <v>233</v>
      </c>
      <c r="AB680" t="n">
        <v>0</v>
      </c>
      <c r="AC680" t="n">
        <v>0</v>
      </c>
      <c r="AD680" t="n">
        <v>1</v>
      </c>
      <c r="AE680" t="n">
        <v>7</v>
      </c>
      <c r="AF680" t="n">
        <v>0</v>
      </c>
      <c r="AG680" t="n">
        <v>2</v>
      </c>
      <c r="AH680" t="n">
        <v>42</v>
      </c>
      <c r="AI680" t="n">
        <v>79</v>
      </c>
      <c r="AJ680" t="n">
        <v>2</v>
      </c>
      <c r="AK680" t="n">
        <v>38</v>
      </c>
      <c r="AL680" t="n">
        <v>9</v>
      </c>
      <c r="AM680" t="n">
        <v>125</v>
      </c>
      <c r="AN680" t="n">
        <v>0</v>
      </c>
      <c r="AO680" t="n">
        <v>0</v>
      </c>
      <c r="AP680" t="n">
        <v>2</v>
      </c>
      <c r="AQ680" t="n">
        <v>1</v>
      </c>
      <c r="AR680" t="n">
        <v>81</v>
      </c>
      <c r="AS680" t="n">
        <v>73</v>
      </c>
      <c r="AT680" t="n">
        <v>0</v>
      </c>
      <c r="AU680" t="n">
        <v>1</v>
      </c>
      <c r="AV680" t="n">
        <v>1</v>
      </c>
      <c r="AW680" t="n">
        <v>7</v>
      </c>
      <c r="AX680" t="n">
        <v>-1</v>
      </c>
      <c r="AY680" t="n">
        <v>63</v>
      </c>
      <c r="AZ680" t="n">
        <v>0</v>
      </c>
      <c r="BA680" t="n">
        <v>1</v>
      </c>
      <c r="BB680" t="n">
        <v>247</v>
      </c>
      <c r="BC680" t="n">
        <v>118</v>
      </c>
      <c r="BD680" t="n">
        <v>37</v>
      </c>
      <c r="BE680" t="n">
        <v>10</v>
      </c>
      <c r="BF680" t="n">
        <v>18</v>
      </c>
      <c r="BG680" t="n">
        <v>5</v>
      </c>
      <c r="BH680" t="n">
        <v>27</v>
      </c>
      <c r="BI680" t="n">
        <v>30</v>
      </c>
      <c r="BJ680" t="n">
        <v>27</v>
      </c>
      <c r="BK680" t="n">
        <v>0</v>
      </c>
      <c r="BL680" t="n">
        <v>1</v>
      </c>
      <c r="BM680" t="n">
        <v>9</v>
      </c>
      <c r="BN680" t="n">
        <v>5</v>
      </c>
      <c r="BO680" t="n">
        <v>9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145</v>
      </c>
      <c r="Z681" t="n">
        <v>86</v>
      </c>
      <c r="AA681" t="n">
        <v>101</v>
      </c>
      <c r="AB681" t="n">
        <v>0</v>
      </c>
      <c r="AC681" t="n">
        <v>1</v>
      </c>
      <c r="AD681" t="n">
        <v>6</v>
      </c>
      <c r="AE681" t="n">
        <v>0</v>
      </c>
      <c r="AF681" t="n">
        <v>3</v>
      </c>
      <c r="AG681" t="n">
        <v>5</v>
      </c>
      <c r="AH681" t="n">
        <v>45</v>
      </c>
      <c r="AI681" t="n">
        <v>7</v>
      </c>
      <c r="AJ681" t="n">
        <v>34</v>
      </c>
      <c r="AK681" t="n">
        <v>54</v>
      </c>
      <c r="AL681" t="n">
        <v>2</v>
      </c>
      <c r="AM681" t="n">
        <v>25</v>
      </c>
      <c r="AN681" t="n">
        <v>0</v>
      </c>
      <c r="AO681" t="n">
        <v>0</v>
      </c>
      <c r="AP681" t="n">
        <v>0</v>
      </c>
      <c r="AQ681" t="n">
        <v>1</v>
      </c>
      <c r="AR681" t="n">
        <v>51</v>
      </c>
      <c r="AS681" t="n">
        <v>46</v>
      </c>
      <c r="AT681" t="n">
        <v>2</v>
      </c>
      <c r="AU681" t="n">
        <v>1</v>
      </c>
      <c r="AV681" t="n">
        <v>4</v>
      </c>
      <c r="AW681" t="n">
        <v>8</v>
      </c>
      <c r="AX681" t="n">
        <v>0</v>
      </c>
      <c r="AY681" t="n">
        <v>44</v>
      </c>
      <c r="AZ681" t="n">
        <v>0</v>
      </c>
      <c r="BA681" t="n">
        <v>2</v>
      </c>
      <c r="BB681" t="n">
        <v>99</v>
      </c>
      <c r="BC681" t="n">
        <v>21</v>
      </c>
      <c r="BD681" t="n">
        <v>40</v>
      </c>
      <c r="BE681" t="n">
        <v>8</v>
      </c>
      <c r="BF681" t="n">
        <v>32</v>
      </c>
      <c r="BG681" t="n">
        <v>4</v>
      </c>
      <c r="BH681" t="n">
        <v>0</v>
      </c>
      <c r="BI681" t="n">
        <v>19</v>
      </c>
      <c r="BJ681" t="n">
        <v>16</v>
      </c>
      <c r="BK681" t="n">
        <v>3</v>
      </c>
      <c r="BL681" t="n">
        <v>14</v>
      </c>
      <c r="BM681" t="n">
        <v>8</v>
      </c>
      <c r="BN681" t="n">
        <v>-1</v>
      </c>
      <c r="BO681" t="n">
        <v>9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162</v>
      </c>
      <c r="Z682" t="n">
        <v>208</v>
      </c>
      <c r="AA682" t="n">
        <v>34</v>
      </c>
      <c r="AB682" t="n">
        <v>3</v>
      </c>
      <c r="AC682" t="n">
        <v>2</v>
      </c>
      <c r="AD682" t="n">
        <v>4</v>
      </c>
      <c r="AE682" t="n">
        <v>4</v>
      </c>
      <c r="AF682" t="n">
        <v>3</v>
      </c>
      <c r="AG682" t="n">
        <v>1</v>
      </c>
      <c r="AH682" t="n">
        <v>77</v>
      </c>
      <c r="AI682" t="n">
        <v>57</v>
      </c>
      <c r="AJ682" t="n">
        <v>55</v>
      </c>
      <c r="AK682" t="n">
        <v>19</v>
      </c>
      <c r="AL682" t="n">
        <v>7</v>
      </c>
      <c r="AM682" t="n">
        <v>116</v>
      </c>
      <c r="AN682" t="n">
        <v>0</v>
      </c>
      <c r="AO682" t="n">
        <v>0</v>
      </c>
      <c r="AP682" t="n">
        <v>6</v>
      </c>
      <c r="AQ682" t="n">
        <v>13</v>
      </c>
      <c r="AR682" t="n">
        <v>69</v>
      </c>
      <c r="AS682" t="n">
        <v>56</v>
      </c>
      <c r="AT682" t="n">
        <v>3</v>
      </c>
      <c r="AU682" t="n">
        <v>0</v>
      </c>
      <c r="AV682" t="n">
        <v>18</v>
      </c>
      <c r="AW682" t="n">
        <v>19</v>
      </c>
      <c r="AX682" t="n">
        <v>0</v>
      </c>
      <c r="AY682" t="n">
        <v>26</v>
      </c>
      <c r="AZ682" t="n">
        <v>3</v>
      </c>
      <c r="BA682" t="n">
        <v>20</v>
      </c>
      <c r="BB682" t="n">
        <v>52</v>
      </c>
      <c r="BC682" t="n">
        <v>94</v>
      </c>
      <c r="BD682" t="n">
        <v>79</v>
      </c>
      <c r="BE682" t="n">
        <v>19</v>
      </c>
      <c r="BF682" t="n">
        <v>53</v>
      </c>
      <c r="BG682" t="n">
        <v>0</v>
      </c>
      <c r="BH682" t="n">
        <v>5</v>
      </c>
      <c r="BI682" t="n">
        <v>7</v>
      </c>
      <c r="BJ682" t="n">
        <v>12</v>
      </c>
      <c r="BK682" t="n">
        <v>0</v>
      </c>
      <c r="BL682" t="n">
        <v>1</v>
      </c>
      <c r="BM682" t="n">
        <v>21</v>
      </c>
      <c r="BN682" t="n">
        <v>12</v>
      </c>
      <c r="BO682" t="n">
        <v>28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32</v>
      </c>
      <c r="Z683" t="n">
        <v>237</v>
      </c>
      <c r="AA683" t="n">
        <v>18</v>
      </c>
      <c r="AB683" t="n">
        <v>0</v>
      </c>
      <c r="AC683" t="n">
        <v>1</v>
      </c>
      <c r="AD683" t="n">
        <v>1</v>
      </c>
      <c r="AE683" t="n">
        <v>7</v>
      </c>
      <c r="AF683" t="n">
        <v>2</v>
      </c>
      <c r="AG683" t="n">
        <v>0</v>
      </c>
      <c r="AH683" t="n">
        <v>9</v>
      </c>
      <c r="AI683" t="n">
        <v>126</v>
      </c>
      <c r="AJ683" t="n">
        <v>2</v>
      </c>
      <c r="AK683" t="n">
        <v>1</v>
      </c>
      <c r="AL683" t="n">
        <v>1</v>
      </c>
      <c r="AM683" t="n">
        <v>39</v>
      </c>
      <c r="AN683" t="n">
        <v>0</v>
      </c>
      <c r="AO683" t="n">
        <v>0</v>
      </c>
      <c r="AP683" t="n">
        <v>2</v>
      </c>
      <c r="AQ683" t="n">
        <v>0</v>
      </c>
      <c r="AR683" t="n">
        <v>98</v>
      </c>
      <c r="AS683" t="n">
        <v>92</v>
      </c>
      <c r="AT683" t="n">
        <v>2</v>
      </c>
      <c r="AU683" t="n">
        <v>3</v>
      </c>
      <c r="AV683" t="n">
        <v>6</v>
      </c>
      <c r="AW683" t="n">
        <v>8</v>
      </c>
      <c r="AX683" t="n">
        <v>7</v>
      </c>
      <c r="AY683" t="n">
        <v>8</v>
      </c>
      <c r="AZ683" t="n">
        <v>0</v>
      </c>
      <c r="BA683" t="n">
        <v>3</v>
      </c>
      <c r="BB683" t="n">
        <v>18</v>
      </c>
      <c r="BC683" t="n">
        <v>42</v>
      </c>
      <c r="BD683" t="n">
        <v>13</v>
      </c>
      <c r="BE683" t="n">
        <v>7</v>
      </c>
      <c r="BF683" t="n">
        <v>6</v>
      </c>
      <c r="BG683" t="n">
        <v>1</v>
      </c>
      <c r="BH683" t="n">
        <v>0</v>
      </c>
      <c r="BI683" t="n">
        <v>10</v>
      </c>
      <c r="BJ683" t="n">
        <v>12</v>
      </c>
      <c r="BK683" t="n">
        <v>2</v>
      </c>
      <c r="BL683" t="n">
        <v>1</v>
      </c>
      <c r="BM683" t="n">
        <v>19</v>
      </c>
      <c r="BN683" t="n">
        <v>11</v>
      </c>
      <c r="BO683" t="n">
        <v>2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147</v>
      </c>
      <c r="Z684" t="n">
        <v>139</v>
      </c>
      <c r="AA684" t="n">
        <v>115</v>
      </c>
      <c r="AB684" t="n">
        <v>3</v>
      </c>
      <c r="AC684" t="n">
        <v>0</v>
      </c>
      <c r="AD684" t="n">
        <v>3</v>
      </c>
      <c r="AE684" t="n">
        <v>8</v>
      </c>
      <c r="AF684" t="n">
        <v>4</v>
      </c>
      <c r="AG684" t="n">
        <v>3</v>
      </c>
      <c r="AH684" t="n">
        <v>23</v>
      </c>
      <c r="AI684" t="n">
        <v>90</v>
      </c>
      <c r="AJ684" t="n">
        <v>29</v>
      </c>
      <c r="AK684" t="n">
        <v>19</v>
      </c>
      <c r="AL684" t="n">
        <v>0</v>
      </c>
      <c r="AM684" t="n">
        <v>2</v>
      </c>
      <c r="AN684" t="n">
        <v>0</v>
      </c>
      <c r="AO684" t="n">
        <v>0</v>
      </c>
      <c r="AP684" t="n">
        <v>4</v>
      </c>
      <c r="AQ684" t="n">
        <v>32</v>
      </c>
      <c r="AR684" t="n">
        <v>112</v>
      </c>
      <c r="AS684" t="n">
        <v>84</v>
      </c>
      <c r="AT684" t="n">
        <v>2</v>
      </c>
      <c r="AU684" t="n">
        <v>0</v>
      </c>
      <c r="AV684" t="n">
        <v>15</v>
      </c>
      <c r="AW684" t="n">
        <v>3</v>
      </c>
      <c r="AX684" t="n">
        <v>1</v>
      </c>
      <c r="AY684" t="n">
        <v>112</v>
      </c>
      <c r="AZ684" t="n">
        <v>1</v>
      </c>
      <c r="BA684" t="n">
        <v>1</v>
      </c>
      <c r="BB684" t="n">
        <v>112</v>
      </c>
      <c r="BC684" t="n">
        <v>2</v>
      </c>
      <c r="BD684" t="n">
        <v>19</v>
      </c>
      <c r="BE684" t="n">
        <v>2</v>
      </c>
      <c r="BF684" t="n">
        <v>23</v>
      </c>
      <c r="BG684" t="n">
        <v>2</v>
      </c>
      <c r="BH684" t="n">
        <v>3</v>
      </c>
      <c r="BI684" t="n">
        <v>28</v>
      </c>
      <c r="BJ684" t="n">
        <v>25</v>
      </c>
      <c r="BK684" t="n">
        <v>1</v>
      </c>
      <c r="BL684" t="n">
        <v>1</v>
      </c>
      <c r="BM684" t="n">
        <v>35</v>
      </c>
      <c r="BN684" t="n">
        <v>21</v>
      </c>
      <c r="BO684" t="n">
        <v>42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2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195</v>
      </c>
      <c r="Z685" t="n">
        <v>139</v>
      </c>
      <c r="AA685" t="n">
        <v>101</v>
      </c>
      <c r="AB685" t="n">
        <v>2</v>
      </c>
      <c r="AC685" t="n">
        <v>1</v>
      </c>
      <c r="AD685" t="n">
        <v>11</v>
      </c>
      <c r="AE685" t="n">
        <v>6</v>
      </c>
      <c r="AF685" t="n">
        <v>4</v>
      </c>
      <c r="AG685" t="n">
        <v>7</v>
      </c>
      <c r="AH685" t="n">
        <v>126</v>
      </c>
      <c r="AI685" t="n">
        <v>81</v>
      </c>
      <c r="AJ685" t="n">
        <v>7</v>
      </c>
      <c r="AK685" t="n">
        <v>62</v>
      </c>
      <c r="AL685" t="n">
        <v>3</v>
      </c>
      <c r="AM685" t="n">
        <v>13</v>
      </c>
      <c r="AN685" t="n">
        <v>0</v>
      </c>
      <c r="AO685" t="n">
        <v>0</v>
      </c>
      <c r="AP685" t="n">
        <v>3</v>
      </c>
      <c r="AQ685" t="n">
        <v>-2</v>
      </c>
      <c r="AR685" t="n">
        <v>38</v>
      </c>
      <c r="AS685" t="n">
        <v>37</v>
      </c>
      <c r="AT685" t="n">
        <v>3</v>
      </c>
      <c r="AU685" t="n">
        <v>1</v>
      </c>
      <c r="AV685" t="n">
        <v>12</v>
      </c>
      <c r="AW685" t="n">
        <v>7</v>
      </c>
      <c r="AX685" t="n">
        <v>0</v>
      </c>
      <c r="AY685" t="n">
        <v>14</v>
      </c>
      <c r="AZ685" t="n">
        <v>0</v>
      </c>
      <c r="BA685" t="n">
        <v>12</v>
      </c>
      <c r="BB685" t="n">
        <v>109</v>
      </c>
      <c r="BC685" t="n">
        <v>11</v>
      </c>
      <c r="BD685" t="n">
        <v>118</v>
      </c>
      <c r="BE685" t="n">
        <v>4</v>
      </c>
      <c r="BF685" t="n">
        <v>5</v>
      </c>
      <c r="BG685" t="n">
        <v>0</v>
      </c>
      <c r="BH685" t="n">
        <v>5</v>
      </c>
      <c r="BI685" t="n">
        <v>5</v>
      </c>
      <c r="BJ685" t="n">
        <v>10</v>
      </c>
      <c r="BK685" t="n">
        <v>0</v>
      </c>
      <c r="BL685" t="n">
        <v>13</v>
      </c>
      <c r="BM685" t="n">
        <v>17</v>
      </c>
      <c r="BN685" t="n">
        <v>6</v>
      </c>
      <c r="BO685" t="n">
        <v>2</v>
      </c>
    </row>
    <row r="686">
      <c r="A686" t="n">
        <v>0</v>
      </c>
      <c r="B686" t="n">
        <v>0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292</v>
      </c>
      <c r="Z686" t="n">
        <v>122</v>
      </c>
      <c r="AA686" t="n">
        <v>23</v>
      </c>
      <c r="AB686" t="n">
        <v>0</v>
      </c>
      <c r="AC686" t="n">
        <v>1</v>
      </c>
      <c r="AD686" t="n">
        <v>9</v>
      </c>
      <c r="AE686" t="n">
        <v>5</v>
      </c>
      <c r="AF686" t="n">
        <v>2</v>
      </c>
      <c r="AG686" t="n">
        <v>1</v>
      </c>
      <c r="AH686" t="n">
        <v>174</v>
      </c>
      <c r="AI686" t="n">
        <v>60</v>
      </c>
      <c r="AJ686" t="n">
        <v>54</v>
      </c>
      <c r="AK686" t="n">
        <v>1</v>
      </c>
      <c r="AL686" t="n">
        <v>3</v>
      </c>
      <c r="AM686" t="n">
        <v>21</v>
      </c>
      <c r="AN686" t="n">
        <v>0</v>
      </c>
      <c r="AO686" t="n">
        <v>0</v>
      </c>
      <c r="AP686" t="n">
        <v>3</v>
      </c>
      <c r="AQ686" t="n">
        <v>9</v>
      </c>
      <c r="AR686" t="n">
        <v>150</v>
      </c>
      <c r="AS686" t="n">
        <v>137</v>
      </c>
      <c r="AT686" t="n">
        <v>1</v>
      </c>
      <c r="AU686" t="n">
        <v>0</v>
      </c>
      <c r="AV686" t="n">
        <v>18</v>
      </c>
      <c r="AW686" t="n">
        <v>3</v>
      </c>
      <c r="AX686" t="n">
        <v>1</v>
      </c>
      <c r="AY686" t="n">
        <v>67</v>
      </c>
      <c r="AZ686" t="n">
        <v>2</v>
      </c>
      <c r="BA686" t="n">
        <v>10</v>
      </c>
      <c r="BB686" t="n">
        <v>33</v>
      </c>
      <c r="BC686" t="n">
        <v>17</v>
      </c>
      <c r="BD686" t="n">
        <v>158</v>
      </c>
      <c r="BE686" t="n">
        <v>6</v>
      </c>
      <c r="BF686" t="n">
        <v>54</v>
      </c>
      <c r="BG686" t="n">
        <v>1</v>
      </c>
      <c r="BH686" t="n">
        <v>3</v>
      </c>
      <c r="BI686" t="n">
        <v>7</v>
      </c>
      <c r="BJ686" t="n">
        <v>4</v>
      </c>
      <c r="BK686" t="n">
        <v>0</v>
      </c>
      <c r="BL686" t="n">
        <v>1</v>
      </c>
      <c r="BM686" t="n">
        <v>1</v>
      </c>
      <c r="BN686" t="n">
        <v>0</v>
      </c>
      <c r="BO686" t="n">
        <v>25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2</v>
      </c>
      <c r="U687" t="n">
        <v>0</v>
      </c>
      <c r="V687" t="n">
        <v>0</v>
      </c>
      <c r="W687" t="n">
        <v>1</v>
      </c>
      <c r="X687" t="n">
        <v>0</v>
      </c>
      <c r="Y687" t="n">
        <v>189</v>
      </c>
      <c r="Z687" t="n">
        <v>115</v>
      </c>
      <c r="AA687" t="n">
        <v>151</v>
      </c>
      <c r="AB687" t="n">
        <v>2</v>
      </c>
      <c r="AC687" t="n">
        <v>1</v>
      </c>
      <c r="AD687" t="n">
        <v>7</v>
      </c>
      <c r="AE687" t="n">
        <v>3</v>
      </c>
      <c r="AF687" t="n">
        <v>1</v>
      </c>
      <c r="AG687" t="n">
        <v>3</v>
      </c>
      <c r="AH687" t="n">
        <v>60</v>
      </c>
      <c r="AI687" t="n">
        <v>34</v>
      </c>
      <c r="AJ687" t="n">
        <v>10</v>
      </c>
      <c r="AK687" t="n">
        <v>22</v>
      </c>
      <c r="AL687" t="n">
        <v>0</v>
      </c>
      <c r="AM687" t="n">
        <v>6</v>
      </c>
      <c r="AN687" t="n">
        <v>0</v>
      </c>
      <c r="AO687" t="n">
        <v>0</v>
      </c>
      <c r="AP687" t="n">
        <v>0</v>
      </c>
      <c r="AQ687" t="n">
        <v>1</v>
      </c>
      <c r="AR687" t="n">
        <v>110</v>
      </c>
      <c r="AS687" t="n">
        <v>100</v>
      </c>
      <c r="AT687" t="n">
        <v>0</v>
      </c>
      <c r="AU687" t="n">
        <v>0</v>
      </c>
      <c r="AV687" t="n">
        <v>5</v>
      </c>
      <c r="AW687" t="n">
        <v>1</v>
      </c>
      <c r="AX687" t="n">
        <v>2</v>
      </c>
      <c r="AY687" t="n">
        <v>13</v>
      </c>
      <c r="AZ687" t="n">
        <v>3</v>
      </c>
      <c r="BA687" t="n">
        <v>20</v>
      </c>
      <c r="BB687" t="n">
        <v>158</v>
      </c>
      <c r="BC687" t="n">
        <v>2</v>
      </c>
      <c r="BD687" t="n">
        <v>54</v>
      </c>
      <c r="BE687" t="n">
        <v>1</v>
      </c>
      <c r="BF687" t="n">
        <v>17</v>
      </c>
      <c r="BG687" t="n">
        <v>0</v>
      </c>
      <c r="BH687" t="n">
        <v>6</v>
      </c>
      <c r="BI687" t="n">
        <v>1</v>
      </c>
      <c r="BJ687" t="n">
        <v>20</v>
      </c>
      <c r="BK687" t="n">
        <v>1</v>
      </c>
      <c r="BL687" t="n">
        <v>1</v>
      </c>
      <c r="BM687" t="n">
        <v>4</v>
      </c>
      <c r="BN687" t="n">
        <v>2</v>
      </c>
      <c r="BO687" t="n">
        <v>25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2</v>
      </c>
      <c r="T688" t="n">
        <v>2</v>
      </c>
      <c r="U688" t="n">
        <v>1</v>
      </c>
      <c r="V688" t="n">
        <v>0</v>
      </c>
      <c r="W688" t="n">
        <v>0</v>
      </c>
      <c r="X688" t="n">
        <v>0</v>
      </c>
      <c r="Y688" t="n">
        <v>169</v>
      </c>
      <c r="Z688" t="n">
        <v>117</v>
      </c>
      <c r="AA688" t="n">
        <v>51</v>
      </c>
      <c r="AB688" t="n">
        <v>2</v>
      </c>
      <c r="AC688" t="n">
        <v>3</v>
      </c>
      <c r="AD688" t="n">
        <v>2</v>
      </c>
      <c r="AE688" t="n">
        <v>3</v>
      </c>
      <c r="AF688" t="n">
        <v>5</v>
      </c>
      <c r="AG688" t="n">
        <v>7</v>
      </c>
      <c r="AH688" t="n">
        <v>42</v>
      </c>
      <c r="AI688" t="n">
        <v>22</v>
      </c>
      <c r="AJ688" t="n">
        <v>29</v>
      </c>
      <c r="AK688" t="n">
        <v>53</v>
      </c>
      <c r="AL688" t="n">
        <v>7</v>
      </c>
      <c r="AM688" t="n">
        <v>33</v>
      </c>
      <c r="AN688" t="n">
        <v>0</v>
      </c>
      <c r="AO688" t="n">
        <v>0</v>
      </c>
      <c r="AP688" t="n">
        <v>9</v>
      </c>
      <c r="AQ688" t="n">
        <v>77</v>
      </c>
      <c r="AR688" t="n">
        <v>184</v>
      </c>
      <c r="AS688" t="n">
        <v>116</v>
      </c>
      <c r="AT688" t="n">
        <v>3</v>
      </c>
      <c r="AU688" t="n">
        <v>1</v>
      </c>
      <c r="AV688" t="n">
        <v>14</v>
      </c>
      <c r="AW688" t="n">
        <v>1</v>
      </c>
      <c r="AX688" t="n">
        <v>3</v>
      </c>
      <c r="AY688" t="n">
        <v>65</v>
      </c>
      <c r="AZ688" t="n">
        <v>3</v>
      </c>
      <c r="BA688" t="n">
        <v>28</v>
      </c>
      <c r="BB688" t="n">
        <v>77</v>
      </c>
      <c r="BC688" t="n">
        <v>23</v>
      </c>
      <c r="BD688" t="n">
        <v>37</v>
      </c>
      <c r="BE688" t="n">
        <v>1</v>
      </c>
      <c r="BF688" t="n">
        <v>30</v>
      </c>
      <c r="BG688" t="n">
        <v>1</v>
      </c>
      <c r="BH688" t="n">
        <v>0</v>
      </c>
      <c r="BI688" t="n">
        <v>-4</v>
      </c>
      <c r="BJ688" t="n">
        <v>50</v>
      </c>
      <c r="BK688" t="n">
        <v>3</v>
      </c>
      <c r="BL688" t="n">
        <v>31</v>
      </c>
      <c r="BM688" t="n">
        <v>39</v>
      </c>
      <c r="BN688" t="n">
        <v>13</v>
      </c>
      <c r="BO688" t="n">
        <v>2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2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151</v>
      </c>
      <c r="Z689" t="n">
        <v>121</v>
      </c>
      <c r="AA689" t="n">
        <v>30</v>
      </c>
      <c r="AB689" t="n">
        <v>2</v>
      </c>
      <c r="AC689" t="n">
        <v>1</v>
      </c>
      <c r="AD689" t="n">
        <v>4</v>
      </c>
      <c r="AE689" t="n">
        <v>1</v>
      </c>
      <c r="AF689" t="n">
        <v>3</v>
      </c>
      <c r="AG689" t="n">
        <v>2</v>
      </c>
      <c r="AH689" t="n">
        <v>26</v>
      </c>
      <c r="AI689" t="n">
        <v>19</v>
      </c>
      <c r="AJ689" t="n">
        <v>45</v>
      </c>
      <c r="AK689" t="n">
        <v>12</v>
      </c>
      <c r="AL689" t="n">
        <v>5</v>
      </c>
      <c r="AM689" t="n">
        <v>28</v>
      </c>
      <c r="AN689" t="n">
        <v>0</v>
      </c>
      <c r="AO689" t="n">
        <v>0</v>
      </c>
      <c r="AP689" t="n">
        <v>7</v>
      </c>
      <c r="AQ689" t="n">
        <v>58</v>
      </c>
      <c r="AR689" t="n">
        <v>204</v>
      </c>
      <c r="AS689" t="n">
        <v>153</v>
      </c>
      <c r="AT689" t="n">
        <v>0</v>
      </c>
      <c r="AU689" t="n">
        <v>3</v>
      </c>
      <c r="AV689" t="n">
        <v>5</v>
      </c>
      <c r="AW689" t="n">
        <v>25</v>
      </c>
      <c r="AX689" t="n">
        <v>1</v>
      </c>
      <c r="AY689" t="n">
        <v>24</v>
      </c>
      <c r="AZ689" t="n">
        <v>0</v>
      </c>
      <c r="BA689" t="n">
        <v>1</v>
      </c>
      <c r="BB689" t="n">
        <v>30</v>
      </c>
      <c r="BC689" t="n">
        <v>28</v>
      </c>
      <c r="BD689" t="n">
        <v>24</v>
      </c>
      <c r="BE689" t="n">
        <v>25</v>
      </c>
      <c r="BF689" t="n">
        <v>35</v>
      </c>
      <c r="BG689" t="n">
        <v>1</v>
      </c>
      <c r="BH689" t="n">
        <v>8</v>
      </c>
      <c r="BI689" t="n">
        <v>0</v>
      </c>
      <c r="BJ689" t="n">
        <v>0</v>
      </c>
      <c r="BK689" t="n">
        <v>4</v>
      </c>
      <c r="BL689" t="n">
        <v>32</v>
      </c>
      <c r="BM689" t="n">
        <v>42</v>
      </c>
      <c r="BN689" t="n">
        <v>15</v>
      </c>
      <c r="BO689" t="n">
        <v>14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171</v>
      </c>
      <c r="Z690" t="n">
        <v>103</v>
      </c>
      <c r="AA690" t="n">
        <v>117</v>
      </c>
      <c r="AB690" t="n">
        <v>1</v>
      </c>
      <c r="AC690" t="n">
        <v>3</v>
      </c>
      <c r="AD690" t="n">
        <v>5</v>
      </c>
      <c r="AE690" t="n">
        <v>1</v>
      </c>
      <c r="AF690" t="n">
        <v>3</v>
      </c>
      <c r="AG690" t="n">
        <v>2</v>
      </c>
      <c r="AH690" t="n">
        <v>64</v>
      </c>
      <c r="AI690" t="n">
        <v>20</v>
      </c>
      <c r="AJ690" t="n">
        <v>66</v>
      </c>
      <c r="AK690" t="n">
        <v>12</v>
      </c>
      <c r="AL690" t="n">
        <v>1</v>
      </c>
      <c r="AM690" t="n">
        <v>14</v>
      </c>
      <c r="AN690" t="n">
        <v>0</v>
      </c>
      <c r="AO690" t="n">
        <v>0</v>
      </c>
      <c r="AP690" t="n">
        <v>0</v>
      </c>
      <c r="AQ690" t="n">
        <v>1</v>
      </c>
      <c r="AR690" t="n">
        <v>55</v>
      </c>
      <c r="AS690" t="n">
        <v>50</v>
      </c>
      <c r="AT690" t="n">
        <v>6</v>
      </c>
      <c r="AU690" t="n">
        <v>1</v>
      </c>
      <c r="AV690" t="n">
        <v>29</v>
      </c>
      <c r="AW690" t="n">
        <v>6</v>
      </c>
      <c r="AX690" t="n">
        <v>2</v>
      </c>
      <c r="AY690" t="n">
        <v>45</v>
      </c>
      <c r="AZ690" t="n">
        <v>2</v>
      </c>
      <c r="BA690" t="n">
        <v>10</v>
      </c>
      <c r="BB690" t="n">
        <v>121</v>
      </c>
      <c r="BC690" t="n">
        <v>17</v>
      </c>
      <c r="BD690" t="n">
        <v>57</v>
      </c>
      <c r="BE690" t="n">
        <v>10</v>
      </c>
      <c r="BF690" t="n">
        <v>53</v>
      </c>
      <c r="BG690" t="n">
        <v>1</v>
      </c>
      <c r="BH690" t="n">
        <v>3</v>
      </c>
      <c r="BI690" t="n">
        <v>26</v>
      </c>
      <c r="BJ690" t="n">
        <v>27</v>
      </c>
      <c r="BK690" t="n">
        <v>3</v>
      </c>
      <c r="BL690" t="n">
        <v>37</v>
      </c>
      <c r="BM690" t="n">
        <v>24</v>
      </c>
      <c r="BN690" t="n">
        <v>0</v>
      </c>
      <c r="BO690" t="n">
        <v>2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316</v>
      </c>
      <c r="Z691" t="n">
        <v>266</v>
      </c>
      <c r="AA691" t="n">
        <v>60</v>
      </c>
      <c r="AB691" t="n">
        <v>1</v>
      </c>
      <c r="AC691" t="n">
        <v>0</v>
      </c>
      <c r="AD691" t="n">
        <v>3</v>
      </c>
      <c r="AE691" t="n">
        <v>5</v>
      </c>
      <c r="AF691" t="n">
        <v>3</v>
      </c>
      <c r="AG691" t="n">
        <v>5</v>
      </c>
      <c r="AH691" t="n">
        <v>37</v>
      </c>
      <c r="AI691" t="n">
        <v>32</v>
      </c>
      <c r="AJ691" t="n">
        <v>93</v>
      </c>
      <c r="AK691" t="n">
        <v>32</v>
      </c>
      <c r="AL691" t="n">
        <v>0</v>
      </c>
      <c r="AM691" t="n">
        <v>-5</v>
      </c>
      <c r="AN691" t="n">
        <v>0</v>
      </c>
      <c r="AO691" t="n">
        <v>0</v>
      </c>
      <c r="AP691" t="n">
        <v>5</v>
      </c>
      <c r="AQ691" t="n">
        <v>29</v>
      </c>
      <c r="AR691" t="n">
        <v>60</v>
      </c>
      <c r="AS691" t="n">
        <v>36</v>
      </c>
      <c r="AT691" t="n">
        <v>2</v>
      </c>
      <c r="AU691" t="n">
        <v>4</v>
      </c>
      <c r="AV691" t="n">
        <v>21</v>
      </c>
      <c r="AW691" t="n">
        <v>19</v>
      </c>
      <c r="AX691" t="n">
        <v>0</v>
      </c>
      <c r="AY691" t="n">
        <v>75</v>
      </c>
      <c r="AZ691" t="n">
        <v>4</v>
      </c>
      <c r="BA691" t="n">
        <v>50</v>
      </c>
      <c r="BB691" t="n">
        <v>114</v>
      </c>
      <c r="BC691" t="n">
        <v>21</v>
      </c>
      <c r="BD691" t="n">
        <v>33</v>
      </c>
      <c r="BE691" t="n">
        <v>21</v>
      </c>
      <c r="BF691" t="n">
        <v>78</v>
      </c>
      <c r="BG691" t="n">
        <v>5</v>
      </c>
      <c r="BH691" t="n">
        <v>3</v>
      </c>
      <c r="BI691" t="n">
        <v>118</v>
      </c>
      <c r="BJ691" t="n">
        <v>104</v>
      </c>
      <c r="BK691" t="n">
        <v>5</v>
      </c>
      <c r="BL691" t="n">
        <v>53</v>
      </c>
      <c r="BM691" t="n">
        <v>36</v>
      </c>
      <c r="BN691" t="n">
        <v>0</v>
      </c>
      <c r="BO691" t="n">
        <v>2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189</v>
      </c>
      <c r="Z692" t="n">
        <v>176</v>
      </c>
      <c r="AA692" t="n">
        <v>31</v>
      </c>
      <c r="AB692" t="n">
        <v>0</v>
      </c>
      <c r="AC692" t="n">
        <v>0</v>
      </c>
      <c r="AD692" t="n">
        <v>1</v>
      </c>
      <c r="AE692" t="n">
        <v>5</v>
      </c>
      <c r="AF692" t="n">
        <v>0</v>
      </c>
      <c r="AG692" t="n">
        <v>1</v>
      </c>
      <c r="AH692" t="n">
        <v>2</v>
      </c>
      <c r="AI692" t="n">
        <v>71</v>
      </c>
      <c r="AJ692" t="n">
        <v>14</v>
      </c>
      <c r="AK692" t="n">
        <v>13</v>
      </c>
      <c r="AL692" t="n">
        <v>1</v>
      </c>
      <c r="AM692" t="n">
        <v>18</v>
      </c>
      <c r="AN692" t="n">
        <v>0</v>
      </c>
      <c r="AO692" t="n">
        <v>0</v>
      </c>
      <c r="AP692" t="n">
        <v>0</v>
      </c>
      <c r="AQ692" t="n">
        <v>4</v>
      </c>
      <c r="AR692" t="n">
        <v>97</v>
      </c>
      <c r="AS692" t="n">
        <v>89</v>
      </c>
      <c r="AT692" t="n">
        <v>1</v>
      </c>
      <c r="AU692" t="n">
        <v>2</v>
      </c>
      <c r="AV692" t="n">
        <v>1</v>
      </c>
      <c r="AW692" t="n">
        <v>11</v>
      </c>
      <c r="AX692" t="n">
        <v>2</v>
      </c>
      <c r="AY692" t="n">
        <v>-1</v>
      </c>
      <c r="AZ692" t="n">
        <v>1</v>
      </c>
      <c r="BA692" t="n">
        <v>18</v>
      </c>
      <c r="BB692" t="n">
        <v>49</v>
      </c>
      <c r="BC692" t="n">
        <v>16</v>
      </c>
      <c r="BD692" t="n">
        <v>29</v>
      </c>
      <c r="BE692" t="n">
        <v>11</v>
      </c>
      <c r="BF692" t="n">
        <v>16</v>
      </c>
      <c r="BG692" t="n">
        <v>0</v>
      </c>
      <c r="BH692" t="n">
        <v>26</v>
      </c>
      <c r="BI692" t="n">
        <v>1</v>
      </c>
      <c r="BJ692" t="n">
        <v>8</v>
      </c>
      <c r="BK692" t="n">
        <v>3</v>
      </c>
      <c r="BL692" t="n">
        <v>58</v>
      </c>
      <c r="BM692" t="n">
        <v>41</v>
      </c>
      <c r="BN692" t="n">
        <v>3</v>
      </c>
      <c r="BO692" t="n">
        <v>16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2</v>
      </c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235</v>
      </c>
      <c r="Z693" t="n">
        <v>220</v>
      </c>
      <c r="AA693" t="n">
        <v>72</v>
      </c>
      <c r="AB693" t="n">
        <v>2</v>
      </c>
      <c r="AC693" t="n">
        <v>0</v>
      </c>
      <c r="AD693" t="n">
        <v>0</v>
      </c>
      <c r="AE693" t="n">
        <v>1</v>
      </c>
      <c r="AF693" t="n">
        <v>6</v>
      </c>
      <c r="AG693" t="n">
        <v>1</v>
      </c>
      <c r="AH693" t="n">
        <v>103</v>
      </c>
      <c r="AI693" t="n">
        <v>45</v>
      </c>
      <c r="AJ693" t="n">
        <v>88</v>
      </c>
      <c r="AK693" t="n">
        <v>1</v>
      </c>
      <c r="AL693" t="n">
        <v>0</v>
      </c>
      <c r="AM693" t="n">
        <v>14</v>
      </c>
      <c r="AN693" t="n">
        <v>2</v>
      </c>
      <c r="AO693" t="n">
        <v>0</v>
      </c>
      <c r="AP693" t="n">
        <v>1</v>
      </c>
      <c r="AQ693" t="n">
        <v>1</v>
      </c>
      <c r="AR693" t="n">
        <v>104</v>
      </c>
      <c r="AS693" t="n">
        <v>95</v>
      </c>
      <c r="AT693" t="n">
        <v>2</v>
      </c>
      <c r="AU693" t="n">
        <v>2</v>
      </c>
      <c r="AV693" t="n">
        <v>10</v>
      </c>
      <c r="AW693" t="n">
        <v>15</v>
      </c>
      <c r="AX693" t="n">
        <v>1</v>
      </c>
      <c r="AY693" t="n">
        <v>6</v>
      </c>
      <c r="AZ693" t="n">
        <v>1</v>
      </c>
      <c r="BA693" t="n">
        <v>17</v>
      </c>
      <c r="BB693" t="n">
        <v>85</v>
      </c>
      <c r="BC693" t="n">
        <v>35</v>
      </c>
      <c r="BD693" t="n">
        <v>94</v>
      </c>
      <c r="BE693" t="n">
        <v>15</v>
      </c>
      <c r="BF693" t="n">
        <v>70</v>
      </c>
      <c r="BG693" t="n">
        <v>1</v>
      </c>
      <c r="BH693" t="n">
        <v>4</v>
      </c>
      <c r="BI693" t="n">
        <v>16</v>
      </c>
      <c r="BJ693" t="n">
        <v>15</v>
      </c>
      <c r="BK693" t="n">
        <v>1</v>
      </c>
      <c r="BL693" t="n">
        <v>9</v>
      </c>
      <c r="BM693" t="n">
        <v>6</v>
      </c>
      <c r="BN693" t="n">
        <v>0</v>
      </c>
      <c r="BO693" t="n">
        <v>2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197</v>
      </c>
      <c r="Z694" t="n">
        <v>232</v>
      </c>
      <c r="AA694" t="n">
        <v>122</v>
      </c>
      <c r="AB694" t="n">
        <v>2</v>
      </c>
      <c r="AC694" t="n">
        <v>2</v>
      </c>
      <c r="AD694" t="n">
        <v>2</v>
      </c>
      <c r="AE694" t="n">
        <v>3</v>
      </c>
      <c r="AF694" t="n">
        <v>3</v>
      </c>
      <c r="AG694" t="n">
        <v>3</v>
      </c>
      <c r="AH694" t="n">
        <v>0</v>
      </c>
      <c r="AI694" t="n">
        <v>14</v>
      </c>
      <c r="AJ694" t="n">
        <v>108</v>
      </c>
      <c r="AK694" t="n">
        <v>6</v>
      </c>
      <c r="AL694" t="n">
        <v>2</v>
      </c>
      <c r="AM694" t="n">
        <v>74</v>
      </c>
      <c r="AN694" t="n">
        <v>0</v>
      </c>
      <c r="AO694" t="n">
        <v>1</v>
      </c>
      <c r="AP694" t="n">
        <v>1</v>
      </c>
      <c r="AQ694" t="n">
        <v>1</v>
      </c>
      <c r="AR694" t="n">
        <v>70</v>
      </c>
      <c r="AS694" t="n">
        <v>64</v>
      </c>
      <c r="AT694" t="n">
        <v>1</v>
      </c>
      <c r="AU694" t="n">
        <v>1</v>
      </c>
      <c r="AV694" t="n">
        <v>5</v>
      </c>
      <c r="AW694" t="n">
        <v>9</v>
      </c>
      <c r="AX694" t="n">
        <v>0</v>
      </c>
      <c r="AY694" t="n">
        <v>44</v>
      </c>
      <c r="AZ694" t="n">
        <v>6</v>
      </c>
      <c r="BA694" t="n">
        <v>84</v>
      </c>
      <c r="BB694" t="n">
        <v>205</v>
      </c>
      <c r="BC694" t="n">
        <v>62</v>
      </c>
      <c r="BD694" t="n">
        <v>27</v>
      </c>
      <c r="BE694" t="n">
        <v>9</v>
      </c>
      <c r="BF694" t="n">
        <v>93</v>
      </c>
      <c r="BG694" t="n">
        <v>3</v>
      </c>
      <c r="BH694" t="n">
        <v>10</v>
      </c>
      <c r="BI694" t="n">
        <v>35</v>
      </c>
      <c r="BJ694" t="n">
        <v>32</v>
      </c>
      <c r="BK694" t="n">
        <v>1</v>
      </c>
      <c r="BL694" t="n">
        <v>1</v>
      </c>
      <c r="BM694" t="n">
        <v>18</v>
      </c>
      <c r="BN694" t="n">
        <v>10</v>
      </c>
      <c r="BO694" t="n">
        <v>14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286</v>
      </c>
      <c r="Z695" t="n">
        <v>338</v>
      </c>
      <c r="AA695" t="n">
        <v>86</v>
      </c>
      <c r="AB695" t="n">
        <v>1</v>
      </c>
      <c r="AC695" t="n">
        <v>0</v>
      </c>
      <c r="AD695" t="n">
        <v>7</v>
      </c>
      <c r="AE695" t="n">
        <v>7</v>
      </c>
      <c r="AF695" t="n">
        <v>10</v>
      </c>
      <c r="AG695" t="n">
        <v>4</v>
      </c>
      <c r="AH695" t="n">
        <v>85</v>
      </c>
      <c r="AI695" t="n">
        <v>63</v>
      </c>
      <c r="AJ695" t="n">
        <v>127</v>
      </c>
      <c r="AK695" t="n">
        <v>44</v>
      </c>
      <c r="AL695" t="n">
        <v>6</v>
      </c>
      <c r="AM695" t="n">
        <v>83</v>
      </c>
      <c r="AN695" t="n">
        <v>0</v>
      </c>
      <c r="AO695" t="n">
        <v>0</v>
      </c>
      <c r="AP695" t="n">
        <v>0</v>
      </c>
      <c r="AQ695" t="n">
        <v>1</v>
      </c>
      <c r="AR695" t="n">
        <v>121</v>
      </c>
      <c r="AS695" t="n">
        <v>110</v>
      </c>
      <c r="AT695" t="n">
        <v>1</v>
      </c>
      <c r="AU695" t="n">
        <v>1</v>
      </c>
      <c r="AV695" t="n">
        <v>5</v>
      </c>
      <c r="AW695" t="n">
        <v>26</v>
      </c>
      <c r="AX695" t="n">
        <v>0</v>
      </c>
      <c r="AY695" t="n">
        <v>92</v>
      </c>
      <c r="AZ695" t="n">
        <v>1</v>
      </c>
      <c r="BA695" t="n">
        <v>11</v>
      </c>
      <c r="BB695" t="n">
        <v>92</v>
      </c>
      <c r="BC695" t="n">
        <v>69</v>
      </c>
      <c r="BD695" t="n">
        <v>86</v>
      </c>
      <c r="BE695" t="n">
        <v>25</v>
      </c>
      <c r="BF695" t="n">
        <v>102</v>
      </c>
      <c r="BG695" t="n">
        <v>0</v>
      </c>
      <c r="BH695" t="n">
        <v>18</v>
      </c>
      <c r="BI695" t="n">
        <v>1</v>
      </c>
      <c r="BJ695" t="n">
        <v>0</v>
      </c>
      <c r="BK695" t="n">
        <v>1</v>
      </c>
      <c r="BL695" t="n">
        <v>1</v>
      </c>
      <c r="BM695" t="n">
        <v>-4</v>
      </c>
      <c r="BN695" t="n">
        <v>-3</v>
      </c>
      <c r="BO695" t="n">
        <v>28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3</v>
      </c>
      <c r="F696" t="n">
        <v>0</v>
      </c>
      <c r="G696" t="n">
        <v>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324</v>
      </c>
      <c r="Z696" t="n">
        <v>224</v>
      </c>
      <c r="AA696" t="n">
        <v>42</v>
      </c>
      <c r="AB696" t="n">
        <v>1</v>
      </c>
      <c r="AC696" t="n">
        <v>0</v>
      </c>
      <c r="AD696" t="n">
        <v>3</v>
      </c>
      <c r="AE696" t="n">
        <v>5</v>
      </c>
      <c r="AF696" t="n">
        <v>4</v>
      </c>
      <c r="AG696" t="n">
        <v>4</v>
      </c>
      <c r="AH696" t="n">
        <v>86</v>
      </c>
      <c r="AI696" t="n">
        <v>22</v>
      </c>
      <c r="AJ696" t="n">
        <v>10</v>
      </c>
      <c r="AK696" t="n">
        <v>60</v>
      </c>
      <c r="AL696" t="n">
        <v>3</v>
      </c>
      <c r="AM696" t="n">
        <v>105</v>
      </c>
      <c r="AN696" t="n">
        <v>0</v>
      </c>
      <c r="AO696" t="n">
        <v>0</v>
      </c>
      <c r="AP696" t="n">
        <v>4</v>
      </c>
      <c r="AQ696" t="n">
        <v>10</v>
      </c>
      <c r="AR696" t="n">
        <v>102</v>
      </c>
      <c r="AS696" t="n">
        <v>90</v>
      </c>
      <c r="AT696" t="n">
        <v>2</v>
      </c>
      <c r="AU696" t="n">
        <v>1</v>
      </c>
      <c r="AV696" t="n">
        <v>51</v>
      </c>
      <c r="AW696" t="n">
        <v>33</v>
      </c>
      <c r="AX696" t="n">
        <v>17</v>
      </c>
      <c r="AY696" t="n">
        <v>14</v>
      </c>
      <c r="AZ696" t="n">
        <v>0</v>
      </c>
      <c r="BA696" t="n">
        <v>16</v>
      </c>
      <c r="BB696" t="n">
        <v>56</v>
      </c>
      <c r="BC696" t="n">
        <v>127</v>
      </c>
      <c r="BD696" t="n">
        <v>108</v>
      </c>
      <c r="BE696" t="n">
        <v>35</v>
      </c>
      <c r="BF696" t="n">
        <v>24</v>
      </c>
      <c r="BG696" t="n">
        <v>0</v>
      </c>
      <c r="BH696" t="n">
        <v>20</v>
      </c>
      <c r="BI696" t="n">
        <v>39</v>
      </c>
      <c r="BJ696" t="n">
        <v>36</v>
      </c>
      <c r="BK696" t="n">
        <v>1</v>
      </c>
      <c r="BL696" t="n">
        <v>11</v>
      </c>
      <c r="BM696" t="n">
        <v>34</v>
      </c>
      <c r="BN696" t="n">
        <v>17</v>
      </c>
      <c r="BO696" t="n">
        <v>2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3</v>
      </c>
      <c r="U697" t="n">
        <v>0</v>
      </c>
      <c r="V697" t="n">
        <v>0</v>
      </c>
      <c r="W697" t="n">
        <v>1</v>
      </c>
      <c r="X697" t="n">
        <v>0</v>
      </c>
      <c r="Y697" t="n">
        <v>379</v>
      </c>
      <c r="Z697" t="n">
        <v>108</v>
      </c>
      <c r="AA697" t="n">
        <v>97</v>
      </c>
      <c r="AB697" t="n">
        <v>0</v>
      </c>
      <c r="AC697" t="n">
        <v>1</v>
      </c>
      <c r="AD697" t="n">
        <v>4</v>
      </c>
      <c r="AE697" t="n">
        <v>6</v>
      </c>
      <c r="AF697" t="n">
        <v>3</v>
      </c>
      <c r="AG697" t="n">
        <v>8</v>
      </c>
      <c r="AH697" t="n">
        <v>38</v>
      </c>
      <c r="AI697" t="n">
        <v>48</v>
      </c>
      <c r="AJ697" t="n">
        <v>39</v>
      </c>
      <c r="AK697" t="n">
        <v>144</v>
      </c>
      <c r="AL697" t="n">
        <v>1</v>
      </c>
      <c r="AM697" t="n">
        <v>25</v>
      </c>
      <c r="AN697" t="n">
        <v>0</v>
      </c>
      <c r="AO697" t="n">
        <v>0</v>
      </c>
      <c r="AP697" t="n">
        <v>3</v>
      </c>
      <c r="AQ697" t="n">
        <v>15</v>
      </c>
      <c r="AR697" t="n">
        <v>184</v>
      </c>
      <c r="AS697" t="n">
        <v>166</v>
      </c>
      <c r="AT697" t="n">
        <v>1</v>
      </c>
      <c r="AU697" t="n">
        <v>1</v>
      </c>
      <c r="AV697" t="n">
        <v>14</v>
      </c>
      <c r="AW697" t="n">
        <v>4</v>
      </c>
      <c r="AX697" t="n">
        <v>3</v>
      </c>
      <c r="AY697" t="n">
        <v>9</v>
      </c>
      <c r="AZ697" t="n">
        <v>2</v>
      </c>
      <c r="BA697" t="n">
        <v>9</v>
      </c>
      <c r="BB697" t="n">
        <v>101</v>
      </c>
      <c r="BC697" t="n">
        <v>23</v>
      </c>
      <c r="BD697" t="n">
        <v>33</v>
      </c>
      <c r="BE697" t="n">
        <v>4</v>
      </c>
      <c r="BF697" t="n">
        <v>31</v>
      </c>
      <c r="BG697" t="n">
        <v>1</v>
      </c>
      <c r="BH697" t="n">
        <v>8</v>
      </c>
      <c r="BI697" t="n">
        <v>33</v>
      </c>
      <c r="BJ697" t="n">
        <v>39</v>
      </c>
      <c r="BK697" t="n">
        <v>2</v>
      </c>
      <c r="BL697" t="n">
        <v>20</v>
      </c>
      <c r="BM697" t="n">
        <v>13</v>
      </c>
      <c r="BN697" t="n">
        <v>0</v>
      </c>
      <c r="BO697" t="n">
        <v>2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245</v>
      </c>
      <c r="Z698" t="n">
        <v>179</v>
      </c>
      <c r="AA698" t="n">
        <v>64</v>
      </c>
      <c r="AB698" t="n">
        <v>0</v>
      </c>
      <c r="AC698" t="n">
        <v>1</v>
      </c>
      <c r="AD698" t="n">
        <v>3</v>
      </c>
      <c r="AE698" t="n">
        <v>6</v>
      </c>
      <c r="AF698" t="n">
        <v>6</v>
      </c>
      <c r="AG698" t="n">
        <v>4</v>
      </c>
      <c r="AH698" t="n">
        <v>62</v>
      </c>
      <c r="AI698" t="n">
        <v>36</v>
      </c>
      <c r="AJ698" t="n">
        <v>71</v>
      </c>
      <c r="AK698" t="n">
        <v>39</v>
      </c>
      <c r="AL698" t="n">
        <v>4</v>
      </c>
      <c r="AM698" t="n">
        <v>68</v>
      </c>
      <c r="AN698" t="n">
        <v>0</v>
      </c>
      <c r="AO698" t="n">
        <v>0</v>
      </c>
      <c r="AP698" t="n">
        <v>3</v>
      </c>
      <c r="AQ698" t="n">
        <v>52</v>
      </c>
      <c r="AR698" t="n">
        <v>91</v>
      </c>
      <c r="AS698" t="n">
        <v>49</v>
      </c>
      <c r="AT698" t="n">
        <v>4</v>
      </c>
      <c r="AU698" t="n">
        <v>3</v>
      </c>
      <c r="AV698" t="n">
        <v>28</v>
      </c>
      <c r="AW698" t="n">
        <v>14</v>
      </c>
      <c r="AX698" t="n">
        <v>0</v>
      </c>
      <c r="AY698" t="n">
        <v>69</v>
      </c>
      <c r="AZ698" t="n">
        <v>2</v>
      </c>
      <c r="BA698" t="n">
        <v>1</v>
      </c>
      <c r="BB698" t="n">
        <v>63</v>
      </c>
      <c r="BC698" t="n">
        <v>55</v>
      </c>
      <c r="BD698" t="n">
        <v>64</v>
      </c>
      <c r="BE698" t="n">
        <v>15</v>
      </c>
      <c r="BF698" t="n">
        <v>63</v>
      </c>
      <c r="BG698" t="n">
        <v>2</v>
      </c>
      <c r="BH698" t="n">
        <v>9</v>
      </c>
      <c r="BI698" t="n">
        <v>6</v>
      </c>
      <c r="BJ698" t="n">
        <v>8</v>
      </c>
      <c r="BK698" t="n">
        <v>3</v>
      </c>
      <c r="BL698" t="n">
        <v>20</v>
      </c>
      <c r="BM698" t="n">
        <v>33</v>
      </c>
      <c r="BN698" t="n">
        <v>14</v>
      </c>
      <c r="BO698" t="n">
        <v>18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2</v>
      </c>
      <c r="U699" t="n">
        <v>0</v>
      </c>
      <c r="V699" t="n">
        <v>0</v>
      </c>
      <c r="W699" t="n">
        <v>0</v>
      </c>
      <c r="X699" t="n">
        <v>0</v>
      </c>
      <c r="Y699" t="n">
        <v>239</v>
      </c>
      <c r="Z699" t="n">
        <v>108</v>
      </c>
      <c r="AA699" t="n">
        <v>87</v>
      </c>
      <c r="AB699" t="n">
        <v>0</v>
      </c>
      <c r="AC699" t="n">
        <v>1</v>
      </c>
      <c r="AD699" t="n">
        <v>5</v>
      </c>
      <c r="AE699" t="n">
        <v>6</v>
      </c>
      <c r="AF699" t="n">
        <v>3</v>
      </c>
      <c r="AG699" t="n">
        <v>8</v>
      </c>
      <c r="AH699" t="n">
        <v>59</v>
      </c>
      <c r="AI699" t="n">
        <v>49</v>
      </c>
      <c r="AJ699" t="n">
        <v>22</v>
      </c>
      <c r="AK699" t="n">
        <v>81</v>
      </c>
      <c r="AL699" t="n">
        <v>0</v>
      </c>
      <c r="AM699" t="n">
        <v>2</v>
      </c>
      <c r="AN699" t="n">
        <v>0</v>
      </c>
      <c r="AO699" t="n">
        <v>0</v>
      </c>
      <c r="AP699" t="n">
        <v>8</v>
      </c>
      <c r="AQ699" t="n">
        <v>27</v>
      </c>
      <c r="AR699" t="n">
        <v>33</v>
      </c>
      <c r="AS699" t="n">
        <v>10</v>
      </c>
      <c r="AT699" t="n">
        <v>3</v>
      </c>
      <c r="AU699" t="n">
        <v>1</v>
      </c>
      <c r="AV699" t="n">
        <v>22</v>
      </c>
      <c r="AW699" t="n">
        <v>8</v>
      </c>
      <c r="AX699" t="n">
        <v>5</v>
      </c>
      <c r="AY699" t="n">
        <v>70</v>
      </c>
      <c r="AZ699" t="n">
        <v>2</v>
      </c>
      <c r="BA699" t="n">
        <v>1</v>
      </c>
      <c r="BB699" t="n">
        <v>84</v>
      </c>
      <c r="BC699" t="n">
        <v>5</v>
      </c>
      <c r="BD699" t="n">
        <v>69</v>
      </c>
      <c r="BE699" t="n">
        <v>7</v>
      </c>
      <c r="BF699" t="n">
        <v>16</v>
      </c>
      <c r="BG699" t="n">
        <v>1</v>
      </c>
      <c r="BH699" t="n">
        <v>8</v>
      </c>
      <c r="BI699" t="n">
        <v>1</v>
      </c>
      <c r="BJ699" t="n">
        <v>4</v>
      </c>
      <c r="BK699" t="n">
        <v>2</v>
      </c>
      <c r="BL699" t="n">
        <v>1</v>
      </c>
      <c r="BM699" t="n">
        <v>5</v>
      </c>
      <c r="BN699" t="n">
        <v>3</v>
      </c>
      <c r="BO699" t="n">
        <v>2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207</v>
      </c>
      <c r="Z700" t="n">
        <v>129</v>
      </c>
      <c r="AA700" t="n">
        <v>69</v>
      </c>
      <c r="AB700" t="n">
        <v>0</v>
      </c>
      <c r="AC700" t="n">
        <v>0</v>
      </c>
      <c r="AD700" t="n">
        <v>5</v>
      </c>
      <c r="AE700" t="n">
        <v>4</v>
      </c>
      <c r="AF700" t="n">
        <v>3</v>
      </c>
      <c r="AG700" t="n">
        <v>5</v>
      </c>
      <c r="AH700" t="n">
        <v>99</v>
      </c>
      <c r="AI700" t="n">
        <v>24</v>
      </c>
      <c r="AJ700" t="n">
        <v>20</v>
      </c>
      <c r="AK700" t="n">
        <v>28</v>
      </c>
      <c r="AL700" t="n">
        <v>5</v>
      </c>
      <c r="AM700" t="n">
        <v>32</v>
      </c>
      <c r="AN700" t="n">
        <v>1</v>
      </c>
      <c r="AO700" t="n">
        <v>0</v>
      </c>
      <c r="AP700" t="n">
        <v>5</v>
      </c>
      <c r="AQ700" t="n">
        <v>24</v>
      </c>
      <c r="AR700" t="n">
        <v>56</v>
      </c>
      <c r="AS700" t="n">
        <v>36</v>
      </c>
      <c r="AT700" t="n">
        <v>1</v>
      </c>
      <c r="AU700" t="n">
        <v>1</v>
      </c>
      <c r="AV700" t="n">
        <v>1</v>
      </c>
      <c r="AW700" t="n">
        <v>1</v>
      </c>
      <c r="AX700" t="n">
        <v>0</v>
      </c>
      <c r="AY700" t="n">
        <v>14</v>
      </c>
      <c r="AZ700" t="n">
        <v>3</v>
      </c>
      <c r="BA700" t="n">
        <v>31</v>
      </c>
      <c r="BB700" t="n">
        <v>98</v>
      </c>
      <c r="BC700" t="n">
        <v>29</v>
      </c>
      <c r="BD700" t="n">
        <v>90</v>
      </c>
      <c r="BE700" t="n">
        <v>13</v>
      </c>
      <c r="BF700" t="n">
        <v>16</v>
      </c>
      <c r="BG700" t="n">
        <v>0</v>
      </c>
      <c r="BH700" t="n">
        <v>8</v>
      </c>
      <c r="BI700" t="n">
        <v>1</v>
      </c>
      <c r="BJ700" t="n">
        <v>1</v>
      </c>
      <c r="BK700" t="n">
        <v>2</v>
      </c>
      <c r="BL700" t="n">
        <v>3</v>
      </c>
      <c r="BM700" t="n">
        <v>1</v>
      </c>
      <c r="BN700" t="n">
        <v>1</v>
      </c>
      <c r="BO700" t="n">
        <v>18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146</v>
      </c>
      <c r="Z701" t="n">
        <v>101</v>
      </c>
      <c r="AA701" t="n">
        <v>131</v>
      </c>
      <c r="AB701" t="n">
        <v>0</v>
      </c>
      <c r="AC701" t="n">
        <v>1</v>
      </c>
      <c r="AD701" t="n">
        <v>2</v>
      </c>
      <c r="AE701" t="n">
        <v>4</v>
      </c>
      <c r="AF701" t="n">
        <v>4</v>
      </c>
      <c r="AG701" t="n">
        <v>1</v>
      </c>
      <c r="AH701" t="n">
        <v>33</v>
      </c>
      <c r="AI701" t="n">
        <v>2</v>
      </c>
      <c r="AJ701" t="n">
        <v>91</v>
      </c>
      <c r="AK701" t="n">
        <v>28</v>
      </c>
      <c r="AL701" t="n">
        <v>1</v>
      </c>
      <c r="AM701" t="n">
        <v>31</v>
      </c>
      <c r="AN701" t="n">
        <v>0</v>
      </c>
      <c r="AO701" t="n">
        <v>1</v>
      </c>
      <c r="AP701" t="n">
        <v>0</v>
      </c>
      <c r="AQ701" t="n">
        <v>1</v>
      </c>
      <c r="AR701" t="n">
        <v>123</v>
      </c>
      <c r="AS701" t="n">
        <v>113</v>
      </c>
      <c r="AT701" t="n">
        <v>0</v>
      </c>
      <c r="AU701" t="n">
        <v>0</v>
      </c>
      <c r="AV701" t="n">
        <v>1</v>
      </c>
      <c r="AW701" t="n">
        <v>16</v>
      </c>
      <c r="AX701" t="n">
        <v>1</v>
      </c>
      <c r="AY701" t="n">
        <v>12</v>
      </c>
      <c r="AZ701" t="n">
        <v>2</v>
      </c>
      <c r="BA701" t="n">
        <v>27</v>
      </c>
      <c r="BB701" t="n">
        <v>149</v>
      </c>
      <c r="BC701" t="n">
        <v>25</v>
      </c>
      <c r="BD701" t="n">
        <v>37</v>
      </c>
      <c r="BE701" t="n">
        <v>16</v>
      </c>
      <c r="BF701" t="n">
        <v>72</v>
      </c>
      <c r="BG701" t="n">
        <v>1</v>
      </c>
      <c r="BH701" t="n">
        <v>5</v>
      </c>
      <c r="BI701" t="n">
        <v>8</v>
      </c>
      <c r="BJ701" t="n">
        <v>19</v>
      </c>
      <c r="BK701" t="n">
        <v>3</v>
      </c>
      <c r="BL701" t="n">
        <v>25</v>
      </c>
      <c r="BM701" t="n">
        <v>16</v>
      </c>
      <c r="BN701" t="n">
        <v>0</v>
      </c>
      <c r="BO701" t="n">
        <v>-7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257</v>
      </c>
      <c r="Z702" t="n">
        <v>268</v>
      </c>
      <c r="AA702" t="n">
        <v>38</v>
      </c>
      <c r="AB702" t="n">
        <v>6</v>
      </c>
      <c r="AC702" t="n">
        <v>1</v>
      </c>
      <c r="AD702" t="n">
        <v>1</v>
      </c>
      <c r="AE702" t="n">
        <v>6</v>
      </c>
      <c r="AF702" t="n">
        <v>6</v>
      </c>
      <c r="AG702" t="n">
        <v>3</v>
      </c>
      <c r="AH702" t="n">
        <v>37</v>
      </c>
      <c r="AI702" t="n">
        <v>72</v>
      </c>
      <c r="AJ702" t="n">
        <v>124</v>
      </c>
      <c r="AK702" t="n">
        <v>15</v>
      </c>
      <c r="AL702" t="n">
        <v>1</v>
      </c>
      <c r="AM702" t="n">
        <v>25</v>
      </c>
      <c r="AN702" t="n">
        <v>0</v>
      </c>
      <c r="AO702" t="n">
        <v>0</v>
      </c>
      <c r="AP702" t="n">
        <v>2</v>
      </c>
      <c r="AQ702" t="n">
        <v>6</v>
      </c>
      <c r="AR702" t="n">
        <v>94</v>
      </c>
      <c r="AS702" t="n">
        <v>86</v>
      </c>
      <c r="AT702" t="n">
        <v>1</v>
      </c>
      <c r="AU702" t="n">
        <v>1</v>
      </c>
      <c r="AV702" t="n">
        <v>8</v>
      </c>
      <c r="AW702" t="n">
        <v>41</v>
      </c>
      <c r="AX702" t="n">
        <v>25</v>
      </c>
      <c r="AY702" t="n">
        <v>4</v>
      </c>
      <c r="AZ702" t="n">
        <v>0</v>
      </c>
      <c r="BA702" t="n">
        <v>1</v>
      </c>
      <c r="BB702" t="n">
        <v>37</v>
      </c>
      <c r="BC702" t="n">
        <v>19</v>
      </c>
      <c r="BD702" t="n">
        <v>70</v>
      </c>
      <c r="BE702" t="n">
        <v>52</v>
      </c>
      <c r="BF702" t="n">
        <v>108</v>
      </c>
      <c r="BG702" t="n">
        <v>1</v>
      </c>
      <c r="BH702" t="n">
        <v>21</v>
      </c>
      <c r="BI702" t="n">
        <v>22</v>
      </c>
      <c r="BJ702" t="n">
        <v>19</v>
      </c>
      <c r="BK702" t="n">
        <v>3</v>
      </c>
      <c r="BL702" t="n">
        <v>10</v>
      </c>
      <c r="BM702" t="n">
        <v>35</v>
      </c>
      <c r="BN702" t="n">
        <v>18</v>
      </c>
      <c r="BO702" t="n">
        <v>11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2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291</v>
      </c>
      <c r="Z703" t="n">
        <v>267</v>
      </c>
      <c r="AA703" t="n">
        <v>58</v>
      </c>
      <c r="AB703" t="n">
        <v>2</v>
      </c>
      <c r="AC703" t="n">
        <v>1</v>
      </c>
      <c r="AD703" t="n">
        <v>7</v>
      </c>
      <c r="AE703" t="n">
        <v>11</v>
      </c>
      <c r="AF703" t="n">
        <v>7</v>
      </c>
      <c r="AG703" t="n">
        <v>2</v>
      </c>
      <c r="AH703" t="n">
        <v>111</v>
      </c>
      <c r="AI703" t="n">
        <v>107</v>
      </c>
      <c r="AJ703" t="n">
        <v>73</v>
      </c>
      <c r="AK703" t="n">
        <v>13</v>
      </c>
      <c r="AL703" t="n">
        <v>1</v>
      </c>
      <c r="AM703" t="n">
        <v>2</v>
      </c>
      <c r="AN703" t="n">
        <v>0</v>
      </c>
      <c r="AO703" t="n">
        <v>0</v>
      </c>
      <c r="AP703" t="n">
        <v>3</v>
      </c>
      <c r="AQ703" t="n">
        <v>62</v>
      </c>
      <c r="AR703" t="n">
        <v>164</v>
      </c>
      <c r="AS703" t="n">
        <v>109</v>
      </c>
      <c r="AT703" t="n">
        <v>3</v>
      </c>
      <c r="AU703" t="n">
        <v>1</v>
      </c>
      <c r="AV703" t="n">
        <v>17</v>
      </c>
      <c r="AW703" t="n">
        <v>2</v>
      </c>
      <c r="AX703" t="n">
        <v>0</v>
      </c>
      <c r="AY703" t="n">
        <v>31</v>
      </c>
      <c r="AZ703" t="n">
        <v>9</v>
      </c>
      <c r="BA703" t="n">
        <v>79</v>
      </c>
      <c r="BB703" t="n">
        <v>144</v>
      </c>
      <c r="BC703" t="n">
        <v>23</v>
      </c>
      <c r="BD703" t="n">
        <v>106</v>
      </c>
      <c r="BE703" t="n">
        <v>2</v>
      </c>
      <c r="BF703" t="n">
        <v>77</v>
      </c>
      <c r="BG703" t="n">
        <v>3</v>
      </c>
      <c r="BH703" t="n">
        <v>6</v>
      </c>
      <c r="BI703" t="n">
        <v>27</v>
      </c>
      <c r="BJ703" t="n">
        <v>39</v>
      </c>
      <c r="BK703" t="n">
        <v>2</v>
      </c>
      <c r="BL703" t="n">
        <v>15</v>
      </c>
      <c r="BM703" t="n">
        <v>23</v>
      </c>
      <c r="BN703" t="n">
        <v>9</v>
      </c>
      <c r="BO703" t="n">
        <v>11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82</v>
      </c>
      <c r="Z704" t="n">
        <v>150</v>
      </c>
      <c r="AA704" t="n">
        <v>48</v>
      </c>
      <c r="AB704" t="n">
        <v>1</v>
      </c>
      <c r="AC704" t="n">
        <v>1</v>
      </c>
      <c r="AD704" t="n">
        <v>3</v>
      </c>
      <c r="AE704" t="n">
        <v>1</v>
      </c>
      <c r="AF704" t="n">
        <v>5</v>
      </c>
      <c r="AG704" t="n">
        <v>2</v>
      </c>
      <c r="AH704" t="n">
        <v>27</v>
      </c>
      <c r="AI704" t="n">
        <v>2</v>
      </c>
      <c r="AJ704" t="n">
        <v>41</v>
      </c>
      <c r="AK704" t="n">
        <v>10</v>
      </c>
      <c r="AL704" t="n">
        <v>2</v>
      </c>
      <c r="AM704" t="n">
        <v>2</v>
      </c>
      <c r="AN704" t="n">
        <v>0</v>
      </c>
      <c r="AO704" t="n">
        <v>0</v>
      </c>
      <c r="AP704" t="n">
        <v>6</v>
      </c>
      <c r="AQ704" t="n">
        <v>21</v>
      </c>
      <c r="AR704" t="n">
        <v>70</v>
      </c>
      <c r="AS704" t="n">
        <v>51</v>
      </c>
      <c r="AT704" t="n">
        <v>0</v>
      </c>
      <c r="AU704" t="n">
        <v>2</v>
      </c>
      <c r="AV704" t="n">
        <v>4</v>
      </c>
      <c r="AW704" t="n">
        <v>39</v>
      </c>
      <c r="AX704" t="n">
        <v>0</v>
      </c>
      <c r="AY704" t="n">
        <v>10</v>
      </c>
      <c r="AZ704" t="n">
        <v>1</v>
      </c>
      <c r="BA704" t="n">
        <v>8</v>
      </c>
      <c r="BB704" t="n">
        <v>53</v>
      </c>
      <c r="BC704" t="n">
        <v>2</v>
      </c>
      <c r="BD704" t="n">
        <v>28</v>
      </c>
      <c r="BE704" t="n">
        <v>39</v>
      </c>
      <c r="BF704" t="n">
        <v>32</v>
      </c>
      <c r="BG704" t="n">
        <v>4</v>
      </c>
      <c r="BH704" t="n">
        <v>0</v>
      </c>
      <c r="BI704" t="n">
        <v>16</v>
      </c>
      <c r="BJ704" t="n">
        <v>22</v>
      </c>
      <c r="BK704" t="n">
        <v>3</v>
      </c>
      <c r="BL704" t="n">
        <v>18</v>
      </c>
      <c r="BM704" t="n">
        <v>18</v>
      </c>
      <c r="BN704" t="n">
        <v>5</v>
      </c>
      <c r="BO704" t="n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315</v>
      </c>
      <c r="Z705" t="n">
        <v>312</v>
      </c>
      <c r="AA705" t="n">
        <v>122</v>
      </c>
      <c r="AB705" t="n">
        <v>0</v>
      </c>
      <c r="AC705" t="n">
        <v>2</v>
      </c>
      <c r="AD705" t="n">
        <v>8</v>
      </c>
      <c r="AE705" t="n">
        <v>7</v>
      </c>
      <c r="AF705" t="n">
        <v>3</v>
      </c>
      <c r="AG705" t="n">
        <v>3</v>
      </c>
      <c r="AH705" t="n">
        <v>47</v>
      </c>
      <c r="AI705" t="n">
        <v>115</v>
      </c>
      <c r="AJ705" t="n">
        <v>24</v>
      </c>
      <c r="AK705" t="n">
        <v>1</v>
      </c>
      <c r="AL705" t="n">
        <v>1</v>
      </c>
      <c r="AM705" t="n">
        <v>50</v>
      </c>
      <c r="AN705" t="n">
        <v>0</v>
      </c>
      <c r="AO705" t="n">
        <v>0</v>
      </c>
      <c r="AP705" t="n">
        <v>5</v>
      </c>
      <c r="AQ705" t="n">
        <v>29</v>
      </c>
      <c r="AR705" t="n">
        <v>64</v>
      </c>
      <c r="AS705" t="n">
        <v>40</v>
      </c>
      <c r="AT705" t="n">
        <v>4</v>
      </c>
      <c r="AU705" t="n">
        <v>1</v>
      </c>
      <c r="AV705" t="n">
        <v>68</v>
      </c>
      <c r="AW705" t="n">
        <v>35</v>
      </c>
      <c r="AX705" t="n">
        <v>11</v>
      </c>
      <c r="AY705" t="n">
        <v>62</v>
      </c>
      <c r="AZ705" t="n">
        <v>1</v>
      </c>
      <c r="BA705" t="n">
        <v>10</v>
      </c>
      <c r="BB705" t="n">
        <v>125</v>
      </c>
      <c r="BC705" t="n">
        <v>52</v>
      </c>
      <c r="BD705" t="n">
        <v>42</v>
      </c>
      <c r="BE705" t="n">
        <v>44</v>
      </c>
      <c r="BF705" t="n">
        <v>20</v>
      </c>
      <c r="BG705" t="n">
        <v>3</v>
      </c>
      <c r="BH705" t="n">
        <v>16</v>
      </c>
      <c r="BI705" t="n">
        <v>52</v>
      </c>
      <c r="BJ705" t="n">
        <v>47</v>
      </c>
      <c r="BK705" t="n">
        <v>0</v>
      </c>
      <c r="BL705" t="n">
        <v>1</v>
      </c>
      <c r="BM705" t="n">
        <v>26</v>
      </c>
      <c r="BN705" t="n">
        <v>15</v>
      </c>
      <c r="BO705" t="n">
        <v>61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170</v>
      </c>
      <c r="Z706" t="n">
        <v>192</v>
      </c>
      <c r="AA706" t="n">
        <v>30</v>
      </c>
      <c r="AB706" t="n">
        <v>1</v>
      </c>
      <c r="AC706" t="n">
        <v>1</v>
      </c>
      <c r="AD706" t="n">
        <v>5</v>
      </c>
      <c r="AE706" t="n">
        <v>13</v>
      </c>
      <c r="AF706" t="n">
        <v>5</v>
      </c>
      <c r="AG706" t="n">
        <v>3</v>
      </c>
      <c r="AH706" t="n">
        <v>28</v>
      </c>
      <c r="AI706" t="n">
        <v>119</v>
      </c>
      <c r="AJ706" t="n">
        <v>71</v>
      </c>
      <c r="AK706" t="n">
        <v>35</v>
      </c>
      <c r="AL706" t="n">
        <v>2</v>
      </c>
      <c r="AM706" t="n">
        <v>47</v>
      </c>
      <c r="AN706" t="n">
        <v>2</v>
      </c>
      <c r="AO706" t="n">
        <v>0</v>
      </c>
      <c r="AP706" t="n">
        <v>2</v>
      </c>
      <c r="AQ706" t="n">
        <v>7</v>
      </c>
      <c r="AR706" t="n">
        <v>171</v>
      </c>
      <c r="AS706" t="n">
        <v>159</v>
      </c>
      <c r="AT706" t="n">
        <v>0</v>
      </c>
      <c r="AU706" t="n">
        <v>1</v>
      </c>
      <c r="AV706" t="n">
        <v>1</v>
      </c>
      <c r="AW706" t="n">
        <v>6</v>
      </c>
      <c r="AX706" t="n">
        <v>17</v>
      </c>
      <c r="AY706" t="n">
        <v>24</v>
      </c>
      <c r="AZ706" t="n">
        <v>1</v>
      </c>
      <c r="BA706" t="n">
        <v>1</v>
      </c>
      <c r="BB706" t="n">
        <v>30</v>
      </c>
      <c r="BC706" t="n">
        <v>53</v>
      </c>
      <c r="BD706" t="n">
        <v>31</v>
      </c>
      <c r="BE706" t="n">
        <v>7</v>
      </c>
      <c r="BF706" t="n">
        <v>74</v>
      </c>
      <c r="BG706" t="n">
        <v>0</v>
      </c>
      <c r="BH706" t="n">
        <v>12</v>
      </c>
      <c r="BI706" t="n">
        <v>1</v>
      </c>
      <c r="BJ706" t="n">
        <v>10</v>
      </c>
      <c r="BK706" t="n">
        <v>0</v>
      </c>
      <c r="BL706" t="n">
        <v>1</v>
      </c>
      <c r="BM706" t="n">
        <v>15</v>
      </c>
      <c r="BN706" t="n">
        <v>8</v>
      </c>
      <c r="BO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2</v>
      </c>
      <c r="V707" t="n">
        <v>0</v>
      </c>
      <c r="W707" t="n">
        <v>0</v>
      </c>
      <c r="X707" t="n">
        <v>0</v>
      </c>
      <c r="Y707" t="n">
        <v>156</v>
      </c>
      <c r="Z707" t="n">
        <v>123</v>
      </c>
      <c r="AA707" t="n">
        <v>34</v>
      </c>
      <c r="AB707" t="n">
        <v>1</v>
      </c>
      <c r="AC707" t="n">
        <v>1</v>
      </c>
      <c r="AD707" t="n">
        <v>0</v>
      </c>
      <c r="AE707" t="n">
        <v>0</v>
      </c>
      <c r="AF707" t="n">
        <v>0</v>
      </c>
      <c r="AG707" t="n">
        <v>1</v>
      </c>
      <c r="AH707" t="n">
        <v>25</v>
      </c>
      <c r="AI707" t="n">
        <v>2</v>
      </c>
      <c r="AJ707" t="n">
        <v>10</v>
      </c>
      <c r="AK707" t="n">
        <v>9</v>
      </c>
      <c r="AL707" t="n">
        <v>1</v>
      </c>
      <c r="AM707" t="n">
        <v>48</v>
      </c>
      <c r="AN707" t="n">
        <v>0</v>
      </c>
      <c r="AO707" t="n">
        <v>0</v>
      </c>
      <c r="AP707" t="n">
        <v>12</v>
      </c>
      <c r="AQ707" t="n">
        <v>56</v>
      </c>
      <c r="AR707" t="n">
        <v>68</v>
      </c>
      <c r="AS707" t="n">
        <v>20</v>
      </c>
      <c r="AT707" t="n">
        <v>2</v>
      </c>
      <c r="AU707" t="n">
        <v>0</v>
      </c>
      <c r="AV707" t="n">
        <v>10</v>
      </c>
      <c r="AW707" t="n">
        <v>21</v>
      </c>
      <c r="AX707" t="n">
        <v>0</v>
      </c>
      <c r="AY707" t="n">
        <v>25</v>
      </c>
      <c r="AZ707" t="n">
        <v>2</v>
      </c>
      <c r="BA707" t="n">
        <v>5</v>
      </c>
      <c r="BB707" t="n">
        <v>36</v>
      </c>
      <c r="BC707" t="n">
        <v>55</v>
      </c>
      <c r="BD707" t="n">
        <v>29</v>
      </c>
      <c r="BE707" t="n">
        <v>24</v>
      </c>
      <c r="BF707" t="n">
        <v>12</v>
      </c>
      <c r="BG707" t="n">
        <v>2</v>
      </c>
      <c r="BH707" t="n">
        <v>14</v>
      </c>
      <c r="BI707" t="n">
        <v>28</v>
      </c>
      <c r="BJ707" t="n">
        <v>25</v>
      </c>
      <c r="BK707" t="n">
        <v>1</v>
      </c>
      <c r="BL707" t="n">
        <v>10</v>
      </c>
      <c r="BM707" t="n">
        <v>10</v>
      </c>
      <c r="BN707" t="n">
        <v>3</v>
      </c>
      <c r="BO707" t="n">
        <v>40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3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133</v>
      </c>
      <c r="Z708" t="n">
        <v>124</v>
      </c>
      <c r="AA708" t="n">
        <v>78</v>
      </c>
      <c r="AB708" t="n">
        <v>3</v>
      </c>
      <c r="AC708" t="n">
        <v>0</v>
      </c>
      <c r="AD708" t="n">
        <v>1</v>
      </c>
      <c r="AE708" t="n">
        <v>4</v>
      </c>
      <c r="AF708" t="n">
        <v>0</v>
      </c>
      <c r="AG708" t="n">
        <v>13</v>
      </c>
      <c r="AH708" t="n">
        <v>11</v>
      </c>
      <c r="AI708" t="n">
        <v>56</v>
      </c>
      <c r="AJ708" t="n">
        <v>13</v>
      </c>
      <c r="AK708" t="n">
        <v>77</v>
      </c>
      <c r="AL708" t="n">
        <v>5</v>
      </c>
      <c r="AM708" t="n">
        <v>44</v>
      </c>
      <c r="AN708" t="n">
        <v>0</v>
      </c>
      <c r="AO708" t="n">
        <v>1</v>
      </c>
      <c r="AP708" t="n">
        <v>3</v>
      </c>
      <c r="AQ708" t="n">
        <v>1</v>
      </c>
      <c r="AR708" t="n">
        <v>138</v>
      </c>
      <c r="AS708" t="n">
        <v>126</v>
      </c>
      <c r="AT708" t="n">
        <v>1</v>
      </c>
      <c r="AU708" t="n">
        <v>1</v>
      </c>
      <c r="AV708" t="n">
        <v>4</v>
      </c>
      <c r="AW708" t="n">
        <v>3</v>
      </c>
      <c r="AX708" t="n">
        <v>0</v>
      </c>
      <c r="AY708" t="n">
        <v>7</v>
      </c>
      <c r="AZ708" t="n">
        <v>2</v>
      </c>
      <c r="BA708" t="n">
        <v>14</v>
      </c>
      <c r="BB708" t="n">
        <v>87</v>
      </c>
      <c r="BC708" t="n">
        <v>37</v>
      </c>
      <c r="BD708" t="n">
        <v>9</v>
      </c>
      <c r="BE708" t="n">
        <v>8</v>
      </c>
      <c r="BF708" t="n">
        <v>10</v>
      </c>
      <c r="BG708" t="n">
        <v>1</v>
      </c>
      <c r="BH708" t="n">
        <v>3</v>
      </c>
      <c r="BI708" t="n">
        <v>7</v>
      </c>
      <c r="BJ708" t="n">
        <v>4</v>
      </c>
      <c r="BK708" t="n">
        <v>3</v>
      </c>
      <c r="BL708" t="n">
        <v>18</v>
      </c>
      <c r="BM708" t="n">
        <v>19</v>
      </c>
      <c r="BN708" t="n">
        <v>5</v>
      </c>
      <c r="BO708" t="n">
        <v>2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2</v>
      </c>
      <c r="U709" t="n">
        <v>0</v>
      </c>
      <c r="V709" t="n">
        <v>0</v>
      </c>
      <c r="W709" t="n">
        <v>0</v>
      </c>
      <c r="X709" t="n">
        <v>0</v>
      </c>
      <c r="Y709" t="n">
        <v>413</v>
      </c>
      <c r="Z709" t="n">
        <v>299</v>
      </c>
      <c r="AA709" t="n">
        <v>58</v>
      </c>
      <c r="AB709" t="n">
        <v>0</v>
      </c>
      <c r="AC709" t="n">
        <v>3</v>
      </c>
      <c r="AD709" t="n">
        <v>6</v>
      </c>
      <c r="AE709" t="n">
        <v>0</v>
      </c>
      <c r="AF709" t="n">
        <v>4</v>
      </c>
      <c r="AG709" t="n">
        <v>5</v>
      </c>
      <c r="AH709" t="n">
        <v>111</v>
      </c>
      <c r="AI709" t="n">
        <v>6</v>
      </c>
      <c r="AJ709" t="n">
        <v>98</v>
      </c>
      <c r="AK709" t="n">
        <v>56</v>
      </c>
      <c r="AL709" t="n">
        <v>7</v>
      </c>
      <c r="AM709" t="n">
        <v>195</v>
      </c>
      <c r="AN709" t="n">
        <v>1</v>
      </c>
      <c r="AO709" t="n">
        <v>0</v>
      </c>
      <c r="AP709" t="n">
        <v>0</v>
      </c>
      <c r="AQ709" t="n">
        <v>12</v>
      </c>
      <c r="AR709" t="n">
        <v>45</v>
      </c>
      <c r="AS709" t="n">
        <v>35</v>
      </c>
      <c r="AT709" t="n">
        <v>6</v>
      </c>
      <c r="AU709" t="n">
        <v>3</v>
      </c>
      <c r="AV709" t="n">
        <v>72</v>
      </c>
      <c r="AW709" t="n">
        <v>24</v>
      </c>
      <c r="AX709" t="n">
        <v>0</v>
      </c>
      <c r="AY709" t="n">
        <v>19</v>
      </c>
      <c r="AZ709" t="n">
        <v>0</v>
      </c>
      <c r="BA709" t="n">
        <v>1</v>
      </c>
      <c r="BB709" t="n">
        <v>56</v>
      </c>
      <c r="BC709" t="n">
        <v>165</v>
      </c>
      <c r="BD709" t="n">
        <v>108</v>
      </c>
      <c r="BE709" t="n">
        <v>25</v>
      </c>
      <c r="BF709" t="n">
        <v>78</v>
      </c>
      <c r="BG709" t="n">
        <v>7</v>
      </c>
      <c r="BH709" t="n">
        <v>16</v>
      </c>
      <c r="BI709" t="n">
        <v>59</v>
      </c>
      <c r="BJ709" t="n">
        <v>54</v>
      </c>
      <c r="BK709" t="n">
        <v>3</v>
      </c>
      <c r="BL709" t="n">
        <v>18</v>
      </c>
      <c r="BM709" t="n">
        <v>13</v>
      </c>
      <c r="BN709" t="n">
        <v>2</v>
      </c>
      <c r="BO709" t="n">
        <v>2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357</v>
      </c>
      <c r="Z710" t="n">
        <v>121</v>
      </c>
      <c r="AA710" t="n">
        <v>159</v>
      </c>
      <c r="AB710" t="n">
        <v>0</v>
      </c>
      <c r="AC710" t="n">
        <v>1</v>
      </c>
      <c r="AD710" t="n">
        <v>5</v>
      </c>
      <c r="AE710" t="n">
        <v>7</v>
      </c>
      <c r="AF710" t="n">
        <v>1</v>
      </c>
      <c r="AG710" t="n">
        <v>6</v>
      </c>
      <c r="AH710" t="n">
        <v>38</v>
      </c>
      <c r="AI710" t="n">
        <v>44</v>
      </c>
      <c r="AJ710" t="n">
        <v>22</v>
      </c>
      <c r="AK710" t="n">
        <v>59</v>
      </c>
      <c r="AL710" t="n">
        <v>3</v>
      </c>
      <c r="AM710" t="n">
        <v>68</v>
      </c>
      <c r="AN710" t="n">
        <v>0</v>
      </c>
      <c r="AO710" t="n">
        <v>0</v>
      </c>
      <c r="AP710" t="n">
        <v>6</v>
      </c>
      <c r="AQ710" t="n">
        <v>62</v>
      </c>
      <c r="AR710" t="n">
        <v>104</v>
      </c>
      <c r="AS710" t="n">
        <v>51</v>
      </c>
      <c r="AT710" t="n">
        <v>8</v>
      </c>
      <c r="AU710" t="n">
        <v>1</v>
      </c>
      <c r="AV710" t="n">
        <v>134</v>
      </c>
      <c r="AW710" t="n">
        <v>4</v>
      </c>
      <c r="AX710" t="n">
        <v>0</v>
      </c>
      <c r="AY710" t="n">
        <v>58</v>
      </c>
      <c r="AZ710" t="n">
        <v>4</v>
      </c>
      <c r="BA710" t="n">
        <v>15</v>
      </c>
      <c r="BB710" t="n">
        <v>161</v>
      </c>
      <c r="BC710" t="n">
        <v>56</v>
      </c>
      <c r="BD710" t="n">
        <v>37</v>
      </c>
      <c r="BE710" t="n">
        <v>3</v>
      </c>
      <c r="BF710" t="n">
        <v>33</v>
      </c>
      <c r="BG710" t="n">
        <v>4</v>
      </c>
      <c r="BH710" t="n">
        <v>2</v>
      </c>
      <c r="BI710" t="n">
        <v>84</v>
      </c>
      <c r="BJ710" t="n">
        <v>86</v>
      </c>
      <c r="BK710" t="n">
        <v>3</v>
      </c>
      <c r="BL710" t="n">
        <v>8</v>
      </c>
      <c r="BM710" t="n">
        <v>5</v>
      </c>
      <c r="BN710" t="n">
        <v>0</v>
      </c>
      <c r="BO710" t="n">
        <v>2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184</v>
      </c>
      <c r="Z711" t="n">
        <v>137</v>
      </c>
      <c r="AA711" t="n">
        <v>64</v>
      </c>
      <c r="AB711" t="n">
        <v>0</v>
      </c>
      <c r="AC711" t="n">
        <v>2</v>
      </c>
      <c r="AD711" t="n">
        <v>4</v>
      </c>
      <c r="AE711" t="n">
        <v>4</v>
      </c>
      <c r="AF711" t="n">
        <v>5</v>
      </c>
      <c r="AG711" t="n">
        <v>2</v>
      </c>
      <c r="AH711" t="n">
        <v>60</v>
      </c>
      <c r="AI711" t="n">
        <v>-3</v>
      </c>
      <c r="AJ711" t="n">
        <v>42</v>
      </c>
      <c r="AK711" t="n">
        <v>3</v>
      </c>
      <c r="AL711" t="n">
        <v>1</v>
      </c>
      <c r="AM711" t="n">
        <v>6</v>
      </c>
      <c r="AN711" t="n">
        <v>0</v>
      </c>
      <c r="AO711" t="n">
        <v>1</v>
      </c>
      <c r="AP711" t="n">
        <v>2</v>
      </c>
      <c r="AQ711" t="n">
        <v>1</v>
      </c>
      <c r="AR711" t="n">
        <v>99</v>
      </c>
      <c r="AS711" t="n">
        <v>92</v>
      </c>
      <c r="AT711" t="n">
        <v>0</v>
      </c>
      <c r="AU711" t="n">
        <v>3</v>
      </c>
      <c r="AV711" t="n">
        <v>1</v>
      </c>
      <c r="AW711" t="n">
        <v>24</v>
      </c>
      <c r="AX711" t="n">
        <v>8</v>
      </c>
      <c r="AY711" t="n">
        <v>11</v>
      </c>
      <c r="AZ711" t="n">
        <v>2</v>
      </c>
      <c r="BA711" t="n">
        <v>5</v>
      </c>
      <c r="BB711" t="n">
        <v>66</v>
      </c>
      <c r="BC711" t="n">
        <v>2</v>
      </c>
      <c r="BD711" t="n">
        <v>63</v>
      </c>
      <c r="BE711" t="n">
        <v>24</v>
      </c>
      <c r="BF711" t="n">
        <v>64</v>
      </c>
      <c r="BG711" t="n">
        <v>2</v>
      </c>
      <c r="BH711" t="n">
        <v>9</v>
      </c>
      <c r="BI711" t="n">
        <v>32</v>
      </c>
      <c r="BJ711" t="n">
        <v>41</v>
      </c>
      <c r="BK711" t="n">
        <v>2</v>
      </c>
      <c r="BL711" t="n">
        <v>7</v>
      </c>
      <c r="BM711" t="n">
        <v>7</v>
      </c>
      <c r="BN711" t="n">
        <v>3</v>
      </c>
      <c r="BO711" t="n">
        <v>65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</v>
      </c>
      <c r="U712" t="n">
        <v>0</v>
      </c>
      <c r="V712" t="n">
        <v>0</v>
      </c>
      <c r="W712" t="n">
        <v>0</v>
      </c>
      <c r="X712" t="n">
        <v>0</v>
      </c>
      <c r="Y712" t="n">
        <v>231</v>
      </c>
      <c r="Z712" t="n">
        <v>266</v>
      </c>
      <c r="AA712" t="n">
        <v>47</v>
      </c>
      <c r="AB712" t="n">
        <v>0</v>
      </c>
      <c r="AC712" t="n">
        <v>1</v>
      </c>
      <c r="AD712" t="n">
        <v>7</v>
      </c>
      <c r="AE712" t="n">
        <v>4</v>
      </c>
      <c r="AF712" t="n">
        <v>3</v>
      </c>
      <c r="AG712" t="n">
        <v>2</v>
      </c>
      <c r="AH712" t="n">
        <v>133</v>
      </c>
      <c r="AI712" t="n">
        <v>39</v>
      </c>
      <c r="AJ712" t="n">
        <v>10</v>
      </c>
      <c r="AK712" t="n">
        <v>16</v>
      </c>
      <c r="AL712" t="n">
        <v>3</v>
      </c>
      <c r="AM712" t="n">
        <v>36</v>
      </c>
      <c r="AN712" t="n">
        <v>0</v>
      </c>
      <c r="AO712" t="n">
        <v>0</v>
      </c>
      <c r="AP712" t="n">
        <v>11</v>
      </c>
      <c r="AQ712" t="n">
        <v>59</v>
      </c>
      <c r="AR712" t="n">
        <v>202</v>
      </c>
      <c r="AS712" t="n">
        <v>149</v>
      </c>
      <c r="AT712" t="n">
        <v>0</v>
      </c>
      <c r="AU712" t="n">
        <v>3</v>
      </c>
      <c r="AV712" t="n">
        <v>1</v>
      </c>
      <c r="AW712" t="n">
        <v>38</v>
      </c>
      <c r="AX712" t="n">
        <v>1</v>
      </c>
      <c r="AY712" t="n">
        <v>17</v>
      </c>
      <c r="AZ712" t="n">
        <v>4</v>
      </c>
      <c r="BA712" t="n">
        <v>43</v>
      </c>
      <c r="BB712" t="n">
        <v>91</v>
      </c>
      <c r="BC712" t="n">
        <v>30</v>
      </c>
      <c r="BD712" t="n">
        <v>122</v>
      </c>
      <c r="BE712" t="n">
        <v>42</v>
      </c>
      <c r="BF712" t="n">
        <v>8</v>
      </c>
      <c r="BG712" t="n">
        <v>6</v>
      </c>
      <c r="BH712" t="n">
        <v>6</v>
      </c>
      <c r="BI712" t="n">
        <v>29</v>
      </c>
      <c r="BJ712" t="n">
        <v>46</v>
      </c>
      <c r="BK712" t="n">
        <v>5</v>
      </c>
      <c r="BL712" t="n">
        <v>55</v>
      </c>
      <c r="BM712" t="n">
        <v>95</v>
      </c>
      <c r="BN712" t="n">
        <v>41</v>
      </c>
      <c r="BO712" t="n">
        <v>18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219</v>
      </c>
      <c r="Z713" t="n">
        <v>197</v>
      </c>
      <c r="AA713" t="n">
        <v>116</v>
      </c>
      <c r="AB713" t="n">
        <v>1</v>
      </c>
      <c r="AC713" t="n">
        <v>2</v>
      </c>
      <c r="AD713" t="n">
        <v>3</v>
      </c>
      <c r="AE713" t="n">
        <v>7</v>
      </c>
      <c r="AF713" t="n">
        <v>3</v>
      </c>
      <c r="AG713" t="n">
        <v>4</v>
      </c>
      <c r="AH713" t="n">
        <v>68</v>
      </c>
      <c r="AI713" t="n">
        <v>69</v>
      </c>
      <c r="AJ713" t="n">
        <v>18</v>
      </c>
      <c r="AK713" t="n">
        <v>60</v>
      </c>
      <c r="AL713" t="n">
        <v>2</v>
      </c>
      <c r="AM713" t="n">
        <v>91</v>
      </c>
      <c r="AN713" t="n">
        <v>0</v>
      </c>
      <c r="AO713" t="n">
        <v>0</v>
      </c>
      <c r="AP713" t="n">
        <v>1</v>
      </c>
      <c r="AQ713" t="n">
        <v>3</v>
      </c>
      <c r="AR713" t="n">
        <v>139</v>
      </c>
      <c r="AS713" t="n">
        <v>127</v>
      </c>
      <c r="AT713" t="n">
        <v>5</v>
      </c>
      <c r="AU713" t="n">
        <v>1</v>
      </c>
      <c r="AV713" t="n">
        <v>65</v>
      </c>
      <c r="AW713" t="n">
        <v>8</v>
      </c>
      <c r="AX713" t="n">
        <v>1</v>
      </c>
      <c r="AY713" t="n">
        <v>53</v>
      </c>
      <c r="AZ713" t="n">
        <v>1</v>
      </c>
      <c r="BA713" t="n">
        <v>16</v>
      </c>
      <c r="BB713" t="n">
        <v>126</v>
      </c>
      <c r="BC713" t="n">
        <v>90</v>
      </c>
      <c r="BD713" t="n">
        <v>61</v>
      </c>
      <c r="BE713" t="n">
        <v>7</v>
      </c>
      <c r="BF713" t="n">
        <v>13</v>
      </c>
      <c r="BG713" t="n">
        <v>1</v>
      </c>
      <c r="BH713" t="n">
        <v>8</v>
      </c>
      <c r="BI713" t="n">
        <v>8</v>
      </c>
      <c r="BJ713" t="n">
        <v>5</v>
      </c>
      <c r="BK713" t="n">
        <v>1</v>
      </c>
      <c r="BL713" t="n">
        <v>7</v>
      </c>
      <c r="BM713" t="n">
        <v>-3</v>
      </c>
      <c r="BN713" t="n">
        <v>-3</v>
      </c>
      <c r="BO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2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141</v>
      </c>
      <c r="Z714" t="n">
        <v>344</v>
      </c>
      <c r="AA714" t="n">
        <v>126</v>
      </c>
      <c r="AB714" t="n">
        <v>1</v>
      </c>
      <c r="AC714" t="n">
        <v>3</v>
      </c>
      <c r="AD714" t="n">
        <v>1</v>
      </c>
      <c r="AE714" t="n">
        <v>10</v>
      </c>
      <c r="AF714" t="n">
        <v>3</v>
      </c>
      <c r="AG714" t="n">
        <v>0</v>
      </c>
      <c r="AH714" t="n">
        <v>2</v>
      </c>
      <c r="AI714" t="n">
        <v>39</v>
      </c>
      <c r="AJ714" t="n">
        <v>60</v>
      </c>
      <c r="AK714" t="n">
        <v>12</v>
      </c>
      <c r="AL714" t="n">
        <v>2</v>
      </c>
      <c r="AM714" t="n">
        <v>66</v>
      </c>
      <c r="AN714" t="n">
        <v>0</v>
      </c>
      <c r="AO714" t="n">
        <v>0</v>
      </c>
      <c r="AP714" t="n">
        <v>2</v>
      </c>
      <c r="AQ714" t="n">
        <v>24</v>
      </c>
      <c r="AR714" t="n">
        <v>79</v>
      </c>
      <c r="AS714" t="n">
        <v>57</v>
      </c>
      <c r="AT714" t="n">
        <v>0</v>
      </c>
      <c r="AU714" t="n">
        <v>3</v>
      </c>
      <c r="AV714" t="n">
        <v>1</v>
      </c>
      <c r="AW714" t="n">
        <v>81</v>
      </c>
      <c r="AX714" t="n">
        <v>4</v>
      </c>
      <c r="AY714" t="n">
        <v>68</v>
      </c>
      <c r="AZ714" t="n">
        <v>2</v>
      </c>
      <c r="BA714" t="n">
        <v>-3</v>
      </c>
      <c r="BB714" t="n">
        <v>119</v>
      </c>
      <c r="BC714" t="n">
        <v>59</v>
      </c>
      <c r="BD714" t="n">
        <v>21</v>
      </c>
      <c r="BE714" t="n">
        <v>86</v>
      </c>
      <c r="BF714" t="n">
        <v>48</v>
      </c>
      <c r="BG714" t="n">
        <v>7</v>
      </c>
      <c r="BH714" t="n">
        <v>2</v>
      </c>
      <c r="BI714" t="n">
        <v>9</v>
      </c>
      <c r="BJ714" t="n">
        <v>8</v>
      </c>
      <c r="BK714" t="n">
        <v>3</v>
      </c>
      <c r="BL714" t="n">
        <v>20</v>
      </c>
      <c r="BM714" t="n">
        <v>14</v>
      </c>
      <c r="BN714" t="n">
        <v>1</v>
      </c>
      <c r="BO714" t="n">
        <v>2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214</v>
      </c>
      <c r="Z715" t="n">
        <v>126</v>
      </c>
      <c r="AA715" t="n">
        <v>32</v>
      </c>
      <c r="AB715" t="n">
        <v>0</v>
      </c>
      <c r="AC715" t="n">
        <v>2</v>
      </c>
      <c r="AD715" t="n">
        <v>2</v>
      </c>
      <c r="AE715" t="n">
        <v>4</v>
      </c>
      <c r="AF715" t="n">
        <v>6</v>
      </c>
      <c r="AG715" t="n">
        <v>5</v>
      </c>
      <c r="AH715" t="n">
        <v>31</v>
      </c>
      <c r="AI715" t="n">
        <v>22</v>
      </c>
      <c r="AJ715" t="n">
        <v>100</v>
      </c>
      <c r="AK715" t="n">
        <v>38</v>
      </c>
      <c r="AL715" t="n">
        <v>7</v>
      </c>
      <c r="AM715" t="n">
        <v>64</v>
      </c>
      <c r="AN715" t="n">
        <v>0</v>
      </c>
      <c r="AO715" t="n">
        <v>0</v>
      </c>
      <c r="AP715" t="n">
        <v>6</v>
      </c>
      <c r="AQ715" t="n">
        <v>47</v>
      </c>
      <c r="AR715" t="n">
        <v>70</v>
      </c>
      <c r="AS715" t="n">
        <v>33</v>
      </c>
      <c r="AT715" t="n">
        <v>1</v>
      </c>
      <c r="AU715" t="n">
        <v>0</v>
      </c>
      <c r="AV715" t="n">
        <v>1</v>
      </c>
      <c r="AW715" t="n">
        <v>2</v>
      </c>
      <c r="AX715" t="n">
        <v>0</v>
      </c>
      <c r="AY715" t="n">
        <v>12</v>
      </c>
      <c r="AZ715" t="n">
        <v>0</v>
      </c>
      <c r="BA715" t="n">
        <v>1</v>
      </c>
      <c r="BB715" t="n">
        <v>32</v>
      </c>
      <c r="BC715" t="n">
        <v>53</v>
      </c>
      <c r="BD715" t="n">
        <v>28</v>
      </c>
      <c r="BE715" t="n">
        <v>14</v>
      </c>
      <c r="BF715" t="n">
        <v>82</v>
      </c>
      <c r="BG715" t="n">
        <v>1</v>
      </c>
      <c r="BH715" t="n">
        <v>6</v>
      </c>
      <c r="BI715" t="n">
        <v>1</v>
      </c>
      <c r="BJ715" t="n">
        <v>7</v>
      </c>
      <c r="BK715" t="n">
        <v>9</v>
      </c>
      <c r="BL715" t="n">
        <v>54</v>
      </c>
      <c r="BM715" t="n">
        <v>37</v>
      </c>
      <c r="BN715" t="n">
        <v>0</v>
      </c>
      <c r="BO715" t="n">
        <v>96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2</v>
      </c>
      <c r="H716" t="n">
        <v>1</v>
      </c>
      <c r="I716" t="n">
        <v>0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287</v>
      </c>
      <c r="Z716" t="n">
        <v>194</v>
      </c>
      <c r="AA716" t="n">
        <v>162</v>
      </c>
      <c r="AB716" t="n">
        <v>3</v>
      </c>
      <c r="AC716" t="n">
        <v>2</v>
      </c>
      <c r="AD716" t="n">
        <v>7</v>
      </c>
      <c r="AE716" t="n">
        <v>4</v>
      </c>
      <c r="AF716" t="n">
        <v>2</v>
      </c>
      <c r="AG716" t="n">
        <v>5</v>
      </c>
      <c r="AH716" t="n">
        <v>89</v>
      </c>
      <c r="AI716" t="n">
        <v>14</v>
      </c>
      <c r="AJ716" t="n">
        <v>5</v>
      </c>
      <c r="AK716" t="n">
        <v>80</v>
      </c>
      <c r="AL716" t="n">
        <v>1</v>
      </c>
      <c r="AM716" t="n">
        <v>46</v>
      </c>
      <c r="AN716" t="n">
        <v>0</v>
      </c>
      <c r="AO716" t="n">
        <v>0</v>
      </c>
      <c r="AP716" t="n">
        <v>0</v>
      </c>
      <c r="AQ716" t="n">
        <v>3</v>
      </c>
      <c r="AR716" t="n">
        <v>71</v>
      </c>
      <c r="AS716" t="n">
        <v>64</v>
      </c>
      <c r="AT716" t="n">
        <v>5</v>
      </c>
      <c r="AU716" t="n">
        <v>2</v>
      </c>
      <c r="AV716" t="n">
        <v>50</v>
      </c>
      <c r="AW716" t="n">
        <v>42</v>
      </c>
      <c r="AX716" t="n">
        <v>0</v>
      </c>
      <c r="AY716" t="n">
        <v>24</v>
      </c>
      <c r="AZ716" t="n">
        <v>1</v>
      </c>
      <c r="BA716" t="n">
        <v>9</v>
      </c>
      <c r="BB716" t="n">
        <v>155</v>
      </c>
      <c r="BC716" t="n">
        <v>38</v>
      </c>
      <c r="BD716" t="n">
        <v>101</v>
      </c>
      <c r="BE716" t="n">
        <v>43</v>
      </c>
      <c r="BF716" t="n">
        <v>14</v>
      </c>
      <c r="BG716" t="n">
        <v>2</v>
      </c>
      <c r="BH716" t="n">
        <v>3</v>
      </c>
      <c r="BI716" t="n">
        <v>18</v>
      </c>
      <c r="BJ716" t="n">
        <v>16</v>
      </c>
      <c r="BK716" t="n">
        <v>0</v>
      </c>
      <c r="BL716" t="n">
        <v>1</v>
      </c>
      <c r="BM716" t="n">
        <v>15</v>
      </c>
      <c r="BN716" t="n">
        <v>8</v>
      </c>
      <c r="BO716" t="n">
        <v>51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114</v>
      </c>
      <c r="Z717" t="n">
        <v>203</v>
      </c>
      <c r="AA717" t="n">
        <v>34</v>
      </c>
      <c r="AB717" t="n">
        <v>1</v>
      </c>
      <c r="AC717" t="n">
        <v>1</v>
      </c>
      <c r="AD717" t="n">
        <v>2</v>
      </c>
      <c r="AE717" t="n">
        <v>11</v>
      </c>
      <c r="AF717" t="n">
        <v>4</v>
      </c>
      <c r="AG717" t="n">
        <v>0</v>
      </c>
      <c r="AH717" t="n">
        <v>9</v>
      </c>
      <c r="AI717" t="n">
        <v>155</v>
      </c>
      <c r="AJ717" t="n">
        <v>34</v>
      </c>
      <c r="AK717" t="n">
        <v>13</v>
      </c>
      <c r="AL717" t="n">
        <v>3</v>
      </c>
      <c r="AM717" t="n">
        <v>27</v>
      </c>
      <c r="AN717" t="n">
        <v>0</v>
      </c>
      <c r="AO717" t="n">
        <v>0</v>
      </c>
      <c r="AP717" t="n">
        <v>3</v>
      </c>
      <c r="AQ717" t="n">
        <v>10</v>
      </c>
      <c r="AR717" t="n">
        <v>34</v>
      </c>
      <c r="AS717" t="n">
        <v>26</v>
      </c>
      <c r="AT717" t="n">
        <v>1</v>
      </c>
      <c r="AU717" t="n">
        <v>0</v>
      </c>
      <c r="AV717" t="n">
        <v>36</v>
      </c>
      <c r="AW717" t="n">
        <v>4</v>
      </c>
      <c r="AX717" t="n">
        <v>1</v>
      </c>
      <c r="AY717" t="n">
        <v>12</v>
      </c>
      <c r="AZ717" t="n">
        <v>2</v>
      </c>
      <c r="BA717" t="n">
        <v>17</v>
      </c>
      <c r="BB717" t="n">
        <v>49</v>
      </c>
      <c r="BC717" t="n">
        <v>21</v>
      </c>
      <c r="BD717" t="n">
        <v>25</v>
      </c>
      <c r="BE717" t="n">
        <v>3</v>
      </c>
      <c r="BF717" t="n">
        <v>27</v>
      </c>
      <c r="BG717" t="n">
        <v>0</v>
      </c>
      <c r="BH717" t="n">
        <v>7</v>
      </c>
      <c r="BI717" t="n">
        <v>7</v>
      </c>
      <c r="BJ717" t="n">
        <v>1</v>
      </c>
      <c r="BK717" t="n">
        <v>1</v>
      </c>
      <c r="BL717" t="n">
        <v>1</v>
      </c>
      <c r="BM717" t="n">
        <v>3</v>
      </c>
      <c r="BN717" t="n">
        <v>1</v>
      </c>
      <c r="BO717" t="n">
        <v>2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281</v>
      </c>
      <c r="Z718" t="n">
        <v>58</v>
      </c>
      <c r="AA718" t="n">
        <v>70</v>
      </c>
      <c r="AB718" t="n">
        <v>0</v>
      </c>
      <c r="AC718" t="n">
        <v>1</v>
      </c>
      <c r="AD718" t="n">
        <v>6</v>
      </c>
      <c r="AE718" t="n">
        <v>3</v>
      </c>
      <c r="AF718" t="n">
        <v>5</v>
      </c>
      <c r="AG718" t="n">
        <v>5</v>
      </c>
      <c r="AH718" t="n">
        <v>87</v>
      </c>
      <c r="AI718" t="n">
        <v>32</v>
      </c>
      <c r="AJ718" t="n">
        <v>91</v>
      </c>
      <c r="AK718" t="n">
        <v>86</v>
      </c>
      <c r="AL718" t="n">
        <v>2</v>
      </c>
      <c r="AM718" t="n">
        <v>14</v>
      </c>
      <c r="AN718" t="n">
        <v>0</v>
      </c>
      <c r="AO718" t="n">
        <v>0</v>
      </c>
      <c r="AP718" t="n">
        <v>6</v>
      </c>
      <c r="AQ718" t="n">
        <v>38</v>
      </c>
      <c r="AR718" t="n">
        <v>72</v>
      </c>
      <c r="AS718" t="n">
        <v>41</v>
      </c>
      <c r="AT718" t="n">
        <v>0</v>
      </c>
      <c r="AU718" t="n">
        <v>0</v>
      </c>
      <c r="AV718" t="n">
        <v>2</v>
      </c>
      <c r="AW718" t="n">
        <v>1</v>
      </c>
      <c r="AX718" t="n">
        <v>2</v>
      </c>
      <c r="AY718" t="n">
        <v>53</v>
      </c>
      <c r="AZ718" t="n">
        <v>0</v>
      </c>
      <c r="BA718" t="n">
        <v>7</v>
      </c>
      <c r="BB718" t="n">
        <v>73</v>
      </c>
      <c r="BC718" t="n">
        <v>12</v>
      </c>
      <c r="BD718" t="n">
        <v>79</v>
      </c>
      <c r="BE718" t="n">
        <v>1</v>
      </c>
      <c r="BF718" t="n">
        <v>71</v>
      </c>
      <c r="BG718" t="n">
        <v>1</v>
      </c>
      <c r="BH718" t="n">
        <v>3</v>
      </c>
      <c r="BI718" t="n">
        <v>9</v>
      </c>
      <c r="BJ718" t="n">
        <v>8</v>
      </c>
      <c r="BK718" t="n">
        <v>1</v>
      </c>
      <c r="BL718" t="n">
        <v>24</v>
      </c>
      <c r="BM718" t="n">
        <v>27</v>
      </c>
      <c r="BN718" t="n">
        <v>8</v>
      </c>
      <c r="BO718" t="n">
        <v>9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205</v>
      </c>
      <c r="Z719" t="n">
        <v>151</v>
      </c>
      <c r="AA719" t="n">
        <v>68</v>
      </c>
      <c r="AB719" t="n">
        <v>2</v>
      </c>
      <c r="AC719" t="n">
        <v>0</v>
      </c>
      <c r="AD719" t="n">
        <v>1</v>
      </c>
      <c r="AE719" t="n">
        <v>10</v>
      </c>
      <c r="AF719" t="n">
        <v>2</v>
      </c>
      <c r="AG719" t="n">
        <v>3</v>
      </c>
      <c r="AH719" t="n">
        <v>8</v>
      </c>
      <c r="AI719" t="n">
        <v>86</v>
      </c>
      <c r="AJ719" t="n">
        <v>3</v>
      </c>
      <c r="AK719" t="n">
        <v>15</v>
      </c>
      <c r="AL719" t="n">
        <v>6</v>
      </c>
      <c r="AM719" t="n">
        <v>46</v>
      </c>
      <c r="AN719" t="n">
        <v>0</v>
      </c>
      <c r="AO719" t="n">
        <v>0</v>
      </c>
      <c r="AP719" t="n">
        <v>12</v>
      </c>
      <c r="AQ719" t="n">
        <v>91</v>
      </c>
      <c r="AR719" t="n">
        <v>176</v>
      </c>
      <c r="AS719" t="n">
        <v>96</v>
      </c>
      <c r="AT719" t="n">
        <v>3</v>
      </c>
      <c r="AU719" t="n">
        <v>1</v>
      </c>
      <c r="AV719" t="n">
        <v>20</v>
      </c>
      <c r="AW719" t="n">
        <v>8</v>
      </c>
      <c r="AX719" t="n">
        <v>6</v>
      </c>
      <c r="AY719" t="n">
        <v>21</v>
      </c>
      <c r="AZ719" t="n">
        <v>0</v>
      </c>
      <c r="BA719" t="n">
        <v>10</v>
      </c>
      <c r="BB719" t="n">
        <v>74</v>
      </c>
      <c r="BC719" t="n">
        <v>39</v>
      </c>
      <c r="BD719" t="n">
        <v>8</v>
      </c>
      <c r="BE719" t="n">
        <v>11</v>
      </c>
      <c r="BF719" t="n">
        <v>4</v>
      </c>
      <c r="BG719" t="n">
        <v>1</v>
      </c>
      <c r="BH719" t="n">
        <v>11</v>
      </c>
      <c r="BI719" t="n">
        <v>10</v>
      </c>
      <c r="BJ719" t="n">
        <v>9</v>
      </c>
      <c r="BK719" t="n">
        <v>0</v>
      </c>
      <c r="BL719" t="n">
        <v>1</v>
      </c>
      <c r="BM719" t="n">
        <v>10</v>
      </c>
      <c r="BN719" t="n">
        <v>5</v>
      </c>
      <c r="BO719" t="n">
        <v>2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2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125</v>
      </c>
      <c r="Z720" t="n">
        <v>154</v>
      </c>
      <c r="AA720" t="n">
        <v>44</v>
      </c>
      <c r="AB720" t="n">
        <v>3</v>
      </c>
      <c r="AC720" t="n">
        <v>1</v>
      </c>
      <c r="AD720" t="n">
        <v>4</v>
      </c>
      <c r="AE720" t="n">
        <v>3</v>
      </c>
      <c r="AF720" t="n">
        <v>0</v>
      </c>
      <c r="AG720" t="n">
        <v>3</v>
      </c>
      <c r="AH720" t="n">
        <v>30</v>
      </c>
      <c r="AI720" t="n">
        <v>38</v>
      </c>
      <c r="AJ720" t="n">
        <v>19</v>
      </c>
      <c r="AK720" t="n">
        <v>1</v>
      </c>
      <c r="AL720" t="n">
        <v>4</v>
      </c>
      <c r="AM720" t="n">
        <v>20</v>
      </c>
      <c r="AN720" t="n">
        <v>0</v>
      </c>
      <c r="AO720" t="n">
        <v>0</v>
      </c>
      <c r="AP720" t="n">
        <v>3</v>
      </c>
      <c r="AQ720" t="n">
        <v>19</v>
      </c>
      <c r="AR720" t="n">
        <v>71</v>
      </c>
      <c r="AS720" t="n">
        <v>55</v>
      </c>
      <c r="AT720" t="n">
        <v>4</v>
      </c>
      <c r="AU720" t="n">
        <v>1</v>
      </c>
      <c r="AV720" t="n">
        <v>38</v>
      </c>
      <c r="AW720" t="n">
        <v>1</v>
      </c>
      <c r="AX720" t="n">
        <v>0</v>
      </c>
      <c r="AY720" t="n">
        <v>79</v>
      </c>
      <c r="AZ720" t="n">
        <v>1</v>
      </c>
      <c r="BA720" t="n">
        <v>24</v>
      </c>
      <c r="BB720" t="n">
        <v>67</v>
      </c>
      <c r="BC720" t="n">
        <v>16</v>
      </c>
      <c r="BD720" t="n">
        <v>29</v>
      </c>
      <c r="BE720" t="n">
        <v>13</v>
      </c>
      <c r="BF720" t="n">
        <v>33</v>
      </c>
      <c r="BG720" t="n">
        <v>1</v>
      </c>
      <c r="BH720" t="n">
        <v>2</v>
      </c>
      <c r="BI720" t="n">
        <v>14</v>
      </c>
      <c r="BJ720" t="n">
        <v>12</v>
      </c>
      <c r="BK720" t="n">
        <v>3</v>
      </c>
      <c r="BL720" t="n">
        <v>31</v>
      </c>
      <c r="BM720" t="n">
        <v>31</v>
      </c>
      <c r="BN720" t="n">
        <v>8</v>
      </c>
      <c r="BO720" t="n">
        <v>7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181</v>
      </c>
      <c r="Z721" t="n">
        <v>143</v>
      </c>
      <c r="AA721" t="n">
        <v>23</v>
      </c>
      <c r="AB721" t="n">
        <v>4</v>
      </c>
      <c r="AC721" t="n">
        <v>1</v>
      </c>
      <c r="AD721" t="n">
        <v>2</v>
      </c>
      <c r="AE721" t="n">
        <v>3</v>
      </c>
      <c r="AF721" t="n">
        <v>3</v>
      </c>
      <c r="AG721" t="n">
        <v>8</v>
      </c>
      <c r="AH721" t="n">
        <v>15</v>
      </c>
      <c r="AI721" t="n">
        <v>33</v>
      </c>
      <c r="AJ721" t="n">
        <v>73</v>
      </c>
      <c r="AK721" t="n">
        <v>59</v>
      </c>
      <c r="AL721" t="n">
        <v>2</v>
      </c>
      <c r="AM721" t="n">
        <v>21</v>
      </c>
      <c r="AN721" t="n">
        <v>0</v>
      </c>
      <c r="AO721" t="n">
        <v>0</v>
      </c>
      <c r="AP721" t="n">
        <v>3</v>
      </c>
      <c r="AQ721" t="n">
        <v>19</v>
      </c>
      <c r="AR721" t="n">
        <v>95</v>
      </c>
      <c r="AS721" t="n">
        <v>79</v>
      </c>
      <c r="AT721" t="n">
        <v>3</v>
      </c>
      <c r="AU721" t="n">
        <v>1</v>
      </c>
      <c r="AV721" t="n">
        <v>10</v>
      </c>
      <c r="AW721" t="n">
        <v>12</v>
      </c>
      <c r="AX721" t="n">
        <v>7</v>
      </c>
      <c r="AY721" t="n">
        <v>8</v>
      </c>
      <c r="AZ721" t="n">
        <v>1</v>
      </c>
      <c r="BA721" t="n">
        <v>1</v>
      </c>
      <c r="BB721" t="n">
        <v>23</v>
      </c>
      <c r="BC721" t="n">
        <v>17</v>
      </c>
      <c r="BD721" t="n">
        <v>13</v>
      </c>
      <c r="BE721" t="n">
        <v>11</v>
      </c>
      <c r="BF721" t="n">
        <v>58</v>
      </c>
      <c r="BG721" t="n">
        <v>0</v>
      </c>
      <c r="BH721" t="n">
        <v>11</v>
      </c>
      <c r="BI721" t="n">
        <v>1</v>
      </c>
      <c r="BJ721" t="n">
        <v>10</v>
      </c>
      <c r="BK721" t="n">
        <v>5</v>
      </c>
      <c r="BL721" t="n">
        <v>33</v>
      </c>
      <c r="BM721" t="n">
        <v>22</v>
      </c>
      <c r="BN721" t="n">
        <v>0</v>
      </c>
      <c r="BO721" t="n">
        <v>23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294</v>
      </c>
      <c r="Z722" t="n">
        <v>163</v>
      </c>
      <c r="AA722" t="n">
        <v>6</v>
      </c>
      <c r="AB722" t="n">
        <v>1</v>
      </c>
      <c r="AC722" t="n">
        <v>0</v>
      </c>
      <c r="AD722" t="n">
        <v>3</v>
      </c>
      <c r="AE722" t="n">
        <v>15</v>
      </c>
      <c r="AF722" t="n">
        <v>6</v>
      </c>
      <c r="AG722" t="n">
        <v>9</v>
      </c>
      <c r="AH722" t="n">
        <v>84</v>
      </c>
      <c r="AI722" t="n">
        <v>117</v>
      </c>
      <c r="AJ722" t="n">
        <v>59</v>
      </c>
      <c r="AK722" t="n">
        <v>90</v>
      </c>
      <c r="AL722" t="n">
        <v>1</v>
      </c>
      <c r="AM722" t="n">
        <v>37</v>
      </c>
      <c r="AN722" t="n">
        <v>0</v>
      </c>
      <c r="AO722" t="n">
        <v>0</v>
      </c>
      <c r="AP722" t="n">
        <v>10</v>
      </c>
      <c r="AQ722" t="n">
        <v>93</v>
      </c>
      <c r="AR722" t="n">
        <v>136</v>
      </c>
      <c r="AS722" t="n">
        <v>56</v>
      </c>
      <c r="AT722" t="n">
        <v>2</v>
      </c>
      <c r="AU722" t="n">
        <v>0</v>
      </c>
      <c r="AV722" t="n">
        <v>9</v>
      </c>
      <c r="AW722" t="n">
        <v>8</v>
      </c>
      <c r="AX722" t="n">
        <v>1</v>
      </c>
      <c r="AY722" t="n">
        <v>1</v>
      </c>
      <c r="AZ722" t="n">
        <v>3</v>
      </c>
      <c r="BA722" t="n">
        <v>21</v>
      </c>
      <c r="BB722" t="n">
        <v>28</v>
      </c>
      <c r="BC722" t="n">
        <v>31</v>
      </c>
      <c r="BD722" t="n">
        <v>75</v>
      </c>
      <c r="BE722" t="n">
        <v>7</v>
      </c>
      <c r="BF722" t="n">
        <v>53</v>
      </c>
      <c r="BG722" t="n">
        <v>0</v>
      </c>
      <c r="BH722" t="n">
        <v>2</v>
      </c>
      <c r="BI722" t="n">
        <v>1</v>
      </c>
      <c r="BJ722" t="n">
        <v>3</v>
      </c>
      <c r="BK722" t="n">
        <v>4</v>
      </c>
      <c r="BL722" t="n">
        <v>18</v>
      </c>
      <c r="BM722" t="n">
        <v>12</v>
      </c>
      <c r="BN722" t="n">
        <v>0</v>
      </c>
      <c r="BO722" t="n">
        <v>2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2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2</v>
      </c>
      <c r="U723" t="n">
        <v>0</v>
      </c>
      <c r="V723" t="n">
        <v>0</v>
      </c>
      <c r="W723" t="n">
        <v>1</v>
      </c>
      <c r="X723" t="n">
        <v>0</v>
      </c>
      <c r="Y723" t="n">
        <v>85</v>
      </c>
      <c r="Z723" t="n">
        <v>152</v>
      </c>
      <c r="AA723" t="n">
        <v>104</v>
      </c>
      <c r="AB723" t="n">
        <v>2</v>
      </c>
      <c r="AC723" t="n">
        <v>4</v>
      </c>
      <c r="AD723" t="n">
        <v>3</v>
      </c>
      <c r="AE723" t="n">
        <v>6</v>
      </c>
      <c r="AF723" t="n">
        <v>3</v>
      </c>
      <c r="AG723" t="n">
        <v>3</v>
      </c>
      <c r="AH723" t="n">
        <v>34</v>
      </c>
      <c r="AI723" t="n">
        <v>14</v>
      </c>
      <c r="AJ723" t="n">
        <v>9</v>
      </c>
      <c r="AK723" t="n">
        <v>24</v>
      </c>
      <c r="AL723" t="n">
        <v>4</v>
      </c>
      <c r="AM723" t="n">
        <v>87</v>
      </c>
      <c r="AN723" t="n">
        <v>0</v>
      </c>
      <c r="AO723" t="n">
        <v>0</v>
      </c>
      <c r="AP723" t="n">
        <v>3</v>
      </c>
      <c r="AQ723" t="n">
        <v>19</v>
      </c>
      <c r="AR723" t="n">
        <v>41</v>
      </c>
      <c r="AS723" t="n">
        <v>27</v>
      </c>
      <c r="AT723" t="n">
        <v>0</v>
      </c>
      <c r="AU723" t="n">
        <v>1</v>
      </c>
      <c r="AV723" t="n">
        <v>15</v>
      </c>
      <c r="AW723" t="n">
        <v>14</v>
      </c>
      <c r="AX723" t="n">
        <v>0</v>
      </c>
      <c r="AY723" t="n">
        <v>1</v>
      </c>
      <c r="AZ723" t="n">
        <v>0</v>
      </c>
      <c r="BA723" t="n">
        <v>1</v>
      </c>
      <c r="BB723" t="n">
        <v>102</v>
      </c>
      <c r="BC723" t="n">
        <v>77</v>
      </c>
      <c r="BD723" t="n">
        <v>33</v>
      </c>
      <c r="BE723" t="n">
        <v>14</v>
      </c>
      <c r="BF723" t="n">
        <v>11</v>
      </c>
      <c r="BG723" t="n">
        <v>1</v>
      </c>
      <c r="BH723" t="n">
        <v>3</v>
      </c>
      <c r="BI723" t="n">
        <v>10</v>
      </c>
      <c r="BJ723" t="n">
        <v>58</v>
      </c>
      <c r="BK723" t="n">
        <v>2</v>
      </c>
      <c r="BL723" t="n">
        <v>3</v>
      </c>
      <c r="BM723" t="n">
        <v>5</v>
      </c>
      <c r="BN723" t="n">
        <v>3</v>
      </c>
      <c r="BO723" t="n">
        <v>63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3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262</v>
      </c>
      <c r="Z724" t="n">
        <v>205</v>
      </c>
      <c r="AA724" t="n">
        <v>38</v>
      </c>
      <c r="AB724" t="n">
        <v>4</v>
      </c>
      <c r="AC724" t="n">
        <v>1</v>
      </c>
      <c r="AD724" t="n">
        <v>7</v>
      </c>
      <c r="AE724" t="n">
        <v>7</v>
      </c>
      <c r="AF724" t="n">
        <v>4</v>
      </c>
      <c r="AG724" t="n">
        <v>5</v>
      </c>
      <c r="AH724" t="n">
        <v>161</v>
      </c>
      <c r="AI724" t="n">
        <v>89</v>
      </c>
      <c r="AJ724" t="n">
        <v>9</v>
      </c>
      <c r="AK724" t="n">
        <v>48</v>
      </c>
      <c r="AL724" t="n">
        <v>6</v>
      </c>
      <c r="AM724" t="n">
        <v>57</v>
      </c>
      <c r="AN724" t="n">
        <v>0</v>
      </c>
      <c r="AO724" t="n">
        <v>0</v>
      </c>
      <c r="AP724" t="n">
        <v>5</v>
      </c>
      <c r="AQ724" t="n">
        <v>21</v>
      </c>
      <c r="AR724" t="n">
        <v>141</v>
      </c>
      <c r="AS724" t="n">
        <v>121</v>
      </c>
      <c r="AT724" t="n">
        <v>0</v>
      </c>
      <c r="AU724" t="n">
        <v>3</v>
      </c>
      <c r="AV724" t="n">
        <v>3</v>
      </c>
      <c r="AW724" t="n">
        <v>8</v>
      </c>
      <c r="AX724" t="n">
        <v>4</v>
      </c>
      <c r="AY724" t="n">
        <v>19</v>
      </c>
      <c r="AZ724" t="n">
        <v>4</v>
      </c>
      <c r="BA724" t="n">
        <v>10</v>
      </c>
      <c r="BB724" t="n">
        <v>46</v>
      </c>
      <c r="BC724" t="n">
        <v>74</v>
      </c>
      <c r="BD724" t="n">
        <v>141</v>
      </c>
      <c r="BE724" t="n">
        <v>8</v>
      </c>
      <c r="BF724" t="n">
        <v>19</v>
      </c>
      <c r="BG724" t="n">
        <v>5</v>
      </c>
      <c r="BH724" t="n">
        <v>0</v>
      </c>
      <c r="BI724" t="n">
        <v>45</v>
      </c>
      <c r="BJ724" t="n">
        <v>41</v>
      </c>
      <c r="BK724" t="n">
        <v>2</v>
      </c>
      <c r="BL724" t="n">
        <v>21</v>
      </c>
      <c r="BM724" t="n">
        <v>18</v>
      </c>
      <c r="BN724" t="n">
        <v>4</v>
      </c>
      <c r="BO724" t="n">
        <v>9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303</v>
      </c>
      <c r="Z725" t="n">
        <v>184</v>
      </c>
      <c r="AA725" t="n">
        <v>27</v>
      </c>
      <c r="AB725" t="n">
        <v>4</v>
      </c>
      <c r="AC725" t="n">
        <v>0</v>
      </c>
      <c r="AD725" t="n">
        <v>7</v>
      </c>
      <c r="AE725" t="n">
        <v>1</v>
      </c>
      <c r="AF725" t="n">
        <v>5</v>
      </c>
      <c r="AG725" t="n">
        <v>0</v>
      </c>
      <c r="AH725" t="n">
        <v>62</v>
      </c>
      <c r="AI725" t="n">
        <v>20</v>
      </c>
      <c r="AJ725" t="n">
        <v>91</v>
      </c>
      <c r="AK725" t="n">
        <v>9</v>
      </c>
      <c r="AL725" t="n">
        <v>3</v>
      </c>
      <c r="AM725" t="n">
        <v>83</v>
      </c>
      <c r="AN725" t="n">
        <v>0</v>
      </c>
      <c r="AO725" t="n">
        <v>0</v>
      </c>
      <c r="AP725" t="n">
        <v>9</v>
      </c>
      <c r="AQ725" t="n">
        <v>68</v>
      </c>
      <c r="AR725" t="n">
        <v>145</v>
      </c>
      <c r="AS725" t="n">
        <v>87</v>
      </c>
      <c r="AT725" t="n">
        <v>3</v>
      </c>
      <c r="AU725" t="n">
        <v>1</v>
      </c>
      <c r="AV725" t="n">
        <v>102</v>
      </c>
      <c r="AW725" t="n">
        <v>16</v>
      </c>
      <c r="AX725" t="n">
        <v>11</v>
      </c>
      <c r="AY725" t="n">
        <v>38</v>
      </c>
      <c r="AZ725" t="n">
        <v>1</v>
      </c>
      <c r="BA725" t="n">
        <v>7</v>
      </c>
      <c r="BB725" t="n">
        <v>33</v>
      </c>
      <c r="BC725" t="n">
        <v>68</v>
      </c>
      <c r="BD725" t="n">
        <v>56</v>
      </c>
      <c r="BE725" t="n">
        <v>16</v>
      </c>
      <c r="BF725" t="n">
        <v>80</v>
      </c>
      <c r="BG725" t="n">
        <v>3</v>
      </c>
      <c r="BH725" t="n">
        <v>2</v>
      </c>
      <c r="BI725" t="n">
        <v>23</v>
      </c>
      <c r="BJ725" t="n">
        <v>27</v>
      </c>
      <c r="BK725" t="n">
        <v>1</v>
      </c>
      <c r="BL725" t="n">
        <v>1</v>
      </c>
      <c r="BM725" t="n">
        <v>11</v>
      </c>
      <c r="BN725" t="n">
        <v>6</v>
      </c>
      <c r="BO725" t="n">
        <v>51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204</v>
      </c>
      <c r="Z726" t="n">
        <v>97</v>
      </c>
      <c r="AA726" t="n">
        <v>149</v>
      </c>
      <c r="AB726" t="n">
        <v>0</v>
      </c>
      <c r="AC726" t="n">
        <v>0</v>
      </c>
      <c r="AD726" t="n">
        <v>4</v>
      </c>
      <c r="AE726" t="n">
        <v>3</v>
      </c>
      <c r="AF726" t="n">
        <v>4</v>
      </c>
      <c r="AG726" t="n">
        <v>3</v>
      </c>
      <c r="AH726" t="n">
        <v>74</v>
      </c>
      <c r="AI726" t="n">
        <v>10</v>
      </c>
      <c r="AJ726" t="n">
        <v>20</v>
      </c>
      <c r="AK726" t="n">
        <v>18</v>
      </c>
      <c r="AL726" t="n">
        <v>0</v>
      </c>
      <c r="AM726" t="n">
        <v>5</v>
      </c>
      <c r="AN726" t="n">
        <v>0</v>
      </c>
      <c r="AO726" t="n">
        <v>0</v>
      </c>
      <c r="AP726" t="n">
        <v>7</v>
      </c>
      <c r="AQ726" t="n">
        <v>29</v>
      </c>
      <c r="AR726" t="n">
        <v>61</v>
      </c>
      <c r="AS726" t="n">
        <v>37</v>
      </c>
      <c r="AT726" t="n">
        <v>2</v>
      </c>
      <c r="AU726" t="n">
        <v>1</v>
      </c>
      <c r="AV726" t="n">
        <v>18</v>
      </c>
      <c r="AW726" t="n">
        <v>7</v>
      </c>
      <c r="AX726" t="n">
        <v>0</v>
      </c>
      <c r="AY726" t="n">
        <v>67</v>
      </c>
      <c r="AZ726" t="n">
        <v>2</v>
      </c>
      <c r="BA726" t="n">
        <v>62</v>
      </c>
      <c r="BB726" t="n">
        <v>201</v>
      </c>
      <c r="BC726" t="n">
        <v>7</v>
      </c>
      <c r="BD726" t="n">
        <v>70</v>
      </c>
      <c r="BE726" t="n">
        <v>10</v>
      </c>
      <c r="BF726" t="n">
        <v>22</v>
      </c>
      <c r="BG726" t="n">
        <v>3</v>
      </c>
      <c r="BH726" t="n">
        <v>7</v>
      </c>
      <c r="BI726" t="n">
        <v>19</v>
      </c>
      <c r="BJ726" t="n">
        <v>21</v>
      </c>
      <c r="BK726" t="n">
        <v>3</v>
      </c>
      <c r="BL726" t="n">
        <v>7</v>
      </c>
      <c r="BM726" t="n">
        <v>17</v>
      </c>
      <c r="BN726" t="n">
        <v>9</v>
      </c>
      <c r="BO726" t="n">
        <v>2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228</v>
      </c>
      <c r="Z727" t="n">
        <v>251</v>
      </c>
      <c r="AA727" t="n">
        <v>66</v>
      </c>
      <c r="AB727" t="n">
        <v>2</v>
      </c>
      <c r="AC727" t="n">
        <v>1</v>
      </c>
      <c r="AD727" t="n">
        <v>3</v>
      </c>
      <c r="AE727" t="n">
        <v>2</v>
      </c>
      <c r="AF727" t="n">
        <v>2</v>
      </c>
      <c r="AG727" t="n">
        <v>8</v>
      </c>
      <c r="AH727" t="n">
        <v>23</v>
      </c>
      <c r="AI727" t="n">
        <v>30</v>
      </c>
      <c r="AJ727" t="n">
        <v>27</v>
      </c>
      <c r="AK727" t="n">
        <v>125</v>
      </c>
      <c r="AL727" t="n">
        <v>2</v>
      </c>
      <c r="AM727" t="n">
        <v>57</v>
      </c>
      <c r="AN727" t="n">
        <v>0</v>
      </c>
      <c r="AO727" t="n">
        <v>0</v>
      </c>
      <c r="AP727" t="n">
        <v>6</v>
      </c>
      <c r="AQ727" t="n">
        <v>55</v>
      </c>
      <c r="AR727" t="n">
        <v>209</v>
      </c>
      <c r="AS727" t="n">
        <v>162</v>
      </c>
      <c r="AT727" t="n">
        <v>2</v>
      </c>
      <c r="AU727" t="n">
        <v>1</v>
      </c>
      <c r="AV727" t="n">
        <v>19</v>
      </c>
      <c r="AW727" t="n">
        <v>18</v>
      </c>
      <c r="AX727" t="n">
        <v>5</v>
      </c>
      <c r="AY727" t="n">
        <v>40</v>
      </c>
      <c r="AZ727" t="n">
        <v>0</v>
      </c>
      <c r="BA727" t="n">
        <v>1</v>
      </c>
      <c r="BB727" t="n">
        <v>64</v>
      </c>
      <c r="BC727" t="n">
        <v>65</v>
      </c>
      <c r="BD727" t="n">
        <v>34</v>
      </c>
      <c r="BE727" t="n">
        <v>25</v>
      </c>
      <c r="BF727" t="n">
        <v>22</v>
      </c>
      <c r="BG727" t="n">
        <v>1</v>
      </c>
      <c r="BH727" t="n">
        <v>11</v>
      </c>
      <c r="BI727" t="n">
        <v>7</v>
      </c>
      <c r="BJ727" t="n">
        <v>5</v>
      </c>
      <c r="BK727" t="n">
        <v>4</v>
      </c>
      <c r="BL727" t="n">
        <v>41</v>
      </c>
      <c r="BM727" t="n">
        <v>28</v>
      </c>
      <c r="BN727" t="n">
        <v>0</v>
      </c>
      <c r="BO727" t="n">
        <v>7</v>
      </c>
    </row>
    <row r="728">
      <c r="A728" t="n">
        <v>0</v>
      </c>
      <c r="B728" t="n">
        <v>0</v>
      </c>
      <c r="C728" t="n">
        <v>2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191</v>
      </c>
      <c r="Z728" t="n">
        <v>289</v>
      </c>
      <c r="AA728" t="n">
        <v>90</v>
      </c>
      <c r="AB728" t="n">
        <v>1</v>
      </c>
      <c r="AC728" t="n">
        <v>2</v>
      </c>
      <c r="AD728" t="n">
        <v>4</v>
      </c>
      <c r="AE728" t="n">
        <v>7</v>
      </c>
      <c r="AF728" t="n">
        <v>5</v>
      </c>
      <c r="AG728" t="n">
        <v>7</v>
      </c>
      <c r="AH728" t="n">
        <v>82</v>
      </c>
      <c r="AI728" t="n">
        <v>113</v>
      </c>
      <c r="AJ728" t="n">
        <v>27</v>
      </c>
      <c r="AK728" t="n">
        <v>30</v>
      </c>
      <c r="AL728" t="n">
        <v>3</v>
      </c>
      <c r="AM728" t="n">
        <v>59</v>
      </c>
      <c r="AN728" t="n">
        <v>0</v>
      </c>
      <c r="AO728" t="n">
        <v>0</v>
      </c>
      <c r="AP728" t="n">
        <v>0</v>
      </c>
      <c r="AQ728" t="n">
        <v>6</v>
      </c>
      <c r="AR728" t="n">
        <v>62</v>
      </c>
      <c r="AS728" t="n">
        <v>56</v>
      </c>
      <c r="AT728" t="n">
        <v>2</v>
      </c>
      <c r="AU728" t="n">
        <v>2</v>
      </c>
      <c r="AV728" t="n">
        <v>17</v>
      </c>
      <c r="AW728" t="n">
        <v>54</v>
      </c>
      <c r="AX728" t="n">
        <v>2</v>
      </c>
      <c r="AY728" t="n">
        <v>38</v>
      </c>
      <c r="AZ728" t="n">
        <v>3</v>
      </c>
      <c r="BA728" t="n">
        <v>9</v>
      </c>
      <c r="BB728" t="n">
        <v>94</v>
      </c>
      <c r="BC728" t="n">
        <v>50</v>
      </c>
      <c r="BD728" t="n">
        <v>74</v>
      </c>
      <c r="BE728" t="n">
        <v>56</v>
      </c>
      <c r="BF728" t="n">
        <v>21</v>
      </c>
      <c r="BG728" t="n">
        <v>2</v>
      </c>
      <c r="BH728" t="n">
        <v>0</v>
      </c>
      <c r="BI728" t="n">
        <v>7</v>
      </c>
      <c r="BJ728" t="n">
        <v>4</v>
      </c>
      <c r="BK728" t="n">
        <v>2</v>
      </c>
      <c r="BL728" t="n">
        <v>16</v>
      </c>
      <c r="BM728" t="n">
        <v>12</v>
      </c>
      <c r="BN728" t="n">
        <v>1</v>
      </c>
      <c r="BO728" t="n">
        <v>47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254</v>
      </c>
      <c r="Z729" t="n">
        <v>200</v>
      </c>
      <c r="AA729" t="n">
        <v>151</v>
      </c>
      <c r="AB729" t="n">
        <v>1</v>
      </c>
      <c r="AC729" t="n">
        <v>1</v>
      </c>
      <c r="AD729" t="n">
        <v>5</v>
      </c>
      <c r="AE729" t="n">
        <v>7</v>
      </c>
      <c r="AF729" t="n">
        <v>4</v>
      </c>
      <c r="AG729" t="n">
        <v>11</v>
      </c>
      <c r="AH729" t="n">
        <v>61</v>
      </c>
      <c r="AI729" t="n">
        <v>63</v>
      </c>
      <c r="AJ729" t="n">
        <v>31</v>
      </c>
      <c r="AK729" t="n">
        <v>75</v>
      </c>
      <c r="AL729" t="n">
        <v>3</v>
      </c>
      <c r="AM729" t="n">
        <v>62</v>
      </c>
      <c r="AN729" t="n">
        <v>0</v>
      </c>
      <c r="AO729" t="n">
        <v>0</v>
      </c>
      <c r="AP729" t="n">
        <v>3</v>
      </c>
      <c r="AQ729" t="n">
        <v>15</v>
      </c>
      <c r="AR729" t="n">
        <v>54</v>
      </c>
      <c r="AS729" t="n">
        <v>41</v>
      </c>
      <c r="AT729" t="n">
        <v>2</v>
      </c>
      <c r="AU729" t="n">
        <v>0</v>
      </c>
      <c r="AV729" t="n">
        <v>6</v>
      </c>
      <c r="AW729" t="n">
        <v>6</v>
      </c>
      <c r="AX729" t="n">
        <v>0</v>
      </c>
      <c r="AY729" t="n">
        <v>27</v>
      </c>
      <c r="AZ729" t="n">
        <v>2</v>
      </c>
      <c r="BA729" t="n">
        <v>12</v>
      </c>
      <c r="BB729" t="n">
        <v>148</v>
      </c>
      <c r="BC729" t="n">
        <v>52</v>
      </c>
      <c r="BD729" t="n">
        <v>54</v>
      </c>
      <c r="BE729" t="n">
        <v>6</v>
      </c>
      <c r="BF729" t="n">
        <v>27</v>
      </c>
      <c r="BG729" t="n">
        <v>5</v>
      </c>
      <c r="BH729" t="n">
        <v>10</v>
      </c>
      <c r="BI729" t="n">
        <v>83</v>
      </c>
      <c r="BJ729" t="n">
        <v>87</v>
      </c>
      <c r="BK729" t="n">
        <v>2</v>
      </c>
      <c r="BL729" t="n">
        <v>1</v>
      </c>
      <c r="BM729" t="n">
        <v>10</v>
      </c>
      <c r="BN729" t="n">
        <v>5</v>
      </c>
      <c r="BO729" t="n">
        <v>2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0</v>
      </c>
      <c r="W730" t="n">
        <v>0</v>
      </c>
      <c r="X730" t="n">
        <v>0</v>
      </c>
      <c r="Y730" t="n">
        <v>201</v>
      </c>
      <c r="Z730" t="n">
        <v>164</v>
      </c>
      <c r="AA730" t="n">
        <v>62</v>
      </c>
      <c r="AB730" t="n">
        <v>1</v>
      </c>
      <c r="AC730" t="n">
        <v>1</v>
      </c>
      <c r="AD730" t="n">
        <v>5</v>
      </c>
      <c r="AE730" t="n">
        <v>9</v>
      </c>
      <c r="AF730" t="n">
        <v>2</v>
      </c>
      <c r="AG730" t="n">
        <v>4</v>
      </c>
      <c r="AH730" t="n">
        <v>48</v>
      </c>
      <c r="AI730" t="n">
        <v>65</v>
      </c>
      <c r="AJ730" t="n">
        <v>31</v>
      </c>
      <c r="AK730" t="n">
        <v>39</v>
      </c>
      <c r="AL730" t="n">
        <v>2</v>
      </c>
      <c r="AM730" t="n">
        <v>17</v>
      </c>
      <c r="AN730" t="n">
        <v>1</v>
      </c>
      <c r="AO730" t="n">
        <v>0</v>
      </c>
      <c r="AP730" t="n">
        <v>4</v>
      </c>
      <c r="AQ730" t="n">
        <v>27</v>
      </c>
      <c r="AR730" t="n">
        <v>48</v>
      </c>
      <c r="AS730" t="n">
        <v>24</v>
      </c>
      <c r="AT730" t="n">
        <v>4</v>
      </c>
      <c r="AU730" t="n">
        <v>1</v>
      </c>
      <c r="AV730" t="n">
        <v>37</v>
      </c>
      <c r="AW730" t="n">
        <v>18</v>
      </c>
      <c r="AX730" t="n">
        <v>23</v>
      </c>
      <c r="AY730" t="n">
        <v>26</v>
      </c>
      <c r="AZ730" t="n">
        <v>1</v>
      </c>
      <c r="BA730" t="n">
        <v>8</v>
      </c>
      <c r="BB730" t="n">
        <v>66</v>
      </c>
      <c r="BC730" t="n">
        <v>27</v>
      </c>
      <c r="BD730" t="n">
        <v>51</v>
      </c>
      <c r="BE730" t="n">
        <v>18</v>
      </c>
      <c r="BF730" t="n">
        <v>25</v>
      </c>
      <c r="BG730" t="n">
        <v>5</v>
      </c>
      <c r="BH730" t="n">
        <v>9</v>
      </c>
      <c r="BI730" t="n">
        <v>45</v>
      </c>
      <c r="BJ730" t="n">
        <v>47</v>
      </c>
      <c r="BK730" t="n">
        <v>5</v>
      </c>
      <c r="BL730" t="n">
        <v>59</v>
      </c>
      <c r="BM730" t="n">
        <v>43</v>
      </c>
      <c r="BN730" t="n">
        <v>3</v>
      </c>
      <c r="BO730" t="n">
        <v>32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144</v>
      </c>
      <c r="Z731" t="n">
        <v>142</v>
      </c>
      <c r="AA731" t="n">
        <v>45</v>
      </c>
      <c r="AB731" t="n">
        <v>2</v>
      </c>
      <c r="AC731" t="n">
        <v>1</v>
      </c>
      <c r="AD731" t="n">
        <v>6</v>
      </c>
      <c r="AE731" t="n">
        <v>1</v>
      </c>
      <c r="AF731" t="n">
        <v>1</v>
      </c>
      <c r="AG731" t="n">
        <v>5</v>
      </c>
      <c r="AH731" t="n">
        <v>50</v>
      </c>
      <c r="AI731" t="n">
        <v>26</v>
      </c>
      <c r="AJ731" t="n">
        <v>18</v>
      </c>
      <c r="AK731" t="n">
        <v>10</v>
      </c>
      <c r="AL731" t="n">
        <v>5</v>
      </c>
      <c r="AM731" t="n">
        <v>113</v>
      </c>
      <c r="AN731" t="n">
        <v>0</v>
      </c>
      <c r="AO731" t="n">
        <v>0</v>
      </c>
      <c r="AP731" t="n">
        <v>0</v>
      </c>
      <c r="AQ731" t="n">
        <v>1</v>
      </c>
      <c r="AR731" t="n">
        <v>201</v>
      </c>
      <c r="AS731" t="n">
        <v>191</v>
      </c>
      <c r="AT731" t="n">
        <v>1</v>
      </c>
      <c r="AU731" t="n">
        <v>0</v>
      </c>
      <c r="AV731" t="n">
        <v>25</v>
      </c>
      <c r="AW731" t="n">
        <v>1</v>
      </c>
      <c r="AX731" t="n">
        <v>0</v>
      </c>
      <c r="AY731" t="n">
        <v>8</v>
      </c>
      <c r="AZ731" t="n">
        <v>0</v>
      </c>
      <c r="BA731" t="n">
        <v>1</v>
      </c>
      <c r="BB731" t="n">
        <v>45</v>
      </c>
      <c r="BC731" t="n">
        <v>93</v>
      </c>
      <c r="BD731" t="n">
        <v>47</v>
      </c>
      <c r="BE731" t="n">
        <v>4</v>
      </c>
      <c r="BF731" t="n">
        <v>14</v>
      </c>
      <c r="BG731" t="n">
        <v>3</v>
      </c>
      <c r="BH731" t="n">
        <v>6</v>
      </c>
      <c r="BI731" t="n">
        <v>8</v>
      </c>
      <c r="BJ731" t="n">
        <v>7</v>
      </c>
      <c r="BK731" t="n">
        <v>1</v>
      </c>
      <c r="BL731" t="n">
        <v>1</v>
      </c>
      <c r="BM731" t="n">
        <v>5</v>
      </c>
      <c r="BN731" t="n">
        <v>2</v>
      </c>
      <c r="BO731" t="n">
        <v>18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</v>
      </c>
      <c r="U732" t="n">
        <v>0</v>
      </c>
      <c r="V732" t="n">
        <v>0</v>
      </c>
      <c r="W732" t="n">
        <v>2</v>
      </c>
      <c r="X732" t="n">
        <v>0</v>
      </c>
      <c r="Y732" t="n">
        <v>217</v>
      </c>
      <c r="Z732" t="n">
        <v>176</v>
      </c>
      <c r="AA732" t="n">
        <v>68</v>
      </c>
      <c r="AB732" t="n">
        <v>2</v>
      </c>
      <c r="AC732" t="n">
        <v>1</v>
      </c>
      <c r="AD732" t="n">
        <v>2</v>
      </c>
      <c r="AE732" t="n">
        <v>2</v>
      </c>
      <c r="AF732" t="n">
        <v>5</v>
      </c>
      <c r="AG732" t="n">
        <v>4</v>
      </c>
      <c r="AH732" t="n">
        <v>22</v>
      </c>
      <c r="AI732" t="n">
        <v>43</v>
      </c>
      <c r="AJ732" t="n">
        <v>30</v>
      </c>
      <c r="AK732" t="n">
        <v>16</v>
      </c>
      <c r="AL732" t="n">
        <v>3</v>
      </c>
      <c r="AM732" t="n">
        <v>88</v>
      </c>
      <c r="AN732" t="n">
        <v>0</v>
      </c>
      <c r="AO732" t="n">
        <v>0</v>
      </c>
      <c r="AP732" t="n">
        <v>0</v>
      </c>
      <c r="AQ732" t="n">
        <v>27</v>
      </c>
      <c r="AR732" t="n">
        <v>41</v>
      </c>
      <c r="AS732" t="n">
        <v>19</v>
      </c>
      <c r="AT732" t="n">
        <v>0</v>
      </c>
      <c r="AU732" t="n">
        <v>1</v>
      </c>
      <c r="AV732" t="n">
        <v>1</v>
      </c>
      <c r="AW732" t="n">
        <v>8</v>
      </c>
      <c r="AX732" t="n">
        <v>3</v>
      </c>
      <c r="AY732" t="n">
        <v>62</v>
      </c>
      <c r="AZ732" t="n">
        <v>1</v>
      </c>
      <c r="BA732" t="n">
        <v>7</v>
      </c>
      <c r="BB732" t="n">
        <v>71</v>
      </c>
      <c r="BC732" t="n">
        <v>73</v>
      </c>
      <c r="BD732" t="n">
        <v>19</v>
      </c>
      <c r="BE732" t="n">
        <v>13</v>
      </c>
      <c r="BF732" t="n">
        <v>23</v>
      </c>
      <c r="BG732" t="n">
        <v>2</v>
      </c>
      <c r="BH732" t="n">
        <v>22</v>
      </c>
      <c r="BI732" t="n">
        <v>34</v>
      </c>
      <c r="BJ732" t="n">
        <v>31</v>
      </c>
      <c r="BK732" t="n">
        <v>1</v>
      </c>
      <c r="BL732" t="n">
        <v>1</v>
      </c>
      <c r="BM732" t="n">
        <v>15</v>
      </c>
      <c r="BN732" t="n">
        <v>8</v>
      </c>
      <c r="BO732" t="n">
        <v>16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</v>
      </c>
      <c r="U733" t="n">
        <v>0</v>
      </c>
      <c r="V733" t="n">
        <v>0</v>
      </c>
      <c r="W733" t="n">
        <v>0</v>
      </c>
      <c r="X733" t="n">
        <v>0</v>
      </c>
      <c r="Y733" t="n">
        <v>199</v>
      </c>
      <c r="Z733" t="n">
        <v>128</v>
      </c>
      <c r="AA733" t="n">
        <v>56</v>
      </c>
      <c r="AB733" t="n">
        <v>1</v>
      </c>
      <c r="AC733" t="n">
        <v>2</v>
      </c>
      <c r="AD733" t="n">
        <v>2</v>
      </c>
      <c r="AE733" t="n">
        <v>3</v>
      </c>
      <c r="AF733" t="n">
        <v>7</v>
      </c>
      <c r="AG733" t="n">
        <v>0</v>
      </c>
      <c r="AH733" t="n">
        <v>32</v>
      </c>
      <c r="AI733" t="n">
        <v>16</v>
      </c>
      <c r="AJ733" t="n">
        <v>48</v>
      </c>
      <c r="AK733" t="n">
        <v>1</v>
      </c>
      <c r="AL733" t="n">
        <v>1</v>
      </c>
      <c r="AM733" t="n">
        <v>29</v>
      </c>
      <c r="AN733" t="n">
        <v>0</v>
      </c>
      <c r="AO733" t="n">
        <v>0</v>
      </c>
      <c r="AP733" t="n">
        <v>4</v>
      </c>
      <c r="AQ733" t="n">
        <v>-10</v>
      </c>
      <c r="AR733" t="n">
        <v>33</v>
      </c>
      <c r="AS733" t="n">
        <v>37</v>
      </c>
      <c r="AT733" t="n">
        <v>5</v>
      </c>
      <c r="AU733" t="n">
        <v>1</v>
      </c>
      <c r="AV733" t="n">
        <v>36</v>
      </c>
      <c r="AW733" t="n">
        <v>5</v>
      </c>
      <c r="AX733" t="n">
        <v>0</v>
      </c>
      <c r="AY733" t="n">
        <v>24</v>
      </c>
      <c r="AZ733" t="n">
        <v>1</v>
      </c>
      <c r="BA733" t="n">
        <v>9</v>
      </c>
      <c r="BB733" t="n">
        <v>61</v>
      </c>
      <c r="BC733" t="n">
        <v>30</v>
      </c>
      <c r="BD733" t="n">
        <v>28</v>
      </c>
      <c r="BE733" t="n">
        <v>5</v>
      </c>
      <c r="BF733" t="n">
        <v>38</v>
      </c>
      <c r="BG733" t="n">
        <v>2</v>
      </c>
      <c r="BH733" t="n">
        <v>22</v>
      </c>
      <c r="BI733" t="n">
        <v>20</v>
      </c>
      <c r="BJ733" t="n">
        <v>18</v>
      </c>
      <c r="BK733" t="n">
        <v>4</v>
      </c>
      <c r="BL733" t="n">
        <v>20</v>
      </c>
      <c r="BM733" t="n">
        <v>30</v>
      </c>
      <c r="BN733" t="n">
        <v>12</v>
      </c>
      <c r="BO733" t="n">
        <v>2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148</v>
      </c>
      <c r="Z734" t="n">
        <v>202</v>
      </c>
      <c r="AA734" t="n">
        <v>79</v>
      </c>
      <c r="AB734" t="n">
        <v>0</v>
      </c>
      <c r="AC734" t="n">
        <v>2</v>
      </c>
      <c r="AD734" t="n">
        <v>4</v>
      </c>
      <c r="AE734" t="n">
        <v>5</v>
      </c>
      <c r="AF734" t="n">
        <v>2</v>
      </c>
      <c r="AG734" t="n">
        <v>0</v>
      </c>
      <c r="AH734" t="n">
        <v>31</v>
      </c>
      <c r="AI734" t="n">
        <v>53</v>
      </c>
      <c r="AJ734" t="n">
        <v>11</v>
      </c>
      <c r="AK734" t="n">
        <v>1</v>
      </c>
      <c r="AL734" t="n">
        <v>4</v>
      </c>
      <c r="AM734" t="n">
        <v>72</v>
      </c>
      <c r="AN734" t="n">
        <v>0</v>
      </c>
      <c r="AO734" t="n">
        <v>0</v>
      </c>
      <c r="AP734" t="n">
        <v>2</v>
      </c>
      <c r="AQ734" t="n">
        <v>1</v>
      </c>
      <c r="AR734" t="n">
        <v>127</v>
      </c>
      <c r="AS734" t="n">
        <v>116</v>
      </c>
      <c r="AT734" t="n">
        <v>4</v>
      </c>
      <c r="AU734" t="n">
        <v>3</v>
      </c>
      <c r="AV734" t="n">
        <v>29</v>
      </c>
      <c r="AW734" t="n">
        <v>4</v>
      </c>
      <c r="AX734" t="n">
        <v>0</v>
      </c>
      <c r="AY734" t="n">
        <v>21</v>
      </c>
      <c r="AZ734" t="n">
        <v>3</v>
      </c>
      <c r="BA734" t="n">
        <v>24</v>
      </c>
      <c r="BB734" t="n">
        <v>101</v>
      </c>
      <c r="BC734" t="n">
        <v>74</v>
      </c>
      <c r="BD734" t="n">
        <v>41</v>
      </c>
      <c r="BE734" t="n">
        <v>9</v>
      </c>
      <c r="BF734" t="n">
        <v>18</v>
      </c>
      <c r="BG734" t="n">
        <v>0</v>
      </c>
      <c r="BH734" t="n">
        <v>9</v>
      </c>
      <c r="BI734" t="n">
        <v>1</v>
      </c>
      <c r="BJ734" t="n">
        <v>6</v>
      </c>
      <c r="BK734" t="n">
        <v>5</v>
      </c>
      <c r="BL734" t="n">
        <v>32</v>
      </c>
      <c r="BM734" t="n">
        <v>21</v>
      </c>
      <c r="BN734" t="n">
        <v>1</v>
      </c>
      <c r="BO734" t="n">
        <v>28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92</v>
      </c>
      <c r="Z735" t="n">
        <v>299</v>
      </c>
      <c r="AA735" t="n">
        <v>122</v>
      </c>
      <c r="AB735" t="n">
        <v>2</v>
      </c>
      <c r="AC735" t="n">
        <v>0</v>
      </c>
      <c r="AD735" t="n">
        <v>2</v>
      </c>
      <c r="AE735" t="n">
        <v>2</v>
      </c>
      <c r="AF735" t="n">
        <v>1</v>
      </c>
      <c r="AG735" t="n">
        <v>3</v>
      </c>
      <c r="AH735" t="n">
        <v>6</v>
      </c>
      <c r="AI735" t="n">
        <v>67</v>
      </c>
      <c r="AJ735" t="n">
        <v>25</v>
      </c>
      <c r="AK735" t="n">
        <v>19</v>
      </c>
      <c r="AL735" t="n">
        <v>3</v>
      </c>
      <c r="AM735" t="n">
        <v>62</v>
      </c>
      <c r="AN735" t="n">
        <v>1</v>
      </c>
      <c r="AO735" t="n">
        <v>0</v>
      </c>
      <c r="AP735" t="n">
        <v>1</v>
      </c>
      <c r="AQ735" t="n">
        <v>12</v>
      </c>
      <c r="AR735" t="n">
        <v>68</v>
      </c>
      <c r="AS735" t="n">
        <v>56</v>
      </c>
      <c r="AT735" t="n">
        <v>0</v>
      </c>
      <c r="AU735" t="n">
        <v>0</v>
      </c>
      <c r="AV735" t="n">
        <v>14</v>
      </c>
      <c r="AW735" t="n">
        <v>48</v>
      </c>
      <c r="AX735" t="n">
        <v>1</v>
      </c>
      <c r="AY735" t="n">
        <v>17</v>
      </c>
      <c r="AZ735" t="n">
        <v>2</v>
      </c>
      <c r="BA735" t="n">
        <v>28</v>
      </c>
      <c r="BB735" t="n">
        <v>141</v>
      </c>
      <c r="BC735" t="n">
        <v>52</v>
      </c>
      <c r="BD735" t="n">
        <v>9</v>
      </c>
      <c r="BE735" t="n">
        <v>54</v>
      </c>
      <c r="BF735" t="n">
        <v>20</v>
      </c>
      <c r="BG735" t="n">
        <v>1</v>
      </c>
      <c r="BH735" t="n">
        <v>7</v>
      </c>
      <c r="BI735" t="n">
        <v>1</v>
      </c>
      <c r="BJ735" t="n">
        <v>22</v>
      </c>
      <c r="BK735" t="n">
        <v>1</v>
      </c>
      <c r="BL735" t="n">
        <v>1</v>
      </c>
      <c r="BM735" t="n">
        <v>18</v>
      </c>
      <c r="BN735" t="n">
        <v>10</v>
      </c>
      <c r="BO735" t="n">
        <v>37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n">
        <v>150</v>
      </c>
      <c r="Z736" t="n">
        <v>161</v>
      </c>
      <c r="AA736" t="n">
        <v>103</v>
      </c>
      <c r="AB736" t="n">
        <v>2</v>
      </c>
      <c r="AC736" t="n">
        <v>0</v>
      </c>
      <c r="AD736" t="n">
        <v>3</v>
      </c>
      <c r="AE736" t="n">
        <v>7</v>
      </c>
      <c r="AF736" t="n">
        <v>2</v>
      </c>
      <c r="AG736" t="n">
        <v>3</v>
      </c>
      <c r="AH736" t="n">
        <v>36</v>
      </c>
      <c r="AI736" t="n">
        <v>36</v>
      </c>
      <c r="AJ736" t="n">
        <v>15</v>
      </c>
      <c r="AK736" t="n">
        <v>32</v>
      </c>
      <c r="AL736" t="n">
        <v>2</v>
      </c>
      <c r="AM736" t="n">
        <v>13</v>
      </c>
      <c r="AN736" t="n">
        <v>0</v>
      </c>
      <c r="AO736" t="n">
        <v>0</v>
      </c>
      <c r="AP736" t="n">
        <v>0</v>
      </c>
      <c r="AQ736" t="n">
        <v>19</v>
      </c>
      <c r="AR736" t="n">
        <v>111</v>
      </c>
      <c r="AS736" t="n">
        <v>93</v>
      </c>
      <c r="AT736" t="n">
        <v>2</v>
      </c>
      <c r="AU736" t="n">
        <v>2</v>
      </c>
      <c r="AV736" t="n">
        <v>4</v>
      </c>
      <c r="AW736" t="n">
        <v>18</v>
      </c>
      <c r="AX736" t="n">
        <v>0</v>
      </c>
      <c r="AY736" t="n">
        <v>42</v>
      </c>
      <c r="AZ736" t="n">
        <v>1</v>
      </c>
      <c r="BA736" t="n">
        <v>22</v>
      </c>
      <c r="BB736" t="n">
        <v>119</v>
      </c>
      <c r="BC736" t="n">
        <v>26</v>
      </c>
      <c r="BD736" t="n">
        <v>32</v>
      </c>
      <c r="BE736" t="n">
        <v>17</v>
      </c>
      <c r="BF736" t="n">
        <v>14</v>
      </c>
      <c r="BG736" t="n">
        <v>3</v>
      </c>
      <c r="BH736" t="n">
        <v>5</v>
      </c>
      <c r="BI736" t="n">
        <v>19</v>
      </c>
      <c r="BJ736" t="n">
        <v>17</v>
      </c>
      <c r="BK736" t="n">
        <v>4</v>
      </c>
      <c r="BL736" t="n">
        <v>53</v>
      </c>
      <c r="BM736" t="n">
        <v>47</v>
      </c>
      <c r="BN736" t="n">
        <v>9</v>
      </c>
      <c r="BO736" t="n">
        <v>9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202</v>
      </c>
      <c r="Z737" t="n">
        <v>240</v>
      </c>
      <c r="AA737" t="n">
        <v>57</v>
      </c>
      <c r="AB737" t="n">
        <v>1</v>
      </c>
      <c r="AC737" t="n">
        <v>1</v>
      </c>
      <c r="AD737" t="n">
        <v>4</v>
      </c>
      <c r="AE737" t="n">
        <v>13</v>
      </c>
      <c r="AF737" t="n">
        <v>4</v>
      </c>
      <c r="AG737" t="n">
        <v>5</v>
      </c>
      <c r="AH737" t="n">
        <v>41</v>
      </c>
      <c r="AI737" t="n">
        <v>151</v>
      </c>
      <c r="AJ737" t="n">
        <v>46</v>
      </c>
      <c r="AK737" t="n">
        <v>59</v>
      </c>
      <c r="AL737" t="n">
        <v>1</v>
      </c>
      <c r="AM737" t="n">
        <v>2</v>
      </c>
      <c r="AN737" t="n">
        <v>0</v>
      </c>
      <c r="AO737" t="n">
        <v>0</v>
      </c>
      <c r="AP737" t="n">
        <v>1</v>
      </c>
      <c r="AQ737" t="n">
        <v>38</v>
      </c>
      <c r="AR737" t="n">
        <v>79</v>
      </c>
      <c r="AS737" t="n">
        <v>48</v>
      </c>
      <c r="AT737" t="n">
        <v>0</v>
      </c>
      <c r="AU737" t="n">
        <v>1</v>
      </c>
      <c r="AV737" t="n">
        <v>1</v>
      </c>
      <c r="AW737" t="n">
        <v>3</v>
      </c>
      <c r="AX737" t="n">
        <v>0</v>
      </c>
      <c r="AY737" t="n">
        <v>47</v>
      </c>
      <c r="AZ737" t="n">
        <v>2</v>
      </c>
      <c r="BA737" t="n">
        <v>24</v>
      </c>
      <c r="BB737" t="n">
        <v>79</v>
      </c>
      <c r="BC737" t="n">
        <v>29</v>
      </c>
      <c r="BD737" t="n">
        <v>36</v>
      </c>
      <c r="BE737" t="n">
        <v>3</v>
      </c>
      <c r="BF737" t="n">
        <v>36</v>
      </c>
      <c r="BG737" t="n">
        <v>2</v>
      </c>
      <c r="BH737" t="n">
        <v>14</v>
      </c>
      <c r="BI737" t="n">
        <v>30</v>
      </c>
      <c r="BJ737" t="n">
        <v>33</v>
      </c>
      <c r="BK737" t="n">
        <v>1</v>
      </c>
      <c r="BL737" t="n">
        <v>5</v>
      </c>
      <c r="BM737" t="n">
        <v>1</v>
      </c>
      <c r="BN737" t="n">
        <v>0</v>
      </c>
      <c r="BO737" t="n">
        <v>2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249</v>
      </c>
      <c r="Z738" t="n">
        <v>194</v>
      </c>
      <c r="AA738" t="n">
        <v>35</v>
      </c>
      <c r="AB738" t="n">
        <v>1</v>
      </c>
      <c r="AC738" t="n">
        <v>3</v>
      </c>
      <c r="AD738" t="n">
        <v>2</v>
      </c>
      <c r="AE738" t="n">
        <v>1</v>
      </c>
      <c r="AF738" t="n">
        <v>4</v>
      </c>
      <c r="AG738" t="n">
        <v>2</v>
      </c>
      <c r="AH738" t="n">
        <v>13</v>
      </c>
      <c r="AI738" t="n">
        <v>9</v>
      </c>
      <c r="AJ738" t="n">
        <v>53</v>
      </c>
      <c r="AK738" t="n">
        <v>33</v>
      </c>
      <c r="AL738" t="n">
        <v>4</v>
      </c>
      <c r="AM738" t="n">
        <v>73</v>
      </c>
      <c r="AN738" t="n">
        <v>0</v>
      </c>
      <c r="AO738" t="n">
        <v>0</v>
      </c>
      <c r="AP738" t="n">
        <v>6</v>
      </c>
      <c r="AQ738" t="n">
        <v>65</v>
      </c>
      <c r="AR738" t="n">
        <v>78</v>
      </c>
      <c r="AS738" t="n">
        <v>20</v>
      </c>
      <c r="AT738" t="n">
        <v>2</v>
      </c>
      <c r="AU738" t="n">
        <v>2</v>
      </c>
      <c r="AV738" t="n">
        <v>58</v>
      </c>
      <c r="AW738" t="n">
        <v>22</v>
      </c>
      <c r="AX738" t="n">
        <v>0</v>
      </c>
      <c r="AY738" t="n">
        <v>39</v>
      </c>
      <c r="AZ738" t="n">
        <v>1</v>
      </c>
      <c r="BA738" t="n">
        <v>1</v>
      </c>
      <c r="BB738" t="n">
        <v>35</v>
      </c>
      <c r="BC738" t="n">
        <v>61</v>
      </c>
      <c r="BD738" t="n">
        <v>11</v>
      </c>
      <c r="BE738" t="n">
        <v>22</v>
      </c>
      <c r="BF738" t="n">
        <v>41</v>
      </c>
      <c r="BG738" t="n">
        <v>5</v>
      </c>
      <c r="BH738" t="n">
        <v>1</v>
      </c>
      <c r="BI738" t="n">
        <v>63</v>
      </c>
      <c r="BJ738" t="n">
        <v>58</v>
      </c>
      <c r="BK738" t="n">
        <v>0</v>
      </c>
      <c r="BL738" t="n">
        <v>1</v>
      </c>
      <c r="BM738" t="n">
        <v>5</v>
      </c>
      <c r="BN738" t="n">
        <v>3</v>
      </c>
      <c r="BO738" t="n">
        <v>14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280</v>
      </c>
      <c r="Z739" t="n">
        <v>218</v>
      </c>
      <c r="AA739" t="n">
        <v>25</v>
      </c>
      <c r="AB739" t="n">
        <v>3</v>
      </c>
      <c r="AC739" t="n">
        <v>0</v>
      </c>
      <c r="AD739" t="n">
        <v>11</v>
      </c>
      <c r="AE739" t="n">
        <v>3</v>
      </c>
      <c r="AF739" t="n">
        <v>0</v>
      </c>
      <c r="AG739" t="n">
        <v>2</v>
      </c>
      <c r="AH739" t="n">
        <v>126</v>
      </c>
      <c r="AI739" t="n">
        <v>38</v>
      </c>
      <c r="AJ739" t="n">
        <v>2</v>
      </c>
      <c r="AK739" t="n">
        <v>35</v>
      </c>
      <c r="AL739" t="n">
        <v>3</v>
      </c>
      <c r="AM739" t="n">
        <v>53</v>
      </c>
      <c r="AN739" t="n">
        <v>0</v>
      </c>
      <c r="AO739" t="n">
        <v>0</v>
      </c>
      <c r="AP739" t="n">
        <v>5</v>
      </c>
      <c r="AQ739" t="n">
        <v>0</v>
      </c>
      <c r="AR739" t="n">
        <v>35</v>
      </c>
      <c r="AS739" t="n">
        <v>32</v>
      </c>
      <c r="AT739" t="n">
        <v>4</v>
      </c>
      <c r="AU739" t="n">
        <v>2</v>
      </c>
      <c r="AV739" t="n">
        <v>88</v>
      </c>
      <c r="AW739" t="n">
        <v>37</v>
      </c>
      <c r="AX739" t="n">
        <v>0</v>
      </c>
      <c r="AY739" t="n">
        <v>32</v>
      </c>
      <c r="AZ739" t="n">
        <v>0</v>
      </c>
      <c r="BA739" t="n">
        <v>1</v>
      </c>
      <c r="BB739" t="n">
        <v>25</v>
      </c>
      <c r="BC739" t="n">
        <v>43</v>
      </c>
      <c r="BD739" t="n">
        <v>112</v>
      </c>
      <c r="BE739" t="n">
        <v>37</v>
      </c>
      <c r="BF739" t="n">
        <v>5</v>
      </c>
      <c r="BG739" t="n">
        <v>3</v>
      </c>
      <c r="BH739" t="n">
        <v>10</v>
      </c>
      <c r="BI739" t="n">
        <v>13</v>
      </c>
      <c r="BJ739" t="n">
        <v>11</v>
      </c>
      <c r="BK739" t="n">
        <v>5</v>
      </c>
      <c r="BL739" t="n">
        <v>31</v>
      </c>
      <c r="BM739" t="n">
        <v>27</v>
      </c>
      <c r="BN739" t="n">
        <v>5</v>
      </c>
      <c r="BO739" t="n">
        <v>18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2</v>
      </c>
      <c r="V740" t="n">
        <v>0</v>
      </c>
      <c r="W740" t="n">
        <v>0</v>
      </c>
      <c r="X740" t="n">
        <v>0</v>
      </c>
      <c r="Y740" t="n">
        <v>218</v>
      </c>
      <c r="Z740" t="n">
        <v>155</v>
      </c>
      <c r="AA740" t="n">
        <v>104</v>
      </c>
      <c r="AB740" t="n">
        <v>1</v>
      </c>
      <c r="AC740" t="n">
        <v>1</v>
      </c>
      <c r="AD740" t="n">
        <v>5</v>
      </c>
      <c r="AE740" t="n">
        <v>0</v>
      </c>
      <c r="AF740" t="n">
        <v>1</v>
      </c>
      <c r="AG740" t="n">
        <v>3</v>
      </c>
      <c r="AH740" t="n">
        <v>71</v>
      </c>
      <c r="AI740" t="n">
        <v>2</v>
      </c>
      <c r="AJ740" t="n">
        <v>15</v>
      </c>
      <c r="AK740" t="n">
        <v>10</v>
      </c>
      <c r="AL740" t="n">
        <v>3</v>
      </c>
      <c r="AM740" t="n">
        <v>33</v>
      </c>
      <c r="AN740" t="n">
        <v>0</v>
      </c>
      <c r="AO740" t="n">
        <v>0</v>
      </c>
      <c r="AP740" t="n">
        <v>4</v>
      </c>
      <c r="AQ740" t="n">
        <v>33</v>
      </c>
      <c r="AR740" t="n">
        <v>71</v>
      </c>
      <c r="AS740" t="n">
        <v>43</v>
      </c>
      <c r="AT740" t="n">
        <v>0</v>
      </c>
      <c r="AU740" t="n">
        <v>1</v>
      </c>
      <c r="AV740" t="n">
        <v>6</v>
      </c>
      <c r="AW740" t="n">
        <v>3</v>
      </c>
      <c r="AX740" t="n">
        <v>0</v>
      </c>
      <c r="AY740" t="n">
        <v>56</v>
      </c>
      <c r="AZ740" t="n">
        <v>3</v>
      </c>
      <c r="BA740" t="n">
        <v>29</v>
      </c>
      <c r="BB740" t="n">
        <v>127</v>
      </c>
      <c r="BC740" t="n">
        <v>30</v>
      </c>
      <c r="BD740" t="n">
        <v>63</v>
      </c>
      <c r="BE740" t="n">
        <v>3</v>
      </c>
      <c r="BF740" t="n">
        <v>25</v>
      </c>
      <c r="BG740" t="n">
        <v>0</v>
      </c>
      <c r="BH740" t="n">
        <v>4</v>
      </c>
      <c r="BI740" t="n">
        <v>37</v>
      </c>
      <c r="BJ740" t="n">
        <v>33</v>
      </c>
      <c r="BK740" t="n">
        <v>1</v>
      </c>
      <c r="BL740" t="n">
        <v>41</v>
      </c>
      <c r="BM740" t="n">
        <v>31</v>
      </c>
      <c r="BN740" t="n">
        <v>4</v>
      </c>
      <c r="BO740" t="n">
        <v>-10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3</v>
      </c>
      <c r="N741" t="n">
        <v>0</v>
      </c>
      <c r="O741" t="n">
        <v>0</v>
      </c>
      <c r="P741" t="n">
        <v>0</v>
      </c>
      <c r="Q741" t="n">
        <v>0</v>
      </c>
      <c r="R741" t="n">
        <v>2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265</v>
      </c>
      <c r="Z741" t="n">
        <v>107</v>
      </c>
      <c r="AA741" t="n">
        <v>43</v>
      </c>
      <c r="AB741" t="n">
        <v>1</v>
      </c>
      <c r="AC741" t="n">
        <v>0</v>
      </c>
      <c r="AD741" t="n">
        <v>3</v>
      </c>
      <c r="AE741" t="n">
        <v>7</v>
      </c>
      <c r="AF741" t="n">
        <v>3</v>
      </c>
      <c r="AG741" t="n">
        <v>1</v>
      </c>
      <c r="AH741" t="n">
        <v>25</v>
      </c>
      <c r="AI741" t="n">
        <v>14</v>
      </c>
      <c r="AJ741" t="n">
        <v>119</v>
      </c>
      <c r="AK741" t="n">
        <v>12</v>
      </c>
      <c r="AL741" t="n">
        <v>3</v>
      </c>
      <c r="AM741" t="n">
        <v>18</v>
      </c>
      <c r="AN741" t="n">
        <v>2</v>
      </c>
      <c r="AO741" t="n">
        <v>0</v>
      </c>
      <c r="AP741" t="n">
        <v>6</v>
      </c>
      <c r="AQ741" t="n">
        <v>36</v>
      </c>
      <c r="AR741" t="n">
        <v>173</v>
      </c>
      <c r="AS741" t="n">
        <v>137</v>
      </c>
      <c r="AT741" t="n">
        <v>0</v>
      </c>
      <c r="AU741" t="n">
        <v>2</v>
      </c>
      <c r="AV741" t="n">
        <v>1</v>
      </c>
      <c r="AW741" t="n">
        <v>15</v>
      </c>
      <c r="AX741" t="n">
        <v>-1</v>
      </c>
      <c r="AY741" t="n">
        <v>49</v>
      </c>
      <c r="AZ741" t="n">
        <v>0</v>
      </c>
      <c r="BA741" t="n">
        <v>1</v>
      </c>
      <c r="BB741" t="n">
        <v>42</v>
      </c>
      <c r="BC741" t="n">
        <v>22</v>
      </c>
      <c r="BD741" t="n">
        <v>25</v>
      </c>
      <c r="BE741" t="n">
        <v>14</v>
      </c>
      <c r="BF741" t="n">
        <v>93</v>
      </c>
      <c r="BG741" t="n">
        <v>2</v>
      </c>
      <c r="BH741" t="n">
        <v>24</v>
      </c>
      <c r="BI741" t="n">
        <v>14</v>
      </c>
      <c r="BJ741" t="n">
        <v>12</v>
      </c>
      <c r="BK741" t="n">
        <v>6</v>
      </c>
      <c r="BL741" t="n">
        <v>35</v>
      </c>
      <c r="BM741" t="n">
        <v>30</v>
      </c>
      <c r="BN741" t="n">
        <v>6</v>
      </c>
      <c r="BO741" t="n">
        <v>30</v>
      </c>
    </row>
    <row r="742">
      <c r="A742" t="n">
        <v>0</v>
      </c>
      <c r="B742" t="n">
        <v>0</v>
      </c>
      <c r="C742" t="n">
        <v>3</v>
      </c>
      <c r="D742" t="n">
        <v>0</v>
      </c>
      <c r="E742" t="n">
        <v>0</v>
      </c>
      <c r="F742" t="n">
        <v>1</v>
      </c>
      <c r="G742" t="n">
        <v>0</v>
      </c>
      <c r="H742" t="n">
        <v>2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</v>
      </c>
      <c r="U742" t="n">
        <v>0</v>
      </c>
      <c r="V742" t="n">
        <v>0</v>
      </c>
      <c r="W742" t="n">
        <v>0</v>
      </c>
      <c r="X742" t="n">
        <v>0</v>
      </c>
      <c r="Y742" t="n">
        <v>250</v>
      </c>
      <c r="Z742" t="n">
        <v>149</v>
      </c>
      <c r="AA742" t="n">
        <v>47</v>
      </c>
      <c r="AB742" t="n">
        <v>1</v>
      </c>
      <c r="AC742" t="n">
        <v>3</v>
      </c>
      <c r="AD742" t="n">
        <v>6</v>
      </c>
      <c r="AE742" t="n">
        <v>1</v>
      </c>
      <c r="AF742" t="n">
        <v>2</v>
      </c>
      <c r="AG742" t="n">
        <v>6</v>
      </c>
      <c r="AH742" t="n">
        <v>72</v>
      </c>
      <c r="AI742" t="n">
        <v>2</v>
      </c>
      <c r="AJ742" t="n">
        <v>44</v>
      </c>
      <c r="AK742" t="n">
        <v>30</v>
      </c>
      <c r="AL742" t="n">
        <v>2</v>
      </c>
      <c r="AM742" t="n">
        <v>33</v>
      </c>
      <c r="AN742" t="n">
        <v>0</v>
      </c>
      <c r="AO742" t="n">
        <v>2</v>
      </c>
      <c r="AP742" t="n">
        <v>1</v>
      </c>
      <c r="AQ742" t="n">
        <v>1</v>
      </c>
      <c r="AR742" t="n">
        <v>114</v>
      </c>
      <c r="AS742" t="n">
        <v>105</v>
      </c>
      <c r="AT742" t="n">
        <v>5</v>
      </c>
      <c r="AU742" t="n">
        <v>2</v>
      </c>
      <c r="AV742" t="n">
        <v>46</v>
      </c>
      <c r="AW742" t="n">
        <v>30</v>
      </c>
      <c r="AX742" t="n">
        <v>5</v>
      </c>
      <c r="AY742" t="n">
        <v>19</v>
      </c>
      <c r="AZ742" t="n">
        <v>2</v>
      </c>
      <c r="BA742" t="n">
        <v>8</v>
      </c>
      <c r="BB742" t="n">
        <v>52</v>
      </c>
      <c r="BC742" t="n">
        <v>28</v>
      </c>
      <c r="BD742" t="n">
        <v>71</v>
      </c>
      <c r="BE742" t="n">
        <v>34</v>
      </c>
      <c r="BF742" t="n">
        <v>37</v>
      </c>
      <c r="BG742" t="n">
        <v>2</v>
      </c>
      <c r="BH742" t="n">
        <v>17</v>
      </c>
      <c r="BI742" t="n">
        <v>13</v>
      </c>
      <c r="BJ742" t="n">
        <v>47</v>
      </c>
      <c r="BK742" t="n">
        <v>3</v>
      </c>
      <c r="BL742" t="n">
        <v>18</v>
      </c>
      <c r="BM742" t="n">
        <v>12</v>
      </c>
      <c r="BN742" t="n">
        <v>0</v>
      </c>
      <c r="BO742" t="n">
        <v>110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102</v>
      </c>
      <c r="Z743" t="n">
        <v>184</v>
      </c>
      <c r="AA743" t="n">
        <v>51</v>
      </c>
      <c r="AB743" t="n">
        <v>1</v>
      </c>
      <c r="AC743" t="n">
        <v>0</v>
      </c>
      <c r="AD743" t="n">
        <v>3</v>
      </c>
      <c r="AE743" t="n">
        <v>3</v>
      </c>
      <c r="AF743" t="n">
        <v>0</v>
      </c>
      <c r="AG743" t="n">
        <v>4</v>
      </c>
      <c r="AH743" t="n">
        <v>14</v>
      </c>
      <c r="AI743" t="n">
        <v>67</v>
      </c>
      <c r="AJ743" t="n">
        <v>49</v>
      </c>
      <c r="AK743" t="n">
        <v>13</v>
      </c>
      <c r="AL743" t="n">
        <v>4</v>
      </c>
      <c r="AM743" t="n">
        <v>25</v>
      </c>
      <c r="AN743" t="n">
        <v>0</v>
      </c>
      <c r="AO743" t="n">
        <v>0</v>
      </c>
      <c r="AP743" t="n">
        <v>0</v>
      </c>
      <c r="AQ743" t="n">
        <v>1</v>
      </c>
      <c r="AR743" t="n">
        <v>60</v>
      </c>
      <c r="AS743" t="n">
        <v>53</v>
      </c>
      <c r="AT743" t="n">
        <v>3</v>
      </c>
      <c r="AU743" t="n">
        <v>1</v>
      </c>
      <c r="AV743" t="n">
        <v>38</v>
      </c>
      <c r="AW743" t="n">
        <v>8</v>
      </c>
      <c r="AX743" t="n">
        <v>8</v>
      </c>
      <c r="AY743" t="n">
        <v>11</v>
      </c>
      <c r="AZ743" t="n">
        <v>2</v>
      </c>
      <c r="BA743" t="n">
        <v>5</v>
      </c>
      <c r="BB743" t="n">
        <v>53</v>
      </c>
      <c r="BC743" t="n">
        <v>20</v>
      </c>
      <c r="BD743" t="n">
        <v>12</v>
      </c>
      <c r="BE743" t="n">
        <v>7</v>
      </c>
      <c r="BF743" t="n">
        <v>56</v>
      </c>
      <c r="BG743" t="n">
        <v>2</v>
      </c>
      <c r="BH743" t="n">
        <v>0</v>
      </c>
      <c r="BI743" t="n">
        <v>16</v>
      </c>
      <c r="BJ743" t="n">
        <v>18</v>
      </c>
      <c r="BK743" t="n">
        <v>0</v>
      </c>
      <c r="BL743" t="n">
        <v>1</v>
      </c>
      <c r="BM743" t="n">
        <v>12</v>
      </c>
      <c r="BN743" t="n">
        <v>6</v>
      </c>
      <c r="BO743" t="n">
        <v>2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195</v>
      </c>
      <c r="Z744" t="n">
        <v>191</v>
      </c>
      <c r="AA744" t="n">
        <v>47</v>
      </c>
      <c r="AB744" t="n">
        <v>1</v>
      </c>
      <c r="AC744" t="n">
        <v>2</v>
      </c>
      <c r="AD744" t="n">
        <v>2</v>
      </c>
      <c r="AE744" t="n">
        <v>7</v>
      </c>
      <c r="AF744" t="n">
        <v>1</v>
      </c>
      <c r="AG744" t="n">
        <v>8</v>
      </c>
      <c r="AH744" t="n">
        <v>2</v>
      </c>
      <c r="AI744" t="n">
        <v>59</v>
      </c>
      <c r="AJ744" t="n">
        <v>22</v>
      </c>
      <c r="AK744" t="n">
        <v>48</v>
      </c>
      <c r="AL744" t="n">
        <v>1</v>
      </c>
      <c r="AM744" t="n">
        <v>48</v>
      </c>
      <c r="AN744" t="n">
        <v>0</v>
      </c>
      <c r="AO744" t="n">
        <v>0</v>
      </c>
      <c r="AP744" t="n">
        <v>9</v>
      </c>
      <c r="AQ744" t="n">
        <v>52</v>
      </c>
      <c r="AR744" t="n">
        <v>148</v>
      </c>
      <c r="AS744" t="n">
        <v>105</v>
      </c>
      <c r="AT744" t="n">
        <v>3</v>
      </c>
      <c r="AU744" t="n">
        <v>1</v>
      </c>
      <c r="AV744" t="n">
        <v>25</v>
      </c>
      <c r="AW744" t="n">
        <v>9</v>
      </c>
      <c r="AX744" t="n">
        <v>3</v>
      </c>
      <c r="AY744" t="n">
        <v>35</v>
      </c>
      <c r="AZ744" t="n">
        <v>0</v>
      </c>
      <c r="BA744" t="n">
        <v>1</v>
      </c>
      <c r="BB744" t="n">
        <v>46</v>
      </c>
      <c r="BC744" t="n">
        <v>45</v>
      </c>
      <c r="BD744" t="n">
        <v>12</v>
      </c>
      <c r="BE744" t="n">
        <v>8</v>
      </c>
      <c r="BF744" t="n">
        <v>17</v>
      </c>
      <c r="BG744" t="n">
        <v>3</v>
      </c>
      <c r="BH744" t="n">
        <v>5</v>
      </c>
      <c r="BI744" t="n">
        <v>45</v>
      </c>
      <c r="BJ744" t="n">
        <v>41</v>
      </c>
      <c r="BK744" t="n">
        <v>5</v>
      </c>
      <c r="BL744" t="n">
        <v>22</v>
      </c>
      <c r="BM744" t="n">
        <v>17</v>
      </c>
      <c r="BN744" t="n">
        <v>3</v>
      </c>
      <c r="BO744" t="n">
        <v>4</v>
      </c>
    </row>
    <row r="745">
      <c r="A745" t="n">
        <v>0</v>
      </c>
      <c r="B745" t="n">
        <v>0</v>
      </c>
      <c r="C745" t="n">
        <v>0</v>
      </c>
      <c r="D745" t="n">
        <v>4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290</v>
      </c>
      <c r="Z745" t="n">
        <v>183</v>
      </c>
      <c r="AA745" t="n">
        <v>7</v>
      </c>
      <c r="AB745" t="n">
        <v>3</v>
      </c>
      <c r="AC745" t="n">
        <v>0</v>
      </c>
      <c r="AD745" t="n">
        <v>6</v>
      </c>
      <c r="AE745" t="n">
        <v>1</v>
      </c>
      <c r="AF745" t="n">
        <v>0</v>
      </c>
      <c r="AG745" t="n">
        <v>3</v>
      </c>
      <c r="AH745" t="n">
        <v>56</v>
      </c>
      <c r="AI745" t="n">
        <v>14</v>
      </c>
      <c r="AJ745" t="n">
        <v>2</v>
      </c>
      <c r="AK745" t="n">
        <v>45</v>
      </c>
      <c r="AL745" t="n">
        <v>5</v>
      </c>
      <c r="AM745" t="n">
        <v>87</v>
      </c>
      <c r="AN745" t="n">
        <v>0</v>
      </c>
      <c r="AO745" t="n">
        <v>0</v>
      </c>
      <c r="AP745" t="n">
        <v>7</v>
      </c>
      <c r="AQ745" t="n">
        <v>27</v>
      </c>
      <c r="AR745" t="n">
        <v>52</v>
      </c>
      <c r="AS745" t="n">
        <v>29</v>
      </c>
      <c r="AT745" t="n">
        <v>2</v>
      </c>
      <c r="AU745" t="n">
        <v>1</v>
      </c>
      <c r="AV745" t="n">
        <v>74</v>
      </c>
      <c r="AW745" t="n">
        <v>8</v>
      </c>
      <c r="AX745" t="n">
        <v>2</v>
      </c>
      <c r="AY745" t="n">
        <v>35</v>
      </c>
      <c r="AZ745" t="n">
        <v>0</v>
      </c>
      <c r="BA745" t="n">
        <v>1</v>
      </c>
      <c r="BB745" t="n">
        <v>8</v>
      </c>
      <c r="BC745" t="n">
        <v>72</v>
      </c>
      <c r="BD745" t="n">
        <v>76</v>
      </c>
      <c r="BE745" t="n">
        <v>8</v>
      </c>
      <c r="BF745" t="n">
        <v>10</v>
      </c>
      <c r="BG745" t="n">
        <v>3</v>
      </c>
      <c r="BH745" t="n">
        <v>23</v>
      </c>
      <c r="BI745" t="n">
        <v>56</v>
      </c>
      <c r="BJ745" t="n">
        <v>51</v>
      </c>
      <c r="BK745" t="n">
        <v>1</v>
      </c>
      <c r="BL745" t="n">
        <v>26</v>
      </c>
      <c r="BM745" t="n">
        <v>18</v>
      </c>
      <c r="BN745" t="n">
        <v>1</v>
      </c>
      <c r="BO745" t="n">
        <v>2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205</v>
      </c>
      <c r="Z746" t="n">
        <v>91</v>
      </c>
      <c r="AA746" t="n">
        <v>27</v>
      </c>
      <c r="AB746" t="n">
        <v>0</v>
      </c>
      <c r="AC746" t="n">
        <v>3</v>
      </c>
      <c r="AD746" t="n">
        <v>5</v>
      </c>
      <c r="AE746" t="n">
        <v>6</v>
      </c>
      <c r="AF746" t="n">
        <v>4</v>
      </c>
      <c r="AG746" t="n">
        <v>2</v>
      </c>
      <c r="AH746" t="n">
        <v>34</v>
      </c>
      <c r="AI746" t="n">
        <v>49</v>
      </c>
      <c r="AJ746" t="n">
        <v>39</v>
      </c>
      <c r="AK746" t="n">
        <v>12</v>
      </c>
      <c r="AL746" t="n">
        <v>0</v>
      </c>
      <c r="AM746" t="n">
        <v>7</v>
      </c>
      <c r="AN746" t="n">
        <v>0</v>
      </c>
      <c r="AO746" t="n">
        <v>0</v>
      </c>
      <c r="AP746" t="n">
        <v>0</v>
      </c>
      <c r="AQ746" t="n">
        <v>1</v>
      </c>
      <c r="AR746" t="n">
        <v>111</v>
      </c>
      <c r="AS746" t="n">
        <v>103</v>
      </c>
      <c r="AT746" t="n">
        <v>4</v>
      </c>
      <c r="AU746" t="n">
        <v>1</v>
      </c>
      <c r="AV746" t="n">
        <v>57</v>
      </c>
      <c r="AW746" t="n">
        <v>6</v>
      </c>
      <c r="AX746" t="n">
        <v>7</v>
      </c>
      <c r="AY746" t="n">
        <v>39</v>
      </c>
      <c r="AZ746" t="n">
        <v>1</v>
      </c>
      <c r="BA746" t="n">
        <v>1</v>
      </c>
      <c r="BB746" t="n">
        <v>27</v>
      </c>
      <c r="BC746" t="n">
        <v>2</v>
      </c>
      <c r="BD746" t="n">
        <v>32</v>
      </c>
      <c r="BE746" t="n">
        <v>6</v>
      </c>
      <c r="BF746" t="n">
        <v>35</v>
      </c>
      <c r="BG746" t="n">
        <v>1</v>
      </c>
      <c r="BH746" t="n">
        <v>2</v>
      </c>
      <c r="BI746" t="n">
        <v>57</v>
      </c>
      <c r="BJ746" t="n">
        <v>52</v>
      </c>
      <c r="BK746" t="n">
        <v>3</v>
      </c>
      <c r="BL746" t="n">
        <v>11</v>
      </c>
      <c r="BM746" t="n">
        <v>35</v>
      </c>
      <c r="BN746" t="n">
        <v>18</v>
      </c>
      <c r="BO746" t="n">
        <v>11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264</v>
      </c>
      <c r="Z747" t="n">
        <v>207</v>
      </c>
      <c r="AA747" t="n">
        <v>35</v>
      </c>
      <c r="AB747" t="n">
        <v>0</v>
      </c>
      <c r="AC747" t="n">
        <v>2</v>
      </c>
      <c r="AD747" t="n">
        <v>2</v>
      </c>
      <c r="AE747" t="n">
        <v>3</v>
      </c>
      <c r="AF747" t="n">
        <v>2</v>
      </c>
      <c r="AG747" t="n">
        <v>3</v>
      </c>
      <c r="AH747" t="n">
        <v>32</v>
      </c>
      <c r="AI747" t="n">
        <v>40</v>
      </c>
      <c r="AJ747" t="n">
        <v>19</v>
      </c>
      <c r="AK747" t="n">
        <v>30</v>
      </c>
      <c r="AL747" t="n">
        <v>1</v>
      </c>
      <c r="AM747" t="n">
        <v>39</v>
      </c>
      <c r="AN747" t="n">
        <v>0</v>
      </c>
      <c r="AO747" t="n">
        <v>0</v>
      </c>
      <c r="AP747" t="n">
        <v>3</v>
      </c>
      <c r="AQ747" t="n">
        <v>42</v>
      </c>
      <c r="AR747" t="n">
        <v>136</v>
      </c>
      <c r="AS747" t="n">
        <v>100</v>
      </c>
      <c r="AT747" t="n">
        <v>7</v>
      </c>
      <c r="AU747" t="n">
        <v>1</v>
      </c>
      <c r="AV747" t="n">
        <v>57</v>
      </c>
      <c r="AW747" t="n">
        <v>7</v>
      </c>
      <c r="AX747" t="n">
        <v>4</v>
      </c>
      <c r="AY747" t="n">
        <v>52</v>
      </c>
      <c r="AZ747" t="n">
        <v>1</v>
      </c>
      <c r="BA747" t="n">
        <v>14</v>
      </c>
      <c r="BB747" t="n">
        <v>48</v>
      </c>
      <c r="BC747" t="n">
        <v>32</v>
      </c>
      <c r="BD747" t="n">
        <v>29</v>
      </c>
      <c r="BE747" t="n">
        <v>7</v>
      </c>
      <c r="BF747" t="n">
        <v>15</v>
      </c>
      <c r="BG747" t="n">
        <v>2</v>
      </c>
      <c r="BH747" t="n">
        <v>15</v>
      </c>
      <c r="BI747" t="n">
        <v>27</v>
      </c>
      <c r="BJ747" t="n">
        <v>24</v>
      </c>
      <c r="BK747" t="n">
        <v>4</v>
      </c>
      <c r="BL747" t="n">
        <v>32</v>
      </c>
      <c r="BM747" t="n">
        <v>38</v>
      </c>
      <c r="BN747" t="n">
        <v>12</v>
      </c>
      <c r="BO747" t="n">
        <v>2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215</v>
      </c>
      <c r="Z748" t="n">
        <v>150</v>
      </c>
      <c r="AA748" t="n">
        <v>40</v>
      </c>
      <c r="AB748" t="n">
        <v>0</v>
      </c>
      <c r="AC748" t="n">
        <v>2</v>
      </c>
      <c r="AD748" t="n">
        <v>6</v>
      </c>
      <c r="AE748" t="n">
        <v>2</v>
      </c>
      <c r="AF748" t="n">
        <v>4</v>
      </c>
      <c r="AG748" t="n">
        <v>10</v>
      </c>
      <c r="AH748" t="n">
        <v>44</v>
      </c>
      <c r="AI748" t="n">
        <v>19</v>
      </c>
      <c r="AJ748" t="n">
        <v>14</v>
      </c>
      <c r="AK748" t="n">
        <v>24</v>
      </c>
      <c r="AL748" t="n">
        <v>0</v>
      </c>
      <c r="AM748" t="n">
        <v>10</v>
      </c>
      <c r="AN748" t="n">
        <v>0</v>
      </c>
      <c r="AO748" t="n">
        <v>0</v>
      </c>
      <c r="AP748" t="n">
        <v>5</v>
      </c>
      <c r="AQ748" t="n">
        <v>64</v>
      </c>
      <c r="AR748" t="n">
        <v>106</v>
      </c>
      <c r="AS748" t="n">
        <v>51</v>
      </c>
      <c r="AT748" t="n">
        <v>5</v>
      </c>
      <c r="AU748" t="n">
        <v>1</v>
      </c>
      <c r="AV748" t="n">
        <v>29</v>
      </c>
      <c r="AW748" t="n">
        <v>1</v>
      </c>
      <c r="AX748" t="n">
        <v>0</v>
      </c>
      <c r="AY748" t="n">
        <v>51</v>
      </c>
      <c r="AZ748" t="n">
        <v>0</v>
      </c>
      <c r="BA748" t="n">
        <v>1</v>
      </c>
      <c r="BB748" t="n">
        <v>39</v>
      </c>
      <c r="BC748" t="n">
        <v>11</v>
      </c>
      <c r="BD748" t="n">
        <v>44</v>
      </c>
      <c r="BE748" t="n">
        <v>2</v>
      </c>
      <c r="BF748" t="n">
        <v>31</v>
      </c>
      <c r="BG748" t="n">
        <v>0</v>
      </c>
      <c r="BH748" t="n">
        <v>17</v>
      </c>
      <c r="BI748" t="n">
        <v>1</v>
      </c>
      <c r="BJ748" t="n">
        <v>5</v>
      </c>
      <c r="BK748" t="n">
        <v>0</v>
      </c>
      <c r="BL748" t="n">
        <v>5</v>
      </c>
      <c r="BM748" t="n">
        <v>10</v>
      </c>
      <c r="BN748" t="n">
        <v>5</v>
      </c>
      <c r="BO748" t="n">
        <v>2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106</v>
      </c>
      <c r="Z749" t="n">
        <v>50</v>
      </c>
      <c r="AA749" t="n">
        <v>29</v>
      </c>
      <c r="AB749" t="n">
        <v>2</v>
      </c>
      <c r="AC749" t="n">
        <v>0</v>
      </c>
      <c r="AD749" t="n">
        <v>5</v>
      </c>
      <c r="AE749" t="n">
        <v>1</v>
      </c>
      <c r="AF749" t="n">
        <v>1</v>
      </c>
      <c r="AG749" t="n">
        <v>4</v>
      </c>
      <c r="AH749" t="n">
        <v>42</v>
      </c>
      <c r="AI749" t="n">
        <v>3</v>
      </c>
      <c r="AJ749" t="n">
        <v>2</v>
      </c>
      <c r="AK749" t="n">
        <v>12</v>
      </c>
      <c r="AL749" t="n">
        <v>0</v>
      </c>
      <c r="AM749" t="n">
        <v>9</v>
      </c>
      <c r="AN749" t="n">
        <v>1</v>
      </c>
      <c r="AO749" t="n">
        <v>0</v>
      </c>
      <c r="AP749" t="n">
        <v>4</v>
      </c>
      <c r="AQ749" t="n">
        <v>23</v>
      </c>
      <c r="AR749" t="n">
        <v>75</v>
      </c>
      <c r="AS749" t="n">
        <v>56</v>
      </c>
      <c r="AT749" t="n">
        <v>2</v>
      </c>
      <c r="AU749" t="n">
        <v>1</v>
      </c>
      <c r="AV749" t="n">
        <v>5</v>
      </c>
      <c r="AW749" t="n">
        <v>17</v>
      </c>
      <c r="AX749" t="n">
        <v>1</v>
      </c>
      <c r="AY749" t="n">
        <v>3</v>
      </c>
      <c r="AZ749" t="n">
        <v>0</v>
      </c>
      <c r="BA749" t="n">
        <v>1</v>
      </c>
      <c r="BB749" t="n">
        <v>28</v>
      </c>
      <c r="BC749" t="n">
        <v>4</v>
      </c>
      <c r="BD749" t="n">
        <v>52</v>
      </c>
      <c r="BE749" t="n">
        <v>17</v>
      </c>
      <c r="BF749" t="n">
        <v>12</v>
      </c>
      <c r="BG749" t="n">
        <v>3</v>
      </c>
      <c r="BH749" t="n">
        <v>8</v>
      </c>
      <c r="BI749" t="n">
        <v>16</v>
      </c>
      <c r="BJ749" t="n">
        <v>13</v>
      </c>
      <c r="BK749" t="n">
        <v>0</v>
      </c>
      <c r="BL749" t="n">
        <v>5</v>
      </c>
      <c r="BM749" t="n">
        <v>1</v>
      </c>
      <c r="BN749" t="n">
        <v>0</v>
      </c>
      <c r="BO749" t="n">
        <v>2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193</v>
      </c>
      <c r="Z750" t="n">
        <v>164</v>
      </c>
      <c r="AA750" t="n">
        <v>48</v>
      </c>
      <c r="AB750" t="n">
        <v>2</v>
      </c>
      <c r="AC750" t="n">
        <v>0</v>
      </c>
      <c r="AD750" t="n">
        <v>4</v>
      </c>
      <c r="AE750" t="n">
        <v>2</v>
      </c>
      <c r="AF750" t="n">
        <v>6</v>
      </c>
      <c r="AG750" t="n">
        <v>7</v>
      </c>
      <c r="AH750" t="n">
        <v>36</v>
      </c>
      <c r="AI750" t="n">
        <v>13</v>
      </c>
      <c r="AJ750" t="n">
        <v>96</v>
      </c>
      <c r="AK750" t="n">
        <v>33</v>
      </c>
      <c r="AL750" t="n">
        <v>6</v>
      </c>
      <c r="AM750" t="n">
        <v>54</v>
      </c>
      <c r="AN750" t="n">
        <v>0</v>
      </c>
      <c r="AO750" t="n">
        <v>0</v>
      </c>
      <c r="AP750" t="n">
        <v>2</v>
      </c>
      <c r="AQ750" t="n">
        <v>12</v>
      </c>
      <c r="AR750" t="n">
        <v>85</v>
      </c>
      <c r="AS750" t="n">
        <v>73</v>
      </c>
      <c r="AT750" t="n">
        <v>2</v>
      </c>
      <c r="AU750" t="n">
        <v>3</v>
      </c>
      <c r="AV750" t="n">
        <v>0</v>
      </c>
      <c r="AW750" t="n">
        <v>27</v>
      </c>
      <c r="AX750" t="n">
        <v>2</v>
      </c>
      <c r="AY750" t="n">
        <v>53</v>
      </c>
      <c r="AZ750" t="n">
        <v>0</v>
      </c>
      <c r="BA750" t="n">
        <v>20</v>
      </c>
      <c r="BB750" t="n">
        <v>65</v>
      </c>
      <c r="BC750" t="n">
        <v>51</v>
      </c>
      <c r="BD750" t="n">
        <v>32</v>
      </c>
      <c r="BE750" t="n">
        <v>25</v>
      </c>
      <c r="BF750" t="n">
        <v>78</v>
      </c>
      <c r="BG750" t="n">
        <v>3</v>
      </c>
      <c r="BH750" t="n">
        <v>8</v>
      </c>
      <c r="BI750" t="n">
        <v>22</v>
      </c>
      <c r="BJ750" t="n">
        <v>35</v>
      </c>
      <c r="BK750" t="n">
        <v>3</v>
      </c>
      <c r="BL750" t="n">
        <v>25</v>
      </c>
      <c r="BM750" t="n">
        <v>7</v>
      </c>
      <c r="BN750" t="n">
        <v>-6</v>
      </c>
      <c r="BO750" t="n">
        <v>2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</v>
      </c>
      <c r="U751" t="n">
        <v>1</v>
      </c>
      <c r="V751" t="n">
        <v>0</v>
      </c>
      <c r="W751" t="n">
        <v>3</v>
      </c>
      <c r="X751" t="n">
        <v>0</v>
      </c>
      <c r="Y751" t="n">
        <v>232</v>
      </c>
      <c r="Z751" t="n">
        <v>168</v>
      </c>
      <c r="AA751" t="n">
        <v>73</v>
      </c>
      <c r="AB751" t="n">
        <v>0</v>
      </c>
      <c r="AC751" t="n">
        <v>1</v>
      </c>
      <c r="AD751" t="n">
        <v>2</v>
      </c>
      <c r="AE751" t="n">
        <v>4</v>
      </c>
      <c r="AF751" t="n">
        <v>5</v>
      </c>
      <c r="AG751" t="n">
        <v>6</v>
      </c>
      <c r="AH751" t="n">
        <v>30</v>
      </c>
      <c r="AI751" t="n">
        <v>32</v>
      </c>
      <c r="AJ751" t="n">
        <v>42</v>
      </c>
      <c r="AK751" t="n">
        <v>50</v>
      </c>
      <c r="AL751" t="n">
        <v>4</v>
      </c>
      <c r="AM751" t="n">
        <v>43</v>
      </c>
      <c r="AN751" t="n">
        <v>0</v>
      </c>
      <c r="AO751" t="n">
        <v>0</v>
      </c>
      <c r="AP751" t="n">
        <v>1</v>
      </c>
      <c r="AQ751" t="n">
        <v>1</v>
      </c>
      <c r="AR751" t="n">
        <v>115</v>
      </c>
      <c r="AS751" t="n">
        <v>107</v>
      </c>
      <c r="AT751" t="n">
        <v>0</v>
      </c>
      <c r="AU751" t="n">
        <v>0</v>
      </c>
      <c r="AV751" t="n">
        <v>1</v>
      </c>
      <c r="AW751" t="n">
        <v>13</v>
      </c>
      <c r="AX751" t="n">
        <v>0</v>
      </c>
      <c r="AY751" t="n">
        <v>39</v>
      </c>
      <c r="AZ751" t="n">
        <v>2</v>
      </c>
      <c r="BA751" t="n">
        <v>21</v>
      </c>
      <c r="BB751" t="n">
        <v>91</v>
      </c>
      <c r="BC751" t="n">
        <v>36</v>
      </c>
      <c r="BD751" t="n">
        <v>27</v>
      </c>
      <c r="BE751" t="n">
        <v>13</v>
      </c>
      <c r="BF751" t="n">
        <v>33</v>
      </c>
      <c r="BG751" t="n">
        <v>1</v>
      </c>
      <c r="BH751" t="n">
        <v>12</v>
      </c>
      <c r="BI751" t="n">
        <v>11</v>
      </c>
      <c r="BJ751" t="n">
        <v>32</v>
      </c>
      <c r="BK751" t="n">
        <v>0</v>
      </c>
      <c r="BL751" t="n">
        <v>19</v>
      </c>
      <c r="BM751" t="n">
        <v>19</v>
      </c>
      <c r="BN751" t="n">
        <v>5</v>
      </c>
      <c r="BO751" t="n">
        <v>2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201</v>
      </c>
      <c r="Z752" t="n">
        <v>202</v>
      </c>
      <c r="AA752" t="n">
        <v>145</v>
      </c>
      <c r="AB752" t="n">
        <v>2</v>
      </c>
      <c r="AC752" t="n">
        <v>2</v>
      </c>
      <c r="AD752" t="n">
        <v>5</v>
      </c>
      <c r="AE752" t="n">
        <v>6</v>
      </c>
      <c r="AF752" t="n">
        <v>3</v>
      </c>
      <c r="AG752" t="n">
        <v>8</v>
      </c>
      <c r="AH752" t="n">
        <v>65</v>
      </c>
      <c r="AI752" t="n">
        <v>44</v>
      </c>
      <c r="AJ752" t="n">
        <v>51</v>
      </c>
      <c r="AK752" t="n">
        <v>53</v>
      </c>
      <c r="AL752" t="n">
        <v>1</v>
      </c>
      <c r="AM752" t="n">
        <v>21</v>
      </c>
      <c r="AN752" t="n">
        <v>0</v>
      </c>
      <c r="AO752" t="n">
        <v>0</v>
      </c>
      <c r="AP752" t="n">
        <v>6</v>
      </c>
      <c r="AQ752" t="n">
        <v>45</v>
      </c>
      <c r="AR752" t="n">
        <v>67</v>
      </c>
      <c r="AS752" t="n">
        <v>28</v>
      </c>
      <c r="AT752" t="n">
        <v>6</v>
      </c>
      <c r="AU752" t="n">
        <v>2</v>
      </c>
      <c r="AV752" t="n">
        <v>44</v>
      </c>
      <c r="AW752" t="n">
        <v>22</v>
      </c>
      <c r="AX752" t="n">
        <v>0</v>
      </c>
      <c r="AY752" t="n">
        <v>104</v>
      </c>
      <c r="AZ752" t="n">
        <v>0</v>
      </c>
      <c r="BA752" t="n">
        <v>10</v>
      </c>
      <c r="BB752" t="n">
        <v>142</v>
      </c>
      <c r="BC752" t="n">
        <v>16</v>
      </c>
      <c r="BD752" t="n">
        <v>57</v>
      </c>
      <c r="BE752" t="n">
        <v>22</v>
      </c>
      <c r="BF752" t="n">
        <v>41</v>
      </c>
      <c r="BG752" t="n">
        <v>0</v>
      </c>
      <c r="BH752" t="n">
        <v>0</v>
      </c>
      <c r="BI752" t="n">
        <v>1</v>
      </c>
      <c r="BJ752" t="n">
        <v>1</v>
      </c>
      <c r="BK752" t="n">
        <v>6</v>
      </c>
      <c r="BL752" t="n">
        <v>76</v>
      </c>
      <c r="BM752" t="n">
        <v>52</v>
      </c>
      <c r="BN752" t="n">
        <v>1</v>
      </c>
      <c r="BO752" t="n">
        <v>2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</v>
      </c>
      <c r="U753" t="n">
        <v>0</v>
      </c>
      <c r="V753" t="n">
        <v>0</v>
      </c>
      <c r="W753" t="n">
        <v>0</v>
      </c>
      <c r="X753" t="n">
        <v>0</v>
      </c>
      <c r="Y753" t="n">
        <v>163</v>
      </c>
      <c r="Z753" t="n">
        <v>146</v>
      </c>
      <c r="AA753" t="n">
        <v>41</v>
      </c>
      <c r="AB753" t="n">
        <v>2</v>
      </c>
      <c r="AC753" t="n">
        <v>0</v>
      </c>
      <c r="AD753" t="n">
        <v>4</v>
      </c>
      <c r="AE753" t="n">
        <v>0</v>
      </c>
      <c r="AF753" t="n">
        <v>5</v>
      </c>
      <c r="AG753" t="n">
        <v>5</v>
      </c>
      <c r="AH753" t="n">
        <v>2</v>
      </c>
      <c r="AI753" t="n">
        <v>2</v>
      </c>
      <c r="AJ753" t="n">
        <v>33</v>
      </c>
      <c r="AK753" t="n">
        <v>44</v>
      </c>
      <c r="AL753" t="n">
        <v>5</v>
      </c>
      <c r="AM753" t="n">
        <v>29</v>
      </c>
      <c r="AN753" t="n">
        <v>0</v>
      </c>
      <c r="AO753" t="n">
        <v>0</v>
      </c>
      <c r="AP753" t="n">
        <v>8</v>
      </c>
      <c r="AQ753" t="n">
        <v>36</v>
      </c>
      <c r="AR753" t="n">
        <v>62</v>
      </c>
      <c r="AS753" t="n">
        <v>32</v>
      </c>
      <c r="AT753" t="n">
        <v>3</v>
      </c>
      <c r="AU753" t="n">
        <v>1</v>
      </c>
      <c r="AV753" t="n">
        <v>4</v>
      </c>
      <c r="AW753" t="n">
        <v>8</v>
      </c>
      <c r="AX753" t="n">
        <v>1</v>
      </c>
      <c r="AY753" t="n">
        <v>24</v>
      </c>
      <c r="AZ753" t="n">
        <v>5</v>
      </c>
      <c r="BA753" t="n">
        <v>52</v>
      </c>
      <c r="BB753" t="n">
        <v>98</v>
      </c>
      <c r="BC753" t="n">
        <v>26</v>
      </c>
      <c r="BD753" t="n">
        <v>14</v>
      </c>
      <c r="BE753" t="n">
        <v>9</v>
      </c>
      <c r="BF753" t="n">
        <v>53</v>
      </c>
      <c r="BG753" t="n">
        <v>1</v>
      </c>
      <c r="BH753" t="n">
        <v>8</v>
      </c>
      <c r="BI753" t="n">
        <v>25</v>
      </c>
      <c r="BJ753" t="n">
        <v>22</v>
      </c>
      <c r="BK753" t="n">
        <v>3</v>
      </c>
      <c r="BL753" t="n">
        <v>1</v>
      </c>
      <c r="BM753" t="n">
        <v>10</v>
      </c>
      <c r="BN753" t="n">
        <v>5</v>
      </c>
      <c r="BO753" t="n">
        <v>32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156</v>
      </c>
      <c r="Z754" t="n">
        <v>198</v>
      </c>
      <c r="AA754" t="n">
        <v>66</v>
      </c>
      <c r="AB754" t="n">
        <v>0</v>
      </c>
      <c r="AC754" t="n">
        <v>1</v>
      </c>
      <c r="AD754" t="n">
        <v>3</v>
      </c>
      <c r="AE754" t="n">
        <v>3</v>
      </c>
      <c r="AF754" t="n">
        <v>7</v>
      </c>
      <c r="AG754" t="n">
        <v>0</v>
      </c>
      <c r="AH754" t="n">
        <v>30</v>
      </c>
      <c r="AI754" t="n">
        <v>6</v>
      </c>
      <c r="AJ754" t="n">
        <v>55</v>
      </c>
      <c r="AK754" t="n">
        <v>1</v>
      </c>
      <c r="AL754" t="n">
        <v>0</v>
      </c>
      <c r="AM754" t="n">
        <v>2</v>
      </c>
      <c r="AN754" t="n">
        <v>0</v>
      </c>
      <c r="AO754" t="n">
        <v>0</v>
      </c>
      <c r="AP754" t="n">
        <v>5</v>
      </c>
      <c r="AQ754" t="n">
        <v>38</v>
      </c>
      <c r="AR754" t="n">
        <v>64</v>
      </c>
      <c r="AS754" t="n">
        <v>32</v>
      </c>
      <c r="AT754" t="n">
        <v>1</v>
      </c>
      <c r="AU754" t="n">
        <v>2</v>
      </c>
      <c r="AV754" t="n">
        <v>1</v>
      </c>
      <c r="AW754" t="n">
        <v>13</v>
      </c>
      <c r="AX754" t="n">
        <v>5</v>
      </c>
      <c r="AY754" t="n">
        <v>58</v>
      </c>
      <c r="AZ754" t="n">
        <v>4</v>
      </c>
      <c r="BA754" t="n">
        <v>8</v>
      </c>
      <c r="BB754" t="n">
        <v>70</v>
      </c>
      <c r="BC754" t="n">
        <v>66</v>
      </c>
      <c r="BD754" t="n">
        <v>27</v>
      </c>
      <c r="BE754" t="n">
        <v>19</v>
      </c>
      <c r="BF754" t="n">
        <v>46</v>
      </c>
      <c r="BG754" t="n">
        <v>2</v>
      </c>
      <c r="BH754" t="n">
        <v>5</v>
      </c>
      <c r="BI754" t="n">
        <v>1</v>
      </c>
      <c r="BJ754" t="n">
        <v>1</v>
      </c>
      <c r="BK754" t="n">
        <v>1</v>
      </c>
      <c r="BL754" t="n">
        <v>1</v>
      </c>
      <c r="BM754" t="n">
        <v>39</v>
      </c>
      <c r="BN754" t="n">
        <v>24</v>
      </c>
      <c r="BO754" t="n">
        <v>7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176</v>
      </c>
      <c r="Z755" t="n">
        <v>173</v>
      </c>
      <c r="AA755" t="n">
        <v>13</v>
      </c>
      <c r="AB755" t="n">
        <v>0</v>
      </c>
      <c r="AC755" t="n">
        <v>0</v>
      </c>
      <c r="AD755" t="n">
        <v>5</v>
      </c>
      <c r="AE755" t="n">
        <v>4</v>
      </c>
      <c r="AF755" t="n">
        <v>5</v>
      </c>
      <c r="AG755" t="n">
        <v>3</v>
      </c>
      <c r="AH755" t="n">
        <v>17</v>
      </c>
      <c r="AI755" t="n">
        <v>32</v>
      </c>
      <c r="AJ755" t="n">
        <v>49</v>
      </c>
      <c r="AK755" t="n">
        <v>42</v>
      </c>
      <c r="AL755" t="n">
        <v>2</v>
      </c>
      <c r="AM755" t="n">
        <v>14</v>
      </c>
      <c r="AN755" t="n">
        <v>0</v>
      </c>
      <c r="AO755" t="n">
        <v>0</v>
      </c>
      <c r="AP755" t="n">
        <v>0</v>
      </c>
      <c r="AQ755" t="n">
        <v>24</v>
      </c>
      <c r="AR755" t="n">
        <v>161</v>
      </c>
      <c r="AS755" t="n">
        <v>136</v>
      </c>
      <c r="AT755" t="n">
        <v>2</v>
      </c>
      <c r="AU755" t="n">
        <v>0</v>
      </c>
      <c r="AV755" t="n">
        <v>37</v>
      </c>
      <c r="AW755" t="n">
        <v>1</v>
      </c>
      <c r="AX755" t="n">
        <v>17</v>
      </c>
      <c r="AY755" t="n">
        <v>25</v>
      </c>
      <c r="AZ755" t="n">
        <v>2</v>
      </c>
      <c r="BA755" t="n">
        <v>9</v>
      </c>
      <c r="BB755" t="n">
        <v>21</v>
      </c>
      <c r="BC755" t="n">
        <v>19</v>
      </c>
      <c r="BD755" t="n">
        <v>14</v>
      </c>
      <c r="BE755" t="n">
        <v>1</v>
      </c>
      <c r="BF755" t="n">
        <v>44</v>
      </c>
      <c r="BG755" t="n">
        <v>1</v>
      </c>
      <c r="BH755" t="n">
        <v>2</v>
      </c>
      <c r="BI755" t="n">
        <v>18</v>
      </c>
      <c r="BJ755" t="n">
        <v>19</v>
      </c>
      <c r="BK755" t="n">
        <v>1</v>
      </c>
      <c r="BL755" t="n">
        <v>7</v>
      </c>
      <c r="BM755" t="n">
        <v>12</v>
      </c>
      <c r="BN755" t="n">
        <v>5</v>
      </c>
      <c r="BO755" t="n">
        <v>2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259</v>
      </c>
      <c r="Z756" t="n">
        <v>170</v>
      </c>
      <c r="AA756" t="n">
        <v>47</v>
      </c>
      <c r="AB756" t="n">
        <v>1</v>
      </c>
      <c r="AC756" t="n">
        <v>0</v>
      </c>
      <c r="AD756" t="n">
        <v>2</v>
      </c>
      <c r="AE756" t="n">
        <v>9</v>
      </c>
      <c r="AF756" t="n">
        <v>4</v>
      </c>
      <c r="AG756" t="n">
        <v>3</v>
      </c>
      <c r="AH756" t="n">
        <v>21</v>
      </c>
      <c r="AI756" t="n">
        <v>47</v>
      </c>
      <c r="AJ756" t="n">
        <v>76</v>
      </c>
      <c r="AK756" t="n">
        <v>116</v>
      </c>
      <c r="AL756" t="n">
        <v>4</v>
      </c>
      <c r="AM756" t="n">
        <v>42</v>
      </c>
      <c r="AN756" t="n">
        <v>0</v>
      </c>
      <c r="AO756" t="n">
        <v>0</v>
      </c>
      <c r="AP756" t="n">
        <v>3</v>
      </c>
      <c r="AQ756" t="n">
        <v>32</v>
      </c>
      <c r="AR756" t="n">
        <v>105</v>
      </c>
      <c r="AS756" t="n">
        <v>79</v>
      </c>
      <c r="AT756" t="n">
        <v>2</v>
      </c>
      <c r="AU756" t="n">
        <v>2</v>
      </c>
      <c r="AV756" t="n">
        <v>32</v>
      </c>
      <c r="AW756" t="n">
        <v>26</v>
      </c>
      <c r="AX756" t="n">
        <v>-1</v>
      </c>
      <c r="AY756" t="n">
        <v>47</v>
      </c>
      <c r="AZ756" t="n">
        <v>1</v>
      </c>
      <c r="BA756" t="n">
        <v>14</v>
      </c>
      <c r="BB756" t="n">
        <v>57</v>
      </c>
      <c r="BC756" t="n">
        <v>47</v>
      </c>
      <c r="BD756" t="n">
        <v>33</v>
      </c>
      <c r="BE756" t="n">
        <v>26</v>
      </c>
      <c r="BF756" t="n">
        <v>66</v>
      </c>
      <c r="BG756" t="n">
        <v>2</v>
      </c>
      <c r="BH756" t="n">
        <v>3</v>
      </c>
      <c r="BI756" t="n">
        <v>29</v>
      </c>
      <c r="BJ756" t="n">
        <v>26</v>
      </c>
      <c r="BK756" t="n">
        <v>4</v>
      </c>
      <c r="BL756" t="n">
        <v>33</v>
      </c>
      <c r="BM756" t="n">
        <v>26</v>
      </c>
      <c r="BN756" t="n">
        <v>3</v>
      </c>
      <c r="BO756" t="n">
        <v>2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210</v>
      </c>
      <c r="Z757" t="n">
        <v>132</v>
      </c>
      <c r="AA757" t="n">
        <v>73</v>
      </c>
      <c r="AB757" t="n">
        <v>0</v>
      </c>
      <c r="AC757" t="n">
        <v>0</v>
      </c>
      <c r="AD757" t="n">
        <v>4</v>
      </c>
      <c r="AE757" t="n">
        <v>5</v>
      </c>
      <c r="AF757" t="n">
        <v>2</v>
      </c>
      <c r="AG757" t="n">
        <v>1</v>
      </c>
      <c r="AH757" t="n">
        <v>106</v>
      </c>
      <c r="AI757" t="n">
        <v>47</v>
      </c>
      <c r="AJ757" t="n">
        <v>29</v>
      </c>
      <c r="AK757" t="n">
        <v>16</v>
      </c>
      <c r="AL757" t="n">
        <v>0</v>
      </c>
      <c r="AM757" t="n">
        <v>2</v>
      </c>
      <c r="AN757" t="n">
        <v>0</v>
      </c>
      <c r="AO757" t="n">
        <v>0</v>
      </c>
      <c r="AP757" t="n">
        <v>4</v>
      </c>
      <c r="AQ757" t="n">
        <v>36</v>
      </c>
      <c r="AR757" t="n">
        <v>133</v>
      </c>
      <c r="AS757" t="n">
        <v>100</v>
      </c>
      <c r="AT757" t="n">
        <v>1</v>
      </c>
      <c r="AU757" t="n">
        <v>0</v>
      </c>
      <c r="AV757" t="n">
        <v>11</v>
      </c>
      <c r="AW757" t="n">
        <v>5</v>
      </c>
      <c r="AX757" t="n">
        <v>1</v>
      </c>
      <c r="AY757" t="n">
        <v>81</v>
      </c>
      <c r="AZ757" t="n">
        <v>2</v>
      </c>
      <c r="BA757" t="n">
        <v>1</v>
      </c>
      <c r="BB757" t="n">
        <v>72</v>
      </c>
      <c r="BC757" t="n">
        <v>2</v>
      </c>
      <c r="BD757" t="n">
        <v>95</v>
      </c>
      <c r="BE757" t="n">
        <v>10</v>
      </c>
      <c r="BF757" t="n">
        <v>32</v>
      </c>
      <c r="BG757" t="n">
        <v>1</v>
      </c>
      <c r="BH757" t="n">
        <v>4</v>
      </c>
      <c r="BI757" t="n">
        <v>8</v>
      </c>
      <c r="BJ757" t="n">
        <v>7</v>
      </c>
      <c r="BK757" t="n">
        <v>0</v>
      </c>
      <c r="BL757" t="n">
        <v>1</v>
      </c>
      <c r="BM757" t="n">
        <v>5</v>
      </c>
      <c r="BN757" t="n">
        <v>3</v>
      </c>
      <c r="BO757" t="n">
        <v>4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163</v>
      </c>
      <c r="Z758" t="n">
        <v>88</v>
      </c>
      <c r="AA758" t="n">
        <v>135</v>
      </c>
      <c r="AB758" t="n">
        <v>0</v>
      </c>
      <c r="AC758" t="n">
        <v>0</v>
      </c>
      <c r="AD758" t="n">
        <v>2</v>
      </c>
      <c r="AE758" t="n">
        <v>8</v>
      </c>
      <c r="AF758" t="n">
        <v>5</v>
      </c>
      <c r="AG758" t="n">
        <v>1</v>
      </c>
      <c r="AH758" t="n">
        <v>24</v>
      </c>
      <c r="AI758" t="n">
        <v>67</v>
      </c>
      <c r="AJ758" t="n">
        <v>34</v>
      </c>
      <c r="AK758" t="n">
        <v>13</v>
      </c>
      <c r="AL758" t="n">
        <v>2</v>
      </c>
      <c r="AM758" t="n">
        <v>37</v>
      </c>
      <c r="AN758" t="n">
        <v>0</v>
      </c>
      <c r="AO758" t="n">
        <v>0</v>
      </c>
      <c r="AP758" t="n">
        <v>1</v>
      </c>
      <c r="AQ758" t="n">
        <v>9</v>
      </c>
      <c r="AR758" t="n">
        <v>96</v>
      </c>
      <c r="AS758" t="n">
        <v>86</v>
      </c>
      <c r="AT758" t="n">
        <v>1</v>
      </c>
      <c r="AU758" t="n">
        <v>0</v>
      </c>
      <c r="AV758" t="n">
        <v>5</v>
      </c>
      <c r="AW758" t="n">
        <v>1</v>
      </c>
      <c r="AX758" t="n">
        <v>0</v>
      </c>
      <c r="AY758" t="n">
        <v>9</v>
      </c>
      <c r="AZ758" t="n">
        <v>1</v>
      </c>
      <c r="BA758" t="n">
        <v>1</v>
      </c>
      <c r="BB758" t="n">
        <v>129</v>
      </c>
      <c r="BC758" t="n">
        <v>40</v>
      </c>
      <c r="BD758" t="n">
        <v>24</v>
      </c>
      <c r="BE758" t="n">
        <v>2</v>
      </c>
      <c r="BF758" t="n">
        <v>40</v>
      </c>
      <c r="BG758" t="n">
        <v>2</v>
      </c>
      <c r="BH758" t="n">
        <v>7</v>
      </c>
      <c r="BI758" t="n">
        <v>48</v>
      </c>
      <c r="BJ758" t="n">
        <v>44</v>
      </c>
      <c r="BK758" t="n">
        <v>0</v>
      </c>
      <c r="BL758" t="n">
        <v>1</v>
      </c>
      <c r="BM758" t="n">
        <v>5</v>
      </c>
      <c r="BN758" t="n">
        <v>3</v>
      </c>
      <c r="BO758" t="n">
        <v>37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197</v>
      </c>
      <c r="Z759" t="n">
        <v>50</v>
      </c>
      <c r="AA759" t="n">
        <v>32</v>
      </c>
      <c r="AB759" t="n">
        <v>2</v>
      </c>
      <c r="AC759" t="n">
        <v>0</v>
      </c>
      <c r="AD759" t="n">
        <v>3</v>
      </c>
      <c r="AE759" t="n">
        <v>5</v>
      </c>
      <c r="AF759" t="n">
        <v>6</v>
      </c>
      <c r="AG759" t="n">
        <v>4</v>
      </c>
      <c r="AH759" t="n">
        <v>57</v>
      </c>
      <c r="AI759" t="n">
        <v>22</v>
      </c>
      <c r="AJ759" t="n">
        <v>56</v>
      </c>
      <c r="AK759" t="n">
        <v>15</v>
      </c>
      <c r="AL759" t="n">
        <v>2</v>
      </c>
      <c r="AM759" t="n">
        <v>7</v>
      </c>
      <c r="AN759" t="n">
        <v>0</v>
      </c>
      <c r="AO759" t="n">
        <v>0</v>
      </c>
      <c r="AP759" t="n">
        <v>0</v>
      </c>
      <c r="AQ759" t="n">
        <v>7</v>
      </c>
      <c r="AR759" t="n">
        <v>151</v>
      </c>
      <c r="AS759" t="n">
        <v>138</v>
      </c>
      <c r="AT759" t="n">
        <v>1</v>
      </c>
      <c r="AU759" t="n">
        <v>0</v>
      </c>
      <c r="AV759" t="n">
        <v>9</v>
      </c>
      <c r="AW759" t="n">
        <v>7</v>
      </c>
      <c r="AX759" t="n">
        <v>0</v>
      </c>
      <c r="AY759" t="n">
        <v>47</v>
      </c>
      <c r="AZ759" t="n">
        <v>2</v>
      </c>
      <c r="BA759" t="n">
        <v>-2</v>
      </c>
      <c r="BB759" t="n">
        <v>30</v>
      </c>
      <c r="BC759" t="n">
        <v>64</v>
      </c>
      <c r="BD759" t="n">
        <v>51</v>
      </c>
      <c r="BE759" t="n">
        <v>12</v>
      </c>
      <c r="BF759" t="n">
        <v>52</v>
      </c>
      <c r="BG759" t="n">
        <v>2</v>
      </c>
      <c r="BH759" t="n">
        <v>5</v>
      </c>
      <c r="BI759" t="n">
        <v>32</v>
      </c>
      <c r="BJ759" t="n">
        <v>31</v>
      </c>
      <c r="BK759" t="n">
        <v>4</v>
      </c>
      <c r="BL759" t="n">
        <v>9</v>
      </c>
      <c r="BM759" t="n">
        <v>32</v>
      </c>
      <c r="BN759" t="n">
        <v>17</v>
      </c>
      <c r="BO759" t="n">
        <v>2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</v>
      </c>
      <c r="U760" t="n">
        <v>0</v>
      </c>
      <c r="V760" t="n">
        <v>0</v>
      </c>
      <c r="W760" t="n">
        <v>0</v>
      </c>
      <c r="X760" t="n">
        <v>0</v>
      </c>
      <c r="Y760" t="n">
        <v>250</v>
      </c>
      <c r="Z760" t="n">
        <v>202</v>
      </c>
      <c r="AA760" t="n">
        <v>149</v>
      </c>
      <c r="AB760" t="n">
        <v>0</v>
      </c>
      <c r="AC760" t="n">
        <v>0</v>
      </c>
      <c r="AD760" t="n">
        <v>5</v>
      </c>
      <c r="AE760" t="n">
        <v>7</v>
      </c>
      <c r="AF760" t="n">
        <v>7</v>
      </c>
      <c r="AG760" t="n">
        <v>1</v>
      </c>
      <c r="AH760" t="n">
        <v>67</v>
      </c>
      <c r="AI760" t="n">
        <v>53</v>
      </c>
      <c r="AJ760" t="n">
        <v>88</v>
      </c>
      <c r="AK760" t="n">
        <v>16</v>
      </c>
      <c r="AL760" t="n">
        <v>3</v>
      </c>
      <c r="AM760" t="n">
        <v>61</v>
      </c>
      <c r="AN760" t="n">
        <v>0</v>
      </c>
      <c r="AO760" t="n">
        <v>0</v>
      </c>
      <c r="AP760" t="n">
        <v>7</v>
      </c>
      <c r="AQ760" t="n">
        <v>42</v>
      </c>
      <c r="AR760" t="n">
        <v>91</v>
      </c>
      <c r="AS760" t="n">
        <v>55</v>
      </c>
      <c r="AT760" t="n">
        <v>5</v>
      </c>
      <c r="AU760" t="n">
        <v>1</v>
      </c>
      <c r="AV760" t="n">
        <v>52</v>
      </c>
      <c r="AW760" t="n">
        <v>22</v>
      </c>
      <c r="AX760" t="n">
        <v>0</v>
      </c>
      <c r="AY760" t="n">
        <v>21</v>
      </c>
      <c r="AZ760" t="n">
        <v>2</v>
      </c>
      <c r="BA760" t="n">
        <v>1</v>
      </c>
      <c r="BB760" t="n">
        <v>137</v>
      </c>
      <c r="BC760" t="n">
        <v>54</v>
      </c>
      <c r="BD760" t="n">
        <v>60</v>
      </c>
      <c r="BE760" t="n">
        <v>24</v>
      </c>
      <c r="BF760" t="n">
        <v>69</v>
      </c>
      <c r="BG760" t="n">
        <v>1</v>
      </c>
      <c r="BH760" t="n">
        <v>2</v>
      </c>
      <c r="BI760" t="n">
        <v>11</v>
      </c>
      <c r="BJ760" t="n">
        <v>9</v>
      </c>
      <c r="BK760" t="n">
        <v>1</v>
      </c>
      <c r="BL760" t="n">
        <v>-4</v>
      </c>
      <c r="BM760" t="n">
        <v>-2</v>
      </c>
      <c r="BN760" t="n">
        <v>0</v>
      </c>
      <c r="BO760" t="n">
        <v>11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147</v>
      </c>
      <c r="Z761" t="n">
        <v>140</v>
      </c>
      <c r="AA761" t="n">
        <v>88</v>
      </c>
      <c r="AB761" t="n">
        <v>1</v>
      </c>
      <c r="AC761" t="n">
        <v>0</v>
      </c>
      <c r="AD761" t="n">
        <v>3</v>
      </c>
      <c r="AE761" t="n">
        <v>1</v>
      </c>
      <c r="AF761" t="n">
        <v>2</v>
      </c>
      <c r="AG761" t="n">
        <v>5</v>
      </c>
      <c r="AH761" t="n">
        <v>34</v>
      </c>
      <c r="AI761" t="n">
        <v>28</v>
      </c>
      <c r="AJ761" t="n">
        <v>11</v>
      </c>
      <c r="AK761" t="n">
        <v>21</v>
      </c>
      <c r="AL761" t="n">
        <v>2</v>
      </c>
      <c r="AM761" t="n">
        <v>21</v>
      </c>
      <c r="AN761" t="n">
        <v>0</v>
      </c>
      <c r="AO761" t="n">
        <v>0</v>
      </c>
      <c r="AP761" t="n">
        <v>3</v>
      </c>
      <c r="AQ761" t="n">
        <v>38</v>
      </c>
      <c r="AR761" t="n">
        <v>57</v>
      </c>
      <c r="AS761" t="n">
        <v>26</v>
      </c>
      <c r="AT761" t="n">
        <v>2</v>
      </c>
      <c r="AU761" t="n">
        <v>2</v>
      </c>
      <c r="AV761" t="n">
        <v>31</v>
      </c>
      <c r="AW761" t="n">
        <v>38</v>
      </c>
      <c r="AX761" t="n">
        <v>0</v>
      </c>
      <c r="AY761" t="n">
        <v>27</v>
      </c>
      <c r="AZ761" t="n">
        <v>4</v>
      </c>
      <c r="BA761" t="n">
        <v>12</v>
      </c>
      <c r="BB761" t="n">
        <v>96</v>
      </c>
      <c r="BC761" t="n">
        <v>17</v>
      </c>
      <c r="BD761" t="n">
        <v>33</v>
      </c>
      <c r="BE761" t="n">
        <v>38</v>
      </c>
      <c r="BF761" t="n">
        <v>23</v>
      </c>
      <c r="BG761" t="n">
        <v>1</v>
      </c>
      <c r="BH761" t="n">
        <v>9</v>
      </c>
      <c r="BI761" t="n">
        <v>7</v>
      </c>
      <c r="BJ761" t="n">
        <v>5</v>
      </c>
      <c r="BK761" t="n">
        <v>1</v>
      </c>
      <c r="BL761" t="n">
        <v>1</v>
      </c>
      <c r="BM761" t="n">
        <v>10</v>
      </c>
      <c r="BN761" t="n">
        <v>5</v>
      </c>
      <c r="BO761" t="n">
        <v>2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300</v>
      </c>
      <c r="Z762" t="n">
        <v>152</v>
      </c>
      <c r="AA762" t="n">
        <v>90</v>
      </c>
      <c r="AB762" t="n">
        <v>2</v>
      </c>
      <c r="AC762" t="n">
        <v>2</v>
      </c>
      <c r="AD762" t="n">
        <v>11</v>
      </c>
      <c r="AE762" t="n">
        <v>15</v>
      </c>
      <c r="AF762" t="n">
        <v>9</v>
      </c>
      <c r="AG762" t="n">
        <v>3</v>
      </c>
      <c r="AH762" t="n">
        <v>89</v>
      </c>
      <c r="AI762" t="n">
        <v>127</v>
      </c>
      <c r="AJ762" t="n">
        <v>100</v>
      </c>
      <c r="AK762" t="n">
        <v>15</v>
      </c>
      <c r="AL762" t="n">
        <v>1</v>
      </c>
      <c r="AM762" t="n">
        <v>11</v>
      </c>
      <c r="AN762" t="n">
        <v>0</v>
      </c>
      <c r="AO762" t="n">
        <v>0</v>
      </c>
      <c r="AP762" t="n">
        <v>1</v>
      </c>
      <c r="AQ762" t="n">
        <v>9</v>
      </c>
      <c r="AR762" t="n">
        <v>88</v>
      </c>
      <c r="AS762" t="n">
        <v>79</v>
      </c>
      <c r="AT762" t="n">
        <v>4</v>
      </c>
      <c r="AU762" t="n">
        <v>0</v>
      </c>
      <c r="AV762" t="n">
        <v>22</v>
      </c>
      <c r="AW762" t="n">
        <v>1</v>
      </c>
      <c r="AX762" t="n">
        <v>0</v>
      </c>
      <c r="AY762" t="n">
        <v>35</v>
      </c>
      <c r="AZ762" t="n">
        <v>1</v>
      </c>
      <c r="BA762" t="n">
        <v>23</v>
      </c>
      <c r="BB762" t="n">
        <v>110</v>
      </c>
      <c r="BC762" t="n">
        <v>7</v>
      </c>
      <c r="BD762" t="n">
        <v>80</v>
      </c>
      <c r="BE762" t="n">
        <v>1</v>
      </c>
      <c r="BF762" t="n">
        <v>81</v>
      </c>
      <c r="BG762" t="n">
        <v>2</v>
      </c>
      <c r="BH762" t="n">
        <v>14</v>
      </c>
      <c r="BI762" t="n">
        <v>17</v>
      </c>
      <c r="BJ762" t="n">
        <v>18</v>
      </c>
      <c r="BK762" t="n">
        <v>4</v>
      </c>
      <c r="BL762" t="n">
        <v>22</v>
      </c>
      <c r="BM762" t="n">
        <v>29</v>
      </c>
      <c r="BN762" t="n">
        <v>11</v>
      </c>
      <c r="BO762" t="n">
        <v>2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186</v>
      </c>
      <c r="Z763" t="n">
        <v>235</v>
      </c>
      <c r="AA763" t="n">
        <v>18</v>
      </c>
      <c r="AB763" t="n">
        <v>1</v>
      </c>
      <c r="AC763" t="n">
        <v>0</v>
      </c>
      <c r="AD763" t="n">
        <v>0</v>
      </c>
      <c r="AE763" t="n">
        <v>4</v>
      </c>
      <c r="AF763" t="n">
        <v>6</v>
      </c>
      <c r="AG763" t="n">
        <v>5</v>
      </c>
      <c r="AH763" t="n">
        <v>28</v>
      </c>
      <c r="AI763" t="n">
        <v>56</v>
      </c>
      <c r="AJ763" t="n">
        <v>82</v>
      </c>
      <c r="AK763" t="n">
        <v>25</v>
      </c>
      <c r="AL763" t="n">
        <v>5</v>
      </c>
      <c r="AM763" t="n">
        <v>107</v>
      </c>
      <c r="AN763" t="n">
        <v>0</v>
      </c>
      <c r="AO763" t="n">
        <v>0</v>
      </c>
      <c r="AP763" t="n">
        <v>3</v>
      </c>
      <c r="AQ763" t="n">
        <v>9</v>
      </c>
      <c r="AR763" t="n">
        <v>64</v>
      </c>
      <c r="AS763" t="n">
        <v>56</v>
      </c>
      <c r="AT763" t="n">
        <v>0</v>
      </c>
      <c r="AU763" t="n">
        <v>2</v>
      </c>
      <c r="AV763" t="n">
        <v>3</v>
      </c>
      <c r="AW763" t="n">
        <v>16</v>
      </c>
      <c r="AX763" t="n">
        <v>0</v>
      </c>
      <c r="AY763" t="n">
        <v>3</v>
      </c>
      <c r="AZ763" t="n">
        <v>2</v>
      </c>
      <c r="BA763" t="n">
        <v>10</v>
      </c>
      <c r="BB763" t="n">
        <v>28</v>
      </c>
      <c r="BC763" t="n">
        <v>102</v>
      </c>
      <c r="BD763" t="n">
        <v>26</v>
      </c>
      <c r="BE763" t="n">
        <v>16</v>
      </c>
      <c r="BF763" t="n">
        <v>65</v>
      </c>
      <c r="BG763" t="n">
        <v>0</v>
      </c>
      <c r="BH763" t="n">
        <v>2</v>
      </c>
      <c r="BI763" t="n">
        <v>7</v>
      </c>
      <c r="BJ763" t="n">
        <v>30</v>
      </c>
      <c r="BK763" t="n">
        <v>5</v>
      </c>
      <c r="BL763" t="n">
        <v>47</v>
      </c>
      <c r="BM763" t="n">
        <v>32</v>
      </c>
      <c r="BN763" t="n">
        <v>0</v>
      </c>
      <c r="BO763" t="n">
        <v>37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2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243</v>
      </c>
      <c r="Z764" t="n">
        <v>104</v>
      </c>
      <c r="AA764" t="n">
        <v>73</v>
      </c>
      <c r="AB764" t="n">
        <v>2</v>
      </c>
      <c r="AC764" t="n">
        <v>0</v>
      </c>
      <c r="AD764" t="n">
        <v>10</v>
      </c>
      <c r="AE764" t="n">
        <v>1</v>
      </c>
      <c r="AF764" t="n">
        <v>2</v>
      </c>
      <c r="AG764" t="n">
        <v>1</v>
      </c>
      <c r="AH764" t="n">
        <v>72</v>
      </c>
      <c r="AI764" t="n">
        <v>8</v>
      </c>
      <c r="AJ764" t="n">
        <v>38</v>
      </c>
      <c r="AK764" t="n">
        <v>1</v>
      </c>
      <c r="AL764" t="n">
        <v>3</v>
      </c>
      <c r="AM764" t="n">
        <v>42</v>
      </c>
      <c r="AN764" t="n">
        <v>1</v>
      </c>
      <c r="AO764" t="n">
        <v>0</v>
      </c>
      <c r="AP764" t="n">
        <v>3</v>
      </c>
      <c r="AQ764" t="n">
        <v>13</v>
      </c>
      <c r="AR764" t="n">
        <v>168</v>
      </c>
      <c r="AS764" t="n">
        <v>151</v>
      </c>
      <c r="AT764" t="n">
        <v>3</v>
      </c>
      <c r="AU764" t="n">
        <v>1</v>
      </c>
      <c r="AV764" t="n">
        <v>41</v>
      </c>
      <c r="AW764" t="n">
        <v>6</v>
      </c>
      <c r="AX764" t="n">
        <v>2</v>
      </c>
      <c r="AY764" t="n">
        <v>51</v>
      </c>
      <c r="AZ764" t="n">
        <v>5</v>
      </c>
      <c r="BA764" t="n">
        <v>21</v>
      </c>
      <c r="BB764" t="n">
        <v>90</v>
      </c>
      <c r="BC764" t="n">
        <v>52</v>
      </c>
      <c r="BD764" t="n">
        <v>65</v>
      </c>
      <c r="BE764" t="n">
        <v>8</v>
      </c>
      <c r="BF764" t="n">
        <v>34</v>
      </c>
      <c r="BG764" t="n">
        <v>1</v>
      </c>
      <c r="BH764" t="n">
        <v>15</v>
      </c>
      <c r="BI764" t="n">
        <v>1</v>
      </c>
      <c r="BJ764" t="n">
        <v>1</v>
      </c>
      <c r="BK764" t="n">
        <v>0</v>
      </c>
      <c r="BL764" t="n">
        <v>1</v>
      </c>
      <c r="BM764" t="n">
        <v>26</v>
      </c>
      <c r="BN764" t="n">
        <v>15</v>
      </c>
      <c r="BO764" t="n">
        <v>2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4</v>
      </c>
      <c r="U765" t="n">
        <v>0</v>
      </c>
      <c r="V765" t="n">
        <v>0</v>
      </c>
      <c r="W765" t="n">
        <v>0</v>
      </c>
      <c r="X765" t="n">
        <v>0</v>
      </c>
      <c r="Y765" t="n">
        <v>175</v>
      </c>
      <c r="Z765" t="n">
        <v>189</v>
      </c>
      <c r="AA765" t="n">
        <v>104</v>
      </c>
      <c r="AB765" t="n">
        <v>0</v>
      </c>
      <c r="AC765" t="n">
        <v>0</v>
      </c>
      <c r="AD765" t="n">
        <v>4</v>
      </c>
      <c r="AE765" t="n">
        <v>6</v>
      </c>
      <c r="AF765" t="n">
        <v>3</v>
      </c>
      <c r="AG765" t="n">
        <v>1</v>
      </c>
      <c r="AH765" t="n">
        <v>39</v>
      </c>
      <c r="AI765" t="n">
        <v>44</v>
      </c>
      <c r="AJ765" t="n">
        <v>33</v>
      </c>
      <c r="AK765" t="n">
        <v>13</v>
      </c>
      <c r="AL765" t="n">
        <v>5</v>
      </c>
      <c r="AM765" t="n">
        <v>43</v>
      </c>
      <c r="AN765" t="n">
        <v>0</v>
      </c>
      <c r="AO765" t="n">
        <v>0</v>
      </c>
      <c r="AP765" t="n">
        <v>1</v>
      </c>
      <c r="AQ765" t="n">
        <v>1</v>
      </c>
      <c r="AR765" t="n">
        <v>25</v>
      </c>
      <c r="AS765" t="n">
        <v>22</v>
      </c>
      <c r="AT765" t="n">
        <v>2</v>
      </c>
      <c r="AU765" t="n">
        <v>1</v>
      </c>
      <c r="AV765" t="n">
        <v>10</v>
      </c>
      <c r="AW765" t="n">
        <v>34</v>
      </c>
      <c r="AX765" t="n">
        <v>0</v>
      </c>
      <c r="AY765" t="n">
        <v>1</v>
      </c>
      <c r="AZ765" t="n">
        <v>0</v>
      </c>
      <c r="BA765" t="n">
        <v>-1</v>
      </c>
      <c r="BB765" t="n">
        <v>102</v>
      </c>
      <c r="BC765" t="n">
        <v>36</v>
      </c>
      <c r="BD765" t="n">
        <v>35</v>
      </c>
      <c r="BE765" t="n">
        <v>33</v>
      </c>
      <c r="BF765" t="n">
        <v>30</v>
      </c>
      <c r="BG765" t="n">
        <v>1</v>
      </c>
      <c r="BH765" t="n">
        <v>9</v>
      </c>
      <c r="BI765" t="n">
        <v>7</v>
      </c>
      <c r="BJ765" t="n">
        <v>4</v>
      </c>
      <c r="BK765" t="n">
        <v>0</v>
      </c>
      <c r="BL765" t="n">
        <v>1</v>
      </c>
      <c r="BM765" t="n">
        <v>19</v>
      </c>
      <c r="BN765" t="n">
        <v>11</v>
      </c>
      <c r="BO765" t="n">
        <v>18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161</v>
      </c>
      <c r="Z766" t="n">
        <v>104</v>
      </c>
      <c r="AA766" t="n">
        <v>54</v>
      </c>
      <c r="AB766" t="n">
        <v>0</v>
      </c>
      <c r="AC766" t="n">
        <v>0</v>
      </c>
      <c r="AD766" t="n">
        <v>4</v>
      </c>
      <c r="AE766" t="n">
        <v>7</v>
      </c>
      <c r="AF766" t="n">
        <v>4</v>
      </c>
      <c r="AG766" t="n">
        <v>8</v>
      </c>
      <c r="AH766" t="n">
        <v>43</v>
      </c>
      <c r="AI766" t="n">
        <v>50</v>
      </c>
      <c r="AJ766" t="n">
        <v>42</v>
      </c>
      <c r="AK766" t="n">
        <v>63</v>
      </c>
      <c r="AL766" t="n">
        <v>2</v>
      </c>
      <c r="AM766" t="n">
        <v>2</v>
      </c>
      <c r="AN766" t="n">
        <v>0</v>
      </c>
      <c r="AO766" t="n">
        <v>0</v>
      </c>
      <c r="AP766" t="n">
        <v>3</v>
      </c>
      <c r="AQ766" t="n">
        <v>29</v>
      </c>
      <c r="AR766" t="n">
        <v>80</v>
      </c>
      <c r="AS766" t="n">
        <v>56</v>
      </c>
      <c r="AT766" t="n">
        <v>1</v>
      </c>
      <c r="AU766" t="n">
        <v>0</v>
      </c>
      <c r="AV766" t="n">
        <v>14</v>
      </c>
      <c r="AW766" t="n">
        <v>1</v>
      </c>
      <c r="AX766" t="n">
        <v>3</v>
      </c>
      <c r="AY766" t="n">
        <v>28</v>
      </c>
      <c r="AZ766" t="n">
        <v>2</v>
      </c>
      <c r="BA766" t="n">
        <v>12</v>
      </c>
      <c r="BB766" t="n">
        <v>64</v>
      </c>
      <c r="BC766" t="n">
        <v>2</v>
      </c>
      <c r="BD766" t="n">
        <v>38</v>
      </c>
      <c r="BE766" t="n">
        <v>1</v>
      </c>
      <c r="BF766" t="n">
        <v>33</v>
      </c>
      <c r="BG766" t="n">
        <v>2</v>
      </c>
      <c r="BH766" t="n">
        <v>6</v>
      </c>
      <c r="BI766" t="n">
        <v>14</v>
      </c>
      <c r="BJ766" t="n">
        <v>11</v>
      </c>
      <c r="BK766" t="n">
        <v>7</v>
      </c>
      <c r="BL766" t="n">
        <v>58</v>
      </c>
      <c r="BM766" t="n">
        <v>55</v>
      </c>
      <c r="BN766" t="n">
        <v>12</v>
      </c>
      <c r="BO766" t="n">
        <v>2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223</v>
      </c>
      <c r="Z767" t="n">
        <v>227</v>
      </c>
      <c r="AA767" t="n">
        <v>85</v>
      </c>
      <c r="AB767" t="n">
        <v>3</v>
      </c>
      <c r="AC767" t="n">
        <v>1</v>
      </c>
      <c r="AD767" t="n">
        <v>8</v>
      </c>
      <c r="AE767" t="n">
        <v>0</v>
      </c>
      <c r="AF767" t="n">
        <v>1</v>
      </c>
      <c r="AG767" t="n">
        <v>10</v>
      </c>
      <c r="AH767" t="n">
        <v>61</v>
      </c>
      <c r="AI767" t="n">
        <v>24</v>
      </c>
      <c r="AJ767" t="n">
        <v>32</v>
      </c>
      <c r="AK767" t="n">
        <v>48</v>
      </c>
      <c r="AL767" t="n">
        <v>6</v>
      </c>
      <c r="AM767" t="n">
        <v>73</v>
      </c>
      <c r="AN767" t="n">
        <v>0</v>
      </c>
      <c r="AO767" t="n">
        <v>0</v>
      </c>
      <c r="AP767" t="n">
        <v>6</v>
      </c>
      <c r="AQ767" t="n">
        <v>120</v>
      </c>
      <c r="AR767" t="n">
        <v>189</v>
      </c>
      <c r="AS767" t="n">
        <v>92</v>
      </c>
      <c r="AT767" t="n">
        <v>1</v>
      </c>
      <c r="AU767" t="n">
        <v>2</v>
      </c>
      <c r="AV767" t="n">
        <v>22</v>
      </c>
      <c r="AW767" t="n">
        <v>13</v>
      </c>
      <c r="AX767" t="n">
        <v>2</v>
      </c>
      <c r="AY767" t="n">
        <v>37</v>
      </c>
      <c r="AZ767" t="n">
        <v>4</v>
      </c>
      <c r="BA767" t="n">
        <v>23</v>
      </c>
      <c r="BB767" t="n">
        <v>103</v>
      </c>
      <c r="BC767" t="n">
        <v>61</v>
      </c>
      <c r="BD767" t="n">
        <v>54</v>
      </c>
      <c r="BE767" t="n">
        <v>17</v>
      </c>
      <c r="BF767" t="n">
        <v>25</v>
      </c>
      <c r="BG767" t="n">
        <v>0</v>
      </c>
      <c r="BH767" t="n">
        <v>9</v>
      </c>
      <c r="BI767" t="n">
        <v>1</v>
      </c>
      <c r="BJ767" t="n">
        <v>5</v>
      </c>
      <c r="BK767" t="n">
        <v>3</v>
      </c>
      <c r="BL767" t="n">
        <v>1</v>
      </c>
      <c r="BM767" t="n">
        <v>1</v>
      </c>
      <c r="BN767" t="n">
        <v>0</v>
      </c>
      <c r="BO767" t="n">
        <v>7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196</v>
      </c>
      <c r="Z768" t="n">
        <v>318</v>
      </c>
      <c r="AA768" t="n">
        <v>130</v>
      </c>
      <c r="AB768" t="n">
        <v>2</v>
      </c>
      <c r="AC768" t="n">
        <v>1</v>
      </c>
      <c r="AD768" t="n">
        <v>2</v>
      </c>
      <c r="AE768" t="n">
        <v>5</v>
      </c>
      <c r="AF768" t="n">
        <v>4</v>
      </c>
      <c r="AG768" t="n">
        <v>4</v>
      </c>
      <c r="AH768" t="n">
        <v>35</v>
      </c>
      <c r="AI768" t="n">
        <v>71</v>
      </c>
      <c r="AJ768" t="n">
        <v>12</v>
      </c>
      <c r="AK768" t="n">
        <v>32</v>
      </c>
      <c r="AL768" t="n">
        <v>2</v>
      </c>
      <c r="AM768" t="n">
        <v>46</v>
      </c>
      <c r="AN768" t="n">
        <v>0</v>
      </c>
      <c r="AO768" t="n">
        <v>1</v>
      </c>
      <c r="AP768" t="n">
        <v>4</v>
      </c>
      <c r="AQ768" t="n">
        <v>50</v>
      </c>
      <c r="AR768" t="n">
        <v>56</v>
      </c>
      <c r="AS768" t="n">
        <v>14</v>
      </c>
      <c r="AT768" t="n">
        <v>0</v>
      </c>
      <c r="AU768" t="n">
        <v>1</v>
      </c>
      <c r="AV768" t="n">
        <v>1</v>
      </c>
      <c r="AW768" t="n">
        <v>33</v>
      </c>
      <c r="AX768" t="n">
        <v>0</v>
      </c>
      <c r="AY768" t="n">
        <v>70</v>
      </c>
      <c r="AZ768" t="n">
        <v>1</v>
      </c>
      <c r="BA768" t="n">
        <v>11</v>
      </c>
      <c r="BB768" t="n">
        <v>133</v>
      </c>
      <c r="BC768" t="n">
        <v>42</v>
      </c>
      <c r="BD768" t="n">
        <v>31</v>
      </c>
      <c r="BE768" t="n">
        <v>33</v>
      </c>
      <c r="BF768" t="n">
        <v>12</v>
      </c>
      <c r="BG768" t="n">
        <v>2</v>
      </c>
      <c r="BH768" t="n">
        <v>20</v>
      </c>
      <c r="BI768" t="n">
        <v>54</v>
      </c>
      <c r="BJ768" t="n">
        <v>50</v>
      </c>
      <c r="BK768" t="n">
        <v>4</v>
      </c>
      <c r="BL768" t="n">
        <v>72</v>
      </c>
      <c r="BM768" t="n">
        <v>74</v>
      </c>
      <c r="BN768" t="n">
        <v>19</v>
      </c>
      <c r="BO768" t="n">
        <v>2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159</v>
      </c>
      <c r="Z769" t="n">
        <v>196</v>
      </c>
      <c r="AA769" t="n">
        <v>70</v>
      </c>
      <c r="AB769" t="n">
        <v>0</v>
      </c>
      <c r="AC769" t="n">
        <v>3</v>
      </c>
      <c r="AD769" t="n">
        <v>2</v>
      </c>
      <c r="AE769" t="n">
        <v>7</v>
      </c>
      <c r="AF769" t="n">
        <v>2</v>
      </c>
      <c r="AG769" t="n">
        <v>9</v>
      </c>
      <c r="AH769" t="n">
        <v>14</v>
      </c>
      <c r="AI769" t="n">
        <v>67</v>
      </c>
      <c r="AJ769" t="n">
        <v>14</v>
      </c>
      <c r="AK769" t="n">
        <v>69</v>
      </c>
      <c r="AL769" t="n">
        <v>5</v>
      </c>
      <c r="AM769" t="n">
        <v>40</v>
      </c>
      <c r="AN769" t="n">
        <v>1</v>
      </c>
      <c r="AO769" t="n">
        <v>0</v>
      </c>
      <c r="AP769" t="n">
        <v>1</v>
      </c>
      <c r="AQ769" t="n">
        <v>1</v>
      </c>
      <c r="AR769" t="n">
        <v>61</v>
      </c>
      <c r="AS769" t="n">
        <v>54</v>
      </c>
      <c r="AT769" t="n">
        <v>0</v>
      </c>
      <c r="AU769" t="n">
        <v>1</v>
      </c>
      <c r="AV769" t="n">
        <v>15</v>
      </c>
      <c r="AW769" t="n">
        <v>25</v>
      </c>
      <c r="AX769" t="n">
        <v>3</v>
      </c>
      <c r="AY769" t="n">
        <v>75</v>
      </c>
      <c r="AZ769" t="n">
        <v>0</v>
      </c>
      <c r="BA769" t="n">
        <v>1</v>
      </c>
      <c r="BB769" t="n">
        <v>68</v>
      </c>
      <c r="BC769" t="n">
        <v>38</v>
      </c>
      <c r="BD769" t="n">
        <v>14</v>
      </c>
      <c r="BE769" t="n">
        <v>25</v>
      </c>
      <c r="BF769" t="n">
        <v>11</v>
      </c>
      <c r="BG769" t="n">
        <v>0</v>
      </c>
      <c r="BH769" t="n">
        <v>12</v>
      </c>
      <c r="BI769" t="n">
        <v>1</v>
      </c>
      <c r="BJ769" t="n">
        <v>1</v>
      </c>
      <c r="BK769" t="n">
        <v>1</v>
      </c>
      <c r="BL769" t="n">
        <v>3</v>
      </c>
      <c r="BM769" t="n">
        <v>1</v>
      </c>
      <c r="BN769" t="n">
        <v>0</v>
      </c>
      <c r="BO769" t="n">
        <v>7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161</v>
      </c>
      <c r="Z770" t="n">
        <v>191</v>
      </c>
      <c r="AA770" t="n">
        <v>117</v>
      </c>
      <c r="AB770" t="n">
        <v>1</v>
      </c>
      <c r="AC770" t="n">
        <v>1</v>
      </c>
      <c r="AD770" t="n">
        <v>4</v>
      </c>
      <c r="AE770" t="n">
        <v>0</v>
      </c>
      <c r="AF770" t="n">
        <v>4</v>
      </c>
      <c r="AG770" t="n">
        <v>5</v>
      </c>
      <c r="AH770" t="n">
        <v>33</v>
      </c>
      <c r="AI770" t="n">
        <v>2</v>
      </c>
      <c r="AJ770" t="n">
        <v>22</v>
      </c>
      <c r="AK770" t="n">
        <v>15</v>
      </c>
      <c r="AL770" t="n">
        <v>10</v>
      </c>
      <c r="AM770" t="n">
        <v>129</v>
      </c>
      <c r="AN770" t="n">
        <v>0</v>
      </c>
      <c r="AO770" t="n">
        <v>0</v>
      </c>
      <c r="AP770" t="n">
        <v>5</v>
      </c>
      <c r="AQ770" t="n">
        <v>18</v>
      </c>
      <c r="AR770" t="n">
        <v>195</v>
      </c>
      <c r="AS770" t="n">
        <v>176</v>
      </c>
      <c r="AT770" t="n">
        <v>3</v>
      </c>
      <c r="AU770" t="n">
        <v>0</v>
      </c>
      <c r="AV770" t="n">
        <v>18</v>
      </c>
      <c r="AW770" t="n">
        <v>2</v>
      </c>
      <c r="AX770" t="n">
        <v>11</v>
      </c>
      <c r="AY770" t="n">
        <v>63</v>
      </c>
      <c r="AZ770" t="n">
        <v>0</v>
      </c>
      <c r="BA770" t="n">
        <v>1</v>
      </c>
      <c r="BB770" t="n">
        <v>114</v>
      </c>
      <c r="BC770" t="n">
        <v>105</v>
      </c>
      <c r="BD770" t="n">
        <v>29</v>
      </c>
      <c r="BE770" t="n">
        <v>1</v>
      </c>
      <c r="BF770" t="n">
        <v>18</v>
      </c>
      <c r="BG770" t="n">
        <v>0</v>
      </c>
      <c r="BH770" t="n">
        <v>21</v>
      </c>
      <c r="BI770" t="n">
        <v>5</v>
      </c>
      <c r="BJ770" t="n">
        <v>22</v>
      </c>
      <c r="BK770" t="n">
        <v>2</v>
      </c>
      <c r="BL770" t="n">
        <v>4</v>
      </c>
      <c r="BM770" t="n">
        <v>4</v>
      </c>
      <c r="BN770" t="n">
        <v>2</v>
      </c>
      <c r="BO770" t="n">
        <v>-3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2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325</v>
      </c>
      <c r="Z771" t="n">
        <v>191</v>
      </c>
      <c r="AA771" t="n">
        <v>85</v>
      </c>
      <c r="AB771" t="n">
        <v>2</v>
      </c>
      <c r="AC771" t="n">
        <v>1</v>
      </c>
      <c r="AD771" t="n">
        <v>8</v>
      </c>
      <c r="AE771" t="n">
        <v>8</v>
      </c>
      <c r="AF771" t="n">
        <v>1</v>
      </c>
      <c r="AG771" t="n">
        <v>0</v>
      </c>
      <c r="AH771" t="n">
        <v>164</v>
      </c>
      <c r="AI771" t="n">
        <v>74</v>
      </c>
      <c r="AJ771" t="n">
        <v>7</v>
      </c>
      <c r="AK771" t="n">
        <v>62</v>
      </c>
      <c r="AL771" t="n">
        <v>3</v>
      </c>
      <c r="AM771" t="n">
        <v>53</v>
      </c>
      <c r="AN771" t="n">
        <v>0</v>
      </c>
      <c r="AO771" t="n">
        <v>0</v>
      </c>
      <c r="AP771" t="n">
        <v>7</v>
      </c>
      <c r="AQ771" t="n">
        <v>65</v>
      </c>
      <c r="AR771" t="n">
        <v>81</v>
      </c>
      <c r="AS771" t="n">
        <v>23</v>
      </c>
      <c r="AT771" t="n">
        <v>1</v>
      </c>
      <c r="AU771" t="n">
        <v>0</v>
      </c>
      <c r="AV771" t="n">
        <v>5</v>
      </c>
      <c r="AW771" t="n">
        <v>4</v>
      </c>
      <c r="AX771" t="n">
        <v>0</v>
      </c>
      <c r="AY771" t="n">
        <v>37</v>
      </c>
      <c r="AZ771" t="n">
        <v>1</v>
      </c>
      <c r="BA771" t="n">
        <v>12</v>
      </c>
      <c r="BB771" t="n">
        <v>92</v>
      </c>
      <c r="BC771" t="n">
        <v>44</v>
      </c>
      <c r="BD771" t="n">
        <v>151</v>
      </c>
      <c r="BE771" t="n">
        <v>4</v>
      </c>
      <c r="BF771" t="n">
        <v>11</v>
      </c>
      <c r="BG771" t="n">
        <v>1</v>
      </c>
      <c r="BH771" t="n">
        <v>12</v>
      </c>
      <c r="BI771" t="n">
        <v>16</v>
      </c>
      <c r="BJ771" t="n">
        <v>14</v>
      </c>
      <c r="BK771" t="n">
        <v>3</v>
      </c>
      <c r="BL771" t="n">
        <v>14</v>
      </c>
      <c r="BM771" t="n">
        <v>31</v>
      </c>
      <c r="BN771" t="n">
        <v>15</v>
      </c>
      <c r="BO771" t="n">
        <v>2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319</v>
      </c>
      <c r="Z772" t="n">
        <v>376</v>
      </c>
      <c r="AA772" t="n">
        <v>67</v>
      </c>
      <c r="AB772" t="n">
        <v>1</v>
      </c>
      <c r="AC772" t="n">
        <v>2</v>
      </c>
      <c r="AD772" t="n">
        <v>10</v>
      </c>
      <c r="AE772" t="n">
        <v>13</v>
      </c>
      <c r="AF772" t="n">
        <v>4</v>
      </c>
      <c r="AG772" t="n">
        <v>4</v>
      </c>
      <c r="AH772" t="n">
        <v>100</v>
      </c>
      <c r="AI772" t="n">
        <v>110</v>
      </c>
      <c r="AJ772" t="n">
        <v>14</v>
      </c>
      <c r="AK772" t="n">
        <v>21</v>
      </c>
      <c r="AL772" t="n">
        <v>4</v>
      </c>
      <c r="AM772" t="n">
        <v>79</v>
      </c>
      <c r="AN772" t="n">
        <v>0</v>
      </c>
      <c r="AO772" t="n">
        <v>3</v>
      </c>
      <c r="AP772" t="n">
        <v>5</v>
      </c>
      <c r="AQ772" t="n">
        <v>61</v>
      </c>
      <c r="AR772" t="n">
        <v>139</v>
      </c>
      <c r="AS772" t="n">
        <v>86</v>
      </c>
      <c r="AT772" t="n">
        <v>5</v>
      </c>
      <c r="AU772" t="n">
        <v>3</v>
      </c>
      <c r="AV772" t="n">
        <v>56</v>
      </c>
      <c r="AW772" t="n">
        <v>71</v>
      </c>
      <c r="AX772" t="n">
        <v>1</v>
      </c>
      <c r="AY772" t="n">
        <v>3</v>
      </c>
      <c r="AZ772" t="n">
        <v>3</v>
      </c>
      <c r="BA772" t="n">
        <v>26</v>
      </c>
      <c r="BB772" t="n">
        <v>89</v>
      </c>
      <c r="BC772" t="n">
        <v>88</v>
      </c>
      <c r="BD772" t="n">
        <v>91</v>
      </c>
      <c r="BE772" t="n">
        <v>71</v>
      </c>
      <c r="BF772" t="n">
        <v>11</v>
      </c>
      <c r="BG772" t="n">
        <v>2</v>
      </c>
      <c r="BH772" t="n">
        <v>26</v>
      </c>
      <c r="BI772" t="n">
        <v>27</v>
      </c>
      <c r="BJ772" t="n">
        <v>32</v>
      </c>
      <c r="BK772" t="n">
        <v>0</v>
      </c>
      <c r="BL772" t="n">
        <v>1</v>
      </c>
      <c r="BM772" t="n">
        <v>31</v>
      </c>
      <c r="BN772" t="n">
        <v>18</v>
      </c>
      <c r="BO772" t="n">
        <v>138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210</v>
      </c>
      <c r="Z773" t="n">
        <v>266</v>
      </c>
      <c r="AA773" t="n">
        <v>10</v>
      </c>
      <c r="AB773" t="n">
        <v>4</v>
      </c>
      <c r="AC773" t="n">
        <v>0</v>
      </c>
      <c r="AD773" t="n">
        <v>6</v>
      </c>
      <c r="AE773" t="n">
        <v>10</v>
      </c>
      <c r="AF773" t="n">
        <v>7</v>
      </c>
      <c r="AG773" t="n">
        <v>2</v>
      </c>
      <c r="AH773" t="n">
        <v>72</v>
      </c>
      <c r="AI773" t="n">
        <v>96</v>
      </c>
      <c r="AJ773" t="n">
        <v>86</v>
      </c>
      <c r="AK773" t="n">
        <v>1</v>
      </c>
      <c r="AL773" t="n">
        <v>0</v>
      </c>
      <c r="AM773" t="n">
        <v>58</v>
      </c>
      <c r="AN773" t="n">
        <v>0</v>
      </c>
      <c r="AO773" t="n">
        <v>0</v>
      </c>
      <c r="AP773" t="n">
        <v>5</v>
      </c>
      <c r="AQ773" t="n">
        <v>38</v>
      </c>
      <c r="AR773" t="n">
        <v>101</v>
      </c>
      <c r="AS773" t="n">
        <v>69</v>
      </c>
      <c r="AT773" t="n">
        <v>2</v>
      </c>
      <c r="AU773" t="n">
        <v>1</v>
      </c>
      <c r="AV773" t="n">
        <v>8</v>
      </c>
      <c r="AW773" t="n">
        <v>5</v>
      </c>
      <c r="AX773" t="n">
        <v>11</v>
      </c>
      <c r="AY773" t="n">
        <v>1</v>
      </c>
      <c r="AZ773" t="n">
        <v>3</v>
      </c>
      <c r="BA773" t="n">
        <v>2</v>
      </c>
      <c r="BB773" t="n">
        <v>11</v>
      </c>
      <c r="BC773" t="n">
        <v>54</v>
      </c>
      <c r="BD773" t="n">
        <v>64</v>
      </c>
      <c r="BE773" t="n">
        <v>6</v>
      </c>
      <c r="BF773" t="n">
        <v>69</v>
      </c>
      <c r="BG773" t="n">
        <v>3</v>
      </c>
      <c r="BH773" t="n">
        <v>4</v>
      </c>
      <c r="BI773" t="n">
        <v>13</v>
      </c>
      <c r="BJ773" t="n">
        <v>20</v>
      </c>
      <c r="BK773" t="n">
        <v>6</v>
      </c>
      <c r="BL773" t="n">
        <v>67</v>
      </c>
      <c r="BM773" t="n">
        <v>46</v>
      </c>
      <c r="BN773" t="n">
        <v>0</v>
      </c>
      <c r="BO773" t="n">
        <v>2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277</v>
      </c>
      <c r="Z774" t="n">
        <v>152</v>
      </c>
      <c r="AA774" t="n">
        <v>64</v>
      </c>
      <c r="AB774" t="n">
        <v>0</v>
      </c>
      <c r="AC774" t="n">
        <v>1</v>
      </c>
      <c r="AD774" t="n">
        <v>2</v>
      </c>
      <c r="AE774" t="n">
        <v>7</v>
      </c>
      <c r="AF774" t="n">
        <v>8</v>
      </c>
      <c r="AG774" t="n">
        <v>3</v>
      </c>
      <c r="AH774" t="n">
        <v>34</v>
      </c>
      <c r="AI774" t="n">
        <v>59</v>
      </c>
      <c r="AJ774" t="n">
        <v>81</v>
      </c>
      <c r="AK774" t="n">
        <v>48</v>
      </c>
      <c r="AL774" t="n">
        <v>2</v>
      </c>
      <c r="AM774" t="n">
        <v>65</v>
      </c>
      <c r="AN774" t="n">
        <v>0</v>
      </c>
      <c r="AO774" t="n">
        <v>0</v>
      </c>
      <c r="AP774" t="n">
        <v>0</v>
      </c>
      <c r="AQ774" t="n">
        <v>1</v>
      </c>
      <c r="AR774" t="n">
        <v>100</v>
      </c>
      <c r="AS774" t="n">
        <v>92</v>
      </c>
      <c r="AT774" t="n">
        <v>1</v>
      </c>
      <c r="AU774" t="n">
        <v>1</v>
      </c>
      <c r="AV774" t="n">
        <v>56</v>
      </c>
      <c r="AW774" t="n">
        <v>4</v>
      </c>
      <c r="AX774" t="n">
        <v>0</v>
      </c>
      <c r="AY774" t="n">
        <v>26</v>
      </c>
      <c r="AZ774" t="n">
        <v>1</v>
      </c>
      <c r="BA774" t="n">
        <v>1</v>
      </c>
      <c r="BB774" t="n">
        <v>63</v>
      </c>
      <c r="BC774" t="n">
        <v>61</v>
      </c>
      <c r="BD774" t="n">
        <v>33</v>
      </c>
      <c r="BE774" t="n">
        <v>7</v>
      </c>
      <c r="BF774" t="n">
        <v>72</v>
      </c>
      <c r="BG774" t="n">
        <v>3</v>
      </c>
      <c r="BH774" t="n">
        <v>3</v>
      </c>
      <c r="BI774" t="n">
        <v>50</v>
      </c>
      <c r="BJ774" t="n">
        <v>50</v>
      </c>
      <c r="BK774" t="n">
        <v>0</v>
      </c>
      <c r="BL774" t="n">
        <v>1</v>
      </c>
      <c r="BM774" t="n">
        <v>74</v>
      </c>
      <c r="BN774" t="n">
        <v>50</v>
      </c>
      <c r="BO774" t="n">
        <v>18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2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161</v>
      </c>
      <c r="Z775" t="n">
        <v>228</v>
      </c>
      <c r="AA775" t="n">
        <v>30</v>
      </c>
      <c r="AB775" t="n">
        <v>1</v>
      </c>
      <c r="AC775" t="n">
        <v>1</v>
      </c>
      <c r="AD775" t="n">
        <v>6</v>
      </c>
      <c r="AE775" t="n">
        <v>3</v>
      </c>
      <c r="AF775" t="n">
        <v>0</v>
      </c>
      <c r="AG775" t="n">
        <v>0</v>
      </c>
      <c r="AH775" t="n">
        <v>79</v>
      </c>
      <c r="AI775" t="n">
        <v>15</v>
      </c>
      <c r="AJ775" t="n">
        <v>2</v>
      </c>
      <c r="AK775" t="n">
        <v>1</v>
      </c>
      <c r="AL775" t="n">
        <v>3</v>
      </c>
      <c r="AM775" t="n">
        <v>54</v>
      </c>
      <c r="AN775" t="n">
        <v>0</v>
      </c>
      <c r="AO775" t="n">
        <v>0</v>
      </c>
      <c r="AP775" t="n">
        <v>5</v>
      </c>
      <c r="AQ775" t="n">
        <v>27</v>
      </c>
      <c r="AR775" t="n">
        <v>93</v>
      </c>
      <c r="AS775" t="n">
        <v>69</v>
      </c>
      <c r="AT775" t="n">
        <v>4</v>
      </c>
      <c r="AU775" t="n">
        <v>2</v>
      </c>
      <c r="AV775" t="n">
        <v>38</v>
      </c>
      <c r="AW775" t="n">
        <v>41</v>
      </c>
      <c r="AX775" t="n">
        <v>0</v>
      </c>
      <c r="AY775" t="n">
        <v>48</v>
      </c>
      <c r="AZ775" t="n">
        <v>1</v>
      </c>
      <c r="BA775" t="n">
        <v>1</v>
      </c>
      <c r="BB775" t="n">
        <v>30</v>
      </c>
      <c r="BC775" t="n">
        <v>45</v>
      </c>
      <c r="BD775" t="n">
        <v>71</v>
      </c>
      <c r="BE775" t="n">
        <v>41</v>
      </c>
      <c r="BF775" t="n">
        <v>-2</v>
      </c>
      <c r="BG775" t="n">
        <v>0</v>
      </c>
      <c r="BH775" t="n">
        <v>6</v>
      </c>
      <c r="BI775" t="n">
        <v>8</v>
      </c>
      <c r="BJ775" t="n">
        <v>9</v>
      </c>
      <c r="BK775" t="n">
        <v>0</v>
      </c>
      <c r="BL775" t="n">
        <v>1</v>
      </c>
      <c r="BM775" t="n">
        <v>9</v>
      </c>
      <c r="BN775" t="n">
        <v>5</v>
      </c>
      <c r="BO775" t="n">
        <v>9</v>
      </c>
    </row>
    <row r="776">
      <c r="A776" t="n">
        <v>1</v>
      </c>
      <c r="B776" t="n">
        <v>1</v>
      </c>
      <c r="C776" t="n">
        <v>2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335</v>
      </c>
      <c r="Z776" t="n">
        <v>219</v>
      </c>
      <c r="AA776" t="n">
        <v>7</v>
      </c>
      <c r="AB776" t="n">
        <v>2</v>
      </c>
      <c r="AC776" t="n">
        <v>1</v>
      </c>
      <c r="AD776" t="n">
        <v>3</v>
      </c>
      <c r="AE776" t="n">
        <v>7</v>
      </c>
      <c r="AF776" t="n">
        <v>2</v>
      </c>
      <c r="AG776" t="n">
        <v>8</v>
      </c>
      <c r="AH776" t="n">
        <v>108</v>
      </c>
      <c r="AI776" t="n">
        <v>80</v>
      </c>
      <c r="AJ776" t="n">
        <v>6</v>
      </c>
      <c r="AK776" t="n">
        <v>33</v>
      </c>
      <c r="AL776" t="n">
        <v>1</v>
      </c>
      <c r="AM776" t="n">
        <v>32</v>
      </c>
      <c r="AN776" t="n">
        <v>0</v>
      </c>
      <c r="AO776" t="n">
        <v>0</v>
      </c>
      <c r="AP776" t="n">
        <v>4</v>
      </c>
      <c r="AQ776" t="n">
        <v>38</v>
      </c>
      <c r="AR776" t="n">
        <v>69</v>
      </c>
      <c r="AS776" t="n">
        <v>37</v>
      </c>
      <c r="AT776" t="n">
        <v>2</v>
      </c>
      <c r="AU776" t="n">
        <v>1</v>
      </c>
      <c r="AV776" t="n">
        <v>24</v>
      </c>
      <c r="AW776" t="n">
        <v>20</v>
      </c>
      <c r="AX776" t="n">
        <v>1</v>
      </c>
      <c r="AY776" t="n">
        <v>46</v>
      </c>
      <c r="AZ776" t="n">
        <v>3</v>
      </c>
      <c r="BA776" t="n">
        <v>17</v>
      </c>
      <c r="BB776" t="n">
        <v>25</v>
      </c>
      <c r="BC776" t="n">
        <v>27</v>
      </c>
      <c r="BD776" t="n">
        <v>105</v>
      </c>
      <c r="BE776" t="n">
        <v>25</v>
      </c>
      <c r="BF776" t="n">
        <v>7</v>
      </c>
      <c r="BG776" t="n">
        <v>1</v>
      </c>
      <c r="BH776" t="n">
        <v>20</v>
      </c>
      <c r="BI776" t="n">
        <v>22</v>
      </c>
      <c r="BJ776" t="n">
        <v>24</v>
      </c>
      <c r="BK776" t="n">
        <v>0</v>
      </c>
      <c r="BL776" t="n">
        <v>1</v>
      </c>
      <c r="BM776" t="n">
        <v>70</v>
      </c>
      <c r="BN776" t="n">
        <v>47</v>
      </c>
      <c r="BO776" t="n">
        <v>2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361</v>
      </c>
      <c r="Z777" t="n">
        <v>213</v>
      </c>
      <c r="AA777" t="n">
        <v>43</v>
      </c>
      <c r="AB777" t="n">
        <v>0</v>
      </c>
      <c r="AC777" t="n">
        <v>1</v>
      </c>
      <c r="AD777" t="n">
        <v>7</v>
      </c>
      <c r="AE777" t="n">
        <v>4</v>
      </c>
      <c r="AF777" t="n">
        <v>3</v>
      </c>
      <c r="AG777" t="n">
        <v>4</v>
      </c>
      <c r="AH777" t="n">
        <v>122</v>
      </c>
      <c r="AI777" t="n">
        <v>59</v>
      </c>
      <c r="AJ777" t="n">
        <v>54</v>
      </c>
      <c r="AK777" t="n">
        <v>39</v>
      </c>
      <c r="AL777" t="n">
        <v>1</v>
      </c>
      <c r="AM777" t="n">
        <v>22</v>
      </c>
      <c r="AN777" t="n">
        <v>1</v>
      </c>
      <c r="AO777" t="n">
        <v>0</v>
      </c>
      <c r="AP777" t="n">
        <v>7</v>
      </c>
      <c r="AQ777" t="n">
        <v>106</v>
      </c>
      <c r="AR777" t="n">
        <v>175</v>
      </c>
      <c r="AS777" t="n">
        <v>81</v>
      </c>
      <c r="AT777" t="n">
        <v>2</v>
      </c>
      <c r="AU777" t="n">
        <v>1</v>
      </c>
      <c r="AV777" t="n">
        <v>28</v>
      </c>
      <c r="AW777" t="n">
        <v>15</v>
      </c>
      <c r="AX777" t="n">
        <v>0</v>
      </c>
      <c r="AY777" t="n">
        <v>54</v>
      </c>
      <c r="AZ777" t="n">
        <v>2</v>
      </c>
      <c r="BA777" t="n">
        <v>10</v>
      </c>
      <c r="BB777" t="n">
        <v>51</v>
      </c>
      <c r="BC777" t="n">
        <v>19</v>
      </c>
      <c r="BD777" t="n">
        <v>115</v>
      </c>
      <c r="BE777" t="n">
        <v>18</v>
      </c>
      <c r="BF777" t="n">
        <v>90</v>
      </c>
      <c r="BG777" t="n">
        <v>7</v>
      </c>
      <c r="BH777" t="n">
        <v>2</v>
      </c>
      <c r="BI777" t="n">
        <v>80</v>
      </c>
      <c r="BJ777" t="n">
        <v>74</v>
      </c>
      <c r="BK777" t="n">
        <v>3</v>
      </c>
      <c r="BL777" t="n">
        <v>64</v>
      </c>
      <c r="BM777" t="n">
        <v>55</v>
      </c>
      <c r="BN777" t="n">
        <v>10</v>
      </c>
      <c r="BO777" t="n">
        <v>91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362</v>
      </c>
      <c r="Z778" t="n">
        <v>379</v>
      </c>
      <c r="AA778" t="n">
        <v>72</v>
      </c>
      <c r="AB778" t="n">
        <v>2</v>
      </c>
      <c r="AC778" t="n">
        <v>0</v>
      </c>
      <c r="AD778" t="n">
        <v>4</v>
      </c>
      <c r="AE778" t="n">
        <v>6</v>
      </c>
      <c r="AF778" t="n">
        <v>2</v>
      </c>
      <c r="AG778" t="n">
        <v>8</v>
      </c>
      <c r="AH778" t="n">
        <v>78</v>
      </c>
      <c r="AI778" t="n">
        <v>131</v>
      </c>
      <c r="AJ778" t="n">
        <v>109</v>
      </c>
      <c r="AK778" t="n">
        <v>56</v>
      </c>
      <c r="AL778" t="n">
        <v>7</v>
      </c>
      <c r="AM778" t="n">
        <v>106</v>
      </c>
      <c r="AN778" t="n">
        <v>1</v>
      </c>
      <c r="AO778" t="n">
        <v>0</v>
      </c>
      <c r="AP778" t="n">
        <v>9</v>
      </c>
      <c r="AQ778" t="n">
        <v>143</v>
      </c>
      <c r="AR778" t="n">
        <v>230</v>
      </c>
      <c r="AS778" t="n">
        <v>111</v>
      </c>
      <c r="AT778" t="n">
        <v>4</v>
      </c>
      <c r="AU778" t="n">
        <v>3</v>
      </c>
      <c r="AV778" t="n">
        <v>19</v>
      </c>
      <c r="AW778" t="n">
        <v>43</v>
      </c>
      <c r="AX778" t="n">
        <v>1</v>
      </c>
      <c r="AY778" t="n">
        <v>37</v>
      </c>
      <c r="AZ778" t="n">
        <v>3</v>
      </c>
      <c r="BA778" t="n">
        <v>41</v>
      </c>
      <c r="BB778" t="n">
        <v>112</v>
      </c>
      <c r="BC778" t="n">
        <v>87</v>
      </c>
      <c r="BD778" t="n">
        <v>71</v>
      </c>
      <c r="BE778" t="n">
        <v>50</v>
      </c>
      <c r="BF778" t="n">
        <v>94</v>
      </c>
      <c r="BG778" t="n">
        <v>3</v>
      </c>
      <c r="BH778" t="n">
        <v>0</v>
      </c>
      <c r="BI778" t="n">
        <v>46</v>
      </c>
      <c r="BJ778" t="n">
        <v>42</v>
      </c>
      <c r="BK778" t="n">
        <v>1</v>
      </c>
      <c r="BL778" t="n">
        <v>1</v>
      </c>
      <c r="BM778" t="n">
        <v>52</v>
      </c>
      <c r="BN778" t="n">
        <v>34</v>
      </c>
      <c r="BO778" t="n">
        <v>2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246</v>
      </c>
      <c r="Z779" t="n">
        <v>183</v>
      </c>
      <c r="AA779" t="n">
        <v>77</v>
      </c>
      <c r="AB779" t="n">
        <v>0</v>
      </c>
      <c r="AC779" t="n">
        <v>1</v>
      </c>
      <c r="AD779" t="n">
        <v>5</v>
      </c>
      <c r="AE779" t="n">
        <v>11</v>
      </c>
      <c r="AF779" t="n">
        <v>5</v>
      </c>
      <c r="AG779" t="n">
        <v>2</v>
      </c>
      <c r="AH779" t="n">
        <v>77</v>
      </c>
      <c r="AI779" t="n">
        <v>120</v>
      </c>
      <c r="AJ779" t="n">
        <v>44</v>
      </c>
      <c r="AK779" t="n">
        <v>54</v>
      </c>
      <c r="AL779" t="n">
        <v>2</v>
      </c>
      <c r="AM779" t="n">
        <v>25</v>
      </c>
      <c r="AN779" t="n">
        <v>0</v>
      </c>
      <c r="AO779" t="n">
        <v>0</v>
      </c>
      <c r="AP779" t="n">
        <v>2</v>
      </c>
      <c r="AQ779" t="n">
        <v>-3</v>
      </c>
      <c r="AR779" t="n">
        <v>51</v>
      </c>
      <c r="AS779" t="n">
        <v>50</v>
      </c>
      <c r="AT779" t="n">
        <v>5</v>
      </c>
      <c r="AU779" t="n">
        <v>2</v>
      </c>
      <c r="AV779" t="n">
        <v>28</v>
      </c>
      <c r="AW779" t="n">
        <v>12</v>
      </c>
      <c r="AX779" t="n">
        <v>4</v>
      </c>
      <c r="AY779" t="n">
        <v>26</v>
      </c>
      <c r="AZ779" t="n">
        <v>4</v>
      </c>
      <c r="BA779" t="n">
        <v>22</v>
      </c>
      <c r="BB779" t="n">
        <v>95</v>
      </c>
      <c r="BC779" t="n">
        <v>23</v>
      </c>
      <c r="BD779" t="n">
        <v>70</v>
      </c>
      <c r="BE779" t="n">
        <v>12</v>
      </c>
      <c r="BF779" t="n">
        <v>50</v>
      </c>
      <c r="BG779" t="n">
        <v>0</v>
      </c>
      <c r="BH779" t="n">
        <v>9</v>
      </c>
      <c r="BI779" t="n">
        <v>4</v>
      </c>
      <c r="BJ779" t="n">
        <v>30</v>
      </c>
      <c r="BK779" t="n">
        <v>0</v>
      </c>
      <c r="BL779" t="n">
        <v>3</v>
      </c>
      <c r="BM779" t="n">
        <v>1</v>
      </c>
      <c r="BN779" t="n">
        <v>0</v>
      </c>
      <c r="BO779" t="n">
        <v>2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139</v>
      </c>
      <c r="Z780" t="n">
        <v>166</v>
      </c>
      <c r="AA780" t="n">
        <v>59</v>
      </c>
      <c r="AB780" t="n">
        <v>1</v>
      </c>
      <c r="AC780" t="n">
        <v>1</v>
      </c>
      <c r="AD780" t="n">
        <v>4</v>
      </c>
      <c r="AE780" t="n">
        <v>16</v>
      </c>
      <c r="AF780" t="n">
        <v>2</v>
      </c>
      <c r="AG780" t="n">
        <v>0</v>
      </c>
      <c r="AH780" t="n">
        <v>23</v>
      </c>
      <c r="AI780" t="n">
        <v>170</v>
      </c>
      <c r="AJ780" t="n">
        <v>23</v>
      </c>
      <c r="AK780" t="n">
        <v>1</v>
      </c>
      <c r="AL780" t="n">
        <v>3</v>
      </c>
      <c r="AM780" t="n">
        <v>14</v>
      </c>
      <c r="AN780" t="n">
        <v>0</v>
      </c>
      <c r="AO780" t="n">
        <v>0</v>
      </c>
      <c r="AP780" t="n">
        <v>0</v>
      </c>
      <c r="AQ780" t="n">
        <v>3</v>
      </c>
      <c r="AR780" t="n">
        <v>48</v>
      </c>
      <c r="AS780" t="n">
        <v>42</v>
      </c>
      <c r="AT780" t="n">
        <v>2</v>
      </c>
      <c r="AU780" t="n">
        <v>2</v>
      </c>
      <c r="AV780" t="n">
        <v>21</v>
      </c>
      <c r="AW780" t="n">
        <v>4</v>
      </c>
      <c r="AX780" t="n">
        <v>8</v>
      </c>
      <c r="AY780" t="n">
        <v>68</v>
      </c>
      <c r="AZ780" t="n">
        <v>0</v>
      </c>
      <c r="BA780" t="n">
        <v>1</v>
      </c>
      <c r="BB780" t="n">
        <v>57</v>
      </c>
      <c r="BC780" t="n">
        <v>11</v>
      </c>
      <c r="BD780" t="n">
        <v>22</v>
      </c>
      <c r="BE780" t="n">
        <v>4</v>
      </c>
      <c r="BF780" t="n">
        <v>33</v>
      </c>
      <c r="BG780" t="n">
        <v>3</v>
      </c>
      <c r="BH780" t="n">
        <v>0</v>
      </c>
      <c r="BI780" t="n">
        <v>26</v>
      </c>
      <c r="BJ780" t="n">
        <v>39</v>
      </c>
      <c r="BK780" t="n">
        <v>2</v>
      </c>
      <c r="BL780" t="n">
        <v>1</v>
      </c>
      <c r="BM780" t="n">
        <v>6</v>
      </c>
      <c r="BN780" t="n">
        <v>3</v>
      </c>
      <c r="BO780" t="n">
        <v>2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245</v>
      </c>
      <c r="Z781" t="n">
        <v>232</v>
      </c>
      <c r="AA781" t="n">
        <v>38</v>
      </c>
      <c r="AB781" t="n">
        <v>1</v>
      </c>
      <c r="AC781" t="n">
        <v>2</v>
      </c>
      <c r="AD781" t="n">
        <v>5</v>
      </c>
      <c r="AE781" t="n">
        <v>1</v>
      </c>
      <c r="AF781" t="n">
        <v>0</v>
      </c>
      <c r="AG781" t="n">
        <v>1</v>
      </c>
      <c r="AH781" t="n">
        <v>67</v>
      </c>
      <c r="AI781" t="n">
        <v>2</v>
      </c>
      <c r="AJ781" t="n">
        <v>2</v>
      </c>
      <c r="AK781" t="n">
        <v>7</v>
      </c>
      <c r="AL781" t="n">
        <v>4</v>
      </c>
      <c r="AM781" t="n">
        <v>55</v>
      </c>
      <c r="AN781" t="n">
        <v>0</v>
      </c>
      <c r="AO781" t="n">
        <v>0</v>
      </c>
      <c r="AP781" t="n">
        <v>3</v>
      </c>
      <c r="AQ781" t="n">
        <v>36</v>
      </c>
      <c r="AR781" t="n">
        <v>197</v>
      </c>
      <c r="AS781" t="n">
        <v>165</v>
      </c>
      <c r="AT781" t="n">
        <v>0</v>
      </c>
      <c r="AU781" t="n">
        <v>2</v>
      </c>
      <c r="AV781" t="n">
        <v>13</v>
      </c>
      <c r="AW781" t="n">
        <v>35</v>
      </c>
      <c r="AX781" t="n">
        <v>3</v>
      </c>
      <c r="AY781" t="n">
        <v>4</v>
      </c>
      <c r="AZ781" t="n">
        <v>2</v>
      </c>
      <c r="BA781" t="n">
        <v>17</v>
      </c>
      <c r="BB781" t="n">
        <v>52</v>
      </c>
      <c r="BC781" t="n">
        <v>46</v>
      </c>
      <c r="BD781" t="n">
        <v>59</v>
      </c>
      <c r="BE781" t="n">
        <v>34</v>
      </c>
      <c r="BF781" t="n">
        <v>2</v>
      </c>
      <c r="BG781" t="n">
        <v>0</v>
      </c>
      <c r="BH781" t="n">
        <v>21</v>
      </c>
      <c r="BI781" t="n">
        <v>45</v>
      </c>
      <c r="BJ781" t="n">
        <v>45</v>
      </c>
      <c r="BK781" t="n">
        <v>1</v>
      </c>
      <c r="BL781" t="n">
        <v>22</v>
      </c>
      <c r="BM781" t="n">
        <v>21</v>
      </c>
      <c r="BN781" t="n">
        <v>5</v>
      </c>
      <c r="BO781" t="n">
        <v>-7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4</v>
      </c>
      <c r="U782" t="n">
        <v>1</v>
      </c>
      <c r="V782" t="n">
        <v>0</v>
      </c>
      <c r="W782" t="n">
        <v>0</v>
      </c>
      <c r="X782" t="n">
        <v>0</v>
      </c>
      <c r="Y782" t="n">
        <v>191</v>
      </c>
      <c r="Z782" t="n">
        <v>209</v>
      </c>
      <c r="AA782" t="n">
        <v>71</v>
      </c>
      <c r="AB782" t="n">
        <v>0</v>
      </c>
      <c r="AC782" t="n">
        <v>4</v>
      </c>
      <c r="AD782" t="n">
        <v>2</v>
      </c>
      <c r="AE782" t="n">
        <v>4</v>
      </c>
      <c r="AF782" t="n">
        <v>4</v>
      </c>
      <c r="AG782" t="n">
        <v>3</v>
      </c>
      <c r="AH782" t="n">
        <v>41</v>
      </c>
      <c r="AI782" t="n">
        <v>53</v>
      </c>
      <c r="AJ782" t="n">
        <v>11</v>
      </c>
      <c r="AK782" t="n">
        <v>24</v>
      </c>
      <c r="AL782" t="n">
        <v>4</v>
      </c>
      <c r="AM782" t="n">
        <v>48</v>
      </c>
      <c r="AN782" t="n">
        <v>0</v>
      </c>
      <c r="AO782" t="n">
        <v>0</v>
      </c>
      <c r="AP782" t="n">
        <v>5</v>
      </c>
      <c r="AQ782" t="n">
        <v>32</v>
      </c>
      <c r="AR782" t="n">
        <v>87</v>
      </c>
      <c r="AS782" t="n">
        <v>61</v>
      </c>
      <c r="AT782" t="n">
        <v>4</v>
      </c>
      <c r="AU782" t="n">
        <v>2</v>
      </c>
      <c r="AV782" t="n">
        <v>18</v>
      </c>
      <c r="AW782" t="n">
        <v>19</v>
      </c>
      <c r="AX782" t="n">
        <v>5</v>
      </c>
      <c r="AY782" t="n">
        <v>61</v>
      </c>
      <c r="AZ782" t="n">
        <v>5</v>
      </c>
      <c r="BA782" t="n">
        <v>48</v>
      </c>
      <c r="BB782" t="n">
        <v>120</v>
      </c>
      <c r="BC782" t="n">
        <v>42</v>
      </c>
      <c r="BD782" t="n">
        <v>36</v>
      </c>
      <c r="BE782" t="n">
        <v>19</v>
      </c>
      <c r="BF782" t="n">
        <v>8</v>
      </c>
      <c r="BG782" t="n">
        <v>3</v>
      </c>
      <c r="BH782" t="n">
        <v>7</v>
      </c>
      <c r="BI782" t="n">
        <v>48</v>
      </c>
      <c r="BJ782" t="n">
        <v>45</v>
      </c>
      <c r="BK782" t="n">
        <v>3</v>
      </c>
      <c r="BL782" t="n">
        <v>21</v>
      </c>
      <c r="BM782" t="n">
        <v>14</v>
      </c>
      <c r="BN782" t="n">
        <v>0</v>
      </c>
      <c r="BO782" t="n">
        <v>32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3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197</v>
      </c>
      <c r="Z783" t="n">
        <v>274</v>
      </c>
      <c r="AA783" t="n">
        <v>20</v>
      </c>
      <c r="AB783" t="n">
        <v>2</v>
      </c>
      <c r="AC783" t="n">
        <v>2</v>
      </c>
      <c r="AD783" t="n">
        <v>1</v>
      </c>
      <c r="AE783" t="n">
        <v>10</v>
      </c>
      <c r="AF783" t="n">
        <v>3</v>
      </c>
      <c r="AG783" t="n">
        <v>3</v>
      </c>
      <c r="AH783" t="n">
        <v>2</v>
      </c>
      <c r="AI783" t="n">
        <v>74</v>
      </c>
      <c r="AJ783" t="n">
        <v>34</v>
      </c>
      <c r="AK783" t="n">
        <v>59</v>
      </c>
      <c r="AL783" t="n">
        <v>3</v>
      </c>
      <c r="AM783" t="n">
        <v>61</v>
      </c>
      <c r="AN783" t="n">
        <v>0</v>
      </c>
      <c r="AO783" t="n">
        <v>0</v>
      </c>
      <c r="AP783" t="n">
        <v>1</v>
      </c>
      <c r="AQ783" t="n">
        <v>21</v>
      </c>
      <c r="AR783" t="n">
        <v>36</v>
      </c>
      <c r="AS783" t="n">
        <v>20</v>
      </c>
      <c r="AT783" t="n">
        <v>1</v>
      </c>
      <c r="AU783" t="n">
        <v>2</v>
      </c>
      <c r="AV783" t="n">
        <v>8</v>
      </c>
      <c r="AW783" t="n">
        <v>47</v>
      </c>
      <c r="AX783" t="n">
        <v>-2</v>
      </c>
      <c r="AY783" t="n">
        <v>10</v>
      </c>
      <c r="AZ783" t="n">
        <v>2</v>
      </c>
      <c r="BA783" t="n">
        <v>23</v>
      </c>
      <c r="BB783" t="n">
        <v>44</v>
      </c>
      <c r="BC783" t="n">
        <v>51</v>
      </c>
      <c r="BD783" t="n">
        <v>38</v>
      </c>
      <c r="BE783" t="n">
        <v>50</v>
      </c>
      <c r="BF783" t="n">
        <v>27</v>
      </c>
      <c r="BG783" t="n">
        <v>2</v>
      </c>
      <c r="BH783" t="n">
        <v>14</v>
      </c>
      <c r="BI783" t="n">
        <v>25</v>
      </c>
      <c r="BJ783" t="n">
        <v>41</v>
      </c>
      <c r="BK783" t="n">
        <v>1</v>
      </c>
      <c r="BL783" t="n">
        <v>1</v>
      </c>
      <c r="BM783" t="n">
        <v>39</v>
      </c>
      <c r="BN783" t="n">
        <v>24</v>
      </c>
      <c r="BO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2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165</v>
      </c>
      <c r="Z784" t="n">
        <v>170</v>
      </c>
      <c r="AA784" t="n">
        <v>97</v>
      </c>
      <c r="AB784" t="n">
        <v>1</v>
      </c>
      <c r="AC784" t="n">
        <v>1</v>
      </c>
      <c r="AD784" t="n">
        <v>5</v>
      </c>
      <c r="AE784" t="n">
        <v>4</v>
      </c>
      <c r="AF784" t="n">
        <v>4</v>
      </c>
      <c r="AG784" t="n">
        <v>3</v>
      </c>
      <c r="AH784" t="n">
        <v>42</v>
      </c>
      <c r="AI784" t="n">
        <v>20</v>
      </c>
      <c r="AJ784" t="n">
        <v>25</v>
      </c>
      <c r="AK784" t="n">
        <v>28</v>
      </c>
      <c r="AL784" t="n">
        <v>1</v>
      </c>
      <c r="AM784" t="n">
        <v>29</v>
      </c>
      <c r="AN784" t="n">
        <v>0</v>
      </c>
      <c r="AO784" t="n">
        <v>0</v>
      </c>
      <c r="AP784" t="n">
        <v>7</v>
      </c>
      <c r="AQ784" t="n">
        <v>36</v>
      </c>
      <c r="AR784" t="n">
        <v>84</v>
      </c>
      <c r="AS784" t="n">
        <v>54</v>
      </c>
      <c r="AT784" t="n">
        <v>2</v>
      </c>
      <c r="AU784" t="n">
        <v>2</v>
      </c>
      <c r="AV784" t="n">
        <v>6</v>
      </c>
      <c r="AW784" t="n">
        <v>20</v>
      </c>
      <c r="AX784" t="n">
        <v>0</v>
      </c>
      <c r="AY784" t="n">
        <v>34</v>
      </c>
      <c r="AZ784" t="n">
        <v>2</v>
      </c>
      <c r="BA784" t="n">
        <v>26</v>
      </c>
      <c r="BB784" t="n">
        <v>118</v>
      </c>
      <c r="BC784" t="n">
        <v>40</v>
      </c>
      <c r="BD784" t="n">
        <v>36</v>
      </c>
      <c r="BE784" t="n">
        <v>23</v>
      </c>
      <c r="BF784" t="n">
        <v>20</v>
      </c>
      <c r="BG784" t="n">
        <v>1</v>
      </c>
      <c r="BH784" t="n">
        <v>7</v>
      </c>
      <c r="BI784" t="n">
        <v>22</v>
      </c>
      <c r="BJ784" t="n">
        <v>30</v>
      </c>
      <c r="BK784" t="n">
        <v>4</v>
      </c>
      <c r="BL784" t="n">
        <v>10</v>
      </c>
      <c r="BM784" t="n">
        <v>14</v>
      </c>
      <c r="BN784" t="n">
        <v>5</v>
      </c>
      <c r="BO784" t="n">
        <v>18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2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3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119</v>
      </c>
      <c r="Z785" t="n">
        <v>85</v>
      </c>
      <c r="AA785" t="n">
        <v>8</v>
      </c>
      <c r="AB785" t="n">
        <v>3</v>
      </c>
      <c r="AC785" t="n">
        <v>2</v>
      </c>
      <c r="AD785" t="n">
        <v>7</v>
      </c>
      <c r="AE785" t="n">
        <v>7</v>
      </c>
      <c r="AF785" t="n">
        <v>0</v>
      </c>
      <c r="AG785" t="n">
        <v>5</v>
      </c>
      <c r="AH785" t="n">
        <v>32</v>
      </c>
      <c r="AI785" t="n">
        <v>39</v>
      </c>
      <c r="AJ785" t="n">
        <v>32</v>
      </c>
      <c r="AK785" t="n">
        <v>47</v>
      </c>
      <c r="AL785" t="n">
        <v>2</v>
      </c>
      <c r="AM785" t="n">
        <v>9</v>
      </c>
      <c r="AN785" t="n">
        <v>0</v>
      </c>
      <c r="AO785" t="n">
        <v>0</v>
      </c>
      <c r="AP785" t="n">
        <v>3</v>
      </c>
      <c r="AQ785" t="n">
        <v>13</v>
      </c>
      <c r="AR785" t="n">
        <v>103</v>
      </c>
      <c r="AS785" t="n">
        <v>90</v>
      </c>
      <c r="AT785" t="n">
        <v>4</v>
      </c>
      <c r="AU785" t="n">
        <v>0</v>
      </c>
      <c r="AV785" t="n">
        <v>8</v>
      </c>
      <c r="AW785" t="n">
        <v>1</v>
      </c>
      <c r="AX785" t="n">
        <v>4</v>
      </c>
      <c r="AY785" t="n">
        <v>26</v>
      </c>
      <c r="AZ785" t="n">
        <v>2</v>
      </c>
      <c r="BA785" t="n">
        <v>7</v>
      </c>
      <c r="BB785" t="n">
        <v>13</v>
      </c>
      <c r="BC785" t="n">
        <v>2</v>
      </c>
      <c r="BD785" t="n">
        <v>32</v>
      </c>
      <c r="BE785" t="n">
        <v>1</v>
      </c>
      <c r="BF785" t="n">
        <v>25</v>
      </c>
      <c r="BG785" t="n">
        <v>0</v>
      </c>
      <c r="BH785" t="n">
        <v>0</v>
      </c>
      <c r="BI785" t="n">
        <v>1</v>
      </c>
      <c r="BJ785" t="n">
        <v>13</v>
      </c>
      <c r="BK785" t="n">
        <v>0</v>
      </c>
      <c r="BL785" t="n">
        <v>1</v>
      </c>
      <c r="BM785" t="n">
        <v>16</v>
      </c>
      <c r="BN785" t="n">
        <v>9</v>
      </c>
      <c r="BO785" t="n">
        <v>7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157</v>
      </c>
      <c r="Z786" t="n">
        <v>130</v>
      </c>
      <c r="AA786" t="n">
        <v>60</v>
      </c>
      <c r="AB786" t="n">
        <v>1</v>
      </c>
      <c r="AC786" t="n">
        <v>2</v>
      </c>
      <c r="AD786" t="n">
        <v>2</v>
      </c>
      <c r="AE786" t="n">
        <v>3</v>
      </c>
      <c r="AF786" t="n">
        <v>5</v>
      </c>
      <c r="AG786" t="n">
        <v>3</v>
      </c>
      <c r="AH786" t="n">
        <v>20</v>
      </c>
      <c r="AI786" t="n">
        <v>20</v>
      </c>
      <c r="AJ786" t="n">
        <v>38</v>
      </c>
      <c r="AK786" t="n">
        <v>18</v>
      </c>
      <c r="AL786" t="n">
        <v>5</v>
      </c>
      <c r="AM786" t="n">
        <v>96</v>
      </c>
      <c r="AN786" t="n">
        <v>1</v>
      </c>
      <c r="AO786" t="n">
        <v>0</v>
      </c>
      <c r="AP786" t="n">
        <v>6</v>
      </c>
      <c r="AQ786" t="n">
        <v>32</v>
      </c>
      <c r="AR786" t="n">
        <v>99</v>
      </c>
      <c r="AS786" t="n">
        <v>72</v>
      </c>
      <c r="AT786" t="n">
        <v>6</v>
      </c>
      <c r="AU786" t="n">
        <v>1</v>
      </c>
      <c r="AV786" t="n">
        <v>61</v>
      </c>
      <c r="AW786" t="n">
        <v>12</v>
      </c>
      <c r="AX786" t="n">
        <v>13</v>
      </c>
      <c r="AY786" t="n">
        <v>27</v>
      </c>
      <c r="AZ786" t="n">
        <v>0</v>
      </c>
      <c r="BA786" t="n">
        <v>3</v>
      </c>
      <c r="BB786" t="n">
        <v>59</v>
      </c>
      <c r="BC786" t="n">
        <v>80</v>
      </c>
      <c r="BD786" t="n">
        <v>19</v>
      </c>
      <c r="BE786" t="n">
        <v>11</v>
      </c>
      <c r="BF786" t="n">
        <v>30</v>
      </c>
      <c r="BG786" t="n">
        <v>4</v>
      </c>
      <c r="BH786" t="n">
        <v>7</v>
      </c>
      <c r="BI786" t="n">
        <v>14</v>
      </c>
      <c r="BJ786" t="n">
        <v>12</v>
      </c>
      <c r="BK786" t="n">
        <v>2</v>
      </c>
      <c r="BL786" t="n">
        <v>1</v>
      </c>
      <c r="BM786" t="n">
        <v>2</v>
      </c>
      <c r="BN786" t="n">
        <v>1</v>
      </c>
      <c r="BO786" t="n">
        <v>47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2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</v>
      </c>
      <c r="S787" t="n">
        <v>0</v>
      </c>
      <c r="T787" t="n">
        <v>0</v>
      </c>
      <c r="U787" t="n">
        <v>0</v>
      </c>
      <c r="V787" t="n">
        <v>0</v>
      </c>
      <c r="W787" t="n">
        <v>2</v>
      </c>
      <c r="X787" t="n">
        <v>0</v>
      </c>
      <c r="Y787" t="n">
        <v>144</v>
      </c>
      <c r="Z787" t="n">
        <v>195</v>
      </c>
      <c r="AA787" t="n">
        <v>39</v>
      </c>
      <c r="AB787" t="n">
        <v>3</v>
      </c>
      <c r="AC787" t="n">
        <v>0</v>
      </c>
      <c r="AD787" t="n">
        <v>2</v>
      </c>
      <c r="AE787" t="n">
        <v>7</v>
      </c>
      <c r="AF787" t="n">
        <v>3</v>
      </c>
      <c r="AG787" t="n">
        <v>4</v>
      </c>
      <c r="AH787" t="n">
        <v>16</v>
      </c>
      <c r="AI787" t="n">
        <v>68</v>
      </c>
      <c r="AJ787" t="n">
        <v>51</v>
      </c>
      <c r="AK787" t="n">
        <v>60</v>
      </c>
      <c r="AL787" t="n">
        <v>0</v>
      </c>
      <c r="AM787" t="n">
        <v>39</v>
      </c>
      <c r="AN787" t="n">
        <v>0</v>
      </c>
      <c r="AO787" t="n">
        <v>1</v>
      </c>
      <c r="AP787" t="n">
        <v>0</v>
      </c>
      <c r="AQ787" t="n">
        <v>1</v>
      </c>
      <c r="AR787" t="n">
        <v>89</v>
      </c>
      <c r="AS787" t="n">
        <v>82</v>
      </c>
      <c r="AT787" t="n">
        <v>3</v>
      </c>
      <c r="AU787" t="n">
        <v>1</v>
      </c>
      <c r="AV787" t="n">
        <v>10</v>
      </c>
      <c r="AW787" t="n">
        <v>22</v>
      </c>
      <c r="AX787" t="n">
        <v>7</v>
      </c>
      <c r="AY787" t="n">
        <v>36</v>
      </c>
      <c r="AZ787" t="n">
        <v>1</v>
      </c>
      <c r="BA787" t="n">
        <v>1</v>
      </c>
      <c r="BB787" t="n">
        <v>39</v>
      </c>
      <c r="BC787" t="n">
        <v>32</v>
      </c>
      <c r="BD787" t="n">
        <v>29</v>
      </c>
      <c r="BE787" t="n">
        <v>22</v>
      </c>
      <c r="BF787" t="n">
        <v>45</v>
      </c>
      <c r="BG787" t="n">
        <v>1</v>
      </c>
      <c r="BH787" t="n">
        <v>5</v>
      </c>
      <c r="BI787" t="n">
        <v>33</v>
      </c>
      <c r="BJ787" t="n">
        <v>41</v>
      </c>
      <c r="BK787" t="n">
        <v>0</v>
      </c>
      <c r="BL787" t="n">
        <v>16</v>
      </c>
      <c r="BM787" t="n">
        <v>11</v>
      </c>
      <c r="BN787" t="n">
        <v>0</v>
      </c>
      <c r="BO787" t="n">
        <v>35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285</v>
      </c>
      <c r="Z788" t="n">
        <v>160</v>
      </c>
      <c r="AA788" t="n">
        <v>31</v>
      </c>
      <c r="AB788" t="n">
        <v>1</v>
      </c>
      <c r="AC788" t="n">
        <v>0</v>
      </c>
      <c r="AD788" t="n">
        <v>9</v>
      </c>
      <c r="AE788" t="n">
        <v>5</v>
      </c>
      <c r="AF788" t="n">
        <v>3</v>
      </c>
      <c r="AG788" t="n">
        <v>5</v>
      </c>
      <c r="AH788" t="n">
        <v>88</v>
      </c>
      <c r="AI788" t="n">
        <v>21</v>
      </c>
      <c r="AJ788" t="n">
        <v>55</v>
      </c>
      <c r="AK788" t="n">
        <v>60</v>
      </c>
      <c r="AL788" t="n">
        <v>2</v>
      </c>
      <c r="AM788" t="n">
        <v>9</v>
      </c>
      <c r="AN788" t="n">
        <v>0</v>
      </c>
      <c r="AO788" t="n">
        <v>0</v>
      </c>
      <c r="AP788" t="n">
        <v>11</v>
      </c>
      <c r="AQ788" t="n">
        <v>44</v>
      </c>
      <c r="AR788" t="n">
        <v>145</v>
      </c>
      <c r="AS788" t="n">
        <v>108</v>
      </c>
      <c r="AT788" t="n">
        <v>3</v>
      </c>
      <c r="AU788" t="n">
        <v>1</v>
      </c>
      <c r="AV788" t="n">
        <v>22</v>
      </c>
      <c r="AW788" t="n">
        <v>8</v>
      </c>
      <c r="AX788" t="n">
        <v>0</v>
      </c>
      <c r="AY788" t="n">
        <v>69</v>
      </c>
      <c r="AZ788" t="n">
        <v>5</v>
      </c>
      <c r="BA788" t="n">
        <v>34</v>
      </c>
      <c r="BB788" t="n">
        <v>65</v>
      </c>
      <c r="BC788" t="n">
        <v>37</v>
      </c>
      <c r="BD788" t="n">
        <v>95</v>
      </c>
      <c r="BE788" t="n">
        <v>9</v>
      </c>
      <c r="BF788" t="n">
        <v>48</v>
      </c>
      <c r="BG788" t="n">
        <v>0</v>
      </c>
      <c r="BH788" t="n">
        <v>8</v>
      </c>
      <c r="BI788" t="n">
        <v>1</v>
      </c>
      <c r="BJ788" t="n">
        <v>39</v>
      </c>
      <c r="BK788" t="n">
        <v>12</v>
      </c>
      <c r="BL788" t="n">
        <v>84</v>
      </c>
      <c r="BM788" t="n">
        <v>57</v>
      </c>
      <c r="BN788" t="n">
        <v>0</v>
      </c>
      <c r="BO788" t="n">
        <v>2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204</v>
      </c>
      <c r="Z789" t="n">
        <v>167</v>
      </c>
      <c r="AA789" t="n">
        <v>63</v>
      </c>
      <c r="AB789" t="n">
        <v>1</v>
      </c>
      <c r="AC789" t="n">
        <v>1</v>
      </c>
      <c r="AD789" t="n">
        <v>2</v>
      </c>
      <c r="AE789" t="n">
        <v>8</v>
      </c>
      <c r="AF789" t="n">
        <v>4</v>
      </c>
      <c r="AG789" t="n">
        <v>3</v>
      </c>
      <c r="AH789" t="n">
        <v>78</v>
      </c>
      <c r="AI789" t="n">
        <v>49</v>
      </c>
      <c r="AJ789" t="n">
        <v>51</v>
      </c>
      <c r="AK789" t="n">
        <v>22</v>
      </c>
      <c r="AL789" t="n">
        <v>4</v>
      </c>
      <c r="AM789" t="n">
        <v>62</v>
      </c>
      <c r="AN789" t="n">
        <v>0</v>
      </c>
      <c r="AO789" t="n">
        <v>0</v>
      </c>
      <c r="AP789" t="n">
        <v>3</v>
      </c>
      <c r="AQ789" t="n">
        <v>30</v>
      </c>
      <c r="AR789" t="n">
        <v>44</v>
      </c>
      <c r="AS789" t="n">
        <v>20</v>
      </c>
      <c r="AT789" t="n">
        <v>3</v>
      </c>
      <c r="AU789" t="n">
        <v>2</v>
      </c>
      <c r="AV789" t="n">
        <v>52</v>
      </c>
      <c r="AW789" t="n">
        <v>12</v>
      </c>
      <c r="AX789" t="n">
        <v>0</v>
      </c>
      <c r="AY789" t="n">
        <v>28</v>
      </c>
      <c r="AZ789" t="n">
        <v>0</v>
      </c>
      <c r="BA789" t="n">
        <v>1</v>
      </c>
      <c r="BB789" t="n">
        <v>62</v>
      </c>
      <c r="BC789" t="n">
        <v>53</v>
      </c>
      <c r="BD789" t="n">
        <v>72</v>
      </c>
      <c r="BE789" t="n">
        <v>13</v>
      </c>
      <c r="BF789" t="n">
        <v>60</v>
      </c>
      <c r="BG789" t="n">
        <v>1</v>
      </c>
      <c r="BH789" t="n">
        <v>5</v>
      </c>
      <c r="BI789" t="n">
        <v>7</v>
      </c>
      <c r="BJ789" t="n">
        <v>9</v>
      </c>
      <c r="BK789" t="n">
        <v>0</v>
      </c>
      <c r="BL789" t="n">
        <v>1</v>
      </c>
      <c r="BM789" t="n">
        <v>17</v>
      </c>
      <c r="BN789" t="n">
        <v>10</v>
      </c>
      <c r="BO789" t="n">
        <v>110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4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166</v>
      </c>
      <c r="Z790" t="n">
        <v>206</v>
      </c>
      <c r="AA790" t="n">
        <v>5</v>
      </c>
      <c r="AB790" t="n">
        <v>2</v>
      </c>
      <c r="AC790" t="n">
        <v>0</v>
      </c>
      <c r="AD790" t="n">
        <v>3</v>
      </c>
      <c r="AE790" t="n">
        <v>7</v>
      </c>
      <c r="AF790" t="n">
        <v>1</v>
      </c>
      <c r="AG790" t="n">
        <v>1</v>
      </c>
      <c r="AH790" t="n">
        <v>50</v>
      </c>
      <c r="AI790" t="n">
        <v>22</v>
      </c>
      <c r="AJ790" t="n">
        <v>2</v>
      </c>
      <c r="AK790" t="n">
        <v>39</v>
      </c>
      <c r="AL790" t="n">
        <v>1</v>
      </c>
      <c r="AM790" t="n">
        <v>77</v>
      </c>
      <c r="AN790" t="n">
        <v>0</v>
      </c>
      <c r="AO790" t="n">
        <v>0</v>
      </c>
      <c r="AP790" t="n">
        <v>0</v>
      </c>
      <c r="AQ790" t="n">
        <v>27</v>
      </c>
      <c r="AR790" t="n">
        <v>71</v>
      </c>
      <c r="AS790" t="n">
        <v>49</v>
      </c>
      <c r="AT790" t="n">
        <v>1</v>
      </c>
      <c r="AU790" t="n">
        <v>0</v>
      </c>
      <c r="AV790" t="n">
        <v>1</v>
      </c>
      <c r="AW790" t="n">
        <v>11</v>
      </c>
      <c r="AX790" t="n">
        <v>2</v>
      </c>
      <c r="AY790" t="n">
        <v>0</v>
      </c>
      <c r="AZ790" t="n">
        <v>2</v>
      </c>
      <c r="BA790" t="n">
        <v>79</v>
      </c>
      <c r="BB790" t="n">
        <v>101</v>
      </c>
      <c r="BC790" t="n">
        <v>64</v>
      </c>
      <c r="BD790" t="n">
        <v>44</v>
      </c>
      <c r="BE790" t="n">
        <v>10</v>
      </c>
      <c r="BF790" t="n">
        <v>2</v>
      </c>
      <c r="BG790" t="n">
        <v>3</v>
      </c>
      <c r="BH790" t="n">
        <v>6</v>
      </c>
      <c r="BI790" t="n">
        <v>45</v>
      </c>
      <c r="BJ790" t="n">
        <v>41</v>
      </c>
      <c r="BK790" t="n">
        <v>1</v>
      </c>
      <c r="BL790" t="n">
        <v>20</v>
      </c>
      <c r="BM790" t="n">
        <v>14</v>
      </c>
      <c r="BN790" t="n">
        <v>1</v>
      </c>
      <c r="BO790" t="n">
        <v>11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207</v>
      </c>
      <c r="Z791" t="n">
        <v>91</v>
      </c>
      <c r="AA791" t="n">
        <v>69</v>
      </c>
      <c r="AB791" t="n">
        <v>0</v>
      </c>
      <c r="AC791" t="n">
        <v>0</v>
      </c>
      <c r="AD791" t="n">
        <v>2</v>
      </c>
      <c r="AE791" t="n">
        <v>4</v>
      </c>
      <c r="AF791" t="n">
        <v>4</v>
      </c>
      <c r="AG791" t="n">
        <v>3</v>
      </c>
      <c r="AH791" t="n">
        <v>28</v>
      </c>
      <c r="AI791" t="n">
        <v>33</v>
      </c>
      <c r="AJ791" t="n">
        <v>32</v>
      </c>
      <c r="AK791" t="n">
        <v>44</v>
      </c>
      <c r="AL791" t="n">
        <v>3</v>
      </c>
      <c r="AM791" t="n">
        <v>47</v>
      </c>
      <c r="AN791" t="n">
        <v>0</v>
      </c>
      <c r="AO791" t="n">
        <v>0</v>
      </c>
      <c r="AP791" t="n">
        <v>0</v>
      </c>
      <c r="AQ791" t="n">
        <v>7</v>
      </c>
      <c r="AR791" t="n">
        <v>86</v>
      </c>
      <c r="AS791" t="n">
        <v>79</v>
      </c>
      <c r="AT791" t="n">
        <v>0</v>
      </c>
      <c r="AU791" t="n">
        <v>0</v>
      </c>
      <c r="AV791" t="n">
        <v>1</v>
      </c>
      <c r="AW791" t="n">
        <v>8</v>
      </c>
      <c r="AX791" t="n">
        <v>1</v>
      </c>
      <c r="AY791" t="n">
        <v>28</v>
      </c>
      <c r="AZ791" t="n">
        <v>1</v>
      </c>
      <c r="BA791" t="n">
        <v>7</v>
      </c>
      <c r="BB791" t="n">
        <v>72</v>
      </c>
      <c r="BC791" t="n">
        <v>67</v>
      </c>
      <c r="BD791" t="n">
        <v>27</v>
      </c>
      <c r="BE791" t="n">
        <v>7</v>
      </c>
      <c r="BF791" t="n">
        <v>25</v>
      </c>
      <c r="BG791" t="n">
        <v>0</v>
      </c>
      <c r="BH791" t="n">
        <v>9</v>
      </c>
      <c r="BI791" t="n">
        <v>7</v>
      </c>
      <c r="BJ791" t="n">
        <v>9</v>
      </c>
      <c r="BK791" t="n">
        <v>3</v>
      </c>
      <c r="BL791" t="n">
        <v>19</v>
      </c>
      <c r="BM791" t="n">
        <v>15</v>
      </c>
      <c r="BN791" t="n">
        <v>3</v>
      </c>
      <c r="BO791" t="n">
        <v>35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91</v>
      </c>
      <c r="Z792" t="n">
        <v>165</v>
      </c>
      <c r="AA792" t="n">
        <v>31</v>
      </c>
      <c r="AB792" t="n">
        <v>0</v>
      </c>
      <c r="AC792" t="n">
        <v>4</v>
      </c>
      <c r="AD792" t="n">
        <v>6</v>
      </c>
      <c r="AE792" t="n">
        <v>2</v>
      </c>
      <c r="AF792" t="n">
        <v>2</v>
      </c>
      <c r="AG792" t="n">
        <v>5</v>
      </c>
      <c r="AH792" t="n">
        <v>22</v>
      </c>
      <c r="AI792" t="n">
        <v>18</v>
      </c>
      <c r="AJ792" t="n">
        <v>5</v>
      </c>
      <c r="AK792" t="n">
        <v>32</v>
      </c>
      <c r="AL792" t="n">
        <v>6</v>
      </c>
      <c r="AM792" t="n">
        <v>102</v>
      </c>
      <c r="AN792" t="n">
        <v>0</v>
      </c>
      <c r="AO792" t="n">
        <v>0</v>
      </c>
      <c r="AP792" t="n">
        <v>0</v>
      </c>
      <c r="AQ792" t="n">
        <v>6</v>
      </c>
      <c r="AR792" t="n">
        <v>111</v>
      </c>
      <c r="AS792" t="n">
        <v>101</v>
      </c>
      <c r="AT792" t="n">
        <v>4</v>
      </c>
      <c r="AU792" t="n">
        <v>1</v>
      </c>
      <c r="AV792" t="n">
        <v>19</v>
      </c>
      <c r="AW792" t="n">
        <v>7</v>
      </c>
      <c r="AX792" t="n">
        <v>1</v>
      </c>
      <c r="AY792" t="n">
        <v>41</v>
      </c>
      <c r="AZ792" t="n">
        <v>4</v>
      </c>
      <c r="BA792" t="n">
        <v>26</v>
      </c>
      <c r="BB792" t="n">
        <v>57</v>
      </c>
      <c r="BC792" t="n">
        <v>86</v>
      </c>
      <c r="BD792" t="n">
        <v>19</v>
      </c>
      <c r="BE792" t="n">
        <v>7</v>
      </c>
      <c r="BF792" t="n">
        <v>6</v>
      </c>
      <c r="BG792" t="n">
        <v>0</v>
      </c>
      <c r="BH792" t="n">
        <v>5</v>
      </c>
      <c r="BI792" t="n">
        <v>1</v>
      </c>
      <c r="BJ792" t="n">
        <v>29</v>
      </c>
      <c r="BK792" t="n">
        <v>0</v>
      </c>
      <c r="BL792" t="n">
        <v>1</v>
      </c>
      <c r="BM792" t="n">
        <v>4</v>
      </c>
      <c r="BN792" t="n">
        <v>1</v>
      </c>
      <c r="BO792" t="n">
        <v>2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2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226</v>
      </c>
      <c r="Z793" t="n">
        <v>275</v>
      </c>
      <c r="AA793" t="n">
        <v>52</v>
      </c>
      <c r="AB793" t="n">
        <v>0</v>
      </c>
      <c r="AC793" t="n">
        <v>2</v>
      </c>
      <c r="AD793" t="n">
        <v>5</v>
      </c>
      <c r="AE793" t="n">
        <v>6</v>
      </c>
      <c r="AF793" t="n">
        <v>2</v>
      </c>
      <c r="AG793" t="n">
        <v>4</v>
      </c>
      <c r="AH793" t="n">
        <v>42</v>
      </c>
      <c r="AI793" t="n">
        <v>71</v>
      </c>
      <c r="AJ793" t="n">
        <v>20</v>
      </c>
      <c r="AK793" t="n">
        <v>35</v>
      </c>
      <c r="AL793" t="n">
        <v>1</v>
      </c>
      <c r="AM793" t="n">
        <v>32</v>
      </c>
      <c r="AN793" t="n">
        <v>0</v>
      </c>
      <c r="AO793" t="n">
        <v>0</v>
      </c>
      <c r="AP793" t="n">
        <v>6</v>
      </c>
      <c r="AQ793" t="n">
        <v>47</v>
      </c>
      <c r="AR793" t="n">
        <v>110</v>
      </c>
      <c r="AS793" t="n">
        <v>70</v>
      </c>
      <c r="AT793" t="n">
        <v>6</v>
      </c>
      <c r="AU793" t="n">
        <v>1</v>
      </c>
      <c r="AV793" t="n">
        <v>76</v>
      </c>
      <c r="AW793" t="n">
        <v>9</v>
      </c>
      <c r="AX793" t="n">
        <v>6</v>
      </c>
      <c r="AY793" t="n">
        <v>18</v>
      </c>
      <c r="AZ793" t="n">
        <v>2</v>
      </c>
      <c r="BA793" t="n">
        <v>14</v>
      </c>
      <c r="BB793" t="n">
        <v>63</v>
      </c>
      <c r="BC793" t="n">
        <v>26</v>
      </c>
      <c r="BD793" t="n">
        <v>56</v>
      </c>
      <c r="BE793" t="n">
        <v>9</v>
      </c>
      <c r="BF793" t="n">
        <v>24</v>
      </c>
      <c r="BG793" t="n">
        <v>0</v>
      </c>
      <c r="BH793" t="n">
        <v>16</v>
      </c>
      <c r="BI793" t="n">
        <v>1</v>
      </c>
      <c r="BJ793" t="n">
        <v>1</v>
      </c>
      <c r="BK793" t="n">
        <v>3</v>
      </c>
      <c r="BL793" t="n">
        <v>72</v>
      </c>
      <c r="BM793" t="n">
        <v>48</v>
      </c>
      <c r="BN793" t="n">
        <v>0</v>
      </c>
      <c r="BO793" t="n">
        <v>14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199</v>
      </c>
      <c r="Z794" t="n">
        <v>251</v>
      </c>
      <c r="AA794" t="n">
        <v>45</v>
      </c>
      <c r="AB794" t="n">
        <v>1</v>
      </c>
      <c r="AC794" t="n">
        <v>0</v>
      </c>
      <c r="AD794" t="n">
        <v>3</v>
      </c>
      <c r="AE794" t="n">
        <v>7</v>
      </c>
      <c r="AF794" t="n">
        <v>2</v>
      </c>
      <c r="AG794" t="n">
        <v>0</v>
      </c>
      <c r="AH794" t="n">
        <v>9</v>
      </c>
      <c r="AI794" t="n">
        <v>57</v>
      </c>
      <c r="AJ794" t="n">
        <v>22</v>
      </c>
      <c r="AK794" t="n">
        <v>1</v>
      </c>
      <c r="AL794" t="n">
        <v>10</v>
      </c>
      <c r="AM794" t="n">
        <v>99</v>
      </c>
      <c r="AN794" t="n">
        <v>0</v>
      </c>
      <c r="AO794" t="n">
        <v>0</v>
      </c>
      <c r="AP794" t="n">
        <v>2</v>
      </c>
      <c r="AQ794" t="n">
        <v>1</v>
      </c>
      <c r="AR794" t="n">
        <v>30</v>
      </c>
      <c r="AS794" t="n">
        <v>25</v>
      </c>
      <c r="AT794" t="n">
        <v>2</v>
      </c>
      <c r="AU794" t="n">
        <v>2</v>
      </c>
      <c r="AV794" t="n">
        <v>20</v>
      </c>
      <c r="AW794" t="n">
        <v>34</v>
      </c>
      <c r="AX794" t="n">
        <v>0</v>
      </c>
      <c r="AY794" t="n">
        <v>74</v>
      </c>
      <c r="AZ794" t="n">
        <v>0</v>
      </c>
      <c r="BA794" t="n">
        <v>1</v>
      </c>
      <c r="BB794" t="n">
        <v>45</v>
      </c>
      <c r="BC794" t="n">
        <v>82</v>
      </c>
      <c r="BD794" t="n">
        <v>5</v>
      </c>
      <c r="BE794" t="n">
        <v>33</v>
      </c>
      <c r="BF794" t="n">
        <v>24</v>
      </c>
      <c r="BG794" t="n">
        <v>3</v>
      </c>
      <c r="BH794" t="n">
        <v>13</v>
      </c>
      <c r="BI794" t="n">
        <v>64</v>
      </c>
      <c r="BJ794" t="n">
        <v>59</v>
      </c>
      <c r="BK794" t="n">
        <v>2</v>
      </c>
      <c r="BL794" t="n">
        <v>9</v>
      </c>
      <c r="BM794" t="n">
        <v>28</v>
      </c>
      <c r="BN794" t="n">
        <v>14</v>
      </c>
      <c r="BO794" t="n">
        <v>2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203</v>
      </c>
      <c r="Z795" t="n">
        <v>115</v>
      </c>
      <c r="AA795" t="n">
        <v>84</v>
      </c>
      <c r="AB795" t="n">
        <v>0</v>
      </c>
      <c r="AC795" t="n">
        <v>1</v>
      </c>
      <c r="AD795" t="n">
        <v>2</v>
      </c>
      <c r="AE795" t="n">
        <v>3</v>
      </c>
      <c r="AF795" t="n">
        <v>6</v>
      </c>
      <c r="AG795" t="n">
        <v>2</v>
      </c>
      <c r="AH795" t="n">
        <v>16</v>
      </c>
      <c r="AI795" t="n">
        <v>43</v>
      </c>
      <c r="AJ795" t="n">
        <v>62</v>
      </c>
      <c r="AK795" t="n">
        <v>42</v>
      </c>
      <c r="AL795" t="n">
        <v>1</v>
      </c>
      <c r="AM795" t="n">
        <v>9</v>
      </c>
      <c r="AN795" t="n">
        <v>0</v>
      </c>
      <c r="AO795" t="n">
        <v>0</v>
      </c>
      <c r="AP795" t="n">
        <v>0</v>
      </c>
      <c r="AQ795" t="n">
        <v>29</v>
      </c>
      <c r="AR795" t="n">
        <v>129</v>
      </c>
      <c r="AS795" t="n">
        <v>103</v>
      </c>
      <c r="AT795" t="n">
        <v>5</v>
      </c>
      <c r="AU795" t="n">
        <v>2</v>
      </c>
      <c r="AV795" t="n">
        <v>23</v>
      </c>
      <c r="AW795" t="n">
        <v>12</v>
      </c>
      <c r="AX795" t="n">
        <v>13</v>
      </c>
      <c r="AY795" t="n">
        <v>76</v>
      </c>
      <c r="AZ795" t="n">
        <v>4</v>
      </c>
      <c r="BA795" t="n">
        <v>47</v>
      </c>
      <c r="BB795" t="n">
        <v>127</v>
      </c>
      <c r="BC795" t="n">
        <v>17</v>
      </c>
      <c r="BD795" t="n">
        <v>17</v>
      </c>
      <c r="BE795" t="n">
        <v>12</v>
      </c>
      <c r="BF795" t="n">
        <v>54</v>
      </c>
      <c r="BG795" t="n">
        <v>4</v>
      </c>
      <c r="BH795" t="n">
        <v>8</v>
      </c>
      <c r="BI795" t="n">
        <v>16</v>
      </c>
      <c r="BJ795" t="n">
        <v>24</v>
      </c>
      <c r="BK795" t="n">
        <v>3</v>
      </c>
      <c r="BL795" t="n">
        <v>1</v>
      </c>
      <c r="BM795" t="n">
        <v>24</v>
      </c>
      <c r="BN795" t="n">
        <v>14</v>
      </c>
      <c r="BO795" t="n">
        <v>11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242</v>
      </c>
      <c r="Z796" t="n">
        <v>152</v>
      </c>
      <c r="AA796" t="n">
        <v>44</v>
      </c>
      <c r="AB796" t="n">
        <v>0</v>
      </c>
      <c r="AC796" t="n">
        <v>0</v>
      </c>
      <c r="AD796" t="n">
        <v>3</v>
      </c>
      <c r="AE796" t="n">
        <v>4</v>
      </c>
      <c r="AF796" t="n">
        <v>4</v>
      </c>
      <c r="AG796" t="n">
        <v>4</v>
      </c>
      <c r="AH796" t="n">
        <v>27</v>
      </c>
      <c r="AI796" t="n">
        <v>33</v>
      </c>
      <c r="AJ796" t="n">
        <v>64</v>
      </c>
      <c r="AK796" t="n">
        <v>98</v>
      </c>
      <c r="AL796" t="n">
        <v>1</v>
      </c>
      <c r="AM796" t="n">
        <v>-1</v>
      </c>
      <c r="AN796" t="n">
        <v>0</v>
      </c>
      <c r="AO796" t="n">
        <v>0</v>
      </c>
      <c r="AP796" t="n">
        <v>1</v>
      </c>
      <c r="AQ796" t="n">
        <v>38</v>
      </c>
      <c r="AR796" t="n">
        <v>192</v>
      </c>
      <c r="AS796" t="n">
        <v>158</v>
      </c>
      <c r="AT796" t="n">
        <v>3</v>
      </c>
      <c r="AU796" t="n">
        <v>2</v>
      </c>
      <c r="AV796" t="n">
        <v>11</v>
      </c>
      <c r="AW796" t="n">
        <v>8</v>
      </c>
      <c r="AX796" t="n">
        <v>15</v>
      </c>
      <c r="AY796" t="n">
        <v>42</v>
      </c>
      <c r="AZ796" t="n">
        <v>4</v>
      </c>
      <c r="BA796" t="n">
        <v>49</v>
      </c>
      <c r="BB796" t="n">
        <v>98</v>
      </c>
      <c r="BC796" t="n">
        <v>-2</v>
      </c>
      <c r="BD796" t="n">
        <v>38</v>
      </c>
      <c r="BE796" t="n">
        <v>8</v>
      </c>
      <c r="BF796" t="n">
        <v>50</v>
      </c>
      <c r="BG796" t="n">
        <v>2</v>
      </c>
      <c r="BH796" t="n">
        <v>10</v>
      </c>
      <c r="BI796" t="n">
        <v>17</v>
      </c>
      <c r="BJ796" t="n">
        <v>31</v>
      </c>
      <c r="BK796" t="n">
        <v>1</v>
      </c>
      <c r="BL796" t="n">
        <v>65</v>
      </c>
      <c r="BM796" t="n">
        <v>63</v>
      </c>
      <c r="BN796" t="n">
        <v>15</v>
      </c>
      <c r="BO796" t="n">
        <v>56</v>
      </c>
    </row>
    <row r="797">
      <c r="A797" t="n">
        <v>0</v>
      </c>
      <c r="B797" t="n">
        <v>0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</v>
      </c>
      <c r="U797" t="n">
        <v>0</v>
      </c>
      <c r="V797" t="n">
        <v>0</v>
      </c>
      <c r="W797" t="n">
        <v>0</v>
      </c>
      <c r="X797" t="n">
        <v>0</v>
      </c>
      <c r="Y797" t="n">
        <v>108</v>
      </c>
      <c r="Z797" t="n">
        <v>234</v>
      </c>
      <c r="AA797" t="n">
        <v>118</v>
      </c>
      <c r="AB797" t="n">
        <v>0</v>
      </c>
      <c r="AC797" t="n">
        <v>3</v>
      </c>
      <c r="AD797" t="n">
        <v>2</v>
      </c>
      <c r="AE797" t="n">
        <v>6</v>
      </c>
      <c r="AF797" t="n">
        <v>1</v>
      </c>
      <c r="AG797" t="n">
        <v>5</v>
      </c>
      <c r="AH797" t="n">
        <v>15</v>
      </c>
      <c r="AI797" t="n">
        <v>32</v>
      </c>
      <c r="AJ797" t="n">
        <v>12</v>
      </c>
      <c r="AK797" t="n">
        <v>32</v>
      </c>
      <c r="AL797" t="n">
        <v>4</v>
      </c>
      <c r="AM797" t="n">
        <v>80</v>
      </c>
      <c r="AN797" t="n">
        <v>0</v>
      </c>
      <c r="AO797" t="n">
        <v>0</v>
      </c>
      <c r="AP797" t="n">
        <v>3</v>
      </c>
      <c r="AQ797" t="n">
        <v>16</v>
      </c>
      <c r="AR797" t="n">
        <v>33</v>
      </c>
      <c r="AS797" t="n">
        <v>20</v>
      </c>
      <c r="AT797" t="n">
        <v>1</v>
      </c>
      <c r="AU797" t="n">
        <v>2</v>
      </c>
      <c r="AV797" t="n">
        <v>27</v>
      </c>
      <c r="AW797" t="n">
        <v>25</v>
      </c>
      <c r="AX797" t="n">
        <v>0</v>
      </c>
      <c r="AY797" t="n">
        <v>41</v>
      </c>
      <c r="AZ797" t="n">
        <v>0</v>
      </c>
      <c r="BA797" t="n">
        <v>1</v>
      </c>
      <c r="BB797" t="n">
        <v>115</v>
      </c>
      <c r="BC797" t="n">
        <v>70</v>
      </c>
      <c r="BD797" t="n">
        <v>19</v>
      </c>
      <c r="BE797" t="n">
        <v>26</v>
      </c>
      <c r="BF797" t="n">
        <v>26</v>
      </c>
      <c r="BG797" t="n">
        <v>1</v>
      </c>
      <c r="BH797" t="n">
        <v>3</v>
      </c>
      <c r="BI797" t="n">
        <v>1</v>
      </c>
      <c r="BJ797" t="n">
        <v>1</v>
      </c>
      <c r="BK797" t="n">
        <v>0</v>
      </c>
      <c r="BL797" t="n">
        <v>9</v>
      </c>
      <c r="BM797" t="n">
        <v>8</v>
      </c>
      <c r="BN797" t="n">
        <v>2</v>
      </c>
      <c r="BO797" t="n">
        <v>2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169</v>
      </c>
      <c r="Z798" t="n">
        <v>238</v>
      </c>
      <c r="AA798" t="n">
        <v>30</v>
      </c>
      <c r="AB798" t="n">
        <v>1</v>
      </c>
      <c r="AC798" t="n">
        <v>0</v>
      </c>
      <c r="AD798" t="n">
        <v>2</v>
      </c>
      <c r="AE798" t="n">
        <v>14</v>
      </c>
      <c r="AF798" t="n">
        <v>1</v>
      </c>
      <c r="AG798" t="n">
        <v>2</v>
      </c>
      <c r="AH798" t="n">
        <v>20</v>
      </c>
      <c r="AI798" t="n">
        <v>96</v>
      </c>
      <c r="AJ798" t="n">
        <v>11</v>
      </c>
      <c r="AK798" t="n">
        <v>36</v>
      </c>
      <c r="AL798" t="n">
        <v>7</v>
      </c>
      <c r="AM798" t="n">
        <v>88</v>
      </c>
      <c r="AN798" t="n">
        <v>0</v>
      </c>
      <c r="AO798" t="n">
        <v>0</v>
      </c>
      <c r="AP798" t="n">
        <v>3</v>
      </c>
      <c r="AQ798" t="n">
        <v>23</v>
      </c>
      <c r="AR798" t="n">
        <v>52</v>
      </c>
      <c r="AS798" t="n">
        <v>34</v>
      </c>
      <c r="AT798" t="n">
        <v>1</v>
      </c>
      <c r="AU798" t="n">
        <v>0</v>
      </c>
      <c r="AV798" t="n">
        <v>5</v>
      </c>
      <c r="AW798" t="n">
        <v>1</v>
      </c>
      <c r="AX798" t="n">
        <v>2</v>
      </c>
      <c r="AY798" t="n">
        <v>3</v>
      </c>
      <c r="AZ798" t="n">
        <v>2</v>
      </c>
      <c r="BA798" t="n">
        <v>31</v>
      </c>
      <c r="BB798" t="n">
        <v>61</v>
      </c>
      <c r="BC798" t="n">
        <v>73</v>
      </c>
      <c r="BD798" t="n">
        <v>22</v>
      </c>
      <c r="BE798" t="n">
        <v>1</v>
      </c>
      <c r="BF798" t="n">
        <v>7</v>
      </c>
      <c r="BG798" t="n">
        <v>2</v>
      </c>
      <c r="BH798" t="n">
        <v>1</v>
      </c>
      <c r="BI798" t="n">
        <v>54</v>
      </c>
      <c r="BJ798" t="n">
        <v>49</v>
      </c>
      <c r="BK798" t="n">
        <v>6</v>
      </c>
      <c r="BL798" t="n">
        <v>44</v>
      </c>
      <c r="BM798" t="n">
        <v>34</v>
      </c>
      <c r="BN798" t="n">
        <v>4</v>
      </c>
      <c r="BO798" t="n">
        <v>2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2</v>
      </c>
      <c r="F799" t="n">
        <v>1</v>
      </c>
      <c r="G799" t="n">
        <v>0</v>
      </c>
      <c r="H799" t="n">
        <v>0</v>
      </c>
      <c r="I799" t="n">
        <v>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297</v>
      </c>
      <c r="Z799" t="n">
        <v>188</v>
      </c>
      <c r="AA799" t="n">
        <v>124</v>
      </c>
      <c r="AB799" t="n">
        <v>2</v>
      </c>
      <c r="AC799" t="n">
        <v>2</v>
      </c>
      <c r="AD799" t="n">
        <v>5</v>
      </c>
      <c r="AE799" t="n">
        <v>1</v>
      </c>
      <c r="AF799" t="n">
        <v>1</v>
      </c>
      <c r="AG799" t="n">
        <v>0</v>
      </c>
      <c r="AH799" t="n">
        <v>82</v>
      </c>
      <c r="AI799" t="n">
        <v>44</v>
      </c>
      <c r="AJ799" t="n">
        <v>19</v>
      </c>
      <c r="AK799" t="n">
        <v>1</v>
      </c>
      <c r="AL799" t="n">
        <v>4</v>
      </c>
      <c r="AM799" t="n">
        <v>70</v>
      </c>
      <c r="AN799" t="n">
        <v>1</v>
      </c>
      <c r="AO799" t="n">
        <v>0</v>
      </c>
      <c r="AP799" t="n">
        <v>2</v>
      </c>
      <c r="AQ799" t="n">
        <v>1</v>
      </c>
      <c r="AR799" t="n">
        <v>41</v>
      </c>
      <c r="AS799" t="n">
        <v>36</v>
      </c>
      <c r="AT799" t="n">
        <v>3</v>
      </c>
      <c r="AU799" t="n">
        <v>1</v>
      </c>
      <c r="AV799" t="n">
        <v>11</v>
      </c>
      <c r="AW799" t="n">
        <v>8</v>
      </c>
      <c r="AX799" t="n">
        <v>0</v>
      </c>
      <c r="AY799" t="n">
        <v>24</v>
      </c>
      <c r="AZ799" t="n">
        <v>1</v>
      </c>
      <c r="BA799" t="n">
        <v>4</v>
      </c>
      <c r="BB799" t="n">
        <v>121</v>
      </c>
      <c r="BC799" t="n">
        <v>59</v>
      </c>
      <c r="BD799" t="n">
        <v>73</v>
      </c>
      <c r="BE799" t="n">
        <v>8</v>
      </c>
      <c r="BF799" t="n">
        <v>15</v>
      </c>
      <c r="BG799" t="n">
        <v>2</v>
      </c>
      <c r="BH799" t="n">
        <v>18</v>
      </c>
      <c r="BI799" t="n">
        <v>5</v>
      </c>
      <c r="BJ799" t="n">
        <v>1</v>
      </c>
      <c r="BK799" t="n">
        <v>3</v>
      </c>
      <c r="BL799" t="n">
        <v>13</v>
      </c>
      <c r="BM799" t="n">
        <v>17</v>
      </c>
      <c r="BN799" t="n">
        <v>6</v>
      </c>
      <c r="BO799" t="n">
        <v>2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367</v>
      </c>
      <c r="Z800" t="n">
        <v>105</v>
      </c>
      <c r="AA800" t="n">
        <v>68</v>
      </c>
      <c r="AB800" t="n">
        <v>3</v>
      </c>
      <c r="AC800" t="n">
        <v>0</v>
      </c>
      <c r="AD800" t="n">
        <v>8</v>
      </c>
      <c r="AE800" t="n">
        <v>3</v>
      </c>
      <c r="AF800" t="n">
        <v>8</v>
      </c>
      <c r="AG800" t="n">
        <v>8</v>
      </c>
      <c r="AH800" t="n">
        <v>82</v>
      </c>
      <c r="AI800" t="n">
        <v>20</v>
      </c>
      <c r="AJ800" t="n">
        <v>66</v>
      </c>
      <c r="AK800" t="n">
        <v>63</v>
      </c>
      <c r="AL800" t="n">
        <v>3</v>
      </c>
      <c r="AM800" t="n">
        <v>20</v>
      </c>
      <c r="AN800" t="n">
        <v>1</v>
      </c>
      <c r="AO800" t="n">
        <v>2</v>
      </c>
      <c r="AP800" t="n">
        <v>0</v>
      </c>
      <c r="AQ800" t="n">
        <v>13</v>
      </c>
      <c r="AR800" t="n">
        <v>178</v>
      </c>
      <c r="AS800" t="n">
        <v>161</v>
      </c>
      <c r="AT800" t="n">
        <v>3</v>
      </c>
      <c r="AU800" t="n">
        <v>1</v>
      </c>
      <c r="AV800" t="n">
        <v>64</v>
      </c>
      <c r="AW800" t="n">
        <v>6</v>
      </c>
      <c r="AX800" t="n">
        <v>10</v>
      </c>
      <c r="AY800" t="n">
        <v>59</v>
      </c>
      <c r="AZ800" t="n">
        <v>1</v>
      </c>
      <c r="BA800" t="n">
        <v>11</v>
      </c>
      <c r="BB800" t="n">
        <v>75</v>
      </c>
      <c r="BC800" t="n">
        <v>16</v>
      </c>
      <c r="BD800" t="n">
        <v>73</v>
      </c>
      <c r="BE800" t="n">
        <v>5</v>
      </c>
      <c r="BF800" t="n">
        <v>64</v>
      </c>
      <c r="BG800" t="n">
        <v>3</v>
      </c>
      <c r="BH800" t="n">
        <v>20</v>
      </c>
      <c r="BI800" t="n">
        <v>63</v>
      </c>
      <c r="BJ800" t="n">
        <v>58</v>
      </c>
      <c r="BK800" t="n">
        <v>3</v>
      </c>
      <c r="BL800" t="n">
        <v>21</v>
      </c>
      <c r="BM800" t="n">
        <v>14</v>
      </c>
      <c r="BN800" t="n">
        <v>0</v>
      </c>
      <c r="BO800" t="n">
        <v>47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206</v>
      </c>
      <c r="Z801" t="n">
        <v>244</v>
      </c>
      <c r="AA801" t="n">
        <v>34</v>
      </c>
      <c r="AB801" t="n">
        <v>2</v>
      </c>
      <c r="AC801" t="n">
        <v>1</v>
      </c>
      <c r="AD801" t="n">
        <v>2</v>
      </c>
      <c r="AE801" t="n">
        <v>7</v>
      </c>
      <c r="AF801" t="n">
        <v>9</v>
      </c>
      <c r="AG801" t="n">
        <v>3</v>
      </c>
      <c r="AH801" t="n">
        <v>23</v>
      </c>
      <c r="AI801" t="n">
        <v>67</v>
      </c>
      <c r="AJ801" t="n">
        <v>115</v>
      </c>
      <c r="AK801" t="n">
        <v>13</v>
      </c>
      <c r="AL801" t="n">
        <v>0</v>
      </c>
      <c r="AM801" t="n">
        <v>24</v>
      </c>
      <c r="AN801" t="n">
        <v>0</v>
      </c>
      <c r="AO801" t="n">
        <v>0</v>
      </c>
      <c r="AP801" t="n">
        <v>3</v>
      </c>
      <c r="AQ801" t="n">
        <v>45</v>
      </c>
      <c r="AR801" t="n">
        <v>79</v>
      </c>
      <c r="AS801" t="n">
        <v>42</v>
      </c>
      <c r="AT801" t="n">
        <v>1</v>
      </c>
      <c r="AU801" t="n">
        <v>3</v>
      </c>
      <c r="AV801" t="n">
        <v>9</v>
      </c>
      <c r="AW801" t="n">
        <v>35</v>
      </c>
      <c r="AX801" t="n">
        <v>31</v>
      </c>
      <c r="AY801" t="n">
        <v>31</v>
      </c>
      <c r="AZ801" t="n">
        <v>5</v>
      </c>
      <c r="BA801" t="n">
        <v>18</v>
      </c>
      <c r="BB801" t="n">
        <v>51</v>
      </c>
      <c r="BC801" t="n">
        <v>19</v>
      </c>
      <c r="BD801" t="n">
        <v>36</v>
      </c>
      <c r="BE801" t="n">
        <v>35</v>
      </c>
      <c r="BF801" t="n">
        <v>97</v>
      </c>
      <c r="BG801" t="n">
        <v>2</v>
      </c>
      <c r="BH801" t="n">
        <v>7</v>
      </c>
      <c r="BI801" t="n">
        <v>18</v>
      </c>
      <c r="BJ801" t="n">
        <v>17</v>
      </c>
      <c r="BK801" t="n">
        <v>2</v>
      </c>
      <c r="BL801" t="n">
        <v>8</v>
      </c>
      <c r="BM801" t="n">
        <v>13</v>
      </c>
      <c r="BN801" t="n">
        <v>5</v>
      </c>
      <c r="BO801" t="n">
        <v>14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193</v>
      </c>
      <c r="Z802" t="n">
        <v>193</v>
      </c>
      <c r="AA802" t="n">
        <v>87</v>
      </c>
      <c r="AB802" t="n">
        <v>1</v>
      </c>
      <c r="AC802" t="n">
        <v>2</v>
      </c>
      <c r="AD802" t="n">
        <v>5</v>
      </c>
      <c r="AE802" t="n">
        <v>0</v>
      </c>
      <c r="AF802" t="n">
        <v>4</v>
      </c>
      <c r="AG802" t="n">
        <v>2</v>
      </c>
      <c r="AH802" t="n">
        <v>57</v>
      </c>
      <c r="AI802" t="n">
        <v>20</v>
      </c>
      <c r="AJ802" t="n">
        <v>28</v>
      </c>
      <c r="AK802" t="n">
        <v>32</v>
      </c>
      <c r="AL802" t="n">
        <v>3</v>
      </c>
      <c r="AM802" t="n">
        <v>27</v>
      </c>
      <c r="AN802" t="n">
        <v>0</v>
      </c>
      <c r="AO802" t="n">
        <v>0</v>
      </c>
      <c r="AP802" t="n">
        <v>7</v>
      </c>
      <c r="AQ802" t="n">
        <v>36</v>
      </c>
      <c r="AR802" t="n">
        <v>47</v>
      </c>
      <c r="AS802" t="n">
        <v>17</v>
      </c>
      <c r="AT802" t="n">
        <v>2</v>
      </c>
      <c r="AU802" t="n">
        <v>2</v>
      </c>
      <c r="AV802" t="n">
        <v>1</v>
      </c>
      <c r="AW802" t="n">
        <v>20</v>
      </c>
      <c r="AX802" t="n">
        <v>5</v>
      </c>
      <c r="AY802" t="n">
        <v>9</v>
      </c>
      <c r="AZ802" t="n">
        <v>0</v>
      </c>
      <c r="BA802" t="n">
        <v>1</v>
      </c>
      <c r="BB802" t="n">
        <v>84</v>
      </c>
      <c r="BC802" t="n">
        <v>31</v>
      </c>
      <c r="BD802" t="n">
        <v>53</v>
      </c>
      <c r="BE802" t="n">
        <v>42</v>
      </c>
      <c r="BF802" t="n">
        <v>23</v>
      </c>
      <c r="BG802" t="n">
        <v>2</v>
      </c>
      <c r="BH802" t="n">
        <v>0</v>
      </c>
      <c r="BI802" t="n">
        <v>8</v>
      </c>
      <c r="BJ802" t="n">
        <v>9</v>
      </c>
      <c r="BK802" t="n">
        <v>5</v>
      </c>
      <c r="BL802" t="n">
        <v>45</v>
      </c>
      <c r="BM802" t="n">
        <v>37</v>
      </c>
      <c r="BN802" t="n">
        <v>5</v>
      </c>
      <c r="BO802" t="n">
        <v>-5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2</v>
      </c>
      <c r="V803" t="n">
        <v>0</v>
      </c>
      <c r="W803" t="n">
        <v>0</v>
      </c>
      <c r="X803" t="n">
        <v>0</v>
      </c>
      <c r="Y803" t="n">
        <v>197</v>
      </c>
      <c r="Z803" t="n">
        <v>178</v>
      </c>
      <c r="AA803" t="n">
        <v>41</v>
      </c>
      <c r="AB803" t="n">
        <v>1</v>
      </c>
      <c r="AC803" t="n">
        <v>0</v>
      </c>
      <c r="AD803" t="n">
        <v>3</v>
      </c>
      <c r="AE803" t="n">
        <v>8</v>
      </c>
      <c r="AF803" t="n">
        <v>4</v>
      </c>
      <c r="AG803" t="n">
        <v>3</v>
      </c>
      <c r="AH803" t="n">
        <v>12</v>
      </c>
      <c r="AI803" t="n">
        <v>53</v>
      </c>
      <c r="AJ803" t="n">
        <v>49</v>
      </c>
      <c r="AK803" t="n">
        <v>24</v>
      </c>
      <c r="AL803" t="n">
        <v>1</v>
      </c>
      <c r="AM803" t="n">
        <v>2</v>
      </c>
      <c r="AN803" t="n">
        <v>0</v>
      </c>
      <c r="AO803" t="n">
        <v>0</v>
      </c>
      <c r="AP803" t="n">
        <v>9</v>
      </c>
      <c r="AQ803" t="n">
        <v>55</v>
      </c>
      <c r="AR803" t="n">
        <v>162</v>
      </c>
      <c r="AS803" t="n">
        <v>114</v>
      </c>
      <c r="AT803" t="n">
        <v>2</v>
      </c>
      <c r="AU803" t="n">
        <v>0</v>
      </c>
      <c r="AV803" t="n">
        <v>60</v>
      </c>
      <c r="AW803" t="n">
        <v>12</v>
      </c>
      <c r="AX803" t="n">
        <v>0</v>
      </c>
      <c r="AY803" t="n">
        <v>25</v>
      </c>
      <c r="AZ803" t="n">
        <v>1</v>
      </c>
      <c r="BA803" t="n">
        <v>18</v>
      </c>
      <c r="BB803" t="n">
        <v>58</v>
      </c>
      <c r="BC803" t="n">
        <v>9</v>
      </c>
      <c r="BD803" t="n">
        <v>10</v>
      </c>
      <c r="BE803" t="n">
        <v>12</v>
      </c>
      <c r="BF803" t="n">
        <v>40</v>
      </c>
      <c r="BG803" t="n">
        <v>3</v>
      </c>
      <c r="BH803" t="n">
        <v>0</v>
      </c>
      <c r="BI803" t="n">
        <v>38</v>
      </c>
      <c r="BJ803" t="n">
        <v>35</v>
      </c>
      <c r="BK803" t="n">
        <v>1</v>
      </c>
      <c r="BL803" t="n">
        <v>24</v>
      </c>
      <c r="BM803" t="n">
        <v>20</v>
      </c>
      <c r="BN803" t="n">
        <v>4</v>
      </c>
      <c r="BO803" t="n">
        <v>2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</v>
      </c>
      <c r="U804" t="n">
        <v>0</v>
      </c>
      <c r="V804" t="n">
        <v>0</v>
      </c>
      <c r="W804" t="n">
        <v>0</v>
      </c>
      <c r="X804" t="n">
        <v>0</v>
      </c>
      <c r="Y804" t="n">
        <v>218</v>
      </c>
      <c r="Z804" t="n">
        <v>189</v>
      </c>
      <c r="AA804" t="n">
        <v>67</v>
      </c>
      <c r="AB804" t="n">
        <v>0</v>
      </c>
      <c r="AC804" t="n">
        <v>0</v>
      </c>
      <c r="AD804" t="n">
        <v>6</v>
      </c>
      <c r="AE804" t="n">
        <v>7</v>
      </c>
      <c r="AF804" t="n">
        <v>3</v>
      </c>
      <c r="AG804" t="n">
        <v>5</v>
      </c>
      <c r="AH804" t="n">
        <v>54</v>
      </c>
      <c r="AI804" t="n">
        <v>80</v>
      </c>
      <c r="AJ804" t="n">
        <v>19</v>
      </c>
      <c r="AK804" t="n">
        <v>84</v>
      </c>
      <c r="AL804" t="n">
        <v>4</v>
      </c>
      <c r="AM804" t="n">
        <v>14</v>
      </c>
      <c r="AN804" t="n">
        <v>0</v>
      </c>
      <c r="AO804" t="n">
        <v>0</v>
      </c>
      <c r="AP804" t="n">
        <v>2</v>
      </c>
      <c r="AQ804" t="n">
        <v>1</v>
      </c>
      <c r="AR804" t="n">
        <v>188</v>
      </c>
      <c r="AS804" t="n">
        <v>178</v>
      </c>
      <c r="AT804" t="n">
        <v>2</v>
      </c>
      <c r="AU804" t="n">
        <v>1</v>
      </c>
      <c r="AV804" t="n">
        <v>1</v>
      </c>
      <c r="AW804" t="n">
        <v>13</v>
      </c>
      <c r="AX804" t="n">
        <v>7</v>
      </c>
      <c r="AY804" t="n">
        <v>54</v>
      </c>
      <c r="AZ804" t="n">
        <v>1</v>
      </c>
      <c r="BA804" t="n">
        <v>1</v>
      </c>
      <c r="BB804" t="n">
        <v>65</v>
      </c>
      <c r="BC804" t="n">
        <v>15</v>
      </c>
      <c r="BD804" t="n">
        <v>47</v>
      </c>
      <c r="BE804" t="n">
        <v>12</v>
      </c>
      <c r="BF804" t="n">
        <v>15</v>
      </c>
      <c r="BG804" t="n">
        <v>4</v>
      </c>
      <c r="BH804" t="n">
        <v>3</v>
      </c>
      <c r="BI804" t="n">
        <v>22</v>
      </c>
      <c r="BJ804" t="n">
        <v>26</v>
      </c>
      <c r="BK804" t="n">
        <v>5</v>
      </c>
      <c r="BL804" t="n">
        <v>11</v>
      </c>
      <c r="BM804" t="n">
        <v>7</v>
      </c>
      <c r="BN804" t="n">
        <v>-1</v>
      </c>
      <c r="BO804" t="n">
        <v>159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293</v>
      </c>
      <c r="Z805" t="n">
        <v>147</v>
      </c>
      <c r="AA805" t="n">
        <v>84</v>
      </c>
      <c r="AB805" t="n">
        <v>1</v>
      </c>
      <c r="AC805" t="n">
        <v>0</v>
      </c>
      <c r="AD805" t="n">
        <v>5</v>
      </c>
      <c r="AE805" t="n">
        <v>3</v>
      </c>
      <c r="AF805" t="n">
        <v>2</v>
      </c>
      <c r="AG805" t="n">
        <v>3</v>
      </c>
      <c r="AH805" t="n">
        <v>123</v>
      </c>
      <c r="AI805" t="n">
        <v>53</v>
      </c>
      <c r="AJ805" t="n">
        <v>25</v>
      </c>
      <c r="AK805" t="n">
        <v>10</v>
      </c>
      <c r="AL805" t="n">
        <v>2</v>
      </c>
      <c r="AM805" t="n">
        <v>33</v>
      </c>
      <c r="AN805" t="n">
        <v>1</v>
      </c>
      <c r="AO805" t="n">
        <v>0</v>
      </c>
      <c r="AP805" t="n">
        <v>3</v>
      </c>
      <c r="AQ805" t="n">
        <v>48</v>
      </c>
      <c r="AR805" t="n">
        <v>288</v>
      </c>
      <c r="AS805" t="n">
        <v>243</v>
      </c>
      <c r="AT805" t="n">
        <v>2</v>
      </c>
      <c r="AU805" t="n">
        <v>1</v>
      </c>
      <c r="AV805" t="n">
        <v>20</v>
      </c>
      <c r="AW805" t="n">
        <v>13</v>
      </c>
      <c r="AX805" t="n">
        <v>0</v>
      </c>
      <c r="AY805" t="n">
        <v>78</v>
      </c>
      <c r="AZ805" t="n">
        <v>2</v>
      </c>
      <c r="BA805" t="n">
        <v>21</v>
      </c>
      <c r="BB805" t="n">
        <v>100</v>
      </c>
      <c r="BC805" t="n">
        <v>27</v>
      </c>
      <c r="BD805" t="n">
        <v>136</v>
      </c>
      <c r="BE805" t="n">
        <v>13</v>
      </c>
      <c r="BF805" t="n">
        <v>20</v>
      </c>
      <c r="BG805" t="n">
        <v>1</v>
      </c>
      <c r="BH805" t="n">
        <v>22</v>
      </c>
      <c r="BI805" t="n">
        <v>1</v>
      </c>
      <c r="BJ805" t="n">
        <v>1</v>
      </c>
      <c r="BK805" t="n">
        <v>6</v>
      </c>
      <c r="BL805" t="n">
        <v>25</v>
      </c>
      <c r="BM805" t="n">
        <v>43</v>
      </c>
      <c r="BN805" t="n">
        <v>18</v>
      </c>
      <c r="BO805" t="n">
        <v>-3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117</v>
      </c>
      <c r="Z806" t="n">
        <v>170</v>
      </c>
      <c r="AA806" t="n">
        <v>80</v>
      </c>
      <c r="AB806" t="n">
        <v>0</v>
      </c>
      <c r="AC806" t="n">
        <v>0</v>
      </c>
      <c r="AD806" t="n">
        <v>1</v>
      </c>
      <c r="AE806" t="n">
        <v>3</v>
      </c>
      <c r="AF806" t="n">
        <v>3</v>
      </c>
      <c r="AG806" t="n">
        <v>2</v>
      </c>
      <c r="AH806" t="n">
        <v>56</v>
      </c>
      <c r="AI806" t="n">
        <v>14</v>
      </c>
      <c r="AJ806" t="n">
        <v>23</v>
      </c>
      <c r="AK806" t="n">
        <v>1</v>
      </c>
      <c r="AL806" t="n">
        <v>5</v>
      </c>
      <c r="AM806" t="n">
        <v>83</v>
      </c>
      <c r="AN806" t="n">
        <v>2</v>
      </c>
      <c r="AO806" t="n">
        <v>0</v>
      </c>
      <c r="AP806" t="n">
        <v>5</v>
      </c>
      <c r="AQ806" t="n">
        <v>55</v>
      </c>
      <c r="AR806" t="n">
        <v>93</v>
      </c>
      <c r="AS806" t="n">
        <v>47</v>
      </c>
      <c r="AT806" t="n">
        <v>0</v>
      </c>
      <c r="AU806" t="n">
        <v>1</v>
      </c>
      <c r="AV806" t="n">
        <v>2</v>
      </c>
      <c r="AW806" t="n">
        <v>10</v>
      </c>
      <c r="AX806" t="n">
        <v>0</v>
      </c>
      <c r="AY806" t="n">
        <v>41</v>
      </c>
      <c r="AZ806" t="n">
        <v>3</v>
      </c>
      <c r="BA806" t="n">
        <v>9</v>
      </c>
      <c r="BB806" t="n">
        <v>84</v>
      </c>
      <c r="BC806" t="n">
        <v>69</v>
      </c>
      <c r="BD806" t="n">
        <v>49</v>
      </c>
      <c r="BE806" t="n">
        <v>15</v>
      </c>
      <c r="BF806" t="n">
        <v>24</v>
      </c>
      <c r="BG806" t="n">
        <v>0</v>
      </c>
      <c r="BH806" t="n">
        <v>3</v>
      </c>
      <c r="BI806" t="n">
        <v>7</v>
      </c>
      <c r="BJ806" t="n">
        <v>14</v>
      </c>
      <c r="BK806" t="n">
        <v>6</v>
      </c>
      <c r="BL806" t="n">
        <v>41</v>
      </c>
      <c r="BM806" t="n">
        <v>33</v>
      </c>
      <c r="BN806" t="n">
        <v>5</v>
      </c>
      <c r="BO806" t="n">
        <v>56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239</v>
      </c>
      <c r="Z807" t="n">
        <v>260</v>
      </c>
      <c r="AA807" t="n">
        <v>72</v>
      </c>
      <c r="AB807" t="n">
        <v>1</v>
      </c>
      <c r="AC807" t="n">
        <v>0</v>
      </c>
      <c r="AD807" t="n">
        <v>1</v>
      </c>
      <c r="AE807" t="n">
        <v>13</v>
      </c>
      <c r="AF807" t="n">
        <v>2</v>
      </c>
      <c r="AG807" t="n">
        <v>5</v>
      </c>
      <c r="AH807" t="n">
        <v>36</v>
      </c>
      <c r="AI807" t="n">
        <v>173</v>
      </c>
      <c r="AJ807" t="n">
        <v>57</v>
      </c>
      <c r="AK807" t="n">
        <v>50</v>
      </c>
      <c r="AL807" t="n">
        <v>3</v>
      </c>
      <c r="AM807" t="n">
        <v>25</v>
      </c>
      <c r="AN807" t="n">
        <v>0</v>
      </c>
      <c r="AO807" t="n">
        <v>0</v>
      </c>
      <c r="AP807" t="n">
        <v>5</v>
      </c>
      <c r="AQ807" t="n">
        <v>12</v>
      </c>
      <c r="AR807" t="n">
        <v>80</v>
      </c>
      <c r="AS807" t="n">
        <v>68</v>
      </c>
      <c r="AT807" t="n">
        <v>4</v>
      </c>
      <c r="AU807" t="n">
        <v>3</v>
      </c>
      <c r="AV807" t="n">
        <v>13</v>
      </c>
      <c r="AW807" t="n">
        <v>23</v>
      </c>
      <c r="AX807" t="n">
        <v>7</v>
      </c>
      <c r="AY807" t="n">
        <v>24</v>
      </c>
      <c r="AZ807" t="n">
        <v>3</v>
      </c>
      <c r="BA807" t="n">
        <v>35</v>
      </c>
      <c r="BB807" t="n">
        <v>106</v>
      </c>
      <c r="BC807" t="n">
        <v>21</v>
      </c>
      <c r="BD807" t="n">
        <v>40</v>
      </c>
      <c r="BE807" t="n">
        <v>31</v>
      </c>
      <c r="BF807" t="n">
        <v>48</v>
      </c>
      <c r="BG807" t="n">
        <v>2</v>
      </c>
      <c r="BH807" t="n">
        <v>9</v>
      </c>
      <c r="BI807" t="n">
        <v>1</v>
      </c>
      <c r="BJ807" t="n">
        <v>55</v>
      </c>
      <c r="BK807" t="n">
        <v>5</v>
      </c>
      <c r="BL807" t="n">
        <v>20</v>
      </c>
      <c r="BM807" t="n">
        <v>16</v>
      </c>
      <c r="BN807" t="n">
        <v>3</v>
      </c>
      <c r="BO807" t="n">
        <v>91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304</v>
      </c>
      <c r="Z808" t="n">
        <v>230</v>
      </c>
      <c r="AA808" t="n">
        <v>6</v>
      </c>
      <c r="AB808" t="n">
        <v>2</v>
      </c>
      <c r="AC808" t="n">
        <v>2</v>
      </c>
      <c r="AD808" t="n">
        <v>4</v>
      </c>
      <c r="AE808" t="n">
        <v>7</v>
      </c>
      <c r="AF808" t="n">
        <v>3</v>
      </c>
      <c r="AG808" t="n">
        <v>4</v>
      </c>
      <c r="AH808" t="n">
        <v>25</v>
      </c>
      <c r="AI808" t="n">
        <v>107</v>
      </c>
      <c r="AJ808" t="n">
        <v>36</v>
      </c>
      <c r="AK808" t="n">
        <v>45</v>
      </c>
      <c r="AL808" t="n">
        <v>3</v>
      </c>
      <c r="AM808" t="n">
        <v>29</v>
      </c>
      <c r="AN808" t="n">
        <v>0</v>
      </c>
      <c r="AO808" t="n">
        <v>0</v>
      </c>
      <c r="AP808" t="n">
        <v>2</v>
      </c>
      <c r="AQ808" t="n">
        <v>-2</v>
      </c>
      <c r="AR808" t="n">
        <v>141</v>
      </c>
      <c r="AS808" t="n">
        <v>132</v>
      </c>
      <c r="AT808" t="n">
        <v>4</v>
      </c>
      <c r="AU808" t="n">
        <v>3</v>
      </c>
      <c r="AV808" t="n">
        <v>32</v>
      </c>
      <c r="AW808" t="n">
        <v>13</v>
      </c>
      <c r="AX808" t="n">
        <v>0</v>
      </c>
      <c r="AY808" t="n">
        <v>11</v>
      </c>
      <c r="AZ808" t="n">
        <v>4</v>
      </c>
      <c r="BA808" t="n">
        <v>30</v>
      </c>
      <c r="BB808" t="n">
        <v>40</v>
      </c>
      <c r="BC808" t="n">
        <v>24</v>
      </c>
      <c r="BD808" t="n">
        <v>22</v>
      </c>
      <c r="BE808" t="n">
        <v>17</v>
      </c>
      <c r="BF808" t="n">
        <v>27</v>
      </c>
      <c r="BG808" t="n">
        <v>2</v>
      </c>
      <c r="BH808" t="n">
        <v>21</v>
      </c>
      <c r="BI808" t="n">
        <v>1</v>
      </c>
      <c r="BJ808" t="n">
        <v>1</v>
      </c>
      <c r="BK808" t="n">
        <v>3</v>
      </c>
      <c r="BL808" t="n">
        <v>16</v>
      </c>
      <c r="BM808" t="n">
        <v>17</v>
      </c>
      <c r="BN808" t="n">
        <v>5</v>
      </c>
      <c r="BO808" t="n">
        <v>18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160</v>
      </c>
      <c r="Z809" t="n">
        <v>210</v>
      </c>
      <c r="AA809" t="n">
        <v>99</v>
      </c>
      <c r="AB809" t="n">
        <v>0</v>
      </c>
      <c r="AC809" t="n">
        <v>1</v>
      </c>
      <c r="AD809" t="n">
        <v>4</v>
      </c>
      <c r="AE809" t="n">
        <v>11</v>
      </c>
      <c r="AF809" t="n">
        <v>2</v>
      </c>
      <c r="AG809" t="n">
        <v>1</v>
      </c>
      <c r="AH809" t="n">
        <v>41</v>
      </c>
      <c r="AI809" t="n">
        <v>97</v>
      </c>
      <c r="AJ809" t="n">
        <v>12</v>
      </c>
      <c r="AK809" t="n">
        <v>10</v>
      </c>
      <c r="AL809" t="n">
        <v>3</v>
      </c>
      <c r="AM809" t="n">
        <v>74</v>
      </c>
      <c r="AN809" t="n">
        <v>0</v>
      </c>
      <c r="AO809" t="n">
        <v>0</v>
      </c>
      <c r="AP809" t="n">
        <v>0</v>
      </c>
      <c r="AQ809" t="n">
        <v>4</v>
      </c>
      <c r="AR809" t="n">
        <v>57</v>
      </c>
      <c r="AS809" t="n">
        <v>51</v>
      </c>
      <c r="AT809" t="n">
        <v>1</v>
      </c>
      <c r="AU809" t="n">
        <v>0</v>
      </c>
      <c r="AV809" t="n">
        <v>1</v>
      </c>
      <c r="AW809" t="n">
        <v>8</v>
      </c>
      <c r="AX809" t="n">
        <v>4</v>
      </c>
      <c r="AY809" t="n">
        <v>45</v>
      </c>
      <c r="AZ809" t="n">
        <v>0</v>
      </c>
      <c r="BA809" t="n">
        <v>1</v>
      </c>
      <c r="BB809" t="n">
        <v>97</v>
      </c>
      <c r="BC809" t="n">
        <v>62</v>
      </c>
      <c r="BD809" t="n">
        <v>37</v>
      </c>
      <c r="BE809" t="n">
        <v>8</v>
      </c>
      <c r="BF809" t="n">
        <v>10</v>
      </c>
      <c r="BG809" t="n">
        <v>2</v>
      </c>
      <c r="BH809" t="n">
        <v>0</v>
      </c>
      <c r="BI809" t="n">
        <v>14</v>
      </c>
      <c r="BJ809" t="n">
        <v>13</v>
      </c>
      <c r="BK809" t="n">
        <v>3</v>
      </c>
      <c r="BL809" t="n">
        <v>10</v>
      </c>
      <c r="BM809" t="n">
        <v>7</v>
      </c>
      <c r="BN809" t="n">
        <v>1</v>
      </c>
      <c r="BO809" t="n">
        <v>9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221</v>
      </c>
      <c r="Z810" t="n">
        <v>207</v>
      </c>
      <c r="AA810" t="n">
        <v>54</v>
      </c>
      <c r="AB810" t="n">
        <v>1</v>
      </c>
      <c r="AC810" t="n">
        <v>1</v>
      </c>
      <c r="AD810" t="n">
        <v>9</v>
      </c>
      <c r="AE810" t="n">
        <v>8</v>
      </c>
      <c r="AF810" t="n">
        <v>7</v>
      </c>
      <c r="AG810" t="n">
        <v>6</v>
      </c>
      <c r="AH810" t="n">
        <v>103</v>
      </c>
      <c r="AI810" t="n">
        <v>98</v>
      </c>
      <c r="AJ810" t="n">
        <v>81</v>
      </c>
      <c r="AK810" t="n">
        <v>32</v>
      </c>
      <c r="AL810" t="n">
        <v>2</v>
      </c>
      <c r="AM810" t="n">
        <v>42</v>
      </c>
      <c r="AN810" t="n">
        <v>0</v>
      </c>
      <c r="AO810" t="n">
        <v>2</v>
      </c>
      <c r="AP810" t="n">
        <v>3</v>
      </c>
      <c r="AQ810" t="n">
        <v>-2</v>
      </c>
      <c r="AR810" t="n">
        <v>69</v>
      </c>
      <c r="AS810" t="n">
        <v>64</v>
      </c>
      <c r="AT810" t="n">
        <v>1</v>
      </c>
      <c r="AU810" t="n">
        <v>1</v>
      </c>
      <c r="AV810" t="n">
        <v>10</v>
      </c>
      <c r="AW810" t="n">
        <v>4</v>
      </c>
      <c r="AX810" t="n">
        <v>13</v>
      </c>
      <c r="AY810" t="n">
        <v>32</v>
      </c>
      <c r="AZ810" t="n">
        <v>2</v>
      </c>
      <c r="BA810" t="n">
        <v>-1</v>
      </c>
      <c r="BB810" t="n">
        <v>54</v>
      </c>
      <c r="BC810" t="n">
        <v>40</v>
      </c>
      <c r="BD810" t="n">
        <v>94</v>
      </c>
      <c r="BE810" t="n">
        <v>4</v>
      </c>
      <c r="BF810" t="n">
        <v>70</v>
      </c>
      <c r="BG810" t="n">
        <v>1</v>
      </c>
      <c r="BH810" t="n">
        <v>6</v>
      </c>
      <c r="BI810" t="n">
        <v>1</v>
      </c>
      <c r="BJ810" t="n">
        <v>9</v>
      </c>
      <c r="BK810" t="n">
        <v>1</v>
      </c>
      <c r="BL810" t="n">
        <v>7</v>
      </c>
      <c r="BM810" t="n">
        <v>-2</v>
      </c>
      <c r="BN810" t="n">
        <v>-1</v>
      </c>
      <c r="BO810" t="n">
        <v>86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4</v>
      </c>
      <c r="T811" t="n">
        <v>1</v>
      </c>
      <c r="U811" t="n">
        <v>0</v>
      </c>
      <c r="V811" t="n">
        <v>0</v>
      </c>
      <c r="W811" t="n">
        <v>2</v>
      </c>
      <c r="X811" t="n">
        <v>0</v>
      </c>
      <c r="Y811" t="n">
        <v>146</v>
      </c>
      <c r="Z811" t="n">
        <v>288</v>
      </c>
      <c r="AA811" t="n">
        <v>59</v>
      </c>
      <c r="AB811" t="n">
        <v>5</v>
      </c>
      <c r="AC811" t="n">
        <v>0</v>
      </c>
      <c r="AD811" t="n">
        <v>5</v>
      </c>
      <c r="AE811" t="n">
        <v>7</v>
      </c>
      <c r="AF811" t="n">
        <v>2</v>
      </c>
      <c r="AG811" t="n">
        <v>10</v>
      </c>
      <c r="AH811" t="n">
        <v>24</v>
      </c>
      <c r="AI811" t="n">
        <v>123</v>
      </c>
      <c r="AJ811" t="n">
        <v>-3</v>
      </c>
      <c r="AK811" t="n">
        <v>65</v>
      </c>
      <c r="AL811" t="n">
        <v>2</v>
      </c>
      <c r="AM811" t="n">
        <v>10</v>
      </c>
      <c r="AN811" t="n">
        <v>0</v>
      </c>
      <c r="AO811" t="n">
        <v>0</v>
      </c>
      <c r="AP811" t="n">
        <v>3</v>
      </c>
      <c r="AQ811" t="n">
        <v>4</v>
      </c>
      <c r="AR811" t="n">
        <v>135</v>
      </c>
      <c r="AS811" t="n">
        <v>124</v>
      </c>
      <c r="AT811" t="n">
        <v>2</v>
      </c>
      <c r="AU811" t="n">
        <v>3</v>
      </c>
      <c r="AV811" t="n">
        <v>1</v>
      </c>
      <c r="AW811" t="n">
        <v>24</v>
      </c>
      <c r="AX811" t="n">
        <v>1</v>
      </c>
      <c r="AY811" t="n">
        <v>32</v>
      </c>
      <c r="AZ811" t="n">
        <v>8</v>
      </c>
      <c r="BA811" t="n">
        <v>42</v>
      </c>
      <c r="BB811" t="n">
        <v>101</v>
      </c>
      <c r="BC811" t="n">
        <v>7</v>
      </c>
      <c r="BD811" t="n">
        <v>20</v>
      </c>
      <c r="BE811" t="n">
        <v>32</v>
      </c>
      <c r="BF811" t="n">
        <v>14</v>
      </c>
      <c r="BG811" t="n">
        <v>4</v>
      </c>
      <c r="BH811" t="n">
        <v>2</v>
      </c>
      <c r="BI811" t="n">
        <v>61</v>
      </c>
      <c r="BJ811" t="n">
        <v>56</v>
      </c>
      <c r="BK811" t="n">
        <v>2</v>
      </c>
      <c r="BL811" t="n">
        <v>32</v>
      </c>
      <c r="BM811" t="n">
        <v>23</v>
      </c>
      <c r="BN811" t="n">
        <v>2</v>
      </c>
      <c r="BO811" t="n">
        <v>9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232</v>
      </c>
      <c r="Z812" t="n">
        <v>71</v>
      </c>
      <c r="AA812" t="n">
        <v>106</v>
      </c>
      <c r="AB812" t="n">
        <v>1</v>
      </c>
      <c r="AC812" t="n">
        <v>1</v>
      </c>
      <c r="AD812" t="n">
        <v>5</v>
      </c>
      <c r="AE812" t="n">
        <v>7</v>
      </c>
      <c r="AF812" t="n">
        <v>4</v>
      </c>
      <c r="AG812" t="n">
        <v>5</v>
      </c>
      <c r="AH812" t="n">
        <v>44</v>
      </c>
      <c r="AI812" t="n">
        <v>38</v>
      </c>
      <c r="AJ812" t="n">
        <v>40</v>
      </c>
      <c r="AK812" t="n">
        <v>54</v>
      </c>
      <c r="AL812" t="n">
        <v>3</v>
      </c>
      <c r="AM812" t="n">
        <v>9</v>
      </c>
      <c r="AN812" t="n">
        <v>0</v>
      </c>
      <c r="AO812" t="n">
        <v>0</v>
      </c>
      <c r="AP812" t="n">
        <v>3</v>
      </c>
      <c r="AQ812" t="n">
        <v>33</v>
      </c>
      <c r="AR812" t="n">
        <v>101</v>
      </c>
      <c r="AS812" t="n">
        <v>71</v>
      </c>
      <c r="AT812" t="n">
        <v>5</v>
      </c>
      <c r="AU812" t="n">
        <v>2</v>
      </c>
      <c r="AV812" t="n">
        <v>18</v>
      </c>
      <c r="AW812" t="n">
        <v>6</v>
      </c>
      <c r="AX812" t="n">
        <v>0</v>
      </c>
      <c r="AY812" t="n">
        <v>47</v>
      </c>
      <c r="AZ812" t="n">
        <v>2</v>
      </c>
      <c r="BA812" t="n">
        <v>2</v>
      </c>
      <c r="BB812" t="n">
        <v>103</v>
      </c>
      <c r="BC812" t="n">
        <v>10</v>
      </c>
      <c r="BD812" t="n">
        <v>39</v>
      </c>
      <c r="BE812" t="n">
        <v>10</v>
      </c>
      <c r="BF812" t="n">
        <v>40</v>
      </c>
      <c r="BG812" t="n">
        <v>3</v>
      </c>
      <c r="BH812" t="n">
        <v>19</v>
      </c>
      <c r="BI812" t="n">
        <v>45</v>
      </c>
      <c r="BJ812" t="n">
        <v>41</v>
      </c>
      <c r="BK812" t="n">
        <v>0</v>
      </c>
      <c r="BL812" t="n">
        <v>1</v>
      </c>
      <c r="BM812" t="n">
        <v>12</v>
      </c>
      <c r="BN812" t="n">
        <v>6</v>
      </c>
      <c r="BO812" t="n">
        <v>2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2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n">
        <v>172</v>
      </c>
      <c r="Z813" t="n">
        <v>125</v>
      </c>
      <c r="AA813" t="n">
        <v>56</v>
      </c>
      <c r="AB813" t="n">
        <v>0</v>
      </c>
      <c r="AC813" t="n">
        <v>0</v>
      </c>
      <c r="AD813" t="n">
        <v>1</v>
      </c>
      <c r="AE813" t="n">
        <v>1</v>
      </c>
      <c r="AF813" t="n">
        <v>5</v>
      </c>
      <c r="AG813" t="n">
        <v>3</v>
      </c>
      <c r="AH813" t="n">
        <v>4</v>
      </c>
      <c r="AI813" t="n">
        <v>27</v>
      </c>
      <c r="AJ813" t="n">
        <v>60</v>
      </c>
      <c r="AK813" t="n">
        <v>13</v>
      </c>
      <c r="AL813" t="n">
        <v>2</v>
      </c>
      <c r="AM813" t="n">
        <v>10</v>
      </c>
      <c r="AN813" t="n">
        <v>0</v>
      </c>
      <c r="AO813" t="n">
        <v>0</v>
      </c>
      <c r="AP813" t="n">
        <v>0</v>
      </c>
      <c r="AQ813" t="n">
        <v>-2</v>
      </c>
      <c r="AR813" t="n">
        <v>94</v>
      </c>
      <c r="AS813" t="n">
        <v>87</v>
      </c>
      <c r="AT813" t="n">
        <v>0</v>
      </c>
      <c r="AU813" t="n">
        <v>1</v>
      </c>
      <c r="AV813" t="n">
        <v>1</v>
      </c>
      <c r="AW813" t="n">
        <v>13</v>
      </c>
      <c r="AX813" t="n">
        <v>0</v>
      </c>
      <c r="AY813" t="n">
        <v>19</v>
      </c>
      <c r="AZ813" t="n">
        <v>2</v>
      </c>
      <c r="BA813" t="n">
        <v>64</v>
      </c>
      <c r="BB813" t="n">
        <v>124</v>
      </c>
      <c r="BC813" t="n">
        <v>7</v>
      </c>
      <c r="BD813" t="n">
        <v>10</v>
      </c>
      <c r="BE813" t="n">
        <v>13</v>
      </c>
      <c r="BF813" t="n">
        <v>48</v>
      </c>
      <c r="BG813" t="n">
        <v>3</v>
      </c>
      <c r="BH813" t="n">
        <v>12</v>
      </c>
      <c r="BI813" t="n">
        <v>49</v>
      </c>
      <c r="BJ813" t="n">
        <v>43</v>
      </c>
      <c r="BK813" t="n">
        <v>0</v>
      </c>
      <c r="BL813" t="n">
        <v>1</v>
      </c>
      <c r="BM813" t="n">
        <v>10</v>
      </c>
      <c r="BN813" t="n">
        <v>5</v>
      </c>
      <c r="BO813" t="n">
        <v>28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335</v>
      </c>
      <c r="Z814" t="n">
        <v>137</v>
      </c>
      <c r="AA814" t="n">
        <v>5</v>
      </c>
      <c r="AB814" t="n">
        <v>1</v>
      </c>
      <c r="AC814" t="n">
        <v>1</v>
      </c>
      <c r="AD814" t="n">
        <v>1</v>
      </c>
      <c r="AE814" t="n">
        <v>3</v>
      </c>
      <c r="AF814" t="n">
        <v>5</v>
      </c>
      <c r="AG814" t="n">
        <v>10</v>
      </c>
      <c r="AH814" t="n">
        <v>37</v>
      </c>
      <c r="AI814" t="n">
        <v>36</v>
      </c>
      <c r="AJ814" t="n">
        <v>84</v>
      </c>
      <c r="AK814" t="n">
        <v>83</v>
      </c>
      <c r="AL814" t="n">
        <v>4</v>
      </c>
      <c r="AM814" t="n">
        <v>31</v>
      </c>
      <c r="AN814" t="n">
        <v>0</v>
      </c>
      <c r="AO814" t="n">
        <v>0</v>
      </c>
      <c r="AP814" t="n">
        <v>3</v>
      </c>
      <c r="AQ814" t="n">
        <v>7</v>
      </c>
      <c r="AR814" t="n">
        <v>68</v>
      </c>
      <c r="AS814" t="n">
        <v>60</v>
      </c>
      <c r="AT814" t="n">
        <v>4</v>
      </c>
      <c r="AU814" t="n">
        <v>2</v>
      </c>
      <c r="AV814" t="n">
        <v>92</v>
      </c>
      <c r="AW814" t="n">
        <v>15</v>
      </c>
      <c r="AX814" t="n">
        <v>1</v>
      </c>
      <c r="AY814" t="n">
        <v>11</v>
      </c>
      <c r="AZ814" t="n">
        <v>4</v>
      </c>
      <c r="BA814" t="n">
        <v>9</v>
      </c>
      <c r="BB814" t="n">
        <v>14</v>
      </c>
      <c r="BC814" t="n">
        <v>25</v>
      </c>
      <c r="BD814" t="n">
        <v>59</v>
      </c>
      <c r="BE814" t="n">
        <v>24</v>
      </c>
      <c r="BF814" t="n">
        <v>69</v>
      </c>
      <c r="BG814" t="n">
        <v>3</v>
      </c>
      <c r="BH814" t="n">
        <v>5</v>
      </c>
      <c r="BI814" t="n">
        <v>45</v>
      </c>
      <c r="BJ814" t="n">
        <v>43</v>
      </c>
      <c r="BK814" t="n">
        <v>3</v>
      </c>
      <c r="BL814" t="n">
        <v>38</v>
      </c>
      <c r="BM814" t="n">
        <v>27</v>
      </c>
      <c r="BN814" t="n">
        <v>2</v>
      </c>
      <c r="BO814" t="n">
        <v>37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3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3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233</v>
      </c>
      <c r="Z815" t="n">
        <v>160</v>
      </c>
      <c r="AA815" t="n">
        <v>27</v>
      </c>
      <c r="AB815" t="n">
        <v>2</v>
      </c>
      <c r="AC815" t="n">
        <v>1</v>
      </c>
      <c r="AD815" t="n">
        <v>5</v>
      </c>
      <c r="AE815" t="n">
        <v>5</v>
      </c>
      <c r="AF815" t="n">
        <v>1</v>
      </c>
      <c r="AG815" t="n">
        <v>5</v>
      </c>
      <c r="AH815" t="n">
        <v>82</v>
      </c>
      <c r="AI815" t="n">
        <v>25</v>
      </c>
      <c r="AJ815" t="n">
        <v>25</v>
      </c>
      <c r="AK815" t="n">
        <v>48</v>
      </c>
      <c r="AL815" t="n">
        <v>3</v>
      </c>
      <c r="AM815" t="n">
        <v>44</v>
      </c>
      <c r="AN815" t="n">
        <v>0</v>
      </c>
      <c r="AO815" t="n">
        <v>0</v>
      </c>
      <c r="AP815" t="n">
        <v>7</v>
      </c>
      <c r="AQ815" t="n">
        <v>53</v>
      </c>
      <c r="AR815" t="n">
        <v>171</v>
      </c>
      <c r="AS815" t="n">
        <v>123</v>
      </c>
      <c r="AT815" t="n">
        <v>2</v>
      </c>
      <c r="AU815" t="n">
        <v>2</v>
      </c>
      <c r="AV815" t="n">
        <v>14</v>
      </c>
      <c r="AW815" t="n">
        <v>23</v>
      </c>
      <c r="AX815" t="n">
        <v>-1</v>
      </c>
      <c r="AY815" t="n">
        <v>42</v>
      </c>
      <c r="AZ815" t="n">
        <v>2</v>
      </c>
      <c r="BA815" t="n">
        <v>16</v>
      </c>
      <c r="BB815" t="n">
        <v>43</v>
      </c>
      <c r="BC815" t="n">
        <v>37</v>
      </c>
      <c r="BD815" t="n">
        <v>74</v>
      </c>
      <c r="BE815" t="n">
        <v>22</v>
      </c>
      <c r="BF815" t="n">
        <v>26</v>
      </c>
      <c r="BG815" t="n">
        <v>1</v>
      </c>
      <c r="BH815" t="n">
        <v>7</v>
      </c>
      <c r="BI815" t="n">
        <v>1</v>
      </c>
      <c r="BJ815" t="n">
        <v>1</v>
      </c>
      <c r="BK815" t="n">
        <v>0</v>
      </c>
      <c r="BL815" t="n">
        <v>7</v>
      </c>
      <c r="BM815" t="n">
        <v>4</v>
      </c>
      <c r="BN815" t="n">
        <v>1</v>
      </c>
      <c r="BO815" t="n">
        <v>16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185</v>
      </c>
      <c r="Z816" t="n">
        <v>142</v>
      </c>
      <c r="AA816" t="n">
        <v>73</v>
      </c>
      <c r="AB816" t="n">
        <v>1</v>
      </c>
      <c r="AC816" t="n">
        <v>1</v>
      </c>
      <c r="AD816" t="n">
        <v>2</v>
      </c>
      <c r="AE816" t="n">
        <v>4</v>
      </c>
      <c r="AF816" t="n">
        <v>3</v>
      </c>
      <c r="AG816" t="n">
        <v>1</v>
      </c>
      <c r="AH816" t="n">
        <v>69</v>
      </c>
      <c r="AI816" t="n">
        <v>37</v>
      </c>
      <c r="AJ816" t="n">
        <v>11</v>
      </c>
      <c r="AK816" t="n">
        <v>15</v>
      </c>
      <c r="AL816" t="n">
        <v>0</v>
      </c>
      <c r="AM816" t="n">
        <v>28</v>
      </c>
      <c r="AN816" t="n">
        <v>0</v>
      </c>
      <c r="AO816" t="n">
        <v>0</v>
      </c>
      <c r="AP816" t="n">
        <v>1</v>
      </c>
      <c r="AQ816" t="n">
        <v>3</v>
      </c>
      <c r="AR816" t="n">
        <v>55</v>
      </c>
      <c r="AS816" t="n">
        <v>49</v>
      </c>
      <c r="AT816" t="n">
        <v>4</v>
      </c>
      <c r="AU816" t="n">
        <v>0</v>
      </c>
      <c r="AV816" t="n">
        <v>81</v>
      </c>
      <c r="AW816" t="n">
        <v>4</v>
      </c>
      <c r="AX816" t="n">
        <v>2</v>
      </c>
      <c r="AY816" t="n">
        <v>44</v>
      </c>
      <c r="AZ816" t="n">
        <v>1</v>
      </c>
      <c r="BA816" t="n">
        <v>16</v>
      </c>
      <c r="BB816" t="n">
        <v>85</v>
      </c>
      <c r="BC816" t="n">
        <v>50</v>
      </c>
      <c r="BD816" t="n">
        <v>61</v>
      </c>
      <c r="BE816" t="n">
        <v>6</v>
      </c>
      <c r="BF816" t="n">
        <v>9</v>
      </c>
      <c r="BG816" t="n">
        <v>1</v>
      </c>
      <c r="BH816" t="n">
        <v>5</v>
      </c>
      <c r="BI816" t="n">
        <v>1</v>
      </c>
      <c r="BJ816" t="n">
        <v>5</v>
      </c>
      <c r="BK816" t="n">
        <v>1</v>
      </c>
      <c r="BL816" t="n">
        <v>1</v>
      </c>
      <c r="BM816" t="n">
        <v>24</v>
      </c>
      <c r="BN816" t="n">
        <v>14</v>
      </c>
      <c r="BO816" t="n">
        <v>2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0</v>
      </c>
      <c r="W817" t="n">
        <v>0</v>
      </c>
      <c r="X817" t="n">
        <v>0</v>
      </c>
      <c r="Y817" t="n">
        <v>104</v>
      </c>
      <c r="Z817" t="n">
        <v>233</v>
      </c>
      <c r="AA817" t="n">
        <v>48</v>
      </c>
      <c r="AB817" t="n">
        <v>2</v>
      </c>
      <c r="AC817" t="n">
        <v>1</v>
      </c>
      <c r="AD817" t="n">
        <v>2</v>
      </c>
      <c r="AE817" t="n">
        <v>2</v>
      </c>
      <c r="AF817" t="n">
        <v>1</v>
      </c>
      <c r="AG817" t="n">
        <v>0</v>
      </c>
      <c r="AH817" t="n">
        <v>46</v>
      </c>
      <c r="AI817" t="n">
        <v>9</v>
      </c>
      <c r="AJ817" t="n">
        <v>9</v>
      </c>
      <c r="AK817" t="n">
        <v>1</v>
      </c>
      <c r="AL817" t="n">
        <v>1</v>
      </c>
      <c r="AM817" t="n">
        <v>143</v>
      </c>
      <c r="AN817" t="n">
        <v>0</v>
      </c>
      <c r="AO817" t="n">
        <v>0</v>
      </c>
      <c r="AP817" t="n">
        <v>0</v>
      </c>
      <c r="AQ817" t="n">
        <v>1</v>
      </c>
      <c r="AR817" t="n">
        <v>72</v>
      </c>
      <c r="AS817" t="n">
        <v>66</v>
      </c>
      <c r="AT817" t="n">
        <v>3</v>
      </c>
      <c r="AU817" t="n">
        <v>1</v>
      </c>
      <c r="AV817" t="n">
        <v>20</v>
      </c>
      <c r="AW817" t="n">
        <v>13</v>
      </c>
      <c r="AX817" t="n">
        <v>0</v>
      </c>
      <c r="AY817" t="n">
        <v>17</v>
      </c>
      <c r="AZ817" t="n">
        <v>1</v>
      </c>
      <c r="BA817" t="n">
        <v>2</v>
      </c>
      <c r="BB817" t="n">
        <v>48</v>
      </c>
      <c r="BC817" t="n">
        <v>119</v>
      </c>
      <c r="BD817" t="n">
        <v>41</v>
      </c>
      <c r="BE817" t="n">
        <v>12</v>
      </c>
      <c r="BF817" t="n">
        <v>6</v>
      </c>
      <c r="BG817" t="n">
        <v>1</v>
      </c>
      <c r="BH817" t="n">
        <v>3</v>
      </c>
      <c r="BI817" t="n">
        <v>11</v>
      </c>
      <c r="BJ817" t="n">
        <v>18</v>
      </c>
      <c r="BK817" t="n">
        <v>0</v>
      </c>
      <c r="BL817" t="n">
        <v>26</v>
      </c>
      <c r="BM817" t="n">
        <v>26</v>
      </c>
      <c r="BN817" t="n">
        <v>6</v>
      </c>
      <c r="BO817" t="n">
        <v>7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152</v>
      </c>
      <c r="Z818" t="n">
        <v>218</v>
      </c>
      <c r="AA818" t="n">
        <v>32</v>
      </c>
      <c r="AB818" t="n">
        <v>0</v>
      </c>
      <c r="AC818" t="n">
        <v>2</v>
      </c>
      <c r="AD818" t="n">
        <v>5</v>
      </c>
      <c r="AE818" t="n">
        <v>7</v>
      </c>
      <c r="AF818" t="n">
        <v>4</v>
      </c>
      <c r="AG818" t="n">
        <v>3</v>
      </c>
      <c r="AH818" t="n">
        <v>40</v>
      </c>
      <c r="AI818" t="n">
        <v>81</v>
      </c>
      <c r="AJ818" t="n">
        <v>59</v>
      </c>
      <c r="AK818" t="n">
        <v>12</v>
      </c>
      <c r="AL818" t="n">
        <v>2</v>
      </c>
      <c r="AM818" t="n">
        <v>11</v>
      </c>
      <c r="AN818" t="n">
        <v>0</v>
      </c>
      <c r="AO818" t="n">
        <v>0</v>
      </c>
      <c r="AP818" t="n">
        <v>1</v>
      </c>
      <c r="AQ818" t="n">
        <v>21</v>
      </c>
      <c r="AR818" t="n">
        <v>53</v>
      </c>
      <c r="AS818" t="n">
        <v>37</v>
      </c>
      <c r="AT818" t="n">
        <v>1</v>
      </c>
      <c r="AU818" t="n">
        <v>2</v>
      </c>
      <c r="AV818" t="n">
        <v>1</v>
      </c>
      <c r="AW818" t="n">
        <v>40</v>
      </c>
      <c r="AX818" t="n">
        <v>0</v>
      </c>
      <c r="AY818" t="n">
        <v>33</v>
      </c>
      <c r="AZ818" t="n">
        <v>1</v>
      </c>
      <c r="BA818" t="n">
        <v>18</v>
      </c>
      <c r="BB818" t="n">
        <v>50</v>
      </c>
      <c r="BC818" t="n">
        <v>11</v>
      </c>
      <c r="BD818" t="n">
        <v>35</v>
      </c>
      <c r="BE818" t="n">
        <v>39</v>
      </c>
      <c r="BF818" t="n">
        <v>53</v>
      </c>
      <c r="BG818" t="n">
        <v>0</v>
      </c>
      <c r="BH818" t="n">
        <v>8</v>
      </c>
      <c r="BI818" t="n">
        <v>6</v>
      </c>
      <c r="BJ818" t="n">
        <v>4</v>
      </c>
      <c r="BK818" t="n">
        <v>1</v>
      </c>
      <c r="BL818" t="n">
        <v>10</v>
      </c>
      <c r="BM818" t="n">
        <v>13</v>
      </c>
      <c r="BN818" t="n">
        <v>4</v>
      </c>
      <c r="BO818" t="n">
        <v>2</v>
      </c>
    </row>
    <row r="819">
      <c r="A819" t="n">
        <v>0</v>
      </c>
      <c r="B819" t="n">
        <v>0</v>
      </c>
      <c r="C819" t="n">
        <v>0</v>
      </c>
      <c r="D819" t="n">
        <v>2</v>
      </c>
      <c r="E819" t="n">
        <v>1</v>
      </c>
      <c r="F819" t="n">
        <v>2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274</v>
      </c>
      <c r="Z819" t="n">
        <v>326</v>
      </c>
      <c r="AA819" t="n">
        <v>16</v>
      </c>
      <c r="AB819" t="n">
        <v>4</v>
      </c>
      <c r="AC819" t="n">
        <v>1</v>
      </c>
      <c r="AD819" t="n">
        <v>4</v>
      </c>
      <c r="AE819" t="n">
        <v>3</v>
      </c>
      <c r="AF819" t="n">
        <v>3</v>
      </c>
      <c r="AG819" t="n">
        <v>6</v>
      </c>
      <c r="AH819" t="n">
        <v>54</v>
      </c>
      <c r="AI819" t="n">
        <v>9</v>
      </c>
      <c r="AJ819" t="n">
        <v>33</v>
      </c>
      <c r="AK819" t="n">
        <v>42</v>
      </c>
      <c r="AL819" t="n">
        <v>3</v>
      </c>
      <c r="AM819" t="n">
        <v>62</v>
      </c>
      <c r="AN819" t="n">
        <v>0</v>
      </c>
      <c r="AO819" t="n">
        <v>0</v>
      </c>
      <c r="AP819" t="n">
        <v>3</v>
      </c>
      <c r="AQ819" t="n">
        <v>15</v>
      </c>
      <c r="AR819" t="n">
        <v>138</v>
      </c>
      <c r="AS819" t="n">
        <v>122</v>
      </c>
      <c r="AT819" t="n">
        <v>7</v>
      </c>
      <c r="AU819" t="n">
        <v>1</v>
      </c>
      <c r="AV819" t="n">
        <v>94</v>
      </c>
      <c r="AW819" t="n">
        <v>13</v>
      </c>
      <c r="AX819" t="n">
        <v>2</v>
      </c>
      <c r="AY819" t="n">
        <v>19</v>
      </c>
      <c r="AZ819" t="n">
        <v>4</v>
      </c>
      <c r="BA819" t="n">
        <v>59</v>
      </c>
      <c r="BB819" t="n">
        <v>84</v>
      </c>
      <c r="BC819" t="n">
        <v>52</v>
      </c>
      <c r="BD819" t="n">
        <v>47</v>
      </c>
      <c r="BE819" t="n">
        <v>13</v>
      </c>
      <c r="BF819" t="n">
        <v>28</v>
      </c>
      <c r="BG819" t="n">
        <v>5</v>
      </c>
      <c r="BH819" t="n">
        <v>11</v>
      </c>
      <c r="BI819" t="n">
        <v>43</v>
      </c>
      <c r="BJ819" t="n">
        <v>51</v>
      </c>
      <c r="BK819" t="n">
        <v>4</v>
      </c>
      <c r="BL819" t="n">
        <v>42</v>
      </c>
      <c r="BM819" t="n">
        <v>27</v>
      </c>
      <c r="BN819" t="n">
        <v>-1</v>
      </c>
      <c r="BO819" t="n">
        <v>28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2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202</v>
      </c>
      <c r="Z820" t="n">
        <v>350</v>
      </c>
      <c r="AA820" t="n">
        <v>6</v>
      </c>
      <c r="AB820" t="n">
        <v>1</v>
      </c>
      <c r="AC820" t="n">
        <v>0</v>
      </c>
      <c r="AD820" t="n">
        <v>2</v>
      </c>
      <c r="AE820" t="n">
        <v>3</v>
      </c>
      <c r="AF820" t="n">
        <v>5</v>
      </c>
      <c r="AG820" t="n">
        <v>5</v>
      </c>
      <c r="AH820" t="n">
        <v>20</v>
      </c>
      <c r="AI820" t="n">
        <v>16</v>
      </c>
      <c r="AJ820" t="n">
        <v>101</v>
      </c>
      <c r="AK820" t="n">
        <v>57</v>
      </c>
      <c r="AL820" t="n">
        <v>8</v>
      </c>
      <c r="AM820" t="n">
        <v>143</v>
      </c>
      <c r="AN820" t="n">
        <v>0</v>
      </c>
      <c r="AO820" t="n">
        <v>0</v>
      </c>
      <c r="AP820" t="n">
        <v>7</v>
      </c>
      <c r="AQ820" t="n">
        <v>35</v>
      </c>
      <c r="AR820" t="n">
        <v>124</v>
      </c>
      <c r="AS820" t="n">
        <v>93</v>
      </c>
      <c r="AT820" t="n">
        <v>1</v>
      </c>
      <c r="AU820" t="n">
        <v>1</v>
      </c>
      <c r="AV820" t="n">
        <v>23</v>
      </c>
      <c r="AW820" t="n">
        <v>19</v>
      </c>
      <c r="AX820" t="n">
        <v>20</v>
      </c>
      <c r="AY820" t="n">
        <v>5</v>
      </c>
      <c r="AZ820" t="n">
        <v>1</v>
      </c>
      <c r="BA820" t="n">
        <v>1</v>
      </c>
      <c r="BB820" t="n">
        <v>8</v>
      </c>
      <c r="BC820" t="n">
        <v>118</v>
      </c>
      <c r="BD820" t="n">
        <v>17</v>
      </c>
      <c r="BE820" t="n">
        <v>20</v>
      </c>
      <c r="BF820" t="n">
        <v>82</v>
      </c>
      <c r="BG820" t="n">
        <v>1</v>
      </c>
      <c r="BH820" t="n">
        <v>2</v>
      </c>
      <c r="BI820" t="n">
        <v>24</v>
      </c>
      <c r="BJ820" t="n">
        <v>29</v>
      </c>
      <c r="BK820" t="n">
        <v>1</v>
      </c>
      <c r="BL820" t="n">
        <v>16</v>
      </c>
      <c r="BM820" t="n">
        <v>11</v>
      </c>
      <c r="BN820" t="n">
        <v>0</v>
      </c>
      <c r="BO820" t="n">
        <v>2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111</v>
      </c>
      <c r="Z821" t="n">
        <v>295</v>
      </c>
      <c r="AA821" t="n">
        <v>27</v>
      </c>
      <c r="AB821" t="n">
        <v>1</v>
      </c>
      <c r="AC821" t="n">
        <v>0</v>
      </c>
      <c r="AD821" t="n">
        <v>4</v>
      </c>
      <c r="AE821" t="n">
        <v>4</v>
      </c>
      <c r="AF821" t="n">
        <v>2</v>
      </c>
      <c r="AG821" t="n">
        <v>3</v>
      </c>
      <c r="AH821" t="n">
        <v>44</v>
      </c>
      <c r="AI821" t="n">
        <v>71</v>
      </c>
      <c r="AJ821" t="n">
        <v>12</v>
      </c>
      <c r="AK821" t="n">
        <v>1</v>
      </c>
      <c r="AL821" t="n">
        <v>7</v>
      </c>
      <c r="AM821" t="n">
        <v>103</v>
      </c>
      <c r="AN821" t="n">
        <v>0</v>
      </c>
      <c r="AO821" t="n">
        <v>0</v>
      </c>
      <c r="AP821" t="n">
        <v>3</v>
      </c>
      <c r="AQ821" t="n">
        <v>10</v>
      </c>
      <c r="AR821" t="n">
        <v>132</v>
      </c>
      <c r="AS821" t="n">
        <v>119</v>
      </c>
      <c r="AT821" t="n">
        <v>4</v>
      </c>
      <c r="AU821" t="n">
        <v>2</v>
      </c>
      <c r="AV821" t="n">
        <v>44</v>
      </c>
      <c r="AW821" t="n">
        <v>49</v>
      </c>
      <c r="AX821" t="n">
        <v>6</v>
      </c>
      <c r="AY821" t="n">
        <v>33</v>
      </c>
      <c r="AZ821" t="n">
        <v>0</v>
      </c>
      <c r="BA821" t="n">
        <v>24</v>
      </c>
      <c r="BB821" t="n">
        <v>53</v>
      </c>
      <c r="BC821" t="n">
        <v>89</v>
      </c>
      <c r="BD821" t="n">
        <v>60</v>
      </c>
      <c r="BE821" t="n">
        <v>49</v>
      </c>
      <c r="BF821" t="n">
        <v>10</v>
      </c>
      <c r="BG821" t="n">
        <v>1</v>
      </c>
      <c r="BH821" t="n">
        <v>2</v>
      </c>
      <c r="BI821" t="n">
        <v>5</v>
      </c>
      <c r="BJ821" t="n">
        <v>1</v>
      </c>
      <c r="BK821" t="n">
        <v>0</v>
      </c>
      <c r="BL821" t="n">
        <v>1</v>
      </c>
      <c r="BM821" t="n">
        <v>12</v>
      </c>
      <c r="BN821" t="n">
        <v>7</v>
      </c>
      <c r="BO821" t="n">
        <v>2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140</v>
      </c>
      <c r="Z822" t="n">
        <v>201</v>
      </c>
      <c r="AA822" t="n">
        <v>36</v>
      </c>
      <c r="AB822" t="n">
        <v>2</v>
      </c>
      <c r="AC822" t="n">
        <v>0</v>
      </c>
      <c r="AD822" t="n">
        <v>4</v>
      </c>
      <c r="AE822" t="n">
        <v>4</v>
      </c>
      <c r="AF822" t="n">
        <v>2</v>
      </c>
      <c r="AG822" t="n">
        <v>4</v>
      </c>
      <c r="AH822" t="n">
        <v>62</v>
      </c>
      <c r="AI822" t="n">
        <v>38</v>
      </c>
      <c r="AJ822" t="n">
        <v>10</v>
      </c>
      <c r="AK822" t="n">
        <v>12</v>
      </c>
      <c r="AL822" t="n">
        <v>5</v>
      </c>
      <c r="AM822" t="n">
        <v>55</v>
      </c>
      <c r="AN822" t="n">
        <v>0</v>
      </c>
      <c r="AO822" t="n">
        <v>0</v>
      </c>
      <c r="AP822" t="n">
        <v>0</v>
      </c>
      <c r="AQ822" t="n">
        <v>1</v>
      </c>
      <c r="AR822" t="n">
        <v>159</v>
      </c>
      <c r="AS822" t="n">
        <v>147</v>
      </c>
      <c r="AT822" t="n">
        <v>1</v>
      </c>
      <c r="AU822" t="n">
        <v>0</v>
      </c>
      <c r="AV822" t="n">
        <v>1</v>
      </c>
      <c r="AW822" t="n">
        <v>7</v>
      </c>
      <c r="AX822" t="n">
        <v>2</v>
      </c>
      <c r="AY822" t="n">
        <v>70</v>
      </c>
      <c r="AZ822" t="n">
        <v>4</v>
      </c>
      <c r="BA822" t="n">
        <v>53</v>
      </c>
      <c r="BB822" t="n">
        <v>95</v>
      </c>
      <c r="BC822" t="n">
        <v>48</v>
      </c>
      <c r="BD822" t="n">
        <v>68</v>
      </c>
      <c r="BE822" t="n">
        <v>11</v>
      </c>
      <c r="BF822" t="n">
        <v>18</v>
      </c>
      <c r="BG822" t="n">
        <v>3</v>
      </c>
      <c r="BH822" t="n">
        <v>9</v>
      </c>
      <c r="BI822" t="n">
        <v>29</v>
      </c>
      <c r="BJ822" t="n">
        <v>31</v>
      </c>
      <c r="BK822" t="n">
        <v>1</v>
      </c>
      <c r="BL822" t="n">
        <v>1</v>
      </c>
      <c r="BM822" t="n">
        <v>10</v>
      </c>
      <c r="BN822" t="n">
        <v>5</v>
      </c>
      <c r="BO822" t="n">
        <v>11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207</v>
      </c>
      <c r="Z823" t="n">
        <v>199</v>
      </c>
      <c r="AA823" t="n">
        <v>39</v>
      </c>
      <c r="AB823" t="n">
        <v>0</v>
      </c>
      <c r="AC823" t="n">
        <v>0</v>
      </c>
      <c r="AD823" t="n">
        <v>3</v>
      </c>
      <c r="AE823" t="n">
        <v>4</v>
      </c>
      <c r="AF823" t="n">
        <v>2</v>
      </c>
      <c r="AG823" t="n">
        <v>3</v>
      </c>
      <c r="AH823" t="n">
        <v>85</v>
      </c>
      <c r="AI823" t="n">
        <v>97</v>
      </c>
      <c r="AJ823" t="n">
        <v>2</v>
      </c>
      <c r="AK823" t="n">
        <v>24</v>
      </c>
      <c r="AL823" t="n">
        <v>3</v>
      </c>
      <c r="AM823" t="n">
        <v>29</v>
      </c>
      <c r="AN823" t="n">
        <v>0</v>
      </c>
      <c r="AO823" t="n">
        <v>0</v>
      </c>
      <c r="AP823" t="n">
        <v>4</v>
      </c>
      <c r="AQ823" t="n">
        <v>35</v>
      </c>
      <c r="AR823" t="n">
        <v>104</v>
      </c>
      <c r="AS823" t="n">
        <v>76</v>
      </c>
      <c r="AT823" t="n">
        <v>2</v>
      </c>
      <c r="AU823" t="n">
        <v>0</v>
      </c>
      <c r="AV823" t="n">
        <v>47</v>
      </c>
      <c r="AW823" t="n">
        <v>1</v>
      </c>
      <c r="AX823" t="n">
        <v>1</v>
      </c>
      <c r="AY823" t="n">
        <v>31</v>
      </c>
      <c r="AZ823" t="n">
        <v>2</v>
      </c>
      <c r="BA823" t="n">
        <v>26</v>
      </c>
      <c r="BB823" t="n">
        <v>63</v>
      </c>
      <c r="BC823" t="n">
        <v>33</v>
      </c>
      <c r="BD823" t="n">
        <v>95</v>
      </c>
      <c r="BE823" t="n">
        <v>11</v>
      </c>
      <c r="BF823" t="n">
        <v>40</v>
      </c>
      <c r="BG823" t="n">
        <v>0</v>
      </c>
      <c r="BH823" t="n">
        <v>10</v>
      </c>
      <c r="BI823" t="n">
        <v>1</v>
      </c>
      <c r="BJ823" t="n">
        <v>1</v>
      </c>
      <c r="BK823" t="n">
        <v>6</v>
      </c>
      <c r="BL823" t="n">
        <v>94</v>
      </c>
      <c r="BM823" t="n">
        <v>73</v>
      </c>
      <c r="BN823" t="n">
        <v>8</v>
      </c>
      <c r="BO823" t="n">
        <v>2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261</v>
      </c>
      <c r="Z824" t="n">
        <v>304</v>
      </c>
      <c r="AA824" t="n">
        <v>32</v>
      </c>
      <c r="AB824" t="n">
        <v>0</v>
      </c>
      <c r="AC824" t="n">
        <v>3</v>
      </c>
      <c r="AD824" t="n">
        <v>4</v>
      </c>
      <c r="AE824" t="n">
        <v>6</v>
      </c>
      <c r="AF824" t="n">
        <v>5</v>
      </c>
      <c r="AG824" t="n">
        <v>2</v>
      </c>
      <c r="AH824" t="n">
        <v>62</v>
      </c>
      <c r="AI824" t="n">
        <v>38</v>
      </c>
      <c r="AJ824" t="n">
        <v>29</v>
      </c>
      <c r="AK824" t="n">
        <v>-2</v>
      </c>
      <c r="AL824" t="n">
        <v>5</v>
      </c>
      <c r="AM824" t="n">
        <v>32</v>
      </c>
      <c r="AN824" t="n">
        <v>0</v>
      </c>
      <c r="AO824" t="n">
        <v>0</v>
      </c>
      <c r="AP824" t="n">
        <v>3</v>
      </c>
      <c r="AQ824" t="n">
        <v>32</v>
      </c>
      <c r="AR824" t="n">
        <v>33</v>
      </c>
      <c r="AS824" t="n">
        <v>7</v>
      </c>
      <c r="AT824" t="n">
        <v>3</v>
      </c>
      <c r="AU824" t="n">
        <v>4</v>
      </c>
      <c r="AV824" t="n">
        <v>29</v>
      </c>
      <c r="AW824" t="n">
        <v>34</v>
      </c>
      <c r="AX824" t="n">
        <v>0</v>
      </c>
      <c r="AY824" t="n">
        <v>33</v>
      </c>
      <c r="AZ824" t="n">
        <v>3</v>
      </c>
      <c r="BA824" t="n">
        <v>18</v>
      </c>
      <c r="BB824" t="n">
        <v>49</v>
      </c>
      <c r="BC824" t="n">
        <v>31</v>
      </c>
      <c r="BD824" t="n">
        <v>55</v>
      </c>
      <c r="BE824" t="n">
        <v>33</v>
      </c>
      <c r="BF824" t="n">
        <v>24</v>
      </c>
      <c r="BG824" t="n">
        <v>1</v>
      </c>
      <c r="BH824" t="n">
        <v>35</v>
      </c>
      <c r="BI824" t="n">
        <v>23</v>
      </c>
      <c r="BJ824" t="n">
        <v>20</v>
      </c>
      <c r="BK824" t="n">
        <v>12</v>
      </c>
      <c r="BL824" t="n">
        <v>116</v>
      </c>
      <c r="BM824" t="n">
        <v>84</v>
      </c>
      <c r="BN824" t="n">
        <v>7</v>
      </c>
      <c r="BO824" t="n">
        <v>2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335</v>
      </c>
      <c r="Z825" t="n">
        <v>150</v>
      </c>
      <c r="AA825" t="n">
        <v>124</v>
      </c>
      <c r="AB825" t="n">
        <v>1</v>
      </c>
      <c r="AC825" t="n">
        <v>2</v>
      </c>
      <c r="AD825" t="n">
        <v>10</v>
      </c>
      <c r="AE825" t="n">
        <v>4</v>
      </c>
      <c r="AF825" t="n">
        <v>5</v>
      </c>
      <c r="AG825" t="n">
        <v>0</v>
      </c>
      <c r="AH825" t="n">
        <v>149</v>
      </c>
      <c r="AI825" t="n">
        <v>57</v>
      </c>
      <c r="AJ825" t="n">
        <v>77</v>
      </c>
      <c r="AK825" t="n">
        <v>7</v>
      </c>
      <c r="AL825" t="n">
        <v>6</v>
      </c>
      <c r="AM825" t="n">
        <v>44</v>
      </c>
      <c r="AN825" t="n">
        <v>0</v>
      </c>
      <c r="AO825" t="n">
        <v>0</v>
      </c>
      <c r="AP825" t="n">
        <v>3</v>
      </c>
      <c r="AQ825" t="n">
        <v>13</v>
      </c>
      <c r="AR825" t="n">
        <v>119</v>
      </c>
      <c r="AS825" t="n">
        <v>104</v>
      </c>
      <c r="AT825" t="n">
        <v>4</v>
      </c>
      <c r="AU825" t="n">
        <v>0</v>
      </c>
      <c r="AV825" t="n">
        <v>41</v>
      </c>
      <c r="AW825" t="n">
        <v>9</v>
      </c>
      <c r="AX825" t="n">
        <v>4</v>
      </c>
      <c r="AY825" t="n">
        <v>62</v>
      </c>
      <c r="AZ825" t="n">
        <v>2</v>
      </c>
      <c r="BA825" t="n">
        <v>17</v>
      </c>
      <c r="BB825" t="n">
        <v>133</v>
      </c>
      <c r="BC825" t="n">
        <v>37</v>
      </c>
      <c r="BD825" t="n">
        <v>148</v>
      </c>
      <c r="BE825" t="n">
        <v>9</v>
      </c>
      <c r="BF825" t="n">
        <v>64</v>
      </c>
      <c r="BG825" t="n">
        <v>2</v>
      </c>
      <c r="BH825" t="n">
        <v>2</v>
      </c>
      <c r="BI825" t="n">
        <v>23</v>
      </c>
      <c r="BJ825" t="n">
        <v>34</v>
      </c>
      <c r="BK825" t="n">
        <v>0</v>
      </c>
      <c r="BL825" t="n">
        <v>2</v>
      </c>
      <c r="BM825" t="n">
        <v>3</v>
      </c>
      <c r="BN825" t="n">
        <v>1</v>
      </c>
      <c r="BO825" t="n">
        <v>44</v>
      </c>
    </row>
    <row r="826">
      <c r="A826" t="n">
        <v>0</v>
      </c>
      <c r="B826" t="n">
        <v>2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248</v>
      </c>
      <c r="Z826" t="n">
        <v>168</v>
      </c>
      <c r="AA826" t="n">
        <v>78</v>
      </c>
      <c r="AB826" t="n">
        <v>1</v>
      </c>
      <c r="AC826" t="n">
        <v>0</v>
      </c>
      <c r="AD826" t="n">
        <v>2</v>
      </c>
      <c r="AE826" t="n">
        <v>6</v>
      </c>
      <c r="AF826" t="n">
        <v>8</v>
      </c>
      <c r="AG826" t="n">
        <v>3</v>
      </c>
      <c r="AH826" t="n">
        <v>23</v>
      </c>
      <c r="AI826" t="n">
        <v>27</v>
      </c>
      <c r="AJ826" t="n">
        <v>89</v>
      </c>
      <c r="AK826" t="n">
        <v>84</v>
      </c>
      <c r="AL826" t="n">
        <v>4</v>
      </c>
      <c r="AM826" t="n">
        <v>36</v>
      </c>
      <c r="AN826" t="n">
        <v>0</v>
      </c>
      <c r="AO826" t="n">
        <v>0</v>
      </c>
      <c r="AP826" t="n">
        <v>2</v>
      </c>
      <c r="AQ826" t="n">
        <v>18</v>
      </c>
      <c r="AR826" t="n">
        <v>61</v>
      </c>
      <c r="AS826" t="n">
        <v>46</v>
      </c>
      <c r="AT826" t="n">
        <v>3</v>
      </c>
      <c r="AU826" t="n">
        <v>1</v>
      </c>
      <c r="AV826" t="n">
        <v>1</v>
      </c>
      <c r="AW826" t="n">
        <v>7</v>
      </c>
      <c r="AX826" t="n">
        <v>0</v>
      </c>
      <c r="AY826" t="n">
        <v>15</v>
      </c>
      <c r="AZ826" t="n">
        <v>3</v>
      </c>
      <c r="BA826" t="n">
        <v>5</v>
      </c>
      <c r="BB826" t="n">
        <v>79</v>
      </c>
      <c r="BC826" t="n">
        <v>30</v>
      </c>
      <c r="BD826" t="n">
        <v>21</v>
      </c>
      <c r="BE826" t="n">
        <v>6</v>
      </c>
      <c r="BF826" t="n">
        <v>70</v>
      </c>
      <c r="BG826" t="n">
        <v>4</v>
      </c>
      <c r="BH826" t="n">
        <v>10</v>
      </c>
      <c r="BI826" t="n">
        <v>28</v>
      </c>
      <c r="BJ826" t="n">
        <v>41</v>
      </c>
      <c r="BK826" t="n">
        <v>3</v>
      </c>
      <c r="BL826" t="n">
        <v>37</v>
      </c>
      <c r="BM826" t="n">
        <v>35</v>
      </c>
      <c r="BN826" t="n">
        <v>8</v>
      </c>
      <c r="BO826" t="n">
        <v>2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1</v>
      </c>
      <c r="V827" t="n">
        <v>0</v>
      </c>
      <c r="W827" t="n">
        <v>0</v>
      </c>
      <c r="X827" t="n">
        <v>0</v>
      </c>
      <c r="Y827" t="n">
        <v>303</v>
      </c>
      <c r="Z827" t="n">
        <v>286</v>
      </c>
      <c r="AA827" t="n">
        <v>67</v>
      </c>
      <c r="AB827" t="n">
        <v>0</v>
      </c>
      <c r="AC827" t="n">
        <v>2</v>
      </c>
      <c r="AD827" t="n">
        <v>5</v>
      </c>
      <c r="AE827" t="n">
        <v>2</v>
      </c>
      <c r="AF827" t="n">
        <v>5</v>
      </c>
      <c r="AG827" t="n">
        <v>2</v>
      </c>
      <c r="AH827" t="n">
        <v>92</v>
      </c>
      <c r="AI827" t="n">
        <v>4</v>
      </c>
      <c r="AJ827" t="n">
        <v>96</v>
      </c>
      <c r="AK827" t="n">
        <v>27</v>
      </c>
      <c r="AL827" t="n">
        <v>7</v>
      </c>
      <c r="AM827" t="n">
        <v>88</v>
      </c>
      <c r="AN827" t="n">
        <v>0</v>
      </c>
      <c r="AO827" t="n">
        <v>0</v>
      </c>
      <c r="AP827" t="n">
        <v>9</v>
      </c>
      <c r="AQ827" t="n">
        <v>128</v>
      </c>
      <c r="AR827" t="n">
        <v>135</v>
      </c>
      <c r="AS827" t="n">
        <v>29</v>
      </c>
      <c r="AT827" t="n">
        <v>0</v>
      </c>
      <c r="AU827" t="n">
        <v>2</v>
      </c>
      <c r="AV827" t="n">
        <v>5</v>
      </c>
      <c r="AW827" t="n">
        <v>33</v>
      </c>
      <c r="AX827" t="n">
        <v>2</v>
      </c>
      <c r="AY827" t="n">
        <v>23</v>
      </c>
      <c r="AZ827" t="n">
        <v>1</v>
      </c>
      <c r="BA827" t="n">
        <v>9</v>
      </c>
      <c r="BB827" t="n">
        <v>72</v>
      </c>
      <c r="BC827" t="n">
        <v>74</v>
      </c>
      <c r="BD827" t="n">
        <v>90</v>
      </c>
      <c r="BE827" t="n">
        <v>36</v>
      </c>
      <c r="BF827" t="n">
        <v>75</v>
      </c>
      <c r="BG827" t="n">
        <v>4</v>
      </c>
      <c r="BH827" t="n">
        <v>7</v>
      </c>
      <c r="BI827" t="n">
        <v>17</v>
      </c>
      <c r="BJ827" t="n">
        <v>19</v>
      </c>
      <c r="BK827" t="n">
        <v>8</v>
      </c>
      <c r="BL827" t="n">
        <v>50</v>
      </c>
      <c r="BM827" t="n">
        <v>38</v>
      </c>
      <c r="BN827" t="n">
        <v>4</v>
      </c>
      <c r="BO827" t="n">
        <v>42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292</v>
      </c>
      <c r="Z828" t="n">
        <v>67</v>
      </c>
      <c r="AA828" t="n">
        <v>41</v>
      </c>
      <c r="AB828" t="n">
        <v>3</v>
      </c>
      <c r="AC828" t="n">
        <v>0</v>
      </c>
      <c r="AD828" t="n">
        <v>1</v>
      </c>
      <c r="AE828" t="n">
        <v>1</v>
      </c>
      <c r="AF828" t="n">
        <v>4</v>
      </c>
      <c r="AG828" t="n">
        <v>1</v>
      </c>
      <c r="AH828" t="n">
        <v>39</v>
      </c>
      <c r="AI828" t="n">
        <v>19</v>
      </c>
      <c r="AJ828" t="n">
        <v>31</v>
      </c>
      <c r="AK828" t="n">
        <v>10</v>
      </c>
      <c r="AL828" t="n">
        <v>3</v>
      </c>
      <c r="AM828" t="n">
        <v>22</v>
      </c>
      <c r="AN828" t="n">
        <v>0</v>
      </c>
      <c r="AO828" t="n">
        <v>0</v>
      </c>
      <c r="AP828" t="n">
        <v>3</v>
      </c>
      <c r="AQ828" t="n">
        <v>10</v>
      </c>
      <c r="AR828" t="n">
        <v>64</v>
      </c>
      <c r="AS828" t="n">
        <v>54</v>
      </c>
      <c r="AT828" t="n">
        <v>7</v>
      </c>
      <c r="AU828" t="n">
        <v>0</v>
      </c>
      <c r="AV828" t="n">
        <v>97</v>
      </c>
      <c r="AW828" t="n">
        <v>9</v>
      </c>
      <c r="AX828" t="n">
        <v>2</v>
      </c>
      <c r="AY828" t="n">
        <v>36</v>
      </c>
      <c r="AZ828" t="n">
        <v>1</v>
      </c>
      <c r="BA828" t="n">
        <v>7</v>
      </c>
      <c r="BB828" t="n">
        <v>44</v>
      </c>
      <c r="BC828" t="n">
        <v>21</v>
      </c>
      <c r="BD828" t="n">
        <v>34</v>
      </c>
      <c r="BE828" t="n">
        <v>10</v>
      </c>
      <c r="BF828" t="n">
        <v>29</v>
      </c>
      <c r="BG828" t="n">
        <v>3</v>
      </c>
      <c r="BH828" t="n">
        <v>24</v>
      </c>
      <c r="BI828" t="n">
        <v>38</v>
      </c>
      <c r="BJ828" t="n">
        <v>44</v>
      </c>
      <c r="BK828" t="n">
        <v>0</v>
      </c>
      <c r="BL828" t="n">
        <v>1</v>
      </c>
      <c r="BM828" t="n">
        <v>11</v>
      </c>
      <c r="BN828" t="n">
        <v>6</v>
      </c>
      <c r="BO828" t="n">
        <v>4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221</v>
      </c>
      <c r="Z829" t="n">
        <v>248</v>
      </c>
      <c r="AA829" t="n">
        <v>20</v>
      </c>
      <c r="AB829" t="n">
        <v>2</v>
      </c>
      <c r="AC829" t="n">
        <v>1</v>
      </c>
      <c r="AD829" t="n">
        <v>7</v>
      </c>
      <c r="AE829" t="n">
        <v>7</v>
      </c>
      <c r="AF829" t="n">
        <v>5</v>
      </c>
      <c r="AG829" t="n">
        <v>3</v>
      </c>
      <c r="AH829" t="n">
        <v>75</v>
      </c>
      <c r="AI829" t="n">
        <v>51</v>
      </c>
      <c r="AJ829" t="n">
        <v>50</v>
      </c>
      <c r="AK829" t="n">
        <v>30</v>
      </c>
      <c r="AL829" t="n">
        <v>4</v>
      </c>
      <c r="AM829" t="n">
        <v>48</v>
      </c>
      <c r="AN829" t="n">
        <v>0</v>
      </c>
      <c r="AO829" t="n">
        <v>0</v>
      </c>
      <c r="AP829" t="n">
        <v>3</v>
      </c>
      <c r="AQ829" t="n">
        <v>13</v>
      </c>
      <c r="AR829" t="n">
        <v>49</v>
      </c>
      <c r="AS829" t="n">
        <v>37</v>
      </c>
      <c r="AT829" t="n">
        <v>3</v>
      </c>
      <c r="AU829" t="n">
        <v>0</v>
      </c>
      <c r="AV829" t="n">
        <v>21</v>
      </c>
      <c r="AW829" t="n">
        <v>24</v>
      </c>
      <c r="AX829" t="n">
        <v>8</v>
      </c>
      <c r="AY829" t="n">
        <v>26</v>
      </c>
      <c r="AZ829" t="n">
        <v>2</v>
      </c>
      <c r="BA829" t="n">
        <v>4</v>
      </c>
      <c r="BB829" t="n">
        <v>20</v>
      </c>
      <c r="BC829" t="n">
        <v>43</v>
      </c>
      <c r="BD829" t="n">
        <v>75</v>
      </c>
      <c r="BE829" t="n">
        <v>24</v>
      </c>
      <c r="BF829" t="n">
        <v>47</v>
      </c>
      <c r="BG829" t="n">
        <v>3</v>
      </c>
      <c r="BH829" t="n">
        <v>0</v>
      </c>
      <c r="BI829" t="n">
        <v>57</v>
      </c>
      <c r="BJ829" t="n">
        <v>53</v>
      </c>
      <c r="BK829" t="n">
        <v>9</v>
      </c>
      <c r="BL829" t="n">
        <v>52</v>
      </c>
      <c r="BM829" t="n">
        <v>57</v>
      </c>
      <c r="BN829" t="n">
        <v>16</v>
      </c>
      <c r="BO829" t="n">
        <v>9</v>
      </c>
    </row>
    <row r="830">
      <c r="A830" t="n">
        <v>0</v>
      </c>
      <c r="B830" t="n">
        <v>0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195</v>
      </c>
      <c r="Z830" t="n">
        <v>309</v>
      </c>
      <c r="AA830" t="n">
        <v>39</v>
      </c>
      <c r="AB830" t="n">
        <v>1</v>
      </c>
      <c r="AC830" t="n">
        <v>0</v>
      </c>
      <c r="AD830" t="n">
        <v>3</v>
      </c>
      <c r="AE830" t="n">
        <v>11</v>
      </c>
      <c r="AF830" t="n">
        <v>3</v>
      </c>
      <c r="AG830" t="n">
        <v>3</v>
      </c>
      <c r="AH830" t="n">
        <v>23</v>
      </c>
      <c r="AI830" t="n">
        <v>102</v>
      </c>
      <c r="AJ830" t="n">
        <v>45</v>
      </c>
      <c r="AK830" t="n">
        <v>33</v>
      </c>
      <c r="AL830" t="n">
        <v>6</v>
      </c>
      <c r="AM830" t="n">
        <v>44</v>
      </c>
      <c r="AN830" t="n">
        <v>0</v>
      </c>
      <c r="AO830" t="n">
        <v>0</v>
      </c>
      <c r="AP830" t="n">
        <v>3</v>
      </c>
      <c r="AQ830" t="n">
        <v>35</v>
      </c>
      <c r="AR830" t="n">
        <v>44</v>
      </c>
      <c r="AS830" t="n">
        <v>17</v>
      </c>
      <c r="AT830" t="n">
        <v>7</v>
      </c>
      <c r="AU830" t="n">
        <v>1</v>
      </c>
      <c r="AV830" t="n">
        <v>88</v>
      </c>
      <c r="AW830" t="n">
        <v>53</v>
      </c>
      <c r="AX830" t="n">
        <v>0</v>
      </c>
      <c r="AY830" t="n">
        <v>21</v>
      </c>
      <c r="AZ830" t="n">
        <v>1</v>
      </c>
      <c r="BA830" t="n">
        <v>1</v>
      </c>
      <c r="BB830" t="n">
        <v>39</v>
      </c>
      <c r="BC830" t="n">
        <v>36</v>
      </c>
      <c r="BD830" t="n">
        <v>32</v>
      </c>
      <c r="BE830" t="n">
        <v>54</v>
      </c>
      <c r="BF830" t="n">
        <v>35</v>
      </c>
      <c r="BG830" t="n">
        <v>3</v>
      </c>
      <c r="BH830" t="n">
        <v>3</v>
      </c>
      <c r="BI830" t="n">
        <v>20</v>
      </c>
      <c r="BJ830" t="n">
        <v>17</v>
      </c>
      <c r="BK830" t="n">
        <v>3</v>
      </c>
      <c r="BL830" t="n">
        <v>14</v>
      </c>
      <c r="BM830" t="n">
        <v>15</v>
      </c>
      <c r="BN830" t="n">
        <v>4</v>
      </c>
      <c r="BO830" t="n">
        <v>9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222</v>
      </c>
      <c r="Z831" t="n">
        <v>226</v>
      </c>
      <c r="AA831" t="n">
        <v>52</v>
      </c>
      <c r="AB831" t="n">
        <v>0</v>
      </c>
      <c r="AC831" t="n">
        <v>2</v>
      </c>
      <c r="AD831" t="n">
        <v>1</v>
      </c>
      <c r="AE831" t="n">
        <v>1</v>
      </c>
      <c r="AF831" t="n">
        <v>0</v>
      </c>
      <c r="AG831" t="n">
        <v>3</v>
      </c>
      <c r="AH831" t="n">
        <v>18</v>
      </c>
      <c r="AI831" t="n">
        <v>33</v>
      </c>
      <c r="AJ831" t="n">
        <v>5</v>
      </c>
      <c r="AK831" t="n">
        <v>69</v>
      </c>
      <c r="AL831" t="n">
        <v>2</v>
      </c>
      <c r="AM831" t="n">
        <v>11</v>
      </c>
      <c r="AN831" t="n">
        <v>0</v>
      </c>
      <c r="AO831" t="n">
        <v>0</v>
      </c>
      <c r="AP831" t="n">
        <v>10</v>
      </c>
      <c r="AQ831" t="n">
        <v>84</v>
      </c>
      <c r="AR831" t="n">
        <v>206</v>
      </c>
      <c r="AS831" t="n">
        <v>133</v>
      </c>
      <c r="AT831" t="n">
        <v>3</v>
      </c>
      <c r="AU831" t="n">
        <v>1</v>
      </c>
      <c r="AV831" t="n">
        <v>29</v>
      </c>
      <c r="AW831" t="n">
        <v>19</v>
      </c>
      <c r="AX831" t="n">
        <v>4</v>
      </c>
      <c r="AY831" t="n">
        <v>0</v>
      </c>
      <c r="AZ831" t="n">
        <v>1</v>
      </c>
      <c r="BA831" t="n">
        <v>8</v>
      </c>
      <c r="BB831" t="n">
        <v>57</v>
      </c>
      <c r="BC831" t="n">
        <v>8</v>
      </c>
      <c r="BD831" t="n">
        <v>19</v>
      </c>
      <c r="BE831" t="n">
        <v>18</v>
      </c>
      <c r="BF831" t="n">
        <v>2</v>
      </c>
      <c r="BG831" t="n">
        <v>3</v>
      </c>
      <c r="BH831" t="n">
        <v>7</v>
      </c>
      <c r="BI831" t="n">
        <v>33</v>
      </c>
      <c r="BJ831" t="n">
        <v>53</v>
      </c>
      <c r="BK831" t="n">
        <v>4</v>
      </c>
      <c r="BL831" t="n">
        <v>67</v>
      </c>
      <c r="BM831" t="n">
        <v>44</v>
      </c>
      <c r="BN831" t="n">
        <v>-1</v>
      </c>
      <c r="BO831" t="n">
        <v>138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</v>
      </c>
      <c r="U832" t="n">
        <v>0</v>
      </c>
      <c r="V832" t="n">
        <v>0</v>
      </c>
      <c r="W832" t="n">
        <v>0</v>
      </c>
      <c r="X832" t="n">
        <v>0</v>
      </c>
      <c r="Y832" t="n">
        <v>259</v>
      </c>
      <c r="Z832" t="n">
        <v>141</v>
      </c>
      <c r="AA832" t="n">
        <v>63</v>
      </c>
      <c r="AB832" t="n">
        <v>0</v>
      </c>
      <c r="AC832" t="n">
        <v>0</v>
      </c>
      <c r="AD832" t="n">
        <v>4</v>
      </c>
      <c r="AE832" t="n">
        <v>9</v>
      </c>
      <c r="AF832" t="n">
        <v>2</v>
      </c>
      <c r="AG832" t="n">
        <v>3</v>
      </c>
      <c r="AH832" t="n">
        <v>54</v>
      </c>
      <c r="AI832" t="n">
        <v>50</v>
      </c>
      <c r="AJ832" t="n">
        <v>37</v>
      </c>
      <c r="AK832" t="n">
        <v>28</v>
      </c>
      <c r="AL832" t="n">
        <v>1</v>
      </c>
      <c r="AM832" t="n">
        <v>2</v>
      </c>
      <c r="AN832" t="n">
        <v>1</v>
      </c>
      <c r="AO832" t="n">
        <v>0</v>
      </c>
      <c r="AP832" t="n">
        <v>11</v>
      </c>
      <c r="AQ832" t="n">
        <v>36</v>
      </c>
      <c r="AR832" t="n">
        <v>147</v>
      </c>
      <c r="AS832" t="n">
        <v>115</v>
      </c>
      <c r="AT832" t="n">
        <v>5</v>
      </c>
      <c r="AU832" t="n">
        <v>2</v>
      </c>
      <c r="AV832" t="n">
        <v>41</v>
      </c>
      <c r="AW832" t="n">
        <v>19</v>
      </c>
      <c r="AX832" t="n">
        <v>0</v>
      </c>
      <c r="AY832" t="n">
        <v>36</v>
      </c>
      <c r="AZ832" t="n">
        <v>1</v>
      </c>
      <c r="BA832" t="n">
        <v>1</v>
      </c>
      <c r="BB832" t="n">
        <v>63</v>
      </c>
      <c r="BC832" t="n">
        <v>5</v>
      </c>
      <c r="BD832" t="n">
        <v>52</v>
      </c>
      <c r="BE832" t="n">
        <v>19</v>
      </c>
      <c r="BF832" t="n">
        <v>46</v>
      </c>
      <c r="BG832" t="n">
        <v>0</v>
      </c>
      <c r="BH832" t="n">
        <v>0</v>
      </c>
      <c r="BI832" t="n">
        <v>98</v>
      </c>
      <c r="BJ832" t="n">
        <v>90</v>
      </c>
      <c r="BK832" t="n">
        <v>2</v>
      </c>
      <c r="BL832" t="n">
        <v>14</v>
      </c>
      <c r="BM832" t="n">
        <v>25</v>
      </c>
      <c r="BN832" t="n">
        <v>11</v>
      </c>
      <c r="BO832" t="n">
        <v>14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279</v>
      </c>
      <c r="Z833" t="n">
        <v>187</v>
      </c>
      <c r="AA833" t="n">
        <v>82</v>
      </c>
      <c r="AB833" t="n">
        <v>1</v>
      </c>
      <c r="AC833" t="n">
        <v>0</v>
      </c>
      <c r="AD833" t="n">
        <v>4</v>
      </c>
      <c r="AE833" t="n">
        <v>3</v>
      </c>
      <c r="AF833" t="n">
        <v>5</v>
      </c>
      <c r="AG833" t="n">
        <v>3</v>
      </c>
      <c r="AH833" t="n">
        <v>117</v>
      </c>
      <c r="AI833" t="n">
        <v>39</v>
      </c>
      <c r="AJ833" t="n">
        <v>45</v>
      </c>
      <c r="AK833" t="n">
        <v>51</v>
      </c>
      <c r="AL833" t="n">
        <v>7</v>
      </c>
      <c r="AM833" t="n">
        <v>61</v>
      </c>
      <c r="AN833" t="n">
        <v>0</v>
      </c>
      <c r="AO833" t="n">
        <v>0</v>
      </c>
      <c r="AP833" t="n">
        <v>6</v>
      </c>
      <c r="AQ833" t="n">
        <v>27</v>
      </c>
      <c r="AR833" t="n">
        <v>197</v>
      </c>
      <c r="AS833" t="n">
        <v>171</v>
      </c>
      <c r="AT833" t="n">
        <v>6</v>
      </c>
      <c r="AU833" t="n">
        <v>3</v>
      </c>
      <c r="AV833" t="n">
        <v>48</v>
      </c>
      <c r="AW833" t="n">
        <v>23</v>
      </c>
      <c r="AX833" t="n">
        <v>0</v>
      </c>
      <c r="AY833" t="n">
        <v>23</v>
      </c>
      <c r="AZ833" t="n">
        <v>0</v>
      </c>
      <c r="BA833" t="n">
        <v>2</v>
      </c>
      <c r="BB833" t="n">
        <v>80</v>
      </c>
      <c r="BC833" t="n">
        <v>51</v>
      </c>
      <c r="BD833" t="n">
        <v>106</v>
      </c>
      <c r="BE833" t="n">
        <v>22</v>
      </c>
      <c r="BF833" t="n">
        <v>40</v>
      </c>
      <c r="BG833" t="n">
        <v>2</v>
      </c>
      <c r="BH833" t="n">
        <v>5</v>
      </c>
      <c r="BI833" t="n">
        <v>14</v>
      </c>
      <c r="BJ833" t="n">
        <v>13</v>
      </c>
      <c r="BK833" t="n">
        <v>3</v>
      </c>
      <c r="BL833" t="n">
        <v>11</v>
      </c>
      <c r="BM833" t="n">
        <v>36</v>
      </c>
      <c r="BN833" t="n">
        <v>18</v>
      </c>
      <c r="BO833" t="n">
        <v>2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2</v>
      </c>
      <c r="U834" t="n">
        <v>0</v>
      </c>
      <c r="V834" t="n">
        <v>1</v>
      </c>
      <c r="W834" t="n">
        <v>0</v>
      </c>
      <c r="X834" t="n">
        <v>0</v>
      </c>
      <c r="Y834" t="n">
        <v>228</v>
      </c>
      <c r="Z834" t="n">
        <v>213</v>
      </c>
      <c r="AA834" t="n">
        <v>42</v>
      </c>
      <c r="AB834" t="n">
        <v>3</v>
      </c>
      <c r="AC834" t="n">
        <v>2</v>
      </c>
      <c r="AD834" t="n">
        <v>3</v>
      </c>
      <c r="AE834" t="n">
        <v>12</v>
      </c>
      <c r="AF834" t="n">
        <v>1</v>
      </c>
      <c r="AG834" t="n">
        <v>1</v>
      </c>
      <c r="AH834" t="n">
        <v>44</v>
      </c>
      <c r="AI834" t="n">
        <v>80</v>
      </c>
      <c r="AJ834" t="n">
        <v>46</v>
      </c>
      <c r="AK834" t="n">
        <v>16</v>
      </c>
      <c r="AL834" t="n">
        <v>1</v>
      </c>
      <c r="AM834" t="n">
        <v>20</v>
      </c>
      <c r="AN834" t="n">
        <v>3</v>
      </c>
      <c r="AO834" t="n">
        <v>0</v>
      </c>
      <c r="AP834" t="n">
        <v>0</v>
      </c>
      <c r="AQ834" t="n">
        <v>3</v>
      </c>
      <c r="AR834" t="n">
        <v>62</v>
      </c>
      <c r="AS834" t="n">
        <v>55</v>
      </c>
      <c r="AT834" t="n">
        <v>8</v>
      </c>
      <c r="AU834" t="n">
        <v>1</v>
      </c>
      <c r="AV834" t="n">
        <v>84</v>
      </c>
      <c r="AW834" t="n">
        <v>11</v>
      </c>
      <c r="AX834" t="n">
        <v>1</v>
      </c>
      <c r="AY834" t="n">
        <v>31</v>
      </c>
      <c r="AZ834" t="n">
        <v>5</v>
      </c>
      <c r="BA834" t="n">
        <v>30</v>
      </c>
      <c r="BB834" t="n">
        <v>71</v>
      </c>
      <c r="BC834" t="n">
        <v>47</v>
      </c>
      <c r="BD834" t="n">
        <v>40</v>
      </c>
      <c r="BE834" t="n">
        <v>12</v>
      </c>
      <c r="BF834" t="n">
        <v>36</v>
      </c>
      <c r="BG834" t="n">
        <v>1</v>
      </c>
      <c r="BH834" t="n">
        <v>16</v>
      </c>
      <c r="BI834" t="n">
        <v>17</v>
      </c>
      <c r="BJ834" t="n">
        <v>61</v>
      </c>
      <c r="BK834" t="n">
        <v>7</v>
      </c>
      <c r="BL834" t="n">
        <v>69</v>
      </c>
      <c r="BM834" t="n">
        <v>76</v>
      </c>
      <c r="BN834" t="n">
        <v>22</v>
      </c>
      <c r="BO834" t="n">
        <v>11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261</v>
      </c>
      <c r="Z835" t="n">
        <v>433</v>
      </c>
      <c r="AA835" t="n">
        <v>14</v>
      </c>
      <c r="AB835" t="n">
        <v>1</v>
      </c>
      <c r="AC835" t="n">
        <v>0</v>
      </c>
      <c r="AD835" t="n">
        <v>3</v>
      </c>
      <c r="AE835" t="n">
        <v>2</v>
      </c>
      <c r="AF835" t="n">
        <v>2</v>
      </c>
      <c r="AG835" t="n">
        <v>6</v>
      </c>
      <c r="AH835" t="n">
        <v>76</v>
      </c>
      <c r="AI835" t="n">
        <v>20</v>
      </c>
      <c r="AJ835" t="n">
        <v>20</v>
      </c>
      <c r="AK835" t="n">
        <v>104</v>
      </c>
      <c r="AL835" t="n">
        <v>2</v>
      </c>
      <c r="AM835" t="n">
        <v>88</v>
      </c>
      <c r="AN835" t="n">
        <v>0</v>
      </c>
      <c r="AO835" t="n">
        <v>0</v>
      </c>
      <c r="AP835" t="n">
        <v>6</v>
      </c>
      <c r="AQ835" t="n">
        <v>48</v>
      </c>
      <c r="AR835" t="n">
        <v>117</v>
      </c>
      <c r="AS835" t="n">
        <v>77</v>
      </c>
      <c r="AT835" t="n">
        <v>1</v>
      </c>
      <c r="AU835" t="n">
        <v>0</v>
      </c>
      <c r="AV835" t="n">
        <v>11</v>
      </c>
      <c r="AW835" t="n">
        <v>10</v>
      </c>
      <c r="AX835" t="n">
        <v>7</v>
      </c>
      <c r="AY835" t="n">
        <v>20</v>
      </c>
      <c r="AZ835" t="n">
        <v>4</v>
      </c>
      <c r="BA835" t="n">
        <v>43</v>
      </c>
      <c r="BB835" t="n">
        <v>60</v>
      </c>
      <c r="BC835" t="n">
        <v>73</v>
      </c>
      <c r="BD835" t="n">
        <v>69</v>
      </c>
      <c r="BE835" t="n">
        <v>9</v>
      </c>
      <c r="BF835" t="n">
        <v>16</v>
      </c>
      <c r="BG835" t="n">
        <v>4</v>
      </c>
      <c r="BH835" t="n">
        <v>7</v>
      </c>
      <c r="BI835" t="n">
        <v>45</v>
      </c>
      <c r="BJ835" t="n">
        <v>53</v>
      </c>
      <c r="BK835" t="n">
        <v>6</v>
      </c>
      <c r="BL835" t="n">
        <v>60</v>
      </c>
      <c r="BM835" t="n">
        <v>47</v>
      </c>
      <c r="BN835" t="n">
        <v>5</v>
      </c>
      <c r="BO835" t="n">
        <v>37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126</v>
      </c>
      <c r="Z836" t="n">
        <v>156</v>
      </c>
      <c r="AA836" t="n">
        <v>44</v>
      </c>
      <c r="AB836" t="n">
        <v>0</v>
      </c>
      <c r="AC836" t="n">
        <v>1</v>
      </c>
      <c r="AD836" t="n">
        <v>2</v>
      </c>
      <c r="AE836" t="n">
        <v>5</v>
      </c>
      <c r="AF836" t="n">
        <v>3</v>
      </c>
      <c r="AG836" t="n">
        <v>4</v>
      </c>
      <c r="AH836" t="n">
        <v>12</v>
      </c>
      <c r="AI836" t="n">
        <v>42</v>
      </c>
      <c r="AJ836" t="n">
        <v>34</v>
      </c>
      <c r="AK836" t="n">
        <v>32</v>
      </c>
      <c r="AL836" t="n">
        <v>4</v>
      </c>
      <c r="AM836" t="n">
        <v>51</v>
      </c>
      <c r="AN836" t="n">
        <v>0</v>
      </c>
      <c r="AO836" t="n">
        <v>0</v>
      </c>
      <c r="AP836" t="n">
        <v>0</v>
      </c>
      <c r="AQ836" t="n">
        <v>21</v>
      </c>
      <c r="AR836" t="n">
        <v>124</v>
      </c>
      <c r="AS836" t="n">
        <v>104</v>
      </c>
      <c r="AT836" t="n">
        <v>2</v>
      </c>
      <c r="AU836" t="n">
        <v>1</v>
      </c>
      <c r="AV836" t="n">
        <v>21</v>
      </c>
      <c r="AW836" t="n">
        <v>22</v>
      </c>
      <c r="AX836" t="n">
        <v>1</v>
      </c>
      <c r="AY836" t="n">
        <v>47</v>
      </c>
      <c r="AZ836" t="n">
        <v>1</v>
      </c>
      <c r="BA836" t="n">
        <v>5</v>
      </c>
      <c r="BB836" t="n">
        <v>47</v>
      </c>
      <c r="BC836" t="n">
        <v>45</v>
      </c>
      <c r="BD836" t="n">
        <v>13</v>
      </c>
      <c r="BE836" t="n">
        <v>22</v>
      </c>
      <c r="BF836" t="n">
        <v>61</v>
      </c>
      <c r="BG836" t="n">
        <v>1</v>
      </c>
      <c r="BH836" t="n">
        <v>6</v>
      </c>
      <c r="BI836" t="n">
        <v>20</v>
      </c>
      <c r="BJ836" t="n">
        <v>18</v>
      </c>
      <c r="BK836" t="n">
        <v>0</v>
      </c>
      <c r="BL836" t="n">
        <v>1</v>
      </c>
      <c r="BM836" t="n">
        <v>48</v>
      </c>
      <c r="BN836" t="n">
        <v>30</v>
      </c>
      <c r="BO836" t="n">
        <v>2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233</v>
      </c>
      <c r="Z837" t="n">
        <v>255</v>
      </c>
      <c r="AA837" t="n">
        <v>5</v>
      </c>
      <c r="AB837" t="n">
        <v>2</v>
      </c>
      <c r="AC837" t="n">
        <v>0</v>
      </c>
      <c r="AD837" t="n">
        <v>4</v>
      </c>
      <c r="AE837" t="n">
        <v>4</v>
      </c>
      <c r="AF837" t="n">
        <v>5</v>
      </c>
      <c r="AG837" t="n">
        <v>3</v>
      </c>
      <c r="AH837" t="n">
        <v>48</v>
      </c>
      <c r="AI837" t="n">
        <v>62</v>
      </c>
      <c r="AJ837" t="n">
        <v>38</v>
      </c>
      <c r="AK837" t="n">
        <v>51</v>
      </c>
      <c r="AL837" t="n">
        <v>4</v>
      </c>
      <c r="AM837" t="n">
        <v>55</v>
      </c>
      <c r="AN837" t="n">
        <v>0</v>
      </c>
      <c r="AO837" t="n">
        <v>0</v>
      </c>
      <c r="AP837" t="n">
        <v>1</v>
      </c>
      <c r="AQ837" t="n">
        <v>45</v>
      </c>
      <c r="AR837" t="n">
        <v>127</v>
      </c>
      <c r="AS837" t="n">
        <v>87</v>
      </c>
      <c r="AT837" t="n">
        <v>2</v>
      </c>
      <c r="AU837" t="n">
        <v>1</v>
      </c>
      <c r="AV837" t="n">
        <v>65</v>
      </c>
      <c r="AW837" t="n">
        <v>16</v>
      </c>
      <c r="AX837" t="n">
        <v>0</v>
      </c>
      <c r="AY837" t="n">
        <v>1</v>
      </c>
      <c r="AZ837" t="n">
        <v>3</v>
      </c>
      <c r="BA837" t="n">
        <v>30</v>
      </c>
      <c r="BB837" t="n">
        <v>39</v>
      </c>
      <c r="BC837" t="n">
        <v>46</v>
      </c>
      <c r="BD837" t="n">
        <v>50</v>
      </c>
      <c r="BE837" t="n">
        <v>16</v>
      </c>
      <c r="BF837" t="n">
        <v>30</v>
      </c>
      <c r="BG837" t="n">
        <v>4</v>
      </c>
      <c r="BH837" t="n">
        <v>5</v>
      </c>
      <c r="BI837" t="n">
        <v>45</v>
      </c>
      <c r="BJ837" t="n">
        <v>64</v>
      </c>
      <c r="BK837" t="n">
        <v>4</v>
      </c>
      <c r="BL837" t="n">
        <v>67</v>
      </c>
      <c r="BM837" t="n">
        <v>54</v>
      </c>
      <c r="BN837" t="n">
        <v>7</v>
      </c>
      <c r="BO837" t="n">
        <v>32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</v>
      </c>
      <c r="V838" t="n">
        <v>0</v>
      </c>
      <c r="W838" t="n">
        <v>1</v>
      </c>
      <c r="X838" t="n">
        <v>0</v>
      </c>
      <c r="Y838" t="n">
        <v>266</v>
      </c>
      <c r="Z838" t="n">
        <v>207</v>
      </c>
      <c r="AA838" t="n">
        <v>24</v>
      </c>
      <c r="AB838" t="n">
        <v>0</v>
      </c>
      <c r="AC838" t="n">
        <v>1</v>
      </c>
      <c r="AD838" t="n">
        <v>4</v>
      </c>
      <c r="AE838" t="n">
        <v>11</v>
      </c>
      <c r="AF838" t="n">
        <v>7</v>
      </c>
      <c r="AG838" t="n">
        <v>6</v>
      </c>
      <c r="AH838" t="n">
        <v>47</v>
      </c>
      <c r="AI838" t="n">
        <v>85</v>
      </c>
      <c r="AJ838" t="n">
        <v>70</v>
      </c>
      <c r="AK838" t="n">
        <v>63</v>
      </c>
      <c r="AL838" t="n">
        <v>0</v>
      </c>
      <c r="AM838" t="n">
        <v>25</v>
      </c>
      <c r="AN838" t="n">
        <v>0</v>
      </c>
      <c r="AO838" t="n">
        <v>0</v>
      </c>
      <c r="AP838" t="n">
        <v>5</v>
      </c>
      <c r="AQ838" t="n">
        <v>87</v>
      </c>
      <c r="AR838" t="n">
        <v>156</v>
      </c>
      <c r="AS838" t="n">
        <v>84</v>
      </c>
      <c r="AT838" t="n">
        <v>1</v>
      </c>
      <c r="AU838" t="n">
        <v>2</v>
      </c>
      <c r="AV838" t="n">
        <v>55</v>
      </c>
      <c r="AW838" t="n">
        <v>18</v>
      </c>
      <c r="AX838" t="n">
        <v>0</v>
      </c>
      <c r="AY838" t="n">
        <v>1</v>
      </c>
      <c r="AZ838" t="n">
        <v>1</v>
      </c>
      <c r="BA838" t="n">
        <v>1</v>
      </c>
      <c r="BB838" t="n">
        <v>24</v>
      </c>
      <c r="BC838" t="n">
        <v>25</v>
      </c>
      <c r="BD838" t="n">
        <v>41</v>
      </c>
      <c r="BE838" t="n">
        <v>20</v>
      </c>
      <c r="BF838" t="n">
        <v>56</v>
      </c>
      <c r="BG838" t="n">
        <v>0</v>
      </c>
      <c r="BH838" t="n">
        <v>5</v>
      </c>
      <c r="BI838" t="n">
        <v>25</v>
      </c>
      <c r="BJ838" t="n">
        <v>37</v>
      </c>
      <c r="BK838" t="n">
        <v>6</v>
      </c>
      <c r="BL838" t="n">
        <v>45</v>
      </c>
      <c r="BM838" t="n">
        <v>39</v>
      </c>
      <c r="BN838" t="n">
        <v>7</v>
      </c>
      <c r="BO838" t="n">
        <v>23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230</v>
      </c>
      <c r="Z839" t="n">
        <v>193</v>
      </c>
      <c r="AA839" t="n">
        <v>101</v>
      </c>
      <c r="AB839" t="n">
        <v>4</v>
      </c>
      <c r="AC839" t="n">
        <v>0</v>
      </c>
      <c r="AD839" t="n">
        <v>6</v>
      </c>
      <c r="AE839" t="n">
        <v>9</v>
      </c>
      <c r="AF839" t="n">
        <v>5</v>
      </c>
      <c r="AG839" t="n">
        <v>8</v>
      </c>
      <c r="AH839" t="n">
        <v>56</v>
      </c>
      <c r="AI839" t="n">
        <v>75</v>
      </c>
      <c r="AJ839" t="n">
        <v>80</v>
      </c>
      <c r="AK839" t="n">
        <v>56</v>
      </c>
      <c r="AL839" t="n">
        <v>3</v>
      </c>
      <c r="AM839" t="n">
        <v>17</v>
      </c>
      <c r="AN839" t="n">
        <v>0</v>
      </c>
      <c r="AO839" t="n">
        <v>0</v>
      </c>
      <c r="AP839" t="n">
        <v>5</v>
      </c>
      <c r="AQ839" t="n">
        <v>26</v>
      </c>
      <c r="AR839" t="n">
        <v>161</v>
      </c>
      <c r="AS839" t="n">
        <v>135</v>
      </c>
      <c r="AT839" t="n">
        <v>0</v>
      </c>
      <c r="AU839" t="n">
        <v>2</v>
      </c>
      <c r="AV839" t="n">
        <v>5</v>
      </c>
      <c r="AW839" t="n">
        <v>16</v>
      </c>
      <c r="AX839" t="n">
        <v>2</v>
      </c>
      <c r="AY839" t="n">
        <v>41</v>
      </c>
      <c r="AZ839" t="n">
        <v>1</v>
      </c>
      <c r="BA839" t="n">
        <v>1</v>
      </c>
      <c r="BB839" t="n">
        <v>99</v>
      </c>
      <c r="BC839" t="n">
        <v>37</v>
      </c>
      <c r="BD839" t="n">
        <v>49</v>
      </c>
      <c r="BE839" t="n">
        <v>15</v>
      </c>
      <c r="BF839" t="n">
        <v>62</v>
      </c>
      <c r="BG839" t="n">
        <v>4</v>
      </c>
      <c r="BH839" t="n">
        <v>0</v>
      </c>
      <c r="BI839" t="n">
        <v>46</v>
      </c>
      <c r="BJ839" t="n">
        <v>49</v>
      </c>
      <c r="BK839" t="n">
        <v>0</v>
      </c>
      <c r="BL839" t="n">
        <v>18</v>
      </c>
      <c r="BM839" t="n">
        <v>12</v>
      </c>
      <c r="BN839" t="n">
        <v>0</v>
      </c>
      <c r="BO839" t="n">
        <v>30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</v>
      </c>
      <c r="U840" t="n">
        <v>0</v>
      </c>
      <c r="V840" t="n">
        <v>0</v>
      </c>
      <c r="W840" t="n">
        <v>0</v>
      </c>
      <c r="X840" t="n">
        <v>0</v>
      </c>
      <c r="Y840" t="n">
        <v>203</v>
      </c>
      <c r="Z840" t="n">
        <v>135</v>
      </c>
      <c r="AA840" t="n">
        <v>134</v>
      </c>
      <c r="AB840" t="n">
        <v>0</v>
      </c>
      <c r="AC840" t="n">
        <v>0</v>
      </c>
      <c r="AD840" t="n">
        <v>2</v>
      </c>
      <c r="AE840" t="n">
        <v>0</v>
      </c>
      <c r="AF840" t="n">
        <v>5</v>
      </c>
      <c r="AG840" t="n">
        <v>8</v>
      </c>
      <c r="AH840" t="n">
        <v>87</v>
      </c>
      <c r="AI840" t="n">
        <v>2</v>
      </c>
      <c r="AJ840" t="n">
        <v>37</v>
      </c>
      <c r="AK840" t="n">
        <v>47</v>
      </c>
      <c r="AL840" t="n">
        <v>1</v>
      </c>
      <c r="AM840" t="n">
        <v>17</v>
      </c>
      <c r="AN840" t="n">
        <v>0</v>
      </c>
      <c r="AO840" t="n">
        <v>0</v>
      </c>
      <c r="AP840" t="n">
        <v>3</v>
      </c>
      <c r="AQ840" t="n">
        <v>4</v>
      </c>
      <c r="AR840" t="n">
        <v>149</v>
      </c>
      <c r="AS840" t="n">
        <v>138</v>
      </c>
      <c r="AT840" t="n">
        <v>6</v>
      </c>
      <c r="AU840" t="n">
        <v>0</v>
      </c>
      <c r="AV840" t="n">
        <v>25</v>
      </c>
      <c r="AW840" t="n">
        <v>9</v>
      </c>
      <c r="AX840" t="n">
        <v>1</v>
      </c>
      <c r="AY840" t="n">
        <v>40</v>
      </c>
      <c r="AZ840" t="n">
        <v>5</v>
      </c>
      <c r="BA840" t="n">
        <v>20</v>
      </c>
      <c r="BB840" t="n">
        <v>143</v>
      </c>
      <c r="BC840" t="n">
        <v>15</v>
      </c>
      <c r="BD840" t="n">
        <v>79</v>
      </c>
      <c r="BE840" t="n">
        <v>12</v>
      </c>
      <c r="BF840" t="n">
        <v>29</v>
      </c>
      <c r="BG840" t="n">
        <v>3</v>
      </c>
      <c r="BH840" t="n">
        <v>0</v>
      </c>
      <c r="BI840" t="n">
        <v>35</v>
      </c>
      <c r="BJ840" t="n">
        <v>32</v>
      </c>
      <c r="BK840" t="n">
        <v>0</v>
      </c>
      <c r="BL840" t="n">
        <v>1</v>
      </c>
      <c r="BM840" t="n">
        <v>89</v>
      </c>
      <c r="BN840" t="n">
        <v>55</v>
      </c>
      <c r="BO840" t="n">
        <v>2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176</v>
      </c>
      <c r="Z841" t="n">
        <v>236</v>
      </c>
      <c r="AA841" t="n">
        <v>26</v>
      </c>
      <c r="AB841" t="n">
        <v>1</v>
      </c>
      <c r="AC841" t="n">
        <v>1</v>
      </c>
      <c r="AD841" t="n">
        <v>2</v>
      </c>
      <c r="AE841" t="n">
        <v>4</v>
      </c>
      <c r="AF841" t="n">
        <v>5</v>
      </c>
      <c r="AG841" t="n">
        <v>0</v>
      </c>
      <c r="AH841" t="n">
        <v>44</v>
      </c>
      <c r="AI841" t="n">
        <v>47</v>
      </c>
      <c r="AJ841" t="n">
        <v>15</v>
      </c>
      <c r="AK841" t="n">
        <v>1</v>
      </c>
      <c r="AL841" t="n">
        <v>7</v>
      </c>
      <c r="AM841" t="n">
        <v>59</v>
      </c>
      <c r="AN841" t="n">
        <v>0</v>
      </c>
      <c r="AO841" t="n">
        <v>0</v>
      </c>
      <c r="AP841" t="n">
        <v>2</v>
      </c>
      <c r="AQ841" t="n">
        <v>19</v>
      </c>
      <c r="AR841" t="n">
        <v>38</v>
      </c>
      <c r="AS841" t="n">
        <v>23</v>
      </c>
      <c r="AT841" t="n">
        <v>3</v>
      </c>
      <c r="AU841" t="n">
        <v>3</v>
      </c>
      <c r="AV841" t="n">
        <v>14</v>
      </c>
      <c r="AW841" t="n">
        <v>29</v>
      </c>
      <c r="AX841" t="n">
        <v>14</v>
      </c>
      <c r="AY841" t="n">
        <v>34</v>
      </c>
      <c r="AZ841" t="n">
        <v>1</v>
      </c>
      <c r="BA841" t="n">
        <v>1</v>
      </c>
      <c r="BB841" t="n">
        <v>27</v>
      </c>
      <c r="BC841" t="n">
        <v>50</v>
      </c>
      <c r="BD841" t="n">
        <v>42</v>
      </c>
      <c r="BE841" t="n">
        <v>28</v>
      </c>
      <c r="BF841" t="n">
        <v>16</v>
      </c>
      <c r="BG841" t="n">
        <v>1</v>
      </c>
      <c r="BH841" t="n">
        <v>10</v>
      </c>
      <c r="BI841" t="n">
        <v>38</v>
      </c>
      <c r="BJ841" t="n">
        <v>35</v>
      </c>
      <c r="BK841" t="n">
        <v>2</v>
      </c>
      <c r="BL841" t="n">
        <v>15</v>
      </c>
      <c r="BM841" t="n">
        <v>32</v>
      </c>
      <c r="BN841" t="n">
        <v>14</v>
      </c>
      <c r="BO841" t="n">
        <v>2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3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212</v>
      </c>
      <c r="Z842" t="n">
        <v>236</v>
      </c>
      <c r="AA842" t="n">
        <v>34</v>
      </c>
      <c r="AB842" t="n">
        <v>3</v>
      </c>
      <c r="AC842" t="n">
        <v>0</v>
      </c>
      <c r="AD842" t="n">
        <v>6</v>
      </c>
      <c r="AE842" t="n">
        <v>4</v>
      </c>
      <c r="AF842" t="n">
        <v>0</v>
      </c>
      <c r="AG842" t="n">
        <v>6</v>
      </c>
      <c r="AH842" t="n">
        <v>98</v>
      </c>
      <c r="AI842" t="n">
        <v>55</v>
      </c>
      <c r="AJ842" t="n">
        <v>55</v>
      </c>
      <c r="AK842" t="n">
        <v>47</v>
      </c>
      <c r="AL842" t="n">
        <v>3</v>
      </c>
      <c r="AM842" t="n">
        <v>51</v>
      </c>
      <c r="AN842" t="n">
        <v>0</v>
      </c>
      <c r="AO842" t="n">
        <v>0</v>
      </c>
      <c r="AP842" t="n">
        <v>3</v>
      </c>
      <c r="AQ842" t="n">
        <v>-2</v>
      </c>
      <c r="AR842" t="n">
        <v>214</v>
      </c>
      <c r="AS842" t="n">
        <v>209</v>
      </c>
      <c r="AT842" t="n">
        <v>2</v>
      </c>
      <c r="AU842" t="n">
        <v>2</v>
      </c>
      <c r="AV842" t="n">
        <v>11</v>
      </c>
      <c r="AW842" t="n">
        <v>29</v>
      </c>
      <c r="AX842" t="n">
        <v>1</v>
      </c>
      <c r="AY842" t="n">
        <v>18</v>
      </c>
      <c r="AZ842" t="n">
        <v>1</v>
      </c>
      <c r="BA842" t="n">
        <v>24</v>
      </c>
      <c r="BB842" t="n">
        <v>58</v>
      </c>
      <c r="BC842" t="n">
        <v>42</v>
      </c>
      <c r="BD842" t="n">
        <v>89</v>
      </c>
      <c r="BE842" t="n">
        <v>29</v>
      </c>
      <c r="BF842" t="n">
        <v>43</v>
      </c>
      <c r="BG842" t="n">
        <v>2</v>
      </c>
      <c r="BH842" t="n">
        <v>0</v>
      </c>
      <c r="BI842" t="n">
        <v>39</v>
      </c>
      <c r="BJ842" t="n">
        <v>36</v>
      </c>
      <c r="BK842" t="n">
        <v>1</v>
      </c>
      <c r="BL842" t="n">
        <v>14</v>
      </c>
      <c r="BM842" t="n">
        <v>9</v>
      </c>
      <c r="BN842" t="n">
        <v>0</v>
      </c>
      <c r="BO842" t="n">
        <v>16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</v>
      </c>
      <c r="U843" t="n">
        <v>0</v>
      </c>
      <c r="V843" t="n">
        <v>0</v>
      </c>
      <c r="W843" t="n">
        <v>0</v>
      </c>
      <c r="X843" t="n">
        <v>1</v>
      </c>
      <c r="Y843" t="n">
        <v>131</v>
      </c>
      <c r="Z843" t="n">
        <v>277</v>
      </c>
      <c r="AA843" t="n">
        <v>44</v>
      </c>
      <c r="AB843" t="n">
        <v>2</v>
      </c>
      <c r="AC843" t="n">
        <v>2</v>
      </c>
      <c r="AD843" t="n">
        <v>2</v>
      </c>
      <c r="AE843" t="n">
        <v>8</v>
      </c>
      <c r="AF843" t="n">
        <v>2</v>
      </c>
      <c r="AG843" t="n">
        <v>1</v>
      </c>
      <c r="AH843" t="n">
        <v>9</v>
      </c>
      <c r="AI843" t="n">
        <v>69</v>
      </c>
      <c r="AJ843" t="n">
        <v>2</v>
      </c>
      <c r="AK843" t="n">
        <v>12</v>
      </c>
      <c r="AL843" t="n">
        <v>2</v>
      </c>
      <c r="AM843" t="n">
        <v>102</v>
      </c>
      <c r="AN843" t="n">
        <v>0</v>
      </c>
      <c r="AO843" t="n">
        <v>0</v>
      </c>
      <c r="AP843" t="n">
        <v>4</v>
      </c>
      <c r="AQ843" t="n">
        <v>55</v>
      </c>
      <c r="AR843" t="n">
        <v>146</v>
      </c>
      <c r="AS843" t="n">
        <v>101</v>
      </c>
      <c r="AT843" t="n">
        <v>4</v>
      </c>
      <c r="AU843" t="n">
        <v>2</v>
      </c>
      <c r="AV843" t="n">
        <v>43</v>
      </c>
      <c r="AW843" t="n">
        <v>41</v>
      </c>
      <c r="AX843" t="n">
        <v>1</v>
      </c>
      <c r="AY843" t="n">
        <v>70</v>
      </c>
      <c r="AZ843" t="n">
        <v>2</v>
      </c>
      <c r="BA843" t="n">
        <v>10</v>
      </c>
      <c r="BB843" t="n">
        <v>52</v>
      </c>
      <c r="BC843" t="n">
        <v>83</v>
      </c>
      <c r="BD843" t="n">
        <v>10</v>
      </c>
      <c r="BE843" t="n">
        <v>41</v>
      </c>
      <c r="BF843" t="n">
        <v>8</v>
      </c>
      <c r="BG843" t="n">
        <v>2</v>
      </c>
      <c r="BH843" t="n">
        <v>7</v>
      </c>
      <c r="BI843" t="n">
        <v>1</v>
      </c>
      <c r="BJ843" t="n">
        <v>1</v>
      </c>
      <c r="BK843" t="n">
        <v>0</v>
      </c>
      <c r="BL843" t="n">
        <v>1</v>
      </c>
      <c r="BM843" t="n">
        <v>27</v>
      </c>
      <c r="BN843" t="n">
        <v>15</v>
      </c>
      <c r="BO843" t="n">
        <v>14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157</v>
      </c>
      <c r="Z844" t="n">
        <v>209</v>
      </c>
      <c r="AA844" t="n">
        <v>97</v>
      </c>
      <c r="AB844" t="n">
        <v>1</v>
      </c>
      <c r="AC844" t="n">
        <v>1</v>
      </c>
      <c r="AD844" t="n">
        <v>1</v>
      </c>
      <c r="AE844" t="n">
        <v>3</v>
      </c>
      <c r="AF844" t="n">
        <v>2</v>
      </c>
      <c r="AG844" t="n">
        <v>0</v>
      </c>
      <c r="AH844" t="n">
        <v>13</v>
      </c>
      <c r="AI844" t="n">
        <v>19</v>
      </c>
      <c r="AJ844" t="n">
        <v>13</v>
      </c>
      <c r="AK844" t="n">
        <v>7</v>
      </c>
      <c r="AL844" t="n">
        <v>4</v>
      </c>
      <c r="AM844" t="n">
        <v>39</v>
      </c>
      <c r="AN844" t="n">
        <v>0</v>
      </c>
      <c r="AO844" t="n">
        <v>0</v>
      </c>
      <c r="AP844" t="n">
        <v>3</v>
      </c>
      <c r="AQ844" t="n">
        <v>23</v>
      </c>
      <c r="AR844" t="n">
        <v>61</v>
      </c>
      <c r="AS844" t="n">
        <v>41</v>
      </c>
      <c r="AT844" t="n">
        <v>7</v>
      </c>
      <c r="AU844" t="n">
        <v>1</v>
      </c>
      <c r="AV844" t="n">
        <v>46</v>
      </c>
      <c r="AW844" t="n">
        <v>7</v>
      </c>
      <c r="AX844" t="n">
        <v>0</v>
      </c>
      <c r="AY844" t="n">
        <v>72</v>
      </c>
      <c r="AZ844" t="n">
        <v>2</v>
      </c>
      <c r="BA844" t="n">
        <v>5</v>
      </c>
      <c r="BB844" t="n">
        <v>97</v>
      </c>
      <c r="BC844" t="n">
        <v>38</v>
      </c>
      <c r="BD844" t="n">
        <v>11</v>
      </c>
      <c r="BE844" t="n">
        <v>7</v>
      </c>
      <c r="BF844" t="n">
        <v>15</v>
      </c>
      <c r="BG844" t="n">
        <v>2</v>
      </c>
      <c r="BH844" t="n">
        <v>10</v>
      </c>
      <c r="BI844" t="n">
        <v>7</v>
      </c>
      <c r="BJ844" t="n">
        <v>20</v>
      </c>
      <c r="BK844" t="n">
        <v>3</v>
      </c>
      <c r="BL844" t="n">
        <v>19</v>
      </c>
      <c r="BM844" t="n">
        <v>18</v>
      </c>
      <c r="BN844" t="n">
        <v>4</v>
      </c>
      <c r="BO844" t="n">
        <v>72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177</v>
      </c>
      <c r="Z845" t="n">
        <v>209</v>
      </c>
      <c r="AA845" t="n">
        <v>38</v>
      </c>
      <c r="AB845" t="n">
        <v>1</v>
      </c>
      <c r="AC845" t="n">
        <v>4</v>
      </c>
      <c r="AD845" t="n">
        <v>2</v>
      </c>
      <c r="AE845" t="n">
        <v>5</v>
      </c>
      <c r="AF845" t="n">
        <v>2</v>
      </c>
      <c r="AG845" t="n">
        <v>3</v>
      </c>
      <c r="AH845" t="n">
        <v>24</v>
      </c>
      <c r="AI845" t="n">
        <v>56</v>
      </c>
      <c r="AJ845" t="n">
        <v>24</v>
      </c>
      <c r="AK845" t="n">
        <v>9</v>
      </c>
      <c r="AL845" t="n">
        <v>1</v>
      </c>
      <c r="AM845" t="n">
        <v>7</v>
      </c>
      <c r="AN845" t="n">
        <v>0</v>
      </c>
      <c r="AO845" t="n">
        <v>0</v>
      </c>
      <c r="AP845" t="n">
        <v>10</v>
      </c>
      <c r="AQ845" t="n">
        <v>61</v>
      </c>
      <c r="AR845" t="n">
        <v>115</v>
      </c>
      <c r="AS845" t="n">
        <v>62</v>
      </c>
      <c r="AT845" t="n">
        <v>0</v>
      </c>
      <c r="AU845" t="n">
        <v>1</v>
      </c>
      <c r="AV845" t="n">
        <v>1</v>
      </c>
      <c r="AW845" t="n">
        <v>35</v>
      </c>
      <c r="AX845" t="n">
        <v>5</v>
      </c>
      <c r="AY845" t="n">
        <v>31</v>
      </c>
      <c r="AZ845" t="n">
        <v>0</v>
      </c>
      <c r="BA845" t="n">
        <v>1</v>
      </c>
      <c r="BB845" t="n">
        <v>37</v>
      </c>
      <c r="BC845" t="n">
        <v>3</v>
      </c>
      <c r="BD845" t="n">
        <v>33</v>
      </c>
      <c r="BE845" t="n">
        <v>34</v>
      </c>
      <c r="BF845" t="n">
        <v>24</v>
      </c>
      <c r="BG845" t="n">
        <v>0</v>
      </c>
      <c r="BH845" t="n">
        <v>10</v>
      </c>
      <c r="BI845" t="n">
        <v>9</v>
      </c>
      <c r="BJ845" t="n">
        <v>17</v>
      </c>
      <c r="BK845" t="n">
        <v>0</v>
      </c>
      <c r="BL845" t="n">
        <v>1</v>
      </c>
      <c r="BM845" t="n">
        <v>5</v>
      </c>
      <c r="BN845" t="n">
        <v>3</v>
      </c>
      <c r="BO845" t="n">
        <v>18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243</v>
      </c>
      <c r="Z846" t="n">
        <v>281</v>
      </c>
      <c r="AA846" t="n">
        <v>87</v>
      </c>
      <c r="AB846" t="n">
        <v>0</v>
      </c>
      <c r="AC846" t="n">
        <v>2</v>
      </c>
      <c r="AD846" t="n">
        <v>1</v>
      </c>
      <c r="AE846" t="n">
        <v>3</v>
      </c>
      <c r="AF846" t="n">
        <v>1</v>
      </c>
      <c r="AG846" t="n">
        <v>3</v>
      </c>
      <c r="AH846" t="n">
        <v>72</v>
      </c>
      <c r="AI846" t="n">
        <v>16</v>
      </c>
      <c r="AJ846" t="n">
        <v>37</v>
      </c>
      <c r="AK846" t="n">
        <v>27</v>
      </c>
      <c r="AL846" t="n">
        <v>5</v>
      </c>
      <c r="AM846" t="n">
        <v>70</v>
      </c>
      <c r="AN846" t="n">
        <v>0</v>
      </c>
      <c r="AO846" t="n">
        <v>0</v>
      </c>
      <c r="AP846" t="n">
        <v>4</v>
      </c>
      <c r="AQ846" t="n">
        <v>24</v>
      </c>
      <c r="AR846" t="n">
        <v>135</v>
      </c>
      <c r="AS846" t="n">
        <v>113</v>
      </c>
      <c r="AT846" t="n">
        <v>4</v>
      </c>
      <c r="AU846" t="n">
        <v>2</v>
      </c>
      <c r="AV846" t="n">
        <v>18</v>
      </c>
      <c r="AW846" t="n">
        <v>40</v>
      </c>
      <c r="AX846" t="n">
        <v>1</v>
      </c>
      <c r="AY846" t="n">
        <v>18</v>
      </c>
      <c r="AZ846" t="n">
        <v>8</v>
      </c>
      <c r="BA846" t="n">
        <v>59</v>
      </c>
      <c r="BB846" t="n">
        <v>146</v>
      </c>
      <c r="BC846" t="n">
        <v>68</v>
      </c>
      <c r="BD846" t="n">
        <v>66</v>
      </c>
      <c r="BE846" t="n">
        <v>40</v>
      </c>
      <c r="BF846" t="n">
        <v>34</v>
      </c>
      <c r="BG846" t="n">
        <v>2</v>
      </c>
      <c r="BH846" t="n">
        <v>3</v>
      </c>
      <c r="BI846" t="n">
        <v>28</v>
      </c>
      <c r="BJ846" t="n">
        <v>36</v>
      </c>
      <c r="BK846" t="n">
        <v>3</v>
      </c>
      <c r="BL846" t="n">
        <v>21</v>
      </c>
      <c r="BM846" t="n">
        <v>48</v>
      </c>
      <c r="BN846" t="n">
        <v>23</v>
      </c>
      <c r="BO846" t="n">
        <v>2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0</v>
      </c>
      <c r="W847" t="n">
        <v>0</v>
      </c>
      <c r="X847" t="n">
        <v>0</v>
      </c>
      <c r="Y847" t="n">
        <v>182</v>
      </c>
      <c r="Z847" t="n">
        <v>183</v>
      </c>
      <c r="AA847" t="n">
        <v>79</v>
      </c>
      <c r="AB847" t="n">
        <v>0</v>
      </c>
      <c r="AC847" t="n">
        <v>1</v>
      </c>
      <c r="AD847" t="n">
        <v>1</v>
      </c>
      <c r="AE847" t="n">
        <v>3</v>
      </c>
      <c r="AF847" t="n">
        <v>5</v>
      </c>
      <c r="AG847" t="n">
        <v>11</v>
      </c>
      <c r="AH847" t="n">
        <v>39</v>
      </c>
      <c r="AI847" t="n">
        <v>7</v>
      </c>
      <c r="AJ847" t="n">
        <v>41</v>
      </c>
      <c r="AK847" t="n">
        <v>92</v>
      </c>
      <c r="AL847" t="n">
        <v>6</v>
      </c>
      <c r="AM847" t="n">
        <v>68</v>
      </c>
      <c r="AN847" t="n">
        <v>0</v>
      </c>
      <c r="AO847" t="n">
        <v>0</v>
      </c>
      <c r="AP847" t="n">
        <v>9</v>
      </c>
      <c r="AQ847" t="n">
        <v>36</v>
      </c>
      <c r="AR847" t="n">
        <v>122</v>
      </c>
      <c r="AS847" t="n">
        <v>90</v>
      </c>
      <c r="AT847" t="n">
        <v>0</v>
      </c>
      <c r="AU847" t="n">
        <v>2</v>
      </c>
      <c r="AV847" t="n">
        <v>3</v>
      </c>
      <c r="AW847" t="n">
        <v>11</v>
      </c>
      <c r="AX847" t="n">
        <v>18</v>
      </c>
      <c r="AY847" t="n">
        <v>31</v>
      </c>
      <c r="AZ847" t="n">
        <v>5</v>
      </c>
      <c r="BA847" t="n">
        <v>43</v>
      </c>
      <c r="BB847" t="n">
        <v>120</v>
      </c>
      <c r="BC847" t="n">
        <v>58</v>
      </c>
      <c r="BD847" t="n">
        <v>38</v>
      </c>
      <c r="BE847" t="n">
        <v>11</v>
      </c>
      <c r="BF847" t="n">
        <v>33</v>
      </c>
      <c r="BG847" t="n">
        <v>0</v>
      </c>
      <c r="BH847" t="n">
        <v>9</v>
      </c>
      <c r="BI847" t="n">
        <v>1</v>
      </c>
      <c r="BJ847" t="n">
        <v>4</v>
      </c>
      <c r="BK847" t="n">
        <v>3</v>
      </c>
      <c r="BL847" t="n">
        <v>49</v>
      </c>
      <c r="BM847" t="n">
        <v>35</v>
      </c>
      <c r="BN847" t="n">
        <v>3</v>
      </c>
      <c r="BO847" t="n">
        <v>2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3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117</v>
      </c>
      <c r="Z848" t="n">
        <v>141</v>
      </c>
      <c r="AA848" t="n">
        <v>44</v>
      </c>
      <c r="AB848" t="n">
        <v>0</v>
      </c>
      <c r="AC848" t="n">
        <v>1</v>
      </c>
      <c r="AD848" t="n">
        <v>4</v>
      </c>
      <c r="AE848" t="n">
        <v>6</v>
      </c>
      <c r="AF848" t="n">
        <v>3</v>
      </c>
      <c r="AG848" t="n">
        <v>5</v>
      </c>
      <c r="AH848" t="n">
        <v>41</v>
      </c>
      <c r="AI848" t="n">
        <v>31</v>
      </c>
      <c r="AJ848" t="n">
        <v>22</v>
      </c>
      <c r="AK848" t="n">
        <v>9</v>
      </c>
      <c r="AL848" t="n">
        <v>1</v>
      </c>
      <c r="AM848" t="n">
        <v>2</v>
      </c>
      <c r="AN848" t="n">
        <v>0</v>
      </c>
      <c r="AO848" t="n">
        <v>0</v>
      </c>
      <c r="AP848" t="n">
        <v>9</v>
      </c>
      <c r="AQ848" t="n">
        <v>33</v>
      </c>
      <c r="AR848" t="n">
        <v>71</v>
      </c>
      <c r="AS848" t="n">
        <v>43</v>
      </c>
      <c r="AT848" t="n">
        <v>4</v>
      </c>
      <c r="AU848" t="n">
        <v>2</v>
      </c>
      <c r="AV848" t="n">
        <v>18</v>
      </c>
      <c r="AW848" t="n">
        <v>15</v>
      </c>
      <c r="AX848" t="n">
        <v>2</v>
      </c>
      <c r="AY848" t="n">
        <v>27</v>
      </c>
      <c r="AZ848" t="n">
        <v>1</v>
      </c>
      <c r="BA848" t="n">
        <v>7</v>
      </c>
      <c r="BB848" t="n">
        <v>48</v>
      </c>
      <c r="BC848" t="n">
        <v>6</v>
      </c>
      <c r="BD848" t="n">
        <v>38</v>
      </c>
      <c r="BE848" t="n">
        <v>14</v>
      </c>
      <c r="BF848" t="n">
        <v>17</v>
      </c>
      <c r="BG848" t="n">
        <v>4</v>
      </c>
      <c r="BH848" t="n">
        <v>2</v>
      </c>
      <c r="BI848" t="n">
        <v>15</v>
      </c>
      <c r="BJ848" t="n">
        <v>51</v>
      </c>
      <c r="BK848" t="n">
        <v>2</v>
      </c>
      <c r="BL848" t="n">
        <v>1</v>
      </c>
      <c r="BM848" t="n">
        <v>14</v>
      </c>
      <c r="BN848" t="n">
        <v>8</v>
      </c>
      <c r="BO848" t="n">
        <v>93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341</v>
      </c>
      <c r="Z849" t="n">
        <v>292</v>
      </c>
      <c r="AA849" t="n">
        <v>43</v>
      </c>
      <c r="AB849" t="n">
        <v>0</v>
      </c>
      <c r="AC849" t="n">
        <v>2</v>
      </c>
      <c r="AD849" t="n">
        <v>7</v>
      </c>
      <c r="AE849" t="n">
        <v>1</v>
      </c>
      <c r="AF849" t="n">
        <v>3</v>
      </c>
      <c r="AG849" t="n">
        <v>1</v>
      </c>
      <c r="AH849" t="n">
        <v>75</v>
      </c>
      <c r="AI849" t="n">
        <v>18</v>
      </c>
      <c r="AJ849" t="n">
        <v>29</v>
      </c>
      <c r="AK849" t="n">
        <v>96</v>
      </c>
      <c r="AL849" t="n">
        <v>1</v>
      </c>
      <c r="AM849" t="n">
        <v>6</v>
      </c>
      <c r="AN849" t="n">
        <v>0</v>
      </c>
      <c r="AO849" t="n">
        <v>0</v>
      </c>
      <c r="AP849" t="n">
        <v>3</v>
      </c>
      <c r="AQ849" t="n">
        <v>33</v>
      </c>
      <c r="AR849" t="n">
        <v>101</v>
      </c>
      <c r="AS849" t="n">
        <v>72</v>
      </c>
      <c r="AT849" t="n">
        <v>1</v>
      </c>
      <c r="AU849" t="n">
        <v>2</v>
      </c>
      <c r="AV849" t="n">
        <v>25</v>
      </c>
      <c r="AW849" t="n">
        <v>72</v>
      </c>
      <c r="AX849" t="n">
        <v>0</v>
      </c>
      <c r="AY849" t="n">
        <v>62</v>
      </c>
      <c r="AZ849" t="n">
        <v>2</v>
      </c>
      <c r="BA849" t="n">
        <v>18</v>
      </c>
      <c r="BB849" t="n">
        <v>59</v>
      </c>
      <c r="BC849" t="n">
        <v>13</v>
      </c>
      <c r="BD849" t="n">
        <v>72</v>
      </c>
      <c r="BE849" t="n">
        <v>73</v>
      </c>
      <c r="BF849" t="n">
        <v>18</v>
      </c>
      <c r="BG849" t="n">
        <v>4</v>
      </c>
      <c r="BH849" t="n">
        <v>2</v>
      </c>
      <c r="BI849" t="n">
        <v>54</v>
      </c>
      <c r="BJ849" t="n">
        <v>49</v>
      </c>
      <c r="BK849" t="n">
        <v>6</v>
      </c>
      <c r="BL849" t="n">
        <v>54</v>
      </c>
      <c r="BM849" t="n">
        <v>113</v>
      </c>
      <c r="BN849" t="n">
        <v>53</v>
      </c>
      <c r="BO849" t="n">
        <v>11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172</v>
      </c>
      <c r="Z850" t="n">
        <v>328</v>
      </c>
      <c r="AA850" t="n">
        <v>89</v>
      </c>
      <c r="AB850" t="n">
        <v>1</v>
      </c>
      <c r="AC850" t="n">
        <v>1</v>
      </c>
      <c r="AD850" t="n">
        <v>8</v>
      </c>
      <c r="AE850" t="n">
        <v>7</v>
      </c>
      <c r="AF850" t="n">
        <v>4</v>
      </c>
      <c r="AG850" t="n">
        <v>10</v>
      </c>
      <c r="AH850" t="n">
        <v>56</v>
      </c>
      <c r="AI850" t="n">
        <v>65</v>
      </c>
      <c r="AJ850" t="n">
        <v>12</v>
      </c>
      <c r="AK850" t="n">
        <v>32</v>
      </c>
      <c r="AL850" t="n">
        <v>6</v>
      </c>
      <c r="AM850" t="n">
        <v>74</v>
      </c>
      <c r="AN850" t="n">
        <v>0</v>
      </c>
      <c r="AO850" t="n">
        <v>0</v>
      </c>
      <c r="AP850" t="n">
        <v>0</v>
      </c>
      <c r="AQ850" t="n">
        <v>1</v>
      </c>
      <c r="AR850" t="n">
        <v>119</v>
      </c>
      <c r="AS850" t="n">
        <v>109</v>
      </c>
      <c r="AT850" t="n">
        <v>6</v>
      </c>
      <c r="AU850" t="n">
        <v>2</v>
      </c>
      <c r="AV850" t="n">
        <v>66</v>
      </c>
      <c r="AW850" t="n">
        <v>21</v>
      </c>
      <c r="AX850" t="n">
        <v>0</v>
      </c>
      <c r="AY850" t="n">
        <v>44</v>
      </c>
      <c r="AZ850" t="n">
        <v>1</v>
      </c>
      <c r="BA850" t="n">
        <v>23</v>
      </c>
      <c r="BB850" t="n">
        <v>108</v>
      </c>
      <c r="BC850" t="n">
        <v>66</v>
      </c>
      <c r="BD850" t="n">
        <v>57</v>
      </c>
      <c r="BE850" t="n">
        <v>21</v>
      </c>
      <c r="BF850" t="n">
        <v>9</v>
      </c>
      <c r="BG850" t="n">
        <v>1</v>
      </c>
      <c r="BH850" t="n">
        <v>8</v>
      </c>
      <c r="BI850" t="n">
        <v>5</v>
      </c>
      <c r="BJ850" t="n">
        <v>1</v>
      </c>
      <c r="BK850" t="n">
        <v>3</v>
      </c>
      <c r="BL850" t="n">
        <v>1</v>
      </c>
      <c r="BM850" t="n">
        <v>10</v>
      </c>
      <c r="BN850" t="n">
        <v>5</v>
      </c>
      <c r="BO850" t="n">
        <v>18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143</v>
      </c>
      <c r="Z851" t="n">
        <v>164</v>
      </c>
      <c r="AA851" t="n">
        <v>63</v>
      </c>
      <c r="AB851" t="n">
        <v>0</v>
      </c>
      <c r="AC851" t="n">
        <v>3</v>
      </c>
      <c r="AD851" t="n">
        <v>1</v>
      </c>
      <c r="AE851" t="n">
        <v>11</v>
      </c>
      <c r="AF851" t="n">
        <v>0</v>
      </c>
      <c r="AG851" t="n">
        <v>3</v>
      </c>
      <c r="AH851" t="n">
        <v>2</v>
      </c>
      <c r="AI851" t="n">
        <v>66</v>
      </c>
      <c r="AJ851" t="n">
        <v>7</v>
      </c>
      <c r="AK851" t="n">
        <v>38</v>
      </c>
      <c r="AL851" t="n">
        <v>1</v>
      </c>
      <c r="AM851" t="n">
        <v>10</v>
      </c>
      <c r="AN851" t="n">
        <v>0</v>
      </c>
      <c r="AO851" t="n">
        <v>0</v>
      </c>
      <c r="AP851" t="n">
        <v>3</v>
      </c>
      <c r="AQ851" t="n">
        <v>12</v>
      </c>
      <c r="AR851" t="n">
        <v>41</v>
      </c>
      <c r="AS851" t="n">
        <v>32</v>
      </c>
      <c r="AT851" t="n">
        <v>0</v>
      </c>
      <c r="AU851" t="n">
        <v>1</v>
      </c>
      <c r="AV851" t="n">
        <v>3</v>
      </c>
      <c r="AW851" t="n">
        <v>8</v>
      </c>
      <c r="AX851" t="n">
        <v>0</v>
      </c>
      <c r="AY851" t="n">
        <v>24</v>
      </c>
      <c r="AZ851" t="n">
        <v>2</v>
      </c>
      <c r="BA851" t="n">
        <v>17</v>
      </c>
      <c r="BB851" t="n">
        <v>78</v>
      </c>
      <c r="BC851" t="n">
        <v>50</v>
      </c>
      <c r="BD851" t="n">
        <v>2</v>
      </c>
      <c r="BE851" t="n">
        <v>12</v>
      </c>
      <c r="BF851" t="n">
        <v>3</v>
      </c>
      <c r="BG851" t="n">
        <v>5</v>
      </c>
      <c r="BH851" t="n">
        <v>6</v>
      </c>
      <c r="BI851" t="n">
        <v>41</v>
      </c>
      <c r="BJ851" t="n">
        <v>44</v>
      </c>
      <c r="BK851" t="n">
        <v>0</v>
      </c>
      <c r="BL851" t="n">
        <v>1</v>
      </c>
      <c r="BM851" t="n">
        <v>2</v>
      </c>
      <c r="BN851" t="n">
        <v>0</v>
      </c>
      <c r="BO851" t="n">
        <v>2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157</v>
      </c>
      <c r="Z852" t="n">
        <v>172</v>
      </c>
      <c r="AA852" t="n">
        <v>112</v>
      </c>
      <c r="AB852" t="n">
        <v>2</v>
      </c>
      <c r="AC852" t="n">
        <v>1</v>
      </c>
      <c r="AD852" t="n">
        <v>7</v>
      </c>
      <c r="AE852" t="n">
        <v>13</v>
      </c>
      <c r="AF852" t="n">
        <v>0</v>
      </c>
      <c r="AG852" t="n">
        <v>2</v>
      </c>
      <c r="AH852" t="n">
        <v>73</v>
      </c>
      <c r="AI852" t="n">
        <v>111</v>
      </c>
      <c r="AJ852" t="n">
        <v>2</v>
      </c>
      <c r="AK852" t="n">
        <v>24</v>
      </c>
      <c r="AL852" t="n">
        <v>4</v>
      </c>
      <c r="AM852" t="n">
        <v>58</v>
      </c>
      <c r="AN852" t="n">
        <v>0</v>
      </c>
      <c r="AO852" t="n">
        <v>0</v>
      </c>
      <c r="AP852" t="n">
        <v>6</v>
      </c>
      <c r="AQ852" t="n">
        <v>38</v>
      </c>
      <c r="AR852" t="n">
        <v>114</v>
      </c>
      <c r="AS852" t="n">
        <v>81</v>
      </c>
      <c r="AT852" t="n">
        <v>3</v>
      </c>
      <c r="AU852" t="n">
        <v>2</v>
      </c>
      <c r="AV852" t="n">
        <v>27</v>
      </c>
      <c r="AW852" t="n">
        <v>10</v>
      </c>
      <c r="AX852" t="n">
        <v>5</v>
      </c>
      <c r="AY852" t="n">
        <v>28</v>
      </c>
      <c r="AZ852" t="n">
        <v>0</v>
      </c>
      <c r="BA852" t="n">
        <v>1</v>
      </c>
      <c r="BB852" t="n">
        <v>109</v>
      </c>
      <c r="BC852" t="n">
        <v>48</v>
      </c>
      <c r="BD852" t="n">
        <v>70</v>
      </c>
      <c r="BE852" t="n">
        <v>13</v>
      </c>
      <c r="BF852" t="n">
        <v>4</v>
      </c>
      <c r="BG852" t="n">
        <v>2</v>
      </c>
      <c r="BH852" t="n">
        <v>0</v>
      </c>
      <c r="BI852" t="n">
        <v>11</v>
      </c>
      <c r="BJ852" t="n">
        <v>16</v>
      </c>
      <c r="BK852" t="n">
        <v>0</v>
      </c>
      <c r="BL852" t="n">
        <v>1</v>
      </c>
      <c r="BM852" t="n">
        <v>4</v>
      </c>
      <c r="BN852" t="n">
        <v>2</v>
      </c>
      <c r="BO852" t="n">
        <v>16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156</v>
      </c>
      <c r="Z853" t="n">
        <v>286</v>
      </c>
      <c r="AA853" t="n">
        <v>69</v>
      </c>
      <c r="AB853" t="n">
        <v>1</v>
      </c>
      <c r="AC853" t="n">
        <v>1</v>
      </c>
      <c r="AD853" t="n">
        <v>3</v>
      </c>
      <c r="AE853" t="n">
        <v>5</v>
      </c>
      <c r="AF853" t="n">
        <v>1</v>
      </c>
      <c r="AG853" t="n">
        <v>11</v>
      </c>
      <c r="AH853" t="n">
        <v>24</v>
      </c>
      <c r="AI853" t="n">
        <v>77</v>
      </c>
      <c r="AJ853" t="n">
        <v>20</v>
      </c>
      <c r="AK853" t="n">
        <v>80</v>
      </c>
      <c r="AL853" t="n">
        <v>4</v>
      </c>
      <c r="AM853" t="n">
        <v>73</v>
      </c>
      <c r="AN853" t="n">
        <v>0</v>
      </c>
      <c r="AO853" t="n">
        <v>0</v>
      </c>
      <c r="AP853" t="n">
        <v>7</v>
      </c>
      <c r="AQ853" t="n">
        <v>56</v>
      </c>
      <c r="AR853" t="n">
        <v>192</v>
      </c>
      <c r="AS853" t="n">
        <v>140</v>
      </c>
      <c r="AT853" t="n">
        <v>3</v>
      </c>
      <c r="AU853" t="n">
        <v>0</v>
      </c>
      <c r="AV853" t="n">
        <v>28</v>
      </c>
      <c r="AW853" t="n">
        <v>11</v>
      </c>
      <c r="AX853" t="n">
        <v>4</v>
      </c>
      <c r="AY853" t="n">
        <v>29</v>
      </c>
      <c r="AZ853" t="n">
        <v>1</v>
      </c>
      <c r="BA853" t="n">
        <v>10</v>
      </c>
      <c r="BB853" t="n">
        <v>75</v>
      </c>
      <c r="BC853" t="n">
        <v>61</v>
      </c>
      <c r="BD853" t="n">
        <v>23</v>
      </c>
      <c r="BE853" t="n">
        <v>12</v>
      </c>
      <c r="BF853" t="n">
        <v>16</v>
      </c>
      <c r="BG853" t="n">
        <v>0</v>
      </c>
      <c r="BH853" t="n">
        <v>4</v>
      </c>
      <c r="BI853" t="n">
        <v>6</v>
      </c>
      <c r="BJ853" t="n">
        <v>18</v>
      </c>
      <c r="BK853" t="n">
        <v>3</v>
      </c>
      <c r="BL853" t="n">
        <v>20</v>
      </c>
      <c r="BM853" t="n">
        <v>13</v>
      </c>
      <c r="BN853" t="n">
        <v>0</v>
      </c>
      <c r="BO853" t="n">
        <v>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212</v>
      </c>
      <c r="Z854" t="n">
        <v>156</v>
      </c>
      <c r="AA854" t="n">
        <v>76</v>
      </c>
      <c r="AB854" t="n">
        <v>1</v>
      </c>
      <c r="AC854" t="n">
        <v>0</v>
      </c>
      <c r="AD854" t="n">
        <v>7</v>
      </c>
      <c r="AE854" t="n">
        <v>1</v>
      </c>
      <c r="AF854" t="n">
        <v>4</v>
      </c>
      <c r="AG854" t="n">
        <v>6</v>
      </c>
      <c r="AH854" t="n">
        <v>42</v>
      </c>
      <c r="AI854" t="n">
        <v>6</v>
      </c>
      <c r="AJ854" t="n">
        <v>24</v>
      </c>
      <c r="AK854" t="n">
        <v>105</v>
      </c>
      <c r="AL854" t="n">
        <v>1</v>
      </c>
      <c r="AM854" t="n">
        <v>16</v>
      </c>
      <c r="AN854" t="n">
        <v>0</v>
      </c>
      <c r="AO854" t="n">
        <v>0</v>
      </c>
      <c r="AP854" t="n">
        <v>9</v>
      </c>
      <c r="AQ854" t="n">
        <v>64</v>
      </c>
      <c r="AR854" t="n">
        <v>98</v>
      </c>
      <c r="AS854" t="n">
        <v>42</v>
      </c>
      <c r="AT854" t="n">
        <v>0</v>
      </c>
      <c r="AU854" t="n">
        <v>1</v>
      </c>
      <c r="AV854" t="n">
        <v>4</v>
      </c>
      <c r="AW854" t="n">
        <v>39</v>
      </c>
      <c r="AX854" t="n">
        <v>3</v>
      </c>
      <c r="AY854" t="n">
        <v>47</v>
      </c>
      <c r="AZ854" t="n">
        <v>1</v>
      </c>
      <c r="BA854" t="n">
        <v>1</v>
      </c>
      <c r="BB854" t="n">
        <v>74</v>
      </c>
      <c r="BC854" t="n">
        <v>21</v>
      </c>
      <c r="BD854" t="n">
        <v>37</v>
      </c>
      <c r="BE854" t="n">
        <v>38</v>
      </c>
      <c r="BF854" t="n">
        <v>28</v>
      </c>
      <c r="BG854" t="n">
        <v>1</v>
      </c>
      <c r="BH854" t="n">
        <v>4</v>
      </c>
      <c r="BI854" t="n">
        <v>2</v>
      </c>
      <c r="BJ854" t="n">
        <v>1</v>
      </c>
      <c r="BK854" t="n">
        <v>0</v>
      </c>
      <c r="BL854" t="n">
        <v>11</v>
      </c>
      <c r="BM854" t="n">
        <v>8</v>
      </c>
      <c r="BN854" t="n">
        <v>0</v>
      </c>
      <c r="BO854" t="n">
        <v>11</v>
      </c>
    </row>
    <row r="855">
      <c r="A855" t="n">
        <v>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4</v>
      </c>
      <c r="U855" t="n">
        <v>0</v>
      </c>
      <c r="V855" t="n">
        <v>0</v>
      </c>
      <c r="W855" t="n">
        <v>1</v>
      </c>
      <c r="X855" t="n">
        <v>0</v>
      </c>
      <c r="Y855" t="n">
        <v>289</v>
      </c>
      <c r="Z855" t="n">
        <v>282</v>
      </c>
      <c r="AA855" t="n">
        <v>22</v>
      </c>
      <c r="AB855" t="n">
        <v>1</v>
      </c>
      <c r="AC855" t="n">
        <v>1</v>
      </c>
      <c r="AD855" t="n">
        <v>3</v>
      </c>
      <c r="AE855" t="n">
        <v>2</v>
      </c>
      <c r="AF855" t="n">
        <v>9</v>
      </c>
      <c r="AG855" t="n">
        <v>3</v>
      </c>
      <c r="AH855" t="n">
        <v>28</v>
      </c>
      <c r="AI855" t="n">
        <v>10</v>
      </c>
      <c r="AJ855" t="n">
        <v>134</v>
      </c>
      <c r="AK855" t="n">
        <v>18</v>
      </c>
      <c r="AL855" t="n">
        <v>2</v>
      </c>
      <c r="AM855" t="n">
        <v>17</v>
      </c>
      <c r="AN855" t="n">
        <v>0</v>
      </c>
      <c r="AO855" t="n">
        <v>0</v>
      </c>
      <c r="AP855" t="n">
        <v>3</v>
      </c>
      <c r="AQ855" t="n">
        <v>27</v>
      </c>
      <c r="AR855" t="n">
        <v>129</v>
      </c>
      <c r="AS855" t="n">
        <v>104</v>
      </c>
      <c r="AT855" t="n">
        <v>0</v>
      </c>
      <c r="AU855" t="n">
        <v>1</v>
      </c>
      <c r="AV855" t="n">
        <v>3</v>
      </c>
      <c r="AW855" t="n">
        <v>22</v>
      </c>
      <c r="AX855" t="n">
        <v>27</v>
      </c>
      <c r="AY855" t="n">
        <v>1</v>
      </c>
      <c r="AZ855" t="n">
        <v>4</v>
      </c>
      <c r="BA855" t="n">
        <v>49</v>
      </c>
      <c r="BB855" t="n">
        <v>78</v>
      </c>
      <c r="BC855" t="n">
        <v>13</v>
      </c>
      <c r="BD855" t="n">
        <v>35</v>
      </c>
      <c r="BE855" t="n">
        <v>22</v>
      </c>
      <c r="BF855" t="n">
        <v>111</v>
      </c>
      <c r="BG855" t="n">
        <v>3</v>
      </c>
      <c r="BH855" t="n">
        <v>14</v>
      </c>
      <c r="BI855" t="n">
        <v>54</v>
      </c>
      <c r="BJ855" t="n">
        <v>51</v>
      </c>
      <c r="BK855" t="n">
        <v>1</v>
      </c>
      <c r="BL855" t="n">
        <v>5</v>
      </c>
      <c r="BM855" t="n">
        <v>19</v>
      </c>
      <c r="BN855" t="n">
        <v>11</v>
      </c>
      <c r="BO855" t="n">
        <v>11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130</v>
      </c>
      <c r="Z856" t="n">
        <v>201</v>
      </c>
      <c r="AA856" t="n">
        <v>11</v>
      </c>
      <c r="AB856" t="n">
        <v>2</v>
      </c>
      <c r="AC856" t="n">
        <v>0</v>
      </c>
      <c r="AD856" t="n">
        <v>2</v>
      </c>
      <c r="AE856" t="n">
        <v>13</v>
      </c>
      <c r="AF856" t="n">
        <v>5</v>
      </c>
      <c r="AG856" t="n">
        <v>2</v>
      </c>
      <c r="AH856" t="n">
        <v>2</v>
      </c>
      <c r="AI856" t="n">
        <v>138</v>
      </c>
      <c r="AJ856" t="n">
        <v>23</v>
      </c>
      <c r="AK856" t="n">
        <v>13</v>
      </c>
      <c r="AL856" t="n">
        <v>4</v>
      </c>
      <c r="AM856" t="n">
        <v>62</v>
      </c>
      <c r="AN856" t="n">
        <v>0</v>
      </c>
      <c r="AO856" t="n">
        <v>0</v>
      </c>
      <c r="AP856" t="n">
        <v>0</v>
      </c>
      <c r="AQ856" t="n">
        <v>1</v>
      </c>
      <c r="AR856" t="n">
        <v>161</v>
      </c>
      <c r="AS856" t="n">
        <v>150</v>
      </c>
      <c r="AT856" t="n">
        <v>5</v>
      </c>
      <c r="AU856" t="n">
        <v>1</v>
      </c>
      <c r="AV856" t="n">
        <v>38</v>
      </c>
      <c r="AW856" t="n">
        <v>1</v>
      </c>
      <c r="AX856" t="n">
        <v>1</v>
      </c>
      <c r="AY856" t="n">
        <v>26</v>
      </c>
      <c r="AZ856" t="n">
        <v>3</v>
      </c>
      <c r="BA856" t="n">
        <v>2</v>
      </c>
      <c r="BB856" t="n">
        <v>12</v>
      </c>
      <c r="BC856" t="n">
        <v>52</v>
      </c>
      <c r="BD856" t="n">
        <v>2</v>
      </c>
      <c r="BE856" t="n">
        <v>6</v>
      </c>
      <c r="BF856" t="n">
        <v>18</v>
      </c>
      <c r="BG856" t="n">
        <v>2</v>
      </c>
      <c r="BH856" t="n">
        <v>8</v>
      </c>
      <c r="BI856" t="n">
        <v>51</v>
      </c>
      <c r="BJ856" t="n">
        <v>51</v>
      </c>
      <c r="BK856" t="n">
        <v>2</v>
      </c>
      <c r="BL856" t="n">
        <v>13</v>
      </c>
      <c r="BM856" t="n">
        <v>27</v>
      </c>
      <c r="BN856" t="n">
        <v>12</v>
      </c>
      <c r="BO856" t="n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181</v>
      </c>
      <c r="Z857" t="n">
        <v>149</v>
      </c>
      <c r="AA857" t="n">
        <v>24</v>
      </c>
      <c r="AB857" t="n">
        <v>1</v>
      </c>
      <c r="AC857" t="n">
        <v>0</v>
      </c>
      <c r="AD857" t="n">
        <v>4</v>
      </c>
      <c r="AE857" t="n">
        <v>5</v>
      </c>
      <c r="AF857" t="n">
        <v>3</v>
      </c>
      <c r="AG857" t="n">
        <v>5</v>
      </c>
      <c r="AH857" t="n">
        <v>67</v>
      </c>
      <c r="AI857" t="n">
        <v>54</v>
      </c>
      <c r="AJ857" t="n">
        <v>15</v>
      </c>
      <c r="AK857" t="n">
        <v>16</v>
      </c>
      <c r="AL857" t="n">
        <v>1</v>
      </c>
      <c r="AM857" t="n">
        <v>3</v>
      </c>
      <c r="AN857" t="n">
        <v>0</v>
      </c>
      <c r="AO857" t="n">
        <v>0</v>
      </c>
      <c r="AP857" t="n">
        <v>4</v>
      </c>
      <c r="AQ857" t="n">
        <v>64</v>
      </c>
      <c r="AR857" t="n">
        <v>199</v>
      </c>
      <c r="AS857" t="n">
        <v>140</v>
      </c>
      <c r="AT857" t="n">
        <v>2</v>
      </c>
      <c r="AU857" t="n">
        <v>1</v>
      </c>
      <c r="AV857" t="n">
        <v>29</v>
      </c>
      <c r="AW857" t="n">
        <v>15</v>
      </c>
      <c r="AX857" t="n">
        <v>18</v>
      </c>
      <c r="AY857" t="n">
        <v>8</v>
      </c>
      <c r="AZ857" t="n">
        <v>0</v>
      </c>
      <c r="BA857" t="n">
        <v>1</v>
      </c>
      <c r="BB857" t="n">
        <v>24</v>
      </c>
      <c r="BC857" t="n">
        <v>2</v>
      </c>
      <c r="BD857" t="n">
        <v>60</v>
      </c>
      <c r="BE857" t="n">
        <v>15</v>
      </c>
      <c r="BF857" t="n">
        <v>21</v>
      </c>
      <c r="BG857" t="n">
        <v>2</v>
      </c>
      <c r="BH857" t="n">
        <v>6</v>
      </c>
      <c r="BI857" t="n">
        <v>25</v>
      </c>
      <c r="BJ857" t="n">
        <v>22</v>
      </c>
      <c r="BK857" t="n">
        <v>0</v>
      </c>
      <c r="BL857" t="n">
        <v>1</v>
      </c>
      <c r="BM857" t="n">
        <v>9</v>
      </c>
      <c r="BN857" t="n">
        <v>5</v>
      </c>
      <c r="BO857" t="n">
        <v>21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182</v>
      </c>
      <c r="Z858" t="n">
        <v>114</v>
      </c>
      <c r="AA858" t="n">
        <v>18</v>
      </c>
      <c r="AB858" t="n">
        <v>0</v>
      </c>
      <c r="AC858" t="n">
        <v>0</v>
      </c>
      <c r="AD858" t="n">
        <v>8</v>
      </c>
      <c r="AE858" t="n">
        <v>1</v>
      </c>
      <c r="AF858" t="n">
        <v>2</v>
      </c>
      <c r="AG858" t="n">
        <v>8</v>
      </c>
      <c r="AH858" t="n">
        <v>88</v>
      </c>
      <c r="AI858" t="n">
        <v>7</v>
      </c>
      <c r="AJ858" t="n">
        <v>24</v>
      </c>
      <c r="AK858" t="n">
        <v>69</v>
      </c>
      <c r="AL858" t="n">
        <v>4</v>
      </c>
      <c r="AM858" t="n">
        <v>31</v>
      </c>
      <c r="AN858" t="n">
        <v>0</v>
      </c>
      <c r="AO858" t="n">
        <v>0</v>
      </c>
      <c r="AP858" t="n">
        <v>3</v>
      </c>
      <c r="AQ858" t="n">
        <v>15</v>
      </c>
      <c r="AR858" t="n">
        <v>101</v>
      </c>
      <c r="AS858" t="n">
        <v>86</v>
      </c>
      <c r="AT858" t="n">
        <v>0</v>
      </c>
      <c r="AU858" t="n">
        <v>1</v>
      </c>
      <c r="AV858" t="n">
        <v>1</v>
      </c>
      <c r="AW858" t="n">
        <v>9</v>
      </c>
      <c r="AX858" t="n">
        <v>6</v>
      </c>
      <c r="AY858" t="n">
        <v>64</v>
      </c>
      <c r="AZ858" t="n">
        <v>4</v>
      </c>
      <c r="BA858" t="n">
        <v>9</v>
      </c>
      <c r="BB858" t="n">
        <v>25</v>
      </c>
      <c r="BC858" t="n">
        <v>59</v>
      </c>
      <c r="BD858" t="n">
        <v>80</v>
      </c>
      <c r="BE858" t="n">
        <v>11</v>
      </c>
      <c r="BF858" t="n">
        <v>28</v>
      </c>
      <c r="BG858" t="n">
        <v>4</v>
      </c>
      <c r="BH858" t="n">
        <v>5</v>
      </c>
      <c r="BI858" t="n">
        <v>1</v>
      </c>
      <c r="BJ858" t="n">
        <v>1</v>
      </c>
      <c r="BK858" t="n">
        <v>3</v>
      </c>
      <c r="BL858" t="n">
        <v>30</v>
      </c>
      <c r="BM858" t="n">
        <v>55</v>
      </c>
      <c r="BN858" t="n">
        <v>25</v>
      </c>
      <c r="BO858" t="n">
        <v>2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266</v>
      </c>
      <c r="Z859" t="n">
        <v>118</v>
      </c>
      <c r="AA859" t="n">
        <v>64</v>
      </c>
      <c r="AB859" t="n">
        <v>0</v>
      </c>
      <c r="AC859" t="n">
        <v>2</v>
      </c>
      <c r="AD859" t="n">
        <v>9</v>
      </c>
      <c r="AE859" t="n">
        <v>5</v>
      </c>
      <c r="AF859" t="n">
        <v>3</v>
      </c>
      <c r="AG859" t="n">
        <v>7</v>
      </c>
      <c r="AH859" t="n">
        <v>56</v>
      </c>
      <c r="AI859" t="n">
        <v>32</v>
      </c>
      <c r="AJ859" t="n">
        <v>3</v>
      </c>
      <c r="AK859" t="n">
        <v>101</v>
      </c>
      <c r="AL859" t="n">
        <v>2</v>
      </c>
      <c r="AM859" t="n">
        <v>33</v>
      </c>
      <c r="AN859" t="n">
        <v>0</v>
      </c>
      <c r="AO859" t="n">
        <v>0</v>
      </c>
      <c r="AP859" t="n">
        <v>3</v>
      </c>
      <c r="AQ859" t="n">
        <v>1</v>
      </c>
      <c r="AR859" t="n">
        <v>22</v>
      </c>
      <c r="AS859" t="n">
        <v>18</v>
      </c>
      <c r="AT859" t="n">
        <v>3</v>
      </c>
      <c r="AU859" t="n">
        <v>0</v>
      </c>
      <c r="AV859" t="n">
        <v>14</v>
      </c>
      <c r="AW859" t="n">
        <v>3</v>
      </c>
      <c r="AX859" t="n">
        <v>0</v>
      </c>
      <c r="AY859" t="n">
        <v>65</v>
      </c>
      <c r="AZ859" t="n">
        <v>2</v>
      </c>
      <c r="BA859" t="n">
        <v>12</v>
      </c>
      <c r="BB859" t="n">
        <v>73</v>
      </c>
      <c r="BC859" t="n">
        <v>33</v>
      </c>
      <c r="BD859" t="n">
        <v>90</v>
      </c>
      <c r="BE859" t="n">
        <v>1</v>
      </c>
      <c r="BF859" t="n">
        <v>10</v>
      </c>
      <c r="BG859" t="n">
        <v>4</v>
      </c>
      <c r="BH859" t="n">
        <v>6</v>
      </c>
      <c r="BI859" t="n">
        <v>46</v>
      </c>
      <c r="BJ859" t="n">
        <v>65</v>
      </c>
      <c r="BK859" t="n">
        <v>0</v>
      </c>
      <c r="BL859" t="n">
        <v>5</v>
      </c>
      <c r="BM859" t="n">
        <v>23</v>
      </c>
      <c r="BN859" t="n">
        <v>14</v>
      </c>
      <c r="BO859" t="n">
        <v>9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1</v>
      </c>
      <c r="V860" t="n">
        <v>0</v>
      </c>
      <c r="W860" t="n">
        <v>0</v>
      </c>
      <c r="X860" t="n">
        <v>0</v>
      </c>
      <c r="Y860" t="n">
        <v>128</v>
      </c>
      <c r="Z860" t="n">
        <v>99</v>
      </c>
      <c r="AA860" t="n">
        <v>47</v>
      </c>
      <c r="AB860" t="n">
        <v>0</v>
      </c>
      <c r="AC860" t="n">
        <v>0</v>
      </c>
      <c r="AD860" t="n">
        <v>2</v>
      </c>
      <c r="AE860" t="n">
        <v>6</v>
      </c>
      <c r="AF860" t="n">
        <v>3</v>
      </c>
      <c r="AG860" t="n">
        <v>10</v>
      </c>
      <c r="AH860" t="n">
        <v>2</v>
      </c>
      <c r="AI860" t="n">
        <v>21</v>
      </c>
      <c r="AJ860" t="n">
        <v>22</v>
      </c>
      <c r="AK860" t="n">
        <v>56</v>
      </c>
      <c r="AL860" t="n">
        <v>2</v>
      </c>
      <c r="AM860" t="n">
        <v>18</v>
      </c>
      <c r="AN860" t="n">
        <v>0</v>
      </c>
      <c r="AO860" t="n">
        <v>0</v>
      </c>
      <c r="AP860" t="n">
        <v>5</v>
      </c>
      <c r="AQ860" t="n">
        <v>23</v>
      </c>
      <c r="AR860" t="n">
        <v>44</v>
      </c>
      <c r="AS860" t="n">
        <v>27</v>
      </c>
      <c r="AT860" t="n">
        <v>2</v>
      </c>
      <c r="AU860" t="n">
        <v>2</v>
      </c>
      <c r="AV860" t="n">
        <v>10</v>
      </c>
      <c r="AW860" t="n">
        <v>1</v>
      </c>
      <c r="AX860" t="n">
        <v>5</v>
      </c>
      <c r="AY860" t="n">
        <v>13</v>
      </c>
      <c r="AZ860" t="n">
        <v>3</v>
      </c>
      <c r="BA860" t="n">
        <v>41</v>
      </c>
      <c r="BB860" t="n">
        <v>88</v>
      </c>
      <c r="BC860" t="n">
        <v>64</v>
      </c>
      <c r="BD860" t="n">
        <v>19</v>
      </c>
      <c r="BE860" t="n">
        <v>1</v>
      </c>
      <c r="BF860" t="n">
        <v>17</v>
      </c>
      <c r="BG860" t="n">
        <v>3</v>
      </c>
      <c r="BH860" t="n">
        <v>0</v>
      </c>
      <c r="BI860" t="n">
        <v>22</v>
      </c>
      <c r="BJ860" t="n">
        <v>19</v>
      </c>
      <c r="BK860" t="n">
        <v>0</v>
      </c>
      <c r="BL860" t="n">
        <v>1</v>
      </c>
      <c r="BM860" t="n">
        <v>19</v>
      </c>
      <c r="BN860" t="n">
        <v>11</v>
      </c>
      <c r="BO860" t="n">
        <v>2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355</v>
      </c>
      <c r="Z861" t="n">
        <v>275</v>
      </c>
      <c r="AA861" t="n">
        <v>126</v>
      </c>
      <c r="AB861" t="n">
        <v>0</v>
      </c>
      <c r="AC861" t="n">
        <v>0</v>
      </c>
      <c r="AD861" t="n">
        <v>3</v>
      </c>
      <c r="AE861" t="n">
        <v>1</v>
      </c>
      <c r="AF861" t="n">
        <v>1</v>
      </c>
      <c r="AG861" t="n">
        <v>7</v>
      </c>
      <c r="AH861" t="n">
        <v>86</v>
      </c>
      <c r="AI861" t="n">
        <v>2</v>
      </c>
      <c r="AJ861" t="n">
        <v>60</v>
      </c>
      <c r="AK861" t="n">
        <v>95</v>
      </c>
      <c r="AL861" t="n">
        <v>0</v>
      </c>
      <c r="AM861" t="n">
        <v>2</v>
      </c>
      <c r="AN861" t="n">
        <v>1</v>
      </c>
      <c r="AO861" t="n">
        <v>0</v>
      </c>
      <c r="AP861" t="n">
        <v>4</v>
      </c>
      <c r="AQ861" t="n">
        <v>26</v>
      </c>
      <c r="AR861" t="n">
        <v>128</v>
      </c>
      <c r="AS861" t="n">
        <v>104</v>
      </c>
      <c r="AT861" t="n">
        <v>0</v>
      </c>
      <c r="AU861" t="n">
        <v>2</v>
      </c>
      <c r="AV861" t="n">
        <v>17</v>
      </c>
      <c r="AW861" t="n">
        <v>56</v>
      </c>
      <c r="AX861" t="n">
        <v>0</v>
      </c>
      <c r="AY861" t="n">
        <v>5</v>
      </c>
      <c r="AZ861" t="n">
        <v>1</v>
      </c>
      <c r="BA861" t="n">
        <v>1</v>
      </c>
      <c r="BB861" t="n">
        <v>122</v>
      </c>
      <c r="BC861" t="n">
        <v>12</v>
      </c>
      <c r="BD861" t="n">
        <v>84</v>
      </c>
      <c r="BE861" t="n">
        <v>58</v>
      </c>
      <c r="BF861" t="n">
        <v>50</v>
      </c>
      <c r="BG861" t="n">
        <v>2</v>
      </c>
      <c r="BH861" t="n">
        <v>24</v>
      </c>
      <c r="BI861" t="n">
        <v>26</v>
      </c>
      <c r="BJ861" t="n">
        <v>24</v>
      </c>
      <c r="BK861" t="n">
        <v>4</v>
      </c>
      <c r="BL861" t="n">
        <v>62</v>
      </c>
      <c r="BM861" t="n">
        <v>55</v>
      </c>
      <c r="BN861" t="n">
        <v>11</v>
      </c>
      <c r="BO861" t="n">
        <v>2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2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338</v>
      </c>
      <c r="Z862" t="n">
        <v>217</v>
      </c>
      <c r="AA862" t="n">
        <v>16</v>
      </c>
      <c r="AB862" t="n">
        <v>3</v>
      </c>
      <c r="AC862" t="n">
        <v>1</v>
      </c>
      <c r="AD862" t="n">
        <v>3</v>
      </c>
      <c r="AE862" t="n">
        <v>3</v>
      </c>
      <c r="AF862" t="n">
        <v>4</v>
      </c>
      <c r="AG862" t="n">
        <v>2</v>
      </c>
      <c r="AH862" t="n">
        <v>64</v>
      </c>
      <c r="AI862" t="n">
        <v>40</v>
      </c>
      <c r="AJ862" t="n">
        <v>97</v>
      </c>
      <c r="AK862" t="n">
        <v>1</v>
      </c>
      <c r="AL862" t="n">
        <v>1</v>
      </c>
      <c r="AM862" t="n">
        <v>55</v>
      </c>
      <c r="AN862" t="n">
        <v>0</v>
      </c>
      <c r="AO862" t="n">
        <v>0</v>
      </c>
      <c r="AP862" t="n">
        <v>2</v>
      </c>
      <c r="AQ862" t="n">
        <v>97</v>
      </c>
      <c r="AR862" t="n">
        <v>180</v>
      </c>
      <c r="AS862" t="n">
        <v>95</v>
      </c>
      <c r="AT862" t="n">
        <v>4</v>
      </c>
      <c r="AU862" t="n">
        <v>2</v>
      </c>
      <c r="AV862" t="n">
        <v>22</v>
      </c>
      <c r="AW862" t="n">
        <v>19</v>
      </c>
      <c r="AX862" t="n">
        <v>4</v>
      </c>
      <c r="AY862" t="n">
        <v>39</v>
      </c>
      <c r="AZ862" t="n">
        <v>0</v>
      </c>
      <c r="BA862" t="n">
        <v>17</v>
      </c>
      <c r="BB862" t="n">
        <v>32</v>
      </c>
      <c r="BC862" t="n">
        <v>46</v>
      </c>
      <c r="BD862" t="n">
        <v>62</v>
      </c>
      <c r="BE862" t="n">
        <v>22</v>
      </c>
      <c r="BF862" t="n">
        <v>79</v>
      </c>
      <c r="BG862" t="n">
        <v>2</v>
      </c>
      <c r="BH862" t="n">
        <v>13</v>
      </c>
      <c r="BI862" t="n">
        <v>21</v>
      </c>
      <c r="BJ862" t="n">
        <v>27</v>
      </c>
      <c r="BK862" t="n">
        <v>2</v>
      </c>
      <c r="BL862" t="n">
        <v>20</v>
      </c>
      <c r="BM862" t="n">
        <v>18</v>
      </c>
      <c r="BN862" t="n">
        <v>4</v>
      </c>
      <c r="BO862" t="n">
        <v>2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2</v>
      </c>
      <c r="F863" t="n">
        <v>0</v>
      </c>
      <c r="G863" t="n">
        <v>1</v>
      </c>
      <c r="H863" t="n">
        <v>2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330</v>
      </c>
      <c r="Z863" t="n">
        <v>115</v>
      </c>
      <c r="AA863" t="n">
        <v>54</v>
      </c>
      <c r="AB863" t="n">
        <v>1</v>
      </c>
      <c r="AC863" t="n">
        <v>3</v>
      </c>
      <c r="AD863" t="n">
        <v>6</v>
      </c>
      <c r="AE863" t="n">
        <v>6</v>
      </c>
      <c r="AF863" t="n">
        <v>6</v>
      </c>
      <c r="AG863" t="n">
        <v>5</v>
      </c>
      <c r="AH863" t="n">
        <v>78</v>
      </c>
      <c r="AI863" t="n">
        <v>30</v>
      </c>
      <c r="AJ863" t="n">
        <v>29</v>
      </c>
      <c r="AK863" t="n">
        <v>62</v>
      </c>
      <c r="AL863" t="n">
        <v>2</v>
      </c>
      <c r="AM863" t="n">
        <v>28</v>
      </c>
      <c r="AN863" t="n">
        <v>0</v>
      </c>
      <c r="AO863" t="n">
        <v>0</v>
      </c>
      <c r="AP863" t="n">
        <v>5</v>
      </c>
      <c r="AQ863" t="n">
        <v>55</v>
      </c>
      <c r="AR863" t="n">
        <v>75</v>
      </c>
      <c r="AS863" t="n">
        <v>29</v>
      </c>
      <c r="AT863" t="n">
        <v>1</v>
      </c>
      <c r="AU863" t="n">
        <v>1</v>
      </c>
      <c r="AV863" t="n">
        <v>67</v>
      </c>
      <c r="AW863" t="n">
        <v>1</v>
      </c>
      <c r="AX863" t="n">
        <v>7</v>
      </c>
      <c r="AY863" t="n">
        <v>7</v>
      </c>
      <c r="AZ863" t="n">
        <v>4</v>
      </c>
      <c r="BA863" t="n">
        <v>17</v>
      </c>
      <c r="BB863" t="n">
        <v>69</v>
      </c>
      <c r="BC863" t="n">
        <v>23</v>
      </c>
      <c r="BD863" t="n">
        <v>70</v>
      </c>
      <c r="BE863" t="n">
        <v>1</v>
      </c>
      <c r="BF863" t="n">
        <v>24</v>
      </c>
      <c r="BG863" t="n">
        <v>4</v>
      </c>
      <c r="BH863" t="n">
        <v>0</v>
      </c>
      <c r="BI863" t="n">
        <v>30</v>
      </c>
      <c r="BJ863" t="n">
        <v>45</v>
      </c>
      <c r="BK863" t="n">
        <v>0</v>
      </c>
      <c r="BL863" t="n">
        <v>1</v>
      </c>
      <c r="BM863" t="n">
        <v>15</v>
      </c>
      <c r="BN863" t="n">
        <v>8</v>
      </c>
      <c r="BO863" t="n">
        <v>28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248</v>
      </c>
      <c r="Z864" t="n">
        <v>191</v>
      </c>
      <c r="AA864" t="n">
        <v>50</v>
      </c>
      <c r="AB864" t="n">
        <v>0</v>
      </c>
      <c r="AC864" t="n">
        <v>4</v>
      </c>
      <c r="AD864" t="n">
        <v>3</v>
      </c>
      <c r="AE864" t="n">
        <v>3</v>
      </c>
      <c r="AF864" t="n">
        <v>2</v>
      </c>
      <c r="AG864" t="n">
        <v>8</v>
      </c>
      <c r="AH864" t="n">
        <v>21</v>
      </c>
      <c r="AI864" t="n">
        <v>34</v>
      </c>
      <c r="AJ864" t="n">
        <v>11</v>
      </c>
      <c r="AK864" t="n">
        <v>113</v>
      </c>
      <c r="AL864" t="n">
        <v>3</v>
      </c>
      <c r="AM864" t="n">
        <v>33</v>
      </c>
      <c r="AN864" t="n">
        <v>2</v>
      </c>
      <c r="AO864" t="n">
        <v>0</v>
      </c>
      <c r="AP864" t="n">
        <v>2</v>
      </c>
      <c r="AQ864" t="n">
        <v>27</v>
      </c>
      <c r="AR864" t="n">
        <v>160</v>
      </c>
      <c r="AS864" t="n">
        <v>133</v>
      </c>
      <c r="AT864" t="n">
        <v>4</v>
      </c>
      <c r="AU864" t="n">
        <v>4</v>
      </c>
      <c r="AV864" t="n">
        <v>47</v>
      </c>
      <c r="AW864" t="n">
        <v>21</v>
      </c>
      <c r="AX864" t="n">
        <v>0</v>
      </c>
      <c r="AY864" t="n">
        <v>68</v>
      </c>
      <c r="AZ864" t="n">
        <v>1</v>
      </c>
      <c r="BA864" t="n">
        <v>-3</v>
      </c>
      <c r="BB864" t="n">
        <v>47</v>
      </c>
      <c r="BC864" t="n">
        <v>44</v>
      </c>
      <c r="BD864" t="n">
        <v>17</v>
      </c>
      <c r="BE864" t="n">
        <v>25</v>
      </c>
      <c r="BF864" t="n">
        <v>32</v>
      </c>
      <c r="BG864" t="n">
        <v>1</v>
      </c>
      <c r="BH864" t="n">
        <v>13</v>
      </c>
      <c r="BI864" t="n">
        <v>9</v>
      </c>
      <c r="BJ864" t="n">
        <v>7</v>
      </c>
      <c r="BK864" t="n">
        <v>5</v>
      </c>
      <c r="BL864" t="n">
        <v>26</v>
      </c>
      <c r="BM864" t="n">
        <v>36</v>
      </c>
      <c r="BN864" t="n">
        <v>13</v>
      </c>
      <c r="BO864" t="n">
        <v>2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351</v>
      </c>
      <c r="Z865" t="n">
        <v>201</v>
      </c>
      <c r="AA865" t="n">
        <v>53</v>
      </c>
      <c r="AB865" t="n">
        <v>2</v>
      </c>
      <c r="AC865" t="n">
        <v>2</v>
      </c>
      <c r="AD865" t="n">
        <v>9</v>
      </c>
      <c r="AE865" t="n">
        <v>3</v>
      </c>
      <c r="AF865" t="n">
        <v>5</v>
      </c>
      <c r="AG865" t="n">
        <v>1</v>
      </c>
      <c r="AH865" t="n">
        <v>120</v>
      </c>
      <c r="AI865" t="n">
        <v>3</v>
      </c>
      <c r="AJ865" t="n">
        <v>30</v>
      </c>
      <c r="AK865" t="n">
        <v>50</v>
      </c>
      <c r="AL865" t="n">
        <v>1</v>
      </c>
      <c r="AM865" t="n">
        <v>44</v>
      </c>
      <c r="AN865" t="n">
        <v>0</v>
      </c>
      <c r="AO865" t="n">
        <v>0</v>
      </c>
      <c r="AP865" t="n">
        <v>6</v>
      </c>
      <c r="AQ865" t="n">
        <v>53</v>
      </c>
      <c r="AR865" t="n">
        <v>73</v>
      </c>
      <c r="AS865" t="n">
        <v>31</v>
      </c>
      <c r="AT865" t="n">
        <v>1</v>
      </c>
      <c r="AU865" t="n">
        <v>3</v>
      </c>
      <c r="AV865" t="n">
        <v>8</v>
      </c>
      <c r="AW865" t="n">
        <v>36</v>
      </c>
      <c r="AX865" t="n">
        <v>2</v>
      </c>
      <c r="AY865" t="n">
        <v>12</v>
      </c>
      <c r="AZ865" t="n">
        <v>5</v>
      </c>
      <c r="BA865" t="n">
        <v>28</v>
      </c>
      <c r="BB865" t="n">
        <v>80</v>
      </c>
      <c r="BC865" t="n">
        <v>36</v>
      </c>
      <c r="BD865" t="n">
        <v>109</v>
      </c>
      <c r="BE865" t="n">
        <v>36</v>
      </c>
      <c r="BF865" t="n">
        <v>31</v>
      </c>
      <c r="BG865" t="n">
        <v>6</v>
      </c>
      <c r="BH865" t="n">
        <v>20</v>
      </c>
      <c r="BI865" t="n">
        <v>81</v>
      </c>
      <c r="BJ865" t="n">
        <v>74</v>
      </c>
      <c r="BK865" t="n">
        <v>3</v>
      </c>
      <c r="BL865" t="n">
        <v>15</v>
      </c>
      <c r="BM865" t="n">
        <v>34</v>
      </c>
      <c r="BN865" t="n">
        <v>16</v>
      </c>
      <c r="BO865" t="n">
        <v>2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3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2</v>
      </c>
      <c r="U866" t="n">
        <v>0</v>
      </c>
      <c r="V866" t="n">
        <v>0</v>
      </c>
      <c r="W866" t="n">
        <v>0</v>
      </c>
      <c r="X866" t="n">
        <v>0</v>
      </c>
      <c r="Y866" t="n">
        <v>270</v>
      </c>
      <c r="Z866" t="n">
        <v>192</v>
      </c>
      <c r="AA866" t="n">
        <v>77</v>
      </c>
      <c r="AB866" t="n">
        <v>1</v>
      </c>
      <c r="AC866" t="n">
        <v>1</v>
      </c>
      <c r="AD866" t="n">
        <v>3</v>
      </c>
      <c r="AE866" t="n">
        <v>4</v>
      </c>
      <c r="AF866" t="n">
        <v>4</v>
      </c>
      <c r="AG866" t="n">
        <v>3</v>
      </c>
      <c r="AH866" t="n">
        <v>34</v>
      </c>
      <c r="AI866" t="n">
        <v>27</v>
      </c>
      <c r="AJ866" t="n">
        <v>47</v>
      </c>
      <c r="AK866" t="n">
        <v>32</v>
      </c>
      <c r="AL866" t="n">
        <v>3</v>
      </c>
      <c r="AM866" t="n">
        <v>-1</v>
      </c>
      <c r="AN866" t="n">
        <v>0</v>
      </c>
      <c r="AO866" t="n">
        <v>0</v>
      </c>
      <c r="AP866" t="n">
        <v>4</v>
      </c>
      <c r="AQ866" t="n">
        <v>24</v>
      </c>
      <c r="AR866" t="n">
        <v>38</v>
      </c>
      <c r="AS866" t="n">
        <v>20</v>
      </c>
      <c r="AT866" t="n">
        <v>2</v>
      </c>
      <c r="AU866" t="n">
        <v>3</v>
      </c>
      <c r="AV866" t="n">
        <v>27</v>
      </c>
      <c r="AW866" t="n">
        <v>30</v>
      </c>
      <c r="AX866" t="n">
        <v>6</v>
      </c>
      <c r="AY866" t="n">
        <v>4</v>
      </c>
      <c r="AZ866" t="n">
        <v>5</v>
      </c>
      <c r="BA866" t="n">
        <v>17</v>
      </c>
      <c r="BB866" t="n">
        <v>90</v>
      </c>
      <c r="BC866" t="n">
        <v>2</v>
      </c>
      <c r="BD866" t="n">
        <v>46</v>
      </c>
      <c r="BE866" t="n">
        <v>30</v>
      </c>
      <c r="BF866" t="n">
        <v>37</v>
      </c>
      <c r="BG866" t="n">
        <v>3</v>
      </c>
      <c r="BH866" t="n">
        <v>16</v>
      </c>
      <c r="BI866" t="n">
        <v>35</v>
      </c>
      <c r="BJ866" t="n">
        <v>32</v>
      </c>
      <c r="BK866" t="n">
        <v>0</v>
      </c>
      <c r="BL866" t="n">
        <v>1</v>
      </c>
      <c r="BM866" t="n">
        <v>3</v>
      </c>
      <c r="BN866" t="n">
        <v>1</v>
      </c>
      <c r="BO866" t="n">
        <v>2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383</v>
      </c>
      <c r="Z867" t="n">
        <v>138</v>
      </c>
      <c r="AA867" t="n">
        <v>75</v>
      </c>
      <c r="AB867" t="n">
        <v>0</v>
      </c>
      <c r="AC867" t="n">
        <v>2</v>
      </c>
      <c r="AD867" t="n">
        <v>8</v>
      </c>
      <c r="AE867" t="n">
        <v>5</v>
      </c>
      <c r="AF867" t="n">
        <v>4</v>
      </c>
      <c r="AG867" t="n">
        <v>6</v>
      </c>
      <c r="AH867" t="n">
        <v>154</v>
      </c>
      <c r="AI867" t="n">
        <v>10</v>
      </c>
      <c r="AJ867" t="n">
        <v>13</v>
      </c>
      <c r="AK867" t="n">
        <v>114</v>
      </c>
      <c r="AL867" t="n">
        <v>3</v>
      </c>
      <c r="AM867" t="n">
        <v>47</v>
      </c>
      <c r="AN867" t="n">
        <v>0</v>
      </c>
      <c r="AO867" t="n">
        <v>0</v>
      </c>
      <c r="AP867" t="n">
        <v>3</v>
      </c>
      <c r="AQ867" t="n">
        <v>13</v>
      </c>
      <c r="AR867" t="n">
        <v>128</v>
      </c>
      <c r="AS867" t="n">
        <v>111</v>
      </c>
      <c r="AT867" t="n">
        <v>3</v>
      </c>
      <c r="AU867" t="n">
        <v>2</v>
      </c>
      <c r="AV867" t="n">
        <v>19</v>
      </c>
      <c r="AW867" t="n">
        <v>23</v>
      </c>
      <c r="AX867" t="n">
        <v>1</v>
      </c>
      <c r="AY867" t="n">
        <v>14</v>
      </c>
      <c r="AZ867" t="n">
        <v>1</v>
      </c>
      <c r="BA867" t="n">
        <v>9</v>
      </c>
      <c r="BB867" t="n">
        <v>80</v>
      </c>
      <c r="BC867" t="n">
        <v>42</v>
      </c>
      <c r="BD867" t="n">
        <v>132</v>
      </c>
      <c r="BE867" t="n">
        <v>22</v>
      </c>
      <c r="BF867" t="n">
        <v>24</v>
      </c>
      <c r="BG867" t="n">
        <v>2</v>
      </c>
      <c r="BH867" t="n">
        <v>6</v>
      </c>
      <c r="BI867" t="n">
        <v>32</v>
      </c>
      <c r="BJ867" t="n">
        <v>45</v>
      </c>
      <c r="BK867" t="n">
        <v>0</v>
      </c>
      <c r="BL867" t="n">
        <v>1</v>
      </c>
      <c r="BM867" t="n">
        <v>6</v>
      </c>
      <c r="BN867" t="n">
        <v>3</v>
      </c>
      <c r="BO867" t="n">
        <v>11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173</v>
      </c>
      <c r="Z868" t="n">
        <v>149</v>
      </c>
      <c r="AA868" t="n">
        <v>53</v>
      </c>
      <c r="AB868" t="n">
        <v>0</v>
      </c>
      <c r="AC868" t="n">
        <v>0</v>
      </c>
      <c r="AD868" t="n">
        <v>5</v>
      </c>
      <c r="AE868" t="n">
        <v>0</v>
      </c>
      <c r="AF868" t="n">
        <v>3</v>
      </c>
      <c r="AG868" t="n">
        <v>1</v>
      </c>
      <c r="AH868" t="n">
        <v>90</v>
      </c>
      <c r="AI868" t="n">
        <v>7</v>
      </c>
      <c r="AJ868" t="n">
        <v>37</v>
      </c>
      <c r="AK868" t="n">
        <v>12</v>
      </c>
      <c r="AL868" t="n">
        <v>5</v>
      </c>
      <c r="AM868" t="n">
        <v>95</v>
      </c>
      <c r="AN868" t="n">
        <v>0</v>
      </c>
      <c r="AO868" t="n">
        <v>0</v>
      </c>
      <c r="AP868" t="n">
        <v>4</v>
      </c>
      <c r="AQ868" t="n">
        <v>27</v>
      </c>
      <c r="AR868" t="n">
        <v>70</v>
      </c>
      <c r="AS868" t="n">
        <v>47</v>
      </c>
      <c r="AT868" t="n">
        <v>1</v>
      </c>
      <c r="AU868" t="n">
        <v>1</v>
      </c>
      <c r="AV868" t="n">
        <v>29</v>
      </c>
      <c r="AW868" t="n">
        <v>5</v>
      </c>
      <c r="AX868" t="n">
        <v>0</v>
      </c>
      <c r="AY868" t="n">
        <v>9</v>
      </c>
      <c r="AZ868" t="n">
        <v>0</v>
      </c>
      <c r="BA868" t="n">
        <v>1</v>
      </c>
      <c r="BB868" t="n">
        <v>53</v>
      </c>
      <c r="BC868" t="n">
        <v>83</v>
      </c>
      <c r="BD868" t="n">
        <v>77</v>
      </c>
      <c r="BE868" t="n">
        <v>8</v>
      </c>
      <c r="BF868" t="n">
        <v>38</v>
      </c>
      <c r="BG868" t="n">
        <v>0</v>
      </c>
      <c r="BH868" t="n">
        <v>4</v>
      </c>
      <c r="BI868" t="n">
        <v>7</v>
      </c>
      <c r="BJ868" t="n">
        <v>1</v>
      </c>
      <c r="BK868" t="n">
        <v>4</v>
      </c>
      <c r="BL868" t="n">
        <v>22</v>
      </c>
      <c r="BM868" t="n">
        <v>15</v>
      </c>
      <c r="BN868" t="n">
        <v>0</v>
      </c>
      <c r="BO868" t="n">
        <v>2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167</v>
      </c>
      <c r="Z869" t="n">
        <v>85</v>
      </c>
      <c r="AA869" t="n">
        <v>87</v>
      </c>
      <c r="AB869" t="n">
        <v>0</v>
      </c>
      <c r="AC869" t="n">
        <v>1</v>
      </c>
      <c r="AD869" t="n">
        <v>3</v>
      </c>
      <c r="AE869" t="n">
        <v>3</v>
      </c>
      <c r="AF869" t="n">
        <v>5</v>
      </c>
      <c r="AG869" t="n">
        <v>2</v>
      </c>
      <c r="AH869" t="n">
        <v>33</v>
      </c>
      <c r="AI869" t="n">
        <v>26</v>
      </c>
      <c r="AJ869" t="n">
        <v>20</v>
      </c>
      <c r="AK869" t="n">
        <v>13</v>
      </c>
      <c r="AL869" t="n">
        <v>2</v>
      </c>
      <c r="AM869" t="n">
        <v>31</v>
      </c>
      <c r="AN869" t="n">
        <v>0</v>
      </c>
      <c r="AO869" t="n">
        <v>0</v>
      </c>
      <c r="AP869" t="n">
        <v>3</v>
      </c>
      <c r="AQ869" t="n">
        <v>56</v>
      </c>
      <c r="AR869" t="n">
        <v>129</v>
      </c>
      <c r="AS869" t="n">
        <v>82</v>
      </c>
      <c r="AT869" t="n">
        <v>3</v>
      </c>
      <c r="AU869" t="n">
        <v>2</v>
      </c>
      <c r="AV869" t="n">
        <v>17</v>
      </c>
      <c r="AW869" t="n">
        <v>19</v>
      </c>
      <c r="AX869" t="n">
        <v>32</v>
      </c>
      <c r="AY869" t="n">
        <v>36</v>
      </c>
      <c r="AZ869" t="n">
        <v>0</v>
      </c>
      <c r="BA869" t="n">
        <v>1</v>
      </c>
      <c r="BB869" t="n">
        <v>84</v>
      </c>
      <c r="BC869" t="n">
        <v>29</v>
      </c>
      <c r="BD869" t="n">
        <v>37</v>
      </c>
      <c r="BE869" t="n">
        <v>19</v>
      </c>
      <c r="BF869" t="n">
        <v>55</v>
      </c>
      <c r="BG869" t="n">
        <v>0</v>
      </c>
      <c r="BH869" t="n">
        <v>6</v>
      </c>
      <c r="BI869" t="n">
        <v>1</v>
      </c>
      <c r="BJ869" t="n">
        <v>1</v>
      </c>
      <c r="BK869" t="n">
        <v>3</v>
      </c>
      <c r="BL869" t="n">
        <v>8</v>
      </c>
      <c r="BM869" t="n">
        <v>69</v>
      </c>
      <c r="BN869" t="n">
        <v>45</v>
      </c>
      <c r="BO869" t="n">
        <v>21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252</v>
      </c>
      <c r="Z870" t="n">
        <v>215</v>
      </c>
      <c r="AA870" t="n">
        <v>61</v>
      </c>
      <c r="AB870" t="n">
        <v>2</v>
      </c>
      <c r="AC870" t="n">
        <v>0</v>
      </c>
      <c r="AD870" t="n">
        <v>3</v>
      </c>
      <c r="AE870" t="n">
        <v>1</v>
      </c>
      <c r="AF870" t="n">
        <v>4</v>
      </c>
      <c r="AG870" t="n">
        <v>3</v>
      </c>
      <c r="AH870" t="n">
        <v>43</v>
      </c>
      <c r="AI870" t="n">
        <v>16</v>
      </c>
      <c r="AJ870" t="n">
        <v>21</v>
      </c>
      <c r="AK870" t="n">
        <v>1</v>
      </c>
      <c r="AL870" t="n">
        <v>9</v>
      </c>
      <c r="AM870" t="n">
        <v>83</v>
      </c>
      <c r="AN870" t="n">
        <v>1</v>
      </c>
      <c r="AO870" t="n">
        <v>0</v>
      </c>
      <c r="AP870" t="n">
        <v>4</v>
      </c>
      <c r="AQ870" t="n">
        <v>-3</v>
      </c>
      <c r="AR870" t="n">
        <v>101</v>
      </c>
      <c r="AS870" t="n">
        <v>96</v>
      </c>
      <c r="AT870" t="n">
        <v>2</v>
      </c>
      <c r="AU870" t="n">
        <v>1</v>
      </c>
      <c r="AV870" t="n">
        <v>24</v>
      </c>
      <c r="AW870" t="n">
        <v>17</v>
      </c>
      <c r="AX870" t="n">
        <v>1</v>
      </c>
      <c r="AY870" t="n">
        <v>22</v>
      </c>
      <c r="AZ870" t="n">
        <v>2</v>
      </c>
      <c r="BA870" t="n">
        <v>11</v>
      </c>
      <c r="BB870" t="n">
        <v>70</v>
      </c>
      <c r="BC870" t="n">
        <v>68</v>
      </c>
      <c r="BD870" t="n">
        <v>47</v>
      </c>
      <c r="BE870" t="n">
        <v>17</v>
      </c>
      <c r="BF870" t="n">
        <v>17</v>
      </c>
      <c r="BG870" t="n">
        <v>1</v>
      </c>
      <c r="BH870" t="n">
        <v>2</v>
      </c>
      <c r="BI870" t="n">
        <v>17</v>
      </c>
      <c r="BJ870" t="n">
        <v>46</v>
      </c>
      <c r="BK870" t="n">
        <v>3</v>
      </c>
      <c r="BL870" t="n">
        <v>36</v>
      </c>
      <c r="BM870" t="n">
        <v>46</v>
      </c>
      <c r="BN870" t="n">
        <v>16</v>
      </c>
      <c r="BO870" t="n">
        <v>279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3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4</v>
      </c>
      <c r="U871" t="n">
        <v>0</v>
      </c>
      <c r="V871" t="n">
        <v>0</v>
      </c>
      <c r="W871" t="n">
        <v>1</v>
      </c>
      <c r="X871" t="n">
        <v>0</v>
      </c>
      <c r="Y871" t="n">
        <v>241</v>
      </c>
      <c r="Z871" t="n">
        <v>202</v>
      </c>
      <c r="AA871" t="n">
        <v>113</v>
      </c>
      <c r="AB871" t="n">
        <v>2</v>
      </c>
      <c r="AC871" t="n">
        <v>1</v>
      </c>
      <c r="AD871" t="n">
        <v>3</v>
      </c>
      <c r="AE871" t="n">
        <v>5</v>
      </c>
      <c r="AF871" t="n">
        <v>1</v>
      </c>
      <c r="AG871" t="n">
        <v>6</v>
      </c>
      <c r="AH871" t="n">
        <v>83</v>
      </c>
      <c r="AI871" t="n">
        <v>54</v>
      </c>
      <c r="AJ871" t="n">
        <v>34</v>
      </c>
      <c r="AK871" t="n">
        <v>107</v>
      </c>
      <c r="AL871" t="n">
        <v>1</v>
      </c>
      <c r="AM871" t="n">
        <v>42</v>
      </c>
      <c r="AN871" t="n">
        <v>0</v>
      </c>
      <c r="AO871" t="n">
        <v>0</v>
      </c>
      <c r="AP871" t="n">
        <v>1</v>
      </c>
      <c r="AQ871" t="n">
        <v>10</v>
      </c>
      <c r="AR871" t="n">
        <v>64</v>
      </c>
      <c r="AS871" t="n">
        <v>54</v>
      </c>
      <c r="AT871" t="n">
        <v>3</v>
      </c>
      <c r="AU871" t="n">
        <v>3</v>
      </c>
      <c r="AV871" t="n">
        <v>18</v>
      </c>
      <c r="AW871" t="n">
        <v>29</v>
      </c>
      <c r="AX871" t="n">
        <v>0</v>
      </c>
      <c r="AY871" t="n">
        <v>35</v>
      </c>
      <c r="AZ871" t="n">
        <v>3</v>
      </c>
      <c r="BA871" t="n">
        <v>48</v>
      </c>
      <c r="BB871" t="n">
        <v>159</v>
      </c>
      <c r="BC871" t="n">
        <v>37</v>
      </c>
      <c r="BD871" t="n">
        <v>80</v>
      </c>
      <c r="BE871" t="n">
        <v>28</v>
      </c>
      <c r="BF871" t="n">
        <v>27</v>
      </c>
      <c r="BG871" t="n">
        <v>2</v>
      </c>
      <c r="BH871" t="n">
        <v>8</v>
      </c>
      <c r="BI871" t="n">
        <v>20</v>
      </c>
      <c r="BJ871" t="n">
        <v>32</v>
      </c>
      <c r="BK871" t="n">
        <v>0</v>
      </c>
      <c r="BL871" t="n">
        <v>1</v>
      </c>
      <c r="BM871" t="n">
        <v>1</v>
      </c>
      <c r="BN871" t="n">
        <v>1</v>
      </c>
      <c r="BO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2</v>
      </c>
      <c r="U872" t="n">
        <v>0</v>
      </c>
      <c r="V872" t="n">
        <v>0</v>
      </c>
      <c r="W872" t="n">
        <v>0</v>
      </c>
      <c r="X872" t="n">
        <v>0</v>
      </c>
      <c r="Y872" t="n">
        <v>167</v>
      </c>
      <c r="Z872" t="n">
        <v>141</v>
      </c>
      <c r="AA872" t="n">
        <v>33</v>
      </c>
      <c r="AB872" t="n">
        <v>3</v>
      </c>
      <c r="AC872" t="n">
        <v>1</v>
      </c>
      <c r="AD872" t="n">
        <v>2</v>
      </c>
      <c r="AE872" t="n">
        <v>1</v>
      </c>
      <c r="AF872" t="n">
        <v>1</v>
      </c>
      <c r="AG872" t="n">
        <v>5</v>
      </c>
      <c r="AH872" t="n">
        <v>40</v>
      </c>
      <c r="AI872" t="n">
        <v>8</v>
      </c>
      <c r="AJ872" t="n">
        <v>13</v>
      </c>
      <c r="AK872" t="n">
        <v>28</v>
      </c>
      <c r="AL872" t="n">
        <v>7</v>
      </c>
      <c r="AM872" t="n">
        <v>68</v>
      </c>
      <c r="AN872" t="n">
        <v>0</v>
      </c>
      <c r="AO872" t="n">
        <v>0</v>
      </c>
      <c r="AP872" t="n">
        <v>4</v>
      </c>
      <c r="AQ872" t="n">
        <v>1</v>
      </c>
      <c r="AR872" t="n">
        <v>78</v>
      </c>
      <c r="AS872" t="n">
        <v>70</v>
      </c>
      <c r="AT872" t="n">
        <v>0</v>
      </c>
      <c r="AU872" t="n">
        <v>1</v>
      </c>
      <c r="AV872" t="n">
        <v>1</v>
      </c>
      <c r="AW872" t="n">
        <v>21</v>
      </c>
      <c r="AX872" t="n">
        <v>7</v>
      </c>
      <c r="AY872" t="n">
        <v>14</v>
      </c>
      <c r="AZ872" t="n">
        <v>1</v>
      </c>
      <c r="BA872" t="n">
        <v>9</v>
      </c>
      <c r="BB872" t="n">
        <v>40</v>
      </c>
      <c r="BC872" t="n">
        <v>80</v>
      </c>
      <c r="BD872" t="n">
        <v>36</v>
      </c>
      <c r="BE872" t="n">
        <v>19</v>
      </c>
      <c r="BF872" t="n">
        <v>10</v>
      </c>
      <c r="BG872" t="n">
        <v>3</v>
      </c>
      <c r="BH872" t="n">
        <v>3</v>
      </c>
      <c r="BI872" t="n">
        <v>9</v>
      </c>
      <c r="BJ872" t="n">
        <v>22</v>
      </c>
      <c r="BK872" t="n">
        <v>1</v>
      </c>
      <c r="BL872" t="n">
        <v>33</v>
      </c>
      <c r="BM872" t="n">
        <v>23</v>
      </c>
      <c r="BN872" t="n">
        <v>2</v>
      </c>
      <c r="BO872" t="n">
        <v>30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207</v>
      </c>
      <c r="Z873" t="n">
        <v>212</v>
      </c>
      <c r="AA873" t="n">
        <v>66</v>
      </c>
      <c r="AB873" t="n">
        <v>0</v>
      </c>
      <c r="AC873" t="n">
        <v>0</v>
      </c>
      <c r="AD873" t="n">
        <v>4</v>
      </c>
      <c r="AE873" t="n">
        <v>11</v>
      </c>
      <c r="AF873" t="n">
        <v>1</v>
      </c>
      <c r="AG873" t="n">
        <v>3</v>
      </c>
      <c r="AH873" t="n">
        <v>81</v>
      </c>
      <c r="AI873" t="n">
        <v>119</v>
      </c>
      <c r="AJ873" t="n">
        <v>2</v>
      </c>
      <c r="AK873" t="n">
        <v>69</v>
      </c>
      <c r="AL873" t="n">
        <v>1</v>
      </c>
      <c r="AM873" t="n">
        <v>5</v>
      </c>
      <c r="AN873" t="n">
        <v>0</v>
      </c>
      <c r="AO873" t="n">
        <v>0</v>
      </c>
      <c r="AP873" t="n">
        <v>4</v>
      </c>
      <c r="AQ873" t="n">
        <v>42</v>
      </c>
      <c r="AR873" t="n">
        <v>150</v>
      </c>
      <c r="AS873" t="n">
        <v>114</v>
      </c>
      <c r="AT873" t="n">
        <v>1</v>
      </c>
      <c r="AU873" t="n">
        <v>1</v>
      </c>
      <c r="AV873" t="n">
        <v>1</v>
      </c>
      <c r="AW873" t="n">
        <v>18</v>
      </c>
      <c r="AX873" t="n">
        <v>0</v>
      </c>
      <c r="AY873" t="n">
        <v>36</v>
      </c>
      <c r="AZ873" t="n">
        <v>3</v>
      </c>
      <c r="BA873" t="n">
        <v>17</v>
      </c>
      <c r="BB873" t="n">
        <v>79</v>
      </c>
      <c r="BC873" t="n">
        <v>10</v>
      </c>
      <c r="BD873" t="n">
        <v>72</v>
      </c>
      <c r="BE873" t="n">
        <v>19</v>
      </c>
      <c r="BF873" t="n">
        <v>19</v>
      </c>
      <c r="BG873" t="n">
        <v>1</v>
      </c>
      <c r="BH873" t="n">
        <v>5</v>
      </c>
      <c r="BI873" t="n">
        <v>18</v>
      </c>
      <c r="BJ873" t="n">
        <v>19</v>
      </c>
      <c r="BK873" t="n">
        <v>0</v>
      </c>
      <c r="BL873" t="n">
        <v>1</v>
      </c>
      <c r="BM873" t="n">
        <v>5</v>
      </c>
      <c r="BN873" t="n">
        <v>3</v>
      </c>
      <c r="BO873" t="n">
        <v>16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3</v>
      </c>
      <c r="N874" t="n">
        <v>0</v>
      </c>
      <c r="O874" t="n">
        <v>0</v>
      </c>
      <c r="P874" t="n">
        <v>0</v>
      </c>
      <c r="Q874" t="n">
        <v>0</v>
      </c>
      <c r="R874" t="n">
        <v>3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273</v>
      </c>
      <c r="Z874" t="n">
        <v>183</v>
      </c>
      <c r="AA874" t="n">
        <v>13</v>
      </c>
      <c r="AB874" t="n">
        <v>1</v>
      </c>
      <c r="AC874" t="n">
        <v>0</v>
      </c>
      <c r="AD874" t="n">
        <v>3</v>
      </c>
      <c r="AE874" t="n">
        <v>2</v>
      </c>
      <c r="AF874" t="n">
        <v>8</v>
      </c>
      <c r="AG874" t="n">
        <v>4</v>
      </c>
      <c r="AH874" t="n">
        <v>61</v>
      </c>
      <c r="AI874" t="n">
        <v>12</v>
      </c>
      <c r="AJ874" t="n">
        <v>122</v>
      </c>
      <c r="AK874" t="n">
        <v>72</v>
      </c>
      <c r="AL874" t="n">
        <v>5</v>
      </c>
      <c r="AM874" t="n">
        <v>87</v>
      </c>
      <c r="AN874" t="n">
        <v>0</v>
      </c>
      <c r="AO874" t="n">
        <v>0</v>
      </c>
      <c r="AP874" t="n">
        <v>0</v>
      </c>
      <c r="AQ874" t="n">
        <v>1</v>
      </c>
      <c r="AR874" t="n">
        <v>98</v>
      </c>
      <c r="AS874" t="n">
        <v>91</v>
      </c>
      <c r="AT874" t="n">
        <v>0</v>
      </c>
      <c r="AU874" t="n">
        <v>1</v>
      </c>
      <c r="AV874" t="n">
        <v>1</v>
      </c>
      <c r="AW874" t="n">
        <v>5</v>
      </c>
      <c r="AX874" t="n">
        <v>6</v>
      </c>
      <c r="AY874" t="n">
        <v>18</v>
      </c>
      <c r="AZ874" t="n">
        <v>0</v>
      </c>
      <c r="BA874" t="n">
        <v>1</v>
      </c>
      <c r="BB874" t="n">
        <v>13</v>
      </c>
      <c r="BC874" t="n">
        <v>81</v>
      </c>
      <c r="BD874" t="n">
        <v>60</v>
      </c>
      <c r="BE874" t="n">
        <v>14</v>
      </c>
      <c r="BF874" t="n">
        <v>100</v>
      </c>
      <c r="BG874" t="n">
        <v>2</v>
      </c>
      <c r="BH874" t="n">
        <v>8</v>
      </c>
      <c r="BI874" t="n">
        <v>25</v>
      </c>
      <c r="BJ874" t="n">
        <v>25</v>
      </c>
      <c r="BK874" t="n">
        <v>0</v>
      </c>
      <c r="BL874" t="n">
        <v>1</v>
      </c>
      <c r="BM874" t="n">
        <v>7</v>
      </c>
      <c r="BN874" t="n">
        <v>4</v>
      </c>
      <c r="BO874" t="n">
        <v>2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230</v>
      </c>
      <c r="Z875" t="n">
        <v>229</v>
      </c>
      <c r="AA875" t="n">
        <v>57</v>
      </c>
      <c r="AB875" t="n">
        <v>0</v>
      </c>
      <c r="AC875" t="n">
        <v>3</v>
      </c>
      <c r="AD875" t="n">
        <v>4</v>
      </c>
      <c r="AE875" t="n">
        <v>13</v>
      </c>
      <c r="AF875" t="n">
        <v>2</v>
      </c>
      <c r="AG875" t="n">
        <v>2</v>
      </c>
      <c r="AH875" t="n">
        <v>33</v>
      </c>
      <c r="AI875" t="n">
        <v>126</v>
      </c>
      <c r="AJ875" t="n">
        <v>36</v>
      </c>
      <c r="AK875" t="n">
        <v>13</v>
      </c>
      <c r="AL875" t="n">
        <v>2</v>
      </c>
      <c r="AM875" t="n">
        <v>17</v>
      </c>
      <c r="AN875" t="n">
        <v>0</v>
      </c>
      <c r="AO875" t="n">
        <v>0</v>
      </c>
      <c r="AP875" t="n">
        <v>14</v>
      </c>
      <c r="AQ875" t="n">
        <v>59</v>
      </c>
      <c r="AR875" t="n">
        <v>73</v>
      </c>
      <c r="AS875" t="n">
        <v>22</v>
      </c>
      <c r="AT875" t="n">
        <v>0</v>
      </c>
      <c r="AU875" t="n">
        <v>2</v>
      </c>
      <c r="AV875" t="n">
        <v>15</v>
      </c>
      <c r="AW875" t="n">
        <v>16</v>
      </c>
      <c r="AX875" t="n">
        <v>0</v>
      </c>
      <c r="AY875" t="n">
        <v>35</v>
      </c>
      <c r="AZ875" t="n">
        <v>3</v>
      </c>
      <c r="BA875" t="n">
        <v>30</v>
      </c>
      <c r="BB875" t="n">
        <v>85</v>
      </c>
      <c r="BC875" t="n">
        <v>20</v>
      </c>
      <c r="BD875" t="n">
        <v>29</v>
      </c>
      <c r="BE875" t="n">
        <v>15</v>
      </c>
      <c r="BF875" t="n">
        <v>28</v>
      </c>
      <c r="BG875" t="n">
        <v>4</v>
      </c>
      <c r="BH875" t="n">
        <v>0</v>
      </c>
      <c r="BI875" t="n">
        <v>43</v>
      </c>
      <c r="BJ875" t="n">
        <v>39</v>
      </c>
      <c r="BK875" t="n">
        <v>0</v>
      </c>
      <c r="BL875" t="n">
        <v>5</v>
      </c>
      <c r="BM875" t="n">
        <v>1</v>
      </c>
      <c r="BN875" t="n">
        <v>0</v>
      </c>
      <c r="BO875" t="n">
        <v>28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3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312</v>
      </c>
      <c r="Z876" t="n">
        <v>214</v>
      </c>
      <c r="AA876" t="n">
        <v>41</v>
      </c>
      <c r="AB876" t="n">
        <v>0</v>
      </c>
      <c r="AC876" t="n">
        <v>2</v>
      </c>
      <c r="AD876" t="n">
        <v>1</v>
      </c>
      <c r="AE876" t="n">
        <v>11</v>
      </c>
      <c r="AF876" t="n">
        <v>0</v>
      </c>
      <c r="AG876" t="n">
        <v>11</v>
      </c>
      <c r="AH876" t="n">
        <v>2</v>
      </c>
      <c r="AI876" t="n">
        <v>63</v>
      </c>
      <c r="AJ876" t="n">
        <v>2</v>
      </c>
      <c r="AK876" t="n">
        <v>114</v>
      </c>
      <c r="AL876" t="n">
        <v>10</v>
      </c>
      <c r="AM876" t="n">
        <v>127</v>
      </c>
      <c r="AN876" t="n">
        <v>0</v>
      </c>
      <c r="AO876" t="n">
        <v>0</v>
      </c>
      <c r="AP876" t="n">
        <v>4</v>
      </c>
      <c r="AQ876" t="n">
        <v>50</v>
      </c>
      <c r="AR876" t="n">
        <v>213</v>
      </c>
      <c r="AS876" t="n">
        <v>173</v>
      </c>
      <c r="AT876" t="n">
        <v>2</v>
      </c>
      <c r="AU876" t="n">
        <v>0</v>
      </c>
      <c r="AV876" t="n">
        <v>22</v>
      </c>
      <c r="AW876" t="n">
        <v>1</v>
      </c>
      <c r="AX876" t="n">
        <v>0</v>
      </c>
      <c r="AY876" t="n">
        <v>21</v>
      </c>
      <c r="AZ876" t="n">
        <v>0</v>
      </c>
      <c r="BA876" t="n">
        <v>3</v>
      </c>
      <c r="BB876" t="n">
        <v>41</v>
      </c>
      <c r="BC876" t="n">
        <v>105</v>
      </c>
      <c r="BD876" t="n">
        <v>6</v>
      </c>
      <c r="BE876" t="n">
        <v>1</v>
      </c>
      <c r="BF876" t="n">
        <v>7</v>
      </c>
      <c r="BG876" t="n">
        <v>5</v>
      </c>
      <c r="BH876" t="n">
        <v>14</v>
      </c>
      <c r="BI876" t="n">
        <v>21</v>
      </c>
      <c r="BJ876" t="n">
        <v>19</v>
      </c>
      <c r="BK876" t="n">
        <v>4</v>
      </c>
      <c r="BL876" t="n">
        <v>39</v>
      </c>
      <c r="BM876" t="n">
        <v>34</v>
      </c>
      <c r="BN876" t="n">
        <v>6</v>
      </c>
      <c r="BO876" t="n">
        <v>30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2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157</v>
      </c>
      <c r="Z877" t="n">
        <v>266</v>
      </c>
      <c r="AA877" t="n">
        <v>68</v>
      </c>
      <c r="AB877" t="n">
        <v>1</v>
      </c>
      <c r="AC877" t="n">
        <v>1</v>
      </c>
      <c r="AD877" t="n">
        <v>11</v>
      </c>
      <c r="AE877" t="n">
        <v>0</v>
      </c>
      <c r="AF877" t="n">
        <v>0</v>
      </c>
      <c r="AG877" t="n">
        <v>1</v>
      </c>
      <c r="AH877" t="n">
        <v>29</v>
      </c>
      <c r="AI877" t="n">
        <v>2</v>
      </c>
      <c r="AJ877" t="n">
        <v>2</v>
      </c>
      <c r="AK877" t="n">
        <v>21</v>
      </c>
      <c r="AL877" t="n">
        <v>3</v>
      </c>
      <c r="AM877" t="n">
        <v>44</v>
      </c>
      <c r="AN877" t="n">
        <v>1</v>
      </c>
      <c r="AO877" t="n">
        <v>0</v>
      </c>
      <c r="AP877" t="n">
        <v>3</v>
      </c>
      <c r="AQ877" t="n">
        <v>32</v>
      </c>
      <c r="AR877" t="n">
        <v>43</v>
      </c>
      <c r="AS877" t="n">
        <v>17</v>
      </c>
      <c r="AT877" t="n">
        <v>0</v>
      </c>
      <c r="AU877" t="n">
        <v>0</v>
      </c>
      <c r="AV877" t="n">
        <v>1</v>
      </c>
      <c r="AW877" t="n">
        <v>30</v>
      </c>
      <c r="AX877" t="n">
        <v>5</v>
      </c>
      <c r="AY877" t="n">
        <v>49</v>
      </c>
      <c r="AZ877" t="n">
        <v>3</v>
      </c>
      <c r="BA877" t="n">
        <v>52</v>
      </c>
      <c r="BB877" t="n">
        <v>122</v>
      </c>
      <c r="BC877" t="n">
        <v>43</v>
      </c>
      <c r="BD877" t="n">
        <v>58</v>
      </c>
      <c r="BE877" t="n">
        <v>31</v>
      </c>
      <c r="BF877" t="n">
        <v>10</v>
      </c>
      <c r="BG877" t="n">
        <v>4</v>
      </c>
      <c r="BH877" t="n">
        <v>0</v>
      </c>
      <c r="BI877" t="n">
        <v>26</v>
      </c>
      <c r="BJ877" t="n">
        <v>43</v>
      </c>
      <c r="BK877" t="n">
        <v>0</v>
      </c>
      <c r="BL877" t="n">
        <v>1</v>
      </c>
      <c r="BM877" t="n">
        <v>36</v>
      </c>
      <c r="BN877" t="n">
        <v>21</v>
      </c>
      <c r="BO877" t="n">
        <v>2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2</v>
      </c>
      <c r="S878" t="n">
        <v>1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281</v>
      </c>
      <c r="Z878" t="n">
        <v>234</v>
      </c>
      <c r="AA878" t="n">
        <v>17</v>
      </c>
      <c r="AB878" t="n">
        <v>3</v>
      </c>
      <c r="AC878" t="n">
        <v>1</v>
      </c>
      <c r="AD878" t="n">
        <v>3</v>
      </c>
      <c r="AE878" t="n">
        <v>9</v>
      </c>
      <c r="AF878" t="n">
        <v>7</v>
      </c>
      <c r="AG878" t="n">
        <v>8</v>
      </c>
      <c r="AH878" t="n">
        <v>67</v>
      </c>
      <c r="AI878" t="n">
        <v>84</v>
      </c>
      <c r="AJ878" t="n">
        <v>73</v>
      </c>
      <c r="AK878" t="n">
        <v>96</v>
      </c>
      <c r="AL878" t="n">
        <v>7</v>
      </c>
      <c r="AM878" t="n">
        <v>94</v>
      </c>
      <c r="AN878" t="n">
        <v>0</v>
      </c>
      <c r="AO878" t="n">
        <v>1</v>
      </c>
      <c r="AP878" t="n">
        <v>5</v>
      </c>
      <c r="AQ878" t="n">
        <v>27</v>
      </c>
      <c r="AR878" t="n">
        <v>81</v>
      </c>
      <c r="AS878" t="n">
        <v>58</v>
      </c>
      <c r="AT878" t="n">
        <v>3</v>
      </c>
      <c r="AU878" t="n">
        <v>2</v>
      </c>
      <c r="AV878" t="n">
        <v>8</v>
      </c>
      <c r="AW878" t="n">
        <v>32</v>
      </c>
      <c r="AX878" t="n">
        <v>1</v>
      </c>
      <c r="AY878" t="n">
        <v>20</v>
      </c>
      <c r="AZ878" t="n">
        <v>1</v>
      </c>
      <c r="BA878" t="n">
        <v>3</v>
      </c>
      <c r="BB878" t="n">
        <v>18</v>
      </c>
      <c r="BC878" t="n">
        <v>89</v>
      </c>
      <c r="BD878" t="n">
        <v>72</v>
      </c>
      <c r="BE878" t="n">
        <v>32</v>
      </c>
      <c r="BF878" t="n">
        <v>73</v>
      </c>
      <c r="BG878" t="n">
        <v>0</v>
      </c>
      <c r="BH878" t="n">
        <v>13</v>
      </c>
      <c r="BI878" t="n">
        <v>14</v>
      </c>
      <c r="BJ878" t="n">
        <v>72</v>
      </c>
      <c r="BK878" t="n">
        <v>3</v>
      </c>
      <c r="BL878" t="n">
        <v>19</v>
      </c>
      <c r="BM878" t="n">
        <v>12</v>
      </c>
      <c r="BN878" t="n">
        <v>0</v>
      </c>
      <c r="BO878" t="n">
        <v>11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2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2</v>
      </c>
      <c r="U879" t="n">
        <v>0</v>
      </c>
      <c r="V879" t="n">
        <v>0</v>
      </c>
      <c r="W879" t="n">
        <v>0</v>
      </c>
      <c r="X879" t="n">
        <v>0</v>
      </c>
      <c r="Y879" t="n">
        <v>348</v>
      </c>
      <c r="Z879" t="n">
        <v>206</v>
      </c>
      <c r="AA879" t="n">
        <v>48</v>
      </c>
      <c r="AB879" t="n">
        <v>0</v>
      </c>
      <c r="AC879" t="n">
        <v>0</v>
      </c>
      <c r="AD879" t="n">
        <v>4</v>
      </c>
      <c r="AE879" t="n">
        <v>2</v>
      </c>
      <c r="AF879" t="n">
        <v>5</v>
      </c>
      <c r="AG879" t="n">
        <v>3</v>
      </c>
      <c r="AH879" t="n">
        <v>92</v>
      </c>
      <c r="AI879" t="n">
        <v>27</v>
      </c>
      <c r="AJ879" t="n">
        <v>51</v>
      </c>
      <c r="AK879" t="n">
        <v>10</v>
      </c>
      <c r="AL879" t="n">
        <v>2</v>
      </c>
      <c r="AM879" t="n">
        <v>27</v>
      </c>
      <c r="AN879" t="n">
        <v>0</v>
      </c>
      <c r="AO879" t="n">
        <v>0</v>
      </c>
      <c r="AP879" t="n">
        <v>4</v>
      </c>
      <c r="AQ879" t="n">
        <v>18</v>
      </c>
      <c r="AR879" t="n">
        <v>143</v>
      </c>
      <c r="AS879" t="n">
        <v>123</v>
      </c>
      <c r="AT879" t="n">
        <v>6</v>
      </c>
      <c r="AU879" t="n">
        <v>1</v>
      </c>
      <c r="AV879" t="n">
        <v>97</v>
      </c>
      <c r="AW879" t="n">
        <v>41</v>
      </c>
      <c r="AX879" t="n">
        <v>3</v>
      </c>
      <c r="AY879" t="n">
        <v>21</v>
      </c>
      <c r="AZ879" t="n">
        <v>3</v>
      </c>
      <c r="BA879" t="n">
        <v>39</v>
      </c>
      <c r="BB879" t="n">
        <v>86</v>
      </c>
      <c r="BC879" t="n">
        <v>26</v>
      </c>
      <c r="BD879" t="n">
        <v>87</v>
      </c>
      <c r="BE879" t="n">
        <v>40</v>
      </c>
      <c r="BF879" t="n">
        <v>40</v>
      </c>
      <c r="BG879" t="n">
        <v>2</v>
      </c>
      <c r="BH879" t="n">
        <v>18</v>
      </c>
      <c r="BI879" t="n">
        <v>12</v>
      </c>
      <c r="BJ879" t="n">
        <v>12</v>
      </c>
      <c r="BK879" t="n">
        <v>0</v>
      </c>
      <c r="BL879" t="n">
        <v>1</v>
      </c>
      <c r="BM879" t="n">
        <v>3</v>
      </c>
      <c r="BN879" t="n">
        <v>0</v>
      </c>
      <c r="BO879" t="n">
        <v>2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338</v>
      </c>
      <c r="Z880" t="n">
        <v>214</v>
      </c>
      <c r="AA880" t="n">
        <v>103</v>
      </c>
      <c r="AB880" t="n">
        <v>1</v>
      </c>
      <c r="AC880" t="n">
        <v>0</v>
      </c>
      <c r="AD880" t="n">
        <v>2</v>
      </c>
      <c r="AE880" t="n">
        <v>5</v>
      </c>
      <c r="AF880" t="n">
        <v>5</v>
      </c>
      <c r="AG880" t="n">
        <v>6</v>
      </c>
      <c r="AH880" t="n">
        <v>61</v>
      </c>
      <c r="AI880" t="n">
        <v>47</v>
      </c>
      <c r="AJ880" t="n">
        <v>57</v>
      </c>
      <c r="AK880" t="n">
        <v>131</v>
      </c>
      <c r="AL880" t="n">
        <v>1</v>
      </c>
      <c r="AM880" t="n">
        <v>11</v>
      </c>
      <c r="AN880" t="n">
        <v>1</v>
      </c>
      <c r="AO880" t="n">
        <v>0</v>
      </c>
      <c r="AP880" t="n">
        <v>7</v>
      </c>
      <c r="AQ880" t="n">
        <v>24</v>
      </c>
      <c r="AR880" t="n">
        <v>189</v>
      </c>
      <c r="AS880" t="n">
        <v>167</v>
      </c>
      <c r="AT880" t="n">
        <v>3</v>
      </c>
      <c r="AU880" t="n">
        <v>0</v>
      </c>
      <c r="AV880" t="n">
        <v>67</v>
      </c>
      <c r="AW880" t="n">
        <v>12</v>
      </c>
      <c r="AX880" t="n">
        <v>2</v>
      </c>
      <c r="AY880" t="n">
        <v>8</v>
      </c>
      <c r="AZ880" t="n">
        <v>1</v>
      </c>
      <c r="BA880" t="n">
        <v>8</v>
      </c>
      <c r="BB880" t="n">
        <v>106</v>
      </c>
      <c r="BC880" t="n">
        <v>9</v>
      </c>
      <c r="BD880" t="n">
        <v>54</v>
      </c>
      <c r="BE880" t="n">
        <v>11</v>
      </c>
      <c r="BF880" t="n">
        <v>46</v>
      </c>
      <c r="BG880" t="n">
        <v>1</v>
      </c>
      <c r="BH880" t="n">
        <v>12</v>
      </c>
      <c r="BI880" t="n">
        <v>7</v>
      </c>
      <c r="BJ880" t="n">
        <v>17</v>
      </c>
      <c r="BK880" t="n">
        <v>3</v>
      </c>
      <c r="BL880" t="n">
        <v>28</v>
      </c>
      <c r="BM880" t="n">
        <v>23</v>
      </c>
      <c r="BN880" t="n">
        <v>3</v>
      </c>
      <c r="BO880" t="n">
        <v>2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2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143</v>
      </c>
      <c r="Z881" t="n">
        <v>170</v>
      </c>
      <c r="AA881" t="n">
        <v>75</v>
      </c>
      <c r="AB881" t="n">
        <v>0</v>
      </c>
      <c r="AC881" t="n">
        <v>0</v>
      </c>
      <c r="AD881" t="n">
        <v>3</v>
      </c>
      <c r="AE881" t="n">
        <v>7</v>
      </c>
      <c r="AF881" t="n">
        <v>4</v>
      </c>
      <c r="AG881" t="n">
        <v>5</v>
      </c>
      <c r="AH881" t="n">
        <v>27</v>
      </c>
      <c r="AI881" t="n">
        <v>47</v>
      </c>
      <c r="AJ881" t="n">
        <v>36</v>
      </c>
      <c r="AK881" t="n">
        <v>16</v>
      </c>
      <c r="AL881" t="n">
        <v>3</v>
      </c>
      <c r="AM881" t="n">
        <v>55</v>
      </c>
      <c r="AN881" t="n">
        <v>0</v>
      </c>
      <c r="AO881" t="n">
        <v>0</v>
      </c>
      <c r="AP881" t="n">
        <v>0</v>
      </c>
      <c r="AQ881" t="n">
        <v>6</v>
      </c>
      <c r="AR881" t="n">
        <v>165</v>
      </c>
      <c r="AS881" t="n">
        <v>153</v>
      </c>
      <c r="AT881" t="n">
        <v>0</v>
      </c>
      <c r="AU881" t="n">
        <v>1</v>
      </c>
      <c r="AV881" t="n">
        <v>4</v>
      </c>
      <c r="AW881" t="n">
        <v>8</v>
      </c>
      <c r="AX881" t="n">
        <v>7</v>
      </c>
      <c r="AY881" t="n">
        <v>59</v>
      </c>
      <c r="AZ881" t="n">
        <v>3</v>
      </c>
      <c r="BA881" t="n">
        <v>8</v>
      </c>
      <c r="BB881" t="n">
        <v>78</v>
      </c>
      <c r="BC881" t="n">
        <v>48</v>
      </c>
      <c r="BD881" t="n">
        <v>33</v>
      </c>
      <c r="BE881" t="n">
        <v>8</v>
      </c>
      <c r="BF881" t="n">
        <v>28</v>
      </c>
      <c r="BG881" t="n">
        <v>5</v>
      </c>
      <c r="BH881" t="n">
        <v>2</v>
      </c>
      <c r="BI881" t="n">
        <v>40</v>
      </c>
      <c r="BJ881" t="n">
        <v>49</v>
      </c>
      <c r="BK881" t="n">
        <v>0</v>
      </c>
      <c r="BL881" t="n">
        <v>1</v>
      </c>
      <c r="BM881" t="n">
        <v>7</v>
      </c>
      <c r="BN881" t="n">
        <v>4</v>
      </c>
      <c r="BO881" t="n">
        <v>21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211</v>
      </c>
      <c r="Z882" t="n">
        <v>252</v>
      </c>
      <c r="AA882" t="n">
        <v>128</v>
      </c>
      <c r="AB882" t="n">
        <v>1</v>
      </c>
      <c r="AC882" t="n">
        <v>2</v>
      </c>
      <c r="AD882" t="n">
        <v>3</v>
      </c>
      <c r="AE882" t="n">
        <v>3</v>
      </c>
      <c r="AF882" t="n">
        <v>6</v>
      </c>
      <c r="AG882" t="n">
        <v>4</v>
      </c>
      <c r="AH882" t="n">
        <v>11</v>
      </c>
      <c r="AI882" t="n">
        <v>38</v>
      </c>
      <c r="AJ882" t="n">
        <v>70</v>
      </c>
      <c r="AK882" t="n">
        <v>24</v>
      </c>
      <c r="AL882" t="n">
        <v>2</v>
      </c>
      <c r="AM882" t="n">
        <v>25</v>
      </c>
      <c r="AN882" t="n">
        <v>0</v>
      </c>
      <c r="AO882" t="n">
        <v>0</v>
      </c>
      <c r="AP882" t="n">
        <v>0</v>
      </c>
      <c r="AQ882" t="n">
        <v>24</v>
      </c>
      <c r="AR882" t="n">
        <v>68</v>
      </c>
      <c r="AS882" t="n">
        <v>48</v>
      </c>
      <c r="AT882" t="n">
        <v>2</v>
      </c>
      <c r="AU882" t="n">
        <v>3</v>
      </c>
      <c r="AV882" t="n">
        <v>6</v>
      </c>
      <c r="AW882" t="n">
        <v>49</v>
      </c>
      <c r="AX882" t="n">
        <v>-1</v>
      </c>
      <c r="AY882" t="n">
        <v>1</v>
      </c>
      <c r="AZ882" t="n">
        <v>6</v>
      </c>
      <c r="BA882" t="n">
        <v>80</v>
      </c>
      <c r="BB882" t="n">
        <v>207</v>
      </c>
      <c r="BC882" t="n">
        <v>24</v>
      </c>
      <c r="BD882" t="n">
        <v>12</v>
      </c>
      <c r="BE882" t="n">
        <v>49</v>
      </c>
      <c r="BF882" t="n">
        <v>55</v>
      </c>
      <c r="BG882" t="n">
        <v>6</v>
      </c>
      <c r="BH882" t="n">
        <v>4</v>
      </c>
      <c r="BI882" t="n">
        <v>48</v>
      </c>
      <c r="BJ882" t="n">
        <v>45</v>
      </c>
      <c r="BK882" t="n">
        <v>5</v>
      </c>
      <c r="BL882" t="n">
        <v>24</v>
      </c>
      <c r="BM882" t="n">
        <v>15</v>
      </c>
      <c r="BN882" t="n">
        <v>0</v>
      </c>
      <c r="BO882" t="n">
        <v>2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197</v>
      </c>
      <c r="Z883" t="n">
        <v>65</v>
      </c>
      <c r="AA883" t="n">
        <v>87</v>
      </c>
      <c r="AB883" t="n">
        <v>0</v>
      </c>
      <c r="AC883" t="n">
        <v>1</v>
      </c>
      <c r="AD883" t="n">
        <v>1</v>
      </c>
      <c r="AE883" t="n">
        <v>7</v>
      </c>
      <c r="AF883" t="n">
        <v>2</v>
      </c>
      <c r="AG883" t="n">
        <v>3</v>
      </c>
      <c r="AH883" t="n">
        <v>2</v>
      </c>
      <c r="AI883" t="n">
        <v>54</v>
      </c>
      <c r="AJ883" t="n">
        <v>19</v>
      </c>
      <c r="AK883" t="n">
        <v>24</v>
      </c>
      <c r="AL883" t="n">
        <v>0</v>
      </c>
      <c r="AM883" t="n">
        <v>10</v>
      </c>
      <c r="AN883" t="n">
        <v>0</v>
      </c>
      <c r="AO883" t="n">
        <v>0</v>
      </c>
      <c r="AP883" t="n">
        <v>3</v>
      </c>
      <c r="AQ883" t="n">
        <v>0</v>
      </c>
      <c r="AR883" t="n">
        <v>57</v>
      </c>
      <c r="AS883" t="n">
        <v>52</v>
      </c>
      <c r="AT883" t="n">
        <v>3</v>
      </c>
      <c r="AU883" t="n">
        <v>2</v>
      </c>
      <c r="AV883" t="n">
        <v>22</v>
      </c>
      <c r="AW883" t="n">
        <v>4</v>
      </c>
      <c r="AX883" t="n">
        <v>0</v>
      </c>
      <c r="AY883" t="n">
        <v>86</v>
      </c>
      <c r="AZ883" t="n">
        <v>1</v>
      </c>
      <c r="BA883" t="n">
        <v>1</v>
      </c>
      <c r="BB883" t="n">
        <v>84</v>
      </c>
      <c r="BC883" t="n">
        <v>16</v>
      </c>
      <c r="BD883" t="n">
        <v>10</v>
      </c>
      <c r="BE883" t="n">
        <v>4</v>
      </c>
      <c r="BF883" t="n">
        <v>15</v>
      </c>
      <c r="BG883" t="n">
        <v>1</v>
      </c>
      <c r="BH883" t="n">
        <v>19</v>
      </c>
      <c r="BI883" t="n">
        <v>7</v>
      </c>
      <c r="BJ883" t="n">
        <v>19</v>
      </c>
      <c r="BK883" t="n">
        <v>5</v>
      </c>
      <c r="BL883" t="n">
        <v>1</v>
      </c>
      <c r="BM883" t="n">
        <v>3</v>
      </c>
      <c r="BN883" t="n">
        <v>0</v>
      </c>
      <c r="BO883" t="n">
        <v>2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222</v>
      </c>
      <c r="Z884" t="n">
        <v>270</v>
      </c>
      <c r="AA884" t="n">
        <v>42</v>
      </c>
      <c r="AB884" t="n">
        <v>1</v>
      </c>
      <c r="AC884" t="n">
        <v>1</v>
      </c>
      <c r="AD884" t="n">
        <v>4</v>
      </c>
      <c r="AE884" t="n">
        <v>7</v>
      </c>
      <c r="AF884" t="n">
        <v>4</v>
      </c>
      <c r="AG884" t="n">
        <v>1</v>
      </c>
      <c r="AH884" t="n">
        <v>54</v>
      </c>
      <c r="AI884" t="n">
        <v>71</v>
      </c>
      <c r="AJ884" t="n">
        <v>100</v>
      </c>
      <c r="AK884" t="n">
        <v>9</v>
      </c>
      <c r="AL884" t="n">
        <v>2</v>
      </c>
      <c r="AM884" t="n">
        <v>50</v>
      </c>
      <c r="AN884" t="n">
        <v>0</v>
      </c>
      <c r="AO884" t="n">
        <v>0</v>
      </c>
      <c r="AP884" t="n">
        <v>4</v>
      </c>
      <c r="AQ884" t="n">
        <v>7</v>
      </c>
      <c r="AR884" t="n">
        <v>78</v>
      </c>
      <c r="AS884" t="n">
        <v>70</v>
      </c>
      <c r="AT884" t="n">
        <v>0</v>
      </c>
      <c r="AU884" t="n">
        <v>2</v>
      </c>
      <c r="AV884" t="n">
        <v>1</v>
      </c>
      <c r="AW884" t="n">
        <v>22</v>
      </c>
      <c r="AX884" t="n">
        <v>0</v>
      </c>
      <c r="AY884" t="n">
        <v>41</v>
      </c>
      <c r="AZ884" t="n">
        <v>0</v>
      </c>
      <c r="BA884" t="n">
        <v>1</v>
      </c>
      <c r="BB884" t="n">
        <v>41</v>
      </c>
      <c r="BC884" t="n">
        <v>48</v>
      </c>
      <c r="BD884" t="n">
        <v>52</v>
      </c>
      <c r="BE884" t="n">
        <v>44</v>
      </c>
      <c r="BF884" t="n">
        <v>80</v>
      </c>
      <c r="BG884" t="n">
        <v>5</v>
      </c>
      <c r="BH884" t="n">
        <v>7</v>
      </c>
      <c r="BI884" t="n">
        <v>51</v>
      </c>
      <c r="BJ884" t="n">
        <v>51</v>
      </c>
      <c r="BK884" t="n">
        <v>7</v>
      </c>
      <c r="BL884" t="n">
        <v>60</v>
      </c>
      <c r="BM884" t="n">
        <v>94</v>
      </c>
      <c r="BN884" t="n">
        <v>36</v>
      </c>
      <c r="BO884" t="n">
        <v>2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146</v>
      </c>
      <c r="Z885" t="n">
        <v>222</v>
      </c>
      <c r="AA885" t="n">
        <v>33</v>
      </c>
      <c r="AB885" t="n">
        <v>1</v>
      </c>
      <c r="AC885" t="n">
        <v>2</v>
      </c>
      <c r="AD885" t="n">
        <v>5</v>
      </c>
      <c r="AE885" t="n">
        <v>5</v>
      </c>
      <c r="AF885" t="n">
        <v>4</v>
      </c>
      <c r="AG885" t="n">
        <v>0</v>
      </c>
      <c r="AH885" t="n">
        <v>85</v>
      </c>
      <c r="AI885" t="n">
        <v>33</v>
      </c>
      <c r="AJ885" t="n">
        <v>25</v>
      </c>
      <c r="AK885" t="n">
        <v>1</v>
      </c>
      <c r="AL885" t="n">
        <v>5</v>
      </c>
      <c r="AM885" t="n">
        <v>72</v>
      </c>
      <c r="AN885" t="n">
        <v>0</v>
      </c>
      <c r="AO885" t="n">
        <v>0</v>
      </c>
      <c r="AP885" t="n">
        <v>3</v>
      </c>
      <c r="AQ885" t="n">
        <v>1</v>
      </c>
      <c r="AR885" t="n">
        <v>50</v>
      </c>
      <c r="AS885" t="n">
        <v>44</v>
      </c>
      <c r="AT885" t="n">
        <v>0</v>
      </c>
      <c r="AU885" t="n">
        <v>0</v>
      </c>
      <c r="AV885" t="n">
        <v>1</v>
      </c>
      <c r="AW885" t="n">
        <v>6</v>
      </c>
      <c r="AX885" t="n">
        <v>5</v>
      </c>
      <c r="AY885" t="n">
        <v>58</v>
      </c>
      <c r="AZ885" t="n">
        <v>3</v>
      </c>
      <c r="BA885" t="n">
        <v>64</v>
      </c>
      <c r="BB885" t="n">
        <v>105</v>
      </c>
      <c r="BC885" t="n">
        <v>59</v>
      </c>
      <c r="BD885" t="n">
        <v>76</v>
      </c>
      <c r="BE885" t="n">
        <v>6</v>
      </c>
      <c r="BF885" t="n">
        <v>20</v>
      </c>
      <c r="BG885" t="n">
        <v>1</v>
      </c>
      <c r="BH885" t="n">
        <v>8</v>
      </c>
      <c r="BI885" t="n">
        <v>1</v>
      </c>
      <c r="BJ885" t="n">
        <v>2</v>
      </c>
      <c r="BK885" t="n">
        <v>1</v>
      </c>
      <c r="BL885" t="n">
        <v>10</v>
      </c>
      <c r="BM885" t="n">
        <v>9</v>
      </c>
      <c r="BN885" t="n">
        <v>2</v>
      </c>
      <c r="BO885" t="n">
        <v>2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163</v>
      </c>
      <c r="Z886" t="n">
        <v>59</v>
      </c>
      <c r="AA886" t="n">
        <v>40</v>
      </c>
      <c r="AB886" t="n">
        <v>0</v>
      </c>
      <c r="AC886" t="n">
        <v>1</v>
      </c>
      <c r="AD886" t="n">
        <v>5</v>
      </c>
      <c r="AE886" t="n">
        <v>2</v>
      </c>
      <c r="AF886" t="n">
        <v>4</v>
      </c>
      <c r="AG886" t="n">
        <v>3</v>
      </c>
      <c r="AH886" t="n">
        <v>49</v>
      </c>
      <c r="AI886" t="n">
        <v>10</v>
      </c>
      <c r="AJ886" t="n">
        <v>18</v>
      </c>
      <c r="AK886" t="n">
        <v>25</v>
      </c>
      <c r="AL886" t="n">
        <v>0</v>
      </c>
      <c r="AM886" t="n">
        <v>10</v>
      </c>
      <c r="AN886" t="n">
        <v>0</v>
      </c>
      <c r="AO886" t="n">
        <v>0</v>
      </c>
      <c r="AP886" t="n">
        <v>6</v>
      </c>
      <c r="AQ886" t="n">
        <v>41</v>
      </c>
      <c r="AR886" t="n">
        <v>83</v>
      </c>
      <c r="AS886" t="n">
        <v>49</v>
      </c>
      <c r="AT886" t="n">
        <v>2</v>
      </c>
      <c r="AU886" t="n">
        <v>0</v>
      </c>
      <c r="AV886" t="n">
        <v>1</v>
      </c>
      <c r="AW886" t="n">
        <v>1</v>
      </c>
      <c r="AX886" t="n">
        <v>0</v>
      </c>
      <c r="AY886" t="n">
        <v>54</v>
      </c>
      <c r="AZ886" t="n">
        <v>1</v>
      </c>
      <c r="BA886" t="n">
        <v>8</v>
      </c>
      <c r="BB886" t="n">
        <v>45</v>
      </c>
      <c r="BC886" t="n">
        <v>2</v>
      </c>
      <c r="BD886" t="n">
        <v>43</v>
      </c>
      <c r="BE886" t="n">
        <v>1</v>
      </c>
      <c r="BF886" t="n">
        <v>15</v>
      </c>
      <c r="BG886" t="n">
        <v>3</v>
      </c>
      <c r="BH886" t="n">
        <v>6</v>
      </c>
      <c r="BI886" t="n">
        <v>47</v>
      </c>
      <c r="BJ886" t="n">
        <v>45</v>
      </c>
      <c r="BK886" t="n">
        <v>3</v>
      </c>
      <c r="BL886" t="n">
        <v>16</v>
      </c>
      <c r="BM886" t="n">
        <v>11</v>
      </c>
      <c r="BN886" t="n">
        <v>1</v>
      </c>
      <c r="BO886" t="n">
        <v>7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3</v>
      </c>
      <c r="X887" t="n">
        <v>0</v>
      </c>
      <c r="Y887" t="n">
        <v>130</v>
      </c>
      <c r="Z887" t="n">
        <v>272</v>
      </c>
      <c r="AA887" t="n">
        <v>23</v>
      </c>
      <c r="AB887" t="n">
        <v>5</v>
      </c>
      <c r="AC887" t="n">
        <v>0</v>
      </c>
      <c r="AD887" t="n">
        <v>2</v>
      </c>
      <c r="AE887" t="n">
        <v>5</v>
      </c>
      <c r="AF887" t="n">
        <v>2</v>
      </c>
      <c r="AG887" t="n">
        <v>1</v>
      </c>
      <c r="AH887" t="n">
        <v>20</v>
      </c>
      <c r="AI887" t="n">
        <v>49</v>
      </c>
      <c r="AJ887" t="n">
        <v>44</v>
      </c>
      <c r="AK887" t="n">
        <v>-6</v>
      </c>
      <c r="AL887" t="n">
        <v>2</v>
      </c>
      <c r="AM887" t="n">
        <v>42</v>
      </c>
      <c r="AN887" t="n">
        <v>0</v>
      </c>
      <c r="AO887" t="n">
        <v>0</v>
      </c>
      <c r="AP887" t="n">
        <v>1</v>
      </c>
      <c r="AQ887" t="n">
        <v>1</v>
      </c>
      <c r="AR887" t="n">
        <v>46</v>
      </c>
      <c r="AS887" t="n">
        <v>40</v>
      </c>
      <c r="AT887" t="n">
        <v>0</v>
      </c>
      <c r="AU887" t="n">
        <v>1</v>
      </c>
      <c r="AV887" t="n">
        <v>1</v>
      </c>
      <c r="AW887" t="n">
        <v>8</v>
      </c>
      <c r="AX887" t="n">
        <v>-1</v>
      </c>
      <c r="AY887" t="n">
        <v>13</v>
      </c>
      <c r="AZ887" t="n">
        <v>1</v>
      </c>
      <c r="BA887" t="n">
        <v>17</v>
      </c>
      <c r="BB887" t="n">
        <v>39</v>
      </c>
      <c r="BC887" t="n">
        <v>40</v>
      </c>
      <c r="BD887" t="n">
        <v>28</v>
      </c>
      <c r="BE887" t="n">
        <v>7</v>
      </c>
      <c r="BF887" t="n">
        <v>35</v>
      </c>
      <c r="BG887" t="n">
        <v>1</v>
      </c>
      <c r="BH887" t="n">
        <v>4</v>
      </c>
      <c r="BI887" t="n">
        <v>47</v>
      </c>
      <c r="BJ887" t="n">
        <v>46</v>
      </c>
      <c r="BK887" t="n">
        <v>0</v>
      </c>
      <c r="BL887" t="n">
        <v>1</v>
      </c>
      <c r="BM887" t="n">
        <v>17</v>
      </c>
      <c r="BN887" t="n">
        <v>10</v>
      </c>
      <c r="BO887" t="n">
        <v>2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186</v>
      </c>
      <c r="Z888" t="n">
        <v>176</v>
      </c>
      <c r="AA888" t="n">
        <v>53</v>
      </c>
      <c r="AB888" t="n">
        <v>0</v>
      </c>
      <c r="AC888" t="n">
        <v>1</v>
      </c>
      <c r="AD888" t="n">
        <v>4</v>
      </c>
      <c r="AE888" t="n">
        <v>1</v>
      </c>
      <c r="AF888" t="n">
        <v>2</v>
      </c>
      <c r="AG888" t="n">
        <v>4</v>
      </c>
      <c r="AH888" t="n">
        <v>42</v>
      </c>
      <c r="AI888" t="n">
        <v>24</v>
      </c>
      <c r="AJ888" t="n">
        <v>67</v>
      </c>
      <c r="AK888" t="n">
        <v>32</v>
      </c>
      <c r="AL888" t="n">
        <v>4</v>
      </c>
      <c r="AM888" t="n">
        <v>47</v>
      </c>
      <c r="AN888" t="n">
        <v>0</v>
      </c>
      <c r="AO888" t="n">
        <v>0</v>
      </c>
      <c r="AP888" t="n">
        <v>4</v>
      </c>
      <c r="AQ888" t="n">
        <v>77</v>
      </c>
      <c r="AR888" t="n">
        <v>178</v>
      </c>
      <c r="AS888" t="n">
        <v>109</v>
      </c>
      <c r="AT888" t="n">
        <v>0</v>
      </c>
      <c r="AU888" t="n">
        <v>1</v>
      </c>
      <c r="AV888" t="n">
        <v>27</v>
      </c>
      <c r="AW888" t="n">
        <v>22</v>
      </c>
      <c r="AX888" t="n">
        <v>4</v>
      </c>
      <c r="AY888" t="n">
        <v>46</v>
      </c>
      <c r="AZ888" t="n">
        <v>2</v>
      </c>
      <c r="BA888" t="n">
        <v>34</v>
      </c>
      <c r="BB888" t="n">
        <v>87</v>
      </c>
      <c r="BC888" t="n">
        <v>74</v>
      </c>
      <c r="BD888" t="n">
        <v>39</v>
      </c>
      <c r="BE888" t="n">
        <v>22</v>
      </c>
      <c r="BF888" t="n">
        <v>61</v>
      </c>
      <c r="BG888" t="n">
        <v>0</v>
      </c>
      <c r="BH888" t="n">
        <v>0</v>
      </c>
      <c r="BI888" t="n">
        <v>1</v>
      </c>
      <c r="BJ888" t="n">
        <v>2</v>
      </c>
      <c r="BK888" t="n">
        <v>2</v>
      </c>
      <c r="BL888" t="n">
        <v>16</v>
      </c>
      <c r="BM888" t="n">
        <v>15</v>
      </c>
      <c r="BN888" t="n">
        <v>4</v>
      </c>
      <c r="BO888" t="n">
        <v>4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2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266</v>
      </c>
      <c r="Z889" t="n">
        <v>246</v>
      </c>
      <c r="AA889" t="n">
        <v>96</v>
      </c>
      <c r="AB889" t="n">
        <v>2</v>
      </c>
      <c r="AC889" t="n">
        <v>0</v>
      </c>
      <c r="AD889" t="n">
        <v>4</v>
      </c>
      <c r="AE889" t="n">
        <v>4</v>
      </c>
      <c r="AF889" t="n">
        <v>4</v>
      </c>
      <c r="AG889" t="n">
        <v>6</v>
      </c>
      <c r="AH889" t="n">
        <v>29</v>
      </c>
      <c r="AI889" t="n">
        <v>30</v>
      </c>
      <c r="AJ889" t="n">
        <v>29</v>
      </c>
      <c r="AK889" t="n">
        <v>104</v>
      </c>
      <c r="AL889" t="n">
        <v>0</v>
      </c>
      <c r="AM889" t="n">
        <v>2</v>
      </c>
      <c r="AN889" t="n">
        <v>0</v>
      </c>
      <c r="AO889" t="n">
        <v>0</v>
      </c>
      <c r="AP889" t="n">
        <v>6</v>
      </c>
      <c r="AQ889" t="n">
        <v>36</v>
      </c>
      <c r="AR889" t="n">
        <v>48</v>
      </c>
      <c r="AS889" t="n">
        <v>17</v>
      </c>
      <c r="AT889" t="n">
        <v>1</v>
      </c>
      <c r="AU889" t="n">
        <v>5</v>
      </c>
      <c r="AV889" t="n">
        <v>10</v>
      </c>
      <c r="AW889" t="n">
        <v>58</v>
      </c>
      <c r="AX889" t="n">
        <v>8</v>
      </c>
      <c r="AY889" t="n">
        <v>19</v>
      </c>
      <c r="AZ889" t="n">
        <v>3</v>
      </c>
      <c r="BA889" t="n">
        <v>43</v>
      </c>
      <c r="BB889" t="n">
        <v>135</v>
      </c>
      <c r="BC889" t="n">
        <v>20</v>
      </c>
      <c r="BD889" t="n">
        <v>27</v>
      </c>
      <c r="BE889" t="n">
        <v>62</v>
      </c>
      <c r="BF889" t="n">
        <v>28</v>
      </c>
      <c r="BG889" t="n">
        <v>4</v>
      </c>
      <c r="BH889" t="n">
        <v>28</v>
      </c>
      <c r="BI889" t="n">
        <v>22</v>
      </c>
      <c r="BJ889" t="n">
        <v>23</v>
      </c>
      <c r="BK889" t="n">
        <v>4</v>
      </c>
      <c r="BL889" t="n">
        <v>41</v>
      </c>
      <c r="BM889" t="n">
        <v>104</v>
      </c>
      <c r="BN889" t="n">
        <v>52</v>
      </c>
      <c r="BO889" t="n">
        <v>2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2</v>
      </c>
      <c r="U890" t="n">
        <v>0</v>
      </c>
      <c r="V890" t="n">
        <v>0</v>
      </c>
      <c r="W890" t="n">
        <v>0</v>
      </c>
      <c r="X890" t="n">
        <v>0</v>
      </c>
      <c r="Y890" t="n">
        <v>165</v>
      </c>
      <c r="Z890" t="n">
        <v>119</v>
      </c>
      <c r="AA890" t="n">
        <v>86</v>
      </c>
      <c r="AB890" t="n">
        <v>1</v>
      </c>
      <c r="AC890" t="n">
        <v>2</v>
      </c>
      <c r="AD890" t="n">
        <v>3</v>
      </c>
      <c r="AE890" t="n">
        <v>4</v>
      </c>
      <c r="AF890" t="n">
        <v>2</v>
      </c>
      <c r="AG890" t="n">
        <v>13</v>
      </c>
      <c r="AH890" t="n">
        <v>31</v>
      </c>
      <c r="AI890" t="n">
        <v>42</v>
      </c>
      <c r="AJ890" t="n">
        <v>46</v>
      </c>
      <c r="AK890" t="n">
        <v>84</v>
      </c>
      <c r="AL890" t="n">
        <v>1</v>
      </c>
      <c r="AM890" t="n">
        <v>17</v>
      </c>
      <c r="AN890" t="n">
        <v>0</v>
      </c>
      <c r="AO890" t="n">
        <v>0</v>
      </c>
      <c r="AP890" t="n">
        <v>11</v>
      </c>
      <c r="AQ890" t="n">
        <v>58</v>
      </c>
      <c r="AR890" t="n">
        <v>184</v>
      </c>
      <c r="AS890" t="n">
        <v>129</v>
      </c>
      <c r="AT890" t="n">
        <v>1</v>
      </c>
      <c r="AU890" t="n">
        <v>2</v>
      </c>
      <c r="AV890" t="n">
        <v>1</v>
      </c>
      <c r="AW890" t="n">
        <v>12</v>
      </c>
      <c r="AX890" t="n">
        <v>4</v>
      </c>
      <c r="AY890" t="n">
        <v>31</v>
      </c>
      <c r="AZ890" t="n">
        <v>4</v>
      </c>
      <c r="BA890" t="n">
        <v>35</v>
      </c>
      <c r="BB890" t="n">
        <v>117</v>
      </c>
      <c r="BC890" t="n">
        <v>16</v>
      </c>
      <c r="BD890" t="n">
        <v>33</v>
      </c>
      <c r="BE890" t="n">
        <v>15</v>
      </c>
      <c r="BF890" t="n">
        <v>38</v>
      </c>
      <c r="BG890" t="n">
        <v>1</v>
      </c>
      <c r="BH890" t="n">
        <v>0</v>
      </c>
      <c r="BI890" t="n">
        <v>1</v>
      </c>
      <c r="BJ890" t="n">
        <v>1</v>
      </c>
      <c r="BK890" t="n">
        <v>0</v>
      </c>
      <c r="BL890" t="n">
        <v>1</v>
      </c>
      <c r="BM890" t="n">
        <v>6</v>
      </c>
      <c r="BN890" t="n">
        <v>3</v>
      </c>
      <c r="BO890" t="n">
        <v>84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226</v>
      </c>
      <c r="Z891" t="n">
        <v>122</v>
      </c>
      <c r="AA891" t="n">
        <v>86</v>
      </c>
      <c r="AB891" t="n">
        <v>0</v>
      </c>
      <c r="AC891" t="n">
        <v>0</v>
      </c>
      <c r="AD891" t="n">
        <v>4</v>
      </c>
      <c r="AE891" t="n">
        <v>1</v>
      </c>
      <c r="AF891" t="n">
        <v>2</v>
      </c>
      <c r="AG891" t="n">
        <v>3</v>
      </c>
      <c r="AH891" t="n">
        <v>75</v>
      </c>
      <c r="AI891" t="n">
        <v>2</v>
      </c>
      <c r="AJ891" t="n">
        <v>29</v>
      </c>
      <c r="AK891" t="n">
        <v>54</v>
      </c>
      <c r="AL891" t="n">
        <v>2</v>
      </c>
      <c r="AM891" t="n">
        <v>48</v>
      </c>
      <c r="AN891" t="n">
        <v>1</v>
      </c>
      <c r="AO891" t="n">
        <v>1</v>
      </c>
      <c r="AP891" t="n">
        <v>3</v>
      </c>
      <c r="AQ891" t="n">
        <v>26</v>
      </c>
      <c r="AR891" t="n">
        <v>111</v>
      </c>
      <c r="AS891" t="n">
        <v>87</v>
      </c>
      <c r="AT891" t="n">
        <v>1</v>
      </c>
      <c r="AU891" t="n">
        <v>0</v>
      </c>
      <c r="AV891" t="n">
        <v>13</v>
      </c>
      <c r="AW891" t="n">
        <v>10</v>
      </c>
      <c r="AX891" t="n">
        <v>5</v>
      </c>
      <c r="AY891" t="n">
        <v>27</v>
      </c>
      <c r="AZ891" t="n">
        <v>2</v>
      </c>
      <c r="BA891" t="n">
        <v>1</v>
      </c>
      <c r="BB891" t="n">
        <v>82</v>
      </c>
      <c r="BC891" t="n">
        <v>39</v>
      </c>
      <c r="BD891" t="n">
        <v>72</v>
      </c>
      <c r="BE891" t="n">
        <v>11</v>
      </c>
      <c r="BF891" t="n">
        <v>47</v>
      </c>
      <c r="BG891" t="n">
        <v>2</v>
      </c>
      <c r="BH891" t="n">
        <v>0</v>
      </c>
      <c r="BI891" t="n">
        <v>19</v>
      </c>
      <c r="BJ891" t="n">
        <v>17</v>
      </c>
      <c r="BK891" t="n">
        <v>0</v>
      </c>
      <c r="BL891" t="n">
        <v>1</v>
      </c>
      <c r="BM891" t="n">
        <v>3</v>
      </c>
      <c r="BN891" t="n">
        <v>0</v>
      </c>
      <c r="BO891" t="n">
        <v>173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2</v>
      </c>
      <c r="K892" t="n">
        <v>0</v>
      </c>
      <c r="L892" t="n">
        <v>0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323</v>
      </c>
      <c r="Z892" t="n">
        <v>167</v>
      </c>
      <c r="AA892" t="n">
        <v>42</v>
      </c>
      <c r="AB892" t="n">
        <v>2</v>
      </c>
      <c r="AC892" t="n">
        <v>1</v>
      </c>
      <c r="AD892" t="n">
        <v>5</v>
      </c>
      <c r="AE892" t="n">
        <v>2</v>
      </c>
      <c r="AF892" t="n">
        <v>4</v>
      </c>
      <c r="AG892" t="n">
        <v>9</v>
      </c>
      <c r="AH892" t="n">
        <v>91</v>
      </c>
      <c r="AI892" t="n">
        <v>47</v>
      </c>
      <c r="AJ892" t="n">
        <v>91</v>
      </c>
      <c r="AK892" t="n">
        <v>45</v>
      </c>
      <c r="AL892" t="n">
        <v>4</v>
      </c>
      <c r="AM892" t="n">
        <v>51</v>
      </c>
      <c r="AN892" t="n">
        <v>0</v>
      </c>
      <c r="AO892" t="n">
        <v>0</v>
      </c>
      <c r="AP892" t="n">
        <v>4</v>
      </c>
      <c r="AQ892" t="n">
        <v>32</v>
      </c>
      <c r="AR892" t="n">
        <v>128</v>
      </c>
      <c r="AS892" t="n">
        <v>99</v>
      </c>
      <c r="AT892" t="n">
        <v>6</v>
      </c>
      <c r="AU892" t="n">
        <v>2</v>
      </c>
      <c r="AV892" t="n">
        <v>42</v>
      </c>
      <c r="AW892" t="n">
        <v>31</v>
      </c>
      <c r="AX892" t="n">
        <v>0</v>
      </c>
      <c r="AY892" t="n">
        <v>23</v>
      </c>
      <c r="AZ892" t="n">
        <v>0</v>
      </c>
      <c r="BA892" t="n">
        <v>4</v>
      </c>
      <c r="BB892" t="n">
        <v>41</v>
      </c>
      <c r="BC892" t="n">
        <v>44</v>
      </c>
      <c r="BD892" t="n">
        <v>97</v>
      </c>
      <c r="BE892" t="n">
        <v>31</v>
      </c>
      <c r="BF892" t="n">
        <v>75</v>
      </c>
      <c r="BG892" t="n">
        <v>2</v>
      </c>
      <c r="BH892" t="n">
        <v>12</v>
      </c>
      <c r="BI892" t="n">
        <v>39</v>
      </c>
      <c r="BJ892" t="n">
        <v>36</v>
      </c>
      <c r="BK892" t="n">
        <v>0</v>
      </c>
      <c r="BL892" t="n">
        <v>1</v>
      </c>
      <c r="BM892" t="n">
        <v>27</v>
      </c>
      <c r="BN892" t="n">
        <v>16</v>
      </c>
      <c r="BO892" t="n">
        <v>4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182</v>
      </c>
      <c r="Z893" t="n">
        <v>173</v>
      </c>
      <c r="AA893" t="n">
        <v>68</v>
      </c>
      <c r="AB893" t="n">
        <v>3</v>
      </c>
      <c r="AC893" t="n">
        <v>1</v>
      </c>
      <c r="AD893" t="n">
        <v>9</v>
      </c>
      <c r="AE893" t="n">
        <v>2</v>
      </c>
      <c r="AF893" t="n">
        <v>7</v>
      </c>
      <c r="AG893" t="n">
        <v>4</v>
      </c>
      <c r="AH893" t="n">
        <v>103</v>
      </c>
      <c r="AI893" t="n">
        <v>34</v>
      </c>
      <c r="AJ893" t="n">
        <v>23</v>
      </c>
      <c r="AK893" t="n">
        <v>33</v>
      </c>
      <c r="AL893" t="n">
        <v>4</v>
      </c>
      <c r="AM893" t="n">
        <v>31</v>
      </c>
      <c r="AN893" t="n">
        <v>0</v>
      </c>
      <c r="AO893" t="n">
        <v>0</v>
      </c>
      <c r="AP893" t="n">
        <v>2</v>
      </c>
      <c r="AQ893" t="n">
        <v>19</v>
      </c>
      <c r="AR893" t="n">
        <v>99</v>
      </c>
      <c r="AS893" t="n">
        <v>81</v>
      </c>
      <c r="AT893" t="n">
        <v>3</v>
      </c>
      <c r="AU893" t="n">
        <v>3</v>
      </c>
      <c r="AV893" t="n">
        <v>6</v>
      </c>
      <c r="AW893" t="n">
        <v>22</v>
      </c>
      <c r="AX893" t="n">
        <v>1</v>
      </c>
      <c r="AY893" t="n">
        <v>62</v>
      </c>
      <c r="AZ893" t="n">
        <v>5</v>
      </c>
      <c r="BA893" t="n">
        <v>30</v>
      </c>
      <c r="BB893" t="n">
        <v>95</v>
      </c>
      <c r="BC893" t="n">
        <v>25</v>
      </c>
      <c r="BD893" t="n">
        <v>94</v>
      </c>
      <c r="BE893" t="n">
        <v>22</v>
      </c>
      <c r="BF893" t="n">
        <v>20</v>
      </c>
      <c r="BG893" t="n">
        <v>3</v>
      </c>
      <c r="BH893" t="n">
        <v>6</v>
      </c>
      <c r="BI893" t="n">
        <v>1</v>
      </c>
      <c r="BJ893" t="n">
        <v>9</v>
      </c>
      <c r="BK893" t="n">
        <v>2</v>
      </c>
      <c r="BL893" t="n">
        <v>18</v>
      </c>
      <c r="BM893" t="n">
        <v>20</v>
      </c>
      <c r="BN893" t="n">
        <v>6</v>
      </c>
      <c r="BO893" t="n">
        <v>51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217</v>
      </c>
      <c r="Z894" t="n">
        <v>244</v>
      </c>
      <c r="AA894" t="n">
        <v>48</v>
      </c>
      <c r="AB894" t="n">
        <v>0</v>
      </c>
      <c r="AC894" t="n">
        <v>1</v>
      </c>
      <c r="AD894" t="n">
        <v>2</v>
      </c>
      <c r="AE894" t="n">
        <v>10</v>
      </c>
      <c r="AF894" t="n">
        <v>2</v>
      </c>
      <c r="AG894" t="n">
        <v>8</v>
      </c>
      <c r="AH894" t="n">
        <v>45</v>
      </c>
      <c r="AI894" t="n">
        <v>135</v>
      </c>
      <c r="AJ894" t="n">
        <v>29</v>
      </c>
      <c r="AK894" t="n">
        <v>72</v>
      </c>
      <c r="AL894" t="n">
        <v>3</v>
      </c>
      <c r="AM894" t="n">
        <v>54</v>
      </c>
      <c r="AN894" t="n">
        <v>0</v>
      </c>
      <c r="AO894" t="n">
        <v>0</v>
      </c>
      <c r="AP894" t="n">
        <v>1</v>
      </c>
      <c r="AQ894" t="n">
        <v>10</v>
      </c>
      <c r="AR894" t="n">
        <v>45</v>
      </c>
      <c r="AS894" t="n">
        <v>37</v>
      </c>
      <c r="AT894" t="n">
        <v>2</v>
      </c>
      <c r="AU894" t="n">
        <v>0</v>
      </c>
      <c r="AV894" t="n">
        <v>19</v>
      </c>
      <c r="AW894" t="n">
        <v>19</v>
      </c>
      <c r="AX894" t="n">
        <v>2</v>
      </c>
      <c r="AY894" t="n">
        <v>41</v>
      </c>
      <c r="AZ894" t="n">
        <v>0</v>
      </c>
      <c r="BA894" t="n">
        <v>4</v>
      </c>
      <c r="BB894" t="n">
        <v>47</v>
      </c>
      <c r="BC894" t="n">
        <v>46</v>
      </c>
      <c r="BD894" t="n">
        <v>46</v>
      </c>
      <c r="BE894" t="n">
        <v>30</v>
      </c>
      <c r="BF894" t="n">
        <v>36</v>
      </c>
      <c r="BG894" t="n">
        <v>2</v>
      </c>
      <c r="BH894" t="n">
        <v>15</v>
      </c>
      <c r="BI894" t="n">
        <v>16</v>
      </c>
      <c r="BJ894" t="n">
        <v>13</v>
      </c>
      <c r="BK894" t="n">
        <v>0</v>
      </c>
      <c r="BL894" t="n">
        <v>1</v>
      </c>
      <c r="BM894" t="n">
        <v>17</v>
      </c>
      <c r="BN894" t="n">
        <v>10</v>
      </c>
      <c r="BO894" t="n">
        <v>2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3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180</v>
      </c>
      <c r="Z895" t="n">
        <v>172</v>
      </c>
      <c r="AA895" t="n">
        <v>173</v>
      </c>
      <c r="AB895" t="n">
        <v>1</v>
      </c>
      <c r="AC895" t="n">
        <v>4</v>
      </c>
      <c r="AD895" t="n">
        <v>3</v>
      </c>
      <c r="AE895" t="n">
        <v>7</v>
      </c>
      <c r="AF895" t="n">
        <v>4</v>
      </c>
      <c r="AG895" t="n">
        <v>0</v>
      </c>
      <c r="AH895" t="n">
        <v>13</v>
      </c>
      <c r="AI895" t="n">
        <v>69</v>
      </c>
      <c r="AJ895" t="n">
        <v>62</v>
      </c>
      <c r="AK895" t="n">
        <v>1</v>
      </c>
      <c r="AL895" t="n">
        <v>1</v>
      </c>
      <c r="AM895" t="n">
        <v>25</v>
      </c>
      <c r="AN895" t="n">
        <v>0</v>
      </c>
      <c r="AO895" t="n">
        <v>0</v>
      </c>
      <c r="AP895" t="n">
        <v>3</v>
      </c>
      <c r="AQ895" t="n">
        <v>33</v>
      </c>
      <c r="AR895" t="n">
        <v>196</v>
      </c>
      <c r="AS895" t="n">
        <v>167</v>
      </c>
      <c r="AT895" t="n">
        <v>0</v>
      </c>
      <c r="AU895" t="n">
        <v>0</v>
      </c>
      <c r="AV895" t="n">
        <v>3</v>
      </c>
      <c r="AW895" t="n">
        <v>1</v>
      </c>
      <c r="AX895" t="n">
        <v>0</v>
      </c>
      <c r="AY895" t="n">
        <v>23</v>
      </c>
      <c r="AZ895" t="n">
        <v>2</v>
      </c>
      <c r="BA895" t="n">
        <v>16</v>
      </c>
      <c r="BB895" t="n">
        <v>175</v>
      </c>
      <c r="BC895" t="n">
        <v>25</v>
      </c>
      <c r="BD895" t="n">
        <v>18</v>
      </c>
      <c r="BE895" t="n">
        <v>1</v>
      </c>
      <c r="BF895" t="n">
        <v>54</v>
      </c>
      <c r="BG895" t="n">
        <v>1</v>
      </c>
      <c r="BH895" t="n">
        <v>13</v>
      </c>
      <c r="BI895" t="n">
        <v>36</v>
      </c>
      <c r="BJ895" t="n">
        <v>46</v>
      </c>
      <c r="BK895" t="n">
        <v>3</v>
      </c>
      <c r="BL895" t="n">
        <v>20</v>
      </c>
      <c r="BM895" t="n">
        <v>21</v>
      </c>
      <c r="BN895" t="n">
        <v>7</v>
      </c>
      <c r="BO895" t="n">
        <v>-3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244</v>
      </c>
      <c r="Z896" t="n">
        <v>222</v>
      </c>
      <c r="AA896" t="n">
        <v>38</v>
      </c>
      <c r="AB896" t="n">
        <v>1</v>
      </c>
      <c r="AC896" t="n">
        <v>0</v>
      </c>
      <c r="AD896" t="n">
        <v>3</v>
      </c>
      <c r="AE896" t="n">
        <v>4</v>
      </c>
      <c r="AF896" t="n">
        <v>4</v>
      </c>
      <c r="AG896" t="n">
        <v>1</v>
      </c>
      <c r="AH896" t="n">
        <v>26</v>
      </c>
      <c r="AI896" t="n">
        <v>33</v>
      </c>
      <c r="AJ896" t="n">
        <v>64</v>
      </c>
      <c r="AK896" t="n">
        <v>1</v>
      </c>
      <c r="AL896" t="n">
        <v>5</v>
      </c>
      <c r="AM896" t="n">
        <v>110</v>
      </c>
      <c r="AN896" t="n">
        <v>0</v>
      </c>
      <c r="AO896" t="n">
        <v>0</v>
      </c>
      <c r="AP896" t="n">
        <v>1</v>
      </c>
      <c r="AQ896" t="n">
        <v>13</v>
      </c>
      <c r="AR896" t="n">
        <v>69</v>
      </c>
      <c r="AS896" t="n">
        <v>56</v>
      </c>
      <c r="AT896" t="n">
        <v>3</v>
      </c>
      <c r="AU896" t="n">
        <v>1</v>
      </c>
      <c r="AV896" t="n">
        <v>39</v>
      </c>
      <c r="AW896" t="n">
        <v>12</v>
      </c>
      <c r="AX896" t="n">
        <v>0</v>
      </c>
      <c r="AY896" t="n">
        <v>38</v>
      </c>
      <c r="AZ896" t="n">
        <v>2</v>
      </c>
      <c r="BA896" t="n">
        <v>12</v>
      </c>
      <c r="BB896" t="n">
        <v>48</v>
      </c>
      <c r="BC896" t="n">
        <v>95</v>
      </c>
      <c r="BD896" t="n">
        <v>40</v>
      </c>
      <c r="BE896" t="n">
        <v>14</v>
      </c>
      <c r="BF896" t="n">
        <v>52</v>
      </c>
      <c r="BG896" t="n">
        <v>3</v>
      </c>
      <c r="BH896" t="n">
        <v>31</v>
      </c>
      <c r="BI896" t="n">
        <v>20</v>
      </c>
      <c r="BJ896" t="n">
        <v>19</v>
      </c>
      <c r="BK896" t="n">
        <v>3</v>
      </c>
      <c r="BL896" t="n">
        <v>1</v>
      </c>
      <c r="BM896" t="n">
        <v>3</v>
      </c>
      <c r="BN896" t="n">
        <v>1</v>
      </c>
      <c r="BO896" t="n">
        <v>4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2</v>
      </c>
      <c r="N897" t="n">
        <v>0</v>
      </c>
      <c r="O897" t="n">
        <v>0</v>
      </c>
      <c r="P897" t="n">
        <v>0</v>
      </c>
      <c r="Q897" t="n">
        <v>0</v>
      </c>
      <c r="R897" t="n">
        <v>2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249</v>
      </c>
      <c r="Z897" t="n">
        <v>90</v>
      </c>
      <c r="AA897" t="n">
        <v>26</v>
      </c>
      <c r="AB897" t="n">
        <v>2</v>
      </c>
      <c r="AC897" t="n">
        <v>1</v>
      </c>
      <c r="AD897" t="n">
        <v>1</v>
      </c>
      <c r="AE897" t="n">
        <v>7</v>
      </c>
      <c r="AF897" t="n">
        <v>6</v>
      </c>
      <c r="AG897" t="n">
        <v>3</v>
      </c>
      <c r="AH897" t="n">
        <v>46</v>
      </c>
      <c r="AI897" t="n">
        <v>53</v>
      </c>
      <c r="AJ897" t="n">
        <v>81</v>
      </c>
      <c r="AK897" t="n">
        <v>57</v>
      </c>
      <c r="AL897" t="n">
        <v>5</v>
      </c>
      <c r="AM897" t="n">
        <v>48</v>
      </c>
      <c r="AN897" t="n">
        <v>1</v>
      </c>
      <c r="AO897" t="n">
        <v>0</v>
      </c>
      <c r="AP897" t="n">
        <v>5</v>
      </c>
      <c r="AQ897" t="n">
        <v>61</v>
      </c>
      <c r="AR897" t="n">
        <v>158</v>
      </c>
      <c r="AS897" t="n">
        <v>106</v>
      </c>
      <c r="AT897" t="n">
        <v>3</v>
      </c>
      <c r="AU897" t="n">
        <v>1</v>
      </c>
      <c r="AV897" t="n">
        <v>22</v>
      </c>
      <c r="AW897" t="n">
        <v>4</v>
      </c>
      <c r="AX897" t="n">
        <v>0</v>
      </c>
      <c r="AY897" t="n">
        <v>24</v>
      </c>
      <c r="AZ897" t="n">
        <v>3</v>
      </c>
      <c r="BA897" t="n">
        <v>11</v>
      </c>
      <c r="BB897" t="n">
        <v>36</v>
      </c>
      <c r="BC897" t="n">
        <v>45</v>
      </c>
      <c r="BD897" t="n">
        <v>43</v>
      </c>
      <c r="BE897" t="n">
        <v>4</v>
      </c>
      <c r="BF897" t="n">
        <v>66</v>
      </c>
      <c r="BG897" t="n">
        <v>3</v>
      </c>
      <c r="BH897" t="n">
        <v>13</v>
      </c>
      <c r="BI897" t="n">
        <v>17</v>
      </c>
      <c r="BJ897" t="n">
        <v>14</v>
      </c>
      <c r="BK897" t="n">
        <v>0</v>
      </c>
      <c r="BL897" t="n">
        <v>1</v>
      </c>
      <c r="BM897" t="n">
        <v>2</v>
      </c>
      <c r="BN897" t="n">
        <v>0</v>
      </c>
      <c r="BO897" t="n">
        <v>2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4</v>
      </c>
      <c r="T898" t="n">
        <v>3</v>
      </c>
      <c r="U898" t="n">
        <v>0</v>
      </c>
      <c r="V898" t="n">
        <v>0</v>
      </c>
      <c r="W898" t="n">
        <v>1</v>
      </c>
      <c r="X898" t="n">
        <v>0</v>
      </c>
      <c r="Y898" t="n">
        <v>118</v>
      </c>
      <c r="Z898" t="n">
        <v>267</v>
      </c>
      <c r="AA898" t="n">
        <v>78</v>
      </c>
      <c r="AB898" t="n">
        <v>5</v>
      </c>
      <c r="AC898" t="n">
        <v>1</v>
      </c>
      <c r="AD898" t="n">
        <v>3</v>
      </c>
      <c r="AE898" t="n">
        <v>3</v>
      </c>
      <c r="AF898" t="n">
        <v>0</v>
      </c>
      <c r="AG898" t="n">
        <v>3</v>
      </c>
      <c r="AH898" t="n">
        <v>1</v>
      </c>
      <c r="AI898" t="n">
        <v>55</v>
      </c>
      <c r="AJ898" t="n">
        <v>2</v>
      </c>
      <c r="AK898" t="n">
        <v>50</v>
      </c>
      <c r="AL898" t="n">
        <v>4</v>
      </c>
      <c r="AM898" t="n">
        <v>32</v>
      </c>
      <c r="AN898" t="n">
        <v>0</v>
      </c>
      <c r="AO898" t="n">
        <v>0</v>
      </c>
      <c r="AP898" t="n">
        <v>2</v>
      </c>
      <c r="AQ898" t="n">
        <v>30</v>
      </c>
      <c r="AR898" t="n">
        <v>170</v>
      </c>
      <c r="AS898" t="n">
        <v>139</v>
      </c>
      <c r="AT898" t="n">
        <v>0</v>
      </c>
      <c r="AU898" t="n">
        <v>4</v>
      </c>
      <c r="AV898" t="n">
        <v>1</v>
      </c>
      <c r="AW898" t="n">
        <v>51</v>
      </c>
      <c r="AX898" t="n">
        <v>6</v>
      </c>
      <c r="AY898" t="n">
        <v>14</v>
      </c>
      <c r="AZ898" t="n">
        <v>4</v>
      </c>
      <c r="BA898" t="n">
        <v>24</v>
      </c>
      <c r="BB898" t="n">
        <v>100</v>
      </c>
      <c r="BC898" t="n">
        <v>49</v>
      </c>
      <c r="BD898" t="n">
        <v>21</v>
      </c>
      <c r="BE898" t="n">
        <v>53</v>
      </c>
      <c r="BF898" t="n">
        <v>7</v>
      </c>
      <c r="BG898" t="n">
        <v>4</v>
      </c>
      <c r="BH898" t="n">
        <v>0</v>
      </c>
      <c r="BI898" t="n">
        <v>26</v>
      </c>
      <c r="BJ898" t="n">
        <v>23</v>
      </c>
      <c r="BK898" t="n">
        <v>0</v>
      </c>
      <c r="BL898" t="n">
        <v>19</v>
      </c>
      <c r="BM898" t="n">
        <v>13</v>
      </c>
      <c r="BN898" t="n">
        <v>1</v>
      </c>
      <c r="BO898" t="n">
        <v>2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204</v>
      </c>
      <c r="Z899" t="n">
        <v>143</v>
      </c>
      <c r="AA899" t="n">
        <v>45</v>
      </c>
      <c r="AB899" t="n">
        <v>1</v>
      </c>
      <c r="AC899" t="n">
        <v>1</v>
      </c>
      <c r="AD899" t="n">
        <v>1</v>
      </c>
      <c r="AE899" t="n">
        <v>8</v>
      </c>
      <c r="AF899" t="n">
        <v>1</v>
      </c>
      <c r="AG899" t="n">
        <v>5</v>
      </c>
      <c r="AH899" t="n">
        <v>17</v>
      </c>
      <c r="AI899" t="n">
        <v>85</v>
      </c>
      <c r="AJ899" t="n">
        <v>38</v>
      </c>
      <c r="AK899" t="n">
        <v>48</v>
      </c>
      <c r="AL899" t="n">
        <v>1</v>
      </c>
      <c r="AM899" t="n">
        <v>2</v>
      </c>
      <c r="AN899" t="n">
        <v>0</v>
      </c>
      <c r="AO899" t="n">
        <v>0</v>
      </c>
      <c r="AP899" t="n">
        <v>6</v>
      </c>
      <c r="AQ899" t="n">
        <v>41</v>
      </c>
      <c r="AR899" t="n">
        <v>60</v>
      </c>
      <c r="AS899" t="n">
        <v>25</v>
      </c>
      <c r="AT899" t="n">
        <v>0</v>
      </c>
      <c r="AU899" t="n">
        <v>1</v>
      </c>
      <c r="AV899" t="n">
        <v>19</v>
      </c>
      <c r="AW899" t="n">
        <v>4</v>
      </c>
      <c r="AX899" t="n">
        <v>2</v>
      </c>
      <c r="AY899" t="n">
        <v>21</v>
      </c>
      <c r="AZ899" t="n">
        <v>0</v>
      </c>
      <c r="BA899" t="n">
        <v>1</v>
      </c>
      <c r="BB899" t="n">
        <v>45</v>
      </c>
      <c r="BC899" t="n">
        <v>6</v>
      </c>
      <c r="BD899" t="n">
        <v>21</v>
      </c>
      <c r="BE899" t="n">
        <v>6</v>
      </c>
      <c r="BF899" t="n">
        <v>30</v>
      </c>
      <c r="BG899" t="n">
        <v>4</v>
      </c>
      <c r="BH899" t="n">
        <v>3</v>
      </c>
      <c r="BI899" t="n">
        <v>19</v>
      </c>
      <c r="BJ899" t="n">
        <v>16</v>
      </c>
      <c r="BK899" t="n">
        <v>0</v>
      </c>
      <c r="BL899" t="n">
        <v>1</v>
      </c>
      <c r="BM899" t="n">
        <v>5</v>
      </c>
      <c r="BN899" t="n">
        <v>3</v>
      </c>
      <c r="BO899" t="n">
        <v>11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2</v>
      </c>
      <c r="F900" t="n">
        <v>0</v>
      </c>
      <c r="G900" t="n">
        <v>0</v>
      </c>
      <c r="H900" t="n">
        <v>0</v>
      </c>
      <c r="I900" t="n">
        <v>0</v>
      </c>
      <c r="J900" t="n">
        <v>2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252</v>
      </c>
      <c r="Z900" t="n">
        <v>219</v>
      </c>
      <c r="AA900" t="n">
        <v>79</v>
      </c>
      <c r="AB900" t="n">
        <v>1</v>
      </c>
      <c r="AC900" t="n">
        <v>4</v>
      </c>
      <c r="AD900" t="n">
        <v>5</v>
      </c>
      <c r="AE900" t="n">
        <v>7</v>
      </c>
      <c r="AF900" t="n">
        <v>5</v>
      </c>
      <c r="AG900" t="n">
        <v>6</v>
      </c>
      <c r="AH900" t="n">
        <v>56</v>
      </c>
      <c r="AI900" t="n">
        <v>59</v>
      </c>
      <c r="AJ900" t="n">
        <v>28</v>
      </c>
      <c r="AK900" t="n">
        <v>78</v>
      </c>
      <c r="AL900" t="n">
        <v>5</v>
      </c>
      <c r="AM900" t="n">
        <v>87</v>
      </c>
      <c r="AN900" t="n">
        <v>0</v>
      </c>
      <c r="AO900" t="n">
        <v>0</v>
      </c>
      <c r="AP900" t="n">
        <v>3</v>
      </c>
      <c r="AQ900" t="n">
        <v>27</v>
      </c>
      <c r="AR900" t="n">
        <v>48</v>
      </c>
      <c r="AS900" t="n">
        <v>26</v>
      </c>
      <c r="AT900" t="n">
        <v>1</v>
      </c>
      <c r="AU900" t="n">
        <v>1</v>
      </c>
      <c r="AV900" t="n">
        <v>10</v>
      </c>
      <c r="AW900" t="n">
        <v>1</v>
      </c>
      <c r="AX900" t="n">
        <v>0</v>
      </c>
      <c r="AY900" t="n">
        <v>41</v>
      </c>
      <c r="AZ900" t="n">
        <v>0</v>
      </c>
      <c r="BA900" t="n">
        <v>1</v>
      </c>
      <c r="BB900" t="n">
        <v>77</v>
      </c>
      <c r="BC900" t="n">
        <v>75</v>
      </c>
      <c r="BD900" t="n">
        <v>53</v>
      </c>
      <c r="BE900" t="n">
        <v>1</v>
      </c>
      <c r="BF900" t="n">
        <v>22</v>
      </c>
      <c r="BG900" t="n">
        <v>1</v>
      </c>
      <c r="BH900" t="n">
        <v>9</v>
      </c>
      <c r="BI900" t="n">
        <v>39</v>
      </c>
      <c r="BJ900" t="n">
        <v>44</v>
      </c>
      <c r="BK900" t="n">
        <v>2</v>
      </c>
      <c r="BL900" t="n">
        <v>35</v>
      </c>
      <c r="BM900" t="n">
        <v>53</v>
      </c>
      <c r="BN900" t="n">
        <v>22</v>
      </c>
      <c r="BO900" t="n">
        <v>18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213</v>
      </c>
      <c r="Z901" t="n">
        <v>26</v>
      </c>
      <c r="AA901" t="n">
        <v>123</v>
      </c>
      <c r="AB901" t="n">
        <v>1</v>
      </c>
      <c r="AC901" t="n">
        <v>0</v>
      </c>
      <c r="AD901" t="n">
        <v>3</v>
      </c>
      <c r="AE901" t="n">
        <v>0</v>
      </c>
      <c r="AF901" t="n">
        <v>2</v>
      </c>
      <c r="AG901" t="n">
        <v>4</v>
      </c>
      <c r="AH901" t="n">
        <v>26</v>
      </c>
      <c r="AI901" t="n">
        <v>2</v>
      </c>
      <c r="AJ901" t="n">
        <v>19</v>
      </c>
      <c r="AK901" t="n">
        <v>44</v>
      </c>
      <c r="AL901" t="n">
        <v>1</v>
      </c>
      <c r="AM901" t="n">
        <v>7</v>
      </c>
      <c r="AN901" t="n">
        <v>0</v>
      </c>
      <c r="AO901" t="n">
        <v>0</v>
      </c>
      <c r="AP901" t="n">
        <v>1</v>
      </c>
      <c r="AQ901" t="n">
        <v>12</v>
      </c>
      <c r="AR901" t="n">
        <v>95</v>
      </c>
      <c r="AS901" t="n">
        <v>83</v>
      </c>
      <c r="AT901" t="n">
        <v>2</v>
      </c>
      <c r="AU901" t="n">
        <v>1</v>
      </c>
      <c r="AV901" t="n">
        <v>13</v>
      </c>
      <c r="AW901" t="n">
        <v>9</v>
      </c>
      <c r="AX901" t="n">
        <v>1</v>
      </c>
      <c r="AY901" t="n">
        <v>112</v>
      </c>
      <c r="AZ901" t="n">
        <v>0</v>
      </c>
      <c r="BA901" t="n">
        <v>1</v>
      </c>
      <c r="BB901" t="n">
        <v>118</v>
      </c>
      <c r="BC901" t="n">
        <v>2</v>
      </c>
      <c r="BD901" t="n">
        <v>48</v>
      </c>
      <c r="BE901" t="n">
        <v>8</v>
      </c>
      <c r="BF901" t="n">
        <v>15</v>
      </c>
      <c r="BG901" t="n">
        <v>2</v>
      </c>
      <c r="BH901" t="n">
        <v>14</v>
      </c>
      <c r="BI901" t="n">
        <v>30</v>
      </c>
      <c r="BJ901" t="n">
        <v>27</v>
      </c>
      <c r="BK901" t="n">
        <v>3</v>
      </c>
      <c r="BL901" t="n">
        <v>19</v>
      </c>
      <c r="BM901" t="n">
        <v>12</v>
      </c>
      <c r="BN901" t="n">
        <v>0</v>
      </c>
      <c r="BO901" t="n">
        <v>14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n">
        <v>219</v>
      </c>
      <c r="Z902" t="n">
        <v>170</v>
      </c>
      <c r="AA902" t="n">
        <v>101</v>
      </c>
      <c r="AB902" t="n">
        <v>1</v>
      </c>
      <c r="AC902" t="n">
        <v>1</v>
      </c>
      <c r="AD902" t="n">
        <v>4</v>
      </c>
      <c r="AE902" t="n">
        <v>4</v>
      </c>
      <c r="AF902" t="n">
        <v>4</v>
      </c>
      <c r="AG902" t="n">
        <v>8</v>
      </c>
      <c r="AH902" t="n">
        <v>26</v>
      </c>
      <c r="AI902" t="n">
        <v>20</v>
      </c>
      <c r="AJ902" t="n">
        <v>58</v>
      </c>
      <c r="AK902" t="n">
        <v>59</v>
      </c>
      <c r="AL902" t="n">
        <v>6</v>
      </c>
      <c r="AM902" t="n">
        <v>88</v>
      </c>
      <c r="AN902" t="n">
        <v>0</v>
      </c>
      <c r="AO902" t="n">
        <v>0</v>
      </c>
      <c r="AP902" t="n">
        <v>4</v>
      </c>
      <c r="AQ902" t="n">
        <v>53</v>
      </c>
      <c r="AR902" t="n">
        <v>69</v>
      </c>
      <c r="AS902" t="n">
        <v>24</v>
      </c>
      <c r="AT902" t="n">
        <v>1</v>
      </c>
      <c r="AU902" t="n">
        <v>0</v>
      </c>
      <c r="AV902" t="n">
        <v>1</v>
      </c>
      <c r="AW902" t="n">
        <v>1</v>
      </c>
      <c r="AX902" t="n">
        <v>1</v>
      </c>
      <c r="AY902" t="n">
        <v>66</v>
      </c>
      <c r="AZ902" t="n">
        <v>2</v>
      </c>
      <c r="BA902" t="n">
        <v>12</v>
      </c>
      <c r="BB902" t="n">
        <v>109</v>
      </c>
      <c r="BC902" t="n">
        <v>72</v>
      </c>
      <c r="BD902" t="n">
        <v>23</v>
      </c>
      <c r="BE902" t="n">
        <v>6</v>
      </c>
      <c r="BF902" t="n">
        <v>47</v>
      </c>
      <c r="BG902" t="n">
        <v>1</v>
      </c>
      <c r="BH902" t="n">
        <v>8</v>
      </c>
      <c r="BI902" t="n">
        <v>20</v>
      </c>
      <c r="BJ902" t="n">
        <v>18</v>
      </c>
      <c r="BK902" t="n">
        <v>1</v>
      </c>
      <c r="BL902" t="n">
        <v>22</v>
      </c>
      <c r="BM902" t="n">
        <v>29</v>
      </c>
      <c r="BN902" t="n">
        <v>10</v>
      </c>
      <c r="BO902" t="n">
        <v>37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184</v>
      </c>
      <c r="Z903" t="n">
        <v>121</v>
      </c>
      <c r="AA903" t="n">
        <v>43</v>
      </c>
      <c r="AB903" t="n">
        <v>3</v>
      </c>
      <c r="AC903" t="n">
        <v>0</v>
      </c>
      <c r="AD903" t="n">
        <v>4</v>
      </c>
      <c r="AE903" t="n">
        <v>3</v>
      </c>
      <c r="AF903" t="n">
        <v>5</v>
      </c>
      <c r="AG903" t="n">
        <v>8</v>
      </c>
      <c r="AH903" t="n">
        <v>35</v>
      </c>
      <c r="AI903" t="n">
        <v>48</v>
      </c>
      <c r="AJ903" t="n">
        <v>32</v>
      </c>
      <c r="AK903" t="n">
        <v>32</v>
      </c>
      <c r="AL903" t="n">
        <v>6</v>
      </c>
      <c r="AM903" t="n">
        <v>33</v>
      </c>
      <c r="AN903" t="n">
        <v>0</v>
      </c>
      <c r="AO903" t="n">
        <v>0</v>
      </c>
      <c r="AP903" t="n">
        <v>3</v>
      </c>
      <c r="AQ903" t="n">
        <v>30</v>
      </c>
      <c r="AR903" t="n">
        <v>109</v>
      </c>
      <c r="AS903" t="n">
        <v>83</v>
      </c>
      <c r="AT903" t="n">
        <v>3</v>
      </c>
      <c r="AU903" t="n">
        <v>1</v>
      </c>
      <c r="AV903" t="n">
        <v>1</v>
      </c>
      <c r="AW903" t="n">
        <v>7</v>
      </c>
      <c r="AX903" t="n">
        <v>12</v>
      </c>
      <c r="AY903" t="n">
        <v>22</v>
      </c>
      <c r="AZ903" t="n">
        <v>2</v>
      </c>
      <c r="BA903" t="n">
        <v>24</v>
      </c>
      <c r="BB903" t="n">
        <v>65</v>
      </c>
      <c r="BC903" t="n">
        <v>31</v>
      </c>
      <c r="BD903" t="n">
        <v>36</v>
      </c>
      <c r="BE903" t="n">
        <v>7</v>
      </c>
      <c r="BF903" t="n">
        <v>44</v>
      </c>
      <c r="BG903" t="n">
        <v>0</v>
      </c>
      <c r="BH903" t="n">
        <v>5</v>
      </c>
      <c r="BI903" t="n">
        <v>7</v>
      </c>
      <c r="BJ903" t="n">
        <v>22</v>
      </c>
      <c r="BK903" t="n">
        <v>3</v>
      </c>
      <c r="BL903" t="n">
        <v>10</v>
      </c>
      <c r="BM903" t="n">
        <v>50</v>
      </c>
      <c r="BN903" t="n">
        <v>29</v>
      </c>
      <c r="BO903" t="n">
        <v>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311</v>
      </c>
      <c r="Z904" t="n">
        <v>210</v>
      </c>
      <c r="AA904" t="n">
        <v>13</v>
      </c>
      <c r="AB904" t="n">
        <v>0</v>
      </c>
      <c r="AC904" t="n">
        <v>2</v>
      </c>
      <c r="AD904" t="n">
        <v>3</v>
      </c>
      <c r="AE904" t="n">
        <v>5</v>
      </c>
      <c r="AF904" t="n">
        <v>5</v>
      </c>
      <c r="AG904" t="n">
        <v>4</v>
      </c>
      <c r="AH904" t="n">
        <v>72</v>
      </c>
      <c r="AI904" t="n">
        <v>18</v>
      </c>
      <c r="AJ904" t="n">
        <v>25</v>
      </c>
      <c r="AK904" t="n">
        <v>21</v>
      </c>
      <c r="AL904" t="n">
        <v>3</v>
      </c>
      <c r="AM904" t="n">
        <v>31</v>
      </c>
      <c r="AN904" t="n">
        <v>0</v>
      </c>
      <c r="AO904" t="n">
        <v>0</v>
      </c>
      <c r="AP904" t="n">
        <v>3</v>
      </c>
      <c r="AQ904" t="n">
        <v>15</v>
      </c>
      <c r="AR904" t="n">
        <v>53</v>
      </c>
      <c r="AS904" t="n">
        <v>40</v>
      </c>
      <c r="AT904" t="n">
        <v>7</v>
      </c>
      <c r="AU904" t="n">
        <v>3</v>
      </c>
      <c r="AV904" t="n">
        <v>49</v>
      </c>
      <c r="AW904" t="n">
        <v>37</v>
      </c>
      <c r="AX904" t="n">
        <v>0</v>
      </c>
      <c r="AY904" t="n">
        <v>3</v>
      </c>
      <c r="AZ904" t="n">
        <v>3</v>
      </c>
      <c r="BA904" t="n">
        <v>5</v>
      </c>
      <c r="BB904" t="n">
        <v>16</v>
      </c>
      <c r="BC904" t="n">
        <v>25</v>
      </c>
      <c r="BD904" t="n">
        <v>71</v>
      </c>
      <c r="BE904" t="n">
        <v>42</v>
      </c>
      <c r="BF904" t="n">
        <v>19</v>
      </c>
      <c r="BG904" t="n">
        <v>5</v>
      </c>
      <c r="BH904" t="n">
        <v>3</v>
      </c>
      <c r="BI904" t="n">
        <v>126</v>
      </c>
      <c r="BJ904" t="n">
        <v>118</v>
      </c>
      <c r="BK904" t="n">
        <v>0</v>
      </c>
      <c r="BL904" t="n">
        <v>1</v>
      </c>
      <c r="BM904" t="n">
        <v>15</v>
      </c>
      <c r="BN904" t="n">
        <v>8</v>
      </c>
      <c r="BO904" t="n">
        <v>4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193</v>
      </c>
      <c r="Z905" t="n">
        <v>175</v>
      </c>
      <c r="AA905" t="n">
        <v>86</v>
      </c>
      <c r="AB905" t="n">
        <v>2</v>
      </c>
      <c r="AC905" t="n">
        <v>1</v>
      </c>
      <c r="AD905" t="n">
        <v>2</v>
      </c>
      <c r="AE905" t="n">
        <v>0</v>
      </c>
      <c r="AF905" t="n">
        <v>6</v>
      </c>
      <c r="AG905" t="n">
        <v>0</v>
      </c>
      <c r="AH905" t="n">
        <v>21</v>
      </c>
      <c r="AI905" t="n">
        <v>13</v>
      </c>
      <c r="AJ905" t="n">
        <v>73</v>
      </c>
      <c r="AK905" t="n">
        <v>10</v>
      </c>
      <c r="AL905" t="n">
        <v>5</v>
      </c>
      <c r="AM905" t="n">
        <v>42</v>
      </c>
      <c r="AN905" t="n">
        <v>0</v>
      </c>
      <c r="AO905" t="n">
        <v>0</v>
      </c>
      <c r="AP905" t="n">
        <v>0</v>
      </c>
      <c r="AQ905" t="n">
        <v>1</v>
      </c>
      <c r="AR905" t="n">
        <v>70</v>
      </c>
      <c r="AS905" t="n">
        <v>63</v>
      </c>
      <c r="AT905" t="n">
        <v>4</v>
      </c>
      <c r="AU905" t="n">
        <v>3</v>
      </c>
      <c r="AV905" t="n">
        <v>22</v>
      </c>
      <c r="AW905" t="n">
        <v>45</v>
      </c>
      <c r="AX905" t="n">
        <v>1</v>
      </c>
      <c r="AY905" t="n">
        <v>8</v>
      </c>
      <c r="AZ905" t="n">
        <v>2</v>
      </c>
      <c r="BA905" t="n">
        <v>23</v>
      </c>
      <c r="BB905" t="n">
        <v>105</v>
      </c>
      <c r="BC905" t="n">
        <v>34</v>
      </c>
      <c r="BD905" t="n">
        <v>18</v>
      </c>
      <c r="BE905" t="n">
        <v>44</v>
      </c>
      <c r="BF905" t="n">
        <v>58</v>
      </c>
      <c r="BG905" t="n">
        <v>4</v>
      </c>
      <c r="BH905" t="n">
        <v>20</v>
      </c>
      <c r="BI905" t="n">
        <v>38</v>
      </c>
      <c r="BJ905" t="n">
        <v>35</v>
      </c>
      <c r="BK905" t="n">
        <v>0</v>
      </c>
      <c r="BL905" t="n">
        <v>4</v>
      </c>
      <c r="BM905" t="n">
        <v>49</v>
      </c>
      <c r="BN905" t="n">
        <v>30</v>
      </c>
      <c r="BO905" t="n">
        <v>2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2</v>
      </c>
      <c r="Q906" t="n">
        <v>0</v>
      </c>
      <c r="R906" t="n">
        <v>0</v>
      </c>
      <c r="S906" t="n">
        <v>1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263</v>
      </c>
      <c r="Z906" t="n">
        <v>131</v>
      </c>
      <c r="AA906" t="n">
        <v>44</v>
      </c>
      <c r="AB906" t="n">
        <v>2</v>
      </c>
      <c r="AC906" t="n">
        <v>4</v>
      </c>
      <c r="AD906" t="n">
        <v>9</v>
      </c>
      <c r="AE906" t="n">
        <v>2</v>
      </c>
      <c r="AF906" t="n">
        <v>2</v>
      </c>
      <c r="AG906" t="n">
        <v>5</v>
      </c>
      <c r="AH906" t="n">
        <v>52</v>
      </c>
      <c r="AI906" t="n">
        <v>2</v>
      </c>
      <c r="AJ906" t="n">
        <v>2</v>
      </c>
      <c r="AK906" t="n">
        <v>53</v>
      </c>
      <c r="AL906" t="n">
        <v>2</v>
      </c>
      <c r="AM906" t="n">
        <v>22</v>
      </c>
      <c r="AN906" t="n">
        <v>0</v>
      </c>
      <c r="AO906" t="n">
        <v>0</v>
      </c>
      <c r="AP906" t="n">
        <v>3</v>
      </c>
      <c r="AQ906" t="n">
        <v>41</v>
      </c>
      <c r="AR906" t="n">
        <v>91</v>
      </c>
      <c r="AS906" t="n">
        <v>57</v>
      </c>
      <c r="AT906" t="n">
        <v>4</v>
      </c>
      <c r="AU906" t="n">
        <v>1</v>
      </c>
      <c r="AV906" t="n">
        <v>24</v>
      </c>
      <c r="AW906" t="n">
        <v>17</v>
      </c>
      <c r="AX906" t="n">
        <v>0</v>
      </c>
      <c r="AY906" t="n">
        <v>26</v>
      </c>
      <c r="AZ906" t="n">
        <v>5</v>
      </c>
      <c r="BA906" t="n">
        <v>45</v>
      </c>
      <c r="BB906" t="n">
        <v>89</v>
      </c>
      <c r="BC906" t="n">
        <v>14</v>
      </c>
      <c r="BD906" t="n">
        <v>65</v>
      </c>
      <c r="BE906" t="n">
        <v>22</v>
      </c>
      <c r="BF906" t="n">
        <v>33</v>
      </c>
      <c r="BG906" t="n">
        <v>4</v>
      </c>
      <c r="BH906" t="n">
        <v>13</v>
      </c>
      <c r="BI906" t="n">
        <v>55</v>
      </c>
      <c r="BJ906" t="n">
        <v>82</v>
      </c>
      <c r="BK906" t="n">
        <v>0</v>
      </c>
      <c r="BL906" t="n">
        <v>1</v>
      </c>
      <c r="BM906" t="n">
        <v>14</v>
      </c>
      <c r="BN906" t="n">
        <v>8</v>
      </c>
      <c r="BO906" t="n">
        <v>30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253</v>
      </c>
      <c r="Z907" t="n">
        <v>244</v>
      </c>
      <c r="AA907" t="n">
        <v>5</v>
      </c>
      <c r="AB907" t="n">
        <v>3</v>
      </c>
      <c r="AC907" t="n">
        <v>0</v>
      </c>
      <c r="AD907" t="n">
        <v>3</v>
      </c>
      <c r="AE907" t="n">
        <v>0</v>
      </c>
      <c r="AF907" t="n">
        <v>2</v>
      </c>
      <c r="AG907" t="n">
        <v>6</v>
      </c>
      <c r="AH907" t="n">
        <v>54</v>
      </c>
      <c r="AI907" t="n">
        <v>2</v>
      </c>
      <c r="AJ907" t="n">
        <v>27</v>
      </c>
      <c r="AK907" t="n">
        <v>101</v>
      </c>
      <c r="AL907" t="n">
        <v>4</v>
      </c>
      <c r="AM907" t="n">
        <v>65</v>
      </c>
      <c r="AN907" t="n">
        <v>0</v>
      </c>
      <c r="AO907" t="n">
        <v>0</v>
      </c>
      <c r="AP907" t="n">
        <v>6</v>
      </c>
      <c r="AQ907" t="n">
        <v>53</v>
      </c>
      <c r="AR907" t="n">
        <v>94</v>
      </c>
      <c r="AS907" t="n">
        <v>51</v>
      </c>
      <c r="AT907" t="n">
        <v>4</v>
      </c>
      <c r="AU907" t="n">
        <v>2</v>
      </c>
      <c r="AV907" t="n">
        <v>23</v>
      </c>
      <c r="AW907" t="n">
        <v>10</v>
      </c>
      <c r="AX907" t="n">
        <v>1</v>
      </c>
      <c r="AY907" t="n">
        <v>12</v>
      </c>
      <c r="AZ907" t="n">
        <v>4</v>
      </c>
      <c r="BA907" t="n">
        <v>54</v>
      </c>
      <c r="BB907" t="n">
        <v>71</v>
      </c>
      <c r="BC907" t="n">
        <v>54</v>
      </c>
      <c r="BD907" t="n">
        <v>47</v>
      </c>
      <c r="BE907" t="n">
        <v>10</v>
      </c>
      <c r="BF907" t="n">
        <v>21</v>
      </c>
      <c r="BG907" t="n">
        <v>1</v>
      </c>
      <c r="BH907" t="n">
        <v>16</v>
      </c>
      <c r="BI907" t="n">
        <v>1</v>
      </c>
      <c r="BJ907" t="n">
        <v>4</v>
      </c>
      <c r="BK907" t="n">
        <v>6</v>
      </c>
      <c r="BL907" t="n">
        <v>53</v>
      </c>
      <c r="BM907" t="n">
        <v>36</v>
      </c>
      <c r="BN907" t="n">
        <v>0</v>
      </c>
      <c r="BO907" t="n">
        <v>18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4</v>
      </c>
      <c r="F908" t="n">
        <v>0</v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253</v>
      </c>
      <c r="Z908" t="n">
        <v>189</v>
      </c>
      <c r="AA908" t="n">
        <v>85</v>
      </c>
      <c r="AB908" t="n">
        <v>1</v>
      </c>
      <c r="AC908" t="n">
        <v>4</v>
      </c>
      <c r="AD908" t="n">
        <v>9</v>
      </c>
      <c r="AE908" t="n">
        <v>1</v>
      </c>
      <c r="AF908" t="n">
        <v>4</v>
      </c>
      <c r="AG908" t="n">
        <v>0</v>
      </c>
      <c r="AH908" t="n">
        <v>147</v>
      </c>
      <c r="AI908" t="n">
        <v>2</v>
      </c>
      <c r="AJ908" t="n">
        <v>50</v>
      </c>
      <c r="AK908" t="n">
        <v>1</v>
      </c>
      <c r="AL908" t="n">
        <v>8</v>
      </c>
      <c r="AM908" t="n">
        <v>157</v>
      </c>
      <c r="AN908" t="n">
        <v>1</v>
      </c>
      <c r="AO908" t="n">
        <v>0</v>
      </c>
      <c r="AP908" t="n">
        <v>3</v>
      </c>
      <c r="AQ908" t="n">
        <v>18</v>
      </c>
      <c r="AR908" t="n">
        <v>45</v>
      </c>
      <c r="AS908" t="n">
        <v>32</v>
      </c>
      <c r="AT908" t="n">
        <v>3</v>
      </c>
      <c r="AU908" t="n">
        <v>0</v>
      </c>
      <c r="AV908" t="n">
        <v>11</v>
      </c>
      <c r="AW908" t="n">
        <v>5</v>
      </c>
      <c r="AX908" t="n">
        <v>2</v>
      </c>
      <c r="AY908" t="n">
        <v>47</v>
      </c>
      <c r="AZ908" t="n">
        <v>1</v>
      </c>
      <c r="BA908" t="n">
        <v>1</v>
      </c>
      <c r="BB908" t="n">
        <v>82</v>
      </c>
      <c r="BC908" t="n">
        <v>136</v>
      </c>
      <c r="BD908" t="n">
        <v>132</v>
      </c>
      <c r="BE908" t="n">
        <v>4</v>
      </c>
      <c r="BF908" t="n">
        <v>54</v>
      </c>
      <c r="BG908" t="n">
        <v>3</v>
      </c>
      <c r="BH908" t="n">
        <v>0</v>
      </c>
      <c r="BI908" t="n">
        <v>39</v>
      </c>
      <c r="BJ908" t="n">
        <v>45</v>
      </c>
      <c r="BK908" t="n">
        <v>1</v>
      </c>
      <c r="BL908" t="n">
        <v>13</v>
      </c>
      <c r="BM908" t="n">
        <v>20</v>
      </c>
      <c r="BN908" t="n">
        <v>8</v>
      </c>
      <c r="BO908" t="n">
        <v>11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2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252</v>
      </c>
      <c r="Z909" t="n">
        <v>66</v>
      </c>
      <c r="AA909" t="n">
        <v>99</v>
      </c>
      <c r="AB909" t="n">
        <v>2</v>
      </c>
      <c r="AC909" t="n">
        <v>3</v>
      </c>
      <c r="AD909" t="n">
        <v>1</v>
      </c>
      <c r="AE909" t="n">
        <v>3</v>
      </c>
      <c r="AF909" t="n">
        <v>4</v>
      </c>
      <c r="AG909" t="n">
        <v>4</v>
      </c>
      <c r="AH909" t="n">
        <v>38</v>
      </c>
      <c r="AI909" t="n">
        <v>2</v>
      </c>
      <c r="AJ909" t="n">
        <v>36</v>
      </c>
      <c r="AK909" t="n">
        <v>1</v>
      </c>
      <c r="AL909" t="n">
        <v>3</v>
      </c>
      <c r="AM909" t="n">
        <v>47</v>
      </c>
      <c r="AN909" t="n">
        <v>0</v>
      </c>
      <c r="AO909" t="n">
        <v>0</v>
      </c>
      <c r="AP909" t="n">
        <v>6</v>
      </c>
      <c r="AQ909" t="n">
        <v>73</v>
      </c>
      <c r="AR909" t="n">
        <v>134</v>
      </c>
      <c r="AS909" t="n">
        <v>72</v>
      </c>
      <c r="AT909" t="n">
        <v>5</v>
      </c>
      <c r="AU909" t="n">
        <v>2</v>
      </c>
      <c r="AV909" t="n">
        <v>36</v>
      </c>
      <c r="AW909" t="n">
        <v>1</v>
      </c>
      <c r="AX909" t="n">
        <v>3</v>
      </c>
      <c r="AY909" t="n">
        <v>42</v>
      </c>
      <c r="AZ909" t="n">
        <v>0</v>
      </c>
      <c r="BA909" t="n">
        <v>1</v>
      </c>
      <c r="BB909" t="n">
        <v>97</v>
      </c>
      <c r="BC909" t="n">
        <v>66</v>
      </c>
      <c r="BD909" t="n">
        <v>33</v>
      </c>
      <c r="BE909" t="n">
        <v>1</v>
      </c>
      <c r="BF909" t="n">
        <v>57</v>
      </c>
      <c r="BG909" t="n">
        <v>4</v>
      </c>
      <c r="BH909" t="n">
        <v>5</v>
      </c>
      <c r="BI909" t="n">
        <v>54</v>
      </c>
      <c r="BJ909" t="n">
        <v>52</v>
      </c>
      <c r="BK909" t="n">
        <v>2</v>
      </c>
      <c r="BL909" t="n">
        <v>8</v>
      </c>
      <c r="BM909" t="n">
        <v>29</v>
      </c>
      <c r="BN909" t="n">
        <v>16</v>
      </c>
      <c r="BO909" t="n">
        <v>42</v>
      </c>
    </row>
    <row r="910">
      <c r="A910" t="n">
        <v>0</v>
      </c>
      <c r="B910" t="n">
        <v>0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156</v>
      </c>
      <c r="Z910" t="n">
        <v>268</v>
      </c>
      <c r="AA910" t="n">
        <v>52</v>
      </c>
      <c r="AB910" t="n">
        <v>0</v>
      </c>
      <c r="AC910" t="n">
        <v>1</v>
      </c>
      <c r="AD910" t="n">
        <v>3</v>
      </c>
      <c r="AE910" t="n">
        <v>7</v>
      </c>
      <c r="AF910" t="n">
        <v>0</v>
      </c>
      <c r="AG910" t="n">
        <v>1</v>
      </c>
      <c r="AH910" t="n">
        <v>28</v>
      </c>
      <c r="AI910" t="n">
        <v>61</v>
      </c>
      <c r="AJ910" t="n">
        <v>21</v>
      </c>
      <c r="AK910" t="n">
        <v>4</v>
      </c>
      <c r="AL910" t="n">
        <v>2</v>
      </c>
      <c r="AM910" t="n">
        <v>39</v>
      </c>
      <c r="AN910" t="n">
        <v>0</v>
      </c>
      <c r="AO910" t="n">
        <v>1</v>
      </c>
      <c r="AP910" t="n">
        <v>4</v>
      </c>
      <c r="AQ910" t="n">
        <v>52</v>
      </c>
      <c r="AR910" t="n">
        <v>92</v>
      </c>
      <c r="AS910" t="n">
        <v>51</v>
      </c>
      <c r="AT910" t="n">
        <v>0</v>
      </c>
      <c r="AU910" t="n">
        <v>1</v>
      </c>
      <c r="AV910" t="n">
        <v>1</v>
      </c>
      <c r="AW910" t="n">
        <v>7</v>
      </c>
      <c r="AX910" t="n">
        <v>0</v>
      </c>
      <c r="AY910" t="n">
        <v>42</v>
      </c>
      <c r="AZ910" t="n">
        <v>3</v>
      </c>
      <c r="BA910" t="n">
        <v>40</v>
      </c>
      <c r="BB910" t="n">
        <v>92</v>
      </c>
      <c r="BC910" t="n">
        <v>32</v>
      </c>
      <c r="BD910" t="n">
        <v>25</v>
      </c>
      <c r="BE910" t="n">
        <v>9</v>
      </c>
      <c r="BF910" t="n">
        <v>18</v>
      </c>
      <c r="BG910" t="n">
        <v>1</v>
      </c>
      <c r="BH910" t="n">
        <v>8</v>
      </c>
      <c r="BI910" t="n">
        <v>7</v>
      </c>
      <c r="BJ910" t="n">
        <v>6</v>
      </c>
      <c r="BK910" t="n">
        <v>7</v>
      </c>
      <c r="BL910" t="n">
        <v>42</v>
      </c>
      <c r="BM910" t="n">
        <v>42</v>
      </c>
      <c r="BN910" t="n">
        <v>10</v>
      </c>
      <c r="BO910" t="n">
        <v>70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182</v>
      </c>
      <c r="Z911" t="n">
        <v>151</v>
      </c>
      <c r="AA911" t="n">
        <v>88</v>
      </c>
      <c r="AB911" t="n">
        <v>0</v>
      </c>
      <c r="AC911" t="n">
        <v>3</v>
      </c>
      <c r="AD911" t="n">
        <v>3</v>
      </c>
      <c r="AE911" t="n">
        <v>1</v>
      </c>
      <c r="AF911" t="n">
        <v>3</v>
      </c>
      <c r="AG911" t="n">
        <v>0</v>
      </c>
      <c r="AH911" t="n">
        <v>118</v>
      </c>
      <c r="AI911" t="n">
        <v>7</v>
      </c>
      <c r="AJ911" t="n">
        <v>6</v>
      </c>
      <c r="AK911" t="n">
        <v>1</v>
      </c>
      <c r="AL911" t="n">
        <v>1</v>
      </c>
      <c r="AM911" t="n">
        <v>11</v>
      </c>
      <c r="AN911" t="n">
        <v>0</v>
      </c>
      <c r="AO911" t="n">
        <v>0</v>
      </c>
      <c r="AP911" t="n">
        <v>1</v>
      </c>
      <c r="AQ911" t="n">
        <v>12</v>
      </c>
      <c r="AR911" t="n">
        <v>64</v>
      </c>
      <c r="AS911" t="n">
        <v>54</v>
      </c>
      <c r="AT911" t="n">
        <v>2</v>
      </c>
      <c r="AU911" t="n">
        <v>0</v>
      </c>
      <c r="AV911" t="n">
        <v>8</v>
      </c>
      <c r="AW911" t="n">
        <v>3</v>
      </c>
      <c r="AX911" t="n">
        <v>0</v>
      </c>
      <c r="AY911" t="n">
        <v>42</v>
      </c>
      <c r="AZ911" t="n">
        <v>0</v>
      </c>
      <c r="BA911" t="n">
        <v>1</v>
      </c>
      <c r="BB911" t="n">
        <v>85</v>
      </c>
      <c r="BC911" t="n">
        <v>45</v>
      </c>
      <c r="BD911" t="n">
        <v>122</v>
      </c>
      <c r="BE911" t="n">
        <v>3</v>
      </c>
      <c r="BF911" t="n">
        <v>20</v>
      </c>
      <c r="BG911" t="n">
        <v>2</v>
      </c>
      <c r="BH911" t="n">
        <v>3</v>
      </c>
      <c r="BI911" t="n">
        <v>21</v>
      </c>
      <c r="BJ911" t="n">
        <v>22</v>
      </c>
      <c r="BK911" t="n">
        <v>3</v>
      </c>
      <c r="BL911" t="n">
        <v>32</v>
      </c>
      <c r="BM911" t="n">
        <v>25</v>
      </c>
      <c r="BN911" t="n">
        <v>3</v>
      </c>
      <c r="BO911" t="n">
        <v>16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98</v>
      </c>
      <c r="Z912" t="n">
        <v>54</v>
      </c>
      <c r="AA912" t="n">
        <v>20</v>
      </c>
      <c r="AB912" t="n">
        <v>6</v>
      </c>
      <c r="AC912" t="n">
        <v>0</v>
      </c>
      <c r="AD912" t="n">
        <v>5</v>
      </c>
      <c r="AE912" t="n">
        <v>0</v>
      </c>
      <c r="AF912" t="n">
        <v>2</v>
      </c>
      <c r="AG912" t="n">
        <v>6</v>
      </c>
      <c r="AH912" t="n">
        <v>19</v>
      </c>
      <c r="AI912" t="n">
        <v>2</v>
      </c>
      <c r="AJ912" t="n">
        <v>18</v>
      </c>
      <c r="AK912" t="n">
        <v>25</v>
      </c>
      <c r="AL912" t="n">
        <v>1</v>
      </c>
      <c r="AM912" t="n">
        <v>7</v>
      </c>
      <c r="AN912" t="n">
        <v>0</v>
      </c>
      <c r="AO912" t="n">
        <v>0</v>
      </c>
      <c r="AP912" t="n">
        <v>3</v>
      </c>
      <c r="AQ912" t="n">
        <v>9</v>
      </c>
      <c r="AR912" t="n">
        <v>163</v>
      </c>
      <c r="AS912" t="n">
        <v>151</v>
      </c>
      <c r="AT912" t="n">
        <v>0</v>
      </c>
      <c r="AU912" t="n">
        <v>1</v>
      </c>
      <c r="AV912" t="n">
        <v>18</v>
      </c>
      <c r="AW912" t="n">
        <v>11</v>
      </c>
      <c r="AX912" t="n">
        <v>1</v>
      </c>
      <c r="AY912" t="n">
        <v>25</v>
      </c>
      <c r="AZ912" t="n">
        <v>1</v>
      </c>
      <c r="BA912" t="n">
        <v>4</v>
      </c>
      <c r="BB912" t="n">
        <v>19</v>
      </c>
      <c r="BC912" t="n">
        <v>3</v>
      </c>
      <c r="BD912" t="n">
        <v>20</v>
      </c>
      <c r="BE912" t="n">
        <v>12</v>
      </c>
      <c r="BF912" t="n">
        <v>14</v>
      </c>
      <c r="BG912" t="n">
        <v>2</v>
      </c>
      <c r="BH912" t="n">
        <v>8</v>
      </c>
      <c r="BI912" t="n">
        <v>1</v>
      </c>
      <c r="BJ912" t="n">
        <v>13</v>
      </c>
      <c r="BK912" t="n">
        <v>0</v>
      </c>
      <c r="BL912" t="n">
        <v>1</v>
      </c>
      <c r="BM912" t="n">
        <v>17</v>
      </c>
      <c r="BN912" t="n">
        <v>10</v>
      </c>
      <c r="BO912" t="n">
        <v>47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175</v>
      </c>
      <c r="Z913" t="n">
        <v>312</v>
      </c>
      <c r="AA913" t="n">
        <v>23</v>
      </c>
      <c r="AB913" t="n">
        <v>2</v>
      </c>
      <c r="AC913" t="n">
        <v>0</v>
      </c>
      <c r="AD913" t="n">
        <v>1</v>
      </c>
      <c r="AE913" t="n">
        <v>4</v>
      </c>
      <c r="AF913" t="n">
        <v>3</v>
      </c>
      <c r="AG913" t="n">
        <v>2</v>
      </c>
      <c r="AH913" t="n">
        <v>17</v>
      </c>
      <c r="AI913" t="n">
        <v>71</v>
      </c>
      <c r="AJ913" t="n">
        <v>2</v>
      </c>
      <c r="AK913" t="n">
        <v>18</v>
      </c>
      <c r="AL913" t="n">
        <v>9</v>
      </c>
      <c r="AM913" t="n">
        <v>153</v>
      </c>
      <c r="AN913" t="n">
        <v>0</v>
      </c>
      <c r="AO913" t="n">
        <v>0</v>
      </c>
      <c r="AP913" t="n">
        <v>0</v>
      </c>
      <c r="AQ913" t="n">
        <v>1</v>
      </c>
      <c r="AR913" t="n">
        <v>68</v>
      </c>
      <c r="AS913" t="n">
        <v>61</v>
      </c>
      <c r="AT913" t="n">
        <v>2</v>
      </c>
      <c r="AU913" t="n">
        <v>1</v>
      </c>
      <c r="AV913" t="n">
        <v>15</v>
      </c>
      <c r="AW913" t="n">
        <v>1</v>
      </c>
      <c r="AX913" t="n">
        <v>0</v>
      </c>
      <c r="AY913" t="n">
        <v>25</v>
      </c>
      <c r="AZ913" t="n">
        <v>4</v>
      </c>
      <c r="BA913" t="n">
        <v>29</v>
      </c>
      <c r="BB913" t="n">
        <v>53</v>
      </c>
      <c r="BC913" t="n">
        <v>130</v>
      </c>
      <c r="BD913" t="n">
        <v>14</v>
      </c>
      <c r="BE913" t="n">
        <v>4</v>
      </c>
      <c r="BF913" t="n">
        <v>8</v>
      </c>
      <c r="BG913" t="n">
        <v>4</v>
      </c>
      <c r="BH913" t="n">
        <v>10</v>
      </c>
      <c r="BI913" t="n">
        <v>24</v>
      </c>
      <c r="BJ913" t="n">
        <v>49</v>
      </c>
      <c r="BK913" t="n">
        <v>2</v>
      </c>
      <c r="BL913" t="n">
        <v>1</v>
      </c>
      <c r="BM913" t="n">
        <v>2</v>
      </c>
      <c r="BN913" t="n">
        <v>0</v>
      </c>
      <c r="BO913" t="n">
        <v>14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245</v>
      </c>
      <c r="Z914" t="n">
        <v>202</v>
      </c>
      <c r="AA914" t="n">
        <v>39</v>
      </c>
      <c r="AB914" t="n">
        <v>2</v>
      </c>
      <c r="AC914" t="n">
        <v>0</v>
      </c>
      <c r="AD914" t="n">
        <v>7</v>
      </c>
      <c r="AE914" t="n">
        <v>9</v>
      </c>
      <c r="AF914" t="n">
        <v>4</v>
      </c>
      <c r="AG914" t="n">
        <v>2</v>
      </c>
      <c r="AH914" t="n">
        <v>63</v>
      </c>
      <c r="AI914" t="n">
        <v>73</v>
      </c>
      <c r="AJ914" t="n">
        <v>41</v>
      </c>
      <c r="AK914" t="n">
        <v>13</v>
      </c>
      <c r="AL914" t="n">
        <v>1</v>
      </c>
      <c r="AM914" t="n">
        <v>16</v>
      </c>
      <c r="AN914" t="n">
        <v>0</v>
      </c>
      <c r="AO914" t="n">
        <v>0</v>
      </c>
      <c r="AP914" t="n">
        <v>5</v>
      </c>
      <c r="AQ914" t="n">
        <v>12</v>
      </c>
      <c r="AR914" t="n">
        <v>89</v>
      </c>
      <c r="AS914" t="n">
        <v>78</v>
      </c>
      <c r="AT914" t="n">
        <v>4</v>
      </c>
      <c r="AU914" t="n">
        <v>1</v>
      </c>
      <c r="AV914" t="n">
        <v>33</v>
      </c>
      <c r="AW914" t="n">
        <v>29</v>
      </c>
      <c r="AX914" t="n">
        <v>1</v>
      </c>
      <c r="AY914" t="n">
        <v>17</v>
      </c>
      <c r="AZ914" t="n">
        <v>3</v>
      </c>
      <c r="BA914" t="n">
        <v>15</v>
      </c>
      <c r="BB914" t="n">
        <v>52</v>
      </c>
      <c r="BC914" t="n">
        <v>12</v>
      </c>
      <c r="BD914" t="n">
        <v>59</v>
      </c>
      <c r="BE914" t="n">
        <v>29</v>
      </c>
      <c r="BF914" t="n">
        <v>34</v>
      </c>
      <c r="BG914" t="n">
        <v>4</v>
      </c>
      <c r="BH914" t="n">
        <v>14</v>
      </c>
      <c r="BI914" t="n">
        <v>25</v>
      </c>
      <c r="BJ914" t="n">
        <v>22</v>
      </c>
      <c r="BK914" t="n">
        <v>0</v>
      </c>
      <c r="BL914" t="n">
        <v>1</v>
      </c>
      <c r="BM914" t="n">
        <v>26</v>
      </c>
      <c r="BN914" t="n">
        <v>15</v>
      </c>
      <c r="BO914" t="n">
        <v>42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</v>
      </c>
      <c r="U915" t="n">
        <v>0</v>
      </c>
      <c r="V915" t="n">
        <v>0</v>
      </c>
      <c r="W915" t="n">
        <v>1</v>
      </c>
      <c r="X915" t="n">
        <v>0</v>
      </c>
      <c r="Y915" t="n">
        <v>293</v>
      </c>
      <c r="Z915" t="n">
        <v>186</v>
      </c>
      <c r="AA915" t="n">
        <v>104</v>
      </c>
      <c r="AB915" t="n">
        <v>1</v>
      </c>
      <c r="AC915" t="n">
        <v>3</v>
      </c>
      <c r="AD915" t="n">
        <v>6</v>
      </c>
      <c r="AE915" t="n">
        <v>3</v>
      </c>
      <c r="AF915" t="n">
        <v>2</v>
      </c>
      <c r="AG915" t="n">
        <v>0</v>
      </c>
      <c r="AH915" t="n">
        <v>58</v>
      </c>
      <c r="AI915" t="n">
        <v>66</v>
      </c>
      <c r="AJ915" t="n">
        <v>24</v>
      </c>
      <c r="AK915" t="n">
        <v>1</v>
      </c>
      <c r="AL915" t="n">
        <v>1</v>
      </c>
      <c r="AM915" t="n">
        <v>31</v>
      </c>
      <c r="AN915" t="n">
        <v>0</v>
      </c>
      <c r="AO915" t="n">
        <v>0</v>
      </c>
      <c r="AP915" t="n">
        <v>3</v>
      </c>
      <c r="AQ915" t="n">
        <v>15</v>
      </c>
      <c r="AR915" t="n">
        <v>52</v>
      </c>
      <c r="AS915" t="n">
        <v>39</v>
      </c>
      <c r="AT915" t="n">
        <v>5</v>
      </c>
      <c r="AU915" t="n">
        <v>0</v>
      </c>
      <c r="AV915" t="n">
        <v>52</v>
      </c>
      <c r="AW915" t="n">
        <v>1</v>
      </c>
      <c r="AX915" t="n">
        <v>7</v>
      </c>
      <c r="AY915" t="n">
        <v>27</v>
      </c>
      <c r="AZ915" t="n">
        <v>1</v>
      </c>
      <c r="BA915" t="n">
        <v>20</v>
      </c>
      <c r="BB915" t="n">
        <v>117</v>
      </c>
      <c r="BC915" t="n">
        <v>25</v>
      </c>
      <c r="BD915" t="n">
        <v>52</v>
      </c>
      <c r="BE915" t="n">
        <v>1</v>
      </c>
      <c r="BF915" t="n">
        <v>18</v>
      </c>
      <c r="BG915" t="n">
        <v>5</v>
      </c>
      <c r="BH915" t="n">
        <v>20</v>
      </c>
      <c r="BI915" t="n">
        <v>72</v>
      </c>
      <c r="BJ915" t="n">
        <v>65</v>
      </c>
      <c r="BK915" t="n">
        <v>1</v>
      </c>
      <c r="BL915" t="n">
        <v>22</v>
      </c>
      <c r="BM915" t="n">
        <v>20</v>
      </c>
      <c r="BN915" t="n">
        <v>4</v>
      </c>
      <c r="BO915" t="n">
        <v>2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129</v>
      </c>
      <c r="Z916" t="n">
        <v>242</v>
      </c>
      <c r="AA916" t="n">
        <v>51</v>
      </c>
      <c r="AB916" t="n">
        <v>2</v>
      </c>
      <c r="AC916" t="n">
        <v>0</v>
      </c>
      <c r="AD916" t="n">
        <v>2</v>
      </c>
      <c r="AE916" t="n">
        <v>8</v>
      </c>
      <c r="AF916" t="n">
        <v>1</v>
      </c>
      <c r="AG916" t="n">
        <v>0</v>
      </c>
      <c r="AH916" t="n">
        <v>45</v>
      </c>
      <c r="AI916" t="n">
        <v>132</v>
      </c>
      <c r="AJ916" t="n">
        <v>14</v>
      </c>
      <c r="AK916" t="n">
        <v>1</v>
      </c>
      <c r="AL916" t="n">
        <v>0</v>
      </c>
      <c r="AM916" t="n">
        <v>9</v>
      </c>
      <c r="AN916" t="n">
        <v>0</v>
      </c>
      <c r="AO916" t="n">
        <v>0</v>
      </c>
      <c r="AP916" t="n">
        <v>0</v>
      </c>
      <c r="AQ916" t="n">
        <v>1</v>
      </c>
      <c r="AR916" t="n">
        <v>117</v>
      </c>
      <c r="AS916" t="n">
        <v>108</v>
      </c>
      <c r="AT916" t="n">
        <v>2</v>
      </c>
      <c r="AU916" t="n">
        <v>1</v>
      </c>
      <c r="AV916" t="n">
        <v>10</v>
      </c>
      <c r="AW916" t="n">
        <v>25</v>
      </c>
      <c r="AX916" t="n">
        <v>0</v>
      </c>
      <c r="AY916" t="n">
        <v>40</v>
      </c>
      <c r="AZ916" t="n">
        <v>2</v>
      </c>
      <c r="BA916" t="n">
        <v>23</v>
      </c>
      <c r="BB916" t="n">
        <v>71</v>
      </c>
      <c r="BC916" t="n">
        <v>32</v>
      </c>
      <c r="BD916" t="n">
        <v>41</v>
      </c>
      <c r="BE916" t="n">
        <v>25</v>
      </c>
      <c r="BF916" t="n">
        <v>14</v>
      </c>
      <c r="BG916" t="n">
        <v>2</v>
      </c>
      <c r="BH916" t="n">
        <v>10</v>
      </c>
      <c r="BI916" t="n">
        <v>17</v>
      </c>
      <c r="BJ916" t="n">
        <v>43</v>
      </c>
      <c r="BK916" t="n">
        <v>0</v>
      </c>
      <c r="BL916" t="n">
        <v>1</v>
      </c>
      <c r="BM916" t="n">
        <v>21</v>
      </c>
      <c r="BN916" t="n">
        <v>12</v>
      </c>
      <c r="BO916" t="n">
        <v>4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3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241</v>
      </c>
      <c r="Z917" t="n">
        <v>131</v>
      </c>
      <c r="AA917" t="n">
        <v>52</v>
      </c>
      <c r="AB917" t="n">
        <v>0</v>
      </c>
      <c r="AC917" t="n">
        <v>0</v>
      </c>
      <c r="AD917" t="n">
        <v>6</v>
      </c>
      <c r="AE917" t="n">
        <v>9</v>
      </c>
      <c r="AF917" t="n">
        <v>7</v>
      </c>
      <c r="AG917" t="n">
        <v>1</v>
      </c>
      <c r="AH917" t="n">
        <v>122</v>
      </c>
      <c r="AI917" t="n">
        <v>53</v>
      </c>
      <c r="AJ917" t="n">
        <v>79</v>
      </c>
      <c r="AK917" t="n">
        <v>18</v>
      </c>
      <c r="AL917" t="n">
        <v>1</v>
      </c>
      <c r="AM917" t="n">
        <v>44</v>
      </c>
      <c r="AN917" t="n">
        <v>0</v>
      </c>
      <c r="AO917" t="n">
        <v>0</v>
      </c>
      <c r="AP917" t="n">
        <v>1</v>
      </c>
      <c r="AQ917" t="n">
        <v>3</v>
      </c>
      <c r="AR917" t="n">
        <v>158</v>
      </c>
      <c r="AS917" t="n">
        <v>145</v>
      </c>
      <c r="AT917" t="n">
        <v>3</v>
      </c>
      <c r="AU917" t="n">
        <v>0</v>
      </c>
      <c r="AV917" t="n">
        <v>30</v>
      </c>
      <c r="AW917" t="n">
        <v>3</v>
      </c>
      <c r="AX917" t="n">
        <v>0</v>
      </c>
      <c r="AY917" t="n">
        <v>46</v>
      </c>
      <c r="AZ917" t="n">
        <v>0</v>
      </c>
      <c r="BA917" t="n">
        <v>1</v>
      </c>
      <c r="BB917" t="n">
        <v>52</v>
      </c>
      <c r="BC917" t="n">
        <v>37</v>
      </c>
      <c r="BD917" t="n">
        <v>122</v>
      </c>
      <c r="BE917" t="n">
        <v>8</v>
      </c>
      <c r="BF917" t="n">
        <v>63</v>
      </c>
      <c r="BG917" t="n">
        <v>3</v>
      </c>
      <c r="BH917" t="n">
        <v>3</v>
      </c>
      <c r="BI917" t="n">
        <v>10</v>
      </c>
      <c r="BJ917" t="n">
        <v>30</v>
      </c>
      <c r="BK917" t="n">
        <v>3</v>
      </c>
      <c r="BL917" t="n">
        <v>14</v>
      </c>
      <c r="BM917" t="n">
        <v>42</v>
      </c>
      <c r="BN917" t="n">
        <v>21</v>
      </c>
      <c r="BO917" t="n">
        <v>16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88</v>
      </c>
      <c r="Z918" t="n">
        <v>193</v>
      </c>
      <c r="AA918" t="n">
        <v>54</v>
      </c>
      <c r="AB918" t="n">
        <v>0</v>
      </c>
      <c r="AC918" t="n">
        <v>0</v>
      </c>
      <c r="AD918" t="n">
        <v>1</v>
      </c>
      <c r="AE918" t="n">
        <v>5</v>
      </c>
      <c r="AF918" t="n">
        <v>3</v>
      </c>
      <c r="AG918" t="n">
        <v>2</v>
      </c>
      <c r="AH918" t="n">
        <v>6</v>
      </c>
      <c r="AI918" t="n">
        <v>14</v>
      </c>
      <c r="AJ918" t="n">
        <v>16</v>
      </c>
      <c r="AK918" t="n">
        <v>0</v>
      </c>
      <c r="AL918" t="n">
        <v>0</v>
      </c>
      <c r="AM918" t="n">
        <v>10</v>
      </c>
      <c r="AN918" t="n">
        <v>0</v>
      </c>
      <c r="AO918" t="n">
        <v>0</v>
      </c>
      <c r="AP918" t="n">
        <v>3</v>
      </c>
      <c r="AQ918" t="n">
        <v>21</v>
      </c>
      <c r="AR918" t="n">
        <v>125</v>
      </c>
      <c r="AS918" t="n">
        <v>105</v>
      </c>
      <c r="AT918" t="n">
        <v>0</v>
      </c>
      <c r="AU918" t="n">
        <v>3</v>
      </c>
      <c r="AV918" t="n">
        <v>1</v>
      </c>
      <c r="AW918" t="n">
        <v>24</v>
      </c>
      <c r="AX918" t="n">
        <v>4</v>
      </c>
      <c r="AY918" t="n">
        <v>11</v>
      </c>
      <c r="AZ918" t="n">
        <v>3</v>
      </c>
      <c r="BA918" t="n">
        <v>11</v>
      </c>
      <c r="BB918" t="n">
        <v>62</v>
      </c>
      <c r="BC918" t="n">
        <v>11</v>
      </c>
      <c r="BD918" t="n">
        <v>3</v>
      </c>
      <c r="BE918" t="n">
        <v>24</v>
      </c>
      <c r="BF918" t="n">
        <v>10</v>
      </c>
      <c r="BG918" t="n">
        <v>2</v>
      </c>
      <c r="BH918" t="n">
        <v>8</v>
      </c>
      <c r="BI918" t="n">
        <v>1</v>
      </c>
      <c r="BJ918" t="n">
        <v>1</v>
      </c>
      <c r="BK918" t="n">
        <v>0</v>
      </c>
      <c r="BL918" t="n">
        <v>1</v>
      </c>
      <c r="BM918" t="n">
        <v>17</v>
      </c>
      <c r="BN918" t="n">
        <v>10</v>
      </c>
      <c r="BO918" t="n">
        <v>2</v>
      </c>
    </row>
    <row r="919">
      <c r="A919" t="n">
        <v>0</v>
      </c>
      <c r="B919" t="n">
        <v>0</v>
      </c>
      <c r="C919" t="n">
        <v>2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2</v>
      </c>
      <c r="U919" t="n">
        <v>0</v>
      </c>
      <c r="V919" t="n">
        <v>0</v>
      </c>
      <c r="W919" t="n">
        <v>0</v>
      </c>
      <c r="X919" t="n">
        <v>0</v>
      </c>
      <c r="Y919" t="n">
        <v>342</v>
      </c>
      <c r="Z919" t="n">
        <v>268</v>
      </c>
      <c r="AA919" t="n">
        <v>77</v>
      </c>
      <c r="AB919" t="n">
        <v>1</v>
      </c>
      <c r="AC919" t="n">
        <v>1</v>
      </c>
      <c r="AD919" t="n">
        <v>7</v>
      </c>
      <c r="AE919" t="n">
        <v>7</v>
      </c>
      <c r="AF919" t="n">
        <v>5</v>
      </c>
      <c r="AG919" t="n">
        <v>10</v>
      </c>
      <c r="AH919" t="n">
        <v>96</v>
      </c>
      <c r="AI919" t="n">
        <v>115</v>
      </c>
      <c r="AJ919" t="n">
        <v>56</v>
      </c>
      <c r="AK919" t="n">
        <v>80</v>
      </c>
      <c r="AL919" t="n">
        <v>3</v>
      </c>
      <c r="AM919" t="n">
        <v>64</v>
      </c>
      <c r="AN919" t="n">
        <v>0</v>
      </c>
      <c r="AO919" t="n">
        <v>0</v>
      </c>
      <c r="AP919" t="n">
        <v>5</v>
      </c>
      <c r="AQ919" t="n">
        <v>48</v>
      </c>
      <c r="AR919" t="n">
        <v>157</v>
      </c>
      <c r="AS919" t="n">
        <v>116</v>
      </c>
      <c r="AT919" t="n">
        <v>4</v>
      </c>
      <c r="AU919" t="n">
        <v>2</v>
      </c>
      <c r="AV919" t="n">
        <v>58</v>
      </c>
      <c r="AW919" t="n">
        <v>17</v>
      </c>
      <c r="AX919" t="n">
        <v>5</v>
      </c>
      <c r="AY919" t="n">
        <v>70</v>
      </c>
      <c r="AZ919" t="n">
        <v>5</v>
      </c>
      <c r="BA919" t="n">
        <v>49</v>
      </c>
      <c r="BB919" t="n">
        <v>126</v>
      </c>
      <c r="BC919" t="n">
        <v>58</v>
      </c>
      <c r="BD919" t="n">
        <v>90</v>
      </c>
      <c r="BE919" t="n">
        <v>20</v>
      </c>
      <c r="BF919" t="n">
        <v>44</v>
      </c>
      <c r="BG919" t="n">
        <v>0</v>
      </c>
      <c r="BH919" t="n">
        <v>11</v>
      </c>
      <c r="BI919" t="n">
        <v>20</v>
      </c>
      <c r="BJ919" t="n">
        <v>18</v>
      </c>
      <c r="BK919" t="n">
        <v>2</v>
      </c>
      <c r="BL919" t="n">
        <v>1</v>
      </c>
      <c r="BM919" t="n">
        <v>24</v>
      </c>
      <c r="BN919" t="n">
        <v>14</v>
      </c>
      <c r="BO919" t="n">
        <v>44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</v>
      </c>
      <c r="U920" t="n">
        <v>0</v>
      </c>
      <c r="V920" t="n">
        <v>0</v>
      </c>
      <c r="W920" t="n">
        <v>1</v>
      </c>
      <c r="X920" t="n">
        <v>0</v>
      </c>
      <c r="Y920" t="n">
        <v>162</v>
      </c>
      <c r="Z920" t="n">
        <v>137</v>
      </c>
      <c r="AA920" t="n">
        <v>70</v>
      </c>
      <c r="AB920" t="n">
        <v>1</v>
      </c>
      <c r="AC920" t="n">
        <v>0</v>
      </c>
      <c r="AD920" t="n">
        <v>3</v>
      </c>
      <c r="AE920" t="n">
        <v>4</v>
      </c>
      <c r="AF920" t="n">
        <v>2</v>
      </c>
      <c r="AG920" t="n">
        <v>0</v>
      </c>
      <c r="AH920" t="n">
        <v>24</v>
      </c>
      <c r="AI920" t="n">
        <v>25</v>
      </c>
      <c r="AJ920" t="n">
        <v>20</v>
      </c>
      <c r="AK920" t="n">
        <v>6</v>
      </c>
      <c r="AL920" t="n">
        <v>7</v>
      </c>
      <c r="AM920" t="n">
        <v>62</v>
      </c>
      <c r="AN920" t="n">
        <v>0</v>
      </c>
      <c r="AO920" t="n">
        <v>1</v>
      </c>
      <c r="AP920" t="n">
        <v>0</v>
      </c>
      <c r="AQ920" t="n">
        <v>1</v>
      </c>
      <c r="AR920" t="n">
        <v>56</v>
      </c>
      <c r="AS920" t="n">
        <v>50</v>
      </c>
      <c r="AT920" t="n">
        <v>1</v>
      </c>
      <c r="AU920" t="n">
        <v>2</v>
      </c>
      <c r="AV920" t="n">
        <v>18</v>
      </c>
      <c r="AW920" t="n">
        <v>10</v>
      </c>
      <c r="AX920" t="n">
        <v>-1</v>
      </c>
      <c r="AY920" t="n">
        <v>32</v>
      </c>
      <c r="AZ920" t="n">
        <v>0</v>
      </c>
      <c r="BA920" t="n">
        <v>2</v>
      </c>
      <c r="BB920" t="n">
        <v>69</v>
      </c>
      <c r="BC920" t="n">
        <v>52</v>
      </c>
      <c r="BD920" t="n">
        <v>28</v>
      </c>
      <c r="BE920" t="n">
        <v>10</v>
      </c>
      <c r="BF920" t="n">
        <v>19</v>
      </c>
      <c r="BG920" t="n">
        <v>0</v>
      </c>
      <c r="BH920" t="n">
        <v>12</v>
      </c>
      <c r="BI920" t="n">
        <v>7</v>
      </c>
      <c r="BJ920" t="n">
        <v>7</v>
      </c>
      <c r="BK920" t="n">
        <v>0</v>
      </c>
      <c r="BL920" t="n">
        <v>1</v>
      </c>
      <c r="BM920" t="n">
        <v>4</v>
      </c>
      <c r="BN920" t="n">
        <v>1</v>
      </c>
      <c r="BO920" t="n">
        <v>49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155</v>
      </c>
      <c r="Z921" t="n">
        <v>287</v>
      </c>
      <c r="AA921" t="n">
        <v>38</v>
      </c>
      <c r="AB921" t="n">
        <v>1</v>
      </c>
      <c r="AC921" t="n">
        <v>1</v>
      </c>
      <c r="AD921" t="n">
        <v>2</v>
      </c>
      <c r="AE921" t="n">
        <v>5</v>
      </c>
      <c r="AF921" t="n">
        <v>6</v>
      </c>
      <c r="AG921" t="n">
        <v>0</v>
      </c>
      <c r="AH921" t="n">
        <v>16</v>
      </c>
      <c r="AI921" t="n">
        <v>50</v>
      </c>
      <c r="AJ921" t="n">
        <v>84</v>
      </c>
      <c r="AK921" t="n">
        <v>1</v>
      </c>
      <c r="AL921" t="n">
        <v>3</v>
      </c>
      <c r="AM921" t="n">
        <v>31</v>
      </c>
      <c r="AN921" t="n">
        <v>0</v>
      </c>
      <c r="AO921" t="n">
        <v>0</v>
      </c>
      <c r="AP921" t="n">
        <v>2</v>
      </c>
      <c r="AQ921" t="n">
        <v>4</v>
      </c>
      <c r="AR921" t="n">
        <v>36</v>
      </c>
      <c r="AS921" t="n">
        <v>32</v>
      </c>
      <c r="AT921" t="n">
        <v>7</v>
      </c>
      <c r="AU921" t="n">
        <v>5</v>
      </c>
      <c r="AV921" t="n">
        <v>34</v>
      </c>
      <c r="AW921" t="n">
        <v>45</v>
      </c>
      <c r="AX921" t="n">
        <v>0</v>
      </c>
      <c r="AY921" t="n">
        <v>39</v>
      </c>
      <c r="AZ921" t="n">
        <v>4</v>
      </c>
      <c r="BA921" t="n">
        <v>34</v>
      </c>
      <c r="BB921" t="n">
        <v>72</v>
      </c>
      <c r="BC921" t="n">
        <v>54</v>
      </c>
      <c r="BD921" t="n">
        <v>15</v>
      </c>
      <c r="BE921" t="n">
        <v>45</v>
      </c>
      <c r="BF921" t="n">
        <v>67</v>
      </c>
      <c r="BG921" t="n">
        <v>5</v>
      </c>
      <c r="BH921" t="n">
        <v>3</v>
      </c>
      <c r="BI921" t="n">
        <v>41</v>
      </c>
      <c r="BJ921" t="n">
        <v>35</v>
      </c>
      <c r="BK921" t="n">
        <v>3</v>
      </c>
      <c r="BL921" t="n">
        <v>1</v>
      </c>
      <c r="BM921" t="n">
        <v>1</v>
      </c>
      <c r="BN921" t="n">
        <v>0</v>
      </c>
      <c r="BO921" t="n">
        <v>11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182</v>
      </c>
      <c r="Z922" t="n">
        <v>155</v>
      </c>
      <c r="AA922" t="n">
        <v>91</v>
      </c>
      <c r="AB922" t="n">
        <v>2</v>
      </c>
      <c r="AC922" t="n">
        <v>1</v>
      </c>
      <c r="AD922" t="n">
        <v>4</v>
      </c>
      <c r="AE922" t="n">
        <v>14</v>
      </c>
      <c r="AF922" t="n">
        <v>2</v>
      </c>
      <c r="AG922" t="n">
        <v>6</v>
      </c>
      <c r="AH922" t="n">
        <v>22</v>
      </c>
      <c r="AI922" t="n">
        <v>57</v>
      </c>
      <c r="AJ922" t="n">
        <v>25</v>
      </c>
      <c r="AK922" t="n">
        <v>10</v>
      </c>
      <c r="AL922" t="n">
        <v>3</v>
      </c>
      <c r="AM922" t="n">
        <v>40</v>
      </c>
      <c r="AN922" t="n">
        <v>0</v>
      </c>
      <c r="AO922" t="n">
        <v>0</v>
      </c>
      <c r="AP922" t="n">
        <v>4</v>
      </c>
      <c r="AQ922" t="n">
        <v>32</v>
      </c>
      <c r="AR922" t="n">
        <v>120</v>
      </c>
      <c r="AS922" t="n">
        <v>91</v>
      </c>
      <c r="AT922" t="n">
        <v>2</v>
      </c>
      <c r="AU922" t="n">
        <v>2</v>
      </c>
      <c r="AV922" t="n">
        <v>12</v>
      </c>
      <c r="AW922" t="n">
        <v>9</v>
      </c>
      <c r="AX922" t="n">
        <v>0</v>
      </c>
      <c r="AY922" t="n">
        <v>15</v>
      </c>
      <c r="AZ922" t="n">
        <v>3</v>
      </c>
      <c r="BA922" t="n">
        <v>17</v>
      </c>
      <c r="BB922" t="n">
        <v>105</v>
      </c>
      <c r="BC922" t="n">
        <v>34</v>
      </c>
      <c r="BD922" t="n">
        <v>28</v>
      </c>
      <c r="BE922" t="n">
        <v>9</v>
      </c>
      <c r="BF922" t="n">
        <v>20</v>
      </c>
      <c r="BG922" t="n">
        <v>2</v>
      </c>
      <c r="BH922" t="n">
        <v>2</v>
      </c>
      <c r="BI922" t="n">
        <v>75</v>
      </c>
      <c r="BJ922" t="n">
        <v>78</v>
      </c>
      <c r="BK922" t="n">
        <v>4</v>
      </c>
      <c r="BL922" t="n">
        <v>48</v>
      </c>
      <c r="BM922" t="n">
        <v>49</v>
      </c>
      <c r="BN922" t="n">
        <v>12</v>
      </c>
      <c r="BO922" t="n">
        <v>2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2</v>
      </c>
      <c r="U923" t="n">
        <v>0</v>
      </c>
      <c r="V923" t="n">
        <v>0</v>
      </c>
      <c r="W923" t="n">
        <v>0</v>
      </c>
      <c r="X923" t="n">
        <v>0</v>
      </c>
      <c r="Y923" t="n">
        <v>348</v>
      </c>
      <c r="Z923" t="n">
        <v>183</v>
      </c>
      <c r="AA923" t="n">
        <v>93</v>
      </c>
      <c r="AB923" t="n">
        <v>1</v>
      </c>
      <c r="AC923" t="n">
        <v>3</v>
      </c>
      <c r="AD923" t="n">
        <v>5</v>
      </c>
      <c r="AE923" t="n">
        <v>1</v>
      </c>
      <c r="AF923" t="n">
        <v>4</v>
      </c>
      <c r="AG923" t="n">
        <v>0</v>
      </c>
      <c r="AH923" t="n">
        <v>89</v>
      </c>
      <c r="AI923" t="n">
        <v>2</v>
      </c>
      <c r="AJ923" t="n">
        <v>62</v>
      </c>
      <c r="AK923" t="n">
        <v>65</v>
      </c>
      <c r="AL923" t="n">
        <v>8</v>
      </c>
      <c r="AM923" t="n">
        <v>99</v>
      </c>
      <c r="AN923" t="n">
        <v>0</v>
      </c>
      <c r="AO923" t="n">
        <v>0</v>
      </c>
      <c r="AP923" t="n">
        <v>1</v>
      </c>
      <c r="AQ923" t="n">
        <v>7</v>
      </c>
      <c r="AR923" t="n">
        <v>104</v>
      </c>
      <c r="AS923" t="n">
        <v>95</v>
      </c>
      <c r="AT923" t="n">
        <v>1</v>
      </c>
      <c r="AU923" t="n">
        <v>2</v>
      </c>
      <c r="AV923" t="n">
        <v>1</v>
      </c>
      <c r="AW923" t="n">
        <v>18</v>
      </c>
      <c r="AX923" t="n">
        <v>3</v>
      </c>
      <c r="AY923" t="n">
        <v>54</v>
      </c>
      <c r="AZ923" t="n">
        <v>1</v>
      </c>
      <c r="BA923" t="n">
        <v>21</v>
      </c>
      <c r="BB923" t="n">
        <v>111</v>
      </c>
      <c r="BC923" t="n">
        <v>81</v>
      </c>
      <c r="BD923" t="n">
        <v>86</v>
      </c>
      <c r="BE923" t="n">
        <v>18</v>
      </c>
      <c r="BF923" t="n">
        <v>54</v>
      </c>
      <c r="BG923" t="n">
        <v>2</v>
      </c>
      <c r="BH923" t="n">
        <v>29</v>
      </c>
      <c r="BI923" t="n">
        <v>40</v>
      </c>
      <c r="BJ923" t="n">
        <v>56</v>
      </c>
      <c r="BK923" t="n">
        <v>3</v>
      </c>
      <c r="BL923" t="n">
        <v>1</v>
      </c>
      <c r="BM923" t="n">
        <v>9</v>
      </c>
      <c r="BN923" t="n">
        <v>5</v>
      </c>
      <c r="BO923" t="n">
        <v>129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</v>
      </c>
      <c r="U924" t="n">
        <v>2</v>
      </c>
      <c r="V924" t="n">
        <v>0</v>
      </c>
      <c r="W924" t="n">
        <v>0</v>
      </c>
      <c r="X924" t="n">
        <v>0</v>
      </c>
      <c r="Y924" t="n">
        <v>186</v>
      </c>
      <c r="Z924" t="n">
        <v>172</v>
      </c>
      <c r="AA924" t="n">
        <v>45</v>
      </c>
      <c r="AB924" t="n">
        <v>0</v>
      </c>
      <c r="AC924" t="n">
        <v>2</v>
      </c>
      <c r="AD924" t="n">
        <v>4</v>
      </c>
      <c r="AE924" t="n">
        <v>7</v>
      </c>
      <c r="AF924" t="n">
        <v>3</v>
      </c>
      <c r="AG924" t="n">
        <v>5</v>
      </c>
      <c r="AH924" t="n">
        <v>57</v>
      </c>
      <c r="AI924" t="n">
        <v>20</v>
      </c>
      <c r="AJ924" t="n">
        <v>11</v>
      </c>
      <c r="AK924" t="n">
        <v>72</v>
      </c>
      <c r="AL924" t="n">
        <v>4</v>
      </c>
      <c r="AM924" t="n">
        <v>14</v>
      </c>
      <c r="AN924" t="n">
        <v>0</v>
      </c>
      <c r="AO924" t="n">
        <v>0</v>
      </c>
      <c r="AP924" t="n">
        <v>5</v>
      </c>
      <c r="AQ924" t="n">
        <v>39</v>
      </c>
      <c r="AR924" t="n">
        <v>77</v>
      </c>
      <c r="AS924" t="n">
        <v>43</v>
      </c>
      <c r="AT924" t="n">
        <v>0</v>
      </c>
      <c r="AU924" t="n">
        <v>2</v>
      </c>
      <c r="AV924" t="n">
        <v>17</v>
      </c>
      <c r="AW924" t="n">
        <v>16</v>
      </c>
      <c r="AX924" t="n">
        <v>0</v>
      </c>
      <c r="AY924" t="n">
        <v>46</v>
      </c>
      <c r="AZ924" t="n">
        <v>1</v>
      </c>
      <c r="BA924" t="n">
        <v>1</v>
      </c>
      <c r="BB924" t="n">
        <v>45</v>
      </c>
      <c r="BC924" t="n">
        <v>26</v>
      </c>
      <c r="BD924" t="n">
        <v>55</v>
      </c>
      <c r="BE924" t="n">
        <v>16</v>
      </c>
      <c r="BF924" t="n">
        <v>11</v>
      </c>
      <c r="BG924" t="n">
        <v>1</v>
      </c>
      <c r="BH924" t="n">
        <v>0</v>
      </c>
      <c r="BI924" t="n">
        <v>1</v>
      </c>
      <c r="BJ924" t="n">
        <v>7</v>
      </c>
      <c r="BK924" t="n">
        <v>1</v>
      </c>
      <c r="BL924" t="n">
        <v>1</v>
      </c>
      <c r="BM924" t="n">
        <v>4</v>
      </c>
      <c r="BN924" t="n">
        <v>2</v>
      </c>
      <c r="BO924" t="n">
        <v>61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167</v>
      </c>
      <c r="Z925" t="n">
        <v>186</v>
      </c>
      <c r="AA925" t="n">
        <v>96</v>
      </c>
      <c r="AB925" t="n">
        <v>0</v>
      </c>
      <c r="AC925" t="n">
        <v>0</v>
      </c>
      <c r="AD925" t="n">
        <v>6</v>
      </c>
      <c r="AE925" t="n">
        <v>1</v>
      </c>
      <c r="AF925" t="n">
        <v>3</v>
      </c>
      <c r="AG925" t="n">
        <v>4</v>
      </c>
      <c r="AH925" t="n">
        <v>37</v>
      </c>
      <c r="AI925" t="n">
        <v>20</v>
      </c>
      <c r="AJ925" t="n">
        <v>22</v>
      </c>
      <c r="AK925" t="n">
        <v>65</v>
      </c>
      <c r="AL925" t="n">
        <v>3</v>
      </c>
      <c r="AM925" t="n">
        <v>46</v>
      </c>
      <c r="AN925" t="n">
        <v>0</v>
      </c>
      <c r="AO925" t="n">
        <v>0</v>
      </c>
      <c r="AP925" t="n">
        <v>3</v>
      </c>
      <c r="AQ925" t="n">
        <v>18</v>
      </c>
      <c r="AR925" t="n">
        <v>61</v>
      </c>
      <c r="AS925" t="n">
        <v>46</v>
      </c>
      <c r="AT925" t="n">
        <v>1</v>
      </c>
      <c r="AU925" t="n">
        <v>0</v>
      </c>
      <c r="AV925" t="n">
        <v>10</v>
      </c>
      <c r="AW925" t="n">
        <v>17</v>
      </c>
      <c r="AX925" t="n">
        <v>2</v>
      </c>
      <c r="AY925" t="n">
        <v>29</v>
      </c>
      <c r="AZ925" t="n">
        <v>2</v>
      </c>
      <c r="BA925" t="n">
        <v>9</v>
      </c>
      <c r="BB925" t="n">
        <v>100</v>
      </c>
      <c r="BC925" t="n">
        <v>53</v>
      </c>
      <c r="BD925" t="n">
        <v>33</v>
      </c>
      <c r="BE925" t="n">
        <v>17</v>
      </c>
      <c r="BF925" t="n">
        <v>18</v>
      </c>
      <c r="BG925" t="n">
        <v>1</v>
      </c>
      <c r="BH925" t="n">
        <v>12</v>
      </c>
      <c r="BI925" t="n">
        <v>34</v>
      </c>
      <c r="BJ925" t="n">
        <v>38</v>
      </c>
      <c r="BK925" t="n">
        <v>4</v>
      </c>
      <c r="BL925" t="n">
        <v>37</v>
      </c>
      <c r="BM925" t="n">
        <v>25</v>
      </c>
      <c r="BN925" t="n">
        <v>1</v>
      </c>
      <c r="BO925" t="n">
        <v>70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3</v>
      </c>
      <c r="I926" t="n">
        <v>0</v>
      </c>
      <c r="J926" t="n">
        <v>3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2</v>
      </c>
      <c r="W926" t="n">
        <v>0</v>
      </c>
      <c r="X926" t="n">
        <v>0</v>
      </c>
      <c r="Y926" t="n">
        <v>203</v>
      </c>
      <c r="Z926" t="n">
        <v>272</v>
      </c>
      <c r="AA926" t="n">
        <v>44</v>
      </c>
      <c r="AB926" t="n">
        <v>2</v>
      </c>
      <c r="AC926" t="n">
        <v>3</v>
      </c>
      <c r="AD926" t="n">
        <v>3</v>
      </c>
      <c r="AE926" t="n">
        <v>10</v>
      </c>
      <c r="AF926" t="n">
        <v>7</v>
      </c>
      <c r="AG926" t="n">
        <v>2</v>
      </c>
      <c r="AH926" t="n">
        <v>8</v>
      </c>
      <c r="AI926" t="n">
        <v>102</v>
      </c>
      <c r="AJ926" t="n">
        <v>70</v>
      </c>
      <c r="AK926" t="n">
        <v>13</v>
      </c>
      <c r="AL926" t="n">
        <v>2</v>
      </c>
      <c r="AM926" t="n">
        <v>28</v>
      </c>
      <c r="AN926" t="n">
        <v>0</v>
      </c>
      <c r="AO926" t="n">
        <v>0</v>
      </c>
      <c r="AP926" t="n">
        <v>4</v>
      </c>
      <c r="AQ926" t="n">
        <v>23</v>
      </c>
      <c r="AR926" t="n">
        <v>137</v>
      </c>
      <c r="AS926" t="n">
        <v>116</v>
      </c>
      <c r="AT926" t="n">
        <v>4</v>
      </c>
      <c r="AU926" t="n">
        <v>2</v>
      </c>
      <c r="AV926" t="n">
        <v>28</v>
      </c>
      <c r="AW926" t="n">
        <v>52</v>
      </c>
      <c r="AX926" t="n">
        <v>1</v>
      </c>
      <c r="AY926" t="n">
        <v>94</v>
      </c>
      <c r="AZ926" t="n">
        <v>2</v>
      </c>
      <c r="BA926" t="n">
        <v>17</v>
      </c>
      <c r="BB926" t="n">
        <v>59</v>
      </c>
      <c r="BC926" t="n">
        <v>30</v>
      </c>
      <c r="BD926" t="n">
        <v>22</v>
      </c>
      <c r="BE926" t="n">
        <v>52</v>
      </c>
      <c r="BF926" t="n">
        <v>62</v>
      </c>
      <c r="BG926" t="n">
        <v>2</v>
      </c>
      <c r="BH926" t="n">
        <v>4</v>
      </c>
      <c r="BI926" t="n">
        <v>7</v>
      </c>
      <c r="BJ926" t="n">
        <v>31</v>
      </c>
      <c r="BK926" t="n">
        <v>3</v>
      </c>
      <c r="BL926" t="n">
        <v>21</v>
      </c>
      <c r="BM926" t="n">
        <v>17</v>
      </c>
      <c r="BN926" t="n">
        <v>3</v>
      </c>
      <c r="BO926" t="n">
        <v>7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2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210</v>
      </c>
      <c r="Z927" t="n">
        <v>150</v>
      </c>
      <c r="AA927" t="n">
        <v>27</v>
      </c>
      <c r="AB927" t="n">
        <v>2</v>
      </c>
      <c r="AC927" t="n">
        <v>1</v>
      </c>
      <c r="AD927" t="n">
        <v>2</v>
      </c>
      <c r="AE927" t="n">
        <v>5</v>
      </c>
      <c r="AF927" t="n">
        <v>1</v>
      </c>
      <c r="AG927" t="n">
        <v>4</v>
      </c>
      <c r="AH927" t="n">
        <v>25</v>
      </c>
      <c r="AI927" t="n">
        <v>97</v>
      </c>
      <c r="AJ927" t="n">
        <v>2</v>
      </c>
      <c r="AK927" t="n">
        <v>21</v>
      </c>
      <c r="AL927" t="n">
        <v>2</v>
      </c>
      <c r="AM927" t="n">
        <v>20</v>
      </c>
      <c r="AN927" t="n">
        <v>0</v>
      </c>
      <c r="AO927" t="n">
        <v>2</v>
      </c>
      <c r="AP927" t="n">
        <v>1</v>
      </c>
      <c r="AQ927" t="n">
        <v>1</v>
      </c>
      <c r="AR927" t="n">
        <v>143</v>
      </c>
      <c r="AS927" t="n">
        <v>130</v>
      </c>
      <c r="AT927" t="n">
        <v>2</v>
      </c>
      <c r="AU927" t="n">
        <v>1</v>
      </c>
      <c r="AV927" t="n">
        <v>15</v>
      </c>
      <c r="AW927" t="n">
        <v>6</v>
      </c>
      <c r="AX927" t="n">
        <v>3</v>
      </c>
      <c r="AY927" t="n">
        <v>53</v>
      </c>
      <c r="AZ927" t="n">
        <v>1</v>
      </c>
      <c r="BA927" t="n">
        <v>-6</v>
      </c>
      <c r="BB927" t="n">
        <v>21</v>
      </c>
      <c r="BC927" t="n">
        <v>21</v>
      </c>
      <c r="BD927" t="n">
        <v>28</v>
      </c>
      <c r="BE927" t="n">
        <v>6</v>
      </c>
      <c r="BF927" t="n">
        <v>12</v>
      </c>
      <c r="BG927" t="n">
        <v>7</v>
      </c>
      <c r="BH927" t="n">
        <v>9</v>
      </c>
      <c r="BI927" t="n">
        <v>93</v>
      </c>
      <c r="BJ927" t="n">
        <v>93</v>
      </c>
      <c r="BK927" t="n">
        <v>1</v>
      </c>
      <c r="BL927" t="n">
        <v>14</v>
      </c>
      <c r="BM927" t="n">
        <v>22</v>
      </c>
      <c r="BN927" t="n">
        <v>9</v>
      </c>
      <c r="BO927" t="n">
        <v>77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3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3</v>
      </c>
      <c r="X928" t="n">
        <v>0</v>
      </c>
      <c r="Y928" t="n">
        <v>153</v>
      </c>
      <c r="Z928" t="n">
        <v>428</v>
      </c>
      <c r="AA928" t="n">
        <v>99</v>
      </c>
      <c r="AB928" t="n">
        <v>5</v>
      </c>
      <c r="AC928" t="n">
        <v>2</v>
      </c>
      <c r="AD928" t="n">
        <v>2</v>
      </c>
      <c r="AE928" t="n">
        <v>7</v>
      </c>
      <c r="AF928" t="n">
        <v>2</v>
      </c>
      <c r="AG928" t="n">
        <v>3</v>
      </c>
      <c r="AH928" t="n">
        <v>11</v>
      </c>
      <c r="AI928" t="n">
        <v>43</v>
      </c>
      <c r="AJ928" t="n">
        <v>31</v>
      </c>
      <c r="AK928" t="n">
        <v>30</v>
      </c>
      <c r="AL928" t="n">
        <v>3</v>
      </c>
      <c r="AM928" t="n">
        <v>62</v>
      </c>
      <c r="AN928" t="n">
        <v>0</v>
      </c>
      <c r="AO928" t="n">
        <v>0</v>
      </c>
      <c r="AP928" t="n">
        <v>5</v>
      </c>
      <c r="AQ928" t="n">
        <v>15</v>
      </c>
      <c r="AR928" t="n">
        <v>90</v>
      </c>
      <c r="AS928" t="n">
        <v>77</v>
      </c>
      <c r="AT928" t="n">
        <v>0</v>
      </c>
      <c r="AU928" t="n">
        <v>2</v>
      </c>
      <c r="AV928" t="n">
        <v>1</v>
      </c>
      <c r="AW928" t="n">
        <v>54</v>
      </c>
      <c r="AX928" t="n">
        <v>2</v>
      </c>
      <c r="AY928" t="n">
        <v>55</v>
      </c>
      <c r="AZ928" t="n">
        <v>3</v>
      </c>
      <c r="BA928" t="n">
        <v>29</v>
      </c>
      <c r="BB928" t="n">
        <v>125</v>
      </c>
      <c r="BC928" t="n">
        <v>51</v>
      </c>
      <c r="BD928" t="n">
        <v>12</v>
      </c>
      <c r="BE928" t="n">
        <v>56</v>
      </c>
      <c r="BF928" t="n">
        <v>25</v>
      </c>
      <c r="BG928" t="n">
        <v>4</v>
      </c>
      <c r="BH928" t="n">
        <v>6</v>
      </c>
      <c r="BI928" t="n">
        <v>59</v>
      </c>
      <c r="BJ928" t="n">
        <v>55</v>
      </c>
      <c r="BK928" t="n">
        <v>2</v>
      </c>
      <c r="BL928" t="n">
        <v>9</v>
      </c>
      <c r="BM928" t="n">
        <v>40</v>
      </c>
      <c r="BN928" t="n">
        <v>22</v>
      </c>
      <c r="BO928" t="n">
        <v>2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2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227</v>
      </c>
      <c r="Z929" t="n">
        <v>252</v>
      </c>
      <c r="AA929" t="n">
        <v>90</v>
      </c>
      <c r="AB929" t="n">
        <v>2</v>
      </c>
      <c r="AC929" t="n">
        <v>0</v>
      </c>
      <c r="AD929" t="n">
        <v>2</v>
      </c>
      <c r="AE929" t="n">
        <v>1</v>
      </c>
      <c r="AF929" t="n">
        <v>4</v>
      </c>
      <c r="AG929" t="n">
        <v>0</v>
      </c>
      <c r="AH929" t="n">
        <v>2</v>
      </c>
      <c r="AI929" t="n">
        <v>26</v>
      </c>
      <c r="AJ929" t="n">
        <v>84</v>
      </c>
      <c r="AK929" t="n">
        <v>28</v>
      </c>
      <c r="AL929" t="n">
        <v>5</v>
      </c>
      <c r="AM929" t="n">
        <v>85</v>
      </c>
      <c r="AN929" t="n">
        <v>0</v>
      </c>
      <c r="AO929" t="n">
        <v>0</v>
      </c>
      <c r="AP929" t="n">
        <v>8</v>
      </c>
      <c r="AQ929" t="n">
        <v>45</v>
      </c>
      <c r="AR929" t="n">
        <v>129</v>
      </c>
      <c r="AS929" t="n">
        <v>89</v>
      </c>
      <c r="AT929" t="n">
        <v>4</v>
      </c>
      <c r="AU929" t="n">
        <v>2</v>
      </c>
      <c r="AV929" t="n">
        <v>24</v>
      </c>
      <c r="AW929" t="n">
        <v>29</v>
      </c>
      <c r="AX929" t="n">
        <v>0</v>
      </c>
      <c r="AY929" t="n">
        <v>14</v>
      </c>
      <c r="AZ929" t="n">
        <v>4</v>
      </c>
      <c r="BA929" t="n">
        <v>27</v>
      </c>
      <c r="BB929" t="n">
        <v>113</v>
      </c>
      <c r="BC929" t="n">
        <v>70</v>
      </c>
      <c r="BD929" t="n">
        <v>14</v>
      </c>
      <c r="BE929" t="n">
        <v>31</v>
      </c>
      <c r="BF929" t="n">
        <v>67</v>
      </c>
      <c r="BG929" t="n">
        <v>3</v>
      </c>
      <c r="BH929" t="n">
        <v>2</v>
      </c>
      <c r="BI929" t="n">
        <v>77</v>
      </c>
      <c r="BJ929" t="n">
        <v>70</v>
      </c>
      <c r="BK929" t="n">
        <v>3</v>
      </c>
      <c r="BL929" t="n">
        <v>41</v>
      </c>
      <c r="BM929" t="n">
        <v>41</v>
      </c>
      <c r="BN929" t="n">
        <v>10</v>
      </c>
      <c r="BO929" t="n">
        <v>2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192</v>
      </c>
      <c r="Z930" t="n">
        <v>168</v>
      </c>
      <c r="AA930" t="n">
        <v>21</v>
      </c>
      <c r="AB930" t="n">
        <v>1</v>
      </c>
      <c r="AC930" t="n">
        <v>0</v>
      </c>
      <c r="AD930" t="n">
        <v>5</v>
      </c>
      <c r="AE930" t="n">
        <v>9</v>
      </c>
      <c r="AF930" t="n">
        <v>5</v>
      </c>
      <c r="AG930" t="n">
        <v>2</v>
      </c>
      <c r="AH930" t="n">
        <v>53</v>
      </c>
      <c r="AI930" t="n">
        <v>68</v>
      </c>
      <c r="AJ930" t="n">
        <v>31</v>
      </c>
      <c r="AK930" t="n">
        <v>39</v>
      </c>
      <c r="AL930" t="n">
        <v>4</v>
      </c>
      <c r="AM930" t="n">
        <v>13</v>
      </c>
      <c r="AN930" t="n">
        <v>0</v>
      </c>
      <c r="AO930" t="n">
        <v>0</v>
      </c>
      <c r="AP930" t="n">
        <v>5</v>
      </c>
      <c r="AQ930" t="n">
        <v>13</v>
      </c>
      <c r="AR930" t="n">
        <v>138</v>
      </c>
      <c r="AS930" t="n">
        <v>122</v>
      </c>
      <c r="AT930" t="n">
        <v>0</v>
      </c>
      <c r="AU930" t="n">
        <v>1</v>
      </c>
      <c r="AV930" t="n">
        <v>1</v>
      </c>
      <c r="AW930" t="n">
        <v>9</v>
      </c>
      <c r="AX930" t="n">
        <v>-1</v>
      </c>
      <c r="AY930" t="n">
        <v>45</v>
      </c>
      <c r="AZ930" t="n">
        <v>3</v>
      </c>
      <c r="BA930" t="n">
        <v>34</v>
      </c>
      <c r="BB930" t="n">
        <v>58</v>
      </c>
      <c r="BC930" t="n">
        <v>9</v>
      </c>
      <c r="BD930" t="n">
        <v>49</v>
      </c>
      <c r="BE930" t="n">
        <v>9</v>
      </c>
      <c r="BF930" t="n">
        <v>33</v>
      </c>
      <c r="BG930" t="n">
        <v>3</v>
      </c>
      <c r="BH930" t="n">
        <v>14</v>
      </c>
      <c r="BI930" t="n">
        <v>7</v>
      </c>
      <c r="BJ930" t="n">
        <v>15</v>
      </c>
      <c r="BK930" t="n">
        <v>3</v>
      </c>
      <c r="BL930" t="n">
        <v>47</v>
      </c>
      <c r="BM930" t="n">
        <v>34</v>
      </c>
      <c r="BN930" t="n">
        <v>3</v>
      </c>
      <c r="BO930" t="n">
        <v>145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105</v>
      </c>
      <c r="Z931" t="n">
        <v>192</v>
      </c>
      <c r="AA931" t="n">
        <v>34</v>
      </c>
      <c r="AB931" t="n">
        <v>2</v>
      </c>
      <c r="AC931" t="n">
        <v>0</v>
      </c>
      <c r="AD931" t="n">
        <v>6</v>
      </c>
      <c r="AE931" t="n">
        <v>5</v>
      </c>
      <c r="AF931" t="n">
        <v>4</v>
      </c>
      <c r="AG931" t="n">
        <v>5</v>
      </c>
      <c r="AH931" t="n">
        <v>39</v>
      </c>
      <c r="AI931" t="n">
        <v>21</v>
      </c>
      <c r="AJ931" t="n">
        <v>16</v>
      </c>
      <c r="AK931" t="n">
        <v>16</v>
      </c>
      <c r="AL931" t="n">
        <v>3</v>
      </c>
      <c r="AM931" t="n">
        <v>42</v>
      </c>
      <c r="AN931" t="n">
        <v>0</v>
      </c>
      <c r="AO931" t="n">
        <v>0</v>
      </c>
      <c r="AP931" t="n">
        <v>2</v>
      </c>
      <c r="AQ931" t="n">
        <v>1</v>
      </c>
      <c r="AR931" t="n">
        <v>130</v>
      </c>
      <c r="AS931" t="n">
        <v>120</v>
      </c>
      <c r="AT931" t="n">
        <v>2</v>
      </c>
      <c r="AU931" t="n">
        <v>3</v>
      </c>
      <c r="AV931" t="n">
        <v>14</v>
      </c>
      <c r="AW931" t="n">
        <v>23</v>
      </c>
      <c r="AX931" t="n">
        <v>15</v>
      </c>
      <c r="AY931" t="n">
        <v>47</v>
      </c>
      <c r="AZ931" t="n">
        <v>0</v>
      </c>
      <c r="BA931" t="n">
        <v>1</v>
      </c>
      <c r="BB931" t="n">
        <v>34</v>
      </c>
      <c r="BC931" t="n">
        <v>44</v>
      </c>
      <c r="BD931" t="n">
        <v>39</v>
      </c>
      <c r="BE931" t="n">
        <v>30</v>
      </c>
      <c r="BF931" t="n">
        <v>34</v>
      </c>
      <c r="BG931" t="n">
        <v>2</v>
      </c>
      <c r="BH931" t="n">
        <v>5</v>
      </c>
      <c r="BI931" t="n">
        <v>4</v>
      </c>
      <c r="BJ931" t="n">
        <v>38</v>
      </c>
      <c r="BK931" t="n">
        <v>3</v>
      </c>
      <c r="BL931" t="n">
        <v>30</v>
      </c>
      <c r="BM931" t="n">
        <v>25</v>
      </c>
      <c r="BN931" t="n">
        <v>4</v>
      </c>
      <c r="BO931" t="n">
        <v>40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203</v>
      </c>
      <c r="Z932" t="n">
        <v>145</v>
      </c>
      <c r="AA932" t="n">
        <v>60</v>
      </c>
      <c r="AB932" t="n">
        <v>0</v>
      </c>
      <c r="AC932" t="n">
        <v>0</v>
      </c>
      <c r="AD932" t="n">
        <v>4</v>
      </c>
      <c r="AE932" t="n">
        <v>5</v>
      </c>
      <c r="AF932" t="n">
        <v>1</v>
      </c>
      <c r="AG932" t="n">
        <v>6</v>
      </c>
      <c r="AH932" t="n">
        <v>30</v>
      </c>
      <c r="AI932" t="n">
        <v>38</v>
      </c>
      <c r="AJ932" t="n">
        <v>2</v>
      </c>
      <c r="AK932" t="n">
        <v>38</v>
      </c>
      <c r="AL932" t="n">
        <v>0</v>
      </c>
      <c r="AM932" t="n">
        <v>9</v>
      </c>
      <c r="AN932" t="n">
        <v>0</v>
      </c>
      <c r="AO932" t="n">
        <v>0</v>
      </c>
      <c r="AP932" t="n">
        <v>4</v>
      </c>
      <c r="AQ932" t="n">
        <v>24</v>
      </c>
      <c r="AR932" t="n">
        <v>90</v>
      </c>
      <c r="AS932" t="n">
        <v>70</v>
      </c>
      <c r="AT932" t="n">
        <v>5</v>
      </c>
      <c r="AU932" t="n">
        <v>5</v>
      </c>
      <c r="AV932" t="n">
        <v>40</v>
      </c>
      <c r="AW932" t="n">
        <v>45</v>
      </c>
      <c r="AX932" t="n">
        <v>4</v>
      </c>
      <c r="AY932" t="n">
        <v>95</v>
      </c>
      <c r="AZ932" t="n">
        <v>0</v>
      </c>
      <c r="BA932" t="n">
        <v>1</v>
      </c>
      <c r="BB932" t="n">
        <v>58</v>
      </c>
      <c r="BC932" t="n">
        <v>2</v>
      </c>
      <c r="BD932" t="n">
        <v>29</v>
      </c>
      <c r="BE932" t="n">
        <v>45</v>
      </c>
      <c r="BF932" t="n">
        <v>3</v>
      </c>
      <c r="BG932" t="n">
        <v>4</v>
      </c>
      <c r="BH932" t="n">
        <v>9</v>
      </c>
      <c r="BI932" t="n">
        <v>56</v>
      </c>
      <c r="BJ932" t="n">
        <v>50</v>
      </c>
      <c r="BK932" t="n">
        <v>4</v>
      </c>
      <c r="BL932" t="n">
        <v>21</v>
      </c>
      <c r="BM932" t="n">
        <v>22</v>
      </c>
      <c r="BN932" t="n">
        <v>6</v>
      </c>
      <c r="BO932" t="n">
        <v>49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265</v>
      </c>
      <c r="Z933" t="n">
        <v>227</v>
      </c>
      <c r="AA933" t="n">
        <v>110</v>
      </c>
      <c r="AB933" t="n">
        <v>2</v>
      </c>
      <c r="AC933" t="n">
        <v>1</v>
      </c>
      <c r="AD933" t="n">
        <v>6</v>
      </c>
      <c r="AE933" t="n">
        <v>4</v>
      </c>
      <c r="AF933" t="n">
        <v>6</v>
      </c>
      <c r="AG933" t="n">
        <v>5</v>
      </c>
      <c r="AH933" t="n">
        <v>37</v>
      </c>
      <c r="AI933" t="n">
        <v>22</v>
      </c>
      <c r="AJ933" t="n">
        <v>80</v>
      </c>
      <c r="AK933" t="n">
        <v>30</v>
      </c>
      <c r="AL933" t="n">
        <v>2</v>
      </c>
      <c r="AM933" t="n">
        <v>42</v>
      </c>
      <c r="AN933" t="n">
        <v>0</v>
      </c>
      <c r="AO933" t="n">
        <v>0</v>
      </c>
      <c r="AP933" t="n">
        <v>3</v>
      </c>
      <c r="AQ933" t="n">
        <v>16</v>
      </c>
      <c r="AR933" t="n">
        <v>117</v>
      </c>
      <c r="AS933" t="n">
        <v>100</v>
      </c>
      <c r="AT933" t="n">
        <v>2</v>
      </c>
      <c r="AU933" t="n">
        <v>2</v>
      </c>
      <c r="AV933" t="n">
        <v>18</v>
      </c>
      <c r="AW933" t="n">
        <v>39</v>
      </c>
      <c r="AX933" t="n">
        <v>0</v>
      </c>
      <c r="AY933" t="n">
        <v>1</v>
      </c>
      <c r="AZ933" t="n">
        <v>5</v>
      </c>
      <c r="BA933" t="n">
        <v>23</v>
      </c>
      <c r="BB933" t="n">
        <v>126</v>
      </c>
      <c r="BC933" t="n">
        <v>35</v>
      </c>
      <c r="BD933" t="n">
        <v>58</v>
      </c>
      <c r="BE933" t="n">
        <v>38</v>
      </c>
      <c r="BF933" t="n">
        <v>64</v>
      </c>
      <c r="BG933" t="n">
        <v>2</v>
      </c>
      <c r="BH933" t="n">
        <v>5</v>
      </c>
      <c r="BI933" t="n">
        <v>27</v>
      </c>
      <c r="BJ933" t="n">
        <v>32</v>
      </c>
      <c r="BK933" t="n">
        <v>3</v>
      </c>
      <c r="BL933" t="n">
        <v>7</v>
      </c>
      <c r="BM933" t="n">
        <v>8</v>
      </c>
      <c r="BN933" t="n">
        <v>3</v>
      </c>
      <c r="BO933" t="n">
        <v>37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270</v>
      </c>
      <c r="Z934" t="n">
        <v>201</v>
      </c>
      <c r="AA934" t="n">
        <v>151</v>
      </c>
      <c r="AB934" t="n">
        <v>2</v>
      </c>
      <c r="AC934" t="n">
        <v>1</v>
      </c>
      <c r="AD934" t="n">
        <v>3</v>
      </c>
      <c r="AE934" t="n">
        <v>5</v>
      </c>
      <c r="AF934" t="n">
        <v>4</v>
      </c>
      <c r="AG934" t="n">
        <v>2</v>
      </c>
      <c r="AH934" t="n">
        <v>64</v>
      </c>
      <c r="AI934" t="n">
        <v>107</v>
      </c>
      <c r="AJ934" t="n">
        <v>54</v>
      </c>
      <c r="AK934" t="n">
        <v>39</v>
      </c>
      <c r="AL934" t="n">
        <v>2</v>
      </c>
      <c r="AM934" t="n">
        <v>39</v>
      </c>
      <c r="AN934" t="n">
        <v>0</v>
      </c>
      <c r="AO934" t="n">
        <v>0</v>
      </c>
      <c r="AP934" t="n">
        <v>5</v>
      </c>
      <c r="AQ934" t="n">
        <v>59</v>
      </c>
      <c r="AR934" t="n">
        <v>95</v>
      </c>
      <c r="AS934" t="n">
        <v>44</v>
      </c>
      <c r="AT934" t="n">
        <v>2</v>
      </c>
      <c r="AU934" t="n">
        <v>1</v>
      </c>
      <c r="AV934" t="n">
        <v>20</v>
      </c>
      <c r="AW934" t="n">
        <v>13</v>
      </c>
      <c r="AX934" t="n">
        <v>1</v>
      </c>
      <c r="AY934" t="n">
        <v>5</v>
      </c>
      <c r="AZ934" t="n">
        <v>4</v>
      </c>
      <c r="BA934" t="n">
        <v>20</v>
      </c>
      <c r="BB934" t="n">
        <v>158</v>
      </c>
      <c r="BC934" t="n">
        <v>43</v>
      </c>
      <c r="BD934" t="n">
        <v>69</v>
      </c>
      <c r="BE934" t="n">
        <v>12</v>
      </c>
      <c r="BF934" t="n">
        <v>43</v>
      </c>
      <c r="BG934" t="n">
        <v>3</v>
      </c>
      <c r="BH934" t="n">
        <v>20</v>
      </c>
      <c r="BI934" t="n">
        <v>14</v>
      </c>
      <c r="BJ934" t="n">
        <v>18</v>
      </c>
      <c r="BK934" t="n">
        <v>0</v>
      </c>
      <c r="BL934" t="n">
        <v>20</v>
      </c>
      <c r="BM934" t="n">
        <v>28</v>
      </c>
      <c r="BN934" t="n">
        <v>11</v>
      </c>
      <c r="BO934" t="n">
        <v>2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2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281</v>
      </c>
      <c r="Z935" t="n">
        <v>93</v>
      </c>
      <c r="AA935" t="n">
        <v>26</v>
      </c>
      <c r="AB935" t="n">
        <v>1</v>
      </c>
      <c r="AC935" t="n">
        <v>3</v>
      </c>
      <c r="AD935" t="n">
        <v>5</v>
      </c>
      <c r="AE935" t="n">
        <v>4</v>
      </c>
      <c r="AF935" t="n">
        <v>1</v>
      </c>
      <c r="AG935" t="n">
        <v>8</v>
      </c>
      <c r="AH935" t="n">
        <v>126</v>
      </c>
      <c r="AI935" t="n">
        <v>43</v>
      </c>
      <c r="AJ935" t="n">
        <v>38</v>
      </c>
      <c r="AK935" t="n">
        <v>41</v>
      </c>
      <c r="AL935" t="n">
        <v>2</v>
      </c>
      <c r="AM935" t="n">
        <v>2</v>
      </c>
      <c r="AN935" t="n">
        <v>0</v>
      </c>
      <c r="AO935" t="n">
        <v>0</v>
      </c>
      <c r="AP935" t="n">
        <v>5</v>
      </c>
      <c r="AQ935" t="n">
        <v>10</v>
      </c>
      <c r="AR935" t="n">
        <v>141</v>
      </c>
      <c r="AS935" t="n">
        <v>126</v>
      </c>
      <c r="AT935" t="n">
        <v>1</v>
      </c>
      <c r="AU935" t="n">
        <v>2</v>
      </c>
      <c r="AV935" t="n">
        <v>1</v>
      </c>
      <c r="AW935" t="n">
        <v>14</v>
      </c>
      <c r="AX935" t="n">
        <v>2</v>
      </c>
      <c r="AY935" t="n">
        <v>35</v>
      </c>
      <c r="AZ935" t="n">
        <v>5</v>
      </c>
      <c r="BA935" t="n">
        <v>20</v>
      </c>
      <c r="BB935" t="n">
        <v>45</v>
      </c>
      <c r="BC935" t="n">
        <v>24</v>
      </c>
      <c r="BD935" t="n">
        <v>119</v>
      </c>
      <c r="BE935" t="n">
        <v>17</v>
      </c>
      <c r="BF935" t="n">
        <v>30</v>
      </c>
      <c r="BG935" t="n">
        <v>3</v>
      </c>
      <c r="BH935" t="n">
        <v>2</v>
      </c>
      <c r="BI935" t="n">
        <v>54</v>
      </c>
      <c r="BJ935" t="n">
        <v>54</v>
      </c>
      <c r="BK935" t="n">
        <v>0</v>
      </c>
      <c r="BL935" t="n">
        <v>1</v>
      </c>
      <c r="BM935" t="n">
        <v>15</v>
      </c>
      <c r="BN935" t="n">
        <v>8</v>
      </c>
      <c r="BO935" t="n">
        <v>2</v>
      </c>
    </row>
    <row r="936">
      <c r="A936" t="n">
        <v>0</v>
      </c>
      <c r="B936" t="n">
        <v>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3</v>
      </c>
      <c r="N936" t="n">
        <v>0</v>
      </c>
      <c r="O936" t="n">
        <v>0</v>
      </c>
      <c r="P936" t="n">
        <v>0</v>
      </c>
      <c r="Q936" t="n">
        <v>0</v>
      </c>
      <c r="R936" t="n">
        <v>2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294</v>
      </c>
      <c r="Z936" t="n">
        <v>275</v>
      </c>
      <c r="AA936" t="n">
        <v>30</v>
      </c>
      <c r="AB936" t="n">
        <v>2</v>
      </c>
      <c r="AC936" t="n">
        <v>0</v>
      </c>
      <c r="AD936" t="n">
        <v>3</v>
      </c>
      <c r="AE936" t="n">
        <v>7</v>
      </c>
      <c r="AF936" t="n">
        <v>10</v>
      </c>
      <c r="AG936" t="n">
        <v>1</v>
      </c>
      <c r="AH936" t="n">
        <v>28</v>
      </c>
      <c r="AI936" t="n">
        <v>138</v>
      </c>
      <c r="AJ936" t="n">
        <v>142</v>
      </c>
      <c r="AK936" t="n">
        <v>1</v>
      </c>
      <c r="AL936" t="n">
        <v>2</v>
      </c>
      <c r="AM936" t="n">
        <v>59</v>
      </c>
      <c r="AN936" t="n">
        <v>0</v>
      </c>
      <c r="AO936" t="n">
        <v>0</v>
      </c>
      <c r="AP936" t="n">
        <v>9</v>
      </c>
      <c r="AQ936" t="n">
        <v>45</v>
      </c>
      <c r="AR936" t="n">
        <v>137</v>
      </c>
      <c r="AS936" t="n">
        <v>99</v>
      </c>
      <c r="AT936" t="n">
        <v>2</v>
      </c>
      <c r="AU936" t="n">
        <v>0</v>
      </c>
      <c r="AV936" t="n">
        <v>1</v>
      </c>
      <c r="AW936" t="n">
        <v>1</v>
      </c>
      <c r="AX936" t="n">
        <v>10</v>
      </c>
      <c r="AY936" t="n">
        <v>54</v>
      </c>
      <c r="AZ936" t="n">
        <v>2</v>
      </c>
      <c r="BA936" t="n">
        <v>27</v>
      </c>
      <c r="BB936" t="n">
        <v>56</v>
      </c>
      <c r="BC936" t="n">
        <v>49</v>
      </c>
      <c r="BD936" t="n">
        <v>27</v>
      </c>
      <c r="BE936" t="n">
        <v>3</v>
      </c>
      <c r="BF936" t="n">
        <v>117</v>
      </c>
      <c r="BG936" t="n">
        <v>2</v>
      </c>
      <c r="BH936" t="n">
        <v>8</v>
      </c>
      <c r="BI936" t="n">
        <v>15</v>
      </c>
      <c r="BJ936" t="n">
        <v>12</v>
      </c>
      <c r="BK936" t="n">
        <v>1</v>
      </c>
      <c r="BL936" t="n">
        <v>18</v>
      </c>
      <c r="BM936" t="n">
        <v>14</v>
      </c>
      <c r="BN936" t="n">
        <v>3</v>
      </c>
      <c r="BO936" t="n">
        <v>51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127</v>
      </c>
      <c r="Z937" t="n">
        <v>152</v>
      </c>
      <c r="AA937" t="n">
        <v>104</v>
      </c>
      <c r="AB937" t="n">
        <v>0</v>
      </c>
      <c r="AC937" t="n">
        <v>0</v>
      </c>
      <c r="AD937" t="n">
        <v>1</v>
      </c>
      <c r="AE937" t="n">
        <v>0</v>
      </c>
      <c r="AF937" t="n">
        <v>1</v>
      </c>
      <c r="AG937" t="n">
        <v>7</v>
      </c>
      <c r="AH937" t="n">
        <v>26</v>
      </c>
      <c r="AI937" t="n">
        <v>12</v>
      </c>
      <c r="AJ937" t="n">
        <v>31</v>
      </c>
      <c r="AK937" t="n">
        <v>12</v>
      </c>
      <c r="AL937" t="n">
        <v>3</v>
      </c>
      <c r="AM937" t="n">
        <v>47</v>
      </c>
      <c r="AN937" t="n">
        <v>0</v>
      </c>
      <c r="AO937" t="n">
        <v>0</v>
      </c>
      <c r="AP937" t="n">
        <v>6</v>
      </c>
      <c r="AQ937" t="n">
        <v>47</v>
      </c>
      <c r="AR937" t="n">
        <v>121</v>
      </c>
      <c r="AS937" t="n">
        <v>82</v>
      </c>
      <c r="AT937" t="n">
        <v>2</v>
      </c>
      <c r="AU937" t="n">
        <v>1</v>
      </c>
      <c r="AV937" t="n">
        <v>14</v>
      </c>
      <c r="AW937" t="n">
        <v>9</v>
      </c>
      <c r="AX937" t="n">
        <v>0</v>
      </c>
      <c r="AY937" t="n">
        <v>47</v>
      </c>
      <c r="AZ937" t="n">
        <v>3</v>
      </c>
      <c r="BA937" t="n">
        <v>20</v>
      </c>
      <c r="BB937" t="n">
        <v>117</v>
      </c>
      <c r="BC937" t="n">
        <v>41</v>
      </c>
      <c r="BD937" t="n">
        <v>23</v>
      </c>
      <c r="BE937" t="n">
        <v>12</v>
      </c>
      <c r="BF937" t="n">
        <v>27</v>
      </c>
      <c r="BG937" t="n">
        <v>1</v>
      </c>
      <c r="BH937" t="n">
        <v>8</v>
      </c>
      <c r="BI937" t="n">
        <v>1</v>
      </c>
      <c r="BJ937" t="n">
        <v>4</v>
      </c>
      <c r="BK937" t="n">
        <v>1</v>
      </c>
      <c r="BL937" t="n">
        <v>1</v>
      </c>
      <c r="BM937" t="n">
        <v>1</v>
      </c>
      <c r="BN937" t="n">
        <v>0</v>
      </c>
      <c r="BO937" t="n">
        <v>44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162</v>
      </c>
      <c r="Z938" t="n">
        <v>251</v>
      </c>
      <c r="AA938" t="n">
        <v>12</v>
      </c>
      <c r="AB938" t="n">
        <v>2</v>
      </c>
      <c r="AC938" t="n">
        <v>0</v>
      </c>
      <c r="AD938" t="n">
        <v>4</v>
      </c>
      <c r="AE938" t="n">
        <v>9</v>
      </c>
      <c r="AF938" t="n">
        <v>3</v>
      </c>
      <c r="AG938" t="n">
        <v>2</v>
      </c>
      <c r="AH938" t="n">
        <v>55</v>
      </c>
      <c r="AI938" t="n">
        <v>74</v>
      </c>
      <c r="AJ938" t="n">
        <v>11</v>
      </c>
      <c r="AK938" t="n">
        <v>15</v>
      </c>
      <c r="AL938" t="n">
        <v>8</v>
      </c>
      <c r="AM938" t="n">
        <v>72</v>
      </c>
      <c r="AN938" t="n">
        <v>0</v>
      </c>
      <c r="AO938" t="n">
        <v>0</v>
      </c>
      <c r="AP938" t="n">
        <v>5</v>
      </c>
      <c r="AQ938" t="n">
        <v>32</v>
      </c>
      <c r="AR938" t="n">
        <v>164</v>
      </c>
      <c r="AS938" t="n">
        <v>133</v>
      </c>
      <c r="AT938" t="n">
        <v>3</v>
      </c>
      <c r="AU938" t="n">
        <v>2</v>
      </c>
      <c r="AV938" t="n">
        <v>42</v>
      </c>
      <c r="AW938" t="n">
        <v>13</v>
      </c>
      <c r="AX938" t="n">
        <v>3</v>
      </c>
      <c r="AY938" t="n">
        <v>13</v>
      </c>
      <c r="AZ938" t="n">
        <v>3</v>
      </c>
      <c r="BA938" t="n">
        <v>15</v>
      </c>
      <c r="BB938" t="n">
        <v>27</v>
      </c>
      <c r="BC938" t="n">
        <v>59</v>
      </c>
      <c r="BD938" t="n">
        <v>57</v>
      </c>
      <c r="BE938" t="n">
        <v>13</v>
      </c>
      <c r="BF938" t="n">
        <v>9</v>
      </c>
      <c r="BG938" t="n">
        <v>2</v>
      </c>
      <c r="BH938" t="n">
        <v>1</v>
      </c>
      <c r="BI938" t="n">
        <v>1</v>
      </c>
      <c r="BJ938" t="n">
        <v>2</v>
      </c>
      <c r="BK938" t="n">
        <v>0</v>
      </c>
      <c r="BL938" t="n">
        <v>31</v>
      </c>
      <c r="BM938" t="n">
        <v>45</v>
      </c>
      <c r="BN938" t="n">
        <v>17</v>
      </c>
      <c r="BO938" t="n">
        <v>25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238</v>
      </c>
      <c r="Z939" t="n">
        <v>74</v>
      </c>
      <c r="AA939" t="n">
        <v>78</v>
      </c>
      <c r="AB939" t="n">
        <v>0</v>
      </c>
      <c r="AC939" t="n">
        <v>0</v>
      </c>
      <c r="AD939" t="n">
        <v>2</v>
      </c>
      <c r="AE939" t="n">
        <v>1</v>
      </c>
      <c r="AF939" t="n">
        <v>1</v>
      </c>
      <c r="AG939" t="n">
        <v>3</v>
      </c>
      <c r="AH939" t="n">
        <v>56</v>
      </c>
      <c r="AI939" t="n">
        <v>18</v>
      </c>
      <c r="AJ939" t="n">
        <v>16</v>
      </c>
      <c r="AK939" t="n">
        <v>56</v>
      </c>
      <c r="AL939" t="n">
        <v>2</v>
      </c>
      <c r="AM939" t="n">
        <v>31</v>
      </c>
      <c r="AN939" t="n">
        <v>0</v>
      </c>
      <c r="AO939" t="n">
        <v>0</v>
      </c>
      <c r="AP939" t="n">
        <v>12</v>
      </c>
      <c r="AQ939" t="n">
        <v>68</v>
      </c>
      <c r="AR939" t="n">
        <v>115</v>
      </c>
      <c r="AS939" t="n">
        <v>56</v>
      </c>
      <c r="AT939" t="n">
        <v>1</v>
      </c>
      <c r="AU939" t="n">
        <v>0</v>
      </c>
      <c r="AV939" t="n">
        <v>5</v>
      </c>
      <c r="AW939" t="n">
        <v>1</v>
      </c>
      <c r="AX939" t="n">
        <v>17</v>
      </c>
      <c r="AY939" t="n">
        <v>75</v>
      </c>
      <c r="AZ939" t="n">
        <v>0</v>
      </c>
      <c r="BA939" t="n">
        <v>1</v>
      </c>
      <c r="BB939" t="n">
        <v>76</v>
      </c>
      <c r="BC939" t="n">
        <v>36</v>
      </c>
      <c r="BD939" t="n">
        <v>50</v>
      </c>
      <c r="BE939" t="n">
        <v>1</v>
      </c>
      <c r="BF939" t="n">
        <v>15</v>
      </c>
      <c r="BG939" t="n">
        <v>2</v>
      </c>
      <c r="BH939" t="n">
        <v>14</v>
      </c>
      <c r="BI939" t="n">
        <v>15</v>
      </c>
      <c r="BJ939" t="n">
        <v>14</v>
      </c>
      <c r="BK939" t="n">
        <v>0</v>
      </c>
      <c r="BL939" t="n">
        <v>1</v>
      </c>
      <c r="BM939" t="n">
        <v>1</v>
      </c>
      <c r="BN939" t="n">
        <v>0</v>
      </c>
      <c r="BO939" t="n">
        <v>11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3</v>
      </c>
      <c r="N940" t="n">
        <v>0</v>
      </c>
      <c r="O940" t="n">
        <v>0</v>
      </c>
      <c r="P940" t="n">
        <v>0</v>
      </c>
      <c r="Q940" t="n">
        <v>0</v>
      </c>
      <c r="R940" t="n">
        <v>2</v>
      </c>
      <c r="S940" t="n">
        <v>0</v>
      </c>
      <c r="T940" t="n">
        <v>2</v>
      </c>
      <c r="U940" t="n">
        <v>0</v>
      </c>
      <c r="V940" t="n">
        <v>0</v>
      </c>
      <c r="W940" t="n">
        <v>0</v>
      </c>
      <c r="X940" t="n">
        <v>0</v>
      </c>
      <c r="Y940" t="n">
        <v>184</v>
      </c>
      <c r="Z940" t="n">
        <v>172</v>
      </c>
      <c r="AA940" t="n">
        <v>5</v>
      </c>
      <c r="AB940" t="n">
        <v>2</v>
      </c>
      <c r="AC940" t="n">
        <v>0</v>
      </c>
      <c r="AD940" t="n">
        <v>3</v>
      </c>
      <c r="AE940" t="n">
        <v>5</v>
      </c>
      <c r="AF940" t="n">
        <v>4</v>
      </c>
      <c r="AG940" t="n">
        <v>1</v>
      </c>
      <c r="AH940" t="n">
        <v>21</v>
      </c>
      <c r="AI940" t="n">
        <v>26</v>
      </c>
      <c r="AJ940" t="n">
        <v>36</v>
      </c>
      <c r="AK940" t="n">
        <v>16</v>
      </c>
      <c r="AL940" t="n">
        <v>1</v>
      </c>
      <c r="AM940" t="n">
        <v>50</v>
      </c>
      <c r="AN940" t="n">
        <v>0</v>
      </c>
      <c r="AO940" t="n">
        <v>0</v>
      </c>
      <c r="AP940" t="n">
        <v>4</v>
      </c>
      <c r="AQ940" t="n">
        <v>87</v>
      </c>
      <c r="AR940" t="n">
        <v>195</v>
      </c>
      <c r="AS940" t="n">
        <v>120</v>
      </c>
      <c r="AT940" t="n">
        <v>3</v>
      </c>
      <c r="AU940" t="n">
        <v>1</v>
      </c>
      <c r="AV940" t="n">
        <v>29</v>
      </c>
      <c r="AW940" t="n">
        <v>13</v>
      </c>
      <c r="AX940" t="n">
        <v>7</v>
      </c>
      <c r="AY940" t="n">
        <v>-3</v>
      </c>
      <c r="AZ940" t="n">
        <v>3</v>
      </c>
      <c r="BA940" t="n">
        <v>36</v>
      </c>
      <c r="BB940" t="n">
        <v>48</v>
      </c>
      <c r="BC940" t="n">
        <v>42</v>
      </c>
      <c r="BD940" t="n">
        <v>23</v>
      </c>
      <c r="BE940" t="n">
        <v>15</v>
      </c>
      <c r="BF940" t="n">
        <v>26</v>
      </c>
      <c r="BG940" t="n">
        <v>2</v>
      </c>
      <c r="BH940" t="n">
        <v>8</v>
      </c>
      <c r="BI940" t="n">
        <v>23</v>
      </c>
      <c r="BJ940" t="n">
        <v>22</v>
      </c>
      <c r="BK940" t="n">
        <v>0</v>
      </c>
      <c r="BL940" t="n">
        <v>3</v>
      </c>
      <c r="BM940" t="n">
        <v>7</v>
      </c>
      <c r="BN940" t="n">
        <v>4</v>
      </c>
      <c r="BO940" t="n">
        <v>42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297</v>
      </c>
      <c r="Z941" t="n">
        <v>122</v>
      </c>
      <c r="AA941" t="n">
        <v>33</v>
      </c>
      <c r="AB941" t="n">
        <v>3</v>
      </c>
      <c r="AC941" t="n">
        <v>0</v>
      </c>
      <c r="AD941" t="n">
        <v>10</v>
      </c>
      <c r="AE941" t="n">
        <v>6</v>
      </c>
      <c r="AF941" t="n">
        <v>2</v>
      </c>
      <c r="AG941" t="n">
        <v>2</v>
      </c>
      <c r="AH941" t="n">
        <v>110</v>
      </c>
      <c r="AI941" t="n">
        <v>45</v>
      </c>
      <c r="AJ941" t="n">
        <v>11</v>
      </c>
      <c r="AK941" t="n">
        <v>80</v>
      </c>
      <c r="AL941" t="n">
        <v>5</v>
      </c>
      <c r="AM941" t="n">
        <v>3</v>
      </c>
      <c r="AN941" t="n">
        <v>0</v>
      </c>
      <c r="AO941" t="n">
        <v>0</v>
      </c>
      <c r="AP941" t="n">
        <v>11</v>
      </c>
      <c r="AQ941" t="n">
        <v>47</v>
      </c>
      <c r="AR941" t="n">
        <v>113</v>
      </c>
      <c r="AS941" t="n">
        <v>72</v>
      </c>
      <c r="AT941" t="n">
        <v>1</v>
      </c>
      <c r="AU941" t="n">
        <v>2</v>
      </c>
      <c r="AV941" t="n">
        <v>10</v>
      </c>
      <c r="AW941" t="n">
        <v>4</v>
      </c>
      <c r="AX941" t="n">
        <v>14</v>
      </c>
      <c r="AY941" t="n">
        <v>22</v>
      </c>
      <c r="AZ941" t="n">
        <v>0</v>
      </c>
      <c r="BA941" t="n">
        <v>1</v>
      </c>
      <c r="BB941" t="n">
        <v>33</v>
      </c>
      <c r="BC941" t="n">
        <v>2</v>
      </c>
      <c r="BD941" t="n">
        <v>101</v>
      </c>
      <c r="BE941" t="n">
        <v>7</v>
      </c>
      <c r="BF941" t="n">
        <v>16</v>
      </c>
      <c r="BG941" t="n">
        <v>3</v>
      </c>
      <c r="BH941" t="n">
        <v>9</v>
      </c>
      <c r="BI941" t="n">
        <v>48</v>
      </c>
      <c r="BJ941" t="n">
        <v>52</v>
      </c>
      <c r="BK941" t="n">
        <v>0</v>
      </c>
      <c r="BL941" t="n">
        <v>1</v>
      </c>
      <c r="BM941" t="n">
        <v>5</v>
      </c>
      <c r="BN941" t="n">
        <v>2</v>
      </c>
      <c r="BO941" t="n">
        <v>42</v>
      </c>
    </row>
    <row r="942">
      <c r="A942" t="n">
        <v>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</v>
      </c>
      <c r="U942" t="n">
        <v>0</v>
      </c>
      <c r="V942" t="n">
        <v>1</v>
      </c>
      <c r="W942" t="n">
        <v>0</v>
      </c>
      <c r="X942" t="n">
        <v>0</v>
      </c>
      <c r="Y942" t="n">
        <v>195</v>
      </c>
      <c r="Z942" t="n">
        <v>240</v>
      </c>
      <c r="AA942" t="n">
        <v>50</v>
      </c>
      <c r="AB942" t="n">
        <v>3</v>
      </c>
      <c r="AC942" t="n">
        <v>0</v>
      </c>
      <c r="AD942" t="n">
        <v>4</v>
      </c>
      <c r="AE942" t="n">
        <v>4</v>
      </c>
      <c r="AF942" t="n">
        <v>2</v>
      </c>
      <c r="AG942" t="n">
        <v>5</v>
      </c>
      <c r="AH942" t="n">
        <v>48</v>
      </c>
      <c r="AI942" t="n">
        <v>28</v>
      </c>
      <c r="AJ942" t="n">
        <v>39</v>
      </c>
      <c r="AK942" t="n">
        <v>32</v>
      </c>
      <c r="AL942" t="n">
        <v>8</v>
      </c>
      <c r="AM942" t="n">
        <v>114</v>
      </c>
      <c r="AN942" t="n">
        <v>0</v>
      </c>
      <c r="AO942" t="n">
        <v>0</v>
      </c>
      <c r="AP942" t="n">
        <v>3</v>
      </c>
      <c r="AQ942" t="n">
        <v>23</v>
      </c>
      <c r="AR942" t="n">
        <v>210</v>
      </c>
      <c r="AS942" t="n">
        <v>190</v>
      </c>
      <c r="AT942" t="n">
        <v>2</v>
      </c>
      <c r="AU942" t="n">
        <v>1</v>
      </c>
      <c r="AV942" t="n">
        <v>42</v>
      </c>
      <c r="AW942" t="n">
        <v>14</v>
      </c>
      <c r="AX942" t="n">
        <v>2</v>
      </c>
      <c r="AY942" t="n">
        <v>19</v>
      </c>
      <c r="AZ942" t="n">
        <v>2</v>
      </c>
      <c r="BA942" t="n">
        <v>26</v>
      </c>
      <c r="BB942" t="n">
        <v>74</v>
      </c>
      <c r="BC942" t="n">
        <v>137</v>
      </c>
      <c r="BD942" t="n">
        <v>44</v>
      </c>
      <c r="BE942" t="n">
        <v>15</v>
      </c>
      <c r="BF942" t="n">
        <v>32</v>
      </c>
      <c r="BG942" t="n">
        <v>0</v>
      </c>
      <c r="BH942" t="n">
        <v>8</v>
      </c>
      <c r="BI942" t="n">
        <v>1</v>
      </c>
      <c r="BJ942" t="n">
        <v>1</v>
      </c>
      <c r="BK942" t="n">
        <v>4</v>
      </c>
      <c r="BL942" t="n">
        <v>22</v>
      </c>
      <c r="BM942" t="n">
        <v>50</v>
      </c>
      <c r="BN942" t="n">
        <v>25</v>
      </c>
      <c r="BO942" t="n">
        <v>42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145</v>
      </c>
      <c r="Z943" t="n">
        <v>154</v>
      </c>
      <c r="AA943" t="n">
        <v>86</v>
      </c>
      <c r="AB943" t="n">
        <v>6</v>
      </c>
      <c r="AC943" t="n">
        <v>2</v>
      </c>
      <c r="AD943" t="n">
        <v>2</v>
      </c>
      <c r="AE943" t="n">
        <v>7</v>
      </c>
      <c r="AF943" t="n">
        <v>0</v>
      </c>
      <c r="AG943" t="n">
        <v>3</v>
      </c>
      <c r="AH943" t="n">
        <v>15</v>
      </c>
      <c r="AI943" t="n">
        <v>43</v>
      </c>
      <c r="AJ943" t="n">
        <v>2</v>
      </c>
      <c r="AK943" t="n">
        <v>78</v>
      </c>
      <c r="AL943" t="n">
        <v>3</v>
      </c>
      <c r="AM943" t="n">
        <v>24</v>
      </c>
      <c r="AN943" t="n">
        <v>1</v>
      </c>
      <c r="AO943" t="n">
        <v>0</v>
      </c>
      <c r="AP943" t="n">
        <v>4</v>
      </c>
      <c r="AQ943" t="n">
        <v>23</v>
      </c>
      <c r="AR943" t="n">
        <v>57</v>
      </c>
      <c r="AS943" t="n">
        <v>38</v>
      </c>
      <c r="AT943" t="n">
        <v>2</v>
      </c>
      <c r="AU943" t="n">
        <v>0</v>
      </c>
      <c r="AV943" t="n">
        <v>8</v>
      </c>
      <c r="AW943" t="n">
        <v>1</v>
      </c>
      <c r="AX943" t="n">
        <v>0</v>
      </c>
      <c r="AY943" t="n">
        <v>31</v>
      </c>
      <c r="AZ943" t="n">
        <v>5</v>
      </c>
      <c r="BA943" t="n">
        <v>35</v>
      </c>
      <c r="BB943" t="n">
        <v>116</v>
      </c>
      <c r="BC943" t="n">
        <v>23</v>
      </c>
      <c r="BD943" t="n">
        <v>13</v>
      </c>
      <c r="BE943" t="n">
        <v>5</v>
      </c>
      <c r="BF943" t="n">
        <v>2</v>
      </c>
      <c r="BG943" t="n">
        <v>3</v>
      </c>
      <c r="BH943" t="n">
        <v>14</v>
      </c>
      <c r="BI943" t="n">
        <v>13</v>
      </c>
      <c r="BJ943" t="n">
        <v>11</v>
      </c>
      <c r="BK943" t="n">
        <v>0</v>
      </c>
      <c r="BL943" t="n">
        <v>8</v>
      </c>
      <c r="BM943" t="n">
        <v>12</v>
      </c>
      <c r="BN943" t="n">
        <v>4</v>
      </c>
      <c r="BO943" t="n">
        <v>2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</v>
      </c>
      <c r="S944" t="n">
        <v>0</v>
      </c>
      <c r="T944" t="n">
        <v>0</v>
      </c>
      <c r="U944" t="n">
        <v>1</v>
      </c>
      <c r="V944" t="n">
        <v>0</v>
      </c>
      <c r="W944" t="n">
        <v>2</v>
      </c>
      <c r="X944" t="n">
        <v>0</v>
      </c>
      <c r="Y944" t="n">
        <v>253</v>
      </c>
      <c r="Z944" t="n">
        <v>232</v>
      </c>
      <c r="AA944" t="n">
        <v>108</v>
      </c>
      <c r="AB944" t="n">
        <v>0</v>
      </c>
      <c r="AC944" t="n">
        <v>1</v>
      </c>
      <c r="AD944" t="n">
        <v>4</v>
      </c>
      <c r="AE944" t="n">
        <v>7</v>
      </c>
      <c r="AF944" t="n">
        <v>5</v>
      </c>
      <c r="AG944" t="n">
        <v>7</v>
      </c>
      <c r="AH944" t="n">
        <v>92</v>
      </c>
      <c r="AI944" t="n">
        <v>44</v>
      </c>
      <c r="AJ944" t="n">
        <v>29</v>
      </c>
      <c r="AK944" t="n">
        <v>35</v>
      </c>
      <c r="AL944" t="n">
        <v>7</v>
      </c>
      <c r="AM944" t="n">
        <v>55</v>
      </c>
      <c r="AN944" t="n">
        <v>0</v>
      </c>
      <c r="AO944" t="n">
        <v>0</v>
      </c>
      <c r="AP944" t="n">
        <v>3</v>
      </c>
      <c r="AQ944" t="n">
        <v>9</v>
      </c>
      <c r="AR944" t="n">
        <v>54</v>
      </c>
      <c r="AS944" t="n">
        <v>48</v>
      </c>
      <c r="AT944" t="n">
        <v>4</v>
      </c>
      <c r="AU944" t="n">
        <v>2</v>
      </c>
      <c r="AV944" t="n">
        <v>23</v>
      </c>
      <c r="AW944" t="n">
        <v>12</v>
      </c>
      <c r="AX944" t="n">
        <v>3</v>
      </c>
      <c r="AY944" t="n">
        <v>63</v>
      </c>
      <c r="AZ944" t="n">
        <v>2</v>
      </c>
      <c r="BA944" t="n">
        <v>18</v>
      </c>
      <c r="BB944" t="n">
        <v>120</v>
      </c>
      <c r="BC944" t="n">
        <v>66</v>
      </c>
      <c r="BD944" t="n">
        <v>83</v>
      </c>
      <c r="BE944" t="n">
        <v>11</v>
      </c>
      <c r="BF944" t="n">
        <v>31</v>
      </c>
      <c r="BG944" t="n">
        <v>4</v>
      </c>
      <c r="BH944" t="n">
        <v>13</v>
      </c>
      <c r="BI944" t="n">
        <v>53</v>
      </c>
      <c r="BJ944" t="n">
        <v>66</v>
      </c>
      <c r="BK944" t="n">
        <v>2</v>
      </c>
      <c r="BL944" t="n">
        <v>26</v>
      </c>
      <c r="BM944" t="n">
        <v>17</v>
      </c>
      <c r="BN944" t="n">
        <v>0</v>
      </c>
      <c r="BO944" t="n">
        <v>18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</v>
      </c>
      <c r="U945" t="n">
        <v>0</v>
      </c>
      <c r="V945" t="n">
        <v>0</v>
      </c>
      <c r="W945" t="n">
        <v>0</v>
      </c>
      <c r="X945" t="n">
        <v>0</v>
      </c>
      <c r="Y945" t="n">
        <v>294</v>
      </c>
      <c r="Z945" t="n">
        <v>375</v>
      </c>
      <c r="AA945" t="n">
        <v>106</v>
      </c>
      <c r="AB945" t="n">
        <v>1</v>
      </c>
      <c r="AC945" t="n">
        <v>0</v>
      </c>
      <c r="AD945" t="n">
        <v>4</v>
      </c>
      <c r="AE945" t="n">
        <v>9</v>
      </c>
      <c r="AF945" t="n">
        <v>6</v>
      </c>
      <c r="AG945" t="n">
        <v>5</v>
      </c>
      <c r="AH945" t="n">
        <v>52</v>
      </c>
      <c r="AI945" t="n">
        <v>172</v>
      </c>
      <c r="AJ945" t="n">
        <v>103</v>
      </c>
      <c r="AK945" t="n">
        <v>36</v>
      </c>
      <c r="AL945" t="n">
        <v>5</v>
      </c>
      <c r="AM945" t="n">
        <v>94</v>
      </c>
      <c r="AN945" t="n">
        <v>0</v>
      </c>
      <c r="AO945" t="n">
        <v>0</v>
      </c>
      <c r="AP945" t="n">
        <v>3</v>
      </c>
      <c r="AQ945" t="n">
        <v>12</v>
      </c>
      <c r="AR945" t="n">
        <v>53</v>
      </c>
      <c r="AS945" t="n">
        <v>42</v>
      </c>
      <c r="AT945" t="n">
        <v>7</v>
      </c>
      <c r="AU945" t="n">
        <v>1</v>
      </c>
      <c r="AV945" t="n">
        <v>105</v>
      </c>
      <c r="AW945" t="n">
        <v>14</v>
      </c>
      <c r="AX945" t="n">
        <v>0</v>
      </c>
      <c r="AY945" t="n">
        <v>56</v>
      </c>
      <c r="AZ945" t="n">
        <v>6</v>
      </c>
      <c r="BA945" t="n">
        <v>103</v>
      </c>
      <c r="BB945" t="n">
        <v>215</v>
      </c>
      <c r="BC945" t="n">
        <v>78</v>
      </c>
      <c r="BD945" t="n">
        <v>46</v>
      </c>
      <c r="BE945" t="n">
        <v>14</v>
      </c>
      <c r="BF945" t="n">
        <v>84</v>
      </c>
      <c r="BG945" t="n">
        <v>3</v>
      </c>
      <c r="BH945" t="n">
        <v>5</v>
      </c>
      <c r="BI945" t="n">
        <v>12</v>
      </c>
      <c r="BJ945" t="n">
        <v>10</v>
      </c>
      <c r="BK945" t="n">
        <v>3</v>
      </c>
      <c r="BL945" t="n">
        <v>10</v>
      </c>
      <c r="BM945" t="n">
        <v>73</v>
      </c>
      <c r="BN945" t="n">
        <v>46</v>
      </c>
      <c r="BO945" t="n">
        <v>4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353</v>
      </c>
      <c r="Z946" t="n">
        <v>166</v>
      </c>
      <c r="AA946" t="n">
        <v>45</v>
      </c>
      <c r="AB946" t="n">
        <v>1</v>
      </c>
      <c r="AC946" t="n">
        <v>0</v>
      </c>
      <c r="AD946" t="n">
        <v>3</v>
      </c>
      <c r="AE946" t="n">
        <v>8</v>
      </c>
      <c r="AF946" t="n">
        <v>2</v>
      </c>
      <c r="AG946" t="n">
        <v>3</v>
      </c>
      <c r="AH946" t="n">
        <v>44</v>
      </c>
      <c r="AI946" t="n">
        <v>57</v>
      </c>
      <c r="AJ946" t="n">
        <v>47</v>
      </c>
      <c r="AK946" t="n">
        <v>41</v>
      </c>
      <c r="AL946" t="n">
        <v>3</v>
      </c>
      <c r="AM946" t="n">
        <v>18</v>
      </c>
      <c r="AN946" t="n">
        <v>0</v>
      </c>
      <c r="AO946" t="n">
        <v>0</v>
      </c>
      <c r="AP946" t="n">
        <v>4</v>
      </c>
      <c r="AQ946" t="n">
        <v>58</v>
      </c>
      <c r="AR946" t="n">
        <v>181</v>
      </c>
      <c r="AS946" t="n">
        <v>126</v>
      </c>
      <c r="AT946" t="n">
        <v>1</v>
      </c>
      <c r="AU946" t="n">
        <v>2</v>
      </c>
      <c r="AV946" t="n">
        <v>4</v>
      </c>
      <c r="AW946" t="n">
        <v>20</v>
      </c>
      <c r="AX946" t="n">
        <v>6</v>
      </c>
      <c r="AY946" t="n">
        <v>55</v>
      </c>
      <c r="AZ946" t="n">
        <v>2</v>
      </c>
      <c r="BA946" t="n">
        <v>12</v>
      </c>
      <c r="BB946" t="n">
        <v>56</v>
      </c>
      <c r="BC946" t="n">
        <v>28</v>
      </c>
      <c r="BD946" t="n">
        <v>46</v>
      </c>
      <c r="BE946" t="n">
        <v>20</v>
      </c>
      <c r="BF946" t="n">
        <v>71</v>
      </c>
      <c r="BG946" t="n">
        <v>8</v>
      </c>
      <c r="BH946" t="n">
        <v>22</v>
      </c>
      <c r="BI946" t="n">
        <v>117</v>
      </c>
      <c r="BJ946" t="n">
        <v>103</v>
      </c>
      <c r="BK946" t="n">
        <v>4</v>
      </c>
      <c r="BL946" t="n">
        <v>35</v>
      </c>
      <c r="BM946" t="n">
        <v>37</v>
      </c>
      <c r="BN946" t="n">
        <v>11</v>
      </c>
      <c r="BO946" t="n">
        <v>14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5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301</v>
      </c>
      <c r="Z947" t="n">
        <v>321</v>
      </c>
      <c r="AA947" t="n">
        <v>81</v>
      </c>
      <c r="AB947" t="n">
        <v>1</v>
      </c>
      <c r="AC947" t="n">
        <v>1</v>
      </c>
      <c r="AD947" t="n">
        <v>3</v>
      </c>
      <c r="AE947" t="n">
        <v>4</v>
      </c>
      <c r="AF947" t="n">
        <v>4</v>
      </c>
      <c r="AG947" t="n">
        <v>3</v>
      </c>
      <c r="AH947" t="n">
        <v>74</v>
      </c>
      <c r="AI947" t="n">
        <v>56</v>
      </c>
      <c r="AJ947" t="n">
        <v>67</v>
      </c>
      <c r="AK947" t="n">
        <v>15</v>
      </c>
      <c r="AL947" t="n">
        <v>4</v>
      </c>
      <c r="AM947" t="n">
        <v>140</v>
      </c>
      <c r="AN947" t="n">
        <v>0</v>
      </c>
      <c r="AO947" t="n">
        <v>0</v>
      </c>
      <c r="AP947" t="n">
        <v>6</v>
      </c>
      <c r="AQ947" t="n">
        <v>56</v>
      </c>
      <c r="AR947" t="n">
        <v>200</v>
      </c>
      <c r="AS947" t="n">
        <v>152</v>
      </c>
      <c r="AT947" t="n">
        <v>1</v>
      </c>
      <c r="AU947" t="n">
        <v>2</v>
      </c>
      <c r="AV947" t="n">
        <v>1</v>
      </c>
      <c r="AW947" t="n">
        <v>40</v>
      </c>
      <c r="AX947" t="n">
        <v>0</v>
      </c>
      <c r="AY947" t="n">
        <v>56</v>
      </c>
      <c r="AZ947" t="n">
        <v>7</v>
      </c>
      <c r="BA947" t="n">
        <v>54</v>
      </c>
      <c r="BB947" t="n">
        <v>135</v>
      </c>
      <c r="BC947" t="n">
        <v>116</v>
      </c>
      <c r="BD947" t="n">
        <v>66</v>
      </c>
      <c r="BE947" t="n">
        <v>39</v>
      </c>
      <c r="BF947" t="n">
        <v>53</v>
      </c>
      <c r="BG947" t="n">
        <v>2</v>
      </c>
      <c r="BH947" t="n">
        <v>0</v>
      </c>
      <c r="BI947" t="n">
        <v>50</v>
      </c>
      <c r="BJ947" t="n">
        <v>46</v>
      </c>
      <c r="BK947" t="n">
        <v>3</v>
      </c>
      <c r="BL947" t="n">
        <v>1</v>
      </c>
      <c r="BM947" t="n">
        <v>22</v>
      </c>
      <c r="BN947" t="n">
        <v>12</v>
      </c>
      <c r="BO947" t="n">
        <v>2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258</v>
      </c>
      <c r="Z948" t="n">
        <v>185</v>
      </c>
      <c r="AA948" t="n">
        <v>89</v>
      </c>
      <c r="AB948" t="n">
        <v>3</v>
      </c>
      <c r="AC948" t="n">
        <v>2</v>
      </c>
      <c r="AD948" t="n">
        <v>5</v>
      </c>
      <c r="AE948" t="n">
        <v>7</v>
      </c>
      <c r="AF948" t="n">
        <v>5</v>
      </c>
      <c r="AG948" t="n">
        <v>5</v>
      </c>
      <c r="AH948" t="n">
        <v>66</v>
      </c>
      <c r="AI948" t="n">
        <v>75</v>
      </c>
      <c r="AJ948" t="n">
        <v>28</v>
      </c>
      <c r="AK948" t="n">
        <v>56</v>
      </c>
      <c r="AL948" t="n">
        <v>3</v>
      </c>
      <c r="AM948" t="n">
        <v>50</v>
      </c>
      <c r="AN948" t="n">
        <v>0</v>
      </c>
      <c r="AO948" t="n">
        <v>0</v>
      </c>
      <c r="AP948" t="n">
        <v>3</v>
      </c>
      <c r="AQ948" t="n">
        <v>10</v>
      </c>
      <c r="AR948" t="n">
        <v>170</v>
      </c>
      <c r="AS948" t="n">
        <v>154</v>
      </c>
      <c r="AT948" t="n">
        <v>4</v>
      </c>
      <c r="AU948" t="n">
        <v>0</v>
      </c>
      <c r="AV948" t="n">
        <v>6</v>
      </c>
      <c r="AW948" t="n">
        <v>4</v>
      </c>
      <c r="AX948" t="n">
        <v>2</v>
      </c>
      <c r="AY948" t="n">
        <v>9</v>
      </c>
      <c r="AZ948" t="n">
        <v>1</v>
      </c>
      <c r="BA948" t="n">
        <v>1</v>
      </c>
      <c r="BB948" t="n">
        <v>86</v>
      </c>
      <c r="BC948" t="n">
        <v>61</v>
      </c>
      <c r="BD948" t="n">
        <v>59</v>
      </c>
      <c r="BE948" t="n">
        <v>4</v>
      </c>
      <c r="BF948" t="n">
        <v>32</v>
      </c>
      <c r="BG948" t="n">
        <v>0</v>
      </c>
      <c r="BH948" t="n">
        <v>12</v>
      </c>
      <c r="BI948" t="n">
        <v>23</v>
      </c>
      <c r="BJ948" t="n">
        <v>34</v>
      </c>
      <c r="BK948" t="n">
        <v>3</v>
      </c>
      <c r="BL948" t="n">
        <v>15</v>
      </c>
      <c r="BM948" t="n">
        <v>11</v>
      </c>
      <c r="BN948" t="n">
        <v>0</v>
      </c>
      <c r="BO948" t="n">
        <v>11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2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348</v>
      </c>
      <c r="Z949" t="n">
        <v>190</v>
      </c>
      <c r="AA949" t="n">
        <v>45</v>
      </c>
      <c r="AB949" t="n">
        <v>2</v>
      </c>
      <c r="AC949" t="n">
        <v>0</v>
      </c>
      <c r="AD949" t="n">
        <v>1</v>
      </c>
      <c r="AE949" t="n">
        <v>3</v>
      </c>
      <c r="AF949" t="n">
        <v>4</v>
      </c>
      <c r="AG949" t="n">
        <v>3</v>
      </c>
      <c r="AH949" t="n">
        <v>2</v>
      </c>
      <c r="AI949" t="n">
        <v>18</v>
      </c>
      <c r="AJ949" t="n">
        <v>74</v>
      </c>
      <c r="AK949" t="n">
        <v>53</v>
      </c>
      <c r="AL949" t="n">
        <v>5</v>
      </c>
      <c r="AM949" t="n">
        <v>99</v>
      </c>
      <c r="AN949" t="n">
        <v>0</v>
      </c>
      <c r="AO949" t="n">
        <v>0</v>
      </c>
      <c r="AP949" t="n">
        <v>9</v>
      </c>
      <c r="AQ949" t="n">
        <v>91</v>
      </c>
      <c r="AR949" t="n">
        <v>178</v>
      </c>
      <c r="AS949" t="n">
        <v>98</v>
      </c>
      <c r="AT949" t="n">
        <v>2</v>
      </c>
      <c r="AU949" t="n">
        <v>0</v>
      </c>
      <c r="AV949" t="n">
        <v>12</v>
      </c>
      <c r="AW949" t="n">
        <v>1</v>
      </c>
      <c r="AX949" t="n">
        <v>0</v>
      </c>
      <c r="AY949" t="n">
        <v>24</v>
      </c>
      <c r="AZ949" t="n">
        <v>3</v>
      </c>
      <c r="BA949" t="n">
        <v>7</v>
      </c>
      <c r="BB949" t="n">
        <v>51</v>
      </c>
      <c r="BC949" t="n">
        <v>82</v>
      </c>
      <c r="BD949" t="n">
        <v>9</v>
      </c>
      <c r="BE949" t="n">
        <v>1</v>
      </c>
      <c r="BF949" t="n">
        <v>59</v>
      </c>
      <c r="BG949" t="n">
        <v>4</v>
      </c>
      <c r="BH949" t="n">
        <v>19</v>
      </c>
      <c r="BI949" t="n">
        <v>92</v>
      </c>
      <c r="BJ949" t="n">
        <v>83</v>
      </c>
      <c r="BK949" t="n">
        <v>0</v>
      </c>
      <c r="BL949" t="n">
        <v>11</v>
      </c>
      <c r="BM949" t="n">
        <v>8</v>
      </c>
      <c r="BN949" t="n">
        <v>0</v>
      </c>
      <c r="BO949" t="n">
        <v>16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3</v>
      </c>
      <c r="N950" t="n">
        <v>0</v>
      </c>
      <c r="O950" t="n">
        <v>0</v>
      </c>
      <c r="P950" t="n">
        <v>0</v>
      </c>
      <c r="Q950" t="n">
        <v>0</v>
      </c>
      <c r="R950" t="n">
        <v>2</v>
      </c>
      <c r="S950" t="n">
        <v>0</v>
      </c>
      <c r="T950" t="n">
        <v>2</v>
      </c>
      <c r="U950" t="n">
        <v>0</v>
      </c>
      <c r="V950" t="n">
        <v>1</v>
      </c>
      <c r="W950" t="n">
        <v>0</v>
      </c>
      <c r="X950" t="n">
        <v>0</v>
      </c>
      <c r="Y950" t="n">
        <v>210</v>
      </c>
      <c r="Z950" t="n">
        <v>227</v>
      </c>
      <c r="AA950" t="n">
        <v>124</v>
      </c>
      <c r="AB950" t="n">
        <v>3</v>
      </c>
      <c r="AC950" t="n">
        <v>1</v>
      </c>
      <c r="AD950" t="n">
        <v>5</v>
      </c>
      <c r="AE950" t="n">
        <v>10</v>
      </c>
      <c r="AF950" t="n">
        <v>2</v>
      </c>
      <c r="AG950" t="n">
        <v>3</v>
      </c>
      <c r="AH950" t="n">
        <v>33</v>
      </c>
      <c r="AI950" t="n">
        <v>102</v>
      </c>
      <c r="AJ950" t="n">
        <v>54</v>
      </c>
      <c r="AK950" t="n">
        <v>50</v>
      </c>
      <c r="AL950" t="n">
        <v>1</v>
      </c>
      <c r="AM950" t="n">
        <v>9</v>
      </c>
      <c r="AN950" t="n">
        <v>0</v>
      </c>
      <c r="AO950" t="n">
        <v>0</v>
      </c>
      <c r="AP950" t="n">
        <v>3</v>
      </c>
      <c r="AQ950" t="n">
        <v>42</v>
      </c>
      <c r="AR950" t="n">
        <v>177</v>
      </c>
      <c r="AS950" t="n">
        <v>136</v>
      </c>
      <c r="AT950" t="n">
        <v>3</v>
      </c>
      <c r="AU950" t="n">
        <v>2</v>
      </c>
      <c r="AV950" t="n">
        <v>11</v>
      </c>
      <c r="AW950" t="n">
        <v>4</v>
      </c>
      <c r="AX950" t="n">
        <v>3</v>
      </c>
      <c r="AY950" t="n">
        <v>60</v>
      </c>
      <c r="AZ950" t="n">
        <v>1</v>
      </c>
      <c r="BA950" t="n">
        <v>35</v>
      </c>
      <c r="BB950" t="n">
        <v>153</v>
      </c>
      <c r="BC950" t="n">
        <v>28</v>
      </c>
      <c r="BD950" t="n">
        <v>29</v>
      </c>
      <c r="BE950" t="n">
        <v>4</v>
      </c>
      <c r="BF950" t="n">
        <v>50</v>
      </c>
      <c r="BG950" t="n">
        <v>1</v>
      </c>
      <c r="BH950" t="n">
        <v>14</v>
      </c>
      <c r="BI950" t="n">
        <v>1</v>
      </c>
      <c r="BJ950" t="n">
        <v>5</v>
      </c>
      <c r="BK950" t="n">
        <v>3</v>
      </c>
      <c r="BL950" t="n">
        <v>54</v>
      </c>
      <c r="BM950" t="n">
        <v>37</v>
      </c>
      <c r="BN950" t="n">
        <v>1</v>
      </c>
      <c r="BO950" t="n">
        <v>2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2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152</v>
      </c>
      <c r="Z951" t="n">
        <v>262</v>
      </c>
      <c r="AA951" t="n">
        <v>71</v>
      </c>
      <c r="AB951" t="n">
        <v>1</v>
      </c>
      <c r="AC951" t="n">
        <v>2</v>
      </c>
      <c r="AD951" t="n">
        <v>8</v>
      </c>
      <c r="AE951" t="n">
        <v>7</v>
      </c>
      <c r="AF951" t="n">
        <v>6</v>
      </c>
      <c r="AG951" t="n">
        <v>3</v>
      </c>
      <c r="AH951" t="n">
        <v>63</v>
      </c>
      <c r="AI951" t="n">
        <v>60</v>
      </c>
      <c r="AJ951" t="n">
        <v>21</v>
      </c>
      <c r="AK951" t="n">
        <v>10</v>
      </c>
      <c r="AL951" t="n">
        <v>6</v>
      </c>
      <c r="AM951" t="n">
        <v>129</v>
      </c>
      <c r="AN951" t="n">
        <v>0</v>
      </c>
      <c r="AO951" t="n">
        <v>0</v>
      </c>
      <c r="AP951" t="n">
        <v>2</v>
      </c>
      <c r="AQ951" t="n">
        <v>16</v>
      </c>
      <c r="AR951" t="n">
        <v>110</v>
      </c>
      <c r="AS951" t="n">
        <v>93</v>
      </c>
      <c r="AT951" t="n">
        <v>1</v>
      </c>
      <c r="AU951" t="n">
        <v>0</v>
      </c>
      <c r="AV951" t="n">
        <v>29</v>
      </c>
      <c r="AW951" t="n">
        <v>1</v>
      </c>
      <c r="AX951" t="n">
        <v>6</v>
      </c>
      <c r="AY951" t="n">
        <v>9</v>
      </c>
      <c r="AZ951" t="n">
        <v>3</v>
      </c>
      <c r="BA951" t="n">
        <v>16</v>
      </c>
      <c r="BB951" t="n">
        <v>84</v>
      </c>
      <c r="BC951" t="n">
        <v>133</v>
      </c>
      <c r="BD951" t="n">
        <v>56</v>
      </c>
      <c r="BE951" t="n">
        <v>7</v>
      </c>
      <c r="BF951" t="n">
        <v>23</v>
      </c>
      <c r="BG951" t="n">
        <v>1</v>
      </c>
      <c r="BH951" t="n">
        <v>0</v>
      </c>
      <c r="BI951" t="n">
        <v>1</v>
      </c>
      <c r="BJ951" t="n">
        <v>14</v>
      </c>
      <c r="BK951" t="n">
        <v>0</v>
      </c>
      <c r="BL951" t="n">
        <v>1</v>
      </c>
      <c r="BM951" t="n">
        <v>5</v>
      </c>
      <c r="BN951" t="n">
        <v>2</v>
      </c>
      <c r="BO951" t="n">
        <v>11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468</v>
      </c>
      <c r="Z952" t="n">
        <v>273</v>
      </c>
      <c r="AA952" t="n">
        <v>73</v>
      </c>
      <c r="AB952" t="n">
        <v>0</v>
      </c>
      <c r="AC952" t="n">
        <v>2</v>
      </c>
      <c r="AD952" t="n">
        <v>4</v>
      </c>
      <c r="AE952" t="n">
        <v>8</v>
      </c>
      <c r="AF952" t="n">
        <v>3</v>
      </c>
      <c r="AG952" t="n">
        <v>2</v>
      </c>
      <c r="AH952" t="n">
        <v>118</v>
      </c>
      <c r="AI952" t="n">
        <v>139</v>
      </c>
      <c r="AJ952" t="n">
        <v>137</v>
      </c>
      <c r="AK952" t="n">
        <v>28</v>
      </c>
      <c r="AL952" t="n">
        <v>2</v>
      </c>
      <c r="AM952" t="n">
        <v>17</v>
      </c>
      <c r="AN952" t="n">
        <v>0</v>
      </c>
      <c r="AO952" t="n">
        <v>0</v>
      </c>
      <c r="AP952" t="n">
        <v>3</v>
      </c>
      <c r="AQ952" t="n">
        <v>10</v>
      </c>
      <c r="AR952" t="n">
        <v>79</v>
      </c>
      <c r="AS952" t="n">
        <v>68</v>
      </c>
      <c r="AT952" t="n">
        <v>3</v>
      </c>
      <c r="AU952" t="n">
        <v>1</v>
      </c>
      <c r="AV952" t="n">
        <v>17</v>
      </c>
      <c r="AW952" t="n">
        <v>16</v>
      </c>
      <c r="AX952" t="n">
        <v>0</v>
      </c>
      <c r="AY952" t="n">
        <v>13</v>
      </c>
      <c r="AZ952" t="n">
        <v>4</v>
      </c>
      <c r="BA952" t="n">
        <v>39</v>
      </c>
      <c r="BB952" t="n">
        <v>110</v>
      </c>
      <c r="BC952" t="n">
        <v>13</v>
      </c>
      <c r="BD952" t="n">
        <v>108</v>
      </c>
      <c r="BE952" t="n">
        <v>16</v>
      </c>
      <c r="BF952" t="n">
        <v>113</v>
      </c>
      <c r="BG952" t="n">
        <v>2</v>
      </c>
      <c r="BH952" t="n">
        <v>33</v>
      </c>
      <c r="BI952" t="n">
        <v>45</v>
      </c>
      <c r="BJ952" t="n">
        <v>46</v>
      </c>
      <c r="BK952" t="n">
        <v>0</v>
      </c>
      <c r="BL952" t="n">
        <v>1</v>
      </c>
      <c r="BM952" t="n">
        <v>5</v>
      </c>
      <c r="BN952" t="n">
        <v>3</v>
      </c>
      <c r="BO952" t="n">
        <v>2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2</v>
      </c>
      <c r="U953" t="n">
        <v>0</v>
      </c>
      <c r="V953" t="n">
        <v>0</v>
      </c>
      <c r="W953" t="n">
        <v>0</v>
      </c>
      <c r="X953" t="n">
        <v>0</v>
      </c>
      <c r="Y953" t="n">
        <v>197</v>
      </c>
      <c r="Z953" t="n">
        <v>111</v>
      </c>
      <c r="AA953" t="n">
        <v>49</v>
      </c>
      <c r="AB953" t="n">
        <v>1</v>
      </c>
      <c r="AC953" t="n">
        <v>1</v>
      </c>
      <c r="AD953" t="n">
        <v>8</v>
      </c>
      <c r="AE953" t="n">
        <v>4</v>
      </c>
      <c r="AF953" t="n">
        <v>4</v>
      </c>
      <c r="AG953" t="n">
        <v>6</v>
      </c>
      <c r="AH953" t="n">
        <v>71</v>
      </c>
      <c r="AI953" t="n">
        <v>10</v>
      </c>
      <c r="AJ953" t="n">
        <v>66</v>
      </c>
      <c r="AK953" t="n">
        <v>25</v>
      </c>
      <c r="AL953" t="n">
        <v>1</v>
      </c>
      <c r="AM953" t="n">
        <v>9</v>
      </c>
      <c r="AN953" t="n">
        <v>0</v>
      </c>
      <c r="AO953" t="n">
        <v>0</v>
      </c>
      <c r="AP953" t="n">
        <v>0</v>
      </c>
      <c r="AQ953" t="n">
        <v>-2</v>
      </c>
      <c r="AR953" t="n">
        <v>47</v>
      </c>
      <c r="AS953" t="n">
        <v>44</v>
      </c>
      <c r="AT953" t="n">
        <v>2</v>
      </c>
      <c r="AU953" t="n">
        <v>3</v>
      </c>
      <c r="AV953" t="n">
        <v>40</v>
      </c>
      <c r="AW953" t="n">
        <v>35</v>
      </c>
      <c r="AX953" t="n">
        <v>1</v>
      </c>
      <c r="AY953" t="n">
        <v>12</v>
      </c>
      <c r="AZ953" t="n">
        <v>3</v>
      </c>
      <c r="BA953" t="n">
        <v>20</v>
      </c>
      <c r="BB953" t="n">
        <v>66</v>
      </c>
      <c r="BC953" t="n">
        <v>2</v>
      </c>
      <c r="BD953" t="n">
        <v>66</v>
      </c>
      <c r="BE953" t="n">
        <v>35</v>
      </c>
      <c r="BF953" t="n">
        <v>61</v>
      </c>
      <c r="BG953" t="n">
        <v>2</v>
      </c>
      <c r="BH953" t="n">
        <v>3</v>
      </c>
      <c r="BI953" t="n">
        <v>18</v>
      </c>
      <c r="BJ953" t="n">
        <v>21</v>
      </c>
      <c r="BK953" t="n">
        <v>3</v>
      </c>
      <c r="BL953" t="n">
        <v>11</v>
      </c>
      <c r="BM953" t="n">
        <v>8</v>
      </c>
      <c r="BN953" t="n">
        <v>1</v>
      </c>
      <c r="BO953" t="n">
        <v>42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0</v>
      </c>
      <c r="W954" t="n">
        <v>0</v>
      </c>
      <c r="X954" t="n">
        <v>0</v>
      </c>
      <c r="Y954" t="n">
        <v>340</v>
      </c>
      <c r="Z954" t="n">
        <v>192</v>
      </c>
      <c r="AA954" t="n">
        <v>95</v>
      </c>
      <c r="AB954" t="n">
        <v>0</v>
      </c>
      <c r="AC954" t="n">
        <v>2</v>
      </c>
      <c r="AD954" t="n">
        <v>7</v>
      </c>
      <c r="AE954" t="n">
        <v>9</v>
      </c>
      <c r="AF954" t="n">
        <v>7</v>
      </c>
      <c r="AG954" t="n">
        <v>2</v>
      </c>
      <c r="AH954" t="n">
        <v>127</v>
      </c>
      <c r="AI954" t="n">
        <v>22</v>
      </c>
      <c r="AJ954" t="n">
        <v>89</v>
      </c>
      <c r="AK954" t="n">
        <v>1</v>
      </c>
      <c r="AL954" t="n">
        <v>4</v>
      </c>
      <c r="AM954" t="n">
        <v>16</v>
      </c>
      <c r="AN954" t="n">
        <v>0</v>
      </c>
      <c r="AO954" t="n">
        <v>0</v>
      </c>
      <c r="AP954" t="n">
        <v>2</v>
      </c>
      <c r="AQ954" t="n">
        <v>10</v>
      </c>
      <c r="AR954" t="n">
        <v>133</v>
      </c>
      <c r="AS954" t="n">
        <v>119</v>
      </c>
      <c r="AT954" t="n">
        <v>3</v>
      </c>
      <c r="AU954" t="n">
        <v>2</v>
      </c>
      <c r="AV954" t="n">
        <v>64</v>
      </c>
      <c r="AW954" t="n">
        <v>15</v>
      </c>
      <c r="AX954" t="n">
        <v>0</v>
      </c>
      <c r="AY954" t="n">
        <v>68</v>
      </c>
      <c r="AZ954" t="n">
        <v>7</v>
      </c>
      <c r="BA954" t="n">
        <v>75</v>
      </c>
      <c r="BB954" t="n">
        <v>174</v>
      </c>
      <c r="BC954" t="n">
        <v>13</v>
      </c>
      <c r="BD954" t="n">
        <v>114</v>
      </c>
      <c r="BE954" t="n">
        <v>29</v>
      </c>
      <c r="BF954" t="n">
        <v>70</v>
      </c>
      <c r="BG954" t="n">
        <v>4</v>
      </c>
      <c r="BH954" t="n">
        <v>10</v>
      </c>
      <c r="BI954" t="n">
        <v>17</v>
      </c>
      <c r="BJ954" t="n">
        <v>23</v>
      </c>
      <c r="BK954" t="n">
        <v>3</v>
      </c>
      <c r="BL954" t="n">
        <v>7</v>
      </c>
      <c r="BM954" t="n">
        <v>10</v>
      </c>
      <c r="BN954" t="n">
        <v>4</v>
      </c>
      <c r="BO954" t="n">
        <v>103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216</v>
      </c>
      <c r="Z955" t="n">
        <v>157</v>
      </c>
      <c r="AA955" t="n">
        <v>64</v>
      </c>
      <c r="AB955" t="n">
        <v>0</v>
      </c>
      <c r="AC955" t="n">
        <v>0</v>
      </c>
      <c r="AD955" t="n">
        <v>9</v>
      </c>
      <c r="AE955" t="n">
        <v>2</v>
      </c>
      <c r="AF955" t="n">
        <v>2</v>
      </c>
      <c r="AG955" t="n">
        <v>1</v>
      </c>
      <c r="AH955" t="n">
        <v>129</v>
      </c>
      <c r="AI955" t="n">
        <v>25</v>
      </c>
      <c r="AJ955" t="n">
        <v>18</v>
      </c>
      <c r="AK955" t="n">
        <v>42</v>
      </c>
      <c r="AL955" t="n">
        <v>7</v>
      </c>
      <c r="AM955" t="n">
        <v>85</v>
      </c>
      <c r="AN955" t="n">
        <v>0</v>
      </c>
      <c r="AO955" t="n">
        <v>0</v>
      </c>
      <c r="AP955" t="n">
        <v>3</v>
      </c>
      <c r="AQ955" t="n">
        <v>19</v>
      </c>
      <c r="AR955" t="n">
        <v>54</v>
      </c>
      <c r="AS955" t="n">
        <v>38</v>
      </c>
      <c r="AT955" t="n">
        <v>3</v>
      </c>
      <c r="AU955" t="n">
        <v>1</v>
      </c>
      <c r="AV955" t="n">
        <v>38</v>
      </c>
      <c r="AW955" t="n">
        <v>8</v>
      </c>
      <c r="AX955" t="n">
        <v>0</v>
      </c>
      <c r="AY955" t="n">
        <v>13</v>
      </c>
      <c r="AZ955" t="n">
        <v>1</v>
      </c>
      <c r="BA955" t="n">
        <v>7</v>
      </c>
      <c r="BB955" t="n">
        <v>67</v>
      </c>
      <c r="BC955" t="n">
        <v>79</v>
      </c>
      <c r="BD955" t="n">
        <v>117</v>
      </c>
      <c r="BE955" t="n">
        <v>8</v>
      </c>
      <c r="BF955" t="n">
        <v>19</v>
      </c>
      <c r="BG955" t="n">
        <v>1</v>
      </c>
      <c r="BH955" t="n">
        <v>0</v>
      </c>
      <c r="BI955" t="n">
        <v>1</v>
      </c>
      <c r="BJ955" t="n">
        <v>1</v>
      </c>
      <c r="BK955" t="n">
        <v>1</v>
      </c>
      <c r="BL955" t="n">
        <v>20</v>
      </c>
      <c r="BM955" t="n">
        <v>13</v>
      </c>
      <c r="BN955" t="n">
        <v>0</v>
      </c>
      <c r="BO955" t="n">
        <v>-3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208</v>
      </c>
      <c r="Z956" t="n">
        <v>261</v>
      </c>
      <c r="AA956" t="n">
        <v>108</v>
      </c>
      <c r="AB956" t="n">
        <v>2</v>
      </c>
      <c r="AC956" t="n">
        <v>2</v>
      </c>
      <c r="AD956" t="n">
        <v>3</v>
      </c>
      <c r="AE956" t="n">
        <v>4</v>
      </c>
      <c r="AF956" t="n">
        <v>4</v>
      </c>
      <c r="AG956" t="n">
        <v>2</v>
      </c>
      <c r="AH956" t="n">
        <v>27</v>
      </c>
      <c r="AI956" t="n">
        <v>60</v>
      </c>
      <c r="AJ956" t="n">
        <v>23</v>
      </c>
      <c r="AK956" t="n">
        <v>1</v>
      </c>
      <c r="AL956" t="n">
        <v>5</v>
      </c>
      <c r="AM956" t="n">
        <v>44</v>
      </c>
      <c r="AN956" t="n">
        <v>0</v>
      </c>
      <c r="AO956" t="n">
        <v>0</v>
      </c>
      <c r="AP956" t="n">
        <v>2</v>
      </c>
      <c r="AQ956" t="n">
        <v>16</v>
      </c>
      <c r="AR956" t="n">
        <v>63</v>
      </c>
      <c r="AS956" t="n">
        <v>49</v>
      </c>
      <c r="AT956" t="n">
        <v>1</v>
      </c>
      <c r="AU956" t="n">
        <v>1</v>
      </c>
      <c r="AV956" t="n">
        <v>24</v>
      </c>
      <c r="AW956" t="n">
        <v>13</v>
      </c>
      <c r="AX956" t="n">
        <v>1</v>
      </c>
      <c r="AY956" t="n">
        <v>58</v>
      </c>
      <c r="AZ956" t="n">
        <v>1</v>
      </c>
      <c r="BA956" t="n">
        <v>1</v>
      </c>
      <c r="BB956" t="n">
        <v>106</v>
      </c>
      <c r="BC956" t="n">
        <v>42</v>
      </c>
      <c r="BD956" t="n">
        <v>24</v>
      </c>
      <c r="BE956" t="n">
        <v>14</v>
      </c>
      <c r="BF956" t="n">
        <v>18</v>
      </c>
      <c r="BG956" t="n">
        <v>6</v>
      </c>
      <c r="BH956" t="n">
        <v>16</v>
      </c>
      <c r="BI956" t="n">
        <v>43</v>
      </c>
      <c r="BJ956" t="n">
        <v>43</v>
      </c>
      <c r="BK956" t="n">
        <v>2</v>
      </c>
      <c r="BL956" t="n">
        <v>1</v>
      </c>
      <c r="BM956" t="n">
        <v>12</v>
      </c>
      <c r="BN956" t="n">
        <v>7</v>
      </c>
      <c r="BO956" t="n">
        <v>18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2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0</v>
      </c>
      <c r="W957" t="n">
        <v>0</v>
      </c>
      <c r="X957" t="n">
        <v>0</v>
      </c>
      <c r="Y957" t="n">
        <v>216</v>
      </c>
      <c r="Z957" t="n">
        <v>161</v>
      </c>
      <c r="AA957" t="n">
        <v>75</v>
      </c>
      <c r="AB957" t="n">
        <v>1</v>
      </c>
      <c r="AC957" t="n">
        <v>1</v>
      </c>
      <c r="AD957" t="n">
        <v>1</v>
      </c>
      <c r="AE957" t="n">
        <v>4</v>
      </c>
      <c r="AF957" t="n">
        <v>4</v>
      </c>
      <c r="AG957" t="n">
        <v>3</v>
      </c>
      <c r="AH957" t="n">
        <v>71</v>
      </c>
      <c r="AI957" t="n">
        <v>62</v>
      </c>
      <c r="AJ957" t="n">
        <v>47</v>
      </c>
      <c r="AK957" t="n">
        <v>35</v>
      </c>
      <c r="AL957" t="n">
        <v>4</v>
      </c>
      <c r="AM957" t="n">
        <v>32</v>
      </c>
      <c r="AN957" t="n">
        <v>0</v>
      </c>
      <c r="AO957" t="n">
        <v>0</v>
      </c>
      <c r="AP957" t="n">
        <v>0</v>
      </c>
      <c r="AQ957" t="n">
        <v>1</v>
      </c>
      <c r="AR957" t="n">
        <v>63</v>
      </c>
      <c r="AS957" t="n">
        <v>56</v>
      </c>
      <c r="AT957" t="n">
        <v>1</v>
      </c>
      <c r="AU957" t="n">
        <v>1</v>
      </c>
      <c r="AV957" t="n">
        <v>1</v>
      </c>
      <c r="AW957" t="n">
        <v>1</v>
      </c>
      <c r="AX957" t="n">
        <v>0</v>
      </c>
      <c r="AY957" t="n">
        <v>10</v>
      </c>
      <c r="AZ957" t="n">
        <v>1</v>
      </c>
      <c r="BA957" t="n">
        <v>9</v>
      </c>
      <c r="BB957" t="n">
        <v>80</v>
      </c>
      <c r="BC957" t="n">
        <v>26</v>
      </c>
      <c r="BD957" t="n">
        <v>79</v>
      </c>
      <c r="BE957" t="n">
        <v>1</v>
      </c>
      <c r="BF957" t="n">
        <v>43</v>
      </c>
      <c r="BG957" t="n">
        <v>0</v>
      </c>
      <c r="BH957" t="n">
        <v>16</v>
      </c>
      <c r="BI957" t="n">
        <v>1</v>
      </c>
      <c r="BJ957" t="n">
        <v>1</v>
      </c>
      <c r="BK957" t="n">
        <v>0</v>
      </c>
      <c r="BL957" t="n">
        <v>21</v>
      </c>
      <c r="BM957" t="n">
        <v>63</v>
      </c>
      <c r="BN957" t="n">
        <v>35</v>
      </c>
      <c r="BO957" t="n">
        <v>11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3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220</v>
      </c>
      <c r="Z958" t="n">
        <v>95</v>
      </c>
      <c r="AA958" t="n">
        <v>33</v>
      </c>
      <c r="AB958" t="n">
        <v>0</v>
      </c>
      <c r="AC958" t="n">
        <v>0</v>
      </c>
      <c r="AD958" t="n">
        <v>5</v>
      </c>
      <c r="AE958" t="n">
        <v>6</v>
      </c>
      <c r="AF958" t="n">
        <v>2</v>
      </c>
      <c r="AG958" t="n">
        <v>3</v>
      </c>
      <c r="AH958" t="n">
        <v>69</v>
      </c>
      <c r="AI958" t="n">
        <v>33</v>
      </c>
      <c r="AJ958" t="n">
        <v>42</v>
      </c>
      <c r="AK958" t="n">
        <v>33</v>
      </c>
      <c r="AL958" t="n">
        <v>3</v>
      </c>
      <c r="AM958" t="n">
        <v>28</v>
      </c>
      <c r="AN958" t="n">
        <v>0</v>
      </c>
      <c r="AO958" t="n">
        <v>1</v>
      </c>
      <c r="AP958" t="n">
        <v>4</v>
      </c>
      <c r="AQ958" t="n">
        <v>24</v>
      </c>
      <c r="AR958" t="n">
        <v>66</v>
      </c>
      <c r="AS958" t="n">
        <v>47</v>
      </c>
      <c r="AT958" t="n">
        <v>4</v>
      </c>
      <c r="AU958" t="n">
        <v>1</v>
      </c>
      <c r="AV958" t="n">
        <v>43</v>
      </c>
      <c r="AW958" t="n">
        <v>7</v>
      </c>
      <c r="AX958" t="n">
        <v>0</v>
      </c>
      <c r="AY958" t="n">
        <v>40</v>
      </c>
      <c r="AZ958" t="n">
        <v>2</v>
      </c>
      <c r="BA958" t="n">
        <v>-1</v>
      </c>
      <c r="BB958" t="n">
        <v>32</v>
      </c>
      <c r="BC958" t="n">
        <v>25</v>
      </c>
      <c r="BD958" t="n">
        <v>61</v>
      </c>
      <c r="BE958" t="n">
        <v>7</v>
      </c>
      <c r="BF958" t="n">
        <v>38</v>
      </c>
      <c r="BG958" t="n">
        <v>2</v>
      </c>
      <c r="BH958" t="n">
        <v>5</v>
      </c>
      <c r="BI958" t="n">
        <v>25</v>
      </c>
      <c r="BJ958" t="n">
        <v>22</v>
      </c>
      <c r="BK958" t="n">
        <v>1</v>
      </c>
      <c r="BL958" t="n">
        <v>5</v>
      </c>
      <c r="BM958" t="n">
        <v>27</v>
      </c>
      <c r="BN958" t="n">
        <v>16</v>
      </c>
      <c r="BO958" t="n">
        <v>35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258</v>
      </c>
      <c r="Z959" t="n">
        <v>225</v>
      </c>
      <c r="AA959" t="n">
        <v>81</v>
      </c>
      <c r="AB959" t="n">
        <v>0</v>
      </c>
      <c r="AC959" t="n">
        <v>3</v>
      </c>
      <c r="AD959" t="n">
        <v>8</v>
      </c>
      <c r="AE959" t="n">
        <v>3</v>
      </c>
      <c r="AF959" t="n">
        <v>12</v>
      </c>
      <c r="AG959" t="n">
        <v>4</v>
      </c>
      <c r="AH959" t="n">
        <v>71</v>
      </c>
      <c r="AI959" t="n">
        <v>21</v>
      </c>
      <c r="AJ959" t="n">
        <v>114</v>
      </c>
      <c r="AK959" t="n">
        <v>24</v>
      </c>
      <c r="AL959" t="n">
        <v>5</v>
      </c>
      <c r="AM959" t="n">
        <v>59</v>
      </c>
      <c r="AN959" t="n">
        <v>0</v>
      </c>
      <c r="AO959" t="n">
        <v>0</v>
      </c>
      <c r="AP959" t="n">
        <v>8</v>
      </c>
      <c r="AQ959" t="n">
        <v>58</v>
      </c>
      <c r="AR959" t="n">
        <v>81</v>
      </c>
      <c r="AS959" t="n">
        <v>33</v>
      </c>
      <c r="AT959" t="n">
        <v>5</v>
      </c>
      <c r="AU959" t="n">
        <v>2</v>
      </c>
      <c r="AV959" t="n">
        <v>22</v>
      </c>
      <c r="AW959" t="n">
        <v>5</v>
      </c>
      <c r="AX959" t="n">
        <v>0</v>
      </c>
      <c r="AY959" t="n">
        <v>27</v>
      </c>
      <c r="AZ959" t="n">
        <v>2</v>
      </c>
      <c r="BA959" t="n">
        <v>10</v>
      </c>
      <c r="BB959" t="n">
        <v>88</v>
      </c>
      <c r="BC959" t="n">
        <v>49</v>
      </c>
      <c r="BD959" t="n">
        <v>61</v>
      </c>
      <c r="BE959" t="n">
        <v>11</v>
      </c>
      <c r="BF959" t="n">
        <v>90</v>
      </c>
      <c r="BG959" t="n">
        <v>2</v>
      </c>
      <c r="BH959" t="n">
        <v>3</v>
      </c>
      <c r="BI959" t="n">
        <v>14</v>
      </c>
      <c r="BJ959" t="n">
        <v>13</v>
      </c>
      <c r="BK959" t="n">
        <v>11</v>
      </c>
      <c r="BL959" t="n">
        <v>89</v>
      </c>
      <c r="BM959" t="n">
        <v>60</v>
      </c>
      <c r="BN959" t="n">
        <v>-1</v>
      </c>
      <c r="BO959" t="n">
        <v>2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280</v>
      </c>
      <c r="Z960" t="n">
        <v>124</v>
      </c>
      <c r="AA960" t="n">
        <v>128</v>
      </c>
      <c r="AB960" t="n">
        <v>1</v>
      </c>
      <c r="AC960" t="n">
        <v>1</v>
      </c>
      <c r="AD960" t="n">
        <v>6</v>
      </c>
      <c r="AE960" t="n">
        <v>4</v>
      </c>
      <c r="AF960" t="n">
        <v>1</v>
      </c>
      <c r="AG960" t="n">
        <v>2</v>
      </c>
      <c r="AH960" t="n">
        <v>108</v>
      </c>
      <c r="AI960" t="n">
        <v>27</v>
      </c>
      <c r="AJ960" t="n">
        <v>10</v>
      </c>
      <c r="AK960" t="n">
        <v>53</v>
      </c>
      <c r="AL960" t="n">
        <v>1</v>
      </c>
      <c r="AM960" t="n">
        <v>2</v>
      </c>
      <c r="AN960" t="n">
        <v>0</v>
      </c>
      <c r="AO960" t="n">
        <v>0</v>
      </c>
      <c r="AP960" t="n">
        <v>3</v>
      </c>
      <c r="AQ960" t="n">
        <v>33</v>
      </c>
      <c r="AR960" t="n">
        <v>66</v>
      </c>
      <c r="AS960" t="n">
        <v>39</v>
      </c>
      <c r="AT960" t="n">
        <v>1</v>
      </c>
      <c r="AU960" t="n">
        <v>2</v>
      </c>
      <c r="AV960" t="n">
        <v>17</v>
      </c>
      <c r="AW960" t="n">
        <v>8</v>
      </c>
      <c r="AX960" t="n">
        <v>11</v>
      </c>
      <c r="AY960" t="n">
        <v>36</v>
      </c>
      <c r="AZ960" t="n">
        <v>1</v>
      </c>
      <c r="BA960" t="n">
        <v>3</v>
      </c>
      <c r="BB960" t="n">
        <v>123</v>
      </c>
      <c r="BC960" t="n">
        <v>2</v>
      </c>
      <c r="BD960" t="n">
        <v>97</v>
      </c>
      <c r="BE960" t="n">
        <v>8</v>
      </c>
      <c r="BF960" t="n">
        <v>7</v>
      </c>
      <c r="BG960" t="n">
        <v>1</v>
      </c>
      <c r="BH960" t="n">
        <v>3</v>
      </c>
      <c r="BI960" t="n">
        <v>1</v>
      </c>
      <c r="BJ960" t="n">
        <v>7</v>
      </c>
      <c r="BK960" t="n">
        <v>4</v>
      </c>
      <c r="BL960" t="n">
        <v>19</v>
      </c>
      <c r="BM960" t="n">
        <v>13</v>
      </c>
      <c r="BN960" t="n">
        <v>1</v>
      </c>
      <c r="BO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208</v>
      </c>
      <c r="Z961" t="n">
        <v>138</v>
      </c>
      <c r="AA961" t="n">
        <v>49</v>
      </c>
      <c r="AB961" t="n">
        <v>0</v>
      </c>
      <c r="AC961" t="n">
        <v>0</v>
      </c>
      <c r="AD961" t="n">
        <v>2</v>
      </c>
      <c r="AE961" t="n">
        <v>5</v>
      </c>
      <c r="AF961" t="n">
        <v>5</v>
      </c>
      <c r="AG961" t="n">
        <v>1</v>
      </c>
      <c r="AH961" t="n">
        <v>39</v>
      </c>
      <c r="AI961" t="n">
        <v>27</v>
      </c>
      <c r="AJ961" t="n">
        <v>37</v>
      </c>
      <c r="AK961" t="n">
        <v>7</v>
      </c>
      <c r="AL961" t="n">
        <v>3</v>
      </c>
      <c r="AM961" t="n">
        <v>44</v>
      </c>
      <c r="AN961" t="n">
        <v>1</v>
      </c>
      <c r="AO961" t="n">
        <v>0</v>
      </c>
      <c r="AP961" t="n">
        <v>3</v>
      </c>
      <c r="AQ961" t="n">
        <v>12</v>
      </c>
      <c r="AR961" t="n">
        <v>143</v>
      </c>
      <c r="AS961" t="n">
        <v>127</v>
      </c>
      <c r="AT961" t="n">
        <v>0</v>
      </c>
      <c r="AU961" t="n">
        <v>0</v>
      </c>
      <c r="AV961" t="n">
        <v>1</v>
      </c>
      <c r="AW961" t="n">
        <v>12</v>
      </c>
      <c r="AX961" t="n">
        <v>0</v>
      </c>
      <c r="AY961" t="n">
        <v>67</v>
      </c>
      <c r="AZ961" t="n">
        <v>1</v>
      </c>
      <c r="BA961" t="n">
        <v>11</v>
      </c>
      <c r="BB961" t="n">
        <v>57</v>
      </c>
      <c r="BC961" t="n">
        <v>38</v>
      </c>
      <c r="BD961" t="n">
        <v>39</v>
      </c>
      <c r="BE961" t="n">
        <v>11</v>
      </c>
      <c r="BF961" t="n">
        <v>29</v>
      </c>
      <c r="BG961" t="n">
        <v>0</v>
      </c>
      <c r="BH961" t="n">
        <v>38</v>
      </c>
      <c r="BI961" t="n">
        <v>1</v>
      </c>
      <c r="BJ961" t="n">
        <v>11</v>
      </c>
      <c r="BK961" t="n">
        <v>0</v>
      </c>
      <c r="BL961" t="n">
        <v>2</v>
      </c>
      <c r="BM961" t="n">
        <v>14</v>
      </c>
      <c r="BN961" t="n">
        <v>8</v>
      </c>
      <c r="BO961" t="n">
        <v>35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187</v>
      </c>
      <c r="Z962" t="n">
        <v>157</v>
      </c>
      <c r="AA962" t="n">
        <v>98</v>
      </c>
      <c r="AB962" t="n">
        <v>1</v>
      </c>
      <c r="AC962" t="n">
        <v>1</v>
      </c>
      <c r="AD962" t="n">
        <v>3</v>
      </c>
      <c r="AE962" t="n">
        <v>5</v>
      </c>
      <c r="AF962" t="n">
        <v>4</v>
      </c>
      <c r="AG962" t="n">
        <v>0</v>
      </c>
      <c r="AH962" t="n">
        <v>21</v>
      </c>
      <c r="AI962" t="n">
        <v>33</v>
      </c>
      <c r="AJ962" t="n">
        <v>64</v>
      </c>
      <c r="AK962" t="n">
        <v>1</v>
      </c>
      <c r="AL962" t="n">
        <v>5</v>
      </c>
      <c r="AM962" t="n">
        <v>55</v>
      </c>
      <c r="AN962" t="n">
        <v>0</v>
      </c>
      <c r="AO962" t="n">
        <v>0</v>
      </c>
      <c r="AP962" t="n">
        <v>1</v>
      </c>
      <c r="AQ962" t="n">
        <v>1</v>
      </c>
      <c r="AR962" t="n">
        <v>21</v>
      </c>
      <c r="AS962" t="n">
        <v>17</v>
      </c>
      <c r="AT962" t="n">
        <v>2</v>
      </c>
      <c r="AU962" t="n">
        <v>2</v>
      </c>
      <c r="AV962" t="n">
        <v>72</v>
      </c>
      <c r="AW962" t="n">
        <v>6</v>
      </c>
      <c r="AX962" t="n">
        <v>0</v>
      </c>
      <c r="AY962" t="n">
        <v>21</v>
      </c>
      <c r="AZ962" t="n">
        <v>1</v>
      </c>
      <c r="BA962" t="n">
        <v>4</v>
      </c>
      <c r="BB962" t="n">
        <v>97</v>
      </c>
      <c r="BC962" t="n">
        <v>46</v>
      </c>
      <c r="BD962" t="n">
        <v>18</v>
      </c>
      <c r="BE962" t="n">
        <v>6</v>
      </c>
      <c r="BF962" t="n">
        <v>52</v>
      </c>
      <c r="BG962" t="n">
        <v>1</v>
      </c>
      <c r="BH962" t="n">
        <v>0</v>
      </c>
      <c r="BI962" t="n">
        <v>9</v>
      </c>
      <c r="BJ962" t="n">
        <v>8</v>
      </c>
      <c r="BK962" t="n">
        <v>6</v>
      </c>
      <c r="BL962" t="n">
        <v>19</v>
      </c>
      <c r="BM962" t="n">
        <v>13</v>
      </c>
      <c r="BN962" t="n">
        <v>1</v>
      </c>
      <c r="BO962" t="n">
        <v>2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221</v>
      </c>
      <c r="Z963" t="n">
        <v>252</v>
      </c>
      <c r="AA963" t="n">
        <v>80</v>
      </c>
      <c r="AB963" t="n">
        <v>1</v>
      </c>
      <c r="AC963" t="n">
        <v>2</v>
      </c>
      <c r="AD963" t="n">
        <v>7</v>
      </c>
      <c r="AE963" t="n">
        <v>4</v>
      </c>
      <c r="AF963" t="n">
        <v>0</v>
      </c>
      <c r="AG963" t="n">
        <v>6</v>
      </c>
      <c r="AH963" t="n">
        <v>56</v>
      </c>
      <c r="AI963" t="n">
        <v>83</v>
      </c>
      <c r="AJ963" t="n">
        <v>41</v>
      </c>
      <c r="AK963" t="n">
        <v>47</v>
      </c>
      <c r="AL963" t="n">
        <v>5</v>
      </c>
      <c r="AM963" t="n">
        <v>61</v>
      </c>
      <c r="AN963" t="n">
        <v>0</v>
      </c>
      <c r="AO963" t="n">
        <v>0</v>
      </c>
      <c r="AP963" t="n">
        <v>3</v>
      </c>
      <c r="AQ963" t="n">
        <v>16</v>
      </c>
      <c r="AR963" t="n">
        <v>123</v>
      </c>
      <c r="AS963" t="n">
        <v>107</v>
      </c>
      <c r="AT963" t="n">
        <v>9</v>
      </c>
      <c r="AU963" t="n">
        <v>2</v>
      </c>
      <c r="AV963" t="n">
        <v>61</v>
      </c>
      <c r="AW963" t="n">
        <v>20</v>
      </c>
      <c r="AX963" t="n">
        <v>0</v>
      </c>
      <c r="AY963" t="n">
        <v>11</v>
      </c>
      <c r="AZ963" t="n">
        <v>4</v>
      </c>
      <c r="BA963" t="n">
        <v>45</v>
      </c>
      <c r="BB963" t="n">
        <v>122</v>
      </c>
      <c r="BC963" t="n">
        <v>51</v>
      </c>
      <c r="BD963" t="n">
        <v>49</v>
      </c>
      <c r="BE963" t="n">
        <v>20</v>
      </c>
      <c r="BF963" t="n">
        <v>33</v>
      </c>
      <c r="BG963" t="n">
        <v>1</v>
      </c>
      <c r="BH963" t="n">
        <v>7</v>
      </c>
      <c r="BI963" t="n">
        <v>21</v>
      </c>
      <c r="BJ963" t="n">
        <v>58</v>
      </c>
      <c r="BK963" t="n">
        <v>3</v>
      </c>
      <c r="BL963" t="n">
        <v>37</v>
      </c>
      <c r="BM963" t="n">
        <v>32</v>
      </c>
      <c r="BN963" t="n">
        <v>6</v>
      </c>
      <c r="BO963" t="n">
        <v>47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t="n">
        <v>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192</v>
      </c>
      <c r="Z964" t="n">
        <v>92</v>
      </c>
      <c r="AA964" t="n">
        <v>196</v>
      </c>
      <c r="AB964" t="n">
        <v>0</v>
      </c>
      <c r="AC964" t="n">
        <v>0</v>
      </c>
      <c r="AD964" t="n">
        <v>0</v>
      </c>
      <c r="AE964" t="n">
        <v>4</v>
      </c>
      <c r="AF964" t="n">
        <v>4</v>
      </c>
      <c r="AG964" t="n">
        <v>3</v>
      </c>
      <c r="AH964" t="n">
        <v>5</v>
      </c>
      <c r="AI964" t="n">
        <v>34</v>
      </c>
      <c r="AJ964" t="n">
        <v>68</v>
      </c>
      <c r="AK964" t="n">
        <v>28</v>
      </c>
      <c r="AL964" t="n">
        <v>2</v>
      </c>
      <c r="AM964" t="n">
        <v>28</v>
      </c>
      <c r="AN964" t="n">
        <v>0</v>
      </c>
      <c r="AO964" t="n">
        <v>0</v>
      </c>
      <c r="AP964" t="n">
        <v>3</v>
      </c>
      <c r="AQ964" t="n">
        <v>9</v>
      </c>
      <c r="AR964" t="n">
        <v>14</v>
      </c>
      <c r="AS964" t="n">
        <v>6</v>
      </c>
      <c r="AT964" t="n">
        <v>1</v>
      </c>
      <c r="AU964" t="n">
        <v>1</v>
      </c>
      <c r="AV964" t="n">
        <v>3</v>
      </c>
      <c r="AW964" t="n">
        <v>13</v>
      </c>
      <c r="AX964" t="n">
        <v>0</v>
      </c>
      <c r="AY964" t="n">
        <v>15</v>
      </c>
      <c r="AZ964" t="n">
        <v>2</v>
      </c>
      <c r="BA964" t="n">
        <v>5</v>
      </c>
      <c r="BB964" t="n">
        <v>188</v>
      </c>
      <c r="BC964" t="n">
        <v>23</v>
      </c>
      <c r="BD964" t="n">
        <v>2</v>
      </c>
      <c r="BE964" t="n">
        <v>23</v>
      </c>
      <c r="BF964" t="n">
        <v>54</v>
      </c>
      <c r="BG964" t="n">
        <v>1</v>
      </c>
      <c r="BH964" t="n">
        <v>13</v>
      </c>
      <c r="BI964" t="n">
        <v>23</v>
      </c>
      <c r="BJ964" t="n">
        <v>21</v>
      </c>
      <c r="BK964" t="n">
        <v>1</v>
      </c>
      <c r="BL964" t="n">
        <v>11</v>
      </c>
      <c r="BM964" t="n">
        <v>31</v>
      </c>
      <c r="BN964" t="n">
        <v>15</v>
      </c>
      <c r="BO964" t="n">
        <v>2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2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</v>
      </c>
      <c r="U965" t="n">
        <v>0</v>
      </c>
      <c r="V965" t="n">
        <v>0</v>
      </c>
      <c r="W965" t="n">
        <v>0</v>
      </c>
      <c r="X965" t="n">
        <v>0</v>
      </c>
      <c r="Y965" t="n">
        <v>197</v>
      </c>
      <c r="Z965" t="n">
        <v>195</v>
      </c>
      <c r="AA965" t="n">
        <v>96</v>
      </c>
      <c r="AB965" t="n">
        <v>2</v>
      </c>
      <c r="AC965" t="n">
        <v>0</v>
      </c>
      <c r="AD965" t="n">
        <v>5</v>
      </c>
      <c r="AE965" t="n">
        <v>3</v>
      </c>
      <c r="AF965" t="n">
        <v>2</v>
      </c>
      <c r="AG965" t="n">
        <v>0</v>
      </c>
      <c r="AH965" t="n">
        <v>83</v>
      </c>
      <c r="AI965" t="n">
        <v>2</v>
      </c>
      <c r="AJ965" t="n">
        <v>45</v>
      </c>
      <c r="AK965" t="n">
        <v>1</v>
      </c>
      <c r="AL965" t="n">
        <v>4</v>
      </c>
      <c r="AM965" t="n">
        <v>48</v>
      </c>
      <c r="AN965" t="n">
        <v>0</v>
      </c>
      <c r="AO965" t="n">
        <v>0</v>
      </c>
      <c r="AP965" t="n">
        <v>7</v>
      </c>
      <c r="AQ965" t="n">
        <v>50</v>
      </c>
      <c r="AR965" t="n">
        <v>236</v>
      </c>
      <c r="AS965" t="n">
        <v>194</v>
      </c>
      <c r="AT965" t="n">
        <v>2</v>
      </c>
      <c r="AU965" t="n">
        <v>1</v>
      </c>
      <c r="AV965" t="n">
        <v>17</v>
      </c>
      <c r="AW965" t="n">
        <v>43</v>
      </c>
      <c r="AX965" t="n">
        <v>5</v>
      </c>
      <c r="AY965" t="n">
        <v>41</v>
      </c>
      <c r="AZ965" t="n">
        <v>2</v>
      </c>
      <c r="BA965" t="n">
        <v>9</v>
      </c>
      <c r="BB965" t="n">
        <v>101</v>
      </c>
      <c r="BC965" t="n">
        <v>40</v>
      </c>
      <c r="BD965" t="n">
        <v>80</v>
      </c>
      <c r="BE965" t="n">
        <v>43</v>
      </c>
      <c r="BF965" t="n">
        <v>36</v>
      </c>
      <c r="BG965" t="n">
        <v>1</v>
      </c>
      <c r="BH965" t="n">
        <v>0</v>
      </c>
      <c r="BI965" t="n">
        <v>29</v>
      </c>
      <c r="BJ965" t="n">
        <v>32</v>
      </c>
      <c r="BK965" t="n">
        <v>3</v>
      </c>
      <c r="BL965" t="n">
        <v>9</v>
      </c>
      <c r="BM965" t="n">
        <v>9</v>
      </c>
      <c r="BN965" t="n">
        <v>3</v>
      </c>
      <c r="BO965" t="n">
        <v>18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165</v>
      </c>
      <c r="Z966" t="n">
        <v>108</v>
      </c>
      <c r="AA966" t="n">
        <v>21</v>
      </c>
      <c r="AB966" t="n">
        <v>0</v>
      </c>
      <c r="AC966" t="n">
        <v>0</v>
      </c>
      <c r="AD966" t="n">
        <v>1</v>
      </c>
      <c r="AE966" t="n">
        <v>4</v>
      </c>
      <c r="AF966" t="n">
        <v>4</v>
      </c>
      <c r="AG966" t="n">
        <v>9</v>
      </c>
      <c r="AH966" t="n">
        <v>2</v>
      </c>
      <c r="AI966" t="n">
        <v>13</v>
      </c>
      <c r="AJ966" t="n">
        <v>72</v>
      </c>
      <c r="AK966" t="n">
        <v>60</v>
      </c>
      <c r="AL966" t="n">
        <v>1</v>
      </c>
      <c r="AM966" t="n">
        <v>2</v>
      </c>
      <c r="AN966" t="n">
        <v>1</v>
      </c>
      <c r="AO966" t="n">
        <v>0</v>
      </c>
      <c r="AP966" t="n">
        <v>10</v>
      </c>
      <c r="AQ966" t="n">
        <v>62</v>
      </c>
      <c r="AR966" t="n">
        <v>78</v>
      </c>
      <c r="AS966" t="n">
        <v>23</v>
      </c>
      <c r="AT966" t="n">
        <v>1</v>
      </c>
      <c r="AU966" t="n">
        <v>2</v>
      </c>
      <c r="AV966" t="n">
        <v>1</v>
      </c>
      <c r="AW966" t="n">
        <v>24</v>
      </c>
      <c r="AX966" t="n">
        <v>8</v>
      </c>
      <c r="AY966" t="n">
        <v>9</v>
      </c>
      <c r="AZ966" t="n">
        <v>4</v>
      </c>
      <c r="BA966" t="n">
        <v>34</v>
      </c>
      <c r="BB966" t="n">
        <v>56</v>
      </c>
      <c r="BC966" t="n">
        <v>9</v>
      </c>
      <c r="BD966" t="n">
        <v>13</v>
      </c>
      <c r="BE966" t="n">
        <v>24</v>
      </c>
      <c r="BF966" t="n">
        <v>59</v>
      </c>
      <c r="BG966" t="n">
        <v>0</v>
      </c>
      <c r="BH966" t="n">
        <v>6</v>
      </c>
      <c r="BI966" t="n">
        <v>1</v>
      </c>
      <c r="BJ966" t="n">
        <v>12</v>
      </c>
      <c r="BK966" t="n">
        <v>0</v>
      </c>
      <c r="BL966" t="n">
        <v>24</v>
      </c>
      <c r="BM966" t="n">
        <v>15</v>
      </c>
      <c r="BN966" t="n">
        <v>0</v>
      </c>
      <c r="BO966" t="n">
        <v>61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t="n">
        <v>2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</v>
      </c>
      <c r="U967" t="n">
        <v>0</v>
      </c>
      <c r="V967" t="n">
        <v>0</v>
      </c>
      <c r="W967" t="n">
        <v>0</v>
      </c>
      <c r="X967" t="n">
        <v>0</v>
      </c>
      <c r="Y967" t="n">
        <v>221</v>
      </c>
      <c r="Z967" t="n">
        <v>216</v>
      </c>
      <c r="AA967" t="n">
        <v>52</v>
      </c>
      <c r="AB967" t="n">
        <v>2</v>
      </c>
      <c r="AC967" t="n">
        <v>1</v>
      </c>
      <c r="AD967" t="n">
        <v>1</v>
      </c>
      <c r="AE967" t="n">
        <v>0</v>
      </c>
      <c r="AF967" t="n">
        <v>3</v>
      </c>
      <c r="AG967" t="n">
        <v>3</v>
      </c>
      <c r="AH967" t="n">
        <v>32</v>
      </c>
      <c r="AI967" t="n">
        <v>31</v>
      </c>
      <c r="AJ967" t="n">
        <v>46</v>
      </c>
      <c r="AK967" t="n">
        <v>25</v>
      </c>
      <c r="AL967" t="n">
        <v>5</v>
      </c>
      <c r="AM967" t="n">
        <v>73</v>
      </c>
      <c r="AN967" t="n">
        <v>0</v>
      </c>
      <c r="AO967" t="n">
        <v>1</v>
      </c>
      <c r="AP967" t="n">
        <v>2</v>
      </c>
      <c r="AQ967" t="n">
        <v>35</v>
      </c>
      <c r="AR967" t="n">
        <v>106</v>
      </c>
      <c r="AS967" t="n">
        <v>77</v>
      </c>
      <c r="AT967" t="n">
        <v>4</v>
      </c>
      <c r="AU967" t="n">
        <v>1</v>
      </c>
      <c r="AV967" t="n">
        <v>10</v>
      </c>
      <c r="AW967" t="n">
        <v>1</v>
      </c>
      <c r="AX967" t="n">
        <v>6</v>
      </c>
      <c r="AY967" t="n">
        <v>66</v>
      </c>
      <c r="AZ967" t="n">
        <v>4</v>
      </c>
      <c r="BA967" t="n">
        <v>33</v>
      </c>
      <c r="BB967" t="n">
        <v>84</v>
      </c>
      <c r="BC967" t="n">
        <v>61</v>
      </c>
      <c r="BD967" t="n">
        <v>38</v>
      </c>
      <c r="BE967" t="n">
        <v>1</v>
      </c>
      <c r="BF967" t="n">
        <v>47</v>
      </c>
      <c r="BG967" t="n">
        <v>0</v>
      </c>
      <c r="BH967" t="n">
        <v>18</v>
      </c>
      <c r="BI967" t="n">
        <v>12</v>
      </c>
      <c r="BJ967" t="n">
        <v>10</v>
      </c>
      <c r="BK967" t="n">
        <v>5</v>
      </c>
      <c r="BL967" t="n">
        <v>13</v>
      </c>
      <c r="BM967" t="n">
        <v>9</v>
      </c>
      <c r="BN967" t="n">
        <v>0</v>
      </c>
      <c r="BO967" t="n">
        <v>32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4</v>
      </c>
      <c r="N968" t="n">
        <v>0</v>
      </c>
      <c r="O968" t="n">
        <v>0</v>
      </c>
      <c r="P968" t="n">
        <v>0</v>
      </c>
      <c r="Q968" t="n">
        <v>0</v>
      </c>
      <c r="R968" t="n">
        <v>2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327</v>
      </c>
      <c r="Z968" t="n">
        <v>157</v>
      </c>
      <c r="AA968" t="n">
        <v>56</v>
      </c>
      <c r="AB968" t="n">
        <v>4</v>
      </c>
      <c r="AC968" t="n">
        <v>0</v>
      </c>
      <c r="AD968" t="n">
        <v>4</v>
      </c>
      <c r="AE968" t="n">
        <v>4</v>
      </c>
      <c r="AF968" t="n">
        <v>5</v>
      </c>
      <c r="AG968" t="n">
        <v>6</v>
      </c>
      <c r="AH968" t="n">
        <v>56</v>
      </c>
      <c r="AI968" t="n">
        <v>31</v>
      </c>
      <c r="AJ968" t="n">
        <v>57</v>
      </c>
      <c r="AK968" t="n">
        <v>75</v>
      </c>
      <c r="AL968" t="n">
        <v>5</v>
      </c>
      <c r="AM968" t="n">
        <v>36</v>
      </c>
      <c r="AN968" t="n">
        <v>0</v>
      </c>
      <c r="AO968" t="n">
        <v>0</v>
      </c>
      <c r="AP968" t="n">
        <v>6</v>
      </c>
      <c r="AQ968" t="n">
        <v>59</v>
      </c>
      <c r="AR968" t="n">
        <v>118</v>
      </c>
      <c r="AS968" t="n">
        <v>65</v>
      </c>
      <c r="AT968" t="n">
        <v>4</v>
      </c>
      <c r="AU968" t="n">
        <v>1</v>
      </c>
      <c r="AV968" t="n">
        <v>68</v>
      </c>
      <c r="AW968" t="n">
        <v>11</v>
      </c>
      <c r="AX968" t="n">
        <v>7</v>
      </c>
      <c r="AY968" t="n">
        <v>7</v>
      </c>
      <c r="AZ968" t="n">
        <v>3</v>
      </c>
      <c r="BA968" t="n">
        <v>31</v>
      </c>
      <c r="BB968" t="n">
        <v>85</v>
      </c>
      <c r="BC968" t="n">
        <v>30</v>
      </c>
      <c r="BD968" t="n">
        <v>55</v>
      </c>
      <c r="BE968" t="n">
        <v>11</v>
      </c>
      <c r="BF968" t="n">
        <v>52</v>
      </c>
      <c r="BG968" t="n">
        <v>3</v>
      </c>
      <c r="BH968" t="n">
        <v>3</v>
      </c>
      <c r="BI968" t="n">
        <v>61</v>
      </c>
      <c r="BJ968" t="n">
        <v>56</v>
      </c>
      <c r="BK968" t="n">
        <v>6</v>
      </c>
      <c r="BL968" t="n">
        <v>65</v>
      </c>
      <c r="BM968" t="n">
        <v>47</v>
      </c>
      <c r="BN968" t="n">
        <v>3</v>
      </c>
      <c r="BO968" t="n">
        <v>16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n">
        <v>124</v>
      </c>
      <c r="Z969" t="n">
        <v>140</v>
      </c>
      <c r="AA969" t="n">
        <v>73</v>
      </c>
      <c r="AB969" t="n">
        <v>5</v>
      </c>
      <c r="AC969" t="n">
        <v>2</v>
      </c>
      <c r="AD969" t="n">
        <v>2</v>
      </c>
      <c r="AE969" t="n">
        <v>3</v>
      </c>
      <c r="AF969" t="n">
        <v>4</v>
      </c>
      <c r="AG969" t="n">
        <v>3</v>
      </c>
      <c r="AH969" t="n">
        <v>15</v>
      </c>
      <c r="AI969" t="n">
        <v>10</v>
      </c>
      <c r="AJ969" t="n">
        <v>23</v>
      </c>
      <c r="AK969" t="n">
        <v>21</v>
      </c>
      <c r="AL969" t="n">
        <v>2</v>
      </c>
      <c r="AM969" t="n">
        <v>22</v>
      </c>
      <c r="AN969" t="n">
        <v>0</v>
      </c>
      <c r="AO969" t="n">
        <v>0</v>
      </c>
      <c r="AP969" t="n">
        <v>3</v>
      </c>
      <c r="AQ969" t="n">
        <v>24</v>
      </c>
      <c r="AR969" t="n">
        <v>98</v>
      </c>
      <c r="AS969" t="n">
        <v>78</v>
      </c>
      <c r="AT969" t="n">
        <v>4</v>
      </c>
      <c r="AU969" t="n">
        <v>0</v>
      </c>
      <c r="AV969" t="n">
        <v>18</v>
      </c>
      <c r="AW969" t="n">
        <v>7</v>
      </c>
      <c r="AX969" t="n">
        <v>0</v>
      </c>
      <c r="AY969" t="n">
        <v>19</v>
      </c>
      <c r="AZ969" t="n">
        <v>5</v>
      </c>
      <c r="BA969" t="n">
        <v>28</v>
      </c>
      <c r="BB969" t="n">
        <v>99</v>
      </c>
      <c r="BC969" t="n">
        <v>34</v>
      </c>
      <c r="BD969" t="n">
        <v>24</v>
      </c>
      <c r="BE969" t="n">
        <v>11</v>
      </c>
      <c r="BF969" t="n">
        <v>46</v>
      </c>
      <c r="BG969" t="n">
        <v>3</v>
      </c>
      <c r="BH969" t="n">
        <v>9</v>
      </c>
      <c r="BI969" t="n">
        <v>18</v>
      </c>
      <c r="BJ969" t="n">
        <v>27</v>
      </c>
      <c r="BK969" t="n">
        <v>0</v>
      </c>
      <c r="BL969" t="n">
        <v>1</v>
      </c>
      <c r="BM969" t="n">
        <v>7</v>
      </c>
      <c r="BN969" t="n">
        <v>4</v>
      </c>
      <c r="BO969" t="n">
        <v>4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3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311</v>
      </c>
      <c r="Z970" t="n">
        <v>107</v>
      </c>
      <c r="AA970" t="n">
        <v>43</v>
      </c>
      <c r="AB970" t="n">
        <v>1</v>
      </c>
      <c r="AC970" t="n">
        <v>1</v>
      </c>
      <c r="AD970" t="n">
        <v>4</v>
      </c>
      <c r="AE970" t="n">
        <v>5</v>
      </c>
      <c r="AF970" t="n">
        <v>3</v>
      </c>
      <c r="AG970" t="n">
        <v>0</v>
      </c>
      <c r="AH970" t="n">
        <v>59</v>
      </c>
      <c r="AI970" t="n">
        <v>18</v>
      </c>
      <c r="AJ970" t="n">
        <v>32</v>
      </c>
      <c r="AK970" t="n">
        <v>6</v>
      </c>
      <c r="AL970" t="n">
        <v>2</v>
      </c>
      <c r="AM970" t="n">
        <v>36</v>
      </c>
      <c r="AN970" t="n">
        <v>0</v>
      </c>
      <c r="AO970" t="n">
        <v>0</v>
      </c>
      <c r="AP970" t="n">
        <v>4</v>
      </c>
      <c r="AQ970" t="n">
        <v>33</v>
      </c>
      <c r="AR970" t="n">
        <v>150</v>
      </c>
      <c r="AS970" t="n">
        <v>121</v>
      </c>
      <c r="AT970" t="n">
        <v>2</v>
      </c>
      <c r="AU970" t="n">
        <v>0</v>
      </c>
      <c r="AV970" t="n">
        <v>44</v>
      </c>
      <c r="AW970" t="n">
        <v>1</v>
      </c>
      <c r="AX970" t="n">
        <v>8</v>
      </c>
      <c r="AY970" t="n">
        <v>32</v>
      </c>
      <c r="AZ970" t="n">
        <v>0</v>
      </c>
      <c r="BA970" t="n">
        <v>1</v>
      </c>
      <c r="BB970" t="n">
        <v>43</v>
      </c>
      <c r="BC970" t="n">
        <v>33</v>
      </c>
      <c r="BD970" t="n">
        <v>49</v>
      </c>
      <c r="BE970" t="n">
        <v>1</v>
      </c>
      <c r="BF970" t="n">
        <v>28</v>
      </c>
      <c r="BG970" t="n">
        <v>1</v>
      </c>
      <c r="BH970" t="n">
        <v>9</v>
      </c>
      <c r="BI970" t="n">
        <v>76</v>
      </c>
      <c r="BJ970" t="n">
        <v>73</v>
      </c>
      <c r="BK970" t="n">
        <v>0</v>
      </c>
      <c r="BL970" t="n">
        <v>4</v>
      </c>
      <c r="BM970" t="n">
        <v>5</v>
      </c>
      <c r="BN970" t="n">
        <v>3</v>
      </c>
      <c r="BO970" t="n">
        <v>-12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116</v>
      </c>
      <c r="Z971" t="n">
        <v>213</v>
      </c>
      <c r="AA971" t="n">
        <v>89</v>
      </c>
      <c r="AB971" t="n">
        <v>2</v>
      </c>
      <c r="AC971" t="n">
        <v>0</v>
      </c>
      <c r="AD971" t="n">
        <v>2</v>
      </c>
      <c r="AE971" t="n">
        <v>7</v>
      </c>
      <c r="AF971" t="n">
        <v>2</v>
      </c>
      <c r="AG971" t="n">
        <v>3</v>
      </c>
      <c r="AH971" t="n">
        <v>11</v>
      </c>
      <c r="AI971" t="n">
        <v>92</v>
      </c>
      <c r="AJ971" t="n">
        <v>9</v>
      </c>
      <c r="AK971" t="n">
        <v>9</v>
      </c>
      <c r="AL971" t="n">
        <v>5</v>
      </c>
      <c r="AM971" t="n">
        <v>35</v>
      </c>
      <c r="AN971" t="n">
        <v>0</v>
      </c>
      <c r="AO971" t="n">
        <v>0</v>
      </c>
      <c r="AP971" t="n">
        <v>5</v>
      </c>
      <c r="AQ971" t="n">
        <v>21</v>
      </c>
      <c r="AR971" t="n">
        <v>134</v>
      </c>
      <c r="AS971" t="n">
        <v>113</v>
      </c>
      <c r="AT971" t="n">
        <v>3</v>
      </c>
      <c r="AU971" t="n">
        <v>1</v>
      </c>
      <c r="AV971" t="n">
        <v>12</v>
      </c>
      <c r="AW971" t="n">
        <v>18</v>
      </c>
      <c r="AX971" t="n">
        <v>0</v>
      </c>
      <c r="AY971" t="n">
        <v>42</v>
      </c>
      <c r="AZ971" t="n">
        <v>3</v>
      </c>
      <c r="BA971" t="n">
        <v>4</v>
      </c>
      <c r="BB971" t="n">
        <v>87</v>
      </c>
      <c r="BC971" t="n">
        <v>31</v>
      </c>
      <c r="BD971" t="n">
        <v>10</v>
      </c>
      <c r="BE971" t="n">
        <v>19</v>
      </c>
      <c r="BF971" t="n">
        <v>2</v>
      </c>
      <c r="BG971" t="n">
        <v>5</v>
      </c>
      <c r="BH971" t="n">
        <v>0</v>
      </c>
      <c r="BI971" t="n">
        <v>34</v>
      </c>
      <c r="BJ971" t="n">
        <v>32</v>
      </c>
      <c r="BK971" t="n">
        <v>2</v>
      </c>
      <c r="BL971" t="n">
        <v>8</v>
      </c>
      <c r="BM971" t="n">
        <v>9</v>
      </c>
      <c r="BN971" t="n">
        <v>3</v>
      </c>
      <c r="BO971" t="n">
        <v>75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3</v>
      </c>
      <c r="U972" t="n">
        <v>0</v>
      </c>
      <c r="V972" t="n">
        <v>0</v>
      </c>
      <c r="W972" t="n">
        <v>1</v>
      </c>
      <c r="X972" t="n">
        <v>0</v>
      </c>
      <c r="Y972" t="n">
        <v>201</v>
      </c>
      <c r="Z972" t="n">
        <v>165</v>
      </c>
      <c r="AA972" t="n">
        <v>60</v>
      </c>
      <c r="AB972" t="n">
        <v>1</v>
      </c>
      <c r="AC972" t="n">
        <v>1</v>
      </c>
      <c r="AD972" t="n">
        <v>0</v>
      </c>
      <c r="AE972" t="n">
        <v>7</v>
      </c>
      <c r="AF972" t="n">
        <v>4</v>
      </c>
      <c r="AG972" t="n">
        <v>1</v>
      </c>
      <c r="AH972" t="n">
        <v>40</v>
      </c>
      <c r="AI972" t="n">
        <v>75</v>
      </c>
      <c r="AJ972" t="n">
        <v>74</v>
      </c>
      <c r="AK972" t="n">
        <v>18</v>
      </c>
      <c r="AL972" t="n">
        <v>0</v>
      </c>
      <c r="AM972" t="n">
        <v>7</v>
      </c>
      <c r="AN972" t="n">
        <v>0</v>
      </c>
      <c r="AO972" t="n">
        <v>0</v>
      </c>
      <c r="AP972" t="n">
        <v>0</v>
      </c>
      <c r="AQ972" t="n">
        <v>7</v>
      </c>
      <c r="AR972" t="n">
        <v>117</v>
      </c>
      <c r="AS972" t="n">
        <v>107</v>
      </c>
      <c r="AT972" t="n">
        <v>6</v>
      </c>
      <c r="AU972" t="n">
        <v>1</v>
      </c>
      <c r="AV972" t="n">
        <v>74</v>
      </c>
      <c r="AW972" t="n">
        <v>5</v>
      </c>
      <c r="AX972" t="n">
        <v>0</v>
      </c>
      <c r="AY972" t="n">
        <v>50</v>
      </c>
      <c r="AZ972" t="n">
        <v>1</v>
      </c>
      <c r="BA972" t="n">
        <v>11</v>
      </c>
      <c r="BB972" t="n">
        <v>67</v>
      </c>
      <c r="BC972" t="n">
        <v>40</v>
      </c>
      <c r="BD972" t="n">
        <v>38</v>
      </c>
      <c r="BE972" t="n">
        <v>5</v>
      </c>
      <c r="BF972" t="n">
        <v>66</v>
      </c>
      <c r="BG972" t="n">
        <v>4</v>
      </c>
      <c r="BH972" t="n">
        <v>4</v>
      </c>
      <c r="BI972" t="n">
        <v>19</v>
      </c>
      <c r="BJ972" t="n">
        <v>27</v>
      </c>
      <c r="BK972" t="n">
        <v>1</v>
      </c>
      <c r="BL972" t="n">
        <v>20</v>
      </c>
      <c r="BM972" t="n">
        <v>29</v>
      </c>
      <c r="BN972" t="n">
        <v>11</v>
      </c>
      <c r="BO972" t="n">
        <v>4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175</v>
      </c>
      <c r="Z973" t="n">
        <v>176</v>
      </c>
      <c r="AA973" t="n">
        <v>61</v>
      </c>
      <c r="AB973" t="n">
        <v>1</v>
      </c>
      <c r="AC973" t="n">
        <v>1</v>
      </c>
      <c r="AD973" t="n">
        <v>1</v>
      </c>
      <c r="AE973" t="n">
        <v>9</v>
      </c>
      <c r="AF973" t="n">
        <v>6</v>
      </c>
      <c r="AG973" t="n">
        <v>5</v>
      </c>
      <c r="AH973" t="n">
        <v>14</v>
      </c>
      <c r="AI973" t="n">
        <v>49</v>
      </c>
      <c r="AJ973" t="n">
        <v>30</v>
      </c>
      <c r="AK973" t="n">
        <v>69</v>
      </c>
      <c r="AL973" t="n">
        <v>2</v>
      </c>
      <c r="AM973" t="n">
        <v>25</v>
      </c>
      <c r="AN973" t="n">
        <v>0</v>
      </c>
      <c r="AO973" t="n">
        <v>0</v>
      </c>
      <c r="AP973" t="n">
        <v>0</v>
      </c>
      <c r="AQ973" t="n">
        <v>15</v>
      </c>
      <c r="AR973" t="n">
        <v>73</v>
      </c>
      <c r="AS973" t="n">
        <v>58</v>
      </c>
      <c r="AT973" t="n">
        <v>5</v>
      </c>
      <c r="AU973" t="n">
        <v>2</v>
      </c>
      <c r="AV973" t="n">
        <v>34</v>
      </c>
      <c r="AW973" t="n">
        <v>13</v>
      </c>
      <c r="AX973" t="n">
        <v>2</v>
      </c>
      <c r="AY973" t="n">
        <v>19</v>
      </c>
      <c r="AZ973" t="n">
        <v>4</v>
      </c>
      <c r="BA973" t="n">
        <v>7</v>
      </c>
      <c r="BB973" t="n">
        <v>64</v>
      </c>
      <c r="BC973" t="n">
        <v>21</v>
      </c>
      <c r="BD973" t="n">
        <v>14</v>
      </c>
      <c r="BE973" t="n">
        <v>13</v>
      </c>
      <c r="BF973" t="n">
        <v>24</v>
      </c>
      <c r="BG973" t="n">
        <v>3</v>
      </c>
      <c r="BH973" t="n">
        <v>14</v>
      </c>
      <c r="BI973" t="n">
        <v>1</v>
      </c>
      <c r="BJ973" t="n">
        <v>10</v>
      </c>
      <c r="BK973" t="n">
        <v>0</v>
      </c>
      <c r="BL973" t="n">
        <v>1</v>
      </c>
      <c r="BM973" t="n">
        <v>7</v>
      </c>
      <c r="BN973" t="n">
        <v>4</v>
      </c>
      <c r="BO973" t="n">
        <v>18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158</v>
      </c>
      <c r="Z974" t="n">
        <v>163</v>
      </c>
      <c r="AA974" t="n">
        <v>40</v>
      </c>
      <c r="AB974" t="n">
        <v>2</v>
      </c>
      <c r="AC974" t="n">
        <v>1</v>
      </c>
      <c r="AD974" t="n">
        <v>4</v>
      </c>
      <c r="AE974" t="n">
        <v>13</v>
      </c>
      <c r="AF974" t="n">
        <v>2</v>
      </c>
      <c r="AG974" t="n">
        <v>5</v>
      </c>
      <c r="AH974" t="n">
        <v>49</v>
      </c>
      <c r="AI974" t="n">
        <v>110</v>
      </c>
      <c r="AJ974" t="n">
        <v>22</v>
      </c>
      <c r="AK974" t="n">
        <v>38</v>
      </c>
      <c r="AL974" t="n">
        <v>2</v>
      </c>
      <c r="AM974" t="n">
        <v>24</v>
      </c>
      <c r="AN974" t="n">
        <v>2</v>
      </c>
      <c r="AO974" t="n">
        <v>0</v>
      </c>
      <c r="AP974" t="n">
        <v>2</v>
      </c>
      <c r="AQ974" t="n">
        <v>1</v>
      </c>
      <c r="AR974" t="n">
        <v>61</v>
      </c>
      <c r="AS974" t="n">
        <v>54</v>
      </c>
      <c r="AT974" t="n">
        <v>0</v>
      </c>
      <c r="AU974" t="n">
        <v>1</v>
      </c>
      <c r="AV974" t="n">
        <v>1</v>
      </c>
      <c r="AW974" t="n">
        <v>8</v>
      </c>
      <c r="AX974" t="n">
        <v>0</v>
      </c>
      <c r="AY974" t="n">
        <v>1</v>
      </c>
      <c r="AZ974" t="n">
        <v>4</v>
      </c>
      <c r="BA974" t="n">
        <v>30</v>
      </c>
      <c r="BB974" t="n">
        <v>70</v>
      </c>
      <c r="BC974" t="n">
        <v>20</v>
      </c>
      <c r="BD974" t="n">
        <v>43</v>
      </c>
      <c r="BE974" t="n">
        <v>12</v>
      </c>
      <c r="BF974" t="n">
        <v>17</v>
      </c>
      <c r="BG974" t="n">
        <v>4</v>
      </c>
      <c r="BH974" t="n">
        <v>6</v>
      </c>
      <c r="BI974" t="n">
        <v>54</v>
      </c>
      <c r="BJ974" t="n">
        <v>60</v>
      </c>
      <c r="BK974" t="n">
        <v>0</v>
      </c>
      <c r="BL974" t="n">
        <v>1</v>
      </c>
      <c r="BM974" t="n">
        <v>22</v>
      </c>
      <c r="BN974" t="n">
        <v>13</v>
      </c>
      <c r="BO974" t="n">
        <v>16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359</v>
      </c>
      <c r="Z975" t="n">
        <v>185</v>
      </c>
      <c r="AA975" t="n">
        <v>40</v>
      </c>
      <c r="AB975" t="n">
        <v>0</v>
      </c>
      <c r="AC975" t="n">
        <v>0</v>
      </c>
      <c r="AD975" t="n">
        <v>7</v>
      </c>
      <c r="AE975" t="n">
        <v>1</v>
      </c>
      <c r="AF975" t="n">
        <v>2</v>
      </c>
      <c r="AG975" t="n">
        <v>3</v>
      </c>
      <c r="AH975" t="n">
        <v>186</v>
      </c>
      <c r="AI975" t="n">
        <v>20</v>
      </c>
      <c r="AJ975" t="n">
        <v>42</v>
      </c>
      <c r="AK975" t="n">
        <v>12</v>
      </c>
      <c r="AL975" t="n">
        <v>0</v>
      </c>
      <c r="AM975" t="n">
        <v>7</v>
      </c>
      <c r="AN975" t="n">
        <v>0</v>
      </c>
      <c r="AO975" t="n">
        <v>0</v>
      </c>
      <c r="AP975" t="n">
        <v>1</v>
      </c>
      <c r="AQ975" t="n">
        <v>21</v>
      </c>
      <c r="AR975" t="n">
        <v>76</v>
      </c>
      <c r="AS975" t="n">
        <v>57</v>
      </c>
      <c r="AT975" t="n">
        <v>2</v>
      </c>
      <c r="AU975" t="n">
        <v>2</v>
      </c>
      <c r="AV975" t="n">
        <v>23</v>
      </c>
      <c r="AW975" t="n">
        <v>34</v>
      </c>
      <c r="AX975" t="n">
        <v>8</v>
      </c>
      <c r="AY975" t="n">
        <v>19</v>
      </c>
      <c r="AZ975" t="n">
        <v>2</v>
      </c>
      <c r="BA975" t="n">
        <v>46</v>
      </c>
      <c r="BB975" t="n">
        <v>88</v>
      </c>
      <c r="BC975" t="n">
        <v>9</v>
      </c>
      <c r="BD975" t="n">
        <v>168</v>
      </c>
      <c r="BE975" t="n">
        <v>33</v>
      </c>
      <c r="BF975" t="n">
        <v>55</v>
      </c>
      <c r="BG975" t="n">
        <v>2</v>
      </c>
      <c r="BH975" t="n">
        <v>12</v>
      </c>
      <c r="BI975" t="n">
        <v>37</v>
      </c>
      <c r="BJ975" t="n">
        <v>65</v>
      </c>
      <c r="BK975" t="n">
        <v>0</v>
      </c>
      <c r="BL975" t="n">
        <v>11</v>
      </c>
      <c r="BM975" t="n">
        <v>46</v>
      </c>
      <c r="BN975" t="n">
        <v>25</v>
      </c>
      <c r="BO975" t="n">
        <v>2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369</v>
      </c>
      <c r="Z976" t="n">
        <v>113</v>
      </c>
      <c r="AA976" t="n">
        <v>77</v>
      </c>
      <c r="AB976" t="n">
        <v>1</v>
      </c>
      <c r="AC976" t="n">
        <v>0</v>
      </c>
      <c r="AD976" t="n">
        <v>6</v>
      </c>
      <c r="AE976" t="n">
        <v>6</v>
      </c>
      <c r="AF976" t="n">
        <v>3</v>
      </c>
      <c r="AG976" t="n">
        <v>3</v>
      </c>
      <c r="AH976" t="n">
        <v>132</v>
      </c>
      <c r="AI976" t="n">
        <v>15</v>
      </c>
      <c r="AJ976" t="n">
        <v>42</v>
      </c>
      <c r="AK976" t="n">
        <v>45</v>
      </c>
      <c r="AL976" t="n">
        <v>3</v>
      </c>
      <c r="AM976" t="n">
        <v>42</v>
      </c>
      <c r="AN976" t="n">
        <v>1</v>
      </c>
      <c r="AO976" t="n">
        <v>0</v>
      </c>
      <c r="AP976" t="n">
        <v>1</v>
      </c>
      <c r="AQ976" t="n">
        <v>1</v>
      </c>
      <c r="AR976" t="n">
        <v>86</v>
      </c>
      <c r="AS976" t="n">
        <v>79</v>
      </c>
      <c r="AT976" t="n">
        <v>1</v>
      </c>
      <c r="AU976" t="n">
        <v>1</v>
      </c>
      <c r="AV976" t="n">
        <v>17</v>
      </c>
      <c r="AW976" t="n">
        <v>4</v>
      </c>
      <c r="AX976" t="n">
        <v>20</v>
      </c>
      <c r="AY976" t="n">
        <v>104</v>
      </c>
      <c r="AZ976" t="n">
        <v>4</v>
      </c>
      <c r="BA976" t="n">
        <v>59</v>
      </c>
      <c r="BB976" t="n">
        <v>138</v>
      </c>
      <c r="BC976" t="n">
        <v>37</v>
      </c>
      <c r="BD976" t="n">
        <v>123</v>
      </c>
      <c r="BE976" t="n">
        <v>12</v>
      </c>
      <c r="BF976" t="n">
        <v>35</v>
      </c>
      <c r="BG976" t="n">
        <v>3</v>
      </c>
      <c r="BH976" t="n">
        <v>15</v>
      </c>
      <c r="BI976" t="n">
        <v>48</v>
      </c>
      <c r="BJ976" t="n">
        <v>45</v>
      </c>
      <c r="BK976" t="n">
        <v>1</v>
      </c>
      <c r="BL976" t="n">
        <v>5</v>
      </c>
      <c r="BM976" t="n">
        <v>18</v>
      </c>
      <c r="BN976" t="n">
        <v>10</v>
      </c>
      <c r="BO976" t="n">
        <v>2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2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184</v>
      </c>
      <c r="Z977" t="n">
        <v>340</v>
      </c>
      <c r="AA977" t="n">
        <v>61</v>
      </c>
      <c r="AB977" t="n">
        <v>2</v>
      </c>
      <c r="AC977" t="n">
        <v>2</v>
      </c>
      <c r="AD977" t="n">
        <v>4</v>
      </c>
      <c r="AE977" t="n">
        <v>2</v>
      </c>
      <c r="AF977" t="n">
        <v>1</v>
      </c>
      <c r="AG977" t="n">
        <v>5</v>
      </c>
      <c r="AH977" t="n">
        <v>42</v>
      </c>
      <c r="AI977" t="n">
        <v>75</v>
      </c>
      <c r="AJ977" t="n">
        <v>16</v>
      </c>
      <c r="AK977" t="n">
        <v>54</v>
      </c>
      <c r="AL977" t="n">
        <v>5</v>
      </c>
      <c r="AM977" t="n">
        <v>143</v>
      </c>
      <c r="AN977" t="n">
        <v>0</v>
      </c>
      <c r="AO977" t="n">
        <v>0</v>
      </c>
      <c r="AP977" t="n">
        <v>6</v>
      </c>
      <c r="AQ977" t="n">
        <v>93</v>
      </c>
      <c r="AR977" t="n">
        <v>204</v>
      </c>
      <c r="AS977" t="n">
        <v>124</v>
      </c>
      <c r="AT977" t="n">
        <v>0</v>
      </c>
      <c r="AU977" t="n">
        <v>3</v>
      </c>
      <c r="AV977" t="n">
        <v>3</v>
      </c>
      <c r="AW977" t="n">
        <v>25</v>
      </c>
      <c r="AX977" t="n">
        <v>0</v>
      </c>
      <c r="AY977" t="n">
        <v>45</v>
      </c>
      <c r="AZ977" t="n">
        <v>4</v>
      </c>
      <c r="BA977" t="n">
        <v>45</v>
      </c>
      <c r="BB977" t="n">
        <v>106</v>
      </c>
      <c r="BC977" t="n">
        <v>118</v>
      </c>
      <c r="BD977" t="n">
        <v>66</v>
      </c>
      <c r="BE977" t="n">
        <v>25</v>
      </c>
      <c r="BF977" t="n">
        <v>28</v>
      </c>
      <c r="BG977" t="n">
        <v>3</v>
      </c>
      <c r="BH977" t="n">
        <v>7</v>
      </c>
      <c r="BI977" t="n">
        <v>22</v>
      </c>
      <c r="BJ977" t="n">
        <v>30</v>
      </c>
      <c r="BK977" t="n">
        <v>2</v>
      </c>
      <c r="BL977" t="n">
        <v>8</v>
      </c>
      <c r="BM977" t="n">
        <v>32</v>
      </c>
      <c r="BN977" t="n">
        <v>17</v>
      </c>
      <c r="BO977" t="n">
        <v>2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196</v>
      </c>
      <c r="Z978" t="n">
        <v>192</v>
      </c>
      <c r="AA978" t="n">
        <v>73</v>
      </c>
      <c r="AB978" t="n">
        <v>1</v>
      </c>
      <c r="AC978" t="n">
        <v>0</v>
      </c>
      <c r="AD978" t="n">
        <v>2</v>
      </c>
      <c r="AE978" t="n">
        <v>5</v>
      </c>
      <c r="AF978" t="n">
        <v>6</v>
      </c>
      <c r="AG978" t="n">
        <v>5</v>
      </c>
      <c r="AH978" t="n">
        <v>13</v>
      </c>
      <c r="AI978" t="n">
        <v>39</v>
      </c>
      <c r="AJ978" t="n">
        <v>71</v>
      </c>
      <c r="AK978" t="n">
        <v>36</v>
      </c>
      <c r="AL978" t="n">
        <v>1</v>
      </c>
      <c r="AM978" t="n">
        <v>28</v>
      </c>
      <c r="AN978" t="n">
        <v>0</v>
      </c>
      <c r="AO978" t="n">
        <v>0</v>
      </c>
      <c r="AP978" t="n">
        <v>3</v>
      </c>
      <c r="AQ978" t="n">
        <v>12</v>
      </c>
      <c r="AR978" t="n">
        <v>28</v>
      </c>
      <c r="AS978" t="n">
        <v>19</v>
      </c>
      <c r="AT978" t="n">
        <v>2</v>
      </c>
      <c r="AU978" t="n">
        <v>3</v>
      </c>
      <c r="AV978" t="n">
        <v>25</v>
      </c>
      <c r="AW978" t="n">
        <v>30</v>
      </c>
      <c r="AX978" t="n">
        <v>1</v>
      </c>
      <c r="AY978" t="n">
        <v>0</v>
      </c>
      <c r="AZ978" t="n">
        <v>2</v>
      </c>
      <c r="BA978" t="n">
        <v>-1</v>
      </c>
      <c r="BB978" t="n">
        <v>71</v>
      </c>
      <c r="BC978" t="n">
        <v>31</v>
      </c>
      <c r="BD978" t="n">
        <v>30</v>
      </c>
      <c r="BE978" t="n">
        <v>33</v>
      </c>
      <c r="BF978" t="n">
        <v>71</v>
      </c>
      <c r="BG978" t="n">
        <v>1</v>
      </c>
      <c r="BH978" t="n">
        <v>16</v>
      </c>
      <c r="BI978" t="n">
        <v>11</v>
      </c>
      <c r="BJ978" t="n">
        <v>29</v>
      </c>
      <c r="BK978" t="n">
        <v>6</v>
      </c>
      <c r="BL978" t="n">
        <v>41</v>
      </c>
      <c r="BM978" t="n">
        <v>29</v>
      </c>
      <c r="BN978" t="n">
        <v>3</v>
      </c>
      <c r="BO978" t="n">
        <v>42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172</v>
      </c>
      <c r="Z979" t="n">
        <v>208</v>
      </c>
      <c r="AA979" t="n">
        <v>48</v>
      </c>
      <c r="AB979" t="n">
        <v>1</v>
      </c>
      <c r="AC979" t="n">
        <v>3</v>
      </c>
      <c r="AD979" t="n">
        <v>1</v>
      </c>
      <c r="AE979" t="n">
        <v>6</v>
      </c>
      <c r="AF979" t="n">
        <v>5</v>
      </c>
      <c r="AG979" t="n">
        <v>2</v>
      </c>
      <c r="AH979" t="n">
        <v>10</v>
      </c>
      <c r="AI979" t="n">
        <v>45</v>
      </c>
      <c r="AJ979" t="n">
        <v>14</v>
      </c>
      <c r="AK979" t="n">
        <v>1</v>
      </c>
      <c r="AL979" t="n">
        <v>5</v>
      </c>
      <c r="AM979" t="n">
        <v>117</v>
      </c>
      <c r="AN979" t="n">
        <v>0</v>
      </c>
      <c r="AO979" t="n">
        <v>0</v>
      </c>
      <c r="AP979" t="n">
        <v>3</v>
      </c>
      <c r="AQ979" t="n">
        <v>13</v>
      </c>
      <c r="AR979" t="n">
        <v>73</v>
      </c>
      <c r="AS979" t="n">
        <v>61</v>
      </c>
      <c r="AT979" t="n">
        <v>4</v>
      </c>
      <c r="AU979" t="n">
        <v>3</v>
      </c>
      <c r="AV979" t="n">
        <v>13</v>
      </c>
      <c r="AW979" t="n">
        <v>19</v>
      </c>
      <c r="AX979" t="n">
        <v>10</v>
      </c>
      <c r="AY979" t="n">
        <v>24</v>
      </c>
      <c r="AZ979" t="n">
        <v>4</v>
      </c>
      <c r="BA979" t="n">
        <v>5</v>
      </c>
      <c r="BB979" t="n">
        <v>50</v>
      </c>
      <c r="BC979" t="n">
        <v>97</v>
      </c>
      <c r="BD979" t="n">
        <v>10</v>
      </c>
      <c r="BE979" t="n">
        <v>18</v>
      </c>
      <c r="BF979" t="n">
        <v>10</v>
      </c>
      <c r="BG979" t="n">
        <v>4</v>
      </c>
      <c r="BH979" t="n">
        <v>3</v>
      </c>
      <c r="BI979" t="n">
        <v>29</v>
      </c>
      <c r="BJ979" t="n">
        <v>26</v>
      </c>
      <c r="BK979" t="n">
        <v>0</v>
      </c>
      <c r="BL979" t="n">
        <v>1</v>
      </c>
      <c r="BM979" t="n">
        <v>1</v>
      </c>
      <c r="BN979" t="n">
        <v>1</v>
      </c>
      <c r="BO979" t="n">
        <v>14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170</v>
      </c>
      <c r="Z980" t="n">
        <v>158</v>
      </c>
      <c r="AA980" t="n">
        <v>75</v>
      </c>
      <c r="AB980" t="n">
        <v>1</v>
      </c>
      <c r="AC980" t="n">
        <v>1</v>
      </c>
      <c r="AD980" t="n">
        <v>4</v>
      </c>
      <c r="AE980" t="n">
        <v>3</v>
      </c>
      <c r="AF980" t="n">
        <v>2</v>
      </c>
      <c r="AG980" t="n">
        <v>3</v>
      </c>
      <c r="AH980" t="n">
        <v>78</v>
      </c>
      <c r="AI980" t="n">
        <v>16</v>
      </c>
      <c r="AJ980" t="n">
        <v>13</v>
      </c>
      <c r="AK980" t="n">
        <v>1</v>
      </c>
      <c r="AL980" t="n">
        <v>8</v>
      </c>
      <c r="AM980" t="n">
        <v>65</v>
      </c>
      <c r="AN980" t="n">
        <v>0</v>
      </c>
      <c r="AO980" t="n">
        <v>1</v>
      </c>
      <c r="AP980" t="n">
        <v>3</v>
      </c>
      <c r="AQ980" t="n">
        <v>44</v>
      </c>
      <c r="AR980" t="n">
        <v>134</v>
      </c>
      <c r="AS980" t="n">
        <v>96</v>
      </c>
      <c r="AT980" t="n">
        <v>0</v>
      </c>
      <c r="AU980" t="n">
        <v>3</v>
      </c>
      <c r="AV980" t="n">
        <v>15</v>
      </c>
      <c r="AW980" t="n">
        <v>23</v>
      </c>
      <c r="AX980" t="n">
        <v>0</v>
      </c>
      <c r="AY980" t="n">
        <v>94</v>
      </c>
      <c r="AZ980" t="n">
        <v>2</v>
      </c>
      <c r="BA980" t="n">
        <v>29</v>
      </c>
      <c r="BB980" t="n">
        <v>101</v>
      </c>
      <c r="BC980" t="n">
        <v>54</v>
      </c>
      <c r="BD980" t="n">
        <v>72</v>
      </c>
      <c r="BE980" t="n">
        <v>42</v>
      </c>
      <c r="BF980" t="n">
        <v>25</v>
      </c>
      <c r="BG980" t="n">
        <v>2</v>
      </c>
      <c r="BH980" t="n">
        <v>0</v>
      </c>
      <c r="BI980" t="n">
        <v>28</v>
      </c>
      <c r="BJ980" t="n">
        <v>29</v>
      </c>
      <c r="BK980" t="n">
        <v>0</v>
      </c>
      <c r="BL980" t="n">
        <v>4</v>
      </c>
      <c r="BM980" t="n">
        <v>43</v>
      </c>
      <c r="BN980" t="n">
        <v>26</v>
      </c>
      <c r="BO980" t="n">
        <v>2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118</v>
      </c>
      <c r="Z981" t="n">
        <v>258</v>
      </c>
      <c r="AA981" t="n">
        <v>91</v>
      </c>
      <c r="AB981" t="n">
        <v>1</v>
      </c>
      <c r="AC981" t="n">
        <v>1</v>
      </c>
      <c r="AD981" t="n">
        <v>2</v>
      </c>
      <c r="AE981" t="n">
        <v>13</v>
      </c>
      <c r="AF981" t="n">
        <v>6</v>
      </c>
      <c r="AG981" t="n">
        <v>3</v>
      </c>
      <c r="AH981" t="n">
        <v>35</v>
      </c>
      <c r="AI981" t="n">
        <v>110</v>
      </c>
      <c r="AJ981" t="n">
        <v>57</v>
      </c>
      <c r="AK981" t="n">
        <v>36</v>
      </c>
      <c r="AL981" t="n">
        <v>1</v>
      </c>
      <c r="AM981" t="n">
        <v>11</v>
      </c>
      <c r="AN981" t="n">
        <v>0</v>
      </c>
      <c r="AO981" t="n">
        <v>0</v>
      </c>
      <c r="AP981" t="n">
        <v>0</v>
      </c>
      <c r="AQ981" t="n">
        <v>0</v>
      </c>
      <c r="AR981" t="n">
        <v>57</v>
      </c>
      <c r="AS981" t="n">
        <v>52</v>
      </c>
      <c r="AT981" t="n">
        <v>1</v>
      </c>
      <c r="AU981" t="n">
        <v>2</v>
      </c>
      <c r="AV981" t="n">
        <v>13</v>
      </c>
      <c r="AW981" t="n">
        <v>12</v>
      </c>
      <c r="AX981" t="n">
        <v>0</v>
      </c>
      <c r="AY981" t="n">
        <v>63</v>
      </c>
      <c r="AZ981" t="n">
        <v>1</v>
      </c>
      <c r="BA981" t="n">
        <v>33</v>
      </c>
      <c r="BB981" t="n">
        <v>120</v>
      </c>
      <c r="BC981" t="n">
        <v>11</v>
      </c>
      <c r="BD981" t="n">
        <v>35</v>
      </c>
      <c r="BE981" t="n">
        <v>14</v>
      </c>
      <c r="BF981" t="n">
        <v>46</v>
      </c>
      <c r="BG981" t="n">
        <v>1</v>
      </c>
      <c r="BH981" t="n">
        <v>3</v>
      </c>
      <c r="BI981" t="n">
        <v>11</v>
      </c>
      <c r="BJ981" t="n">
        <v>10</v>
      </c>
      <c r="BK981" t="n">
        <v>3</v>
      </c>
      <c r="BL981" t="n">
        <v>20</v>
      </c>
      <c r="BM981" t="n">
        <v>47</v>
      </c>
      <c r="BN981" t="n">
        <v>22</v>
      </c>
      <c r="BO981" t="n">
        <v>16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192</v>
      </c>
      <c r="Z982" t="n">
        <v>152</v>
      </c>
      <c r="AA982" t="n">
        <v>87</v>
      </c>
      <c r="AB982" t="n">
        <v>3</v>
      </c>
      <c r="AC982" t="n">
        <v>0</v>
      </c>
      <c r="AD982" t="n">
        <v>1</v>
      </c>
      <c r="AE982" t="n">
        <v>1</v>
      </c>
      <c r="AF982" t="n">
        <v>3</v>
      </c>
      <c r="AG982" t="n">
        <v>5</v>
      </c>
      <c r="AH982" t="n">
        <v>26</v>
      </c>
      <c r="AI982" t="n">
        <v>9</v>
      </c>
      <c r="AJ982" t="n">
        <v>24</v>
      </c>
      <c r="AK982" t="n">
        <v>30</v>
      </c>
      <c r="AL982" t="n">
        <v>5</v>
      </c>
      <c r="AM982" t="n">
        <v>22</v>
      </c>
      <c r="AN982" t="n">
        <v>0</v>
      </c>
      <c r="AO982" t="n">
        <v>0</v>
      </c>
      <c r="AP982" t="n">
        <v>12</v>
      </c>
      <c r="AQ982" t="n">
        <v>30</v>
      </c>
      <c r="AR982" t="n">
        <v>178</v>
      </c>
      <c r="AS982" t="n">
        <v>144</v>
      </c>
      <c r="AT982" t="n">
        <v>1</v>
      </c>
      <c r="AU982" t="n">
        <v>2</v>
      </c>
      <c r="AV982" t="n">
        <v>10</v>
      </c>
      <c r="AW982" t="n">
        <v>31</v>
      </c>
      <c r="AX982" t="n">
        <v>3</v>
      </c>
      <c r="AY982" t="n">
        <v>107</v>
      </c>
      <c r="AZ982" t="n">
        <v>0</v>
      </c>
      <c r="BA982" t="n">
        <v>1</v>
      </c>
      <c r="BB982" t="n">
        <v>84</v>
      </c>
      <c r="BC982" t="n">
        <v>51</v>
      </c>
      <c r="BD982" t="n">
        <v>22</v>
      </c>
      <c r="BE982" t="n">
        <v>36</v>
      </c>
      <c r="BF982" t="n">
        <v>21</v>
      </c>
      <c r="BG982" t="n">
        <v>4</v>
      </c>
      <c r="BH982" t="n">
        <v>4</v>
      </c>
      <c r="BI982" t="n">
        <v>34</v>
      </c>
      <c r="BJ982" t="n">
        <v>32</v>
      </c>
      <c r="BK982" t="n">
        <v>0</v>
      </c>
      <c r="BL982" t="n">
        <v>13</v>
      </c>
      <c r="BM982" t="n">
        <v>52</v>
      </c>
      <c r="BN982" t="n">
        <v>29</v>
      </c>
      <c r="BO982" t="n">
        <v>7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300</v>
      </c>
      <c r="Z983" t="n">
        <v>167</v>
      </c>
      <c r="AA983" t="n">
        <v>81</v>
      </c>
      <c r="AB983" t="n">
        <v>0</v>
      </c>
      <c r="AC983" t="n">
        <v>0</v>
      </c>
      <c r="AD983" t="n">
        <v>4</v>
      </c>
      <c r="AE983" t="n">
        <v>3</v>
      </c>
      <c r="AF983" t="n">
        <v>7</v>
      </c>
      <c r="AG983" t="n">
        <v>8</v>
      </c>
      <c r="AH983" t="n">
        <v>33</v>
      </c>
      <c r="AI983" t="n">
        <v>18</v>
      </c>
      <c r="AJ983" t="n">
        <v>71</v>
      </c>
      <c r="AK983" t="n">
        <v>77</v>
      </c>
      <c r="AL983" t="n">
        <v>8</v>
      </c>
      <c r="AM983" t="n">
        <v>101</v>
      </c>
      <c r="AN983" t="n">
        <v>0</v>
      </c>
      <c r="AO983" t="n">
        <v>0</v>
      </c>
      <c r="AP983" t="n">
        <v>9</v>
      </c>
      <c r="AQ983" t="n">
        <v>111</v>
      </c>
      <c r="AR983" t="n">
        <v>176</v>
      </c>
      <c r="AS983" t="n">
        <v>81</v>
      </c>
      <c r="AT983" t="n">
        <v>4</v>
      </c>
      <c r="AU983" t="n">
        <v>1</v>
      </c>
      <c r="AV983" t="n">
        <v>37</v>
      </c>
      <c r="AW983" t="n">
        <v>8</v>
      </c>
      <c r="AX983" t="n">
        <v>0</v>
      </c>
      <c r="AY983" t="n">
        <v>24</v>
      </c>
      <c r="AZ983" t="n">
        <v>1</v>
      </c>
      <c r="BA983" t="n">
        <v>1</v>
      </c>
      <c r="BB983" t="n">
        <v>79</v>
      </c>
      <c r="BC983" t="n">
        <v>83</v>
      </c>
      <c r="BD983" t="n">
        <v>29</v>
      </c>
      <c r="BE983" t="n">
        <v>8</v>
      </c>
      <c r="BF983" t="n">
        <v>56</v>
      </c>
      <c r="BG983" t="n">
        <v>0</v>
      </c>
      <c r="BH983" t="n">
        <v>6</v>
      </c>
      <c r="BI983" t="n">
        <v>15</v>
      </c>
      <c r="BJ983" t="n">
        <v>18</v>
      </c>
      <c r="BK983" t="n">
        <v>3</v>
      </c>
      <c r="BL983" t="n">
        <v>11</v>
      </c>
      <c r="BM983" t="n">
        <v>21</v>
      </c>
      <c r="BN983" t="n">
        <v>9</v>
      </c>
      <c r="BO983" t="n">
        <v>40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2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281</v>
      </c>
      <c r="Z984" t="n">
        <v>257</v>
      </c>
      <c r="AA984" t="n">
        <v>63</v>
      </c>
      <c r="AB984" t="n">
        <v>0</v>
      </c>
      <c r="AC984" t="n">
        <v>1</v>
      </c>
      <c r="AD984" t="n">
        <v>1</v>
      </c>
      <c r="AE984" t="n">
        <v>10</v>
      </c>
      <c r="AF984" t="n">
        <v>7</v>
      </c>
      <c r="AG984" t="n">
        <v>5</v>
      </c>
      <c r="AH984" t="n">
        <v>2</v>
      </c>
      <c r="AI984" t="n">
        <v>83</v>
      </c>
      <c r="AJ984" t="n">
        <v>86</v>
      </c>
      <c r="AK984" t="n">
        <v>18</v>
      </c>
      <c r="AL984" t="n">
        <v>5</v>
      </c>
      <c r="AM984" t="n">
        <v>51</v>
      </c>
      <c r="AN984" t="n">
        <v>0</v>
      </c>
      <c r="AO984" t="n">
        <v>0</v>
      </c>
      <c r="AP984" t="n">
        <v>8</v>
      </c>
      <c r="AQ984" t="n">
        <v>74</v>
      </c>
      <c r="AR984" t="n">
        <v>126</v>
      </c>
      <c r="AS984" t="n">
        <v>62</v>
      </c>
      <c r="AT984" t="n">
        <v>3</v>
      </c>
      <c r="AU984" t="n">
        <v>1</v>
      </c>
      <c r="AV984" t="n">
        <v>30</v>
      </c>
      <c r="AW984" t="n">
        <v>1</v>
      </c>
      <c r="AX984" t="n">
        <v>0</v>
      </c>
      <c r="AY984" t="n">
        <v>38</v>
      </c>
      <c r="AZ984" t="n">
        <v>2</v>
      </c>
      <c r="BA984" t="n">
        <v>1</v>
      </c>
      <c r="BB984" t="n">
        <v>62</v>
      </c>
      <c r="BC984" t="n">
        <v>39</v>
      </c>
      <c r="BD984" t="n">
        <v>4</v>
      </c>
      <c r="BE984" t="n">
        <v>7</v>
      </c>
      <c r="BF984" t="n">
        <v>71</v>
      </c>
      <c r="BG984" t="n">
        <v>2</v>
      </c>
      <c r="BH984" t="n">
        <v>12</v>
      </c>
      <c r="BI984" t="n">
        <v>7</v>
      </c>
      <c r="BJ984" t="n">
        <v>5</v>
      </c>
      <c r="BK984" t="n">
        <v>0</v>
      </c>
      <c r="BL984" t="n">
        <v>22</v>
      </c>
      <c r="BM984" t="n">
        <v>15</v>
      </c>
      <c r="BN984" t="n">
        <v>0</v>
      </c>
      <c r="BO984" t="n">
        <v>2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230</v>
      </c>
      <c r="Z985" t="n">
        <v>215</v>
      </c>
      <c r="AA985" t="n">
        <v>38</v>
      </c>
      <c r="AB985" t="n">
        <v>0</v>
      </c>
      <c r="AC985" t="n">
        <v>1</v>
      </c>
      <c r="AD985" t="n">
        <v>3</v>
      </c>
      <c r="AE985" t="n">
        <v>0</v>
      </c>
      <c r="AF985" t="n">
        <v>1</v>
      </c>
      <c r="AG985" t="n">
        <v>7</v>
      </c>
      <c r="AH985" t="n">
        <v>28</v>
      </c>
      <c r="AI985" t="n">
        <v>49</v>
      </c>
      <c r="AJ985" t="n">
        <v>12</v>
      </c>
      <c r="AK985" t="n">
        <v>59</v>
      </c>
      <c r="AL985" t="n">
        <v>2</v>
      </c>
      <c r="AM985" t="n">
        <v>31</v>
      </c>
      <c r="AN985" t="n">
        <v>0</v>
      </c>
      <c r="AO985" t="n">
        <v>0</v>
      </c>
      <c r="AP985" t="n">
        <v>0</v>
      </c>
      <c r="AQ985" t="n">
        <v>6</v>
      </c>
      <c r="AR985" t="n">
        <v>52</v>
      </c>
      <c r="AS985" t="n">
        <v>47</v>
      </c>
      <c r="AT985" t="n">
        <v>6</v>
      </c>
      <c r="AU985" t="n">
        <v>1</v>
      </c>
      <c r="AV985" t="n">
        <v>59</v>
      </c>
      <c r="AW985" t="n">
        <v>34</v>
      </c>
      <c r="AX985" t="n">
        <v>1</v>
      </c>
      <c r="AY985" t="n">
        <v>39</v>
      </c>
      <c r="AZ985" t="n">
        <v>2</v>
      </c>
      <c r="BA985" t="n">
        <v>11</v>
      </c>
      <c r="BB985" t="n">
        <v>46</v>
      </c>
      <c r="BC985" t="n">
        <v>32</v>
      </c>
      <c r="BD985" t="n">
        <v>45</v>
      </c>
      <c r="BE985" t="n">
        <v>35</v>
      </c>
      <c r="BF985" t="n">
        <v>9</v>
      </c>
      <c r="BG985" t="n">
        <v>3</v>
      </c>
      <c r="BH985" t="n">
        <v>8</v>
      </c>
      <c r="BI985" t="n">
        <v>39</v>
      </c>
      <c r="BJ985" t="n">
        <v>36</v>
      </c>
      <c r="BK985" t="n">
        <v>7</v>
      </c>
      <c r="BL985" t="n">
        <v>53</v>
      </c>
      <c r="BM985" t="n">
        <v>35</v>
      </c>
      <c r="BN985" t="n">
        <v>0</v>
      </c>
      <c r="BO985" t="n">
        <v>23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4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333</v>
      </c>
      <c r="Z986" t="n">
        <v>147</v>
      </c>
      <c r="AA986" t="n">
        <v>43</v>
      </c>
      <c r="AB986" t="n">
        <v>1</v>
      </c>
      <c r="AC986" t="n">
        <v>0</v>
      </c>
      <c r="AD986" t="n">
        <v>8</v>
      </c>
      <c r="AE986" t="n">
        <v>7</v>
      </c>
      <c r="AF986" t="n">
        <v>5</v>
      </c>
      <c r="AG986" t="n">
        <v>0</v>
      </c>
      <c r="AH986" t="n">
        <v>144</v>
      </c>
      <c r="AI986" t="n">
        <v>62</v>
      </c>
      <c r="AJ986" t="n">
        <v>71</v>
      </c>
      <c r="AK986" t="n">
        <v>1</v>
      </c>
      <c r="AL986" t="n">
        <v>3</v>
      </c>
      <c r="AM986" t="n">
        <v>47</v>
      </c>
      <c r="AN986" t="n">
        <v>0</v>
      </c>
      <c r="AO986" t="n">
        <v>0</v>
      </c>
      <c r="AP986" t="n">
        <v>2</v>
      </c>
      <c r="AQ986" t="n">
        <v>1</v>
      </c>
      <c r="AR986" t="n">
        <v>160</v>
      </c>
      <c r="AS986" t="n">
        <v>149</v>
      </c>
      <c r="AT986" t="n">
        <v>5</v>
      </c>
      <c r="AU986" t="n">
        <v>2</v>
      </c>
      <c r="AV986" t="n">
        <v>74</v>
      </c>
      <c r="AW986" t="n">
        <v>1</v>
      </c>
      <c r="AX986" t="n">
        <v>4</v>
      </c>
      <c r="AY986" t="n">
        <v>52</v>
      </c>
      <c r="AZ986" t="n">
        <v>1</v>
      </c>
      <c r="BA986" t="n">
        <v>5</v>
      </c>
      <c r="BB986" t="n">
        <v>45</v>
      </c>
      <c r="BC986" t="n">
        <v>49</v>
      </c>
      <c r="BD986" t="n">
        <v>130</v>
      </c>
      <c r="BE986" t="n">
        <v>9</v>
      </c>
      <c r="BF986" t="n">
        <v>70</v>
      </c>
      <c r="BG986" t="n">
        <v>0</v>
      </c>
      <c r="BH986" t="n">
        <v>9</v>
      </c>
      <c r="BI986" t="n">
        <v>23</v>
      </c>
      <c r="BJ986" t="n">
        <v>21</v>
      </c>
      <c r="BK986" t="n">
        <v>3</v>
      </c>
      <c r="BL986" t="n">
        <v>32</v>
      </c>
      <c r="BM986" t="n">
        <v>37</v>
      </c>
      <c r="BN986" t="n">
        <v>11</v>
      </c>
      <c r="BO986" t="n">
        <v>14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2</v>
      </c>
      <c r="N987" t="n">
        <v>0</v>
      </c>
      <c r="O987" t="n">
        <v>0</v>
      </c>
      <c r="P987" t="n">
        <v>0</v>
      </c>
      <c r="Q987" t="n">
        <v>0</v>
      </c>
      <c r="R987" t="n">
        <v>2</v>
      </c>
      <c r="S987" t="n">
        <v>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259</v>
      </c>
      <c r="Z987" t="n">
        <v>194</v>
      </c>
      <c r="AA987" t="n">
        <v>38</v>
      </c>
      <c r="AB987" t="n">
        <v>4</v>
      </c>
      <c r="AC987" t="n">
        <v>0</v>
      </c>
      <c r="AD987" t="n">
        <v>1</v>
      </c>
      <c r="AE987" t="n">
        <v>0</v>
      </c>
      <c r="AF987" t="n">
        <v>3</v>
      </c>
      <c r="AG987" t="n">
        <v>9</v>
      </c>
      <c r="AH987" t="n">
        <v>19</v>
      </c>
      <c r="AI987" t="n">
        <v>2</v>
      </c>
      <c r="AJ987" t="n">
        <v>90</v>
      </c>
      <c r="AK987" t="n">
        <v>92</v>
      </c>
      <c r="AL987" t="n">
        <v>4</v>
      </c>
      <c r="AM987" t="n">
        <v>70</v>
      </c>
      <c r="AN987" t="n">
        <v>0</v>
      </c>
      <c r="AO987" t="n">
        <v>0</v>
      </c>
      <c r="AP987" t="n">
        <v>5</v>
      </c>
      <c r="AQ987" t="n">
        <v>70</v>
      </c>
      <c r="AR987" t="n">
        <v>143</v>
      </c>
      <c r="AS987" t="n">
        <v>84</v>
      </c>
      <c r="AT987" t="n">
        <v>0</v>
      </c>
      <c r="AU987" t="n">
        <v>2</v>
      </c>
      <c r="AV987" t="n">
        <v>1</v>
      </c>
      <c r="AW987" t="n">
        <v>30</v>
      </c>
      <c r="AX987" t="n">
        <v>8</v>
      </c>
      <c r="AY987" t="n">
        <v>32</v>
      </c>
      <c r="AZ987" t="n">
        <v>2</v>
      </c>
      <c r="BA987" t="n">
        <v>17</v>
      </c>
      <c r="BB987" t="n">
        <v>53</v>
      </c>
      <c r="BC987" t="n">
        <v>67</v>
      </c>
      <c r="BD987" t="n">
        <v>17</v>
      </c>
      <c r="BE987" t="n">
        <v>28</v>
      </c>
      <c r="BF987" t="n">
        <v>71</v>
      </c>
      <c r="BG987" t="n">
        <v>0</v>
      </c>
      <c r="BH987" t="n">
        <v>10</v>
      </c>
      <c r="BI987" t="n">
        <v>1</v>
      </c>
      <c r="BJ987" t="n">
        <v>1</v>
      </c>
      <c r="BK987" t="n">
        <v>3</v>
      </c>
      <c r="BL987" t="n">
        <v>22</v>
      </c>
      <c r="BM987" t="n">
        <v>17</v>
      </c>
      <c r="BN987" t="n">
        <v>2</v>
      </c>
      <c r="BO987" t="n">
        <v>16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198</v>
      </c>
      <c r="Z988" t="n">
        <v>112</v>
      </c>
      <c r="AA988" t="n">
        <v>39</v>
      </c>
      <c r="AB988" t="n">
        <v>2</v>
      </c>
      <c r="AC988" t="n">
        <v>1</v>
      </c>
      <c r="AD988" t="n">
        <v>4</v>
      </c>
      <c r="AE988" t="n">
        <v>4</v>
      </c>
      <c r="AF988" t="n">
        <v>3</v>
      </c>
      <c r="AG988" t="n">
        <v>8</v>
      </c>
      <c r="AH988" t="n">
        <v>37</v>
      </c>
      <c r="AI988" t="n">
        <v>42</v>
      </c>
      <c r="AJ988" t="n">
        <v>47</v>
      </c>
      <c r="AK988" t="n">
        <v>59</v>
      </c>
      <c r="AL988" t="n">
        <v>1</v>
      </c>
      <c r="AM988" t="n">
        <v>16</v>
      </c>
      <c r="AN988" t="n">
        <v>0</v>
      </c>
      <c r="AO988" t="n">
        <v>0</v>
      </c>
      <c r="AP988" t="n">
        <v>4</v>
      </c>
      <c r="AQ988" t="n">
        <v>13</v>
      </c>
      <c r="AR988" t="n">
        <v>88</v>
      </c>
      <c r="AS988" t="n">
        <v>75</v>
      </c>
      <c r="AT988" t="n">
        <v>1</v>
      </c>
      <c r="AU988" t="n">
        <v>2</v>
      </c>
      <c r="AV988" t="n">
        <v>13</v>
      </c>
      <c r="AW988" t="n">
        <v>6</v>
      </c>
      <c r="AX988" t="n">
        <v>1</v>
      </c>
      <c r="AY988" t="n">
        <v>34</v>
      </c>
      <c r="AZ988" t="n">
        <v>2</v>
      </c>
      <c r="BA988" t="n">
        <v>12</v>
      </c>
      <c r="BB988" t="n">
        <v>50</v>
      </c>
      <c r="BC988" t="n">
        <v>12</v>
      </c>
      <c r="BD988" t="n">
        <v>33</v>
      </c>
      <c r="BE988" t="n">
        <v>6</v>
      </c>
      <c r="BF988" t="n">
        <v>40</v>
      </c>
      <c r="BG988" t="n">
        <v>1</v>
      </c>
      <c r="BH988" t="n">
        <v>5</v>
      </c>
      <c r="BI988" t="n">
        <v>23</v>
      </c>
      <c r="BJ988" t="n">
        <v>21</v>
      </c>
      <c r="BK988" t="n">
        <v>6</v>
      </c>
      <c r="BL988" t="n">
        <v>49</v>
      </c>
      <c r="BM988" t="n">
        <v>33</v>
      </c>
      <c r="BN988" t="n">
        <v>0</v>
      </c>
      <c r="BO988" t="n">
        <v>9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2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361</v>
      </c>
      <c r="Z989" t="n">
        <v>159</v>
      </c>
      <c r="AA989" t="n">
        <v>39</v>
      </c>
      <c r="AB989" t="n">
        <v>0</v>
      </c>
      <c r="AC989" t="n">
        <v>2</v>
      </c>
      <c r="AD989" t="n">
        <v>1</v>
      </c>
      <c r="AE989" t="n">
        <v>10</v>
      </c>
      <c r="AF989" t="n">
        <v>2</v>
      </c>
      <c r="AG989" t="n">
        <v>6</v>
      </c>
      <c r="AH989" t="n">
        <v>19</v>
      </c>
      <c r="AI989" t="n">
        <v>74</v>
      </c>
      <c r="AJ989" t="n">
        <v>33</v>
      </c>
      <c r="AK989" t="n">
        <v>69</v>
      </c>
      <c r="AL989" t="n">
        <v>2</v>
      </c>
      <c r="AM989" t="n">
        <v>42</v>
      </c>
      <c r="AN989" t="n">
        <v>0</v>
      </c>
      <c r="AO989" t="n">
        <v>0</v>
      </c>
      <c r="AP989" t="n">
        <v>7</v>
      </c>
      <c r="AQ989" t="n">
        <v>134</v>
      </c>
      <c r="AR989" t="n">
        <v>132</v>
      </c>
      <c r="AS989" t="n">
        <v>18</v>
      </c>
      <c r="AT989" t="n">
        <v>2</v>
      </c>
      <c r="AU989" t="n">
        <v>2</v>
      </c>
      <c r="AV989" t="n">
        <v>51</v>
      </c>
      <c r="AW989" t="n">
        <v>5</v>
      </c>
      <c r="AX989" t="n">
        <v>0</v>
      </c>
      <c r="AY989" t="n">
        <v>28</v>
      </c>
      <c r="AZ989" t="n">
        <v>1</v>
      </c>
      <c r="BA989" t="n">
        <v>36</v>
      </c>
      <c r="BB989" t="n">
        <v>76</v>
      </c>
      <c r="BC989" t="n">
        <v>34</v>
      </c>
      <c r="BD989" t="n">
        <v>17</v>
      </c>
      <c r="BE989" t="n">
        <v>5</v>
      </c>
      <c r="BF989" t="n">
        <v>26</v>
      </c>
      <c r="BG989" t="n">
        <v>4</v>
      </c>
      <c r="BH989" t="n">
        <v>11</v>
      </c>
      <c r="BI989" t="n">
        <v>45</v>
      </c>
      <c r="BJ989" t="n">
        <v>41</v>
      </c>
      <c r="BK989" t="n">
        <v>4</v>
      </c>
      <c r="BL989" t="n">
        <v>20</v>
      </c>
      <c r="BM989" t="n">
        <v>25</v>
      </c>
      <c r="BN989" t="n">
        <v>8</v>
      </c>
      <c r="BO989" t="n">
        <v>2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2</v>
      </c>
      <c r="X990" t="n">
        <v>0</v>
      </c>
      <c r="Y990" t="n">
        <v>187</v>
      </c>
      <c r="Z990" t="n">
        <v>131</v>
      </c>
      <c r="AA990" t="n">
        <v>34</v>
      </c>
      <c r="AB990" t="n">
        <v>3</v>
      </c>
      <c r="AC990" t="n">
        <v>0</v>
      </c>
      <c r="AD990" t="n">
        <v>4</v>
      </c>
      <c r="AE990" t="n">
        <v>2</v>
      </c>
      <c r="AF990" t="n">
        <v>2</v>
      </c>
      <c r="AG990" t="n">
        <v>4</v>
      </c>
      <c r="AH990" t="n">
        <v>45</v>
      </c>
      <c r="AI990" t="n">
        <v>13</v>
      </c>
      <c r="AJ990" t="n">
        <v>20</v>
      </c>
      <c r="AK990" t="n">
        <v>38</v>
      </c>
      <c r="AL990" t="n">
        <v>0</v>
      </c>
      <c r="AM990" t="n">
        <v>10</v>
      </c>
      <c r="AN990" t="n">
        <v>0</v>
      </c>
      <c r="AO990" t="n">
        <v>0</v>
      </c>
      <c r="AP990" t="n">
        <v>1</v>
      </c>
      <c r="AQ990" t="n">
        <v>1</v>
      </c>
      <c r="AR990" t="n">
        <v>78</v>
      </c>
      <c r="AS990" t="n">
        <v>71</v>
      </c>
      <c r="AT990" t="n">
        <v>1</v>
      </c>
      <c r="AU990" t="n">
        <v>2</v>
      </c>
      <c r="AV990" t="n">
        <v>9</v>
      </c>
      <c r="AW990" t="n">
        <v>23</v>
      </c>
      <c r="AX990" t="n">
        <v>11</v>
      </c>
      <c r="AY990" t="n">
        <v>27</v>
      </c>
      <c r="AZ990" t="n">
        <v>2</v>
      </c>
      <c r="BA990" t="n">
        <v>1</v>
      </c>
      <c r="BB990" t="n">
        <v>34</v>
      </c>
      <c r="BC990" t="n">
        <v>19</v>
      </c>
      <c r="BD990" t="n">
        <v>52</v>
      </c>
      <c r="BE990" t="n">
        <v>25</v>
      </c>
      <c r="BF990" t="n">
        <v>16</v>
      </c>
      <c r="BG990" t="n">
        <v>3</v>
      </c>
      <c r="BH990" t="n">
        <v>20</v>
      </c>
      <c r="BI990" t="n">
        <v>43</v>
      </c>
      <c r="BJ990" t="n">
        <v>46</v>
      </c>
      <c r="BK990" t="n">
        <v>3</v>
      </c>
      <c r="BL990" t="n">
        <v>25</v>
      </c>
      <c r="BM990" t="n">
        <v>37</v>
      </c>
      <c r="BN990" t="n">
        <v>14</v>
      </c>
      <c r="BO990" t="n">
        <v>2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159</v>
      </c>
      <c r="Z991" t="n">
        <v>256</v>
      </c>
      <c r="AA991" t="n">
        <v>76</v>
      </c>
      <c r="AB991" t="n">
        <v>2</v>
      </c>
      <c r="AC991" t="n">
        <v>2</v>
      </c>
      <c r="AD991" t="n">
        <v>2</v>
      </c>
      <c r="AE991" t="n">
        <v>4</v>
      </c>
      <c r="AF991" t="n">
        <v>0</v>
      </c>
      <c r="AG991" t="n">
        <v>6</v>
      </c>
      <c r="AH991" t="n">
        <v>42</v>
      </c>
      <c r="AI991" t="n">
        <v>36</v>
      </c>
      <c r="AJ991" t="n">
        <v>2</v>
      </c>
      <c r="AK991" t="n">
        <v>56</v>
      </c>
      <c r="AL991" t="n">
        <v>0</v>
      </c>
      <c r="AM991" t="n">
        <v>25</v>
      </c>
      <c r="AN991" t="n">
        <v>0</v>
      </c>
      <c r="AO991" t="n">
        <v>0</v>
      </c>
      <c r="AP991" t="n">
        <v>10</v>
      </c>
      <c r="AQ991" t="n">
        <v>71</v>
      </c>
      <c r="AR991" t="n">
        <v>101</v>
      </c>
      <c r="AS991" t="n">
        <v>39</v>
      </c>
      <c r="AT991" t="n">
        <v>3</v>
      </c>
      <c r="AU991" t="n">
        <v>0</v>
      </c>
      <c r="AV991" t="n">
        <v>24</v>
      </c>
      <c r="AW991" t="n">
        <v>1</v>
      </c>
      <c r="AX991" t="n">
        <v>0</v>
      </c>
      <c r="AY991" t="n">
        <v>17</v>
      </c>
      <c r="AZ991" t="n">
        <v>1</v>
      </c>
      <c r="BA991" t="n">
        <v>8</v>
      </c>
      <c r="BB991" t="n">
        <v>80</v>
      </c>
      <c r="BC991" t="n">
        <v>20</v>
      </c>
      <c r="BD991" t="n">
        <v>39</v>
      </c>
      <c r="BE991" t="n">
        <v>5</v>
      </c>
      <c r="BF991" t="n">
        <v>3</v>
      </c>
      <c r="BG991" t="n">
        <v>0</v>
      </c>
      <c r="BH991" t="n">
        <v>8</v>
      </c>
      <c r="BI991" t="n">
        <v>2</v>
      </c>
      <c r="BJ991" t="n">
        <v>43</v>
      </c>
      <c r="BK991" t="n">
        <v>3</v>
      </c>
      <c r="BL991" t="n">
        <v>14</v>
      </c>
      <c r="BM991" t="n">
        <v>27</v>
      </c>
      <c r="BN991" t="n">
        <v>11</v>
      </c>
      <c r="BO991" t="n">
        <v>2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192</v>
      </c>
      <c r="Z992" t="n">
        <v>338</v>
      </c>
      <c r="AA992" t="n">
        <v>94</v>
      </c>
      <c r="AB992" t="n">
        <v>1</v>
      </c>
      <c r="AC992" t="n">
        <v>1</v>
      </c>
      <c r="AD992" t="n">
        <v>5</v>
      </c>
      <c r="AE992" t="n">
        <v>8</v>
      </c>
      <c r="AF992" t="n">
        <v>2</v>
      </c>
      <c r="AG992" t="n">
        <v>2</v>
      </c>
      <c r="AH992" t="n">
        <v>41</v>
      </c>
      <c r="AI992" t="n">
        <v>77</v>
      </c>
      <c r="AJ992" t="n">
        <v>37</v>
      </c>
      <c r="AK992" t="n">
        <v>9</v>
      </c>
      <c r="AL992" t="n">
        <v>5</v>
      </c>
      <c r="AM992" t="n">
        <v>107</v>
      </c>
      <c r="AN992" t="n">
        <v>0</v>
      </c>
      <c r="AO992" t="n">
        <v>0</v>
      </c>
      <c r="AP992" t="n">
        <v>2</v>
      </c>
      <c r="AQ992" t="n">
        <v>10</v>
      </c>
      <c r="AR992" t="n">
        <v>94</v>
      </c>
      <c r="AS992" t="n">
        <v>84</v>
      </c>
      <c r="AT992" t="n">
        <v>3</v>
      </c>
      <c r="AU992" t="n">
        <v>1</v>
      </c>
      <c r="AV992" t="n">
        <v>27</v>
      </c>
      <c r="AW992" t="n">
        <v>18</v>
      </c>
      <c r="AX992" t="n">
        <v>0</v>
      </c>
      <c r="AY992" t="n">
        <v>13</v>
      </c>
      <c r="AZ992" t="n">
        <v>1</v>
      </c>
      <c r="BA992" t="n">
        <v>1</v>
      </c>
      <c r="BB992" t="n">
        <v>92</v>
      </c>
      <c r="BC992" t="n">
        <v>91</v>
      </c>
      <c r="BD992" t="n">
        <v>39</v>
      </c>
      <c r="BE992" t="n">
        <v>18</v>
      </c>
      <c r="BF992" t="n">
        <v>29</v>
      </c>
      <c r="BG992" t="n">
        <v>4</v>
      </c>
      <c r="BH992" t="n">
        <v>4</v>
      </c>
      <c r="BI992" t="n">
        <v>85</v>
      </c>
      <c r="BJ992" t="n">
        <v>99</v>
      </c>
      <c r="BK992" t="n">
        <v>3</v>
      </c>
      <c r="BL992" t="n">
        <v>21</v>
      </c>
      <c r="BM992" t="n">
        <v>15</v>
      </c>
      <c r="BN992" t="n">
        <v>1</v>
      </c>
      <c r="BO992" t="n">
        <v>2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258</v>
      </c>
      <c r="Z993" t="n">
        <v>131</v>
      </c>
      <c r="AA993" t="n">
        <v>24</v>
      </c>
      <c r="AB993" t="n">
        <v>1</v>
      </c>
      <c r="AC993" t="n">
        <v>0</v>
      </c>
      <c r="AD993" t="n">
        <v>4</v>
      </c>
      <c r="AE993" t="n">
        <v>5</v>
      </c>
      <c r="AF993" t="n">
        <v>2</v>
      </c>
      <c r="AG993" t="n">
        <v>7</v>
      </c>
      <c r="AH993" t="n">
        <v>51</v>
      </c>
      <c r="AI993" t="n">
        <v>16</v>
      </c>
      <c r="AJ993" t="n">
        <v>24</v>
      </c>
      <c r="AK993" t="n">
        <v>164</v>
      </c>
      <c r="AL993" t="n">
        <v>2</v>
      </c>
      <c r="AM993" t="n">
        <v>25</v>
      </c>
      <c r="AN993" t="n">
        <v>0</v>
      </c>
      <c r="AO993" t="n">
        <v>0</v>
      </c>
      <c r="AP993" t="n">
        <v>1</v>
      </c>
      <c r="AQ993" t="n">
        <v>7</v>
      </c>
      <c r="AR993" t="n">
        <v>124</v>
      </c>
      <c r="AS993" t="n">
        <v>112</v>
      </c>
      <c r="AT993" t="n">
        <v>2</v>
      </c>
      <c r="AU993" t="n">
        <v>0</v>
      </c>
      <c r="AV993" t="n">
        <v>11</v>
      </c>
      <c r="AW993" t="n">
        <v>20</v>
      </c>
      <c r="AX993" t="n">
        <v>0</v>
      </c>
      <c r="AY993" t="n">
        <v>12</v>
      </c>
      <c r="AZ993" t="n">
        <v>1</v>
      </c>
      <c r="BA993" t="n">
        <v>1</v>
      </c>
      <c r="BB993" t="n">
        <v>24</v>
      </c>
      <c r="BC993" t="n">
        <v>21</v>
      </c>
      <c r="BD993" t="n">
        <v>45</v>
      </c>
      <c r="BE993" t="n">
        <v>21</v>
      </c>
      <c r="BF993" t="n">
        <v>19</v>
      </c>
      <c r="BG993" t="n">
        <v>3</v>
      </c>
      <c r="BH993" t="n">
        <v>3</v>
      </c>
      <c r="BI993" t="n">
        <v>30</v>
      </c>
      <c r="BJ993" t="n">
        <v>31</v>
      </c>
      <c r="BK993" t="n">
        <v>1</v>
      </c>
      <c r="BL993" t="n">
        <v>1</v>
      </c>
      <c r="BM993" t="n">
        <v>19</v>
      </c>
      <c r="BN993" t="n">
        <v>11</v>
      </c>
      <c r="BO993" t="n">
        <v>7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2</v>
      </c>
      <c r="V994" t="n">
        <v>0</v>
      </c>
      <c r="W994" t="n">
        <v>0</v>
      </c>
      <c r="X994" t="n">
        <v>0</v>
      </c>
      <c r="Y994" t="n">
        <v>184</v>
      </c>
      <c r="Z994" t="n">
        <v>147</v>
      </c>
      <c r="AA994" t="n">
        <v>47</v>
      </c>
      <c r="AB994" t="n">
        <v>0</v>
      </c>
      <c r="AC994" t="n">
        <v>2</v>
      </c>
      <c r="AD994" t="n">
        <v>11</v>
      </c>
      <c r="AE994" t="n">
        <v>2</v>
      </c>
      <c r="AF994" t="n">
        <v>6</v>
      </c>
      <c r="AG994" t="n">
        <v>2</v>
      </c>
      <c r="AH994" t="n">
        <v>110</v>
      </c>
      <c r="AI994" t="n">
        <v>7</v>
      </c>
      <c r="AJ994" t="n">
        <v>42</v>
      </c>
      <c r="AK994" t="n">
        <v>25</v>
      </c>
      <c r="AL994" t="n">
        <v>1</v>
      </c>
      <c r="AM994" t="n">
        <v>11</v>
      </c>
      <c r="AN994" t="n">
        <v>0</v>
      </c>
      <c r="AO994" t="n">
        <v>0</v>
      </c>
      <c r="AP994" t="n">
        <v>3</v>
      </c>
      <c r="AQ994" t="n">
        <v>9</v>
      </c>
      <c r="AR994" t="n">
        <v>35</v>
      </c>
      <c r="AS994" t="n">
        <v>28</v>
      </c>
      <c r="AT994" t="n">
        <v>5</v>
      </c>
      <c r="AU994" t="n">
        <v>2</v>
      </c>
      <c r="AV994" t="n">
        <v>19</v>
      </c>
      <c r="AW994" t="n">
        <v>22</v>
      </c>
      <c r="AX994" t="n">
        <v>11</v>
      </c>
      <c r="AY994" t="n">
        <v>23</v>
      </c>
      <c r="AZ994" t="n">
        <v>1</v>
      </c>
      <c r="BA994" t="n">
        <v>9</v>
      </c>
      <c r="BB994" t="n">
        <v>53</v>
      </c>
      <c r="BC994" t="n">
        <v>13</v>
      </c>
      <c r="BD994" t="n">
        <v>99</v>
      </c>
      <c r="BE994" t="n">
        <v>25</v>
      </c>
      <c r="BF994" t="n">
        <v>33</v>
      </c>
      <c r="BG994" t="n">
        <v>1</v>
      </c>
      <c r="BH994" t="n">
        <v>0</v>
      </c>
      <c r="BI994" t="n">
        <v>6</v>
      </c>
      <c r="BJ994" t="n">
        <v>1</v>
      </c>
      <c r="BK994" t="n">
        <v>8</v>
      </c>
      <c r="BL994" t="n">
        <v>64</v>
      </c>
      <c r="BM994" t="n">
        <v>64</v>
      </c>
      <c r="BN994" t="n">
        <v>16</v>
      </c>
      <c r="BO994" t="n">
        <v>23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2</v>
      </c>
      <c r="K995" t="n">
        <v>0</v>
      </c>
      <c r="L995" t="n">
        <v>0</v>
      </c>
      <c r="M995" t="n">
        <v>2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</v>
      </c>
      <c r="U995" t="n">
        <v>0</v>
      </c>
      <c r="V995" t="n">
        <v>0</v>
      </c>
      <c r="W995" t="n">
        <v>0</v>
      </c>
      <c r="X995" t="n">
        <v>0</v>
      </c>
      <c r="Y995" t="n">
        <v>234</v>
      </c>
      <c r="Z995" t="n">
        <v>427</v>
      </c>
      <c r="AA995" t="n">
        <v>124</v>
      </c>
      <c r="AB995" t="n">
        <v>1</v>
      </c>
      <c r="AC995" t="n">
        <v>3</v>
      </c>
      <c r="AD995" t="n">
        <v>3</v>
      </c>
      <c r="AE995" t="n">
        <v>20</v>
      </c>
      <c r="AF995" t="n">
        <v>9</v>
      </c>
      <c r="AG995" t="n">
        <v>4</v>
      </c>
      <c r="AH995" t="n">
        <v>38</v>
      </c>
      <c r="AI995" t="n">
        <v>169</v>
      </c>
      <c r="AJ995" t="n">
        <v>75</v>
      </c>
      <c r="AK995" t="n">
        <v>21</v>
      </c>
      <c r="AL995" t="n">
        <v>9</v>
      </c>
      <c r="AM995" t="n">
        <v>77</v>
      </c>
      <c r="AN995" t="n">
        <v>0</v>
      </c>
      <c r="AO995" t="n">
        <v>0</v>
      </c>
      <c r="AP995" t="n">
        <v>3</v>
      </c>
      <c r="AQ995" t="n">
        <v>30</v>
      </c>
      <c r="AR995" t="n">
        <v>121</v>
      </c>
      <c r="AS995" t="n">
        <v>94</v>
      </c>
      <c r="AT995" t="n">
        <v>0</v>
      </c>
      <c r="AU995" t="n">
        <v>0</v>
      </c>
      <c r="AV995" t="n">
        <v>6</v>
      </c>
      <c r="AW995" t="n">
        <v>3</v>
      </c>
      <c r="AX995" t="n">
        <v>8</v>
      </c>
      <c r="AY995" t="n">
        <v>33</v>
      </c>
      <c r="AZ995" t="n">
        <v>6</v>
      </c>
      <c r="BA995" t="n">
        <v>116</v>
      </c>
      <c r="BB995" t="n">
        <v>249</v>
      </c>
      <c r="BC995" t="n">
        <v>67</v>
      </c>
      <c r="BD995" t="n">
        <v>33</v>
      </c>
      <c r="BE995" t="n">
        <v>13</v>
      </c>
      <c r="BF995" t="n">
        <v>60</v>
      </c>
      <c r="BG995" t="n">
        <v>2</v>
      </c>
      <c r="BH995" t="n">
        <v>15</v>
      </c>
      <c r="BI995" t="n">
        <v>24</v>
      </c>
      <c r="BJ995" t="n">
        <v>23</v>
      </c>
      <c r="BK995" t="n">
        <v>3</v>
      </c>
      <c r="BL995" t="n">
        <v>9</v>
      </c>
      <c r="BM995" t="n">
        <v>32</v>
      </c>
      <c r="BN995" t="n">
        <v>17</v>
      </c>
      <c r="BO995" t="n">
        <v>30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2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225</v>
      </c>
      <c r="Z996" t="n">
        <v>284</v>
      </c>
      <c r="AA996" t="n">
        <v>78</v>
      </c>
      <c r="AB996" t="n">
        <v>0</v>
      </c>
      <c r="AC996" t="n">
        <v>2</v>
      </c>
      <c r="AD996" t="n">
        <v>2</v>
      </c>
      <c r="AE996" t="n">
        <v>0</v>
      </c>
      <c r="AF996" t="n">
        <v>5</v>
      </c>
      <c r="AG996" t="n">
        <v>0</v>
      </c>
      <c r="AH996" t="n">
        <v>26</v>
      </c>
      <c r="AI996" t="n">
        <v>24</v>
      </c>
      <c r="AJ996" t="n">
        <v>40</v>
      </c>
      <c r="AK996" t="n">
        <v>19</v>
      </c>
      <c r="AL996" t="n">
        <v>2</v>
      </c>
      <c r="AM996" t="n">
        <v>96</v>
      </c>
      <c r="AN996" t="n">
        <v>0</v>
      </c>
      <c r="AO996" t="n">
        <v>0</v>
      </c>
      <c r="AP996" t="n">
        <v>6</v>
      </c>
      <c r="AQ996" t="n">
        <v>44</v>
      </c>
      <c r="AR996" t="n">
        <v>56</v>
      </c>
      <c r="AS996" t="n">
        <v>20</v>
      </c>
      <c r="AT996" t="n">
        <v>7</v>
      </c>
      <c r="AU996" t="n">
        <v>2</v>
      </c>
      <c r="AV996" t="n">
        <v>39</v>
      </c>
      <c r="AW996" t="n">
        <v>52</v>
      </c>
      <c r="AX996" t="n">
        <v>0</v>
      </c>
      <c r="AY996" t="n">
        <v>41</v>
      </c>
      <c r="AZ996" t="n">
        <v>2</v>
      </c>
      <c r="BA996" t="n">
        <v>9</v>
      </c>
      <c r="BB996" t="n">
        <v>82</v>
      </c>
      <c r="BC996" t="n">
        <v>80</v>
      </c>
      <c r="BD996" t="n">
        <v>34</v>
      </c>
      <c r="BE996" t="n">
        <v>56</v>
      </c>
      <c r="BF996" t="n">
        <v>32</v>
      </c>
      <c r="BG996" t="n">
        <v>6</v>
      </c>
      <c r="BH996" t="n">
        <v>9</v>
      </c>
      <c r="BI996" t="n">
        <v>69</v>
      </c>
      <c r="BJ996" t="n">
        <v>76</v>
      </c>
      <c r="BK996" t="n">
        <v>3</v>
      </c>
      <c r="BL996" t="n">
        <v>1</v>
      </c>
      <c r="BM996" t="n">
        <v>66</v>
      </c>
      <c r="BN996" t="n">
        <v>46</v>
      </c>
      <c r="BO996" t="n">
        <v>2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2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284</v>
      </c>
      <c r="Z997" t="n">
        <v>136</v>
      </c>
      <c r="AA997" t="n">
        <v>51</v>
      </c>
      <c r="AB997" t="n">
        <v>1</v>
      </c>
      <c r="AC997" t="n">
        <v>1</v>
      </c>
      <c r="AD997" t="n">
        <v>7</v>
      </c>
      <c r="AE997" t="n">
        <v>7</v>
      </c>
      <c r="AF997" t="n">
        <v>5</v>
      </c>
      <c r="AG997" t="n">
        <v>2</v>
      </c>
      <c r="AH997" t="n">
        <v>105</v>
      </c>
      <c r="AI997" t="n">
        <v>72</v>
      </c>
      <c r="AJ997" t="n">
        <v>13</v>
      </c>
      <c r="AK997" t="n">
        <v>1</v>
      </c>
      <c r="AL997" t="n">
        <v>6</v>
      </c>
      <c r="AM997" t="n">
        <v>32</v>
      </c>
      <c r="AN997" t="n">
        <v>0</v>
      </c>
      <c r="AO997" t="n">
        <v>0</v>
      </c>
      <c r="AP997" t="n">
        <v>6</v>
      </c>
      <c r="AQ997" t="n">
        <v>30</v>
      </c>
      <c r="AR997" t="n">
        <v>176</v>
      </c>
      <c r="AS997" t="n">
        <v>143</v>
      </c>
      <c r="AT997" t="n">
        <v>3</v>
      </c>
      <c r="AU997" t="n">
        <v>0</v>
      </c>
      <c r="AV997" t="n">
        <v>13</v>
      </c>
      <c r="AW997" t="n">
        <v>3</v>
      </c>
      <c r="AX997" t="n">
        <v>2</v>
      </c>
      <c r="AY997" t="n">
        <v>17</v>
      </c>
      <c r="AZ997" t="n">
        <v>4</v>
      </c>
      <c r="BA997" t="n">
        <v>21</v>
      </c>
      <c r="BB997" t="n">
        <v>70</v>
      </c>
      <c r="BC997" t="n">
        <v>27</v>
      </c>
      <c r="BD997" t="n">
        <v>98</v>
      </c>
      <c r="BE997" t="n">
        <v>5</v>
      </c>
      <c r="BF997" t="n">
        <v>10</v>
      </c>
      <c r="BG997" t="n">
        <v>5</v>
      </c>
      <c r="BH997" t="n">
        <v>13</v>
      </c>
      <c r="BI997" t="n">
        <v>56</v>
      </c>
      <c r="BJ997" t="n">
        <v>49</v>
      </c>
      <c r="BK997" t="n">
        <v>2</v>
      </c>
      <c r="BL997" t="n">
        <v>1</v>
      </c>
      <c r="BM997" t="n">
        <v>7</v>
      </c>
      <c r="BN997" t="n">
        <v>4</v>
      </c>
      <c r="BO997" t="n">
        <v>42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210</v>
      </c>
      <c r="Z998" t="n">
        <v>179</v>
      </c>
      <c r="AA998" t="n">
        <v>73</v>
      </c>
      <c r="AB998" t="n">
        <v>0</v>
      </c>
      <c r="AC998" t="n">
        <v>4</v>
      </c>
      <c r="AD998" t="n">
        <v>6</v>
      </c>
      <c r="AE998" t="n">
        <v>4</v>
      </c>
      <c r="AF998" t="n">
        <v>4</v>
      </c>
      <c r="AG998" t="n">
        <v>3</v>
      </c>
      <c r="AH998" t="n">
        <v>66</v>
      </c>
      <c r="AI998" t="n">
        <v>30</v>
      </c>
      <c r="AJ998" t="n">
        <v>65</v>
      </c>
      <c r="AK998" t="n">
        <v>25</v>
      </c>
      <c r="AL998" t="n">
        <v>1</v>
      </c>
      <c r="AM998" t="n">
        <v>47</v>
      </c>
      <c r="AN998" t="n">
        <v>0</v>
      </c>
      <c r="AO998" t="n">
        <v>0</v>
      </c>
      <c r="AP998" t="n">
        <v>2</v>
      </c>
      <c r="AQ998" t="n">
        <v>18</v>
      </c>
      <c r="AR998" t="n">
        <v>94</v>
      </c>
      <c r="AS998" t="n">
        <v>79</v>
      </c>
      <c r="AT998" t="n">
        <v>5</v>
      </c>
      <c r="AU998" t="n">
        <v>3</v>
      </c>
      <c r="AV998" t="n">
        <v>51</v>
      </c>
      <c r="AW998" t="n">
        <v>15</v>
      </c>
      <c r="AX998" t="n">
        <v>0</v>
      </c>
      <c r="AY998" t="n">
        <v>31</v>
      </c>
      <c r="AZ998" t="n">
        <v>4</v>
      </c>
      <c r="BA998" t="n">
        <v>42</v>
      </c>
      <c r="BB998" t="n">
        <v>113</v>
      </c>
      <c r="BC998" t="n">
        <v>39</v>
      </c>
      <c r="BD998" t="n">
        <v>58</v>
      </c>
      <c r="BE998" t="n">
        <v>16</v>
      </c>
      <c r="BF998" t="n">
        <v>60</v>
      </c>
      <c r="BG998" t="n">
        <v>1</v>
      </c>
      <c r="BH998" t="n">
        <v>8</v>
      </c>
      <c r="BI998" t="n">
        <v>12</v>
      </c>
      <c r="BJ998" t="n">
        <v>10</v>
      </c>
      <c r="BK998" t="n">
        <v>2</v>
      </c>
      <c r="BL998" t="n">
        <v>9</v>
      </c>
      <c r="BM998" t="n">
        <v>43</v>
      </c>
      <c r="BN998" t="n">
        <v>24</v>
      </c>
      <c r="BO998" t="n">
        <v>11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2</v>
      </c>
      <c r="N999" t="n">
        <v>0</v>
      </c>
      <c r="O999" t="n">
        <v>0</v>
      </c>
      <c r="P999" t="n">
        <v>0</v>
      </c>
      <c r="Q999" t="n">
        <v>0</v>
      </c>
      <c r="R999" t="n">
        <v>2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141</v>
      </c>
      <c r="Z999" t="n">
        <v>166</v>
      </c>
      <c r="AA999" t="n">
        <v>26</v>
      </c>
      <c r="AB999" t="n">
        <v>2</v>
      </c>
      <c r="AC999" t="n">
        <v>0</v>
      </c>
      <c r="AD999" t="n">
        <v>5</v>
      </c>
      <c r="AE999" t="n">
        <v>2</v>
      </c>
      <c r="AF999" t="n">
        <v>9</v>
      </c>
      <c r="AG999" t="n">
        <v>4</v>
      </c>
      <c r="AH999" t="n">
        <v>33</v>
      </c>
      <c r="AI999" t="n">
        <v>2</v>
      </c>
      <c r="AJ999" t="n">
        <v>80</v>
      </c>
      <c r="AK999" t="n">
        <v>30</v>
      </c>
      <c r="AL999" t="n">
        <v>7</v>
      </c>
      <c r="AM999" t="n">
        <v>74</v>
      </c>
      <c r="AN999" t="n">
        <v>0</v>
      </c>
      <c r="AO999" t="n">
        <v>0</v>
      </c>
      <c r="AP999" t="n">
        <v>7</v>
      </c>
      <c r="AQ999" t="n">
        <v>42</v>
      </c>
      <c r="AR999" t="n">
        <v>72</v>
      </c>
      <c r="AS999" t="n">
        <v>37</v>
      </c>
      <c r="AT999" t="n">
        <v>1</v>
      </c>
      <c r="AU999" t="n">
        <v>0</v>
      </c>
      <c r="AV999" t="n">
        <v>6</v>
      </c>
      <c r="AW999" t="n">
        <v>21</v>
      </c>
      <c r="AX999" t="n">
        <v>0</v>
      </c>
      <c r="AY999" t="n">
        <v>22</v>
      </c>
      <c r="AZ999" t="n">
        <v>3</v>
      </c>
      <c r="BA999" t="n">
        <v>33</v>
      </c>
      <c r="BB999" t="n">
        <v>60</v>
      </c>
      <c r="BC999" t="n">
        <v>62</v>
      </c>
      <c r="BD999" t="n">
        <v>33</v>
      </c>
      <c r="BE999" t="n">
        <v>21</v>
      </c>
      <c r="BF999" t="n">
        <v>66</v>
      </c>
      <c r="BG999" t="n">
        <v>0</v>
      </c>
      <c r="BH999" t="n">
        <v>2</v>
      </c>
      <c r="BI999" t="n">
        <v>1</v>
      </c>
      <c r="BJ999" t="n">
        <v>1</v>
      </c>
      <c r="BK999" t="n">
        <v>1</v>
      </c>
      <c r="BL999" t="n">
        <v>21</v>
      </c>
      <c r="BM999" t="n">
        <v>14</v>
      </c>
      <c r="BN999" t="n">
        <v>0</v>
      </c>
      <c r="BO999" t="n">
        <v>30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154</v>
      </c>
      <c r="Z1000" t="n">
        <v>161</v>
      </c>
      <c r="AA1000" t="n">
        <v>57</v>
      </c>
      <c r="AB1000" t="n">
        <v>2</v>
      </c>
      <c r="AC1000" t="n">
        <v>2</v>
      </c>
      <c r="AD1000" t="n">
        <v>3</v>
      </c>
      <c r="AE1000" t="n">
        <v>6</v>
      </c>
      <c r="AF1000" t="n">
        <v>4</v>
      </c>
      <c r="AG1000" t="n">
        <v>0</v>
      </c>
      <c r="AH1000" t="n">
        <v>18</v>
      </c>
      <c r="AI1000" t="n">
        <v>54</v>
      </c>
      <c r="AJ1000" t="n">
        <v>33</v>
      </c>
      <c r="AK1000" t="n">
        <v>24</v>
      </c>
      <c r="AL1000" t="n">
        <v>4</v>
      </c>
      <c r="AM1000" t="n">
        <v>101</v>
      </c>
      <c r="AN1000" t="n">
        <v>0</v>
      </c>
      <c r="AO1000" t="n">
        <v>1</v>
      </c>
      <c r="AP1000" t="n">
        <v>5</v>
      </c>
      <c r="AQ1000" t="n">
        <v>35</v>
      </c>
      <c r="AR1000" t="n">
        <v>286</v>
      </c>
      <c r="AS1000" t="n">
        <v>244</v>
      </c>
      <c r="AT1000" t="n">
        <v>0</v>
      </c>
      <c r="AU1000" t="n">
        <v>3</v>
      </c>
      <c r="AV1000" t="n">
        <v>1</v>
      </c>
      <c r="AW1000" t="n">
        <v>12</v>
      </c>
      <c r="AX1000" t="n">
        <v>12</v>
      </c>
      <c r="AY1000" t="n">
        <v>50</v>
      </c>
      <c r="AZ1000" t="n">
        <v>2</v>
      </c>
      <c r="BA1000" t="n">
        <v>1</v>
      </c>
      <c r="BB1000" t="n">
        <v>56</v>
      </c>
      <c r="BC1000" t="n">
        <v>86</v>
      </c>
      <c r="BD1000" t="n">
        <v>15</v>
      </c>
      <c r="BE1000" t="n">
        <v>12</v>
      </c>
      <c r="BF1000" t="n">
        <v>46</v>
      </c>
      <c r="BG1000" t="n">
        <v>3</v>
      </c>
      <c r="BH1000" t="n">
        <v>4</v>
      </c>
      <c r="BI1000" t="n">
        <v>18</v>
      </c>
      <c r="BJ1000" t="n">
        <v>18</v>
      </c>
      <c r="BK1000" t="n">
        <v>0</v>
      </c>
      <c r="BL1000" t="n">
        <v>5</v>
      </c>
      <c r="BM1000" t="n">
        <v>25</v>
      </c>
      <c r="BN1000" t="n">
        <v>14</v>
      </c>
      <c r="BO1000" t="n">
        <v>126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322</v>
      </c>
      <c r="Z1001" t="n">
        <v>164</v>
      </c>
      <c r="AA1001" t="n">
        <v>79</v>
      </c>
      <c r="AB1001" t="n">
        <v>0</v>
      </c>
      <c r="AC1001" t="n">
        <v>1</v>
      </c>
      <c r="AD1001" t="n">
        <v>4</v>
      </c>
      <c r="AE1001" t="n">
        <v>7</v>
      </c>
      <c r="AF1001" t="n">
        <v>9</v>
      </c>
      <c r="AG1001" t="n">
        <v>0</v>
      </c>
      <c r="AH1001" t="n">
        <v>114</v>
      </c>
      <c r="AI1001" t="n">
        <v>32</v>
      </c>
      <c r="AJ1001" t="n">
        <v>72</v>
      </c>
      <c r="AK1001" t="n">
        <v>1</v>
      </c>
      <c r="AL1001" t="n">
        <v>1</v>
      </c>
      <c r="AM1001" t="n">
        <v>39</v>
      </c>
      <c r="AN1001" t="n">
        <v>0</v>
      </c>
      <c r="AO1001" t="n">
        <v>0</v>
      </c>
      <c r="AP1001" t="n">
        <v>4</v>
      </c>
      <c r="AQ1001" t="n">
        <v>38</v>
      </c>
      <c r="AR1001" t="n">
        <v>166</v>
      </c>
      <c r="AS1001" t="n">
        <v>129</v>
      </c>
      <c r="AT1001" t="n">
        <v>2</v>
      </c>
      <c r="AU1001" t="n">
        <v>3</v>
      </c>
      <c r="AV1001" t="n">
        <v>10</v>
      </c>
      <c r="AW1001" t="n">
        <v>38</v>
      </c>
      <c r="AX1001" t="n">
        <v>5</v>
      </c>
      <c r="AY1001" t="n">
        <v>49</v>
      </c>
      <c r="AZ1001" t="n">
        <v>1</v>
      </c>
      <c r="BA1001" t="n">
        <v>1</v>
      </c>
      <c r="BB1001" t="n">
        <v>77</v>
      </c>
      <c r="BC1001" t="n">
        <v>32</v>
      </c>
      <c r="BD1001" t="n">
        <v>103</v>
      </c>
      <c r="BE1001" t="n">
        <v>44</v>
      </c>
      <c r="BF1001" t="n">
        <v>64</v>
      </c>
      <c r="BG1001" t="n">
        <v>3</v>
      </c>
      <c r="BH1001" t="n">
        <v>7</v>
      </c>
      <c r="BI1001" t="n">
        <v>40</v>
      </c>
      <c r="BJ1001" t="n">
        <v>36</v>
      </c>
      <c r="BK1001" t="n">
        <v>0</v>
      </c>
      <c r="BL1001" t="n">
        <v>2</v>
      </c>
      <c r="BM1001" t="n">
        <v>2</v>
      </c>
      <c r="BN1001" t="n">
        <v>0</v>
      </c>
      <c r="BO1001" t="n">
        <v>23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191</v>
      </c>
      <c r="Z1002" t="n">
        <v>57</v>
      </c>
      <c r="AA1002" t="n">
        <v>145</v>
      </c>
      <c r="AB1002" t="n">
        <v>1</v>
      </c>
      <c r="AC1002" t="n">
        <v>2</v>
      </c>
      <c r="AD1002" t="n">
        <v>6</v>
      </c>
      <c r="AE1002" t="n">
        <v>5</v>
      </c>
      <c r="AF1002" t="n">
        <v>5</v>
      </c>
      <c r="AG1002" t="n">
        <v>5</v>
      </c>
      <c r="AH1002" t="n">
        <v>21</v>
      </c>
      <c r="AI1002" t="n">
        <v>10</v>
      </c>
      <c r="AJ1002" t="n">
        <v>83</v>
      </c>
      <c r="AK1002" t="n">
        <v>1</v>
      </c>
      <c r="AL1002" t="n">
        <v>2</v>
      </c>
      <c r="AM1002" t="n">
        <v>13</v>
      </c>
      <c r="AN1002" t="n">
        <v>1</v>
      </c>
      <c r="AO1002" t="n">
        <v>0</v>
      </c>
      <c r="AP1002" t="n">
        <v>3</v>
      </c>
      <c r="AQ1002" t="n">
        <v>24</v>
      </c>
      <c r="AR1002" t="n">
        <v>87</v>
      </c>
      <c r="AS1002" t="n">
        <v>66</v>
      </c>
      <c r="AT1002" t="n">
        <v>2</v>
      </c>
      <c r="AU1002" t="n">
        <v>0</v>
      </c>
      <c r="AV1002" t="n">
        <v>17</v>
      </c>
      <c r="AW1002" t="n">
        <v>1</v>
      </c>
      <c r="AX1002" t="n">
        <v>2</v>
      </c>
      <c r="AY1002" t="n">
        <v>67</v>
      </c>
      <c r="AZ1002" t="n">
        <v>2</v>
      </c>
      <c r="BA1002" t="n">
        <v>4</v>
      </c>
      <c r="BB1002" t="n">
        <v>135</v>
      </c>
      <c r="BC1002" t="n">
        <v>10</v>
      </c>
      <c r="BD1002" t="n">
        <v>19</v>
      </c>
      <c r="BE1002" t="n">
        <v>7</v>
      </c>
      <c r="BF1002" t="n">
        <v>67</v>
      </c>
      <c r="BG1002" t="n">
        <v>2</v>
      </c>
      <c r="BH1002" t="n">
        <v>10</v>
      </c>
      <c r="BI1002" t="n">
        <v>3</v>
      </c>
      <c r="BJ1002" t="n">
        <v>12</v>
      </c>
      <c r="BK1002" t="n">
        <v>2</v>
      </c>
      <c r="BL1002" t="n">
        <v>19</v>
      </c>
      <c r="BM1002" t="n">
        <v>17</v>
      </c>
      <c r="BN1002" t="n">
        <v>4</v>
      </c>
      <c r="BO1002" t="n">
        <v>21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227</v>
      </c>
      <c r="Z1003" t="n">
        <v>229</v>
      </c>
      <c r="AA1003" t="n">
        <v>16</v>
      </c>
      <c r="AB1003" t="n">
        <v>2</v>
      </c>
      <c r="AC1003" t="n">
        <v>1</v>
      </c>
      <c r="AD1003" t="n">
        <v>6</v>
      </c>
      <c r="AE1003" t="n">
        <v>9</v>
      </c>
      <c r="AF1003" t="n">
        <v>7</v>
      </c>
      <c r="AG1003" t="n">
        <v>2</v>
      </c>
      <c r="AH1003" t="n">
        <v>82</v>
      </c>
      <c r="AI1003" t="n">
        <v>62</v>
      </c>
      <c r="AJ1003" t="n">
        <v>50</v>
      </c>
      <c r="AK1003" t="n">
        <v>25</v>
      </c>
      <c r="AL1003" t="n">
        <v>5</v>
      </c>
      <c r="AM1003" t="n">
        <v>85</v>
      </c>
      <c r="AN1003" t="n">
        <v>0</v>
      </c>
      <c r="AO1003" t="n">
        <v>0</v>
      </c>
      <c r="AP1003" t="n">
        <v>2</v>
      </c>
      <c r="AQ1003" t="n">
        <v>42</v>
      </c>
      <c r="AR1003" t="n">
        <v>154</v>
      </c>
      <c r="AS1003" t="n">
        <v>118</v>
      </c>
      <c r="AT1003" t="n">
        <v>2</v>
      </c>
      <c r="AU1003" t="n">
        <v>3</v>
      </c>
      <c r="AV1003" t="n">
        <v>15</v>
      </c>
      <c r="AW1003" t="n">
        <v>10</v>
      </c>
      <c r="AX1003" t="n">
        <v>9</v>
      </c>
      <c r="AY1003" t="n">
        <v>19</v>
      </c>
      <c r="AZ1003" t="n">
        <v>2</v>
      </c>
      <c r="BA1003" t="n">
        <v>1</v>
      </c>
      <c r="BB1003" t="n">
        <v>17</v>
      </c>
      <c r="BC1003" t="n">
        <v>73</v>
      </c>
      <c r="BD1003" t="n">
        <v>73</v>
      </c>
      <c r="BE1003" t="n">
        <v>10</v>
      </c>
      <c r="BF1003" t="n">
        <v>47</v>
      </c>
      <c r="BG1003" t="n">
        <v>3</v>
      </c>
      <c r="BH1003" t="n">
        <v>4</v>
      </c>
      <c r="BI1003" t="n">
        <v>10</v>
      </c>
      <c r="BJ1003" t="n">
        <v>9</v>
      </c>
      <c r="BK1003" t="n">
        <v>3</v>
      </c>
      <c r="BL1003" t="n">
        <v>62</v>
      </c>
      <c r="BM1003" t="n">
        <v>43</v>
      </c>
      <c r="BN1003" t="n">
        <v>1</v>
      </c>
      <c r="BO1003" t="n">
        <v>11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124</v>
      </c>
      <c r="Z1004" t="n">
        <v>213</v>
      </c>
      <c r="AA1004" t="n">
        <v>82</v>
      </c>
      <c r="AB1004" t="n">
        <v>1</v>
      </c>
      <c r="AC1004" t="n">
        <v>1</v>
      </c>
      <c r="AD1004" t="n">
        <v>3</v>
      </c>
      <c r="AE1004" t="n">
        <v>3</v>
      </c>
      <c r="AF1004" t="n">
        <v>2</v>
      </c>
      <c r="AG1004" t="n">
        <v>3</v>
      </c>
      <c r="AH1004" t="n">
        <v>21</v>
      </c>
      <c r="AI1004" t="n">
        <v>20</v>
      </c>
      <c r="AJ1004" t="n">
        <v>-4</v>
      </c>
      <c r="AK1004" t="n">
        <v>9</v>
      </c>
      <c r="AL1004" t="n">
        <v>5</v>
      </c>
      <c r="AM1004" t="n">
        <v>31</v>
      </c>
      <c r="AN1004" t="n">
        <v>0</v>
      </c>
      <c r="AO1004" t="n">
        <v>0</v>
      </c>
      <c r="AP1004" t="n">
        <v>5</v>
      </c>
      <c r="AQ1004" t="n">
        <v>21</v>
      </c>
      <c r="AR1004" t="n">
        <v>106</v>
      </c>
      <c r="AS1004" t="n">
        <v>87</v>
      </c>
      <c r="AT1004" t="n">
        <v>1</v>
      </c>
      <c r="AU1004" t="n">
        <v>1</v>
      </c>
      <c r="AV1004" t="n">
        <v>15</v>
      </c>
      <c r="AW1004" t="n">
        <v>5</v>
      </c>
      <c r="AX1004" t="n">
        <v>6</v>
      </c>
      <c r="AY1004" t="n">
        <v>14</v>
      </c>
      <c r="AZ1004" t="n">
        <v>5</v>
      </c>
      <c r="BA1004" t="n">
        <v>60</v>
      </c>
      <c r="BB1004" t="n">
        <v>143</v>
      </c>
      <c r="BC1004" t="n">
        <v>25</v>
      </c>
      <c r="BD1004" t="n">
        <v>18</v>
      </c>
      <c r="BE1004" t="n">
        <v>10</v>
      </c>
      <c r="BF1004" t="n">
        <v>9</v>
      </c>
      <c r="BG1004" t="n">
        <v>7</v>
      </c>
      <c r="BH1004" t="n">
        <v>0</v>
      </c>
      <c r="BI1004" t="n">
        <v>65</v>
      </c>
      <c r="BJ1004" t="n">
        <v>61</v>
      </c>
      <c r="BK1004" t="n">
        <v>0</v>
      </c>
      <c r="BL1004" t="n">
        <v>10</v>
      </c>
      <c r="BM1004" t="n">
        <v>11</v>
      </c>
      <c r="BN1004" t="n">
        <v>3</v>
      </c>
      <c r="BO1004" t="n">
        <v>2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287</v>
      </c>
      <c r="Z1005" t="n">
        <v>382</v>
      </c>
      <c r="AA1005" t="n">
        <v>27</v>
      </c>
      <c r="AB1005" t="n">
        <v>2</v>
      </c>
      <c r="AC1005" t="n">
        <v>1</v>
      </c>
      <c r="AD1005" t="n">
        <v>2</v>
      </c>
      <c r="AE1005" t="n">
        <v>1</v>
      </c>
      <c r="AF1005" t="n">
        <v>9</v>
      </c>
      <c r="AG1005" t="n">
        <v>0</v>
      </c>
      <c r="AH1005" t="n">
        <v>31</v>
      </c>
      <c r="AI1005" t="n">
        <v>56</v>
      </c>
      <c r="AJ1005" t="n">
        <v>163</v>
      </c>
      <c r="AK1005" t="n">
        <v>9</v>
      </c>
      <c r="AL1005" t="n">
        <v>4</v>
      </c>
      <c r="AM1005" t="n">
        <v>80</v>
      </c>
      <c r="AN1005" t="n">
        <v>0</v>
      </c>
      <c r="AO1005" t="n">
        <v>0</v>
      </c>
      <c r="AP1005" t="n">
        <v>3</v>
      </c>
      <c r="AQ1005" t="n">
        <v>27</v>
      </c>
      <c r="AR1005" t="n">
        <v>50</v>
      </c>
      <c r="AS1005" t="n">
        <v>27</v>
      </c>
      <c r="AT1005" t="n">
        <v>1</v>
      </c>
      <c r="AU1005" t="n">
        <v>3</v>
      </c>
      <c r="AV1005" t="n">
        <v>39</v>
      </c>
      <c r="AW1005" t="n">
        <v>69</v>
      </c>
      <c r="AX1005" t="n">
        <v>0</v>
      </c>
      <c r="AY1005" t="n">
        <v>39</v>
      </c>
      <c r="AZ1005" t="n">
        <v>5</v>
      </c>
      <c r="BA1005" t="n">
        <v>55</v>
      </c>
      <c r="BB1005" t="n">
        <v>91</v>
      </c>
      <c r="BC1005" t="n">
        <v>66</v>
      </c>
      <c r="BD1005" t="n">
        <v>29</v>
      </c>
      <c r="BE1005" t="n">
        <v>70</v>
      </c>
      <c r="BF1005" t="n">
        <v>142</v>
      </c>
      <c r="BG1005" t="n">
        <v>1</v>
      </c>
      <c r="BH1005" t="n">
        <v>5</v>
      </c>
      <c r="BI1005" t="n">
        <v>1</v>
      </c>
      <c r="BJ1005" t="n">
        <v>1</v>
      </c>
      <c r="BK1005" t="n">
        <v>0</v>
      </c>
      <c r="BL1005" t="n">
        <v>1</v>
      </c>
      <c r="BM1005" t="n">
        <v>37</v>
      </c>
      <c r="BN1005" t="n">
        <v>23</v>
      </c>
      <c r="BO1005" t="n">
        <v>2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2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112</v>
      </c>
      <c r="Z1006" t="n">
        <v>127</v>
      </c>
      <c r="AA1006" t="n">
        <v>27</v>
      </c>
      <c r="AB1006" t="n">
        <v>1</v>
      </c>
      <c r="AC1006" t="n">
        <v>0</v>
      </c>
      <c r="AD1006" t="n">
        <v>2</v>
      </c>
      <c r="AE1006" t="n">
        <v>0</v>
      </c>
      <c r="AF1006" t="n">
        <v>2</v>
      </c>
      <c r="AG1006" t="n">
        <v>3</v>
      </c>
      <c r="AH1006" t="n">
        <v>25</v>
      </c>
      <c r="AI1006" t="n">
        <v>2</v>
      </c>
      <c r="AJ1006" t="n">
        <v>13</v>
      </c>
      <c r="AK1006" t="n">
        <v>75</v>
      </c>
      <c r="AL1006" t="n">
        <v>1</v>
      </c>
      <c r="AM1006" t="n">
        <v>14</v>
      </c>
      <c r="AN1006" t="n">
        <v>1</v>
      </c>
      <c r="AO1006" t="n">
        <v>1</v>
      </c>
      <c r="AP1006" t="n">
        <v>1</v>
      </c>
      <c r="AQ1006" t="n">
        <v>1</v>
      </c>
      <c r="AR1006" t="n">
        <v>159</v>
      </c>
      <c r="AS1006" t="n">
        <v>148</v>
      </c>
      <c r="AT1006" t="n">
        <v>3</v>
      </c>
      <c r="AU1006" t="n">
        <v>1</v>
      </c>
      <c r="AV1006" t="n">
        <v>23</v>
      </c>
      <c r="AW1006" t="n">
        <v>8</v>
      </c>
      <c r="AX1006" t="n">
        <v>0</v>
      </c>
      <c r="AY1006" t="n">
        <v>69</v>
      </c>
      <c r="AZ1006" t="n">
        <v>1</v>
      </c>
      <c r="BA1006" t="n">
        <v>14</v>
      </c>
      <c r="BB1006" t="n">
        <v>41</v>
      </c>
      <c r="BC1006" t="n">
        <v>13</v>
      </c>
      <c r="BD1006" t="n">
        <v>28</v>
      </c>
      <c r="BE1006" t="n">
        <v>7</v>
      </c>
      <c r="BF1006" t="n">
        <v>12</v>
      </c>
      <c r="BG1006" t="n">
        <v>1</v>
      </c>
      <c r="BH1006" t="n">
        <v>0</v>
      </c>
      <c r="BI1006" t="n">
        <v>8</v>
      </c>
      <c r="BJ1006" t="n">
        <v>7</v>
      </c>
      <c r="BK1006" t="n">
        <v>0</v>
      </c>
      <c r="BL1006" t="n">
        <v>28</v>
      </c>
      <c r="BM1006" t="n">
        <v>22</v>
      </c>
      <c r="BN1006" t="n">
        <v>3</v>
      </c>
      <c r="BO1006" t="n">
        <v>100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2</v>
      </c>
      <c r="T1007" t="n">
        <v>2</v>
      </c>
      <c r="U1007" t="n">
        <v>0</v>
      </c>
      <c r="V1007" t="n">
        <v>0</v>
      </c>
      <c r="W1007" t="n">
        <v>1</v>
      </c>
      <c r="X1007" t="n">
        <v>0</v>
      </c>
      <c r="Y1007" t="n">
        <v>189</v>
      </c>
      <c r="Z1007" t="n">
        <v>152</v>
      </c>
      <c r="AA1007" t="n">
        <v>67</v>
      </c>
      <c r="AB1007" t="n">
        <v>3</v>
      </c>
      <c r="AC1007" t="n">
        <v>1</v>
      </c>
      <c r="AD1007" t="n">
        <v>4</v>
      </c>
      <c r="AE1007" t="n">
        <v>4</v>
      </c>
      <c r="AF1007" t="n">
        <v>4</v>
      </c>
      <c r="AG1007" t="n">
        <v>2</v>
      </c>
      <c r="AH1007" t="n">
        <v>79</v>
      </c>
      <c r="AI1007" t="n">
        <v>24</v>
      </c>
      <c r="AJ1007" t="n">
        <v>34</v>
      </c>
      <c r="AK1007" t="n">
        <v>54</v>
      </c>
      <c r="AL1007" t="n">
        <v>0</v>
      </c>
      <c r="AM1007" t="n">
        <v>5</v>
      </c>
      <c r="AN1007" t="n">
        <v>0</v>
      </c>
      <c r="AO1007" t="n">
        <v>0</v>
      </c>
      <c r="AP1007" t="n">
        <v>5</v>
      </c>
      <c r="AQ1007" t="n">
        <v>36</v>
      </c>
      <c r="AR1007" t="n">
        <v>43</v>
      </c>
      <c r="AS1007" t="n">
        <v>11</v>
      </c>
      <c r="AT1007" t="n">
        <v>2</v>
      </c>
      <c r="AU1007" t="n">
        <v>1</v>
      </c>
      <c r="AV1007" t="n">
        <v>23</v>
      </c>
      <c r="AW1007" t="n">
        <v>7</v>
      </c>
      <c r="AX1007" t="n">
        <v>0</v>
      </c>
      <c r="AY1007" t="n">
        <v>25</v>
      </c>
      <c r="AZ1007" t="n">
        <v>2</v>
      </c>
      <c r="BA1007" t="n">
        <v>14</v>
      </c>
      <c r="BB1007" t="n">
        <v>77</v>
      </c>
      <c r="BC1007" t="n">
        <v>4</v>
      </c>
      <c r="BD1007" t="n">
        <v>72</v>
      </c>
      <c r="BE1007" t="n">
        <v>9</v>
      </c>
      <c r="BF1007" t="n">
        <v>79</v>
      </c>
      <c r="BG1007" t="n">
        <v>0</v>
      </c>
      <c r="BH1007" t="n">
        <v>0</v>
      </c>
      <c r="BI1007" t="n">
        <v>1</v>
      </c>
      <c r="BJ1007" t="n">
        <v>-1</v>
      </c>
      <c r="BK1007" t="n">
        <v>2</v>
      </c>
      <c r="BL1007" t="n">
        <v>9</v>
      </c>
      <c r="BM1007" t="n">
        <v>41</v>
      </c>
      <c r="BN1007" t="n">
        <v>23</v>
      </c>
      <c r="BO1007" t="n">
        <v>4</v>
      </c>
    </row>
    <row r="1008">
      <c r="A1008" t="n">
        <v>0</v>
      </c>
      <c r="B1008" t="n">
        <v>0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226</v>
      </c>
      <c r="Z1008" t="n">
        <v>182</v>
      </c>
      <c r="AA1008" t="n">
        <v>43</v>
      </c>
      <c r="AB1008" t="n">
        <v>2</v>
      </c>
      <c r="AC1008" t="n">
        <v>1</v>
      </c>
      <c r="AD1008" t="n">
        <v>4</v>
      </c>
      <c r="AE1008" t="n">
        <v>5</v>
      </c>
      <c r="AF1008" t="n">
        <v>0</v>
      </c>
      <c r="AG1008" t="n">
        <v>1</v>
      </c>
      <c r="AH1008" t="n">
        <v>74</v>
      </c>
      <c r="AI1008" t="n">
        <v>56</v>
      </c>
      <c r="AJ1008" t="n">
        <v>9</v>
      </c>
      <c r="AK1008" t="n">
        <v>50</v>
      </c>
      <c r="AL1008" t="n">
        <v>0</v>
      </c>
      <c r="AM1008" t="n">
        <v>2</v>
      </c>
      <c r="AN1008" t="n">
        <v>0</v>
      </c>
      <c r="AO1008" t="n">
        <v>0</v>
      </c>
      <c r="AP1008" t="n">
        <v>6</v>
      </c>
      <c r="AQ1008" t="n">
        <v>39</v>
      </c>
      <c r="AR1008" t="n">
        <v>166</v>
      </c>
      <c r="AS1008" t="n">
        <v>128</v>
      </c>
      <c r="AT1008" t="n">
        <v>2</v>
      </c>
      <c r="AU1008" t="n">
        <v>5</v>
      </c>
      <c r="AV1008" t="n">
        <v>29</v>
      </c>
      <c r="AW1008" t="n">
        <v>35</v>
      </c>
      <c r="AX1008" t="n">
        <v>8</v>
      </c>
      <c r="AY1008" t="n">
        <v>10</v>
      </c>
      <c r="AZ1008" t="n">
        <v>5</v>
      </c>
      <c r="BA1008" t="n">
        <v>46</v>
      </c>
      <c r="BB1008" t="n">
        <v>91</v>
      </c>
      <c r="BC1008" t="n">
        <v>9</v>
      </c>
      <c r="BD1008" t="n">
        <v>68</v>
      </c>
      <c r="BE1008" t="n">
        <v>36</v>
      </c>
      <c r="BF1008" t="n">
        <v>15</v>
      </c>
      <c r="BG1008" t="n">
        <v>2</v>
      </c>
      <c r="BH1008" t="n">
        <v>7</v>
      </c>
      <c r="BI1008" t="n">
        <v>7</v>
      </c>
      <c r="BJ1008" t="n">
        <v>10</v>
      </c>
      <c r="BK1008" t="n">
        <v>1</v>
      </c>
      <c r="BL1008" t="n">
        <v>8</v>
      </c>
      <c r="BM1008" t="n">
        <v>33</v>
      </c>
      <c r="BN1008" t="n">
        <v>18</v>
      </c>
      <c r="BO1008" t="n">
        <v>2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2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252</v>
      </c>
      <c r="Z1009" t="n">
        <v>155</v>
      </c>
      <c r="AA1009" t="n">
        <v>45</v>
      </c>
      <c r="AB1009" t="n">
        <v>0</v>
      </c>
      <c r="AC1009" t="n">
        <v>1</v>
      </c>
      <c r="AD1009" t="n">
        <v>2</v>
      </c>
      <c r="AE1009" t="n">
        <v>4</v>
      </c>
      <c r="AF1009" t="n">
        <v>2</v>
      </c>
      <c r="AG1009" t="n">
        <v>1</v>
      </c>
      <c r="AH1009" t="n">
        <v>30</v>
      </c>
      <c r="AI1009" t="n">
        <v>53</v>
      </c>
      <c r="AJ1009" t="n">
        <v>15</v>
      </c>
      <c r="AK1009" t="n">
        <v>39</v>
      </c>
      <c r="AL1009" t="n">
        <v>1</v>
      </c>
      <c r="AM1009" t="n">
        <v>17</v>
      </c>
      <c r="AN1009" t="n">
        <v>2</v>
      </c>
      <c r="AO1009" t="n">
        <v>0</v>
      </c>
      <c r="AP1009" t="n">
        <v>4</v>
      </c>
      <c r="AQ1009" t="n">
        <v>24</v>
      </c>
      <c r="AR1009" t="n">
        <v>64</v>
      </c>
      <c r="AS1009" t="n">
        <v>44</v>
      </c>
      <c r="AT1009" t="n">
        <v>1</v>
      </c>
      <c r="AU1009" t="n">
        <v>2</v>
      </c>
      <c r="AV1009" t="n">
        <v>10</v>
      </c>
      <c r="AW1009" t="n">
        <v>30</v>
      </c>
      <c r="AX1009" t="n">
        <v>0</v>
      </c>
      <c r="AY1009" t="n">
        <v>28</v>
      </c>
      <c r="AZ1009" t="n">
        <v>1</v>
      </c>
      <c r="BA1009" t="n">
        <v>11</v>
      </c>
      <c r="BB1009" t="n">
        <v>54</v>
      </c>
      <c r="BC1009" t="n">
        <v>19</v>
      </c>
      <c r="BD1009" t="n">
        <v>27</v>
      </c>
      <c r="BE1009" t="n">
        <v>29</v>
      </c>
      <c r="BF1009" t="n">
        <v>12</v>
      </c>
      <c r="BG1009" t="n">
        <v>3</v>
      </c>
      <c r="BH1009" t="n">
        <v>5</v>
      </c>
      <c r="BI1009" t="n">
        <v>52</v>
      </c>
      <c r="BJ1009" t="n">
        <v>48</v>
      </c>
      <c r="BK1009" t="n">
        <v>0</v>
      </c>
      <c r="BL1009" t="n">
        <v>2</v>
      </c>
      <c r="BM1009" t="n">
        <v>5</v>
      </c>
      <c r="BN1009" t="n">
        <v>3</v>
      </c>
      <c r="BO1009" t="n">
        <v>14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1</v>
      </c>
      <c r="U1010" t="n">
        <v>2</v>
      </c>
      <c r="V1010" t="n">
        <v>0</v>
      </c>
      <c r="W1010" t="n">
        <v>0</v>
      </c>
      <c r="X1010" t="n">
        <v>0</v>
      </c>
      <c r="Y1010" t="n">
        <v>224</v>
      </c>
      <c r="Z1010" t="n">
        <v>135</v>
      </c>
      <c r="AA1010" t="n">
        <v>95</v>
      </c>
      <c r="AB1010" t="n">
        <v>1</v>
      </c>
      <c r="AC1010" t="n">
        <v>0</v>
      </c>
      <c r="AD1010" t="n">
        <v>5</v>
      </c>
      <c r="AE1010" t="n">
        <v>4</v>
      </c>
      <c r="AF1010" t="n">
        <v>3</v>
      </c>
      <c r="AG1010" t="n">
        <v>4</v>
      </c>
      <c r="AH1010" t="n">
        <v>71</v>
      </c>
      <c r="AI1010" t="n">
        <v>12</v>
      </c>
      <c r="AJ1010" t="n">
        <v>63</v>
      </c>
      <c r="AK1010" t="n">
        <v>66</v>
      </c>
      <c r="AL1010" t="n">
        <v>1</v>
      </c>
      <c r="AM1010" t="n">
        <v>2</v>
      </c>
      <c r="AN1010" t="n">
        <v>0</v>
      </c>
      <c r="AO1010" t="n">
        <v>0</v>
      </c>
      <c r="AP1010" t="n">
        <v>1</v>
      </c>
      <c r="AQ1010" t="n">
        <v>13</v>
      </c>
      <c r="AR1010" t="n">
        <v>151</v>
      </c>
      <c r="AS1010" t="n">
        <v>134</v>
      </c>
      <c r="AT1010" t="n">
        <v>2</v>
      </c>
      <c r="AU1010" t="n">
        <v>1</v>
      </c>
      <c r="AV1010" t="n">
        <v>51</v>
      </c>
      <c r="AW1010" t="n">
        <v>27</v>
      </c>
      <c r="AX1010" t="n">
        <v>0</v>
      </c>
      <c r="AY1010" t="n">
        <v>50</v>
      </c>
      <c r="AZ1010" t="n">
        <v>2</v>
      </c>
      <c r="BA1010" t="n">
        <v>39</v>
      </c>
      <c r="BB1010" t="n">
        <v>128</v>
      </c>
      <c r="BC1010" t="n">
        <v>27</v>
      </c>
      <c r="BD1010" t="n">
        <v>66</v>
      </c>
      <c r="BE1010" t="n">
        <v>29</v>
      </c>
      <c r="BF1010" t="n">
        <v>49</v>
      </c>
      <c r="BG1010" t="n">
        <v>2</v>
      </c>
      <c r="BH1010" t="n">
        <v>0</v>
      </c>
      <c r="BI1010" t="n">
        <v>16</v>
      </c>
      <c r="BJ1010" t="n">
        <v>25</v>
      </c>
      <c r="BK1010" t="n">
        <v>3</v>
      </c>
      <c r="BL1010" t="n">
        <v>19</v>
      </c>
      <c r="BM1010" t="n">
        <v>39</v>
      </c>
      <c r="BN1010" t="n">
        <v>17</v>
      </c>
      <c r="BO1010" t="n">
        <v>2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265</v>
      </c>
      <c r="Z1011" t="n">
        <v>193</v>
      </c>
      <c r="AA1011" t="n">
        <v>77</v>
      </c>
      <c r="AB1011" t="n">
        <v>1</v>
      </c>
      <c r="AC1011" t="n">
        <v>3</v>
      </c>
      <c r="AD1011" t="n">
        <v>5</v>
      </c>
      <c r="AE1011" t="n">
        <v>3</v>
      </c>
      <c r="AF1011" t="n">
        <v>10</v>
      </c>
      <c r="AG1011" t="n">
        <v>2</v>
      </c>
      <c r="AH1011" t="n">
        <v>4</v>
      </c>
      <c r="AI1011" t="n">
        <v>92</v>
      </c>
      <c r="AJ1011" t="n">
        <v>144</v>
      </c>
      <c r="AK1011" t="n">
        <v>44</v>
      </c>
      <c r="AL1011" t="n">
        <v>3</v>
      </c>
      <c r="AM1011" t="n">
        <v>2</v>
      </c>
      <c r="AN1011" t="n">
        <v>0</v>
      </c>
      <c r="AO1011" t="n">
        <v>0</v>
      </c>
      <c r="AP1011" t="n">
        <v>5</v>
      </c>
      <c r="AQ1011" t="n">
        <v>53</v>
      </c>
      <c r="AR1011" t="n">
        <v>159</v>
      </c>
      <c r="AS1011" t="n">
        <v>114</v>
      </c>
      <c r="AT1011" t="n">
        <v>2</v>
      </c>
      <c r="AU1011" t="n">
        <v>0</v>
      </c>
      <c r="AV1011" t="n">
        <v>13</v>
      </c>
      <c r="AW1011" t="n">
        <v>1</v>
      </c>
      <c r="AX1011" t="n">
        <v>5</v>
      </c>
      <c r="AY1011" t="n">
        <v>25</v>
      </c>
      <c r="AZ1011" t="n">
        <v>0</v>
      </c>
      <c r="BA1011" t="n">
        <v>1</v>
      </c>
      <c r="BB1011" t="n">
        <v>75</v>
      </c>
      <c r="BC1011" t="n">
        <v>5</v>
      </c>
      <c r="BD1011" t="n">
        <v>7</v>
      </c>
      <c r="BE1011" t="n">
        <v>1</v>
      </c>
      <c r="BF1011" t="n">
        <v>123</v>
      </c>
      <c r="BG1011" t="n">
        <v>1</v>
      </c>
      <c r="BH1011" t="n">
        <v>10</v>
      </c>
      <c r="BI1011" t="n">
        <v>17</v>
      </c>
      <c r="BJ1011" t="n">
        <v>14</v>
      </c>
      <c r="BK1011" t="n">
        <v>0</v>
      </c>
      <c r="BL1011" t="n">
        <v>1</v>
      </c>
      <c r="BM1011" t="n">
        <v>31</v>
      </c>
      <c r="BN1011" t="n">
        <v>18</v>
      </c>
      <c r="BO1011" t="n">
        <v>2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336</v>
      </c>
      <c r="Z1012" t="n">
        <v>411</v>
      </c>
      <c r="AA1012" t="n">
        <v>57</v>
      </c>
      <c r="AB1012" t="n">
        <v>3</v>
      </c>
      <c r="AC1012" t="n">
        <v>0</v>
      </c>
      <c r="AD1012" t="n">
        <v>5</v>
      </c>
      <c r="AE1012" t="n">
        <v>13</v>
      </c>
      <c r="AF1012" t="n">
        <v>5</v>
      </c>
      <c r="AG1012" t="n">
        <v>8</v>
      </c>
      <c r="AH1012" t="n">
        <v>23</v>
      </c>
      <c r="AI1012" t="n">
        <v>144</v>
      </c>
      <c r="AJ1012" t="n">
        <v>23</v>
      </c>
      <c r="AK1012" t="n">
        <v>165</v>
      </c>
      <c r="AL1012" t="n">
        <v>0</v>
      </c>
      <c r="AM1012" t="n">
        <v>10</v>
      </c>
      <c r="AN1012" t="n">
        <v>0</v>
      </c>
      <c r="AO1012" t="n">
        <v>0</v>
      </c>
      <c r="AP1012" t="n">
        <v>9</v>
      </c>
      <c r="AQ1012" t="n">
        <v>102</v>
      </c>
      <c r="AR1012" t="n">
        <v>135</v>
      </c>
      <c r="AS1012" t="n">
        <v>47</v>
      </c>
      <c r="AT1012" t="n">
        <v>4</v>
      </c>
      <c r="AU1012" t="n">
        <v>3</v>
      </c>
      <c r="AV1012" t="n">
        <v>44</v>
      </c>
      <c r="AW1012" t="n">
        <v>79</v>
      </c>
      <c r="AX1012" t="n">
        <v>0</v>
      </c>
      <c r="AY1012" t="n">
        <v>69</v>
      </c>
      <c r="AZ1012" t="n">
        <v>0</v>
      </c>
      <c r="BA1012" t="n">
        <v>1</v>
      </c>
      <c r="BB1012" t="n">
        <v>55</v>
      </c>
      <c r="BC1012" t="n">
        <v>6</v>
      </c>
      <c r="BD1012" t="n">
        <v>24</v>
      </c>
      <c r="BE1012" t="n">
        <v>88</v>
      </c>
      <c r="BF1012" t="n">
        <v>19</v>
      </c>
      <c r="BG1012" t="n">
        <v>2</v>
      </c>
      <c r="BH1012" t="n">
        <v>9</v>
      </c>
      <c r="BI1012" t="n">
        <v>39</v>
      </c>
      <c r="BJ1012" t="n">
        <v>36</v>
      </c>
      <c r="BK1012" t="n">
        <v>2</v>
      </c>
      <c r="BL1012" t="n">
        <v>8</v>
      </c>
      <c r="BM1012" t="n">
        <v>48</v>
      </c>
      <c r="BN1012" t="n">
        <v>28</v>
      </c>
      <c r="BO1012" t="n">
        <v>25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2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158</v>
      </c>
      <c r="Z1013" t="n">
        <v>296</v>
      </c>
      <c r="AA1013" t="n">
        <v>32</v>
      </c>
      <c r="AB1013" t="n">
        <v>0</v>
      </c>
      <c r="AC1013" t="n">
        <v>0</v>
      </c>
      <c r="AD1013" t="n">
        <v>3</v>
      </c>
      <c r="AE1013" t="n">
        <v>8</v>
      </c>
      <c r="AF1013" t="n">
        <v>3</v>
      </c>
      <c r="AG1013" t="n">
        <v>6</v>
      </c>
      <c r="AH1013" t="n">
        <v>15</v>
      </c>
      <c r="AI1013" t="n">
        <v>72</v>
      </c>
      <c r="AJ1013" t="n">
        <v>29</v>
      </c>
      <c r="AK1013" t="n">
        <v>44</v>
      </c>
      <c r="AL1013" t="n">
        <v>4</v>
      </c>
      <c r="AM1013" t="n">
        <v>102</v>
      </c>
      <c r="AN1013" t="n">
        <v>1</v>
      </c>
      <c r="AO1013" t="n">
        <v>0</v>
      </c>
      <c r="AP1013" t="n">
        <v>9</v>
      </c>
      <c r="AQ1013" t="n">
        <v>45</v>
      </c>
      <c r="AR1013" t="n">
        <v>196</v>
      </c>
      <c r="AS1013" t="n">
        <v>155</v>
      </c>
      <c r="AT1013" t="n">
        <v>2</v>
      </c>
      <c r="AU1013" t="n">
        <v>2</v>
      </c>
      <c r="AV1013" t="n">
        <v>21</v>
      </c>
      <c r="AW1013" t="n">
        <v>14</v>
      </c>
      <c r="AX1013" t="n">
        <v>2</v>
      </c>
      <c r="AY1013" t="n">
        <v>17</v>
      </c>
      <c r="AZ1013" t="n">
        <v>2</v>
      </c>
      <c r="BA1013" t="n">
        <v>23</v>
      </c>
      <c r="BB1013" t="n">
        <v>55</v>
      </c>
      <c r="BC1013" t="n">
        <v>89</v>
      </c>
      <c r="BD1013" t="n">
        <v>14</v>
      </c>
      <c r="BE1013" t="n">
        <v>14</v>
      </c>
      <c r="BF1013" t="n">
        <v>23</v>
      </c>
      <c r="BG1013" t="n">
        <v>1</v>
      </c>
      <c r="BH1013" t="n">
        <v>0</v>
      </c>
      <c r="BI1013" t="n">
        <v>16</v>
      </c>
      <c r="BJ1013" t="n">
        <v>14</v>
      </c>
      <c r="BK1013" t="n">
        <v>3</v>
      </c>
      <c r="BL1013" t="n">
        <v>20</v>
      </c>
      <c r="BM1013" t="n">
        <v>32</v>
      </c>
      <c r="BN1013" t="n">
        <v>13</v>
      </c>
      <c r="BO1013" t="n">
        <v>9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2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137</v>
      </c>
      <c r="Z1014" t="n">
        <v>334</v>
      </c>
      <c r="AA1014" t="n">
        <v>52</v>
      </c>
      <c r="AB1014" t="n">
        <v>0</v>
      </c>
      <c r="AC1014" t="n">
        <v>0</v>
      </c>
      <c r="AD1014" t="n">
        <v>5</v>
      </c>
      <c r="AE1014" t="n">
        <v>6</v>
      </c>
      <c r="AF1014" t="n">
        <v>2</v>
      </c>
      <c r="AG1014" t="n">
        <v>4</v>
      </c>
      <c r="AH1014" t="n">
        <v>11</v>
      </c>
      <c r="AI1014" t="n">
        <v>113</v>
      </c>
      <c r="AJ1014" t="n">
        <v>50</v>
      </c>
      <c r="AK1014" t="n">
        <v>30</v>
      </c>
      <c r="AL1014" t="n">
        <v>4</v>
      </c>
      <c r="AM1014" t="n">
        <v>133</v>
      </c>
      <c r="AN1014" t="n">
        <v>0</v>
      </c>
      <c r="AO1014" t="n">
        <v>0</v>
      </c>
      <c r="AP1014" t="n">
        <v>4</v>
      </c>
      <c r="AQ1014" t="n">
        <v>27</v>
      </c>
      <c r="AR1014" t="n">
        <v>82</v>
      </c>
      <c r="AS1014" t="n">
        <v>58</v>
      </c>
      <c r="AT1014" t="n">
        <v>3</v>
      </c>
      <c r="AU1014" t="n">
        <v>0</v>
      </c>
      <c r="AV1014" t="n">
        <v>44</v>
      </c>
      <c r="AW1014" t="n">
        <v>17</v>
      </c>
      <c r="AX1014" t="n">
        <v>0</v>
      </c>
      <c r="AY1014" t="n">
        <v>21</v>
      </c>
      <c r="AZ1014" t="n">
        <v>3</v>
      </c>
      <c r="BA1014" t="n">
        <v>43</v>
      </c>
      <c r="BB1014" t="n">
        <v>95</v>
      </c>
      <c r="BC1014" t="n">
        <v>108</v>
      </c>
      <c r="BD1014" t="n">
        <v>8</v>
      </c>
      <c r="BE1014" t="n">
        <v>17</v>
      </c>
      <c r="BF1014" t="n">
        <v>40</v>
      </c>
      <c r="BG1014" t="n">
        <v>1</v>
      </c>
      <c r="BH1014" t="n">
        <v>0</v>
      </c>
      <c r="BI1014" t="n">
        <v>24</v>
      </c>
      <c r="BJ1014" t="n">
        <v>22</v>
      </c>
      <c r="BK1014" t="n">
        <v>2</v>
      </c>
      <c r="BL1014" t="n">
        <v>7</v>
      </c>
      <c r="BM1014" t="n">
        <v>5</v>
      </c>
      <c r="BN1014" t="n">
        <v>1</v>
      </c>
      <c r="BO1014" t="n">
        <v>2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2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283</v>
      </c>
      <c r="Z1015" t="n">
        <v>131</v>
      </c>
      <c r="AA1015" t="n">
        <v>79</v>
      </c>
      <c r="AB1015" t="n">
        <v>2</v>
      </c>
      <c r="AC1015" t="n">
        <v>1</v>
      </c>
      <c r="AD1015" t="n">
        <v>2</v>
      </c>
      <c r="AE1015" t="n">
        <v>5</v>
      </c>
      <c r="AF1015" t="n">
        <v>1</v>
      </c>
      <c r="AG1015" t="n">
        <v>6</v>
      </c>
      <c r="AH1015" t="n">
        <v>15</v>
      </c>
      <c r="AI1015" t="n">
        <v>51</v>
      </c>
      <c r="AJ1015" t="n">
        <v>13</v>
      </c>
      <c r="AK1015" t="n">
        <v>60</v>
      </c>
      <c r="AL1015" t="n">
        <v>3</v>
      </c>
      <c r="AM1015" t="n">
        <v>18</v>
      </c>
      <c r="AN1015" t="n">
        <v>0</v>
      </c>
      <c r="AO1015" t="n">
        <v>0</v>
      </c>
      <c r="AP1015" t="n">
        <v>7</v>
      </c>
      <c r="AQ1015" t="n">
        <v>177</v>
      </c>
      <c r="AR1015" t="n">
        <v>238</v>
      </c>
      <c r="AS1015" t="n">
        <v>95</v>
      </c>
      <c r="AT1015" t="n">
        <v>5</v>
      </c>
      <c r="AU1015" t="n">
        <v>1</v>
      </c>
      <c r="AV1015" t="n">
        <v>55</v>
      </c>
      <c r="AW1015" t="n">
        <v>15</v>
      </c>
      <c r="AX1015" t="n">
        <v>2</v>
      </c>
      <c r="AY1015" t="n">
        <v>51</v>
      </c>
      <c r="AZ1015" t="n">
        <v>0</v>
      </c>
      <c r="BA1015" t="n">
        <v>1</v>
      </c>
      <c r="BB1015" t="n">
        <v>77</v>
      </c>
      <c r="BC1015" t="n">
        <v>15</v>
      </c>
      <c r="BD1015" t="n">
        <v>13</v>
      </c>
      <c r="BE1015" t="n">
        <v>15</v>
      </c>
      <c r="BF1015" t="n">
        <v>69</v>
      </c>
      <c r="BG1015" t="n">
        <v>2</v>
      </c>
      <c r="BH1015" t="n">
        <v>1</v>
      </c>
      <c r="BI1015" t="n">
        <v>31</v>
      </c>
      <c r="BJ1015" t="n">
        <v>28</v>
      </c>
      <c r="BK1015" t="n">
        <v>0</v>
      </c>
      <c r="BL1015" t="n">
        <v>1</v>
      </c>
      <c r="BM1015" t="n">
        <v>5</v>
      </c>
      <c r="BN1015" t="n">
        <v>3</v>
      </c>
      <c r="BO1015" t="n">
        <v>110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138</v>
      </c>
      <c r="Z1016" t="n">
        <v>297</v>
      </c>
      <c r="AA1016" t="n">
        <v>33</v>
      </c>
      <c r="AB1016" t="n">
        <v>1</v>
      </c>
      <c r="AC1016" t="n">
        <v>0</v>
      </c>
      <c r="AD1016" t="n">
        <v>3</v>
      </c>
      <c r="AE1016" t="n">
        <v>11</v>
      </c>
      <c r="AF1016" t="n">
        <v>4</v>
      </c>
      <c r="AG1016" t="n">
        <v>3</v>
      </c>
      <c r="AH1016" t="n">
        <v>23</v>
      </c>
      <c r="AI1016" t="n">
        <v>132</v>
      </c>
      <c r="AJ1016" t="n">
        <v>62</v>
      </c>
      <c r="AK1016" t="n">
        <v>16</v>
      </c>
      <c r="AL1016" t="n">
        <v>2</v>
      </c>
      <c r="AM1016" t="n">
        <v>21</v>
      </c>
      <c r="AN1016" t="n">
        <v>0</v>
      </c>
      <c r="AO1016" t="n">
        <v>0</v>
      </c>
      <c r="AP1016" t="n">
        <v>4</v>
      </c>
      <c r="AQ1016" t="n">
        <v>13</v>
      </c>
      <c r="AR1016" t="n">
        <v>71</v>
      </c>
      <c r="AS1016" t="n">
        <v>58</v>
      </c>
      <c r="AT1016" t="n">
        <v>2</v>
      </c>
      <c r="AU1016" t="n">
        <v>1</v>
      </c>
      <c r="AV1016" t="n">
        <v>10</v>
      </c>
      <c r="AW1016" t="n">
        <v>11</v>
      </c>
      <c r="AX1016" t="n">
        <v>7</v>
      </c>
      <c r="AY1016" t="n">
        <v>23</v>
      </c>
      <c r="AZ1016" t="n">
        <v>0</v>
      </c>
      <c r="BA1016" t="n">
        <v>43</v>
      </c>
      <c r="BB1016" t="n">
        <v>77</v>
      </c>
      <c r="BC1016" t="n">
        <v>17</v>
      </c>
      <c r="BD1016" t="n">
        <v>20</v>
      </c>
      <c r="BE1016" t="n">
        <v>17</v>
      </c>
      <c r="BF1016" t="n">
        <v>48</v>
      </c>
      <c r="BG1016" t="n">
        <v>1</v>
      </c>
      <c r="BH1016" t="n">
        <v>14</v>
      </c>
      <c r="BI1016" t="n">
        <v>6</v>
      </c>
      <c r="BJ1016" t="n">
        <v>4</v>
      </c>
      <c r="BK1016" t="n">
        <v>3</v>
      </c>
      <c r="BL1016" t="n">
        <v>9</v>
      </c>
      <c r="BM1016" t="n">
        <v>39</v>
      </c>
      <c r="BN1016" t="n">
        <v>21</v>
      </c>
      <c r="BO1016" t="n">
        <v>2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2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2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5</v>
      </c>
      <c r="U1017" t="n">
        <v>0</v>
      </c>
      <c r="V1017" t="n">
        <v>0</v>
      </c>
      <c r="W1017" t="n">
        <v>0</v>
      </c>
      <c r="X1017" t="n">
        <v>0</v>
      </c>
      <c r="Y1017" t="n">
        <v>283</v>
      </c>
      <c r="Z1017" t="n">
        <v>322</v>
      </c>
      <c r="AA1017" t="n">
        <v>84</v>
      </c>
      <c r="AB1017" t="n">
        <v>1</v>
      </c>
      <c r="AC1017" t="n">
        <v>2</v>
      </c>
      <c r="AD1017" t="n">
        <v>7</v>
      </c>
      <c r="AE1017" t="n">
        <v>8</v>
      </c>
      <c r="AF1017" t="n">
        <v>4</v>
      </c>
      <c r="AG1017" t="n">
        <v>6</v>
      </c>
      <c r="AH1017" t="n">
        <v>89</v>
      </c>
      <c r="AI1017" t="n">
        <v>74</v>
      </c>
      <c r="AJ1017" t="n">
        <v>33</v>
      </c>
      <c r="AK1017" t="n">
        <v>33</v>
      </c>
      <c r="AL1017" t="n">
        <v>3</v>
      </c>
      <c r="AM1017" t="n">
        <v>25</v>
      </c>
      <c r="AN1017" t="n">
        <v>0</v>
      </c>
      <c r="AO1017" t="n">
        <v>1</v>
      </c>
      <c r="AP1017" t="n">
        <v>3</v>
      </c>
      <c r="AQ1017" t="n">
        <v>36</v>
      </c>
      <c r="AR1017" t="n">
        <v>121</v>
      </c>
      <c r="AS1017" t="n">
        <v>90</v>
      </c>
      <c r="AT1017" t="n">
        <v>1</v>
      </c>
      <c r="AU1017" t="n">
        <v>1</v>
      </c>
      <c r="AV1017" t="n">
        <v>11</v>
      </c>
      <c r="AW1017" t="n">
        <v>42</v>
      </c>
      <c r="AX1017" t="n">
        <v>0</v>
      </c>
      <c r="AY1017" t="n">
        <v>55</v>
      </c>
      <c r="AZ1017" t="n">
        <v>4</v>
      </c>
      <c r="BA1017" t="n">
        <v>67</v>
      </c>
      <c r="BB1017" t="n">
        <v>153</v>
      </c>
      <c r="BC1017" t="n">
        <v>30</v>
      </c>
      <c r="BD1017" t="n">
        <v>84</v>
      </c>
      <c r="BE1017" t="n">
        <v>47</v>
      </c>
      <c r="BF1017" t="n">
        <v>33</v>
      </c>
      <c r="BG1017" t="n">
        <v>2</v>
      </c>
      <c r="BH1017" t="n">
        <v>15</v>
      </c>
      <c r="BI1017" t="n">
        <v>25</v>
      </c>
      <c r="BJ1017" t="n">
        <v>22</v>
      </c>
      <c r="BK1017" t="n">
        <v>4</v>
      </c>
      <c r="BL1017" t="n">
        <v>35</v>
      </c>
      <c r="BM1017" t="n">
        <v>22</v>
      </c>
      <c r="BN1017" t="n">
        <v>0</v>
      </c>
      <c r="BO1017" t="n">
        <v>37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170</v>
      </c>
      <c r="Z1018" t="n">
        <v>243</v>
      </c>
      <c r="AA1018" t="n">
        <v>11</v>
      </c>
      <c r="AB1018" t="n">
        <v>2</v>
      </c>
      <c r="AC1018" t="n">
        <v>0</v>
      </c>
      <c r="AD1018" t="n">
        <v>5</v>
      </c>
      <c r="AE1018" t="n">
        <v>10</v>
      </c>
      <c r="AF1018" t="n">
        <v>2</v>
      </c>
      <c r="AG1018" t="n">
        <v>2</v>
      </c>
      <c r="AH1018" t="n">
        <v>56</v>
      </c>
      <c r="AI1018" t="n">
        <v>120</v>
      </c>
      <c r="AJ1018" t="n">
        <v>38</v>
      </c>
      <c r="AK1018" t="n">
        <v>1</v>
      </c>
      <c r="AL1018" t="n">
        <v>4</v>
      </c>
      <c r="AM1018" t="n">
        <v>42</v>
      </c>
      <c r="AN1018" t="n">
        <v>0</v>
      </c>
      <c r="AO1018" t="n">
        <v>1</v>
      </c>
      <c r="AP1018" t="n">
        <v>5</v>
      </c>
      <c r="AQ1018" t="n">
        <v>1</v>
      </c>
      <c r="AR1018" t="n">
        <v>88</v>
      </c>
      <c r="AS1018" t="n">
        <v>81</v>
      </c>
      <c r="AT1018" t="n">
        <v>1</v>
      </c>
      <c r="AU1018" t="n">
        <v>1</v>
      </c>
      <c r="AV1018" t="n">
        <v>14</v>
      </c>
      <c r="AW1018" t="n">
        <v>13</v>
      </c>
      <c r="AX1018" t="n">
        <v>20</v>
      </c>
      <c r="AY1018" t="n">
        <v>6</v>
      </c>
      <c r="AZ1018" t="n">
        <v>0</v>
      </c>
      <c r="BA1018" t="n">
        <v>1</v>
      </c>
      <c r="BB1018" t="n">
        <v>12</v>
      </c>
      <c r="BC1018" t="n">
        <v>48</v>
      </c>
      <c r="BD1018" t="n">
        <v>67</v>
      </c>
      <c r="BE1018" t="n">
        <v>14</v>
      </c>
      <c r="BF1018" t="n">
        <v>40</v>
      </c>
      <c r="BG1018" t="n">
        <v>1</v>
      </c>
      <c r="BH1018" t="n">
        <v>7</v>
      </c>
      <c r="BI1018" t="n">
        <v>15</v>
      </c>
      <c r="BJ1018" t="n">
        <v>16</v>
      </c>
      <c r="BK1018" t="n">
        <v>0</v>
      </c>
      <c r="BL1018" t="n">
        <v>31</v>
      </c>
      <c r="BM1018" t="n">
        <v>43</v>
      </c>
      <c r="BN1018" t="n">
        <v>16</v>
      </c>
      <c r="BO1018" t="n">
        <v>58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2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1</v>
      </c>
      <c r="V1019" t="n">
        <v>0</v>
      </c>
      <c r="W1019" t="n">
        <v>1</v>
      </c>
      <c r="X1019" t="n">
        <v>0</v>
      </c>
      <c r="Y1019" t="n">
        <v>195</v>
      </c>
      <c r="Z1019" t="n">
        <v>231</v>
      </c>
      <c r="AA1019" t="n">
        <v>193</v>
      </c>
      <c r="AB1019" t="n">
        <v>3</v>
      </c>
      <c r="AC1019" t="n">
        <v>1</v>
      </c>
      <c r="AD1019" t="n">
        <v>3</v>
      </c>
      <c r="AE1019" t="n">
        <v>5</v>
      </c>
      <c r="AF1019" t="n">
        <v>8</v>
      </c>
      <c r="AG1019" t="n">
        <v>3</v>
      </c>
      <c r="AH1019" t="n">
        <v>16</v>
      </c>
      <c r="AI1019" t="n">
        <v>31</v>
      </c>
      <c r="AJ1019" t="n">
        <v>79</v>
      </c>
      <c r="AK1019" t="n">
        <v>15</v>
      </c>
      <c r="AL1019" t="n">
        <v>5</v>
      </c>
      <c r="AM1019" t="n">
        <v>32</v>
      </c>
      <c r="AN1019" t="n">
        <v>0</v>
      </c>
      <c r="AO1019" t="n">
        <v>0</v>
      </c>
      <c r="AP1019" t="n">
        <v>1</v>
      </c>
      <c r="AQ1019" t="n">
        <v>1</v>
      </c>
      <c r="AR1019" t="n">
        <v>118</v>
      </c>
      <c r="AS1019" t="n">
        <v>108</v>
      </c>
      <c r="AT1019" t="n">
        <v>1</v>
      </c>
      <c r="AU1019" t="n">
        <v>2</v>
      </c>
      <c r="AV1019" t="n">
        <v>8</v>
      </c>
      <c r="AW1019" t="n">
        <v>25</v>
      </c>
      <c r="AX1019" t="n">
        <v>5</v>
      </c>
      <c r="AY1019" t="n">
        <v>31</v>
      </c>
      <c r="AZ1019" t="n">
        <v>0</v>
      </c>
      <c r="BA1019" t="n">
        <v>1</v>
      </c>
      <c r="BB1019" t="n">
        <v>183</v>
      </c>
      <c r="BC1019" t="n">
        <v>43</v>
      </c>
      <c r="BD1019" t="n">
        <v>18</v>
      </c>
      <c r="BE1019" t="n">
        <v>25</v>
      </c>
      <c r="BF1019" t="n">
        <v>63</v>
      </c>
      <c r="BG1019" t="n">
        <v>5</v>
      </c>
      <c r="BH1019" t="n">
        <v>0</v>
      </c>
      <c r="BI1019" t="n">
        <v>68</v>
      </c>
      <c r="BJ1019" t="n">
        <v>88</v>
      </c>
      <c r="BK1019" t="n">
        <v>6</v>
      </c>
      <c r="BL1019" t="n">
        <v>39</v>
      </c>
      <c r="BM1019" t="n">
        <v>46</v>
      </c>
      <c r="BN1019" t="n">
        <v>14</v>
      </c>
      <c r="BO1019" t="n">
        <v>28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2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182</v>
      </c>
      <c r="Z1020" t="n">
        <v>309</v>
      </c>
      <c r="AA1020" t="n">
        <v>97</v>
      </c>
      <c r="AB1020" t="n">
        <v>2</v>
      </c>
      <c r="AC1020" t="n">
        <v>0</v>
      </c>
      <c r="AD1020" t="n">
        <v>5</v>
      </c>
      <c r="AE1020" t="n">
        <v>11</v>
      </c>
      <c r="AF1020" t="n">
        <v>3</v>
      </c>
      <c r="AG1020" t="n">
        <v>6</v>
      </c>
      <c r="AH1020" t="n">
        <v>58</v>
      </c>
      <c r="AI1020" t="n">
        <v>137</v>
      </c>
      <c r="AJ1020" t="n">
        <v>22</v>
      </c>
      <c r="AK1020" t="n">
        <v>54</v>
      </c>
      <c r="AL1020" t="n">
        <v>1</v>
      </c>
      <c r="AM1020" t="n">
        <v>3</v>
      </c>
      <c r="AN1020" t="n">
        <v>0</v>
      </c>
      <c r="AO1020" t="n">
        <v>0</v>
      </c>
      <c r="AP1020" t="n">
        <v>1</v>
      </c>
      <c r="AQ1020" t="n">
        <v>26</v>
      </c>
      <c r="AR1020" t="n">
        <v>205</v>
      </c>
      <c r="AS1020" t="n">
        <v>183</v>
      </c>
      <c r="AT1020" t="n">
        <v>1</v>
      </c>
      <c r="AU1020" t="n">
        <v>1</v>
      </c>
      <c r="AV1020" t="n">
        <v>5</v>
      </c>
      <c r="AW1020" t="n">
        <v>16</v>
      </c>
      <c r="AX1020" t="n">
        <v>20</v>
      </c>
      <c r="AY1020" t="n">
        <v>0</v>
      </c>
      <c r="AZ1020" t="n">
        <v>1</v>
      </c>
      <c r="BA1020" t="n">
        <v>23</v>
      </c>
      <c r="BB1020" t="n">
        <v>115</v>
      </c>
      <c r="BC1020" t="n">
        <v>13</v>
      </c>
      <c r="BD1020" t="n">
        <v>53</v>
      </c>
      <c r="BE1020" t="n">
        <v>16</v>
      </c>
      <c r="BF1020" t="n">
        <v>17</v>
      </c>
      <c r="BG1020" t="n">
        <v>1</v>
      </c>
      <c r="BH1020" t="n">
        <v>0</v>
      </c>
      <c r="BI1020" t="n">
        <v>20</v>
      </c>
      <c r="BJ1020" t="n">
        <v>26</v>
      </c>
      <c r="BK1020" t="n">
        <v>6</v>
      </c>
      <c r="BL1020" t="n">
        <v>18</v>
      </c>
      <c r="BM1020" t="n">
        <v>14</v>
      </c>
      <c r="BN1020" t="n">
        <v>3</v>
      </c>
      <c r="BO1020" t="n">
        <v>2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2</v>
      </c>
      <c r="N1021" t="n">
        <v>1</v>
      </c>
      <c r="O1021" t="n">
        <v>0</v>
      </c>
      <c r="P1021" t="n">
        <v>0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213</v>
      </c>
      <c r="Z1021" t="n">
        <v>203</v>
      </c>
      <c r="AA1021" t="n">
        <v>35</v>
      </c>
      <c r="AB1021" t="n">
        <v>2</v>
      </c>
      <c r="AC1021" t="n">
        <v>2</v>
      </c>
      <c r="AD1021" t="n">
        <v>1</v>
      </c>
      <c r="AE1021" t="n">
        <v>4</v>
      </c>
      <c r="AF1021" t="n">
        <v>2</v>
      </c>
      <c r="AG1021" t="n">
        <v>4</v>
      </c>
      <c r="AH1021" t="n">
        <v>2</v>
      </c>
      <c r="AI1021" t="n">
        <v>36</v>
      </c>
      <c r="AJ1021" t="n">
        <v>31</v>
      </c>
      <c r="AK1021" t="n">
        <v>35</v>
      </c>
      <c r="AL1021" t="n">
        <v>3</v>
      </c>
      <c r="AM1021" t="n">
        <v>37</v>
      </c>
      <c r="AN1021" t="n">
        <v>0</v>
      </c>
      <c r="AO1021" t="n">
        <v>0</v>
      </c>
      <c r="AP1021" t="n">
        <v>9</v>
      </c>
      <c r="AQ1021" t="n">
        <v>134</v>
      </c>
      <c r="AR1021" t="n">
        <v>154</v>
      </c>
      <c r="AS1021" t="n">
        <v>42</v>
      </c>
      <c r="AT1021" t="n">
        <v>2</v>
      </c>
      <c r="AU1021" t="n">
        <v>1</v>
      </c>
      <c r="AV1021" t="n">
        <v>39</v>
      </c>
      <c r="AW1021" t="n">
        <v>24</v>
      </c>
      <c r="AX1021" t="n">
        <v>3</v>
      </c>
      <c r="AY1021" t="n">
        <v>40</v>
      </c>
      <c r="AZ1021" t="n">
        <v>0</v>
      </c>
      <c r="BA1021" t="n">
        <v>1</v>
      </c>
      <c r="BB1021" t="n">
        <v>35</v>
      </c>
      <c r="BC1021" t="n">
        <v>33</v>
      </c>
      <c r="BD1021" t="n">
        <v>11</v>
      </c>
      <c r="BE1021" t="n">
        <v>24</v>
      </c>
      <c r="BF1021" t="n">
        <v>33</v>
      </c>
      <c r="BG1021" t="n">
        <v>2</v>
      </c>
      <c r="BH1021" t="n">
        <v>-1</v>
      </c>
      <c r="BI1021" t="n">
        <v>46</v>
      </c>
      <c r="BJ1021" t="n">
        <v>47</v>
      </c>
      <c r="BK1021" t="n">
        <v>1</v>
      </c>
      <c r="BL1021" t="n">
        <v>8</v>
      </c>
      <c r="BM1021" t="n">
        <v>15</v>
      </c>
      <c r="BN1021" t="n">
        <v>6</v>
      </c>
      <c r="BO1021" t="n">
        <v>28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291</v>
      </c>
      <c r="Z1022" t="n">
        <v>130</v>
      </c>
      <c r="AA1022" t="n">
        <v>41</v>
      </c>
      <c r="AB1022" t="n">
        <v>1</v>
      </c>
      <c r="AC1022" t="n">
        <v>2</v>
      </c>
      <c r="AD1022" t="n">
        <v>2</v>
      </c>
      <c r="AE1022" t="n">
        <v>4</v>
      </c>
      <c r="AF1022" t="n">
        <v>5</v>
      </c>
      <c r="AG1022" t="n">
        <v>3</v>
      </c>
      <c r="AH1022" t="n">
        <v>64</v>
      </c>
      <c r="AI1022" t="n">
        <v>40</v>
      </c>
      <c r="AJ1022" t="n">
        <v>42</v>
      </c>
      <c r="AK1022" t="n">
        <v>36</v>
      </c>
      <c r="AL1022" t="n">
        <v>1</v>
      </c>
      <c r="AM1022" t="n">
        <v>2</v>
      </c>
      <c r="AN1022" t="n">
        <v>1</v>
      </c>
      <c r="AO1022" t="n">
        <v>0</v>
      </c>
      <c r="AP1022" t="n">
        <v>2</v>
      </c>
      <c r="AQ1022" t="n">
        <v>9</v>
      </c>
      <c r="AR1022" t="n">
        <v>85</v>
      </c>
      <c r="AS1022" t="n">
        <v>76</v>
      </c>
      <c r="AT1022" t="n">
        <v>6</v>
      </c>
      <c r="AU1022" t="n">
        <v>1</v>
      </c>
      <c r="AV1022" t="n">
        <v>70</v>
      </c>
      <c r="AW1022" t="n">
        <v>7</v>
      </c>
      <c r="AX1022" t="n">
        <v>1</v>
      </c>
      <c r="AY1022" t="n">
        <v>1</v>
      </c>
      <c r="AZ1022" t="n">
        <v>3</v>
      </c>
      <c r="BA1022" t="n">
        <v>11</v>
      </c>
      <c r="BB1022" t="n">
        <v>50</v>
      </c>
      <c r="BC1022" t="n">
        <v>4</v>
      </c>
      <c r="BD1022" t="n">
        <v>73</v>
      </c>
      <c r="BE1022" t="n">
        <v>9</v>
      </c>
      <c r="BF1022" t="n">
        <v>33</v>
      </c>
      <c r="BG1022" t="n">
        <v>2</v>
      </c>
      <c r="BH1022" t="n">
        <v>5</v>
      </c>
      <c r="BI1022" t="n">
        <v>46</v>
      </c>
      <c r="BJ1022" t="n">
        <v>47</v>
      </c>
      <c r="BK1022" t="n">
        <v>0</v>
      </c>
      <c r="BL1022" t="n">
        <v>4</v>
      </c>
      <c r="BM1022" t="n">
        <v>15</v>
      </c>
      <c r="BN1022" t="n">
        <v>8</v>
      </c>
      <c r="BO1022" t="n">
        <v>2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186</v>
      </c>
      <c r="Z1023" t="n">
        <v>193</v>
      </c>
      <c r="AA1023" t="n">
        <v>20</v>
      </c>
      <c r="AB1023" t="n">
        <v>0</v>
      </c>
      <c r="AC1023" t="n">
        <v>0</v>
      </c>
      <c r="AD1023" t="n">
        <v>4</v>
      </c>
      <c r="AE1023" t="n">
        <v>0</v>
      </c>
      <c r="AF1023" t="n">
        <v>3</v>
      </c>
      <c r="AG1023" t="n">
        <v>1</v>
      </c>
      <c r="AH1023" t="n">
        <v>37</v>
      </c>
      <c r="AI1023" t="n">
        <v>9</v>
      </c>
      <c r="AJ1023" t="n">
        <v>19</v>
      </c>
      <c r="AK1023" t="n">
        <v>15</v>
      </c>
      <c r="AL1023" t="n">
        <v>2</v>
      </c>
      <c r="AM1023" t="n">
        <v>35</v>
      </c>
      <c r="AN1023" t="n">
        <v>0</v>
      </c>
      <c r="AO1023" t="n">
        <v>1</v>
      </c>
      <c r="AP1023" t="n">
        <v>3</v>
      </c>
      <c r="AQ1023" t="n">
        <v>13</v>
      </c>
      <c r="AR1023" t="n">
        <v>68</v>
      </c>
      <c r="AS1023" t="n">
        <v>54</v>
      </c>
      <c r="AT1023" t="n">
        <v>1</v>
      </c>
      <c r="AU1023" t="n">
        <v>0</v>
      </c>
      <c r="AV1023" t="n">
        <v>12</v>
      </c>
      <c r="AW1023" t="n">
        <v>17</v>
      </c>
      <c r="AX1023" t="n">
        <v>2</v>
      </c>
      <c r="AY1023" t="n">
        <v>42</v>
      </c>
      <c r="AZ1023" t="n">
        <v>3</v>
      </c>
      <c r="BA1023" t="n">
        <v>37</v>
      </c>
      <c r="BB1023" t="n">
        <v>59</v>
      </c>
      <c r="BC1023" t="n">
        <v>30</v>
      </c>
      <c r="BD1023" t="n">
        <v>41</v>
      </c>
      <c r="BE1023" t="n">
        <v>17</v>
      </c>
      <c r="BF1023" t="n">
        <v>23</v>
      </c>
      <c r="BG1023" t="n">
        <v>0</v>
      </c>
      <c r="BH1023" t="n">
        <v>9</v>
      </c>
      <c r="BI1023" t="n">
        <v>1</v>
      </c>
      <c r="BJ1023" t="n">
        <v>2</v>
      </c>
      <c r="BK1023" t="n">
        <v>3</v>
      </c>
      <c r="BL1023" t="n">
        <v>21</v>
      </c>
      <c r="BM1023" t="n">
        <v>22</v>
      </c>
      <c r="BN1023" t="n">
        <v>6</v>
      </c>
      <c r="BO1023" t="n">
        <v>40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2</v>
      </c>
      <c r="I1024" t="n">
        <v>0</v>
      </c>
      <c r="J1024" t="n">
        <v>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3</v>
      </c>
      <c r="U1024" t="n">
        <v>0</v>
      </c>
      <c r="V1024" t="n">
        <v>0</v>
      </c>
      <c r="W1024" t="n">
        <v>0</v>
      </c>
      <c r="X1024" t="n">
        <v>0</v>
      </c>
      <c r="Y1024" t="n">
        <v>393</v>
      </c>
      <c r="Z1024" t="n">
        <v>218</v>
      </c>
      <c r="AA1024" t="n">
        <v>80</v>
      </c>
      <c r="AB1024" t="n">
        <v>1</v>
      </c>
      <c r="AC1024" t="n">
        <v>2</v>
      </c>
      <c r="AD1024" t="n">
        <v>2</v>
      </c>
      <c r="AE1024" t="n">
        <v>10</v>
      </c>
      <c r="AF1024" t="n">
        <v>7</v>
      </c>
      <c r="AG1024" t="n">
        <v>8</v>
      </c>
      <c r="AH1024" t="n">
        <v>89</v>
      </c>
      <c r="AI1024" t="n">
        <v>157</v>
      </c>
      <c r="AJ1024" t="n">
        <v>90</v>
      </c>
      <c r="AK1024" t="n">
        <v>60</v>
      </c>
      <c r="AL1024" t="n">
        <v>0</v>
      </c>
      <c r="AM1024" t="n">
        <v>6</v>
      </c>
      <c r="AN1024" t="n">
        <v>0</v>
      </c>
      <c r="AO1024" t="n">
        <v>0</v>
      </c>
      <c r="AP1024" t="n">
        <v>1</v>
      </c>
      <c r="AQ1024" t="n">
        <v>9</v>
      </c>
      <c r="AR1024" t="n">
        <v>98</v>
      </c>
      <c r="AS1024" t="n">
        <v>90</v>
      </c>
      <c r="AT1024" t="n">
        <v>2</v>
      </c>
      <c r="AU1024" t="n">
        <v>0</v>
      </c>
      <c r="AV1024" t="n">
        <v>22</v>
      </c>
      <c r="AW1024" t="n">
        <v>10</v>
      </c>
      <c r="AX1024" t="n">
        <v>3</v>
      </c>
      <c r="AY1024" t="n">
        <v>97</v>
      </c>
      <c r="AZ1024" t="n">
        <v>0</v>
      </c>
      <c r="BA1024" t="n">
        <v>3</v>
      </c>
      <c r="BB1024" t="n">
        <v>78</v>
      </c>
      <c r="BC1024" t="n">
        <v>31</v>
      </c>
      <c r="BD1024" t="n">
        <v>89</v>
      </c>
      <c r="BE1024" t="n">
        <v>10</v>
      </c>
      <c r="BF1024" t="n">
        <v>85</v>
      </c>
      <c r="BG1024" t="n">
        <v>6</v>
      </c>
      <c r="BH1024" t="n">
        <v>18</v>
      </c>
      <c r="BI1024" t="n">
        <v>102</v>
      </c>
      <c r="BJ1024" t="n">
        <v>96</v>
      </c>
      <c r="BK1024" t="n">
        <v>0</v>
      </c>
      <c r="BL1024" t="n">
        <v>1</v>
      </c>
      <c r="BM1024" t="n">
        <v>7</v>
      </c>
      <c r="BN1024" t="n">
        <v>4</v>
      </c>
      <c r="BO1024" t="n">
        <v>86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2</v>
      </c>
      <c r="U1025" t="n">
        <v>0</v>
      </c>
      <c r="V1025" t="n">
        <v>0</v>
      </c>
      <c r="W1025" t="n">
        <v>2</v>
      </c>
      <c r="X1025" t="n">
        <v>0</v>
      </c>
      <c r="Y1025" t="n">
        <v>298</v>
      </c>
      <c r="Z1025" t="n">
        <v>154</v>
      </c>
      <c r="AA1025" t="n">
        <v>121</v>
      </c>
      <c r="AB1025" t="n">
        <v>4</v>
      </c>
      <c r="AC1025" t="n">
        <v>2</v>
      </c>
      <c r="AD1025" t="n">
        <v>5</v>
      </c>
      <c r="AE1025" t="n">
        <v>3</v>
      </c>
      <c r="AF1025" t="n">
        <v>7</v>
      </c>
      <c r="AG1025" t="n">
        <v>8</v>
      </c>
      <c r="AH1025" t="n">
        <v>88</v>
      </c>
      <c r="AI1025" t="n">
        <v>40</v>
      </c>
      <c r="AJ1025" t="n">
        <v>60</v>
      </c>
      <c r="AK1025" t="n">
        <v>78</v>
      </c>
      <c r="AL1025" t="n">
        <v>2</v>
      </c>
      <c r="AM1025" t="n">
        <v>31</v>
      </c>
      <c r="AN1025" t="n">
        <v>0</v>
      </c>
      <c r="AO1025" t="n">
        <v>0</v>
      </c>
      <c r="AP1025" t="n">
        <v>3</v>
      </c>
      <c r="AQ1025" t="n">
        <v>18</v>
      </c>
      <c r="AR1025" t="n">
        <v>72</v>
      </c>
      <c r="AS1025" t="n">
        <v>56</v>
      </c>
      <c r="AT1025" t="n">
        <v>2</v>
      </c>
      <c r="AU1025" t="n">
        <v>2</v>
      </c>
      <c r="AV1025" t="n">
        <v>27</v>
      </c>
      <c r="AW1025" t="n">
        <v>20</v>
      </c>
      <c r="AX1025" t="n">
        <v>1</v>
      </c>
      <c r="AY1025" t="n">
        <v>15</v>
      </c>
      <c r="AZ1025" t="n">
        <v>1</v>
      </c>
      <c r="BA1025" t="n">
        <v>3</v>
      </c>
      <c r="BB1025" t="n">
        <v>116</v>
      </c>
      <c r="BC1025" t="n">
        <v>40</v>
      </c>
      <c r="BD1025" t="n">
        <v>95</v>
      </c>
      <c r="BE1025" t="n">
        <v>20</v>
      </c>
      <c r="BF1025" t="n">
        <v>56</v>
      </c>
      <c r="BG1025" t="n">
        <v>1</v>
      </c>
      <c r="BH1025" t="n">
        <v>4</v>
      </c>
      <c r="BI1025" t="n">
        <v>28</v>
      </c>
      <c r="BJ1025" t="n">
        <v>37</v>
      </c>
      <c r="BK1025" t="n">
        <v>0</v>
      </c>
      <c r="BL1025" t="n">
        <v>1</v>
      </c>
      <c r="BM1025" t="n">
        <v>12</v>
      </c>
      <c r="BN1025" t="n">
        <v>7</v>
      </c>
      <c r="BO1025" t="n">
        <v>16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226</v>
      </c>
      <c r="Z1026" t="n">
        <v>195</v>
      </c>
      <c r="AA1026" t="n">
        <v>128</v>
      </c>
      <c r="AB1026" t="n">
        <v>1</v>
      </c>
      <c r="AC1026" t="n">
        <v>2</v>
      </c>
      <c r="AD1026" t="n">
        <v>6</v>
      </c>
      <c r="AE1026" t="n">
        <v>6</v>
      </c>
      <c r="AF1026" t="n">
        <v>4</v>
      </c>
      <c r="AG1026" t="n">
        <v>7</v>
      </c>
      <c r="AH1026" t="n">
        <v>75</v>
      </c>
      <c r="AI1026" t="n">
        <v>34</v>
      </c>
      <c r="AJ1026" t="n">
        <v>50</v>
      </c>
      <c r="AK1026" t="n">
        <v>25</v>
      </c>
      <c r="AL1026" t="n">
        <v>4</v>
      </c>
      <c r="AM1026" t="n">
        <v>31</v>
      </c>
      <c r="AN1026" t="n">
        <v>0</v>
      </c>
      <c r="AO1026" t="n">
        <v>0</v>
      </c>
      <c r="AP1026" t="n">
        <v>5</v>
      </c>
      <c r="AQ1026" t="n">
        <v>52</v>
      </c>
      <c r="AR1026" t="n">
        <v>233</v>
      </c>
      <c r="AS1026" t="n">
        <v>190</v>
      </c>
      <c r="AT1026" t="n">
        <v>3</v>
      </c>
      <c r="AU1026" t="n">
        <v>1</v>
      </c>
      <c r="AV1026" t="n">
        <v>1</v>
      </c>
      <c r="AW1026" t="n">
        <v>15</v>
      </c>
      <c r="AX1026" t="n">
        <v>0</v>
      </c>
      <c r="AY1026" t="n">
        <v>26</v>
      </c>
      <c r="AZ1026" t="n">
        <v>0</v>
      </c>
      <c r="BA1026" t="n">
        <v>1</v>
      </c>
      <c r="BB1026" t="n">
        <v>123</v>
      </c>
      <c r="BC1026" t="n">
        <v>40</v>
      </c>
      <c r="BD1026" t="n">
        <v>69</v>
      </c>
      <c r="BE1026" t="n">
        <v>15</v>
      </c>
      <c r="BF1026" t="n">
        <v>72</v>
      </c>
      <c r="BG1026" t="n">
        <v>3</v>
      </c>
      <c r="BH1026" t="n">
        <v>5</v>
      </c>
      <c r="BI1026" t="n">
        <v>11</v>
      </c>
      <c r="BJ1026" t="n">
        <v>23</v>
      </c>
      <c r="BK1026" t="n">
        <v>3</v>
      </c>
      <c r="BL1026" t="n">
        <v>1</v>
      </c>
      <c r="BM1026" t="n">
        <v>5</v>
      </c>
      <c r="BN1026" t="n">
        <v>3</v>
      </c>
      <c r="BO1026" t="n">
        <v>16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2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213</v>
      </c>
      <c r="Z1027" t="n">
        <v>227</v>
      </c>
      <c r="AA1027" t="n">
        <v>101</v>
      </c>
      <c r="AB1027" t="n">
        <v>2</v>
      </c>
      <c r="AC1027" t="n">
        <v>1</v>
      </c>
      <c r="AD1027" t="n">
        <v>5</v>
      </c>
      <c r="AE1027" t="n">
        <v>12</v>
      </c>
      <c r="AF1027" t="n">
        <v>3</v>
      </c>
      <c r="AG1027" t="n">
        <v>3</v>
      </c>
      <c r="AH1027" t="n">
        <v>72</v>
      </c>
      <c r="AI1027" t="n">
        <v>152</v>
      </c>
      <c r="AJ1027" t="n">
        <v>30</v>
      </c>
      <c r="AK1027" t="n">
        <v>28</v>
      </c>
      <c r="AL1027" t="n">
        <v>1</v>
      </c>
      <c r="AM1027" t="n">
        <v>21</v>
      </c>
      <c r="AN1027" t="n">
        <v>0</v>
      </c>
      <c r="AO1027" t="n">
        <v>0</v>
      </c>
      <c r="AP1027" t="n">
        <v>4</v>
      </c>
      <c r="AQ1027" t="n">
        <v>12</v>
      </c>
      <c r="AR1027" t="n">
        <v>89</v>
      </c>
      <c r="AS1027" t="n">
        <v>78</v>
      </c>
      <c r="AT1027" t="n">
        <v>1</v>
      </c>
      <c r="AU1027" t="n">
        <v>1</v>
      </c>
      <c r="AV1027" t="n">
        <v>5</v>
      </c>
      <c r="AW1027" t="n">
        <v>18</v>
      </c>
      <c r="AX1027" t="n">
        <v>12</v>
      </c>
      <c r="AY1027" t="n">
        <v>55</v>
      </c>
      <c r="AZ1027" t="n">
        <v>2</v>
      </c>
      <c r="BA1027" t="n">
        <v>29</v>
      </c>
      <c r="BB1027" t="n">
        <v>125</v>
      </c>
      <c r="BC1027" t="n">
        <v>17</v>
      </c>
      <c r="BD1027" t="n">
        <v>63</v>
      </c>
      <c r="BE1027" t="n">
        <v>18</v>
      </c>
      <c r="BF1027" t="n">
        <v>26</v>
      </c>
      <c r="BG1027" t="n">
        <v>1</v>
      </c>
      <c r="BH1027" t="n">
        <v>15</v>
      </c>
      <c r="BI1027" t="n">
        <v>1</v>
      </c>
      <c r="BJ1027" t="n">
        <v>5</v>
      </c>
      <c r="BK1027" t="n">
        <v>0</v>
      </c>
      <c r="BL1027" t="n">
        <v>21</v>
      </c>
      <c r="BM1027" t="n">
        <v>37</v>
      </c>
      <c r="BN1027" t="n">
        <v>16</v>
      </c>
      <c r="BO1027" t="n">
        <v>44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197</v>
      </c>
      <c r="Z1028" t="n">
        <v>124</v>
      </c>
      <c r="AA1028" t="n">
        <v>76</v>
      </c>
      <c r="AB1028" t="n">
        <v>0</v>
      </c>
      <c r="AC1028" t="n">
        <v>3</v>
      </c>
      <c r="AD1028" t="n">
        <v>3</v>
      </c>
      <c r="AE1028" t="n">
        <v>0</v>
      </c>
      <c r="AF1028" t="n">
        <v>0</v>
      </c>
      <c r="AG1028" t="n">
        <v>5</v>
      </c>
      <c r="AH1028" t="n">
        <v>42</v>
      </c>
      <c r="AI1028" t="n">
        <v>10</v>
      </c>
      <c r="AJ1028" t="n">
        <v>14</v>
      </c>
      <c r="AK1028" t="n">
        <v>56</v>
      </c>
      <c r="AL1028" t="n">
        <v>1</v>
      </c>
      <c r="AM1028" t="n">
        <v>2</v>
      </c>
      <c r="AN1028" t="n">
        <v>0</v>
      </c>
      <c r="AO1028" t="n">
        <v>0</v>
      </c>
      <c r="AP1028" t="n">
        <v>3</v>
      </c>
      <c r="AQ1028" t="n">
        <v>1</v>
      </c>
      <c r="AR1028" t="n">
        <v>47</v>
      </c>
      <c r="AS1028" t="n">
        <v>42</v>
      </c>
      <c r="AT1028" t="n">
        <v>4</v>
      </c>
      <c r="AU1028" t="n">
        <v>0</v>
      </c>
      <c r="AV1028" t="n">
        <v>23</v>
      </c>
      <c r="AW1028" t="n">
        <v>1</v>
      </c>
      <c r="AX1028" t="n">
        <v>1</v>
      </c>
      <c r="AY1028" t="n">
        <v>37</v>
      </c>
      <c r="AZ1028" t="n">
        <v>0</v>
      </c>
      <c r="BA1028" t="n">
        <v>1</v>
      </c>
      <c r="BB1028" t="n">
        <v>74</v>
      </c>
      <c r="BC1028" t="n">
        <v>10</v>
      </c>
      <c r="BD1028" t="n">
        <v>37</v>
      </c>
      <c r="BE1028" t="n">
        <v>3</v>
      </c>
      <c r="BF1028" t="n">
        <v>11</v>
      </c>
      <c r="BG1028" t="n">
        <v>1</v>
      </c>
      <c r="BH1028" t="n">
        <v>19</v>
      </c>
      <c r="BI1028" t="n">
        <v>1</v>
      </c>
      <c r="BJ1028" t="n">
        <v>4</v>
      </c>
      <c r="BK1028" t="n">
        <v>2</v>
      </c>
      <c r="BL1028" t="n">
        <v>13</v>
      </c>
      <c r="BM1028" t="n">
        <v>13</v>
      </c>
      <c r="BN1028" t="n">
        <v>4</v>
      </c>
      <c r="BO1028" t="n">
        <v>2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2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269</v>
      </c>
      <c r="Z1029" t="n">
        <v>205</v>
      </c>
      <c r="AA1029" t="n">
        <v>5</v>
      </c>
      <c r="AB1029" t="n">
        <v>2</v>
      </c>
      <c r="AC1029" t="n">
        <v>1</v>
      </c>
      <c r="AD1029" t="n">
        <v>9</v>
      </c>
      <c r="AE1029" t="n">
        <v>8</v>
      </c>
      <c r="AF1029" t="n">
        <v>3</v>
      </c>
      <c r="AG1029" t="n">
        <v>6</v>
      </c>
      <c r="AH1029" t="n">
        <v>118</v>
      </c>
      <c r="AI1029" t="n">
        <v>80</v>
      </c>
      <c r="AJ1029" t="n">
        <v>54</v>
      </c>
      <c r="AK1029" t="n">
        <v>53</v>
      </c>
      <c r="AL1029" t="n">
        <v>4</v>
      </c>
      <c r="AM1029" t="n">
        <v>53</v>
      </c>
      <c r="AN1029" t="n">
        <v>0</v>
      </c>
      <c r="AO1029" t="n">
        <v>0</v>
      </c>
      <c r="AP1029" t="n">
        <v>4</v>
      </c>
      <c r="AQ1029" t="n">
        <v>18</v>
      </c>
      <c r="AR1029" t="n">
        <v>63</v>
      </c>
      <c r="AS1029" t="n">
        <v>48</v>
      </c>
      <c r="AT1029" t="n">
        <v>2</v>
      </c>
      <c r="AU1029" t="n">
        <v>2</v>
      </c>
      <c r="AV1029" t="n">
        <v>30</v>
      </c>
      <c r="AW1029" t="n">
        <v>15</v>
      </c>
      <c r="AX1029" t="n">
        <v>2</v>
      </c>
      <c r="AY1029" t="n">
        <v>36</v>
      </c>
      <c r="AZ1029" t="n">
        <v>3</v>
      </c>
      <c r="BA1029" t="n">
        <v>60</v>
      </c>
      <c r="BB1029" t="n">
        <v>78</v>
      </c>
      <c r="BC1029" t="n">
        <v>51</v>
      </c>
      <c r="BD1029" t="n">
        <v>120</v>
      </c>
      <c r="BE1029" t="n">
        <v>15</v>
      </c>
      <c r="BF1029" t="n">
        <v>42</v>
      </c>
      <c r="BG1029" t="n">
        <v>3</v>
      </c>
      <c r="BH1029" t="n">
        <v>4</v>
      </c>
      <c r="BI1029" t="n">
        <v>37</v>
      </c>
      <c r="BJ1029" t="n">
        <v>34</v>
      </c>
      <c r="BK1029" t="n">
        <v>1</v>
      </c>
      <c r="BL1029" t="n">
        <v>1</v>
      </c>
      <c r="BM1029" t="n">
        <v>4</v>
      </c>
      <c r="BN1029" t="n">
        <v>2</v>
      </c>
      <c r="BO1029" t="n">
        <v>91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2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3</v>
      </c>
      <c r="U1030" t="n">
        <v>0</v>
      </c>
      <c r="V1030" t="n">
        <v>0</v>
      </c>
      <c r="W1030" t="n">
        <v>0</v>
      </c>
      <c r="X1030" t="n">
        <v>0</v>
      </c>
      <c r="Y1030" t="n">
        <v>217</v>
      </c>
      <c r="Z1030" t="n">
        <v>174</v>
      </c>
      <c r="AA1030" t="n">
        <v>69</v>
      </c>
      <c r="AB1030" t="n">
        <v>5</v>
      </c>
      <c r="AC1030" t="n">
        <v>2</v>
      </c>
      <c r="AD1030" t="n">
        <v>6</v>
      </c>
      <c r="AE1030" t="n">
        <v>3</v>
      </c>
      <c r="AF1030" t="n">
        <v>7</v>
      </c>
      <c r="AG1030" t="n">
        <v>2</v>
      </c>
      <c r="AH1030" t="n">
        <v>47</v>
      </c>
      <c r="AI1030" t="n">
        <v>61</v>
      </c>
      <c r="AJ1030" t="n">
        <v>67</v>
      </c>
      <c r="AK1030" t="n">
        <v>1</v>
      </c>
      <c r="AL1030" t="n">
        <v>2</v>
      </c>
      <c r="AM1030" t="n">
        <v>2</v>
      </c>
      <c r="AN1030" t="n">
        <v>0</v>
      </c>
      <c r="AO1030" t="n">
        <v>0</v>
      </c>
      <c r="AP1030" t="n">
        <v>2</v>
      </c>
      <c r="AQ1030" t="n">
        <v>-2</v>
      </c>
      <c r="AR1030" t="n">
        <v>111</v>
      </c>
      <c r="AS1030" t="n">
        <v>104</v>
      </c>
      <c r="AT1030" t="n">
        <v>3</v>
      </c>
      <c r="AU1030" t="n">
        <v>2</v>
      </c>
      <c r="AV1030" t="n">
        <v>15</v>
      </c>
      <c r="AW1030" t="n">
        <v>33</v>
      </c>
      <c r="AX1030" t="n">
        <v>13</v>
      </c>
      <c r="AY1030" t="n">
        <v>81</v>
      </c>
      <c r="AZ1030" t="n">
        <v>2</v>
      </c>
      <c r="BA1030" t="n">
        <v>18</v>
      </c>
      <c r="BB1030" t="n">
        <v>83</v>
      </c>
      <c r="BC1030" t="n">
        <v>2</v>
      </c>
      <c r="BD1030" t="n">
        <v>43</v>
      </c>
      <c r="BE1030" t="n">
        <v>33</v>
      </c>
      <c r="BF1030" t="n">
        <v>63</v>
      </c>
      <c r="BG1030" t="n">
        <v>3</v>
      </c>
      <c r="BH1030" t="n">
        <v>10</v>
      </c>
      <c r="BI1030" t="n">
        <v>76</v>
      </c>
      <c r="BJ1030" t="n">
        <v>69</v>
      </c>
      <c r="BK1030" t="n">
        <v>2</v>
      </c>
      <c r="BL1030" t="n">
        <v>10</v>
      </c>
      <c r="BM1030" t="n">
        <v>12</v>
      </c>
      <c r="BN1030" t="n">
        <v>4</v>
      </c>
      <c r="BO1030" t="n">
        <v>16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2</v>
      </c>
      <c r="X1031" t="n">
        <v>0</v>
      </c>
      <c r="Y1031" t="n">
        <v>169</v>
      </c>
      <c r="Z1031" t="n">
        <v>232</v>
      </c>
      <c r="AA1031" t="n">
        <v>106</v>
      </c>
      <c r="AB1031" t="n">
        <v>4</v>
      </c>
      <c r="AC1031" t="n">
        <v>1</v>
      </c>
      <c r="AD1031" t="n">
        <v>3</v>
      </c>
      <c r="AE1031" t="n">
        <v>4</v>
      </c>
      <c r="AF1031" t="n">
        <v>4</v>
      </c>
      <c r="AG1031" t="n">
        <v>1</v>
      </c>
      <c r="AH1031" t="n">
        <v>49</v>
      </c>
      <c r="AI1031" t="n">
        <v>19</v>
      </c>
      <c r="AJ1031" t="n">
        <v>49</v>
      </c>
      <c r="AK1031" t="n">
        <v>19</v>
      </c>
      <c r="AL1031" t="n">
        <v>5</v>
      </c>
      <c r="AM1031" t="n">
        <v>10</v>
      </c>
      <c r="AN1031" t="n">
        <v>0</v>
      </c>
      <c r="AO1031" t="n">
        <v>2</v>
      </c>
      <c r="AP1031" t="n">
        <v>3</v>
      </c>
      <c r="AQ1031" t="n">
        <v>12</v>
      </c>
      <c r="AR1031" t="n">
        <v>31</v>
      </c>
      <c r="AS1031" t="n">
        <v>22</v>
      </c>
      <c r="AT1031" t="n">
        <v>1</v>
      </c>
      <c r="AU1031" t="n">
        <v>3</v>
      </c>
      <c r="AV1031" t="n">
        <v>18</v>
      </c>
      <c r="AW1031" t="n">
        <v>48</v>
      </c>
      <c r="AX1031" t="n">
        <v>1</v>
      </c>
      <c r="AY1031" t="n">
        <v>67</v>
      </c>
      <c r="AZ1031" t="n">
        <v>3</v>
      </c>
      <c r="BA1031" t="n">
        <v>18</v>
      </c>
      <c r="BB1031" t="n">
        <v>117</v>
      </c>
      <c r="BC1031" t="n">
        <v>26</v>
      </c>
      <c r="BD1031" t="n">
        <v>62</v>
      </c>
      <c r="BE1031" t="n">
        <v>50</v>
      </c>
      <c r="BF1031" t="n">
        <v>39</v>
      </c>
      <c r="BG1031" t="n">
        <v>1</v>
      </c>
      <c r="BH1031" t="n">
        <v>5</v>
      </c>
      <c r="BI1031" t="n">
        <v>12</v>
      </c>
      <c r="BJ1031" t="n">
        <v>16</v>
      </c>
      <c r="BK1031" t="n">
        <v>0</v>
      </c>
      <c r="BL1031" t="n">
        <v>1</v>
      </c>
      <c r="BM1031" t="n">
        <v>5</v>
      </c>
      <c r="BN1031" t="n">
        <v>3</v>
      </c>
      <c r="BO1031" t="n">
        <v>51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1</v>
      </c>
      <c r="G1032" t="n">
        <v>2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328</v>
      </c>
      <c r="Z1032" t="n">
        <v>246</v>
      </c>
      <c r="AA1032" t="n">
        <v>58</v>
      </c>
      <c r="AB1032" t="n">
        <v>1</v>
      </c>
      <c r="AC1032" t="n">
        <v>2</v>
      </c>
      <c r="AD1032" t="n">
        <v>5</v>
      </c>
      <c r="AE1032" t="n">
        <v>7</v>
      </c>
      <c r="AF1032" t="n">
        <v>4</v>
      </c>
      <c r="AG1032" t="n">
        <v>0</v>
      </c>
      <c r="AH1032" t="n">
        <v>94</v>
      </c>
      <c r="AI1032" t="n">
        <v>73</v>
      </c>
      <c r="AJ1032" t="n">
        <v>62</v>
      </c>
      <c r="AK1032" t="n">
        <v>68</v>
      </c>
      <c r="AL1032" t="n">
        <v>0</v>
      </c>
      <c r="AM1032" t="n">
        <v>2</v>
      </c>
      <c r="AN1032" t="n">
        <v>1</v>
      </c>
      <c r="AO1032" t="n">
        <v>0</v>
      </c>
      <c r="AP1032" t="n">
        <v>5</v>
      </c>
      <c r="AQ1032" t="n">
        <v>36</v>
      </c>
      <c r="AR1032" t="n">
        <v>120</v>
      </c>
      <c r="AS1032" t="n">
        <v>87</v>
      </c>
      <c r="AT1032" t="n">
        <v>5</v>
      </c>
      <c r="AU1032" t="n">
        <v>1</v>
      </c>
      <c r="AV1032" t="n">
        <v>60</v>
      </c>
      <c r="AW1032" t="n">
        <v>16</v>
      </c>
      <c r="AX1032" t="n">
        <v>5</v>
      </c>
      <c r="AY1032" t="n">
        <v>48</v>
      </c>
      <c r="AZ1032" t="n">
        <v>2</v>
      </c>
      <c r="BA1032" t="n">
        <v>1</v>
      </c>
      <c r="BB1032" t="n">
        <v>57</v>
      </c>
      <c r="BC1032" t="n">
        <v>5</v>
      </c>
      <c r="BD1032" t="n">
        <v>88</v>
      </c>
      <c r="BE1032" t="n">
        <v>15</v>
      </c>
      <c r="BF1032" t="n">
        <v>64</v>
      </c>
      <c r="BG1032" t="n">
        <v>5</v>
      </c>
      <c r="BH1032" t="n">
        <v>3</v>
      </c>
      <c r="BI1032" t="n">
        <v>36</v>
      </c>
      <c r="BJ1032" t="n">
        <v>32</v>
      </c>
      <c r="BK1032" t="n">
        <v>3</v>
      </c>
      <c r="BL1032" t="n">
        <v>9</v>
      </c>
      <c r="BM1032" t="n">
        <v>6</v>
      </c>
      <c r="BN1032" t="n">
        <v>1</v>
      </c>
      <c r="BO1032" t="n">
        <v>44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276</v>
      </c>
      <c r="Z1033" t="n">
        <v>156</v>
      </c>
      <c r="AA1033" t="n">
        <v>26</v>
      </c>
      <c r="AB1033" t="n">
        <v>0</v>
      </c>
      <c r="AC1033" t="n">
        <v>1</v>
      </c>
      <c r="AD1033" t="n">
        <v>4</v>
      </c>
      <c r="AE1033" t="n">
        <v>10</v>
      </c>
      <c r="AF1033" t="n">
        <v>3</v>
      </c>
      <c r="AG1033" t="n">
        <v>0</v>
      </c>
      <c r="AH1033" t="n">
        <v>66</v>
      </c>
      <c r="AI1033" t="n">
        <v>33</v>
      </c>
      <c r="AJ1033" t="n">
        <v>12</v>
      </c>
      <c r="AK1033" t="n">
        <v>10</v>
      </c>
      <c r="AL1033" t="n">
        <v>5</v>
      </c>
      <c r="AM1033" t="n">
        <v>54</v>
      </c>
      <c r="AN1033" t="n">
        <v>0</v>
      </c>
      <c r="AO1033" t="n">
        <v>0</v>
      </c>
      <c r="AP1033" t="n">
        <v>3</v>
      </c>
      <c r="AQ1033" t="n">
        <v>33</v>
      </c>
      <c r="AR1033" t="n">
        <v>87</v>
      </c>
      <c r="AS1033" t="n">
        <v>58</v>
      </c>
      <c r="AT1033" t="n">
        <v>10</v>
      </c>
      <c r="AU1033" t="n">
        <v>3</v>
      </c>
      <c r="AV1033" t="n">
        <v>93</v>
      </c>
      <c r="AW1033" t="n">
        <v>30</v>
      </c>
      <c r="AX1033" t="n">
        <v>0</v>
      </c>
      <c r="AY1033" t="n">
        <v>12</v>
      </c>
      <c r="AZ1033" t="n">
        <v>4</v>
      </c>
      <c r="BA1033" t="n">
        <v>5</v>
      </c>
      <c r="BB1033" t="n">
        <v>29</v>
      </c>
      <c r="BC1033" t="n">
        <v>49</v>
      </c>
      <c r="BD1033" t="n">
        <v>113</v>
      </c>
      <c r="BE1033" t="n">
        <v>31</v>
      </c>
      <c r="BF1033" t="n">
        <v>17</v>
      </c>
      <c r="BG1033" t="n">
        <v>0</v>
      </c>
      <c r="BH1033" t="n">
        <v>21</v>
      </c>
      <c r="BI1033" t="n">
        <v>1</v>
      </c>
      <c r="BJ1033" t="n">
        <v>1</v>
      </c>
      <c r="BK1033" t="n">
        <v>0</v>
      </c>
      <c r="BL1033" t="n">
        <v>1</v>
      </c>
      <c r="BM1033" t="n">
        <v>78</v>
      </c>
      <c r="BN1033" t="n">
        <v>51</v>
      </c>
      <c r="BO1033" t="n">
        <v>23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153</v>
      </c>
      <c r="Z1034" t="n">
        <v>282</v>
      </c>
      <c r="AA1034" t="n">
        <v>32</v>
      </c>
      <c r="AB1034" t="n">
        <v>0</v>
      </c>
      <c r="AC1034" t="n">
        <v>0</v>
      </c>
      <c r="AD1034" t="n">
        <v>2</v>
      </c>
      <c r="AE1034" t="n">
        <v>6</v>
      </c>
      <c r="AF1034" t="n">
        <v>2</v>
      </c>
      <c r="AG1034" t="n">
        <v>3</v>
      </c>
      <c r="AH1034" t="n">
        <v>41</v>
      </c>
      <c r="AI1034" t="n">
        <v>77</v>
      </c>
      <c r="AJ1034" t="n">
        <v>7</v>
      </c>
      <c r="AK1034" t="n">
        <v>7</v>
      </c>
      <c r="AL1034" t="n">
        <v>4</v>
      </c>
      <c r="AM1034" t="n">
        <v>42</v>
      </c>
      <c r="AN1034" t="n">
        <v>1</v>
      </c>
      <c r="AO1034" t="n">
        <v>0</v>
      </c>
      <c r="AP1034" t="n">
        <v>6</v>
      </c>
      <c r="AQ1034" t="n">
        <v>36</v>
      </c>
      <c r="AR1034" t="n">
        <v>86</v>
      </c>
      <c r="AS1034" t="n">
        <v>55</v>
      </c>
      <c r="AT1034" t="n">
        <v>6</v>
      </c>
      <c r="AU1034" t="n">
        <v>1</v>
      </c>
      <c r="AV1034" t="n">
        <v>72</v>
      </c>
      <c r="AW1034" t="n">
        <v>3</v>
      </c>
      <c r="AX1034" t="n">
        <v>0</v>
      </c>
      <c r="AY1034" t="n">
        <v>1</v>
      </c>
      <c r="AZ1034" t="n">
        <v>3</v>
      </c>
      <c r="BA1034" t="n">
        <v>10</v>
      </c>
      <c r="BB1034" t="n">
        <v>40</v>
      </c>
      <c r="BC1034" t="n">
        <v>35</v>
      </c>
      <c r="BD1034" t="n">
        <v>42</v>
      </c>
      <c r="BE1034" t="n">
        <v>3</v>
      </c>
      <c r="BF1034" t="n">
        <v>5</v>
      </c>
      <c r="BG1034" t="n">
        <v>1</v>
      </c>
      <c r="BH1034" t="n">
        <v>4</v>
      </c>
      <c r="BI1034" t="n">
        <v>17</v>
      </c>
      <c r="BJ1034" t="n">
        <v>35</v>
      </c>
      <c r="BK1034" t="n">
        <v>2</v>
      </c>
      <c r="BL1034" t="n">
        <v>14</v>
      </c>
      <c r="BM1034" t="n">
        <v>10</v>
      </c>
      <c r="BN1034" t="n">
        <v>0</v>
      </c>
      <c r="BO1034" t="n">
        <v>4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3</v>
      </c>
      <c r="U1035" t="n">
        <v>0</v>
      </c>
      <c r="V1035" t="n">
        <v>0</v>
      </c>
      <c r="W1035" t="n">
        <v>0</v>
      </c>
      <c r="X1035" t="n">
        <v>0</v>
      </c>
      <c r="Y1035" t="n">
        <v>104</v>
      </c>
      <c r="Z1035" t="n">
        <v>135</v>
      </c>
      <c r="AA1035" t="n">
        <v>85</v>
      </c>
      <c r="AB1035" t="n">
        <v>1</v>
      </c>
      <c r="AC1035" t="n">
        <v>0</v>
      </c>
      <c r="AD1035" t="n">
        <v>1</v>
      </c>
      <c r="AE1035" t="n">
        <v>1</v>
      </c>
      <c r="AF1035" t="n">
        <v>2</v>
      </c>
      <c r="AG1035" t="n">
        <v>1</v>
      </c>
      <c r="AH1035" t="n">
        <v>28</v>
      </c>
      <c r="AI1035" t="n">
        <v>2</v>
      </c>
      <c r="AJ1035" t="n">
        <v>27</v>
      </c>
      <c r="AK1035" t="n">
        <v>7</v>
      </c>
      <c r="AL1035" t="n">
        <v>3</v>
      </c>
      <c r="AM1035" t="n">
        <v>32</v>
      </c>
      <c r="AN1035" t="n">
        <v>0</v>
      </c>
      <c r="AO1035" t="n">
        <v>0</v>
      </c>
      <c r="AP1035" t="n">
        <v>1</v>
      </c>
      <c r="AQ1035" t="n">
        <v>1</v>
      </c>
      <c r="AR1035" t="n">
        <v>113</v>
      </c>
      <c r="AS1035" t="n">
        <v>104</v>
      </c>
      <c r="AT1035" t="n">
        <v>1</v>
      </c>
      <c r="AU1035" t="n">
        <v>0</v>
      </c>
      <c r="AV1035" t="n">
        <v>4</v>
      </c>
      <c r="AW1035" t="n">
        <v>3</v>
      </c>
      <c r="AX1035" t="n">
        <v>0</v>
      </c>
      <c r="AY1035" t="n">
        <v>45</v>
      </c>
      <c r="AZ1035" t="n">
        <v>3</v>
      </c>
      <c r="BA1035" t="n">
        <v>33</v>
      </c>
      <c r="BB1035" t="n">
        <v>114</v>
      </c>
      <c r="BC1035" t="n">
        <v>26</v>
      </c>
      <c r="BD1035" t="n">
        <v>25</v>
      </c>
      <c r="BE1035" t="n">
        <v>9</v>
      </c>
      <c r="BF1035" t="n">
        <v>30</v>
      </c>
      <c r="BG1035" t="n">
        <v>2</v>
      </c>
      <c r="BH1035" t="n">
        <v>11</v>
      </c>
      <c r="BI1035" t="n">
        <v>10</v>
      </c>
      <c r="BJ1035" t="n">
        <v>9</v>
      </c>
      <c r="BK1035" t="n">
        <v>0</v>
      </c>
      <c r="BL1035" t="n">
        <v>5</v>
      </c>
      <c r="BM1035" t="n">
        <v>31</v>
      </c>
      <c r="BN1035" t="n">
        <v>18</v>
      </c>
      <c r="BO1035" t="n">
        <v>2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325</v>
      </c>
      <c r="Z1036" t="n">
        <v>190</v>
      </c>
      <c r="AA1036" t="n">
        <v>98</v>
      </c>
      <c r="AB1036" t="n">
        <v>0</v>
      </c>
      <c r="AC1036" t="n">
        <v>1</v>
      </c>
      <c r="AD1036" t="n">
        <v>0</v>
      </c>
      <c r="AE1036" t="n">
        <v>2</v>
      </c>
      <c r="AF1036" t="n">
        <v>3</v>
      </c>
      <c r="AG1036" t="n">
        <v>6</v>
      </c>
      <c r="AH1036" t="n">
        <v>25</v>
      </c>
      <c r="AI1036" t="n">
        <v>18</v>
      </c>
      <c r="AJ1036" t="n">
        <v>89</v>
      </c>
      <c r="AK1036" t="n">
        <v>56</v>
      </c>
      <c r="AL1036" t="n">
        <v>2</v>
      </c>
      <c r="AM1036" t="n">
        <v>27</v>
      </c>
      <c r="AN1036" t="n">
        <v>0</v>
      </c>
      <c r="AO1036" t="n">
        <v>0</v>
      </c>
      <c r="AP1036" t="n">
        <v>7</v>
      </c>
      <c r="AQ1036" t="n">
        <v>65</v>
      </c>
      <c r="AR1036" t="n">
        <v>133</v>
      </c>
      <c r="AS1036" t="n">
        <v>76</v>
      </c>
      <c r="AT1036" t="n">
        <v>0</v>
      </c>
      <c r="AU1036" t="n">
        <v>1</v>
      </c>
      <c r="AV1036" t="n">
        <v>1</v>
      </c>
      <c r="AW1036" t="n">
        <v>11</v>
      </c>
      <c r="AX1036" t="n">
        <v>4</v>
      </c>
      <c r="AY1036" t="n">
        <v>7</v>
      </c>
      <c r="AZ1036" t="n">
        <v>1</v>
      </c>
      <c r="BA1036" t="n">
        <v>9</v>
      </c>
      <c r="BB1036" t="n">
        <v>103</v>
      </c>
      <c r="BC1036" t="n">
        <v>48</v>
      </c>
      <c r="BD1036" t="n">
        <v>18</v>
      </c>
      <c r="BE1036" t="n">
        <v>25</v>
      </c>
      <c r="BF1036" t="n">
        <v>70</v>
      </c>
      <c r="BG1036" t="n">
        <v>0</v>
      </c>
      <c r="BH1036" t="n">
        <v>17</v>
      </c>
      <c r="BI1036" t="n">
        <v>4</v>
      </c>
      <c r="BJ1036" t="n">
        <v>14</v>
      </c>
      <c r="BK1036" t="n">
        <v>0</v>
      </c>
      <c r="BL1036" t="n">
        <v>5</v>
      </c>
      <c r="BM1036" t="n">
        <v>6</v>
      </c>
      <c r="BN1036" t="n">
        <v>3</v>
      </c>
      <c r="BO1036" t="n">
        <v>2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2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199</v>
      </c>
      <c r="Z1037" t="n">
        <v>484</v>
      </c>
      <c r="AA1037" t="n">
        <v>90</v>
      </c>
      <c r="AB1037" t="n">
        <v>4</v>
      </c>
      <c r="AC1037" t="n">
        <v>2</v>
      </c>
      <c r="AD1037" t="n">
        <v>5</v>
      </c>
      <c r="AE1037" t="n">
        <v>7</v>
      </c>
      <c r="AF1037" t="n">
        <v>6</v>
      </c>
      <c r="AG1037" t="n">
        <v>4</v>
      </c>
      <c r="AH1037" t="n">
        <v>66</v>
      </c>
      <c r="AI1037" t="n">
        <v>122</v>
      </c>
      <c r="AJ1037" t="n">
        <v>34</v>
      </c>
      <c r="AK1037" t="n">
        <v>27</v>
      </c>
      <c r="AL1037" t="n">
        <v>2</v>
      </c>
      <c r="AM1037" t="n">
        <v>42</v>
      </c>
      <c r="AN1037" t="n">
        <v>0</v>
      </c>
      <c r="AO1037" t="n">
        <v>0</v>
      </c>
      <c r="AP1037" t="n">
        <v>2</v>
      </c>
      <c r="AQ1037" t="n">
        <v>-10</v>
      </c>
      <c r="AR1037" t="n">
        <v>94</v>
      </c>
      <c r="AS1037" t="n">
        <v>94</v>
      </c>
      <c r="AT1037" t="n">
        <v>2</v>
      </c>
      <c r="AU1037" t="n">
        <v>3</v>
      </c>
      <c r="AV1037" t="n">
        <v>1</v>
      </c>
      <c r="AW1037" t="n">
        <v>59</v>
      </c>
      <c r="AX1037" t="n">
        <v>2</v>
      </c>
      <c r="AY1037" t="n">
        <v>14</v>
      </c>
      <c r="AZ1037" t="n">
        <v>6</v>
      </c>
      <c r="BA1037" t="n">
        <v>91</v>
      </c>
      <c r="BB1037" t="n">
        <v>185</v>
      </c>
      <c r="BC1037" t="n">
        <v>36</v>
      </c>
      <c r="BD1037" t="n">
        <v>59</v>
      </c>
      <c r="BE1037" t="n">
        <v>67</v>
      </c>
      <c r="BF1037" t="n">
        <v>67</v>
      </c>
      <c r="BG1037" t="n">
        <v>3</v>
      </c>
      <c r="BH1037" t="n">
        <v>12</v>
      </c>
      <c r="BI1037" t="n">
        <v>7</v>
      </c>
      <c r="BJ1037" t="n">
        <v>6</v>
      </c>
      <c r="BK1037" t="n">
        <v>3</v>
      </c>
      <c r="BL1037" t="n">
        <v>48</v>
      </c>
      <c r="BM1037" t="n">
        <v>37</v>
      </c>
      <c r="BN1037" t="n">
        <v>4</v>
      </c>
      <c r="BO1037" t="n">
        <v>2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226</v>
      </c>
      <c r="Z1038" t="n">
        <v>248</v>
      </c>
      <c r="AA1038" t="n">
        <v>80</v>
      </c>
      <c r="AB1038" t="n">
        <v>1</v>
      </c>
      <c r="AC1038" t="n">
        <v>1</v>
      </c>
      <c r="AD1038" t="n">
        <v>1</v>
      </c>
      <c r="AE1038" t="n">
        <v>1</v>
      </c>
      <c r="AF1038" t="n">
        <v>4</v>
      </c>
      <c r="AG1038" t="n">
        <v>3</v>
      </c>
      <c r="AH1038" t="n">
        <v>18</v>
      </c>
      <c r="AI1038" t="n">
        <v>28</v>
      </c>
      <c r="AJ1038" t="n">
        <v>58</v>
      </c>
      <c r="AK1038" t="n">
        <v>51</v>
      </c>
      <c r="AL1038" t="n">
        <v>2</v>
      </c>
      <c r="AM1038" t="n">
        <v>64</v>
      </c>
      <c r="AN1038" t="n">
        <v>0</v>
      </c>
      <c r="AO1038" t="n">
        <v>0</v>
      </c>
      <c r="AP1038" t="n">
        <v>7</v>
      </c>
      <c r="AQ1038" t="n">
        <v>30</v>
      </c>
      <c r="AR1038" t="n">
        <v>145</v>
      </c>
      <c r="AS1038" t="n">
        <v>119</v>
      </c>
      <c r="AT1038" t="n">
        <v>4</v>
      </c>
      <c r="AU1038" t="n">
        <v>2</v>
      </c>
      <c r="AV1038" t="n">
        <v>53</v>
      </c>
      <c r="AW1038" t="n">
        <v>24</v>
      </c>
      <c r="AX1038" t="n">
        <v>0</v>
      </c>
      <c r="AY1038" t="n">
        <v>70</v>
      </c>
      <c r="AZ1038" t="n">
        <v>2</v>
      </c>
      <c r="BA1038" t="n">
        <v>10</v>
      </c>
      <c r="BB1038" t="n">
        <v>85</v>
      </c>
      <c r="BC1038" t="n">
        <v>65</v>
      </c>
      <c r="BD1038" t="n">
        <v>20</v>
      </c>
      <c r="BE1038" t="n">
        <v>24</v>
      </c>
      <c r="BF1038" t="n">
        <v>47</v>
      </c>
      <c r="BG1038" t="n">
        <v>3</v>
      </c>
      <c r="BH1038" t="n">
        <v>10</v>
      </c>
      <c r="BI1038" t="n">
        <v>32</v>
      </c>
      <c r="BJ1038" t="n">
        <v>33</v>
      </c>
      <c r="BK1038" t="n">
        <v>0</v>
      </c>
      <c r="BL1038" t="n">
        <v>1</v>
      </c>
      <c r="BM1038" t="n">
        <v>14</v>
      </c>
      <c r="BN1038" t="n">
        <v>8</v>
      </c>
      <c r="BO1038" t="n">
        <v>51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106</v>
      </c>
      <c r="Z1039" t="n">
        <v>169</v>
      </c>
      <c r="AA1039" t="n">
        <v>59</v>
      </c>
      <c r="AB1039" t="n">
        <v>1</v>
      </c>
      <c r="AC1039" t="n">
        <v>0</v>
      </c>
      <c r="AD1039" t="n">
        <v>4</v>
      </c>
      <c r="AE1039" t="n">
        <v>1</v>
      </c>
      <c r="AF1039" t="n">
        <v>1</v>
      </c>
      <c r="AG1039" t="n">
        <v>6</v>
      </c>
      <c r="AH1039" t="n">
        <v>21</v>
      </c>
      <c r="AI1039" t="n">
        <v>53</v>
      </c>
      <c r="AJ1039" t="n">
        <v>23</v>
      </c>
      <c r="AK1039" t="n">
        <v>21</v>
      </c>
      <c r="AL1039" t="n">
        <v>6</v>
      </c>
      <c r="AM1039" t="n">
        <v>73</v>
      </c>
      <c r="AN1039" t="n">
        <v>0</v>
      </c>
      <c r="AO1039" t="n">
        <v>0</v>
      </c>
      <c r="AP1039" t="n">
        <v>1</v>
      </c>
      <c r="AQ1039" t="n">
        <v>9</v>
      </c>
      <c r="AR1039" t="n">
        <v>48</v>
      </c>
      <c r="AS1039" t="n">
        <v>41</v>
      </c>
      <c r="AT1039" t="n">
        <v>2</v>
      </c>
      <c r="AU1039" t="n">
        <v>0</v>
      </c>
      <c r="AV1039" t="n">
        <v>1</v>
      </c>
      <c r="AW1039" t="n">
        <v>13</v>
      </c>
      <c r="AX1039" t="n">
        <v>0</v>
      </c>
      <c r="AY1039" t="n">
        <v>3</v>
      </c>
      <c r="AZ1039" t="n">
        <v>3</v>
      </c>
      <c r="BA1039" t="n">
        <v>12</v>
      </c>
      <c r="BB1039" t="n">
        <v>68</v>
      </c>
      <c r="BC1039" t="n">
        <v>61</v>
      </c>
      <c r="BD1039" t="n">
        <v>18</v>
      </c>
      <c r="BE1039" t="n">
        <v>12</v>
      </c>
      <c r="BF1039" t="n">
        <v>18</v>
      </c>
      <c r="BG1039" t="n">
        <v>3</v>
      </c>
      <c r="BH1039" t="n">
        <v>10</v>
      </c>
      <c r="BI1039" t="n">
        <v>28</v>
      </c>
      <c r="BJ1039" t="n">
        <v>26</v>
      </c>
      <c r="BK1039" t="n">
        <v>6</v>
      </c>
      <c r="BL1039" t="n">
        <v>33</v>
      </c>
      <c r="BM1039" t="n">
        <v>22</v>
      </c>
      <c r="BN1039" t="n">
        <v>0</v>
      </c>
      <c r="BO1039" t="n">
        <v>2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2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210</v>
      </c>
      <c r="Z1040" t="n">
        <v>186</v>
      </c>
      <c r="AA1040" t="n">
        <v>39</v>
      </c>
      <c r="AB1040" t="n">
        <v>3</v>
      </c>
      <c r="AC1040" t="n">
        <v>1</v>
      </c>
      <c r="AD1040" t="n">
        <v>3</v>
      </c>
      <c r="AE1040" t="n">
        <v>9</v>
      </c>
      <c r="AF1040" t="n">
        <v>7</v>
      </c>
      <c r="AG1040" t="n">
        <v>2</v>
      </c>
      <c r="AH1040" t="n">
        <v>14</v>
      </c>
      <c r="AI1040" t="n">
        <v>71</v>
      </c>
      <c r="AJ1040" t="n">
        <v>68</v>
      </c>
      <c r="AK1040" t="n">
        <v>19</v>
      </c>
      <c r="AL1040" t="n">
        <v>2</v>
      </c>
      <c r="AM1040" t="n">
        <v>2</v>
      </c>
      <c r="AN1040" t="n">
        <v>0</v>
      </c>
      <c r="AO1040" t="n">
        <v>0</v>
      </c>
      <c r="AP1040" t="n">
        <v>9</v>
      </c>
      <c r="AQ1040" t="n">
        <v>99</v>
      </c>
      <c r="AR1040" t="n">
        <v>131</v>
      </c>
      <c r="AS1040" t="n">
        <v>47</v>
      </c>
      <c r="AT1040" t="n">
        <v>3</v>
      </c>
      <c r="AU1040" t="n">
        <v>3</v>
      </c>
      <c r="AV1040" t="n">
        <v>20</v>
      </c>
      <c r="AW1040" t="n">
        <v>23</v>
      </c>
      <c r="AX1040" t="n">
        <v>-1</v>
      </c>
      <c r="AY1040" t="n">
        <v>15</v>
      </c>
      <c r="AZ1040" t="n">
        <v>0</v>
      </c>
      <c r="BA1040" t="n">
        <v>1</v>
      </c>
      <c r="BB1040" t="n">
        <v>37</v>
      </c>
      <c r="BC1040" t="n">
        <v>4</v>
      </c>
      <c r="BD1040" t="n">
        <v>13</v>
      </c>
      <c r="BE1040" t="n">
        <v>23</v>
      </c>
      <c r="BF1040" t="n">
        <v>55</v>
      </c>
      <c r="BG1040" t="n">
        <v>3</v>
      </c>
      <c r="BH1040" t="n">
        <v>9</v>
      </c>
      <c r="BI1040" t="n">
        <v>39</v>
      </c>
      <c r="BJ1040" t="n">
        <v>36</v>
      </c>
      <c r="BK1040" t="n">
        <v>0</v>
      </c>
      <c r="BL1040" t="n">
        <v>1</v>
      </c>
      <c r="BM1040" t="n">
        <v>1</v>
      </c>
      <c r="BN1040" t="n">
        <v>0</v>
      </c>
      <c r="BO1040" t="n">
        <v>21</v>
      </c>
    </row>
    <row r="1041">
      <c r="A1041" t="n">
        <v>0</v>
      </c>
      <c r="B1041" t="n">
        <v>0</v>
      </c>
      <c r="C1041" t="n">
        <v>2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4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116</v>
      </c>
      <c r="Z1041" t="n">
        <v>222</v>
      </c>
      <c r="AA1041" t="n">
        <v>18</v>
      </c>
      <c r="AB1041" t="n">
        <v>0</v>
      </c>
      <c r="AC1041" t="n">
        <v>0</v>
      </c>
      <c r="AD1041" t="n">
        <v>2</v>
      </c>
      <c r="AE1041" t="n">
        <v>4</v>
      </c>
      <c r="AF1041" t="n">
        <v>4</v>
      </c>
      <c r="AG1041" t="n">
        <v>3</v>
      </c>
      <c r="AH1041" t="n">
        <v>44</v>
      </c>
      <c r="AI1041" t="n">
        <v>34</v>
      </c>
      <c r="AJ1041" t="n">
        <v>33</v>
      </c>
      <c r="AK1041" t="n">
        <v>28</v>
      </c>
      <c r="AL1041" t="n">
        <v>3</v>
      </c>
      <c r="AM1041" t="n">
        <v>51</v>
      </c>
      <c r="AN1041" t="n">
        <v>0</v>
      </c>
      <c r="AO1041" t="n">
        <v>0</v>
      </c>
      <c r="AP1041" t="n">
        <v>1</v>
      </c>
      <c r="AQ1041" t="n">
        <v>27</v>
      </c>
      <c r="AR1041" t="n">
        <v>112</v>
      </c>
      <c r="AS1041" t="n">
        <v>87</v>
      </c>
      <c r="AT1041" t="n">
        <v>1</v>
      </c>
      <c r="AU1041" t="n">
        <v>2</v>
      </c>
      <c r="AV1041" t="n">
        <v>10</v>
      </c>
      <c r="AW1041" t="n">
        <v>46</v>
      </c>
      <c r="AX1041" t="n">
        <v>1</v>
      </c>
      <c r="AY1041" t="n">
        <v>22</v>
      </c>
      <c r="AZ1041" t="n">
        <v>2</v>
      </c>
      <c r="BA1041" t="n">
        <v>17</v>
      </c>
      <c r="BB1041" t="n">
        <v>36</v>
      </c>
      <c r="BC1041" t="n">
        <v>51</v>
      </c>
      <c r="BD1041" t="n">
        <v>40</v>
      </c>
      <c r="BE1041" t="n">
        <v>46</v>
      </c>
      <c r="BF1041" t="n">
        <v>27</v>
      </c>
      <c r="BG1041" t="n">
        <v>1</v>
      </c>
      <c r="BH1041" t="n">
        <v>4</v>
      </c>
      <c r="BI1041" t="n">
        <v>6</v>
      </c>
      <c r="BJ1041" t="n">
        <v>7</v>
      </c>
      <c r="BK1041" t="n">
        <v>1</v>
      </c>
      <c r="BL1041" t="n">
        <v>11</v>
      </c>
      <c r="BM1041" t="n">
        <v>7</v>
      </c>
      <c r="BN1041" t="n">
        <v>0</v>
      </c>
      <c r="BO1041" t="n">
        <v>70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0</v>
      </c>
      <c r="W1042" t="n">
        <v>1</v>
      </c>
      <c r="X1042" t="n">
        <v>0</v>
      </c>
      <c r="Y1042" t="n">
        <v>358</v>
      </c>
      <c r="Z1042" t="n">
        <v>169</v>
      </c>
      <c r="AA1042" t="n">
        <v>91</v>
      </c>
      <c r="AB1042" t="n">
        <v>2</v>
      </c>
      <c r="AC1042" t="n">
        <v>1</v>
      </c>
      <c r="AD1042" t="n">
        <v>5</v>
      </c>
      <c r="AE1042" t="n">
        <v>0</v>
      </c>
      <c r="AF1042" t="n">
        <v>5</v>
      </c>
      <c r="AG1042" t="n">
        <v>8</v>
      </c>
      <c r="AH1042" t="n">
        <v>69</v>
      </c>
      <c r="AI1042" t="n">
        <v>9</v>
      </c>
      <c r="AJ1042" t="n">
        <v>83</v>
      </c>
      <c r="AK1042" t="n">
        <v>123</v>
      </c>
      <c r="AL1042" t="n">
        <v>4</v>
      </c>
      <c r="AM1042" t="n">
        <v>11</v>
      </c>
      <c r="AN1042" t="n">
        <v>0</v>
      </c>
      <c r="AO1042" t="n">
        <v>0</v>
      </c>
      <c r="AP1042" t="n">
        <v>6</v>
      </c>
      <c r="AQ1042" t="n">
        <v>-2</v>
      </c>
      <c r="AR1042" t="n">
        <v>152</v>
      </c>
      <c r="AS1042" t="n">
        <v>142</v>
      </c>
      <c r="AT1042" t="n">
        <v>2</v>
      </c>
      <c r="AU1042" t="n">
        <v>4</v>
      </c>
      <c r="AV1042" t="n">
        <v>40</v>
      </c>
      <c r="AW1042" t="n">
        <v>40</v>
      </c>
      <c r="AX1042" t="n">
        <v>2</v>
      </c>
      <c r="AY1042" t="n">
        <v>32</v>
      </c>
      <c r="AZ1042" t="n">
        <v>6</v>
      </c>
      <c r="BA1042" t="n">
        <v>48</v>
      </c>
      <c r="BB1042" t="n">
        <v>137</v>
      </c>
      <c r="BC1042" t="n">
        <v>11</v>
      </c>
      <c r="BD1042" t="n">
        <v>79</v>
      </c>
      <c r="BE1042" t="n">
        <v>39</v>
      </c>
      <c r="BF1042" t="n">
        <v>88</v>
      </c>
      <c r="BG1042" t="n">
        <v>2</v>
      </c>
      <c r="BH1042" t="n">
        <v>2</v>
      </c>
      <c r="BI1042" t="n">
        <v>42</v>
      </c>
      <c r="BJ1042" t="n">
        <v>40</v>
      </c>
      <c r="BK1042" t="n">
        <v>1</v>
      </c>
      <c r="BL1042" t="n">
        <v>1</v>
      </c>
      <c r="BM1042" t="n">
        <v>38</v>
      </c>
      <c r="BN1042" t="n">
        <v>23</v>
      </c>
      <c r="BO1042" t="n">
        <v>9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216</v>
      </c>
      <c r="Z1043" t="n">
        <v>313</v>
      </c>
      <c r="AA1043" t="n">
        <v>91</v>
      </c>
      <c r="AB1043" t="n">
        <v>0</v>
      </c>
      <c r="AC1043" t="n">
        <v>0</v>
      </c>
      <c r="AD1043" t="n">
        <v>3</v>
      </c>
      <c r="AE1043" t="n">
        <v>14</v>
      </c>
      <c r="AF1043" t="n">
        <v>2</v>
      </c>
      <c r="AG1043" t="n">
        <v>3</v>
      </c>
      <c r="AH1043" t="n">
        <v>17</v>
      </c>
      <c r="AI1043" t="n">
        <v>176</v>
      </c>
      <c r="AJ1043" t="n">
        <v>29</v>
      </c>
      <c r="AK1043" t="n">
        <v>41</v>
      </c>
      <c r="AL1043" t="n">
        <v>1</v>
      </c>
      <c r="AM1043" t="n">
        <v>55</v>
      </c>
      <c r="AN1043" t="n">
        <v>0</v>
      </c>
      <c r="AO1043" t="n">
        <v>1</v>
      </c>
      <c r="AP1043" t="n">
        <v>4</v>
      </c>
      <c r="AQ1043" t="n">
        <v>56</v>
      </c>
      <c r="AR1043" t="n">
        <v>151</v>
      </c>
      <c r="AS1043" t="n">
        <v>104</v>
      </c>
      <c r="AT1043" t="n">
        <v>1</v>
      </c>
      <c r="AU1043" t="n">
        <v>3</v>
      </c>
      <c r="AV1043" t="n">
        <v>47</v>
      </c>
      <c r="AW1043" t="n">
        <v>28</v>
      </c>
      <c r="AX1043" t="n">
        <v>5</v>
      </c>
      <c r="AY1043" t="n">
        <v>31</v>
      </c>
      <c r="AZ1043" t="n">
        <v>3</v>
      </c>
      <c r="BA1043" t="n">
        <v>22</v>
      </c>
      <c r="BB1043" t="n">
        <v>108</v>
      </c>
      <c r="BC1043" t="n">
        <v>46</v>
      </c>
      <c r="BD1043" t="n">
        <v>15</v>
      </c>
      <c r="BE1043" t="n">
        <v>28</v>
      </c>
      <c r="BF1043" t="n">
        <v>26</v>
      </c>
      <c r="BG1043" t="n">
        <v>1</v>
      </c>
      <c r="BH1043" t="n">
        <v>12</v>
      </c>
      <c r="BI1043" t="n">
        <v>11</v>
      </c>
      <c r="BJ1043" t="n">
        <v>9</v>
      </c>
      <c r="BK1043" t="n">
        <v>4</v>
      </c>
      <c r="BL1043" t="n">
        <v>21</v>
      </c>
      <c r="BM1043" t="n">
        <v>14</v>
      </c>
      <c r="BN1043" t="n">
        <v>0</v>
      </c>
      <c r="BO1043" t="n">
        <v>40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162</v>
      </c>
      <c r="Z1044" t="n">
        <v>198</v>
      </c>
      <c r="AA1044" t="n">
        <v>50</v>
      </c>
      <c r="AB1044" t="n">
        <v>1</v>
      </c>
      <c r="AC1044" t="n">
        <v>0</v>
      </c>
      <c r="AD1044" t="n">
        <v>3</v>
      </c>
      <c r="AE1044" t="n">
        <v>5</v>
      </c>
      <c r="AF1044" t="n">
        <v>5</v>
      </c>
      <c r="AG1044" t="n">
        <v>1</v>
      </c>
      <c r="AH1044" t="n">
        <v>16</v>
      </c>
      <c r="AI1044" t="n">
        <v>37</v>
      </c>
      <c r="AJ1044" t="n">
        <v>105</v>
      </c>
      <c r="AK1044" t="n">
        <v>12</v>
      </c>
      <c r="AL1044" t="n">
        <v>5</v>
      </c>
      <c r="AM1044" t="n">
        <v>62</v>
      </c>
      <c r="AN1044" t="n">
        <v>0</v>
      </c>
      <c r="AO1044" t="n">
        <v>0</v>
      </c>
      <c r="AP1044" t="n">
        <v>1</v>
      </c>
      <c r="AQ1044" t="n">
        <v>1</v>
      </c>
      <c r="AR1044" t="n">
        <v>37</v>
      </c>
      <c r="AS1044" t="n">
        <v>33</v>
      </c>
      <c r="AT1044" t="n">
        <v>0</v>
      </c>
      <c r="AU1044" t="n">
        <v>1</v>
      </c>
      <c r="AV1044" t="n">
        <v>1</v>
      </c>
      <c r="AW1044" t="n">
        <v>18</v>
      </c>
      <c r="AX1044" t="n">
        <v>1</v>
      </c>
      <c r="AY1044" t="n">
        <v>15</v>
      </c>
      <c r="AZ1044" t="n">
        <v>1</v>
      </c>
      <c r="BA1044" t="n">
        <v>18</v>
      </c>
      <c r="BB1044" t="n">
        <v>65</v>
      </c>
      <c r="BC1044" t="n">
        <v>56</v>
      </c>
      <c r="BD1044" t="n">
        <v>14</v>
      </c>
      <c r="BE1044" t="n">
        <v>18</v>
      </c>
      <c r="BF1044" t="n">
        <v>85</v>
      </c>
      <c r="BG1044" t="n">
        <v>0</v>
      </c>
      <c r="BH1044" t="n">
        <v>0</v>
      </c>
      <c r="BI1044" t="n">
        <v>1</v>
      </c>
      <c r="BJ1044" t="n">
        <v>1</v>
      </c>
      <c r="BK1044" t="n">
        <v>1</v>
      </c>
      <c r="BL1044" t="n">
        <v>1</v>
      </c>
      <c r="BM1044" t="n">
        <v>28</v>
      </c>
      <c r="BN1044" t="n">
        <v>16</v>
      </c>
      <c r="BO1044" t="n">
        <v>2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138</v>
      </c>
      <c r="Z1045" t="n">
        <v>106</v>
      </c>
      <c r="AA1045" t="n">
        <v>13</v>
      </c>
      <c r="AB1045" t="n">
        <v>0</v>
      </c>
      <c r="AC1045" t="n">
        <v>0</v>
      </c>
      <c r="AD1045" t="n">
        <v>2</v>
      </c>
      <c r="AE1045" t="n">
        <v>10</v>
      </c>
      <c r="AF1045" t="n">
        <v>3</v>
      </c>
      <c r="AG1045" t="n">
        <v>6</v>
      </c>
      <c r="AH1045" t="n">
        <v>3</v>
      </c>
      <c r="AI1045" t="n">
        <v>87</v>
      </c>
      <c r="AJ1045" t="n">
        <v>22</v>
      </c>
      <c r="AK1045" t="n">
        <v>25</v>
      </c>
      <c r="AL1045" t="n">
        <v>1</v>
      </c>
      <c r="AM1045" t="n">
        <v>9</v>
      </c>
      <c r="AN1045" t="n">
        <v>0</v>
      </c>
      <c r="AO1045" t="n">
        <v>0</v>
      </c>
      <c r="AP1045" t="n">
        <v>0</v>
      </c>
      <c r="AQ1045" t="n">
        <v>1</v>
      </c>
      <c r="AR1045" t="n">
        <v>80</v>
      </c>
      <c r="AS1045" t="n">
        <v>73</v>
      </c>
      <c r="AT1045" t="n">
        <v>1</v>
      </c>
      <c r="AU1045" t="n">
        <v>1</v>
      </c>
      <c r="AV1045" t="n">
        <v>4</v>
      </c>
      <c r="AW1045" t="n">
        <v>6</v>
      </c>
      <c r="AX1045" t="n">
        <v>0</v>
      </c>
      <c r="AY1045" t="n">
        <v>7</v>
      </c>
      <c r="AZ1045" t="n">
        <v>4</v>
      </c>
      <c r="BA1045" t="n">
        <v>7</v>
      </c>
      <c r="BB1045" t="n">
        <v>18</v>
      </c>
      <c r="BC1045" t="n">
        <v>2</v>
      </c>
      <c r="BD1045" t="n">
        <v>0</v>
      </c>
      <c r="BE1045" t="n">
        <v>16</v>
      </c>
      <c r="BF1045" t="n">
        <v>17</v>
      </c>
      <c r="BG1045" t="n">
        <v>3</v>
      </c>
      <c r="BH1045" t="n">
        <v>9</v>
      </c>
      <c r="BI1045" t="n">
        <v>57</v>
      </c>
      <c r="BJ1045" t="n">
        <v>52</v>
      </c>
      <c r="BK1045" t="n">
        <v>0</v>
      </c>
      <c r="BL1045" t="n">
        <v>1</v>
      </c>
      <c r="BM1045" t="n">
        <v>1</v>
      </c>
      <c r="BN1045" t="n">
        <v>1</v>
      </c>
      <c r="BO1045" t="n">
        <v>21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225</v>
      </c>
      <c r="Z1046" t="n">
        <v>230</v>
      </c>
      <c r="AA1046" t="n">
        <v>26</v>
      </c>
      <c r="AB1046" t="n">
        <v>2</v>
      </c>
      <c r="AC1046" t="n">
        <v>2</v>
      </c>
      <c r="AD1046" t="n">
        <v>5</v>
      </c>
      <c r="AE1046" t="n">
        <v>1</v>
      </c>
      <c r="AF1046" t="n">
        <v>3</v>
      </c>
      <c r="AG1046" t="n">
        <v>6</v>
      </c>
      <c r="AH1046" t="n">
        <v>40</v>
      </c>
      <c r="AI1046" t="n">
        <v>53</v>
      </c>
      <c r="AJ1046" t="n">
        <v>40</v>
      </c>
      <c r="AK1046" t="n">
        <v>15</v>
      </c>
      <c r="AL1046" t="n">
        <v>1</v>
      </c>
      <c r="AM1046" t="n">
        <v>70</v>
      </c>
      <c r="AN1046" t="n">
        <v>0</v>
      </c>
      <c r="AO1046" t="n">
        <v>0</v>
      </c>
      <c r="AP1046" t="n">
        <v>2</v>
      </c>
      <c r="AQ1046" t="n">
        <v>9</v>
      </c>
      <c r="AR1046" t="n">
        <v>61</v>
      </c>
      <c r="AS1046" t="n">
        <v>52</v>
      </c>
      <c r="AT1046" t="n">
        <v>0</v>
      </c>
      <c r="AU1046" t="n">
        <v>3</v>
      </c>
      <c r="AV1046" t="n">
        <v>13</v>
      </c>
      <c r="AW1046" t="n">
        <v>45</v>
      </c>
      <c r="AX1046" t="n">
        <v>6</v>
      </c>
      <c r="AY1046" t="n">
        <v>14</v>
      </c>
      <c r="AZ1046" t="n">
        <v>1</v>
      </c>
      <c r="BA1046" t="n">
        <v>1</v>
      </c>
      <c r="BB1046" t="n">
        <v>26</v>
      </c>
      <c r="BC1046" t="n">
        <v>66</v>
      </c>
      <c r="BD1046" t="n">
        <v>39</v>
      </c>
      <c r="BE1046" t="n">
        <v>45</v>
      </c>
      <c r="BF1046" t="n">
        <v>32</v>
      </c>
      <c r="BG1046" t="n">
        <v>5</v>
      </c>
      <c r="BH1046" t="n">
        <v>5</v>
      </c>
      <c r="BI1046" t="n">
        <v>79</v>
      </c>
      <c r="BJ1046" t="n">
        <v>73</v>
      </c>
      <c r="BK1046" t="n">
        <v>3</v>
      </c>
      <c r="BL1046" t="n">
        <v>32</v>
      </c>
      <c r="BM1046" t="n">
        <v>21</v>
      </c>
      <c r="BN1046" t="n">
        <v>0</v>
      </c>
      <c r="BO1046" t="n">
        <v>-7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381</v>
      </c>
      <c r="Z1047" t="n">
        <v>237</v>
      </c>
      <c r="AA1047" t="n">
        <v>31</v>
      </c>
      <c r="AB1047" t="n">
        <v>1</v>
      </c>
      <c r="AC1047" t="n">
        <v>0</v>
      </c>
      <c r="AD1047" t="n">
        <v>8</v>
      </c>
      <c r="AE1047" t="n">
        <v>5</v>
      </c>
      <c r="AF1047" t="n">
        <v>7</v>
      </c>
      <c r="AG1047" t="n">
        <v>5</v>
      </c>
      <c r="AH1047" t="n">
        <v>100</v>
      </c>
      <c r="AI1047" t="n">
        <v>49</v>
      </c>
      <c r="AJ1047" t="n">
        <v>44</v>
      </c>
      <c r="AK1047" t="n">
        <v>83</v>
      </c>
      <c r="AL1047" t="n">
        <v>2</v>
      </c>
      <c r="AM1047" t="n">
        <v>24</v>
      </c>
      <c r="AN1047" t="n">
        <v>0</v>
      </c>
      <c r="AO1047" t="n">
        <v>0</v>
      </c>
      <c r="AP1047" t="n">
        <v>10</v>
      </c>
      <c r="AQ1047" t="n">
        <v>129</v>
      </c>
      <c r="AR1047" t="n">
        <v>176</v>
      </c>
      <c r="AS1047" t="n">
        <v>68</v>
      </c>
      <c r="AT1047" t="n">
        <v>1</v>
      </c>
      <c r="AU1047" t="n">
        <v>0</v>
      </c>
      <c r="AV1047" t="n">
        <v>22</v>
      </c>
      <c r="AW1047" t="n">
        <v>40</v>
      </c>
      <c r="AX1047" t="n">
        <v>10</v>
      </c>
      <c r="AY1047" t="n">
        <v>1</v>
      </c>
      <c r="AZ1047" t="n">
        <v>1</v>
      </c>
      <c r="BA1047" t="n">
        <v>7</v>
      </c>
      <c r="BB1047" t="n">
        <v>35</v>
      </c>
      <c r="BC1047" t="n">
        <v>20</v>
      </c>
      <c r="BD1047" t="n">
        <v>90</v>
      </c>
      <c r="BE1047" t="n">
        <v>39</v>
      </c>
      <c r="BF1047" t="n">
        <v>34</v>
      </c>
      <c r="BG1047" t="n">
        <v>0</v>
      </c>
      <c r="BH1047" t="n">
        <v>17</v>
      </c>
      <c r="BI1047" t="n">
        <v>1</v>
      </c>
      <c r="BJ1047" t="n">
        <v>1</v>
      </c>
      <c r="BK1047" t="n">
        <v>3</v>
      </c>
      <c r="BL1047" t="n">
        <v>55</v>
      </c>
      <c r="BM1047" t="n">
        <v>41</v>
      </c>
      <c r="BN1047" t="n">
        <v>3</v>
      </c>
      <c r="BO1047" t="n">
        <v>2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2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247</v>
      </c>
      <c r="Z1048" t="n">
        <v>136</v>
      </c>
      <c r="AA1048" t="n">
        <v>94</v>
      </c>
      <c r="AB1048" t="n">
        <v>0</v>
      </c>
      <c r="AC1048" t="n">
        <v>0</v>
      </c>
      <c r="AD1048" t="n">
        <v>4</v>
      </c>
      <c r="AE1048" t="n">
        <v>4</v>
      </c>
      <c r="AF1048" t="n">
        <v>3</v>
      </c>
      <c r="AG1048" t="n">
        <v>1</v>
      </c>
      <c r="AH1048" t="n">
        <v>68</v>
      </c>
      <c r="AI1048" t="n">
        <v>79</v>
      </c>
      <c r="AJ1048" t="n">
        <v>31</v>
      </c>
      <c r="AK1048" t="n">
        <v>1</v>
      </c>
      <c r="AL1048" t="n">
        <v>2</v>
      </c>
      <c r="AM1048" t="n">
        <v>20</v>
      </c>
      <c r="AN1048" t="n">
        <v>0</v>
      </c>
      <c r="AO1048" t="n">
        <v>0</v>
      </c>
      <c r="AP1048" t="n">
        <v>6</v>
      </c>
      <c r="AQ1048" t="n">
        <v>32</v>
      </c>
      <c r="AR1048" t="n">
        <v>148</v>
      </c>
      <c r="AS1048" t="n">
        <v>121</v>
      </c>
      <c r="AT1048" t="n">
        <v>1</v>
      </c>
      <c r="AU1048" t="n">
        <v>0</v>
      </c>
      <c r="AV1048" t="n">
        <v>1</v>
      </c>
      <c r="AW1048" t="n">
        <v>7</v>
      </c>
      <c r="AX1048" t="n">
        <v>0</v>
      </c>
      <c r="AY1048" t="n">
        <v>42</v>
      </c>
      <c r="AZ1048" t="n">
        <v>1</v>
      </c>
      <c r="BA1048" t="n">
        <v>5</v>
      </c>
      <c r="BB1048" t="n">
        <v>96</v>
      </c>
      <c r="BC1048" t="n">
        <v>16</v>
      </c>
      <c r="BD1048" t="n">
        <v>60</v>
      </c>
      <c r="BE1048" t="n">
        <v>7</v>
      </c>
      <c r="BF1048" t="n">
        <v>25</v>
      </c>
      <c r="BG1048" t="n">
        <v>4</v>
      </c>
      <c r="BH1048" t="n">
        <v>4</v>
      </c>
      <c r="BI1048" t="n">
        <v>75</v>
      </c>
      <c r="BJ1048" t="n">
        <v>68</v>
      </c>
      <c r="BK1048" t="n">
        <v>0</v>
      </c>
      <c r="BL1048" t="n">
        <v>1</v>
      </c>
      <c r="BM1048" t="n">
        <v>14</v>
      </c>
      <c r="BN1048" t="n">
        <v>8</v>
      </c>
      <c r="BO1048" t="n">
        <v>14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2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142</v>
      </c>
      <c r="Z1049" t="n">
        <v>250</v>
      </c>
      <c r="AA1049" t="n">
        <v>69</v>
      </c>
      <c r="AB1049" t="n">
        <v>2</v>
      </c>
      <c r="AC1049" t="n">
        <v>0</v>
      </c>
      <c r="AD1049" t="n">
        <v>1</v>
      </c>
      <c r="AE1049" t="n">
        <v>3</v>
      </c>
      <c r="AF1049" t="n">
        <v>6</v>
      </c>
      <c r="AG1049" t="n">
        <v>0</v>
      </c>
      <c r="AH1049" t="n">
        <v>10</v>
      </c>
      <c r="AI1049" t="n">
        <v>49</v>
      </c>
      <c r="AJ1049" t="n">
        <v>86</v>
      </c>
      <c r="AK1049" t="n">
        <v>1</v>
      </c>
      <c r="AL1049" t="n">
        <v>3</v>
      </c>
      <c r="AM1049" t="n">
        <v>106</v>
      </c>
      <c r="AN1049" t="n">
        <v>0</v>
      </c>
      <c r="AO1049" t="n">
        <v>0</v>
      </c>
      <c r="AP1049" t="n">
        <v>0</v>
      </c>
      <c r="AQ1049" t="n">
        <v>7</v>
      </c>
      <c r="AR1049" t="n">
        <v>103</v>
      </c>
      <c r="AS1049" t="n">
        <v>95</v>
      </c>
      <c r="AT1049" t="n">
        <v>2</v>
      </c>
      <c r="AU1049" t="n">
        <v>2</v>
      </c>
      <c r="AV1049" t="n">
        <v>34</v>
      </c>
      <c r="AW1049" t="n">
        <v>13</v>
      </c>
      <c r="AX1049" t="n">
        <v>4</v>
      </c>
      <c r="AY1049" t="n">
        <v>14</v>
      </c>
      <c r="AZ1049" t="n">
        <v>5</v>
      </c>
      <c r="BA1049" t="n">
        <v>29</v>
      </c>
      <c r="BB1049" t="n">
        <v>95</v>
      </c>
      <c r="BC1049" t="n">
        <v>110</v>
      </c>
      <c r="BD1049" t="n">
        <v>2</v>
      </c>
      <c r="BE1049" t="n">
        <v>16</v>
      </c>
      <c r="BF1049" t="n">
        <v>72</v>
      </c>
      <c r="BG1049" t="n">
        <v>0</v>
      </c>
      <c r="BH1049" t="n">
        <v>5</v>
      </c>
      <c r="BI1049" t="n">
        <v>27</v>
      </c>
      <c r="BJ1049" t="n">
        <v>26</v>
      </c>
      <c r="BK1049" t="n">
        <v>3</v>
      </c>
      <c r="BL1049" t="n">
        <v>26</v>
      </c>
      <c r="BM1049" t="n">
        <v>22</v>
      </c>
      <c r="BN1049" t="n">
        <v>4</v>
      </c>
      <c r="BO1049" t="n">
        <v>63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2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223</v>
      </c>
      <c r="Z1050" t="n">
        <v>115</v>
      </c>
      <c r="AA1050" t="n">
        <v>78</v>
      </c>
      <c r="AB1050" t="n">
        <v>0</v>
      </c>
      <c r="AC1050" t="n">
        <v>2</v>
      </c>
      <c r="AD1050" t="n">
        <v>7</v>
      </c>
      <c r="AE1050" t="n">
        <v>11</v>
      </c>
      <c r="AF1050" t="n">
        <v>4</v>
      </c>
      <c r="AG1050" t="n">
        <v>0</v>
      </c>
      <c r="AH1050" t="n">
        <v>52</v>
      </c>
      <c r="AI1050" t="n">
        <v>53</v>
      </c>
      <c r="AJ1050" t="n">
        <v>39</v>
      </c>
      <c r="AK1050" t="n">
        <v>10</v>
      </c>
      <c r="AL1050" t="n">
        <v>0</v>
      </c>
      <c r="AM1050" t="n">
        <v>9</v>
      </c>
      <c r="AN1050" t="n">
        <v>0</v>
      </c>
      <c r="AO1050" t="n">
        <v>0</v>
      </c>
      <c r="AP1050" t="n">
        <v>8</v>
      </c>
      <c r="AQ1050" t="n">
        <v>45</v>
      </c>
      <c r="AR1050" t="n">
        <v>64</v>
      </c>
      <c r="AS1050" t="n">
        <v>26</v>
      </c>
      <c r="AT1050" t="n">
        <v>2</v>
      </c>
      <c r="AU1050" t="n">
        <v>1</v>
      </c>
      <c r="AV1050" t="n">
        <v>20</v>
      </c>
      <c r="AW1050" t="n">
        <v>1</v>
      </c>
      <c r="AX1050" t="n">
        <v>11</v>
      </c>
      <c r="AY1050" t="n">
        <v>15</v>
      </c>
      <c r="AZ1050" t="n">
        <v>5</v>
      </c>
      <c r="BA1050" t="n">
        <v>15</v>
      </c>
      <c r="BB1050" t="n">
        <v>89</v>
      </c>
      <c r="BC1050" t="n">
        <v>15</v>
      </c>
      <c r="BD1050" t="n">
        <v>48</v>
      </c>
      <c r="BE1050" t="n">
        <v>4</v>
      </c>
      <c r="BF1050" t="n">
        <v>36</v>
      </c>
      <c r="BG1050" t="n">
        <v>1</v>
      </c>
      <c r="BH1050" t="n">
        <v>21</v>
      </c>
      <c r="BI1050" t="n">
        <v>23</v>
      </c>
      <c r="BJ1050" t="n">
        <v>32</v>
      </c>
      <c r="BK1050" t="n">
        <v>3</v>
      </c>
      <c r="BL1050" t="n">
        <v>18</v>
      </c>
      <c r="BM1050" t="n">
        <v>12</v>
      </c>
      <c r="BN1050" t="n">
        <v>0</v>
      </c>
      <c r="BO1050" t="n">
        <v>2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164</v>
      </c>
      <c r="Z1051" t="n">
        <v>117</v>
      </c>
      <c r="AA1051" t="n">
        <v>54</v>
      </c>
      <c r="AB1051" t="n">
        <v>1</v>
      </c>
      <c r="AC1051" t="n">
        <v>0</v>
      </c>
      <c r="AD1051" t="n">
        <v>6</v>
      </c>
      <c r="AE1051" t="n">
        <v>4</v>
      </c>
      <c r="AF1051" t="n">
        <v>1</v>
      </c>
      <c r="AG1051" t="n">
        <v>10</v>
      </c>
      <c r="AH1051" t="n">
        <v>55</v>
      </c>
      <c r="AI1051" t="n">
        <v>12</v>
      </c>
      <c r="AJ1051" t="n">
        <v>5</v>
      </c>
      <c r="AK1051" t="n">
        <v>56</v>
      </c>
      <c r="AL1051" t="n">
        <v>4</v>
      </c>
      <c r="AM1051" t="n">
        <v>50</v>
      </c>
      <c r="AN1051" t="n">
        <v>0</v>
      </c>
      <c r="AO1051" t="n">
        <v>0</v>
      </c>
      <c r="AP1051" t="n">
        <v>5</v>
      </c>
      <c r="AQ1051" t="n">
        <v>32</v>
      </c>
      <c r="AR1051" t="n">
        <v>126</v>
      </c>
      <c r="AS1051" t="n">
        <v>97</v>
      </c>
      <c r="AT1051" t="n">
        <v>1</v>
      </c>
      <c r="AU1051" t="n">
        <v>1</v>
      </c>
      <c r="AV1051" t="n">
        <v>4</v>
      </c>
      <c r="AW1051" t="n">
        <v>2</v>
      </c>
      <c r="AX1051" t="n">
        <v>9</v>
      </c>
      <c r="AY1051" t="n">
        <v>23</v>
      </c>
      <c r="AZ1051" t="n">
        <v>1</v>
      </c>
      <c r="BA1051" t="n">
        <v>22</v>
      </c>
      <c r="BB1051" t="n">
        <v>74</v>
      </c>
      <c r="BC1051" t="n">
        <v>41</v>
      </c>
      <c r="BD1051" t="n">
        <v>48</v>
      </c>
      <c r="BE1051" t="n">
        <v>1</v>
      </c>
      <c r="BF1051" t="n">
        <v>30</v>
      </c>
      <c r="BG1051" t="n">
        <v>1</v>
      </c>
      <c r="BH1051" t="n">
        <v>12</v>
      </c>
      <c r="BI1051" t="n">
        <v>21</v>
      </c>
      <c r="BJ1051" t="n">
        <v>19</v>
      </c>
      <c r="BK1051" t="n">
        <v>5</v>
      </c>
      <c r="BL1051" t="n">
        <v>14</v>
      </c>
      <c r="BM1051" t="n">
        <v>22</v>
      </c>
      <c r="BN1051" t="n">
        <v>8</v>
      </c>
      <c r="BO1051" t="n">
        <v>2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128</v>
      </c>
      <c r="Z1052" t="n">
        <v>81</v>
      </c>
      <c r="AA1052" t="n">
        <v>29</v>
      </c>
      <c r="AB1052" t="n">
        <v>1</v>
      </c>
      <c r="AC1052" t="n">
        <v>0</v>
      </c>
      <c r="AD1052" t="n">
        <v>0</v>
      </c>
      <c r="AE1052" t="n">
        <v>1</v>
      </c>
      <c r="AF1052" t="n">
        <v>2</v>
      </c>
      <c r="AG1052" t="n">
        <v>1</v>
      </c>
      <c r="AH1052" t="n">
        <v>2</v>
      </c>
      <c r="AI1052" t="n">
        <v>18</v>
      </c>
      <c r="AJ1052" t="n">
        <v>10</v>
      </c>
      <c r="AK1052" t="n">
        <v>0</v>
      </c>
      <c r="AL1052" t="n">
        <v>2</v>
      </c>
      <c r="AM1052" t="n">
        <v>11</v>
      </c>
      <c r="AN1052" t="n">
        <v>0</v>
      </c>
      <c r="AO1052" t="n">
        <v>0</v>
      </c>
      <c r="AP1052" t="n">
        <v>1</v>
      </c>
      <c r="AQ1052" t="n">
        <v>9</v>
      </c>
      <c r="AR1052" t="n">
        <v>41</v>
      </c>
      <c r="AS1052" t="n">
        <v>35</v>
      </c>
      <c r="AT1052" t="n">
        <v>0</v>
      </c>
      <c r="AU1052" t="n">
        <v>2</v>
      </c>
      <c r="AV1052" t="n">
        <v>1</v>
      </c>
      <c r="AW1052" t="n">
        <v>18</v>
      </c>
      <c r="AX1052" t="n">
        <v>2</v>
      </c>
      <c r="AY1052" t="n">
        <v>28</v>
      </c>
      <c r="AZ1052" t="n">
        <v>1</v>
      </c>
      <c r="BA1052" t="n">
        <v>4</v>
      </c>
      <c r="BB1052" t="n">
        <v>28</v>
      </c>
      <c r="BC1052" t="n">
        <v>40</v>
      </c>
      <c r="BD1052" t="n">
        <v>12</v>
      </c>
      <c r="BE1052" t="n">
        <v>17</v>
      </c>
      <c r="BF1052" t="n">
        <v>12</v>
      </c>
      <c r="BG1052" t="n">
        <v>4</v>
      </c>
      <c r="BH1052" t="n">
        <v>6</v>
      </c>
      <c r="BI1052" t="n">
        <v>34</v>
      </c>
      <c r="BJ1052" t="n">
        <v>31</v>
      </c>
      <c r="BK1052" t="n">
        <v>1</v>
      </c>
      <c r="BL1052" t="n">
        <v>1</v>
      </c>
      <c r="BM1052" t="n">
        <v>6</v>
      </c>
      <c r="BN1052" t="n">
        <v>3</v>
      </c>
      <c r="BO1052" t="n">
        <v>44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2</v>
      </c>
      <c r="U1053" t="n">
        <v>0</v>
      </c>
      <c r="V1053" t="n">
        <v>0</v>
      </c>
      <c r="W1053" t="n">
        <v>1</v>
      </c>
      <c r="X1053" t="n">
        <v>0</v>
      </c>
      <c r="Y1053" t="n">
        <v>305</v>
      </c>
      <c r="Z1053" t="n">
        <v>243</v>
      </c>
      <c r="AA1053" t="n">
        <v>84</v>
      </c>
      <c r="AB1053" t="n">
        <v>1</v>
      </c>
      <c r="AC1053" t="n">
        <v>2</v>
      </c>
      <c r="AD1053" t="n">
        <v>5</v>
      </c>
      <c r="AE1053" t="n">
        <v>4</v>
      </c>
      <c r="AF1053" t="n">
        <v>7</v>
      </c>
      <c r="AG1053" t="n">
        <v>5</v>
      </c>
      <c r="AH1053" t="n">
        <v>47</v>
      </c>
      <c r="AI1053" t="n">
        <v>57</v>
      </c>
      <c r="AJ1053" t="n">
        <v>136</v>
      </c>
      <c r="AK1053" t="n">
        <v>19</v>
      </c>
      <c r="AL1053" t="n">
        <v>6</v>
      </c>
      <c r="AM1053" t="n">
        <v>61</v>
      </c>
      <c r="AN1053" t="n">
        <v>0</v>
      </c>
      <c r="AO1053" t="n">
        <v>0</v>
      </c>
      <c r="AP1053" t="n">
        <v>3</v>
      </c>
      <c r="AQ1053" t="n">
        <v>27</v>
      </c>
      <c r="AR1053" t="n">
        <v>96</v>
      </c>
      <c r="AS1053" t="n">
        <v>72</v>
      </c>
      <c r="AT1053" t="n">
        <v>3</v>
      </c>
      <c r="AU1053" t="n">
        <v>2</v>
      </c>
      <c r="AV1053" t="n">
        <v>17</v>
      </c>
      <c r="AW1053" t="n">
        <v>21</v>
      </c>
      <c r="AX1053" t="n">
        <v>0</v>
      </c>
      <c r="AY1053" t="n">
        <v>23</v>
      </c>
      <c r="AZ1053" t="n">
        <v>1</v>
      </c>
      <c r="BA1053" t="n">
        <v>3</v>
      </c>
      <c r="BB1053" t="n">
        <v>81</v>
      </c>
      <c r="BC1053" t="n">
        <v>51</v>
      </c>
      <c r="BD1053" t="n">
        <v>42</v>
      </c>
      <c r="BE1053" t="n">
        <v>21</v>
      </c>
      <c r="BF1053" t="n">
        <v>117</v>
      </c>
      <c r="BG1053" t="n">
        <v>4</v>
      </c>
      <c r="BH1053" t="n">
        <v>6</v>
      </c>
      <c r="BI1053" t="n">
        <v>37</v>
      </c>
      <c r="BJ1053" t="n">
        <v>34</v>
      </c>
      <c r="BK1053" t="n">
        <v>2</v>
      </c>
      <c r="BL1053" t="n">
        <v>13</v>
      </c>
      <c r="BM1053" t="n">
        <v>21</v>
      </c>
      <c r="BN1053" t="n">
        <v>8</v>
      </c>
      <c r="BO1053" t="n">
        <v>2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182</v>
      </c>
      <c r="Z1054" t="n">
        <v>96</v>
      </c>
      <c r="AA1054" t="n">
        <v>63</v>
      </c>
      <c r="AB1054" t="n">
        <v>2</v>
      </c>
      <c r="AC1054" t="n">
        <v>2</v>
      </c>
      <c r="AD1054" t="n">
        <v>4</v>
      </c>
      <c r="AE1054" t="n">
        <v>4</v>
      </c>
      <c r="AF1054" t="n">
        <v>2</v>
      </c>
      <c r="AG1054" t="n">
        <v>3</v>
      </c>
      <c r="AH1054" t="n">
        <v>48</v>
      </c>
      <c r="AI1054" t="n">
        <v>40</v>
      </c>
      <c r="AJ1054" t="n">
        <v>2</v>
      </c>
      <c r="AK1054" t="n">
        <v>10</v>
      </c>
      <c r="AL1054" t="n">
        <v>0</v>
      </c>
      <c r="AM1054" t="n">
        <v>2</v>
      </c>
      <c r="AN1054" t="n">
        <v>1</v>
      </c>
      <c r="AO1054" t="n">
        <v>0</v>
      </c>
      <c r="AP1054" t="n">
        <v>5</v>
      </c>
      <c r="AQ1054" t="n">
        <v>29</v>
      </c>
      <c r="AR1054" t="n">
        <v>55</v>
      </c>
      <c r="AS1054" t="n">
        <v>32</v>
      </c>
      <c r="AT1054" t="n">
        <v>4</v>
      </c>
      <c r="AU1054" t="n">
        <v>0</v>
      </c>
      <c r="AV1054" t="n">
        <v>10</v>
      </c>
      <c r="AW1054" t="n">
        <v>1</v>
      </c>
      <c r="AX1054" t="n">
        <v>0</v>
      </c>
      <c r="AY1054" t="n">
        <v>31</v>
      </c>
      <c r="AZ1054" t="n">
        <v>3</v>
      </c>
      <c r="BA1054" t="n">
        <v>28</v>
      </c>
      <c r="BB1054" t="n">
        <v>89</v>
      </c>
      <c r="BC1054" t="n">
        <v>8</v>
      </c>
      <c r="BD1054" t="n">
        <v>42</v>
      </c>
      <c r="BE1054" t="n">
        <v>18</v>
      </c>
      <c r="BF1054" t="n">
        <v>4</v>
      </c>
      <c r="BG1054" t="n">
        <v>2</v>
      </c>
      <c r="BH1054" t="n">
        <v>11</v>
      </c>
      <c r="BI1054" t="n">
        <v>19</v>
      </c>
      <c r="BJ1054" t="n">
        <v>16</v>
      </c>
      <c r="BK1054" t="n">
        <v>3</v>
      </c>
      <c r="BL1054" t="n">
        <v>21</v>
      </c>
      <c r="BM1054" t="n">
        <v>16</v>
      </c>
      <c r="BN1054" t="n">
        <v>3</v>
      </c>
      <c r="BO1054" t="n">
        <v>2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2</v>
      </c>
      <c r="U1055" t="n">
        <v>0</v>
      </c>
      <c r="V1055" t="n">
        <v>0</v>
      </c>
      <c r="W1055" t="n">
        <v>0</v>
      </c>
      <c r="X1055" t="n">
        <v>0</v>
      </c>
      <c r="Y1055" t="n">
        <v>174</v>
      </c>
      <c r="Z1055" t="n">
        <v>227</v>
      </c>
      <c r="AA1055" t="n">
        <v>78</v>
      </c>
      <c r="AB1055" t="n">
        <v>0</v>
      </c>
      <c r="AC1055" t="n">
        <v>2</v>
      </c>
      <c r="AD1055" t="n">
        <v>0</v>
      </c>
      <c r="AE1055" t="n">
        <v>5</v>
      </c>
      <c r="AF1055" t="n">
        <v>4</v>
      </c>
      <c r="AG1055" t="n">
        <v>5</v>
      </c>
      <c r="AH1055" t="n">
        <v>8</v>
      </c>
      <c r="AI1055" t="n">
        <v>98</v>
      </c>
      <c r="AJ1055" t="n">
        <v>56</v>
      </c>
      <c r="AK1055" t="n">
        <v>44</v>
      </c>
      <c r="AL1055" t="n">
        <v>6</v>
      </c>
      <c r="AM1055" t="n">
        <v>96</v>
      </c>
      <c r="AN1055" t="n">
        <v>0</v>
      </c>
      <c r="AO1055" t="n">
        <v>0</v>
      </c>
      <c r="AP1055" t="n">
        <v>4</v>
      </c>
      <c r="AQ1055" t="n">
        <v>35</v>
      </c>
      <c r="AR1055" t="n">
        <v>43</v>
      </c>
      <c r="AS1055" t="n">
        <v>12</v>
      </c>
      <c r="AT1055" t="n">
        <v>4</v>
      </c>
      <c r="AU1055" t="n">
        <v>1</v>
      </c>
      <c r="AV1055" t="n">
        <v>13</v>
      </c>
      <c r="AW1055" t="n">
        <v>8</v>
      </c>
      <c r="AX1055" t="n">
        <v>4</v>
      </c>
      <c r="AY1055" t="n">
        <v>51</v>
      </c>
      <c r="AZ1055" t="n">
        <v>1</v>
      </c>
      <c r="BA1055" t="n">
        <v>4</v>
      </c>
      <c r="BB1055" t="n">
        <v>76</v>
      </c>
      <c r="BC1055" t="n">
        <v>94</v>
      </c>
      <c r="BD1055" t="n">
        <v>8</v>
      </c>
      <c r="BE1055" t="n">
        <v>8</v>
      </c>
      <c r="BF1055" t="n">
        <v>44</v>
      </c>
      <c r="BG1055" t="n">
        <v>1</v>
      </c>
      <c r="BH1055" t="n">
        <v>4</v>
      </c>
      <c r="BI1055" t="n">
        <v>1</v>
      </c>
      <c r="BJ1055" t="n">
        <v>41</v>
      </c>
      <c r="BK1055" t="n">
        <v>1</v>
      </c>
      <c r="BL1055" t="n">
        <v>19</v>
      </c>
      <c r="BM1055" t="n">
        <v>12</v>
      </c>
      <c r="BN1055" t="n">
        <v>0</v>
      </c>
      <c r="BO1055" t="n">
        <v>42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2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194</v>
      </c>
      <c r="Z1056" t="n">
        <v>155</v>
      </c>
      <c r="AA1056" t="n">
        <v>57</v>
      </c>
      <c r="AB1056" t="n">
        <v>5</v>
      </c>
      <c r="AC1056" t="n">
        <v>1</v>
      </c>
      <c r="AD1056" t="n">
        <v>1</v>
      </c>
      <c r="AE1056" t="n">
        <v>5</v>
      </c>
      <c r="AF1056" t="n">
        <v>1</v>
      </c>
      <c r="AG1056" t="n">
        <v>5</v>
      </c>
      <c r="AH1056" t="n">
        <v>7</v>
      </c>
      <c r="AI1056" t="n">
        <v>25</v>
      </c>
      <c r="AJ1056" t="n">
        <v>7</v>
      </c>
      <c r="AK1056" t="n">
        <v>54</v>
      </c>
      <c r="AL1056" t="n">
        <v>3</v>
      </c>
      <c r="AM1056" t="n">
        <v>17</v>
      </c>
      <c r="AN1056" t="n">
        <v>0</v>
      </c>
      <c r="AO1056" t="n">
        <v>0</v>
      </c>
      <c r="AP1056" t="n">
        <v>3</v>
      </c>
      <c r="AQ1056" t="n">
        <v>15</v>
      </c>
      <c r="AR1056" t="n">
        <v>96</v>
      </c>
      <c r="AS1056" t="n">
        <v>81</v>
      </c>
      <c r="AT1056" t="n">
        <v>4</v>
      </c>
      <c r="AU1056" t="n">
        <v>1</v>
      </c>
      <c r="AV1056" t="n">
        <v>33</v>
      </c>
      <c r="AW1056" t="n">
        <v>44</v>
      </c>
      <c r="AX1056" t="n">
        <v>20</v>
      </c>
      <c r="AY1056" t="n">
        <v>13</v>
      </c>
      <c r="AZ1056" t="n">
        <v>3</v>
      </c>
      <c r="BA1056" t="n">
        <v>11</v>
      </c>
      <c r="BB1056" t="n">
        <v>65</v>
      </c>
      <c r="BC1056" t="n">
        <v>49</v>
      </c>
      <c r="BD1056" t="n">
        <v>21</v>
      </c>
      <c r="BE1056" t="n">
        <v>49</v>
      </c>
      <c r="BF1056" t="n">
        <v>8</v>
      </c>
      <c r="BG1056" t="n">
        <v>3</v>
      </c>
      <c r="BH1056" t="n">
        <v>22</v>
      </c>
      <c r="BI1056" t="n">
        <v>12</v>
      </c>
      <c r="BJ1056" t="n">
        <v>8</v>
      </c>
      <c r="BK1056" t="n">
        <v>0</v>
      </c>
      <c r="BL1056" t="n">
        <v>1</v>
      </c>
      <c r="BM1056" t="n">
        <v>7</v>
      </c>
      <c r="BN1056" t="n">
        <v>4</v>
      </c>
      <c r="BO1056" t="n">
        <v>21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2</v>
      </c>
      <c r="H1057" t="n">
        <v>0</v>
      </c>
      <c r="I1057" t="n">
        <v>0</v>
      </c>
      <c r="J1057" t="n">
        <v>3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204</v>
      </c>
      <c r="Z1057" t="n">
        <v>177</v>
      </c>
      <c r="AA1057" t="n">
        <v>59</v>
      </c>
      <c r="AB1057" t="n">
        <v>4</v>
      </c>
      <c r="AC1057" t="n">
        <v>3</v>
      </c>
      <c r="AD1057" t="n">
        <v>2</v>
      </c>
      <c r="AE1057" t="n">
        <v>10</v>
      </c>
      <c r="AF1057" t="n">
        <v>7</v>
      </c>
      <c r="AG1057" t="n">
        <v>1</v>
      </c>
      <c r="AH1057" t="n">
        <v>56</v>
      </c>
      <c r="AI1057" t="n">
        <v>77</v>
      </c>
      <c r="AJ1057" t="n">
        <v>62</v>
      </c>
      <c r="AK1057" t="n">
        <v>30</v>
      </c>
      <c r="AL1057" t="n">
        <v>6</v>
      </c>
      <c r="AM1057" t="n">
        <v>46</v>
      </c>
      <c r="AN1057" t="n">
        <v>0</v>
      </c>
      <c r="AO1057" t="n">
        <v>0</v>
      </c>
      <c r="AP1057" t="n">
        <v>1</v>
      </c>
      <c r="AQ1057" t="n">
        <v>16</v>
      </c>
      <c r="AR1057" t="n">
        <v>88</v>
      </c>
      <c r="AS1057" t="n">
        <v>72</v>
      </c>
      <c r="AT1057" t="n">
        <v>7</v>
      </c>
      <c r="AU1057" t="n">
        <v>1</v>
      </c>
      <c r="AV1057" t="n">
        <v>9</v>
      </c>
      <c r="AW1057" t="n">
        <v>1</v>
      </c>
      <c r="AX1057" t="n">
        <v>6</v>
      </c>
      <c r="AY1057" t="n">
        <v>34</v>
      </c>
      <c r="AZ1057" t="n">
        <v>0</v>
      </c>
      <c r="BA1057" t="n">
        <v>1</v>
      </c>
      <c r="BB1057" t="n">
        <v>57</v>
      </c>
      <c r="BC1057" t="n">
        <v>37</v>
      </c>
      <c r="BD1057" t="n">
        <v>51</v>
      </c>
      <c r="BE1057" t="n">
        <v>1</v>
      </c>
      <c r="BF1057" t="n">
        <v>103</v>
      </c>
      <c r="BG1057" t="n">
        <v>2</v>
      </c>
      <c r="BH1057" t="n">
        <v>4</v>
      </c>
      <c r="BI1057" t="n">
        <v>33</v>
      </c>
      <c r="BJ1057" t="n">
        <v>35</v>
      </c>
      <c r="BK1057" t="n">
        <v>3</v>
      </c>
      <c r="BL1057" t="n">
        <v>18</v>
      </c>
      <c r="BM1057" t="n">
        <v>41</v>
      </c>
      <c r="BN1057" t="n">
        <v>20</v>
      </c>
      <c r="BO1057" t="n">
        <v>14</v>
      </c>
    </row>
    <row r="1058">
      <c r="A1058" t="n">
        <v>0</v>
      </c>
      <c r="B1058" t="n">
        <v>0</v>
      </c>
      <c r="C1058" t="n">
        <v>0</v>
      </c>
      <c r="D1058" t="n">
        <v>2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2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239</v>
      </c>
      <c r="Z1058" t="n">
        <v>229</v>
      </c>
      <c r="AA1058" t="n">
        <v>39</v>
      </c>
      <c r="AB1058" t="n">
        <v>4</v>
      </c>
      <c r="AC1058" t="n">
        <v>2</v>
      </c>
      <c r="AD1058" t="n">
        <v>2</v>
      </c>
      <c r="AE1058" t="n">
        <v>4</v>
      </c>
      <c r="AF1058" t="n">
        <v>7</v>
      </c>
      <c r="AG1058" t="n">
        <v>3</v>
      </c>
      <c r="AH1058" t="n">
        <v>2</v>
      </c>
      <c r="AI1058" t="n">
        <v>39</v>
      </c>
      <c r="AJ1058" t="n">
        <v>79</v>
      </c>
      <c r="AK1058" t="n">
        <v>21</v>
      </c>
      <c r="AL1058" t="n">
        <v>2</v>
      </c>
      <c r="AM1058" t="n">
        <v>2</v>
      </c>
      <c r="AN1058" t="n">
        <v>0</v>
      </c>
      <c r="AO1058" t="n">
        <v>0</v>
      </c>
      <c r="AP1058" t="n">
        <v>9</v>
      </c>
      <c r="AQ1058" t="n">
        <v>76</v>
      </c>
      <c r="AR1058" t="n">
        <v>171</v>
      </c>
      <c r="AS1058" t="n">
        <v>105</v>
      </c>
      <c r="AT1058" t="n">
        <v>2</v>
      </c>
      <c r="AU1058" t="n">
        <v>2</v>
      </c>
      <c r="AV1058" t="n">
        <v>48</v>
      </c>
      <c r="AW1058" t="n">
        <v>29</v>
      </c>
      <c r="AX1058" t="n">
        <v>3</v>
      </c>
      <c r="AY1058" t="n">
        <v>9</v>
      </c>
      <c r="AZ1058" t="n">
        <v>2</v>
      </c>
      <c r="BA1058" t="n">
        <v>21</v>
      </c>
      <c r="BB1058" t="n">
        <v>57</v>
      </c>
      <c r="BC1058" t="n">
        <v>10</v>
      </c>
      <c r="BD1058" t="n">
        <v>37</v>
      </c>
      <c r="BE1058" t="n">
        <v>32</v>
      </c>
      <c r="BF1058" t="n">
        <v>62</v>
      </c>
      <c r="BG1058" t="n">
        <v>3</v>
      </c>
      <c r="BH1058" t="n">
        <v>11</v>
      </c>
      <c r="BI1058" t="n">
        <v>22</v>
      </c>
      <c r="BJ1058" t="n">
        <v>54</v>
      </c>
      <c r="BK1058" t="n">
        <v>1</v>
      </c>
      <c r="BL1058" t="n">
        <v>24</v>
      </c>
      <c r="BM1058" t="n">
        <v>16</v>
      </c>
      <c r="BN1058" t="n">
        <v>0</v>
      </c>
      <c r="BO1058" t="n">
        <v>-5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254</v>
      </c>
      <c r="Z1059" t="n">
        <v>111</v>
      </c>
      <c r="AA1059" t="n">
        <v>77</v>
      </c>
      <c r="AB1059" t="n">
        <v>2</v>
      </c>
      <c r="AC1059" t="n">
        <v>0</v>
      </c>
      <c r="AD1059" t="n">
        <v>1</v>
      </c>
      <c r="AE1059" t="n">
        <v>1</v>
      </c>
      <c r="AF1059" t="n">
        <v>5</v>
      </c>
      <c r="AG1059" t="n">
        <v>3</v>
      </c>
      <c r="AH1059" t="n">
        <v>46</v>
      </c>
      <c r="AI1059" t="n">
        <v>2</v>
      </c>
      <c r="AJ1059" t="n">
        <v>60</v>
      </c>
      <c r="AK1059" t="n">
        <v>44</v>
      </c>
      <c r="AL1059" t="n">
        <v>0</v>
      </c>
      <c r="AM1059" t="n">
        <v>18</v>
      </c>
      <c r="AN1059" t="n">
        <v>0</v>
      </c>
      <c r="AO1059" t="n">
        <v>0</v>
      </c>
      <c r="AP1059" t="n">
        <v>3</v>
      </c>
      <c r="AQ1059" t="n">
        <v>9</v>
      </c>
      <c r="AR1059" t="n">
        <v>62</v>
      </c>
      <c r="AS1059" t="n">
        <v>53</v>
      </c>
      <c r="AT1059" t="n">
        <v>1</v>
      </c>
      <c r="AU1059" t="n">
        <v>0</v>
      </c>
      <c r="AV1059" t="n">
        <v>23</v>
      </c>
      <c r="AW1059" t="n">
        <v>3</v>
      </c>
      <c r="AX1059" t="n">
        <v>0</v>
      </c>
      <c r="AY1059" t="n">
        <v>34</v>
      </c>
      <c r="AZ1059" t="n">
        <v>1</v>
      </c>
      <c r="BA1059" t="n">
        <v>5</v>
      </c>
      <c r="BB1059" t="n">
        <v>77</v>
      </c>
      <c r="BC1059" t="n">
        <v>54</v>
      </c>
      <c r="BD1059" t="n">
        <v>41</v>
      </c>
      <c r="BE1059" t="n">
        <v>9</v>
      </c>
      <c r="BF1059" t="n">
        <v>55</v>
      </c>
      <c r="BG1059" t="n">
        <v>3</v>
      </c>
      <c r="BH1059" t="n">
        <v>21</v>
      </c>
      <c r="BI1059" t="n">
        <v>42</v>
      </c>
      <c r="BJ1059" t="n">
        <v>41</v>
      </c>
      <c r="BK1059" t="n">
        <v>3</v>
      </c>
      <c r="BL1059" t="n">
        <v>28</v>
      </c>
      <c r="BM1059" t="n">
        <v>19</v>
      </c>
      <c r="BN1059" t="n">
        <v>0</v>
      </c>
      <c r="BO1059" t="n">
        <v>2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2</v>
      </c>
      <c r="U1060" t="n">
        <v>2</v>
      </c>
      <c r="V1060" t="n">
        <v>0</v>
      </c>
      <c r="W1060" t="n">
        <v>0</v>
      </c>
      <c r="X1060" t="n">
        <v>0</v>
      </c>
      <c r="Y1060" t="n">
        <v>197</v>
      </c>
      <c r="Z1060" t="n">
        <v>207</v>
      </c>
      <c r="AA1060" t="n">
        <v>128</v>
      </c>
      <c r="AB1060" t="n">
        <v>2</v>
      </c>
      <c r="AC1060" t="n">
        <v>2</v>
      </c>
      <c r="AD1060" t="n">
        <v>5</v>
      </c>
      <c r="AE1060" t="n">
        <v>6</v>
      </c>
      <c r="AF1060" t="n">
        <v>3</v>
      </c>
      <c r="AG1060" t="n">
        <v>2</v>
      </c>
      <c r="AH1060" t="n">
        <v>70</v>
      </c>
      <c r="AI1060" t="n">
        <v>36</v>
      </c>
      <c r="AJ1060" t="n">
        <v>15</v>
      </c>
      <c r="AK1060" t="n">
        <v>13</v>
      </c>
      <c r="AL1060" t="n">
        <v>2</v>
      </c>
      <c r="AM1060" t="n">
        <v>32</v>
      </c>
      <c r="AN1060" t="n">
        <v>0</v>
      </c>
      <c r="AO1060" t="n">
        <v>0</v>
      </c>
      <c r="AP1060" t="n">
        <v>6</v>
      </c>
      <c r="AQ1060" t="n">
        <v>45</v>
      </c>
      <c r="AR1060" t="n">
        <v>128</v>
      </c>
      <c r="AS1060" t="n">
        <v>87</v>
      </c>
      <c r="AT1060" t="n">
        <v>3</v>
      </c>
      <c r="AU1060" t="n">
        <v>3</v>
      </c>
      <c r="AV1060" t="n">
        <v>13</v>
      </c>
      <c r="AW1060" t="n">
        <v>37</v>
      </c>
      <c r="AX1060" t="n">
        <v>0</v>
      </c>
      <c r="AY1060" t="n">
        <v>21</v>
      </c>
      <c r="AZ1060" t="n">
        <v>0</v>
      </c>
      <c r="BA1060" t="n">
        <v>1</v>
      </c>
      <c r="BB1060" t="n">
        <v>123</v>
      </c>
      <c r="BC1060" t="n">
        <v>31</v>
      </c>
      <c r="BD1060" t="n">
        <v>62</v>
      </c>
      <c r="BE1060" t="n">
        <v>47</v>
      </c>
      <c r="BF1060" t="n">
        <v>12</v>
      </c>
      <c r="BG1060" t="n">
        <v>4</v>
      </c>
      <c r="BH1060" t="n">
        <v>4</v>
      </c>
      <c r="BI1060" t="n">
        <v>12</v>
      </c>
      <c r="BJ1060" t="n">
        <v>10</v>
      </c>
      <c r="BK1060" t="n">
        <v>2</v>
      </c>
      <c r="BL1060" t="n">
        <v>-5</v>
      </c>
      <c r="BM1060" t="n">
        <v>40</v>
      </c>
      <c r="BN1060" t="n">
        <v>26</v>
      </c>
      <c r="BO1060" t="n">
        <v>2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261</v>
      </c>
      <c r="Z1061" t="n">
        <v>190</v>
      </c>
      <c r="AA1061" t="n">
        <v>66</v>
      </c>
      <c r="AB1061" t="n">
        <v>0</v>
      </c>
      <c r="AC1061" t="n">
        <v>3</v>
      </c>
      <c r="AD1061" t="n">
        <v>6</v>
      </c>
      <c r="AE1061" t="n">
        <v>6</v>
      </c>
      <c r="AF1061" t="n">
        <v>1</v>
      </c>
      <c r="AG1061" t="n">
        <v>3</v>
      </c>
      <c r="AH1061" t="n">
        <v>43</v>
      </c>
      <c r="AI1061" t="n">
        <v>57</v>
      </c>
      <c r="AJ1061" t="n">
        <v>2</v>
      </c>
      <c r="AK1061" t="n">
        <v>66</v>
      </c>
      <c r="AL1061" t="n">
        <v>3</v>
      </c>
      <c r="AM1061" t="n">
        <v>64</v>
      </c>
      <c r="AN1061" t="n">
        <v>0</v>
      </c>
      <c r="AO1061" t="n">
        <v>0</v>
      </c>
      <c r="AP1061" t="n">
        <v>9</v>
      </c>
      <c r="AQ1061" t="n">
        <v>50</v>
      </c>
      <c r="AR1061" t="n">
        <v>73</v>
      </c>
      <c r="AS1061" t="n">
        <v>33</v>
      </c>
      <c r="AT1061" t="n">
        <v>3</v>
      </c>
      <c r="AU1061" t="n">
        <v>1</v>
      </c>
      <c r="AV1061" t="n">
        <v>1</v>
      </c>
      <c r="AW1061" t="n">
        <v>1</v>
      </c>
      <c r="AX1061" t="n">
        <v>3</v>
      </c>
      <c r="AY1061" t="n">
        <v>53</v>
      </c>
      <c r="AZ1061" t="n">
        <v>1</v>
      </c>
      <c r="BA1061" t="n">
        <v>10</v>
      </c>
      <c r="BB1061" t="n">
        <v>71</v>
      </c>
      <c r="BC1061" t="n">
        <v>50</v>
      </c>
      <c r="BD1061" t="n">
        <v>46</v>
      </c>
      <c r="BE1061" t="n">
        <v>1</v>
      </c>
      <c r="BF1061" t="n">
        <v>2</v>
      </c>
      <c r="BG1061" t="n">
        <v>1</v>
      </c>
      <c r="BH1061" t="n">
        <v>22</v>
      </c>
      <c r="BI1061" t="n">
        <v>1</v>
      </c>
      <c r="BJ1061" t="n">
        <v>15</v>
      </c>
      <c r="BK1061" t="n">
        <v>5</v>
      </c>
      <c r="BL1061" t="n">
        <v>37</v>
      </c>
      <c r="BM1061" t="n">
        <v>29</v>
      </c>
      <c r="BN1061" t="n">
        <v>4</v>
      </c>
      <c r="BO1061" t="n">
        <v>2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129</v>
      </c>
      <c r="Z1062" t="n">
        <v>219</v>
      </c>
      <c r="AA1062" t="n">
        <v>67</v>
      </c>
      <c r="AB1062" t="n">
        <v>3</v>
      </c>
      <c r="AC1062" t="n">
        <v>1</v>
      </c>
      <c r="AD1062" t="n">
        <v>6</v>
      </c>
      <c r="AE1062" t="n">
        <v>6</v>
      </c>
      <c r="AF1062" t="n">
        <v>4</v>
      </c>
      <c r="AG1062" t="n">
        <v>7</v>
      </c>
      <c r="AH1062" t="n">
        <v>14</v>
      </c>
      <c r="AI1062" t="n">
        <v>66</v>
      </c>
      <c r="AJ1062" t="n">
        <v>47</v>
      </c>
      <c r="AK1062" t="n">
        <v>27</v>
      </c>
      <c r="AL1062" t="n">
        <v>1</v>
      </c>
      <c r="AM1062" t="n">
        <v>22</v>
      </c>
      <c r="AN1062" t="n">
        <v>0</v>
      </c>
      <c r="AO1062" t="n">
        <v>0</v>
      </c>
      <c r="AP1062" t="n">
        <v>0</v>
      </c>
      <c r="AQ1062" t="n">
        <v>27</v>
      </c>
      <c r="AR1062" t="n">
        <v>65</v>
      </c>
      <c r="AS1062" t="n">
        <v>42</v>
      </c>
      <c r="AT1062" t="n">
        <v>1</v>
      </c>
      <c r="AU1062" t="n">
        <v>1</v>
      </c>
      <c r="AV1062" t="n">
        <v>9</v>
      </c>
      <c r="AW1062" t="n">
        <v>12</v>
      </c>
      <c r="AX1062" t="n">
        <v>0</v>
      </c>
      <c r="AY1062" t="n">
        <v>20</v>
      </c>
      <c r="AZ1062" t="n">
        <v>0</v>
      </c>
      <c r="BA1062" t="n">
        <v>1</v>
      </c>
      <c r="BB1062" t="n">
        <v>65</v>
      </c>
      <c r="BC1062" t="n">
        <v>16</v>
      </c>
      <c r="BD1062" t="n">
        <v>12</v>
      </c>
      <c r="BE1062" t="n">
        <v>12</v>
      </c>
      <c r="BF1062" t="n">
        <v>60</v>
      </c>
      <c r="BG1062" t="n">
        <v>0</v>
      </c>
      <c r="BH1062" t="n">
        <v>5</v>
      </c>
      <c r="BI1062" t="n">
        <v>6</v>
      </c>
      <c r="BJ1062" t="n">
        <v>9</v>
      </c>
      <c r="BK1062" t="n">
        <v>6</v>
      </c>
      <c r="BL1062" t="n">
        <v>72</v>
      </c>
      <c r="BM1062" t="n">
        <v>58</v>
      </c>
      <c r="BN1062" t="n">
        <v>8</v>
      </c>
      <c r="BO1062" t="n">
        <v>2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3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227</v>
      </c>
      <c r="Z1063" t="n">
        <v>236</v>
      </c>
      <c r="AA1063" t="n">
        <v>61</v>
      </c>
      <c r="AB1063" t="n">
        <v>2</v>
      </c>
      <c r="AC1063" t="n">
        <v>1</v>
      </c>
      <c r="AD1063" t="n">
        <v>5</v>
      </c>
      <c r="AE1063" t="n">
        <v>3</v>
      </c>
      <c r="AF1063" t="n">
        <v>6</v>
      </c>
      <c r="AG1063" t="n">
        <v>0</v>
      </c>
      <c r="AH1063" t="n">
        <v>33</v>
      </c>
      <c r="AI1063" t="n">
        <v>8</v>
      </c>
      <c r="AJ1063" t="n">
        <v>88</v>
      </c>
      <c r="AK1063" t="n">
        <v>6</v>
      </c>
      <c r="AL1063" t="n">
        <v>1</v>
      </c>
      <c r="AM1063" t="n">
        <v>6</v>
      </c>
      <c r="AN1063" t="n">
        <v>0</v>
      </c>
      <c r="AO1063" t="n">
        <v>1</v>
      </c>
      <c r="AP1063" t="n">
        <v>1</v>
      </c>
      <c r="AQ1063" t="n">
        <v>33</v>
      </c>
      <c r="AR1063" t="n">
        <v>155</v>
      </c>
      <c r="AS1063" t="n">
        <v>124</v>
      </c>
      <c r="AT1063" t="n">
        <v>5</v>
      </c>
      <c r="AU1063" t="n">
        <v>2</v>
      </c>
      <c r="AV1063" t="n">
        <v>33</v>
      </c>
      <c r="AW1063" t="n">
        <v>1</v>
      </c>
      <c r="AX1063" t="n">
        <v>3</v>
      </c>
      <c r="AY1063" t="n">
        <v>77</v>
      </c>
      <c r="AZ1063" t="n">
        <v>5</v>
      </c>
      <c r="BA1063" t="n">
        <v>5</v>
      </c>
      <c r="BB1063" t="n">
        <v>61</v>
      </c>
      <c r="BC1063" t="n">
        <v>5</v>
      </c>
      <c r="BD1063" t="n">
        <v>33</v>
      </c>
      <c r="BE1063" t="n">
        <v>1</v>
      </c>
      <c r="BF1063" t="n">
        <v>69</v>
      </c>
      <c r="BG1063" t="n">
        <v>1</v>
      </c>
      <c r="BH1063" t="n">
        <v>18</v>
      </c>
      <c r="BI1063" t="n">
        <v>23</v>
      </c>
      <c r="BJ1063" t="n">
        <v>38</v>
      </c>
      <c r="BK1063" t="n">
        <v>0</v>
      </c>
      <c r="BL1063" t="n">
        <v>1</v>
      </c>
      <c r="BM1063" t="n">
        <v>26</v>
      </c>
      <c r="BN1063" t="n">
        <v>15</v>
      </c>
      <c r="BO1063" t="n">
        <v>11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4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142</v>
      </c>
      <c r="Z1064" t="n">
        <v>164</v>
      </c>
      <c r="AA1064" t="n">
        <v>3</v>
      </c>
      <c r="AB1064" t="n">
        <v>3</v>
      </c>
      <c r="AC1064" t="n">
        <v>2</v>
      </c>
      <c r="AD1064" t="n">
        <v>5</v>
      </c>
      <c r="AE1064" t="n">
        <v>6</v>
      </c>
      <c r="AF1064" t="n">
        <v>2</v>
      </c>
      <c r="AG1064" t="n">
        <v>4</v>
      </c>
      <c r="AH1064" t="n">
        <v>26</v>
      </c>
      <c r="AI1064" t="n">
        <v>42</v>
      </c>
      <c r="AJ1064" t="n">
        <v>7</v>
      </c>
      <c r="AK1064" t="n">
        <v>35</v>
      </c>
      <c r="AL1064" t="n">
        <v>0</v>
      </c>
      <c r="AM1064" t="n">
        <v>58</v>
      </c>
      <c r="AN1064" t="n">
        <v>0</v>
      </c>
      <c r="AO1064" t="n">
        <v>0</v>
      </c>
      <c r="AP1064" t="n">
        <v>8</v>
      </c>
      <c r="AQ1064" t="n">
        <v>52</v>
      </c>
      <c r="AR1064" t="n">
        <v>142</v>
      </c>
      <c r="AS1064" t="n">
        <v>99</v>
      </c>
      <c r="AT1064" t="n">
        <v>3</v>
      </c>
      <c r="AU1064" t="n">
        <v>2</v>
      </c>
      <c r="AV1064" t="n">
        <v>29</v>
      </c>
      <c r="AW1064" t="n">
        <v>16</v>
      </c>
      <c r="AX1064" t="n">
        <v>4</v>
      </c>
      <c r="AY1064" t="n">
        <v>55</v>
      </c>
      <c r="AZ1064" t="n">
        <v>3</v>
      </c>
      <c r="BA1064" t="n">
        <v>22</v>
      </c>
      <c r="BB1064" t="n">
        <v>28</v>
      </c>
      <c r="BC1064" t="n">
        <v>48</v>
      </c>
      <c r="BD1064" t="n">
        <v>28</v>
      </c>
      <c r="BE1064" t="n">
        <v>16</v>
      </c>
      <c r="BF1064" t="n">
        <v>1</v>
      </c>
      <c r="BG1064" t="n">
        <v>6</v>
      </c>
      <c r="BH1064" t="n">
        <v>5</v>
      </c>
      <c r="BI1064" t="n">
        <v>27</v>
      </c>
      <c r="BJ1064" t="n">
        <v>24</v>
      </c>
      <c r="BK1064" t="n">
        <v>0</v>
      </c>
      <c r="BL1064" t="n">
        <v>1</v>
      </c>
      <c r="BM1064" t="n">
        <v>5</v>
      </c>
      <c r="BN1064" t="n">
        <v>3</v>
      </c>
      <c r="BO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195</v>
      </c>
      <c r="Z1065" t="n">
        <v>190</v>
      </c>
      <c r="AA1065" t="n">
        <v>6</v>
      </c>
      <c r="AB1065" t="n">
        <v>1</v>
      </c>
      <c r="AC1065" t="n">
        <v>1</v>
      </c>
      <c r="AD1065" t="n">
        <v>4</v>
      </c>
      <c r="AE1065" t="n">
        <v>4</v>
      </c>
      <c r="AF1065" t="n">
        <v>6</v>
      </c>
      <c r="AG1065" t="n">
        <v>0</v>
      </c>
      <c r="AH1065" t="n">
        <v>11</v>
      </c>
      <c r="AI1065" t="n">
        <v>32</v>
      </c>
      <c r="AJ1065" t="n">
        <v>53</v>
      </c>
      <c r="AK1065" t="n">
        <v>1</v>
      </c>
      <c r="AL1065" t="n">
        <v>0</v>
      </c>
      <c r="AM1065" t="n">
        <v>6</v>
      </c>
      <c r="AN1065" t="n">
        <v>0</v>
      </c>
      <c r="AO1065" t="n">
        <v>1</v>
      </c>
      <c r="AP1065" t="n">
        <v>2</v>
      </c>
      <c r="AQ1065" t="n">
        <v>6</v>
      </c>
      <c r="AR1065" t="n">
        <v>37</v>
      </c>
      <c r="AS1065" t="n">
        <v>33</v>
      </c>
      <c r="AT1065" t="n">
        <v>5</v>
      </c>
      <c r="AU1065" t="n">
        <v>2</v>
      </c>
      <c r="AV1065" t="n">
        <v>28</v>
      </c>
      <c r="AW1065" t="n">
        <v>23</v>
      </c>
      <c r="AX1065" t="n">
        <v>0</v>
      </c>
      <c r="AY1065" t="n">
        <v>18</v>
      </c>
      <c r="AZ1065" t="n">
        <v>1</v>
      </c>
      <c r="BA1065" t="n">
        <v>65</v>
      </c>
      <c r="BB1065" t="n">
        <v>83</v>
      </c>
      <c r="BC1065" t="n">
        <v>5</v>
      </c>
      <c r="BD1065" t="n">
        <v>13</v>
      </c>
      <c r="BE1065" t="n">
        <v>23</v>
      </c>
      <c r="BF1065" t="n">
        <v>42</v>
      </c>
      <c r="BG1065" t="n">
        <v>3</v>
      </c>
      <c r="BH1065" t="n">
        <v>19</v>
      </c>
      <c r="BI1065" t="n">
        <v>12</v>
      </c>
      <c r="BJ1065" t="n">
        <v>10</v>
      </c>
      <c r="BK1065" t="n">
        <v>0</v>
      </c>
      <c r="BL1065" t="n">
        <v>9</v>
      </c>
      <c r="BM1065" t="n">
        <v>11</v>
      </c>
      <c r="BN1065" t="n">
        <v>4</v>
      </c>
      <c r="BO1065" t="n">
        <v>30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  <c r="G1066" t="n">
        <v>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204</v>
      </c>
      <c r="Z1066" t="n">
        <v>181</v>
      </c>
      <c r="AA1066" t="n">
        <v>5</v>
      </c>
      <c r="AB1066" t="n">
        <v>3</v>
      </c>
      <c r="AC1066" t="n">
        <v>2</v>
      </c>
      <c r="AD1066" t="n">
        <v>5</v>
      </c>
      <c r="AE1066" t="n">
        <v>3</v>
      </c>
      <c r="AF1066" t="n">
        <v>1</v>
      </c>
      <c r="AG1066" t="n">
        <v>6</v>
      </c>
      <c r="AH1066" t="n">
        <v>68</v>
      </c>
      <c r="AI1066" t="n">
        <v>31</v>
      </c>
      <c r="AJ1066" t="n">
        <v>12</v>
      </c>
      <c r="AK1066" t="n">
        <v>44</v>
      </c>
      <c r="AL1066" t="n">
        <v>7</v>
      </c>
      <c r="AM1066" t="n">
        <v>79</v>
      </c>
      <c r="AN1066" t="n">
        <v>0</v>
      </c>
      <c r="AO1066" t="n">
        <v>0</v>
      </c>
      <c r="AP1066" t="n">
        <v>0</v>
      </c>
      <c r="AQ1066" t="n">
        <v>18</v>
      </c>
      <c r="AR1066" t="n">
        <v>36</v>
      </c>
      <c r="AS1066" t="n">
        <v>22</v>
      </c>
      <c r="AT1066" t="n">
        <v>5</v>
      </c>
      <c r="AU1066" t="n">
        <v>2</v>
      </c>
      <c r="AV1066" t="n">
        <v>69</v>
      </c>
      <c r="AW1066" t="n">
        <v>16</v>
      </c>
      <c r="AX1066" t="n">
        <v>3</v>
      </c>
      <c r="AY1066" t="n">
        <v>11</v>
      </c>
      <c r="AZ1066" t="n">
        <v>5</v>
      </c>
      <c r="BA1066" t="n">
        <v>11</v>
      </c>
      <c r="BB1066" t="n">
        <v>17</v>
      </c>
      <c r="BC1066" t="n">
        <v>66</v>
      </c>
      <c r="BD1066" t="n">
        <v>62</v>
      </c>
      <c r="BE1066" t="n">
        <v>16</v>
      </c>
      <c r="BF1066" t="n">
        <v>26</v>
      </c>
      <c r="BG1066" t="n">
        <v>0</v>
      </c>
      <c r="BH1066" t="n">
        <v>8</v>
      </c>
      <c r="BI1066" t="n">
        <v>7</v>
      </c>
      <c r="BJ1066" t="n">
        <v>4</v>
      </c>
      <c r="BK1066" t="n">
        <v>7</v>
      </c>
      <c r="BL1066" t="n">
        <v>72</v>
      </c>
      <c r="BM1066" t="n">
        <v>50</v>
      </c>
      <c r="BN1066" t="n">
        <v>3</v>
      </c>
      <c r="BO1066" t="n">
        <v>9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2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1</v>
      </c>
      <c r="V1067" t="n">
        <v>0</v>
      </c>
      <c r="W1067" t="n">
        <v>0</v>
      </c>
      <c r="X1067" t="n">
        <v>0</v>
      </c>
      <c r="Y1067" t="n">
        <v>193</v>
      </c>
      <c r="Z1067" t="n">
        <v>190</v>
      </c>
      <c r="AA1067" t="n">
        <v>67</v>
      </c>
      <c r="AB1067" t="n">
        <v>0</v>
      </c>
      <c r="AC1067" t="n">
        <v>2</v>
      </c>
      <c r="AD1067" t="n">
        <v>2</v>
      </c>
      <c r="AE1067" t="n">
        <v>4</v>
      </c>
      <c r="AF1067" t="n">
        <v>4</v>
      </c>
      <c r="AG1067" t="n">
        <v>5</v>
      </c>
      <c r="AH1067" t="n">
        <v>2</v>
      </c>
      <c r="AI1067" t="n">
        <v>9</v>
      </c>
      <c r="AJ1067" t="n">
        <v>63</v>
      </c>
      <c r="AK1067" t="n">
        <v>30</v>
      </c>
      <c r="AL1067" t="n">
        <v>5</v>
      </c>
      <c r="AM1067" t="n">
        <v>85</v>
      </c>
      <c r="AN1067" t="n">
        <v>0</v>
      </c>
      <c r="AO1067" t="n">
        <v>0</v>
      </c>
      <c r="AP1067" t="n">
        <v>12</v>
      </c>
      <c r="AQ1067" t="n">
        <v>73</v>
      </c>
      <c r="AR1067" t="n">
        <v>89</v>
      </c>
      <c r="AS1067" t="n">
        <v>27</v>
      </c>
      <c r="AT1067" t="n">
        <v>1</v>
      </c>
      <c r="AU1067" t="n">
        <v>3</v>
      </c>
      <c r="AV1067" t="n">
        <v>20</v>
      </c>
      <c r="AW1067" t="n">
        <v>14</v>
      </c>
      <c r="AX1067" t="n">
        <v>11</v>
      </c>
      <c r="AY1067" t="n">
        <v>28</v>
      </c>
      <c r="AZ1067" t="n">
        <v>3</v>
      </c>
      <c r="BA1067" t="n">
        <v>18</v>
      </c>
      <c r="BB1067" t="n">
        <v>82</v>
      </c>
      <c r="BC1067" t="n">
        <v>77</v>
      </c>
      <c r="BD1067" t="n">
        <v>33</v>
      </c>
      <c r="BE1067" t="n">
        <v>15</v>
      </c>
      <c r="BF1067" t="n">
        <v>127</v>
      </c>
      <c r="BG1067" t="n">
        <v>2</v>
      </c>
      <c r="BH1067" t="n">
        <v>12</v>
      </c>
      <c r="BI1067" t="n">
        <v>7</v>
      </c>
      <c r="BJ1067" t="n">
        <v>15</v>
      </c>
      <c r="BK1067" t="n">
        <v>1</v>
      </c>
      <c r="BL1067" t="n">
        <v>37</v>
      </c>
      <c r="BM1067" t="n">
        <v>55</v>
      </c>
      <c r="BN1067" t="n">
        <v>22</v>
      </c>
      <c r="BO1067" t="n">
        <v>9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2</v>
      </c>
      <c r="K1068" t="n">
        <v>0</v>
      </c>
      <c r="L1068" t="n">
        <v>0</v>
      </c>
      <c r="M1068" t="n">
        <v>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228</v>
      </c>
      <c r="Z1068" t="n">
        <v>179</v>
      </c>
      <c r="AA1068" t="n">
        <v>54</v>
      </c>
      <c r="AB1068" t="n">
        <v>1</v>
      </c>
      <c r="AC1068" t="n">
        <v>3</v>
      </c>
      <c r="AD1068" t="n">
        <v>5</v>
      </c>
      <c r="AE1068" t="n">
        <v>9</v>
      </c>
      <c r="AF1068" t="n">
        <v>0</v>
      </c>
      <c r="AG1068" t="n">
        <v>5</v>
      </c>
      <c r="AH1068" t="n">
        <v>32</v>
      </c>
      <c r="AI1068" t="n">
        <v>85</v>
      </c>
      <c r="AJ1068" t="n">
        <v>34</v>
      </c>
      <c r="AK1068" t="n">
        <v>60</v>
      </c>
      <c r="AL1068" t="n">
        <v>1</v>
      </c>
      <c r="AM1068" t="n">
        <v>33</v>
      </c>
      <c r="AN1068" t="n">
        <v>0</v>
      </c>
      <c r="AO1068" t="n">
        <v>0</v>
      </c>
      <c r="AP1068" t="n">
        <v>8</v>
      </c>
      <c r="AQ1068" t="n">
        <v>32</v>
      </c>
      <c r="AR1068" t="n">
        <v>87</v>
      </c>
      <c r="AS1068" t="n">
        <v>60</v>
      </c>
      <c r="AT1068" t="n">
        <v>10</v>
      </c>
      <c r="AU1068" t="n">
        <v>0</v>
      </c>
      <c r="AV1068" t="n">
        <v>74</v>
      </c>
      <c r="AW1068" t="n">
        <v>1</v>
      </c>
      <c r="AX1068" t="n">
        <v>0</v>
      </c>
      <c r="AY1068" t="n">
        <v>33</v>
      </c>
      <c r="AZ1068" t="n">
        <v>3</v>
      </c>
      <c r="BA1068" t="n">
        <v>8</v>
      </c>
      <c r="BB1068" t="n">
        <v>59</v>
      </c>
      <c r="BC1068" t="n">
        <v>28</v>
      </c>
      <c r="BD1068" t="n">
        <v>33</v>
      </c>
      <c r="BE1068" t="n">
        <v>2</v>
      </c>
      <c r="BF1068" t="n">
        <v>48</v>
      </c>
      <c r="BG1068" t="n">
        <v>0</v>
      </c>
      <c r="BH1068" t="n">
        <v>6</v>
      </c>
      <c r="BI1068" t="n">
        <v>1</v>
      </c>
      <c r="BJ1068" t="n">
        <v>7</v>
      </c>
      <c r="BK1068" t="n">
        <v>5</v>
      </c>
      <c r="BL1068" t="n">
        <v>56</v>
      </c>
      <c r="BM1068" t="n">
        <v>54</v>
      </c>
      <c r="BN1068" t="n">
        <v>12</v>
      </c>
      <c r="BO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181</v>
      </c>
      <c r="Z1069" t="n">
        <v>208</v>
      </c>
      <c r="AA1069" t="n">
        <v>42</v>
      </c>
      <c r="AB1069" t="n">
        <v>1</v>
      </c>
      <c r="AC1069" t="n">
        <v>1</v>
      </c>
      <c r="AD1069" t="n">
        <v>1</v>
      </c>
      <c r="AE1069" t="n">
        <v>2</v>
      </c>
      <c r="AF1069" t="n">
        <v>2</v>
      </c>
      <c r="AG1069" t="n">
        <v>6</v>
      </c>
      <c r="AH1069" t="n">
        <v>33</v>
      </c>
      <c r="AI1069" t="n">
        <v>40</v>
      </c>
      <c r="AJ1069" t="n">
        <v>28</v>
      </c>
      <c r="AK1069" t="n">
        <v>65</v>
      </c>
      <c r="AL1069" t="n">
        <v>0</v>
      </c>
      <c r="AM1069" t="n">
        <v>33</v>
      </c>
      <c r="AN1069" t="n">
        <v>0</v>
      </c>
      <c r="AO1069" t="n">
        <v>0</v>
      </c>
      <c r="AP1069" t="n">
        <v>3</v>
      </c>
      <c r="AQ1069" t="n">
        <v>61</v>
      </c>
      <c r="AR1069" t="n">
        <v>83</v>
      </c>
      <c r="AS1069" t="n">
        <v>31</v>
      </c>
      <c r="AT1069" t="n">
        <v>0</v>
      </c>
      <c r="AU1069" t="n">
        <v>0</v>
      </c>
      <c r="AV1069" t="n">
        <v>1</v>
      </c>
      <c r="AW1069" t="n">
        <v>11</v>
      </c>
      <c r="AX1069" t="n">
        <v>1</v>
      </c>
      <c r="AY1069" t="n">
        <v>14</v>
      </c>
      <c r="AZ1069" t="n">
        <v>0</v>
      </c>
      <c r="BA1069" t="n">
        <v>1</v>
      </c>
      <c r="BB1069" t="n">
        <v>42</v>
      </c>
      <c r="BC1069" t="n">
        <v>28</v>
      </c>
      <c r="BD1069" t="n">
        <v>29</v>
      </c>
      <c r="BE1069" t="n">
        <v>11</v>
      </c>
      <c r="BF1069" t="n">
        <v>24</v>
      </c>
      <c r="BG1069" t="n">
        <v>0</v>
      </c>
      <c r="BH1069" t="n">
        <v>3</v>
      </c>
      <c r="BI1069" t="n">
        <v>4</v>
      </c>
      <c r="BJ1069" t="n">
        <v>1</v>
      </c>
      <c r="BK1069" t="n">
        <v>0</v>
      </c>
      <c r="BL1069" t="n">
        <v>1</v>
      </c>
      <c r="BM1069" t="n">
        <v>22</v>
      </c>
      <c r="BN1069" t="n">
        <v>12</v>
      </c>
      <c r="BO1069" t="n">
        <v>11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173</v>
      </c>
      <c r="Z1070" t="n">
        <v>169</v>
      </c>
      <c r="AA1070" t="n">
        <v>115</v>
      </c>
      <c r="AB1070" t="n">
        <v>1</v>
      </c>
      <c r="AC1070" t="n">
        <v>2</v>
      </c>
      <c r="AD1070" t="n">
        <v>4</v>
      </c>
      <c r="AE1070" t="n">
        <v>2</v>
      </c>
      <c r="AF1070" t="n">
        <v>0</v>
      </c>
      <c r="AG1070" t="n">
        <v>8</v>
      </c>
      <c r="AH1070" t="n">
        <v>42</v>
      </c>
      <c r="AI1070" t="n">
        <v>7</v>
      </c>
      <c r="AJ1070" t="n">
        <v>2</v>
      </c>
      <c r="AK1070" t="n">
        <v>56</v>
      </c>
      <c r="AL1070" t="n">
        <v>4</v>
      </c>
      <c r="AM1070" t="n">
        <v>16</v>
      </c>
      <c r="AN1070" t="n">
        <v>0</v>
      </c>
      <c r="AO1070" t="n">
        <v>0</v>
      </c>
      <c r="AP1070" t="n">
        <v>6</v>
      </c>
      <c r="AQ1070" t="n">
        <v>55</v>
      </c>
      <c r="AR1070" t="n">
        <v>177</v>
      </c>
      <c r="AS1070" t="n">
        <v>126</v>
      </c>
      <c r="AT1070" t="n">
        <v>1</v>
      </c>
      <c r="AU1070" t="n">
        <v>0</v>
      </c>
      <c r="AV1070" t="n">
        <v>12</v>
      </c>
      <c r="AW1070" t="n">
        <v>1</v>
      </c>
      <c r="AX1070" t="n">
        <v>0</v>
      </c>
      <c r="AY1070" t="n">
        <v>54</v>
      </c>
      <c r="AZ1070" t="n">
        <v>5</v>
      </c>
      <c r="BA1070" t="n">
        <v>7</v>
      </c>
      <c r="BB1070" t="n">
        <v>115</v>
      </c>
      <c r="BC1070" t="n">
        <v>21</v>
      </c>
      <c r="BD1070" t="n">
        <v>37</v>
      </c>
      <c r="BE1070" t="n">
        <v>11</v>
      </c>
      <c r="BF1070" t="n">
        <v>5</v>
      </c>
      <c r="BG1070" t="n">
        <v>1</v>
      </c>
      <c r="BH1070" t="n">
        <v>8</v>
      </c>
      <c r="BI1070" t="n">
        <v>1</v>
      </c>
      <c r="BJ1070" t="n">
        <v>14</v>
      </c>
      <c r="BK1070" t="n">
        <v>3</v>
      </c>
      <c r="BL1070" t="n">
        <v>8</v>
      </c>
      <c r="BM1070" t="n">
        <v>14</v>
      </c>
      <c r="BN1070" t="n">
        <v>6</v>
      </c>
      <c r="BO1070" t="n">
        <v>28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2</v>
      </c>
      <c r="N1071" t="n">
        <v>0</v>
      </c>
      <c r="O1071" t="n">
        <v>0</v>
      </c>
      <c r="P1071" t="n">
        <v>0</v>
      </c>
      <c r="Q1071" t="n">
        <v>0</v>
      </c>
      <c r="R1071" t="n">
        <v>3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210</v>
      </c>
      <c r="Z1071" t="n">
        <v>237</v>
      </c>
      <c r="AA1071" t="n">
        <v>31</v>
      </c>
      <c r="AB1071" t="n">
        <v>3</v>
      </c>
      <c r="AC1071" t="n">
        <v>0</v>
      </c>
      <c r="AD1071" t="n">
        <v>6</v>
      </c>
      <c r="AE1071" t="n">
        <v>6</v>
      </c>
      <c r="AF1071" t="n">
        <v>1</v>
      </c>
      <c r="AG1071" t="n">
        <v>5</v>
      </c>
      <c r="AH1071" t="n">
        <v>64</v>
      </c>
      <c r="AI1071" t="n">
        <v>19</v>
      </c>
      <c r="AJ1071" t="n">
        <v>70</v>
      </c>
      <c r="AK1071" t="n">
        <v>33</v>
      </c>
      <c r="AL1071" t="n">
        <v>4</v>
      </c>
      <c r="AM1071" t="n">
        <v>103</v>
      </c>
      <c r="AN1071" t="n">
        <v>0</v>
      </c>
      <c r="AO1071" t="n">
        <v>0</v>
      </c>
      <c r="AP1071" t="n">
        <v>6</v>
      </c>
      <c r="AQ1071" t="n">
        <v>-2</v>
      </c>
      <c r="AR1071" t="n">
        <v>71</v>
      </c>
      <c r="AS1071" t="n">
        <v>66</v>
      </c>
      <c r="AT1071" t="n">
        <v>4</v>
      </c>
      <c r="AU1071" t="n">
        <v>2</v>
      </c>
      <c r="AV1071" t="n">
        <v>27</v>
      </c>
      <c r="AW1071" t="n">
        <v>10</v>
      </c>
      <c r="AX1071" t="n">
        <v>0</v>
      </c>
      <c r="AY1071" t="n">
        <v>11</v>
      </c>
      <c r="AZ1071" t="n">
        <v>4</v>
      </c>
      <c r="BA1071" t="n">
        <v>90</v>
      </c>
      <c r="BB1071" t="n">
        <v>132</v>
      </c>
      <c r="BC1071" t="n">
        <v>87</v>
      </c>
      <c r="BD1071" t="n">
        <v>66</v>
      </c>
      <c r="BE1071" t="n">
        <v>10</v>
      </c>
      <c r="BF1071" t="n">
        <v>66</v>
      </c>
      <c r="BG1071" t="n">
        <v>0</v>
      </c>
      <c r="BH1071" t="n">
        <v>10</v>
      </c>
      <c r="BI1071" t="n">
        <v>12</v>
      </c>
      <c r="BJ1071" t="n">
        <v>12</v>
      </c>
      <c r="BK1071" t="n">
        <v>0</v>
      </c>
      <c r="BL1071" t="n">
        <v>10</v>
      </c>
      <c r="BM1071" t="n">
        <v>12</v>
      </c>
      <c r="BN1071" t="n">
        <v>4</v>
      </c>
      <c r="BO1071" t="n">
        <v>2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2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217</v>
      </c>
      <c r="Z1072" t="n">
        <v>96</v>
      </c>
      <c r="AA1072" t="n">
        <v>59</v>
      </c>
      <c r="AB1072" t="n">
        <v>3</v>
      </c>
      <c r="AC1072" t="n">
        <v>0</v>
      </c>
      <c r="AD1072" t="n">
        <v>2</v>
      </c>
      <c r="AE1072" t="n">
        <v>4</v>
      </c>
      <c r="AF1072" t="n">
        <v>3</v>
      </c>
      <c r="AG1072" t="n">
        <v>11</v>
      </c>
      <c r="AH1072" t="n">
        <v>37</v>
      </c>
      <c r="AI1072" t="n">
        <v>67</v>
      </c>
      <c r="AJ1072" t="n">
        <v>47</v>
      </c>
      <c r="AK1072" t="n">
        <v>110</v>
      </c>
      <c r="AL1072" t="n">
        <v>1</v>
      </c>
      <c r="AM1072" t="n">
        <v>25</v>
      </c>
      <c r="AN1072" t="n">
        <v>0</v>
      </c>
      <c r="AO1072" t="n">
        <v>0</v>
      </c>
      <c r="AP1072" t="n">
        <v>8</v>
      </c>
      <c r="AQ1072" t="n">
        <v>52</v>
      </c>
      <c r="AR1072" t="n">
        <v>86</v>
      </c>
      <c r="AS1072" t="n">
        <v>43</v>
      </c>
      <c r="AT1072" t="n">
        <v>1</v>
      </c>
      <c r="AU1072" t="n">
        <v>2</v>
      </c>
      <c r="AV1072" t="n">
        <v>9</v>
      </c>
      <c r="AW1072" t="n">
        <v>3</v>
      </c>
      <c r="AX1072" t="n">
        <v>0</v>
      </c>
      <c r="AY1072" t="n">
        <v>82</v>
      </c>
      <c r="AZ1072" t="n">
        <v>2</v>
      </c>
      <c r="BA1072" t="n">
        <v>11</v>
      </c>
      <c r="BB1072" t="n">
        <v>66</v>
      </c>
      <c r="BC1072" t="n">
        <v>31</v>
      </c>
      <c r="BD1072" t="n">
        <v>37</v>
      </c>
      <c r="BE1072" t="n">
        <v>9</v>
      </c>
      <c r="BF1072" t="n">
        <v>37</v>
      </c>
      <c r="BG1072" t="n">
        <v>1</v>
      </c>
      <c r="BH1072" t="n">
        <v>10</v>
      </c>
      <c r="BI1072" t="n">
        <v>11</v>
      </c>
      <c r="BJ1072" t="n">
        <v>18</v>
      </c>
      <c r="BK1072" t="n">
        <v>3</v>
      </c>
      <c r="BL1072" t="n">
        <v>8</v>
      </c>
      <c r="BM1072" t="n">
        <v>44</v>
      </c>
      <c r="BN1072" t="n">
        <v>26</v>
      </c>
      <c r="BO1072" t="n">
        <v>2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0</v>
      </c>
      <c r="M1073" t="n">
        <v>2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213</v>
      </c>
      <c r="Z1073" t="n">
        <v>297</v>
      </c>
      <c r="AA1073" t="n">
        <v>47</v>
      </c>
      <c r="AB1073" t="n">
        <v>2</v>
      </c>
      <c r="AC1073" t="n">
        <v>3</v>
      </c>
      <c r="AD1073" t="n">
        <v>7</v>
      </c>
      <c r="AE1073" t="n">
        <v>3</v>
      </c>
      <c r="AF1073" t="n">
        <v>7</v>
      </c>
      <c r="AG1073" t="n">
        <v>2</v>
      </c>
      <c r="AH1073" t="n">
        <v>78</v>
      </c>
      <c r="AI1073" t="n">
        <v>31</v>
      </c>
      <c r="AJ1073" t="n">
        <v>79</v>
      </c>
      <c r="AK1073" t="n">
        <v>1</v>
      </c>
      <c r="AL1073" t="n">
        <v>2</v>
      </c>
      <c r="AM1073" t="n">
        <v>11</v>
      </c>
      <c r="AN1073" t="n">
        <v>0</v>
      </c>
      <c r="AO1073" t="n">
        <v>0</v>
      </c>
      <c r="AP1073" t="n">
        <v>2</v>
      </c>
      <c r="AQ1073" t="n">
        <v>41</v>
      </c>
      <c r="AR1073" t="n">
        <v>96</v>
      </c>
      <c r="AS1073" t="n">
        <v>62</v>
      </c>
      <c r="AT1073" t="n">
        <v>3</v>
      </c>
      <c r="AU1073" t="n">
        <v>0</v>
      </c>
      <c r="AV1073" t="n">
        <v>10</v>
      </c>
      <c r="AW1073" t="n">
        <v>1</v>
      </c>
      <c r="AX1073" t="n">
        <v>16</v>
      </c>
      <c r="AY1073" t="n">
        <v>24</v>
      </c>
      <c r="AZ1073" t="n">
        <v>4</v>
      </c>
      <c r="BA1073" t="n">
        <v>61</v>
      </c>
      <c r="BB1073" t="n">
        <v>115</v>
      </c>
      <c r="BC1073" t="n">
        <v>10</v>
      </c>
      <c r="BD1073" t="n">
        <v>76</v>
      </c>
      <c r="BE1073" t="n">
        <v>3</v>
      </c>
      <c r="BF1073" t="n">
        <v>63</v>
      </c>
      <c r="BG1073" t="n">
        <v>3</v>
      </c>
      <c r="BH1073" t="n">
        <v>10</v>
      </c>
      <c r="BI1073" t="n">
        <v>1</v>
      </c>
      <c r="BJ1073" t="n">
        <v>12</v>
      </c>
      <c r="BK1073" t="n">
        <v>2</v>
      </c>
      <c r="BL1073" t="n">
        <v>11</v>
      </c>
      <c r="BM1073" t="n">
        <v>12</v>
      </c>
      <c r="BN1073" t="n">
        <v>3</v>
      </c>
      <c r="BO1073" t="n">
        <v>7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133</v>
      </c>
      <c r="Z1074" t="n">
        <v>254</v>
      </c>
      <c r="AA1074" t="n">
        <v>106</v>
      </c>
      <c r="AB1074" t="n">
        <v>0</v>
      </c>
      <c r="AC1074" t="n">
        <v>1</v>
      </c>
      <c r="AD1074" t="n">
        <v>5</v>
      </c>
      <c r="AE1074" t="n">
        <v>7</v>
      </c>
      <c r="AF1074" t="n">
        <v>1</v>
      </c>
      <c r="AG1074" t="n">
        <v>5</v>
      </c>
      <c r="AH1074" t="n">
        <v>26</v>
      </c>
      <c r="AI1074" t="n">
        <v>57</v>
      </c>
      <c r="AJ1074" t="n">
        <v>9</v>
      </c>
      <c r="AK1074" t="n">
        <v>59</v>
      </c>
      <c r="AL1074" t="n">
        <v>2</v>
      </c>
      <c r="AM1074" t="n">
        <v>29</v>
      </c>
      <c r="AN1074" t="n">
        <v>0</v>
      </c>
      <c r="AO1074" t="n">
        <v>0</v>
      </c>
      <c r="AP1074" t="n">
        <v>3</v>
      </c>
      <c r="AQ1074" t="n">
        <v>56</v>
      </c>
      <c r="AR1074" t="n">
        <v>120</v>
      </c>
      <c r="AS1074" t="n">
        <v>72</v>
      </c>
      <c r="AT1074" t="n">
        <v>0</v>
      </c>
      <c r="AU1074" t="n">
        <v>3</v>
      </c>
      <c r="AV1074" t="n">
        <v>12</v>
      </c>
      <c r="AW1074" t="n">
        <v>17</v>
      </c>
      <c r="AX1074" t="n">
        <v>3</v>
      </c>
      <c r="AY1074" t="n">
        <v>-3</v>
      </c>
      <c r="AZ1074" t="n">
        <v>0</v>
      </c>
      <c r="BA1074" t="n">
        <v>2</v>
      </c>
      <c r="BB1074" t="n">
        <v>103</v>
      </c>
      <c r="BC1074" t="n">
        <v>24</v>
      </c>
      <c r="BD1074" t="n">
        <v>24</v>
      </c>
      <c r="BE1074" t="n">
        <v>17</v>
      </c>
      <c r="BF1074" t="n">
        <v>7</v>
      </c>
      <c r="BG1074" t="n">
        <v>3</v>
      </c>
      <c r="BH1074" t="n">
        <v>0</v>
      </c>
      <c r="BI1074" t="n">
        <v>7</v>
      </c>
      <c r="BJ1074" t="n">
        <v>4</v>
      </c>
      <c r="BK1074" t="n">
        <v>3</v>
      </c>
      <c r="BL1074" t="n">
        <v>25</v>
      </c>
      <c r="BM1074" t="n">
        <v>39</v>
      </c>
      <c r="BN1074" t="n">
        <v>15</v>
      </c>
      <c r="BO1074" t="n">
        <v>54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0</v>
      </c>
      <c r="V1075" t="n">
        <v>0</v>
      </c>
      <c r="W1075" t="n">
        <v>0</v>
      </c>
      <c r="X1075" t="n">
        <v>0</v>
      </c>
      <c r="Y1075" t="n">
        <v>181</v>
      </c>
      <c r="Z1075" t="n">
        <v>153</v>
      </c>
      <c r="AA1075" t="n">
        <v>71</v>
      </c>
      <c r="AB1075" t="n">
        <v>1</v>
      </c>
      <c r="AC1075" t="n">
        <v>1</v>
      </c>
      <c r="AD1075" t="n">
        <v>2</v>
      </c>
      <c r="AE1075" t="n">
        <v>4</v>
      </c>
      <c r="AF1075" t="n">
        <v>3</v>
      </c>
      <c r="AG1075" t="n">
        <v>3</v>
      </c>
      <c r="AH1075" t="n">
        <v>21</v>
      </c>
      <c r="AI1075" t="n">
        <v>28</v>
      </c>
      <c r="AJ1075" t="n">
        <v>67</v>
      </c>
      <c r="AK1075" t="n">
        <v>13</v>
      </c>
      <c r="AL1075" t="n">
        <v>1</v>
      </c>
      <c r="AM1075" t="n">
        <v>99</v>
      </c>
      <c r="AN1075" t="n">
        <v>0</v>
      </c>
      <c r="AO1075" t="n">
        <v>0</v>
      </c>
      <c r="AP1075" t="n">
        <v>3</v>
      </c>
      <c r="AQ1075" t="n">
        <v>12</v>
      </c>
      <c r="AR1075" t="n">
        <v>54</v>
      </c>
      <c r="AS1075" t="n">
        <v>44</v>
      </c>
      <c r="AT1075" t="n">
        <v>2</v>
      </c>
      <c r="AU1075" t="n">
        <v>2</v>
      </c>
      <c r="AV1075" t="n">
        <v>19</v>
      </c>
      <c r="AW1075" t="n">
        <v>4</v>
      </c>
      <c r="AX1075" t="n">
        <v>1</v>
      </c>
      <c r="AY1075" t="n">
        <v>5</v>
      </c>
      <c r="AZ1075" t="n">
        <v>1</v>
      </c>
      <c r="BA1075" t="n">
        <v>3</v>
      </c>
      <c r="BB1075" t="n">
        <v>69</v>
      </c>
      <c r="BC1075" t="n">
        <v>81</v>
      </c>
      <c r="BD1075" t="n">
        <v>33</v>
      </c>
      <c r="BE1075" t="n">
        <v>4</v>
      </c>
      <c r="BF1075" t="n">
        <v>53</v>
      </c>
      <c r="BG1075" t="n">
        <v>0</v>
      </c>
      <c r="BH1075" t="n">
        <v>3</v>
      </c>
      <c r="BI1075" t="n">
        <v>22</v>
      </c>
      <c r="BJ1075" t="n">
        <v>21</v>
      </c>
      <c r="BK1075" t="n">
        <v>1</v>
      </c>
      <c r="BL1075" t="n">
        <v>19</v>
      </c>
      <c r="BM1075" t="n">
        <v>13</v>
      </c>
      <c r="BN1075" t="n">
        <v>0</v>
      </c>
      <c r="BO1075" t="n">
        <v>9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2</v>
      </c>
      <c r="U1076" t="n">
        <v>0</v>
      </c>
      <c r="V1076" t="n">
        <v>0</v>
      </c>
      <c r="W1076" t="n">
        <v>0</v>
      </c>
      <c r="X1076" t="n">
        <v>0</v>
      </c>
      <c r="Y1076" t="n">
        <v>252</v>
      </c>
      <c r="Z1076" t="n">
        <v>191</v>
      </c>
      <c r="AA1076" t="n">
        <v>57</v>
      </c>
      <c r="AB1076" t="n">
        <v>2</v>
      </c>
      <c r="AC1076" t="n">
        <v>2</v>
      </c>
      <c r="AD1076" t="n">
        <v>3</v>
      </c>
      <c r="AE1076" t="n">
        <v>1</v>
      </c>
      <c r="AF1076" t="n">
        <v>3</v>
      </c>
      <c r="AG1076" t="n">
        <v>3</v>
      </c>
      <c r="AH1076" t="n">
        <v>33</v>
      </c>
      <c r="AI1076" t="n">
        <v>6</v>
      </c>
      <c r="AJ1076" t="n">
        <v>46</v>
      </c>
      <c r="AK1076" t="n">
        <v>50</v>
      </c>
      <c r="AL1076" t="n">
        <v>3</v>
      </c>
      <c r="AM1076" t="n">
        <v>50</v>
      </c>
      <c r="AN1076" t="n">
        <v>0</v>
      </c>
      <c r="AO1076" t="n">
        <v>0</v>
      </c>
      <c r="AP1076" t="n">
        <v>6</v>
      </c>
      <c r="AQ1076" t="n">
        <v>27</v>
      </c>
      <c r="AR1076" t="n">
        <v>56</v>
      </c>
      <c r="AS1076" t="n">
        <v>35</v>
      </c>
      <c r="AT1076" t="n">
        <v>3</v>
      </c>
      <c r="AU1076" t="n">
        <v>1</v>
      </c>
      <c r="AV1076" t="n">
        <v>57</v>
      </c>
      <c r="AW1076" t="n">
        <v>12</v>
      </c>
      <c r="AX1076" t="n">
        <v>0</v>
      </c>
      <c r="AY1076" t="n">
        <v>34</v>
      </c>
      <c r="AZ1076" t="n">
        <v>3</v>
      </c>
      <c r="BA1076" t="n">
        <v>27</v>
      </c>
      <c r="BB1076" t="n">
        <v>82</v>
      </c>
      <c r="BC1076" t="n">
        <v>42</v>
      </c>
      <c r="BD1076" t="n">
        <v>30</v>
      </c>
      <c r="BE1076" t="n">
        <v>12</v>
      </c>
      <c r="BF1076" t="n">
        <v>43</v>
      </c>
      <c r="BG1076" t="n">
        <v>2</v>
      </c>
      <c r="BH1076" t="n">
        <v>15</v>
      </c>
      <c r="BI1076" t="n">
        <v>32</v>
      </c>
      <c r="BJ1076" t="n">
        <v>28</v>
      </c>
      <c r="BK1076" t="n">
        <v>4</v>
      </c>
      <c r="BL1076" t="n">
        <v>56</v>
      </c>
      <c r="BM1076" t="n">
        <v>35</v>
      </c>
      <c r="BN1076" t="n">
        <v>-3</v>
      </c>
      <c r="BO1076" t="n">
        <v>18</v>
      </c>
    </row>
    <row r="1077">
      <c r="A1077" t="n">
        <v>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252</v>
      </c>
      <c r="Z1077" t="n">
        <v>187</v>
      </c>
      <c r="AA1077" t="n">
        <v>26</v>
      </c>
      <c r="AB1077" t="n">
        <v>1</v>
      </c>
      <c r="AC1077" t="n">
        <v>0</v>
      </c>
      <c r="AD1077" t="n">
        <v>10</v>
      </c>
      <c r="AE1077" t="n">
        <v>6</v>
      </c>
      <c r="AF1077" t="n">
        <v>2</v>
      </c>
      <c r="AG1077" t="n">
        <v>2</v>
      </c>
      <c r="AH1077" t="n">
        <v>163</v>
      </c>
      <c r="AI1077" t="n">
        <v>98</v>
      </c>
      <c r="AJ1077" t="n">
        <v>16</v>
      </c>
      <c r="AK1077" t="n">
        <v>1</v>
      </c>
      <c r="AL1077" t="n">
        <v>4</v>
      </c>
      <c r="AM1077" t="n">
        <v>36</v>
      </c>
      <c r="AN1077" t="n">
        <v>1</v>
      </c>
      <c r="AO1077" t="n">
        <v>0</v>
      </c>
      <c r="AP1077" t="n">
        <v>0</v>
      </c>
      <c r="AQ1077" t="n">
        <v>6</v>
      </c>
      <c r="AR1077" t="n">
        <v>122</v>
      </c>
      <c r="AS1077" t="n">
        <v>111</v>
      </c>
      <c r="AT1077" t="n">
        <v>3</v>
      </c>
      <c r="AU1077" t="n">
        <v>2</v>
      </c>
      <c r="AV1077" t="n">
        <v>10</v>
      </c>
      <c r="AW1077" t="n">
        <v>18</v>
      </c>
      <c r="AX1077" t="n">
        <v>17</v>
      </c>
      <c r="AY1077" t="n">
        <v>24</v>
      </c>
      <c r="AZ1077" t="n">
        <v>3</v>
      </c>
      <c r="BA1077" t="n">
        <v>18</v>
      </c>
      <c r="BB1077" t="n">
        <v>44</v>
      </c>
      <c r="BC1077" t="n">
        <v>37</v>
      </c>
      <c r="BD1077" t="n">
        <v>146</v>
      </c>
      <c r="BE1077" t="n">
        <v>21</v>
      </c>
      <c r="BF1077" t="n">
        <v>13</v>
      </c>
      <c r="BG1077" t="n">
        <v>0</v>
      </c>
      <c r="BH1077" t="n">
        <v>3</v>
      </c>
      <c r="BI1077" t="n">
        <v>3</v>
      </c>
      <c r="BJ1077" t="n">
        <v>22</v>
      </c>
      <c r="BK1077" t="n">
        <v>0</v>
      </c>
      <c r="BL1077" t="n">
        <v>1</v>
      </c>
      <c r="BM1077" t="n">
        <v>13</v>
      </c>
      <c r="BN1077" t="n">
        <v>7</v>
      </c>
      <c r="BO1077" t="n">
        <v>44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165</v>
      </c>
      <c r="Z1078" t="n">
        <v>192</v>
      </c>
      <c r="AA1078" t="n">
        <v>52</v>
      </c>
      <c r="AB1078" t="n">
        <v>0</v>
      </c>
      <c r="AC1078" t="n">
        <v>1</v>
      </c>
      <c r="AD1078" t="n">
        <v>4</v>
      </c>
      <c r="AE1078" t="n">
        <v>11</v>
      </c>
      <c r="AF1078" t="n">
        <v>1</v>
      </c>
      <c r="AG1078" t="n">
        <v>1</v>
      </c>
      <c r="AH1078" t="n">
        <v>64</v>
      </c>
      <c r="AI1078" t="n">
        <v>119</v>
      </c>
      <c r="AJ1078" t="n">
        <v>2</v>
      </c>
      <c r="AK1078" t="n">
        <v>7</v>
      </c>
      <c r="AL1078" t="n">
        <v>1</v>
      </c>
      <c r="AM1078" t="n">
        <v>40</v>
      </c>
      <c r="AN1078" t="n">
        <v>1</v>
      </c>
      <c r="AO1078" t="n">
        <v>0</v>
      </c>
      <c r="AP1078" t="n">
        <v>0</v>
      </c>
      <c r="AQ1078" t="n">
        <v>3</v>
      </c>
      <c r="AR1078" t="n">
        <v>92</v>
      </c>
      <c r="AS1078" t="n">
        <v>85</v>
      </c>
      <c r="AT1078" t="n">
        <v>6</v>
      </c>
      <c r="AU1078" t="n">
        <v>1</v>
      </c>
      <c r="AV1078" t="n">
        <v>41</v>
      </c>
      <c r="AW1078" t="n">
        <v>24</v>
      </c>
      <c r="AX1078" t="n">
        <v>0</v>
      </c>
      <c r="AY1078" t="n">
        <v>18</v>
      </c>
      <c r="AZ1078" t="n">
        <v>1</v>
      </c>
      <c r="BA1078" t="n">
        <v>10</v>
      </c>
      <c r="BB1078" t="n">
        <v>59</v>
      </c>
      <c r="BC1078" t="n">
        <v>34</v>
      </c>
      <c r="BD1078" t="n">
        <v>94</v>
      </c>
      <c r="BE1078" t="n">
        <v>24</v>
      </c>
      <c r="BF1078" t="n">
        <v>2</v>
      </c>
      <c r="BG1078" t="n">
        <v>1</v>
      </c>
      <c r="BH1078" t="n">
        <v>11</v>
      </c>
      <c r="BI1078" t="n">
        <v>14</v>
      </c>
      <c r="BJ1078" t="n">
        <v>19</v>
      </c>
      <c r="BK1078" t="n">
        <v>3</v>
      </c>
      <c r="BL1078" t="n">
        <v>9</v>
      </c>
      <c r="BM1078" t="n">
        <v>6</v>
      </c>
      <c r="BN1078" t="n">
        <v>0</v>
      </c>
      <c r="BO1078" t="n">
        <v>23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148</v>
      </c>
      <c r="Z1079" t="n">
        <v>356</v>
      </c>
      <c r="AA1079" t="n">
        <v>8</v>
      </c>
      <c r="AB1079" t="n">
        <v>4</v>
      </c>
      <c r="AC1079" t="n">
        <v>0</v>
      </c>
      <c r="AD1079" t="n">
        <v>5</v>
      </c>
      <c r="AE1079" t="n">
        <v>3</v>
      </c>
      <c r="AF1079" t="n">
        <v>4</v>
      </c>
      <c r="AG1079" t="n">
        <v>10</v>
      </c>
      <c r="AH1079" t="n">
        <v>19</v>
      </c>
      <c r="AI1079" t="n">
        <v>119</v>
      </c>
      <c r="AJ1079" t="n">
        <v>29</v>
      </c>
      <c r="AK1079" t="n">
        <v>51</v>
      </c>
      <c r="AL1079" t="n">
        <v>8</v>
      </c>
      <c r="AM1079" t="n">
        <v>180</v>
      </c>
      <c r="AN1079" t="n">
        <v>0</v>
      </c>
      <c r="AO1079" t="n">
        <v>0</v>
      </c>
      <c r="AP1079" t="n">
        <v>2</v>
      </c>
      <c r="AQ1079" t="n">
        <v>-19</v>
      </c>
      <c r="AR1079" t="n">
        <v>25</v>
      </c>
      <c r="AS1079" t="n">
        <v>35</v>
      </c>
      <c r="AT1079" t="n">
        <v>1</v>
      </c>
      <c r="AU1079" t="n">
        <v>2</v>
      </c>
      <c r="AV1079" t="n">
        <v>2</v>
      </c>
      <c r="AW1079" t="n">
        <v>9</v>
      </c>
      <c r="AX1079" t="n">
        <v>1</v>
      </c>
      <c r="AY1079" t="n">
        <v>35</v>
      </c>
      <c r="AZ1079" t="n">
        <v>4</v>
      </c>
      <c r="BA1079" t="n">
        <v>24</v>
      </c>
      <c r="BB1079" t="n">
        <v>37</v>
      </c>
      <c r="BC1079" t="n">
        <v>168</v>
      </c>
      <c r="BD1079" t="n">
        <v>17</v>
      </c>
      <c r="BE1079" t="n">
        <v>9</v>
      </c>
      <c r="BF1079" t="n">
        <v>36</v>
      </c>
      <c r="BG1079" t="n">
        <v>3</v>
      </c>
      <c r="BH1079" t="n">
        <v>22</v>
      </c>
      <c r="BI1079" t="n">
        <v>20</v>
      </c>
      <c r="BJ1079" t="n">
        <v>19</v>
      </c>
      <c r="BK1079" t="n">
        <v>6</v>
      </c>
      <c r="BL1079" t="n">
        <v>32</v>
      </c>
      <c r="BM1079" t="n">
        <v>28</v>
      </c>
      <c r="BN1079" t="n">
        <v>5</v>
      </c>
      <c r="BO1079" t="n">
        <v>4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2</v>
      </c>
      <c r="U1080" t="n">
        <v>1</v>
      </c>
      <c r="V1080" t="n">
        <v>0</v>
      </c>
      <c r="W1080" t="n">
        <v>0</v>
      </c>
      <c r="X1080" t="n">
        <v>0</v>
      </c>
      <c r="Y1080" t="n">
        <v>191</v>
      </c>
      <c r="Z1080" t="n">
        <v>186</v>
      </c>
      <c r="AA1080" t="n">
        <v>72</v>
      </c>
      <c r="AB1080" t="n">
        <v>0</v>
      </c>
      <c r="AC1080" t="n">
        <v>2</v>
      </c>
      <c r="AD1080" t="n">
        <v>3</v>
      </c>
      <c r="AE1080" t="n">
        <v>3</v>
      </c>
      <c r="AF1080" t="n">
        <v>2</v>
      </c>
      <c r="AG1080" t="n">
        <v>9</v>
      </c>
      <c r="AH1080" t="n">
        <v>23</v>
      </c>
      <c r="AI1080" t="n">
        <v>30</v>
      </c>
      <c r="AJ1080" t="n">
        <v>15</v>
      </c>
      <c r="AK1080" t="n">
        <v>83</v>
      </c>
      <c r="AL1080" t="n">
        <v>8</v>
      </c>
      <c r="AM1080" t="n">
        <v>72</v>
      </c>
      <c r="AN1080" t="n">
        <v>0</v>
      </c>
      <c r="AO1080" t="n">
        <v>0</v>
      </c>
      <c r="AP1080" t="n">
        <v>1</v>
      </c>
      <c r="AQ1080" t="n">
        <v>1</v>
      </c>
      <c r="AR1080" t="n">
        <v>141</v>
      </c>
      <c r="AS1080" t="n">
        <v>129</v>
      </c>
      <c r="AT1080" t="n">
        <v>0</v>
      </c>
      <c r="AU1080" t="n">
        <v>0</v>
      </c>
      <c r="AV1080" t="n">
        <v>1</v>
      </c>
      <c r="AW1080" t="n">
        <v>9</v>
      </c>
      <c r="AX1080" t="n">
        <v>0</v>
      </c>
      <c r="AY1080" t="n">
        <v>40</v>
      </c>
      <c r="AZ1080" t="n">
        <v>5</v>
      </c>
      <c r="BA1080" t="n">
        <v>24</v>
      </c>
      <c r="BB1080" t="n">
        <v>95</v>
      </c>
      <c r="BC1080" t="n">
        <v>61</v>
      </c>
      <c r="BD1080" t="n">
        <v>20</v>
      </c>
      <c r="BE1080" t="n">
        <v>11</v>
      </c>
      <c r="BF1080" t="n">
        <v>12</v>
      </c>
      <c r="BG1080" t="n">
        <v>0</v>
      </c>
      <c r="BH1080" t="n">
        <v>0</v>
      </c>
      <c r="BI1080" t="n">
        <v>1</v>
      </c>
      <c r="BJ1080" t="n">
        <v>4</v>
      </c>
      <c r="BK1080" t="n">
        <v>0</v>
      </c>
      <c r="BL1080" t="n">
        <v>1</v>
      </c>
      <c r="BM1080" t="n">
        <v>20</v>
      </c>
      <c r="BN1080" t="n">
        <v>11</v>
      </c>
      <c r="BO1080" t="n">
        <v>21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139</v>
      </c>
      <c r="Z1081" t="n">
        <v>126</v>
      </c>
      <c r="AA1081" t="n">
        <v>29</v>
      </c>
      <c r="AB1081" t="n">
        <v>3</v>
      </c>
      <c r="AC1081" t="n">
        <v>1</v>
      </c>
      <c r="AD1081" t="n">
        <v>5</v>
      </c>
      <c r="AE1081" t="n">
        <v>6</v>
      </c>
      <c r="AF1081" t="n">
        <v>0</v>
      </c>
      <c r="AG1081" t="n">
        <v>2</v>
      </c>
      <c r="AH1081" t="n">
        <v>17</v>
      </c>
      <c r="AI1081" t="n">
        <v>59</v>
      </c>
      <c r="AJ1081" t="n">
        <v>37</v>
      </c>
      <c r="AK1081" t="n">
        <v>24</v>
      </c>
      <c r="AL1081" t="n">
        <v>2</v>
      </c>
      <c r="AM1081" t="n">
        <v>55</v>
      </c>
      <c r="AN1081" t="n">
        <v>0</v>
      </c>
      <c r="AO1081" t="n">
        <v>0</v>
      </c>
      <c r="AP1081" t="n">
        <v>0</v>
      </c>
      <c r="AQ1081" t="n">
        <v>1</v>
      </c>
      <c r="AR1081" t="n">
        <v>84</v>
      </c>
      <c r="AS1081" t="n">
        <v>77</v>
      </c>
      <c r="AT1081" t="n">
        <v>0</v>
      </c>
      <c r="AU1081" t="n">
        <v>2</v>
      </c>
      <c r="AV1081" t="n">
        <v>6</v>
      </c>
      <c r="AW1081" t="n">
        <v>7</v>
      </c>
      <c r="AX1081" t="n">
        <v>0</v>
      </c>
      <c r="AY1081" t="n">
        <v>33</v>
      </c>
      <c r="AZ1081" t="n">
        <v>4</v>
      </c>
      <c r="BA1081" t="n">
        <v>27</v>
      </c>
      <c r="BB1081" t="n">
        <v>57</v>
      </c>
      <c r="BC1081" t="n">
        <v>49</v>
      </c>
      <c r="BD1081" t="n">
        <v>22</v>
      </c>
      <c r="BE1081" t="n">
        <v>10</v>
      </c>
      <c r="BF1081" t="n">
        <v>29</v>
      </c>
      <c r="BG1081" t="n">
        <v>4</v>
      </c>
      <c r="BH1081" t="n">
        <v>5</v>
      </c>
      <c r="BI1081" t="n">
        <v>15</v>
      </c>
      <c r="BJ1081" t="n">
        <v>13</v>
      </c>
      <c r="BK1081" t="n">
        <v>2</v>
      </c>
      <c r="BL1081" t="n">
        <v>1</v>
      </c>
      <c r="BM1081" t="n">
        <v>42</v>
      </c>
      <c r="BN1081" t="n">
        <v>26</v>
      </c>
      <c r="BO1081" t="n">
        <v>2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3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284</v>
      </c>
      <c r="Z1082" t="n">
        <v>304</v>
      </c>
      <c r="AA1082" t="n">
        <v>12</v>
      </c>
      <c r="AB1082" t="n">
        <v>1</v>
      </c>
      <c r="AC1082" t="n">
        <v>0</v>
      </c>
      <c r="AD1082" t="n">
        <v>2</v>
      </c>
      <c r="AE1082" t="n">
        <v>5</v>
      </c>
      <c r="AF1082" t="n">
        <v>0</v>
      </c>
      <c r="AG1082" t="n">
        <v>5</v>
      </c>
      <c r="AH1082" t="n">
        <v>24</v>
      </c>
      <c r="AI1082" t="n">
        <v>42</v>
      </c>
      <c r="AJ1082" t="n">
        <v>10</v>
      </c>
      <c r="AK1082" t="n">
        <v>80</v>
      </c>
      <c r="AL1082" t="n">
        <v>2</v>
      </c>
      <c r="AM1082" t="n">
        <v>191</v>
      </c>
      <c r="AN1082" t="n">
        <v>0</v>
      </c>
      <c r="AO1082" t="n">
        <v>0</v>
      </c>
      <c r="AP1082" t="n">
        <v>5</v>
      </c>
      <c r="AQ1082" t="n">
        <v>59</v>
      </c>
      <c r="AR1082" t="n">
        <v>125</v>
      </c>
      <c r="AS1082" t="n">
        <v>73</v>
      </c>
      <c r="AT1082" t="n">
        <v>3</v>
      </c>
      <c r="AU1082" t="n">
        <v>0</v>
      </c>
      <c r="AV1082" t="n">
        <v>71</v>
      </c>
      <c r="AW1082" t="n">
        <v>3</v>
      </c>
      <c r="AX1082" t="n">
        <v>11</v>
      </c>
      <c r="AY1082" t="n">
        <v>25</v>
      </c>
      <c r="AZ1082" t="n">
        <v>5</v>
      </c>
      <c r="BA1082" t="n">
        <v>55</v>
      </c>
      <c r="BB1082" t="n">
        <v>78</v>
      </c>
      <c r="BC1082" t="n">
        <v>160</v>
      </c>
      <c r="BD1082" t="n">
        <v>25</v>
      </c>
      <c r="BE1082" t="n">
        <v>5</v>
      </c>
      <c r="BF1082" t="n">
        <v>7</v>
      </c>
      <c r="BG1082" t="n">
        <v>3</v>
      </c>
      <c r="BH1082" t="n">
        <v>7</v>
      </c>
      <c r="BI1082" t="n">
        <v>25</v>
      </c>
      <c r="BJ1082" t="n">
        <v>22</v>
      </c>
      <c r="BK1082" t="n">
        <v>5</v>
      </c>
      <c r="BL1082" t="n">
        <v>14</v>
      </c>
      <c r="BM1082" t="n">
        <v>9</v>
      </c>
      <c r="BN1082" t="n">
        <v>0</v>
      </c>
      <c r="BO1082" t="n">
        <v>47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233</v>
      </c>
      <c r="Z1083" t="n">
        <v>220</v>
      </c>
      <c r="AA1083" t="n">
        <v>5</v>
      </c>
      <c r="AB1083" t="n">
        <v>0</v>
      </c>
      <c r="AC1083" t="n">
        <v>1</v>
      </c>
      <c r="AD1083" t="n">
        <v>4</v>
      </c>
      <c r="AE1083" t="n">
        <v>6</v>
      </c>
      <c r="AF1083" t="n">
        <v>4</v>
      </c>
      <c r="AG1083" t="n">
        <v>3</v>
      </c>
      <c r="AH1083" t="n">
        <v>42</v>
      </c>
      <c r="AI1083" t="n">
        <v>26</v>
      </c>
      <c r="AJ1083" t="n">
        <v>24</v>
      </c>
      <c r="AK1083" t="n">
        <v>42</v>
      </c>
      <c r="AL1083" t="n">
        <v>3</v>
      </c>
      <c r="AM1083" t="n">
        <v>51</v>
      </c>
      <c r="AN1083" t="n">
        <v>0</v>
      </c>
      <c r="AO1083" t="n">
        <v>0</v>
      </c>
      <c r="AP1083" t="n">
        <v>4</v>
      </c>
      <c r="AQ1083" t="n">
        <v>55</v>
      </c>
      <c r="AR1083" t="n">
        <v>147</v>
      </c>
      <c r="AS1083" t="n">
        <v>101</v>
      </c>
      <c r="AT1083" t="n">
        <v>0</v>
      </c>
      <c r="AU1083" t="n">
        <v>1</v>
      </c>
      <c r="AV1083" t="n">
        <v>1</v>
      </c>
      <c r="AW1083" t="n">
        <v>23</v>
      </c>
      <c r="AX1083" t="n">
        <v>0</v>
      </c>
      <c r="AY1083" t="n">
        <v>17</v>
      </c>
      <c r="AZ1083" t="n">
        <v>3</v>
      </c>
      <c r="BA1083" t="n">
        <v>10</v>
      </c>
      <c r="BB1083" t="n">
        <v>16</v>
      </c>
      <c r="BC1083" t="n">
        <v>42</v>
      </c>
      <c r="BD1083" t="n">
        <v>41</v>
      </c>
      <c r="BE1083" t="n">
        <v>25</v>
      </c>
      <c r="BF1083" t="n">
        <v>26</v>
      </c>
      <c r="BG1083" t="n">
        <v>4</v>
      </c>
      <c r="BH1083" t="n">
        <v>12</v>
      </c>
      <c r="BI1083" t="n">
        <v>59</v>
      </c>
      <c r="BJ1083" t="n">
        <v>53</v>
      </c>
      <c r="BK1083" t="n">
        <v>1</v>
      </c>
      <c r="BL1083" t="n">
        <v>22</v>
      </c>
      <c r="BM1083" t="n">
        <v>22</v>
      </c>
      <c r="BN1083" t="n">
        <v>5</v>
      </c>
      <c r="BO1083" t="n">
        <v>40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164</v>
      </c>
      <c r="Z1084" t="n">
        <v>241</v>
      </c>
      <c r="AA1084" t="n">
        <v>99</v>
      </c>
      <c r="AB1084" t="n">
        <v>0</v>
      </c>
      <c r="AC1084" t="n">
        <v>3</v>
      </c>
      <c r="AD1084" t="n">
        <v>4</v>
      </c>
      <c r="AE1084" t="n">
        <v>12</v>
      </c>
      <c r="AF1084" t="n">
        <v>5</v>
      </c>
      <c r="AG1084" t="n">
        <v>7</v>
      </c>
      <c r="AH1084" t="n">
        <v>41</v>
      </c>
      <c r="AI1084" t="n">
        <v>105</v>
      </c>
      <c r="AJ1084" t="n">
        <v>20</v>
      </c>
      <c r="AK1084" t="n">
        <v>54</v>
      </c>
      <c r="AL1084" t="n">
        <v>2</v>
      </c>
      <c r="AM1084" t="n">
        <v>17</v>
      </c>
      <c r="AN1084" t="n">
        <v>0</v>
      </c>
      <c r="AO1084" t="n">
        <v>0</v>
      </c>
      <c r="AP1084" t="n">
        <v>4</v>
      </c>
      <c r="AQ1084" t="n">
        <v>36</v>
      </c>
      <c r="AR1084" t="n">
        <v>90</v>
      </c>
      <c r="AS1084" t="n">
        <v>60</v>
      </c>
      <c r="AT1084" t="n">
        <v>3</v>
      </c>
      <c r="AU1084" t="n">
        <v>4</v>
      </c>
      <c r="AV1084" t="n">
        <v>1</v>
      </c>
      <c r="AW1084" t="n">
        <v>45</v>
      </c>
      <c r="AX1084" t="n">
        <v>2</v>
      </c>
      <c r="AY1084" t="n">
        <v>56</v>
      </c>
      <c r="AZ1084" t="n">
        <v>2</v>
      </c>
      <c r="BA1084" t="n">
        <v>15</v>
      </c>
      <c r="BB1084" t="n">
        <v>110</v>
      </c>
      <c r="BC1084" t="n">
        <v>17</v>
      </c>
      <c r="BD1084" t="n">
        <v>36</v>
      </c>
      <c r="BE1084" t="n">
        <v>45</v>
      </c>
      <c r="BF1084" t="n">
        <v>19</v>
      </c>
      <c r="BG1084" t="n">
        <v>4</v>
      </c>
      <c r="BH1084" t="n">
        <v>11</v>
      </c>
      <c r="BI1084" t="n">
        <v>1</v>
      </c>
      <c r="BJ1084" t="n">
        <v>1</v>
      </c>
      <c r="BK1084" t="n">
        <v>3</v>
      </c>
      <c r="BL1084" t="n">
        <v>30</v>
      </c>
      <c r="BM1084" t="n">
        <v>15</v>
      </c>
      <c r="BN1084" t="n">
        <v>-4</v>
      </c>
      <c r="BO1084" t="n">
        <v>25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2</v>
      </c>
      <c r="G1085" t="n">
        <v>0</v>
      </c>
      <c r="H1085" t="n">
        <v>0</v>
      </c>
      <c r="I1085" t="n">
        <v>0</v>
      </c>
      <c r="J1085" t="n">
        <v>3</v>
      </c>
      <c r="K1085" t="n">
        <v>0</v>
      </c>
      <c r="L1085" t="n">
        <v>0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3</v>
      </c>
      <c r="U1085" t="n">
        <v>0</v>
      </c>
      <c r="V1085" t="n">
        <v>0</v>
      </c>
      <c r="W1085" t="n">
        <v>0</v>
      </c>
      <c r="X1085" t="n">
        <v>0</v>
      </c>
      <c r="Y1085" t="n">
        <v>251</v>
      </c>
      <c r="Z1085" t="n">
        <v>178</v>
      </c>
      <c r="AA1085" t="n">
        <v>49</v>
      </c>
      <c r="AB1085" t="n">
        <v>1</v>
      </c>
      <c r="AC1085" t="n">
        <v>4</v>
      </c>
      <c r="AD1085" t="n">
        <v>9</v>
      </c>
      <c r="AE1085" t="n">
        <v>3</v>
      </c>
      <c r="AF1085" t="n">
        <v>3</v>
      </c>
      <c r="AG1085" t="n">
        <v>0</v>
      </c>
      <c r="AH1085" t="n">
        <v>96</v>
      </c>
      <c r="AI1085" t="n">
        <v>59</v>
      </c>
      <c r="AJ1085" t="n">
        <v>33</v>
      </c>
      <c r="AK1085" t="n">
        <v>1</v>
      </c>
      <c r="AL1085" t="n">
        <v>2</v>
      </c>
      <c r="AM1085" t="n">
        <v>17</v>
      </c>
      <c r="AN1085" t="n">
        <v>0</v>
      </c>
      <c r="AO1085" t="n">
        <v>0</v>
      </c>
      <c r="AP1085" t="n">
        <v>6</v>
      </c>
      <c r="AQ1085" t="n">
        <v>44</v>
      </c>
      <c r="AR1085" t="n">
        <v>123</v>
      </c>
      <c r="AS1085" t="n">
        <v>86</v>
      </c>
      <c r="AT1085" t="n">
        <v>1</v>
      </c>
      <c r="AU1085" t="n">
        <v>3</v>
      </c>
      <c r="AV1085" t="n">
        <v>12</v>
      </c>
      <c r="AW1085" t="n">
        <v>25</v>
      </c>
      <c r="AX1085" t="n">
        <v>0</v>
      </c>
      <c r="AY1085" t="n">
        <v>26</v>
      </c>
      <c r="AZ1085" t="n">
        <v>4</v>
      </c>
      <c r="BA1085" t="n">
        <v>31</v>
      </c>
      <c r="BB1085" t="n">
        <v>80</v>
      </c>
      <c r="BC1085" t="n">
        <v>14</v>
      </c>
      <c r="BD1085" t="n">
        <v>84</v>
      </c>
      <c r="BE1085" t="n">
        <v>25</v>
      </c>
      <c r="BF1085" t="n">
        <v>26</v>
      </c>
      <c r="BG1085" t="n">
        <v>2</v>
      </c>
      <c r="BH1085" t="n">
        <v>25</v>
      </c>
      <c r="BI1085" t="n">
        <v>20</v>
      </c>
      <c r="BJ1085" t="n">
        <v>17</v>
      </c>
      <c r="BK1085" t="n">
        <v>2</v>
      </c>
      <c r="BL1085" t="n">
        <v>15</v>
      </c>
      <c r="BM1085" t="n">
        <v>15</v>
      </c>
      <c r="BN1085" t="n">
        <v>4</v>
      </c>
      <c r="BO1085" t="n">
        <v>2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156</v>
      </c>
      <c r="Z1086" t="n">
        <v>178</v>
      </c>
      <c r="AA1086" t="n">
        <v>21</v>
      </c>
      <c r="AB1086" t="n">
        <v>0</v>
      </c>
      <c r="AC1086" t="n">
        <v>0</v>
      </c>
      <c r="AD1086" t="n">
        <v>2</v>
      </c>
      <c r="AE1086" t="n">
        <v>1</v>
      </c>
      <c r="AF1086" t="n">
        <v>3</v>
      </c>
      <c r="AG1086" t="n">
        <v>1</v>
      </c>
      <c r="AH1086" t="n">
        <v>10</v>
      </c>
      <c r="AI1086" t="n">
        <v>28</v>
      </c>
      <c r="AJ1086" t="n">
        <v>48</v>
      </c>
      <c r="AK1086" t="n">
        <v>15</v>
      </c>
      <c r="AL1086" t="n">
        <v>1</v>
      </c>
      <c r="AM1086" t="n">
        <v>43</v>
      </c>
      <c r="AN1086" t="n">
        <v>0</v>
      </c>
      <c r="AO1086" t="n">
        <v>0</v>
      </c>
      <c r="AP1086" t="n">
        <v>4</v>
      </c>
      <c r="AQ1086" t="n">
        <v>23</v>
      </c>
      <c r="AR1086" t="n">
        <v>118</v>
      </c>
      <c r="AS1086" t="n">
        <v>96</v>
      </c>
      <c r="AT1086" t="n">
        <v>2</v>
      </c>
      <c r="AU1086" t="n">
        <v>1</v>
      </c>
      <c r="AV1086" t="n">
        <v>33</v>
      </c>
      <c r="AW1086" t="n">
        <v>10</v>
      </c>
      <c r="AX1086" t="n">
        <v>2</v>
      </c>
      <c r="AY1086" t="n">
        <v>20</v>
      </c>
      <c r="AZ1086" t="n">
        <v>1</v>
      </c>
      <c r="BA1086" t="n">
        <v>5</v>
      </c>
      <c r="BB1086" t="n">
        <v>25</v>
      </c>
      <c r="BC1086" t="n">
        <v>46</v>
      </c>
      <c r="BD1086" t="n">
        <v>42</v>
      </c>
      <c r="BE1086" t="n">
        <v>9</v>
      </c>
      <c r="BF1086" t="n">
        <v>44</v>
      </c>
      <c r="BG1086" t="n">
        <v>0</v>
      </c>
      <c r="BH1086" t="n">
        <v>1</v>
      </c>
      <c r="BI1086" t="n">
        <v>20</v>
      </c>
      <c r="BJ1086" t="n">
        <v>18</v>
      </c>
      <c r="BK1086" t="n">
        <v>1</v>
      </c>
      <c r="BL1086" t="n">
        <v>22</v>
      </c>
      <c r="BM1086" t="n">
        <v>28</v>
      </c>
      <c r="BN1086" t="n">
        <v>10</v>
      </c>
      <c r="BO1086" t="n">
        <v>2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239</v>
      </c>
      <c r="Z1087" t="n">
        <v>192</v>
      </c>
      <c r="AA1087" t="n">
        <v>21</v>
      </c>
      <c r="AB1087" t="n">
        <v>3</v>
      </c>
      <c r="AC1087" t="n">
        <v>1</v>
      </c>
      <c r="AD1087" t="n">
        <v>7</v>
      </c>
      <c r="AE1087" t="n">
        <v>4</v>
      </c>
      <c r="AF1087" t="n">
        <v>4</v>
      </c>
      <c r="AG1087" t="n">
        <v>3</v>
      </c>
      <c r="AH1087" t="n">
        <v>60</v>
      </c>
      <c r="AI1087" t="n">
        <v>27</v>
      </c>
      <c r="AJ1087" t="n">
        <v>56</v>
      </c>
      <c r="AK1087" t="n">
        <v>18</v>
      </c>
      <c r="AL1087" t="n">
        <v>2</v>
      </c>
      <c r="AM1087" t="n">
        <v>57</v>
      </c>
      <c r="AN1087" t="n">
        <v>0</v>
      </c>
      <c r="AO1087" t="n">
        <v>0</v>
      </c>
      <c r="AP1087" t="n">
        <v>2</v>
      </c>
      <c r="AQ1087" t="n">
        <v>6</v>
      </c>
      <c r="AR1087" t="n">
        <v>81</v>
      </c>
      <c r="AS1087" t="n">
        <v>75</v>
      </c>
      <c r="AT1087" t="n">
        <v>1</v>
      </c>
      <c r="AU1087" t="n">
        <v>2</v>
      </c>
      <c r="AV1087" t="n">
        <v>39</v>
      </c>
      <c r="AW1087" t="n">
        <v>23</v>
      </c>
      <c r="AX1087" t="n">
        <v>0</v>
      </c>
      <c r="AY1087" t="n">
        <v>29</v>
      </c>
      <c r="AZ1087" t="n">
        <v>2</v>
      </c>
      <c r="BA1087" t="n">
        <v>14</v>
      </c>
      <c r="BB1087" t="n">
        <v>35</v>
      </c>
      <c r="BC1087" t="n">
        <v>47</v>
      </c>
      <c r="BD1087" t="n">
        <v>53</v>
      </c>
      <c r="BE1087" t="n">
        <v>23</v>
      </c>
      <c r="BF1087" t="n">
        <v>48</v>
      </c>
      <c r="BG1087" t="n">
        <v>3</v>
      </c>
      <c r="BH1087" t="n">
        <v>17</v>
      </c>
      <c r="BI1087" t="n">
        <v>1</v>
      </c>
      <c r="BJ1087" t="n">
        <v>5</v>
      </c>
      <c r="BK1087" t="n">
        <v>0</v>
      </c>
      <c r="BL1087" t="n">
        <v>7</v>
      </c>
      <c r="BM1087" t="n">
        <v>15</v>
      </c>
      <c r="BN1087" t="n">
        <v>7</v>
      </c>
      <c r="BO1087" t="n">
        <v>4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117</v>
      </c>
      <c r="Z1088" t="n">
        <v>277</v>
      </c>
      <c r="AA1088" t="n">
        <v>68</v>
      </c>
      <c r="AB1088" t="n">
        <v>0</v>
      </c>
      <c r="AC1088" t="n">
        <v>0</v>
      </c>
      <c r="AD1088" t="n">
        <v>0</v>
      </c>
      <c r="AE1088" t="n">
        <v>7</v>
      </c>
      <c r="AF1088" t="n">
        <v>4</v>
      </c>
      <c r="AG1088" t="n">
        <v>1</v>
      </c>
      <c r="AH1088" t="n">
        <v>11</v>
      </c>
      <c r="AI1088" t="n">
        <v>31</v>
      </c>
      <c r="AJ1088" t="n">
        <v>24</v>
      </c>
      <c r="AK1088" t="n">
        <v>18</v>
      </c>
      <c r="AL1088" t="n">
        <v>1</v>
      </c>
      <c r="AM1088" t="n">
        <v>20</v>
      </c>
      <c r="AN1088" t="n">
        <v>0</v>
      </c>
      <c r="AO1088" t="n">
        <v>0</v>
      </c>
      <c r="AP1088" t="n">
        <v>1</v>
      </c>
      <c r="AQ1088" t="n">
        <v>12</v>
      </c>
      <c r="AR1088" t="n">
        <v>54</v>
      </c>
      <c r="AS1088" t="n">
        <v>43</v>
      </c>
      <c r="AT1088" t="n">
        <v>0</v>
      </c>
      <c r="AU1088" t="n">
        <v>3</v>
      </c>
      <c r="AV1088" t="n">
        <v>1</v>
      </c>
      <c r="AW1088" t="n">
        <v>42</v>
      </c>
      <c r="AX1088" t="n">
        <v>0</v>
      </c>
      <c r="AY1088" t="n">
        <v>65</v>
      </c>
      <c r="AZ1088" t="n">
        <v>1</v>
      </c>
      <c r="BA1088" t="n">
        <v>1</v>
      </c>
      <c r="BB1088" t="n">
        <v>66</v>
      </c>
      <c r="BC1088" t="n">
        <v>25</v>
      </c>
      <c r="BD1088" t="n">
        <v>13</v>
      </c>
      <c r="BE1088" t="n">
        <v>44</v>
      </c>
      <c r="BF1088" t="n">
        <v>15</v>
      </c>
      <c r="BG1088" t="n">
        <v>2</v>
      </c>
      <c r="BH1088" t="n">
        <v>13</v>
      </c>
      <c r="BI1088" t="n">
        <v>29</v>
      </c>
      <c r="BJ1088" t="n">
        <v>58</v>
      </c>
      <c r="BK1088" t="n">
        <v>1</v>
      </c>
      <c r="BL1088" t="n">
        <v>1</v>
      </c>
      <c r="BM1088" t="n">
        <v>9</v>
      </c>
      <c r="BN1088" t="n">
        <v>4</v>
      </c>
      <c r="BO1088" t="n">
        <v>89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75</v>
      </c>
      <c r="Z1089" t="n">
        <v>123</v>
      </c>
      <c r="AA1089" t="n">
        <v>89</v>
      </c>
      <c r="AB1089" t="n">
        <v>1</v>
      </c>
      <c r="AC1089" t="n">
        <v>0</v>
      </c>
      <c r="AD1089" t="n">
        <v>3</v>
      </c>
      <c r="AE1089" t="n">
        <v>1</v>
      </c>
      <c r="AF1089" t="n">
        <v>3</v>
      </c>
      <c r="AG1089" t="n">
        <v>2</v>
      </c>
      <c r="AH1089" t="n">
        <v>19</v>
      </c>
      <c r="AI1089" t="n">
        <v>38</v>
      </c>
      <c r="AJ1089" t="n">
        <v>36</v>
      </c>
      <c r="AK1089" t="n">
        <v>19</v>
      </c>
      <c r="AL1089" t="n">
        <v>4</v>
      </c>
      <c r="AM1089" t="n">
        <v>25</v>
      </c>
      <c r="AN1089" t="n">
        <v>0</v>
      </c>
      <c r="AO1089" t="n">
        <v>0</v>
      </c>
      <c r="AP1089" t="n">
        <v>2</v>
      </c>
      <c r="AQ1089" t="n">
        <v>1</v>
      </c>
      <c r="AR1089" t="n">
        <v>41</v>
      </c>
      <c r="AS1089" t="n">
        <v>37</v>
      </c>
      <c r="AT1089" t="n">
        <v>1</v>
      </c>
      <c r="AU1089" t="n">
        <v>2</v>
      </c>
      <c r="AV1089" t="n">
        <v>3</v>
      </c>
      <c r="AW1089" t="n">
        <v>12</v>
      </c>
      <c r="AX1089" t="n">
        <v>3</v>
      </c>
      <c r="AY1089" t="n">
        <v>133</v>
      </c>
      <c r="AZ1089" t="n">
        <v>4</v>
      </c>
      <c r="BA1089" t="n">
        <v>9</v>
      </c>
      <c r="BB1089" t="n">
        <v>94</v>
      </c>
      <c r="BC1089" t="n">
        <v>26</v>
      </c>
      <c r="BD1089" t="n">
        <v>76</v>
      </c>
      <c r="BE1089" t="n">
        <v>11</v>
      </c>
      <c r="BF1089" t="n">
        <v>32</v>
      </c>
      <c r="BG1089" t="n">
        <v>4</v>
      </c>
      <c r="BH1089" t="n">
        <v>2</v>
      </c>
      <c r="BI1089" t="n">
        <v>20</v>
      </c>
      <c r="BJ1089" t="n">
        <v>18</v>
      </c>
      <c r="BK1089" t="n">
        <v>3</v>
      </c>
      <c r="BL1089" t="n">
        <v>8</v>
      </c>
      <c r="BM1089" t="n">
        <v>9</v>
      </c>
      <c r="BN1089" t="n">
        <v>3</v>
      </c>
      <c r="BO1089" t="n">
        <v>11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  <c r="V1090" t="n">
        <v>0</v>
      </c>
      <c r="W1090" t="n">
        <v>0</v>
      </c>
      <c r="X1090" t="n">
        <v>0</v>
      </c>
      <c r="Y1090" t="n">
        <v>312</v>
      </c>
      <c r="Z1090" t="n">
        <v>166</v>
      </c>
      <c r="AA1090" t="n">
        <v>109</v>
      </c>
      <c r="AB1090" t="n">
        <v>2</v>
      </c>
      <c r="AC1090" t="n">
        <v>1</v>
      </c>
      <c r="AD1090" t="n">
        <v>3</v>
      </c>
      <c r="AE1090" t="n">
        <v>11</v>
      </c>
      <c r="AF1090" t="n">
        <v>0</v>
      </c>
      <c r="AG1090" t="n">
        <v>9</v>
      </c>
      <c r="AH1090" t="n">
        <v>23</v>
      </c>
      <c r="AI1090" t="n">
        <v>81</v>
      </c>
      <c r="AJ1090" t="n">
        <v>7</v>
      </c>
      <c r="AK1090" t="n">
        <v>117</v>
      </c>
      <c r="AL1090" t="n">
        <v>7</v>
      </c>
      <c r="AM1090" t="n">
        <v>53</v>
      </c>
      <c r="AN1090" t="n">
        <v>0</v>
      </c>
      <c r="AO1090" t="n">
        <v>0</v>
      </c>
      <c r="AP1090" t="n">
        <v>3</v>
      </c>
      <c r="AQ1090" t="n">
        <v>62</v>
      </c>
      <c r="AR1090" t="n">
        <v>80</v>
      </c>
      <c r="AS1090" t="n">
        <v>26</v>
      </c>
      <c r="AT1090" t="n">
        <v>5</v>
      </c>
      <c r="AU1090" t="n">
        <v>0</v>
      </c>
      <c r="AV1090" t="n">
        <v>34</v>
      </c>
      <c r="AW1090" t="n">
        <v>3</v>
      </c>
      <c r="AX1090" t="n">
        <v>0</v>
      </c>
      <c r="AY1090" t="n">
        <v>34</v>
      </c>
      <c r="AZ1090" t="n">
        <v>3</v>
      </c>
      <c r="BA1090" t="n">
        <v>30</v>
      </c>
      <c r="BB1090" t="n">
        <v>132</v>
      </c>
      <c r="BC1090" t="n">
        <v>49</v>
      </c>
      <c r="BD1090" t="n">
        <v>26</v>
      </c>
      <c r="BE1090" t="n">
        <v>1</v>
      </c>
      <c r="BF1090" t="n">
        <v>19</v>
      </c>
      <c r="BG1090" t="n">
        <v>0</v>
      </c>
      <c r="BH1090" t="n">
        <v>31</v>
      </c>
      <c r="BI1090" t="n">
        <v>1</v>
      </c>
      <c r="BJ1090" t="n">
        <v>4</v>
      </c>
      <c r="BK1090" t="n">
        <v>0</v>
      </c>
      <c r="BL1090" t="n">
        <v>1</v>
      </c>
      <c r="BM1090" t="n">
        <v>46</v>
      </c>
      <c r="BN1090" t="n">
        <v>29</v>
      </c>
      <c r="BO1090" t="n">
        <v>2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2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115</v>
      </c>
      <c r="Z1091" t="n">
        <v>119</v>
      </c>
      <c r="AA1091" t="n">
        <v>23</v>
      </c>
      <c r="AB1091" t="n">
        <v>1</v>
      </c>
      <c r="AC1091" t="n">
        <v>0</v>
      </c>
      <c r="AD1091" t="n">
        <v>2</v>
      </c>
      <c r="AE1091" t="n">
        <v>4</v>
      </c>
      <c r="AF1091" t="n">
        <v>3</v>
      </c>
      <c r="AG1091" t="n">
        <v>1</v>
      </c>
      <c r="AH1091" t="n">
        <v>29</v>
      </c>
      <c r="AI1091" t="n">
        <v>15</v>
      </c>
      <c r="AJ1091" t="n">
        <v>19</v>
      </c>
      <c r="AK1091" t="n">
        <v>32</v>
      </c>
      <c r="AL1091" t="n">
        <v>1</v>
      </c>
      <c r="AM1091" t="n">
        <v>7</v>
      </c>
      <c r="AN1091" t="n">
        <v>0</v>
      </c>
      <c r="AO1091" t="n">
        <v>0</v>
      </c>
      <c r="AP1091" t="n">
        <v>1</v>
      </c>
      <c r="AQ1091" t="n">
        <v>7</v>
      </c>
      <c r="AR1091" t="n">
        <v>83</v>
      </c>
      <c r="AS1091" t="n">
        <v>76</v>
      </c>
      <c r="AT1091" t="n">
        <v>2</v>
      </c>
      <c r="AU1091" t="n">
        <v>2</v>
      </c>
      <c r="AV1091" t="n">
        <v>20</v>
      </c>
      <c r="AW1091" t="n">
        <v>22</v>
      </c>
      <c r="AX1091" t="n">
        <v>8</v>
      </c>
      <c r="AY1091" t="n">
        <v>31</v>
      </c>
      <c r="AZ1091" t="n">
        <v>1</v>
      </c>
      <c r="BA1091" t="n">
        <v>1</v>
      </c>
      <c r="BB1091" t="n">
        <v>23</v>
      </c>
      <c r="BC1091" t="n">
        <v>5</v>
      </c>
      <c r="BD1091" t="n">
        <v>26</v>
      </c>
      <c r="BE1091" t="n">
        <v>27</v>
      </c>
      <c r="BF1091" t="n">
        <v>15</v>
      </c>
      <c r="BG1091" t="n">
        <v>2</v>
      </c>
      <c r="BH1091" t="n">
        <v>-1</v>
      </c>
      <c r="BI1091" t="n">
        <v>41</v>
      </c>
      <c r="BJ1091" t="n">
        <v>76</v>
      </c>
      <c r="BK1091" t="n">
        <v>1</v>
      </c>
      <c r="BL1091" t="n">
        <v>5</v>
      </c>
      <c r="BM1091" t="n">
        <v>15</v>
      </c>
      <c r="BN1091" t="n">
        <v>8</v>
      </c>
      <c r="BO1091" t="n">
        <v>2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202</v>
      </c>
      <c r="Z1092" t="n">
        <v>334</v>
      </c>
      <c r="AA1092" t="n">
        <v>38</v>
      </c>
      <c r="AB1092" t="n">
        <v>2</v>
      </c>
      <c r="AC1092" t="n">
        <v>1</v>
      </c>
      <c r="AD1092" t="n">
        <v>0</v>
      </c>
      <c r="AE1092" t="n">
        <v>14</v>
      </c>
      <c r="AF1092" t="n">
        <v>8</v>
      </c>
      <c r="AG1092" t="n">
        <v>3</v>
      </c>
      <c r="AH1092" t="n">
        <v>2</v>
      </c>
      <c r="AI1092" t="n">
        <v>203</v>
      </c>
      <c r="AJ1092" t="n">
        <v>106</v>
      </c>
      <c r="AK1092" t="n">
        <v>41</v>
      </c>
      <c r="AL1092" t="n">
        <v>3</v>
      </c>
      <c r="AM1092" t="n">
        <v>42</v>
      </c>
      <c r="AN1092" t="n">
        <v>0</v>
      </c>
      <c r="AO1092" t="n">
        <v>0</v>
      </c>
      <c r="AP1092" t="n">
        <v>7</v>
      </c>
      <c r="AQ1092" t="n">
        <v>64</v>
      </c>
      <c r="AR1092" t="n">
        <v>141</v>
      </c>
      <c r="AS1092" t="n">
        <v>86</v>
      </c>
      <c r="AT1092" t="n">
        <v>0</v>
      </c>
      <c r="AU1092" t="n">
        <v>3</v>
      </c>
      <c r="AV1092" t="n">
        <v>5</v>
      </c>
      <c r="AW1092" t="n">
        <v>33</v>
      </c>
      <c r="AX1092" t="n">
        <v>0</v>
      </c>
      <c r="AY1092" t="n">
        <v>29</v>
      </c>
      <c r="AZ1092" t="n">
        <v>0</v>
      </c>
      <c r="BA1092" t="n">
        <v>1</v>
      </c>
      <c r="BB1092" t="n">
        <v>37</v>
      </c>
      <c r="BC1092" t="n">
        <v>35</v>
      </c>
      <c r="BD1092" t="n">
        <v>2</v>
      </c>
      <c r="BE1092" t="n">
        <v>41</v>
      </c>
      <c r="BF1092" t="n">
        <v>95</v>
      </c>
      <c r="BG1092" t="n">
        <v>3</v>
      </c>
      <c r="BH1092" t="n">
        <v>10</v>
      </c>
      <c r="BI1092" t="n">
        <v>10</v>
      </c>
      <c r="BJ1092" t="n">
        <v>9</v>
      </c>
      <c r="BK1092" t="n">
        <v>6</v>
      </c>
      <c r="BL1092" t="n">
        <v>38</v>
      </c>
      <c r="BM1092" t="n">
        <v>46</v>
      </c>
      <c r="BN1092" t="n">
        <v>15</v>
      </c>
      <c r="BO1092" t="n">
        <v>-3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204</v>
      </c>
      <c r="Z1093" t="n">
        <v>67</v>
      </c>
      <c r="AA1093" t="n">
        <v>32</v>
      </c>
      <c r="AB1093" t="n">
        <v>2</v>
      </c>
      <c r="AC1093" t="n">
        <v>0</v>
      </c>
      <c r="AD1093" t="n">
        <v>1</v>
      </c>
      <c r="AE1093" t="n">
        <v>0</v>
      </c>
      <c r="AF1093" t="n">
        <v>3</v>
      </c>
      <c r="AG1093" t="n">
        <v>0</v>
      </c>
      <c r="AH1093" t="n">
        <v>12</v>
      </c>
      <c r="AI1093" t="n">
        <v>2</v>
      </c>
      <c r="AJ1093" t="n">
        <v>29</v>
      </c>
      <c r="AK1093" t="n">
        <v>7</v>
      </c>
      <c r="AL1093" t="n">
        <v>2</v>
      </c>
      <c r="AM1093" t="n">
        <v>17</v>
      </c>
      <c r="AN1093" t="n">
        <v>0</v>
      </c>
      <c r="AO1093" t="n">
        <v>0</v>
      </c>
      <c r="AP1093" t="n">
        <v>5</v>
      </c>
      <c r="AQ1093" t="n">
        <v>33</v>
      </c>
      <c r="AR1093" t="n">
        <v>93</v>
      </c>
      <c r="AS1093" t="n">
        <v>65</v>
      </c>
      <c r="AT1093" t="n">
        <v>1</v>
      </c>
      <c r="AU1093" t="n">
        <v>1</v>
      </c>
      <c r="AV1093" t="n">
        <v>28</v>
      </c>
      <c r="AW1093" t="n">
        <v>5</v>
      </c>
      <c r="AX1093" t="n">
        <v>0</v>
      </c>
      <c r="AY1093" t="n">
        <v>18</v>
      </c>
      <c r="AZ1093" t="n">
        <v>0</v>
      </c>
      <c r="BA1093" t="n">
        <v>8</v>
      </c>
      <c r="BB1093" t="n">
        <v>37</v>
      </c>
      <c r="BC1093" t="n">
        <v>17</v>
      </c>
      <c r="BD1093" t="n">
        <v>41</v>
      </c>
      <c r="BE1093" t="n">
        <v>5</v>
      </c>
      <c r="BF1093" t="n">
        <v>24</v>
      </c>
      <c r="BG1093" t="n">
        <v>1</v>
      </c>
      <c r="BH1093" t="n">
        <v>13</v>
      </c>
      <c r="BI1093" t="n">
        <v>33</v>
      </c>
      <c r="BJ1093" t="n">
        <v>57</v>
      </c>
      <c r="BK1093" t="n">
        <v>0</v>
      </c>
      <c r="BL1093" t="n">
        <v>1</v>
      </c>
      <c r="BM1093" t="n">
        <v>15</v>
      </c>
      <c r="BN1093" t="n">
        <v>8</v>
      </c>
      <c r="BO1093" t="n">
        <v>18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2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191</v>
      </c>
      <c r="Z1094" t="n">
        <v>264</v>
      </c>
      <c r="AA1094" t="n">
        <v>36</v>
      </c>
      <c r="AB1094" t="n">
        <v>0</v>
      </c>
      <c r="AC1094" t="n">
        <v>0</v>
      </c>
      <c r="AD1094" t="n">
        <v>5</v>
      </c>
      <c r="AE1094" t="n">
        <v>9</v>
      </c>
      <c r="AF1094" t="n">
        <v>4</v>
      </c>
      <c r="AG1094" t="n">
        <v>3</v>
      </c>
      <c r="AH1094" t="n">
        <v>75</v>
      </c>
      <c r="AI1094" t="n">
        <v>87</v>
      </c>
      <c r="AJ1094" t="n">
        <v>23</v>
      </c>
      <c r="AK1094" t="n">
        <v>71</v>
      </c>
      <c r="AL1094" t="n">
        <v>1</v>
      </c>
      <c r="AM1094" t="n">
        <v>20</v>
      </c>
      <c r="AN1094" t="n">
        <v>0</v>
      </c>
      <c r="AO1094" t="n">
        <v>0</v>
      </c>
      <c r="AP1094" t="n">
        <v>6</v>
      </c>
      <c r="AQ1094" t="n">
        <v>50</v>
      </c>
      <c r="AR1094" t="n">
        <v>277</v>
      </c>
      <c r="AS1094" t="n">
        <v>235</v>
      </c>
      <c r="AT1094" t="n">
        <v>4</v>
      </c>
      <c r="AU1094" t="n">
        <v>0</v>
      </c>
      <c r="AV1094" t="n">
        <v>20</v>
      </c>
      <c r="AW1094" t="n">
        <v>13</v>
      </c>
      <c r="AX1094" t="n">
        <v>6</v>
      </c>
      <c r="AY1094" t="n">
        <v>17</v>
      </c>
      <c r="AZ1094" t="n">
        <v>9</v>
      </c>
      <c r="BA1094" t="n">
        <v>61</v>
      </c>
      <c r="BB1094" t="n">
        <v>105</v>
      </c>
      <c r="BC1094" t="n">
        <v>16</v>
      </c>
      <c r="BD1094" t="n">
        <v>76</v>
      </c>
      <c r="BE1094" t="n">
        <v>13</v>
      </c>
      <c r="BF1094" t="n">
        <v>18</v>
      </c>
      <c r="BG1094" t="n">
        <v>1</v>
      </c>
      <c r="BH1094" t="n">
        <v>3</v>
      </c>
      <c r="BI1094" t="n">
        <v>1</v>
      </c>
      <c r="BJ1094" t="n">
        <v>1</v>
      </c>
      <c r="BK1094" t="n">
        <v>2</v>
      </c>
      <c r="BL1094" t="n">
        <v>16</v>
      </c>
      <c r="BM1094" t="n">
        <v>10</v>
      </c>
      <c r="BN1094" t="n">
        <v>-1</v>
      </c>
      <c r="BO1094" t="n">
        <v>2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3</v>
      </c>
      <c r="U1095" t="n">
        <v>0</v>
      </c>
      <c r="V1095" t="n">
        <v>0</v>
      </c>
      <c r="W1095" t="n">
        <v>0</v>
      </c>
      <c r="X1095" t="n">
        <v>0</v>
      </c>
      <c r="Y1095" t="n">
        <v>255</v>
      </c>
      <c r="Z1095" t="n">
        <v>294</v>
      </c>
      <c r="AA1095" t="n">
        <v>38</v>
      </c>
      <c r="AB1095" t="n">
        <v>1</v>
      </c>
      <c r="AC1095" t="n">
        <v>3</v>
      </c>
      <c r="AD1095" t="n">
        <v>8</v>
      </c>
      <c r="AE1095" t="n">
        <v>7</v>
      </c>
      <c r="AF1095" t="n">
        <v>6</v>
      </c>
      <c r="AG1095" t="n">
        <v>5</v>
      </c>
      <c r="AH1095" t="n">
        <v>118</v>
      </c>
      <c r="AI1095" t="n">
        <v>61</v>
      </c>
      <c r="AJ1095" t="n">
        <v>65</v>
      </c>
      <c r="AK1095" t="n">
        <v>16</v>
      </c>
      <c r="AL1095" t="n">
        <v>4</v>
      </c>
      <c r="AM1095" t="n">
        <v>53</v>
      </c>
      <c r="AN1095" t="n">
        <v>0</v>
      </c>
      <c r="AO1095" t="n">
        <v>0</v>
      </c>
      <c r="AP1095" t="n">
        <v>6</v>
      </c>
      <c r="AQ1095" t="n">
        <v>74</v>
      </c>
      <c r="AR1095" t="n">
        <v>116</v>
      </c>
      <c r="AS1095" t="n">
        <v>53</v>
      </c>
      <c r="AT1095" t="n">
        <v>4</v>
      </c>
      <c r="AU1095" t="n">
        <v>3</v>
      </c>
      <c r="AV1095" t="n">
        <v>1</v>
      </c>
      <c r="AW1095" t="n">
        <v>18</v>
      </c>
      <c r="AX1095" t="n">
        <v>1</v>
      </c>
      <c r="AY1095" t="n">
        <v>8</v>
      </c>
      <c r="AZ1095" t="n">
        <v>2</v>
      </c>
      <c r="BA1095" t="n">
        <v>53</v>
      </c>
      <c r="BB1095" t="n">
        <v>96</v>
      </c>
      <c r="BC1095" t="n">
        <v>53</v>
      </c>
      <c r="BD1095" t="n">
        <v>112</v>
      </c>
      <c r="BE1095" t="n">
        <v>18</v>
      </c>
      <c r="BF1095" t="n">
        <v>54</v>
      </c>
      <c r="BG1095" t="n">
        <v>3</v>
      </c>
      <c r="BH1095" t="n">
        <v>0</v>
      </c>
      <c r="BI1095" t="n">
        <v>21</v>
      </c>
      <c r="BJ1095" t="n">
        <v>18</v>
      </c>
      <c r="BK1095" t="n">
        <v>3</v>
      </c>
      <c r="BL1095" t="n">
        <v>41</v>
      </c>
      <c r="BM1095" t="n">
        <v>27</v>
      </c>
      <c r="BN1095" t="n">
        <v>1</v>
      </c>
      <c r="BO1095" t="n">
        <v>32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272</v>
      </c>
      <c r="Z1096" t="n">
        <v>133</v>
      </c>
      <c r="AA1096" t="n">
        <v>85</v>
      </c>
      <c r="AB1096" t="n">
        <v>2</v>
      </c>
      <c r="AC1096" t="n">
        <v>1</v>
      </c>
      <c r="AD1096" t="n">
        <v>6</v>
      </c>
      <c r="AE1096" t="n">
        <v>7</v>
      </c>
      <c r="AF1096" t="n">
        <v>1</v>
      </c>
      <c r="AG1096" t="n">
        <v>3</v>
      </c>
      <c r="AH1096" t="n">
        <v>40</v>
      </c>
      <c r="AI1096" t="n">
        <v>51</v>
      </c>
      <c r="AJ1096" t="n">
        <v>38</v>
      </c>
      <c r="AK1096" t="n">
        <v>53</v>
      </c>
      <c r="AL1096" t="n">
        <v>3</v>
      </c>
      <c r="AM1096" t="n">
        <v>51</v>
      </c>
      <c r="AN1096" t="n">
        <v>1</v>
      </c>
      <c r="AO1096" t="n">
        <v>0</v>
      </c>
      <c r="AP1096" t="n">
        <v>3</v>
      </c>
      <c r="AQ1096" t="n">
        <v>15</v>
      </c>
      <c r="AR1096" t="n">
        <v>65</v>
      </c>
      <c r="AS1096" t="n">
        <v>52</v>
      </c>
      <c r="AT1096" t="n">
        <v>1</v>
      </c>
      <c r="AU1096" t="n">
        <v>1</v>
      </c>
      <c r="AV1096" t="n">
        <v>3</v>
      </c>
      <c r="AW1096" t="n">
        <v>8</v>
      </c>
      <c r="AX1096" t="n">
        <v>6</v>
      </c>
      <c r="AY1096" t="n">
        <v>15</v>
      </c>
      <c r="AZ1096" t="n">
        <v>1</v>
      </c>
      <c r="BA1096" t="n">
        <v>1</v>
      </c>
      <c r="BB1096" t="n">
        <v>82</v>
      </c>
      <c r="BC1096" t="n">
        <v>64</v>
      </c>
      <c r="BD1096" t="n">
        <v>42</v>
      </c>
      <c r="BE1096" t="n">
        <v>7</v>
      </c>
      <c r="BF1096" t="n">
        <v>41</v>
      </c>
      <c r="BG1096" t="n">
        <v>7</v>
      </c>
      <c r="BH1096" t="n">
        <v>10</v>
      </c>
      <c r="BI1096" t="n">
        <v>106</v>
      </c>
      <c r="BJ1096" t="n">
        <v>100</v>
      </c>
      <c r="BK1096" t="n">
        <v>3</v>
      </c>
      <c r="BL1096" t="n">
        <v>7</v>
      </c>
      <c r="BM1096" t="n">
        <v>22</v>
      </c>
      <c r="BN1096" t="n">
        <v>12</v>
      </c>
      <c r="BO1096" t="n">
        <v>40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2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182</v>
      </c>
      <c r="Z1097" t="n">
        <v>216</v>
      </c>
      <c r="AA1097" t="n">
        <v>81</v>
      </c>
      <c r="AB1097" t="n">
        <v>3</v>
      </c>
      <c r="AC1097" t="n">
        <v>1</v>
      </c>
      <c r="AD1097" t="n">
        <v>1</v>
      </c>
      <c r="AE1097" t="n">
        <v>1</v>
      </c>
      <c r="AF1097" t="n">
        <v>1</v>
      </c>
      <c r="AG1097" t="n">
        <v>2</v>
      </c>
      <c r="AH1097" t="n">
        <v>32</v>
      </c>
      <c r="AI1097" t="n">
        <v>34</v>
      </c>
      <c r="AJ1097" t="n">
        <v>2</v>
      </c>
      <c r="AK1097" t="n">
        <v>21</v>
      </c>
      <c r="AL1097" t="n">
        <v>7</v>
      </c>
      <c r="AM1097" t="n">
        <v>127</v>
      </c>
      <c r="AN1097" t="n">
        <v>0</v>
      </c>
      <c r="AO1097" t="n">
        <v>0</v>
      </c>
      <c r="AP1097" t="n">
        <v>3</v>
      </c>
      <c r="AQ1097" t="n">
        <v>15</v>
      </c>
      <c r="AR1097" t="n">
        <v>132</v>
      </c>
      <c r="AS1097" t="n">
        <v>115</v>
      </c>
      <c r="AT1097" t="n">
        <v>0</v>
      </c>
      <c r="AU1097" t="n">
        <v>0</v>
      </c>
      <c r="AV1097" t="n">
        <v>2</v>
      </c>
      <c r="AW1097" t="n">
        <v>1</v>
      </c>
      <c r="AX1097" t="n">
        <v>10</v>
      </c>
      <c r="AY1097" t="n">
        <v>10</v>
      </c>
      <c r="AZ1097" t="n">
        <v>1</v>
      </c>
      <c r="BA1097" t="n">
        <v>4</v>
      </c>
      <c r="BB1097" t="n">
        <v>79</v>
      </c>
      <c r="BC1097" t="n">
        <v>105</v>
      </c>
      <c r="BD1097" t="n">
        <v>47</v>
      </c>
      <c r="BE1097" t="n">
        <v>1</v>
      </c>
      <c r="BF1097" t="n">
        <v>11</v>
      </c>
      <c r="BG1097" t="n">
        <v>6</v>
      </c>
      <c r="BH1097" t="n">
        <v>19</v>
      </c>
      <c r="BI1097" t="n">
        <v>57</v>
      </c>
      <c r="BJ1097" t="n">
        <v>56</v>
      </c>
      <c r="BK1097" t="n">
        <v>0</v>
      </c>
      <c r="BL1097" t="n">
        <v>44</v>
      </c>
      <c r="BM1097" t="n">
        <v>38</v>
      </c>
      <c r="BN1097" t="n">
        <v>7</v>
      </c>
      <c r="BO1097" t="n">
        <v>2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2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2</v>
      </c>
      <c r="X1098" t="n">
        <v>0</v>
      </c>
      <c r="Y1098" t="n">
        <v>77</v>
      </c>
      <c r="Z1098" t="n">
        <v>165</v>
      </c>
      <c r="AA1098" t="n">
        <v>64</v>
      </c>
      <c r="AB1098" t="n">
        <v>1</v>
      </c>
      <c r="AC1098" t="n">
        <v>1</v>
      </c>
      <c r="AD1098" t="n">
        <v>1</v>
      </c>
      <c r="AE1098" t="n">
        <v>4</v>
      </c>
      <c r="AF1098" t="n">
        <v>1</v>
      </c>
      <c r="AG1098" t="n">
        <v>1</v>
      </c>
      <c r="AH1098" t="n">
        <v>8</v>
      </c>
      <c r="AI1098" t="n">
        <v>38</v>
      </c>
      <c r="AJ1098" t="n">
        <v>2</v>
      </c>
      <c r="AK1098" t="n">
        <v>1</v>
      </c>
      <c r="AL1098" t="n">
        <v>2</v>
      </c>
      <c r="AM1098" t="n">
        <v>44</v>
      </c>
      <c r="AN1098" t="n">
        <v>0</v>
      </c>
      <c r="AO1098" t="n">
        <v>0</v>
      </c>
      <c r="AP1098" t="n">
        <v>3</v>
      </c>
      <c r="AQ1098" t="n">
        <v>1</v>
      </c>
      <c r="AR1098" t="n">
        <v>91</v>
      </c>
      <c r="AS1098" t="n">
        <v>84</v>
      </c>
      <c r="AT1098" t="n">
        <v>2</v>
      </c>
      <c r="AU1098" t="n">
        <v>1</v>
      </c>
      <c r="AV1098" t="n">
        <v>12</v>
      </c>
      <c r="AW1098" t="n">
        <v>16</v>
      </c>
      <c r="AX1098" t="n">
        <v>-1</v>
      </c>
      <c r="AY1098" t="n">
        <v>45</v>
      </c>
      <c r="AZ1098" t="n">
        <v>4</v>
      </c>
      <c r="BA1098" t="n">
        <v>23</v>
      </c>
      <c r="BB1098" t="n">
        <v>84</v>
      </c>
      <c r="BC1098" t="n">
        <v>37</v>
      </c>
      <c r="BD1098" t="n">
        <v>5</v>
      </c>
      <c r="BE1098" t="n">
        <v>17</v>
      </c>
      <c r="BF1098" t="n">
        <v>0</v>
      </c>
      <c r="BG1098" t="n">
        <v>3</v>
      </c>
      <c r="BH1098" t="n">
        <v>8</v>
      </c>
      <c r="BI1098" t="n">
        <v>32</v>
      </c>
      <c r="BJ1098" t="n">
        <v>26</v>
      </c>
      <c r="BK1098" t="n">
        <v>1</v>
      </c>
      <c r="BL1098" t="n">
        <v>1</v>
      </c>
      <c r="BM1098" t="n">
        <v>2</v>
      </c>
      <c r="BN1098" t="n">
        <v>1</v>
      </c>
      <c r="BO1098" t="n">
        <v>2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271</v>
      </c>
      <c r="Z1099" t="n">
        <v>192</v>
      </c>
      <c r="AA1099" t="n">
        <v>25</v>
      </c>
      <c r="AB1099" t="n">
        <v>2</v>
      </c>
      <c r="AC1099" t="n">
        <v>0</v>
      </c>
      <c r="AD1099" t="n">
        <v>6</v>
      </c>
      <c r="AE1099" t="n">
        <v>5</v>
      </c>
      <c r="AF1099" t="n">
        <v>5</v>
      </c>
      <c r="AG1099" t="n">
        <v>3</v>
      </c>
      <c r="AH1099" t="n">
        <v>73</v>
      </c>
      <c r="AI1099" t="n">
        <v>24</v>
      </c>
      <c r="AJ1099" t="n">
        <v>68</v>
      </c>
      <c r="AK1099" t="n">
        <v>10</v>
      </c>
      <c r="AL1099" t="n">
        <v>3</v>
      </c>
      <c r="AM1099" t="n">
        <v>101</v>
      </c>
      <c r="AN1099" t="n">
        <v>0</v>
      </c>
      <c r="AO1099" t="n">
        <v>1</v>
      </c>
      <c r="AP1099" t="n">
        <v>9</v>
      </c>
      <c r="AQ1099" t="n">
        <v>26</v>
      </c>
      <c r="AR1099" t="n">
        <v>97</v>
      </c>
      <c r="AS1099" t="n">
        <v>76</v>
      </c>
      <c r="AT1099" t="n">
        <v>1</v>
      </c>
      <c r="AU1099" t="n">
        <v>2</v>
      </c>
      <c r="AV1099" t="n">
        <v>23</v>
      </c>
      <c r="AW1099" t="n">
        <v>11</v>
      </c>
      <c r="AX1099" t="n">
        <v>6</v>
      </c>
      <c r="AY1099" t="n">
        <v>67</v>
      </c>
      <c r="AZ1099" t="n">
        <v>2</v>
      </c>
      <c r="BA1099" t="n">
        <v>9</v>
      </c>
      <c r="BB1099" t="n">
        <v>32</v>
      </c>
      <c r="BC1099" t="n">
        <v>113</v>
      </c>
      <c r="BD1099" t="n">
        <v>72</v>
      </c>
      <c r="BE1099" t="n">
        <v>12</v>
      </c>
      <c r="BF1099" t="n">
        <v>54</v>
      </c>
      <c r="BG1099" t="n">
        <v>0</v>
      </c>
      <c r="BH1099" t="n">
        <v>8</v>
      </c>
      <c r="BI1099" t="n">
        <v>44</v>
      </c>
      <c r="BJ1099" t="n">
        <v>53</v>
      </c>
      <c r="BK1099" t="n">
        <v>3</v>
      </c>
      <c r="BL1099" t="n">
        <v>32</v>
      </c>
      <c r="BM1099" t="n">
        <v>69</v>
      </c>
      <c r="BN1099" t="n">
        <v>35</v>
      </c>
      <c r="BO1099" t="n">
        <v>9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147</v>
      </c>
      <c r="Z1100" t="n">
        <v>244</v>
      </c>
      <c r="AA1100" t="n">
        <v>101</v>
      </c>
      <c r="AB1100" t="n">
        <v>2</v>
      </c>
      <c r="AC1100" t="n">
        <v>3</v>
      </c>
      <c r="AD1100" t="n">
        <v>0</v>
      </c>
      <c r="AE1100" t="n">
        <v>3</v>
      </c>
      <c r="AF1100" t="n">
        <v>2</v>
      </c>
      <c r="AG1100" t="n">
        <v>2</v>
      </c>
      <c r="AH1100" t="n">
        <v>2</v>
      </c>
      <c r="AI1100" t="n">
        <v>39</v>
      </c>
      <c r="AJ1100" t="n">
        <v>58</v>
      </c>
      <c r="AK1100" t="n">
        <v>18</v>
      </c>
      <c r="AL1100" t="n">
        <v>0</v>
      </c>
      <c r="AM1100" t="n">
        <v>37</v>
      </c>
      <c r="AN1100" t="n">
        <v>0</v>
      </c>
      <c r="AO1100" t="n">
        <v>0</v>
      </c>
      <c r="AP1100" t="n">
        <v>0</v>
      </c>
      <c r="AQ1100" t="n">
        <v>4</v>
      </c>
      <c r="AR1100" t="n">
        <v>87</v>
      </c>
      <c r="AS1100" t="n">
        <v>80</v>
      </c>
      <c r="AT1100" t="n">
        <v>2</v>
      </c>
      <c r="AU1100" t="n">
        <v>2</v>
      </c>
      <c r="AV1100" t="n">
        <v>19</v>
      </c>
      <c r="AW1100" t="n">
        <v>32</v>
      </c>
      <c r="AX1100" t="n">
        <v>1</v>
      </c>
      <c r="AY1100" t="n">
        <v>68</v>
      </c>
      <c r="AZ1100" t="n">
        <v>3</v>
      </c>
      <c r="BA1100" t="n">
        <v>-5</v>
      </c>
      <c r="BB1100" t="n">
        <v>94</v>
      </c>
      <c r="BC1100" t="n">
        <v>34</v>
      </c>
      <c r="BD1100" t="n">
        <v>21</v>
      </c>
      <c r="BE1100" t="n">
        <v>32</v>
      </c>
      <c r="BF1100" t="n">
        <v>51</v>
      </c>
      <c r="BG1100" t="n">
        <v>0</v>
      </c>
      <c r="BH1100" t="n">
        <v>5</v>
      </c>
      <c r="BI1100" t="n">
        <v>1</v>
      </c>
      <c r="BJ1100" t="n">
        <v>4</v>
      </c>
      <c r="BK1100" t="n">
        <v>5</v>
      </c>
      <c r="BL1100" t="n">
        <v>20</v>
      </c>
      <c r="BM1100" t="n">
        <v>18</v>
      </c>
      <c r="BN1100" t="n">
        <v>4</v>
      </c>
      <c r="BO1100" t="n">
        <v>4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</v>
      </c>
      <c r="U1101" t="n">
        <v>1</v>
      </c>
      <c r="V1101" t="n">
        <v>0</v>
      </c>
      <c r="W1101" t="n">
        <v>0</v>
      </c>
      <c r="X1101" t="n">
        <v>0</v>
      </c>
      <c r="Y1101" t="n">
        <v>187</v>
      </c>
      <c r="Z1101" t="n">
        <v>107</v>
      </c>
      <c r="AA1101" t="n">
        <v>10</v>
      </c>
      <c r="AB1101" t="n">
        <v>0</v>
      </c>
      <c r="AC1101" t="n">
        <v>1</v>
      </c>
      <c r="AD1101" t="n">
        <v>0</v>
      </c>
      <c r="AE1101" t="n">
        <v>0</v>
      </c>
      <c r="AF1101" t="n">
        <v>3</v>
      </c>
      <c r="AG1101" t="n">
        <v>3</v>
      </c>
      <c r="AH1101" t="n">
        <v>17</v>
      </c>
      <c r="AI1101" t="n">
        <v>2</v>
      </c>
      <c r="AJ1101" t="n">
        <v>29</v>
      </c>
      <c r="AK1101" t="n">
        <v>28</v>
      </c>
      <c r="AL1101" t="n">
        <v>4</v>
      </c>
      <c r="AM1101" t="n">
        <v>20</v>
      </c>
      <c r="AN1101" t="n">
        <v>0</v>
      </c>
      <c r="AO1101" t="n">
        <v>0</v>
      </c>
      <c r="AP1101" t="n">
        <v>13</v>
      </c>
      <c r="AQ1101" t="n">
        <v>100</v>
      </c>
      <c r="AR1101" t="n">
        <v>166</v>
      </c>
      <c r="AS1101" t="n">
        <v>80</v>
      </c>
      <c r="AT1101" t="n">
        <v>3</v>
      </c>
      <c r="AU1101" t="n">
        <v>0</v>
      </c>
      <c r="AV1101" t="n">
        <v>42</v>
      </c>
      <c r="AW1101" t="n">
        <v>3</v>
      </c>
      <c r="AX1101" t="n">
        <v>1</v>
      </c>
      <c r="AY1101" t="n">
        <v>27</v>
      </c>
      <c r="AZ1101" t="n">
        <v>8</v>
      </c>
      <c r="BA1101" t="n">
        <v>66</v>
      </c>
      <c r="BB1101" t="n">
        <v>89</v>
      </c>
      <c r="BC1101" t="n">
        <v>70</v>
      </c>
      <c r="BD1101" t="n">
        <v>14</v>
      </c>
      <c r="BE1101" t="n">
        <v>1</v>
      </c>
      <c r="BF1101" t="n">
        <v>23</v>
      </c>
      <c r="BG1101" t="n">
        <v>1</v>
      </c>
      <c r="BH1101" t="n">
        <v>4</v>
      </c>
      <c r="BI1101" t="n">
        <v>26</v>
      </c>
      <c r="BJ1101" t="n">
        <v>23</v>
      </c>
      <c r="BK1101" t="n">
        <v>1</v>
      </c>
      <c r="BL1101" t="n">
        <v>5</v>
      </c>
      <c r="BM1101" t="n">
        <v>32</v>
      </c>
      <c r="BN1101" t="n">
        <v>19</v>
      </c>
      <c r="BO1101" t="n">
        <v>2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3</v>
      </c>
      <c r="U1102" t="n">
        <v>0</v>
      </c>
      <c r="V1102" t="n">
        <v>0</v>
      </c>
      <c r="W1102" t="n">
        <v>0</v>
      </c>
      <c r="X1102" t="n">
        <v>0</v>
      </c>
      <c r="Y1102" t="n">
        <v>234</v>
      </c>
      <c r="Z1102" t="n">
        <v>62</v>
      </c>
      <c r="AA1102" t="n">
        <v>123</v>
      </c>
      <c r="AB1102" t="n">
        <v>2</v>
      </c>
      <c r="AC1102" t="n">
        <v>2</v>
      </c>
      <c r="AD1102" t="n">
        <v>7</v>
      </c>
      <c r="AE1102" t="n">
        <v>2</v>
      </c>
      <c r="AF1102" t="n">
        <v>1</v>
      </c>
      <c r="AG1102" t="n">
        <v>5</v>
      </c>
      <c r="AH1102" t="n">
        <v>85</v>
      </c>
      <c r="AI1102" t="n">
        <v>13</v>
      </c>
      <c r="AJ1102" t="n">
        <v>2</v>
      </c>
      <c r="AK1102" t="n">
        <v>84</v>
      </c>
      <c r="AL1102" t="n">
        <v>2</v>
      </c>
      <c r="AM1102" t="n">
        <v>20</v>
      </c>
      <c r="AN1102" t="n">
        <v>0</v>
      </c>
      <c r="AO1102" t="n">
        <v>0</v>
      </c>
      <c r="AP1102" t="n">
        <v>2</v>
      </c>
      <c r="AQ1102" t="n">
        <v>0</v>
      </c>
      <c r="AR1102" t="n">
        <v>161</v>
      </c>
      <c r="AS1102" t="n">
        <v>151</v>
      </c>
      <c r="AT1102" t="n">
        <v>3</v>
      </c>
      <c r="AU1102" t="n">
        <v>1</v>
      </c>
      <c r="AV1102" t="n">
        <v>28</v>
      </c>
      <c r="AW1102" t="n">
        <v>1</v>
      </c>
      <c r="AX1102" t="n">
        <v>3</v>
      </c>
      <c r="AY1102" t="n">
        <v>100</v>
      </c>
      <c r="AZ1102" t="n">
        <v>0</v>
      </c>
      <c r="BA1102" t="n">
        <v>1</v>
      </c>
      <c r="BB1102" t="n">
        <v>118</v>
      </c>
      <c r="BC1102" t="n">
        <v>23</v>
      </c>
      <c r="BD1102" t="n">
        <v>76</v>
      </c>
      <c r="BE1102" t="n">
        <v>13</v>
      </c>
      <c r="BF1102" t="n">
        <v>12</v>
      </c>
      <c r="BG1102" t="n">
        <v>2</v>
      </c>
      <c r="BH1102" t="n">
        <v>2</v>
      </c>
      <c r="BI1102" t="n">
        <v>45</v>
      </c>
      <c r="BJ1102" t="n">
        <v>46</v>
      </c>
      <c r="BK1102" t="n">
        <v>3</v>
      </c>
      <c r="BL1102" t="n">
        <v>22</v>
      </c>
      <c r="BM1102" t="n">
        <v>25</v>
      </c>
      <c r="BN1102" t="n">
        <v>8</v>
      </c>
      <c r="BO1102" t="n">
        <v>2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190</v>
      </c>
      <c r="Z1103" t="n">
        <v>152</v>
      </c>
      <c r="AA1103" t="n">
        <v>79</v>
      </c>
      <c r="AB1103" t="n">
        <v>1</v>
      </c>
      <c r="AC1103" t="n">
        <v>0</v>
      </c>
      <c r="AD1103" t="n">
        <v>4</v>
      </c>
      <c r="AE1103" t="n">
        <v>3</v>
      </c>
      <c r="AF1103" t="n">
        <v>4</v>
      </c>
      <c r="AG1103" t="n">
        <v>5</v>
      </c>
      <c r="AH1103" t="n">
        <v>23</v>
      </c>
      <c r="AI1103" t="n">
        <v>6</v>
      </c>
      <c r="AJ1103" t="n">
        <v>22</v>
      </c>
      <c r="AK1103" t="n">
        <v>56</v>
      </c>
      <c r="AL1103" t="n">
        <v>4</v>
      </c>
      <c r="AM1103" t="n">
        <v>35</v>
      </c>
      <c r="AN1103" t="n">
        <v>0</v>
      </c>
      <c r="AO1103" t="n">
        <v>0</v>
      </c>
      <c r="AP1103" t="n">
        <v>3</v>
      </c>
      <c r="AQ1103" t="n">
        <v>27</v>
      </c>
      <c r="AR1103" t="n">
        <v>158</v>
      </c>
      <c r="AS1103" t="n">
        <v>129</v>
      </c>
      <c r="AT1103" t="n">
        <v>1</v>
      </c>
      <c r="AU1103" t="n">
        <v>1</v>
      </c>
      <c r="AV1103" t="n">
        <v>33</v>
      </c>
      <c r="AW1103" t="n">
        <v>3</v>
      </c>
      <c r="AX1103" t="n">
        <v>5</v>
      </c>
      <c r="AY1103" t="n">
        <v>-6</v>
      </c>
      <c r="AZ1103" t="n">
        <v>0</v>
      </c>
      <c r="BA1103" t="n">
        <v>1</v>
      </c>
      <c r="BB1103" t="n">
        <v>77</v>
      </c>
      <c r="BC1103" t="n">
        <v>31</v>
      </c>
      <c r="BD1103" t="n">
        <v>20</v>
      </c>
      <c r="BE1103" t="n">
        <v>3</v>
      </c>
      <c r="BF1103" t="n">
        <v>17</v>
      </c>
      <c r="BG1103" t="n">
        <v>2</v>
      </c>
      <c r="BH1103" t="n">
        <v>0</v>
      </c>
      <c r="BI1103" t="n">
        <v>16</v>
      </c>
      <c r="BJ1103" t="n">
        <v>17</v>
      </c>
      <c r="BK1103" t="n">
        <v>5</v>
      </c>
      <c r="BL1103" t="n">
        <v>64</v>
      </c>
      <c r="BM1103" t="n">
        <v>52</v>
      </c>
      <c r="BN1103" t="n">
        <v>8</v>
      </c>
      <c r="BO1103" t="n">
        <v>2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3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147</v>
      </c>
      <c r="Z1104" t="n">
        <v>157</v>
      </c>
      <c r="AA1104" t="n">
        <v>78</v>
      </c>
      <c r="AB1104" t="n">
        <v>1</v>
      </c>
      <c r="AC1104" t="n">
        <v>0</v>
      </c>
      <c r="AD1104" t="n">
        <v>2</v>
      </c>
      <c r="AE1104" t="n">
        <v>4</v>
      </c>
      <c r="AF1104" t="n">
        <v>4</v>
      </c>
      <c r="AG1104" t="n">
        <v>1</v>
      </c>
      <c r="AH1104" t="n">
        <v>32</v>
      </c>
      <c r="AI1104" t="n">
        <v>28</v>
      </c>
      <c r="AJ1104" t="n">
        <v>20</v>
      </c>
      <c r="AK1104" t="n">
        <v>10</v>
      </c>
      <c r="AL1104" t="n">
        <v>1</v>
      </c>
      <c r="AM1104" t="n">
        <v>43</v>
      </c>
      <c r="AN1104" t="n">
        <v>0</v>
      </c>
      <c r="AO1104" t="n">
        <v>0</v>
      </c>
      <c r="AP1104" t="n">
        <v>4</v>
      </c>
      <c r="AQ1104" t="n">
        <v>24</v>
      </c>
      <c r="AR1104" t="n">
        <v>109</v>
      </c>
      <c r="AS1104" t="n">
        <v>87</v>
      </c>
      <c r="AT1104" t="n">
        <v>2</v>
      </c>
      <c r="AU1104" t="n">
        <v>1</v>
      </c>
      <c r="AV1104" t="n">
        <v>12</v>
      </c>
      <c r="AW1104" t="n">
        <v>9</v>
      </c>
      <c r="AX1104" t="n">
        <v>1</v>
      </c>
      <c r="AY1104" t="n">
        <v>11</v>
      </c>
      <c r="AZ1104" t="n">
        <v>2</v>
      </c>
      <c r="BA1104" t="n">
        <v>17</v>
      </c>
      <c r="BB1104" t="n">
        <v>91</v>
      </c>
      <c r="BC1104" t="n">
        <v>42</v>
      </c>
      <c r="BD1104" t="n">
        <v>56</v>
      </c>
      <c r="BE1104" t="n">
        <v>11</v>
      </c>
      <c r="BF1104" t="n">
        <v>47</v>
      </c>
      <c r="BG1104" t="n">
        <v>0</v>
      </c>
      <c r="BH1104" t="n">
        <v>6</v>
      </c>
      <c r="BI1104" t="n">
        <v>1</v>
      </c>
      <c r="BJ1104" t="n">
        <v>35</v>
      </c>
      <c r="BK1104" t="n">
        <v>0</v>
      </c>
      <c r="BL1104" t="n">
        <v>13</v>
      </c>
      <c r="BM1104" t="n">
        <v>25</v>
      </c>
      <c r="BN1104" t="n">
        <v>11</v>
      </c>
      <c r="BO1104" t="n">
        <v>70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2</v>
      </c>
      <c r="U1105" t="n">
        <v>0</v>
      </c>
      <c r="V1105" t="n">
        <v>0</v>
      </c>
      <c r="W1105" t="n">
        <v>0</v>
      </c>
      <c r="X1105" t="n">
        <v>0</v>
      </c>
      <c r="Y1105" t="n">
        <v>236</v>
      </c>
      <c r="Z1105" t="n">
        <v>153</v>
      </c>
      <c r="AA1105" t="n">
        <v>25</v>
      </c>
      <c r="AB1105" t="n">
        <v>1</v>
      </c>
      <c r="AC1105" t="n">
        <v>3</v>
      </c>
      <c r="AD1105" t="n">
        <v>11</v>
      </c>
      <c r="AE1105" t="n">
        <v>6</v>
      </c>
      <c r="AF1105" t="n">
        <v>6</v>
      </c>
      <c r="AG1105" t="n">
        <v>0</v>
      </c>
      <c r="AH1105" t="n">
        <v>103</v>
      </c>
      <c r="AI1105" t="n">
        <v>49</v>
      </c>
      <c r="AJ1105" t="n">
        <v>75</v>
      </c>
      <c r="AK1105" t="n">
        <v>9</v>
      </c>
      <c r="AL1105" t="n">
        <v>4</v>
      </c>
      <c r="AM1105" t="n">
        <v>27</v>
      </c>
      <c r="AN1105" t="n">
        <v>0</v>
      </c>
      <c r="AO1105" t="n">
        <v>0</v>
      </c>
      <c r="AP1105" t="n">
        <v>3</v>
      </c>
      <c r="AQ1105" t="n">
        <v>87</v>
      </c>
      <c r="AR1105" t="n">
        <v>158</v>
      </c>
      <c r="AS1105" t="n">
        <v>85</v>
      </c>
      <c r="AT1105" t="n">
        <v>2</v>
      </c>
      <c r="AU1105" t="n">
        <v>1</v>
      </c>
      <c r="AV1105" t="n">
        <v>0</v>
      </c>
      <c r="AW1105" t="n">
        <v>9</v>
      </c>
      <c r="AX1105" t="n">
        <v>0</v>
      </c>
      <c r="AY1105" t="n">
        <v>28</v>
      </c>
      <c r="AZ1105" t="n">
        <v>6</v>
      </c>
      <c r="BA1105" t="n">
        <v>15</v>
      </c>
      <c r="BB1105" t="n">
        <v>39</v>
      </c>
      <c r="BC1105" t="n">
        <v>22</v>
      </c>
      <c r="BD1105" t="n">
        <v>104</v>
      </c>
      <c r="BE1105" t="n">
        <v>9</v>
      </c>
      <c r="BF1105" t="n">
        <v>66</v>
      </c>
      <c r="BG1105" t="n">
        <v>0</v>
      </c>
      <c r="BH1105" t="n">
        <v>2</v>
      </c>
      <c r="BI1105" t="n">
        <v>19</v>
      </c>
      <c r="BJ1105" t="n">
        <v>17</v>
      </c>
      <c r="BK1105" t="n">
        <v>5</v>
      </c>
      <c r="BL1105" t="n">
        <v>38</v>
      </c>
      <c r="BM1105" t="n">
        <v>26</v>
      </c>
      <c r="BN1105" t="n">
        <v>0</v>
      </c>
      <c r="BO1105" t="n">
        <v>2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201</v>
      </c>
      <c r="Z1106" t="n">
        <v>168</v>
      </c>
      <c r="AA1106" t="n">
        <v>125</v>
      </c>
      <c r="AB1106" t="n">
        <v>1</v>
      </c>
      <c r="AC1106" t="n">
        <v>1</v>
      </c>
      <c r="AD1106" t="n">
        <v>2</v>
      </c>
      <c r="AE1106" t="n">
        <v>1</v>
      </c>
      <c r="AF1106" t="n">
        <v>8</v>
      </c>
      <c r="AG1106" t="n">
        <v>6</v>
      </c>
      <c r="AH1106" t="n">
        <v>42</v>
      </c>
      <c r="AI1106" t="n">
        <v>2</v>
      </c>
      <c r="AJ1106" t="n">
        <v>108</v>
      </c>
      <c r="AK1106" t="n">
        <v>32</v>
      </c>
      <c r="AL1106" t="n">
        <v>3</v>
      </c>
      <c r="AM1106" t="n">
        <v>40</v>
      </c>
      <c r="AN1106" t="n">
        <v>0</v>
      </c>
      <c r="AO1106" t="n">
        <v>0</v>
      </c>
      <c r="AP1106" t="n">
        <v>0</v>
      </c>
      <c r="AQ1106" t="n">
        <v>10</v>
      </c>
      <c r="AR1106" t="n">
        <v>48</v>
      </c>
      <c r="AS1106" t="n">
        <v>39</v>
      </c>
      <c r="AT1106" t="n">
        <v>2</v>
      </c>
      <c r="AU1106" t="n">
        <v>2</v>
      </c>
      <c r="AV1106" t="n">
        <v>14</v>
      </c>
      <c r="AW1106" t="n">
        <v>33</v>
      </c>
      <c r="AX1106" t="n">
        <v>0</v>
      </c>
      <c r="AY1106" t="n">
        <v>12</v>
      </c>
      <c r="AZ1106" t="n">
        <v>1</v>
      </c>
      <c r="BA1106" t="n">
        <v>1</v>
      </c>
      <c r="BB1106" t="n">
        <v>120</v>
      </c>
      <c r="BC1106" t="n">
        <v>40</v>
      </c>
      <c r="BD1106" t="n">
        <v>37</v>
      </c>
      <c r="BE1106" t="n">
        <v>32</v>
      </c>
      <c r="BF1106" t="n">
        <v>123</v>
      </c>
      <c r="BG1106" t="n">
        <v>1</v>
      </c>
      <c r="BH1106" t="n">
        <v>0</v>
      </c>
      <c r="BI1106" t="n">
        <v>7</v>
      </c>
      <c r="BJ1106" t="n">
        <v>7</v>
      </c>
      <c r="BK1106" t="n">
        <v>3</v>
      </c>
      <c r="BL1106" t="n">
        <v>1</v>
      </c>
      <c r="BM1106" t="n">
        <v>28</v>
      </c>
      <c r="BN1106" t="n">
        <v>16</v>
      </c>
      <c r="BO1106" t="n">
        <v>2</v>
      </c>
    </row>
    <row r="1107">
      <c r="A1107" t="n">
        <v>0</v>
      </c>
      <c r="B1107" t="n">
        <v>0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206</v>
      </c>
      <c r="Z1107" t="n">
        <v>207</v>
      </c>
      <c r="AA1107" t="n">
        <v>80</v>
      </c>
      <c r="AB1107" t="n">
        <v>1</v>
      </c>
      <c r="AC1107" t="n">
        <v>0</v>
      </c>
      <c r="AD1107" t="n">
        <v>6</v>
      </c>
      <c r="AE1107" t="n">
        <v>7</v>
      </c>
      <c r="AF1107" t="n">
        <v>0</v>
      </c>
      <c r="AG1107" t="n">
        <v>2</v>
      </c>
      <c r="AH1107" t="n">
        <v>56</v>
      </c>
      <c r="AI1107" t="n">
        <v>83</v>
      </c>
      <c r="AJ1107" t="n">
        <v>6</v>
      </c>
      <c r="AK1107" t="n">
        <v>12</v>
      </c>
      <c r="AL1107" t="n">
        <v>2</v>
      </c>
      <c r="AM1107" t="n">
        <v>2</v>
      </c>
      <c r="AN1107" t="n">
        <v>1</v>
      </c>
      <c r="AO1107" t="n">
        <v>0</v>
      </c>
      <c r="AP1107" t="n">
        <v>6</v>
      </c>
      <c r="AQ1107" t="n">
        <v>30</v>
      </c>
      <c r="AR1107" t="n">
        <v>252</v>
      </c>
      <c r="AS1107" t="n">
        <v>225</v>
      </c>
      <c r="AT1107" t="n">
        <v>7</v>
      </c>
      <c r="AU1107" t="n">
        <v>2</v>
      </c>
      <c r="AV1107" t="n">
        <v>55</v>
      </c>
      <c r="AW1107" t="n">
        <v>30</v>
      </c>
      <c r="AX1107" t="n">
        <v>6</v>
      </c>
      <c r="AY1107" t="n">
        <v>72</v>
      </c>
      <c r="AZ1107" t="n">
        <v>3</v>
      </c>
      <c r="BA1107" t="n">
        <v>10</v>
      </c>
      <c r="BB1107" t="n">
        <v>85</v>
      </c>
      <c r="BC1107" t="n">
        <v>2</v>
      </c>
      <c r="BD1107" t="n">
        <v>57</v>
      </c>
      <c r="BE1107" t="n">
        <v>30</v>
      </c>
      <c r="BF1107" t="n">
        <v>5</v>
      </c>
      <c r="BG1107" t="n">
        <v>3</v>
      </c>
      <c r="BH1107" t="n">
        <v>3</v>
      </c>
      <c r="BI1107" t="n">
        <v>61</v>
      </c>
      <c r="BJ1107" t="n">
        <v>56</v>
      </c>
      <c r="BK1107" t="n">
        <v>2</v>
      </c>
      <c r="BL1107" t="n">
        <v>1</v>
      </c>
      <c r="BM1107" t="n">
        <v>8</v>
      </c>
      <c r="BN1107" t="n">
        <v>4</v>
      </c>
      <c r="BO1107" t="n">
        <v>2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123</v>
      </c>
      <c r="Z1108" t="n">
        <v>118</v>
      </c>
      <c r="AA1108" t="n">
        <v>47</v>
      </c>
      <c r="AB1108" t="n">
        <v>0</v>
      </c>
      <c r="AC1108" t="n">
        <v>1</v>
      </c>
      <c r="AD1108" t="n">
        <v>2</v>
      </c>
      <c r="AE1108" t="n">
        <v>8</v>
      </c>
      <c r="AF1108" t="n">
        <v>4</v>
      </c>
      <c r="AG1108" t="n">
        <v>0</v>
      </c>
      <c r="AH1108" t="n">
        <v>13</v>
      </c>
      <c r="AI1108" t="n">
        <v>54</v>
      </c>
      <c r="AJ1108" t="n">
        <v>33</v>
      </c>
      <c r="AK1108" t="n">
        <v>1</v>
      </c>
      <c r="AL1108" t="n">
        <v>2</v>
      </c>
      <c r="AM1108" t="n">
        <v>55</v>
      </c>
      <c r="AN1108" t="n">
        <v>0</v>
      </c>
      <c r="AO1108" t="n">
        <v>0</v>
      </c>
      <c r="AP1108" t="n">
        <v>1</v>
      </c>
      <c r="AQ1108" t="n">
        <v>4</v>
      </c>
      <c r="AR1108" t="n">
        <v>67</v>
      </c>
      <c r="AS1108" t="n">
        <v>60</v>
      </c>
      <c r="AT1108" t="n">
        <v>1</v>
      </c>
      <c r="AU1108" t="n">
        <v>1</v>
      </c>
      <c r="AV1108" t="n">
        <v>6</v>
      </c>
      <c r="AW1108" t="n">
        <v>8</v>
      </c>
      <c r="AX1108" t="n">
        <v>2</v>
      </c>
      <c r="AY1108" t="n">
        <v>46</v>
      </c>
      <c r="AZ1108" t="n">
        <v>2</v>
      </c>
      <c r="BA1108" t="n">
        <v>7</v>
      </c>
      <c r="BB1108" t="n">
        <v>50</v>
      </c>
      <c r="BC1108" t="n">
        <v>45</v>
      </c>
      <c r="BD1108" t="n">
        <v>12</v>
      </c>
      <c r="BE1108" t="n">
        <v>8</v>
      </c>
      <c r="BF1108" t="n">
        <v>26</v>
      </c>
      <c r="BG1108" t="n">
        <v>3</v>
      </c>
      <c r="BH1108" t="n">
        <v>16</v>
      </c>
      <c r="BI1108" t="n">
        <v>1</v>
      </c>
      <c r="BJ1108" t="n">
        <v>1</v>
      </c>
      <c r="BK1108" t="n">
        <v>1</v>
      </c>
      <c r="BL1108" t="n">
        <v>1</v>
      </c>
      <c r="BM1108" t="n">
        <v>33</v>
      </c>
      <c r="BN1108" t="n">
        <v>19</v>
      </c>
      <c r="BO1108" t="n">
        <v>2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218</v>
      </c>
      <c r="Z1109" t="n">
        <v>179</v>
      </c>
      <c r="AA1109" t="n">
        <v>35</v>
      </c>
      <c r="AB1109" t="n">
        <v>0</v>
      </c>
      <c r="AC1109" t="n">
        <v>0</v>
      </c>
      <c r="AD1109" t="n">
        <v>5</v>
      </c>
      <c r="AE1109" t="n">
        <v>1</v>
      </c>
      <c r="AF1109" t="n">
        <v>6</v>
      </c>
      <c r="AG1109" t="n">
        <v>1</v>
      </c>
      <c r="AH1109" t="n">
        <v>28</v>
      </c>
      <c r="AI1109" t="n">
        <v>2</v>
      </c>
      <c r="AJ1109" t="n">
        <v>66</v>
      </c>
      <c r="AK1109" t="n">
        <v>10</v>
      </c>
      <c r="AL1109" t="n">
        <v>3</v>
      </c>
      <c r="AM1109" t="n">
        <v>57</v>
      </c>
      <c r="AN1109" t="n">
        <v>0</v>
      </c>
      <c r="AO1109" t="n">
        <v>0</v>
      </c>
      <c r="AP1109" t="n">
        <v>3</v>
      </c>
      <c r="AQ1109" t="n">
        <v>26</v>
      </c>
      <c r="AR1109" t="n">
        <v>162</v>
      </c>
      <c r="AS1109" t="n">
        <v>136</v>
      </c>
      <c r="AT1109" t="n">
        <v>1</v>
      </c>
      <c r="AU1109" t="n">
        <v>2</v>
      </c>
      <c r="AV1109" t="n">
        <v>1</v>
      </c>
      <c r="AW1109" t="n">
        <v>20</v>
      </c>
      <c r="AX1109" t="n">
        <v>5</v>
      </c>
      <c r="AY1109" t="n">
        <v>9</v>
      </c>
      <c r="AZ1109" t="n">
        <v>2</v>
      </c>
      <c r="BA1109" t="n">
        <v>23</v>
      </c>
      <c r="BB1109" t="n">
        <v>57</v>
      </c>
      <c r="BC1109" t="n">
        <v>49</v>
      </c>
      <c r="BD1109" t="n">
        <v>25</v>
      </c>
      <c r="BE1109" t="n">
        <v>30</v>
      </c>
      <c r="BF1109" t="n">
        <v>52</v>
      </c>
      <c r="BG1109" t="n">
        <v>3</v>
      </c>
      <c r="BH1109" t="n">
        <v>14</v>
      </c>
      <c r="BI1109" t="n">
        <v>51</v>
      </c>
      <c r="BJ1109" t="n">
        <v>47</v>
      </c>
      <c r="BK1109" t="n">
        <v>4</v>
      </c>
      <c r="BL1109" t="n">
        <v>22</v>
      </c>
      <c r="BM1109" t="n">
        <v>15</v>
      </c>
      <c r="BN1109" t="n">
        <v>0</v>
      </c>
      <c r="BO1109" t="n">
        <v>2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223</v>
      </c>
      <c r="Z1110" t="n">
        <v>231</v>
      </c>
      <c r="AA1110" t="n">
        <v>58</v>
      </c>
      <c r="AB1110" t="n">
        <v>1</v>
      </c>
      <c r="AC1110" t="n">
        <v>0</v>
      </c>
      <c r="AD1110" t="n">
        <v>1</v>
      </c>
      <c r="AE1110" t="n">
        <v>2</v>
      </c>
      <c r="AF1110" t="n">
        <v>1</v>
      </c>
      <c r="AG1110" t="n">
        <v>2</v>
      </c>
      <c r="AH1110" t="n">
        <v>32</v>
      </c>
      <c r="AI1110" t="n">
        <v>25</v>
      </c>
      <c r="AJ1110" t="n">
        <v>5</v>
      </c>
      <c r="AK1110" t="n">
        <v>13</v>
      </c>
      <c r="AL1110" t="n">
        <v>4</v>
      </c>
      <c r="AM1110" t="n">
        <v>35</v>
      </c>
      <c r="AN1110" t="n">
        <v>0</v>
      </c>
      <c r="AO1110" t="n">
        <v>1</v>
      </c>
      <c r="AP1110" t="n">
        <v>5</v>
      </c>
      <c r="AQ1110" t="n">
        <v>32</v>
      </c>
      <c r="AR1110" t="n">
        <v>47</v>
      </c>
      <c r="AS1110" t="n">
        <v>22</v>
      </c>
      <c r="AT1110" t="n">
        <v>1</v>
      </c>
      <c r="AU1110" t="n">
        <v>0</v>
      </c>
      <c r="AV1110" t="n">
        <v>11</v>
      </c>
      <c r="AW1110" t="n">
        <v>1</v>
      </c>
      <c r="AX1110" t="n">
        <v>0</v>
      </c>
      <c r="AY1110" t="n">
        <v>36</v>
      </c>
      <c r="AZ1110" t="n">
        <v>4</v>
      </c>
      <c r="BA1110" t="n">
        <v>45</v>
      </c>
      <c r="BB1110" t="n">
        <v>103</v>
      </c>
      <c r="BC1110" t="n">
        <v>29</v>
      </c>
      <c r="BD1110" t="n">
        <v>29</v>
      </c>
      <c r="BE1110" t="n">
        <v>1</v>
      </c>
      <c r="BF1110" t="n">
        <v>3</v>
      </c>
      <c r="BG1110" t="n">
        <v>1</v>
      </c>
      <c r="BH1110" t="n">
        <v>16</v>
      </c>
      <c r="BI1110" t="n">
        <v>32</v>
      </c>
      <c r="BJ1110" t="n">
        <v>42</v>
      </c>
      <c r="BK1110" t="n">
        <v>3</v>
      </c>
      <c r="BL1110" t="n">
        <v>33</v>
      </c>
      <c r="BM1110" t="n">
        <v>33</v>
      </c>
      <c r="BN1110" t="n">
        <v>8</v>
      </c>
      <c r="BO1110" t="n">
        <v>35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3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195</v>
      </c>
      <c r="Z1111" t="n">
        <v>352</v>
      </c>
      <c r="AA1111" t="n">
        <v>21</v>
      </c>
      <c r="AB1111" t="n">
        <v>1</v>
      </c>
      <c r="AC1111" t="n">
        <v>0</v>
      </c>
      <c r="AD1111" t="n">
        <v>1</v>
      </c>
      <c r="AE1111" t="n">
        <v>8</v>
      </c>
      <c r="AF1111" t="n">
        <v>6</v>
      </c>
      <c r="AG1111" t="n">
        <v>0</v>
      </c>
      <c r="AH1111" t="n">
        <v>2</v>
      </c>
      <c r="AI1111" t="n">
        <v>85</v>
      </c>
      <c r="AJ1111" t="n">
        <v>73</v>
      </c>
      <c r="AK1111" t="n">
        <v>7</v>
      </c>
      <c r="AL1111" t="n">
        <v>0</v>
      </c>
      <c r="AM1111" t="n">
        <v>22</v>
      </c>
      <c r="AN1111" t="n">
        <v>0</v>
      </c>
      <c r="AO1111" t="n">
        <v>0</v>
      </c>
      <c r="AP1111" t="n">
        <v>3</v>
      </c>
      <c r="AQ1111" t="n">
        <v>23</v>
      </c>
      <c r="AR1111" t="n">
        <v>62</v>
      </c>
      <c r="AS1111" t="n">
        <v>43</v>
      </c>
      <c r="AT1111" t="n">
        <v>2</v>
      </c>
      <c r="AU1111" t="n">
        <v>5</v>
      </c>
      <c r="AV1111" t="n">
        <v>11</v>
      </c>
      <c r="AW1111" t="n">
        <v>65</v>
      </c>
      <c r="AX1111" t="n">
        <v>1</v>
      </c>
      <c r="AY1111" t="n">
        <v>15</v>
      </c>
      <c r="AZ1111" t="n">
        <v>1</v>
      </c>
      <c r="BA1111" t="n">
        <v>11</v>
      </c>
      <c r="BB1111" t="n">
        <v>32</v>
      </c>
      <c r="BC1111" t="n">
        <v>18</v>
      </c>
      <c r="BD1111" t="n">
        <v>7</v>
      </c>
      <c r="BE1111" t="n">
        <v>66</v>
      </c>
      <c r="BF1111" t="n">
        <v>58</v>
      </c>
      <c r="BG1111" t="n">
        <v>2</v>
      </c>
      <c r="BH1111" t="n">
        <v>17</v>
      </c>
      <c r="BI1111" t="n">
        <v>0</v>
      </c>
      <c r="BJ1111" t="n">
        <v>4</v>
      </c>
      <c r="BK1111" t="n">
        <v>0</v>
      </c>
      <c r="BL1111" t="n">
        <v>18</v>
      </c>
      <c r="BM1111" t="n">
        <v>76</v>
      </c>
      <c r="BN1111" t="n">
        <v>46</v>
      </c>
      <c r="BO1111" t="n">
        <v>23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246</v>
      </c>
      <c r="Z1112" t="n">
        <v>229</v>
      </c>
      <c r="AA1112" t="n">
        <v>107</v>
      </c>
      <c r="AB1112" t="n">
        <v>0</v>
      </c>
      <c r="AC1112" t="n">
        <v>1</v>
      </c>
      <c r="AD1112" t="n">
        <v>5</v>
      </c>
      <c r="AE1112" t="n">
        <v>4</v>
      </c>
      <c r="AF1112" t="n">
        <v>2</v>
      </c>
      <c r="AG1112" t="n">
        <v>4</v>
      </c>
      <c r="AH1112" t="n">
        <v>79</v>
      </c>
      <c r="AI1112" t="n">
        <v>36</v>
      </c>
      <c r="AJ1112" t="n">
        <v>24</v>
      </c>
      <c r="AK1112" t="n">
        <v>66</v>
      </c>
      <c r="AL1112" t="n">
        <v>1</v>
      </c>
      <c r="AM1112" t="n">
        <v>7</v>
      </c>
      <c r="AN1112" t="n">
        <v>0</v>
      </c>
      <c r="AO1112" t="n">
        <v>0</v>
      </c>
      <c r="AP1112" t="n">
        <v>3</v>
      </c>
      <c r="AQ1112" t="n">
        <v>59</v>
      </c>
      <c r="AR1112" t="n">
        <v>103</v>
      </c>
      <c r="AS1112" t="n">
        <v>53</v>
      </c>
      <c r="AT1112" t="n">
        <v>5</v>
      </c>
      <c r="AU1112" t="n">
        <v>2</v>
      </c>
      <c r="AV1112" t="n">
        <v>18</v>
      </c>
      <c r="AW1112" t="n">
        <v>41</v>
      </c>
      <c r="AX1112" t="n">
        <v>2</v>
      </c>
      <c r="AY1112" t="n">
        <v>93</v>
      </c>
      <c r="AZ1112" t="n">
        <v>1</v>
      </c>
      <c r="BA1112" t="n">
        <v>43</v>
      </c>
      <c r="BB1112" t="n">
        <v>143</v>
      </c>
      <c r="BC1112" t="n">
        <v>16</v>
      </c>
      <c r="BD1112" t="n">
        <v>71</v>
      </c>
      <c r="BE1112" t="n">
        <v>40</v>
      </c>
      <c r="BF1112" t="n">
        <v>36</v>
      </c>
      <c r="BG1112" t="n">
        <v>0</v>
      </c>
      <c r="BH1112" t="n">
        <v>4</v>
      </c>
      <c r="BI1112" t="n">
        <v>16</v>
      </c>
      <c r="BJ1112" t="n">
        <v>13</v>
      </c>
      <c r="BK1112" t="n">
        <v>3</v>
      </c>
      <c r="BL1112" t="n">
        <v>38</v>
      </c>
      <c r="BM1112" t="n">
        <v>37</v>
      </c>
      <c r="BN1112" t="n">
        <v>9</v>
      </c>
      <c r="BO1112" t="n">
        <v>2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237</v>
      </c>
      <c r="Z1113" t="n">
        <v>324</v>
      </c>
      <c r="AA1113" t="n">
        <v>73</v>
      </c>
      <c r="AB1113" t="n">
        <v>0</v>
      </c>
      <c r="AC1113" t="n">
        <v>2</v>
      </c>
      <c r="AD1113" t="n">
        <v>8</v>
      </c>
      <c r="AE1113" t="n">
        <v>11</v>
      </c>
      <c r="AF1113" t="n">
        <v>0</v>
      </c>
      <c r="AG1113" t="n">
        <v>2</v>
      </c>
      <c r="AH1113" t="n">
        <v>104</v>
      </c>
      <c r="AI1113" t="n">
        <v>208</v>
      </c>
      <c r="AJ1113" t="n">
        <v>2</v>
      </c>
      <c r="AK1113" t="n">
        <v>1</v>
      </c>
      <c r="AL1113" t="n">
        <v>1</v>
      </c>
      <c r="AM1113" t="n">
        <v>24</v>
      </c>
      <c r="AN1113" t="n">
        <v>0</v>
      </c>
      <c r="AO1113" t="n">
        <v>0</v>
      </c>
      <c r="AP1113" t="n">
        <v>5</v>
      </c>
      <c r="AQ1113" t="n">
        <v>44</v>
      </c>
      <c r="AR1113" t="n">
        <v>111</v>
      </c>
      <c r="AS1113" t="n">
        <v>73</v>
      </c>
      <c r="AT1113" t="n">
        <v>2</v>
      </c>
      <c r="AU1113" t="n">
        <v>1</v>
      </c>
      <c r="AV1113" t="n">
        <v>21</v>
      </c>
      <c r="AW1113" t="n">
        <v>3</v>
      </c>
      <c r="AX1113" t="n">
        <v>0</v>
      </c>
      <c r="AY1113" t="n">
        <v>59</v>
      </c>
      <c r="AZ1113" t="n">
        <v>1</v>
      </c>
      <c r="BA1113" t="n">
        <v>8</v>
      </c>
      <c r="BB1113" t="n">
        <v>77</v>
      </c>
      <c r="BC1113" t="n">
        <v>19</v>
      </c>
      <c r="BD1113" t="n">
        <v>94</v>
      </c>
      <c r="BE1113" t="n">
        <v>6</v>
      </c>
      <c r="BF1113" t="n">
        <v>3</v>
      </c>
      <c r="BG1113" t="n">
        <v>1</v>
      </c>
      <c r="BH1113" t="n">
        <v>13</v>
      </c>
      <c r="BI1113" t="n">
        <v>1</v>
      </c>
      <c r="BJ1113" t="n">
        <v>15</v>
      </c>
      <c r="BK1113" t="n">
        <v>0</v>
      </c>
      <c r="BL1113" t="n">
        <v>1</v>
      </c>
      <c r="BM1113" t="n">
        <v>17</v>
      </c>
      <c r="BN1113" t="n">
        <v>10</v>
      </c>
      <c r="BO1113" t="n">
        <v>49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2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103</v>
      </c>
      <c r="Z1114" t="n">
        <v>182</v>
      </c>
      <c r="AA1114" t="n">
        <v>38</v>
      </c>
      <c r="AB1114" t="n">
        <v>3</v>
      </c>
      <c r="AC1114" t="n">
        <v>1</v>
      </c>
      <c r="AD1114" t="n">
        <v>2</v>
      </c>
      <c r="AE1114" t="n">
        <v>5</v>
      </c>
      <c r="AF1114" t="n">
        <v>2</v>
      </c>
      <c r="AG1114" t="n">
        <v>0</v>
      </c>
      <c r="AH1114" t="n">
        <v>28</v>
      </c>
      <c r="AI1114" t="n">
        <v>34</v>
      </c>
      <c r="AJ1114" t="n">
        <v>29</v>
      </c>
      <c r="AK1114" t="n">
        <v>1</v>
      </c>
      <c r="AL1114" t="n">
        <v>2</v>
      </c>
      <c r="AM1114" t="n">
        <v>46</v>
      </c>
      <c r="AN1114" t="n">
        <v>1</v>
      </c>
      <c r="AO1114" t="n">
        <v>0</v>
      </c>
      <c r="AP1114" t="n">
        <v>3</v>
      </c>
      <c r="AQ1114" t="n">
        <v>13</v>
      </c>
      <c r="AR1114" t="n">
        <v>70</v>
      </c>
      <c r="AS1114" t="n">
        <v>57</v>
      </c>
      <c r="AT1114" t="n">
        <v>0</v>
      </c>
      <c r="AU1114" t="n">
        <v>3</v>
      </c>
      <c r="AV1114" t="n">
        <v>5</v>
      </c>
      <c r="AW1114" t="n">
        <v>34</v>
      </c>
      <c r="AX1114" t="n">
        <v>8</v>
      </c>
      <c r="AY1114" t="n">
        <v>39</v>
      </c>
      <c r="AZ1114" t="n">
        <v>1</v>
      </c>
      <c r="BA1114" t="n">
        <v>1</v>
      </c>
      <c r="BB1114" t="n">
        <v>37</v>
      </c>
      <c r="BC1114" t="n">
        <v>49</v>
      </c>
      <c r="BD1114" t="n">
        <v>26</v>
      </c>
      <c r="BE1114" t="n">
        <v>40</v>
      </c>
      <c r="BF1114" t="n">
        <v>55</v>
      </c>
      <c r="BG1114" t="n">
        <v>2</v>
      </c>
      <c r="BH1114" t="n">
        <v>2</v>
      </c>
      <c r="BI1114" t="n">
        <v>7</v>
      </c>
      <c r="BJ1114" t="n">
        <v>18</v>
      </c>
      <c r="BK1114" t="n">
        <v>1</v>
      </c>
      <c r="BL1114" t="n">
        <v>5</v>
      </c>
      <c r="BM1114" t="n">
        <v>1</v>
      </c>
      <c r="BN1114" t="n">
        <v>1</v>
      </c>
      <c r="BO1114" t="n">
        <v>11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177</v>
      </c>
      <c r="Z1115" t="n">
        <v>282</v>
      </c>
      <c r="AA1115" t="n">
        <v>35</v>
      </c>
      <c r="AB1115" t="n">
        <v>1</v>
      </c>
      <c r="AC1115" t="n">
        <v>2</v>
      </c>
      <c r="AD1115" t="n">
        <v>5</v>
      </c>
      <c r="AE1115" t="n">
        <v>1</v>
      </c>
      <c r="AF1115" t="n">
        <v>1</v>
      </c>
      <c r="AG1115" t="n">
        <v>8</v>
      </c>
      <c r="AH1115" t="n">
        <v>31</v>
      </c>
      <c r="AI1115" t="n">
        <v>25</v>
      </c>
      <c r="AJ1115" t="n">
        <v>33</v>
      </c>
      <c r="AK1115" t="n">
        <v>108</v>
      </c>
      <c r="AL1115" t="n">
        <v>1</v>
      </c>
      <c r="AM1115" t="n">
        <v>33</v>
      </c>
      <c r="AN1115" t="n">
        <v>0</v>
      </c>
      <c r="AO1115" t="n">
        <v>0</v>
      </c>
      <c r="AP1115" t="n">
        <v>2</v>
      </c>
      <c r="AQ1115" t="n">
        <v>23</v>
      </c>
      <c r="AR1115" t="n">
        <v>63</v>
      </c>
      <c r="AS1115" t="n">
        <v>44</v>
      </c>
      <c r="AT1115" t="n">
        <v>4</v>
      </c>
      <c r="AU1115" t="n">
        <v>2</v>
      </c>
      <c r="AV1115" t="n">
        <v>46</v>
      </c>
      <c r="AW1115" t="n">
        <v>30</v>
      </c>
      <c r="AX1115" t="n">
        <v>11</v>
      </c>
      <c r="AY1115" t="n">
        <v>12</v>
      </c>
      <c r="AZ1115" t="n">
        <v>0</v>
      </c>
      <c r="BA1115" t="n">
        <v>1</v>
      </c>
      <c r="BB1115" t="n">
        <v>36</v>
      </c>
      <c r="BC1115" t="n">
        <v>35</v>
      </c>
      <c r="BD1115" t="n">
        <v>28</v>
      </c>
      <c r="BE1115" t="n">
        <v>29</v>
      </c>
      <c r="BF1115" t="n">
        <v>36</v>
      </c>
      <c r="BG1115" t="n">
        <v>0</v>
      </c>
      <c r="BH1115" t="n">
        <v>2</v>
      </c>
      <c r="BI1115" t="n">
        <v>1</v>
      </c>
      <c r="BJ1115" t="n">
        <v>41</v>
      </c>
      <c r="BK1115" t="n">
        <v>5</v>
      </c>
      <c r="BL1115" t="n">
        <v>30</v>
      </c>
      <c r="BM1115" t="n">
        <v>19</v>
      </c>
      <c r="BN1115" t="n">
        <v>0</v>
      </c>
      <c r="BO1115" t="n">
        <v>23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95</v>
      </c>
      <c r="Z1116" t="n">
        <v>176</v>
      </c>
      <c r="AA1116" t="n">
        <v>50</v>
      </c>
      <c r="AB1116" t="n">
        <v>2</v>
      </c>
      <c r="AC1116" t="n">
        <v>1</v>
      </c>
      <c r="AD1116" t="n">
        <v>0</v>
      </c>
      <c r="AE1116" t="n">
        <v>10</v>
      </c>
      <c r="AF1116" t="n">
        <v>2</v>
      </c>
      <c r="AG1116" t="n">
        <v>0</v>
      </c>
      <c r="AH1116" t="n">
        <v>20</v>
      </c>
      <c r="AI1116" t="n">
        <v>83</v>
      </c>
      <c r="AJ1116" t="n">
        <v>2</v>
      </c>
      <c r="AK1116" t="n">
        <v>1</v>
      </c>
      <c r="AL1116" t="n">
        <v>1</v>
      </c>
      <c r="AM1116" t="n">
        <v>6</v>
      </c>
      <c r="AN1116" t="n">
        <v>0</v>
      </c>
      <c r="AO1116" t="n">
        <v>0</v>
      </c>
      <c r="AP1116" t="n">
        <v>2</v>
      </c>
      <c r="AQ1116" t="n">
        <v>1</v>
      </c>
      <c r="AR1116" t="n">
        <v>71</v>
      </c>
      <c r="AS1116" t="n">
        <v>65</v>
      </c>
      <c r="AT1116" t="n">
        <v>3</v>
      </c>
      <c r="AU1116" t="n">
        <v>0</v>
      </c>
      <c r="AV1116" t="n">
        <v>30</v>
      </c>
      <c r="AW1116" t="n">
        <v>1</v>
      </c>
      <c r="AX1116" t="n">
        <v>4</v>
      </c>
      <c r="AY1116" t="n">
        <v>31</v>
      </c>
      <c r="AZ1116" t="n">
        <v>3</v>
      </c>
      <c r="BA1116" t="n">
        <v>10</v>
      </c>
      <c r="BB1116" t="n">
        <v>56</v>
      </c>
      <c r="BC1116" t="n">
        <v>31</v>
      </c>
      <c r="BD1116" t="n">
        <v>19</v>
      </c>
      <c r="BE1116" t="n">
        <v>3</v>
      </c>
      <c r="BF1116" t="n">
        <v>10</v>
      </c>
      <c r="BG1116" t="n">
        <v>1</v>
      </c>
      <c r="BH1116" t="n">
        <v>5</v>
      </c>
      <c r="BI1116" t="n">
        <v>10</v>
      </c>
      <c r="BJ1116" t="n">
        <v>9</v>
      </c>
      <c r="BK1116" t="n">
        <v>2</v>
      </c>
      <c r="BL1116" t="n">
        <v>5</v>
      </c>
      <c r="BM1116" t="n">
        <v>18</v>
      </c>
      <c r="BN1116" t="n">
        <v>10</v>
      </c>
      <c r="BO1116" t="n">
        <v>2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3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195</v>
      </c>
      <c r="Z1117" t="n">
        <v>170</v>
      </c>
      <c r="AA1117" t="n">
        <v>47</v>
      </c>
      <c r="AB1117" t="n">
        <v>1</v>
      </c>
      <c r="AC1117" t="n">
        <v>1</v>
      </c>
      <c r="AD1117" t="n">
        <v>1</v>
      </c>
      <c r="AE1117" t="n">
        <v>6</v>
      </c>
      <c r="AF1117" t="n">
        <v>5</v>
      </c>
      <c r="AG1117" t="n">
        <v>0</v>
      </c>
      <c r="AH1117" t="n">
        <v>8</v>
      </c>
      <c r="AI1117" t="n">
        <v>45</v>
      </c>
      <c r="AJ1117" t="n">
        <v>53</v>
      </c>
      <c r="AK1117" t="n">
        <v>1</v>
      </c>
      <c r="AL1117" t="n">
        <v>4</v>
      </c>
      <c r="AM1117" t="n">
        <v>39</v>
      </c>
      <c r="AN1117" t="n">
        <v>0</v>
      </c>
      <c r="AO1117" t="n">
        <v>0</v>
      </c>
      <c r="AP1117" t="n">
        <v>6</v>
      </c>
      <c r="AQ1117" t="n">
        <v>79</v>
      </c>
      <c r="AR1117" t="n">
        <v>134</v>
      </c>
      <c r="AS1117" t="n">
        <v>67</v>
      </c>
      <c r="AT1117" t="n">
        <v>0</v>
      </c>
      <c r="AU1117" t="n">
        <v>3</v>
      </c>
      <c r="AV1117" t="n">
        <v>1</v>
      </c>
      <c r="AW1117" t="n">
        <v>31</v>
      </c>
      <c r="AX1117" t="n">
        <v>0</v>
      </c>
      <c r="AY1117" t="n">
        <v>12</v>
      </c>
      <c r="AZ1117" t="n">
        <v>2</v>
      </c>
      <c r="BA1117" t="n">
        <v>5</v>
      </c>
      <c r="BB1117" t="n">
        <v>50</v>
      </c>
      <c r="BC1117" t="n">
        <v>32</v>
      </c>
      <c r="BD1117" t="n">
        <v>2</v>
      </c>
      <c r="BE1117" t="n">
        <v>32</v>
      </c>
      <c r="BF1117" t="n">
        <v>40</v>
      </c>
      <c r="BG1117" t="n">
        <v>2</v>
      </c>
      <c r="BH1117" t="n">
        <v>14</v>
      </c>
      <c r="BI1117" t="n">
        <v>5</v>
      </c>
      <c r="BJ1117" t="n">
        <v>15</v>
      </c>
      <c r="BK1117" t="n">
        <v>2</v>
      </c>
      <c r="BL1117" t="n">
        <v>9</v>
      </c>
      <c r="BM1117" t="n">
        <v>20</v>
      </c>
      <c r="BN1117" t="n">
        <v>10</v>
      </c>
      <c r="BO1117" t="n">
        <v>37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164</v>
      </c>
      <c r="Z1118" t="n">
        <v>223</v>
      </c>
      <c r="AA1118" t="n">
        <v>112</v>
      </c>
      <c r="AB1118" t="n">
        <v>0</v>
      </c>
      <c r="AC1118" t="n">
        <v>0</v>
      </c>
      <c r="AD1118" t="n">
        <v>3</v>
      </c>
      <c r="AE1118" t="n">
        <v>2</v>
      </c>
      <c r="AF1118" t="n">
        <v>3</v>
      </c>
      <c r="AG1118" t="n">
        <v>4</v>
      </c>
      <c r="AH1118" t="n">
        <v>19</v>
      </c>
      <c r="AI1118" t="n">
        <v>50</v>
      </c>
      <c r="AJ1118" t="n">
        <v>39</v>
      </c>
      <c r="AK1118" t="n">
        <v>24</v>
      </c>
      <c r="AL1118" t="n">
        <v>5</v>
      </c>
      <c r="AM1118" t="n">
        <v>50</v>
      </c>
      <c r="AN1118" t="n">
        <v>1</v>
      </c>
      <c r="AO1118" t="n">
        <v>0</v>
      </c>
      <c r="AP1118" t="n">
        <v>9</v>
      </c>
      <c r="AQ1118" t="n">
        <v>39</v>
      </c>
      <c r="AR1118" t="n">
        <v>127</v>
      </c>
      <c r="AS1118" t="n">
        <v>92</v>
      </c>
      <c r="AT1118" t="n">
        <v>4</v>
      </c>
      <c r="AU1118" t="n">
        <v>1</v>
      </c>
      <c r="AV1118" t="n">
        <v>36</v>
      </c>
      <c r="AW1118" t="n">
        <v>26</v>
      </c>
      <c r="AX1118" t="n">
        <v>5</v>
      </c>
      <c r="AY1118" t="n">
        <v>54</v>
      </c>
      <c r="AZ1118" t="n">
        <v>5</v>
      </c>
      <c r="BA1118" t="n">
        <v>35</v>
      </c>
      <c r="BB1118" t="n">
        <v>140</v>
      </c>
      <c r="BC1118" t="n">
        <v>46</v>
      </c>
      <c r="BD1118" t="n">
        <v>24</v>
      </c>
      <c r="BE1118" t="n">
        <v>37</v>
      </c>
      <c r="BF1118" t="n">
        <v>31</v>
      </c>
      <c r="BG1118" t="n">
        <v>3</v>
      </c>
      <c r="BH1118" t="n">
        <v>12</v>
      </c>
      <c r="BI1118" t="n">
        <v>26</v>
      </c>
      <c r="BJ1118" t="n">
        <v>23</v>
      </c>
      <c r="BK1118" t="n">
        <v>8</v>
      </c>
      <c r="BL1118" t="n">
        <v>81</v>
      </c>
      <c r="BM1118" t="n">
        <v>79</v>
      </c>
      <c r="BN1118" t="n">
        <v>18</v>
      </c>
      <c r="BO1118" t="n">
        <v>7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2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104</v>
      </c>
      <c r="Z1119" t="n">
        <v>182</v>
      </c>
      <c r="AA1119" t="n">
        <v>131</v>
      </c>
      <c r="AB1119" t="n">
        <v>1</v>
      </c>
      <c r="AC1119" t="n">
        <v>3</v>
      </c>
      <c r="AD1119" t="n">
        <v>1</v>
      </c>
      <c r="AE1119" t="n">
        <v>3</v>
      </c>
      <c r="AF1119" t="n">
        <v>3</v>
      </c>
      <c r="AG1119" t="n">
        <v>2</v>
      </c>
      <c r="AH1119" t="n">
        <v>11</v>
      </c>
      <c r="AI1119" t="n">
        <v>13</v>
      </c>
      <c r="AJ1119" t="n">
        <v>32</v>
      </c>
      <c r="AK1119" t="n">
        <v>24</v>
      </c>
      <c r="AL1119" t="n">
        <v>2</v>
      </c>
      <c r="AM1119" t="n">
        <v>42</v>
      </c>
      <c r="AN1119" t="n">
        <v>0</v>
      </c>
      <c r="AO1119" t="n">
        <v>0</v>
      </c>
      <c r="AP1119" t="n">
        <v>5</v>
      </c>
      <c r="AQ1119" t="n">
        <v>19</v>
      </c>
      <c r="AR1119" t="n">
        <v>126</v>
      </c>
      <c r="AS1119" t="n">
        <v>107</v>
      </c>
      <c r="AT1119" t="n">
        <v>3</v>
      </c>
      <c r="AU1119" t="n">
        <v>0</v>
      </c>
      <c r="AV1119" t="n">
        <v>2</v>
      </c>
      <c r="AW1119" t="n">
        <v>1</v>
      </c>
      <c r="AX1119" t="n">
        <v>6</v>
      </c>
      <c r="AY1119" t="n">
        <v>15</v>
      </c>
      <c r="AZ1119" t="n">
        <v>1</v>
      </c>
      <c r="BA1119" t="n">
        <v>11</v>
      </c>
      <c r="BB1119" t="n">
        <v>134</v>
      </c>
      <c r="BC1119" t="n">
        <v>36</v>
      </c>
      <c r="BD1119" t="n">
        <v>51</v>
      </c>
      <c r="BE1119" t="n">
        <v>5</v>
      </c>
      <c r="BF1119" t="n">
        <v>35</v>
      </c>
      <c r="BG1119" t="n">
        <v>1</v>
      </c>
      <c r="BH1119" t="n">
        <v>8</v>
      </c>
      <c r="BI1119" t="n">
        <v>13</v>
      </c>
      <c r="BJ1119" t="n">
        <v>18</v>
      </c>
      <c r="BK1119" t="n">
        <v>2</v>
      </c>
      <c r="BL1119" t="n">
        <v>1</v>
      </c>
      <c r="BM1119" t="n">
        <v>2</v>
      </c>
      <c r="BN1119" t="n">
        <v>1</v>
      </c>
      <c r="BO1119" t="n">
        <v>25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145</v>
      </c>
      <c r="Z1120" t="n">
        <v>239</v>
      </c>
      <c r="AA1120" t="n">
        <v>93</v>
      </c>
      <c r="AB1120" t="n">
        <v>3</v>
      </c>
      <c r="AC1120" t="n">
        <v>1</v>
      </c>
      <c r="AD1120" t="n">
        <v>4</v>
      </c>
      <c r="AE1120" t="n">
        <v>6</v>
      </c>
      <c r="AF1120" t="n">
        <v>2</v>
      </c>
      <c r="AG1120" t="n">
        <v>10</v>
      </c>
      <c r="AH1120" t="n">
        <v>35</v>
      </c>
      <c r="AI1120" t="n">
        <v>36</v>
      </c>
      <c r="AJ1120" t="n">
        <v>7</v>
      </c>
      <c r="AK1120" t="n">
        <v>59</v>
      </c>
      <c r="AL1120" t="n">
        <v>4</v>
      </c>
      <c r="AM1120" t="n">
        <v>11</v>
      </c>
      <c r="AN1120" t="n">
        <v>0</v>
      </c>
      <c r="AO1120" t="n">
        <v>0</v>
      </c>
      <c r="AP1120" t="n">
        <v>0</v>
      </c>
      <c r="AQ1120" t="n">
        <v>1</v>
      </c>
      <c r="AR1120" t="n">
        <v>23</v>
      </c>
      <c r="AS1120" t="n">
        <v>19</v>
      </c>
      <c r="AT1120" t="n">
        <v>2</v>
      </c>
      <c r="AU1120" t="n">
        <v>4</v>
      </c>
      <c r="AV1120" t="n">
        <v>12</v>
      </c>
      <c r="AW1120" t="n">
        <v>53</v>
      </c>
      <c r="AX1120" t="n">
        <v>0</v>
      </c>
      <c r="AY1120" t="n">
        <v>9</v>
      </c>
      <c r="AZ1120" t="n">
        <v>3</v>
      </c>
      <c r="BA1120" t="n">
        <v>15</v>
      </c>
      <c r="BB1120" t="n">
        <v>103</v>
      </c>
      <c r="BC1120" t="n">
        <v>7</v>
      </c>
      <c r="BD1120" t="n">
        <v>31</v>
      </c>
      <c r="BE1120" t="n">
        <v>55</v>
      </c>
      <c r="BF1120" t="n">
        <v>15</v>
      </c>
      <c r="BG1120" t="n">
        <v>2</v>
      </c>
      <c r="BH1120" t="n">
        <v>16</v>
      </c>
      <c r="BI1120" t="n">
        <v>1</v>
      </c>
      <c r="BJ1120" t="n">
        <v>1</v>
      </c>
      <c r="BK1120" t="n">
        <v>0</v>
      </c>
      <c r="BL1120" t="n">
        <v>1</v>
      </c>
      <c r="BM1120" t="n">
        <v>23</v>
      </c>
      <c r="BN1120" t="n">
        <v>14</v>
      </c>
      <c r="BO1120" t="n">
        <v>37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149</v>
      </c>
      <c r="Z1121" t="n">
        <v>267</v>
      </c>
      <c r="AA1121" t="n">
        <v>82</v>
      </c>
      <c r="AB1121" t="n">
        <v>3</v>
      </c>
      <c r="AC1121" t="n">
        <v>3</v>
      </c>
      <c r="AD1121" t="n">
        <v>1</v>
      </c>
      <c r="AE1121" t="n">
        <v>3</v>
      </c>
      <c r="AF1121" t="n">
        <v>2</v>
      </c>
      <c r="AG1121" t="n">
        <v>5</v>
      </c>
      <c r="AH1121" t="n">
        <v>2</v>
      </c>
      <c r="AI1121" t="n">
        <v>71</v>
      </c>
      <c r="AJ1121" t="n">
        <v>47</v>
      </c>
      <c r="AK1121" t="n">
        <v>39</v>
      </c>
      <c r="AL1121" t="n">
        <v>3</v>
      </c>
      <c r="AM1121" t="n">
        <v>48</v>
      </c>
      <c r="AN1121" t="n">
        <v>1</v>
      </c>
      <c r="AO1121" t="n">
        <v>0</v>
      </c>
      <c r="AP1121" t="n">
        <v>4</v>
      </c>
      <c r="AQ1121" t="n">
        <v>32</v>
      </c>
      <c r="AR1121" t="n">
        <v>121</v>
      </c>
      <c r="AS1121" t="n">
        <v>93</v>
      </c>
      <c r="AT1121" t="n">
        <v>1</v>
      </c>
      <c r="AU1121" t="n">
        <v>3</v>
      </c>
      <c r="AV1121" t="n">
        <v>1</v>
      </c>
      <c r="AW1121" t="n">
        <v>30</v>
      </c>
      <c r="AX1121" t="n">
        <v>0</v>
      </c>
      <c r="AY1121" t="n">
        <v>49</v>
      </c>
      <c r="AZ1121" t="n">
        <v>1</v>
      </c>
      <c r="BA1121" t="n">
        <v>2</v>
      </c>
      <c r="BB1121" t="n">
        <v>79</v>
      </c>
      <c r="BC1121" t="n">
        <v>37</v>
      </c>
      <c r="BD1121" t="n">
        <v>13</v>
      </c>
      <c r="BE1121" t="n">
        <v>29</v>
      </c>
      <c r="BF1121" t="n">
        <v>37</v>
      </c>
      <c r="BG1121" t="n">
        <v>5</v>
      </c>
      <c r="BH1121" t="n">
        <v>2</v>
      </c>
      <c r="BI1121" t="n">
        <v>60</v>
      </c>
      <c r="BJ1121" t="n">
        <v>55</v>
      </c>
      <c r="BK1121" t="n">
        <v>0</v>
      </c>
      <c r="BL1121" t="n">
        <v>1</v>
      </c>
      <c r="BM1121" t="n">
        <v>10</v>
      </c>
      <c r="BN1121" t="n">
        <v>5</v>
      </c>
      <c r="BO1121" t="n">
        <v>16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</v>
      </c>
      <c r="V1122" t="n">
        <v>0</v>
      </c>
      <c r="W1122" t="n">
        <v>0</v>
      </c>
      <c r="X1122" t="n">
        <v>0</v>
      </c>
      <c r="Y1122" t="n">
        <v>119</v>
      </c>
      <c r="Z1122" t="n">
        <v>103</v>
      </c>
      <c r="AA1122" t="n">
        <v>64</v>
      </c>
      <c r="AB1122" t="n">
        <v>0</v>
      </c>
      <c r="AC1122" t="n">
        <v>1</v>
      </c>
      <c r="AD1122" t="n">
        <v>3</v>
      </c>
      <c r="AE1122" t="n">
        <v>0</v>
      </c>
      <c r="AF1122" t="n">
        <v>1</v>
      </c>
      <c r="AG1122" t="n">
        <v>2</v>
      </c>
      <c r="AH1122" t="n">
        <v>44</v>
      </c>
      <c r="AI1122" t="n">
        <v>14</v>
      </c>
      <c r="AJ1122" t="n">
        <v>19</v>
      </c>
      <c r="AK1122" t="n">
        <v>1</v>
      </c>
      <c r="AL1122" t="n">
        <v>5</v>
      </c>
      <c r="AM1122" t="n">
        <v>47</v>
      </c>
      <c r="AN1122" t="n">
        <v>0</v>
      </c>
      <c r="AO1122" t="n">
        <v>0</v>
      </c>
      <c r="AP1122" t="n">
        <v>3</v>
      </c>
      <c r="AQ1122" t="n">
        <v>47</v>
      </c>
      <c r="AR1122" t="n">
        <v>95</v>
      </c>
      <c r="AS1122" t="n">
        <v>55</v>
      </c>
      <c r="AT1122" t="n">
        <v>3</v>
      </c>
      <c r="AU1122" t="n">
        <v>1</v>
      </c>
      <c r="AV1122" t="n">
        <v>14</v>
      </c>
      <c r="AW1122" t="n">
        <v>3</v>
      </c>
      <c r="AX1122" t="n">
        <v>0</v>
      </c>
      <c r="AY1122" t="n">
        <v>4</v>
      </c>
      <c r="AZ1122" t="n">
        <v>3</v>
      </c>
      <c r="BA1122" t="n">
        <v>14</v>
      </c>
      <c r="BB1122" t="n">
        <v>74</v>
      </c>
      <c r="BC1122" t="n">
        <v>39</v>
      </c>
      <c r="BD1122" t="n">
        <v>38</v>
      </c>
      <c r="BE1122" t="n">
        <v>1</v>
      </c>
      <c r="BF1122" t="n">
        <v>19</v>
      </c>
      <c r="BG1122" t="n">
        <v>3</v>
      </c>
      <c r="BH1122" t="n">
        <v>0</v>
      </c>
      <c r="BI1122" t="n">
        <v>1</v>
      </c>
      <c r="BJ1122" t="n">
        <v>2</v>
      </c>
      <c r="BK1122" t="n">
        <v>5</v>
      </c>
      <c r="BL1122" t="n">
        <v>21</v>
      </c>
      <c r="BM1122" t="n">
        <v>34</v>
      </c>
      <c r="BN1122" t="n">
        <v>14</v>
      </c>
      <c r="BO1122" t="n">
        <v>2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3</v>
      </c>
      <c r="N1123" t="n">
        <v>1</v>
      </c>
      <c r="O1123" t="n">
        <v>0</v>
      </c>
      <c r="P1123" t="n">
        <v>0</v>
      </c>
      <c r="Q1123" t="n">
        <v>0</v>
      </c>
      <c r="R1123" t="n">
        <v>2</v>
      </c>
      <c r="S1123" t="n">
        <v>0</v>
      </c>
      <c r="T1123" t="n">
        <v>2</v>
      </c>
      <c r="U1123" t="n">
        <v>0</v>
      </c>
      <c r="V1123" t="n">
        <v>0</v>
      </c>
      <c r="W1123" t="n">
        <v>0</v>
      </c>
      <c r="X1123" t="n">
        <v>0</v>
      </c>
      <c r="Y1123" t="n">
        <v>202</v>
      </c>
      <c r="Z1123" t="n">
        <v>137</v>
      </c>
      <c r="AA1123" t="n">
        <v>49</v>
      </c>
      <c r="AB1123" t="n">
        <v>2</v>
      </c>
      <c r="AC1123" t="n">
        <v>2</v>
      </c>
      <c r="AD1123" t="n">
        <v>6</v>
      </c>
      <c r="AE1123" t="n">
        <v>5</v>
      </c>
      <c r="AF1123" t="n">
        <v>5</v>
      </c>
      <c r="AG1123" t="n">
        <v>3</v>
      </c>
      <c r="AH1123" t="n">
        <v>62</v>
      </c>
      <c r="AI1123" t="n">
        <v>47</v>
      </c>
      <c r="AJ1123" t="n">
        <v>76</v>
      </c>
      <c r="AK1123" t="n">
        <v>42</v>
      </c>
      <c r="AL1123" t="n">
        <v>1</v>
      </c>
      <c r="AM1123" t="n">
        <v>32</v>
      </c>
      <c r="AN1123" t="n">
        <v>0</v>
      </c>
      <c r="AO1123" t="n">
        <v>0</v>
      </c>
      <c r="AP1123" t="n">
        <v>4</v>
      </c>
      <c r="AQ1123" t="n">
        <v>35</v>
      </c>
      <c r="AR1123" t="n">
        <v>81</v>
      </c>
      <c r="AS1123" t="n">
        <v>52</v>
      </c>
      <c r="AT1123" t="n">
        <v>1</v>
      </c>
      <c r="AU1123" t="n">
        <v>1</v>
      </c>
      <c r="AV1123" t="n">
        <v>1</v>
      </c>
      <c r="AW1123" t="n">
        <v>33</v>
      </c>
      <c r="AX1123" t="n">
        <v>1</v>
      </c>
      <c r="AY1123" t="n">
        <v>5</v>
      </c>
      <c r="AZ1123" t="n">
        <v>1</v>
      </c>
      <c r="BA1123" t="n">
        <v>1</v>
      </c>
      <c r="BB1123" t="n">
        <v>49</v>
      </c>
      <c r="BC1123" t="n">
        <v>26</v>
      </c>
      <c r="BD1123" t="n">
        <v>55</v>
      </c>
      <c r="BE1123" t="n">
        <v>32</v>
      </c>
      <c r="BF1123" t="n">
        <v>83</v>
      </c>
      <c r="BG1123" t="n">
        <v>0</v>
      </c>
      <c r="BH1123" t="n">
        <v>5</v>
      </c>
      <c r="BI1123" t="n">
        <v>1</v>
      </c>
      <c r="BJ1123" t="n">
        <v>20</v>
      </c>
      <c r="BK1123" t="n">
        <v>0</v>
      </c>
      <c r="BL1123" t="n">
        <v>1</v>
      </c>
      <c r="BM1123" t="n">
        <v>4</v>
      </c>
      <c r="BN1123" t="n">
        <v>2</v>
      </c>
      <c r="BO1123" t="n">
        <v>180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251</v>
      </c>
      <c r="Z1124" t="n">
        <v>357</v>
      </c>
      <c r="AA1124" t="n">
        <v>113</v>
      </c>
      <c r="AB1124" t="n">
        <v>1</v>
      </c>
      <c r="AC1124" t="n">
        <v>0</v>
      </c>
      <c r="AD1124" t="n">
        <v>6</v>
      </c>
      <c r="AE1124" t="n">
        <v>6</v>
      </c>
      <c r="AF1124" t="n">
        <v>6</v>
      </c>
      <c r="AG1124" t="n">
        <v>2</v>
      </c>
      <c r="AH1124" t="n">
        <v>84</v>
      </c>
      <c r="AI1124" t="n">
        <v>102</v>
      </c>
      <c r="AJ1124" t="n">
        <v>63</v>
      </c>
      <c r="AK1124" t="n">
        <v>25</v>
      </c>
      <c r="AL1124" t="n">
        <v>0</v>
      </c>
      <c r="AM1124" t="n">
        <v>57</v>
      </c>
      <c r="AN1124" t="n">
        <v>0</v>
      </c>
      <c r="AO1124" t="n">
        <v>0</v>
      </c>
      <c r="AP1124" t="n">
        <v>3</v>
      </c>
      <c r="AQ1124" t="n">
        <v>27</v>
      </c>
      <c r="AR1124" t="n">
        <v>124</v>
      </c>
      <c r="AS1124" t="n">
        <v>99</v>
      </c>
      <c r="AT1124" t="n">
        <v>3</v>
      </c>
      <c r="AU1124" t="n">
        <v>6</v>
      </c>
      <c r="AV1124" t="n">
        <v>34</v>
      </c>
      <c r="AW1124" t="n">
        <v>58</v>
      </c>
      <c r="AX1124" t="n">
        <v>0</v>
      </c>
      <c r="AY1124" t="n">
        <v>15</v>
      </c>
      <c r="AZ1124" t="n">
        <v>0</v>
      </c>
      <c r="BA1124" t="n">
        <v>1</v>
      </c>
      <c r="BB1124" t="n">
        <v>109</v>
      </c>
      <c r="BC1124" t="n">
        <v>69</v>
      </c>
      <c r="BD1124" t="n">
        <v>76</v>
      </c>
      <c r="BE1124" t="n">
        <v>60</v>
      </c>
      <c r="BF1124" t="n">
        <v>85</v>
      </c>
      <c r="BG1124" t="n">
        <v>3</v>
      </c>
      <c r="BH1124" t="n">
        <v>5</v>
      </c>
      <c r="BI1124" t="n">
        <v>15</v>
      </c>
      <c r="BJ1124" t="n">
        <v>23</v>
      </c>
      <c r="BK1124" t="n">
        <v>2</v>
      </c>
      <c r="BL1124" t="n">
        <v>26</v>
      </c>
      <c r="BM1124" t="n">
        <v>35</v>
      </c>
      <c r="BN1124" t="n">
        <v>12</v>
      </c>
      <c r="BO1124" t="n">
        <v>131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188</v>
      </c>
      <c r="Z1125" t="n">
        <v>137</v>
      </c>
      <c r="AA1125" t="n">
        <v>7</v>
      </c>
      <c r="AB1125" t="n">
        <v>1</v>
      </c>
      <c r="AC1125" t="n">
        <v>2</v>
      </c>
      <c r="AD1125" t="n">
        <v>1</v>
      </c>
      <c r="AE1125" t="n">
        <v>4</v>
      </c>
      <c r="AF1125" t="n">
        <v>2</v>
      </c>
      <c r="AG1125" t="n">
        <v>0</v>
      </c>
      <c r="AH1125" t="n">
        <v>5</v>
      </c>
      <c r="AI1125" t="n">
        <v>79</v>
      </c>
      <c r="AJ1125" t="n">
        <v>9</v>
      </c>
      <c r="AK1125" t="n">
        <v>13</v>
      </c>
      <c r="AL1125" t="n">
        <v>2</v>
      </c>
      <c r="AM1125" t="n">
        <v>28</v>
      </c>
      <c r="AN1125" t="n">
        <v>0</v>
      </c>
      <c r="AO1125" t="n">
        <v>0</v>
      </c>
      <c r="AP1125" t="n">
        <v>3</v>
      </c>
      <c r="AQ1125" t="n">
        <v>15</v>
      </c>
      <c r="AR1125" t="n">
        <v>38</v>
      </c>
      <c r="AS1125" t="n">
        <v>25</v>
      </c>
      <c r="AT1125" t="n">
        <v>4</v>
      </c>
      <c r="AU1125" t="n">
        <v>1</v>
      </c>
      <c r="AV1125" t="n">
        <v>15</v>
      </c>
      <c r="AW1125" t="n">
        <v>8</v>
      </c>
      <c r="AX1125" t="n">
        <v>0</v>
      </c>
      <c r="AY1125" t="n">
        <v>22</v>
      </c>
      <c r="AZ1125" t="n">
        <v>1</v>
      </c>
      <c r="BA1125" t="n">
        <v>1</v>
      </c>
      <c r="BB1125" t="n">
        <v>9</v>
      </c>
      <c r="BC1125" t="n">
        <v>23</v>
      </c>
      <c r="BD1125" t="n">
        <v>4</v>
      </c>
      <c r="BE1125" t="n">
        <v>8</v>
      </c>
      <c r="BF1125" t="n">
        <v>2</v>
      </c>
      <c r="BG1125" t="n">
        <v>2</v>
      </c>
      <c r="BH1125" t="n">
        <v>0</v>
      </c>
      <c r="BI1125" t="n">
        <v>52</v>
      </c>
      <c r="BJ1125" t="n">
        <v>49</v>
      </c>
      <c r="BK1125" t="n">
        <v>0</v>
      </c>
      <c r="BL1125" t="n">
        <v>1</v>
      </c>
      <c r="BM1125" t="n">
        <v>5</v>
      </c>
      <c r="BN1125" t="n">
        <v>3</v>
      </c>
      <c r="BO1125" t="n">
        <v>2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196</v>
      </c>
      <c r="Z1126" t="n">
        <v>216</v>
      </c>
      <c r="AA1126" t="n">
        <v>49</v>
      </c>
      <c r="AB1126" t="n">
        <v>0</v>
      </c>
      <c r="AC1126" t="n">
        <v>1</v>
      </c>
      <c r="AD1126" t="n">
        <v>5</v>
      </c>
      <c r="AE1126" t="n">
        <v>3</v>
      </c>
      <c r="AF1126" t="n">
        <v>3</v>
      </c>
      <c r="AG1126" t="n">
        <v>2</v>
      </c>
      <c r="AH1126" t="n">
        <v>68</v>
      </c>
      <c r="AI1126" t="n">
        <v>37</v>
      </c>
      <c r="AJ1126" t="n">
        <v>10</v>
      </c>
      <c r="AK1126" t="n">
        <v>90</v>
      </c>
      <c r="AL1126" t="n">
        <v>4</v>
      </c>
      <c r="AM1126" t="n">
        <v>122</v>
      </c>
      <c r="AN1126" t="n">
        <v>0</v>
      </c>
      <c r="AO1126" t="n">
        <v>0</v>
      </c>
      <c r="AP1126" t="n">
        <v>0</v>
      </c>
      <c r="AQ1126" t="n">
        <v>1</v>
      </c>
      <c r="AR1126" t="n">
        <v>119</v>
      </c>
      <c r="AS1126" t="n">
        <v>109</v>
      </c>
      <c r="AT1126" t="n">
        <v>2</v>
      </c>
      <c r="AU1126" t="n">
        <v>2</v>
      </c>
      <c r="AV1126" t="n">
        <v>1</v>
      </c>
      <c r="AW1126" t="n">
        <v>14</v>
      </c>
      <c r="AX1126" t="n">
        <v>2</v>
      </c>
      <c r="AY1126" t="n">
        <v>70</v>
      </c>
      <c r="AZ1126" t="n">
        <v>4</v>
      </c>
      <c r="BA1126" t="n">
        <v>11</v>
      </c>
      <c r="BB1126" t="n">
        <v>57</v>
      </c>
      <c r="BC1126" t="n">
        <v>113</v>
      </c>
      <c r="BD1126" t="n">
        <v>60</v>
      </c>
      <c r="BE1126" t="n">
        <v>13</v>
      </c>
      <c r="BF1126" t="n">
        <v>7</v>
      </c>
      <c r="BG1126" t="n">
        <v>4</v>
      </c>
      <c r="BH1126" t="n">
        <v>0</v>
      </c>
      <c r="BI1126" t="n">
        <v>34</v>
      </c>
      <c r="BJ1126" t="n">
        <v>31</v>
      </c>
      <c r="BK1126" t="n">
        <v>2</v>
      </c>
      <c r="BL1126" t="n">
        <v>1</v>
      </c>
      <c r="BM1126" t="n">
        <v>6</v>
      </c>
      <c r="BN1126" t="n">
        <v>3</v>
      </c>
      <c r="BO1126" t="n">
        <v>-7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172</v>
      </c>
      <c r="Z1127" t="n">
        <v>195</v>
      </c>
      <c r="AA1127" t="n">
        <v>47</v>
      </c>
      <c r="AB1127" t="n">
        <v>2</v>
      </c>
      <c r="AC1127" t="n">
        <v>2</v>
      </c>
      <c r="AD1127" t="n">
        <v>2</v>
      </c>
      <c r="AE1127" t="n">
        <v>6</v>
      </c>
      <c r="AF1127" t="n">
        <v>5</v>
      </c>
      <c r="AG1127" t="n">
        <v>3</v>
      </c>
      <c r="AH1127" t="n">
        <v>26</v>
      </c>
      <c r="AI1127" t="n">
        <v>28</v>
      </c>
      <c r="AJ1127" t="n">
        <v>45</v>
      </c>
      <c r="AK1127" t="n">
        <v>28</v>
      </c>
      <c r="AL1127" t="n">
        <v>6</v>
      </c>
      <c r="AM1127" t="n">
        <v>85</v>
      </c>
      <c r="AN1127" t="n">
        <v>0</v>
      </c>
      <c r="AO1127" t="n">
        <v>0</v>
      </c>
      <c r="AP1127" t="n">
        <v>3</v>
      </c>
      <c r="AQ1127" t="n">
        <v>10</v>
      </c>
      <c r="AR1127" t="n">
        <v>186</v>
      </c>
      <c r="AS1127" t="n">
        <v>171</v>
      </c>
      <c r="AT1127" t="n">
        <v>2</v>
      </c>
      <c r="AU1127" t="n">
        <v>1</v>
      </c>
      <c r="AV1127" t="n">
        <v>0</v>
      </c>
      <c r="AW1127" t="n">
        <v>12</v>
      </c>
      <c r="AX1127" t="n">
        <v>0</v>
      </c>
      <c r="AY1127" t="n">
        <v>41</v>
      </c>
      <c r="AZ1127" t="n">
        <v>4</v>
      </c>
      <c r="BA1127" t="n">
        <v>9</v>
      </c>
      <c r="BB1127" t="n">
        <v>53</v>
      </c>
      <c r="BC1127" t="n">
        <v>72</v>
      </c>
      <c r="BD1127" t="n">
        <v>23</v>
      </c>
      <c r="BE1127" t="n">
        <v>18</v>
      </c>
      <c r="BF1127" t="n">
        <v>48</v>
      </c>
      <c r="BG1127" t="n">
        <v>1</v>
      </c>
      <c r="BH1127" t="n">
        <v>16</v>
      </c>
      <c r="BI1127" t="n">
        <v>39</v>
      </c>
      <c r="BJ1127" t="n">
        <v>41</v>
      </c>
      <c r="BK1127" t="n">
        <v>5</v>
      </c>
      <c r="BL1127" t="n">
        <v>27</v>
      </c>
      <c r="BM1127" t="n">
        <v>28</v>
      </c>
      <c r="BN1127" t="n">
        <v>7</v>
      </c>
      <c r="BO1127" t="n">
        <v>2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328</v>
      </c>
      <c r="Z1128" t="n">
        <v>269</v>
      </c>
      <c r="AA1128" t="n">
        <v>7</v>
      </c>
      <c r="AB1128" t="n">
        <v>0</v>
      </c>
      <c r="AC1128" t="n">
        <v>1</v>
      </c>
      <c r="AD1128" t="n">
        <v>7</v>
      </c>
      <c r="AE1128" t="n">
        <v>2</v>
      </c>
      <c r="AF1128" t="n">
        <v>5</v>
      </c>
      <c r="AG1128" t="n">
        <v>7</v>
      </c>
      <c r="AH1128" t="n">
        <v>32</v>
      </c>
      <c r="AI1128" t="n">
        <v>36</v>
      </c>
      <c r="AJ1128" t="n">
        <v>15</v>
      </c>
      <c r="AK1128" t="n">
        <v>84</v>
      </c>
      <c r="AL1128" t="n">
        <v>3</v>
      </c>
      <c r="AM1128" t="n">
        <v>43</v>
      </c>
      <c r="AN1128" t="n">
        <v>0</v>
      </c>
      <c r="AO1128" t="n">
        <v>0</v>
      </c>
      <c r="AP1128" t="n">
        <v>6</v>
      </c>
      <c r="AQ1128" t="n">
        <v>50</v>
      </c>
      <c r="AR1128" t="n">
        <v>137</v>
      </c>
      <c r="AS1128" t="n">
        <v>96</v>
      </c>
      <c r="AT1128" t="n">
        <v>4</v>
      </c>
      <c r="AU1128" t="n">
        <v>2</v>
      </c>
      <c r="AV1128" t="n">
        <v>84</v>
      </c>
      <c r="AW1128" t="n">
        <v>48</v>
      </c>
      <c r="AX1128" t="n">
        <v>0</v>
      </c>
      <c r="AY1128" t="n">
        <v>29</v>
      </c>
      <c r="AZ1128" t="n">
        <v>2</v>
      </c>
      <c r="BA1128" t="n">
        <v>16</v>
      </c>
      <c r="BB1128" t="n">
        <v>23</v>
      </c>
      <c r="BC1128" t="n">
        <v>37</v>
      </c>
      <c r="BD1128" t="n">
        <v>46</v>
      </c>
      <c r="BE1128" t="n">
        <v>49</v>
      </c>
      <c r="BF1128" t="n">
        <v>13</v>
      </c>
      <c r="BG1128" t="n">
        <v>3</v>
      </c>
      <c r="BH1128" t="n">
        <v>20</v>
      </c>
      <c r="BI1128" t="n">
        <v>44</v>
      </c>
      <c r="BJ1128" t="n">
        <v>36</v>
      </c>
      <c r="BK1128" t="n">
        <v>2</v>
      </c>
      <c r="BL1128" t="n">
        <v>1</v>
      </c>
      <c r="BM1128" t="n">
        <v>44</v>
      </c>
      <c r="BN1128" t="n">
        <v>28</v>
      </c>
      <c r="BO1128" t="n">
        <v>2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2</v>
      </c>
      <c r="U1129" t="n">
        <v>0</v>
      </c>
      <c r="V1129" t="n">
        <v>0</v>
      </c>
      <c r="W1129" t="n">
        <v>0</v>
      </c>
      <c r="X1129" t="n">
        <v>0</v>
      </c>
      <c r="Y1129" t="n">
        <v>311</v>
      </c>
      <c r="Z1129" t="n">
        <v>154</v>
      </c>
      <c r="AA1129" t="n">
        <v>88</v>
      </c>
      <c r="AB1129" t="n">
        <v>0</v>
      </c>
      <c r="AC1129" t="n">
        <v>1</v>
      </c>
      <c r="AD1129" t="n">
        <v>1</v>
      </c>
      <c r="AE1129" t="n">
        <v>5</v>
      </c>
      <c r="AF1129" t="n">
        <v>3</v>
      </c>
      <c r="AG1129" t="n">
        <v>4</v>
      </c>
      <c r="AH1129" t="n">
        <v>10</v>
      </c>
      <c r="AI1129" t="n">
        <v>32</v>
      </c>
      <c r="AJ1129" t="n">
        <v>42</v>
      </c>
      <c r="AK1129" t="n">
        <v>24</v>
      </c>
      <c r="AL1129" t="n">
        <v>2</v>
      </c>
      <c r="AM1129" t="n">
        <v>18</v>
      </c>
      <c r="AN1129" t="n">
        <v>0</v>
      </c>
      <c r="AO1129" t="n">
        <v>0</v>
      </c>
      <c r="AP1129" t="n">
        <v>7</v>
      </c>
      <c r="AQ1129" t="n">
        <v>68</v>
      </c>
      <c r="AR1129" t="n">
        <v>239</v>
      </c>
      <c r="AS1129" t="n">
        <v>181</v>
      </c>
      <c r="AT1129" t="n">
        <v>3</v>
      </c>
      <c r="AU1129" t="n">
        <v>0</v>
      </c>
      <c r="AV1129" t="n">
        <v>58</v>
      </c>
      <c r="AW1129" t="n">
        <v>11</v>
      </c>
      <c r="AX1129" t="n">
        <v>5</v>
      </c>
      <c r="AY1129" t="n">
        <v>64</v>
      </c>
      <c r="AZ1129" t="n">
        <v>1</v>
      </c>
      <c r="BA1129" t="n">
        <v>3</v>
      </c>
      <c r="BB1129" t="n">
        <v>85</v>
      </c>
      <c r="BC1129" t="n">
        <v>18</v>
      </c>
      <c r="BD1129" t="n">
        <v>8</v>
      </c>
      <c r="BE1129" t="n">
        <v>26</v>
      </c>
      <c r="BF1129" t="n">
        <v>68</v>
      </c>
      <c r="BG1129" t="n">
        <v>5</v>
      </c>
      <c r="BH1129" t="n">
        <v>9</v>
      </c>
      <c r="BI1129" t="n">
        <v>52</v>
      </c>
      <c r="BJ1129" t="n">
        <v>47</v>
      </c>
      <c r="BK1129" t="n">
        <v>10</v>
      </c>
      <c r="BL1129" t="n">
        <v>48</v>
      </c>
      <c r="BM1129" t="n">
        <v>45</v>
      </c>
      <c r="BN1129" t="n">
        <v>10</v>
      </c>
      <c r="BO1129" t="n">
        <v>30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2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183</v>
      </c>
      <c r="Z1130" t="n">
        <v>271</v>
      </c>
      <c r="AA1130" t="n">
        <v>34</v>
      </c>
      <c r="AB1130" t="n">
        <v>0</v>
      </c>
      <c r="AC1130" t="n">
        <v>0</v>
      </c>
      <c r="AD1130" t="n">
        <v>6</v>
      </c>
      <c r="AE1130" t="n">
        <v>2</v>
      </c>
      <c r="AF1130" t="n">
        <v>7</v>
      </c>
      <c r="AG1130" t="n">
        <v>3</v>
      </c>
      <c r="AH1130" t="n">
        <v>40</v>
      </c>
      <c r="AI1130" t="n">
        <v>14</v>
      </c>
      <c r="AJ1130" t="n">
        <v>45</v>
      </c>
      <c r="AK1130" t="n">
        <v>24</v>
      </c>
      <c r="AL1130" t="n">
        <v>3</v>
      </c>
      <c r="AM1130" t="n">
        <v>103</v>
      </c>
      <c r="AN1130" t="n">
        <v>0</v>
      </c>
      <c r="AO1130" t="n">
        <v>1</v>
      </c>
      <c r="AP1130" t="n">
        <v>5</v>
      </c>
      <c r="AQ1130" t="n">
        <v>50</v>
      </c>
      <c r="AR1130" t="n">
        <v>137</v>
      </c>
      <c r="AS1130" t="n">
        <v>96</v>
      </c>
      <c r="AT1130" t="n">
        <v>1</v>
      </c>
      <c r="AU1130" t="n">
        <v>2</v>
      </c>
      <c r="AV1130" t="n">
        <v>23</v>
      </c>
      <c r="AW1130" t="n">
        <v>36</v>
      </c>
      <c r="AX1130" t="n">
        <v>9</v>
      </c>
      <c r="AY1130" t="n">
        <v>41</v>
      </c>
      <c r="AZ1130" t="n">
        <v>1</v>
      </c>
      <c r="BA1130" t="n">
        <v>10</v>
      </c>
      <c r="BB1130" t="n">
        <v>43</v>
      </c>
      <c r="BC1130" t="n">
        <v>84</v>
      </c>
      <c r="BD1130" t="n">
        <v>39</v>
      </c>
      <c r="BE1130" t="n">
        <v>36</v>
      </c>
      <c r="BF1130" t="n">
        <v>35</v>
      </c>
      <c r="BG1130" t="n">
        <v>0</v>
      </c>
      <c r="BH1130" t="n">
        <v>7</v>
      </c>
      <c r="BI1130" t="n">
        <v>1</v>
      </c>
      <c r="BJ1130" t="n">
        <v>1</v>
      </c>
      <c r="BK1130" t="n">
        <v>3</v>
      </c>
      <c r="BL1130" t="n">
        <v>13</v>
      </c>
      <c r="BM1130" t="n">
        <v>18</v>
      </c>
      <c r="BN1130" t="n">
        <v>6</v>
      </c>
      <c r="BO1130" t="n">
        <v>28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2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2</v>
      </c>
      <c r="U1131" t="n">
        <v>0</v>
      </c>
      <c r="V1131" t="n">
        <v>0</v>
      </c>
      <c r="W1131" t="n">
        <v>0</v>
      </c>
      <c r="X1131" t="n">
        <v>0</v>
      </c>
      <c r="Y1131" t="n">
        <v>308</v>
      </c>
      <c r="Z1131" t="n">
        <v>248</v>
      </c>
      <c r="AA1131" t="n">
        <v>52</v>
      </c>
      <c r="AB1131" t="n">
        <v>1</v>
      </c>
      <c r="AC1131" t="n">
        <v>2</v>
      </c>
      <c r="AD1131" t="n">
        <v>4</v>
      </c>
      <c r="AE1131" t="n">
        <v>4</v>
      </c>
      <c r="AF1131" t="n">
        <v>6</v>
      </c>
      <c r="AG1131" t="n">
        <v>8</v>
      </c>
      <c r="AH1131" t="n">
        <v>36</v>
      </c>
      <c r="AI1131" t="n">
        <v>47</v>
      </c>
      <c r="AJ1131" t="n">
        <v>102</v>
      </c>
      <c r="AK1131" t="n">
        <v>87</v>
      </c>
      <c r="AL1131" t="n">
        <v>4</v>
      </c>
      <c r="AM1131" t="n">
        <v>76</v>
      </c>
      <c r="AN1131" t="n">
        <v>0</v>
      </c>
      <c r="AO1131" t="n">
        <v>0</v>
      </c>
      <c r="AP1131" t="n">
        <v>1</v>
      </c>
      <c r="AQ1131" t="n">
        <v>36</v>
      </c>
      <c r="AR1131" t="n">
        <v>96</v>
      </c>
      <c r="AS1131" t="n">
        <v>65</v>
      </c>
      <c r="AT1131" t="n">
        <v>7</v>
      </c>
      <c r="AU1131" t="n">
        <v>1</v>
      </c>
      <c r="AV1131" t="n">
        <v>61</v>
      </c>
      <c r="AW1131" t="n">
        <v>19</v>
      </c>
      <c r="AX1131" t="n">
        <v>0</v>
      </c>
      <c r="AY1131" t="n">
        <v>54</v>
      </c>
      <c r="AZ1131" t="n">
        <v>3</v>
      </c>
      <c r="BA1131" t="n">
        <v>23</v>
      </c>
      <c r="BB1131" t="n">
        <v>73</v>
      </c>
      <c r="BC1131" t="n">
        <v>63</v>
      </c>
      <c r="BD1131" t="n">
        <v>32</v>
      </c>
      <c r="BE1131" t="n">
        <v>18</v>
      </c>
      <c r="BF1131" t="n">
        <v>83</v>
      </c>
      <c r="BG1131" t="n">
        <v>1</v>
      </c>
      <c r="BH1131" t="n">
        <v>2</v>
      </c>
      <c r="BI1131" t="n">
        <v>31</v>
      </c>
      <c r="BJ1131" t="n">
        <v>28</v>
      </c>
      <c r="BK1131" t="n">
        <v>4</v>
      </c>
      <c r="BL1131" t="n">
        <v>27</v>
      </c>
      <c r="BM1131" t="n">
        <v>18</v>
      </c>
      <c r="BN1131" t="n">
        <v>0</v>
      </c>
      <c r="BO1131" t="n">
        <v>9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2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229</v>
      </c>
      <c r="Z1132" t="n">
        <v>204</v>
      </c>
      <c r="AA1132" t="n">
        <v>73</v>
      </c>
      <c r="AB1132" t="n">
        <v>3</v>
      </c>
      <c r="AC1132" t="n">
        <v>1</v>
      </c>
      <c r="AD1132" t="n">
        <v>5</v>
      </c>
      <c r="AE1132" t="n">
        <v>3</v>
      </c>
      <c r="AF1132" t="n">
        <v>5</v>
      </c>
      <c r="AG1132" t="n">
        <v>3</v>
      </c>
      <c r="AH1132" t="n">
        <v>93</v>
      </c>
      <c r="AI1132" t="n">
        <v>38</v>
      </c>
      <c r="AJ1132" t="n">
        <v>37</v>
      </c>
      <c r="AK1132" t="n">
        <v>1</v>
      </c>
      <c r="AL1132" t="n">
        <v>2</v>
      </c>
      <c r="AM1132" t="n">
        <v>83</v>
      </c>
      <c r="AN1132" t="n">
        <v>0</v>
      </c>
      <c r="AO1132" t="n">
        <v>0</v>
      </c>
      <c r="AP1132" t="n">
        <v>4</v>
      </c>
      <c r="AQ1132" t="n">
        <v>59</v>
      </c>
      <c r="AR1132" t="n">
        <v>189</v>
      </c>
      <c r="AS1132" t="n">
        <v>135</v>
      </c>
      <c r="AT1132" t="n">
        <v>1</v>
      </c>
      <c r="AU1132" t="n">
        <v>1</v>
      </c>
      <c r="AV1132" t="n">
        <v>1</v>
      </c>
      <c r="AW1132" t="n">
        <v>8</v>
      </c>
      <c r="AX1132" t="n">
        <v>8</v>
      </c>
      <c r="AY1132" t="n">
        <v>8</v>
      </c>
      <c r="AZ1132" t="n">
        <v>1</v>
      </c>
      <c r="BA1132" t="n">
        <v>10</v>
      </c>
      <c r="BB1132" t="n">
        <v>80</v>
      </c>
      <c r="BC1132" t="n">
        <v>73</v>
      </c>
      <c r="BD1132" t="n">
        <v>84</v>
      </c>
      <c r="BE1132" t="n">
        <v>8</v>
      </c>
      <c r="BF1132" t="n">
        <v>30</v>
      </c>
      <c r="BG1132" t="n">
        <v>2</v>
      </c>
      <c r="BH1132" t="n">
        <v>8</v>
      </c>
      <c r="BI1132" t="n">
        <v>17</v>
      </c>
      <c r="BJ1132" t="n">
        <v>17</v>
      </c>
      <c r="BK1132" t="n">
        <v>0</v>
      </c>
      <c r="BL1132" t="n">
        <v>4</v>
      </c>
      <c r="BM1132" t="n">
        <v>24</v>
      </c>
      <c r="BN1132" t="n">
        <v>14</v>
      </c>
      <c r="BO1132" t="n">
        <v>49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194</v>
      </c>
      <c r="Z1133" t="n">
        <v>195</v>
      </c>
      <c r="AA1133" t="n">
        <v>15</v>
      </c>
      <c r="AB1133" t="n">
        <v>1</v>
      </c>
      <c r="AC1133" t="n">
        <v>0</v>
      </c>
      <c r="AD1133" t="n">
        <v>7</v>
      </c>
      <c r="AE1133" t="n">
        <v>14</v>
      </c>
      <c r="AF1133" t="n">
        <v>0</v>
      </c>
      <c r="AG1133" t="n">
        <v>5</v>
      </c>
      <c r="AH1133" t="n">
        <v>87</v>
      </c>
      <c r="AI1133" t="n">
        <v>132</v>
      </c>
      <c r="AJ1133" t="n">
        <v>11</v>
      </c>
      <c r="AK1133" t="n">
        <v>80</v>
      </c>
      <c r="AL1133" t="n">
        <v>3</v>
      </c>
      <c r="AM1133" t="n">
        <v>22</v>
      </c>
      <c r="AN1133" t="n">
        <v>0</v>
      </c>
      <c r="AO1133" t="n">
        <v>0</v>
      </c>
      <c r="AP1133" t="n">
        <v>1</v>
      </c>
      <c r="AQ1133" t="n">
        <v>26</v>
      </c>
      <c r="AR1133" t="n">
        <v>121</v>
      </c>
      <c r="AS1133" t="n">
        <v>96</v>
      </c>
      <c r="AT1133" t="n">
        <v>0</v>
      </c>
      <c r="AU1133" t="n">
        <v>2</v>
      </c>
      <c r="AV1133" t="n">
        <v>1</v>
      </c>
      <c r="AW1133" t="n">
        <v>10</v>
      </c>
      <c r="AX1133" t="n">
        <v>0</v>
      </c>
      <c r="AY1133" t="n">
        <v>12</v>
      </c>
      <c r="AZ1133" t="n">
        <v>0</v>
      </c>
      <c r="BA1133" t="n">
        <v>1</v>
      </c>
      <c r="BB1133" t="n">
        <v>14</v>
      </c>
      <c r="BC1133" t="n">
        <v>21</v>
      </c>
      <c r="BD1133" t="n">
        <v>78</v>
      </c>
      <c r="BE1133" t="n">
        <v>13</v>
      </c>
      <c r="BF1133" t="n">
        <v>8</v>
      </c>
      <c r="BG1133" t="n">
        <v>7</v>
      </c>
      <c r="BH1133" t="n">
        <v>5</v>
      </c>
      <c r="BI1133" t="n">
        <v>27</v>
      </c>
      <c r="BJ1133" t="n">
        <v>25</v>
      </c>
      <c r="BK1133" t="n">
        <v>1</v>
      </c>
      <c r="BL1133" t="n">
        <v>7</v>
      </c>
      <c r="BM1133" t="n">
        <v>26</v>
      </c>
      <c r="BN1133" t="n">
        <v>14</v>
      </c>
      <c r="BO1133" t="n">
        <v>40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166</v>
      </c>
      <c r="Z1134" t="n">
        <v>199</v>
      </c>
      <c r="AA1134" t="n">
        <v>54</v>
      </c>
      <c r="AB1134" t="n">
        <v>1</v>
      </c>
      <c r="AC1134" t="n">
        <v>0</v>
      </c>
      <c r="AD1134" t="n">
        <v>2</v>
      </c>
      <c r="AE1134" t="n">
        <v>13</v>
      </c>
      <c r="AF1134" t="n">
        <v>2</v>
      </c>
      <c r="AG1134" t="n">
        <v>2</v>
      </c>
      <c r="AH1134" t="n">
        <v>28</v>
      </c>
      <c r="AI1134" t="n">
        <v>95</v>
      </c>
      <c r="AJ1134" t="n">
        <v>11</v>
      </c>
      <c r="AK1134" t="n">
        <v>10</v>
      </c>
      <c r="AL1134" t="n">
        <v>5</v>
      </c>
      <c r="AM1134" t="n">
        <v>39</v>
      </c>
      <c r="AN1134" t="n">
        <v>0</v>
      </c>
      <c r="AO1134" t="n">
        <v>0</v>
      </c>
      <c r="AP1134" t="n">
        <v>2</v>
      </c>
      <c r="AQ1134" t="n">
        <v>16</v>
      </c>
      <c r="AR1134" t="n">
        <v>102</v>
      </c>
      <c r="AS1134" t="n">
        <v>86</v>
      </c>
      <c r="AT1134" t="n">
        <v>5</v>
      </c>
      <c r="AU1134" t="n">
        <v>2</v>
      </c>
      <c r="AV1134" t="n">
        <v>41</v>
      </c>
      <c r="AW1134" t="n">
        <v>19</v>
      </c>
      <c r="AX1134" t="n">
        <v>1</v>
      </c>
      <c r="AY1134" t="n">
        <v>24</v>
      </c>
      <c r="AZ1134" t="n">
        <v>1</v>
      </c>
      <c r="BA1134" t="n">
        <v>20</v>
      </c>
      <c r="BB1134" t="n">
        <v>70</v>
      </c>
      <c r="BC1134" t="n">
        <v>39</v>
      </c>
      <c r="BD1134" t="n">
        <v>25</v>
      </c>
      <c r="BE1134" t="n">
        <v>20</v>
      </c>
      <c r="BF1134" t="n">
        <v>8</v>
      </c>
      <c r="BG1134" t="n">
        <v>8</v>
      </c>
      <c r="BH1134" t="n">
        <v>6</v>
      </c>
      <c r="BI1134" t="n">
        <v>52</v>
      </c>
      <c r="BJ1134" t="n">
        <v>47</v>
      </c>
      <c r="BK1134" t="n">
        <v>3</v>
      </c>
      <c r="BL1134" t="n">
        <v>18</v>
      </c>
      <c r="BM1134" t="n">
        <v>20</v>
      </c>
      <c r="BN1134" t="n">
        <v>6</v>
      </c>
      <c r="BO1134" t="n">
        <v>14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174</v>
      </c>
      <c r="Z1135" t="n">
        <v>292</v>
      </c>
      <c r="AA1135" t="n">
        <v>45</v>
      </c>
      <c r="AB1135" t="n">
        <v>2</v>
      </c>
      <c r="AC1135" t="n">
        <v>0</v>
      </c>
      <c r="AD1135" t="n">
        <v>4</v>
      </c>
      <c r="AE1135" t="n">
        <v>7</v>
      </c>
      <c r="AF1135" t="n">
        <v>5</v>
      </c>
      <c r="AG1135" t="n">
        <v>2</v>
      </c>
      <c r="AH1135" t="n">
        <v>55</v>
      </c>
      <c r="AI1135" t="n">
        <v>91</v>
      </c>
      <c r="AJ1135" t="n">
        <v>58</v>
      </c>
      <c r="AK1135" t="n">
        <v>33</v>
      </c>
      <c r="AL1135" t="n">
        <v>2</v>
      </c>
      <c r="AM1135" t="n">
        <v>21</v>
      </c>
      <c r="AN1135" t="n">
        <v>0</v>
      </c>
      <c r="AO1135" t="n">
        <v>0</v>
      </c>
      <c r="AP1135" t="n">
        <v>2</v>
      </c>
      <c r="AQ1135" t="n">
        <v>6</v>
      </c>
      <c r="AR1135" t="n">
        <v>156</v>
      </c>
      <c r="AS1135" t="n">
        <v>144</v>
      </c>
      <c r="AT1135" t="n">
        <v>0</v>
      </c>
      <c r="AU1135" t="n">
        <v>1</v>
      </c>
      <c r="AV1135" t="n">
        <v>4</v>
      </c>
      <c r="AW1135" t="n">
        <v>51</v>
      </c>
      <c r="AX1135" t="n">
        <v>3</v>
      </c>
      <c r="AY1135" t="n">
        <v>32</v>
      </c>
      <c r="AZ1135" t="n">
        <v>4</v>
      </c>
      <c r="BA1135" t="n">
        <v>4</v>
      </c>
      <c r="BB1135" t="n">
        <v>46</v>
      </c>
      <c r="BC1135" t="n">
        <v>19</v>
      </c>
      <c r="BD1135" t="n">
        <v>48</v>
      </c>
      <c r="BE1135" t="n">
        <v>50</v>
      </c>
      <c r="BF1135" t="n">
        <v>47</v>
      </c>
      <c r="BG1135" t="n">
        <v>1</v>
      </c>
      <c r="BH1135" t="n">
        <v>6</v>
      </c>
      <c r="BI1135" t="n">
        <v>11</v>
      </c>
      <c r="BJ1135" t="n">
        <v>9</v>
      </c>
      <c r="BK1135" t="n">
        <v>3</v>
      </c>
      <c r="BL1135" t="n">
        <v>25</v>
      </c>
      <c r="BM1135" t="n">
        <v>37</v>
      </c>
      <c r="BN1135" t="n">
        <v>14</v>
      </c>
      <c r="BO1135" t="n">
        <v>2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258</v>
      </c>
      <c r="Z1136" t="n">
        <v>323</v>
      </c>
      <c r="AA1136" t="n">
        <v>30</v>
      </c>
      <c r="AB1136" t="n">
        <v>2</v>
      </c>
      <c r="AC1136" t="n">
        <v>3</v>
      </c>
      <c r="AD1136" t="n">
        <v>4</v>
      </c>
      <c r="AE1136" t="n">
        <v>6</v>
      </c>
      <c r="AF1136" t="n">
        <v>4</v>
      </c>
      <c r="AG1136" t="n">
        <v>7</v>
      </c>
      <c r="AH1136" t="n">
        <v>52</v>
      </c>
      <c r="AI1136" t="n">
        <v>79</v>
      </c>
      <c r="AJ1136" t="n">
        <v>25</v>
      </c>
      <c r="AK1136" t="n">
        <v>57</v>
      </c>
      <c r="AL1136" t="n">
        <v>6</v>
      </c>
      <c r="AM1136" t="n">
        <v>103</v>
      </c>
      <c r="AN1136" t="n">
        <v>0</v>
      </c>
      <c r="AO1136" t="n">
        <v>0</v>
      </c>
      <c r="AP1136" t="n">
        <v>3</v>
      </c>
      <c r="AQ1136" t="n">
        <v>47</v>
      </c>
      <c r="AR1136" t="n">
        <v>141</v>
      </c>
      <c r="AS1136" t="n">
        <v>103</v>
      </c>
      <c r="AT1136" t="n">
        <v>3</v>
      </c>
      <c r="AU1136" t="n">
        <v>3</v>
      </c>
      <c r="AV1136" t="n">
        <v>21</v>
      </c>
      <c r="AW1136" t="n">
        <v>19</v>
      </c>
      <c r="AX1136" t="n">
        <v>8</v>
      </c>
      <c r="AY1136" t="n">
        <v>24</v>
      </c>
      <c r="AZ1136" t="n">
        <v>4</v>
      </c>
      <c r="BA1136" t="n">
        <v>50</v>
      </c>
      <c r="BB1136" t="n">
        <v>87</v>
      </c>
      <c r="BC1136" t="n">
        <v>85</v>
      </c>
      <c r="BD1136" t="n">
        <v>49</v>
      </c>
      <c r="BE1136" t="n">
        <v>19</v>
      </c>
      <c r="BF1136" t="n">
        <v>20</v>
      </c>
      <c r="BG1136" t="n">
        <v>2</v>
      </c>
      <c r="BH1136" t="n">
        <v>16</v>
      </c>
      <c r="BI1136" t="n">
        <v>18</v>
      </c>
      <c r="BJ1136" t="n">
        <v>15</v>
      </c>
      <c r="BK1136" t="n">
        <v>5</v>
      </c>
      <c r="BL1136" t="n">
        <v>42</v>
      </c>
      <c r="BM1136" t="n">
        <v>50</v>
      </c>
      <c r="BN1136" t="n">
        <v>16</v>
      </c>
      <c r="BO1136" t="n">
        <v>2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95</v>
      </c>
      <c r="Z1137" t="n">
        <v>209</v>
      </c>
      <c r="AA1137" t="n">
        <v>6</v>
      </c>
      <c r="AB1137" t="n">
        <v>1</v>
      </c>
      <c r="AC1137" t="n">
        <v>0</v>
      </c>
      <c r="AD1137" t="n">
        <v>0</v>
      </c>
      <c r="AE1137" t="n">
        <v>5</v>
      </c>
      <c r="AF1137" t="n">
        <v>0</v>
      </c>
      <c r="AG1137" t="n">
        <v>7</v>
      </c>
      <c r="AH1137" t="n">
        <v>24</v>
      </c>
      <c r="AI1137" t="n">
        <v>24</v>
      </c>
      <c r="AJ1137" t="n">
        <v>3</v>
      </c>
      <c r="AK1137" t="n">
        <v>36</v>
      </c>
      <c r="AL1137" t="n">
        <v>4</v>
      </c>
      <c r="AM1137" t="n">
        <v>106</v>
      </c>
      <c r="AN1137" t="n">
        <v>0</v>
      </c>
      <c r="AO1137" t="n">
        <v>0</v>
      </c>
      <c r="AP1137" t="n">
        <v>1</v>
      </c>
      <c r="AQ1137" t="n">
        <v>1</v>
      </c>
      <c r="AR1137" t="n">
        <v>81</v>
      </c>
      <c r="AS1137" t="n">
        <v>76</v>
      </c>
      <c r="AT1137" t="n">
        <v>2</v>
      </c>
      <c r="AU1137" t="n">
        <v>1</v>
      </c>
      <c r="AV1137" t="n">
        <v>44</v>
      </c>
      <c r="AW1137" t="n">
        <v>2</v>
      </c>
      <c r="AX1137" t="n">
        <v>0</v>
      </c>
      <c r="AY1137" t="n">
        <v>53</v>
      </c>
      <c r="AZ1137" t="n">
        <v>3</v>
      </c>
      <c r="BA1137" t="n">
        <v>62</v>
      </c>
      <c r="BB1137" t="n">
        <v>82</v>
      </c>
      <c r="BC1137" t="n">
        <v>88</v>
      </c>
      <c r="BD1137" t="n">
        <v>24</v>
      </c>
      <c r="BE1137" t="n">
        <v>1</v>
      </c>
      <c r="BF1137" t="n">
        <v>2</v>
      </c>
      <c r="BG1137" t="n">
        <v>0</v>
      </c>
      <c r="BH1137" t="n">
        <v>3</v>
      </c>
      <c r="BI1137" t="n">
        <v>4</v>
      </c>
      <c r="BJ1137" t="n">
        <v>6</v>
      </c>
      <c r="BK1137" t="n">
        <v>2</v>
      </c>
      <c r="BL1137" t="n">
        <v>5</v>
      </c>
      <c r="BM1137" t="n">
        <v>49</v>
      </c>
      <c r="BN1137" t="n">
        <v>30</v>
      </c>
      <c r="BO1137" t="n">
        <v>2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260</v>
      </c>
      <c r="Z1138" t="n">
        <v>265</v>
      </c>
      <c r="AA1138" t="n">
        <v>76</v>
      </c>
      <c r="AB1138" t="n">
        <v>0</v>
      </c>
      <c r="AC1138" t="n">
        <v>1</v>
      </c>
      <c r="AD1138" t="n">
        <v>4</v>
      </c>
      <c r="AE1138" t="n">
        <v>5</v>
      </c>
      <c r="AF1138" t="n">
        <v>4</v>
      </c>
      <c r="AG1138" t="n">
        <v>11</v>
      </c>
      <c r="AH1138" t="n">
        <v>55</v>
      </c>
      <c r="AI1138" t="n">
        <v>77</v>
      </c>
      <c r="AJ1138" t="n">
        <v>28</v>
      </c>
      <c r="AK1138" t="n">
        <v>101</v>
      </c>
      <c r="AL1138" t="n">
        <v>4</v>
      </c>
      <c r="AM1138" t="n">
        <v>117</v>
      </c>
      <c r="AN1138" t="n">
        <v>0</v>
      </c>
      <c r="AO1138" t="n">
        <v>0</v>
      </c>
      <c r="AP1138" t="n">
        <v>7</v>
      </c>
      <c r="AQ1138" t="n">
        <v>64</v>
      </c>
      <c r="AR1138" t="n">
        <v>104</v>
      </c>
      <c r="AS1138" t="n">
        <v>49</v>
      </c>
      <c r="AT1138" t="n">
        <v>5</v>
      </c>
      <c r="AU1138" t="n">
        <v>1</v>
      </c>
      <c r="AV1138" t="n">
        <v>21</v>
      </c>
      <c r="AW1138" t="n">
        <v>14</v>
      </c>
      <c r="AX1138" t="n">
        <v>0</v>
      </c>
      <c r="AY1138" t="n">
        <v>83</v>
      </c>
      <c r="AZ1138" t="n">
        <v>3</v>
      </c>
      <c r="BA1138" t="n">
        <v>12</v>
      </c>
      <c r="BB1138" t="n">
        <v>84</v>
      </c>
      <c r="BC1138" t="n">
        <v>97</v>
      </c>
      <c r="BD1138" t="n">
        <v>56</v>
      </c>
      <c r="BE1138" t="n">
        <v>14</v>
      </c>
      <c r="BF1138" t="n">
        <v>22</v>
      </c>
      <c r="BG1138" t="n">
        <v>2</v>
      </c>
      <c r="BH1138" t="n">
        <v>11</v>
      </c>
      <c r="BI1138" t="n">
        <v>20</v>
      </c>
      <c r="BJ1138" t="n">
        <v>25</v>
      </c>
      <c r="BK1138" t="n">
        <v>3</v>
      </c>
      <c r="BL1138" t="n">
        <v>41</v>
      </c>
      <c r="BM1138" t="n">
        <v>46</v>
      </c>
      <c r="BN1138" t="n">
        <v>13</v>
      </c>
      <c r="BO1138" t="n">
        <v>4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2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276</v>
      </c>
      <c r="Z1139" t="n">
        <v>202</v>
      </c>
      <c r="AA1139" t="n">
        <v>118</v>
      </c>
      <c r="AB1139" t="n">
        <v>1</v>
      </c>
      <c r="AC1139" t="n">
        <v>3</v>
      </c>
      <c r="AD1139" t="n">
        <v>3</v>
      </c>
      <c r="AE1139" t="n">
        <v>4</v>
      </c>
      <c r="AF1139" t="n">
        <v>3</v>
      </c>
      <c r="AG1139" t="n">
        <v>5</v>
      </c>
      <c r="AH1139" t="n">
        <v>17</v>
      </c>
      <c r="AI1139" t="n">
        <v>37</v>
      </c>
      <c r="AJ1139" t="n">
        <v>56</v>
      </c>
      <c r="AK1139" t="n">
        <v>28</v>
      </c>
      <c r="AL1139" t="n">
        <v>1</v>
      </c>
      <c r="AM1139" t="n">
        <v>9</v>
      </c>
      <c r="AN1139" t="n">
        <v>0</v>
      </c>
      <c r="AO1139" t="n">
        <v>0</v>
      </c>
      <c r="AP1139" t="n">
        <v>3</v>
      </c>
      <c r="AQ1139" t="n">
        <v>42</v>
      </c>
      <c r="AR1139" t="n">
        <v>109</v>
      </c>
      <c r="AS1139" t="n">
        <v>72</v>
      </c>
      <c r="AT1139" t="n">
        <v>2</v>
      </c>
      <c r="AU1139" t="n">
        <v>2</v>
      </c>
      <c r="AV1139" t="n">
        <v>20</v>
      </c>
      <c r="AW1139" t="n">
        <v>24</v>
      </c>
      <c r="AX1139" t="n">
        <v>11</v>
      </c>
      <c r="AY1139" t="n">
        <v>37</v>
      </c>
      <c r="AZ1139" t="n">
        <v>0</v>
      </c>
      <c r="BA1139" t="n">
        <v>1</v>
      </c>
      <c r="BB1139" t="n">
        <v>115</v>
      </c>
      <c r="BC1139" t="n">
        <v>4</v>
      </c>
      <c r="BD1139" t="n">
        <v>25</v>
      </c>
      <c r="BE1139" t="n">
        <v>24</v>
      </c>
      <c r="BF1139" t="n">
        <v>47</v>
      </c>
      <c r="BG1139" t="n">
        <v>2</v>
      </c>
      <c r="BH1139" t="n">
        <v>25</v>
      </c>
      <c r="BI1139" t="n">
        <v>37</v>
      </c>
      <c r="BJ1139" t="n">
        <v>35</v>
      </c>
      <c r="BK1139" t="n">
        <v>4</v>
      </c>
      <c r="BL1139" t="n">
        <v>33</v>
      </c>
      <c r="BM1139" t="n">
        <v>38</v>
      </c>
      <c r="BN1139" t="n">
        <v>11</v>
      </c>
      <c r="BO1139" t="n">
        <v>2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258</v>
      </c>
      <c r="Z1140" t="n">
        <v>246</v>
      </c>
      <c r="AA1140" t="n">
        <v>41</v>
      </c>
      <c r="AB1140" t="n">
        <v>0</v>
      </c>
      <c r="AC1140" t="n">
        <v>2</v>
      </c>
      <c r="AD1140" t="n">
        <v>5</v>
      </c>
      <c r="AE1140" t="n">
        <v>4</v>
      </c>
      <c r="AF1140" t="n">
        <v>6</v>
      </c>
      <c r="AG1140" t="n">
        <v>7</v>
      </c>
      <c r="AH1140" t="n">
        <v>39</v>
      </c>
      <c r="AI1140" t="n">
        <v>37</v>
      </c>
      <c r="AJ1140" t="n">
        <v>73</v>
      </c>
      <c r="AK1140" t="n">
        <v>65</v>
      </c>
      <c r="AL1140" t="n">
        <v>7</v>
      </c>
      <c r="AM1140" t="n">
        <v>50</v>
      </c>
      <c r="AN1140" t="n">
        <v>0</v>
      </c>
      <c r="AO1140" t="n">
        <v>0</v>
      </c>
      <c r="AP1140" t="n">
        <v>0</v>
      </c>
      <c r="AQ1140" t="n">
        <v>1</v>
      </c>
      <c r="AR1140" t="n">
        <v>146</v>
      </c>
      <c r="AS1140" t="n">
        <v>136</v>
      </c>
      <c r="AT1140" t="n">
        <v>5</v>
      </c>
      <c r="AU1140" t="n">
        <v>0</v>
      </c>
      <c r="AV1140" t="n">
        <v>85</v>
      </c>
      <c r="AW1140" t="n">
        <v>5</v>
      </c>
      <c r="AX1140" t="n">
        <v>0</v>
      </c>
      <c r="AY1140" t="n">
        <v>4</v>
      </c>
      <c r="AZ1140" t="n">
        <v>0</v>
      </c>
      <c r="BA1140" t="n">
        <v>10</v>
      </c>
      <c r="BB1140" t="n">
        <v>49</v>
      </c>
      <c r="BC1140" t="n">
        <v>41</v>
      </c>
      <c r="BD1140" t="n">
        <v>35</v>
      </c>
      <c r="BE1140" t="n">
        <v>5</v>
      </c>
      <c r="BF1140" t="n">
        <v>58</v>
      </c>
      <c r="BG1140" t="n">
        <v>1</v>
      </c>
      <c r="BH1140" t="n">
        <v>12</v>
      </c>
      <c r="BI1140" t="n">
        <v>20</v>
      </c>
      <c r="BJ1140" t="n">
        <v>18</v>
      </c>
      <c r="BK1140" t="n">
        <v>6</v>
      </c>
      <c r="BL1140" t="n">
        <v>31</v>
      </c>
      <c r="BM1140" t="n">
        <v>41</v>
      </c>
      <c r="BN1140" t="n">
        <v>15</v>
      </c>
      <c r="BO1140" t="n">
        <v>23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245</v>
      </c>
      <c r="Z1141" t="n">
        <v>265</v>
      </c>
      <c r="AA1141" t="n">
        <v>45</v>
      </c>
      <c r="AB1141" t="n">
        <v>1</v>
      </c>
      <c r="AC1141" t="n">
        <v>2</v>
      </c>
      <c r="AD1141" t="n">
        <v>6</v>
      </c>
      <c r="AE1141" t="n">
        <v>6</v>
      </c>
      <c r="AF1141" t="n">
        <v>2</v>
      </c>
      <c r="AG1141" t="n">
        <v>5</v>
      </c>
      <c r="AH1141" t="n">
        <v>57</v>
      </c>
      <c r="AI1141" t="n">
        <v>73</v>
      </c>
      <c r="AJ1141" t="n">
        <v>42</v>
      </c>
      <c r="AK1141" t="n">
        <v>89</v>
      </c>
      <c r="AL1141" t="n">
        <v>2</v>
      </c>
      <c r="AM1141" t="n">
        <v>27</v>
      </c>
      <c r="AN1141" t="n">
        <v>0</v>
      </c>
      <c r="AO1141" t="n">
        <v>0</v>
      </c>
      <c r="AP1141" t="n">
        <v>8</v>
      </c>
      <c r="AQ1141" t="n">
        <v>41</v>
      </c>
      <c r="AR1141" t="n">
        <v>84</v>
      </c>
      <c r="AS1141" t="n">
        <v>50</v>
      </c>
      <c r="AT1141" t="n">
        <v>1</v>
      </c>
      <c r="AU1141" t="n">
        <v>2</v>
      </c>
      <c r="AV1141" t="n">
        <v>23</v>
      </c>
      <c r="AW1141" t="n">
        <v>20</v>
      </c>
      <c r="AX1141" t="n">
        <v>1</v>
      </c>
      <c r="AY1141" t="n">
        <v>8</v>
      </c>
      <c r="AZ1141" t="n">
        <v>2</v>
      </c>
      <c r="BA1141" t="n">
        <v>79</v>
      </c>
      <c r="BB1141" t="n">
        <v>133</v>
      </c>
      <c r="BC1141" t="n">
        <v>22</v>
      </c>
      <c r="BD1141" t="n">
        <v>58</v>
      </c>
      <c r="BE1141" t="n">
        <v>26</v>
      </c>
      <c r="BF1141" t="n">
        <v>38</v>
      </c>
      <c r="BG1141" t="n">
        <v>4</v>
      </c>
      <c r="BH1141" t="n">
        <v>16</v>
      </c>
      <c r="BI1141" t="n">
        <v>19</v>
      </c>
      <c r="BJ1141" t="n">
        <v>17</v>
      </c>
      <c r="BK1141" t="n">
        <v>5</v>
      </c>
      <c r="BL1141" t="n">
        <v>24</v>
      </c>
      <c r="BM1141" t="n">
        <v>44</v>
      </c>
      <c r="BN1141" t="n">
        <v>20</v>
      </c>
      <c r="BO1141" t="n">
        <v>2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5</v>
      </c>
      <c r="U1142" t="n">
        <v>0</v>
      </c>
      <c r="V1142" t="n">
        <v>0</v>
      </c>
      <c r="W1142" t="n">
        <v>0</v>
      </c>
      <c r="X1142" t="n">
        <v>0</v>
      </c>
      <c r="Y1142" t="n">
        <v>393</v>
      </c>
      <c r="Z1142" t="n">
        <v>328</v>
      </c>
      <c r="AA1142" t="n">
        <v>53</v>
      </c>
      <c r="AB1142" t="n">
        <v>1</v>
      </c>
      <c r="AC1142" t="n">
        <v>6</v>
      </c>
      <c r="AD1142" t="n">
        <v>2</v>
      </c>
      <c r="AE1142" t="n">
        <v>1</v>
      </c>
      <c r="AF1142" t="n">
        <v>3</v>
      </c>
      <c r="AG1142" t="n">
        <v>5</v>
      </c>
      <c r="AH1142" t="n">
        <v>105</v>
      </c>
      <c r="AI1142" t="n">
        <v>16</v>
      </c>
      <c r="AJ1142" t="n">
        <v>38</v>
      </c>
      <c r="AK1142" t="n">
        <v>87</v>
      </c>
      <c r="AL1142" t="n">
        <v>5</v>
      </c>
      <c r="AM1142" t="n">
        <v>83</v>
      </c>
      <c r="AN1142" t="n">
        <v>0</v>
      </c>
      <c r="AO1142" t="n">
        <v>0</v>
      </c>
      <c r="AP1142" t="n">
        <v>6</v>
      </c>
      <c r="AQ1142" t="n">
        <v>94</v>
      </c>
      <c r="AR1142" t="n">
        <v>266</v>
      </c>
      <c r="AS1142" t="n">
        <v>206</v>
      </c>
      <c r="AT1142" t="n">
        <v>1</v>
      </c>
      <c r="AU1142" t="n">
        <v>1</v>
      </c>
      <c r="AV1142" t="n">
        <v>1</v>
      </c>
      <c r="AW1142" t="n">
        <v>30</v>
      </c>
      <c r="AX1142" t="n">
        <v>1</v>
      </c>
      <c r="AY1142" t="n">
        <v>32</v>
      </c>
      <c r="AZ1142" t="n">
        <v>6</v>
      </c>
      <c r="BA1142" t="n">
        <v>110</v>
      </c>
      <c r="BB1142" t="n">
        <v>197</v>
      </c>
      <c r="BC1142" t="n">
        <v>68</v>
      </c>
      <c r="BD1142" t="n">
        <v>94</v>
      </c>
      <c r="BE1142" t="n">
        <v>29</v>
      </c>
      <c r="BF1142" t="n">
        <v>30</v>
      </c>
      <c r="BG1142" t="n">
        <v>1</v>
      </c>
      <c r="BH1142" t="n">
        <v>12</v>
      </c>
      <c r="BI1142" t="n">
        <v>12</v>
      </c>
      <c r="BJ1142" t="n">
        <v>9</v>
      </c>
      <c r="BK1142" t="n">
        <v>0</v>
      </c>
      <c r="BL1142" t="n">
        <v>1</v>
      </c>
      <c r="BM1142" t="n">
        <v>21</v>
      </c>
      <c r="BN1142" t="n">
        <v>12</v>
      </c>
      <c r="BO1142" t="n">
        <v>16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112</v>
      </c>
      <c r="Z1143" t="n">
        <v>181</v>
      </c>
      <c r="AA1143" t="n">
        <v>27</v>
      </c>
      <c r="AB1143" t="n">
        <v>2</v>
      </c>
      <c r="AC1143" t="n">
        <v>1</v>
      </c>
      <c r="AD1143" t="n">
        <v>4</v>
      </c>
      <c r="AE1143" t="n">
        <v>11</v>
      </c>
      <c r="AF1143" t="n">
        <v>1</v>
      </c>
      <c r="AG1143" t="n">
        <v>2</v>
      </c>
      <c r="AH1143" t="n">
        <v>23</v>
      </c>
      <c r="AI1143" t="n">
        <v>114</v>
      </c>
      <c r="AJ1143" t="n">
        <v>20</v>
      </c>
      <c r="AK1143" t="n">
        <v>1</v>
      </c>
      <c r="AL1143" t="n">
        <v>8</v>
      </c>
      <c r="AM1143" t="n">
        <v>58</v>
      </c>
      <c r="AN1143" t="n">
        <v>0</v>
      </c>
      <c r="AO1143" t="n">
        <v>0</v>
      </c>
      <c r="AP1143" t="n">
        <v>3</v>
      </c>
      <c r="AQ1143" t="n">
        <v>1</v>
      </c>
      <c r="AR1143" t="n">
        <v>71</v>
      </c>
      <c r="AS1143" t="n">
        <v>64</v>
      </c>
      <c r="AT1143" t="n">
        <v>1</v>
      </c>
      <c r="AU1143" t="n">
        <v>1</v>
      </c>
      <c r="AV1143" t="n">
        <v>25</v>
      </c>
      <c r="AW1143" t="n">
        <v>1</v>
      </c>
      <c r="AX1143" t="n">
        <v>3</v>
      </c>
      <c r="AY1143" t="n">
        <v>47</v>
      </c>
      <c r="AZ1143" t="n">
        <v>0</v>
      </c>
      <c r="BA1143" t="n">
        <v>1</v>
      </c>
      <c r="BB1143" t="n">
        <v>27</v>
      </c>
      <c r="BC1143" t="n">
        <v>55</v>
      </c>
      <c r="BD1143" t="n">
        <v>20</v>
      </c>
      <c r="BE1143" t="n">
        <v>2</v>
      </c>
      <c r="BF1143" t="n">
        <v>16</v>
      </c>
      <c r="BG1143" t="n">
        <v>1</v>
      </c>
      <c r="BH1143" t="n">
        <v>7</v>
      </c>
      <c r="BI1143" t="n">
        <v>7</v>
      </c>
      <c r="BJ1143" t="n">
        <v>2</v>
      </c>
      <c r="BK1143" t="n">
        <v>3</v>
      </c>
      <c r="BL1143" t="n">
        <v>16</v>
      </c>
      <c r="BM1143" t="n">
        <v>11</v>
      </c>
      <c r="BN1143" t="n">
        <v>0</v>
      </c>
      <c r="BO1143" t="n">
        <v>2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179</v>
      </c>
      <c r="Z1144" t="n">
        <v>244</v>
      </c>
      <c r="AA1144" t="n">
        <v>63</v>
      </c>
      <c r="AB1144" t="n">
        <v>1</v>
      </c>
      <c r="AC1144" t="n">
        <v>1</v>
      </c>
      <c r="AD1144" t="n">
        <v>2</v>
      </c>
      <c r="AE1144" t="n">
        <v>9</v>
      </c>
      <c r="AF1144" t="n">
        <v>2</v>
      </c>
      <c r="AG1144" t="n">
        <v>5</v>
      </c>
      <c r="AH1144" t="n">
        <v>16</v>
      </c>
      <c r="AI1144" t="n">
        <v>59</v>
      </c>
      <c r="AJ1144" t="n">
        <v>7</v>
      </c>
      <c r="AK1144" t="n">
        <v>30</v>
      </c>
      <c r="AL1144" t="n">
        <v>4</v>
      </c>
      <c r="AM1144" t="n">
        <v>55</v>
      </c>
      <c r="AN1144" t="n">
        <v>0</v>
      </c>
      <c r="AO1144" t="n">
        <v>0</v>
      </c>
      <c r="AP1144" t="n">
        <v>8</v>
      </c>
      <c r="AQ1144" t="n">
        <v>35</v>
      </c>
      <c r="AR1144" t="n">
        <v>100</v>
      </c>
      <c r="AS1144" t="n">
        <v>70</v>
      </c>
      <c r="AT1144" t="n">
        <v>1</v>
      </c>
      <c r="AU1144" t="n">
        <v>1</v>
      </c>
      <c r="AV1144" t="n">
        <v>40</v>
      </c>
      <c r="AW1144" t="n">
        <v>6</v>
      </c>
      <c r="AX1144" t="n">
        <v>9</v>
      </c>
      <c r="AY1144" t="n">
        <v>55</v>
      </c>
      <c r="AZ1144" t="n">
        <v>4</v>
      </c>
      <c r="BA1144" t="n">
        <v>56</v>
      </c>
      <c r="BB1144" t="n">
        <v>125</v>
      </c>
      <c r="BC1144" t="n">
        <v>45</v>
      </c>
      <c r="BD1144" t="n">
        <v>17</v>
      </c>
      <c r="BE1144" t="n">
        <v>7</v>
      </c>
      <c r="BF1144" t="n">
        <v>5</v>
      </c>
      <c r="BG1144" t="n">
        <v>4</v>
      </c>
      <c r="BH1144" t="n">
        <v>15</v>
      </c>
      <c r="BI1144" t="n">
        <v>32</v>
      </c>
      <c r="BJ1144" t="n">
        <v>30</v>
      </c>
      <c r="BK1144" t="n">
        <v>2</v>
      </c>
      <c r="BL1144" t="n">
        <v>13</v>
      </c>
      <c r="BM1144" t="n">
        <v>15</v>
      </c>
      <c r="BN1144" t="n">
        <v>5</v>
      </c>
      <c r="BO1144" t="n">
        <v>-7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2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193</v>
      </c>
      <c r="Z1145" t="n">
        <v>237</v>
      </c>
      <c r="AA1145" t="n">
        <v>60</v>
      </c>
      <c r="AB1145" t="n">
        <v>2</v>
      </c>
      <c r="AC1145" t="n">
        <v>1</v>
      </c>
      <c r="AD1145" t="n">
        <v>2</v>
      </c>
      <c r="AE1145" t="n">
        <v>4</v>
      </c>
      <c r="AF1145" t="n">
        <v>4</v>
      </c>
      <c r="AG1145" t="n">
        <v>0</v>
      </c>
      <c r="AH1145" t="n">
        <v>19</v>
      </c>
      <c r="AI1145" t="n">
        <v>18</v>
      </c>
      <c r="AJ1145" t="n">
        <v>88</v>
      </c>
      <c r="AK1145" t="n">
        <v>4</v>
      </c>
      <c r="AL1145" t="n">
        <v>4</v>
      </c>
      <c r="AM1145" t="n">
        <v>58</v>
      </c>
      <c r="AN1145" t="n">
        <v>0</v>
      </c>
      <c r="AO1145" t="n">
        <v>0</v>
      </c>
      <c r="AP1145" t="n">
        <v>0</v>
      </c>
      <c r="AQ1145" t="n">
        <v>7</v>
      </c>
      <c r="AR1145" t="n">
        <v>92</v>
      </c>
      <c r="AS1145" t="n">
        <v>85</v>
      </c>
      <c r="AT1145" t="n">
        <v>1</v>
      </c>
      <c r="AU1145" t="n">
        <v>0</v>
      </c>
      <c r="AV1145" t="n">
        <v>14</v>
      </c>
      <c r="AW1145" t="n">
        <v>5</v>
      </c>
      <c r="AX1145" t="n">
        <v>6</v>
      </c>
      <c r="AY1145" t="n">
        <v>28</v>
      </c>
      <c r="AZ1145" t="n">
        <v>2</v>
      </c>
      <c r="BA1145" t="n">
        <v>37</v>
      </c>
      <c r="BB1145" t="n">
        <v>97</v>
      </c>
      <c r="BC1145" t="n">
        <v>49</v>
      </c>
      <c r="BD1145" t="n">
        <v>20</v>
      </c>
      <c r="BE1145" t="n">
        <v>7</v>
      </c>
      <c r="BF1145" t="n">
        <v>75</v>
      </c>
      <c r="BG1145" t="n">
        <v>0</v>
      </c>
      <c r="BH1145" t="n">
        <v>18</v>
      </c>
      <c r="BI1145" t="n">
        <v>5</v>
      </c>
      <c r="BJ1145" t="n">
        <v>1</v>
      </c>
      <c r="BK1145" t="n">
        <v>7</v>
      </c>
      <c r="BL1145" t="n">
        <v>53</v>
      </c>
      <c r="BM1145" t="n">
        <v>84</v>
      </c>
      <c r="BN1145" t="n">
        <v>36</v>
      </c>
      <c r="BO1145" t="n">
        <v>40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211</v>
      </c>
      <c r="Z1146" t="n">
        <v>304</v>
      </c>
      <c r="AA1146" t="n">
        <v>54</v>
      </c>
      <c r="AB1146" t="n">
        <v>1</v>
      </c>
      <c r="AC1146" t="n">
        <v>1</v>
      </c>
      <c r="AD1146" t="n">
        <v>6</v>
      </c>
      <c r="AE1146" t="n">
        <v>9</v>
      </c>
      <c r="AF1146" t="n">
        <v>2</v>
      </c>
      <c r="AG1146" t="n">
        <v>3</v>
      </c>
      <c r="AH1146" t="n">
        <v>33</v>
      </c>
      <c r="AI1146" t="n">
        <v>72</v>
      </c>
      <c r="AJ1146" t="n">
        <v>16</v>
      </c>
      <c r="AK1146" t="n">
        <v>72</v>
      </c>
      <c r="AL1146" t="n">
        <v>4</v>
      </c>
      <c r="AM1146" t="n">
        <v>62</v>
      </c>
      <c r="AN1146" t="n">
        <v>0</v>
      </c>
      <c r="AO1146" t="n">
        <v>0</v>
      </c>
      <c r="AP1146" t="n">
        <v>4</v>
      </c>
      <c r="AQ1146" t="n">
        <v>42</v>
      </c>
      <c r="AR1146" t="n">
        <v>55</v>
      </c>
      <c r="AS1146" t="n">
        <v>21</v>
      </c>
      <c r="AT1146" t="n">
        <v>0</v>
      </c>
      <c r="AU1146" t="n">
        <v>1</v>
      </c>
      <c r="AV1146" t="n">
        <v>28</v>
      </c>
      <c r="AW1146" t="n">
        <v>7</v>
      </c>
      <c r="AX1146" t="n">
        <v>14</v>
      </c>
      <c r="AY1146" t="n">
        <v>56</v>
      </c>
      <c r="AZ1146" t="n">
        <v>3</v>
      </c>
      <c r="BA1146" t="n">
        <v>12</v>
      </c>
      <c r="BB1146" t="n">
        <v>64</v>
      </c>
      <c r="BC1146" t="n">
        <v>54</v>
      </c>
      <c r="BD1146" t="n">
        <v>29</v>
      </c>
      <c r="BE1146" t="n">
        <v>24</v>
      </c>
      <c r="BF1146" t="n">
        <v>13</v>
      </c>
      <c r="BG1146" t="n">
        <v>4</v>
      </c>
      <c r="BH1146" t="n">
        <v>0</v>
      </c>
      <c r="BI1146" t="n">
        <v>23</v>
      </c>
      <c r="BJ1146" t="n">
        <v>24</v>
      </c>
      <c r="BK1146" t="n">
        <v>4</v>
      </c>
      <c r="BL1146" t="n">
        <v>62</v>
      </c>
      <c r="BM1146" t="n">
        <v>64</v>
      </c>
      <c r="BN1146" t="n">
        <v>16</v>
      </c>
      <c r="BO1146" t="n">
        <v>14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260</v>
      </c>
      <c r="Z1147" t="n">
        <v>119</v>
      </c>
      <c r="AA1147" t="n">
        <v>18</v>
      </c>
      <c r="AB1147" t="n">
        <v>2</v>
      </c>
      <c r="AC1147" t="n">
        <v>2</v>
      </c>
      <c r="AD1147" t="n">
        <v>2</v>
      </c>
      <c r="AE1147" t="n">
        <v>3</v>
      </c>
      <c r="AF1147" t="n">
        <v>4</v>
      </c>
      <c r="AG1147" t="n">
        <v>0</v>
      </c>
      <c r="AH1147" t="n">
        <v>18</v>
      </c>
      <c r="AI1147" t="n">
        <v>66</v>
      </c>
      <c r="AJ1147" t="n">
        <v>88</v>
      </c>
      <c r="AK1147" t="n">
        <v>41</v>
      </c>
      <c r="AL1147" t="n">
        <v>2</v>
      </c>
      <c r="AM1147" t="n">
        <v>33</v>
      </c>
      <c r="AN1147" t="n">
        <v>0</v>
      </c>
      <c r="AO1147" t="n">
        <v>0</v>
      </c>
      <c r="AP1147" t="n">
        <v>7</v>
      </c>
      <c r="AQ1147" t="n">
        <v>64</v>
      </c>
      <c r="AR1147" t="n">
        <v>139</v>
      </c>
      <c r="AS1147" t="n">
        <v>85</v>
      </c>
      <c r="AT1147" t="n">
        <v>2</v>
      </c>
      <c r="AU1147" t="n">
        <v>1</v>
      </c>
      <c r="AV1147" t="n">
        <v>52</v>
      </c>
      <c r="AW1147" t="n">
        <v>2</v>
      </c>
      <c r="AX1147" t="n">
        <v>0</v>
      </c>
      <c r="AY1147" t="n">
        <v>14</v>
      </c>
      <c r="AZ1147" t="n">
        <v>2</v>
      </c>
      <c r="BA1147" t="n">
        <v>27</v>
      </c>
      <c r="BB1147" t="n">
        <v>47</v>
      </c>
      <c r="BC1147" t="n">
        <v>25</v>
      </c>
      <c r="BD1147" t="n">
        <v>15</v>
      </c>
      <c r="BE1147" t="n">
        <v>14</v>
      </c>
      <c r="BF1147" t="n">
        <v>70</v>
      </c>
      <c r="BG1147" t="n">
        <v>2</v>
      </c>
      <c r="BH1147" t="n">
        <v>8</v>
      </c>
      <c r="BI1147" t="n">
        <v>38</v>
      </c>
      <c r="BJ1147" t="n">
        <v>35</v>
      </c>
      <c r="BK1147" t="n">
        <v>0</v>
      </c>
      <c r="BL1147" t="n">
        <v>1</v>
      </c>
      <c r="BM1147" t="n">
        <v>-3</v>
      </c>
      <c r="BN1147" t="n">
        <v>-2</v>
      </c>
      <c r="BO1147" t="n">
        <v>2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3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306</v>
      </c>
      <c r="Z1148" t="n">
        <v>163</v>
      </c>
      <c r="AA1148" t="n">
        <v>62</v>
      </c>
      <c r="AB1148" t="n">
        <v>2</v>
      </c>
      <c r="AC1148" t="n">
        <v>0</v>
      </c>
      <c r="AD1148" t="n">
        <v>2</v>
      </c>
      <c r="AE1148" t="n">
        <v>6</v>
      </c>
      <c r="AF1148" t="n">
        <v>8</v>
      </c>
      <c r="AG1148" t="n">
        <v>5</v>
      </c>
      <c r="AH1148" t="n">
        <v>41</v>
      </c>
      <c r="AI1148" t="n">
        <v>95</v>
      </c>
      <c r="AJ1148" t="n">
        <v>107</v>
      </c>
      <c r="AK1148" t="n">
        <v>18</v>
      </c>
      <c r="AL1148" t="n">
        <v>5</v>
      </c>
      <c r="AM1148" t="n">
        <v>43</v>
      </c>
      <c r="AN1148" t="n">
        <v>0</v>
      </c>
      <c r="AO1148" t="n">
        <v>1</v>
      </c>
      <c r="AP1148" t="n">
        <v>3</v>
      </c>
      <c r="AQ1148" t="n">
        <v>15</v>
      </c>
      <c r="AR1148" t="n">
        <v>65</v>
      </c>
      <c r="AS1148" t="n">
        <v>52</v>
      </c>
      <c r="AT1148" t="n">
        <v>3</v>
      </c>
      <c r="AU1148" t="n">
        <v>0</v>
      </c>
      <c r="AV1148" t="n">
        <v>59</v>
      </c>
      <c r="AW1148" t="n">
        <v>3</v>
      </c>
      <c r="AX1148" t="n">
        <v>2</v>
      </c>
      <c r="AY1148" t="n">
        <v>40</v>
      </c>
      <c r="AZ1148" t="n">
        <v>3</v>
      </c>
      <c r="BA1148" t="n">
        <v>24</v>
      </c>
      <c r="BB1148" t="n">
        <v>84</v>
      </c>
      <c r="BC1148" t="n">
        <v>36</v>
      </c>
      <c r="BD1148" t="n">
        <v>62</v>
      </c>
      <c r="BE1148" t="n">
        <v>0</v>
      </c>
      <c r="BF1148" t="n">
        <v>86</v>
      </c>
      <c r="BG1148" t="n">
        <v>3</v>
      </c>
      <c r="BH1148" t="n">
        <v>10</v>
      </c>
      <c r="BI1148" t="n">
        <v>28</v>
      </c>
      <c r="BJ1148" t="n">
        <v>24</v>
      </c>
      <c r="BK1148" t="n">
        <v>0</v>
      </c>
      <c r="BL1148" t="n">
        <v>1</v>
      </c>
      <c r="BM1148" t="n">
        <v>4</v>
      </c>
      <c r="BN1148" t="n">
        <v>2</v>
      </c>
      <c r="BO1148" t="n">
        <v>28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285</v>
      </c>
      <c r="Z1149" t="n">
        <v>180</v>
      </c>
      <c r="AA1149" t="n">
        <v>123</v>
      </c>
      <c r="AB1149" t="n">
        <v>1</v>
      </c>
      <c r="AC1149" t="n">
        <v>1</v>
      </c>
      <c r="AD1149" t="n">
        <v>5</v>
      </c>
      <c r="AE1149" t="n">
        <v>3</v>
      </c>
      <c r="AF1149" t="n">
        <v>3</v>
      </c>
      <c r="AG1149" t="n">
        <v>5</v>
      </c>
      <c r="AH1149" t="n">
        <v>52</v>
      </c>
      <c r="AI1149" t="n">
        <v>14</v>
      </c>
      <c r="AJ1149" t="n">
        <v>31</v>
      </c>
      <c r="AK1149" t="n">
        <v>30</v>
      </c>
      <c r="AL1149" t="n">
        <v>2</v>
      </c>
      <c r="AM1149" t="n">
        <v>39</v>
      </c>
      <c r="AN1149" t="n">
        <v>0</v>
      </c>
      <c r="AO1149" t="n">
        <v>0</v>
      </c>
      <c r="AP1149" t="n">
        <v>5</v>
      </c>
      <c r="AQ1149" t="n">
        <v>56</v>
      </c>
      <c r="AR1149" t="n">
        <v>113</v>
      </c>
      <c r="AS1149" t="n">
        <v>65</v>
      </c>
      <c r="AT1149" t="n">
        <v>6</v>
      </c>
      <c r="AU1149" t="n">
        <v>1</v>
      </c>
      <c r="AV1149" t="n">
        <v>49</v>
      </c>
      <c r="AW1149" t="n">
        <v>3</v>
      </c>
      <c r="AX1149" t="n">
        <v>0</v>
      </c>
      <c r="AY1149" t="n">
        <v>54</v>
      </c>
      <c r="AZ1149" t="n">
        <v>0</v>
      </c>
      <c r="BA1149" t="n">
        <v>1</v>
      </c>
      <c r="BB1149" t="n">
        <v>118</v>
      </c>
      <c r="BC1149" t="n">
        <v>72</v>
      </c>
      <c r="BD1149" t="n">
        <v>60</v>
      </c>
      <c r="BE1149" t="n">
        <v>1</v>
      </c>
      <c r="BF1149" t="n">
        <v>35</v>
      </c>
      <c r="BG1149" t="n">
        <v>2</v>
      </c>
      <c r="BH1149" t="n">
        <v>5</v>
      </c>
      <c r="BI1149" t="n">
        <v>38</v>
      </c>
      <c r="BJ1149" t="n">
        <v>35</v>
      </c>
      <c r="BK1149" t="n">
        <v>2</v>
      </c>
      <c r="BL1149" t="n">
        <v>1</v>
      </c>
      <c r="BM1149" t="n">
        <v>19</v>
      </c>
      <c r="BN1149" t="n">
        <v>11</v>
      </c>
      <c r="BO1149" t="n">
        <v>25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286</v>
      </c>
      <c r="Z1150" t="n">
        <v>159</v>
      </c>
      <c r="AA1150" t="n">
        <v>59</v>
      </c>
      <c r="AB1150" t="n">
        <v>0</v>
      </c>
      <c r="AC1150" t="n">
        <v>0</v>
      </c>
      <c r="AD1150" t="n">
        <v>3</v>
      </c>
      <c r="AE1150" t="n">
        <v>2</v>
      </c>
      <c r="AF1150" t="n">
        <v>1</v>
      </c>
      <c r="AG1150" t="n">
        <v>1</v>
      </c>
      <c r="AH1150" t="n">
        <v>21</v>
      </c>
      <c r="AI1150" t="n">
        <v>66</v>
      </c>
      <c r="AJ1150" t="n">
        <v>48</v>
      </c>
      <c r="AK1150" t="n">
        <v>68</v>
      </c>
      <c r="AL1150" t="n">
        <v>3</v>
      </c>
      <c r="AM1150" t="n">
        <v>44</v>
      </c>
      <c r="AN1150" t="n">
        <v>0</v>
      </c>
      <c r="AO1150" t="n">
        <v>1</v>
      </c>
      <c r="AP1150" t="n">
        <v>10</v>
      </c>
      <c r="AQ1150" t="n">
        <v>68</v>
      </c>
      <c r="AR1150" t="n">
        <v>144</v>
      </c>
      <c r="AS1150" t="n">
        <v>86</v>
      </c>
      <c r="AT1150" t="n">
        <v>2</v>
      </c>
      <c r="AU1150" t="n">
        <v>1</v>
      </c>
      <c r="AV1150" t="n">
        <v>40</v>
      </c>
      <c r="AW1150" t="n">
        <v>18</v>
      </c>
      <c r="AX1150" t="n">
        <v>0</v>
      </c>
      <c r="AY1150" t="n">
        <v>54</v>
      </c>
      <c r="AZ1150" t="n">
        <v>0</v>
      </c>
      <c r="BA1150" t="n">
        <v>1</v>
      </c>
      <c r="BB1150" t="n">
        <v>57</v>
      </c>
      <c r="BC1150" t="n">
        <v>37</v>
      </c>
      <c r="BD1150" t="n">
        <v>18</v>
      </c>
      <c r="BE1150" t="n">
        <v>17</v>
      </c>
      <c r="BF1150" t="n">
        <v>38</v>
      </c>
      <c r="BG1150" t="n">
        <v>2</v>
      </c>
      <c r="BH1150" t="n">
        <v>17</v>
      </c>
      <c r="BI1150" t="n">
        <v>41</v>
      </c>
      <c r="BJ1150" t="n">
        <v>55</v>
      </c>
      <c r="BK1150" t="n">
        <v>3</v>
      </c>
      <c r="BL1150" t="n">
        <v>1</v>
      </c>
      <c r="BM1150" t="n">
        <v>35</v>
      </c>
      <c r="BN1150" t="n">
        <v>21</v>
      </c>
      <c r="BO1150" t="n">
        <v>11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271</v>
      </c>
      <c r="Z1151" t="n">
        <v>114</v>
      </c>
      <c r="AA1151" t="n">
        <v>3</v>
      </c>
      <c r="AB1151" t="n">
        <v>1</v>
      </c>
      <c r="AC1151" t="n">
        <v>1</v>
      </c>
      <c r="AD1151" t="n">
        <v>4</v>
      </c>
      <c r="AE1151" t="n">
        <v>3</v>
      </c>
      <c r="AF1151" t="n">
        <v>2</v>
      </c>
      <c r="AG1151" t="n">
        <v>2</v>
      </c>
      <c r="AH1151" t="n">
        <v>123</v>
      </c>
      <c r="AI1151" t="n">
        <v>12</v>
      </c>
      <c r="AJ1151" t="n">
        <v>28</v>
      </c>
      <c r="AK1151" t="n">
        <v>1</v>
      </c>
      <c r="AL1151" t="n">
        <v>3</v>
      </c>
      <c r="AM1151" t="n">
        <v>36</v>
      </c>
      <c r="AN1151" t="n">
        <v>0</v>
      </c>
      <c r="AO1151" t="n">
        <v>0</v>
      </c>
      <c r="AP1151" t="n">
        <v>0</v>
      </c>
      <c r="AQ1151" t="n">
        <v>1</v>
      </c>
      <c r="AR1151" t="n">
        <v>54</v>
      </c>
      <c r="AS1151" t="n">
        <v>48</v>
      </c>
      <c r="AT1151" t="n">
        <v>2</v>
      </c>
      <c r="AU1151" t="n">
        <v>3</v>
      </c>
      <c r="AV1151" t="n">
        <v>27</v>
      </c>
      <c r="AW1151" t="n">
        <v>24</v>
      </c>
      <c r="AX1151" t="n">
        <v>1</v>
      </c>
      <c r="AY1151" t="n">
        <v>37</v>
      </c>
      <c r="AZ1151" t="n">
        <v>1</v>
      </c>
      <c r="BA1151" t="n">
        <v>1</v>
      </c>
      <c r="BB1151" t="n">
        <v>5</v>
      </c>
      <c r="BC1151" t="n">
        <v>88</v>
      </c>
      <c r="BD1151" t="n">
        <v>111</v>
      </c>
      <c r="BE1151" t="n">
        <v>24</v>
      </c>
      <c r="BF1151" t="n">
        <v>22</v>
      </c>
      <c r="BG1151" t="n">
        <v>0</v>
      </c>
      <c r="BH1151" t="n">
        <v>16</v>
      </c>
      <c r="BI1151" t="n">
        <v>1</v>
      </c>
      <c r="BJ1151" t="n">
        <v>1</v>
      </c>
      <c r="BK1151" t="n">
        <v>0</v>
      </c>
      <c r="BL1151" t="n">
        <v>2</v>
      </c>
      <c r="BM1151" t="n">
        <v>66</v>
      </c>
      <c r="BN1151" t="n">
        <v>45</v>
      </c>
      <c r="BO1151" t="n">
        <v>2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229</v>
      </c>
      <c r="Z1152" t="n">
        <v>119</v>
      </c>
      <c r="AA1152" t="n">
        <v>56</v>
      </c>
      <c r="AB1152" t="n">
        <v>1</v>
      </c>
      <c r="AC1152" t="n">
        <v>1</v>
      </c>
      <c r="AD1152" t="n">
        <v>6</v>
      </c>
      <c r="AE1152" t="n">
        <v>0</v>
      </c>
      <c r="AF1152" t="n">
        <v>2</v>
      </c>
      <c r="AG1152" t="n">
        <v>5</v>
      </c>
      <c r="AH1152" t="n">
        <v>66</v>
      </c>
      <c r="AI1152" t="n">
        <v>2</v>
      </c>
      <c r="AJ1152" t="n">
        <v>11</v>
      </c>
      <c r="AK1152" t="n">
        <v>54</v>
      </c>
      <c r="AL1152" t="n">
        <v>1</v>
      </c>
      <c r="AM1152" t="n">
        <v>5</v>
      </c>
      <c r="AN1152" t="n">
        <v>0</v>
      </c>
      <c r="AO1152" t="n">
        <v>0</v>
      </c>
      <c r="AP1152" t="n">
        <v>4</v>
      </c>
      <c r="AQ1152" t="n">
        <v>19</v>
      </c>
      <c r="AR1152" t="n">
        <v>147</v>
      </c>
      <c r="AS1152" t="n">
        <v>127</v>
      </c>
      <c r="AT1152" t="n">
        <v>1</v>
      </c>
      <c r="AU1152" t="n">
        <v>2</v>
      </c>
      <c r="AV1152" t="n">
        <v>6</v>
      </c>
      <c r="AW1152" t="n">
        <v>18</v>
      </c>
      <c r="AX1152" t="n">
        <v>3</v>
      </c>
      <c r="AY1152" t="n">
        <v>60</v>
      </c>
      <c r="AZ1152" t="n">
        <v>1</v>
      </c>
      <c r="BA1152" t="n">
        <v>1</v>
      </c>
      <c r="BB1152" t="n">
        <v>55</v>
      </c>
      <c r="BC1152" t="n">
        <v>25</v>
      </c>
      <c r="BD1152" t="n">
        <v>58</v>
      </c>
      <c r="BE1152" t="n">
        <v>18</v>
      </c>
      <c r="BF1152" t="n">
        <v>9</v>
      </c>
      <c r="BG1152" t="n">
        <v>1</v>
      </c>
      <c r="BH1152" t="n">
        <v>8</v>
      </c>
      <c r="BI1152" t="n">
        <v>34</v>
      </c>
      <c r="BJ1152" t="n">
        <v>31</v>
      </c>
      <c r="BK1152" t="n">
        <v>3</v>
      </c>
      <c r="BL1152" t="n">
        <v>14</v>
      </c>
      <c r="BM1152" t="n">
        <v>48</v>
      </c>
      <c r="BN1152" t="n">
        <v>25</v>
      </c>
      <c r="BO1152" t="n">
        <v>21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2</v>
      </c>
      <c r="U1153" t="n">
        <v>0</v>
      </c>
      <c r="V1153" t="n">
        <v>0</v>
      </c>
      <c r="W1153" t="n">
        <v>0</v>
      </c>
      <c r="X1153" t="n">
        <v>1</v>
      </c>
      <c r="Y1153" t="n">
        <v>365</v>
      </c>
      <c r="Z1153" t="n">
        <v>188</v>
      </c>
      <c r="AA1153" t="n">
        <v>86</v>
      </c>
      <c r="AB1153" t="n">
        <v>0</v>
      </c>
      <c r="AC1153" t="n">
        <v>1</v>
      </c>
      <c r="AD1153" t="n">
        <v>4</v>
      </c>
      <c r="AE1153" t="n">
        <v>7</v>
      </c>
      <c r="AF1153" t="n">
        <v>6</v>
      </c>
      <c r="AG1153" t="n">
        <v>10</v>
      </c>
      <c r="AH1153" t="n">
        <v>90</v>
      </c>
      <c r="AI1153" t="n">
        <v>60</v>
      </c>
      <c r="AJ1153" t="n">
        <v>90</v>
      </c>
      <c r="AK1153" t="n">
        <v>71</v>
      </c>
      <c r="AL1153" t="n">
        <v>4</v>
      </c>
      <c r="AM1153" t="n">
        <v>40</v>
      </c>
      <c r="AN1153" t="n">
        <v>0</v>
      </c>
      <c r="AO1153" t="n">
        <v>0</v>
      </c>
      <c r="AP1153" t="n">
        <v>2</v>
      </c>
      <c r="AQ1153" t="n">
        <v>7</v>
      </c>
      <c r="AR1153" t="n">
        <v>38</v>
      </c>
      <c r="AS1153" t="n">
        <v>34</v>
      </c>
      <c r="AT1153" t="n">
        <v>5</v>
      </c>
      <c r="AU1153" t="n">
        <v>2</v>
      </c>
      <c r="AV1153" t="n">
        <v>22</v>
      </c>
      <c r="AW1153" t="n">
        <v>13</v>
      </c>
      <c r="AX1153" t="n">
        <v>0</v>
      </c>
      <c r="AY1153" t="n">
        <v>14</v>
      </c>
      <c r="AZ1153" t="n">
        <v>1</v>
      </c>
      <c r="BA1153" t="n">
        <v>1</v>
      </c>
      <c r="BB1153" t="n">
        <v>83</v>
      </c>
      <c r="BC1153" t="n">
        <v>34</v>
      </c>
      <c r="BD1153" t="n">
        <v>90</v>
      </c>
      <c r="BE1153" t="n">
        <v>22</v>
      </c>
      <c r="BF1153" t="n">
        <v>82</v>
      </c>
      <c r="BG1153" t="n">
        <v>4</v>
      </c>
      <c r="BH1153" t="n">
        <v>9</v>
      </c>
      <c r="BI1153" t="n">
        <v>82</v>
      </c>
      <c r="BJ1153" t="n">
        <v>79</v>
      </c>
      <c r="BK1153" t="n">
        <v>3</v>
      </c>
      <c r="BL1153" t="n">
        <v>30</v>
      </c>
      <c r="BM1153" t="n">
        <v>25</v>
      </c>
      <c r="BN1153" t="n">
        <v>4</v>
      </c>
      <c r="BO1153" t="n">
        <v>2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3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237</v>
      </c>
      <c r="Z1154" t="n">
        <v>256</v>
      </c>
      <c r="AA1154" t="n">
        <v>61</v>
      </c>
      <c r="AB1154" t="n">
        <v>4</v>
      </c>
      <c r="AC1154" t="n">
        <v>3</v>
      </c>
      <c r="AD1154" t="n">
        <v>4</v>
      </c>
      <c r="AE1154" t="n">
        <v>8</v>
      </c>
      <c r="AF1154" t="n">
        <v>1</v>
      </c>
      <c r="AG1154" t="n">
        <v>5</v>
      </c>
      <c r="AH1154" t="n">
        <v>70</v>
      </c>
      <c r="AI1154" t="n">
        <v>77</v>
      </c>
      <c r="AJ1154" t="n">
        <v>41</v>
      </c>
      <c r="AK1154" t="n">
        <v>74</v>
      </c>
      <c r="AL1154" t="n">
        <v>5</v>
      </c>
      <c r="AM1154" t="n">
        <v>109</v>
      </c>
      <c r="AN1154" t="n">
        <v>1</v>
      </c>
      <c r="AO1154" t="n">
        <v>0</v>
      </c>
      <c r="AP1154" t="n">
        <v>3</v>
      </c>
      <c r="AQ1154" t="n">
        <v>1</v>
      </c>
      <c r="AR1154" t="n">
        <v>87</v>
      </c>
      <c r="AS1154" t="n">
        <v>80</v>
      </c>
      <c r="AT1154" t="n">
        <v>6</v>
      </c>
      <c r="AU1154" t="n">
        <v>2</v>
      </c>
      <c r="AV1154" t="n">
        <v>28</v>
      </c>
      <c r="AW1154" t="n">
        <v>15</v>
      </c>
      <c r="AX1154" t="n">
        <v>0</v>
      </c>
      <c r="AY1154" t="n">
        <v>52</v>
      </c>
      <c r="AZ1154" t="n">
        <v>2</v>
      </c>
      <c r="BA1154" t="n">
        <v>7</v>
      </c>
      <c r="BB1154" t="n">
        <v>65</v>
      </c>
      <c r="BC1154" t="n">
        <v>91</v>
      </c>
      <c r="BD1154" t="n">
        <v>62</v>
      </c>
      <c r="BE1154" t="n">
        <v>15</v>
      </c>
      <c r="BF1154" t="n">
        <v>32</v>
      </c>
      <c r="BG1154" t="n">
        <v>5</v>
      </c>
      <c r="BH1154" t="n">
        <v>5</v>
      </c>
      <c r="BI1154" t="n">
        <v>28</v>
      </c>
      <c r="BJ1154" t="n">
        <v>25</v>
      </c>
      <c r="BK1154" t="n">
        <v>0</v>
      </c>
      <c r="BL1154" t="n">
        <v>1</v>
      </c>
      <c r="BM1154" t="n">
        <v>18</v>
      </c>
      <c r="BN1154" t="n">
        <v>10</v>
      </c>
      <c r="BO1154" t="n">
        <v>23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234</v>
      </c>
      <c r="Z1155" t="n">
        <v>259</v>
      </c>
      <c r="AA1155" t="n">
        <v>44</v>
      </c>
      <c r="AB1155" t="n">
        <v>1</v>
      </c>
      <c r="AC1155" t="n">
        <v>1</v>
      </c>
      <c r="AD1155" t="n">
        <v>6</v>
      </c>
      <c r="AE1155" t="n">
        <v>14</v>
      </c>
      <c r="AF1155" t="n">
        <v>4</v>
      </c>
      <c r="AG1155" t="n">
        <v>2</v>
      </c>
      <c r="AH1155" t="n">
        <v>82</v>
      </c>
      <c r="AI1155" t="n">
        <v>121</v>
      </c>
      <c r="AJ1155" t="n">
        <v>59</v>
      </c>
      <c r="AK1155" t="n">
        <v>27</v>
      </c>
      <c r="AL1155" t="n">
        <v>2</v>
      </c>
      <c r="AM1155" t="n">
        <v>2</v>
      </c>
      <c r="AN1155" t="n">
        <v>0</v>
      </c>
      <c r="AO1155" t="n">
        <v>0</v>
      </c>
      <c r="AP1155" t="n">
        <v>3</v>
      </c>
      <c r="AQ1155" t="n">
        <v>9</v>
      </c>
      <c r="AR1155" t="n">
        <v>130</v>
      </c>
      <c r="AS1155" t="n">
        <v>118</v>
      </c>
      <c r="AT1155" t="n">
        <v>0</v>
      </c>
      <c r="AU1155" t="n">
        <v>3</v>
      </c>
      <c r="AV1155" t="n">
        <v>9</v>
      </c>
      <c r="AW1155" t="n">
        <v>13</v>
      </c>
      <c r="AX1155" t="n">
        <v>7</v>
      </c>
      <c r="AY1155" t="n">
        <v>8</v>
      </c>
      <c r="AZ1155" t="n">
        <v>2</v>
      </c>
      <c r="BA1155" t="n">
        <v>11</v>
      </c>
      <c r="BB1155" t="n">
        <v>53</v>
      </c>
      <c r="BC1155" t="n">
        <v>14</v>
      </c>
      <c r="BD1155" t="n">
        <v>81</v>
      </c>
      <c r="BE1155" t="n">
        <v>13</v>
      </c>
      <c r="BF1155" t="n">
        <v>67</v>
      </c>
      <c r="BG1155" t="n">
        <v>0</v>
      </c>
      <c r="BH1155" t="n">
        <v>1</v>
      </c>
      <c r="BI1155" t="n">
        <v>1</v>
      </c>
      <c r="BJ1155" t="n">
        <v>6</v>
      </c>
      <c r="BK1155" t="n">
        <v>3</v>
      </c>
      <c r="BL1155" t="n">
        <v>1</v>
      </c>
      <c r="BM1155" t="n">
        <v>15</v>
      </c>
      <c r="BN1155" t="n">
        <v>8</v>
      </c>
      <c r="BO1155" t="n">
        <v>9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166</v>
      </c>
      <c r="Z1156" t="n">
        <v>246</v>
      </c>
      <c r="AA1156" t="n">
        <v>26</v>
      </c>
      <c r="AB1156" t="n">
        <v>1</v>
      </c>
      <c r="AC1156" t="n">
        <v>1</v>
      </c>
      <c r="AD1156" t="n">
        <v>3</v>
      </c>
      <c r="AE1156" t="n">
        <v>5</v>
      </c>
      <c r="AF1156" t="n">
        <v>2</v>
      </c>
      <c r="AG1156" t="n">
        <v>3</v>
      </c>
      <c r="AH1156" t="n">
        <v>55</v>
      </c>
      <c r="AI1156" t="n">
        <v>123</v>
      </c>
      <c r="AJ1156" t="n">
        <v>47</v>
      </c>
      <c r="AK1156" t="n">
        <v>30</v>
      </c>
      <c r="AL1156" t="n">
        <v>3</v>
      </c>
      <c r="AM1156" t="n">
        <v>17</v>
      </c>
      <c r="AN1156" t="n">
        <v>0</v>
      </c>
      <c r="AO1156" t="n">
        <v>0</v>
      </c>
      <c r="AP1156" t="n">
        <v>3</v>
      </c>
      <c r="AQ1156" t="n">
        <v>10</v>
      </c>
      <c r="AR1156" t="n">
        <v>22</v>
      </c>
      <c r="AS1156" t="n">
        <v>12</v>
      </c>
      <c r="AT1156" t="n">
        <v>4</v>
      </c>
      <c r="AU1156" t="n">
        <v>2</v>
      </c>
      <c r="AV1156" t="n">
        <v>10</v>
      </c>
      <c r="AW1156" t="n">
        <v>35</v>
      </c>
      <c r="AX1156" t="n">
        <v>0</v>
      </c>
      <c r="AY1156" t="n">
        <v>7</v>
      </c>
      <c r="AZ1156" t="n">
        <v>1</v>
      </c>
      <c r="BA1156" t="n">
        <v>14</v>
      </c>
      <c r="BB1156" t="n">
        <v>40</v>
      </c>
      <c r="BC1156" t="n">
        <v>13</v>
      </c>
      <c r="BD1156" t="n">
        <v>63</v>
      </c>
      <c r="BE1156" t="n">
        <v>34</v>
      </c>
      <c r="BF1156" t="n">
        <v>37</v>
      </c>
      <c r="BG1156" t="n">
        <v>1</v>
      </c>
      <c r="BH1156" t="n">
        <v>4</v>
      </c>
      <c r="BI1156" t="n">
        <v>9</v>
      </c>
      <c r="BJ1156" t="n">
        <v>8</v>
      </c>
      <c r="BK1156" t="n">
        <v>0</v>
      </c>
      <c r="BL1156" t="n">
        <v>15</v>
      </c>
      <c r="BM1156" t="n">
        <v>15</v>
      </c>
      <c r="BN1156" t="n">
        <v>4</v>
      </c>
      <c r="BO1156" t="n">
        <v>2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2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290</v>
      </c>
      <c r="Z1157" t="n">
        <v>260</v>
      </c>
      <c r="AA1157" t="n">
        <v>52</v>
      </c>
      <c r="AB1157" t="n">
        <v>1</v>
      </c>
      <c r="AC1157" t="n">
        <v>0</v>
      </c>
      <c r="AD1157" t="n">
        <v>3</v>
      </c>
      <c r="AE1157" t="n">
        <v>3</v>
      </c>
      <c r="AF1157" t="n">
        <v>9</v>
      </c>
      <c r="AG1157" t="n">
        <v>0</v>
      </c>
      <c r="AH1157" t="n">
        <v>65</v>
      </c>
      <c r="AI1157" t="n">
        <v>2</v>
      </c>
      <c r="AJ1157" t="n">
        <v>146</v>
      </c>
      <c r="AK1157" t="n">
        <v>1</v>
      </c>
      <c r="AL1157" t="n">
        <v>1</v>
      </c>
      <c r="AM1157" t="n">
        <v>18</v>
      </c>
      <c r="AN1157" t="n">
        <v>0</v>
      </c>
      <c r="AO1157" t="n">
        <v>0</v>
      </c>
      <c r="AP1157" t="n">
        <v>3</v>
      </c>
      <c r="AQ1157" t="n">
        <v>39</v>
      </c>
      <c r="AR1157" t="n">
        <v>72</v>
      </c>
      <c r="AS1157" t="n">
        <v>40</v>
      </c>
      <c r="AT1157" t="n">
        <v>0</v>
      </c>
      <c r="AU1157" t="n">
        <v>1</v>
      </c>
      <c r="AV1157" t="n">
        <v>11</v>
      </c>
      <c r="AW1157" t="n">
        <v>27</v>
      </c>
      <c r="AX1157" t="n">
        <v>1</v>
      </c>
      <c r="AY1157" t="n">
        <v>8</v>
      </c>
      <c r="AZ1157" t="n">
        <v>1</v>
      </c>
      <c r="BA1157" t="n">
        <v>1</v>
      </c>
      <c r="BB1157" t="n">
        <v>51</v>
      </c>
      <c r="BC1157" t="n">
        <v>28</v>
      </c>
      <c r="BD1157" t="n">
        <v>62</v>
      </c>
      <c r="BE1157" t="n">
        <v>28</v>
      </c>
      <c r="BF1157" t="n">
        <v>126</v>
      </c>
      <c r="BG1157" t="n">
        <v>2</v>
      </c>
      <c r="BH1157" t="n">
        <v>4</v>
      </c>
      <c r="BI1157" t="n">
        <v>20</v>
      </c>
      <c r="BJ1157" t="n">
        <v>19</v>
      </c>
      <c r="BK1157" t="n">
        <v>1</v>
      </c>
      <c r="BL1157" t="n">
        <v>3</v>
      </c>
      <c r="BM1157" t="n">
        <v>26</v>
      </c>
      <c r="BN1157" t="n">
        <v>15</v>
      </c>
      <c r="BO1157" t="n">
        <v>2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2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193</v>
      </c>
      <c r="Z1158" t="n">
        <v>173</v>
      </c>
      <c r="AA1158" t="n">
        <v>81</v>
      </c>
      <c r="AB1158" t="n">
        <v>1</v>
      </c>
      <c r="AC1158" t="n">
        <v>1</v>
      </c>
      <c r="AD1158" t="n">
        <v>0</v>
      </c>
      <c r="AE1158" t="n">
        <v>2</v>
      </c>
      <c r="AF1158" t="n">
        <v>7</v>
      </c>
      <c r="AG1158" t="n">
        <v>3</v>
      </c>
      <c r="AH1158" t="n">
        <v>66</v>
      </c>
      <c r="AI1158" t="n">
        <v>9</v>
      </c>
      <c r="AJ1158" t="n">
        <v>79</v>
      </c>
      <c r="AK1158" t="n">
        <v>16</v>
      </c>
      <c r="AL1158" t="n">
        <v>5</v>
      </c>
      <c r="AM1158" t="n">
        <v>64</v>
      </c>
      <c r="AN1158" t="n">
        <v>0</v>
      </c>
      <c r="AO1158" t="n">
        <v>0</v>
      </c>
      <c r="AP1158" t="n">
        <v>8</v>
      </c>
      <c r="AQ1158" t="n">
        <v>16</v>
      </c>
      <c r="AR1158" t="n">
        <v>53</v>
      </c>
      <c r="AS1158" t="n">
        <v>39</v>
      </c>
      <c r="AT1158" t="n">
        <v>6</v>
      </c>
      <c r="AU1158" t="n">
        <v>1</v>
      </c>
      <c r="AV1158" t="n">
        <v>21</v>
      </c>
      <c r="AW1158" t="n">
        <v>16</v>
      </c>
      <c r="AX1158" t="n">
        <v>0</v>
      </c>
      <c r="AY1158" t="n">
        <v>42</v>
      </c>
      <c r="AZ1158" t="n">
        <v>2</v>
      </c>
      <c r="BA1158" t="n">
        <v>10</v>
      </c>
      <c r="BB1158" t="n">
        <v>86</v>
      </c>
      <c r="BC1158" t="n">
        <v>60</v>
      </c>
      <c r="BD1158" t="n">
        <v>58</v>
      </c>
      <c r="BE1158" t="n">
        <v>16</v>
      </c>
      <c r="BF1158" t="n">
        <v>62</v>
      </c>
      <c r="BG1158" t="n">
        <v>2</v>
      </c>
      <c r="BH1158" t="n">
        <v>9</v>
      </c>
      <c r="BI1158" t="n">
        <v>16</v>
      </c>
      <c r="BJ1158" t="n">
        <v>14</v>
      </c>
      <c r="BK1158" t="n">
        <v>5</v>
      </c>
      <c r="BL1158" t="n">
        <v>9</v>
      </c>
      <c r="BM1158" t="n">
        <v>41</v>
      </c>
      <c r="BN1158" t="n">
        <v>23</v>
      </c>
      <c r="BO1158" t="n">
        <v>100</v>
      </c>
    </row>
    <row r="1159">
      <c r="A1159" t="n">
        <v>0</v>
      </c>
      <c r="B1159" t="n">
        <v>0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2</v>
      </c>
      <c r="U1159" t="n">
        <v>0</v>
      </c>
      <c r="V1159" t="n">
        <v>0</v>
      </c>
      <c r="W1159" t="n">
        <v>0</v>
      </c>
      <c r="X1159" t="n">
        <v>0</v>
      </c>
      <c r="Y1159" t="n">
        <v>243</v>
      </c>
      <c r="Z1159" t="n">
        <v>212</v>
      </c>
      <c r="AA1159" t="n">
        <v>113</v>
      </c>
      <c r="AB1159" t="n">
        <v>0</v>
      </c>
      <c r="AC1159" t="n">
        <v>2</v>
      </c>
      <c r="AD1159" t="n">
        <v>3</v>
      </c>
      <c r="AE1159" t="n">
        <v>6</v>
      </c>
      <c r="AF1159" t="n">
        <v>4</v>
      </c>
      <c r="AG1159" t="n">
        <v>4</v>
      </c>
      <c r="AH1159" t="n">
        <v>18</v>
      </c>
      <c r="AI1159" t="n">
        <v>-5</v>
      </c>
      <c r="AJ1159" t="n">
        <v>30</v>
      </c>
      <c r="AK1159" t="n">
        <v>24</v>
      </c>
      <c r="AL1159" t="n">
        <v>4</v>
      </c>
      <c r="AM1159" t="n">
        <v>2</v>
      </c>
      <c r="AN1159" t="n">
        <v>0</v>
      </c>
      <c r="AO1159" t="n">
        <v>0</v>
      </c>
      <c r="AP1159" t="n">
        <v>6</v>
      </c>
      <c r="AQ1159" t="n">
        <v>102</v>
      </c>
      <c r="AR1159" t="n">
        <v>181</v>
      </c>
      <c r="AS1159" t="n">
        <v>91</v>
      </c>
      <c r="AT1159" t="n">
        <v>0</v>
      </c>
      <c r="AU1159" t="n">
        <v>2</v>
      </c>
      <c r="AV1159" t="n">
        <v>1</v>
      </c>
      <c r="AW1159" t="n">
        <v>40</v>
      </c>
      <c r="AX1159" t="n">
        <v>2</v>
      </c>
      <c r="AY1159" t="n">
        <v>27</v>
      </c>
      <c r="AZ1159" t="n">
        <v>3</v>
      </c>
      <c r="BA1159" t="n">
        <v>40</v>
      </c>
      <c r="BB1159" t="n">
        <v>147</v>
      </c>
      <c r="BC1159" t="n">
        <v>2</v>
      </c>
      <c r="BD1159" t="n">
        <v>15</v>
      </c>
      <c r="BE1159" t="n">
        <v>46</v>
      </c>
      <c r="BF1159" t="n">
        <v>24</v>
      </c>
      <c r="BG1159" t="n">
        <v>3</v>
      </c>
      <c r="BH1159" t="n">
        <v>5</v>
      </c>
      <c r="BI1159" t="n">
        <v>20</v>
      </c>
      <c r="BJ1159" t="n">
        <v>23</v>
      </c>
      <c r="BK1159" t="n">
        <v>0</v>
      </c>
      <c r="BL1159" t="n">
        <v>1</v>
      </c>
      <c r="BM1159" t="n">
        <v>1</v>
      </c>
      <c r="BN1159" t="n">
        <v>1</v>
      </c>
      <c r="BO1159" t="n">
        <v>89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n">
        <v>134</v>
      </c>
      <c r="Z1160" t="n">
        <v>187</v>
      </c>
      <c r="AA1160" t="n">
        <v>15</v>
      </c>
      <c r="AB1160" t="n">
        <v>0</v>
      </c>
      <c r="AC1160" t="n">
        <v>0</v>
      </c>
      <c r="AD1160" t="n">
        <v>0</v>
      </c>
      <c r="AE1160" t="n">
        <v>7</v>
      </c>
      <c r="AF1160" t="n">
        <v>8</v>
      </c>
      <c r="AG1160" t="n">
        <v>2</v>
      </c>
      <c r="AH1160" t="n">
        <v>6</v>
      </c>
      <c r="AI1160" t="n">
        <v>56</v>
      </c>
      <c r="AJ1160" t="n">
        <v>54</v>
      </c>
      <c r="AK1160" t="n">
        <v>22</v>
      </c>
      <c r="AL1160" t="n">
        <v>3</v>
      </c>
      <c r="AM1160" t="n">
        <v>17</v>
      </c>
      <c r="AN1160" t="n">
        <v>0</v>
      </c>
      <c r="AO1160" t="n">
        <v>0</v>
      </c>
      <c r="AP1160" t="n">
        <v>2</v>
      </c>
      <c r="AQ1160" t="n">
        <v>4</v>
      </c>
      <c r="AR1160" t="n">
        <v>66</v>
      </c>
      <c r="AS1160" t="n">
        <v>60</v>
      </c>
      <c r="AT1160" t="n">
        <v>4</v>
      </c>
      <c r="AU1160" t="n">
        <v>2</v>
      </c>
      <c r="AV1160" t="n">
        <v>39</v>
      </c>
      <c r="AW1160" t="n">
        <v>24</v>
      </c>
      <c r="AX1160" t="n">
        <v>2</v>
      </c>
      <c r="AY1160" t="n">
        <v>27</v>
      </c>
      <c r="AZ1160" t="n">
        <v>6</v>
      </c>
      <c r="BA1160" t="n">
        <v>27</v>
      </c>
      <c r="BB1160" t="n">
        <v>44</v>
      </c>
      <c r="BC1160" t="n">
        <v>13</v>
      </c>
      <c r="BD1160" t="n">
        <v>6</v>
      </c>
      <c r="BE1160" t="n">
        <v>24</v>
      </c>
      <c r="BF1160" t="n">
        <v>41</v>
      </c>
      <c r="BG1160" t="n">
        <v>3</v>
      </c>
      <c r="BH1160" t="n">
        <v>0</v>
      </c>
      <c r="BI1160" t="n">
        <v>1</v>
      </c>
      <c r="BJ1160" t="n">
        <v>26</v>
      </c>
      <c r="BK1160" t="n">
        <v>3</v>
      </c>
      <c r="BL1160" t="n">
        <v>22</v>
      </c>
      <c r="BM1160" t="n">
        <v>13</v>
      </c>
      <c r="BN1160" t="n">
        <v>-1</v>
      </c>
      <c r="BO1160" t="n">
        <v>2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328</v>
      </c>
      <c r="Z1161" t="n">
        <v>217</v>
      </c>
      <c r="AA1161" t="n">
        <v>27</v>
      </c>
      <c r="AB1161" t="n">
        <v>4</v>
      </c>
      <c r="AC1161" t="n">
        <v>0</v>
      </c>
      <c r="AD1161" t="n">
        <v>3</v>
      </c>
      <c r="AE1161" t="n">
        <v>6</v>
      </c>
      <c r="AF1161" t="n">
        <v>7</v>
      </c>
      <c r="AG1161" t="n">
        <v>3</v>
      </c>
      <c r="AH1161" t="n">
        <v>19</v>
      </c>
      <c r="AI1161" t="n">
        <v>37</v>
      </c>
      <c r="AJ1161" t="n">
        <v>92</v>
      </c>
      <c r="AK1161" t="n">
        <v>75</v>
      </c>
      <c r="AL1161" t="n">
        <v>3</v>
      </c>
      <c r="AM1161" t="n">
        <v>62</v>
      </c>
      <c r="AN1161" t="n">
        <v>1</v>
      </c>
      <c r="AO1161" t="n">
        <v>0</v>
      </c>
      <c r="AP1161" t="n">
        <v>0</v>
      </c>
      <c r="AQ1161" t="n">
        <v>6</v>
      </c>
      <c r="AR1161" t="n">
        <v>70</v>
      </c>
      <c r="AS1161" t="n">
        <v>63</v>
      </c>
      <c r="AT1161" t="n">
        <v>2</v>
      </c>
      <c r="AU1161" t="n">
        <v>2</v>
      </c>
      <c r="AV1161" t="n">
        <v>57</v>
      </c>
      <c r="AW1161" t="n">
        <v>24</v>
      </c>
      <c r="AX1161" t="n">
        <v>1</v>
      </c>
      <c r="AY1161" t="n">
        <v>34</v>
      </c>
      <c r="AZ1161" t="n">
        <v>5</v>
      </c>
      <c r="BA1161" t="n">
        <v>46</v>
      </c>
      <c r="BB1161" t="n">
        <v>77</v>
      </c>
      <c r="BC1161" t="n">
        <v>59</v>
      </c>
      <c r="BD1161" t="n">
        <v>16</v>
      </c>
      <c r="BE1161" t="n">
        <v>26</v>
      </c>
      <c r="BF1161" t="n">
        <v>76</v>
      </c>
      <c r="BG1161" t="n">
        <v>1</v>
      </c>
      <c r="BH1161" t="n">
        <v>38</v>
      </c>
      <c r="BI1161" t="n">
        <v>1</v>
      </c>
      <c r="BJ1161" t="n">
        <v>1</v>
      </c>
      <c r="BK1161" t="n">
        <v>1</v>
      </c>
      <c r="BL1161" t="n">
        <v>11</v>
      </c>
      <c r="BM1161" t="n">
        <v>8</v>
      </c>
      <c r="BN1161" t="n">
        <v>0</v>
      </c>
      <c r="BO1161" t="n">
        <v>40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234</v>
      </c>
      <c r="Z1162" t="n">
        <v>118</v>
      </c>
      <c r="AA1162" t="n">
        <v>33</v>
      </c>
      <c r="AB1162" t="n">
        <v>2</v>
      </c>
      <c r="AC1162" t="n">
        <v>0</v>
      </c>
      <c r="AD1162" t="n">
        <v>2</v>
      </c>
      <c r="AE1162" t="n">
        <v>6</v>
      </c>
      <c r="AF1162" t="n">
        <v>5</v>
      </c>
      <c r="AG1162" t="n">
        <v>0</v>
      </c>
      <c r="AH1162" t="n">
        <v>56</v>
      </c>
      <c r="AI1162" t="n">
        <v>27</v>
      </c>
      <c r="AJ1162" t="n">
        <v>53</v>
      </c>
      <c r="AK1162" t="n">
        <v>1</v>
      </c>
      <c r="AL1162" t="n">
        <v>5</v>
      </c>
      <c r="AM1162" t="n">
        <v>42</v>
      </c>
      <c r="AN1162" t="n">
        <v>0</v>
      </c>
      <c r="AO1162" t="n">
        <v>0</v>
      </c>
      <c r="AP1162" t="n">
        <v>2</v>
      </c>
      <c r="AQ1162" t="n">
        <v>53</v>
      </c>
      <c r="AR1162" t="n">
        <v>204</v>
      </c>
      <c r="AS1162" t="n">
        <v>158</v>
      </c>
      <c r="AT1162" t="n">
        <v>2</v>
      </c>
      <c r="AU1162" t="n">
        <v>1</v>
      </c>
      <c r="AV1162" t="n">
        <v>10</v>
      </c>
      <c r="AW1162" t="n">
        <v>4</v>
      </c>
      <c r="AX1162" t="n">
        <v>3</v>
      </c>
      <c r="AY1162" t="n">
        <v>58</v>
      </c>
      <c r="AZ1162" t="n">
        <v>0</v>
      </c>
      <c r="BA1162" t="n">
        <v>10</v>
      </c>
      <c r="BB1162" t="n">
        <v>42</v>
      </c>
      <c r="BC1162" t="n">
        <v>40</v>
      </c>
      <c r="BD1162" t="n">
        <v>50</v>
      </c>
      <c r="BE1162" t="n">
        <v>4</v>
      </c>
      <c r="BF1162" t="n">
        <v>42</v>
      </c>
      <c r="BG1162" t="n">
        <v>7</v>
      </c>
      <c r="BH1162" t="n">
        <v>8</v>
      </c>
      <c r="BI1162" t="n">
        <v>64</v>
      </c>
      <c r="BJ1162" t="n">
        <v>59</v>
      </c>
      <c r="BK1162" t="n">
        <v>5</v>
      </c>
      <c r="BL1162" t="n">
        <v>48</v>
      </c>
      <c r="BM1162" t="n">
        <v>58</v>
      </c>
      <c r="BN1162" t="n">
        <v>18</v>
      </c>
      <c r="BO1162" t="n">
        <v>112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0</v>
      </c>
      <c r="W1163" t="n">
        <v>0</v>
      </c>
      <c r="X1163" t="n">
        <v>0</v>
      </c>
      <c r="Y1163" t="n">
        <v>214</v>
      </c>
      <c r="Z1163" t="n">
        <v>253</v>
      </c>
      <c r="AA1163" t="n">
        <v>26</v>
      </c>
      <c r="AB1163" t="n">
        <v>3</v>
      </c>
      <c r="AC1163" t="n">
        <v>1</v>
      </c>
      <c r="AD1163" t="n">
        <v>6</v>
      </c>
      <c r="AE1163" t="n">
        <v>4</v>
      </c>
      <c r="AF1163" t="n">
        <v>2</v>
      </c>
      <c r="AG1163" t="n">
        <v>3</v>
      </c>
      <c r="AH1163" t="n">
        <v>65</v>
      </c>
      <c r="AI1163" t="n">
        <v>55</v>
      </c>
      <c r="AJ1163" t="n">
        <v>15</v>
      </c>
      <c r="AK1163" t="n">
        <v>33</v>
      </c>
      <c r="AL1163" t="n">
        <v>1</v>
      </c>
      <c r="AM1163" t="n">
        <v>72</v>
      </c>
      <c r="AN1163" t="n">
        <v>0</v>
      </c>
      <c r="AO1163" t="n">
        <v>0</v>
      </c>
      <c r="AP1163" t="n">
        <v>3</v>
      </c>
      <c r="AQ1163" t="n">
        <v>12</v>
      </c>
      <c r="AR1163" t="n">
        <v>23</v>
      </c>
      <c r="AS1163" t="n">
        <v>13</v>
      </c>
      <c r="AT1163" t="n">
        <v>1</v>
      </c>
      <c r="AU1163" t="n">
        <v>2</v>
      </c>
      <c r="AV1163" t="n">
        <v>5</v>
      </c>
      <c r="AW1163" t="n">
        <v>15</v>
      </c>
      <c r="AX1163" t="n">
        <v>0</v>
      </c>
      <c r="AY1163" t="n">
        <v>19</v>
      </c>
      <c r="AZ1163" t="n">
        <v>2</v>
      </c>
      <c r="BA1163" t="n">
        <v>21</v>
      </c>
      <c r="BB1163" t="n">
        <v>48</v>
      </c>
      <c r="BC1163" t="n">
        <v>68</v>
      </c>
      <c r="BD1163" t="n">
        <v>60</v>
      </c>
      <c r="BE1163" t="n">
        <v>14</v>
      </c>
      <c r="BF1163" t="n">
        <v>14</v>
      </c>
      <c r="BG1163" t="n">
        <v>1</v>
      </c>
      <c r="BH1163" t="n">
        <v>24</v>
      </c>
      <c r="BI1163" t="n">
        <v>5</v>
      </c>
      <c r="BJ1163" t="n">
        <v>8</v>
      </c>
      <c r="BK1163" t="n">
        <v>7</v>
      </c>
      <c r="BL1163" t="n">
        <v>137</v>
      </c>
      <c r="BM1163" t="n">
        <v>101</v>
      </c>
      <c r="BN1163" t="n">
        <v>0</v>
      </c>
      <c r="BO1163" t="n">
        <v>2</v>
      </c>
    </row>
    <row r="1164">
      <c r="A1164" t="n">
        <v>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  <c r="W1164" t="n">
        <v>0</v>
      </c>
      <c r="X1164" t="n">
        <v>0</v>
      </c>
      <c r="Y1164" t="n">
        <v>185</v>
      </c>
      <c r="Z1164" t="n">
        <v>249</v>
      </c>
      <c r="AA1164" t="n">
        <v>29</v>
      </c>
      <c r="AB1164" t="n">
        <v>0</v>
      </c>
      <c r="AC1164" t="n">
        <v>3</v>
      </c>
      <c r="AD1164" t="n">
        <v>3</v>
      </c>
      <c r="AE1164" t="n">
        <v>6</v>
      </c>
      <c r="AF1164" t="n">
        <v>7</v>
      </c>
      <c r="AG1164" t="n">
        <v>7</v>
      </c>
      <c r="AH1164" t="n">
        <v>15</v>
      </c>
      <c r="AI1164" t="n">
        <v>30</v>
      </c>
      <c r="AJ1164" t="n">
        <v>81</v>
      </c>
      <c r="AK1164" t="n">
        <v>72</v>
      </c>
      <c r="AL1164" t="n">
        <v>2</v>
      </c>
      <c r="AM1164" t="n">
        <v>43</v>
      </c>
      <c r="AN1164" t="n">
        <v>0</v>
      </c>
      <c r="AO1164" t="n">
        <v>0</v>
      </c>
      <c r="AP1164" t="n">
        <v>0</v>
      </c>
      <c r="AQ1164" t="n">
        <v>1</v>
      </c>
      <c r="AR1164" t="n">
        <v>43</v>
      </c>
      <c r="AS1164" t="n">
        <v>38</v>
      </c>
      <c r="AT1164" t="n">
        <v>2</v>
      </c>
      <c r="AU1164" t="n">
        <v>2</v>
      </c>
      <c r="AV1164" t="n">
        <v>5</v>
      </c>
      <c r="AW1164" t="n">
        <v>28</v>
      </c>
      <c r="AX1164" t="n">
        <v>7</v>
      </c>
      <c r="AY1164" t="n">
        <v>35</v>
      </c>
      <c r="AZ1164" t="n">
        <v>3</v>
      </c>
      <c r="BA1164" t="n">
        <v>22</v>
      </c>
      <c r="BB1164" t="n">
        <v>51</v>
      </c>
      <c r="BC1164" t="n">
        <v>35</v>
      </c>
      <c r="BD1164" t="n">
        <v>43</v>
      </c>
      <c r="BE1164" t="n">
        <v>28</v>
      </c>
      <c r="BF1164" t="n">
        <v>61</v>
      </c>
      <c r="BG1164" t="n">
        <v>4</v>
      </c>
      <c r="BH1164" t="n">
        <v>6</v>
      </c>
      <c r="BI1164" t="n">
        <v>22</v>
      </c>
      <c r="BJ1164" t="n">
        <v>22</v>
      </c>
      <c r="BK1164" t="n">
        <v>5</v>
      </c>
      <c r="BL1164" t="n">
        <v>50</v>
      </c>
      <c r="BM1164" t="n">
        <v>63</v>
      </c>
      <c r="BN1164" t="n">
        <v>22</v>
      </c>
      <c r="BO1164" t="n">
        <v>4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3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134</v>
      </c>
      <c r="Z1165" t="n">
        <v>223</v>
      </c>
      <c r="AA1165" t="n">
        <v>26</v>
      </c>
      <c r="AB1165" t="n">
        <v>1</v>
      </c>
      <c r="AC1165" t="n">
        <v>1</v>
      </c>
      <c r="AD1165" t="n">
        <v>0</v>
      </c>
      <c r="AE1165" t="n">
        <v>3</v>
      </c>
      <c r="AF1165" t="n">
        <v>2</v>
      </c>
      <c r="AG1165" t="n">
        <v>1</v>
      </c>
      <c r="AH1165" t="n">
        <v>24</v>
      </c>
      <c r="AI1165" t="n">
        <v>18</v>
      </c>
      <c r="AJ1165" t="n">
        <v>46</v>
      </c>
      <c r="AK1165" t="n">
        <v>9</v>
      </c>
      <c r="AL1165" t="n">
        <v>4</v>
      </c>
      <c r="AM1165" t="n">
        <v>58</v>
      </c>
      <c r="AN1165" t="n">
        <v>0</v>
      </c>
      <c r="AO1165" t="n">
        <v>1</v>
      </c>
      <c r="AP1165" t="n">
        <v>3</v>
      </c>
      <c r="AQ1165" t="n">
        <v>18</v>
      </c>
      <c r="AR1165" t="n">
        <v>112</v>
      </c>
      <c r="AS1165" t="n">
        <v>95</v>
      </c>
      <c r="AT1165" t="n">
        <v>1</v>
      </c>
      <c r="AU1165" t="n">
        <v>0</v>
      </c>
      <c r="AV1165" t="n">
        <v>1</v>
      </c>
      <c r="AW1165" t="n">
        <v>8</v>
      </c>
      <c r="AX1165" t="n">
        <v>7</v>
      </c>
      <c r="AY1165" t="n">
        <v>3</v>
      </c>
      <c r="AZ1165" t="n">
        <v>1</v>
      </c>
      <c r="BA1165" t="n">
        <v>20</v>
      </c>
      <c r="BB1165" t="n">
        <v>47</v>
      </c>
      <c r="BC1165" t="n">
        <v>54</v>
      </c>
      <c r="BD1165" t="n">
        <v>24</v>
      </c>
      <c r="BE1165" t="n">
        <v>29</v>
      </c>
      <c r="BF1165" t="n">
        <v>36</v>
      </c>
      <c r="BG1165" t="n">
        <v>0</v>
      </c>
      <c r="BH1165" t="n">
        <v>6</v>
      </c>
      <c r="BI1165" t="n">
        <v>1</v>
      </c>
      <c r="BJ1165" t="n">
        <v>24</v>
      </c>
      <c r="BK1165" t="n">
        <v>1</v>
      </c>
      <c r="BL1165" t="n">
        <v>31</v>
      </c>
      <c r="BM1165" t="n">
        <v>47</v>
      </c>
      <c r="BN1165" t="n">
        <v>18</v>
      </c>
      <c r="BO1165" t="n">
        <v>14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187</v>
      </c>
      <c r="Z1166" t="n">
        <v>73</v>
      </c>
      <c r="AA1166" t="n">
        <v>90</v>
      </c>
      <c r="AB1166" t="n">
        <v>0</v>
      </c>
      <c r="AC1166" t="n">
        <v>0</v>
      </c>
      <c r="AD1166" t="n">
        <v>2</v>
      </c>
      <c r="AE1166" t="n">
        <v>4</v>
      </c>
      <c r="AF1166" t="n">
        <v>5</v>
      </c>
      <c r="AG1166" t="n">
        <v>4</v>
      </c>
      <c r="AH1166" t="n">
        <v>10</v>
      </c>
      <c r="AI1166" t="n">
        <v>13</v>
      </c>
      <c r="AJ1166" t="n">
        <v>41</v>
      </c>
      <c r="AK1166" t="n">
        <v>42</v>
      </c>
      <c r="AL1166" t="n">
        <v>0</v>
      </c>
      <c r="AM1166" t="n">
        <v>17</v>
      </c>
      <c r="AN1166" t="n">
        <v>0</v>
      </c>
      <c r="AO1166" t="n">
        <v>0</v>
      </c>
      <c r="AP1166" t="n">
        <v>3</v>
      </c>
      <c r="AQ1166" t="n">
        <v>44</v>
      </c>
      <c r="AR1166" t="n">
        <v>185</v>
      </c>
      <c r="AS1166" t="n">
        <v>142</v>
      </c>
      <c r="AT1166" t="n">
        <v>1</v>
      </c>
      <c r="AU1166" t="n">
        <v>0</v>
      </c>
      <c r="AV1166" t="n">
        <v>1</v>
      </c>
      <c r="AW1166" t="n">
        <v>3</v>
      </c>
      <c r="AX1166" t="n">
        <v>4</v>
      </c>
      <c r="AY1166" t="n">
        <v>14</v>
      </c>
      <c r="AZ1166" t="n">
        <v>4</v>
      </c>
      <c r="BA1166" t="n">
        <v>22</v>
      </c>
      <c r="BB1166" t="n">
        <v>108</v>
      </c>
      <c r="BC1166" t="n">
        <v>14</v>
      </c>
      <c r="BD1166" t="n">
        <v>11</v>
      </c>
      <c r="BE1166" t="n">
        <v>2</v>
      </c>
      <c r="BF1166" t="n">
        <v>32</v>
      </c>
      <c r="BG1166" t="n">
        <v>1</v>
      </c>
      <c r="BH1166" t="n">
        <v>12</v>
      </c>
      <c r="BI1166" t="n">
        <v>26</v>
      </c>
      <c r="BJ1166" t="n">
        <v>24</v>
      </c>
      <c r="BK1166" t="n">
        <v>0</v>
      </c>
      <c r="BL1166" t="n">
        <v>1</v>
      </c>
      <c r="BM1166" t="n">
        <v>-1</v>
      </c>
      <c r="BN1166" t="n">
        <v>-1</v>
      </c>
      <c r="BO1166" t="n">
        <v>37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3</v>
      </c>
      <c r="U1167" t="n">
        <v>0</v>
      </c>
      <c r="V1167" t="n">
        <v>2</v>
      </c>
      <c r="W1167" t="n">
        <v>0</v>
      </c>
      <c r="X1167" t="n">
        <v>0</v>
      </c>
      <c r="Y1167" t="n">
        <v>149</v>
      </c>
      <c r="Z1167" t="n">
        <v>121</v>
      </c>
      <c r="AA1167" t="n">
        <v>85</v>
      </c>
      <c r="AB1167" t="n">
        <v>3</v>
      </c>
      <c r="AC1167" t="n">
        <v>0</v>
      </c>
      <c r="AD1167" t="n">
        <v>7</v>
      </c>
      <c r="AE1167" t="n">
        <v>6</v>
      </c>
      <c r="AF1167" t="n">
        <v>1</v>
      </c>
      <c r="AG1167" t="n">
        <v>0</v>
      </c>
      <c r="AH1167" t="n">
        <v>81</v>
      </c>
      <c r="AI1167" t="n">
        <v>27</v>
      </c>
      <c r="AJ1167" t="n">
        <v>25</v>
      </c>
      <c r="AK1167" t="n">
        <v>7</v>
      </c>
      <c r="AL1167" t="n">
        <v>3</v>
      </c>
      <c r="AM1167" t="n">
        <v>58</v>
      </c>
      <c r="AN1167" t="n">
        <v>0</v>
      </c>
      <c r="AO1167" t="n">
        <v>0</v>
      </c>
      <c r="AP1167" t="n">
        <v>3</v>
      </c>
      <c r="AQ1167" t="n">
        <v>19</v>
      </c>
      <c r="AR1167" t="n">
        <v>74</v>
      </c>
      <c r="AS1167" t="n">
        <v>57</v>
      </c>
      <c r="AT1167" t="n">
        <v>0</v>
      </c>
      <c r="AU1167" t="n">
        <v>1</v>
      </c>
      <c r="AV1167" t="n">
        <v>1</v>
      </c>
      <c r="AW1167" t="n">
        <v>4</v>
      </c>
      <c r="AX1167" t="n">
        <v>0</v>
      </c>
      <c r="AY1167" t="n">
        <v>11</v>
      </c>
      <c r="AZ1167" t="n">
        <v>2</v>
      </c>
      <c r="BA1167" t="n">
        <v>1</v>
      </c>
      <c r="BB1167" t="n">
        <v>82</v>
      </c>
      <c r="BC1167" t="n">
        <v>48</v>
      </c>
      <c r="BD1167" t="n">
        <v>75</v>
      </c>
      <c r="BE1167" t="n">
        <v>4</v>
      </c>
      <c r="BF1167" t="n">
        <v>41</v>
      </c>
      <c r="BG1167" t="n">
        <v>1</v>
      </c>
      <c r="BH1167" t="n">
        <v>8</v>
      </c>
      <c r="BI1167" t="n">
        <v>-1</v>
      </c>
      <c r="BJ1167" t="n">
        <v>0</v>
      </c>
      <c r="BK1167" t="n">
        <v>5</v>
      </c>
      <c r="BL1167" t="n">
        <v>9</v>
      </c>
      <c r="BM1167" t="n">
        <v>36</v>
      </c>
      <c r="BN1167" t="n">
        <v>19</v>
      </c>
      <c r="BO1167" t="n">
        <v>7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2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189</v>
      </c>
      <c r="Z1168" t="n">
        <v>61</v>
      </c>
      <c r="AA1168" t="n">
        <v>34</v>
      </c>
      <c r="AB1168" t="n">
        <v>4</v>
      </c>
      <c r="AC1168" t="n">
        <v>1</v>
      </c>
      <c r="AD1168" t="n">
        <v>6</v>
      </c>
      <c r="AE1168" t="n">
        <v>0</v>
      </c>
      <c r="AF1168" t="n">
        <v>5</v>
      </c>
      <c r="AG1168" t="n">
        <v>1</v>
      </c>
      <c r="AH1168" t="n">
        <v>40</v>
      </c>
      <c r="AI1168" t="n">
        <v>9</v>
      </c>
      <c r="AJ1168" t="n">
        <v>44</v>
      </c>
      <c r="AK1168" t="n">
        <v>57</v>
      </c>
      <c r="AL1168" t="n">
        <v>1</v>
      </c>
      <c r="AM1168" t="n">
        <v>14</v>
      </c>
      <c r="AN1168" t="n">
        <v>0</v>
      </c>
      <c r="AO1168" t="n">
        <v>2</v>
      </c>
      <c r="AP1168" t="n">
        <v>4</v>
      </c>
      <c r="AQ1168" t="n">
        <v>42</v>
      </c>
      <c r="AR1168" t="n">
        <v>167</v>
      </c>
      <c r="AS1168" t="n">
        <v>127</v>
      </c>
      <c r="AT1168" t="n">
        <v>2</v>
      </c>
      <c r="AU1168" t="n">
        <v>0</v>
      </c>
      <c r="AV1168" t="n">
        <v>32</v>
      </c>
      <c r="AW1168" t="n">
        <v>1</v>
      </c>
      <c r="AX1168" t="n">
        <v>9</v>
      </c>
      <c r="AY1168" t="n">
        <v>9</v>
      </c>
      <c r="AZ1168" t="n">
        <v>3</v>
      </c>
      <c r="BA1168" t="n">
        <v>16</v>
      </c>
      <c r="BB1168" t="n">
        <v>49</v>
      </c>
      <c r="BC1168" t="n">
        <v>27</v>
      </c>
      <c r="BD1168" t="n">
        <v>60</v>
      </c>
      <c r="BE1168" t="n">
        <v>3</v>
      </c>
      <c r="BF1168" t="n">
        <v>45</v>
      </c>
      <c r="BG1168" t="n">
        <v>3</v>
      </c>
      <c r="BH1168" t="n">
        <v>0</v>
      </c>
      <c r="BI1168" t="n">
        <v>23</v>
      </c>
      <c r="BJ1168" t="n">
        <v>36</v>
      </c>
      <c r="BK1168" t="n">
        <v>0</v>
      </c>
      <c r="BL1168" t="n">
        <v>1</v>
      </c>
      <c r="BM1168" t="n">
        <v>3</v>
      </c>
      <c r="BN1168" t="n">
        <v>1</v>
      </c>
      <c r="BO1168" t="n">
        <v>40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2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265</v>
      </c>
      <c r="Z1169" t="n">
        <v>152</v>
      </c>
      <c r="AA1169" t="n">
        <v>90</v>
      </c>
      <c r="AB1169" t="n">
        <v>0</v>
      </c>
      <c r="AC1169" t="n">
        <v>1</v>
      </c>
      <c r="AD1169" t="n">
        <v>8</v>
      </c>
      <c r="AE1169" t="n">
        <v>0</v>
      </c>
      <c r="AF1169" t="n">
        <v>1</v>
      </c>
      <c r="AG1169" t="n">
        <v>8</v>
      </c>
      <c r="AH1169" t="n">
        <v>124</v>
      </c>
      <c r="AI1169" t="n">
        <v>8</v>
      </c>
      <c r="AJ1169" t="n">
        <v>2</v>
      </c>
      <c r="AK1169" t="n">
        <v>75</v>
      </c>
      <c r="AL1169" t="n">
        <v>2</v>
      </c>
      <c r="AM1169" t="n">
        <v>31</v>
      </c>
      <c r="AN1169" t="n">
        <v>0</v>
      </c>
      <c r="AO1169" t="n">
        <v>0</v>
      </c>
      <c r="AP1169" t="n">
        <v>3</v>
      </c>
      <c r="AQ1169" t="n">
        <v>21</v>
      </c>
      <c r="AR1169" t="n">
        <v>186</v>
      </c>
      <c r="AS1169" t="n">
        <v>164</v>
      </c>
      <c r="AT1169" t="n">
        <v>2</v>
      </c>
      <c r="AU1169" t="n">
        <v>1</v>
      </c>
      <c r="AV1169" t="n">
        <v>18</v>
      </c>
      <c r="AW1169" t="n">
        <v>11</v>
      </c>
      <c r="AX1169" t="n">
        <v>9</v>
      </c>
      <c r="AY1169" t="n">
        <v>33</v>
      </c>
      <c r="AZ1169" t="n">
        <v>0</v>
      </c>
      <c r="BA1169" t="n">
        <v>1</v>
      </c>
      <c r="BB1169" t="n">
        <v>89</v>
      </c>
      <c r="BC1169" t="n">
        <v>27</v>
      </c>
      <c r="BD1169" t="n">
        <v>111</v>
      </c>
      <c r="BE1169" t="n">
        <v>11</v>
      </c>
      <c r="BF1169" t="n">
        <v>15</v>
      </c>
      <c r="BG1169" t="n">
        <v>3</v>
      </c>
      <c r="BH1169" t="n">
        <v>9</v>
      </c>
      <c r="BI1169" t="n">
        <v>12</v>
      </c>
      <c r="BJ1169" t="n">
        <v>10</v>
      </c>
      <c r="BK1169" t="n">
        <v>6</v>
      </c>
      <c r="BL1169" t="n">
        <v>47</v>
      </c>
      <c r="BM1169" t="n">
        <v>32</v>
      </c>
      <c r="BN1169" t="n">
        <v>0</v>
      </c>
      <c r="BO1169" t="n">
        <v>28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2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231</v>
      </c>
      <c r="Z1170" t="n">
        <v>243</v>
      </c>
      <c r="AA1170" t="n">
        <v>18</v>
      </c>
      <c r="AB1170" t="n">
        <v>3</v>
      </c>
      <c r="AC1170" t="n">
        <v>0</v>
      </c>
      <c r="AD1170" t="n">
        <v>8</v>
      </c>
      <c r="AE1170" t="n">
        <v>8</v>
      </c>
      <c r="AF1170" t="n">
        <v>5</v>
      </c>
      <c r="AG1170" t="n">
        <v>5</v>
      </c>
      <c r="AH1170" t="n">
        <v>61</v>
      </c>
      <c r="AI1170" t="n">
        <v>63</v>
      </c>
      <c r="AJ1170" t="n">
        <v>73</v>
      </c>
      <c r="AK1170" t="n">
        <v>22</v>
      </c>
      <c r="AL1170" t="n">
        <v>5</v>
      </c>
      <c r="AM1170" t="n">
        <v>62</v>
      </c>
      <c r="AN1170" t="n">
        <v>0</v>
      </c>
      <c r="AO1170" t="n">
        <v>0</v>
      </c>
      <c r="AP1170" t="n">
        <v>5</v>
      </c>
      <c r="AQ1170" t="n">
        <v>30</v>
      </c>
      <c r="AR1170" t="n">
        <v>142</v>
      </c>
      <c r="AS1170" t="n">
        <v>115</v>
      </c>
      <c r="AT1170" t="n">
        <v>1</v>
      </c>
      <c r="AU1170" t="n">
        <v>2</v>
      </c>
      <c r="AV1170" t="n">
        <v>13</v>
      </c>
      <c r="AW1170" t="n">
        <v>24</v>
      </c>
      <c r="AX1170" t="n">
        <v>2</v>
      </c>
      <c r="AY1170" t="n">
        <v>0</v>
      </c>
      <c r="AZ1170" t="n">
        <v>5</v>
      </c>
      <c r="BA1170" t="n">
        <v>50</v>
      </c>
      <c r="BB1170" t="n">
        <v>77</v>
      </c>
      <c r="BC1170" t="n">
        <v>52</v>
      </c>
      <c r="BD1170" t="n">
        <v>71</v>
      </c>
      <c r="BE1170" t="n">
        <v>24</v>
      </c>
      <c r="BF1170" t="n">
        <v>61</v>
      </c>
      <c r="BG1170" t="n">
        <v>0</v>
      </c>
      <c r="BH1170" t="n">
        <v>15</v>
      </c>
      <c r="BI1170" t="n">
        <v>12</v>
      </c>
      <c r="BJ1170" t="n">
        <v>10</v>
      </c>
      <c r="BK1170" t="n">
        <v>6</v>
      </c>
      <c r="BL1170" t="n">
        <v>58</v>
      </c>
      <c r="BM1170" t="n">
        <v>39</v>
      </c>
      <c r="BN1170" t="n">
        <v>1</v>
      </c>
      <c r="BO1170" t="n">
        <v>7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2</v>
      </c>
      <c r="K1171" t="n">
        <v>0</v>
      </c>
      <c r="L1171" t="n">
        <v>0</v>
      </c>
      <c r="M1171" t="n">
        <v>2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184</v>
      </c>
      <c r="Z1171" t="n">
        <v>129</v>
      </c>
      <c r="AA1171" t="n">
        <v>42</v>
      </c>
      <c r="AB1171" t="n">
        <v>1</v>
      </c>
      <c r="AC1171" t="n">
        <v>3</v>
      </c>
      <c r="AD1171" t="n">
        <v>4</v>
      </c>
      <c r="AE1171" t="n">
        <v>10</v>
      </c>
      <c r="AF1171" t="n">
        <v>4</v>
      </c>
      <c r="AG1171" t="n">
        <v>3</v>
      </c>
      <c r="AH1171" t="n">
        <v>41</v>
      </c>
      <c r="AI1171" t="n">
        <v>81</v>
      </c>
      <c r="AJ1171" t="n">
        <v>20</v>
      </c>
      <c r="AK1171" t="n">
        <v>24</v>
      </c>
      <c r="AL1171" t="n">
        <v>1</v>
      </c>
      <c r="AM1171" t="n">
        <v>7</v>
      </c>
      <c r="AN1171" t="n">
        <v>0</v>
      </c>
      <c r="AO1171" t="n">
        <v>0</v>
      </c>
      <c r="AP1171" t="n">
        <v>11</v>
      </c>
      <c r="AQ1171" t="n">
        <v>82</v>
      </c>
      <c r="AR1171" t="n">
        <v>134</v>
      </c>
      <c r="AS1171" t="n">
        <v>65</v>
      </c>
      <c r="AT1171" t="n">
        <v>1</v>
      </c>
      <c r="AU1171" t="n">
        <v>2</v>
      </c>
      <c r="AV1171" t="n">
        <v>34</v>
      </c>
      <c r="AW1171" t="n">
        <v>22</v>
      </c>
      <c r="AX1171" t="n">
        <v>5</v>
      </c>
      <c r="AY1171" t="n">
        <v>20</v>
      </c>
      <c r="AZ1171" t="n">
        <v>1</v>
      </c>
      <c r="BA1171" t="n">
        <v>1</v>
      </c>
      <c r="BB1171" t="n">
        <v>41</v>
      </c>
      <c r="BC1171" t="n">
        <v>9</v>
      </c>
      <c r="BD1171" t="n">
        <v>42</v>
      </c>
      <c r="BE1171" t="n">
        <v>22</v>
      </c>
      <c r="BF1171" t="n">
        <v>17</v>
      </c>
      <c r="BG1171" t="n">
        <v>2</v>
      </c>
      <c r="BH1171" t="n">
        <v>11</v>
      </c>
      <c r="BI1171" t="n">
        <v>12</v>
      </c>
      <c r="BJ1171" t="n">
        <v>10</v>
      </c>
      <c r="BK1171" t="n">
        <v>1</v>
      </c>
      <c r="BL1171" t="n">
        <v>5</v>
      </c>
      <c r="BM1171" t="n">
        <v>14</v>
      </c>
      <c r="BN1171" t="n">
        <v>8</v>
      </c>
      <c r="BO1171" t="n">
        <v>14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2</v>
      </c>
      <c r="G1172" t="n">
        <v>0</v>
      </c>
      <c r="H1172" t="n">
        <v>0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285</v>
      </c>
      <c r="Z1172" t="n">
        <v>288</v>
      </c>
      <c r="AA1172" t="n">
        <v>47</v>
      </c>
      <c r="AB1172" t="n">
        <v>2</v>
      </c>
      <c r="AC1172" t="n">
        <v>0</v>
      </c>
      <c r="AD1172" t="n">
        <v>5</v>
      </c>
      <c r="AE1172" t="n">
        <v>2</v>
      </c>
      <c r="AF1172" t="n">
        <v>6</v>
      </c>
      <c r="AG1172" t="n">
        <v>7</v>
      </c>
      <c r="AH1172" t="n">
        <v>40</v>
      </c>
      <c r="AI1172" t="n">
        <v>12</v>
      </c>
      <c r="AJ1172" t="n">
        <v>56</v>
      </c>
      <c r="AK1172" t="n">
        <v>65</v>
      </c>
      <c r="AL1172" t="n">
        <v>2</v>
      </c>
      <c r="AM1172" t="n">
        <v>40</v>
      </c>
      <c r="AN1172" t="n">
        <v>0</v>
      </c>
      <c r="AO1172" t="n">
        <v>0</v>
      </c>
      <c r="AP1172" t="n">
        <v>1</v>
      </c>
      <c r="AQ1172" t="n">
        <v>10</v>
      </c>
      <c r="AR1172" t="n">
        <v>186</v>
      </c>
      <c r="AS1172" t="n">
        <v>171</v>
      </c>
      <c r="AT1172" t="n">
        <v>1</v>
      </c>
      <c r="AU1172" t="n">
        <v>3</v>
      </c>
      <c r="AV1172" t="n">
        <v>24</v>
      </c>
      <c r="AW1172" t="n">
        <v>57</v>
      </c>
      <c r="AX1172" t="n">
        <v>6</v>
      </c>
      <c r="AY1172" t="n">
        <v>35</v>
      </c>
      <c r="AZ1172" t="n">
        <v>7</v>
      </c>
      <c r="BA1172" t="n">
        <v>72</v>
      </c>
      <c r="BB1172" t="n">
        <v>126</v>
      </c>
      <c r="BC1172" t="n">
        <v>33</v>
      </c>
      <c r="BD1172" t="n">
        <v>36</v>
      </c>
      <c r="BE1172" t="n">
        <v>58</v>
      </c>
      <c r="BF1172" t="n">
        <v>44</v>
      </c>
      <c r="BG1172" t="n">
        <v>5</v>
      </c>
      <c r="BH1172" t="n">
        <v>7</v>
      </c>
      <c r="BI1172" t="n">
        <v>77</v>
      </c>
      <c r="BJ1172" t="n">
        <v>91</v>
      </c>
      <c r="BK1172" t="n">
        <v>0</v>
      </c>
      <c r="BL1172" t="n">
        <v>1</v>
      </c>
      <c r="BM1172" t="n">
        <v>1</v>
      </c>
      <c r="BN1172" t="n">
        <v>0</v>
      </c>
      <c r="BO1172" t="n">
        <v>2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201</v>
      </c>
      <c r="Z1173" t="n">
        <v>244</v>
      </c>
      <c r="AA1173" t="n">
        <v>50</v>
      </c>
      <c r="AB1173" t="n">
        <v>4</v>
      </c>
      <c r="AC1173" t="n">
        <v>0</v>
      </c>
      <c r="AD1173" t="n">
        <v>1</v>
      </c>
      <c r="AE1173" t="n">
        <v>7</v>
      </c>
      <c r="AF1173" t="n">
        <v>5</v>
      </c>
      <c r="AG1173" t="n">
        <v>10</v>
      </c>
      <c r="AH1173" t="n">
        <v>14</v>
      </c>
      <c r="AI1173" t="n">
        <v>25</v>
      </c>
      <c r="AJ1173" t="n">
        <v>16</v>
      </c>
      <c r="AK1173" t="n">
        <v>135</v>
      </c>
      <c r="AL1173" t="n">
        <v>5</v>
      </c>
      <c r="AM1173" t="n">
        <v>20</v>
      </c>
      <c r="AN1173" t="n">
        <v>0</v>
      </c>
      <c r="AO1173" t="n">
        <v>0</v>
      </c>
      <c r="AP1173" t="n">
        <v>2</v>
      </c>
      <c r="AQ1173" t="n">
        <v>1</v>
      </c>
      <c r="AR1173" t="n">
        <v>65</v>
      </c>
      <c r="AS1173" t="n">
        <v>58</v>
      </c>
      <c r="AT1173" t="n">
        <v>3</v>
      </c>
      <c r="AU1173" t="n">
        <v>1</v>
      </c>
      <c r="AV1173" t="n">
        <v>42</v>
      </c>
      <c r="AW1173" t="n">
        <v>6</v>
      </c>
      <c r="AX1173" t="n">
        <v>7</v>
      </c>
      <c r="AY1173" t="n">
        <v>12</v>
      </c>
      <c r="AZ1173" t="n">
        <v>6</v>
      </c>
      <c r="BA1173" t="n">
        <v>55</v>
      </c>
      <c r="BB1173" t="n">
        <v>110</v>
      </c>
      <c r="BC1173" t="n">
        <v>15</v>
      </c>
      <c r="BD1173" t="n">
        <v>22</v>
      </c>
      <c r="BE1173" t="n">
        <v>6</v>
      </c>
      <c r="BF1173" t="n">
        <v>18</v>
      </c>
      <c r="BG1173" t="n">
        <v>3</v>
      </c>
      <c r="BH1173" t="n">
        <v>1</v>
      </c>
      <c r="BI1173" t="n">
        <v>33</v>
      </c>
      <c r="BJ1173" t="n">
        <v>33</v>
      </c>
      <c r="BK1173" t="n">
        <v>3</v>
      </c>
      <c r="BL1173" t="n">
        <v>26</v>
      </c>
      <c r="BM1173" t="n">
        <v>31</v>
      </c>
      <c r="BN1173" t="n">
        <v>10</v>
      </c>
      <c r="BO1173" t="n">
        <v>37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179</v>
      </c>
      <c r="Z1174" t="n">
        <v>79</v>
      </c>
      <c r="AA1174" t="n">
        <v>43</v>
      </c>
      <c r="AB1174" t="n">
        <v>0</v>
      </c>
      <c r="AC1174" t="n">
        <v>2</v>
      </c>
      <c r="AD1174" t="n">
        <v>1</v>
      </c>
      <c r="AE1174" t="n">
        <v>1</v>
      </c>
      <c r="AF1174" t="n">
        <v>2</v>
      </c>
      <c r="AG1174" t="n">
        <v>4</v>
      </c>
      <c r="AH1174" t="n">
        <v>42</v>
      </c>
      <c r="AI1174" t="n">
        <v>22</v>
      </c>
      <c r="AJ1174" t="n">
        <v>9</v>
      </c>
      <c r="AK1174" t="n">
        <v>27</v>
      </c>
      <c r="AL1174" t="n">
        <v>1</v>
      </c>
      <c r="AM1174" t="n">
        <v>2</v>
      </c>
      <c r="AN1174" t="n">
        <v>0</v>
      </c>
      <c r="AO1174" t="n">
        <v>0</v>
      </c>
      <c r="AP1174" t="n">
        <v>3</v>
      </c>
      <c r="AQ1174" t="n">
        <v>27</v>
      </c>
      <c r="AR1174" t="n">
        <v>111</v>
      </c>
      <c r="AS1174" t="n">
        <v>85</v>
      </c>
      <c r="AT1174" t="n">
        <v>3</v>
      </c>
      <c r="AU1174" t="n">
        <v>1</v>
      </c>
      <c r="AV1174" t="n">
        <v>34</v>
      </c>
      <c r="AW1174" t="n">
        <v>20</v>
      </c>
      <c r="AX1174" t="n">
        <v>2</v>
      </c>
      <c r="AY1174" t="n">
        <v>32</v>
      </c>
      <c r="AZ1174" t="n">
        <v>0</v>
      </c>
      <c r="BA1174" t="n">
        <v>1</v>
      </c>
      <c r="BB1174" t="n">
        <v>42</v>
      </c>
      <c r="BC1174" t="n">
        <v>4</v>
      </c>
      <c r="BD1174" t="n">
        <v>38</v>
      </c>
      <c r="BE1174" t="n">
        <v>19</v>
      </c>
      <c r="BF1174" t="n">
        <v>19</v>
      </c>
      <c r="BG1174" t="n">
        <v>1</v>
      </c>
      <c r="BH1174" t="n">
        <v>17</v>
      </c>
      <c r="BI1174" t="n">
        <v>6</v>
      </c>
      <c r="BJ1174" t="n">
        <v>14</v>
      </c>
      <c r="BK1174" t="n">
        <v>1</v>
      </c>
      <c r="BL1174" t="n">
        <v>8</v>
      </c>
      <c r="BM1174" t="n">
        <v>40</v>
      </c>
      <c r="BN1174" t="n">
        <v>23</v>
      </c>
      <c r="BO1174" t="n">
        <v>28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2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341</v>
      </c>
      <c r="Z1175" t="n">
        <v>155</v>
      </c>
      <c r="AA1175" t="n">
        <v>50</v>
      </c>
      <c r="AB1175" t="n">
        <v>0</v>
      </c>
      <c r="AC1175" t="n">
        <v>0</v>
      </c>
      <c r="AD1175" t="n">
        <v>2</v>
      </c>
      <c r="AE1175" t="n">
        <v>0</v>
      </c>
      <c r="AF1175" t="n">
        <v>8</v>
      </c>
      <c r="AG1175" t="n">
        <v>5</v>
      </c>
      <c r="AH1175" t="n">
        <v>9</v>
      </c>
      <c r="AI1175" t="n">
        <v>12</v>
      </c>
      <c r="AJ1175" t="n">
        <v>149</v>
      </c>
      <c r="AK1175" t="n">
        <v>60</v>
      </c>
      <c r="AL1175" t="n">
        <v>0</v>
      </c>
      <c r="AM1175" t="n">
        <v>20</v>
      </c>
      <c r="AN1175" t="n">
        <v>0</v>
      </c>
      <c r="AO1175" t="n">
        <v>0</v>
      </c>
      <c r="AP1175" t="n">
        <v>0</v>
      </c>
      <c r="AQ1175" t="n">
        <v>4</v>
      </c>
      <c r="AR1175" t="n">
        <v>63</v>
      </c>
      <c r="AS1175" t="n">
        <v>57</v>
      </c>
      <c r="AT1175" t="n">
        <v>3</v>
      </c>
      <c r="AU1175" t="n">
        <v>2</v>
      </c>
      <c r="AV1175" t="n">
        <v>10</v>
      </c>
      <c r="AW1175" t="n">
        <v>17</v>
      </c>
      <c r="AX1175" t="n">
        <v>0</v>
      </c>
      <c r="AY1175" t="n">
        <v>31</v>
      </c>
      <c r="AZ1175" t="n">
        <v>4</v>
      </c>
      <c r="BA1175" t="n">
        <v>52</v>
      </c>
      <c r="BB1175" t="n">
        <v>107</v>
      </c>
      <c r="BC1175" t="n">
        <v>16</v>
      </c>
      <c r="BD1175" t="n">
        <v>5</v>
      </c>
      <c r="BE1175" t="n">
        <v>17</v>
      </c>
      <c r="BF1175" t="n">
        <v>125</v>
      </c>
      <c r="BG1175" t="n">
        <v>2</v>
      </c>
      <c r="BH1175" t="n">
        <v>0</v>
      </c>
      <c r="BI1175" t="n">
        <v>30</v>
      </c>
      <c r="BJ1175" t="n">
        <v>27</v>
      </c>
      <c r="BK1175" t="n">
        <v>3</v>
      </c>
      <c r="BL1175" t="n">
        <v>10</v>
      </c>
      <c r="BM1175" t="n">
        <v>26</v>
      </c>
      <c r="BN1175" t="n">
        <v>12</v>
      </c>
      <c r="BO1175" t="n">
        <v>2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2</v>
      </c>
      <c r="U1176" t="n">
        <v>0</v>
      </c>
      <c r="V1176" t="n">
        <v>0</v>
      </c>
      <c r="W1176" t="n">
        <v>1</v>
      </c>
      <c r="X1176" t="n">
        <v>0</v>
      </c>
      <c r="Y1176" t="n">
        <v>153</v>
      </c>
      <c r="Z1176" t="n">
        <v>215</v>
      </c>
      <c r="AA1176" t="n">
        <v>110</v>
      </c>
      <c r="AB1176" t="n">
        <v>2</v>
      </c>
      <c r="AC1176" t="n">
        <v>3</v>
      </c>
      <c r="AD1176" t="n">
        <v>4</v>
      </c>
      <c r="AE1176" t="n">
        <v>9</v>
      </c>
      <c r="AF1176" t="n">
        <v>3</v>
      </c>
      <c r="AG1176" t="n">
        <v>2</v>
      </c>
      <c r="AH1176" t="n">
        <v>38</v>
      </c>
      <c r="AI1176" t="n">
        <v>79</v>
      </c>
      <c r="AJ1176" t="n">
        <v>14</v>
      </c>
      <c r="AK1176" t="n">
        <v>18</v>
      </c>
      <c r="AL1176" t="n">
        <v>2</v>
      </c>
      <c r="AM1176" t="n">
        <v>31</v>
      </c>
      <c r="AN1176" t="n">
        <v>0</v>
      </c>
      <c r="AO1176" t="n">
        <v>0</v>
      </c>
      <c r="AP1176" t="n">
        <v>5</v>
      </c>
      <c r="AQ1176" t="n">
        <v>9</v>
      </c>
      <c r="AR1176" t="n">
        <v>163</v>
      </c>
      <c r="AS1176" t="n">
        <v>150</v>
      </c>
      <c r="AT1176" t="n">
        <v>3</v>
      </c>
      <c r="AU1176" t="n">
        <v>2</v>
      </c>
      <c r="AV1176" t="n">
        <v>8</v>
      </c>
      <c r="AW1176" t="n">
        <v>9</v>
      </c>
      <c r="AX1176" t="n">
        <v>3</v>
      </c>
      <c r="AY1176" t="n">
        <v>84</v>
      </c>
      <c r="AZ1176" t="n">
        <v>3</v>
      </c>
      <c r="BA1176" t="n">
        <v>62</v>
      </c>
      <c r="BB1176" t="n">
        <v>173</v>
      </c>
      <c r="BC1176" t="n">
        <v>26</v>
      </c>
      <c r="BD1176" t="n">
        <v>40</v>
      </c>
      <c r="BE1176" t="n">
        <v>8</v>
      </c>
      <c r="BF1176" t="n">
        <v>25</v>
      </c>
      <c r="BG1176" t="n">
        <v>4</v>
      </c>
      <c r="BH1176" t="n">
        <v>9</v>
      </c>
      <c r="BI1176" t="n">
        <v>24</v>
      </c>
      <c r="BJ1176" t="n">
        <v>22</v>
      </c>
      <c r="BK1176" t="n">
        <v>3</v>
      </c>
      <c r="BL1176" t="n">
        <v>54</v>
      </c>
      <c r="BM1176" t="n">
        <v>37</v>
      </c>
      <c r="BN1176" t="n">
        <v>1</v>
      </c>
      <c r="BO1176" t="n">
        <v>11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342</v>
      </c>
      <c r="Z1177" t="n">
        <v>203</v>
      </c>
      <c r="AA1177" t="n">
        <v>54</v>
      </c>
      <c r="AB1177" t="n">
        <v>2</v>
      </c>
      <c r="AC1177" t="n">
        <v>2</v>
      </c>
      <c r="AD1177" t="n">
        <v>6</v>
      </c>
      <c r="AE1177" t="n">
        <v>5</v>
      </c>
      <c r="AF1177" t="n">
        <v>2</v>
      </c>
      <c r="AG1177" t="n">
        <v>5</v>
      </c>
      <c r="AH1177" t="n">
        <v>74</v>
      </c>
      <c r="AI1177" t="n">
        <v>59</v>
      </c>
      <c r="AJ1177" t="n">
        <v>36</v>
      </c>
      <c r="AK1177" t="n">
        <v>30</v>
      </c>
      <c r="AL1177" t="n">
        <v>2</v>
      </c>
      <c r="AM1177" t="n">
        <v>25</v>
      </c>
      <c r="AN1177" t="n">
        <v>0</v>
      </c>
      <c r="AO1177" t="n">
        <v>0</v>
      </c>
      <c r="AP1177" t="n">
        <v>10</v>
      </c>
      <c r="AQ1177" t="n">
        <v>230</v>
      </c>
      <c r="AR1177" t="n">
        <v>235</v>
      </c>
      <c r="AS1177" t="n">
        <v>67</v>
      </c>
      <c r="AT1177" t="n">
        <v>2</v>
      </c>
      <c r="AU1177" t="n">
        <v>1</v>
      </c>
      <c r="AV1177" t="n">
        <v>23</v>
      </c>
      <c r="AW1177" t="n">
        <v>6</v>
      </c>
      <c r="AX1177" t="n">
        <v>9</v>
      </c>
      <c r="AY1177" t="n">
        <v>68</v>
      </c>
      <c r="AZ1177" t="n">
        <v>2</v>
      </c>
      <c r="BA1177" t="n">
        <v>16</v>
      </c>
      <c r="BB1177" t="n">
        <v>67</v>
      </c>
      <c r="BC1177" t="n">
        <v>20</v>
      </c>
      <c r="BD1177" t="n">
        <v>66</v>
      </c>
      <c r="BE1177" t="n">
        <v>6</v>
      </c>
      <c r="BF1177" t="n">
        <v>27</v>
      </c>
      <c r="BG1177" t="n">
        <v>2</v>
      </c>
      <c r="BH1177" t="n">
        <v>3</v>
      </c>
      <c r="BI1177" t="n">
        <v>54</v>
      </c>
      <c r="BJ1177" t="n">
        <v>49</v>
      </c>
      <c r="BK1177" t="n">
        <v>6</v>
      </c>
      <c r="BL1177" t="n">
        <v>16</v>
      </c>
      <c r="BM1177" t="n">
        <v>18</v>
      </c>
      <c r="BN1177" t="n">
        <v>5</v>
      </c>
      <c r="BO1177" t="n">
        <v>2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157</v>
      </c>
      <c r="Z1178" t="n">
        <v>180</v>
      </c>
      <c r="AA1178" t="n">
        <v>24</v>
      </c>
      <c r="AB1178" t="n">
        <v>0</v>
      </c>
      <c r="AC1178" t="n">
        <v>0</v>
      </c>
      <c r="AD1178" t="n">
        <v>4</v>
      </c>
      <c r="AE1178" t="n">
        <v>7</v>
      </c>
      <c r="AF1178" t="n">
        <v>0</v>
      </c>
      <c r="AG1178" t="n">
        <v>4</v>
      </c>
      <c r="AH1178" t="n">
        <v>52</v>
      </c>
      <c r="AI1178" t="n">
        <v>47</v>
      </c>
      <c r="AJ1178" t="n">
        <v>13</v>
      </c>
      <c r="AK1178" t="n">
        <v>25</v>
      </c>
      <c r="AL1178" t="n">
        <v>5</v>
      </c>
      <c r="AM1178" t="n">
        <v>28</v>
      </c>
      <c r="AN1178" t="n">
        <v>0</v>
      </c>
      <c r="AO1178" t="n">
        <v>0</v>
      </c>
      <c r="AP1178" t="n">
        <v>0</v>
      </c>
      <c r="AQ1178" t="n">
        <v>1</v>
      </c>
      <c r="AR1178" t="n">
        <v>10</v>
      </c>
      <c r="AS1178" t="n">
        <v>4</v>
      </c>
      <c r="AT1178" t="n">
        <v>1</v>
      </c>
      <c r="AU1178" t="n">
        <v>0</v>
      </c>
      <c r="AV1178" t="n">
        <v>25</v>
      </c>
      <c r="AW1178" t="n">
        <v>9</v>
      </c>
      <c r="AX1178" t="n">
        <v>7</v>
      </c>
      <c r="AY1178" t="n">
        <v>22</v>
      </c>
      <c r="AZ1178" t="n">
        <v>3</v>
      </c>
      <c r="BA1178" t="n">
        <v>24</v>
      </c>
      <c r="BB1178" t="n">
        <v>50</v>
      </c>
      <c r="BC1178" t="n">
        <v>21</v>
      </c>
      <c r="BD1178" t="n">
        <v>45</v>
      </c>
      <c r="BE1178" t="n">
        <v>13</v>
      </c>
      <c r="BF1178" t="n">
        <v>10</v>
      </c>
      <c r="BG1178" t="n">
        <v>2</v>
      </c>
      <c r="BH1178" t="n">
        <v>4</v>
      </c>
      <c r="BI1178" t="n">
        <v>9</v>
      </c>
      <c r="BJ1178" t="n">
        <v>8</v>
      </c>
      <c r="BK1178" t="n">
        <v>1</v>
      </c>
      <c r="BL1178" t="n">
        <v>35</v>
      </c>
      <c r="BM1178" t="n">
        <v>28</v>
      </c>
      <c r="BN1178" t="n">
        <v>5</v>
      </c>
      <c r="BO1178" t="n">
        <v>9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2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214</v>
      </c>
      <c r="Z1179" t="n">
        <v>221</v>
      </c>
      <c r="AA1179" t="n">
        <v>192</v>
      </c>
      <c r="AB1179" t="n">
        <v>2</v>
      </c>
      <c r="AC1179" t="n">
        <v>1</v>
      </c>
      <c r="AD1179" t="n">
        <v>4</v>
      </c>
      <c r="AE1179" t="n">
        <v>6</v>
      </c>
      <c r="AF1179" t="n">
        <v>5</v>
      </c>
      <c r="AG1179" t="n">
        <v>5</v>
      </c>
      <c r="AH1179" t="n">
        <v>21</v>
      </c>
      <c r="AI1179" t="n">
        <v>37</v>
      </c>
      <c r="AJ1179" t="n">
        <v>37</v>
      </c>
      <c r="AK1179" t="n">
        <v>74</v>
      </c>
      <c r="AL1179" t="n">
        <v>6</v>
      </c>
      <c r="AM1179" t="n">
        <v>57</v>
      </c>
      <c r="AN1179" t="n">
        <v>0</v>
      </c>
      <c r="AO1179" t="n">
        <v>0</v>
      </c>
      <c r="AP1179" t="n">
        <v>6</v>
      </c>
      <c r="AQ1179" t="n">
        <v>-7</v>
      </c>
      <c r="AR1179" t="n">
        <v>137</v>
      </c>
      <c r="AS1179" t="n">
        <v>132</v>
      </c>
      <c r="AT1179" t="n">
        <v>4</v>
      </c>
      <c r="AU1179" t="n">
        <v>2</v>
      </c>
      <c r="AV1179" t="n">
        <v>27</v>
      </c>
      <c r="AW1179" t="n">
        <v>15</v>
      </c>
      <c r="AX1179" t="n">
        <v>0</v>
      </c>
      <c r="AY1179" t="n">
        <v>26</v>
      </c>
      <c r="AZ1179" t="n">
        <v>0</v>
      </c>
      <c r="BA1179" t="n">
        <v>11</v>
      </c>
      <c r="BB1179" t="n">
        <v>188</v>
      </c>
      <c r="BC1179" t="n">
        <v>59</v>
      </c>
      <c r="BD1179" t="n">
        <v>27</v>
      </c>
      <c r="BE1179" t="n">
        <v>15</v>
      </c>
      <c r="BF1179" t="n">
        <v>37</v>
      </c>
      <c r="BG1179" t="n">
        <v>7</v>
      </c>
      <c r="BH1179" t="n">
        <v>8</v>
      </c>
      <c r="BI1179" t="n">
        <v>64</v>
      </c>
      <c r="BJ1179" t="n">
        <v>61</v>
      </c>
      <c r="BK1179" t="n">
        <v>2</v>
      </c>
      <c r="BL1179" t="n">
        <v>1</v>
      </c>
      <c r="BM1179" t="n">
        <v>17</v>
      </c>
      <c r="BN1179" t="n">
        <v>10</v>
      </c>
      <c r="BO1179" t="n">
        <v>4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2</v>
      </c>
      <c r="U1180" t="n">
        <v>0</v>
      </c>
      <c r="V1180" t="n">
        <v>0</v>
      </c>
      <c r="W1180" t="n">
        <v>0</v>
      </c>
      <c r="X1180" t="n">
        <v>0</v>
      </c>
      <c r="Y1180" t="n">
        <v>261</v>
      </c>
      <c r="Z1180" t="n">
        <v>116</v>
      </c>
      <c r="AA1180" t="n">
        <v>49</v>
      </c>
      <c r="AB1180" t="n">
        <v>1</v>
      </c>
      <c r="AC1180" t="n">
        <v>1</v>
      </c>
      <c r="AD1180" t="n">
        <v>3</v>
      </c>
      <c r="AE1180" t="n">
        <v>4</v>
      </c>
      <c r="AF1180" t="n">
        <v>2</v>
      </c>
      <c r="AG1180" t="n">
        <v>5</v>
      </c>
      <c r="AH1180" t="n">
        <v>87</v>
      </c>
      <c r="AI1180" t="n">
        <v>36</v>
      </c>
      <c r="AJ1180" t="n">
        <v>50</v>
      </c>
      <c r="AK1180" t="n">
        <v>45</v>
      </c>
      <c r="AL1180" t="n">
        <v>6</v>
      </c>
      <c r="AM1180" t="n">
        <v>51</v>
      </c>
      <c r="AN1180" t="n">
        <v>0</v>
      </c>
      <c r="AO1180" t="n">
        <v>0</v>
      </c>
      <c r="AP1180" t="n">
        <v>6</v>
      </c>
      <c r="AQ1180" t="n">
        <v>88</v>
      </c>
      <c r="AR1180" t="n">
        <v>114</v>
      </c>
      <c r="AS1180" t="n">
        <v>38</v>
      </c>
      <c r="AT1180" t="n">
        <v>4</v>
      </c>
      <c r="AU1180" t="n">
        <v>1</v>
      </c>
      <c r="AV1180" t="n">
        <v>19</v>
      </c>
      <c r="AW1180" t="n">
        <v>5</v>
      </c>
      <c r="AX1180" t="n">
        <v>0</v>
      </c>
      <c r="AY1180" t="n">
        <v>51</v>
      </c>
      <c r="AZ1180" t="n">
        <v>1</v>
      </c>
      <c r="BA1180" t="n">
        <v>1</v>
      </c>
      <c r="BB1180" t="n">
        <v>48</v>
      </c>
      <c r="BC1180" t="n">
        <v>49</v>
      </c>
      <c r="BD1180" t="n">
        <v>85</v>
      </c>
      <c r="BE1180" t="n">
        <v>8</v>
      </c>
      <c r="BF1180" t="n">
        <v>42</v>
      </c>
      <c r="BG1180" t="n">
        <v>1</v>
      </c>
      <c r="BH1180" t="n">
        <v>11</v>
      </c>
      <c r="BI1180" t="n">
        <v>7</v>
      </c>
      <c r="BJ1180" t="n">
        <v>1</v>
      </c>
      <c r="BK1180" t="n">
        <v>1</v>
      </c>
      <c r="BL1180" t="n">
        <v>5</v>
      </c>
      <c r="BM1180" t="n">
        <v>11</v>
      </c>
      <c r="BN1180" t="n">
        <v>6</v>
      </c>
      <c r="BO1180" t="n">
        <v>16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2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436</v>
      </c>
      <c r="Z1181" t="n">
        <v>218</v>
      </c>
      <c r="AA1181" t="n">
        <v>20</v>
      </c>
      <c r="AB1181" t="n">
        <v>1</v>
      </c>
      <c r="AC1181" t="n">
        <v>1</v>
      </c>
      <c r="AD1181" t="n">
        <v>1</v>
      </c>
      <c r="AE1181" t="n">
        <v>5</v>
      </c>
      <c r="AF1181" t="n">
        <v>4</v>
      </c>
      <c r="AG1181" t="n">
        <v>3</v>
      </c>
      <c r="AH1181" t="n">
        <v>8</v>
      </c>
      <c r="AI1181" t="n">
        <v>21</v>
      </c>
      <c r="AJ1181" t="n">
        <v>53</v>
      </c>
      <c r="AK1181" t="n">
        <v>44</v>
      </c>
      <c r="AL1181" t="n">
        <v>1</v>
      </c>
      <c r="AM1181" t="n">
        <v>43</v>
      </c>
      <c r="AN1181" t="n">
        <v>0</v>
      </c>
      <c r="AO1181" t="n">
        <v>0</v>
      </c>
      <c r="AP1181" t="n">
        <v>4</v>
      </c>
      <c r="AQ1181" t="n">
        <v>30</v>
      </c>
      <c r="AR1181" t="n">
        <v>104</v>
      </c>
      <c r="AS1181" t="n">
        <v>79</v>
      </c>
      <c r="AT1181" t="n">
        <v>5</v>
      </c>
      <c r="AU1181" t="n">
        <v>0</v>
      </c>
      <c r="AV1181" t="n">
        <v>11</v>
      </c>
      <c r="AW1181" t="n">
        <v>20</v>
      </c>
      <c r="AX1181" t="n">
        <v>0</v>
      </c>
      <c r="AY1181" t="n">
        <v>15</v>
      </c>
      <c r="AZ1181" t="n">
        <v>3</v>
      </c>
      <c r="BA1181" t="n">
        <v>36</v>
      </c>
      <c r="BB1181" t="n">
        <v>58</v>
      </c>
      <c r="BC1181" t="n">
        <v>39</v>
      </c>
      <c r="BD1181" t="n">
        <v>6</v>
      </c>
      <c r="BE1181" t="n">
        <v>20</v>
      </c>
      <c r="BF1181" t="n">
        <v>45</v>
      </c>
      <c r="BG1181" t="n">
        <v>9</v>
      </c>
      <c r="BH1181" t="n">
        <v>24</v>
      </c>
      <c r="BI1181" t="n">
        <v>186</v>
      </c>
      <c r="BJ1181" t="n">
        <v>179</v>
      </c>
      <c r="BK1181" t="n">
        <v>1</v>
      </c>
      <c r="BL1181" t="n">
        <v>10</v>
      </c>
      <c r="BM1181" t="n">
        <v>32</v>
      </c>
      <c r="BN1181" t="n">
        <v>16</v>
      </c>
      <c r="BO1181" t="n">
        <v>9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304</v>
      </c>
      <c r="Z1182" t="n">
        <v>255</v>
      </c>
      <c r="AA1182" t="n">
        <v>53</v>
      </c>
      <c r="AB1182" t="n">
        <v>3</v>
      </c>
      <c r="AC1182" t="n">
        <v>1</v>
      </c>
      <c r="AD1182" t="n">
        <v>4</v>
      </c>
      <c r="AE1182" t="n">
        <v>10</v>
      </c>
      <c r="AF1182" t="n">
        <v>3</v>
      </c>
      <c r="AG1182" t="n">
        <v>8</v>
      </c>
      <c r="AH1182" t="n">
        <v>57</v>
      </c>
      <c r="AI1182" t="n">
        <v>60</v>
      </c>
      <c r="AJ1182" t="n">
        <v>28</v>
      </c>
      <c r="AK1182" t="n">
        <v>114</v>
      </c>
      <c r="AL1182" t="n">
        <v>5</v>
      </c>
      <c r="AM1182" t="n">
        <v>36</v>
      </c>
      <c r="AN1182" t="n">
        <v>1</v>
      </c>
      <c r="AO1182" t="n">
        <v>0</v>
      </c>
      <c r="AP1182" t="n">
        <v>3</v>
      </c>
      <c r="AQ1182" t="n">
        <v>30</v>
      </c>
      <c r="AR1182" t="n">
        <v>185</v>
      </c>
      <c r="AS1182" t="n">
        <v>155</v>
      </c>
      <c r="AT1182" t="n">
        <v>6</v>
      </c>
      <c r="AU1182" t="n">
        <v>3</v>
      </c>
      <c r="AV1182" t="n">
        <v>95</v>
      </c>
      <c r="AW1182" t="n">
        <v>24</v>
      </c>
      <c r="AX1182" t="n">
        <v>6</v>
      </c>
      <c r="AY1182" t="n">
        <v>18</v>
      </c>
      <c r="AZ1182" t="n">
        <v>4</v>
      </c>
      <c r="BA1182" t="n">
        <v>-3</v>
      </c>
      <c r="BB1182" t="n">
        <v>50</v>
      </c>
      <c r="BC1182" t="n">
        <v>36</v>
      </c>
      <c r="BD1182" t="n">
        <v>57</v>
      </c>
      <c r="BE1182" t="n">
        <v>24</v>
      </c>
      <c r="BF1182" t="n">
        <v>26</v>
      </c>
      <c r="BG1182" t="n">
        <v>0</v>
      </c>
      <c r="BH1182" t="n">
        <v>18</v>
      </c>
      <c r="BI1182" t="n">
        <v>1</v>
      </c>
      <c r="BJ1182" t="n">
        <v>6</v>
      </c>
      <c r="BK1182" t="n">
        <v>0</v>
      </c>
      <c r="BL1182" t="n">
        <v>1</v>
      </c>
      <c r="BM1182" t="n">
        <v>5</v>
      </c>
      <c r="BN1182" t="n">
        <v>2</v>
      </c>
      <c r="BO1182" t="n">
        <v>2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n">
        <v>0</v>
      </c>
      <c r="T1183" t="n">
        <v>2</v>
      </c>
      <c r="U1183" t="n">
        <v>1</v>
      </c>
      <c r="V1183" t="n">
        <v>0</v>
      </c>
      <c r="W1183" t="n">
        <v>0</v>
      </c>
      <c r="X1183" t="n">
        <v>0</v>
      </c>
      <c r="Y1183" t="n">
        <v>243</v>
      </c>
      <c r="Z1183" t="n">
        <v>284</v>
      </c>
      <c r="AA1183" t="n">
        <v>87</v>
      </c>
      <c r="AB1183" t="n">
        <v>0</v>
      </c>
      <c r="AC1183" t="n">
        <v>1</v>
      </c>
      <c r="AD1183" t="n">
        <v>6</v>
      </c>
      <c r="AE1183" t="n">
        <v>0</v>
      </c>
      <c r="AF1183" t="n">
        <v>2</v>
      </c>
      <c r="AG1183" t="n">
        <v>1</v>
      </c>
      <c r="AH1183" t="n">
        <v>94</v>
      </c>
      <c r="AI1183" t="n">
        <v>8</v>
      </c>
      <c r="AJ1183" t="n">
        <v>54</v>
      </c>
      <c r="AK1183" t="n">
        <v>86</v>
      </c>
      <c r="AL1183" t="n">
        <v>3</v>
      </c>
      <c r="AM1183" t="n">
        <v>36</v>
      </c>
      <c r="AN1183" t="n">
        <v>1</v>
      </c>
      <c r="AO1183" t="n">
        <v>0</v>
      </c>
      <c r="AP1183" t="n">
        <v>3</v>
      </c>
      <c r="AQ1183" t="n">
        <v>1</v>
      </c>
      <c r="AR1183" t="n">
        <v>56</v>
      </c>
      <c r="AS1183" t="n">
        <v>51</v>
      </c>
      <c r="AT1183" t="n">
        <v>3</v>
      </c>
      <c r="AU1183" t="n">
        <v>1</v>
      </c>
      <c r="AV1183" t="n">
        <v>31</v>
      </c>
      <c r="AW1183" t="n">
        <v>18</v>
      </c>
      <c r="AX1183" t="n">
        <v>0</v>
      </c>
      <c r="AY1183" t="n">
        <v>28</v>
      </c>
      <c r="AZ1183" t="n">
        <v>3</v>
      </c>
      <c r="BA1183" t="n">
        <v>41</v>
      </c>
      <c r="BB1183" t="n">
        <v>124</v>
      </c>
      <c r="BC1183" t="n">
        <v>32</v>
      </c>
      <c r="BD1183" t="n">
        <v>92</v>
      </c>
      <c r="BE1183" t="n">
        <v>19</v>
      </c>
      <c r="BF1183" t="n">
        <v>68</v>
      </c>
      <c r="BG1183" t="n">
        <v>1</v>
      </c>
      <c r="BH1183" t="n">
        <v>3</v>
      </c>
      <c r="BI1183" t="n">
        <v>8</v>
      </c>
      <c r="BJ1183" t="n">
        <v>6</v>
      </c>
      <c r="BK1183" t="n">
        <v>6</v>
      </c>
      <c r="BL1183" t="n">
        <v>41</v>
      </c>
      <c r="BM1183" t="n">
        <v>33</v>
      </c>
      <c r="BN1183" t="n">
        <v>4</v>
      </c>
      <c r="BO1183" t="n">
        <v>7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115</v>
      </c>
      <c r="Z1184" t="n">
        <v>217</v>
      </c>
      <c r="AA1184" t="n">
        <v>7</v>
      </c>
      <c r="AB1184" t="n">
        <v>2</v>
      </c>
      <c r="AC1184" t="n">
        <v>0</v>
      </c>
      <c r="AD1184" t="n">
        <v>5</v>
      </c>
      <c r="AE1184" t="n">
        <v>7</v>
      </c>
      <c r="AF1184" t="n">
        <v>2</v>
      </c>
      <c r="AG1184" t="n">
        <v>5</v>
      </c>
      <c r="AH1184" t="n">
        <v>60</v>
      </c>
      <c r="AI1184" t="n">
        <v>90</v>
      </c>
      <c r="AJ1184" t="n">
        <v>5</v>
      </c>
      <c r="AK1184" t="n">
        <v>36</v>
      </c>
      <c r="AL1184" t="n">
        <v>3</v>
      </c>
      <c r="AM1184" t="n">
        <v>48</v>
      </c>
      <c r="AN1184" t="n">
        <v>0</v>
      </c>
      <c r="AO1184" t="n">
        <v>0</v>
      </c>
      <c r="AP1184" t="n">
        <v>0</v>
      </c>
      <c r="AQ1184" t="n">
        <v>1</v>
      </c>
      <c r="AR1184" t="n">
        <v>85</v>
      </c>
      <c r="AS1184" t="n">
        <v>79</v>
      </c>
      <c r="AT1184" t="n">
        <v>0</v>
      </c>
      <c r="AU1184" t="n">
        <v>1</v>
      </c>
      <c r="AV1184" t="n">
        <v>12</v>
      </c>
      <c r="AW1184" t="n">
        <v>10</v>
      </c>
      <c r="AX1184" t="n">
        <v>5</v>
      </c>
      <c r="AY1184" t="n">
        <v>15</v>
      </c>
      <c r="AZ1184" t="n">
        <v>5</v>
      </c>
      <c r="BA1184" t="n">
        <v>12</v>
      </c>
      <c r="BB1184" t="n">
        <v>20</v>
      </c>
      <c r="BC1184" t="n">
        <v>47</v>
      </c>
      <c r="BD1184" t="n">
        <v>56</v>
      </c>
      <c r="BE1184" t="n">
        <v>11</v>
      </c>
      <c r="BF1184" t="n">
        <v>2</v>
      </c>
      <c r="BG1184" t="n">
        <v>0</v>
      </c>
      <c r="BH1184" t="n">
        <v>3</v>
      </c>
      <c r="BI1184" t="n">
        <v>7</v>
      </c>
      <c r="BJ1184" t="n">
        <v>6</v>
      </c>
      <c r="BK1184" t="n">
        <v>0</v>
      </c>
      <c r="BL1184" t="n">
        <v>1</v>
      </c>
      <c r="BM1184" t="n">
        <v>13</v>
      </c>
      <c r="BN1184" t="n">
        <v>7</v>
      </c>
      <c r="BO1184" t="n">
        <v>4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236</v>
      </c>
      <c r="Z1185" t="n">
        <v>328</v>
      </c>
      <c r="AA1185" t="n">
        <v>44</v>
      </c>
      <c r="AB1185" t="n">
        <v>2</v>
      </c>
      <c r="AC1185" t="n">
        <v>1</v>
      </c>
      <c r="AD1185" t="n">
        <v>5</v>
      </c>
      <c r="AE1185" t="n">
        <v>3</v>
      </c>
      <c r="AF1185" t="n">
        <v>2</v>
      </c>
      <c r="AG1185" t="n">
        <v>2</v>
      </c>
      <c r="AH1185" t="n">
        <v>42</v>
      </c>
      <c r="AI1185" t="n">
        <v>9</v>
      </c>
      <c r="AJ1185" t="n">
        <v>54</v>
      </c>
      <c r="AK1185" t="n">
        <v>1</v>
      </c>
      <c r="AL1185" t="n">
        <v>4</v>
      </c>
      <c r="AM1185" t="n">
        <v>64</v>
      </c>
      <c r="AN1185" t="n">
        <v>0</v>
      </c>
      <c r="AO1185" t="n">
        <v>0</v>
      </c>
      <c r="AP1185" t="n">
        <v>5</v>
      </c>
      <c r="AQ1185" t="n">
        <v>36</v>
      </c>
      <c r="AR1185" t="n">
        <v>187</v>
      </c>
      <c r="AS1185" t="n">
        <v>153</v>
      </c>
      <c r="AT1185" t="n">
        <v>1</v>
      </c>
      <c r="AU1185" t="n">
        <v>3</v>
      </c>
      <c r="AV1185" t="n">
        <v>11</v>
      </c>
      <c r="AW1185" t="n">
        <v>35</v>
      </c>
      <c r="AX1185" t="n">
        <v>3</v>
      </c>
      <c r="AY1185" t="n">
        <v>21</v>
      </c>
      <c r="AZ1185" t="n">
        <v>6</v>
      </c>
      <c r="BA1185" t="n">
        <v>45</v>
      </c>
      <c r="BB1185" t="n">
        <v>91</v>
      </c>
      <c r="BC1185" t="n">
        <v>58</v>
      </c>
      <c r="BD1185" t="n">
        <v>38</v>
      </c>
      <c r="BE1185" t="n">
        <v>35</v>
      </c>
      <c r="BF1185" t="n">
        <v>42</v>
      </c>
      <c r="BG1185" t="n">
        <v>4</v>
      </c>
      <c r="BH1185" t="n">
        <v>7</v>
      </c>
      <c r="BI1185" t="n">
        <v>40</v>
      </c>
      <c r="BJ1185" t="n">
        <v>36</v>
      </c>
      <c r="BK1185" t="n">
        <v>5</v>
      </c>
      <c r="BL1185" t="n">
        <v>111</v>
      </c>
      <c r="BM1185" t="n">
        <v>99</v>
      </c>
      <c r="BN1185" t="n">
        <v>14</v>
      </c>
      <c r="BO1185" t="n">
        <v>4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175</v>
      </c>
      <c r="Z1186" t="n">
        <v>170</v>
      </c>
      <c r="AA1186" t="n">
        <v>53</v>
      </c>
      <c r="AB1186" t="n">
        <v>2</v>
      </c>
      <c r="AC1186" t="n">
        <v>1</v>
      </c>
      <c r="AD1186" t="n">
        <v>4</v>
      </c>
      <c r="AE1186" t="n">
        <v>9</v>
      </c>
      <c r="AF1186" t="n">
        <v>4</v>
      </c>
      <c r="AG1186" t="n">
        <v>7</v>
      </c>
      <c r="AH1186" t="n">
        <v>17</v>
      </c>
      <c r="AI1186" t="n">
        <v>36</v>
      </c>
      <c r="AJ1186" t="n">
        <v>44</v>
      </c>
      <c r="AK1186" t="n">
        <v>50</v>
      </c>
      <c r="AL1186" t="n">
        <v>2</v>
      </c>
      <c r="AM1186" t="n">
        <v>46</v>
      </c>
      <c r="AN1186" t="n">
        <v>0</v>
      </c>
      <c r="AO1186" t="n">
        <v>0</v>
      </c>
      <c r="AP1186" t="n">
        <v>6</v>
      </c>
      <c r="AQ1186" t="n">
        <v>45</v>
      </c>
      <c r="AR1186" t="n">
        <v>105</v>
      </c>
      <c r="AS1186" t="n">
        <v>67</v>
      </c>
      <c r="AT1186" t="n">
        <v>4</v>
      </c>
      <c r="AU1186" t="n">
        <v>2</v>
      </c>
      <c r="AV1186" t="n">
        <v>11</v>
      </c>
      <c r="AW1186" t="n">
        <v>5</v>
      </c>
      <c r="AX1186" t="n">
        <v>14</v>
      </c>
      <c r="AY1186" t="n">
        <v>29</v>
      </c>
      <c r="AZ1186" t="n">
        <v>2</v>
      </c>
      <c r="BA1186" t="n">
        <v>8</v>
      </c>
      <c r="BB1186" t="n">
        <v>58</v>
      </c>
      <c r="BC1186" t="n">
        <v>43</v>
      </c>
      <c r="BD1186" t="n">
        <v>21</v>
      </c>
      <c r="BE1186" t="n">
        <v>8</v>
      </c>
      <c r="BF1186" t="n">
        <v>39</v>
      </c>
      <c r="BG1186" t="n">
        <v>3</v>
      </c>
      <c r="BH1186" t="n">
        <v>15</v>
      </c>
      <c r="BI1186" t="n">
        <v>30</v>
      </c>
      <c r="BJ1186" t="n">
        <v>36</v>
      </c>
      <c r="BK1186" t="n">
        <v>0</v>
      </c>
      <c r="BL1186" t="n">
        <v>1</v>
      </c>
      <c r="BM1186" t="n">
        <v>49</v>
      </c>
      <c r="BN1186" t="n">
        <v>31</v>
      </c>
      <c r="BO1186" t="n">
        <v>18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2</v>
      </c>
      <c r="U1187" t="n">
        <v>0</v>
      </c>
      <c r="V1187" t="n">
        <v>0</v>
      </c>
      <c r="W1187" t="n">
        <v>2</v>
      </c>
      <c r="X1187" t="n">
        <v>0</v>
      </c>
      <c r="Y1187" t="n">
        <v>328</v>
      </c>
      <c r="Z1187" t="n">
        <v>314</v>
      </c>
      <c r="AA1187" t="n">
        <v>36</v>
      </c>
      <c r="AB1187" t="n">
        <v>2</v>
      </c>
      <c r="AC1187" t="n">
        <v>2</v>
      </c>
      <c r="AD1187" t="n">
        <v>2</v>
      </c>
      <c r="AE1187" t="n">
        <v>6</v>
      </c>
      <c r="AF1187" t="n">
        <v>7</v>
      </c>
      <c r="AG1187" t="n">
        <v>7</v>
      </c>
      <c r="AH1187" t="n">
        <v>41</v>
      </c>
      <c r="AI1187" t="n">
        <v>128</v>
      </c>
      <c r="AJ1187" t="n">
        <v>58</v>
      </c>
      <c r="AK1187" t="n">
        <v>120</v>
      </c>
      <c r="AL1187" t="n">
        <v>5</v>
      </c>
      <c r="AM1187" t="n">
        <v>118</v>
      </c>
      <c r="AN1187" t="n">
        <v>0</v>
      </c>
      <c r="AO1187" t="n">
        <v>2</v>
      </c>
      <c r="AP1187" t="n">
        <v>8</v>
      </c>
      <c r="AQ1187" t="n">
        <v>73</v>
      </c>
      <c r="AR1187" t="n">
        <v>191</v>
      </c>
      <c r="AS1187" t="n">
        <v>125</v>
      </c>
      <c r="AT1187" t="n">
        <v>3</v>
      </c>
      <c r="AU1187" t="n">
        <v>3</v>
      </c>
      <c r="AV1187" t="n">
        <v>23</v>
      </c>
      <c r="AW1187" t="n">
        <v>35</v>
      </c>
      <c r="AX1187" t="n">
        <v>0</v>
      </c>
      <c r="AY1187" t="n">
        <v>28</v>
      </c>
      <c r="AZ1187" t="n">
        <v>3</v>
      </c>
      <c r="BA1187" t="n">
        <v>-3</v>
      </c>
      <c r="BB1187" t="n">
        <v>33</v>
      </c>
      <c r="BC1187" t="n">
        <v>103</v>
      </c>
      <c r="BD1187" t="n">
        <v>36</v>
      </c>
      <c r="BE1187" t="n">
        <v>37</v>
      </c>
      <c r="BF1187" t="n">
        <v>44</v>
      </c>
      <c r="BG1187" t="n">
        <v>4</v>
      </c>
      <c r="BH1187" t="n">
        <v>6</v>
      </c>
      <c r="BI1187" t="n">
        <v>70</v>
      </c>
      <c r="BJ1187" t="n">
        <v>65</v>
      </c>
      <c r="BK1187" t="n">
        <v>2</v>
      </c>
      <c r="BL1187" t="n">
        <v>4</v>
      </c>
      <c r="BM1187" t="n">
        <v>9</v>
      </c>
      <c r="BN1187" t="n">
        <v>5</v>
      </c>
      <c r="BO1187" t="n">
        <v>86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2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167</v>
      </c>
      <c r="Z1188" t="n">
        <v>214</v>
      </c>
      <c r="AA1188" t="n">
        <v>5</v>
      </c>
      <c r="AB1188" t="n">
        <v>1</v>
      </c>
      <c r="AC1188" t="n">
        <v>1</v>
      </c>
      <c r="AD1188" t="n">
        <v>7</v>
      </c>
      <c r="AE1188" t="n">
        <v>9</v>
      </c>
      <c r="AF1188" t="n">
        <v>1</v>
      </c>
      <c r="AG1188" t="n">
        <v>4</v>
      </c>
      <c r="AH1188" t="n">
        <v>86</v>
      </c>
      <c r="AI1188" t="n">
        <v>91</v>
      </c>
      <c r="AJ1188" t="n">
        <v>4</v>
      </c>
      <c r="AK1188" t="n">
        <v>28</v>
      </c>
      <c r="AL1188" t="n">
        <v>4</v>
      </c>
      <c r="AM1188" t="n">
        <v>68</v>
      </c>
      <c r="AN1188" t="n">
        <v>0</v>
      </c>
      <c r="AO1188" t="n">
        <v>0</v>
      </c>
      <c r="AP1188" t="n">
        <v>3</v>
      </c>
      <c r="AQ1188" t="n">
        <v>35</v>
      </c>
      <c r="AR1188" t="n">
        <v>103</v>
      </c>
      <c r="AS1188" t="n">
        <v>75</v>
      </c>
      <c r="AT1188" t="n">
        <v>1</v>
      </c>
      <c r="AU1188" t="n">
        <v>0</v>
      </c>
      <c r="AV1188" t="n">
        <v>1</v>
      </c>
      <c r="AW1188" t="n">
        <v>1</v>
      </c>
      <c r="AX1188" t="n">
        <v>0</v>
      </c>
      <c r="AY1188" t="n">
        <v>37</v>
      </c>
      <c r="AZ1188" t="n">
        <v>2</v>
      </c>
      <c r="BA1188" t="n">
        <v>16</v>
      </c>
      <c r="BB1188" t="n">
        <v>22</v>
      </c>
      <c r="BC1188" t="n">
        <v>65</v>
      </c>
      <c r="BD1188" t="n">
        <v>117</v>
      </c>
      <c r="BE1188" t="n">
        <v>1</v>
      </c>
      <c r="BF1188" t="n">
        <v>13</v>
      </c>
      <c r="BG1188" t="n">
        <v>4</v>
      </c>
      <c r="BH1188" t="n">
        <v>0</v>
      </c>
      <c r="BI1188" t="n">
        <v>13</v>
      </c>
      <c r="BJ1188" t="n">
        <v>11</v>
      </c>
      <c r="BK1188" t="n">
        <v>3</v>
      </c>
      <c r="BL1188" t="n">
        <v>1</v>
      </c>
      <c r="BM1188" t="n">
        <v>1</v>
      </c>
      <c r="BN1188" t="n">
        <v>0</v>
      </c>
      <c r="BO1188" t="n">
        <v>9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2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110</v>
      </c>
      <c r="Z1189" t="n">
        <v>133</v>
      </c>
      <c r="AA1189" t="n">
        <v>20</v>
      </c>
      <c r="AB1189" t="n">
        <v>0</v>
      </c>
      <c r="AC1189" t="n">
        <v>2</v>
      </c>
      <c r="AD1189" t="n">
        <v>4</v>
      </c>
      <c r="AE1189" t="n">
        <v>7</v>
      </c>
      <c r="AF1189" t="n">
        <v>2</v>
      </c>
      <c r="AG1189" t="n">
        <v>0</v>
      </c>
      <c r="AH1189" t="n">
        <v>24</v>
      </c>
      <c r="AI1189" t="n">
        <v>73</v>
      </c>
      <c r="AJ1189" t="n">
        <v>12</v>
      </c>
      <c r="AK1189" t="n">
        <v>12</v>
      </c>
      <c r="AL1189" t="n">
        <v>0</v>
      </c>
      <c r="AM1189" t="n">
        <v>13</v>
      </c>
      <c r="AN1189" t="n">
        <v>0</v>
      </c>
      <c r="AO1189" t="n">
        <v>0</v>
      </c>
      <c r="AP1189" t="n">
        <v>0</v>
      </c>
      <c r="AQ1189" t="n">
        <v>6</v>
      </c>
      <c r="AR1189" t="n">
        <v>106</v>
      </c>
      <c r="AS1189" t="n">
        <v>98</v>
      </c>
      <c r="AT1189" t="n">
        <v>2</v>
      </c>
      <c r="AU1189" t="n">
        <v>2</v>
      </c>
      <c r="AV1189" t="n">
        <v>8</v>
      </c>
      <c r="AW1189" t="n">
        <v>21</v>
      </c>
      <c r="AX1189" t="n">
        <v>3</v>
      </c>
      <c r="AY1189" t="n">
        <v>17</v>
      </c>
      <c r="AZ1189" t="n">
        <v>0</v>
      </c>
      <c r="BA1189" t="n">
        <v>1</v>
      </c>
      <c r="BB1189" t="n">
        <v>19</v>
      </c>
      <c r="BC1189" t="n">
        <v>12</v>
      </c>
      <c r="BD1189" t="n">
        <v>21</v>
      </c>
      <c r="BE1189" t="n">
        <v>26</v>
      </c>
      <c r="BF1189" t="n">
        <v>11</v>
      </c>
      <c r="BG1189" t="n">
        <v>2</v>
      </c>
      <c r="BH1189" t="n">
        <v>22</v>
      </c>
      <c r="BI1189" t="n">
        <v>1</v>
      </c>
      <c r="BJ1189" t="n">
        <v>16</v>
      </c>
      <c r="BK1189" t="n">
        <v>6</v>
      </c>
      <c r="BL1189" t="n">
        <v>9</v>
      </c>
      <c r="BM1189" t="n">
        <v>7</v>
      </c>
      <c r="BN1189" t="n">
        <v>0</v>
      </c>
      <c r="BO1189" t="n">
        <v>9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3</v>
      </c>
      <c r="X1190" t="n">
        <v>0</v>
      </c>
      <c r="Y1190" t="n">
        <v>200</v>
      </c>
      <c r="Z1190" t="n">
        <v>372</v>
      </c>
      <c r="AA1190" t="n">
        <v>80</v>
      </c>
      <c r="AB1190" t="n">
        <v>0</v>
      </c>
      <c r="AC1190" t="n">
        <v>2</v>
      </c>
      <c r="AD1190" t="n">
        <v>3</v>
      </c>
      <c r="AE1190" t="n">
        <v>7</v>
      </c>
      <c r="AF1190" t="n">
        <v>3</v>
      </c>
      <c r="AG1190" t="n">
        <v>5</v>
      </c>
      <c r="AH1190" t="n">
        <v>84</v>
      </c>
      <c r="AI1190" t="n">
        <v>49</v>
      </c>
      <c r="AJ1190" t="n">
        <v>21</v>
      </c>
      <c r="AK1190" t="n">
        <v>50</v>
      </c>
      <c r="AL1190" t="n">
        <v>4</v>
      </c>
      <c r="AM1190" t="n">
        <v>37</v>
      </c>
      <c r="AN1190" t="n">
        <v>0</v>
      </c>
      <c r="AO1190" t="n">
        <v>0</v>
      </c>
      <c r="AP1190" t="n">
        <v>3</v>
      </c>
      <c r="AQ1190" t="n">
        <v>0</v>
      </c>
      <c r="AR1190" t="n">
        <v>135</v>
      </c>
      <c r="AS1190" t="n">
        <v>124</v>
      </c>
      <c r="AT1190" t="n">
        <v>1</v>
      </c>
      <c r="AU1190" t="n">
        <v>1</v>
      </c>
      <c r="AV1190" t="n">
        <v>10</v>
      </c>
      <c r="AW1190" t="n">
        <v>44</v>
      </c>
      <c r="AX1190" t="n">
        <v>1</v>
      </c>
      <c r="AY1190" t="n">
        <v>17</v>
      </c>
      <c r="AZ1190" t="n">
        <v>6</v>
      </c>
      <c r="BA1190" t="n">
        <v>11</v>
      </c>
      <c r="BB1190" t="n">
        <v>86</v>
      </c>
      <c r="BC1190" t="n">
        <v>32</v>
      </c>
      <c r="BD1190" t="n">
        <v>78</v>
      </c>
      <c r="BE1190" t="n">
        <v>44</v>
      </c>
      <c r="BF1190" t="n">
        <v>21</v>
      </c>
      <c r="BG1190" t="n">
        <v>6</v>
      </c>
      <c r="BH1190" t="n">
        <v>3</v>
      </c>
      <c r="BI1190" t="n">
        <v>62</v>
      </c>
      <c r="BJ1190" t="n">
        <v>54</v>
      </c>
      <c r="BK1190" t="n">
        <v>1</v>
      </c>
      <c r="BL1190" t="n">
        <v>43</v>
      </c>
      <c r="BM1190" t="n">
        <v>53</v>
      </c>
      <c r="BN1190" t="n">
        <v>17</v>
      </c>
      <c r="BO1190" t="n">
        <v>2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2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309</v>
      </c>
      <c r="Z1191" t="n">
        <v>100</v>
      </c>
      <c r="AA1191" t="n">
        <v>29</v>
      </c>
      <c r="AB1191" t="n">
        <v>2</v>
      </c>
      <c r="AC1191" t="n">
        <v>1</v>
      </c>
      <c r="AD1191" t="n">
        <v>5</v>
      </c>
      <c r="AE1191" t="n">
        <v>3</v>
      </c>
      <c r="AF1191" t="n">
        <v>6</v>
      </c>
      <c r="AG1191" t="n">
        <v>2</v>
      </c>
      <c r="AH1191" t="n">
        <v>95</v>
      </c>
      <c r="AI1191" t="n">
        <v>20</v>
      </c>
      <c r="AJ1191" t="n">
        <v>86</v>
      </c>
      <c r="AK1191" t="n">
        <v>57</v>
      </c>
      <c r="AL1191" t="n">
        <v>5</v>
      </c>
      <c r="AM1191" t="n">
        <v>46</v>
      </c>
      <c r="AN1191" t="n">
        <v>0</v>
      </c>
      <c r="AO1191" t="n">
        <v>0</v>
      </c>
      <c r="AP1191" t="n">
        <v>2</v>
      </c>
      <c r="AQ1191" t="n">
        <v>1</v>
      </c>
      <c r="AR1191" t="n">
        <v>99</v>
      </c>
      <c r="AS1191" t="n">
        <v>91</v>
      </c>
      <c r="AT1191" t="n">
        <v>7</v>
      </c>
      <c r="AU1191" t="n">
        <v>0</v>
      </c>
      <c r="AV1191" t="n">
        <v>19</v>
      </c>
      <c r="AW1191" t="n">
        <v>3</v>
      </c>
      <c r="AX1191" t="n">
        <v>0</v>
      </c>
      <c r="AY1191" t="n">
        <v>53</v>
      </c>
      <c r="AZ1191" t="n">
        <v>0</v>
      </c>
      <c r="BA1191" t="n">
        <v>-1</v>
      </c>
      <c r="BB1191" t="n">
        <v>29</v>
      </c>
      <c r="BC1191" t="n">
        <v>41</v>
      </c>
      <c r="BD1191" t="n">
        <v>93</v>
      </c>
      <c r="BE1191" t="n">
        <v>1</v>
      </c>
      <c r="BF1191" t="n">
        <v>84</v>
      </c>
      <c r="BG1191" t="n">
        <v>3</v>
      </c>
      <c r="BH1191" t="n">
        <v>9</v>
      </c>
      <c r="BI1191" t="n">
        <v>53</v>
      </c>
      <c r="BJ1191" t="n">
        <v>97</v>
      </c>
      <c r="BK1191" t="n">
        <v>3</v>
      </c>
      <c r="BL1191" t="n">
        <v>1</v>
      </c>
      <c r="BM1191" t="n">
        <v>36</v>
      </c>
      <c r="BN1191" t="n">
        <v>21</v>
      </c>
      <c r="BO1191" t="n">
        <v>23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203</v>
      </c>
      <c r="Z1192" t="n">
        <v>165</v>
      </c>
      <c r="AA1192" t="n">
        <v>60</v>
      </c>
      <c r="AB1192" t="n">
        <v>0</v>
      </c>
      <c r="AC1192" t="n">
        <v>3</v>
      </c>
      <c r="AD1192" t="n">
        <v>3</v>
      </c>
      <c r="AE1192" t="n">
        <v>1</v>
      </c>
      <c r="AF1192" t="n">
        <v>2</v>
      </c>
      <c r="AG1192" t="n">
        <v>3</v>
      </c>
      <c r="AH1192" t="n">
        <v>39</v>
      </c>
      <c r="AI1192" t="n">
        <v>2</v>
      </c>
      <c r="AJ1192" t="n">
        <v>38</v>
      </c>
      <c r="AK1192" t="n">
        <v>18</v>
      </c>
      <c r="AL1192" t="n">
        <v>2</v>
      </c>
      <c r="AM1192" t="n">
        <v>16</v>
      </c>
      <c r="AN1192" t="n">
        <v>0</v>
      </c>
      <c r="AO1192" t="n">
        <v>0</v>
      </c>
      <c r="AP1192" t="n">
        <v>7</v>
      </c>
      <c r="AQ1192" t="n">
        <v>38</v>
      </c>
      <c r="AR1192" t="n">
        <v>68</v>
      </c>
      <c r="AS1192" t="n">
        <v>36</v>
      </c>
      <c r="AT1192" t="n">
        <v>1</v>
      </c>
      <c r="AU1192" t="n">
        <v>1</v>
      </c>
      <c r="AV1192" t="n">
        <v>14</v>
      </c>
      <c r="AW1192" t="n">
        <v>20</v>
      </c>
      <c r="AX1192" t="n">
        <v>0</v>
      </c>
      <c r="AY1192" t="n">
        <v>112</v>
      </c>
      <c r="AZ1192" t="n">
        <v>0</v>
      </c>
      <c r="BA1192" t="n">
        <v>-2</v>
      </c>
      <c r="BB1192" t="n">
        <v>57</v>
      </c>
      <c r="BC1192" t="n">
        <v>13</v>
      </c>
      <c r="BD1192" t="n">
        <v>45</v>
      </c>
      <c r="BE1192" t="n">
        <v>24</v>
      </c>
      <c r="BF1192" t="n">
        <v>30</v>
      </c>
      <c r="BG1192" t="n">
        <v>2</v>
      </c>
      <c r="BH1192" t="n">
        <v>6</v>
      </c>
      <c r="BI1192" t="n">
        <v>23</v>
      </c>
      <c r="BJ1192" t="n">
        <v>28</v>
      </c>
      <c r="BK1192" t="n">
        <v>3</v>
      </c>
      <c r="BL1192" t="n">
        <v>61</v>
      </c>
      <c r="BM1192" t="n">
        <v>63</v>
      </c>
      <c r="BN1192" t="n">
        <v>16</v>
      </c>
      <c r="BO1192" t="n">
        <v>2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4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197</v>
      </c>
      <c r="Z1193" t="n">
        <v>268</v>
      </c>
      <c r="AA1193" t="n">
        <v>40</v>
      </c>
      <c r="AB1193" t="n">
        <v>3</v>
      </c>
      <c r="AC1193" t="n">
        <v>0</v>
      </c>
      <c r="AD1193" t="n">
        <v>3</v>
      </c>
      <c r="AE1193" t="n">
        <v>4</v>
      </c>
      <c r="AF1193" t="n">
        <v>1</v>
      </c>
      <c r="AG1193" t="n">
        <v>2</v>
      </c>
      <c r="AH1193" t="n">
        <v>58</v>
      </c>
      <c r="AI1193" t="n">
        <v>62</v>
      </c>
      <c r="AJ1193" t="n">
        <v>13</v>
      </c>
      <c r="AK1193" t="n">
        <v>19</v>
      </c>
      <c r="AL1193" t="n">
        <v>8</v>
      </c>
      <c r="AM1193" t="n">
        <v>158</v>
      </c>
      <c r="AN1193" t="n">
        <v>0</v>
      </c>
      <c r="AO1193" t="n">
        <v>0</v>
      </c>
      <c r="AP1193" t="n">
        <v>2</v>
      </c>
      <c r="AQ1193" t="n">
        <v>16</v>
      </c>
      <c r="AR1193" t="n">
        <v>108</v>
      </c>
      <c r="AS1193" t="n">
        <v>93</v>
      </c>
      <c r="AT1193" t="n">
        <v>2</v>
      </c>
      <c r="AU1193" t="n">
        <v>2</v>
      </c>
      <c r="AV1193" t="n">
        <v>1</v>
      </c>
      <c r="AW1193" t="n">
        <v>5</v>
      </c>
      <c r="AX1193" t="n">
        <v>2</v>
      </c>
      <c r="AY1193" t="n">
        <v>1</v>
      </c>
      <c r="AZ1193" t="n">
        <v>4</v>
      </c>
      <c r="BA1193" t="n">
        <v>8</v>
      </c>
      <c r="BB1193" t="n">
        <v>45</v>
      </c>
      <c r="BC1193" t="n">
        <v>160</v>
      </c>
      <c r="BD1193" t="n">
        <v>71</v>
      </c>
      <c r="BE1193" t="n">
        <v>6</v>
      </c>
      <c r="BF1193" t="n">
        <v>18</v>
      </c>
      <c r="BG1193" t="n">
        <v>5</v>
      </c>
      <c r="BH1193" t="n">
        <v>8</v>
      </c>
      <c r="BI1193" t="n">
        <v>59</v>
      </c>
      <c r="BJ1193" t="n">
        <v>54</v>
      </c>
      <c r="BK1193" t="n">
        <v>3</v>
      </c>
      <c r="BL1193" t="n">
        <v>36</v>
      </c>
      <c r="BM1193" t="n">
        <v>27</v>
      </c>
      <c r="BN1193" t="n">
        <v>4</v>
      </c>
      <c r="BO1193" t="n">
        <v>9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3</v>
      </c>
      <c r="U1194" t="n">
        <v>0</v>
      </c>
      <c r="V1194" t="n">
        <v>0</v>
      </c>
      <c r="W1194" t="n">
        <v>0</v>
      </c>
      <c r="X1194" t="n">
        <v>0</v>
      </c>
      <c r="Y1194" t="n">
        <v>347</v>
      </c>
      <c r="Z1194" t="n">
        <v>317</v>
      </c>
      <c r="AA1194" t="n">
        <v>237</v>
      </c>
      <c r="AB1194" t="n">
        <v>0</v>
      </c>
      <c r="AC1194" t="n">
        <v>3</v>
      </c>
      <c r="AD1194" t="n">
        <v>10</v>
      </c>
      <c r="AE1194" t="n">
        <v>3</v>
      </c>
      <c r="AF1194" t="n">
        <v>3</v>
      </c>
      <c r="AG1194" t="n">
        <v>7</v>
      </c>
      <c r="AH1194" t="n">
        <v>133</v>
      </c>
      <c r="AI1194" t="n">
        <v>14</v>
      </c>
      <c r="AJ1194" t="n">
        <v>13</v>
      </c>
      <c r="AK1194" t="n">
        <v>89</v>
      </c>
      <c r="AL1194" t="n">
        <v>2</v>
      </c>
      <c r="AM1194" t="n">
        <v>2</v>
      </c>
      <c r="AN1194" t="n">
        <v>0</v>
      </c>
      <c r="AO1194" t="n">
        <v>0</v>
      </c>
      <c r="AP1194" t="n">
        <v>6</v>
      </c>
      <c r="AQ1194" t="n">
        <v>48</v>
      </c>
      <c r="AR1194" t="n">
        <v>201</v>
      </c>
      <c r="AS1194" t="n">
        <v>159</v>
      </c>
      <c r="AT1194" t="n">
        <v>4</v>
      </c>
      <c r="AU1194" t="n">
        <v>2</v>
      </c>
      <c r="AV1194" t="n">
        <v>81</v>
      </c>
      <c r="AW1194" t="n">
        <v>10</v>
      </c>
      <c r="AX1194" t="n">
        <v>0</v>
      </c>
      <c r="AY1194" t="n">
        <v>96</v>
      </c>
      <c r="AZ1194" t="n">
        <v>8</v>
      </c>
      <c r="BA1194" t="n">
        <v>61</v>
      </c>
      <c r="BB1194" t="n">
        <v>272</v>
      </c>
      <c r="BC1194" t="n">
        <v>19</v>
      </c>
      <c r="BD1194" t="n">
        <v>121</v>
      </c>
      <c r="BE1194" t="n">
        <v>9</v>
      </c>
      <c r="BF1194" t="n">
        <v>12</v>
      </c>
      <c r="BG1194" t="n">
        <v>2</v>
      </c>
      <c r="BH1194" t="n">
        <v>0</v>
      </c>
      <c r="BI1194" t="n">
        <v>9</v>
      </c>
      <c r="BJ1194" t="n">
        <v>28</v>
      </c>
      <c r="BK1194" t="n">
        <v>5</v>
      </c>
      <c r="BL1194" t="n">
        <v>116</v>
      </c>
      <c r="BM1194" t="n">
        <v>79</v>
      </c>
      <c r="BN1194" t="n">
        <v>0</v>
      </c>
      <c r="BO1194" t="n">
        <v>18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204</v>
      </c>
      <c r="Z1195" t="n">
        <v>275</v>
      </c>
      <c r="AA1195" t="n">
        <v>47</v>
      </c>
      <c r="AB1195" t="n">
        <v>1</v>
      </c>
      <c r="AC1195" t="n">
        <v>0</v>
      </c>
      <c r="AD1195" t="n">
        <v>0</v>
      </c>
      <c r="AE1195" t="n">
        <v>5</v>
      </c>
      <c r="AF1195" t="n">
        <v>0</v>
      </c>
      <c r="AG1195" t="n">
        <v>0</v>
      </c>
      <c r="AH1195" t="n">
        <v>26</v>
      </c>
      <c r="AI1195" t="n">
        <v>51</v>
      </c>
      <c r="AJ1195" t="n">
        <v>13</v>
      </c>
      <c r="AK1195" t="n">
        <v>1</v>
      </c>
      <c r="AL1195" t="n">
        <v>2</v>
      </c>
      <c r="AM1195" t="n">
        <v>42</v>
      </c>
      <c r="AN1195" t="n">
        <v>1</v>
      </c>
      <c r="AO1195" t="n">
        <v>0</v>
      </c>
      <c r="AP1195" t="n">
        <v>3</v>
      </c>
      <c r="AQ1195" t="n">
        <v>24</v>
      </c>
      <c r="AR1195" t="n">
        <v>72</v>
      </c>
      <c r="AS1195" t="n">
        <v>51</v>
      </c>
      <c r="AT1195" t="n">
        <v>1</v>
      </c>
      <c r="AU1195" t="n">
        <v>2</v>
      </c>
      <c r="AV1195" t="n">
        <v>34</v>
      </c>
      <c r="AW1195" t="n">
        <v>43</v>
      </c>
      <c r="AX1195" t="n">
        <v>0</v>
      </c>
      <c r="AY1195" t="n">
        <v>56</v>
      </c>
      <c r="AZ1195" t="n">
        <v>3</v>
      </c>
      <c r="BA1195" t="n">
        <v>17</v>
      </c>
      <c r="BB1195" t="n">
        <v>61</v>
      </c>
      <c r="BC1195" t="n">
        <v>33</v>
      </c>
      <c r="BD1195" t="n">
        <v>34</v>
      </c>
      <c r="BE1195" t="n">
        <v>43</v>
      </c>
      <c r="BF1195" t="n">
        <v>12</v>
      </c>
      <c r="BG1195" t="n">
        <v>3</v>
      </c>
      <c r="BH1195" t="n">
        <v>14</v>
      </c>
      <c r="BI1195" t="n">
        <v>14</v>
      </c>
      <c r="BJ1195" t="n">
        <v>17</v>
      </c>
      <c r="BK1195" t="n">
        <v>1</v>
      </c>
      <c r="BL1195" t="n">
        <v>15</v>
      </c>
      <c r="BM1195" t="n">
        <v>43</v>
      </c>
      <c r="BN1195" t="n">
        <v>22</v>
      </c>
      <c r="BO1195" t="n">
        <v>23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2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214</v>
      </c>
      <c r="Z1196" t="n">
        <v>150</v>
      </c>
      <c r="AA1196" t="n">
        <v>22</v>
      </c>
      <c r="AB1196" t="n">
        <v>0</v>
      </c>
      <c r="AC1196" t="n">
        <v>1</v>
      </c>
      <c r="AD1196" t="n">
        <v>5</v>
      </c>
      <c r="AE1196" t="n">
        <v>3</v>
      </c>
      <c r="AF1196" t="n">
        <v>3</v>
      </c>
      <c r="AG1196" t="n">
        <v>1</v>
      </c>
      <c r="AH1196" t="n">
        <v>79</v>
      </c>
      <c r="AI1196" t="n">
        <v>21</v>
      </c>
      <c r="AJ1196" t="n">
        <v>41</v>
      </c>
      <c r="AK1196" t="n">
        <v>10</v>
      </c>
      <c r="AL1196" t="n">
        <v>2</v>
      </c>
      <c r="AM1196" t="n">
        <v>27</v>
      </c>
      <c r="AN1196" t="n">
        <v>0</v>
      </c>
      <c r="AO1196" t="n">
        <v>0</v>
      </c>
      <c r="AP1196" t="n">
        <v>0</v>
      </c>
      <c r="AQ1196" t="n">
        <v>18</v>
      </c>
      <c r="AR1196" t="n">
        <v>122</v>
      </c>
      <c r="AS1196" t="n">
        <v>104</v>
      </c>
      <c r="AT1196" t="n">
        <v>0</v>
      </c>
      <c r="AU1196" t="n">
        <v>3</v>
      </c>
      <c r="AV1196" t="n">
        <v>12</v>
      </c>
      <c r="AW1196" t="n">
        <v>36</v>
      </c>
      <c r="AX1196" t="n">
        <v>8</v>
      </c>
      <c r="AY1196" t="n">
        <v>14</v>
      </c>
      <c r="AZ1196" t="n">
        <v>0</v>
      </c>
      <c r="BA1196" t="n">
        <v>4</v>
      </c>
      <c r="BB1196" t="n">
        <v>23</v>
      </c>
      <c r="BC1196" t="n">
        <v>22</v>
      </c>
      <c r="BD1196" t="n">
        <v>71</v>
      </c>
      <c r="BE1196" t="n">
        <v>36</v>
      </c>
      <c r="BF1196" t="n">
        <v>42</v>
      </c>
      <c r="BG1196" t="n">
        <v>4</v>
      </c>
      <c r="BH1196" t="n">
        <v>8</v>
      </c>
      <c r="BI1196" t="n">
        <v>27</v>
      </c>
      <c r="BJ1196" t="n">
        <v>24</v>
      </c>
      <c r="BK1196" t="n">
        <v>1</v>
      </c>
      <c r="BL1196" t="n">
        <v>5</v>
      </c>
      <c r="BM1196" t="n">
        <v>1</v>
      </c>
      <c r="BN1196" t="n">
        <v>0</v>
      </c>
      <c r="BO1196" t="n">
        <v>2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223</v>
      </c>
      <c r="Z1197" t="n">
        <v>139</v>
      </c>
      <c r="AA1197" t="n">
        <v>79</v>
      </c>
      <c r="AB1197" t="n">
        <v>2</v>
      </c>
      <c r="AC1197" t="n">
        <v>1</v>
      </c>
      <c r="AD1197" t="n">
        <v>7</v>
      </c>
      <c r="AE1197" t="n">
        <v>4</v>
      </c>
      <c r="AF1197" t="n">
        <v>1</v>
      </c>
      <c r="AG1197" t="n">
        <v>3</v>
      </c>
      <c r="AH1197" t="n">
        <v>101</v>
      </c>
      <c r="AI1197" t="n">
        <v>33</v>
      </c>
      <c r="AJ1197" t="n">
        <v>6</v>
      </c>
      <c r="AK1197" t="n">
        <v>57</v>
      </c>
      <c r="AL1197" t="n">
        <v>4</v>
      </c>
      <c r="AM1197" t="n">
        <v>6</v>
      </c>
      <c r="AN1197" t="n">
        <v>0</v>
      </c>
      <c r="AO1197" t="n">
        <v>0</v>
      </c>
      <c r="AP1197" t="n">
        <v>2</v>
      </c>
      <c r="AQ1197" t="n">
        <v>1</v>
      </c>
      <c r="AR1197" t="n">
        <v>72</v>
      </c>
      <c r="AS1197" t="n">
        <v>66</v>
      </c>
      <c r="AT1197" t="n">
        <v>0</v>
      </c>
      <c r="AU1197" t="n">
        <v>2</v>
      </c>
      <c r="AV1197" t="n">
        <v>1</v>
      </c>
      <c r="AW1197" t="n">
        <v>11</v>
      </c>
      <c r="AX1197" t="n">
        <v>1</v>
      </c>
      <c r="AY1197" t="n">
        <v>46</v>
      </c>
      <c r="AZ1197" t="n">
        <v>0</v>
      </c>
      <c r="BA1197" t="n">
        <v>8</v>
      </c>
      <c r="BB1197" t="n">
        <v>83</v>
      </c>
      <c r="BC1197" t="n">
        <v>3</v>
      </c>
      <c r="BD1197" t="n">
        <v>92</v>
      </c>
      <c r="BE1197" t="n">
        <v>10</v>
      </c>
      <c r="BF1197" t="n">
        <v>-3</v>
      </c>
      <c r="BG1197" t="n">
        <v>5</v>
      </c>
      <c r="BH1197" t="n">
        <v>0</v>
      </c>
      <c r="BI1197" t="n">
        <v>35</v>
      </c>
      <c r="BJ1197" t="n">
        <v>41</v>
      </c>
      <c r="BK1197" t="n">
        <v>5</v>
      </c>
      <c r="BL1197" t="n">
        <v>1</v>
      </c>
      <c r="BM1197" t="n">
        <v>39</v>
      </c>
      <c r="BN1197" t="n">
        <v>24</v>
      </c>
      <c r="BO1197" t="n">
        <v>23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3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269</v>
      </c>
      <c r="Z1198" t="n">
        <v>324</v>
      </c>
      <c r="AA1198" t="n">
        <v>72</v>
      </c>
      <c r="AB1198" t="n">
        <v>1</v>
      </c>
      <c r="AC1198" t="n">
        <v>3</v>
      </c>
      <c r="AD1198" t="n">
        <v>10</v>
      </c>
      <c r="AE1198" t="n">
        <v>4</v>
      </c>
      <c r="AF1198" t="n">
        <v>1</v>
      </c>
      <c r="AG1198" t="n">
        <v>3</v>
      </c>
      <c r="AH1198" t="n">
        <v>105</v>
      </c>
      <c r="AI1198" t="n">
        <v>36</v>
      </c>
      <c r="AJ1198" t="n">
        <v>2</v>
      </c>
      <c r="AK1198" t="n">
        <v>74</v>
      </c>
      <c r="AL1198" t="n">
        <v>3</v>
      </c>
      <c r="AM1198" t="n">
        <v>105</v>
      </c>
      <c r="AN1198" t="n">
        <v>0</v>
      </c>
      <c r="AO1198" t="n">
        <v>0</v>
      </c>
      <c r="AP1198" t="n">
        <v>3</v>
      </c>
      <c r="AQ1198" t="n">
        <v>9</v>
      </c>
      <c r="AR1198" t="n">
        <v>106</v>
      </c>
      <c r="AS1198" t="n">
        <v>97</v>
      </c>
      <c r="AT1198" t="n">
        <v>1</v>
      </c>
      <c r="AU1198" t="n">
        <v>2</v>
      </c>
      <c r="AV1198" t="n">
        <v>5</v>
      </c>
      <c r="AW1198" t="n">
        <v>27</v>
      </c>
      <c r="AX1198" t="n">
        <v>0</v>
      </c>
      <c r="AY1198" t="n">
        <v>20</v>
      </c>
      <c r="AZ1198" t="n">
        <v>1</v>
      </c>
      <c r="BA1198" t="n">
        <v>16</v>
      </c>
      <c r="BB1198" t="n">
        <v>85</v>
      </c>
      <c r="BC1198" t="n">
        <v>85</v>
      </c>
      <c r="BD1198" t="n">
        <v>96</v>
      </c>
      <c r="BE1198" t="n">
        <v>27</v>
      </c>
      <c r="BF1198" t="n">
        <v>5</v>
      </c>
      <c r="BG1198" t="n">
        <v>2</v>
      </c>
      <c r="BH1198" t="n">
        <v>17</v>
      </c>
      <c r="BI1198" t="n">
        <v>30</v>
      </c>
      <c r="BJ1198" t="n">
        <v>27</v>
      </c>
      <c r="BK1198" t="n">
        <v>1</v>
      </c>
      <c r="BL1198" t="n">
        <v>1</v>
      </c>
      <c r="BM1198" t="n">
        <v>1</v>
      </c>
      <c r="BN1198" t="n">
        <v>0</v>
      </c>
      <c r="BO1198" t="n">
        <v>70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4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282</v>
      </c>
      <c r="Z1199" t="n">
        <v>266</v>
      </c>
      <c r="AA1199" t="n">
        <v>30</v>
      </c>
      <c r="AB1199" t="n">
        <v>0</v>
      </c>
      <c r="AC1199" t="n">
        <v>0</v>
      </c>
      <c r="AD1199" t="n">
        <v>6</v>
      </c>
      <c r="AE1199" t="n">
        <v>3</v>
      </c>
      <c r="AF1199" t="n">
        <v>4</v>
      </c>
      <c r="AG1199" t="n">
        <v>5</v>
      </c>
      <c r="AH1199" t="n">
        <v>65</v>
      </c>
      <c r="AI1199" t="n">
        <v>42</v>
      </c>
      <c r="AJ1199" t="n">
        <v>93</v>
      </c>
      <c r="AK1199" t="n">
        <v>80</v>
      </c>
      <c r="AL1199" t="n">
        <v>5</v>
      </c>
      <c r="AM1199" t="n">
        <v>53</v>
      </c>
      <c r="AN1199" t="n">
        <v>0</v>
      </c>
      <c r="AO1199" t="n">
        <v>0</v>
      </c>
      <c r="AP1199" t="n">
        <v>8</v>
      </c>
      <c r="AQ1199" t="n">
        <v>56</v>
      </c>
      <c r="AR1199" t="n">
        <v>119</v>
      </c>
      <c r="AS1199" t="n">
        <v>70</v>
      </c>
      <c r="AT1199" t="n">
        <v>3</v>
      </c>
      <c r="AU1199" t="n">
        <v>1</v>
      </c>
      <c r="AV1199" t="n">
        <v>29</v>
      </c>
      <c r="AW1199" t="n">
        <v>11</v>
      </c>
      <c r="AX1199" t="n">
        <v>0</v>
      </c>
      <c r="AY1199" t="n">
        <v>23</v>
      </c>
      <c r="AZ1199" t="n">
        <v>4</v>
      </c>
      <c r="BA1199" t="n">
        <v>22</v>
      </c>
      <c r="BB1199" t="n">
        <v>52</v>
      </c>
      <c r="BC1199" t="n">
        <v>49</v>
      </c>
      <c r="BD1199" t="n">
        <v>63</v>
      </c>
      <c r="BE1199" t="n">
        <v>11</v>
      </c>
      <c r="BF1199" t="n">
        <v>84</v>
      </c>
      <c r="BG1199" t="n">
        <v>0</v>
      </c>
      <c r="BH1199" t="n">
        <v>4</v>
      </c>
      <c r="BI1199" t="n">
        <v>18</v>
      </c>
      <c r="BJ1199" t="n">
        <v>18</v>
      </c>
      <c r="BK1199" t="n">
        <v>2</v>
      </c>
      <c r="BL1199" t="n">
        <v>24</v>
      </c>
      <c r="BM1199" t="n">
        <v>18</v>
      </c>
      <c r="BN1199" t="n">
        <v>3</v>
      </c>
      <c r="BO1199" t="n">
        <v>23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145</v>
      </c>
      <c r="Z1200" t="n">
        <v>199</v>
      </c>
      <c r="AA1200" t="n">
        <v>107</v>
      </c>
      <c r="AB1200" t="n">
        <v>2</v>
      </c>
      <c r="AC1200" t="n">
        <v>0</v>
      </c>
      <c r="AD1200" t="n">
        <v>2</v>
      </c>
      <c r="AE1200" t="n">
        <v>5</v>
      </c>
      <c r="AF1200" t="n">
        <v>1</v>
      </c>
      <c r="AG1200" t="n">
        <v>6</v>
      </c>
      <c r="AH1200" t="n">
        <v>13</v>
      </c>
      <c r="AI1200" t="n">
        <v>32</v>
      </c>
      <c r="AJ1200" t="n">
        <v>49</v>
      </c>
      <c r="AK1200" t="n">
        <v>42</v>
      </c>
      <c r="AL1200" t="n">
        <v>2</v>
      </c>
      <c r="AM1200" t="n">
        <v>58</v>
      </c>
      <c r="AN1200" t="n">
        <v>1</v>
      </c>
      <c r="AO1200" t="n">
        <v>0</v>
      </c>
      <c r="AP1200" t="n">
        <v>6</v>
      </c>
      <c r="AQ1200" t="n">
        <v>21</v>
      </c>
      <c r="AR1200" t="n">
        <v>44</v>
      </c>
      <c r="AS1200" t="n">
        <v>27</v>
      </c>
      <c r="AT1200" t="n">
        <v>2</v>
      </c>
      <c r="AU1200" t="n">
        <v>2</v>
      </c>
      <c r="AV1200" t="n">
        <v>6</v>
      </c>
      <c r="AW1200" t="n">
        <v>12</v>
      </c>
      <c r="AX1200" t="n">
        <v>5</v>
      </c>
      <c r="AY1200" t="n">
        <v>28</v>
      </c>
      <c r="AZ1200" t="n">
        <v>3</v>
      </c>
      <c r="BA1200" t="n">
        <v>24</v>
      </c>
      <c r="BB1200" t="n">
        <v>125</v>
      </c>
      <c r="BC1200" t="n">
        <v>56</v>
      </c>
      <c r="BD1200" t="n">
        <v>11</v>
      </c>
      <c r="BE1200" t="n">
        <v>12</v>
      </c>
      <c r="BF1200" t="n">
        <v>41</v>
      </c>
      <c r="BG1200" t="n">
        <v>1</v>
      </c>
      <c r="BH1200" t="n">
        <v>2</v>
      </c>
      <c r="BI1200" t="n">
        <v>28</v>
      </c>
      <c r="BJ1200" t="n">
        <v>25</v>
      </c>
      <c r="BK1200" t="n">
        <v>1</v>
      </c>
      <c r="BL1200" t="n">
        <v>16</v>
      </c>
      <c r="BM1200" t="n">
        <v>21</v>
      </c>
      <c r="BN1200" t="n">
        <v>7</v>
      </c>
      <c r="BO1200" t="n">
        <v>2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2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241</v>
      </c>
      <c r="Z1201" t="n">
        <v>181</v>
      </c>
      <c r="AA1201" t="n">
        <v>96</v>
      </c>
      <c r="AB1201" t="n">
        <v>0</v>
      </c>
      <c r="AC1201" t="n">
        <v>1</v>
      </c>
      <c r="AD1201" t="n">
        <v>3</v>
      </c>
      <c r="AE1201" t="n">
        <v>7</v>
      </c>
      <c r="AF1201" t="n">
        <v>1</v>
      </c>
      <c r="AG1201" t="n">
        <v>6</v>
      </c>
      <c r="AH1201" t="n">
        <v>21</v>
      </c>
      <c r="AI1201" t="n">
        <v>47</v>
      </c>
      <c r="AJ1201" t="n">
        <v>19</v>
      </c>
      <c r="AK1201" t="n">
        <v>102</v>
      </c>
      <c r="AL1201" t="n">
        <v>1</v>
      </c>
      <c r="AM1201" t="n">
        <v>20</v>
      </c>
      <c r="AN1201" t="n">
        <v>0</v>
      </c>
      <c r="AO1201" t="n">
        <v>0</v>
      </c>
      <c r="AP1201" t="n">
        <v>0</v>
      </c>
      <c r="AQ1201" t="n">
        <v>12</v>
      </c>
      <c r="AR1201" t="n">
        <v>45</v>
      </c>
      <c r="AS1201" t="n">
        <v>35</v>
      </c>
      <c r="AT1201" t="n">
        <v>5</v>
      </c>
      <c r="AU1201" t="n">
        <v>2</v>
      </c>
      <c r="AV1201" t="n">
        <v>27</v>
      </c>
      <c r="AW1201" t="n">
        <v>23</v>
      </c>
      <c r="AX1201" t="n">
        <v>1</v>
      </c>
      <c r="AY1201" t="n">
        <v>50</v>
      </c>
      <c r="AZ1201" t="n">
        <v>0</v>
      </c>
      <c r="BA1201" t="n">
        <v>2</v>
      </c>
      <c r="BB1201" t="n">
        <v>94</v>
      </c>
      <c r="BC1201" t="n">
        <v>18</v>
      </c>
      <c r="BD1201" t="n">
        <v>28</v>
      </c>
      <c r="BE1201" t="n">
        <v>25</v>
      </c>
      <c r="BF1201" t="n">
        <v>16</v>
      </c>
      <c r="BG1201" t="n">
        <v>2</v>
      </c>
      <c r="BH1201" t="n">
        <v>0</v>
      </c>
      <c r="BI1201" t="n">
        <v>39</v>
      </c>
      <c r="BJ1201" t="n">
        <v>36</v>
      </c>
      <c r="BK1201" t="n">
        <v>1</v>
      </c>
      <c r="BL1201" t="n">
        <v>9</v>
      </c>
      <c r="BM1201" t="n">
        <v>6</v>
      </c>
      <c r="BN1201" t="n">
        <v>0</v>
      </c>
      <c r="BO1201" t="n">
        <v>2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3</v>
      </c>
      <c r="U1202" t="n">
        <v>0</v>
      </c>
      <c r="V1202" t="n">
        <v>0</v>
      </c>
      <c r="W1202" t="n">
        <v>0</v>
      </c>
      <c r="X1202" t="n">
        <v>0</v>
      </c>
      <c r="Y1202" t="n">
        <v>170</v>
      </c>
      <c r="Z1202" t="n">
        <v>137</v>
      </c>
      <c r="AA1202" t="n">
        <v>118</v>
      </c>
      <c r="AB1202" t="n">
        <v>0</v>
      </c>
      <c r="AC1202" t="n">
        <v>0</v>
      </c>
      <c r="AD1202" t="n">
        <v>4</v>
      </c>
      <c r="AE1202" t="n">
        <v>4</v>
      </c>
      <c r="AF1202" t="n">
        <v>4</v>
      </c>
      <c r="AG1202" t="n">
        <v>6</v>
      </c>
      <c r="AH1202" t="n">
        <v>22</v>
      </c>
      <c r="AI1202" t="n">
        <v>24</v>
      </c>
      <c r="AJ1202" t="n">
        <v>32</v>
      </c>
      <c r="AK1202" t="n">
        <v>33</v>
      </c>
      <c r="AL1202" t="n">
        <v>1</v>
      </c>
      <c r="AM1202" t="n">
        <v>2</v>
      </c>
      <c r="AN1202" t="n">
        <v>0</v>
      </c>
      <c r="AO1202" t="n">
        <v>0</v>
      </c>
      <c r="AP1202" t="n">
        <v>7</v>
      </c>
      <c r="AQ1202" t="n">
        <v>62</v>
      </c>
      <c r="AR1202" t="n">
        <v>78</v>
      </c>
      <c r="AS1202" t="n">
        <v>23</v>
      </c>
      <c r="AT1202" t="n">
        <v>1</v>
      </c>
      <c r="AU1202" t="n">
        <v>1</v>
      </c>
      <c r="AV1202" t="n">
        <v>20</v>
      </c>
      <c r="AW1202" t="n">
        <v>30</v>
      </c>
      <c r="AX1202" t="n">
        <v>4</v>
      </c>
      <c r="AY1202" t="n">
        <v>24</v>
      </c>
      <c r="AZ1202" t="n">
        <v>0</v>
      </c>
      <c r="BA1202" t="n">
        <v>1</v>
      </c>
      <c r="BB1202" t="n">
        <v>115</v>
      </c>
      <c r="BC1202" t="n">
        <v>6</v>
      </c>
      <c r="BD1202" t="n">
        <v>23</v>
      </c>
      <c r="BE1202" t="n">
        <v>29</v>
      </c>
      <c r="BF1202" t="n">
        <v>61</v>
      </c>
      <c r="BG1202" t="n">
        <v>1</v>
      </c>
      <c r="BH1202" t="n">
        <v>17</v>
      </c>
      <c r="BI1202" t="n">
        <v>1</v>
      </c>
      <c r="BJ1202" t="n">
        <v>1</v>
      </c>
      <c r="BK1202" t="n">
        <v>1</v>
      </c>
      <c r="BL1202" t="n">
        <v>-1</v>
      </c>
      <c r="BM1202" t="n">
        <v>0</v>
      </c>
      <c r="BN1202" t="n">
        <v>0</v>
      </c>
      <c r="BO1202" t="n">
        <v>2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2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328</v>
      </c>
      <c r="Z1203" t="n">
        <v>219</v>
      </c>
      <c r="AA1203" t="n">
        <v>33</v>
      </c>
      <c r="AB1203" t="n">
        <v>1</v>
      </c>
      <c r="AC1203" t="n">
        <v>2</v>
      </c>
      <c r="AD1203" t="n">
        <v>11</v>
      </c>
      <c r="AE1203" t="n">
        <v>10</v>
      </c>
      <c r="AF1203" t="n">
        <v>2</v>
      </c>
      <c r="AG1203" t="n">
        <v>7</v>
      </c>
      <c r="AH1203" t="n">
        <v>111</v>
      </c>
      <c r="AI1203" t="n">
        <v>83</v>
      </c>
      <c r="AJ1203" t="n">
        <v>32</v>
      </c>
      <c r="AK1203" t="n">
        <v>87</v>
      </c>
      <c r="AL1203" t="n">
        <v>7</v>
      </c>
      <c r="AM1203" t="n">
        <v>59</v>
      </c>
      <c r="AN1203" t="n">
        <v>0</v>
      </c>
      <c r="AO1203" t="n">
        <v>0</v>
      </c>
      <c r="AP1203" t="n">
        <v>2</v>
      </c>
      <c r="AQ1203" t="n">
        <v>12</v>
      </c>
      <c r="AR1203" t="n">
        <v>87</v>
      </c>
      <c r="AS1203" t="n">
        <v>76</v>
      </c>
      <c r="AT1203" t="n">
        <v>3</v>
      </c>
      <c r="AU1203" t="n">
        <v>2</v>
      </c>
      <c r="AV1203" t="n">
        <v>50</v>
      </c>
      <c r="AW1203" t="n">
        <v>25</v>
      </c>
      <c r="AX1203" t="n">
        <v>0</v>
      </c>
      <c r="AY1203" t="n">
        <v>39</v>
      </c>
      <c r="AZ1203" t="n">
        <v>7</v>
      </c>
      <c r="BA1203" t="n">
        <v>35</v>
      </c>
      <c r="BB1203" t="n">
        <v>69</v>
      </c>
      <c r="BC1203" t="n">
        <v>49</v>
      </c>
      <c r="BD1203" t="n">
        <v>99</v>
      </c>
      <c r="BE1203" t="n">
        <v>25</v>
      </c>
      <c r="BF1203" t="n">
        <v>29</v>
      </c>
      <c r="BG1203" t="n">
        <v>3</v>
      </c>
      <c r="BH1203" t="n">
        <v>6</v>
      </c>
      <c r="BI1203" t="n">
        <v>1</v>
      </c>
      <c r="BJ1203" t="n">
        <v>11</v>
      </c>
      <c r="BK1203" t="n">
        <v>2</v>
      </c>
      <c r="BL1203" t="n">
        <v>16</v>
      </c>
      <c r="BM1203" t="n">
        <v>44</v>
      </c>
      <c r="BN1203" t="n">
        <v>22</v>
      </c>
      <c r="BO1203" t="n">
        <v>11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185</v>
      </c>
      <c r="Z1204" t="n">
        <v>114</v>
      </c>
      <c r="AA1204" t="n">
        <v>26</v>
      </c>
      <c r="AB1204" t="n">
        <v>0</v>
      </c>
      <c r="AC1204" t="n">
        <v>2</v>
      </c>
      <c r="AD1204" t="n">
        <v>5</v>
      </c>
      <c r="AE1204" t="n">
        <v>7</v>
      </c>
      <c r="AF1204" t="n">
        <v>2</v>
      </c>
      <c r="AG1204" t="n">
        <v>5</v>
      </c>
      <c r="AH1204" t="n">
        <v>38</v>
      </c>
      <c r="AI1204" t="n">
        <v>59</v>
      </c>
      <c r="AJ1204" t="n">
        <v>12</v>
      </c>
      <c r="AK1204" t="n">
        <v>74</v>
      </c>
      <c r="AL1204" t="n">
        <v>3</v>
      </c>
      <c r="AM1204" t="n">
        <v>18</v>
      </c>
      <c r="AN1204" t="n">
        <v>0</v>
      </c>
      <c r="AO1204" t="n">
        <v>0</v>
      </c>
      <c r="AP1204" t="n">
        <v>3</v>
      </c>
      <c r="AQ1204" t="n">
        <v>15</v>
      </c>
      <c r="AR1204" t="n">
        <v>89</v>
      </c>
      <c r="AS1204" t="n">
        <v>76</v>
      </c>
      <c r="AT1204" t="n">
        <v>1</v>
      </c>
      <c r="AU1204" t="n">
        <v>1</v>
      </c>
      <c r="AV1204" t="n">
        <v>6</v>
      </c>
      <c r="AW1204" t="n">
        <v>13</v>
      </c>
      <c r="AX1204" t="n">
        <v>0</v>
      </c>
      <c r="AY1204" t="n">
        <v>15</v>
      </c>
      <c r="AZ1204" t="n">
        <v>1</v>
      </c>
      <c r="BA1204" t="n">
        <v>1</v>
      </c>
      <c r="BB1204" t="n">
        <v>26</v>
      </c>
      <c r="BC1204" t="n">
        <v>30</v>
      </c>
      <c r="BD1204" t="n">
        <v>38</v>
      </c>
      <c r="BE1204" t="n">
        <v>13</v>
      </c>
      <c r="BF1204" t="n">
        <v>10</v>
      </c>
      <c r="BG1204" t="n">
        <v>1</v>
      </c>
      <c r="BH1204" t="n">
        <v>4</v>
      </c>
      <c r="BI1204" t="n">
        <v>31</v>
      </c>
      <c r="BJ1204" t="n">
        <v>35</v>
      </c>
      <c r="BK1204" t="n">
        <v>3</v>
      </c>
      <c r="BL1204" t="n">
        <v>8</v>
      </c>
      <c r="BM1204" t="n">
        <v>28</v>
      </c>
      <c r="BN1204" t="n">
        <v>15</v>
      </c>
      <c r="BO1204" t="n">
        <v>2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113</v>
      </c>
      <c r="Z1205" t="n">
        <v>195</v>
      </c>
      <c r="AA1205" t="n">
        <v>54</v>
      </c>
      <c r="AB1205" t="n">
        <v>2</v>
      </c>
      <c r="AC1205" t="n">
        <v>2</v>
      </c>
      <c r="AD1205" t="n">
        <v>3</v>
      </c>
      <c r="AE1205" t="n">
        <v>10</v>
      </c>
      <c r="AF1205" t="n">
        <v>0</v>
      </c>
      <c r="AG1205" t="n">
        <v>2</v>
      </c>
      <c r="AH1205" t="n">
        <v>10</v>
      </c>
      <c r="AI1205" t="n">
        <v>97</v>
      </c>
      <c r="AJ1205" t="n">
        <v>2</v>
      </c>
      <c r="AK1205" t="n">
        <v>7</v>
      </c>
      <c r="AL1205" t="n">
        <v>3</v>
      </c>
      <c r="AM1205" t="n">
        <v>11</v>
      </c>
      <c r="AN1205" t="n">
        <v>0</v>
      </c>
      <c r="AO1205" t="n">
        <v>0</v>
      </c>
      <c r="AP1205" t="n">
        <v>3</v>
      </c>
      <c r="AQ1205" t="n">
        <v>33</v>
      </c>
      <c r="AR1205" t="n">
        <v>87</v>
      </c>
      <c r="AS1205" t="n">
        <v>58</v>
      </c>
      <c r="AT1205" t="n">
        <v>2</v>
      </c>
      <c r="AU1205" t="n">
        <v>1</v>
      </c>
      <c r="AV1205" t="n">
        <v>1</v>
      </c>
      <c r="AW1205" t="n">
        <v>5</v>
      </c>
      <c r="AX1205" t="n">
        <v>0</v>
      </c>
      <c r="AY1205" t="n">
        <v>28</v>
      </c>
      <c r="AZ1205" t="n">
        <v>0</v>
      </c>
      <c r="BA1205" t="n">
        <v>1</v>
      </c>
      <c r="BB1205" t="n">
        <v>54</v>
      </c>
      <c r="BC1205" t="n">
        <v>9</v>
      </c>
      <c r="BD1205" t="n">
        <v>7</v>
      </c>
      <c r="BE1205" t="n">
        <v>11</v>
      </c>
      <c r="BF1205" t="n">
        <v>3</v>
      </c>
      <c r="BG1205" t="n">
        <v>3</v>
      </c>
      <c r="BH1205" t="n">
        <v>8</v>
      </c>
      <c r="BI1205" t="n">
        <v>29</v>
      </c>
      <c r="BJ1205" t="n">
        <v>27</v>
      </c>
      <c r="BK1205" t="n">
        <v>5</v>
      </c>
      <c r="BL1205" t="n">
        <v>22</v>
      </c>
      <c r="BM1205" t="n">
        <v>43</v>
      </c>
      <c r="BN1205" t="n">
        <v>20</v>
      </c>
      <c r="BO1205" t="n">
        <v>2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251</v>
      </c>
      <c r="Z1206" t="n">
        <v>207</v>
      </c>
      <c r="AA1206" t="n">
        <v>93</v>
      </c>
      <c r="AB1206" t="n">
        <v>0</v>
      </c>
      <c r="AC1206" t="n">
        <v>0</v>
      </c>
      <c r="AD1206" t="n">
        <v>6</v>
      </c>
      <c r="AE1206" t="n">
        <v>13</v>
      </c>
      <c r="AF1206" t="n">
        <v>3</v>
      </c>
      <c r="AG1206" t="n">
        <v>4</v>
      </c>
      <c r="AH1206" t="n">
        <v>55</v>
      </c>
      <c r="AI1206" t="n">
        <v>73</v>
      </c>
      <c r="AJ1206" t="n">
        <v>24</v>
      </c>
      <c r="AK1206" t="n">
        <v>42</v>
      </c>
      <c r="AL1206" t="n">
        <v>3</v>
      </c>
      <c r="AM1206" t="n">
        <v>51</v>
      </c>
      <c r="AN1206" t="n">
        <v>0</v>
      </c>
      <c r="AO1206" t="n">
        <v>0</v>
      </c>
      <c r="AP1206" t="n">
        <v>8</v>
      </c>
      <c r="AQ1206" t="n">
        <v>48</v>
      </c>
      <c r="AR1206" t="n">
        <v>150</v>
      </c>
      <c r="AS1206" t="n">
        <v>109</v>
      </c>
      <c r="AT1206" t="n">
        <v>4</v>
      </c>
      <c r="AU1206" t="n">
        <v>1</v>
      </c>
      <c r="AV1206" t="n">
        <v>32</v>
      </c>
      <c r="AW1206" t="n">
        <v>6</v>
      </c>
      <c r="AX1206" t="n">
        <v>0</v>
      </c>
      <c r="AY1206" t="n">
        <v>67</v>
      </c>
      <c r="AZ1206" t="n">
        <v>4</v>
      </c>
      <c r="BA1206" t="n">
        <v>11</v>
      </c>
      <c r="BB1206" t="n">
        <v>100</v>
      </c>
      <c r="BC1206" t="n">
        <v>43</v>
      </c>
      <c r="BD1206" t="n">
        <v>83</v>
      </c>
      <c r="BE1206" t="n">
        <v>6</v>
      </c>
      <c r="BF1206" t="n">
        <v>18</v>
      </c>
      <c r="BG1206" t="n">
        <v>3</v>
      </c>
      <c r="BH1206" t="n">
        <v>27</v>
      </c>
      <c r="BI1206" t="n">
        <v>15</v>
      </c>
      <c r="BJ1206" t="n">
        <v>13</v>
      </c>
      <c r="BK1206" t="n">
        <v>5</v>
      </c>
      <c r="BL1206" t="n">
        <v>24</v>
      </c>
      <c r="BM1206" t="n">
        <v>26</v>
      </c>
      <c r="BN1206" t="n">
        <v>8</v>
      </c>
      <c r="BO1206" t="n">
        <v>2</v>
      </c>
    </row>
    <row r="1207">
      <c r="A1207" t="n">
        <v>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95</v>
      </c>
      <c r="Z1207" t="n">
        <v>85</v>
      </c>
      <c r="AA1207" t="n">
        <v>23</v>
      </c>
      <c r="AB1207" t="n">
        <v>1</v>
      </c>
      <c r="AC1207" t="n">
        <v>0</v>
      </c>
      <c r="AD1207" t="n">
        <v>4</v>
      </c>
      <c r="AE1207" t="n">
        <v>6</v>
      </c>
      <c r="AF1207" t="n">
        <v>5</v>
      </c>
      <c r="AG1207" t="n">
        <v>2</v>
      </c>
      <c r="AH1207" t="n">
        <v>16</v>
      </c>
      <c r="AI1207" t="n">
        <v>32</v>
      </c>
      <c r="AJ1207" t="n">
        <v>27</v>
      </c>
      <c r="AK1207" t="n">
        <v>1</v>
      </c>
      <c r="AL1207" t="n">
        <v>0</v>
      </c>
      <c r="AM1207" t="n">
        <v>32</v>
      </c>
      <c r="AN1207" t="n">
        <v>0</v>
      </c>
      <c r="AO1207" t="n">
        <v>0</v>
      </c>
      <c r="AP1207" t="n">
        <v>3</v>
      </c>
      <c r="AQ1207" t="n">
        <v>-7</v>
      </c>
      <c r="AR1207" t="n">
        <v>29</v>
      </c>
      <c r="AS1207" t="n">
        <v>32</v>
      </c>
      <c r="AT1207" t="n">
        <v>3</v>
      </c>
      <c r="AU1207" t="n">
        <v>3</v>
      </c>
      <c r="AV1207" t="n">
        <v>6</v>
      </c>
      <c r="AW1207" t="n">
        <v>14</v>
      </c>
      <c r="AX1207" t="n">
        <v>2</v>
      </c>
      <c r="AY1207" t="n">
        <v>44</v>
      </c>
      <c r="AZ1207" t="n">
        <v>3</v>
      </c>
      <c r="BA1207" t="n">
        <v>10</v>
      </c>
      <c r="BB1207" t="n">
        <v>33</v>
      </c>
      <c r="BC1207" t="n">
        <v>62</v>
      </c>
      <c r="BD1207" t="n">
        <v>32</v>
      </c>
      <c r="BE1207" t="n">
        <v>14</v>
      </c>
      <c r="BF1207" t="n">
        <v>42</v>
      </c>
      <c r="BG1207" t="n">
        <v>2</v>
      </c>
      <c r="BH1207" t="n">
        <v>0</v>
      </c>
      <c r="BI1207" t="n">
        <v>6</v>
      </c>
      <c r="BJ1207" t="n">
        <v>1</v>
      </c>
      <c r="BK1207" t="n">
        <v>0</v>
      </c>
      <c r="BL1207" t="n">
        <v>1</v>
      </c>
      <c r="BM1207" t="n">
        <v>20</v>
      </c>
      <c r="BN1207" t="n">
        <v>11</v>
      </c>
      <c r="BO1207" t="n">
        <v>44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2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192</v>
      </c>
      <c r="Z1208" t="n">
        <v>134</v>
      </c>
      <c r="AA1208" t="n">
        <v>49</v>
      </c>
      <c r="AB1208" t="n">
        <v>1</v>
      </c>
      <c r="AC1208" t="n">
        <v>3</v>
      </c>
      <c r="AD1208" t="n">
        <v>1</v>
      </c>
      <c r="AE1208" t="n">
        <v>3</v>
      </c>
      <c r="AF1208" t="n">
        <v>1</v>
      </c>
      <c r="AG1208" t="n">
        <v>3</v>
      </c>
      <c r="AH1208" t="n">
        <v>8</v>
      </c>
      <c r="AI1208" t="n">
        <v>9</v>
      </c>
      <c r="AJ1208" t="n">
        <v>37</v>
      </c>
      <c r="AK1208" t="n">
        <v>13</v>
      </c>
      <c r="AL1208" t="n">
        <v>2</v>
      </c>
      <c r="AM1208" t="n">
        <v>66</v>
      </c>
      <c r="AN1208" t="n">
        <v>0</v>
      </c>
      <c r="AO1208" t="n">
        <v>0</v>
      </c>
      <c r="AP1208" t="n">
        <v>4</v>
      </c>
      <c r="AQ1208" t="n">
        <v>76</v>
      </c>
      <c r="AR1208" t="n">
        <v>121</v>
      </c>
      <c r="AS1208" t="n">
        <v>56</v>
      </c>
      <c r="AT1208" t="n">
        <v>0</v>
      </c>
      <c r="AU1208" t="n">
        <v>1</v>
      </c>
      <c r="AV1208" t="n">
        <v>1</v>
      </c>
      <c r="AW1208" t="n">
        <v>4</v>
      </c>
      <c r="AX1208" t="n">
        <v>-10</v>
      </c>
      <c r="AY1208" t="n">
        <v>17</v>
      </c>
      <c r="AZ1208" t="n">
        <v>1</v>
      </c>
      <c r="BA1208" t="n">
        <v>11</v>
      </c>
      <c r="BB1208" t="n">
        <v>58</v>
      </c>
      <c r="BC1208" t="n">
        <v>55</v>
      </c>
      <c r="BD1208" t="n">
        <v>31</v>
      </c>
      <c r="BE1208" t="n">
        <v>4</v>
      </c>
      <c r="BF1208" t="n">
        <v>32</v>
      </c>
      <c r="BG1208" t="n">
        <v>0</v>
      </c>
      <c r="BH1208" t="n">
        <v>0</v>
      </c>
      <c r="BI1208" t="n">
        <v>1</v>
      </c>
      <c r="BJ1208" t="n">
        <v>5</v>
      </c>
      <c r="BK1208" t="n">
        <v>1</v>
      </c>
      <c r="BL1208" t="n">
        <v>-1</v>
      </c>
      <c r="BM1208" t="n">
        <v>0</v>
      </c>
      <c r="BN1208" t="n">
        <v>0</v>
      </c>
      <c r="BO1208" t="n">
        <v>14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166</v>
      </c>
      <c r="Z1209" t="n">
        <v>159</v>
      </c>
      <c r="AA1209" t="n">
        <v>152</v>
      </c>
      <c r="AB1209" t="n">
        <v>0</v>
      </c>
      <c r="AC1209" t="n">
        <v>0</v>
      </c>
      <c r="AD1209" t="n">
        <v>6</v>
      </c>
      <c r="AE1209" t="n">
        <v>6</v>
      </c>
      <c r="AF1209" t="n">
        <v>3</v>
      </c>
      <c r="AG1209" t="n">
        <v>1</v>
      </c>
      <c r="AH1209" t="n">
        <v>62</v>
      </c>
      <c r="AI1209" t="n">
        <v>31</v>
      </c>
      <c r="AJ1209" t="n">
        <v>10</v>
      </c>
      <c r="AK1209" t="n">
        <v>38</v>
      </c>
      <c r="AL1209" t="n">
        <v>1</v>
      </c>
      <c r="AM1209" t="n">
        <v>27</v>
      </c>
      <c r="AN1209" t="n">
        <v>0</v>
      </c>
      <c r="AO1209" t="n">
        <v>1</v>
      </c>
      <c r="AP1209" t="n">
        <v>1</v>
      </c>
      <c r="AQ1209" t="n">
        <v>23</v>
      </c>
      <c r="AR1209" t="n">
        <v>126</v>
      </c>
      <c r="AS1209" t="n">
        <v>104</v>
      </c>
      <c r="AT1209" t="n">
        <v>0</v>
      </c>
      <c r="AU1209" t="n">
        <v>1</v>
      </c>
      <c r="AV1209" t="n">
        <v>1</v>
      </c>
      <c r="AW1209" t="n">
        <v>25</v>
      </c>
      <c r="AX1209" t="n">
        <v>4</v>
      </c>
      <c r="AY1209" t="n">
        <v>51</v>
      </c>
      <c r="AZ1209" t="n">
        <v>2</v>
      </c>
      <c r="BA1209" t="n">
        <v>26</v>
      </c>
      <c r="BB1209" t="n">
        <v>165</v>
      </c>
      <c r="BC1209" t="n">
        <v>22</v>
      </c>
      <c r="BD1209" t="n">
        <v>58</v>
      </c>
      <c r="BE1209" t="n">
        <v>25</v>
      </c>
      <c r="BF1209" t="n">
        <v>18</v>
      </c>
      <c r="BG1209" t="n">
        <v>2</v>
      </c>
      <c r="BH1209" t="n">
        <v>5</v>
      </c>
      <c r="BI1209" t="n">
        <v>39</v>
      </c>
      <c r="BJ1209" t="n">
        <v>36</v>
      </c>
      <c r="BK1209" t="n">
        <v>2</v>
      </c>
      <c r="BL1209" t="n">
        <v>25</v>
      </c>
      <c r="BM1209" t="n">
        <v>26</v>
      </c>
      <c r="BN1209" t="n">
        <v>7</v>
      </c>
      <c r="BO1209" t="n">
        <v>2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291</v>
      </c>
      <c r="Z1210" t="n">
        <v>200</v>
      </c>
      <c r="AA1210" t="n">
        <v>60</v>
      </c>
      <c r="AB1210" t="n">
        <v>2</v>
      </c>
      <c r="AC1210" t="n">
        <v>0</v>
      </c>
      <c r="AD1210" t="n">
        <v>5</v>
      </c>
      <c r="AE1210" t="n">
        <v>5</v>
      </c>
      <c r="AF1210" t="n">
        <v>2</v>
      </c>
      <c r="AG1210" t="n">
        <v>6</v>
      </c>
      <c r="AH1210" t="n">
        <v>30</v>
      </c>
      <c r="AI1210" t="n">
        <v>14</v>
      </c>
      <c r="AJ1210" t="n">
        <v>39</v>
      </c>
      <c r="AK1210" t="n">
        <v>27</v>
      </c>
      <c r="AL1210" t="n">
        <v>2</v>
      </c>
      <c r="AM1210" t="n">
        <v>27</v>
      </c>
      <c r="AN1210" t="n">
        <v>0</v>
      </c>
      <c r="AO1210" t="n">
        <v>0</v>
      </c>
      <c r="AP1210" t="n">
        <v>12</v>
      </c>
      <c r="AQ1210" t="n">
        <v>79</v>
      </c>
      <c r="AR1210" t="n">
        <v>134</v>
      </c>
      <c r="AS1210" t="n">
        <v>68</v>
      </c>
      <c r="AT1210" t="n">
        <v>4</v>
      </c>
      <c r="AU1210" t="n">
        <v>2</v>
      </c>
      <c r="AV1210" t="n">
        <v>68</v>
      </c>
      <c r="AW1210" t="n">
        <v>20</v>
      </c>
      <c r="AX1210" t="n">
        <v>2</v>
      </c>
      <c r="AY1210" t="n">
        <v>11</v>
      </c>
      <c r="AZ1210" t="n">
        <v>5</v>
      </c>
      <c r="BA1210" t="n">
        <v>77</v>
      </c>
      <c r="BB1210" t="n">
        <v>144</v>
      </c>
      <c r="BC1210" t="n">
        <v>33</v>
      </c>
      <c r="BD1210" t="n">
        <v>36</v>
      </c>
      <c r="BE1210" t="n">
        <v>20</v>
      </c>
      <c r="BF1210" t="n">
        <v>32</v>
      </c>
      <c r="BG1210" t="n">
        <v>5</v>
      </c>
      <c r="BH1210" t="n">
        <v>4</v>
      </c>
      <c r="BI1210" t="n">
        <v>82</v>
      </c>
      <c r="BJ1210" t="n">
        <v>75</v>
      </c>
      <c r="BK1210" t="n">
        <v>3</v>
      </c>
      <c r="BL1210" t="n">
        <v>25</v>
      </c>
      <c r="BM1210" t="n">
        <v>17</v>
      </c>
      <c r="BN1210" t="n">
        <v>0</v>
      </c>
      <c r="BO1210" t="n">
        <v>28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1</v>
      </c>
      <c r="V1211" t="n">
        <v>0</v>
      </c>
      <c r="W1211" t="n">
        <v>0</v>
      </c>
      <c r="X1211" t="n">
        <v>0</v>
      </c>
      <c r="Y1211" t="n">
        <v>203</v>
      </c>
      <c r="Z1211" t="n">
        <v>138</v>
      </c>
      <c r="AA1211" t="n">
        <v>87</v>
      </c>
      <c r="AB1211" t="n">
        <v>0</v>
      </c>
      <c r="AC1211" t="n">
        <v>0</v>
      </c>
      <c r="AD1211" t="n">
        <v>4</v>
      </c>
      <c r="AE1211" t="n">
        <v>6</v>
      </c>
      <c r="AF1211" t="n">
        <v>2</v>
      </c>
      <c r="AG1211" t="n">
        <v>7</v>
      </c>
      <c r="AH1211" t="n">
        <v>9</v>
      </c>
      <c r="AI1211" t="n">
        <v>18</v>
      </c>
      <c r="AJ1211" t="n">
        <v>7</v>
      </c>
      <c r="AK1211" t="n">
        <v>57</v>
      </c>
      <c r="AL1211" t="n">
        <v>2</v>
      </c>
      <c r="AM1211" t="n">
        <v>9</v>
      </c>
      <c r="AN1211" t="n">
        <v>0</v>
      </c>
      <c r="AO1211" t="n">
        <v>0</v>
      </c>
      <c r="AP1211" t="n">
        <v>2</v>
      </c>
      <c r="AQ1211" t="n">
        <v>1</v>
      </c>
      <c r="AR1211" t="n">
        <v>93</v>
      </c>
      <c r="AS1211" t="n">
        <v>85</v>
      </c>
      <c r="AT1211" t="n">
        <v>0</v>
      </c>
      <c r="AU1211" t="n">
        <v>3</v>
      </c>
      <c r="AV1211" t="n">
        <v>3</v>
      </c>
      <c r="AW1211" t="n">
        <v>30</v>
      </c>
      <c r="AX1211" t="n">
        <v>8</v>
      </c>
      <c r="AY1211" t="n">
        <v>35</v>
      </c>
      <c r="AZ1211" t="n">
        <v>3</v>
      </c>
      <c r="BA1211" t="n">
        <v>26</v>
      </c>
      <c r="BB1211" t="n">
        <v>108</v>
      </c>
      <c r="BC1211" t="n">
        <v>5</v>
      </c>
      <c r="BD1211" t="n">
        <v>8</v>
      </c>
      <c r="BE1211" t="n">
        <v>32</v>
      </c>
      <c r="BF1211" t="n">
        <v>6</v>
      </c>
      <c r="BG1211" t="n">
        <v>2</v>
      </c>
      <c r="BH1211" t="n">
        <v>23</v>
      </c>
      <c r="BI1211" t="n">
        <v>21</v>
      </c>
      <c r="BJ1211" t="n">
        <v>21</v>
      </c>
      <c r="BK1211" t="n">
        <v>2</v>
      </c>
      <c r="BL1211" t="n">
        <v>1</v>
      </c>
      <c r="BM1211" t="n">
        <v>16</v>
      </c>
      <c r="BN1211" t="n">
        <v>9</v>
      </c>
      <c r="BO1211" t="n">
        <v>4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257</v>
      </c>
      <c r="Z1212" t="n">
        <v>261</v>
      </c>
      <c r="AA1212" t="n">
        <v>49</v>
      </c>
      <c r="AB1212" t="n">
        <v>0</v>
      </c>
      <c r="AC1212" t="n">
        <v>3</v>
      </c>
      <c r="AD1212" t="n">
        <v>7</v>
      </c>
      <c r="AE1212" t="n">
        <v>6</v>
      </c>
      <c r="AF1212" t="n">
        <v>5</v>
      </c>
      <c r="AG1212" t="n">
        <v>10</v>
      </c>
      <c r="AH1212" t="n">
        <v>66</v>
      </c>
      <c r="AI1212" t="n">
        <v>39</v>
      </c>
      <c r="AJ1212" t="n">
        <v>38</v>
      </c>
      <c r="AK1212" t="n">
        <v>78</v>
      </c>
      <c r="AL1212" t="n">
        <v>4</v>
      </c>
      <c r="AM1212" t="n">
        <v>47</v>
      </c>
      <c r="AN1212" t="n">
        <v>0</v>
      </c>
      <c r="AO1212" t="n">
        <v>0</v>
      </c>
      <c r="AP1212" t="n">
        <v>3</v>
      </c>
      <c r="AQ1212" t="n">
        <v>30</v>
      </c>
      <c r="AR1212" t="n">
        <v>78</v>
      </c>
      <c r="AS1212" t="n">
        <v>52</v>
      </c>
      <c r="AT1212" t="n">
        <v>3</v>
      </c>
      <c r="AU1212" t="n">
        <v>2</v>
      </c>
      <c r="AV1212" t="n">
        <v>14</v>
      </c>
      <c r="AW1212" t="n">
        <v>26</v>
      </c>
      <c r="AX1212" t="n">
        <v>19</v>
      </c>
      <c r="AY1212" t="n">
        <v>20</v>
      </c>
      <c r="AZ1212" t="n">
        <v>9</v>
      </c>
      <c r="BA1212" t="n">
        <v>39</v>
      </c>
      <c r="BB1212" t="n">
        <v>88</v>
      </c>
      <c r="BC1212" t="n">
        <v>49</v>
      </c>
      <c r="BD1212" t="n">
        <v>58</v>
      </c>
      <c r="BE1212" t="n">
        <v>26</v>
      </c>
      <c r="BF1212" t="n">
        <v>38</v>
      </c>
      <c r="BG1212" t="n">
        <v>0</v>
      </c>
      <c r="BH1212" t="n">
        <v>7</v>
      </c>
      <c r="BI1212" t="n">
        <v>1</v>
      </c>
      <c r="BJ1212" t="n">
        <v>23</v>
      </c>
      <c r="BK1212" t="n">
        <v>3</v>
      </c>
      <c r="BL1212" t="n">
        <v>10</v>
      </c>
      <c r="BM1212" t="n">
        <v>7</v>
      </c>
      <c r="BN1212" t="n">
        <v>0</v>
      </c>
      <c r="BO1212" t="n">
        <v>32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3</v>
      </c>
      <c r="U1213" t="n">
        <v>0</v>
      </c>
      <c r="V1213" t="n">
        <v>0</v>
      </c>
      <c r="W1213" t="n">
        <v>0</v>
      </c>
      <c r="X1213" t="n">
        <v>1</v>
      </c>
      <c r="Y1213" t="n">
        <v>219</v>
      </c>
      <c r="Z1213" t="n">
        <v>301</v>
      </c>
      <c r="AA1213" t="n">
        <v>133</v>
      </c>
      <c r="AB1213" t="n">
        <v>0</v>
      </c>
      <c r="AC1213" t="n">
        <v>3</v>
      </c>
      <c r="AD1213" t="n">
        <v>4</v>
      </c>
      <c r="AE1213" t="n">
        <v>2</v>
      </c>
      <c r="AF1213" t="n">
        <v>2</v>
      </c>
      <c r="AG1213" t="n">
        <v>1</v>
      </c>
      <c r="AH1213" t="n">
        <v>87</v>
      </c>
      <c r="AI1213" t="n">
        <v>57</v>
      </c>
      <c r="AJ1213" t="n">
        <v>37</v>
      </c>
      <c r="AK1213" t="n">
        <v>15</v>
      </c>
      <c r="AL1213" t="n">
        <v>4</v>
      </c>
      <c r="AM1213" t="n">
        <v>69</v>
      </c>
      <c r="AN1213" t="n">
        <v>0</v>
      </c>
      <c r="AO1213" t="n">
        <v>0</v>
      </c>
      <c r="AP1213" t="n">
        <v>4</v>
      </c>
      <c r="AQ1213" t="n">
        <v>15</v>
      </c>
      <c r="AR1213" t="n">
        <v>153</v>
      </c>
      <c r="AS1213" t="n">
        <v>135</v>
      </c>
      <c r="AT1213" t="n">
        <v>3</v>
      </c>
      <c r="AU1213" t="n">
        <v>0</v>
      </c>
      <c r="AV1213" t="n">
        <v>21</v>
      </c>
      <c r="AW1213" t="n">
        <v>1</v>
      </c>
      <c r="AX1213" t="n">
        <v>0</v>
      </c>
      <c r="AY1213" t="n">
        <v>25</v>
      </c>
      <c r="AZ1213" t="n">
        <v>2</v>
      </c>
      <c r="BA1213" t="n">
        <v>12</v>
      </c>
      <c r="BB1213" t="n">
        <v>136</v>
      </c>
      <c r="BC1213" t="n">
        <v>58</v>
      </c>
      <c r="BD1213" t="n">
        <v>82</v>
      </c>
      <c r="BE1213" t="n">
        <v>2</v>
      </c>
      <c r="BF1213" t="n">
        <v>32</v>
      </c>
      <c r="BG1213" t="n">
        <v>0</v>
      </c>
      <c r="BH1213" t="n">
        <v>6</v>
      </c>
      <c r="BI1213" t="n">
        <v>10</v>
      </c>
      <c r="BJ1213" t="n">
        <v>13</v>
      </c>
      <c r="BK1213" t="n">
        <v>1</v>
      </c>
      <c r="BL1213" t="n">
        <v>22</v>
      </c>
      <c r="BM1213" t="n">
        <v>14</v>
      </c>
      <c r="BN1213" t="n">
        <v>-1</v>
      </c>
      <c r="BO1213" t="n">
        <v>63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2</v>
      </c>
      <c r="U1214" t="n">
        <v>0</v>
      </c>
      <c r="V1214" t="n">
        <v>3</v>
      </c>
      <c r="W1214" t="n">
        <v>0</v>
      </c>
      <c r="X1214" t="n">
        <v>0</v>
      </c>
      <c r="Y1214" t="n">
        <v>240</v>
      </c>
      <c r="Z1214" t="n">
        <v>97</v>
      </c>
      <c r="AA1214" t="n">
        <v>68</v>
      </c>
      <c r="AB1214" t="n">
        <v>4</v>
      </c>
      <c r="AC1214" t="n">
        <v>1</v>
      </c>
      <c r="AD1214" t="n">
        <v>5</v>
      </c>
      <c r="AE1214" t="n">
        <v>4</v>
      </c>
      <c r="AF1214" t="n">
        <v>6</v>
      </c>
      <c r="AG1214" t="n">
        <v>10</v>
      </c>
      <c r="AH1214" t="n">
        <v>53</v>
      </c>
      <c r="AI1214" t="n">
        <v>32</v>
      </c>
      <c r="AJ1214" t="n">
        <v>47</v>
      </c>
      <c r="AK1214" t="n">
        <v>77</v>
      </c>
      <c r="AL1214" t="n">
        <v>1</v>
      </c>
      <c r="AM1214" t="n">
        <v>2</v>
      </c>
      <c r="AN1214" t="n">
        <v>0</v>
      </c>
      <c r="AO1214" t="n">
        <v>0</v>
      </c>
      <c r="AP1214" t="n">
        <v>11</v>
      </c>
      <c r="AQ1214" t="n">
        <v>84</v>
      </c>
      <c r="AR1214" t="n">
        <v>158</v>
      </c>
      <c r="AS1214" t="n">
        <v>89</v>
      </c>
      <c r="AT1214" t="n">
        <v>4</v>
      </c>
      <c r="AU1214" t="n">
        <v>2</v>
      </c>
      <c r="AV1214" t="n">
        <v>15</v>
      </c>
      <c r="AW1214" t="n">
        <v>21</v>
      </c>
      <c r="AX1214" t="n">
        <v>11</v>
      </c>
      <c r="AY1214" t="n">
        <v>11</v>
      </c>
      <c r="AZ1214" t="n">
        <v>5</v>
      </c>
      <c r="BA1214" t="n">
        <v>12</v>
      </c>
      <c r="BB1214" t="n">
        <v>77</v>
      </c>
      <c r="BC1214" t="n">
        <v>2</v>
      </c>
      <c r="BD1214" t="n">
        <v>47</v>
      </c>
      <c r="BE1214" t="n">
        <v>21</v>
      </c>
      <c r="BF1214" t="n">
        <v>37</v>
      </c>
      <c r="BG1214" t="n">
        <v>3</v>
      </c>
      <c r="BH1214" t="n">
        <v>4</v>
      </c>
      <c r="BI1214" t="n">
        <v>1</v>
      </c>
      <c r="BJ1214" t="n">
        <v>45</v>
      </c>
      <c r="BK1214" t="n">
        <v>2</v>
      </c>
      <c r="BL1214" t="n">
        <v>8</v>
      </c>
      <c r="BM1214" t="n">
        <v>18</v>
      </c>
      <c r="BN1214" t="n">
        <v>9</v>
      </c>
      <c r="BO1214" t="n">
        <v>7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2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173</v>
      </c>
      <c r="Z1215" t="n">
        <v>163</v>
      </c>
      <c r="AA1215" t="n">
        <v>41</v>
      </c>
      <c r="AB1215" t="n">
        <v>3</v>
      </c>
      <c r="AC1215" t="n">
        <v>0</v>
      </c>
      <c r="AD1215" t="n">
        <v>4</v>
      </c>
      <c r="AE1215" t="n">
        <v>2</v>
      </c>
      <c r="AF1215" t="n">
        <v>4</v>
      </c>
      <c r="AG1215" t="n">
        <v>7</v>
      </c>
      <c r="AH1215" t="n">
        <v>52</v>
      </c>
      <c r="AI1215" t="n">
        <v>16</v>
      </c>
      <c r="AJ1215" t="n">
        <v>36</v>
      </c>
      <c r="AK1215" t="n">
        <v>35</v>
      </c>
      <c r="AL1215" t="n">
        <v>2</v>
      </c>
      <c r="AM1215" t="n">
        <v>43</v>
      </c>
      <c r="AN1215" t="n">
        <v>1</v>
      </c>
      <c r="AO1215" t="n">
        <v>1</v>
      </c>
      <c r="AP1215" t="n">
        <v>5</v>
      </c>
      <c r="AQ1215" t="n">
        <v>32</v>
      </c>
      <c r="AR1215" t="n">
        <v>97</v>
      </c>
      <c r="AS1215" t="n">
        <v>70</v>
      </c>
      <c r="AT1215" t="n">
        <v>2</v>
      </c>
      <c r="AU1215" t="n">
        <v>3</v>
      </c>
      <c r="AV1215" t="n">
        <v>4</v>
      </c>
      <c r="AW1215" t="n">
        <v>31</v>
      </c>
      <c r="AX1215" t="n">
        <v>0</v>
      </c>
      <c r="AY1215" t="n">
        <v>24</v>
      </c>
      <c r="AZ1215" t="n">
        <v>3</v>
      </c>
      <c r="BA1215" t="n">
        <v>5</v>
      </c>
      <c r="BB1215" t="n">
        <v>44</v>
      </c>
      <c r="BC1215" t="n">
        <v>36</v>
      </c>
      <c r="BD1215" t="n">
        <v>70</v>
      </c>
      <c r="BE1215" t="n">
        <v>33</v>
      </c>
      <c r="BF1215" t="n">
        <v>29</v>
      </c>
      <c r="BG1215" t="n">
        <v>3</v>
      </c>
      <c r="BH1215" t="n">
        <v>7</v>
      </c>
      <c r="BI1215" t="n">
        <v>13</v>
      </c>
      <c r="BJ1215" t="n">
        <v>16</v>
      </c>
      <c r="BK1215" t="n">
        <v>2</v>
      </c>
      <c r="BL1215" t="n">
        <v>3</v>
      </c>
      <c r="BM1215" t="n">
        <v>24</v>
      </c>
      <c r="BN1215" t="n">
        <v>14</v>
      </c>
      <c r="BO1215" t="n">
        <v>75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2</v>
      </c>
      <c r="N1216" t="n">
        <v>1</v>
      </c>
      <c r="O1216" t="n">
        <v>0</v>
      </c>
      <c r="P1216" t="n">
        <v>0</v>
      </c>
      <c r="Q1216" t="n">
        <v>0</v>
      </c>
      <c r="R1216" t="n">
        <v>3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191</v>
      </c>
      <c r="Z1216" t="n">
        <v>168</v>
      </c>
      <c r="AA1216" t="n">
        <v>31</v>
      </c>
      <c r="AB1216" t="n">
        <v>2</v>
      </c>
      <c r="AC1216" t="n">
        <v>2</v>
      </c>
      <c r="AD1216" t="n">
        <v>7</v>
      </c>
      <c r="AE1216" t="n">
        <v>2</v>
      </c>
      <c r="AF1216" t="n">
        <v>6</v>
      </c>
      <c r="AG1216" t="n">
        <v>0</v>
      </c>
      <c r="AH1216" t="n">
        <v>80</v>
      </c>
      <c r="AI1216" t="n">
        <v>15</v>
      </c>
      <c r="AJ1216" t="n">
        <v>68</v>
      </c>
      <c r="AK1216" t="n">
        <v>10</v>
      </c>
      <c r="AL1216" t="n">
        <v>5</v>
      </c>
      <c r="AM1216" t="n">
        <v>35</v>
      </c>
      <c r="AN1216" t="n">
        <v>0</v>
      </c>
      <c r="AO1216" t="n">
        <v>1</v>
      </c>
      <c r="AP1216" t="n">
        <v>5</v>
      </c>
      <c r="AQ1216" t="n">
        <v>47</v>
      </c>
      <c r="AR1216" t="n">
        <v>95</v>
      </c>
      <c r="AS1216" t="n">
        <v>56</v>
      </c>
      <c r="AT1216" t="n">
        <v>2</v>
      </c>
      <c r="AU1216" t="n">
        <v>2</v>
      </c>
      <c r="AV1216" t="n">
        <v>21</v>
      </c>
      <c r="AW1216" t="n">
        <v>13</v>
      </c>
      <c r="AX1216" t="n">
        <v>1</v>
      </c>
      <c r="AY1216" t="n">
        <v>60</v>
      </c>
      <c r="AZ1216" t="n">
        <v>5</v>
      </c>
      <c r="BA1216" t="n">
        <v>16</v>
      </c>
      <c r="BB1216" t="n">
        <v>46</v>
      </c>
      <c r="BC1216" t="n">
        <v>33</v>
      </c>
      <c r="BD1216" t="n">
        <v>84</v>
      </c>
      <c r="BE1216" t="n">
        <v>13</v>
      </c>
      <c r="BF1216" t="n">
        <v>55</v>
      </c>
      <c r="BG1216" t="n">
        <v>3</v>
      </c>
      <c r="BH1216" t="n">
        <v>0</v>
      </c>
      <c r="BI1216" t="n">
        <v>13</v>
      </c>
      <c r="BJ1216" t="n">
        <v>11</v>
      </c>
      <c r="BK1216" t="n">
        <v>0</v>
      </c>
      <c r="BL1216" t="n">
        <v>1</v>
      </c>
      <c r="BM1216" t="n">
        <v>22</v>
      </c>
      <c r="BN1216" t="n">
        <v>13</v>
      </c>
      <c r="BO1216" t="n">
        <v>9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2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2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3</v>
      </c>
      <c r="X1217" t="n">
        <v>0</v>
      </c>
      <c r="Y1217" t="n">
        <v>269</v>
      </c>
      <c r="Z1217" t="n">
        <v>225</v>
      </c>
      <c r="AA1217" t="n">
        <v>26</v>
      </c>
      <c r="AB1217" t="n">
        <v>2</v>
      </c>
      <c r="AC1217" t="n">
        <v>1</v>
      </c>
      <c r="AD1217" t="n">
        <v>7</v>
      </c>
      <c r="AE1217" t="n">
        <v>4</v>
      </c>
      <c r="AF1217" t="n">
        <v>7</v>
      </c>
      <c r="AG1217" t="n">
        <v>8</v>
      </c>
      <c r="AH1217" t="n">
        <v>79</v>
      </c>
      <c r="AI1217" t="n">
        <v>61</v>
      </c>
      <c r="AJ1217" t="n">
        <v>21</v>
      </c>
      <c r="AK1217" t="n">
        <v>65</v>
      </c>
      <c r="AL1217" t="n">
        <v>6</v>
      </c>
      <c r="AM1217" t="n">
        <v>55</v>
      </c>
      <c r="AN1217" t="n">
        <v>0</v>
      </c>
      <c r="AO1217" t="n">
        <v>0</v>
      </c>
      <c r="AP1217" t="n">
        <v>9</v>
      </c>
      <c r="AQ1217" t="n">
        <v>39</v>
      </c>
      <c r="AR1217" t="n">
        <v>122</v>
      </c>
      <c r="AS1217" t="n">
        <v>89</v>
      </c>
      <c r="AT1217" t="n">
        <v>3</v>
      </c>
      <c r="AU1217" t="n">
        <v>2</v>
      </c>
      <c r="AV1217" t="n">
        <v>10</v>
      </c>
      <c r="AW1217" t="n">
        <v>17</v>
      </c>
      <c r="AX1217" t="n">
        <v>0</v>
      </c>
      <c r="AY1217" t="n">
        <v>39</v>
      </c>
      <c r="AZ1217" t="n">
        <v>1</v>
      </c>
      <c r="BA1217" t="n">
        <v>29</v>
      </c>
      <c r="BB1217" t="n">
        <v>56</v>
      </c>
      <c r="BC1217" t="n">
        <v>46</v>
      </c>
      <c r="BD1217" t="n">
        <v>71</v>
      </c>
      <c r="BE1217" t="n">
        <v>17</v>
      </c>
      <c r="BF1217" t="n">
        <v>17</v>
      </c>
      <c r="BG1217" t="n">
        <v>3</v>
      </c>
      <c r="BH1217" t="n">
        <v>14</v>
      </c>
      <c r="BI1217" t="n">
        <v>23</v>
      </c>
      <c r="BJ1217" t="n">
        <v>39</v>
      </c>
      <c r="BK1217" t="n">
        <v>2</v>
      </c>
      <c r="BL1217" t="n">
        <v>38</v>
      </c>
      <c r="BM1217" t="n">
        <v>47</v>
      </c>
      <c r="BN1217" t="n">
        <v>15</v>
      </c>
      <c r="BO1217" t="n">
        <v>2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2</v>
      </c>
      <c r="F1218" t="n">
        <v>2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243</v>
      </c>
      <c r="Z1218" t="n">
        <v>204</v>
      </c>
      <c r="AA1218" t="n">
        <v>54</v>
      </c>
      <c r="AB1218" t="n">
        <v>3</v>
      </c>
      <c r="AC1218" t="n">
        <v>2</v>
      </c>
      <c r="AD1218" t="n">
        <v>5</v>
      </c>
      <c r="AE1218" t="n">
        <v>9</v>
      </c>
      <c r="AF1218" t="n">
        <v>4</v>
      </c>
      <c r="AG1218" t="n">
        <v>2</v>
      </c>
      <c r="AH1218" t="n">
        <v>113</v>
      </c>
      <c r="AI1218" t="n">
        <v>116</v>
      </c>
      <c r="AJ1218" t="n">
        <v>31</v>
      </c>
      <c r="AK1218" t="n">
        <v>19</v>
      </c>
      <c r="AL1218" t="n">
        <v>3</v>
      </c>
      <c r="AM1218" t="n">
        <v>36</v>
      </c>
      <c r="AN1218" t="n">
        <v>1</v>
      </c>
      <c r="AO1218" t="n">
        <v>0</v>
      </c>
      <c r="AP1218" t="n">
        <v>0</v>
      </c>
      <c r="AQ1218" t="n">
        <v>1</v>
      </c>
      <c r="AR1218" t="n">
        <v>37</v>
      </c>
      <c r="AS1218" t="n">
        <v>33</v>
      </c>
      <c r="AT1218" t="n">
        <v>2</v>
      </c>
      <c r="AU1218" t="n">
        <v>1</v>
      </c>
      <c r="AV1218" t="n">
        <v>8</v>
      </c>
      <c r="AW1218" t="n">
        <v>13</v>
      </c>
      <c r="AX1218" t="n">
        <v>2</v>
      </c>
      <c r="AY1218" t="n">
        <v>89</v>
      </c>
      <c r="AZ1218" t="n">
        <v>0</v>
      </c>
      <c r="BA1218" t="n">
        <v>17</v>
      </c>
      <c r="BB1218" t="n">
        <v>68</v>
      </c>
      <c r="BC1218" t="n">
        <v>37</v>
      </c>
      <c r="BD1218" t="n">
        <v>102</v>
      </c>
      <c r="BE1218" t="n">
        <v>13</v>
      </c>
      <c r="BF1218" t="n">
        <v>27</v>
      </c>
      <c r="BG1218" t="n">
        <v>2</v>
      </c>
      <c r="BH1218" t="n">
        <v>2</v>
      </c>
      <c r="BI1218" t="n">
        <v>21</v>
      </c>
      <c r="BJ1218" t="n">
        <v>19</v>
      </c>
      <c r="BK1218" t="n">
        <v>5</v>
      </c>
      <c r="BL1218" t="n">
        <v>9</v>
      </c>
      <c r="BM1218" t="n">
        <v>28</v>
      </c>
      <c r="BN1218" t="n">
        <v>14</v>
      </c>
      <c r="BO1218" t="n">
        <v>93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208</v>
      </c>
      <c r="Z1219" t="n">
        <v>184</v>
      </c>
      <c r="AA1219" t="n">
        <v>44</v>
      </c>
      <c r="AB1219" t="n">
        <v>1</v>
      </c>
      <c r="AC1219" t="n">
        <v>1</v>
      </c>
      <c r="AD1219" t="n">
        <v>1</v>
      </c>
      <c r="AE1219" t="n">
        <v>11</v>
      </c>
      <c r="AF1219" t="n">
        <v>4</v>
      </c>
      <c r="AG1219" t="n">
        <v>0</v>
      </c>
      <c r="AH1219" t="n">
        <v>27</v>
      </c>
      <c r="AI1219" t="n">
        <v>79</v>
      </c>
      <c r="AJ1219" t="n">
        <v>25</v>
      </c>
      <c r="AK1219" t="n">
        <v>1</v>
      </c>
      <c r="AL1219" t="n">
        <v>5</v>
      </c>
      <c r="AM1219" t="n">
        <v>46</v>
      </c>
      <c r="AN1219" t="n">
        <v>0</v>
      </c>
      <c r="AO1219" t="n">
        <v>0</v>
      </c>
      <c r="AP1219" t="n">
        <v>5</v>
      </c>
      <c r="AQ1219" t="n">
        <v>23</v>
      </c>
      <c r="AR1219" t="n">
        <v>118</v>
      </c>
      <c r="AS1219" t="n">
        <v>96</v>
      </c>
      <c r="AT1219" t="n">
        <v>4</v>
      </c>
      <c r="AU1219" t="n">
        <v>1</v>
      </c>
      <c r="AV1219" t="n">
        <v>23</v>
      </c>
      <c r="AW1219" t="n">
        <v>10</v>
      </c>
      <c r="AX1219" t="n">
        <v>4</v>
      </c>
      <c r="AY1219" t="n">
        <v>29</v>
      </c>
      <c r="AZ1219" t="n">
        <v>2</v>
      </c>
      <c r="BA1219" t="n">
        <v>12</v>
      </c>
      <c r="BB1219" t="n">
        <v>55</v>
      </c>
      <c r="BC1219" t="n">
        <v>38</v>
      </c>
      <c r="BD1219" t="n">
        <v>24</v>
      </c>
      <c r="BE1219" t="n">
        <v>10</v>
      </c>
      <c r="BF1219" t="n">
        <v>33</v>
      </c>
      <c r="BG1219" t="n">
        <v>4</v>
      </c>
      <c r="BH1219" t="n">
        <v>23</v>
      </c>
      <c r="BI1219" t="n">
        <v>31</v>
      </c>
      <c r="BJ1219" t="n">
        <v>28</v>
      </c>
      <c r="BK1219" t="n">
        <v>2</v>
      </c>
      <c r="BL1219" t="n">
        <v>18</v>
      </c>
      <c r="BM1219" t="n">
        <v>30</v>
      </c>
      <c r="BN1219" t="n">
        <v>12</v>
      </c>
      <c r="BO1219" t="n">
        <v>28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272</v>
      </c>
      <c r="Z1220" t="n">
        <v>222</v>
      </c>
      <c r="AA1220" t="n">
        <v>50</v>
      </c>
      <c r="AB1220" t="n">
        <v>1</v>
      </c>
      <c r="AC1220" t="n">
        <v>1</v>
      </c>
      <c r="AD1220" t="n">
        <v>7</v>
      </c>
      <c r="AE1220" t="n">
        <v>11</v>
      </c>
      <c r="AF1220" t="n">
        <v>7</v>
      </c>
      <c r="AG1220" t="n">
        <v>0</v>
      </c>
      <c r="AH1220" t="n">
        <v>86</v>
      </c>
      <c r="AI1220" t="n">
        <v>115</v>
      </c>
      <c r="AJ1220" t="n">
        <v>77</v>
      </c>
      <c r="AK1220" t="n">
        <v>-2</v>
      </c>
      <c r="AL1220" t="n">
        <v>0</v>
      </c>
      <c r="AM1220" t="n">
        <v>10</v>
      </c>
      <c r="AN1220" t="n">
        <v>1</v>
      </c>
      <c r="AO1220" t="n">
        <v>0</v>
      </c>
      <c r="AP1220" t="n">
        <v>0</v>
      </c>
      <c r="AQ1220" t="n">
        <v>1</v>
      </c>
      <c r="AR1220" t="n">
        <v>57</v>
      </c>
      <c r="AS1220" t="n">
        <v>51</v>
      </c>
      <c r="AT1220" t="n">
        <v>1</v>
      </c>
      <c r="AU1220" t="n">
        <v>1</v>
      </c>
      <c r="AV1220" t="n">
        <v>44</v>
      </c>
      <c r="AW1220" t="n">
        <v>11</v>
      </c>
      <c r="AX1220" t="n">
        <v>2</v>
      </c>
      <c r="AY1220" t="n">
        <v>70</v>
      </c>
      <c r="AZ1220" t="n">
        <v>3</v>
      </c>
      <c r="BA1220" t="n">
        <v>30</v>
      </c>
      <c r="BB1220" t="n">
        <v>78</v>
      </c>
      <c r="BC1220" t="n">
        <v>9</v>
      </c>
      <c r="BD1220" t="n">
        <v>83</v>
      </c>
      <c r="BE1220" t="n">
        <v>14</v>
      </c>
      <c r="BF1220" t="n">
        <v>62</v>
      </c>
      <c r="BG1220" t="n">
        <v>1</v>
      </c>
      <c r="BH1220" t="n">
        <v>24</v>
      </c>
      <c r="BI1220" t="n">
        <v>7</v>
      </c>
      <c r="BJ1220" t="n">
        <v>6</v>
      </c>
      <c r="BK1220" t="n">
        <v>1</v>
      </c>
      <c r="BL1220" t="n">
        <v>1</v>
      </c>
      <c r="BM1220" t="n">
        <v>2</v>
      </c>
      <c r="BN1220" t="n">
        <v>1</v>
      </c>
      <c r="BO1220" t="n">
        <v>70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2</v>
      </c>
      <c r="U1221" t="n">
        <v>0</v>
      </c>
      <c r="V1221" t="n">
        <v>0</v>
      </c>
      <c r="W1221" t="n">
        <v>0</v>
      </c>
      <c r="X1221" t="n">
        <v>0</v>
      </c>
      <c r="Y1221" t="n">
        <v>210</v>
      </c>
      <c r="Z1221" t="n">
        <v>138</v>
      </c>
      <c r="AA1221" t="n">
        <v>88</v>
      </c>
      <c r="AB1221" t="n">
        <v>0</v>
      </c>
      <c r="AC1221" t="n">
        <v>0</v>
      </c>
      <c r="AD1221" t="n">
        <v>1</v>
      </c>
      <c r="AE1221" t="n">
        <v>1</v>
      </c>
      <c r="AF1221" t="n">
        <v>5</v>
      </c>
      <c r="AG1221" t="n">
        <v>3</v>
      </c>
      <c r="AH1221" t="n">
        <v>10</v>
      </c>
      <c r="AI1221" t="n">
        <v>12</v>
      </c>
      <c r="AJ1221" t="n">
        <v>39</v>
      </c>
      <c r="AK1221" t="n">
        <v>13</v>
      </c>
      <c r="AL1221" t="n">
        <v>4</v>
      </c>
      <c r="AM1221" t="n">
        <v>65</v>
      </c>
      <c r="AN1221" t="n">
        <v>0</v>
      </c>
      <c r="AO1221" t="n">
        <v>0</v>
      </c>
      <c r="AP1221" t="n">
        <v>3</v>
      </c>
      <c r="AQ1221" t="n">
        <v>47</v>
      </c>
      <c r="AR1221" t="n">
        <v>108</v>
      </c>
      <c r="AS1221" t="n">
        <v>69</v>
      </c>
      <c r="AT1221" t="n">
        <v>1</v>
      </c>
      <c r="AU1221" t="n">
        <v>0</v>
      </c>
      <c r="AV1221" t="n">
        <v>28</v>
      </c>
      <c r="AW1221" t="n">
        <v>8</v>
      </c>
      <c r="AX1221" t="n">
        <v>3</v>
      </c>
      <c r="AY1221" t="n">
        <v>80</v>
      </c>
      <c r="AZ1221" t="n">
        <v>3</v>
      </c>
      <c r="BA1221" t="n">
        <v>29</v>
      </c>
      <c r="BB1221" t="n">
        <v>114</v>
      </c>
      <c r="BC1221" t="n">
        <v>54</v>
      </c>
      <c r="BD1221" t="n">
        <v>10</v>
      </c>
      <c r="BE1221" t="n">
        <v>7</v>
      </c>
      <c r="BF1221" t="n">
        <v>73</v>
      </c>
      <c r="BG1221" t="n">
        <v>2</v>
      </c>
      <c r="BH1221" t="n">
        <v>13</v>
      </c>
      <c r="BI1221" t="n">
        <v>1</v>
      </c>
      <c r="BJ1221" t="n">
        <v>6</v>
      </c>
      <c r="BK1221" t="n">
        <v>0</v>
      </c>
      <c r="BL1221" t="n">
        <v>1</v>
      </c>
      <c r="BM1221" t="n">
        <v>12</v>
      </c>
      <c r="BN1221" t="n">
        <v>7</v>
      </c>
      <c r="BO1221" t="n">
        <v>9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3</v>
      </c>
      <c r="U1222" t="n">
        <v>1</v>
      </c>
      <c r="V1222" t="n">
        <v>0</v>
      </c>
      <c r="W1222" t="n">
        <v>0</v>
      </c>
      <c r="X1222" t="n">
        <v>0</v>
      </c>
      <c r="Y1222" t="n">
        <v>253</v>
      </c>
      <c r="Z1222" t="n">
        <v>116</v>
      </c>
      <c r="AA1222" t="n">
        <v>106</v>
      </c>
      <c r="AB1222" t="n">
        <v>1</v>
      </c>
      <c r="AC1222" t="n">
        <v>1</v>
      </c>
      <c r="AD1222" t="n">
        <v>2</v>
      </c>
      <c r="AE1222" t="n">
        <v>6</v>
      </c>
      <c r="AF1222" t="n">
        <v>6</v>
      </c>
      <c r="AG1222" t="n">
        <v>5</v>
      </c>
      <c r="AH1222" t="n">
        <v>32</v>
      </c>
      <c r="AI1222" t="n">
        <v>25</v>
      </c>
      <c r="AJ1222" t="n">
        <v>63</v>
      </c>
      <c r="AK1222" t="n">
        <v>69</v>
      </c>
      <c r="AL1222" t="n">
        <v>3</v>
      </c>
      <c r="AM1222" t="n">
        <v>14</v>
      </c>
      <c r="AN1222" t="n">
        <v>0</v>
      </c>
      <c r="AO1222" t="n">
        <v>0</v>
      </c>
      <c r="AP1222" t="n">
        <v>3</v>
      </c>
      <c r="AQ1222" t="n">
        <v>15</v>
      </c>
      <c r="AR1222" t="n">
        <v>133</v>
      </c>
      <c r="AS1222" t="n">
        <v>115</v>
      </c>
      <c r="AT1222" t="n">
        <v>1</v>
      </c>
      <c r="AU1222" t="n">
        <v>1</v>
      </c>
      <c r="AV1222" t="n">
        <v>9</v>
      </c>
      <c r="AW1222" t="n">
        <v>15</v>
      </c>
      <c r="AX1222" t="n">
        <v>6</v>
      </c>
      <c r="AY1222" t="n">
        <v>3</v>
      </c>
      <c r="AZ1222" t="n">
        <v>3</v>
      </c>
      <c r="BA1222" t="n">
        <v>31</v>
      </c>
      <c r="BB1222" t="n">
        <v>130</v>
      </c>
      <c r="BC1222" t="n">
        <v>17</v>
      </c>
      <c r="BD1222" t="n">
        <v>39</v>
      </c>
      <c r="BE1222" t="n">
        <v>16</v>
      </c>
      <c r="BF1222" t="n">
        <v>49</v>
      </c>
      <c r="BG1222" t="n">
        <v>3</v>
      </c>
      <c r="BH1222" t="n">
        <v>22</v>
      </c>
      <c r="BI1222" t="n">
        <v>8</v>
      </c>
      <c r="BJ1222" t="n">
        <v>18</v>
      </c>
      <c r="BK1222" t="n">
        <v>5</v>
      </c>
      <c r="BL1222" t="n">
        <v>58</v>
      </c>
      <c r="BM1222" t="n">
        <v>48</v>
      </c>
      <c r="BN1222" t="n">
        <v>7</v>
      </c>
      <c r="BO1222" t="n">
        <v>14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2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377</v>
      </c>
      <c r="Z1223" t="n">
        <v>400</v>
      </c>
      <c r="AA1223" t="n">
        <v>26</v>
      </c>
      <c r="AB1223" t="n">
        <v>1</v>
      </c>
      <c r="AC1223" t="n">
        <v>0</v>
      </c>
      <c r="AD1223" t="n">
        <v>6</v>
      </c>
      <c r="AE1223" t="n">
        <v>4</v>
      </c>
      <c r="AF1223" t="n">
        <v>6</v>
      </c>
      <c r="AG1223" t="n">
        <v>4</v>
      </c>
      <c r="AH1223" t="n">
        <v>49</v>
      </c>
      <c r="AI1223" t="n">
        <v>39</v>
      </c>
      <c r="AJ1223" t="n">
        <v>85</v>
      </c>
      <c r="AK1223" t="n">
        <v>15</v>
      </c>
      <c r="AL1223" t="n">
        <v>1</v>
      </c>
      <c r="AM1223" t="n">
        <v>46</v>
      </c>
      <c r="AN1223" t="n">
        <v>0</v>
      </c>
      <c r="AO1223" t="n">
        <v>0</v>
      </c>
      <c r="AP1223" t="n">
        <v>3</v>
      </c>
      <c r="AQ1223" t="n">
        <v>36</v>
      </c>
      <c r="AR1223" t="n">
        <v>194</v>
      </c>
      <c r="AS1223" t="n">
        <v>159</v>
      </c>
      <c r="AT1223" t="n">
        <v>5</v>
      </c>
      <c r="AU1223" t="n">
        <v>2</v>
      </c>
      <c r="AV1223" t="n">
        <v>44</v>
      </c>
      <c r="AW1223" t="n">
        <v>51</v>
      </c>
      <c r="AX1223" t="n">
        <v>6</v>
      </c>
      <c r="AY1223" t="n">
        <v>22</v>
      </c>
      <c r="AZ1223" t="n">
        <v>7</v>
      </c>
      <c r="BA1223" t="n">
        <v>85</v>
      </c>
      <c r="BB1223" t="n">
        <v>125</v>
      </c>
      <c r="BC1223" t="n">
        <v>38</v>
      </c>
      <c r="BD1223" t="n">
        <v>57</v>
      </c>
      <c r="BE1223" t="n">
        <v>53</v>
      </c>
      <c r="BF1223" t="n">
        <v>69</v>
      </c>
      <c r="BG1223" t="n">
        <v>2</v>
      </c>
      <c r="BH1223" t="n">
        <v>22</v>
      </c>
      <c r="BI1223" t="n">
        <v>10</v>
      </c>
      <c r="BJ1223" t="n">
        <v>9</v>
      </c>
      <c r="BK1223" t="n">
        <v>4</v>
      </c>
      <c r="BL1223" t="n">
        <v>31</v>
      </c>
      <c r="BM1223" t="n">
        <v>21</v>
      </c>
      <c r="BN1223" t="n">
        <v>0</v>
      </c>
      <c r="BO1223" t="n">
        <v>9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2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304</v>
      </c>
      <c r="Z1224" t="n">
        <v>224</v>
      </c>
      <c r="AA1224" t="n">
        <v>66</v>
      </c>
      <c r="AB1224" t="n">
        <v>2</v>
      </c>
      <c r="AC1224" t="n">
        <v>0</v>
      </c>
      <c r="AD1224" t="n">
        <v>3</v>
      </c>
      <c r="AE1224" t="n">
        <v>7</v>
      </c>
      <c r="AF1224" t="n">
        <v>1</v>
      </c>
      <c r="AG1224" t="n">
        <v>8</v>
      </c>
      <c r="AH1224" t="n">
        <v>23</v>
      </c>
      <c r="AI1224" t="n">
        <v>44</v>
      </c>
      <c r="AJ1224" t="n">
        <v>4</v>
      </c>
      <c r="AK1224" t="n">
        <v>51</v>
      </c>
      <c r="AL1224" t="n">
        <v>5</v>
      </c>
      <c r="AM1224" t="n">
        <v>46</v>
      </c>
      <c r="AN1224" t="n">
        <v>0</v>
      </c>
      <c r="AO1224" t="n">
        <v>0</v>
      </c>
      <c r="AP1224" t="n">
        <v>3</v>
      </c>
      <c r="AQ1224" t="n">
        <v>91</v>
      </c>
      <c r="AR1224" t="n">
        <v>119</v>
      </c>
      <c r="AS1224" t="n">
        <v>40</v>
      </c>
      <c r="AT1224" t="n">
        <v>0</v>
      </c>
      <c r="AU1224" t="n">
        <v>3</v>
      </c>
      <c r="AV1224" t="n">
        <v>14</v>
      </c>
      <c r="AW1224" t="n">
        <v>22</v>
      </c>
      <c r="AX1224" t="n">
        <v>1</v>
      </c>
      <c r="AY1224" t="n">
        <v>67</v>
      </c>
      <c r="AZ1224" t="n">
        <v>0</v>
      </c>
      <c r="BA1224" t="n">
        <v>1</v>
      </c>
      <c r="BB1224" t="n">
        <v>64</v>
      </c>
      <c r="BC1224" t="n">
        <v>57</v>
      </c>
      <c r="BD1224" t="n">
        <v>19</v>
      </c>
      <c r="BE1224" t="n">
        <v>27</v>
      </c>
      <c r="BF1224" t="n">
        <v>12</v>
      </c>
      <c r="BG1224" t="n">
        <v>3</v>
      </c>
      <c r="BH1224" t="n">
        <v>28</v>
      </c>
      <c r="BI1224" t="n">
        <v>32</v>
      </c>
      <c r="BJ1224" t="n">
        <v>28</v>
      </c>
      <c r="BK1224" t="n">
        <v>1</v>
      </c>
      <c r="BL1224" t="n">
        <v>1</v>
      </c>
      <c r="BM1224" t="n">
        <v>4</v>
      </c>
      <c r="BN1224" t="n">
        <v>1</v>
      </c>
      <c r="BO1224" t="n">
        <v>11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2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310</v>
      </c>
      <c r="Z1225" t="n">
        <v>285</v>
      </c>
      <c r="AA1225" t="n">
        <v>99</v>
      </c>
      <c r="AB1225" t="n">
        <v>2</v>
      </c>
      <c r="AC1225" t="n">
        <v>3</v>
      </c>
      <c r="AD1225" t="n">
        <v>9</v>
      </c>
      <c r="AE1225" t="n">
        <v>10</v>
      </c>
      <c r="AF1225" t="n">
        <v>4</v>
      </c>
      <c r="AG1225" t="n">
        <v>5</v>
      </c>
      <c r="AH1225" t="n">
        <v>133</v>
      </c>
      <c r="AI1225" t="n">
        <v>83</v>
      </c>
      <c r="AJ1225" t="n">
        <v>11</v>
      </c>
      <c r="AK1225" t="n">
        <v>57</v>
      </c>
      <c r="AL1225" t="n">
        <v>0</v>
      </c>
      <c r="AM1225" t="n">
        <v>2</v>
      </c>
      <c r="AN1225" t="n">
        <v>0</v>
      </c>
      <c r="AO1225" t="n">
        <v>0</v>
      </c>
      <c r="AP1225" t="n">
        <v>4</v>
      </c>
      <c r="AQ1225" t="n">
        <v>26</v>
      </c>
      <c r="AR1225" t="n">
        <v>94</v>
      </c>
      <c r="AS1225" t="n">
        <v>71</v>
      </c>
      <c r="AT1225" t="n">
        <v>7</v>
      </c>
      <c r="AU1225" t="n">
        <v>3</v>
      </c>
      <c r="AV1225" t="n">
        <v>66</v>
      </c>
      <c r="AW1225" t="n">
        <v>45</v>
      </c>
      <c r="AX1225" t="n">
        <v>1</v>
      </c>
      <c r="AY1225" t="n">
        <v>21</v>
      </c>
      <c r="AZ1225" t="n">
        <v>4</v>
      </c>
      <c r="BA1225" t="n">
        <v>36</v>
      </c>
      <c r="BB1225" t="n">
        <v>130</v>
      </c>
      <c r="BC1225" t="n">
        <v>13</v>
      </c>
      <c r="BD1225" t="n">
        <v>118</v>
      </c>
      <c r="BE1225" t="n">
        <v>52</v>
      </c>
      <c r="BF1225" t="n">
        <v>10</v>
      </c>
      <c r="BG1225" t="n">
        <v>3</v>
      </c>
      <c r="BH1225" t="n">
        <v>0</v>
      </c>
      <c r="BI1225" t="n">
        <v>22</v>
      </c>
      <c r="BJ1225" t="n">
        <v>20</v>
      </c>
      <c r="BK1225" t="n">
        <v>3</v>
      </c>
      <c r="BL1225" t="n">
        <v>14</v>
      </c>
      <c r="BM1225" t="n">
        <v>24</v>
      </c>
      <c r="BN1225" t="n">
        <v>10</v>
      </c>
      <c r="BO1225" t="n">
        <v>2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202</v>
      </c>
      <c r="Z1226" t="n">
        <v>147</v>
      </c>
      <c r="AA1226" t="n">
        <v>25</v>
      </c>
      <c r="AB1226" t="n">
        <v>2</v>
      </c>
      <c r="AC1226" t="n">
        <v>2</v>
      </c>
      <c r="AD1226" t="n">
        <v>1</v>
      </c>
      <c r="AE1226" t="n">
        <v>4</v>
      </c>
      <c r="AF1226" t="n">
        <v>2</v>
      </c>
      <c r="AG1226" t="n">
        <v>0</v>
      </c>
      <c r="AH1226" t="n">
        <v>38</v>
      </c>
      <c r="AI1226" t="n">
        <v>30</v>
      </c>
      <c r="AJ1226" t="n">
        <v>70</v>
      </c>
      <c r="AK1226" t="n">
        <v>1</v>
      </c>
      <c r="AL1226" t="n">
        <v>4</v>
      </c>
      <c r="AM1226" t="n">
        <v>29</v>
      </c>
      <c r="AN1226" t="n">
        <v>0</v>
      </c>
      <c r="AO1226" t="n">
        <v>1</v>
      </c>
      <c r="AP1226" t="n">
        <v>8</v>
      </c>
      <c r="AQ1226" t="n">
        <v>35</v>
      </c>
      <c r="AR1226" t="n">
        <v>118</v>
      </c>
      <c r="AS1226" t="n">
        <v>87</v>
      </c>
      <c r="AT1226" t="n">
        <v>0</v>
      </c>
      <c r="AU1226" t="n">
        <v>2</v>
      </c>
      <c r="AV1226" t="n">
        <v>1</v>
      </c>
      <c r="AW1226" t="n">
        <v>23</v>
      </c>
      <c r="AX1226" t="n">
        <v>4</v>
      </c>
      <c r="AY1226" t="n">
        <v>135</v>
      </c>
      <c r="AZ1226" t="n">
        <v>5</v>
      </c>
      <c r="BA1226" t="n">
        <v>40</v>
      </c>
      <c r="BB1226" t="n">
        <v>68</v>
      </c>
      <c r="BC1226" t="n">
        <v>27</v>
      </c>
      <c r="BD1226" t="n">
        <v>35</v>
      </c>
      <c r="BE1226" t="n">
        <v>22</v>
      </c>
      <c r="BF1226" t="n">
        <v>71</v>
      </c>
      <c r="BG1226" t="n">
        <v>2</v>
      </c>
      <c r="BH1226" t="n">
        <v>10</v>
      </c>
      <c r="BI1226" t="n">
        <v>7</v>
      </c>
      <c r="BJ1226" t="n">
        <v>46</v>
      </c>
      <c r="BK1226" t="n">
        <v>3</v>
      </c>
      <c r="BL1226" t="n">
        <v>9</v>
      </c>
      <c r="BM1226" t="n">
        <v>6</v>
      </c>
      <c r="BN1226" t="n">
        <v>0</v>
      </c>
      <c r="BO1226" t="n">
        <v>9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217</v>
      </c>
      <c r="Z1227" t="n">
        <v>176</v>
      </c>
      <c r="AA1227" t="n">
        <v>59</v>
      </c>
      <c r="AB1227" t="n">
        <v>0</v>
      </c>
      <c r="AC1227" t="n">
        <v>0</v>
      </c>
      <c r="AD1227" t="n">
        <v>5</v>
      </c>
      <c r="AE1227" t="n">
        <v>4</v>
      </c>
      <c r="AF1227" t="n">
        <v>2</v>
      </c>
      <c r="AG1227" t="n">
        <v>2</v>
      </c>
      <c r="AH1227" t="n">
        <v>94</v>
      </c>
      <c r="AI1227" t="n">
        <v>42</v>
      </c>
      <c r="AJ1227" t="n">
        <v>20</v>
      </c>
      <c r="AK1227" t="n">
        <v>32</v>
      </c>
      <c r="AL1227" t="n">
        <v>2</v>
      </c>
      <c r="AM1227" t="n">
        <v>6</v>
      </c>
      <c r="AN1227" t="n">
        <v>0</v>
      </c>
      <c r="AO1227" t="n">
        <v>0</v>
      </c>
      <c r="AP1227" t="n">
        <v>3</v>
      </c>
      <c r="AQ1227" t="n">
        <v>7</v>
      </c>
      <c r="AR1227" t="n">
        <v>148</v>
      </c>
      <c r="AS1227" t="n">
        <v>137</v>
      </c>
      <c r="AT1227" t="n">
        <v>2</v>
      </c>
      <c r="AU1227" t="n">
        <v>3</v>
      </c>
      <c r="AV1227" t="n">
        <v>8</v>
      </c>
      <c r="AW1227" t="n">
        <v>35</v>
      </c>
      <c r="AX1227" t="n">
        <v>0</v>
      </c>
      <c r="AY1227" t="n">
        <v>29</v>
      </c>
      <c r="AZ1227" t="n">
        <v>4</v>
      </c>
      <c r="BA1227" t="n">
        <v>34</v>
      </c>
      <c r="BB1227" t="n">
        <v>92</v>
      </c>
      <c r="BC1227" t="n">
        <v>2</v>
      </c>
      <c r="BD1227" t="n">
        <v>85</v>
      </c>
      <c r="BE1227" t="n">
        <v>40</v>
      </c>
      <c r="BF1227" t="n">
        <v>18</v>
      </c>
      <c r="BG1227" t="n">
        <v>5</v>
      </c>
      <c r="BH1227" t="n">
        <v>3</v>
      </c>
      <c r="BI1227" t="n">
        <v>14</v>
      </c>
      <c r="BJ1227" t="n">
        <v>12</v>
      </c>
      <c r="BK1227" t="n">
        <v>2</v>
      </c>
      <c r="BL1227" t="n">
        <v>1</v>
      </c>
      <c r="BM1227" t="n">
        <v>34</v>
      </c>
      <c r="BN1227" t="n">
        <v>21</v>
      </c>
      <c r="BO1227" t="n">
        <v>23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3</v>
      </c>
      <c r="U1228" t="n">
        <v>1</v>
      </c>
      <c r="V1228" t="n">
        <v>0</v>
      </c>
      <c r="W1228" t="n">
        <v>0</v>
      </c>
      <c r="X1228" t="n">
        <v>0</v>
      </c>
      <c r="Y1228" t="n">
        <v>141</v>
      </c>
      <c r="Z1228" t="n">
        <v>240</v>
      </c>
      <c r="AA1228" t="n">
        <v>216</v>
      </c>
      <c r="AB1228" t="n">
        <v>1</v>
      </c>
      <c r="AC1228" t="n">
        <v>2</v>
      </c>
      <c r="AD1228" t="n">
        <v>4</v>
      </c>
      <c r="AE1228" t="n">
        <v>3</v>
      </c>
      <c r="AF1228" t="n">
        <v>4</v>
      </c>
      <c r="AG1228" t="n">
        <v>2</v>
      </c>
      <c r="AH1228" t="n">
        <v>11</v>
      </c>
      <c r="AI1228" t="n">
        <v>18</v>
      </c>
      <c r="AJ1228" t="n">
        <v>23</v>
      </c>
      <c r="AK1228" t="n">
        <v>21</v>
      </c>
      <c r="AL1228" t="n">
        <v>5</v>
      </c>
      <c r="AM1228" t="n">
        <v>127</v>
      </c>
      <c r="AN1228" t="n">
        <v>0</v>
      </c>
      <c r="AO1228" t="n">
        <v>0</v>
      </c>
      <c r="AP1228" t="n">
        <v>5</v>
      </c>
      <c r="AQ1228" t="n">
        <v>21</v>
      </c>
      <c r="AR1228" t="n">
        <v>146</v>
      </c>
      <c r="AS1228" t="n">
        <v>125</v>
      </c>
      <c r="AT1228" t="n">
        <v>2</v>
      </c>
      <c r="AU1228" t="n">
        <v>1</v>
      </c>
      <c r="AV1228" t="n">
        <v>11</v>
      </c>
      <c r="AW1228" t="n">
        <v>4</v>
      </c>
      <c r="AX1228" t="n">
        <v>3</v>
      </c>
      <c r="AY1228" t="n">
        <v>46</v>
      </c>
      <c r="AZ1228" t="n">
        <v>3</v>
      </c>
      <c r="BA1228" t="n">
        <v>20</v>
      </c>
      <c r="BB1228" t="n">
        <v>221</v>
      </c>
      <c r="BC1228" t="n">
        <v>105</v>
      </c>
      <c r="BD1228" t="n">
        <v>25</v>
      </c>
      <c r="BE1228" t="n">
        <v>21</v>
      </c>
      <c r="BF1228" t="n">
        <v>52</v>
      </c>
      <c r="BG1228" t="n">
        <v>4</v>
      </c>
      <c r="BH1228" t="n">
        <v>7</v>
      </c>
      <c r="BI1228" t="n">
        <v>24</v>
      </c>
      <c r="BJ1228" t="n">
        <v>22</v>
      </c>
      <c r="BK1228" t="n">
        <v>5</v>
      </c>
      <c r="BL1228" t="n">
        <v>43</v>
      </c>
      <c r="BM1228" t="n">
        <v>29</v>
      </c>
      <c r="BN1228" t="n">
        <v>0</v>
      </c>
      <c r="BO1228" t="n">
        <v>14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261</v>
      </c>
      <c r="Z1229" t="n">
        <v>166</v>
      </c>
      <c r="AA1229" t="n">
        <v>45</v>
      </c>
      <c r="AB1229" t="n">
        <v>2</v>
      </c>
      <c r="AC1229" t="n">
        <v>0</v>
      </c>
      <c r="AD1229" t="n">
        <v>4</v>
      </c>
      <c r="AE1229" t="n">
        <v>1</v>
      </c>
      <c r="AF1229" t="n">
        <v>9</v>
      </c>
      <c r="AG1229" t="n">
        <v>6</v>
      </c>
      <c r="AH1229" t="n">
        <v>63</v>
      </c>
      <c r="AI1229" t="n">
        <v>45</v>
      </c>
      <c r="AJ1229" t="n">
        <v>93</v>
      </c>
      <c r="AK1229" t="n">
        <v>92</v>
      </c>
      <c r="AL1229" t="n">
        <v>3</v>
      </c>
      <c r="AM1229" t="n">
        <v>37</v>
      </c>
      <c r="AN1229" t="n">
        <v>0</v>
      </c>
      <c r="AO1229" t="n">
        <v>0</v>
      </c>
      <c r="AP1229" t="n">
        <v>9</v>
      </c>
      <c r="AQ1229" t="n">
        <v>56</v>
      </c>
      <c r="AR1229" t="n">
        <v>177</v>
      </c>
      <c r="AS1229" t="n">
        <v>125</v>
      </c>
      <c r="AT1229" t="n">
        <v>0</v>
      </c>
      <c r="AU1229" t="n">
        <v>0</v>
      </c>
      <c r="AV1229" t="n">
        <v>1</v>
      </c>
      <c r="AW1229" t="n">
        <v>1</v>
      </c>
      <c r="AX1229" t="n">
        <v>5</v>
      </c>
      <c r="AY1229" t="n">
        <v>35</v>
      </c>
      <c r="AZ1229" t="n">
        <v>3</v>
      </c>
      <c r="BA1229" t="n">
        <v>23</v>
      </c>
      <c r="BB1229" t="n">
        <v>67</v>
      </c>
      <c r="BC1229" t="n">
        <v>37</v>
      </c>
      <c r="BD1229" t="n">
        <v>71</v>
      </c>
      <c r="BE1229" t="n">
        <v>4</v>
      </c>
      <c r="BF1229" t="n">
        <v>77</v>
      </c>
      <c r="BG1229" t="n">
        <v>2</v>
      </c>
      <c r="BH1229" t="n">
        <v>2</v>
      </c>
      <c r="BI1229" t="n">
        <v>17</v>
      </c>
      <c r="BJ1229" t="n">
        <v>20</v>
      </c>
      <c r="BK1229" t="n">
        <v>0</v>
      </c>
      <c r="BL1229" t="n">
        <v>1</v>
      </c>
      <c r="BM1229" t="n">
        <v>15</v>
      </c>
      <c r="BN1229" t="n">
        <v>8</v>
      </c>
      <c r="BO1229" t="n">
        <v>4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2</v>
      </c>
      <c r="K1230" t="n">
        <v>0</v>
      </c>
      <c r="L1230" t="n">
        <v>0</v>
      </c>
      <c r="M1230" t="n">
        <v>5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246</v>
      </c>
      <c r="Z1230" t="n">
        <v>101</v>
      </c>
      <c r="AA1230" t="n">
        <v>68</v>
      </c>
      <c r="AB1230" t="n">
        <v>1</v>
      </c>
      <c r="AC1230" t="n">
        <v>3</v>
      </c>
      <c r="AD1230" t="n">
        <v>7</v>
      </c>
      <c r="AE1230" t="n">
        <v>5</v>
      </c>
      <c r="AF1230" t="n">
        <v>2</v>
      </c>
      <c r="AG1230" t="n">
        <v>2</v>
      </c>
      <c r="AH1230" t="n">
        <v>80</v>
      </c>
      <c r="AI1230" t="n">
        <v>28</v>
      </c>
      <c r="AJ1230" t="n">
        <v>28</v>
      </c>
      <c r="AK1230" t="n">
        <v>21</v>
      </c>
      <c r="AL1230" t="n">
        <v>3</v>
      </c>
      <c r="AM1230" t="n">
        <v>21</v>
      </c>
      <c r="AN1230" t="n">
        <v>0</v>
      </c>
      <c r="AO1230" t="n">
        <v>0</v>
      </c>
      <c r="AP1230" t="n">
        <v>5</v>
      </c>
      <c r="AQ1230" t="n">
        <v>74</v>
      </c>
      <c r="AR1230" t="n">
        <v>271</v>
      </c>
      <c r="AS1230" t="n">
        <v>217</v>
      </c>
      <c r="AT1230" t="n">
        <v>9</v>
      </c>
      <c r="AU1230" t="n">
        <v>0</v>
      </c>
      <c r="AV1230" t="n">
        <v>66</v>
      </c>
      <c r="AW1230" t="n">
        <v>5</v>
      </c>
      <c r="AX1230" t="n">
        <v>0</v>
      </c>
      <c r="AY1230" t="n">
        <v>18</v>
      </c>
      <c r="AZ1230" t="n">
        <v>2</v>
      </c>
      <c r="BA1230" t="n">
        <v>2</v>
      </c>
      <c r="BB1230" t="n">
        <v>66</v>
      </c>
      <c r="BC1230" t="n">
        <v>19</v>
      </c>
      <c r="BD1230" t="n">
        <v>73</v>
      </c>
      <c r="BE1230" t="n">
        <v>5</v>
      </c>
      <c r="BF1230" t="n">
        <v>22</v>
      </c>
      <c r="BG1230" t="n">
        <v>4</v>
      </c>
      <c r="BH1230" t="n">
        <v>0</v>
      </c>
      <c r="BI1230" t="n">
        <v>33</v>
      </c>
      <c r="BJ1230" t="n">
        <v>30</v>
      </c>
      <c r="BK1230" t="n">
        <v>0</v>
      </c>
      <c r="BL1230" t="n">
        <v>1</v>
      </c>
      <c r="BM1230" t="n">
        <v>5</v>
      </c>
      <c r="BN1230" t="n">
        <v>3</v>
      </c>
      <c r="BO1230" t="n">
        <v>37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2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3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206</v>
      </c>
      <c r="Z1231" t="n">
        <v>123</v>
      </c>
      <c r="AA1231" t="n">
        <v>63</v>
      </c>
      <c r="AB1231" t="n">
        <v>2</v>
      </c>
      <c r="AC1231" t="n">
        <v>4</v>
      </c>
      <c r="AD1231" t="n">
        <v>3</v>
      </c>
      <c r="AE1231" t="n">
        <v>2</v>
      </c>
      <c r="AF1231" t="n">
        <v>2</v>
      </c>
      <c r="AG1231" t="n">
        <v>0</v>
      </c>
      <c r="AH1231" t="n">
        <v>52</v>
      </c>
      <c r="AI1231" t="n">
        <v>25</v>
      </c>
      <c r="AJ1231" t="n">
        <v>7</v>
      </c>
      <c r="AK1231" t="n">
        <v>1</v>
      </c>
      <c r="AL1231" t="n">
        <v>4</v>
      </c>
      <c r="AM1231" t="n">
        <v>40</v>
      </c>
      <c r="AN1231" t="n">
        <v>0</v>
      </c>
      <c r="AO1231" t="n">
        <v>0</v>
      </c>
      <c r="AP1231" t="n">
        <v>6</v>
      </c>
      <c r="AQ1231" t="n">
        <v>39</v>
      </c>
      <c r="AR1231" t="n">
        <v>81</v>
      </c>
      <c r="AS1231" t="n">
        <v>49</v>
      </c>
      <c r="AT1231" t="n">
        <v>4</v>
      </c>
      <c r="AU1231" t="n">
        <v>3</v>
      </c>
      <c r="AV1231" t="n">
        <v>29</v>
      </c>
      <c r="AW1231" t="n">
        <v>16</v>
      </c>
      <c r="AX1231" t="n">
        <v>0</v>
      </c>
      <c r="AY1231" t="n">
        <v>25</v>
      </c>
      <c r="AZ1231" t="n">
        <v>3</v>
      </c>
      <c r="BA1231" t="n">
        <v>7</v>
      </c>
      <c r="BB1231" t="n">
        <v>66</v>
      </c>
      <c r="BC1231" t="n">
        <v>38</v>
      </c>
      <c r="BD1231" t="n">
        <v>46</v>
      </c>
      <c r="BE1231" t="n">
        <v>16</v>
      </c>
      <c r="BF1231" t="n">
        <v>11</v>
      </c>
      <c r="BG1231" t="n">
        <v>2</v>
      </c>
      <c r="BH1231" t="n">
        <v>11</v>
      </c>
      <c r="BI1231" t="n">
        <v>13</v>
      </c>
      <c r="BJ1231" t="n">
        <v>11</v>
      </c>
      <c r="BK1231" t="n">
        <v>2</v>
      </c>
      <c r="BL1231" t="n">
        <v>3</v>
      </c>
      <c r="BM1231" t="n">
        <v>19</v>
      </c>
      <c r="BN1231" t="n">
        <v>11</v>
      </c>
      <c r="BO1231" t="n">
        <v>2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331</v>
      </c>
      <c r="Z1232" t="n">
        <v>171</v>
      </c>
      <c r="AA1232" t="n">
        <v>20</v>
      </c>
      <c r="AB1232" t="n">
        <v>0</v>
      </c>
      <c r="AC1232" t="n">
        <v>1</v>
      </c>
      <c r="AD1232" t="n">
        <v>2</v>
      </c>
      <c r="AE1232" t="n">
        <v>10</v>
      </c>
      <c r="AF1232" t="n">
        <v>4</v>
      </c>
      <c r="AG1232" t="n">
        <v>3</v>
      </c>
      <c r="AH1232" t="n">
        <v>31</v>
      </c>
      <c r="AI1232" t="n">
        <v>59</v>
      </c>
      <c r="AJ1232" t="n">
        <v>74</v>
      </c>
      <c r="AK1232" t="n">
        <v>33</v>
      </c>
      <c r="AL1232" t="n">
        <v>0</v>
      </c>
      <c r="AM1232" t="n">
        <v>31</v>
      </c>
      <c r="AN1232" t="n">
        <v>0</v>
      </c>
      <c r="AO1232" t="n">
        <v>0</v>
      </c>
      <c r="AP1232" t="n">
        <v>6</v>
      </c>
      <c r="AQ1232" t="n">
        <v>44</v>
      </c>
      <c r="AR1232" t="n">
        <v>129</v>
      </c>
      <c r="AS1232" t="n">
        <v>91</v>
      </c>
      <c r="AT1232" t="n">
        <v>4</v>
      </c>
      <c r="AU1232" t="n">
        <v>1</v>
      </c>
      <c r="AV1232" t="n">
        <v>39</v>
      </c>
      <c r="AW1232" t="n">
        <v>4</v>
      </c>
      <c r="AX1232" t="n">
        <v>15</v>
      </c>
      <c r="AY1232" t="n">
        <v>27</v>
      </c>
      <c r="AZ1232" t="n">
        <v>2</v>
      </c>
      <c r="BA1232" t="n">
        <v>7</v>
      </c>
      <c r="BB1232" t="n">
        <v>23</v>
      </c>
      <c r="BC1232" t="n">
        <v>26</v>
      </c>
      <c r="BD1232" t="n">
        <v>44</v>
      </c>
      <c r="BE1232" t="n">
        <v>4</v>
      </c>
      <c r="BF1232" t="n">
        <v>81</v>
      </c>
      <c r="BG1232" t="n">
        <v>3</v>
      </c>
      <c r="BH1232" t="n">
        <v>35</v>
      </c>
      <c r="BI1232" t="n">
        <v>23</v>
      </c>
      <c r="BJ1232" t="n">
        <v>31</v>
      </c>
      <c r="BK1232" t="n">
        <v>3</v>
      </c>
      <c r="BL1232" t="n">
        <v>33</v>
      </c>
      <c r="BM1232" t="n">
        <v>25</v>
      </c>
      <c r="BN1232" t="n">
        <v>3</v>
      </c>
      <c r="BO1232" t="n">
        <v>2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2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3</v>
      </c>
      <c r="U1233" t="n">
        <v>1</v>
      </c>
      <c r="V1233" t="n">
        <v>0</v>
      </c>
      <c r="W1233" t="n">
        <v>0</v>
      </c>
      <c r="X1233" t="n">
        <v>0</v>
      </c>
      <c r="Y1233" t="n">
        <v>133</v>
      </c>
      <c r="Z1233" t="n">
        <v>152</v>
      </c>
      <c r="AA1233" t="n">
        <v>25</v>
      </c>
      <c r="AB1233" t="n">
        <v>1</v>
      </c>
      <c r="AC1233" t="n">
        <v>3</v>
      </c>
      <c r="AD1233" t="n">
        <v>1</v>
      </c>
      <c r="AE1233" t="n">
        <v>10</v>
      </c>
      <c r="AF1233" t="n">
        <v>3</v>
      </c>
      <c r="AG1233" t="n">
        <v>1</v>
      </c>
      <c r="AH1233" t="n">
        <v>7</v>
      </c>
      <c r="AI1233" t="n">
        <v>90</v>
      </c>
      <c r="AJ1233" t="n">
        <v>48</v>
      </c>
      <c r="AK1233" t="n">
        <v>10</v>
      </c>
      <c r="AL1233" t="n">
        <v>5</v>
      </c>
      <c r="AM1233" t="n">
        <v>2</v>
      </c>
      <c r="AN1233" t="n">
        <v>0</v>
      </c>
      <c r="AO1233" t="n">
        <v>0</v>
      </c>
      <c r="AP1233" t="n">
        <v>9</v>
      </c>
      <c r="AQ1233" t="n">
        <v>55</v>
      </c>
      <c r="AR1233" t="n">
        <v>177</v>
      </c>
      <c r="AS1233" t="n">
        <v>125</v>
      </c>
      <c r="AT1233" t="n">
        <v>2</v>
      </c>
      <c r="AU1233" t="n">
        <v>0</v>
      </c>
      <c r="AV1233" t="n">
        <v>1</v>
      </c>
      <c r="AW1233" t="n">
        <v>4</v>
      </c>
      <c r="AX1233" t="n">
        <v>0</v>
      </c>
      <c r="AY1233" t="n">
        <v>48</v>
      </c>
      <c r="AZ1233" t="n">
        <v>0</v>
      </c>
      <c r="BA1233" t="n">
        <v>3</v>
      </c>
      <c r="BB1233" t="n">
        <v>25</v>
      </c>
      <c r="BC1233" t="n">
        <v>2</v>
      </c>
      <c r="BD1233" t="n">
        <v>6</v>
      </c>
      <c r="BE1233" t="n">
        <v>13</v>
      </c>
      <c r="BF1233" t="n">
        <v>38</v>
      </c>
      <c r="BG1233" t="n">
        <v>0</v>
      </c>
      <c r="BH1233" t="n">
        <v>4</v>
      </c>
      <c r="BI1233" t="n">
        <v>1</v>
      </c>
      <c r="BJ1233" t="n">
        <v>2</v>
      </c>
      <c r="BK1233" t="n">
        <v>3</v>
      </c>
      <c r="BL1233" t="n">
        <v>62</v>
      </c>
      <c r="BM1233" t="n">
        <v>42</v>
      </c>
      <c r="BN1233" t="n">
        <v>0</v>
      </c>
      <c r="BO1233" t="n">
        <v>2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212</v>
      </c>
      <c r="Z1234" t="n">
        <v>264</v>
      </c>
      <c r="AA1234" t="n">
        <v>24</v>
      </c>
      <c r="AB1234" t="n">
        <v>2</v>
      </c>
      <c r="AC1234" t="n">
        <v>0</v>
      </c>
      <c r="AD1234" t="n">
        <v>4</v>
      </c>
      <c r="AE1234" t="n">
        <v>4</v>
      </c>
      <c r="AF1234" t="n">
        <v>2</v>
      </c>
      <c r="AG1234" t="n">
        <v>4</v>
      </c>
      <c r="AH1234" t="n">
        <v>62</v>
      </c>
      <c r="AI1234" t="n">
        <v>72</v>
      </c>
      <c r="AJ1234" t="n">
        <v>68</v>
      </c>
      <c r="AK1234" t="n">
        <v>10</v>
      </c>
      <c r="AL1234" t="n">
        <v>0</v>
      </c>
      <c r="AM1234" t="n">
        <v>17</v>
      </c>
      <c r="AN1234" t="n">
        <v>0</v>
      </c>
      <c r="AO1234" t="n">
        <v>0</v>
      </c>
      <c r="AP1234" t="n">
        <v>0</v>
      </c>
      <c r="AQ1234" t="n">
        <v>38</v>
      </c>
      <c r="AR1234" t="n">
        <v>92</v>
      </c>
      <c r="AS1234" t="n">
        <v>61</v>
      </c>
      <c r="AT1234" t="n">
        <v>3</v>
      </c>
      <c r="AU1234" t="n">
        <v>1</v>
      </c>
      <c r="AV1234" t="n">
        <v>25</v>
      </c>
      <c r="AW1234" t="n">
        <v>11</v>
      </c>
      <c r="AX1234" t="n">
        <v>0</v>
      </c>
      <c r="AY1234" t="n">
        <v>8</v>
      </c>
      <c r="AZ1234" t="n">
        <v>1</v>
      </c>
      <c r="BA1234" t="n">
        <v>37</v>
      </c>
      <c r="BB1234" t="n">
        <v>64</v>
      </c>
      <c r="BC1234" t="n">
        <v>13</v>
      </c>
      <c r="BD1234" t="n">
        <v>64</v>
      </c>
      <c r="BE1234" t="n">
        <v>10</v>
      </c>
      <c r="BF1234" t="n">
        <v>56</v>
      </c>
      <c r="BG1234" t="n">
        <v>2</v>
      </c>
      <c r="BH1234" t="n">
        <v>4</v>
      </c>
      <c r="BI1234" t="n">
        <v>1</v>
      </c>
      <c r="BJ1234" t="n">
        <v>2</v>
      </c>
      <c r="BK1234" t="n">
        <v>6</v>
      </c>
      <c r="BL1234" t="n">
        <v>70</v>
      </c>
      <c r="BM1234" t="n">
        <v>57</v>
      </c>
      <c r="BN1234" t="n">
        <v>8</v>
      </c>
      <c r="BO1234" t="n">
        <v>35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0</v>
      </c>
      <c r="J1235" t="n">
        <v>0</v>
      </c>
      <c r="K1235" t="n">
        <v>0</v>
      </c>
      <c r="L1235" t="n">
        <v>1</v>
      </c>
      <c r="M1235" t="n">
        <v>2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146</v>
      </c>
      <c r="Z1235" t="n">
        <v>123</v>
      </c>
      <c r="AA1235" t="n">
        <v>53</v>
      </c>
      <c r="AB1235" t="n">
        <v>1</v>
      </c>
      <c r="AC1235" t="n">
        <v>0</v>
      </c>
      <c r="AD1235" t="n">
        <v>4</v>
      </c>
      <c r="AE1235" t="n">
        <v>0</v>
      </c>
      <c r="AF1235" t="n">
        <v>5</v>
      </c>
      <c r="AG1235" t="n">
        <v>2</v>
      </c>
      <c r="AH1235" t="n">
        <v>37</v>
      </c>
      <c r="AI1235" t="n">
        <v>2</v>
      </c>
      <c r="AJ1235" t="n">
        <v>25</v>
      </c>
      <c r="AK1235" t="n">
        <v>15</v>
      </c>
      <c r="AL1235" t="n">
        <v>5</v>
      </c>
      <c r="AM1235" t="n">
        <v>31</v>
      </c>
      <c r="AN1235" t="n">
        <v>0</v>
      </c>
      <c r="AO1235" t="n">
        <v>0</v>
      </c>
      <c r="AP1235" t="n">
        <v>2</v>
      </c>
      <c r="AQ1235" t="n">
        <v>13</v>
      </c>
      <c r="AR1235" t="n">
        <v>79</v>
      </c>
      <c r="AS1235" t="n">
        <v>65</v>
      </c>
      <c r="AT1235" t="n">
        <v>2</v>
      </c>
      <c r="AU1235" t="n">
        <v>1</v>
      </c>
      <c r="AV1235" t="n">
        <v>4</v>
      </c>
      <c r="AW1235" t="n">
        <v>13</v>
      </c>
      <c r="AX1235" t="n">
        <v>0</v>
      </c>
      <c r="AY1235" t="n">
        <v>34</v>
      </c>
      <c r="AZ1235" t="n">
        <v>3</v>
      </c>
      <c r="BA1235" t="n">
        <v>72</v>
      </c>
      <c r="BB1235" t="n">
        <v>132</v>
      </c>
      <c r="BC1235" t="n">
        <v>27</v>
      </c>
      <c r="BD1235" t="n">
        <v>33</v>
      </c>
      <c r="BE1235" t="n">
        <v>12</v>
      </c>
      <c r="BF1235" t="n">
        <v>20</v>
      </c>
      <c r="BG1235" t="n">
        <v>0</v>
      </c>
      <c r="BH1235" t="n">
        <v>14</v>
      </c>
      <c r="BI1235" t="n">
        <v>1</v>
      </c>
      <c r="BJ1235" t="n">
        <v>7</v>
      </c>
      <c r="BK1235" t="n">
        <v>2</v>
      </c>
      <c r="BL1235" t="n">
        <v>7</v>
      </c>
      <c r="BM1235" t="n">
        <v>4</v>
      </c>
      <c r="BN1235" t="n">
        <v>0</v>
      </c>
      <c r="BO1235" t="n">
        <v>2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164</v>
      </c>
      <c r="Z1236" t="n">
        <v>152</v>
      </c>
      <c r="AA1236" t="n">
        <v>41</v>
      </c>
      <c r="AB1236" t="n">
        <v>1</v>
      </c>
      <c r="AC1236" t="n">
        <v>0</v>
      </c>
      <c r="AD1236" t="n">
        <v>4</v>
      </c>
      <c r="AE1236" t="n">
        <v>4</v>
      </c>
      <c r="AF1236" t="n">
        <v>1</v>
      </c>
      <c r="AG1236" t="n">
        <v>4</v>
      </c>
      <c r="AH1236" t="n">
        <v>32</v>
      </c>
      <c r="AI1236" t="n">
        <v>27</v>
      </c>
      <c r="AJ1236" t="n">
        <v>44</v>
      </c>
      <c r="AK1236" t="n">
        <v>1</v>
      </c>
      <c r="AL1236" t="n">
        <v>3</v>
      </c>
      <c r="AM1236" t="n">
        <v>58</v>
      </c>
      <c r="AN1236" t="n">
        <v>1</v>
      </c>
      <c r="AO1236" t="n">
        <v>0</v>
      </c>
      <c r="AP1236" t="n">
        <v>3</v>
      </c>
      <c r="AQ1236" t="n">
        <v>23</v>
      </c>
      <c r="AR1236" t="n">
        <v>84</v>
      </c>
      <c r="AS1236" t="n">
        <v>64</v>
      </c>
      <c r="AT1236" t="n">
        <v>0</v>
      </c>
      <c r="AU1236" t="n">
        <v>0</v>
      </c>
      <c r="AV1236" t="n">
        <v>17</v>
      </c>
      <c r="AW1236" t="n">
        <v>3</v>
      </c>
      <c r="AX1236" t="n">
        <v>4</v>
      </c>
      <c r="AY1236" t="n">
        <v>76</v>
      </c>
      <c r="AZ1236" t="n">
        <v>0</v>
      </c>
      <c r="BA1236" t="n">
        <v>1</v>
      </c>
      <c r="BB1236" t="n">
        <v>40</v>
      </c>
      <c r="BC1236" t="n">
        <v>77</v>
      </c>
      <c r="BD1236" t="n">
        <v>29</v>
      </c>
      <c r="BE1236" t="n">
        <v>1</v>
      </c>
      <c r="BF1236" t="n">
        <v>35</v>
      </c>
      <c r="BG1236" t="n">
        <v>1</v>
      </c>
      <c r="BH1236" t="n">
        <v>11</v>
      </c>
      <c r="BI1236" t="n">
        <v>12</v>
      </c>
      <c r="BJ1236" t="n">
        <v>13</v>
      </c>
      <c r="BK1236" t="n">
        <v>1</v>
      </c>
      <c r="BL1236" t="n">
        <v>26</v>
      </c>
      <c r="BM1236" t="n">
        <v>39</v>
      </c>
      <c r="BN1236" t="n">
        <v>15</v>
      </c>
      <c r="BO1236" t="n">
        <v>18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204</v>
      </c>
      <c r="Z1237" t="n">
        <v>169</v>
      </c>
      <c r="AA1237" t="n">
        <v>17</v>
      </c>
      <c r="AB1237" t="n">
        <v>0</v>
      </c>
      <c r="AC1237" t="n">
        <v>0</v>
      </c>
      <c r="AD1237" t="n">
        <v>7</v>
      </c>
      <c r="AE1237" t="n">
        <v>8</v>
      </c>
      <c r="AF1237" t="n">
        <v>1</v>
      </c>
      <c r="AG1237" t="n">
        <v>9</v>
      </c>
      <c r="AH1237" t="n">
        <v>88</v>
      </c>
      <c r="AI1237" t="n">
        <v>50</v>
      </c>
      <c r="AJ1237" t="n">
        <v>7</v>
      </c>
      <c r="AK1237" t="n">
        <v>57</v>
      </c>
      <c r="AL1237" t="n">
        <v>2</v>
      </c>
      <c r="AM1237" t="n">
        <v>-1</v>
      </c>
      <c r="AN1237" t="n">
        <v>1</v>
      </c>
      <c r="AO1237" t="n">
        <v>0</v>
      </c>
      <c r="AP1237" t="n">
        <v>4</v>
      </c>
      <c r="AQ1237" t="n">
        <v>50</v>
      </c>
      <c r="AR1237" t="n">
        <v>54</v>
      </c>
      <c r="AS1237" t="n">
        <v>11</v>
      </c>
      <c r="AT1237" t="n">
        <v>3</v>
      </c>
      <c r="AU1237" t="n">
        <v>3</v>
      </c>
      <c r="AV1237" t="n">
        <v>10</v>
      </c>
      <c r="AW1237" t="n">
        <v>26</v>
      </c>
      <c r="AX1237" t="n">
        <v>1</v>
      </c>
      <c r="AY1237" t="n">
        <v>29</v>
      </c>
      <c r="AZ1237" t="n">
        <v>0</v>
      </c>
      <c r="BA1237" t="n">
        <v>1</v>
      </c>
      <c r="BB1237" t="n">
        <v>18</v>
      </c>
      <c r="BC1237" t="n">
        <v>2</v>
      </c>
      <c r="BD1237" t="n">
        <v>93</v>
      </c>
      <c r="BE1237" t="n">
        <v>26</v>
      </c>
      <c r="BF1237" t="n">
        <v>18</v>
      </c>
      <c r="BG1237" t="n">
        <v>1</v>
      </c>
      <c r="BH1237" t="n">
        <v>2</v>
      </c>
      <c r="BI1237" t="n">
        <v>1</v>
      </c>
      <c r="BJ1237" t="n">
        <v>3</v>
      </c>
      <c r="BK1237" t="n">
        <v>2</v>
      </c>
      <c r="BL1237" t="n">
        <v>21</v>
      </c>
      <c r="BM1237" t="n">
        <v>21</v>
      </c>
      <c r="BN1237" t="n">
        <v>5</v>
      </c>
      <c r="BO1237" t="n">
        <v>35</v>
      </c>
    </row>
    <row r="1238">
      <c r="A1238" t="n">
        <v>0</v>
      </c>
      <c r="B1238" t="n">
        <v>0</v>
      </c>
      <c r="C1238" t="n">
        <v>0</v>
      </c>
      <c r="D1238" t="n">
        <v>3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293</v>
      </c>
      <c r="Z1238" t="n">
        <v>155</v>
      </c>
      <c r="AA1238" t="n">
        <v>144</v>
      </c>
      <c r="AB1238" t="n">
        <v>5</v>
      </c>
      <c r="AC1238" t="n">
        <v>3</v>
      </c>
      <c r="AD1238" t="n">
        <v>4</v>
      </c>
      <c r="AE1238" t="n">
        <v>6</v>
      </c>
      <c r="AF1238" t="n">
        <v>2</v>
      </c>
      <c r="AG1238" t="n">
        <v>5</v>
      </c>
      <c r="AH1238" t="n">
        <v>26</v>
      </c>
      <c r="AI1238" t="n">
        <v>59</v>
      </c>
      <c r="AJ1238" t="n">
        <v>22</v>
      </c>
      <c r="AK1238" t="n">
        <v>51</v>
      </c>
      <c r="AL1238" t="n">
        <v>3</v>
      </c>
      <c r="AM1238" t="n">
        <v>31</v>
      </c>
      <c r="AN1238" t="n">
        <v>0</v>
      </c>
      <c r="AO1238" t="n">
        <v>0</v>
      </c>
      <c r="AP1238" t="n">
        <v>0</v>
      </c>
      <c r="AQ1238" t="n">
        <v>1</v>
      </c>
      <c r="AR1238" t="n">
        <v>73</v>
      </c>
      <c r="AS1238" t="n">
        <v>66</v>
      </c>
      <c r="AT1238" t="n">
        <v>8</v>
      </c>
      <c r="AU1238" t="n">
        <v>1</v>
      </c>
      <c r="AV1238" t="n">
        <v>139</v>
      </c>
      <c r="AW1238" t="n">
        <v>3</v>
      </c>
      <c r="AX1238" t="n">
        <v>2</v>
      </c>
      <c r="AY1238" t="n">
        <v>48</v>
      </c>
      <c r="AZ1238" t="n">
        <v>4</v>
      </c>
      <c r="BA1238" t="n">
        <v>29</v>
      </c>
      <c r="BB1238" t="n">
        <v>161</v>
      </c>
      <c r="BC1238" t="n">
        <v>31</v>
      </c>
      <c r="BD1238" t="n">
        <v>32</v>
      </c>
      <c r="BE1238" t="n">
        <v>1</v>
      </c>
      <c r="BF1238" t="n">
        <v>17</v>
      </c>
      <c r="BG1238" t="n">
        <v>2</v>
      </c>
      <c r="BH1238" t="n">
        <v>17</v>
      </c>
      <c r="BI1238" t="n">
        <v>1</v>
      </c>
      <c r="BJ1238" t="n">
        <v>4</v>
      </c>
      <c r="BK1238" t="n">
        <v>0</v>
      </c>
      <c r="BL1238" t="n">
        <v>1</v>
      </c>
      <c r="BM1238" t="n">
        <v>53</v>
      </c>
      <c r="BN1238" t="n">
        <v>34</v>
      </c>
      <c r="BO1238" t="n">
        <v>2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311</v>
      </c>
      <c r="Z1239" t="n">
        <v>203</v>
      </c>
      <c r="AA1239" t="n">
        <v>35</v>
      </c>
      <c r="AB1239" t="n">
        <v>2</v>
      </c>
      <c r="AC1239" t="n">
        <v>0</v>
      </c>
      <c r="AD1239" t="n">
        <v>2</v>
      </c>
      <c r="AE1239" t="n">
        <v>6</v>
      </c>
      <c r="AF1239" t="n">
        <v>1</v>
      </c>
      <c r="AG1239" t="n">
        <v>3</v>
      </c>
      <c r="AH1239" t="n">
        <v>63</v>
      </c>
      <c r="AI1239" t="n">
        <v>71</v>
      </c>
      <c r="AJ1239" t="n">
        <v>29</v>
      </c>
      <c r="AK1239" t="n">
        <v>77</v>
      </c>
      <c r="AL1239" t="n">
        <v>2</v>
      </c>
      <c r="AM1239" t="n">
        <v>40</v>
      </c>
      <c r="AN1239" t="n">
        <v>0</v>
      </c>
      <c r="AO1239" t="n">
        <v>0</v>
      </c>
      <c r="AP1239" t="n">
        <v>3</v>
      </c>
      <c r="AQ1239" t="n">
        <v>29</v>
      </c>
      <c r="AR1239" t="n">
        <v>132</v>
      </c>
      <c r="AS1239" t="n">
        <v>106</v>
      </c>
      <c r="AT1239" t="n">
        <v>3</v>
      </c>
      <c r="AU1239" t="n">
        <v>1</v>
      </c>
      <c r="AV1239" t="n">
        <v>14</v>
      </c>
      <c r="AW1239" t="n">
        <v>16</v>
      </c>
      <c r="AX1239" t="n">
        <v>8</v>
      </c>
      <c r="AY1239" t="n">
        <v>23</v>
      </c>
      <c r="AZ1239" t="n">
        <v>2</v>
      </c>
      <c r="BA1239" t="n">
        <v>17</v>
      </c>
      <c r="BB1239" t="n">
        <v>51</v>
      </c>
      <c r="BC1239" t="n">
        <v>34</v>
      </c>
      <c r="BD1239" t="n">
        <v>56</v>
      </c>
      <c r="BE1239" t="n">
        <v>16</v>
      </c>
      <c r="BF1239" t="n">
        <v>23</v>
      </c>
      <c r="BG1239" t="n">
        <v>4</v>
      </c>
      <c r="BH1239" t="n">
        <v>6</v>
      </c>
      <c r="BI1239" t="n">
        <v>83</v>
      </c>
      <c r="BJ1239" t="n">
        <v>76</v>
      </c>
      <c r="BK1239" t="n">
        <v>2</v>
      </c>
      <c r="BL1239" t="n">
        <v>10</v>
      </c>
      <c r="BM1239" t="n">
        <v>31</v>
      </c>
      <c r="BN1239" t="n">
        <v>15</v>
      </c>
      <c r="BO1239" t="n">
        <v>23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118</v>
      </c>
      <c r="Z1240" t="n">
        <v>77</v>
      </c>
      <c r="AA1240" t="n">
        <v>67</v>
      </c>
      <c r="AB1240" t="n">
        <v>2</v>
      </c>
      <c r="AC1240" t="n">
        <v>4</v>
      </c>
      <c r="AD1240" t="n">
        <v>3</v>
      </c>
      <c r="AE1240" t="n">
        <v>3</v>
      </c>
      <c r="AF1240" t="n">
        <v>1</v>
      </c>
      <c r="AG1240" t="n">
        <v>6</v>
      </c>
      <c r="AH1240" t="n">
        <v>53</v>
      </c>
      <c r="AI1240" t="n">
        <v>47</v>
      </c>
      <c r="AJ1240" t="n">
        <v>2</v>
      </c>
      <c r="AK1240" t="n">
        <v>16</v>
      </c>
      <c r="AL1240" t="n">
        <v>1</v>
      </c>
      <c r="AM1240" t="n">
        <v>9</v>
      </c>
      <c r="AN1240" t="n">
        <v>0</v>
      </c>
      <c r="AO1240" t="n">
        <v>0</v>
      </c>
      <c r="AP1240" t="n">
        <v>8</v>
      </c>
      <c r="AQ1240" t="n">
        <v>30</v>
      </c>
      <c r="AR1240" t="n">
        <v>89</v>
      </c>
      <c r="AS1240" t="n">
        <v>63</v>
      </c>
      <c r="AT1240" t="n">
        <v>0</v>
      </c>
      <c r="AU1240" t="n">
        <v>0</v>
      </c>
      <c r="AV1240" t="n">
        <v>1</v>
      </c>
      <c r="AW1240" t="n">
        <v>4</v>
      </c>
      <c r="AX1240" t="n">
        <v>8</v>
      </c>
      <c r="AY1240" t="n">
        <v>5</v>
      </c>
      <c r="AZ1240" t="n">
        <v>3</v>
      </c>
      <c r="BA1240" t="n">
        <v>1</v>
      </c>
      <c r="BB1240" t="n">
        <v>65</v>
      </c>
      <c r="BC1240" t="n">
        <v>6</v>
      </c>
      <c r="BD1240" t="n">
        <v>47</v>
      </c>
      <c r="BE1240" t="n">
        <v>3</v>
      </c>
      <c r="BF1240" t="n">
        <v>29</v>
      </c>
      <c r="BG1240" t="n">
        <v>0</v>
      </c>
      <c r="BH1240" t="n">
        <v>0</v>
      </c>
      <c r="BI1240" t="n">
        <v>5</v>
      </c>
      <c r="BJ1240" t="n">
        <v>18</v>
      </c>
      <c r="BK1240" t="n">
        <v>2</v>
      </c>
      <c r="BL1240" t="n">
        <v>1</v>
      </c>
      <c r="BM1240" t="n">
        <v>1</v>
      </c>
      <c r="BN1240" t="n">
        <v>0</v>
      </c>
      <c r="BO1240" t="n">
        <v>65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2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2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251</v>
      </c>
      <c r="Z1241" t="n">
        <v>352</v>
      </c>
      <c r="AA1241" t="n">
        <v>169</v>
      </c>
      <c r="AB1241" t="n">
        <v>3</v>
      </c>
      <c r="AC1241" t="n">
        <v>0</v>
      </c>
      <c r="AD1241" t="n">
        <v>3</v>
      </c>
      <c r="AE1241" t="n">
        <v>6</v>
      </c>
      <c r="AF1241" t="n">
        <v>2</v>
      </c>
      <c r="AG1241" t="n">
        <v>0</v>
      </c>
      <c r="AH1241" t="n">
        <v>34</v>
      </c>
      <c r="AI1241" t="n">
        <v>135</v>
      </c>
      <c r="AJ1241" t="n">
        <v>48</v>
      </c>
      <c r="AK1241" t="n">
        <v>47</v>
      </c>
      <c r="AL1241" t="n">
        <v>4</v>
      </c>
      <c r="AM1241" t="n">
        <v>76</v>
      </c>
      <c r="AN1241" t="n">
        <v>0</v>
      </c>
      <c r="AO1241" t="n">
        <v>0</v>
      </c>
      <c r="AP1241" t="n">
        <v>3</v>
      </c>
      <c r="AQ1241" t="n">
        <v>79</v>
      </c>
      <c r="AR1241" t="n">
        <v>137</v>
      </c>
      <c r="AS1241" t="n">
        <v>70</v>
      </c>
      <c r="AT1241" t="n">
        <v>5</v>
      </c>
      <c r="AU1241" t="n">
        <v>4</v>
      </c>
      <c r="AV1241" t="n">
        <v>66</v>
      </c>
      <c r="AW1241" t="n">
        <v>36</v>
      </c>
      <c r="AX1241" t="n">
        <v>2</v>
      </c>
      <c r="AY1241" t="n">
        <v>9</v>
      </c>
      <c r="AZ1241" t="n">
        <v>3</v>
      </c>
      <c r="BA1241" t="n">
        <v>10</v>
      </c>
      <c r="BB1241" t="n">
        <v>167</v>
      </c>
      <c r="BC1241" t="n">
        <v>82</v>
      </c>
      <c r="BD1241" t="n">
        <v>63</v>
      </c>
      <c r="BE1241" t="n">
        <v>46</v>
      </c>
      <c r="BF1241" t="n">
        <v>65</v>
      </c>
      <c r="BG1241" t="n">
        <v>3</v>
      </c>
      <c r="BH1241" t="n">
        <v>3</v>
      </c>
      <c r="BI1241" t="n">
        <v>53</v>
      </c>
      <c r="BJ1241" t="n">
        <v>57</v>
      </c>
      <c r="BK1241" t="n">
        <v>0</v>
      </c>
      <c r="BL1241" t="n">
        <v>1</v>
      </c>
      <c r="BM1241" t="n">
        <v>22</v>
      </c>
      <c r="BN1241" t="n">
        <v>13</v>
      </c>
      <c r="BO1241" t="n">
        <v>2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2</v>
      </c>
      <c r="U1242" t="n">
        <v>0</v>
      </c>
      <c r="V1242" t="n">
        <v>0</v>
      </c>
      <c r="W1242" t="n">
        <v>1</v>
      </c>
      <c r="X1242" t="n">
        <v>0</v>
      </c>
      <c r="Y1242" t="n">
        <v>347</v>
      </c>
      <c r="Z1242" t="n">
        <v>214</v>
      </c>
      <c r="AA1242" t="n">
        <v>31</v>
      </c>
      <c r="AB1242" t="n">
        <v>0</v>
      </c>
      <c r="AC1242" t="n">
        <v>0</v>
      </c>
      <c r="AD1242" t="n">
        <v>7</v>
      </c>
      <c r="AE1242" t="n">
        <v>2</v>
      </c>
      <c r="AF1242" t="n">
        <v>2</v>
      </c>
      <c r="AG1242" t="n">
        <v>6</v>
      </c>
      <c r="AH1242" t="n">
        <v>73</v>
      </c>
      <c r="AI1242" t="n">
        <v>26</v>
      </c>
      <c r="AJ1242" t="n">
        <v>9</v>
      </c>
      <c r="AK1242" t="n">
        <v>104</v>
      </c>
      <c r="AL1242" t="n">
        <v>2</v>
      </c>
      <c r="AM1242" t="n">
        <v>69</v>
      </c>
      <c r="AN1242" t="n">
        <v>0</v>
      </c>
      <c r="AO1242" t="n">
        <v>0</v>
      </c>
      <c r="AP1242" t="n">
        <v>1</v>
      </c>
      <c r="AQ1242" t="n">
        <v>3</v>
      </c>
      <c r="AR1242" t="n">
        <v>72</v>
      </c>
      <c r="AS1242" t="n">
        <v>66</v>
      </c>
      <c r="AT1242" t="n">
        <v>1</v>
      </c>
      <c r="AU1242" t="n">
        <v>1</v>
      </c>
      <c r="AV1242" t="n">
        <v>27</v>
      </c>
      <c r="AW1242" t="n">
        <v>25</v>
      </c>
      <c r="AX1242" t="n">
        <v>0</v>
      </c>
      <c r="AY1242" t="n">
        <v>20</v>
      </c>
      <c r="AZ1242" t="n">
        <v>1</v>
      </c>
      <c r="BA1242" t="n">
        <v>11</v>
      </c>
      <c r="BB1242" t="n">
        <v>40</v>
      </c>
      <c r="BC1242" t="n">
        <v>57</v>
      </c>
      <c r="BD1242" t="n">
        <v>66</v>
      </c>
      <c r="BE1242" t="n">
        <v>25</v>
      </c>
      <c r="BF1242" t="n">
        <v>6</v>
      </c>
      <c r="BG1242" t="n">
        <v>3</v>
      </c>
      <c r="BH1242" t="n">
        <v>31</v>
      </c>
      <c r="BI1242" t="n">
        <v>57</v>
      </c>
      <c r="BJ1242" t="n">
        <v>52</v>
      </c>
      <c r="BK1242" t="n">
        <v>1</v>
      </c>
      <c r="BL1242" t="n">
        <v>1</v>
      </c>
      <c r="BM1242" t="n">
        <v>9</v>
      </c>
      <c r="BN1242" t="n">
        <v>4</v>
      </c>
      <c r="BO1242" t="n">
        <v>2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208</v>
      </c>
      <c r="Z1243" t="n">
        <v>321</v>
      </c>
      <c r="AA1243" t="n">
        <v>60</v>
      </c>
      <c r="AB1243" t="n">
        <v>0</v>
      </c>
      <c r="AC1243" t="n">
        <v>0</v>
      </c>
      <c r="AD1243" t="n">
        <v>2</v>
      </c>
      <c r="AE1243" t="n">
        <v>9</v>
      </c>
      <c r="AF1243" t="n">
        <v>3</v>
      </c>
      <c r="AG1243" t="n">
        <v>3</v>
      </c>
      <c r="AH1243" t="n">
        <v>39</v>
      </c>
      <c r="AI1243" t="n">
        <v>69</v>
      </c>
      <c r="AJ1243" t="n">
        <v>41</v>
      </c>
      <c r="AK1243" t="n">
        <v>28</v>
      </c>
      <c r="AL1243" t="n">
        <v>5</v>
      </c>
      <c r="AM1243" t="n">
        <v>66</v>
      </c>
      <c r="AN1243" t="n">
        <v>0</v>
      </c>
      <c r="AO1243" t="n">
        <v>0</v>
      </c>
      <c r="AP1243" t="n">
        <v>6</v>
      </c>
      <c r="AQ1243" t="n">
        <v>84</v>
      </c>
      <c r="AR1243" t="n">
        <v>108</v>
      </c>
      <c r="AS1243" t="n">
        <v>37</v>
      </c>
      <c r="AT1243" t="n">
        <v>6</v>
      </c>
      <c r="AU1243" t="n">
        <v>0</v>
      </c>
      <c r="AV1243" t="n">
        <v>65</v>
      </c>
      <c r="AW1243" t="n">
        <v>13</v>
      </c>
      <c r="AX1243" t="n">
        <v>2</v>
      </c>
      <c r="AY1243" t="n">
        <v>18</v>
      </c>
      <c r="AZ1243" t="n">
        <v>4</v>
      </c>
      <c r="BA1243" t="n">
        <v>29</v>
      </c>
      <c r="BB1243" t="n">
        <v>87</v>
      </c>
      <c r="BC1243" t="n">
        <v>55</v>
      </c>
      <c r="BD1243" t="n">
        <v>44</v>
      </c>
      <c r="BE1243" t="n">
        <v>12</v>
      </c>
      <c r="BF1243" t="n">
        <v>40</v>
      </c>
      <c r="BG1243" t="n">
        <v>1</v>
      </c>
      <c r="BH1243" t="n">
        <v>0</v>
      </c>
      <c r="BI1243" t="n">
        <v>11</v>
      </c>
      <c r="BJ1243" t="n">
        <v>26</v>
      </c>
      <c r="BK1243" t="n">
        <v>4</v>
      </c>
      <c r="BL1243" t="n">
        <v>50</v>
      </c>
      <c r="BM1243" t="n">
        <v>35</v>
      </c>
      <c r="BN1243" t="n">
        <v>2</v>
      </c>
      <c r="BO1243" t="n">
        <v>2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2</v>
      </c>
      <c r="X1244" t="n">
        <v>0</v>
      </c>
      <c r="Y1244" t="n">
        <v>269</v>
      </c>
      <c r="Z1244" t="n">
        <v>89</v>
      </c>
      <c r="AA1244" t="n">
        <v>47</v>
      </c>
      <c r="AB1244" t="n">
        <v>1</v>
      </c>
      <c r="AC1244" t="n">
        <v>2</v>
      </c>
      <c r="AD1244" t="n">
        <v>3</v>
      </c>
      <c r="AE1244" t="n">
        <v>3</v>
      </c>
      <c r="AF1244" t="n">
        <v>4</v>
      </c>
      <c r="AG1244" t="n">
        <v>0</v>
      </c>
      <c r="AH1244" t="n">
        <v>30</v>
      </c>
      <c r="AI1244" t="n">
        <v>30</v>
      </c>
      <c r="AJ1244" t="n">
        <v>49</v>
      </c>
      <c r="AK1244" t="n">
        <v>24</v>
      </c>
      <c r="AL1244" t="n">
        <v>1</v>
      </c>
      <c r="AM1244" t="n">
        <v>24</v>
      </c>
      <c r="AN1244" t="n">
        <v>0</v>
      </c>
      <c r="AO1244" t="n">
        <v>0</v>
      </c>
      <c r="AP1244" t="n">
        <v>0</v>
      </c>
      <c r="AQ1244" t="n">
        <v>4</v>
      </c>
      <c r="AR1244" t="n">
        <v>126</v>
      </c>
      <c r="AS1244" t="n">
        <v>114</v>
      </c>
      <c r="AT1244" t="n">
        <v>2</v>
      </c>
      <c r="AU1244" t="n">
        <v>2</v>
      </c>
      <c r="AV1244" t="n">
        <v>30</v>
      </c>
      <c r="AW1244" t="n">
        <v>6</v>
      </c>
      <c r="AX1244" t="n">
        <v>25</v>
      </c>
      <c r="AY1244" t="n">
        <v>26</v>
      </c>
      <c r="AZ1244" t="n">
        <v>0</v>
      </c>
      <c r="BA1244" t="n">
        <v>1</v>
      </c>
      <c r="BB1244" t="n">
        <v>47</v>
      </c>
      <c r="BC1244" t="n">
        <v>20</v>
      </c>
      <c r="BD1244" t="n">
        <v>27</v>
      </c>
      <c r="BE1244" t="n">
        <v>16</v>
      </c>
      <c r="BF1244" t="n">
        <v>43</v>
      </c>
      <c r="BG1244" t="n">
        <v>6</v>
      </c>
      <c r="BH1244" t="n">
        <v>12</v>
      </c>
      <c r="BI1244" t="n">
        <v>99</v>
      </c>
      <c r="BJ1244" t="n">
        <v>109</v>
      </c>
      <c r="BK1244" t="n">
        <v>3</v>
      </c>
      <c r="BL1244" t="n">
        <v>7</v>
      </c>
      <c r="BM1244" t="n">
        <v>4</v>
      </c>
      <c r="BN1244" t="n">
        <v>0</v>
      </c>
      <c r="BO1244" t="n">
        <v>21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275</v>
      </c>
      <c r="Z1245" t="n">
        <v>148</v>
      </c>
      <c r="AA1245" t="n">
        <v>88</v>
      </c>
      <c r="AB1245" t="n">
        <v>0</v>
      </c>
      <c r="AC1245" t="n">
        <v>0</v>
      </c>
      <c r="AD1245" t="n">
        <v>8</v>
      </c>
      <c r="AE1245" t="n">
        <v>2</v>
      </c>
      <c r="AF1245" t="n">
        <v>7</v>
      </c>
      <c r="AG1245" t="n">
        <v>4</v>
      </c>
      <c r="AH1245" t="n">
        <v>158</v>
      </c>
      <c r="AI1245" t="n">
        <v>19</v>
      </c>
      <c r="AJ1245" t="n">
        <v>85</v>
      </c>
      <c r="AK1245" t="n">
        <v>13</v>
      </c>
      <c r="AL1245" t="n">
        <v>1</v>
      </c>
      <c r="AM1245" t="n">
        <v>2</v>
      </c>
      <c r="AN1245" t="n">
        <v>0</v>
      </c>
      <c r="AO1245" t="n">
        <v>0</v>
      </c>
      <c r="AP1245" t="n">
        <v>0</v>
      </c>
      <c r="AQ1245" t="n">
        <v>1</v>
      </c>
      <c r="AR1245" t="n">
        <v>110</v>
      </c>
      <c r="AS1245" t="n">
        <v>100</v>
      </c>
      <c r="AT1245" t="n">
        <v>0</v>
      </c>
      <c r="AU1245" t="n">
        <v>2</v>
      </c>
      <c r="AV1245" t="n">
        <v>5</v>
      </c>
      <c r="AW1245" t="n">
        <v>23</v>
      </c>
      <c r="AX1245" t="n">
        <v>0</v>
      </c>
      <c r="AY1245" t="n">
        <v>23</v>
      </c>
      <c r="AZ1245" t="n">
        <v>2</v>
      </c>
      <c r="BA1245" t="n">
        <v>7</v>
      </c>
      <c r="BB1245" t="n">
        <v>91</v>
      </c>
      <c r="BC1245" t="n">
        <v>10</v>
      </c>
      <c r="BD1245" t="n">
        <v>140</v>
      </c>
      <c r="BE1245" t="n">
        <v>23</v>
      </c>
      <c r="BF1245" t="n">
        <v>68</v>
      </c>
      <c r="BG1245" t="n">
        <v>2</v>
      </c>
      <c r="BH1245" t="n">
        <v>1</v>
      </c>
      <c r="BI1245" t="n">
        <v>1</v>
      </c>
      <c r="BJ1245" t="n">
        <v>2</v>
      </c>
      <c r="BK1245" t="n">
        <v>4</v>
      </c>
      <c r="BL1245" t="n">
        <v>48</v>
      </c>
      <c r="BM1245" t="n">
        <v>31</v>
      </c>
      <c r="BN1245" t="n">
        <v>0</v>
      </c>
      <c r="BO1245" t="n">
        <v>21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4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2</v>
      </c>
      <c r="U1246" t="n">
        <v>0</v>
      </c>
      <c r="V1246" t="n">
        <v>0</v>
      </c>
      <c r="W1246" t="n">
        <v>0</v>
      </c>
      <c r="X1246" t="n">
        <v>0</v>
      </c>
      <c r="Y1246" t="n">
        <v>120</v>
      </c>
      <c r="Z1246" t="n">
        <v>307</v>
      </c>
      <c r="AA1246" t="n">
        <v>64</v>
      </c>
      <c r="AB1246" t="n">
        <v>3</v>
      </c>
      <c r="AC1246" t="n">
        <v>0</v>
      </c>
      <c r="AD1246" t="n">
        <v>3</v>
      </c>
      <c r="AE1246" t="n">
        <v>7</v>
      </c>
      <c r="AF1246" t="n">
        <v>3</v>
      </c>
      <c r="AG1246" t="n">
        <v>6</v>
      </c>
      <c r="AH1246" t="n">
        <v>51</v>
      </c>
      <c r="AI1246" t="n">
        <v>87</v>
      </c>
      <c r="AJ1246" t="n">
        <v>21</v>
      </c>
      <c r="AK1246" t="n">
        <v>42</v>
      </c>
      <c r="AL1246" t="n">
        <v>2</v>
      </c>
      <c r="AM1246" t="n">
        <v>32</v>
      </c>
      <c r="AN1246" t="n">
        <v>0</v>
      </c>
      <c r="AO1246" t="n">
        <v>0</v>
      </c>
      <c r="AP1246" t="n">
        <v>2</v>
      </c>
      <c r="AQ1246" t="n">
        <v>1</v>
      </c>
      <c r="AR1246" t="n">
        <v>107</v>
      </c>
      <c r="AS1246" t="n">
        <v>98</v>
      </c>
      <c r="AT1246" t="n">
        <v>1</v>
      </c>
      <c r="AU1246" t="n">
        <v>1</v>
      </c>
      <c r="AV1246" t="n">
        <v>1</v>
      </c>
      <c r="AW1246" t="n">
        <v>44</v>
      </c>
      <c r="AX1246" t="n">
        <v>0</v>
      </c>
      <c r="AY1246" t="n">
        <v>25</v>
      </c>
      <c r="AZ1246" t="n">
        <v>6</v>
      </c>
      <c r="BA1246" t="n">
        <v>42</v>
      </c>
      <c r="BB1246" t="n">
        <v>106</v>
      </c>
      <c r="BC1246" t="n">
        <v>27</v>
      </c>
      <c r="BD1246" t="n">
        <v>52</v>
      </c>
      <c r="BE1246" t="n">
        <v>44</v>
      </c>
      <c r="BF1246" t="n">
        <v>17</v>
      </c>
      <c r="BG1246" t="n">
        <v>0</v>
      </c>
      <c r="BH1246" t="n">
        <v>11</v>
      </c>
      <c r="BI1246" t="n">
        <v>1</v>
      </c>
      <c r="BJ1246" t="n">
        <v>1</v>
      </c>
      <c r="BK1246" t="n">
        <v>1</v>
      </c>
      <c r="BL1246" t="n">
        <v>21</v>
      </c>
      <c r="BM1246" t="n">
        <v>16</v>
      </c>
      <c r="BN1246" t="n">
        <v>2</v>
      </c>
      <c r="BO1246" t="n">
        <v>16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2</v>
      </c>
      <c r="X1247" t="n">
        <v>0</v>
      </c>
      <c r="Y1247" t="n">
        <v>326</v>
      </c>
      <c r="Z1247" t="n">
        <v>160</v>
      </c>
      <c r="AA1247" t="n">
        <v>40</v>
      </c>
      <c r="AB1247" t="n">
        <v>2</v>
      </c>
      <c r="AC1247" t="n">
        <v>1</v>
      </c>
      <c r="AD1247" t="n">
        <v>6</v>
      </c>
      <c r="AE1247" t="n">
        <v>3</v>
      </c>
      <c r="AF1247" t="n">
        <v>4</v>
      </c>
      <c r="AG1247" t="n">
        <v>3</v>
      </c>
      <c r="AH1247" t="n">
        <v>57</v>
      </c>
      <c r="AI1247" t="n">
        <v>19</v>
      </c>
      <c r="AJ1247" t="n">
        <v>37</v>
      </c>
      <c r="AK1247" t="n">
        <v>22</v>
      </c>
      <c r="AL1247" t="n">
        <v>6</v>
      </c>
      <c r="AM1247" t="n">
        <v>42</v>
      </c>
      <c r="AN1247" t="n">
        <v>0</v>
      </c>
      <c r="AO1247" t="n">
        <v>1</v>
      </c>
      <c r="AP1247" t="n">
        <v>2</v>
      </c>
      <c r="AQ1247" t="n">
        <v>4</v>
      </c>
      <c r="AR1247" t="n">
        <v>79</v>
      </c>
      <c r="AS1247" t="n">
        <v>71</v>
      </c>
      <c r="AT1247" t="n">
        <v>4</v>
      </c>
      <c r="AU1247" t="n">
        <v>1</v>
      </c>
      <c r="AV1247" t="n">
        <v>56</v>
      </c>
      <c r="AW1247" t="n">
        <v>13</v>
      </c>
      <c r="AX1247" t="n">
        <v>5</v>
      </c>
      <c r="AY1247" t="n">
        <v>39</v>
      </c>
      <c r="AZ1247" t="n">
        <v>3</v>
      </c>
      <c r="BA1247" t="n">
        <v>21</v>
      </c>
      <c r="BB1247" t="n">
        <v>59</v>
      </c>
      <c r="BC1247" t="n">
        <v>53</v>
      </c>
      <c r="BD1247" t="n">
        <v>56</v>
      </c>
      <c r="BE1247" t="n">
        <v>13</v>
      </c>
      <c r="BF1247" t="n">
        <v>29</v>
      </c>
      <c r="BG1247" t="n">
        <v>4</v>
      </c>
      <c r="BH1247" t="n">
        <v>11</v>
      </c>
      <c r="BI1247" t="n">
        <v>57</v>
      </c>
      <c r="BJ1247" t="n">
        <v>52</v>
      </c>
      <c r="BK1247" t="n">
        <v>6</v>
      </c>
      <c r="BL1247" t="n">
        <v>27</v>
      </c>
      <c r="BM1247" t="n">
        <v>23</v>
      </c>
      <c r="BN1247" t="n">
        <v>4</v>
      </c>
      <c r="BO1247" t="n">
        <v>77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249</v>
      </c>
      <c r="Z1248" t="n">
        <v>138</v>
      </c>
      <c r="AA1248" t="n">
        <v>105</v>
      </c>
      <c r="AB1248" t="n">
        <v>0</v>
      </c>
      <c r="AC1248" t="n">
        <v>1</v>
      </c>
      <c r="AD1248" t="n">
        <v>1</v>
      </c>
      <c r="AE1248" t="n">
        <v>2</v>
      </c>
      <c r="AF1248" t="n">
        <v>1</v>
      </c>
      <c r="AG1248" t="n">
        <v>2</v>
      </c>
      <c r="AH1248" t="n">
        <v>43</v>
      </c>
      <c r="AI1248" t="n">
        <v>2</v>
      </c>
      <c r="AJ1248" t="n">
        <v>62</v>
      </c>
      <c r="AK1248" t="n">
        <v>39</v>
      </c>
      <c r="AL1248" t="n">
        <v>11</v>
      </c>
      <c r="AM1248" t="n">
        <v>90</v>
      </c>
      <c r="AN1248" t="n">
        <v>0</v>
      </c>
      <c r="AO1248" t="n">
        <v>0</v>
      </c>
      <c r="AP1248" t="n">
        <v>9</v>
      </c>
      <c r="AQ1248" t="n">
        <v>45</v>
      </c>
      <c r="AR1248" t="n">
        <v>78</v>
      </c>
      <c r="AS1248" t="n">
        <v>40</v>
      </c>
      <c r="AT1248" t="n">
        <v>1</v>
      </c>
      <c r="AU1248" t="n">
        <v>2</v>
      </c>
      <c r="AV1248" t="n">
        <v>11</v>
      </c>
      <c r="AW1248" t="n">
        <v>1</v>
      </c>
      <c r="AX1248" t="n">
        <v>0</v>
      </c>
      <c r="AY1248" t="n">
        <v>96</v>
      </c>
      <c r="AZ1248" t="n">
        <v>3</v>
      </c>
      <c r="BA1248" t="n">
        <v>27</v>
      </c>
      <c r="BB1248" t="n">
        <v>125</v>
      </c>
      <c r="BC1248" t="n">
        <v>82</v>
      </c>
      <c r="BD1248" t="n">
        <v>41</v>
      </c>
      <c r="BE1248" t="n">
        <v>1</v>
      </c>
      <c r="BF1248" t="n">
        <v>56</v>
      </c>
      <c r="BG1248" t="n">
        <v>5</v>
      </c>
      <c r="BH1248" t="n">
        <v>3</v>
      </c>
      <c r="BI1248" t="n">
        <v>45</v>
      </c>
      <c r="BJ1248" t="n">
        <v>45</v>
      </c>
      <c r="BK1248" t="n">
        <v>5</v>
      </c>
      <c r="BL1248" t="n">
        <v>11</v>
      </c>
      <c r="BM1248" t="n">
        <v>29</v>
      </c>
      <c r="BN1248" t="n">
        <v>14</v>
      </c>
      <c r="BO1248" t="n">
        <v>54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2</v>
      </c>
      <c r="N1249" t="n">
        <v>0</v>
      </c>
      <c r="O1249" t="n">
        <v>0</v>
      </c>
      <c r="P1249" t="n">
        <v>0</v>
      </c>
      <c r="Q1249" t="n">
        <v>0</v>
      </c>
      <c r="R1249" t="n">
        <v>2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202</v>
      </c>
      <c r="Z1249" t="n">
        <v>225</v>
      </c>
      <c r="AA1249" t="n">
        <v>61</v>
      </c>
      <c r="AB1249" t="n">
        <v>3</v>
      </c>
      <c r="AC1249" t="n">
        <v>1</v>
      </c>
      <c r="AD1249" t="n">
        <v>6</v>
      </c>
      <c r="AE1249" t="n">
        <v>10</v>
      </c>
      <c r="AF1249" t="n">
        <v>7</v>
      </c>
      <c r="AG1249" t="n">
        <v>0</v>
      </c>
      <c r="AH1249" t="n">
        <v>37</v>
      </c>
      <c r="AI1249" t="n">
        <v>77</v>
      </c>
      <c r="AJ1249" t="n">
        <v>67</v>
      </c>
      <c r="AK1249" t="n">
        <v>1</v>
      </c>
      <c r="AL1249" t="n">
        <v>5</v>
      </c>
      <c r="AM1249" t="n">
        <v>48</v>
      </c>
      <c r="AN1249" t="n">
        <v>0</v>
      </c>
      <c r="AO1249" t="n">
        <v>0</v>
      </c>
      <c r="AP1249" t="n">
        <v>6</v>
      </c>
      <c r="AQ1249" t="n">
        <v>68</v>
      </c>
      <c r="AR1249" t="n">
        <v>162</v>
      </c>
      <c r="AS1249" t="n">
        <v>104</v>
      </c>
      <c r="AT1249" t="n">
        <v>1</v>
      </c>
      <c r="AU1249" t="n">
        <v>3</v>
      </c>
      <c r="AV1249" t="n">
        <v>11</v>
      </c>
      <c r="AW1249" t="n">
        <v>19</v>
      </c>
      <c r="AX1249" t="n">
        <v>4</v>
      </c>
      <c r="AY1249" t="n">
        <v>44</v>
      </c>
      <c r="AZ1249" t="n">
        <v>2</v>
      </c>
      <c r="BA1249" t="n">
        <v>24</v>
      </c>
      <c r="BB1249" t="n">
        <v>83</v>
      </c>
      <c r="BC1249" t="n">
        <v>41</v>
      </c>
      <c r="BD1249" t="n">
        <v>61</v>
      </c>
      <c r="BE1249" t="n">
        <v>20</v>
      </c>
      <c r="BF1249" t="n">
        <v>53</v>
      </c>
      <c r="BG1249" t="n">
        <v>4</v>
      </c>
      <c r="BH1249" t="n">
        <v>4</v>
      </c>
      <c r="BI1249" t="n">
        <v>40</v>
      </c>
      <c r="BJ1249" t="n">
        <v>55</v>
      </c>
      <c r="BK1249" t="n">
        <v>5</v>
      </c>
      <c r="BL1249" t="n">
        <v>26</v>
      </c>
      <c r="BM1249" t="n">
        <v>42</v>
      </c>
      <c r="BN1249" t="n">
        <v>17</v>
      </c>
      <c r="BO1249" t="n">
        <v>2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  <c r="Y1250" t="n">
        <v>92</v>
      </c>
      <c r="Z1250" t="n">
        <v>176</v>
      </c>
      <c r="AA1250" t="n">
        <v>107</v>
      </c>
      <c r="AB1250" t="n">
        <v>1</v>
      </c>
      <c r="AC1250" t="n">
        <v>0</v>
      </c>
      <c r="AD1250" t="n">
        <v>3</v>
      </c>
      <c r="AE1250" t="n">
        <v>2</v>
      </c>
      <c r="AF1250" t="n">
        <v>3</v>
      </c>
      <c r="AG1250" t="n">
        <v>3</v>
      </c>
      <c r="AH1250" t="n">
        <v>49</v>
      </c>
      <c r="AI1250" t="n">
        <v>15</v>
      </c>
      <c r="AJ1250" t="n">
        <v>18</v>
      </c>
      <c r="AK1250" t="n">
        <v>9</v>
      </c>
      <c r="AL1250" t="n">
        <v>3</v>
      </c>
      <c r="AM1250" t="n">
        <v>55</v>
      </c>
      <c r="AN1250" t="n">
        <v>0</v>
      </c>
      <c r="AO1250" t="n">
        <v>0</v>
      </c>
      <c r="AP1250" t="n">
        <v>1</v>
      </c>
      <c r="AQ1250" t="n">
        <v>15</v>
      </c>
      <c r="AR1250" t="n">
        <v>107</v>
      </c>
      <c r="AS1250" t="n">
        <v>92</v>
      </c>
      <c r="AT1250" t="n">
        <v>4</v>
      </c>
      <c r="AU1250" t="n">
        <v>1</v>
      </c>
      <c r="AV1250" t="n">
        <v>13</v>
      </c>
      <c r="AW1250" t="n">
        <v>9</v>
      </c>
      <c r="AX1250" t="n">
        <v>5</v>
      </c>
      <c r="AY1250" t="n">
        <v>35</v>
      </c>
      <c r="AZ1250" t="n">
        <v>0</v>
      </c>
      <c r="BA1250" t="n">
        <v>2</v>
      </c>
      <c r="BB1250" t="n">
        <v>105</v>
      </c>
      <c r="BC1250" t="n">
        <v>55</v>
      </c>
      <c r="BD1250" t="n">
        <v>49</v>
      </c>
      <c r="BE1250" t="n">
        <v>8</v>
      </c>
      <c r="BF1250" t="n">
        <v>20</v>
      </c>
      <c r="BG1250" t="n">
        <v>2</v>
      </c>
      <c r="BH1250" t="n">
        <v>0</v>
      </c>
      <c r="BI1250" t="n">
        <v>7</v>
      </c>
      <c r="BJ1250" t="n">
        <v>5</v>
      </c>
      <c r="BK1250" t="n">
        <v>3</v>
      </c>
      <c r="BL1250" t="n">
        <v>10</v>
      </c>
      <c r="BM1250" t="n">
        <v>48</v>
      </c>
      <c r="BN1250" t="n">
        <v>27</v>
      </c>
      <c r="BO1250" t="n">
        <v>25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158</v>
      </c>
      <c r="Z1251" t="n">
        <v>259</v>
      </c>
      <c r="AA1251" t="n">
        <v>66</v>
      </c>
      <c r="AB1251" t="n">
        <v>1</v>
      </c>
      <c r="AC1251" t="n">
        <v>4</v>
      </c>
      <c r="AD1251" t="n">
        <v>4</v>
      </c>
      <c r="AE1251" t="n">
        <v>3</v>
      </c>
      <c r="AF1251" t="n">
        <v>2</v>
      </c>
      <c r="AG1251" t="n">
        <v>0</v>
      </c>
      <c r="AH1251" t="n">
        <v>40</v>
      </c>
      <c r="AI1251" t="n">
        <v>15</v>
      </c>
      <c r="AJ1251" t="n">
        <v>42</v>
      </c>
      <c r="AK1251" t="n">
        <v>1</v>
      </c>
      <c r="AL1251" t="n">
        <v>1</v>
      </c>
      <c r="AM1251" t="n">
        <v>51</v>
      </c>
      <c r="AN1251" t="n">
        <v>0</v>
      </c>
      <c r="AO1251" t="n">
        <v>0</v>
      </c>
      <c r="AP1251" t="n">
        <v>1</v>
      </c>
      <c r="AQ1251" t="n">
        <v>13</v>
      </c>
      <c r="AR1251" t="n">
        <v>174</v>
      </c>
      <c r="AS1251" t="n">
        <v>155</v>
      </c>
      <c r="AT1251" t="n">
        <v>1</v>
      </c>
      <c r="AU1251" t="n">
        <v>4</v>
      </c>
      <c r="AV1251" t="n">
        <v>5</v>
      </c>
      <c r="AW1251" t="n">
        <v>65</v>
      </c>
      <c r="AX1251" t="n">
        <v>1</v>
      </c>
      <c r="AY1251" t="n">
        <v>7</v>
      </c>
      <c r="AZ1251" t="n">
        <v>4</v>
      </c>
      <c r="BA1251" t="n">
        <v>36</v>
      </c>
      <c r="BB1251" t="n">
        <v>101</v>
      </c>
      <c r="BC1251" t="n">
        <v>48</v>
      </c>
      <c r="BD1251" t="n">
        <v>35</v>
      </c>
      <c r="BE1251" t="n">
        <v>67</v>
      </c>
      <c r="BF1251" t="n">
        <v>33</v>
      </c>
      <c r="BG1251" t="n">
        <v>2</v>
      </c>
      <c r="BH1251" t="n">
        <v>16</v>
      </c>
      <c r="BI1251" t="n">
        <v>32</v>
      </c>
      <c r="BJ1251" t="n">
        <v>32</v>
      </c>
      <c r="BK1251" t="n">
        <v>3</v>
      </c>
      <c r="BL1251" t="n">
        <v>28</v>
      </c>
      <c r="BM1251" t="n">
        <v>31</v>
      </c>
      <c r="BN1251" t="n">
        <v>9</v>
      </c>
      <c r="BO1251" t="n">
        <v>2</v>
      </c>
    </row>
    <row r="1252">
      <c r="A1252" t="n">
        <v>0</v>
      </c>
      <c r="B1252" t="n">
        <v>0</v>
      </c>
      <c r="C1252" t="n">
        <v>2</v>
      </c>
      <c r="D1252" t="n">
        <v>0</v>
      </c>
      <c r="E1252" t="n">
        <v>0</v>
      </c>
      <c r="F1252" t="n">
        <v>2</v>
      </c>
      <c r="G1252" t="n">
        <v>1</v>
      </c>
      <c r="H1252" t="n">
        <v>0</v>
      </c>
      <c r="I1252" t="n">
        <v>0</v>
      </c>
      <c r="J1252" t="n">
        <v>4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246</v>
      </c>
      <c r="Z1252" t="n">
        <v>239</v>
      </c>
      <c r="AA1252" t="n">
        <v>85</v>
      </c>
      <c r="AB1252" t="n">
        <v>1</v>
      </c>
      <c r="AC1252" t="n">
        <v>5</v>
      </c>
      <c r="AD1252" t="n">
        <v>7</v>
      </c>
      <c r="AE1252" t="n">
        <v>5</v>
      </c>
      <c r="AF1252" t="n">
        <v>2</v>
      </c>
      <c r="AG1252" t="n">
        <v>7</v>
      </c>
      <c r="AH1252" t="n">
        <v>74</v>
      </c>
      <c r="AI1252" t="n">
        <v>69</v>
      </c>
      <c r="AJ1252" t="n">
        <v>18</v>
      </c>
      <c r="AK1252" t="n">
        <v>101</v>
      </c>
      <c r="AL1252" t="n">
        <v>0</v>
      </c>
      <c r="AM1252" t="n">
        <v>16</v>
      </c>
      <c r="AN1252" t="n">
        <v>0</v>
      </c>
      <c r="AO1252" t="n">
        <v>0</v>
      </c>
      <c r="AP1252" t="n">
        <v>3</v>
      </c>
      <c r="AQ1252" t="n">
        <v>18</v>
      </c>
      <c r="AR1252" t="n">
        <v>73</v>
      </c>
      <c r="AS1252" t="n">
        <v>58</v>
      </c>
      <c r="AT1252" t="n">
        <v>7</v>
      </c>
      <c r="AU1252" t="n">
        <v>2</v>
      </c>
      <c r="AV1252" t="n">
        <v>48</v>
      </c>
      <c r="AW1252" t="n">
        <v>20</v>
      </c>
      <c r="AX1252" t="n">
        <v>0</v>
      </c>
      <c r="AY1252" t="n">
        <v>55</v>
      </c>
      <c r="AZ1252" t="n">
        <v>0</v>
      </c>
      <c r="BA1252" t="n">
        <v>2</v>
      </c>
      <c r="BB1252" t="n">
        <v>82</v>
      </c>
      <c r="BC1252" t="n">
        <v>12</v>
      </c>
      <c r="BD1252" t="n">
        <v>66</v>
      </c>
      <c r="BE1252" t="n">
        <v>20</v>
      </c>
      <c r="BF1252" t="n">
        <v>59</v>
      </c>
      <c r="BG1252" t="n">
        <v>3</v>
      </c>
      <c r="BH1252" t="n">
        <v>4</v>
      </c>
      <c r="BI1252" t="n">
        <v>14</v>
      </c>
      <c r="BJ1252" t="n">
        <v>18</v>
      </c>
      <c r="BK1252" t="n">
        <v>5</v>
      </c>
      <c r="BL1252" t="n">
        <v>28</v>
      </c>
      <c r="BM1252" t="n">
        <v>19</v>
      </c>
      <c r="BN1252" t="n">
        <v>1</v>
      </c>
      <c r="BO1252" t="n">
        <v>79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234</v>
      </c>
      <c r="Z1253" t="n">
        <v>294</v>
      </c>
      <c r="AA1253" t="n">
        <v>108</v>
      </c>
      <c r="AB1253" t="n">
        <v>1</v>
      </c>
      <c r="AC1253" t="n">
        <v>1</v>
      </c>
      <c r="AD1253" t="n">
        <v>9</v>
      </c>
      <c r="AE1253" t="n">
        <v>11</v>
      </c>
      <c r="AF1253" t="n">
        <v>4</v>
      </c>
      <c r="AG1253" t="n">
        <v>3</v>
      </c>
      <c r="AH1253" t="n">
        <v>71</v>
      </c>
      <c r="AI1253" t="n">
        <v>154</v>
      </c>
      <c r="AJ1253" t="n">
        <v>25</v>
      </c>
      <c r="AK1253" t="n">
        <v>10</v>
      </c>
      <c r="AL1253" t="n">
        <v>3</v>
      </c>
      <c r="AM1253" t="n">
        <v>35</v>
      </c>
      <c r="AN1253" t="n">
        <v>0</v>
      </c>
      <c r="AO1253" t="n">
        <v>0</v>
      </c>
      <c r="AP1253" t="n">
        <v>4</v>
      </c>
      <c r="AQ1253" t="n">
        <v>30</v>
      </c>
      <c r="AR1253" t="n">
        <v>184</v>
      </c>
      <c r="AS1253" t="n">
        <v>153</v>
      </c>
      <c r="AT1253" t="n">
        <v>2</v>
      </c>
      <c r="AU1253" t="n">
        <v>1</v>
      </c>
      <c r="AV1253" t="n">
        <v>48</v>
      </c>
      <c r="AW1253" t="n">
        <v>15</v>
      </c>
      <c r="AX1253" t="n">
        <v>1</v>
      </c>
      <c r="AY1253" t="n">
        <v>12</v>
      </c>
      <c r="AZ1253" t="n">
        <v>2</v>
      </c>
      <c r="BA1253" t="n">
        <v>30</v>
      </c>
      <c r="BB1253" t="n">
        <v>131</v>
      </c>
      <c r="BC1253" t="n">
        <v>33</v>
      </c>
      <c r="BD1253" t="n">
        <v>63</v>
      </c>
      <c r="BE1253" t="n">
        <v>15</v>
      </c>
      <c r="BF1253" t="n">
        <v>20</v>
      </c>
      <c r="BG1253" t="n">
        <v>2</v>
      </c>
      <c r="BH1253" t="n">
        <v>11</v>
      </c>
      <c r="BI1253" t="n">
        <v>42</v>
      </c>
      <c r="BJ1253" t="n">
        <v>38</v>
      </c>
      <c r="BK1253" t="n">
        <v>0</v>
      </c>
      <c r="BL1253" t="n">
        <v>3</v>
      </c>
      <c r="BM1253" t="n">
        <v>12</v>
      </c>
      <c r="BN1253" t="n">
        <v>7</v>
      </c>
      <c r="BO1253" t="n">
        <v>2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2</v>
      </c>
      <c r="X1254" t="n">
        <v>0</v>
      </c>
      <c r="Y1254" t="n">
        <v>184</v>
      </c>
      <c r="Z1254" t="n">
        <v>213</v>
      </c>
      <c r="AA1254" t="n">
        <v>14</v>
      </c>
      <c r="AB1254" t="n">
        <v>5</v>
      </c>
      <c r="AC1254" t="n">
        <v>1</v>
      </c>
      <c r="AD1254" t="n">
        <v>2</v>
      </c>
      <c r="AE1254" t="n">
        <v>0</v>
      </c>
      <c r="AF1254" t="n">
        <v>2</v>
      </c>
      <c r="AG1254" t="n">
        <v>6</v>
      </c>
      <c r="AH1254" t="n">
        <v>30</v>
      </c>
      <c r="AI1254" t="n">
        <v>9</v>
      </c>
      <c r="AJ1254" t="n">
        <v>16</v>
      </c>
      <c r="AK1254" t="n">
        <v>80</v>
      </c>
      <c r="AL1254" t="n">
        <v>2</v>
      </c>
      <c r="AM1254" t="n">
        <v>47</v>
      </c>
      <c r="AN1254" t="n">
        <v>0</v>
      </c>
      <c r="AO1254" t="n">
        <v>0</v>
      </c>
      <c r="AP1254" t="n">
        <v>6</v>
      </c>
      <c r="AQ1254" t="n">
        <v>36</v>
      </c>
      <c r="AR1254" t="n">
        <v>95</v>
      </c>
      <c r="AS1254" t="n">
        <v>65</v>
      </c>
      <c r="AT1254" t="n">
        <v>0</v>
      </c>
      <c r="AU1254" t="n">
        <v>2</v>
      </c>
      <c r="AV1254" t="n">
        <v>2</v>
      </c>
      <c r="AW1254" t="n">
        <v>27</v>
      </c>
      <c r="AX1254" t="n">
        <v>1</v>
      </c>
      <c r="AY1254" t="n">
        <v>39</v>
      </c>
      <c r="AZ1254" t="n">
        <v>2</v>
      </c>
      <c r="BA1254" t="n">
        <v>12</v>
      </c>
      <c r="BB1254" t="n">
        <v>25</v>
      </c>
      <c r="BC1254" t="n">
        <v>42</v>
      </c>
      <c r="BD1254" t="n">
        <v>29</v>
      </c>
      <c r="BE1254" t="n">
        <v>28</v>
      </c>
      <c r="BF1254" t="n">
        <v>13</v>
      </c>
      <c r="BG1254" t="n">
        <v>1</v>
      </c>
      <c r="BH1254" t="n">
        <v>16</v>
      </c>
      <c r="BI1254" t="n">
        <v>13</v>
      </c>
      <c r="BJ1254" t="n">
        <v>64</v>
      </c>
      <c r="BK1254" t="n">
        <v>3</v>
      </c>
      <c r="BL1254" t="n">
        <v>79</v>
      </c>
      <c r="BM1254" t="n">
        <v>61</v>
      </c>
      <c r="BN1254" t="n">
        <v>6</v>
      </c>
      <c r="BO1254" t="n">
        <v>9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196</v>
      </c>
      <c r="Z1255" t="n">
        <v>162</v>
      </c>
      <c r="AA1255" t="n">
        <v>61</v>
      </c>
      <c r="AB1255" t="n">
        <v>0</v>
      </c>
      <c r="AC1255" t="n">
        <v>0</v>
      </c>
      <c r="AD1255" t="n">
        <v>9</v>
      </c>
      <c r="AE1255" t="n">
        <v>5</v>
      </c>
      <c r="AF1255" t="n">
        <v>2</v>
      </c>
      <c r="AG1255" t="n">
        <v>3</v>
      </c>
      <c r="AH1255" t="n">
        <v>115</v>
      </c>
      <c r="AI1255" t="n">
        <v>43</v>
      </c>
      <c r="AJ1255" t="n">
        <v>2</v>
      </c>
      <c r="AK1255" t="n">
        <v>1</v>
      </c>
      <c r="AL1255" t="n">
        <v>2</v>
      </c>
      <c r="AM1255" t="n">
        <v>24</v>
      </c>
      <c r="AN1255" t="n">
        <v>0</v>
      </c>
      <c r="AO1255" t="n">
        <v>0</v>
      </c>
      <c r="AP1255" t="n">
        <v>4</v>
      </c>
      <c r="AQ1255" t="n">
        <v>24</v>
      </c>
      <c r="AR1255" t="n">
        <v>119</v>
      </c>
      <c r="AS1255" t="n">
        <v>96</v>
      </c>
      <c r="AT1255" t="n">
        <v>2</v>
      </c>
      <c r="AU1255" t="n">
        <v>0</v>
      </c>
      <c r="AV1255" t="n">
        <v>21</v>
      </c>
      <c r="AW1255" t="n">
        <v>6</v>
      </c>
      <c r="AX1255" t="n">
        <v>0</v>
      </c>
      <c r="AY1255" t="n">
        <v>31</v>
      </c>
      <c r="AZ1255" t="n">
        <v>4</v>
      </c>
      <c r="BA1255" t="n">
        <v>31</v>
      </c>
      <c r="BB1255" t="n">
        <v>92</v>
      </c>
      <c r="BC1255" t="n">
        <v>24</v>
      </c>
      <c r="BD1255" t="n">
        <v>106</v>
      </c>
      <c r="BE1255" t="n">
        <v>6</v>
      </c>
      <c r="BF1255" t="n">
        <v>12</v>
      </c>
      <c r="BG1255" t="n">
        <v>0</v>
      </c>
      <c r="BH1255" t="n">
        <v>2</v>
      </c>
      <c r="BI1255" t="n">
        <v>11</v>
      </c>
      <c r="BJ1255" t="n">
        <v>9</v>
      </c>
      <c r="BK1255" t="n">
        <v>3</v>
      </c>
      <c r="BL1255" t="n">
        <v>15</v>
      </c>
      <c r="BM1255" t="n">
        <v>18</v>
      </c>
      <c r="BN1255" t="n">
        <v>5</v>
      </c>
      <c r="BO1255" t="n">
        <v>18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308</v>
      </c>
      <c r="Z1256" t="n">
        <v>199</v>
      </c>
      <c r="AA1256" t="n">
        <v>30</v>
      </c>
      <c r="AB1256" t="n">
        <v>0</v>
      </c>
      <c r="AC1256" t="n">
        <v>0</v>
      </c>
      <c r="AD1256" t="n">
        <v>5</v>
      </c>
      <c r="AE1256" t="n">
        <v>7</v>
      </c>
      <c r="AF1256" t="n">
        <v>2</v>
      </c>
      <c r="AG1256" t="n">
        <v>4</v>
      </c>
      <c r="AH1256" t="n">
        <v>81</v>
      </c>
      <c r="AI1256" t="n">
        <v>74</v>
      </c>
      <c r="AJ1256" t="n">
        <v>19</v>
      </c>
      <c r="AK1256" t="n">
        <v>86</v>
      </c>
      <c r="AL1256" t="n">
        <v>5</v>
      </c>
      <c r="AM1256" t="n">
        <v>72</v>
      </c>
      <c r="AN1256" t="n">
        <v>0</v>
      </c>
      <c r="AO1256" t="n">
        <v>0</v>
      </c>
      <c r="AP1256" t="n">
        <v>0</v>
      </c>
      <c r="AQ1256" t="n">
        <v>1</v>
      </c>
      <c r="AR1256" t="n">
        <v>114</v>
      </c>
      <c r="AS1256" t="n">
        <v>105</v>
      </c>
      <c r="AT1256" t="n">
        <v>4</v>
      </c>
      <c r="AU1256" t="n">
        <v>2</v>
      </c>
      <c r="AV1256" t="n">
        <v>41</v>
      </c>
      <c r="AW1256" t="n">
        <v>1</v>
      </c>
      <c r="AX1256" t="n">
        <v>19</v>
      </c>
      <c r="AY1256" t="n">
        <v>34</v>
      </c>
      <c r="AZ1256" t="n">
        <v>2</v>
      </c>
      <c r="BA1256" t="n">
        <v>-2</v>
      </c>
      <c r="BB1256" t="n">
        <v>28</v>
      </c>
      <c r="BC1256" t="n">
        <v>60</v>
      </c>
      <c r="BD1256" t="n">
        <v>86</v>
      </c>
      <c r="BE1256" t="n">
        <v>4</v>
      </c>
      <c r="BF1256" t="n">
        <v>17</v>
      </c>
      <c r="BG1256" t="n">
        <v>3</v>
      </c>
      <c r="BH1256" t="n">
        <v>9</v>
      </c>
      <c r="BI1256" t="n">
        <v>1</v>
      </c>
      <c r="BJ1256" t="n">
        <v>10</v>
      </c>
      <c r="BK1256" t="n">
        <v>2</v>
      </c>
      <c r="BL1256" t="n">
        <v>1</v>
      </c>
      <c r="BM1256" t="n">
        <v>6</v>
      </c>
      <c r="BN1256" t="n">
        <v>3</v>
      </c>
      <c r="BO1256" t="n">
        <v>2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n">
        <v>275</v>
      </c>
      <c r="Z1257" t="n">
        <v>261</v>
      </c>
      <c r="AA1257" t="n">
        <v>134</v>
      </c>
      <c r="AB1257" t="n">
        <v>1</v>
      </c>
      <c r="AC1257" t="n">
        <v>1</v>
      </c>
      <c r="AD1257" t="n">
        <v>4</v>
      </c>
      <c r="AE1257" t="n">
        <v>0</v>
      </c>
      <c r="AF1257" t="n">
        <v>7</v>
      </c>
      <c r="AG1257" t="n">
        <v>1</v>
      </c>
      <c r="AH1257" t="n">
        <v>97</v>
      </c>
      <c r="AI1257" t="n">
        <v>21</v>
      </c>
      <c r="AJ1257" t="n">
        <v>84</v>
      </c>
      <c r="AK1257" t="n">
        <v>12</v>
      </c>
      <c r="AL1257" t="n">
        <v>4</v>
      </c>
      <c r="AM1257" t="n">
        <v>80</v>
      </c>
      <c r="AN1257" t="n">
        <v>0</v>
      </c>
      <c r="AO1257" t="n">
        <v>0</v>
      </c>
      <c r="AP1257" t="n">
        <v>0</v>
      </c>
      <c r="AQ1257" t="n">
        <v>4</v>
      </c>
      <c r="AR1257" t="n">
        <v>94</v>
      </c>
      <c r="AS1257" t="n">
        <v>86</v>
      </c>
      <c r="AT1257" t="n">
        <v>5</v>
      </c>
      <c r="AU1257" t="n">
        <v>1</v>
      </c>
      <c r="AV1257" t="n">
        <v>43</v>
      </c>
      <c r="AW1257" t="n">
        <v>4</v>
      </c>
      <c r="AX1257" t="n">
        <v>2</v>
      </c>
      <c r="AY1257" t="n">
        <v>50</v>
      </c>
      <c r="AZ1257" t="n">
        <v>1</v>
      </c>
      <c r="BA1257" t="n">
        <v>2</v>
      </c>
      <c r="BB1257" t="n">
        <v>127</v>
      </c>
      <c r="BC1257" t="n">
        <v>74</v>
      </c>
      <c r="BD1257" t="n">
        <v>88</v>
      </c>
      <c r="BE1257" t="n">
        <v>4</v>
      </c>
      <c r="BF1257" t="n">
        <v>67</v>
      </c>
      <c r="BG1257" t="n">
        <v>4</v>
      </c>
      <c r="BH1257" t="n">
        <v>0</v>
      </c>
      <c r="BI1257" t="n">
        <v>32</v>
      </c>
      <c r="BJ1257" t="n">
        <v>38</v>
      </c>
      <c r="BK1257" t="n">
        <v>0</v>
      </c>
      <c r="BL1257" t="n">
        <v>4</v>
      </c>
      <c r="BM1257" t="n">
        <v>9</v>
      </c>
      <c r="BN1257" t="n">
        <v>5</v>
      </c>
      <c r="BO1257" t="n">
        <v>4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n">
        <v>378</v>
      </c>
      <c r="Z1258" t="n">
        <v>221</v>
      </c>
      <c r="AA1258" t="n">
        <v>91</v>
      </c>
      <c r="AB1258" t="n">
        <v>3</v>
      </c>
      <c r="AC1258" t="n">
        <v>2</v>
      </c>
      <c r="AD1258" t="n">
        <v>9</v>
      </c>
      <c r="AE1258" t="n">
        <v>3</v>
      </c>
      <c r="AF1258" t="n">
        <v>4</v>
      </c>
      <c r="AG1258" t="n">
        <v>9</v>
      </c>
      <c r="AH1258" t="n">
        <v>110</v>
      </c>
      <c r="AI1258" t="n">
        <v>39</v>
      </c>
      <c r="AJ1258" t="n">
        <v>46</v>
      </c>
      <c r="AK1258" t="n">
        <v>51</v>
      </c>
      <c r="AL1258" t="n">
        <v>2</v>
      </c>
      <c r="AM1258" t="n">
        <v>42</v>
      </c>
      <c r="AN1258" t="n">
        <v>1</v>
      </c>
      <c r="AO1258" t="n">
        <v>0</v>
      </c>
      <c r="AP1258" t="n">
        <v>4</v>
      </c>
      <c r="AQ1258" t="n">
        <v>30</v>
      </c>
      <c r="AR1258" t="n">
        <v>71</v>
      </c>
      <c r="AS1258" t="n">
        <v>46</v>
      </c>
      <c r="AT1258" t="n">
        <v>1</v>
      </c>
      <c r="AU1258" t="n">
        <v>0</v>
      </c>
      <c r="AV1258" t="n">
        <v>13</v>
      </c>
      <c r="AW1258" t="n">
        <v>9</v>
      </c>
      <c r="AX1258" t="n">
        <v>0</v>
      </c>
      <c r="AY1258" t="n">
        <v>45</v>
      </c>
      <c r="AZ1258" t="n">
        <v>5</v>
      </c>
      <c r="BA1258" t="n">
        <v>68</v>
      </c>
      <c r="BB1258" t="n">
        <v>165</v>
      </c>
      <c r="BC1258" t="n">
        <v>81</v>
      </c>
      <c r="BD1258" t="n">
        <v>108</v>
      </c>
      <c r="BE1258" t="n">
        <v>10</v>
      </c>
      <c r="BF1258" t="n">
        <v>36</v>
      </c>
      <c r="BG1258" t="n">
        <v>2</v>
      </c>
      <c r="BH1258" t="n">
        <v>10</v>
      </c>
      <c r="BI1258" t="n">
        <v>59</v>
      </c>
      <c r="BJ1258" t="n">
        <v>54</v>
      </c>
      <c r="BK1258" t="n">
        <v>0</v>
      </c>
      <c r="BL1258" t="n">
        <v>1</v>
      </c>
      <c r="BM1258" t="n">
        <v>5</v>
      </c>
      <c r="BN1258" t="n">
        <v>3</v>
      </c>
      <c r="BO1258" t="n">
        <v>35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4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252</v>
      </c>
      <c r="Z1259" t="n">
        <v>140</v>
      </c>
      <c r="AA1259" t="n">
        <v>49</v>
      </c>
      <c r="AB1259" t="n">
        <v>1</v>
      </c>
      <c r="AC1259" t="n">
        <v>2</v>
      </c>
      <c r="AD1259" t="n">
        <v>2</v>
      </c>
      <c r="AE1259" t="n">
        <v>10</v>
      </c>
      <c r="AF1259" t="n">
        <v>1</v>
      </c>
      <c r="AG1259" t="n">
        <v>8</v>
      </c>
      <c r="AH1259" t="n">
        <v>52</v>
      </c>
      <c r="AI1259" t="n">
        <v>34</v>
      </c>
      <c r="AJ1259" t="n">
        <v>10</v>
      </c>
      <c r="AK1259" t="n">
        <v>62</v>
      </c>
      <c r="AL1259" t="n">
        <v>1</v>
      </c>
      <c r="AM1259" t="n">
        <v>17</v>
      </c>
      <c r="AN1259" t="n">
        <v>0</v>
      </c>
      <c r="AO1259" t="n">
        <v>0</v>
      </c>
      <c r="AP1259" t="n">
        <v>6</v>
      </c>
      <c r="AQ1259" t="n">
        <v>85</v>
      </c>
      <c r="AR1259" t="n">
        <v>205</v>
      </c>
      <c r="AS1259" t="n">
        <v>133</v>
      </c>
      <c r="AT1259" t="n">
        <v>1</v>
      </c>
      <c r="AU1259" t="n">
        <v>0</v>
      </c>
      <c r="AV1259" t="n">
        <v>1</v>
      </c>
      <c r="AW1259" t="n">
        <v>1</v>
      </c>
      <c r="AX1259" t="n">
        <v>2</v>
      </c>
      <c r="AY1259" t="n">
        <v>77</v>
      </c>
      <c r="AZ1259" t="n">
        <v>0</v>
      </c>
      <c r="BA1259" t="n">
        <v>1</v>
      </c>
      <c r="BB1259" t="n">
        <v>49</v>
      </c>
      <c r="BC1259" t="n">
        <v>13</v>
      </c>
      <c r="BD1259" t="n">
        <v>58</v>
      </c>
      <c r="BE1259" t="n">
        <v>4</v>
      </c>
      <c r="BF1259" t="n">
        <v>27</v>
      </c>
      <c r="BG1259" t="n">
        <v>1</v>
      </c>
      <c r="BH1259" t="n">
        <v>10</v>
      </c>
      <c r="BI1259" t="n">
        <v>24</v>
      </c>
      <c r="BJ1259" t="n">
        <v>26</v>
      </c>
      <c r="BK1259" t="n">
        <v>3</v>
      </c>
      <c r="BL1259" t="n">
        <v>1</v>
      </c>
      <c r="BM1259" t="n">
        <v>4</v>
      </c>
      <c r="BN1259" t="n">
        <v>2</v>
      </c>
      <c r="BO1259" t="n">
        <v>9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145</v>
      </c>
      <c r="Z1260" t="n">
        <v>195</v>
      </c>
      <c r="AA1260" t="n">
        <v>174</v>
      </c>
      <c r="AB1260" t="n">
        <v>1</v>
      </c>
      <c r="AC1260" t="n">
        <v>0</v>
      </c>
      <c r="AD1260" t="n">
        <v>6</v>
      </c>
      <c r="AE1260" t="n">
        <v>2</v>
      </c>
      <c r="AF1260" t="n">
        <v>2</v>
      </c>
      <c r="AG1260" t="n">
        <v>5</v>
      </c>
      <c r="AH1260" t="n">
        <v>45</v>
      </c>
      <c r="AI1260" t="n">
        <v>2</v>
      </c>
      <c r="AJ1260" t="n">
        <v>41</v>
      </c>
      <c r="AK1260" t="n">
        <v>60</v>
      </c>
      <c r="AL1260" t="n">
        <v>3</v>
      </c>
      <c r="AM1260" t="n">
        <v>31</v>
      </c>
      <c r="AN1260" t="n">
        <v>0</v>
      </c>
      <c r="AO1260" t="n">
        <v>0</v>
      </c>
      <c r="AP1260" t="n">
        <v>0</v>
      </c>
      <c r="AQ1260" t="n">
        <v>6</v>
      </c>
      <c r="AR1260" t="n">
        <v>85</v>
      </c>
      <c r="AS1260" t="n">
        <v>78</v>
      </c>
      <c r="AT1260" t="n">
        <v>1</v>
      </c>
      <c r="AU1260" t="n">
        <v>1</v>
      </c>
      <c r="AV1260" t="n">
        <v>4</v>
      </c>
      <c r="AW1260" t="n">
        <v>27</v>
      </c>
      <c r="AX1260" t="n">
        <v>0</v>
      </c>
      <c r="AY1260" t="n">
        <v>25</v>
      </c>
      <c r="AZ1260" t="n">
        <v>3</v>
      </c>
      <c r="BA1260" t="n">
        <v>26</v>
      </c>
      <c r="BB1260" t="n">
        <v>184</v>
      </c>
      <c r="BC1260" t="n">
        <v>24</v>
      </c>
      <c r="BD1260" t="n">
        <v>51</v>
      </c>
      <c r="BE1260" t="n">
        <v>27</v>
      </c>
      <c r="BF1260" t="n">
        <v>32</v>
      </c>
      <c r="BG1260" t="n">
        <v>1</v>
      </c>
      <c r="BH1260" t="n">
        <v>4</v>
      </c>
      <c r="BI1260" t="n">
        <v>1</v>
      </c>
      <c r="BJ1260" t="n">
        <v>6</v>
      </c>
      <c r="BK1260" t="n">
        <v>0</v>
      </c>
      <c r="BL1260" t="n">
        <v>10</v>
      </c>
      <c r="BM1260" t="n">
        <v>11</v>
      </c>
      <c r="BN1260" t="n">
        <v>3</v>
      </c>
      <c r="BO1260" t="n">
        <v>14</v>
      </c>
    </row>
    <row r="1261">
      <c r="A1261" t="n">
        <v>0</v>
      </c>
      <c r="B1261" t="n">
        <v>2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201</v>
      </c>
      <c r="Z1261" t="n">
        <v>153</v>
      </c>
      <c r="AA1261" t="n">
        <v>42</v>
      </c>
      <c r="AB1261" t="n">
        <v>0</v>
      </c>
      <c r="AC1261" t="n">
        <v>0</v>
      </c>
      <c r="AD1261" t="n">
        <v>5</v>
      </c>
      <c r="AE1261" t="n">
        <v>10</v>
      </c>
      <c r="AF1261" t="n">
        <v>6</v>
      </c>
      <c r="AG1261" t="n">
        <v>0</v>
      </c>
      <c r="AH1261" t="n">
        <v>30</v>
      </c>
      <c r="AI1261" t="n">
        <v>49</v>
      </c>
      <c r="AJ1261" t="n">
        <v>50</v>
      </c>
      <c r="AK1261" t="n">
        <v>1</v>
      </c>
      <c r="AL1261" t="n">
        <v>0</v>
      </c>
      <c r="AM1261" t="n">
        <v>9</v>
      </c>
      <c r="AN1261" t="n">
        <v>0</v>
      </c>
      <c r="AO1261" t="n">
        <v>0</v>
      </c>
      <c r="AP1261" t="n">
        <v>5</v>
      </c>
      <c r="AQ1261" t="n">
        <v>16</v>
      </c>
      <c r="AR1261" t="n">
        <v>32</v>
      </c>
      <c r="AS1261" t="n">
        <v>20</v>
      </c>
      <c r="AT1261" t="n">
        <v>2</v>
      </c>
      <c r="AU1261" t="n">
        <v>2</v>
      </c>
      <c r="AV1261" t="n">
        <v>1</v>
      </c>
      <c r="AW1261" t="n">
        <v>14</v>
      </c>
      <c r="AX1261" t="n">
        <v>5</v>
      </c>
      <c r="AY1261" t="n">
        <v>14</v>
      </c>
      <c r="AZ1261" t="n">
        <v>0</v>
      </c>
      <c r="BA1261" t="n">
        <v>1</v>
      </c>
      <c r="BB1261" t="n">
        <v>41</v>
      </c>
      <c r="BC1261" t="n">
        <v>2</v>
      </c>
      <c r="BD1261" t="n">
        <v>33</v>
      </c>
      <c r="BE1261" t="n">
        <v>14</v>
      </c>
      <c r="BF1261" t="n">
        <v>47</v>
      </c>
      <c r="BG1261" t="n">
        <v>0</v>
      </c>
      <c r="BH1261" t="n">
        <v>0</v>
      </c>
      <c r="BI1261" t="n">
        <v>1</v>
      </c>
      <c r="BJ1261" t="n">
        <v>12</v>
      </c>
      <c r="BK1261" t="n">
        <v>2</v>
      </c>
      <c r="BL1261" t="n">
        <v>30</v>
      </c>
      <c r="BM1261" t="n">
        <v>27</v>
      </c>
      <c r="BN1261" t="n">
        <v>6</v>
      </c>
      <c r="BO1261" t="n">
        <v>49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2</v>
      </c>
      <c r="I1262" t="n">
        <v>0</v>
      </c>
      <c r="J1262" t="n">
        <v>1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214</v>
      </c>
      <c r="Z1262" t="n">
        <v>217</v>
      </c>
      <c r="AA1262" t="n">
        <v>99</v>
      </c>
      <c r="AB1262" t="n">
        <v>2</v>
      </c>
      <c r="AC1262" t="n">
        <v>1</v>
      </c>
      <c r="AD1262" t="n">
        <v>2</v>
      </c>
      <c r="AE1262" t="n">
        <v>10</v>
      </c>
      <c r="AF1262" t="n">
        <v>1</v>
      </c>
      <c r="AG1262" t="n">
        <v>7</v>
      </c>
      <c r="AH1262" t="n">
        <v>58</v>
      </c>
      <c r="AI1262" t="n">
        <v>84</v>
      </c>
      <c r="AJ1262" t="n">
        <v>19</v>
      </c>
      <c r="AK1262" t="n">
        <v>98</v>
      </c>
      <c r="AL1262" t="n">
        <v>5</v>
      </c>
      <c r="AM1262" t="n">
        <v>29</v>
      </c>
      <c r="AN1262" t="n">
        <v>0</v>
      </c>
      <c r="AO1262" t="n">
        <v>0</v>
      </c>
      <c r="AP1262" t="n">
        <v>6</v>
      </c>
      <c r="AQ1262" t="n">
        <v>16</v>
      </c>
      <c r="AR1262" t="n">
        <v>102</v>
      </c>
      <c r="AS1262" t="n">
        <v>87</v>
      </c>
      <c r="AT1262" t="n">
        <v>4</v>
      </c>
      <c r="AU1262" t="n">
        <v>1</v>
      </c>
      <c r="AV1262" t="n">
        <v>67</v>
      </c>
      <c r="AW1262" t="n">
        <v>7</v>
      </c>
      <c r="AX1262" t="n">
        <v>0</v>
      </c>
      <c r="AY1262" t="n">
        <v>9</v>
      </c>
      <c r="AZ1262" t="n">
        <v>1</v>
      </c>
      <c r="BA1262" t="n">
        <v>10</v>
      </c>
      <c r="BB1262" t="n">
        <v>106</v>
      </c>
      <c r="BC1262" t="n">
        <v>25</v>
      </c>
      <c r="BD1262" t="n">
        <v>59</v>
      </c>
      <c r="BE1262" t="n">
        <v>6</v>
      </c>
      <c r="BF1262" t="n">
        <v>29</v>
      </c>
      <c r="BG1262" t="n">
        <v>1</v>
      </c>
      <c r="BH1262" t="n">
        <v>1</v>
      </c>
      <c r="BI1262" t="n">
        <v>1</v>
      </c>
      <c r="BJ1262" t="n">
        <v>1</v>
      </c>
      <c r="BK1262" t="n">
        <v>6</v>
      </c>
      <c r="BL1262" t="n">
        <v>89</v>
      </c>
      <c r="BM1262" t="n">
        <v>68</v>
      </c>
      <c r="BN1262" t="n">
        <v>6</v>
      </c>
      <c r="BO1262" t="n">
        <v>105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7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198</v>
      </c>
      <c r="Z1263" t="n">
        <v>253</v>
      </c>
      <c r="AA1263" t="n">
        <v>59</v>
      </c>
      <c r="AB1263" t="n">
        <v>4</v>
      </c>
      <c r="AC1263" t="n">
        <v>0</v>
      </c>
      <c r="AD1263" t="n">
        <v>6</v>
      </c>
      <c r="AE1263" t="n">
        <v>5</v>
      </c>
      <c r="AF1263" t="n">
        <v>4</v>
      </c>
      <c r="AG1263" t="n">
        <v>1</v>
      </c>
      <c r="AH1263" t="n">
        <v>42</v>
      </c>
      <c r="AI1263" t="n">
        <v>38</v>
      </c>
      <c r="AJ1263" t="n">
        <v>16</v>
      </c>
      <c r="AK1263" t="n">
        <v>1</v>
      </c>
      <c r="AL1263" t="n">
        <v>7</v>
      </c>
      <c r="AM1263" t="n">
        <v>117</v>
      </c>
      <c r="AN1263" t="n">
        <v>0</v>
      </c>
      <c r="AO1263" t="n">
        <v>0</v>
      </c>
      <c r="AP1263" t="n">
        <v>6</v>
      </c>
      <c r="AQ1263" t="n">
        <v>58</v>
      </c>
      <c r="AR1263" t="n">
        <v>110</v>
      </c>
      <c r="AS1263" t="n">
        <v>58</v>
      </c>
      <c r="AT1263" t="n">
        <v>1</v>
      </c>
      <c r="AU1263" t="n">
        <v>2</v>
      </c>
      <c r="AV1263" t="n">
        <v>4</v>
      </c>
      <c r="AW1263" t="n">
        <v>12</v>
      </c>
      <c r="AX1263" t="n">
        <v>0</v>
      </c>
      <c r="AY1263" t="n">
        <v>56</v>
      </c>
      <c r="AZ1263" t="n">
        <v>1</v>
      </c>
      <c r="BA1263" t="n">
        <v>11</v>
      </c>
      <c r="BB1263" t="n">
        <v>67</v>
      </c>
      <c r="BC1263" t="n">
        <v>96</v>
      </c>
      <c r="BD1263" t="n">
        <v>44</v>
      </c>
      <c r="BE1263" t="n">
        <v>11</v>
      </c>
      <c r="BF1263" t="n">
        <v>13</v>
      </c>
      <c r="BG1263" t="n">
        <v>0</v>
      </c>
      <c r="BH1263" t="n">
        <v>4</v>
      </c>
      <c r="BI1263" t="n">
        <v>1</v>
      </c>
      <c r="BJ1263" t="n">
        <v>3</v>
      </c>
      <c r="BK1263" t="n">
        <v>0</v>
      </c>
      <c r="BL1263" t="n">
        <v>1</v>
      </c>
      <c r="BM1263" t="n">
        <v>24</v>
      </c>
      <c r="BN1263" t="n">
        <v>14</v>
      </c>
      <c r="BO1263" t="n">
        <v>14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291</v>
      </c>
      <c r="Z1264" t="n">
        <v>170</v>
      </c>
      <c r="AA1264" t="n">
        <v>94</v>
      </c>
      <c r="AB1264" t="n">
        <v>0</v>
      </c>
      <c r="AC1264" t="n">
        <v>0</v>
      </c>
      <c r="AD1264" t="n">
        <v>3</v>
      </c>
      <c r="AE1264" t="n">
        <v>7</v>
      </c>
      <c r="AF1264" t="n">
        <v>7</v>
      </c>
      <c r="AG1264" t="n">
        <v>4</v>
      </c>
      <c r="AH1264" t="n">
        <v>21</v>
      </c>
      <c r="AI1264" t="n">
        <v>86</v>
      </c>
      <c r="AJ1264" t="n">
        <v>107</v>
      </c>
      <c r="AK1264" t="n">
        <v>54</v>
      </c>
      <c r="AL1264" t="n">
        <v>1</v>
      </c>
      <c r="AM1264" t="n">
        <v>2</v>
      </c>
      <c r="AN1264" t="n">
        <v>0</v>
      </c>
      <c r="AO1264" t="n">
        <v>0</v>
      </c>
      <c r="AP1264" t="n">
        <v>3</v>
      </c>
      <c r="AQ1264" t="n">
        <v>1</v>
      </c>
      <c r="AR1264" t="n">
        <v>48</v>
      </c>
      <c r="AS1264" t="n">
        <v>43</v>
      </c>
      <c r="AT1264" t="n">
        <v>1</v>
      </c>
      <c r="AU1264" t="n">
        <v>2</v>
      </c>
      <c r="AV1264" t="n">
        <v>38</v>
      </c>
      <c r="AW1264" t="n">
        <v>17</v>
      </c>
      <c r="AX1264" t="n">
        <v>0</v>
      </c>
      <c r="AY1264" t="n">
        <v>70</v>
      </c>
      <c r="AZ1264" t="n">
        <v>3</v>
      </c>
      <c r="BA1264" t="n">
        <v>42</v>
      </c>
      <c r="BB1264" t="n">
        <v>131</v>
      </c>
      <c r="BC1264" t="n">
        <v>19</v>
      </c>
      <c r="BD1264" t="n">
        <v>18</v>
      </c>
      <c r="BE1264" t="n">
        <v>20</v>
      </c>
      <c r="BF1264" t="n">
        <v>89</v>
      </c>
      <c r="BG1264" t="n">
        <v>1</v>
      </c>
      <c r="BH1264" t="n">
        <v>9</v>
      </c>
      <c r="BI1264" t="n">
        <v>53</v>
      </c>
      <c r="BJ1264" t="n">
        <v>48</v>
      </c>
      <c r="BK1264" t="n">
        <v>1</v>
      </c>
      <c r="BL1264" t="n">
        <v>10</v>
      </c>
      <c r="BM1264" t="n">
        <v>18</v>
      </c>
      <c r="BN1264" t="n">
        <v>8</v>
      </c>
      <c r="BO1264" t="n">
        <v>16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232</v>
      </c>
      <c r="Z1265" t="n">
        <v>167</v>
      </c>
      <c r="AA1265" t="n">
        <v>87</v>
      </c>
      <c r="AB1265" t="n">
        <v>0</v>
      </c>
      <c r="AC1265" t="n">
        <v>4</v>
      </c>
      <c r="AD1265" t="n">
        <v>5</v>
      </c>
      <c r="AE1265" t="n">
        <v>4</v>
      </c>
      <c r="AF1265" t="n">
        <v>8</v>
      </c>
      <c r="AG1265" t="n">
        <v>2</v>
      </c>
      <c r="AH1265" t="n">
        <v>104</v>
      </c>
      <c r="AI1265" t="n">
        <v>28</v>
      </c>
      <c r="AJ1265" t="n">
        <v>72</v>
      </c>
      <c r="AK1265" t="n">
        <v>18</v>
      </c>
      <c r="AL1265" t="n">
        <v>3</v>
      </c>
      <c r="AM1265" t="n">
        <v>51</v>
      </c>
      <c r="AN1265" t="n">
        <v>0</v>
      </c>
      <c r="AO1265" t="n">
        <v>0</v>
      </c>
      <c r="AP1265" t="n">
        <v>2</v>
      </c>
      <c r="AQ1265" t="n">
        <v>1</v>
      </c>
      <c r="AR1265" t="n">
        <v>23</v>
      </c>
      <c r="AS1265" t="n">
        <v>19</v>
      </c>
      <c r="AT1265" t="n">
        <v>0</v>
      </c>
      <c r="AU1265" t="n">
        <v>2</v>
      </c>
      <c r="AV1265" t="n">
        <v>1</v>
      </c>
      <c r="AW1265" t="n">
        <v>27</v>
      </c>
      <c r="AX1265" t="n">
        <v>3</v>
      </c>
      <c r="AY1265" t="n">
        <v>67</v>
      </c>
      <c r="AZ1265" t="n">
        <v>1</v>
      </c>
      <c r="BA1265" t="n">
        <v>5</v>
      </c>
      <c r="BB1265" t="n">
        <v>86</v>
      </c>
      <c r="BC1265" t="n">
        <v>43</v>
      </c>
      <c r="BD1265" t="n">
        <v>96</v>
      </c>
      <c r="BE1265" t="n">
        <v>27</v>
      </c>
      <c r="BF1265" t="n">
        <v>57</v>
      </c>
      <c r="BG1265" t="n">
        <v>1</v>
      </c>
      <c r="BH1265" t="n">
        <v>0</v>
      </c>
      <c r="BI1265" t="n">
        <v>21</v>
      </c>
      <c r="BJ1265" t="n">
        <v>19</v>
      </c>
      <c r="BK1265" t="n">
        <v>2</v>
      </c>
      <c r="BL1265" t="n">
        <v>14</v>
      </c>
      <c r="BM1265" t="n">
        <v>47</v>
      </c>
      <c r="BN1265" t="n">
        <v>25</v>
      </c>
      <c r="BO1265" t="n">
        <v>14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220</v>
      </c>
      <c r="Z1266" t="n">
        <v>109</v>
      </c>
      <c r="AA1266" t="n">
        <v>63</v>
      </c>
      <c r="AB1266" t="n">
        <v>0</v>
      </c>
      <c r="AC1266" t="n">
        <v>1</v>
      </c>
      <c r="AD1266" t="n">
        <v>0</v>
      </c>
      <c r="AE1266" t="n">
        <v>5</v>
      </c>
      <c r="AF1266" t="n">
        <v>2</v>
      </c>
      <c r="AG1266" t="n">
        <v>5</v>
      </c>
      <c r="AH1266" t="n">
        <v>2</v>
      </c>
      <c r="AI1266" t="n">
        <v>10</v>
      </c>
      <c r="AJ1266" t="n">
        <v>45</v>
      </c>
      <c r="AK1266" t="n">
        <v>32</v>
      </c>
      <c r="AL1266" t="n">
        <v>0</v>
      </c>
      <c r="AM1266" t="n">
        <v>5</v>
      </c>
      <c r="AN1266" t="n">
        <v>0</v>
      </c>
      <c r="AO1266" t="n">
        <v>0</v>
      </c>
      <c r="AP1266" t="n">
        <v>8</v>
      </c>
      <c r="AQ1266" t="n">
        <v>16</v>
      </c>
      <c r="AR1266" t="n">
        <v>150</v>
      </c>
      <c r="AS1266" t="n">
        <v>132</v>
      </c>
      <c r="AT1266" t="n">
        <v>5</v>
      </c>
      <c r="AU1266" t="n">
        <v>3</v>
      </c>
      <c r="AV1266" t="n">
        <v>18</v>
      </c>
      <c r="AW1266" t="n">
        <v>16</v>
      </c>
      <c r="AX1266" t="n">
        <v>0</v>
      </c>
      <c r="AY1266" t="n">
        <v>6</v>
      </c>
      <c r="AZ1266" t="n">
        <v>3</v>
      </c>
      <c r="BA1266" t="n">
        <v>15</v>
      </c>
      <c r="BB1266" t="n">
        <v>76</v>
      </c>
      <c r="BC1266" t="n">
        <v>7</v>
      </c>
      <c r="BD1266" t="n">
        <v>2</v>
      </c>
      <c r="BE1266" t="n">
        <v>16</v>
      </c>
      <c r="BF1266" t="n">
        <v>35</v>
      </c>
      <c r="BG1266" t="n">
        <v>6</v>
      </c>
      <c r="BH1266" t="n">
        <v>20</v>
      </c>
      <c r="BI1266" t="n">
        <v>26</v>
      </c>
      <c r="BJ1266" t="n">
        <v>28</v>
      </c>
      <c r="BK1266" t="n">
        <v>0</v>
      </c>
      <c r="BL1266" t="n">
        <v>1</v>
      </c>
      <c r="BM1266" t="n">
        <v>6</v>
      </c>
      <c r="BN1266" t="n">
        <v>3</v>
      </c>
      <c r="BO1266" t="n">
        <v>2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3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181</v>
      </c>
      <c r="Z1267" t="n">
        <v>298</v>
      </c>
      <c r="AA1267" t="n">
        <v>106</v>
      </c>
      <c r="AB1267" t="n">
        <v>0</v>
      </c>
      <c r="AC1267" t="n">
        <v>0</v>
      </c>
      <c r="AD1267" t="n">
        <v>5</v>
      </c>
      <c r="AE1267" t="n">
        <v>1</v>
      </c>
      <c r="AF1267" t="n">
        <v>5</v>
      </c>
      <c r="AG1267" t="n">
        <v>4</v>
      </c>
      <c r="AH1267" t="n">
        <v>69</v>
      </c>
      <c r="AI1267" t="n">
        <v>47</v>
      </c>
      <c r="AJ1267" t="n">
        <v>58</v>
      </c>
      <c r="AK1267" t="n">
        <v>21</v>
      </c>
      <c r="AL1267" t="n">
        <v>2</v>
      </c>
      <c r="AM1267" t="n">
        <v>72</v>
      </c>
      <c r="AN1267" t="n">
        <v>0</v>
      </c>
      <c r="AO1267" t="n">
        <v>0</v>
      </c>
      <c r="AP1267" t="n">
        <v>4</v>
      </c>
      <c r="AQ1267" t="n">
        <v>26</v>
      </c>
      <c r="AR1267" t="n">
        <v>131</v>
      </c>
      <c r="AS1267" t="n">
        <v>108</v>
      </c>
      <c r="AT1267" t="n">
        <v>0</v>
      </c>
      <c r="AU1267" t="n">
        <v>0</v>
      </c>
      <c r="AV1267" t="n">
        <v>5</v>
      </c>
      <c r="AW1267" t="n">
        <v>40</v>
      </c>
      <c r="AX1267" t="n">
        <v>7</v>
      </c>
      <c r="AY1267" t="n">
        <v>5</v>
      </c>
      <c r="AZ1267" t="n">
        <v>2</v>
      </c>
      <c r="BA1267" t="n">
        <v>5</v>
      </c>
      <c r="BB1267" t="n">
        <v>107</v>
      </c>
      <c r="BC1267" t="n">
        <v>59</v>
      </c>
      <c r="BD1267" t="n">
        <v>75</v>
      </c>
      <c r="BE1267" t="n">
        <v>45</v>
      </c>
      <c r="BF1267" t="n">
        <v>49</v>
      </c>
      <c r="BG1267" t="n">
        <v>0</v>
      </c>
      <c r="BH1267" t="n">
        <v>1</v>
      </c>
      <c r="BI1267" t="n">
        <v>20</v>
      </c>
      <c r="BJ1267" t="n">
        <v>18</v>
      </c>
      <c r="BK1267" t="n">
        <v>2</v>
      </c>
      <c r="BL1267" t="n">
        <v>10</v>
      </c>
      <c r="BM1267" t="n">
        <v>12</v>
      </c>
      <c r="BN1267" t="n">
        <v>4</v>
      </c>
      <c r="BO1267" t="n">
        <v>164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249</v>
      </c>
      <c r="Z1268" t="n">
        <v>192</v>
      </c>
      <c r="AA1268" t="n">
        <v>117</v>
      </c>
      <c r="AB1268" t="n">
        <v>2</v>
      </c>
      <c r="AC1268" t="n">
        <v>2</v>
      </c>
      <c r="AD1268" t="n">
        <v>3</v>
      </c>
      <c r="AE1268" t="n">
        <v>6</v>
      </c>
      <c r="AF1268" t="n">
        <v>10</v>
      </c>
      <c r="AG1268" t="n">
        <v>2</v>
      </c>
      <c r="AH1268" t="n">
        <v>34</v>
      </c>
      <c r="AI1268" t="n">
        <v>45</v>
      </c>
      <c r="AJ1268" t="n">
        <v>145</v>
      </c>
      <c r="AK1268" t="n">
        <v>35</v>
      </c>
      <c r="AL1268" t="n">
        <v>3</v>
      </c>
      <c r="AM1268" t="n">
        <v>24</v>
      </c>
      <c r="AN1268" t="n">
        <v>0</v>
      </c>
      <c r="AO1268" t="n">
        <v>0</v>
      </c>
      <c r="AP1268" t="n">
        <v>3</v>
      </c>
      <c r="AQ1268" t="n">
        <v>0</v>
      </c>
      <c r="AR1268" t="n">
        <v>70</v>
      </c>
      <c r="AS1268" t="n">
        <v>64</v>
      </c>
      <c r="AT1268" t="n">
        <v>2</v>
      </c>
      <c r="AU1268" t="n">
        <v>2</v>
      </c>
      <c r="AV1268" t="n">
        <v>6</v>
      </c>
      <c r="AW1268" t="n">
        <v>12</v>
      </c>
      <c r="AX1268" t="n">
        <v>0</v>
      </c>
      <c r="AY1268" t="n">
        <v>50</v>
      </c>
      <c r="AZ1268" t="n">
        <v>5</v>
      </c>
      <c r="BA1268" t="n">
        <v>28</v>
      </c>
      <c r="BB1268" t="n">
        <v>138</v>
      </c>
      <c r="BC1268" t="n">
        <v>11</v>
      </c>
      <c r="BD1268" t="n">
        <v>43</v>
      </c>
      <c r="BE1268" t="n">
        <v>11</v>
      </c>
      <c r="BF1268" t="n">
        <v>122</v>
      </c>
      <c r="BG1268" t="n">
        <v>5</v>
      </c>
      <c r="BH1268" t="n">
        <v>-2</v>
      </c>
      <c r="BI1268" t="n">
        <v>45</v>
      </c>
      <c r="BJ1268" t="n">
        <v>55</v>
      </c>
      <c r="BK1268" t="n">
        <v>5</v>
      </c>
      <c r="BL1268" t="n">
        <v>25</v>
      </c>
      <c r="BM1268" t="n">
        <v>44</v>
      </c>
      <c r="BN1268" t="n">
        <v>19</v>
      </c>
      <c r="BO1268" t="n">
        <v>16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3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342</v>
      </c>
      <c r="Z1269" t="n">
        <v>112</v>
      </c>
      <c r="AA1269" t="n">
        <v>48</v>
      </c>
      <c r="AB1269" t="n">
        <v>0</v>
      </c>
      <c r="AC1269" t="n">
        <v>3</v>
      </c>
      <c r="AD1269" t="n">
        <v>6</v>
      </c>
      <c r="AE1269" t="n">
        <v>0</v>
      </c>
      <c r="AF1269" t="n">
        <v>3</v>
      </c>
      <c r="AG1269" t="n">
        <v>6</v>
      </c>
      <c r="AH1269" t="n">
        <v>92</v>
      </c>
      <c r="AI1269" t="n">
        <v>10</v>
      </c>
      <c r="AJ1269" t="n">
        <v>66</v>
      </c>
      <c r="AK1269" t="n">
        <v>47</v>
      </c>
      <c r="AL1269" t="n">
        <v>4</v>
      </c>
      <c r="AM1269" t="n">
        <v>54</v>
      </c>
      <c r="AN1269" t="n">
        <v>0</v>
      </c>
      <c r="AO1269" t="n">
        <v>0</v>
      </c>
      <c r="AP1269" t="n">
        <v>7</v>
      </c>
      <c r="AQ1269" t="n">
        <v>76</v>
      </c>
      <c r="AR1269" t="n">
        <v>98</v>
      </c>
      <c r="AS1269" t="n">
        <v>34</v>
      </c>
      <c r="AT1269" t="n">
        <v>1</v>
      </c>
      <c r="AU1269" t="n">
        <v>1</v>
      </c>
      <c r="AV1269" t="n">
        <v>11</v>
      </c>
      <c r="AW1269" t="n">
        <v>19</v>
      </c>
      <c r="AX1269" t="n">
        <v>0</v>
      </c>
      <c r="AY1269" t="n">
        <v>107</v>
      </c>
      <c r="AZ1269" t="n">
        <v>0</v>
      </c>
      <c r="BA1269" t="n">
        <v>1</v>
      </c>
      <c r="BB1269" t="n">
        <v>47</v>
      </c>
      <c r="BC1269" t="n">
        <v>48</v>
      </c>
      <c r="BD1269" t="n">
        <v>86</v>
      </c>
      <c r="BE1269" t="n">
        <v>19</v>
      </c>
      <c r="BF1269" t="n">
        <v>52</v>
      </c>
      <c r="BG1269" t="n">
        <v>4</v>
      </c>
      <c r="BH1269" t="n">
        <v>5</v>
      </c>
      <c r="BI1269" t="n">
        <v>67</v>
      </c>
      <c r="BJ1269" t="n">
        <v>64</v>
      </c>
      <c r="BK1269" t="n">
        <v>1</v>
      </c>
      <c r="BL1269" t="n">
        <v>1</v>
      </c>
      <c r="BM1269" t="n">
        <v>14</v>
      </c>
      <c r="BN1269" t="n">
        <v>8</v>
      </c>
      <c r="BO1269" t="n">
        <v>2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0</v>
      </c>
      <c r="W1270" t="n">
        <v>0</v>
      </c>
      <c r="X1270" t="n">
        <v>1</v>
      </c>
      <c r="Y1270" t="n">
        <v>143</v>
      </c>
      <c r="Z1270" t="n">
        <v>193</v>
      </c>
      <c r="AA1270" t="n">
        <v>50</v>
      </c>
      <c r="AB1270" t="n">
        <v>0</v>
      </c>
      <c r="AC1270" t="n">
        <v>3</v>
      </c>
      <c r="AD1270" t="n">
        <v>0</v>
      </c>
      <c r="AE1270" t="n">
        <v>3</v>
      </c>
      <c r="AF1270" t="n">
        <v>4</v>
      </c>
      <c r="AG1270" t="n">
        <v>3</v>
      </c>
      <c r="AH1270" t="n">
        <v>5</v>
      </c>
      <c r="AI1270" t="n">
        <v>15</v>
      </c>
      <c r="AJ1270" t="n">
        <v>63</v>
      </c>
      <c r="AK1270" t="n">
        <v>12</v>
      </c>
      <c r="AL1270" t="n">
        <v>5</v>
      </c>
      <c r="AM1270" t="n">
        <v>20</v>
      </c>
      <c r="AN1270" t="n">
        <v>1</v>
      </c>
      <c r="AO1270" t="n">
        <v>0</v>
      </c>
      <c r="AP1270" t="n">
        <v>6</v>
      </c>
      <c r="AQ1270" t="n">
        <v>12</v>
      </c>
      <c r="AR1270" t="n">
        <v>103</v>
      </c>
      <c r="AS1270" t="n">
        <v>91</v>
      </c>
      <c r="AT1270" t="n">
        <v>6</v>
      </c>
      <c r="AU1270" t="n">
        <v>1</v>
      </c>
      <c r="AV1270" t="n">
        <v>58</v>
      </c>
      <c r="AW1270" t="n">
        <v>16</v>
      </c>
      <c r="AX1270" t="n">
        <v>7</v>
      </c>
      <c r="AY1270" t="n">
        <v>24</v>
      </c>
      <c r="AZ1270" t="n">
        <v>5</v>
      </c>
      <c r="BA1270" t="n">
        <v>24</v>
      </c>
      <c r="BB1270" t="n">
        <v>72</v>
      </c>
      <c r="BC1270" t="n">
        <v>17</v>
      </c>
      <c r="BD1270" t="n">
        <v>10</v>
      </c>
      <c r="BE1270" t="n">
        <v>17</v>
      </c>
      <c r="BF1270" t="n">
        <v>55</v>
      </c>
      <c r="BG1270" t="n">
        <v>1</v>
      </c>
      <c r="BH1270" t="n">
        <v>0</v>
      </c>
      <c r="BI1270" t="n">
        <v>9</v>
      </c>
      <c r="BJ1270" t="n">
        <v>13</v>
      </c>
      <c r="BK1270" t="n">
        <v>4</v>
      </c>
      <c r="BL1270" t="n">
        <v>31</v>
      </c>
      <c r="BM1270" t="n">
        <v>21</v>
      </c>
      <c r="BN1270" t="n">
        <v>0</v>
      </c>
      <c r="BO1270" t="n">
        <v>2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3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200</v>
      </c>
      <c r="Z1271" t="n">
        <v>103</v>
      </c>
      <c r="AA1271" t="n">
        <v>21</v>
      </c>
      <c r="AB1271" t="n">
        <v>1</v>
      </c>
      <c r="AC1271" t="n">
        <v>2</v>
      </c>
      <c r="AD1271" t="n">
        <v>4</v>
      </c>
      <c r="AE1271" t="n">
        <v>0</v>
      </c>
      <c r="AF1271" t="n">
        <v>3</v>
      </c>
      <c r="AG1271" t="n">
        <v>3</v>
      </c>
      <c r="AH1271" t="n">
        <v>23</v>
      </c>
      <c r="AI1271" t="n">
        <v>2</v>
      </c>
      <c r="AJ1271" t="n">
        <v>38</v>
      </c>
      <c r="AK1271" t="n">
        <v>16</v>
      </c>
      <c r="AL1271" t="n">
        <v>1</v>
      </c>
      <c r="AM1271" t="n">
        <v>50</v>
      </c>
      <c r="AN1271" t="n">
        <v>0</v>
      </c>
      <c r="AO1271" t="n">
        <v>0</v>
      </c>
      <c r="AP1271" t="n">
        <v>12</v>
      </c>
      <c r="AQ1271" t="n">
        <v>58</v>
      </c>
      <c r="AR1271" t="n">
        <v>93</v>
      </c>
      <c r="AS1271" t="n">
        <v>44</v>
      </c>
      <c r="AT1271" t="n">
        <v>4</v>
      </c>
      <c r="AU1271" t="n">
        <v>2</v>
      </c>
      <c r="AV1271" t="n">
        <v>17</v>
      </c>
      <c r="AW1271" t="n">
        <v>13</v>
      </c>
      <c r="AX1271" t="n">
        <v>6</v>
      </c>
      <c r="AY1271" t="n">
        <v>19</v>
      </c>
      <c r="AZ1271" t="n">
        <v>1</v>
      </c>
      <c r="BA1271" t="n">
        <v>8</v>
      </c>
      <c r="BB1271" t="n">
        <v>27</v>
      </c>
      <c r="BC1271" t="n">
        <v>55</v>
      </c>
      <c r="BD1271" t="n">
        <v>24</v>
      </c>
      <c r="BE1271" t="n">
        <v>19</v>
      </c>
      <c r="BF1271" t="n">
        <v>33</v>
      </c>
      <c r="BG1271" t="n">
        <v>1</v>
      </c>
      <c r="BH1271" t="n">
        <v>0</v>
      </c>
      <c r="BI1271" t="n">
        <v>1</v>
      </c>
      <c r="BJ1271" t="n">
        <v>1</v>
      </c>
      <c r="BK1271" t="n">
        <v>2</v>
      </c>
      <c r="BL1271" t="n">
        <v>13</v>
      </c>
      <c r="BM1271" t="n">
        <v>26</v>
      </c>
      <c r="BN1271" t="n">
        <v>11</v>
      </c>
      <c r="BO1271" t="n">
        <v>23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4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120</v>
      </c>
      <c r="Z1272" t="n">
        <v>214</v>
      </c>
      <c r="AA1272" t="n">
        <v>27</v>
      </c>
      <c r="AB1272" t="n">
        <v>1</v>
      </c>
      <c r="AC1272" t="n">
        <v>1</v>
      </c>
      <c r="AD1272" t="n">
        <v>3</v>
      </c>
      <c r="AE1272" t="n">
        <v>7</v>
      </c>
      <c r="AF1272" t="n">
        <v>9</v>
      </c>
      <c r="AG1272" t="n">
        <v>0</v>
      </c>
      <c r="AH1272" t="n">
        <v>17</v>
      </c>
      <c r="AI1272" t="n">
        <v>90</v>
      </c>
      <c r="AJ1272" t="n">
        <v>67</v>
      </c>
      <c r="AK1272" t="n">
        <v>1</v>
      </c>
      <c r="AL1272" t="n">
        <v>6</v>
      </c>
      <c r="AM1272" t="n">
        <v>42</v>
      </c>
      <c r="AN1272" t="n">
        <v>0</v>
      </c>
      <c r="AO1272" t="n">
        <v>0</v>
      </c>
      <c r="AP1272" t="n">
        <v>8</v>
      </c>
      <c r="AQ1272" t="n">
        <v>26</v>
      </c>
      <c r="AR1272" t="n">
        <v>128</v>
      </c>
      <c r="AS1272" t="n">
        <v>104</v>
      </c>
      <c r="AT1272" t="n">
        <v>3</v>
      </c>
      <c r="AU1272" t="n">
        <v>1</v>
      </c>
      <c r="AV1272" t="n">
        <v>18</v>
      </c>
      <c r="AW1272" t="n">
        <v>7</v>
      </c>
      <c r="AX1272" t="n">
        <v>0</v>
      </c>
      <c r="AY1272" t="n">
        <v>5</v>
      </c>
      <c r="AZ1272" t="n">
        <v>2</v>
      </c>
      <c r="BA1272" t="n">
        <v>21</v>
      </c>
      <c r="BB1272" t="n">
        <v>49</v>
      </c>
      <c r="BC1272" t="n">
        <v>50</v>
      </c>
      <c r="BD1272" t="n">
        <v>14</v>
      </c>
      <c r="BE1272" t="n">
        <v>17</v>
      </c>
      <c r="BF1272" t="n">
        <v>55</v>
      </c>
      <c r="BG1272" t="n">
        <v>2</v>
      </c>
      <c r="BH1272" t="n">
        <v>6</v>
      </c>
      <c r="BI1272" t="n">
        <v>16</v>
      </c>
      <c r="BJ1272" t="n">
        <v>18</v>
      </c>
      <c r="BK1272" t="n">
        <v>2</v>
      </c>
      <c r="BL1272" t="n">
        <v>24</v>
      </c>
      <c r="BM1272" t="n">
        <v>44</v>
      </c>
      <c r="BN1272" t="n">
        <v>19</v>
      </c>
      <c r="BO1272" t="n">
        <v>11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243</v>
      </c>
      <c r="Z1273" t="n">
        <v>214</v>
      </c>
      <c r="AA1273" t="n">
        <v>38</v>
      </c>
      <c r="AB1273" t="n">
        <v>6</v>
      </c>
      <c r="AC1273" t="n">
        <v>1</v>
      </c>
      <c r="AD1273" t="n">
        <v>3</v>
      </c>
      <c r="AE1273" t="n">
        <v>5</v>
      </c>
      <c r="AF1273" t="n">
        <v>6</v>
      </c>
      <c r="AG1273" t="n">
        <v>4</v>
      </c>
      <c r="AH1273" t="n">
        <v>46</v>
      </c>
      <c r="AI1273" t="n">
        <v>34</v>
      </c>
      <c r="AJ1273" t="n">
        <v>67</v>
      </c>
      <c r="AK1273" t="n">
        <v>42</v>
      </c>
      <c r="AL1273" t="n">
        <v>3</v>
      </c>
      <c r="AM1273" t="n">
        <v>64</v>
      </c>
      <c r="AN1273" t="n">
        <v>0</v>
      </c>
      <c r="AO1273" t="n">
        <v>0</v>
      </c>
      <c r="AP1273" t="n">
        <v>0</v>
      </c>
      <c r="AQ1273" t="n">
        <v>27</v>
      </c>
      <c r="AR1273" t="n">
        <v>259</v>
      </c>
      <c r="AS1273" t="n">
        <v>229</v>
      </c>
      <c r="AT1273" t="n">
        <v>3</v>
      </c>
      <c r="AU1273" t="n">
        <v>0</v>
      </c>
      <c r="AV1273" t="n">
        <v>36</v>
      </c>
      <c r="AW1273" t="n">
        <v>4</v>
      </c>
      <c r="AX1273" t="n">
        <v>1</v>
      </c>
      <c r="AY1273" t="n">
        <v>4</v>
      </c>
      <c r="AZ1273" t="n">
        <v>2</v>
      </c>
      <c r="BA1273" t="n">
        <v>8</v>
      </c>
      <c r="BB1273" t="n">
        <v>42</v>
      </c>
      <c r="BC1273" t="n">
        <v>53</v>
      </c>
      <c r="BD1273" t="n">
        <v>41</v>
      </c>
      <c r="BE1273" t="n">
        <v>5</v>
      </c>
      <c r="BF1273" t="n">
        <v>53</v>
      </c>
      <c r="BG1273" t="n">
        <v>4</v>
      </c>
      <c r="BH1273" t="n">
        <v>4</v>
      </c>
      <c r="BI1273" t="n">
        <v>40</v>
      </c>
      <c r="BJ1273" t="n">
        <v>41</v>
      </c>
      <c r="BK1273" t="n">
        <v>5</v>
      </c>
      <c r="BL1273" t="n">
        <v>54</v>
      </c>
      <c r="BM1273" t="n">
        <v>37</v>
      </c>
      <c r="BN1273" t="n">
        <v>0</v>
      </c>
      <c r="BO1273" t="n">
        <v>61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259</v>
      </c>
      <c r="Z1274" t="n">
        <v>155</v>
      </c>
      <c r="AA1274" t="n">
        <v>76</v>
      </c>
      <c r="AB1274" t="n">
        <v>1</v>
      </c>
      <c r="AC1274" t="n">
        <v>0</v>
      </c>
      <c r="AD1274" t="n">
        <v>12</v>
      </c>
      <c r="AE1274" t="n">
        <v>2</v>
      </c>
      <c r="AF1274" t="n">
        <v>5</v>
      </c>
      <c r="AG1274" t="n">
        <v>2</v>
      </c>
      <c r="AH1274" t="n">
        <v>100</v>
      </c>
      <c r="AI1274" t="n">
        <v>20</v>
      </c>
      <c r="AJ1274" t="n">
        <v>66</v>
      </c>
      <c r="AK1274" t="n">
        <v>19</v>
      </c>
      <c r="AL1274" t="n">
        <v>5</v>
      </c>
      <c r="AM1274" t="n">
        <v>25</v>
      </c>
      <c r="AN1274" t="n">
        <v>0</v>
      </c>
      <c r="AO1274" t="n">
        <v>0</v>
      </c>
      <c r="AP1274" t="n">
        <v>3</v>
      </c>
      <c r="AQ1274" t="n">
        <v>42</v>
      </c>
      <c r="AR1274" t="n">
        <v>52</v>
      </c>
      <c r="AS1274" t="n">
        <v>15</v>
      </c>
      <c r="AT1274" t="n">
        <v>4</v>
      </c>
      <c r="AU1274" t="n">
        <v>3</v>
      </c>
      <c r="AV1274" t="n">
        <v>11</v>
      </c>
      <c r="AW1274" t="n">
        <v>18</v>
      </c>
      <c r="AX1274" t="n">
        <v>1</v>
      </c>
      <c r="AY1274" t="n">
        <v>91</v>
      </c>
      <c r="AZ1274" t="n">
        <v>4</v>
      </c>
      <c r="BA1274" t="n">
        <v>18</v>
      </c>
      <c r="BB1274" t="n">
        <v>90</v>
      </c>
      <c r="BC1274" t="n">
        <v>32</v>
      </c>
      <c r="BD1274" t="n">
        <v>91</v>
      </c>
      <c r="BE1274" t="n">
        <v>18</v>
      </c>
      <c r="BF1274" t="n">
        <v>55</v>
      </c>
      <c r="BG1274" t="n">
        <v>4</v>
      </c>
      <c r="BH1274" t="n">
        <v>6</v>
      </c>
      <c r="BI1274" t="n">
        <v>41</v>
      </c>
      <c r="BJ1274" t="n">
        <v>39</v>
      </c>
      <c r="BK1274" t="n">
        <v>5</v>
      </c>
      <c r="BL1274" t="n">
        <v>76</v>
      </c>
      <c r="BM1274" t="n">
        <v>86</v>
      </c>
      <c r="BN1274" t="n">
        <v>26</v>
      </c>
      <c r="BO1274" t="n">
        <v>30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3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297</v>
      </c>
      <c r="Z1275" t="n">
        <v>206</v>
      </c>
      <c r="AA1275" t="n">
        <v>183</v>
      </c>
      <c r="AB1275" t="n">
        <v>0</v>
      </c>
      <c r="AC1275" t="n">
        <v>2</v>
      </c>
      <c r="AD1275" t="n">
        <v>3</v>
      </c>
      <c r="AE1275" t="n">
        <v>1</v>
      </c>
      <c r="AF1275" t="n">
        <v>5</v>
      </c>
      <c r="AG1275" t="n">
        <v>8</v>
      </c>
      <c r="AH1275" t="n">
        <v>68</v>
      </c>
      <c r="AI1275" t="n">
        <v>95</v>
      </c>
      <c r="AJ1275" t="n">
        <v>109</v>
      </c>
      <c r="AK1275" t="n">
        <v>57</v>
      </c>
      <c r="AL1275" t="n">
        <v>1</v>
      </c>
      <c r="AM1275" t="n">
        <v>31</v>
      </c>
      <c r="AN1275" t="n">
        <v>0</v>
      </c>
      <c r="AO1275" t="n">
        <v>0</v>
      </c>
      <c r="AP1275" t="n">
        <v>7</v>
      </c>
      <c r="AQ1275" t="n">
        <v>48</v>
      </c>
      <c r="AR1275" t="n">
        <v>98</v>
      </c>
      <c r="AS1275" t="n">
        <v>58</v>
      </c>
      <c r="AT1275" t="n">
        <v>4</v>
      </c>
      <c r="AU1275" t="n">
        <v>2</v>
      </c>
      <c r="AV1275" t="n">
        <v>23</v>
      </c>
      <c r="AW1275" t="n">
        <v>41</v>
      </c>
      <c r="AX1275" t="n">
        <v>0</v>
      </c>
      <c r="AY1275" t="n">
        <v>50</v>
      </c>
      <c r="AZ1275" t="n">
        <v>0</v>
      </c>
      <c r="BA1275" t="n">
        <v>-3</v>
      </c>
      <c r="BB1275" t="n">
        <v>175</v>
      </c>
      <c r="BC1275" t="n">
        <v>26</v>
      </c>
      <c r="BD1275" t="n">
        <v>60</v>
      </c>
      <c r="BE1275" t="n">
        <v>40</v>
      </c>
      <c r="BF1275" t="n">
        <v>87</v>
      </c>
      <c r="BG1275" t="n">
        <v>5</v>
      </c>
      <c r="BH1275" t="n">
        <v>6</v>
      </c>
      <c r="BI1275" t="n">
        <v>33</v>
      </c>
      <c r="BJ1275" t="n">
        <v>32</v>
      </c>
      <c r="BK1275" t="n">
        <v>0</v>
      </c>
      <c r="BL1275" t="n">
        <v>1</v>
      </c>
      <c r="BM1275" t="n">
        <v>-3</v>
      </c>
      <c r="BN1275" t="n">
        <v>-1</v>
      </c>
      <c r="BO1275" t="n">
        <v>14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178</v>
      </c>
      <c r="Z1276" t="n">
        <v>218</v>
      </c>
      <c r="AA1276" t="n">
        <v>60</v>
      </c>
      <c r="AB1276" t="n">
        <v>0</v>
      </c>
      <c r="AC1276" t="n">
        <v>0</v>
      </c>
      <c r="AD1276" t="n">
        <v>7</v>
      </c>
      <c r="AE1276" t="n">
        <v>4</v>
      </c>
      <c r="AF1276" t="n">
        <v>1</v>
      </c>
      <c r="AG1276" t="n">
        <v>2</v>
      </c>
      <c r="AH1276" t="n">
        <v>74</v>
      </c>
      <c r="AI1276" t="n">
        <v>18</v>
      </c>
      <c r="AJ1276" t="n">
        <v>18</v>
      </c>
      <c r="AK1276" t="n">
        <v>18</v>
      </c>
      <c r="AL1276" t="n">
        <v>3</v>
      </c>
      <c r="AM1276" t="n">
        <v>68</v>
      </c>
      <c r="AN1276" t="n">
        <v>0</v>
      </c>
      <c r="AO1276" t="n">
        <v>0</v>
      </c>
      <c r="AP1276" t="n">
        <v>8</v>
      </c>
      <c r="AQ1276" t="n">
        <v>61</v>
      </c>
      <c r="AR1276" t="n">
        <v>100</v>
      </c>
      <c r="AS1276" t="n">
        <v>48</v>
      </c>
      <c r="AT1276" t="n">
        <v>0</v>
      </c>
      <c r="AU1276" t="n">
        <v>1</v>
      </c>
      <c r="AV1276" t="n">
        <v>1</v>
      </c>
      <c r="AW1276" t="n">
        <v>7</v>
      </c>
      <c r="AX1276" t="n">
        <v>2</v>
      </c>
      <c r="AY1276" t="n">
        <v>19</v>
      </c>
      <c r="AZ1276" t="n">
        <v>0</v>
      </c>
      <c r="BA1276" t="n">
        <v>1</v>
      </c>
      <c r="BB1276" t="n">
        <v>59</v>
      </c>
      <c r="BC1276" t="n">
        <v>82</v>
      </c>
      <c r="BD1276" t="n">
        <v>66</v>
      </c>
      <c r="BE1276" t="n">
        <v>11</v>
      </c>
      <c r="BF1276" t="n">
        <v>14</v>
      </c>
      <c r="BG1276" t="n">
        <v>0</v>
      </c>
      <c r="BH1276" t="n">
        <v>0</v>
      </c>
      <c r="BI1276" t="n">
        <v>1</v>
      </c>
      <c r="BJ1276" t="n">
        <v>4</v>
      </c>
      <c r="BK1276" t="n">
        <v>3</v>
      </c>
      <c r="BL1276" t="n">
        <v>47</v>
      </c>
      <c r="BM1276" t="n">
        <v>34</v>
      </c>
      <c r="BN1276" t="n">
        <v>3</v>
      </c>
      <c r="BO1276" t="n">
        <v>2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2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191</v>
      </c>
      <c r="Z1277" t="n">
        <v>135</v>
      </c>
      <c r="AA1277" t="n">
        <v>35</v>
      </c>
      <c r="AB1277" t="n">
        <v>2</v>
      </c>
      <c r="AC1277" t="n">
        <v>1</v>
      </c>
      <c r="AD1277" t="n">
        <v>0</v>
      </c>
      <c r="AE1277" t="n">
        <v>1</v>
      </c>
      <c r="AF1277" t="n">
        <v>4</v>
      </c>
      <c r="AG1277" t="n">
        <v>6</v>
      </c>
      <c r="AH1277" t="n">
        <v>19</v>
      </c>
      <c r="AI1277" t="n">
        <v>2</v>
      </c>
      <c r="AJ1277" t="n">
        <v>33</v>
      </c>
      <c r="AK1277" t="n">
        <v>45</v>
      </c>
      <c r="AL1277" t="n">
        <v>3</v>
      </c>
      <c r="AM1277" t="n">
        <v>44</v>
      </c>
      <c r="AN1277" t="n">
        <v>0</v>
      </c>
      <c r="AO1277" t="n">
        <v>0</v>
      </c>
      <c r="AP1277" t="n">
        <v>3</v>
      </c>
      <c r="AQ1277" t="n">
        <v>24</v>
      </c>
      <c r="AR1277" t="n">
        <v>80</v>
      </c>
      <c r="AS1277" t="n">
        <v>60</v>
      </c>
      <c r="AT1277" t="n">
        <v>5</v>
      </c>
      <c r="AU1277" t="n">
        <v>1</v>
      </c>
      <c r="AV1277" t="n">
        <v>66</v>
      </c>
      <c r="AW1277" t="n">
        <v>1</v>
      </c>
      <c r="AX1277" t="n">
        <v>0</v>
      </c>
      <c r="AY1277" t="n">
        <v>49</v>
      </c>
      <c r="AZ1277" t="n">
        <v>0</v>
      </c>
      <c r="BA1277" t="n">
        <v>1</v>
      </c>
      <c r="BB1277" t="n">
        <v>35</v>
      </c>
      <c r="BC1277" t="n">
        <v>51</v>
      </c>
      <c r="BD1277" t="n">
        <v>16</v>
      </c>
      <c r="BE1277" t="n">
        <v>1</v>
      </c>
      <c r="BF1277" t="n">
        <v>27</v>
      </c>
      <c r="BG1277" t="n">
        <v>5</v>
      </c>
      <c r="BH1277" t="n">
        <v>0</v>
      </c>
      <c r="BI1277" t="n">
        <v>35</v>
      </c>
      <c r="BJ1277" t="n">
        <v>32</v>
      </c>
      <c r="BK1277" t="n">
        <v>0</v>
      </c>
      <c r="BL1277" t="n">
        <v>3</v>
      </c>
      <c r="BM1277" t="n">
        <v>9</v>
      </c>
      <c r="BN1277" t="n">
        <v>5</v>
      </c>
      <c r="BO1277" t="n">
        <v>2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276</v>
      </c>
      <c r="Z1278" t="n">
        <v>162</v>
      </c>
      <c r="AA1278" t="n">
        <v>33</v>
      </c>
      <c r="AB1278" t="n">
        <v>0</v>
      </c>
      <c r="AC1278" t="n">
        <v>0</v>
      </c>
      <c r="AD1278" t="n">
        <v>6</v>
      </c>
      <c r="AE1278" t="n">
        <v>0</v>
      </c>
      <c r="AF1278" t="n">
        <v>4</v>
      </c>
      <c r="AG1278" t="n">
        <v>5</v>
      </c>
      <c r="AH1278" t="n">
        <v>58</v>
      </c>
      <c r="AI1278" t="n">
        <v>18</v>
      </c>
      <c r="AJ1278" t="n">
        <v>46</v>
      </c>
      <c r="AK1278" t="n">
        <v>18</v>
      </c>
      <c r="AL1278" t="n">
        <v>1</v>
      </c>
      <c r="AM1278" t="n">
        <v>9</v>
      </c>
      <c r="AN1278" t="n">
        <v>0</v>
      </c>
      <c r="AO1278" t="n">
        <v>0</v>
      </c>
      <c r="AP1278" t="n">
        <v>3</v>
      </c>
      <c r="AQ1278" t="n">
        <v>16</v>
      </c>
      <c r="AR1278" t="n">
        <v>102</v>
      </c>
      <c r="AS1278" t="n">
        <v>87</v>
      </c>
      <c r="AT1278" t="n">
        <v>1</v>
      </c>
      <c r="AU1278" t="n">
        <v>2</v>
      </c>
      <c r="AV1278" t="n">
        <v>1</v>
      </c>
      <c r="AW1278" t="n">
        <v>10</v>
      </c>
      <c r="AX1278" t="n">
        <v>2</v>
      </c>
      <c r="AY1278" t="n">
        <v>20</v>
      </c>
      <c r="AZ1278" t="n">
        <v>2</v>
      </c>
      <c r="BA1278" t="n">
        <v>39</v>
      </c>
      <c r="BB1278" t="n">
        <v>73</v>
      </c>
      <c r="BC1278" t="n">
        <v>-2</v>
      </c>
      <c r="BD1278" t="n">
        <v>52</v>
      </c>
      <c r="BE1278" t="n">
        <v>9</v>
      </c>
      <c r="BF1278" t="n">
        <v>36</v>
      </c>
      <c r="BG1278" t="n">
        <v>3</v>
      </c>
      <c r="BH1278" t="n">
        <v>30</v>
      </c>
      <c r="BI1278" t="n">
        <v>54</v>
      </c>
      <c r="BJ1278" t="n">
        <v>50</v>
      </c>
      <c r="BK1278" t="n">
        <v>1</v>
      </c>
      <c r="BL1278" t="n">
        <v>8</v>
      </c>
      <c r="BM1278" t="n">
        <v>5</v>
      </c>
      <c r="BN1278" t="n">
        <v>1</v>
      </c>
      <c r="BO1278" t="n">
        <v>2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4</v>
      </c>
      <c r="H1279" t="n">
        <v>2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205</v>
      </c>
      <c r="Z1279" t="n">
        <v>139</v>
      </c>
      <c r="AA1279" t="n">
        <v>99</v>
      </c>
      <c r="AB1279" t="n">
        <v>4</v>
      </c>
      <c r="AC1279" t="n">
        <v>0</v>
      </c>
      <c r="AD1279" t="n">
        <v>8</v>
      </c>
      <c r="AE1279" t="n">
        <v>3</v>
      </c>
      <c r="AF1279" t="n">
        <v>1</v>
      </c>
      <c r="AG1279" t="n">
        <v>6</v>
      </c>
      <c r="AH1279" t="n">
        <v>118</v>
      </c>
      <c r="AI1279" t="n">
        <v>2</v>
      </c>
      <c r="AJ1279" t="n">
        <v>10</v>
      </c>
      <c r="AK1279" t="n">
        <v>33</v>
      </c>
      <c r="AL1279" t="n">
        <v>2</v>
      </c>
      <c r="AM1279" t="n">
        <v>29</v>
      </c>
      <c r="AN1279" t="n">
        <v>0</v>
      </c>
      <c r="AO1279" t="n">
        <v>0</v>
      </c>
      <c r="AP1279" t="n">
        <v>4</v>
      </c>
      <c r="AQ1279" t="n">
        <v>13</v>
      </c>
      <c r="AR1279" t="n">
        <v>81</v>
      </c>
      <c r="AS1279" t="n">
        <v>68</v>
      </c>
      <c r="AT1279" t="n">
        <v>1</v>
      </c>
      <c r="AU1279" t="n">
        <v>0</v>
      </c>
      <c r="AV1279" t="n">
        <v>19</v>
      </c>
      <c r="AW1279" t="n">
        <v>1</v>
      </c>
      <c r="AX1279" t="n">
        <v>0</v>
      </c>
      <c r="AY1279" t="n">
        <v>37</v>
      </c>
      <c r="AZ1279" t="n">
        <v>3</v>
      </c>
      <c r="BA1279" t="n">
        <v>43</v>
      </c>
      <c r="BB1279" t="n">
        <v>137</v>
      </c>
      <c r="BC1279" t="n">
        <v>23</v>
      </c>
      <c r="BD1279" t="n">
        <v>110</v>
      </c>
      <c r="BE1279" t="n">
        <v>3</v>
      </c>
      <c r="BF1279" t="n">
        <v>66</v>
      </c>
      <c r="BG1279" t="n">
        <v>1</v>
      </c>
      <c r="BH1279" t="n">
        <v>2</v>
      </c>
      <c r="BI1279" t="n">
        <v>27</v>
      </c>
      <c r="BJ1279" t="n">
        <v>42</v>
      </c>
      <c r="BK1279" t="n">
        <v>0</v>
      </c>
      <c r="BL1279" t="n">
        <v>1</v>
      </c>
      <c r="BM1279" t="n">
        <v>6</v>
      </c>
      <c r="BN1279" t="n">
        <v>3</v>
      </c>
      <c r="BO1279" t="n">
        <v>21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108</v>
      </c>
      <c r="Z1280" t="n">
        <v>114</v>
      </c>
      <c r="AA1280" t="n">
        <v>75</v>
      </c>
      <c r="AB1280" t="n">
        <v>0</v>
      </c>
      <c r="AC1280" t="n">
        <v>1</v>
      </c>
      <c r="AD1280" t="n">
        <v>4</v>
      </c>
      <c r="AE1280" t="n">
        <v>11</v>
      </c>
      <c r="AF1280" t="n">
        <v>3</v>
      </c>
      <c r="AG1280" t="n">
        <v>2</v>
      </c>
      <c r="AH1280" t="n">
        <v>30</v>
      </c>
      <c r="AI1280" t="n">
        <v>32</v>
      </c>
      <c r="AJ1280" t="n">
        <v>15</v>
      </c>
      <c r="AK1280" t="n">
        <v>9</v>
      </c>
      <c r="AL1280" t="n">
        <v>2</v>
      </c>
      <c r="AM1280" t="n">
        <v>16</v>
      </c>
      <c r="AN1280" t="n">
        <v>0</v>
      </c>
      <c r="AO1280" t="n">
        <v>0</v>
      </c>
      <c r="AP1280" t="n">
        <v>1</v>
      </c>
      <c r="AQ1280" t="n">
        <v>7</v>
      </c>
      <c r="AR1280" t="n">
        <v>87</v>
      </c>
      <c r="AS1280" t="n">
        <v>80</v>
      </c>
      <c r="AT1280" t="n">
        <v>4</v>
      </c>
      <c r="AU1280" t="n">
        <v>2</v>
      </c>
      <c r="AV1280" t="n">
        <v>9</v>
      </c>
      <c r="AW1280" t="n">
        <v>13</v>
      </c>
      <c r="AX1280" t="n">
        <v>7</v>
      </c>
      <c r="AY1280" t="n">
        <v>31</v>
      </c>
      <c r="AZ1280" t="n">
        <v>4</v>
      </c>
      <c r="BA1280" t="n">
        <v>8</v>
      </c>
      <c r="BB1280" t="n">
        <v>78</v>
      </c>
      <c r="BC1280" t="n">
        <v>18</v>
      </c>
      <c r="BD1280" t="n">
        <v>27</v>
      </c>
      <c r="BE1280" t="n">
        <v>12</v>
      </c>
      <c r="BF1280" t="n">
        <v>11</v>
      </c>
      <c r="BG1280" t="n">
        <v>2</v>
      </c>
      <c r="BH1280" t="n">
        <v>10</v>
      </c>
      <c r="BI1280" t="n">
        <v>8</v>
      </c>
      <c r="BJ1280" t="n">
        <v>7</v>
      </c>
      <c r="BK1280" t="n">
        <v>1</v>
      </c>
      <c r="BL1280" t="n">
        <v>4</v>
      </c>
      <c r="BM1280" t="n">
        <v>5</v>
      </c>
      <c r="BN1280" t="n">
        <v>3</v>
      </c>
      <c r="BO1280" t="n">
        <v>63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303</v>
      </c>
      <c r="Z1281" t="n">
        <v>131</v>
      </c>
      <c r="AA1281" t="n">
        <v>66</v>
      </c>
      <c r="AB1281" t="n">
        <v>1</v>
      </c>
      <c r="AC1281" t="n">
        <v>0</v>
      </c>
      <c r="AD1281" t="n">
        <v>7</v>
      </c>
      <c r="AE1281" t="n">
        <v>5</v>
      </c>
      <c r="AF1281" t="n">
        <v>2</v>
      </c>
      <c r="AG1281" t="n">
        <v>6</v>
      </c>
      <c r="AH1281" t="n">
        <v>103</v>
      </c>
      <c r="AI1281" t="n">
        <v>72</v>
      </c>
      <c r="AJ1281" t="n">
        <v>15</v>
      </c>
      <c r="AK1281" t="n">
        <v>110</v>
      </c>
      <c r="AL1281" t="n">
        <v>7</v>
      </c>
      <c r="AM1281" t="n">
        <v>44</v>
      </c>
      <c r="AN1281" t="n">
        <v>0</v>
      </c>
      <c r="AO1281" t="n">
        <v>0</v>
      </c>
      <c r="AP1281" t="n">
        <v>4</v>
      </c>
      <c r="AQ1281" t="n">
        <v>33</v>
      </c>
      <c r="AR1281" t="n">
        <v>118</v>
      </c>
      <c r="AS1281" t="n">
        <v>89</v>
      </c>
      <c r="AT1281" t="n">
        <v>1</v>
      </c>
      <c r="AU1281" t="n">
        <v>3</v>
      </c>
      <c r="AV1281" t="n">
        <v>21</v>
      </c>
      <c r="AW1281" t="n">
        <v>9</v>
      </c>
      <c r="AX1281" t="n">
        <v>4</v>
      </c>
      <c r="AY1281" t="n">
        <v>37</v>
      </c>
      <c r="AZ1281" t="n">
        <v>1</v>
      </c>
      <c r="BA1281" t="n">
        <v>1</v>
      </c>
      <c r="BB1281" t="n">
        <v>64</v>
      </c>
      <c r="BC1281" t="n">
        <v>42</v>
      </c>
      <c r="BD1281" t="n">
        <v>92</v>
      </c>
      <c r="BE1281" t="n">
        <v>9</v>
      </c>
      <c r="BF1281" t="n">
        <v>12</v>
      </c>
      <c r="BG1281" t="n">
        <v>0</v>
      </c>
      <c r="BH1281" t="n">
        <v>5</v>
      </c>
      <c r="BI1281" t="n">
        <v>1</v>
      </c>
      <c r="BJ1281" t="n">
        <v>1</v>
      </c>
      <c r="BK1281" t="n">
        <v>0</v>
      </c>
      <c r="BL1281" t="n">
        <v>14</v>
      </c>
      <c r="BM1281" t="n">
        <v>13</v>
      </c>
      <c r="BN1281" t="n">
        <v>3</v>
      </c>
      <c r="BO1281" t="n">
        <v>68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2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213</v>
      </c>
      <c r="Z1282" t="n">
        <v>202</v>
      </c>
      <c r="AA1282" t="n">
        <v>126</v>
      </c>
      <c r="AB1282" t="n">
        <v>1</v>
      </c>
      <c r="AC1282" t="n">
        <v>0</v>
      </c>
      <c r="AD1282" t="n">
        <v>4</v>
      </c>
      <c r="AE1282" t="n">
        <v>5</v>
      </c>
      <c r="AF1282" t="n">
        <v>6</v>
      </c>
      <c r="AG1282" t="n">
        <v>6</v>
      </c>
      <c r="AH1282" t="n">
        <v>53</v>
      </c>
      <c r="AI1282" t="n">
        <v>73</v>
      </c>
      <c r="AJ1282" t="n">
        <v>88</v>
      </c>
      <c r="AK1282" t="n">
        <v>48</v>
      </c>
      <c r="AL1282" t="n">
        <v>1</v>
      </c>
      <c r="AM1282" t="n">
        <v>27</v>
      </c>
      <c r="AN1282" t="n">
        <v>0</v>
      </c>
      <c r="AO1282" t="n">
        <v>0</v>
      </c>
      <c r="AP1282" t="n">
        <v>3</v>
      </c>
      <c r="AQ1282" t="n">
        <v>19</v>
      </c>
      <c r="AR1282" t="n">
        <v>120</v>
      </c>
      <c r="AS1282" t="n">
        <v>100</v>
      </c>
      <c r="AT1282" t="n">
        <v>2</v>
      </c>
      <c r="AU1282" t="n">
        <v>1</v>
      </c>
      <c r="AV1282" t="n">
        <v>9</v>
      </c>
      <c r="AW1282" t="n">
        <v>21</v>
      </c>
      <c r="AX1282" t="n">
        <v>2</v>
      </c>
      <c r="AY1282" t="n">
        <v>23</v>
      </c>
      <c r="AZ1282" t="n">
        <v>3</v>
      </c>
      <c r="BA1282" t="n">
        <v>27</v>
      </c>
      <c r="BB1282" t="n">
        <v>144</v>
      </c>
      <c r="BC1282" t="n">
        <v>21</v>
      </c>
      <c r="BD1282" t="n">
        <v>47</v>
      </c>
      <c r="BE1282" t="n">
        <v>20</v>
      </c>
      <c r="BF1282" t="n">
        <v>85</v>
      </c>
      <c r="BG1282" t="n">
        <v>1</v>
      </c>
      <c r="BH1282" t="n">
        <v>0</v>
      </c>
      <c r="BI1282" t="n">
        <v>1</v>
      </c>
      <c r="BJ1282" t="n">
        <v>21</v>
      </c>
      <c r="BK1282" t="n">
        <v>1</v>
      </c>
      <c r="BL1282" t="n">
        <v>1</v>
      </c>
      <c r="BM1282" t="n">
        <v>17</v>
      </c>
      <c r="BN1282" t="n">
        <v>10</v>
      </c>
      <c r="BO1282" t="n">
        <v>11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299</v>
      </c>
      <c r="Z1283" t="n">
        <v>107</v>
      </c>
      <c r="AA1283" t="n">
        <v>77</v>
      </c>
      <c r="AB1283" t="n">
        <v>2</v>
      </c>
      <c r="AC1283" t="n">
        <v>0</v>
      </c>
      <c r="AD1283" t="n">
        <v>8</v>
      </c>
      <c r="AE1283" t="n">
        <v>4</v>
      </c>
      <c r="AF1283" t="n">
        <v>0</v>
      </c>
      <c r="AG1283" t="n">
        <v>8</v>
      </c>
      <c r="AH1283" t="n">
        <v>46</v>
      </c>
      <c r="AI1283" t="n">
        <v>12</v>
      </c>
      <c r="AJ1283" t="n">
        <v>47</v>
      </c>
      <c r="AK1283" t="n">
        <v>69</v>
      </c>
      <c r="AL1283" t="n">
        <v>3</v>
      </c>
      <c r="AM1283" t="n">
        <v>39</v>
      </c>
      <c r="AN1283" t="n">
        <v>0</v>
      </c>
      <c r="AO1283" t="n">
        <v>0</v>
      </c>
      <c r="AP1283" t="n">
        <v>3</v>
      </c>
      <c r="AQ1283" t="n">
        <v>39</v>
      </c>
      <c r="AR1283" t="n">
        <v>100</v>
      </c>
      <c r="AS1283" t="n">
        <v>66</v>
      </c>
      <c r="AT1283" t="n">
        <v>0</v>
      </c>
      <c r="AU1283" t="n">
        <v>2</v>
      </c>
      <c r="AV1283" t="n">
        <v>1</v>
      </c>
      <c r="AW1283" t="n">
        <v>26</v>
      </c>
      <c r="AX1283" t="n">
        <v>3</v>
      </c>
      <c r="AY1283" t="n">
        <v>84</v>
      </c>
      <c r="AZ1283" t="n">
        <v>0</v>
      </c>
      <c r="BA1283" t="n">
        <v>1</v>
      </c>
      <c r="BB1283" t="n">
        <v>75</v>
      </c>
      <c r="BC1283" t="n">
        <v>32</v>
      </c>
      <c r="BD1283" t="n">
        <v>52</v>
      </c>
      <c r="BE1283" t="n">
        <v>28</v>
      </c>
      <c r="BF1283" t="n">
        <v>37</v>
      </c>
      <c r="BG1283" t="n">
        <v>1</v>
      </c>
      <c r="BH1283" t="n">
        <v>10</v>
      </c>
      <c r="BI1283" t="n">
        <v>7</v>
      </c>
      <c r="BJ1283" t="n">
        <v>7</v>
      </c>
      <c r="BK1283" t="n">
        <v>4</v>
      </c>
      <c r="BL1283" t="n">
        <v>15</v>
      </c>
      <c r="BM1283" t="n">
        <v>13</v>
      </c>
      <c r="BN1283" t="n">
        <v>3</v>
      </c>
      <c r="BO1283" t="n">
        <v>40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191</v>
      </c>
      <c r="Z1284" t="n">
        <v>204</v>
      </c>
      <c r="AA1284" t="n">
        <v>75</v>
      </c>
      <c r="AB1284" t="n">
        <v>0</v>
      </c>
      <c r="AC1284" t="n">
        <v>1</v>
      </c>
      <c r="AD1284" t="n">
        <v>6</v>
      </c>
      <c r="AE1284" t="n">
        <v>7</v>
      </c>
      <c r="AF1284" t="n">
        <v>2</v>
      </c>
      <c r="AG1284" t="n">
        <v>3</v>
      </c>
      <c r="AH1284" t="n">
        <v>68</v>
      </c>
      <c r="AI1284" t="n">
        <v>89</v>
      </c>
      <c r="AJ1284" t="n">
        <v>9</v>
      </c>
      <c r="AK1284" t="n">
        <v>15</v>
      </c>
      <c r="AL1284" t="n">
        <v>7</v>
      </c>
      <c r="AM1284" t="n">
        <v>58</v>
      </c>
      <c r="AN1284" t="n">
        <v>0</v>
      </c>
      <c r="AO1284" t="n">
        <v>0</v>
      </c>
      <c r="AP1284" t="n">
        <v>1</v>
      </c>
      <c r="AQ1284" t="n">
        <v>9</v>
      </c>
      <c r="AR1284" t="n">
        <v>75</v>
      </c>
      <c r="AS1284" t="n">
        <v>66</v>
      </c>
      <c r="AT1284" t="n">
        <v>0</v>
      </c>
      <c r="AU1284" t="n">
        <v>0</v>
      </c>
      <c r="AV1284" t="n">
        <v>1</v>
      </c>
      <c r="AW1284" t="n">
        <v>9</v>
      </c>
      <c r="AX1284" t="n">
        <v>2</v>
      </c>
      <c r="AY1284" t="n">
        <v>22</v>
      </c>
      <c r="AZ1284" t="n">
        <v>2</v>
      </c>
      <c r="BA1284" t="n">
        <v>17</v>
      </c>
      <c r="BB1284" t="n">
        <v>89</v>
      </c>
      <c r="BC1284" t="n">
        <v>62</v>
      </c>
      <c r="BD1284" t="n">
        <v>63</v>
      </c>
      <c r="BE1284" t="n">
        <v>9</v>
      </c>
      <c r="BF1284" t="n">
        <v>2</v>
      </c>
      <c r="BG1284" t="n">
        <v>3</v>
      </c>
      <c r="BH1284" t="n">
        <v>14</v>
      </c>
      <c r="BI1284" t="n">
        <v>28</v>
      </c>
      <c r="BJ1284" t="n">
        <v>28</v>
      </c>
      <c r="BK1284" t="n">
        <v>1</v>
      </c>
      <c r="BL1284" t="n">
        <v>35</v>
      </c>
      <c r="BM1284" t="n">
        <v>22</v>
      </c>
      <c r="BN1284" t="n">
        <v>0</v>
      </c>
      <c r="BO1284" t="n">
        <v>30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318</v>
      </c>
      <c r="Z1285" t="n">
        <v>260</v>
      </c>
      <c r="AA1285" t="n">
        <v>101</v>
      </c>
      <c r="AB1285" t="n">
        <v>1</v>
      </c>
      <c r="AC1285" t="n">
        <v>1</v>
      </c>
      <c r="AD1285" t="n">
        <v>6</v>
      </c>
      <c r="AE1285" t="n">
        <v>3</v>
      </c>
      <c r="AF1285" t="n">
        <v>4</v>
      </c>
      <c r="AG1285" t="n">
        <v>1</v>
      </c>
      <c r="AH1285" t="n">
        <v>119</v>
      </c>
      <c r="AI1285" t="n">
        <v>9</v>
      </c>
      <c r="AJ1285" t="n">
        <v>89</v>
      </c>
      <c r="AK1285" t="n">
        <v>1</v>
      </c>
      <c r="AL1285" t="n">
        <v>7</v>
      </c>
      <c r="AM1285" t="n">
        <v>53</v>
      </c>
      <c r="AN1285" t="n">
        <v>0</v>
      </c>
      <c r="AO1285" t="n">
        <v>0</v>
      </c>
      <c r="AP1285" t="n">
        <v>0</v>
      </c>
      <c r="AQ1285" t="n">
        <v>1</v>
      </c>
      <c r="AR1285" t="n">
        <v>145</v>
      </c>
      <c r="AS1285" t="n">
        <v>135</v>
      </c>
      <c r="AT1285" t="n">
        <v>1</v>
      </c>
      <c r="AU1285" t="n">
        <v>0</v>
      </c>
      <c r="AV1285" t="n">
        <v>17</v>
      </c>
      <c r="AW1285" t="n">
        <v>5</v>
      </c>
      <c r="AX1285" t="n">
        <v>10</v>
      </c>
      <c r="AY1285" t="n">
        <v>36</v>
      </c>
      <c r="AZ1285" t="n">
        <v>2</v>
      </c>
      <c r="BA1285" t="n">
        <v>30</v>
      </c>
      <c r="BB1285" t="n">
        <v>126</v>
      </c>
      <c r="BC1285" t="n">
        <v>49</v>
      </c>
      <c r="BD1285" t="n">
        <v>117</v>
      </c>
      <c r="BE1285" t="n">
        <v>6</v>
      </c>
      <c r="BF1285" t="n">
        <v>72</v>
      </c>
      <c r="BG1285" t="n">
        <v>3</v>
      </c>
      <c r="BH1285" t="n">
        <v>12</v>
      </c>
      <c r="BI1285" t="n">
        <v>23</v>
      </c>
      <c r="BJ1285" t="n">
        <v>25</v>
      </c>
      <c r="BK1285" t="n">
        <v>0</v>
      </c>
      <c r="BL1285" t="n">
        <v>5</v>
      </c>
      <c r="BM1285" t="n">
        <v>9</v>
      </c>
      <c r="BN1285" t="n">
        <v>5</v>
      </c>
      <c r="BO1285" t="n">
        <v>2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285</v>
      </c>
      <c r="Z1286" t="n">
        <v>197</v>
      </c>
      <c r="AA1286" t="n">
        <v>58</v>
      </c>
      <c r="AB1286" t="n">
        <v>1</v>
      </c>
      <c r="AC1286" t="n">
        <v>0</v>
      </c>
      <c r="AD1286" t="n">
        <v>5</v>
      </c>
      <c r="AE1286" t="n">
        <v>9</v>
      </c>
      <c r="AF1286" t="n">
        <v>3</v>
      </c>
      <c r="AG1286" t="n">
        <v>14</v>
      </c>
      <c r="AH1286" t="n">
        <v>44</v>
      </c>
      <c r="AI1286" t="n">
        <v>75</v>
      </c>
      <c r="AJ1286" t="n">
        <v>24</v>
      </c>
      <c r="AK1286" t="n">
        <v>173</v>
      </c>
      <c r="AL1286" t="n">
        <v>4</v>
      </c>
      <c r="AM1286" t="n">
        <v>59</v>
      </c>
      <c r="AN1286" t="n">
        <v>0</v>
      </c>
      <c r="AO1286" t="n">
        <v>0</v>
      </c>
      <c r="AP1286" t="n">
        <v>5</v>
      </c>
      <c r="AQ1286" t="n">
        <v>30</v>
      </c>
      <c r="AR1286" t="n">
        <v>151</v>
      </c>
      <c r="AS1286" t="n">
        <v>123</v>
      </c>
      <c r="AT1286" t="n">
        <v>0</v>
      </c>
      <c r="AU1286" t="n">
        <v>2</v>
      </c>
      <c r="AV1286" t="n">
        <v>21</v>
      </c>
      <c r="AW1286" t="n">
        <v>7</v>
      </c>
      <c r="AX1286" t="n">
        <v>2</v>
      </c>
      <c r="AY1286" t="n">
        <v>24</v>
      </c>
      <c r="AZ1286" t="n">
        <v>3</v>
      </c>
      <c r="BA1286" t="n">
        <v>29</v>
      </c>
      <c r="BB1286" t="n">
        <v>84</v>
      </c>
      <c r="BC1286" t="n">
        <v>55</v>
      </c>
      <c r="BD1286" t="n">
        <v>39</v>
      </c>
      <c r="BE1286" t="n">
        <v>8</v>
      </c>
      <c r="BF1286" t="n">
        <v>22</v>
      </c>
      <c r="BG1286" t="n">
        <v>1</v>
      </c>
      <c r="BH1286" t="n">
        <v>13</v>
      </c>
      <c r="BI1286" t="n">
        <v>37</v>
      </c>
      <c r="BJ1286" t="n">
        <v>42</v>
      </c>
      <c r="BK1286" t="n">
        <v>2</v>
      </c>
      <c r="BL1286" t="n">
        <v>11</v>
      </c>
      <c r="BM1286" t="n">
        <v>15</v>
      </c>
      <c r="BN1286" t="n">
        <v>5</v>
      </c>
      <c r="BO1286" t="n">
        <v>7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75</v>
      </c>
      <c r="Z1287" t="n">
        <v>95</v>
      </c>
      <c r="AA1287" t="n">
        <v>52</v>
      </c>
      <c r="AB1287" t="n">
        <v>0</v>
      </c>
      <c r="AC1287" t="n">
        <v>1</v>
      </c>
      <c r="AD1287" t="n">
        <v>5</v>
      </c>
      <c r="AE1287" t="n">
        <v>7</v>
      </c>
      <c r="AF1287" t="n">
        <v>3</v>
      </c>
      <c r="AG1287" t="n">
        <v>0</v>
      </c>
      <c r="AH1287" t="n">
        <v>15</v>
      </c>
      <c r="AI1287" t="n">
        <v>53</v>
      </c>
      <c r="AJ1287" t="n">
        <v>14</v>
      </c>
      <c r="AK1287" t="n">
        <v>1</v>
      </c>
      <c r="AL1287" t="n">
        <v>0</v>
      </c>
      <c r="AM1287" t="n">
        <v>2</v>
      </c>
      <c r="AN1287" t="n">
        <v>0</v>
      </c>
      <c r="AO1287" t="n">
        <v>0</v>
      </c>
      <c r="AP1287" t="n">
        <v>6</v>
      </c>
      <c r="AQ1287" t="n">
        <v>18</v>
      </c>
      <c r="AR1287" t="n">
        <v>58</v>
      </c>
      <c r="AS1287" t="n">
        <v>43</v>
      </c>
      <c r="AT1287" t="n">
        <v>3</v>
      </c>
      <c r="AU1287" t="n">
        <v>3</v>
      </c>
      <c r="AV1287" t="n">
        <v>19</v>
      </c>
      <c r="AW1287" t="n">
        <v>22</v>
      </c>
      <c r="AX1287" t="n">
        <v>0</v>
      </c>
      <c r="AY1287" t="n">
        <v>1</v>
      </c>
      <c r="AZ1287" t="n">
        <v>3</v>
      </c>
      <c r="BA1287" t="n">
        <v>8</v>
      </c>
      <c r="BB1287" t="n">
        <v>56</v>
      </c>
      <c r="BC1287" t="n">
        <v>5</v>
      </c>
      <c r="BD1287" t="n">
        <v>15</v>
      </c>
      <c r="BE1287" t="n">
        <v>22</v>
      </c>
      <c r="BF1287" t="n">
        <v>44</v>
      </c>
      <c r="BG1287" t="n">
        <v>4</v>
      </c>
      <c r="BH1287" t="n">
        <v>4</v>
      </c>
      <c r="BI1287" t="n">
        <v>9</v>
      </c>
      <c r="BJ1287" t="n">
        <v>7</v>
      </c>
      <c r="BK1287" t="n">
        <v>2</v>
      </c>
      <c r="BL1287" t="n">
        <v>1</v>
      </c>
      <c r="BM1287" t="n">
        <v>41</v>
      </c>
      <c r="BN1287" t="n">
        <v>25</v>
      </c>
      <c r="BO1287" t="n">
        <v>2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5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2</v>
      </c>
      <c r="U1288" t="n">
        <v>0</v>
      </c>
      <c r="V1288" t="n">
        <v>0</v>
      </c>
      <c r="W1288" t="n">
        <v>0</v>
      </c>
      <c r="X1288" t="n">
        <v>0</v>
      </c>
      <c r="Y1288" t="n">
        <v>249</v>
      </c>
      <c r="Z1288" t="n">
        <v>329</v>
      </c>
      <c r="AA1288" t="n">
        <v>96</v>
      </c>
      <c r="AB1288" t="n">
        <v>3</v>
      </c>
      <c r="AC1288" t="n">
        <v>0</v>
      </c>
      <c r="AD1288" t="n">
        <v>1</v>
      </c>
      <c r="AE1288" t="n">
        <v>18</v>
      </c>
      <c r="AF1288" t="n">
        <v>0</v>
      </c>
      <c r="AG1288" t="n">
        <v>5</v>
      </c>
      <c r="AH1288" t="n">
        <v>34</v>
      </c>
      <c r="AI1288" t="n">
        <v>154</v>
      </c>
      <c r="AJ1288" t="n">
        <v>2</v>
      </c>
      <c r="AK1288" t="n">
        <v>45</v>
      </c>
      <c r="AL1288" t="n">
        <v>6</v>
      </c>
      <c r="AM1288" t="n">
        <v>147</v>
      </c>
      <c r="AN1288" t="n">
        <v>0</v>
      </c>
      <c r="AO1288" t="n">
        <v>0</v>
      </c>
      <c r="AP1288" t="n">
        <v>3</v>
      </c>
      <c r="AQ1288" t="n">
        <v>48</v>
      </c>
      <c r="AR1288" t="n">
        <v>236</v>
      </c>
      <c r="AS1288" t="n">
        <v>196</v>
      </c>
      <c r="AT1288" t="n">
        <v>7</v>
      </c>
      <c r="AU1288" t="n">
        <v>2</v>
      </c>
      <c r="AV1288" t="n">
        <v>69</v>
      </c>
      <c r="AW1288" t="n">
        <v>28</v>
      </c>
      <c r="AX1288" t="n">
        <v>4</v>
      </c>
      <c r="AY1288" t="n">
        <v>1</v>
      </c>
      <c r="AZ1288" t="n">
        <v>0</v>
      </c>
      <c r="BA1288" t="n">
        <v>1</v>
      </c>
      <c r="BB1288" t="n">
        <v>94</v>
      </c>
      <c r="BC1288" t="n">
        <v>132</v>
      </c>
      <c r="BD1288" t="n">
        <v>47</v>
      </c>
      <c r="BE1288" t="n">
        <v>28</v>
      </c>
      <c r="BF1288" t="n">
        <v>2</v>
      </c>
      <c r="BG1288" t="n">
        <v>3</v>
      </c>
      <c r="BH1288" t="n">
        <v>4</v>
      </c>
      <c r="BI1288" t="n">
        <v>45</v>
      </c>
      <c r="BJ1288" t="n">
        <v>57</v>
      </c>
      <c r="BK1288" t="n">
        <v>0</v>
      </c>
      <c r="BL1288" t="n">
        <v>3</v>
      </c>
      <c r="BM1288" t="n">
        <v>39</v>
      </c>
      <c r="BN1288" t="n">
        <v>24</v>
      </c>
      <c r="BO1288" t="n">
        <v>23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2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231</v>
      </c>
      <c r="Z1289" t="n">
        <v>67</v>
      </c>
      <c r="AA1289" t="n">
        <v>58</v>
      </c>
      <c r="AB1289" t="n">
        <v>3</v>
      </c>
      <c r="AC1289" t="n">
        <v>2</v>
      </c>
      <c r="AD1289" t="n">
        <v>6</v>
      </c>
      <c r="AE1289" t="n">
        <v>4</v>
      </c>
      <c r="AF1289" t="n">
        <v>5</v>
      </c>
      <c r="AG1289" t="n">
        <v>0</v>
      </c>
      <c r="AH1289" t="n">
        <v>88</v>
      </c>
      <c r="AI1289" t="n">
        <v>40</v>
      </c>
      <c r="AJ1289" t="n">
        <v>67</v>
      </c>
      <c r="AK1289" t="n">
        <v>15</v>
      </c>
      <c r="AL1289" t="n">
        <v>4</v>
      </c>
      <c r="AM1289" t="n">
        <v>29</v>
      </c>
      <c r="AN1289" t="n">
        <v>0</v>
      </c>
      <c r="AO1289" t="n">
        <v>0</v>
      </c>
      <c r="AP1289" t="n">
        <v>0</v>
      </c>
      <c r="AQ1289" t="n">
        <v>1</v>
      </c>
      <c r="AR1289" t="n">
        <v>213</v>
      </c>
      <c r="AS1289" t="n">
        <v>207</v>
      </c>
      <c r="AT1289" t="n">
        <v>3</v>
      </c>
      <c r="AU1289" t="n">
        <v>1</v>
      </c>
      <c r="AV1289" t="n">
        <v>20</v>
      </c>
      <c r="AW1289" t="n">
        <v>4</v>
      </c>
      <c r="AX1289" t="n">
        <v>0</v>
      </c>
      <c r="AY1289" t="n">
        <v>13</v>
      </c>
      <c r="AZ1289" t="n">
        <v>0</v>
      </c>
      <c r="BA1289" t="n">
        <v>11</v>
      </c>
      <c r="BB1289" t="n">
        <v>66</v>
      </c>
      <c r="BC1289" t="n">
        <v>24</v>
      </c>
      <c r="BD1289" t="n">
        <v>80</v>
      </c>
      <c r="BE1289" t="n">
        <v>17</v>
      </c>
      <c r="BF1289" t="n">
        <v>91</v>
      </c>
      <c r="BG1289" t="n">
        <v>0</v>
      </c>
      <c r="BH1289" t="n">
        <v>0</v>
      </c>
      <c r="BI1289" t="n">
        <v>1</v>
      </c>
      <c r="BJ1289" t="n">
        <v>3</v>
      </c>
      <c r="BK1289" t="n">
        <v>3</v>
      </c>
      <c r="BL1289" t="n">
        <v>1</v>
      </c>
      <c r="BM1289" t="n">
        <v>6</v>
      </c>
      <c r="BN1289" t="n">
        <v>3</v>
      </c>
      <c r="BO1289" t="n">
        <v>2</v>
      </c>
    </row>
    <row r="1290">
      <c r="A1290" t="n">
        <v>0</v>
      </c>
      <c r="B1290" t="n">
        <v>0</v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167</v>
      </c>
      <c r="Z1290" t="n">
        <v>133</v>
      </c>
      <c r="AA1290" t="n">
        <v>99</v>
      </c>
      <c r="AB1290" t="n">
        <v>1</v>
      </c>
      <c r="AC1290" t="n">
        <v>3</v>
      </c>
      <c r="AD1290" t="n">
        <v>4</v>
      </c>
      <c r="AE1290" t="n">
        <v>0</v>
      </c>
      <c r="AF1290" t="n">
        <v>3</v>
      </c>
      <c r="AG1290" t="n">
        <v>2</v>
      </c>
      <c r="AH1290" t="n">
        <v>14</v>
      </c>
      <c r="AI1290" t="n">
        <v>2</v>
      </c>
      <c r="AJ1290" t="n">
        <v>2</v>
      </c>
      <c r="AK1290" t="n">
        <v>50</v>
      </c>
      <c r="AL1290" t="n">
        <v>4</v>
      </c>
      <c r="AM1290" t="n">
        <v>10</v>
      </c>
      <c r="AN1290" t="n">
        <v>0</v>
      </c>
      <c r="AO1290" t="n">
        <v>0</v>
      </c>
      <c r="AP1290" t="n">
        <v>3</v>
      </c>
      <c r="AQ1290" t="n">
        <v>1</v>
      </c>
      <c r="AR1290" t="n">
        <v>82</v>
      </c>
      <c r="AS1290" t="n">
        <v>76</v>
      </c>
      <c r="AT1290" t="n">
        <v>3</v>
      </c>
      <c r="AU1290" t="n">
        <v>2</v>
      </c>
      <c r="AV1290" t="n">
        <v>29</v>
      </c>
      <c r="AW1290" t="n">
        <v>13</v>
      </c>
      <c r="AX1290" t="n">
        <v>1</v>
      </c>
      <c r="AY1290" t="n">
        <v>20</v>
      </c>
      <c r="AZ1290" t="n">
        <v>4</v>
      </c>
      <c r="BA1290" t="n">
        <v>24</v>
      </c>
      <c r="BB1290" t="n">
        <v>119</v>
      </c>
      <c r="BC1290" t="n">
        <v>6</v>
      </c>
      <c r="BD1290" t="n">
        <v>15</v>
      </c>
      <c r="BE1290" t="n">
        <v>13</v>
      </c>
      <c r="BF1290" t="n">
        <v>11</v>
      </c>
      <c r="BG1290" t="n">
        <v>5</v>
      </c>
      <c r="BH1290" t="n">
        <v>25</v>
      </c>
      <c r="BI1290" t="n">
        <v>8</v>
      </c>
      <c r="BJ1290" t="n">
        <v>9</v>
      </c>
      <c r="BK1290" t="n">
        <v>5</v>
      </c>
      <c r="BL1290" t="n">
        <v>28</v>
      </c>
      <c r="BM1290" t="n">
        <v>21</v>
      </c>
      <c r="BN1290" t="n">
        <v>3</v>
      </c>
      <c r="BO1290" t="n">
        <v>2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229</v>
      </c>
      <c r="Z1291" t="n">
        <v>89</v>
      </c>
      <c r="AA1291" t="n">
        <v>34</v>
      </c>
      <c r="AB1291" t="n">
        <v>0</v>
      </c>
      <c r="AC1291" t="n">
        <v>1</v>
      </c>
      <c r="AD1291" t="n">
        <v>4</v>
      </c>
      <c r="AE1291" t="n">
        <v>3</v>
      </c>
      <c r="AF1291" t="n">
        <v>1</v>
      </c>
      <c r="AG1291" t="n">
        <v>3</v>
      </c>
      <c r="AH1291" t="n">
        <v>49</v>
      </c>
      <c r="AI1291" t="n">
        <v>2</v>
      </c>
      <c r="AJ1291" t="n">
        <v>23</v>
      </c>
      <c r="AK1291" t="n">
        <v>22</v>
      </c>
      <c r="AL1291" t="n">
        <v>0</v>
      </c>
      <c r="AM1291" t="n">
        <v>5</v>
      </c>
      <c r="AN1291" t="n">
        <v>0</v>
      </c>
      <c r="AO1291" t="n">
        <v>0</v>
      </c>
      <c r="AP1291" t="n">
        <v>6</v>
      </c>
      <c r="AQ1291" t="n">
        <v>41</v>
      </c>
      <c r="AR1291" t="n">
        <v>49</v>
      </c>
      <c r="AS1291" t="n">
        <v>15</v>
      </c>
      <c r="AT1291" t="n">
        <v>4</v>
      </c>
      <c r="AU1291" t="n">
        <v>0</v>
      </c>
      <c r="AV1291" t="n">
        <v>28</v>
      </c>
      <c r="AW1291" t="n">
        <v>1</v>
      </c>
      <c r="AX1291" t="n">
        <v>5</v>
      </c>
      <c r="AY1291" t="n">
        <v>45</v>
      </c>
      <c r="AZ1291" t="n">
        <v>2</v>
      </c>
      <c r="BA1291" t="n">
        <v>1</v>
      </c>
      <c r="BB1291" t="n">
        <v>34</v>
      </c>
      <c r="BC1291" t="n">
        <v>31</v>
      </c>
      <c r="BD1291" t="n">
        <v>45</v>
      </c>
      <c r="BE1291" t="n">
        <v>4</v>
      </c>
      <c r="BF1291" t="n">
        <v>20</v>
      </c>
      <c r="BG1291" t="n">
        <v>4</v>
      </c>
      <c r="BH1291" t="n">
        <v>3</v>
      </c>
      <c r="BI1291" t="n">
        <v>57</v>
      </c>
      <c r="BJ1291" t="n">
        <v>61</v>
      </c>
      <c r="BK1291" t="n">
        <v>0</v>
      </c>
      <c r="BL1291" t="n">
        <v>7</v>
      </c>
      <c r="BM1291" t="n">
        <v>4</v>
      </c>
      <c r="BN1291" t="n">
        <v>0</v>
      </c>
      <c r="BO1291" t="n">
        <v>2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142</v>
      </c>
      <c r="Z1292" t="n">
        <v>257</v>
      </c>
      <c r="AA1292" t="n">
        <v>91</v>
      </c>
      <c r="AB1292" t="n">
        <v>0</v>
      </c>
      <c r="AC1292" t="n">
        <v>3</v>
      </c>
      <c r="AD1292" t="n">
        <v>5</v>
      </c>
      <c r="AE1292" t="n">
        <v>4</v>
      </c>
      <c r="AF1292" t="n">
        <v>1</v>
      </c>
      <c r="AG1292" t="n">
        <v>0</v>
      </c>
      <c r="AH1292" t="n">
        <v>36</v>
      </c>
      <c r="AI1292" t="n">
        <v>55</v>
      </c>
      <c r="AJ1292" t="n">
        <v>18</v>
      </c>
      <c r="AK1292" t="n">
        <v>1</v>
      </c>
      <c r="AL1292" t="n">
        <v>1</v>
      </c>
      <c r="AM1292" t="n">
        <v>32</v>
      </c>
      <c r="AN1292" t="n">
        <v>0</v>
      </c>
      <c r="AO1292" t="n">
        <v>0</v>
      </c>
      <c r="AP1292" t="n">
        <v>3</v>
      </c>
      <c r="AQ1292" t="n">
        <v>47</v>
      </c>
      <c r="AR1292" t="n">
        <v>139</v>
      </c>
      <c r="AS1292" t="n">
        <v>100</v>
      </c>
      <c r="AT1292" t="n">
        <v>3</v>
      </c>
      <c r="AU1292" t="n">
        <v>2</v>
      </c>
      <c r="AV1292" t="n">
        <v>22</v>
      </c>
      <c r="AW1292" t="n">
        <v>32</v>
      </c>
      <c r="AX1292" t="n">
        <v>2</v>
      </c>
      <c r="AY1292" t="n">
        <v>48</v>
      </c>
      <c r="AZ1292" t="n">
        <v>1</v>
      </c>
      <c r="BA1292" t="n">
        <v>15</v>
      </c>
      <c r="BB1292" t="n">
        <v>101</v>
      </c>
      <c r="BC1292" t="n">
        <v>41</v>
      </c>
      <c r="BD1292" t="n">
        <v>32</v>
      </c>
      <c r="BE1292" t="n">
        <v>46</v>
      </c>
      <c r="BF1292" t="n">
        <v>16</v>
      </c>
      <c r="BG1292" t="n">
        <v>1</v>
      </c>
      <c r="BH1292" t="n">
        <v>2</v>
      </c>
      <c r="BI1292" t="n">
        <v>26</v>
      </c>
      <c r="BJ1292" t="n">
        <v>23</v>
      </c>
      <c r="BK1292" t="n">
        <v>7</v>
      </c>
      <c r="BL1292" t="n">
        <v>84</v>
      </c>
      <c r="BM1292" t="n">
        <v>60</v>
      </c>
      <c r="BN1292" t="n">
        <v>4</v>
      </c>
      <c r="BO1292" t="n">
        <v>2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219</v>
      </c>
      <c r="Z1293" t="n">
        <v>150</v>
      </c>
      <c r="AA1293" t="n">
        <v>150</v>
      </c>
      <c r="AB1293" t="n">
        <v>1</v>
      </c>
      <c r="AC1293" t="n">
        <v>0</v>
      </c>
      <c r="AD1293" t="n">
        <v>4</v>
      </c>
      <c r="AE1293" t="n">
        <v>1</v>
      </c>
      <c r="AF1293" t="n">
        <v>2</v>
      </c>
      <c r="AG1293" t="n">
        <v>0</v>
      </c>
      <c r="AH1293" t="n">
        <v>55</v>
      </c>
      <c r="AI1293" t="n">
        <v>15</v>
      </c>
      <c r="AJ1293" t="n">
        <v>47</v>
      </c>
      <c r="AK1293" t="n">
        <v>1</v>
      </c>
      <c r="AL1293" t="n">
        <v>1</v>
      </c>
      <c r="AM1293" t="n">
        <v>2</v>
      </c>
      <c r="AN1293" t="n">
        <v>0</v>
      </c>
      <c r="AO1293" t="n">
        <v>0</v>
      </c>
      <c r="AP1293" t="n">
        <v>6</v>
      </c>
      <c r="AQ1293" t="n">
        <v>91</v>
      </c>
      <c r="AR1293" t="n">
        <v>204</v>
      </c>
      <c r="AS1293" t="n">
        <v>125</v>
      </c>
      <c r="AT1293" t="n">
        <v>1</v>
      </c>
      <c r="AU1293" t="n">
        <v>2</v>
      </c>
      <c r="AV1293" t="n">
        <v>1</v>
      </c>
      <c r="AW1293" t="n">
        <v>26</v>
      </c>
      <c r="AX1293" t="n">
        <v>-1</v>
      </c>
      <c r="AY1293" t="n">
        <v>31</v>
      </c>
      <c r="AZ1293" t="n">
        <v>7</v>
      </c>
      <c r="BA1293" t="n">
        <v>54</v>
      </c>
      <c r="BB1293" t="n">
        <v>194</v>
      </c>
      <c r="BC1293" t="n">
        <v>9</v>
      </c>
      <c r="BD1293" t="n">
        <v>51</v>
      </c>
      <c r="BE1293" t="n">
        <v>25</v>
      </c>
      <c r="BF1293" t="n">
        <v>52</v>
      </c>
      <c r="BG1293" t="n">
        <v>1</v>
      </c>
      <c r="BH1293" t="n">
        <v>3</v>
      </c>
      <c r="BI1293" t="n">
        <v>34</v>
      </c>
      <c r="BJ1293" t="n">
        <v>36</v>
      </c>
      <c r="BK1293" t="n">
        <v>1</v>
      </c>
      <c r="BL1293" t="n">
        <v>1</v>
      </c>
      <c r="BM1293" t="n">
        <v>10</v>
      </c>
      <c r="BN1293" t="n">
        <v>5</v>
      </c>
      <c r="BO1293" t="n">
        <v>9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173</v>
      </c>
      <c r="Z1294" t="n">
        <v>234</v>
      </c>
      <c r="AA1294" t="n">
        <v>16</v>
      </c>
      <c r="AB1294" t="n">
        <v>2</v>
      </c>
      <c r="AC1294" t="n">
        <v>0</v>
      </c>
      <c r="AD1294" t="n">
        <v>5</v>
      </c>
      <c r="AE1294" t="n">
        <v>3</v>
      </c>
      <c r="AF1294" t="n">
        <v>2</v>
      </c>
      <c r="AG1294" t="n">
        <v>0</v>
      </c>
      <c r="AH1294" t="n">
        <v>49</v>
      </c>
      <c r="AI1294" t="n">
        <v>43</v>
      </c>
      <c r="AJ1294" t="n">
        <v>36</v>
      </c>
      <c r="AK1294" t="n">
        <v>1</v>
      </c>
      <c r="AL1294" t="n">
        <v>1</v>
      </c>
      <c r="AM1294" t="n">
        <v>24</v>
      </c>
      <c r="AN1294" t="n">
        <v>0</v>
      </c>
      <c r="AO1294" t="n">
        <v>0</v>
      </c>
      <c r="AP1294" t="n">
        <v>3</v>
      </c>
      <c r="AQ1294" t="n">
        <v>23</v>
      </c>
      <c r="AR1294" t="n">
        <v>97</v>
      </c>
      <c r="AS1294" t="n">
        <v>78</v>
      </c>
      <c r="AT1294" t="n">
        <v>4</v>
      </c>
      <c r="AU1294" t="n">
        <v>2</v>
      </c>
      <c r="AV1294" t="n">
        <v>34</v>
      </c>
      <c r="AW1294" t="n">
        <v>35</v>
      </c>
      <c r="AX1294" t="n">
        <v>10</v>
      </c>
      <c r="AY1294" t="n">
        <v>70</v>
      </c>
      <c r="AZ1294" t="n">
        <v>6</v>
      </c>
      <c r="BA1294" t="n">
        <v>37</v>
      </c>
      <c r="BB1294" t="n">
        <v>57</v>
      </c>
      <c r="BC1294" t="n">
        <v>23</v>
      </c>
      <c r="BD1294" t="n">
        <v>44</v>
      </c>
      <c r="BE1294" t="n">
        <v>35</v>
      </c>
      <c r="BF1294" t="n">
        <v>29</v>
      </c>
      <c r="BG1294" t="n">
        <v>1</v>
      </c>
      <c r="BH1294" t="n">
        <v>1</v>
      </c>
      <c r="BI1294" t="n">
        <v>7</v>
      </c>
      <c r="BJ1294" t="n">
        <v>8</v>
      </c>
      <c r="BK1294" t="n">
        <v>5</v>
      </c>
      <c r="BL1294" t="n">
        <v>39</v>
      </c>
      <c r="BM1294" t="n">
        <v>27</v>
      </c>
      <c r="BN1294" t="n">
        <v>1</v>
      </c>
      <c r="BO1294" t="n">
        <v>2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136</v>
      </c>
      <c r="Z1295" t="n">
        <v>229</v>
      </c>
      <c r="AA1295" t="n">
        <v>93</v>
      </c>
      <c r="AB1295" t="n">
        <v>1</v>
      </c>
      <c r="AC1295" t="n">
        <v>1</v>
      </c>
      <c r="AD1295" t="n">
        <v>4</v>
      </c>
      <c r="AE1295" t="n">
        <v>9</v>
      </c>
      <c r="AF1295" t="n">
        <v>2</v>
      </c>
      <c r="AG1295" t="n">
        <v>4</v>
      </c>
      <c r="AH1295" t="n">
        <v>19</v>
      </c>
      <c r="AI1295" t="n">
        <v>69</v>
      </c>
      <c r="AJ1295" t="n">
        <v>12</v>
      </c>
      <c r="AK1295" t="n">
        <v>39</v>
      </c>
      <c r="AL1295" t="n">
        <v>5</v>
      </c>
      <c r="AM1295" t="n">
        <v>55</v>
      </c>
      <c r="AN1295" t="n">
        <v>0</v>
      </c>
      <c r="AO1295" t="n">
        <v>0</v>
      </c>
      <c r="AP1295" t="n">
        <v>3</v>
      </c>
      <c r="AQ1295" t="n">
        <v>26</v>
      </c>
      <c r="AR1295" t="n">
        <v>169</v>
      </c>
      <c r="AS1295" t="n">
        <v>140</v>
      </c>
      <c r="AT1295" t="n">
        <v>4</v>
      </c>
      <c r="AU1295" t="n">
        <v>2</v>
      </c>
      <c r="AV1295" t="n">
        <v>23</v>
      </c>
      <c r="AW1295" t="n">
        <v>19</v>
      </c>
      <c r="AX1295" t="n">
        <v>0</v>
      </c>
      <c r="AY1295" t="n">
        <v>5</v>
      </c>
      <c r="AZ1295" t="n">
        <v>2</v>
      </c>
      <c r="BA1295" t="n">
        <v>-3</v>
      </c>
      <c r="BB1295" t="n">
        <v>88</v>
      </c>
      <c r="BC1295" t="n">
        <v>58</v>
      </c>
      <c r="BD1295" t="n">
        <v>19</v>
      </c>
      <c r="BE1295" t="n">
        <v>25</v>
      </c>
      <c r="BF1295" t="n">
        <v>17</v>
      </c>
      <c r="BG1295" t="n">
        <v>2</v>
      </c>
      <c r="BH1295" t="n">
        <v>8</v>
      </c>
      <c r="BI1295" t="n">
        <v>1</v>
      </c>
      <c r="BJ1295" t="n">
        <v>6</v>
      </c>
      <c r="BK1295" t="n">
        <v>2</v>
      </c>
      <c r="BL1295" t="n">
        <v>44</v>
      </c>
      <c r="BM1295" t="n">
        <v>48</v>
      </c>
      <c r="BN1295" t="n">
        <v>13</v>
      </c>
      <c r="BO1295" t="n">
        <v>2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2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2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176</v>
      </c>
      <c r="Z1296" t="n">
        <v>223</v>
      </c>
      <c r="AA1296" t="n">
        <v>36</v>
      </c>
      <c r="AB1296" t="n">
        <v>2</v>
      </c>
      <c r="AC1296" t="n">
        <v>1</v>
      </c>
      <c r="AD1296" t="n">
        <v>6</v>
      </c>
      <c r="AE1296" t="n">
        <v>5</v>
      </c>
      <c r="AF1296" t="n">
        <v>7</v>
      </c>
      <c r="AG1296" t="n">
        <v>3</v>
      </c>
      <c r="AH1296" t="n">
        <v>57</v>
      </c>
      <c r="AI1296" t="n">
        <v>66</v>
      </c>
      <c r="AJ1296" t="n">
        <v>62</v>
      </c>
      <c r="AK1296" t="n">
        <v>38</v>
      </c>
      <c r="AL1296" t="n">
        <v>3</v>
      </c>
      <c r="AM1296" t="n">
        <v>37</v>
      </c>
      <c r="AN1296" t="n">
        <v>0</v>
      </c>
      <c r="AO1296" t="n">
        <v>0</v>
      </c>
      <c r="AP1296" t="n">
        <v>1</v>
      </c>
      <c r="AQ1296" t="n">
        <v>12</v>
      </c>
      <c r="AR1296" t="n">
        <v>181</v>
      </c>
      <c r="AS1296" t="n">
        <v>164</v>
      </c>
      <c r="AT1296" t="n">
        <v>0</v>
      </c>
      <c r="AU1296" t="n">
        <v>1</v>
      </c>
      <c r="AV1296" t="n">
        <v>1</v>
      </c>
      <c r="AW1296" t="n">
        <v>9</v>
      </c>
      <c r="AX1296" t="n">
        <v>0</v>
      </c>
      <c r="AY1296" t="n">
        <v>32</v>
      </c>
      <c r="AZ1296" t="n">
        <v>7</v>
      </c>
      <c r="BA1296" t="n">
        <v>36</v>
      </c>
      <c r="BB1296" t="n">
        <v>73</v>
      </c>
      <c r="BC1296" t="n">
        <v>60</v>
      </c>
      <c r="BD1296" t="n">
        <v>52</v>
      </c>
      <c r="BE1296" t="n">
        <v>9</v>
      </c>
      <c r="BF1296" t="n">
        <v>51</v>
      </c>
      <c r="BG1296" t="n">
        <v>1</v>
      </c>
      <c r="BH1296" t="n">
        <v>3</v>
      </c>
      <c r="BI1296" t="n">
        <v>1</v>
      </c>
      <c r="BJ1296" t="n">
        <v>-1</v>
      </c>
      <c r="BK1296" t="n">
        <v>6</v>
      </c>
      <c r="BL1296" t="n">
        <v>45</v>
      </c>
      <c r="BM1296" t="n">
        <v>60</v>
      </c>
      <c r="BN1296" t="n">
        <v>21</v>
      </c>
      <c r="BO1296" t="n">
        <v>2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2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183</v>
      </c>
      <c r="Z1297" t="n">
        <v>317</v>
      </c>
      <c r="AA1297" t="n">
        <v>39</v>
      </c>
      <c r="AB1297" t="n">
        <v>0</v>
      </c>
      <c r="AC1297" t="n">
        <v>0</v>
      </c>
      <c r="AD1297" t="n">
        <v>3</v>
      </c>
      <c r="AE1297" t="n">
        <v>10</v>
      </c>
      <c r="AF1297" t="n">
        <v>4</v>
      </c>
      <c r="AG1297" t="n">
        <v>5</v>
      </c>
      <c r="AH1297" t="n">
        <v>8</v>
      </c>
      <c r="AI1297" t="n">
        <v>97</v>
      </c>
      <c r="AJ1297" t="n">
        <v>44</v>
      </c>
      <c r="AK1297" t="n">
        <v>22</v>
      </c>
      <c r="AL1297" t="n">
        <v>3</v>
      </c>
      <c r="AM1297" t="n">
        <v>59</v>
      </c>
      <c r="AN1297" t="n">
        <v>0</v>
      </c>
      <c r="AO1297" t="n">
        <v>0</v>
      </c>
      <c r="AP1297" t="n">
        <v>2</v>
      </c>
      <c r="AQ1297" t="n">
        <v>21</v>
      </c>
      <c r="AR1297" t="n">
        <v>171</v>
      </c>
      <c r="AS1297" t="n">
        <v>148</v>
      </c>
      <c r="AT1297" t="n">
        <v>3</v>
      </c>
      <c r="AU1297" t="n">
        <v>3</v>
      </c>
      <c r="AV1297" t="n">
        <v>1</v>
      </c>
      <c r="AW1297" t="n">
        <v>27</v>
      </c>
      <c r="AX1297" t="n">
        <v>1</v>
      </c>
      <c r="AY1297" t="n">
        <v>27</v>
      </c>
      <c r="AZ1297" t="n">
        <v>2</v>
      </c>
      <c r="BA1297" t="n">
        <v>20</v>
      </c>
      <c r="BB1297" t="n">
        <v>56</v>
      </c>
      <c r="BC1297" t="n">
        <v>51</v>
      </c>
      <c r="BD1297" t="n">
        <v>27</v>
      </c>
      <c r="BE1297" t="n">
        <v>30</v>
      </c>
      <c r="BF1297" t="n">
        <v>45</v>
      </c>
      <c r="BG1297" t="n">
        <v>3</v>
      </c>
      <c r="BH1297" t="n">
        <v>2</v>
      </c>
      <c r="BI1297" t="n">
        <v>71</v>
      </c>
      <c r="BJ1297" t="n">
        <v>63</v>
      </c>
      <c r="BK1297" t="n">
        <v>6</v>
      </c>
      <c r="BL1297" t="n">
        <v>53</v>
      </c>
      <c r="BM1297" t="n">
        <v>35</v>
      </c>
      <c r="BN1297" t="n">
        <v>0</v>
      </c>
      <c r="BO1297" t="n">
        <v>9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146</v>
      </c>
      <c r="Z1298" t="n">
        <v>144</v>
      </c>
      <c r="AA1298" t="n">
        <v>108</v>
      </c>
      <c r="AB1298" t="n">
        <v>0</v>
      </c>
      <c r="AC1298" t="n">
        <v>0</v>
      </c>
      <c r="AD1298" t="n">
        <v>2</v>
      </c>
      <c r="AE1298" t="n">
        <v>0</v>
      </c>
      <c r="AF1298" t="n">
        <v>0</v>
      </c>
      <c r="AG1298" t="n">
        <v>6</v>
      </c>
      <c r="AH1298" t="n">
        <v>19</v>
      </c>
      <c r="AI1298" t="n">
        <v>20</v>
      </c>
      <c r="AJ1298" t="n">
        <v>27</v>
      </c>
      <c r="AK1298" t="n">
        <v>51</v>
      </c>
      <c r="AL1298" t="n">
        <v>5</v>
      </c>
      <c r="AM1298" t="n">
        <v>80</v>
      </c>
      <c r="AN1298" t="n">
        <v>0</v>
      </c>
      <c r="AO1298" t="n">
        <v>0</v>
      </c>
      <c r="AP1298" t="n">
        <v>0</v>
      </c>
      <c r="AQ1298" t="n">
        <v>1</v>
      </c>
      <c r="AR1298" t="n">
        <v>60</v>
      </c>
      <c r="AS1298" t="n">
        <v>53</v>
      </c>
      <c r="AT1298" t="n">
        <v>3</v>
      </c>
      <c r="AU1298" t="n">
        <v>2</v>
      </c>
      <c r="AV1298" t="n">
        <v>20</v>
      </c>
      <c r="AW1298" t="n">
        <v>15</v>
      </c>
      <c r="AX1298" t="n">
        <v>0</v>
      </c>
      <c r="AY1298" t="n">
        <v>25</v>
      </c>
      <c r="AZ1298" t="n">
        <v>1</v>
      </c>
      <c r="BA1298" t="n">
        <v>20</v>
      </c>
      <c r="BB1298" t="n">
        <v>122</v>
      </c>
      <c r="BC1298" t="n">
        <v>67</v>
      </c>
      <c r="BD1298" t="n">
        <v>25</v>
      </c>
      <c r="BE1298" t="n">
        <v>15</v>
      </c>
      <c r="BF1298" t="n">
        <v>36</v>
      </c>
      <c r="BG1298" t="n">
        <v>2</v>
      </c>
      <c r="BH1298" t="n">
        <v>11</v>
      </c>
      <c r="BI1298" t="n">
        <v>9</v>
      </c>
      <c r="BJ1298" t="n">
        <v>8</v>
      </c>
      <c r="BK1298" t="n">
        <v>0</v>
      </c>
      <c r="BL1298" t="n">
        <v>1</v>
      </c>
      <c r="BM1298" t="n">
        <v>18</v>
      </c>
      <c r="BN1298" t="n">
        <v>10</v>
      </c>
      <c r="BO1298" t="n">
        <v>49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2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136</v>
      </c>
      <c r="Z1299" t="n">
        <v>104</v>
      </c>
      <c r="AA1299" t="n">
        <v>61</v>
      </c>
      <c r="AB1299" t="n">
        <v>0</v>
      </c>
      <c r="AC1299" t="n">
        <v>1</v>
      </c>
      <c r="AD1299" t="n">
        <v>2</v>
      </c>
      <c r="AE1299" t="n">
        <v>3</v>
      </c>
      <c r="AF1299" t="n">
        <v>6</v>
      </c>
      <c r="AG1299" t="n">
        <v>5</v>
      </c>
      <c r="AH1299" t="n">
        <v>23</v>
      </c>
      <c r="AI1299" t="n">
        <v>50</v>
      </c>
      <c r="AJ1299" t="n">
        <v>37</v>
      </c>
      <c r="AK1299" t="n">
        <v>47</v>
      </c>
      <c r="AL1299" t="n">
        <v>5</v>
      </c>
      <c r="AM1299" t="n">
        <v>33</v>
      </c>
      <c r="AN1299" t="n">
        <v>0</v>
      </c>
      <c r="AO1299" t="n">
        <v>0</v>
      </c>
      <c r="AP1299" t="n">
        <v>2</v>
      </c>
      <c r="AQ1299" t="n">
        <v>12</v>
      </c>
      <c r="AR1299" t="n">
        <v>108</v>
      </c>
      <c r="AS1299" t="n">
        <v>95</v>
      </c>
      <c r="AT1299" t="n">
        <v>3</v>
      </c>
      <c r="AU1299" t="n">
        <v>1</v>
      </c>
      <c r="AV1299" t="n">
        <v>8</v>
      </c>
      <c r="AW1299" t="n">
        <v>16</v>
      </c>
      <c r="AX1299" t="n">
        <v>0</v>
      </c>
      <c r="AY1299" t="n">
        <v>27</v>
      </c>
      <c r="AZ1299" t="n">
        <v>0</v>
      </c>
      <c r="BA1299" t="n">
        <v>2</v>
      </c>
      <c r="BB1299" t="n">
        <v>60</v>
      </c>
      <c r="BC1299" t="n">
        <v>46</v>
      </c>
      <c r="BD1299" t="n">
        <v>20</v>
      </c>
      <c r="BE1299" t="n">
        <v>44</v>
      </c>
      <c r="BF1299" t="n">
        <v>31</v>
      </c>
      <c r="BG1299" t="n">
        <v>3</v>
      </c>
      <c r="BH1299" t="n">
        <v>2</v>
      </c>
      <c r="BI1299" t="n">
        <v>17</v>
      </c>
      <c r="BJ1299" t="n">
        <v>14</v>
      </c>
      <c r="BK1299" t="n">
        <v>0</v>
      </c>
      <c r="BL1299" t="n">
        <v>1</v>
      </c>
      <c r="BM1299" t="n">
        <v>14</v>
      </c>
      <c r="BN1299" t="n">
        <v>8</v>
      </c>
      <c r="BO1299" t="n">
        <v>18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197</v>
      </c>
      <c r="Z1300" t="n">
        <v>199</v>
      </c>
      <c r="AA1300" t="n">
        <v>87</v>
      </c>
      <c r="AB1300" t="n">
        <v>0</v>
      </c>
      <c r="AC1300" t="n">
        <v>0</v>
      </c>
      <c r="AD1300" t="n">
        <v>12</v>
      </c>
      <c r="AE1300" t="n">
        <v>2</v>
      </c>
      <c r="AF1300" t="n">
        <v>1</v>
      </c>
      <c r="AG1300" t="n">
        <v>2</v>
      </c>
      <c r="AH1300" t="n">
        <v>115</v>
      </c>
      <c r="AI1300" t="n">
        <v>18</v>
      </c>
      <c r="AJ1300" t="n">
        <v>9</v>
      </c>
      <c r="AK1300" t="n">
        <v>24</v>
      </c>
      <c r="AL1300" t="n">
        <v>4</v>
      </c>
      <c r="AM1300" t="n">
        <v>96</v>
      </c>
      <c r="AN1300" t="n">
        <v>0</v>
      </c>
      <c r="AO1300" t="n">
        <v>0</v>
      </c>
      <c r="AP1300" t="n">
        <v>2</v>
      </c>
      <c r="AQ1300" t="n">
        <v>1</v>
      </c>
      <c r="AR1300" t="n">
        <v>39</v>
      </c>
      <c r="AS1300" t="n">
        <v>35</v>
      </c>
      <c r="AT1300" t="n">
        <v>0</v>
      </c>
      <c r="AU1300" t="n">
        <v>3</v>
      </c>
      <c r="AV1300" t="n">
        <v>1</v>
      </c>
      <c r="AW1300" t="n">
        <v>13</v>
      </c>
      <c r="AX1300" t="n">
        <v>1</v>
      </c>
      <c r="AY1300" t="n">
        <v>64</v>
      </c>
      <c r="AZ1300" t="n">
        <v>5</v>
      </c>
      <c r="BA1300" t="n">
        <v>14</v>
      </c>
      <c r="BB1300" t="n">
        <v>96</v>
      </c>
      <c r="BC1300" t="n">
        <v>80</v>
      </c>
      <c r="BD1300" t="n">
        <v>112</v>
      </c>
      <c r="BE1300" t="n">
        <v>13</v>
      </c>
      <c r="BF1300" t="n">
        <v>2</v>
      </c>
      <c r="BG1300" t="n">
        <v>1</v>
      </c>
      <c r="BH1300" t="n">
        <v>-1</v>
      </c>
      <c r="BI1300" t="n">
        <v>29</v>
      </c>
      <c r="BJ1300" t="n">
        <v>32</v>
      </c>
      <c r="BK1300" t="n">
        <v>5</v>
      </c>
      <c r="BL1300" t="n">
        <v>22</v>
      </c>
      <c r="BM1300" t="n">
        <v>15</v>
      </c>
      <c r="BN1300" t="n">
        <v>0</v>
      </c>
      <c r="BO1300" t="n">
        <v>44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240</v>
      </c>
      <c r="Z1301" t="n">
        <v>210</v>
      </c>
      <c r="AA1301" t="n">
        <v>32</v>
      </c>
      <c r="AB1301" t="n">
        <v>1</v>
      </c>
      <c r="AC1301" t="n">
        <v>0</v>
      </c>
      <c r="AD1301" t="n">
        <v>4</v>
      </c>
      <c r="AE1301" t="n">
        <v>3</v>
      </c>
      <c r="AF1301" t="n">
        <v>10</v>
      </c>
      <c r="AG1301" t="n">
        <v>7</v>
      </c>
      <c r="AH1301" t="n">
        <v>2</v>
      </c>
      <c r="AI1301" t="n">
        <v>81</v>
      </c>
      <c r="AJ1301" t="n">
        <v>105</v>
      </c>
      <c r="AK1301" t="n">
        <v>53</v>
      </c>
      <c r="AL1301" t="n">
        <v>4</v>
      </c>
      <c r="AM1301" t="n">
        <v>29</v>
      </c>
      <c r="AN1301" t="n">
        <v>0</v>
      </c>
      <c r="AO1301" t="n">
        <v>0</v>
      </c>
      <c r="AP1301" t="n">
        <v>5</v>
      </c>
      <c r="AQ1301" t="n">
        <v>30</v>
      </c>
      <c r="AR1301" t="n">
        <v>167</v>
      </c>
      <c r="AS1301" t="n">
        <v>137</v>
      </c>
      <c r="AT1301" t="n">
        <v>4</v>
      </c>
      <c r="AU1301" t="n">
        <v>2</v>
      </c>
      <c r="AV1301" t="n">
        <v>56</v>
      </c>
      <c r="AW1301" t="n">
        <v>26</v>
      </c>
      <c r="AX1301" t="n">
        <v>9</v>
      </c>
      <c r="AY1301" t="n">
        <v>10</v>
      </c>
      <c r="AZ1301" t="n">
        <v>0</v>
      </c>
      <c r="BA1301" t="n">
        <v>11</v>
      </c>
      <c r="BB1301" t="n">
        <v>41</v>
      </c>
      <c r="BC1301" t="n">
        <v>24</v>
      </c>
      <c r="BD1301" t="n">
        <v>27</v>
      </c>
      <c r="BE1301" t="n">
        <v>29</v>
      </c>
      <c r="BF1301" t="n">
        <v>85</v>
      </c>
      <c r="BG1301" t="n">
        <v>2</v>
      </c>
      <c r="BH1301" t="n">
        <v>4</v>
      </c>
      <c r="BI1301" t="n">
        <v>29</v>
      </c>
      <c r="BJ1301" t="n">
        <v>45</v>
      </c>
      <c r="BK1301" t="n">
        <v>3</v>
      </c>
      <c r="BL1301" t="n">
        <v>8</v>
      </c>
      <c r="BM1301" t="n">
        <v>27</v>
      </c>
      <c r="BN1301" t="n">
        <v>14</v>
      </c>
      <c r="BO1301" t="n">
        <v>44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79</v>
      </c>
      <c r="Z1302" t="n">
        <v>181</v>
      </c>
      <c r="AA1302" t="n">
        <v>31</v>
      </c>
      <c r="AB1302" t="n">
        <v>0</v>
      </c>
      <c r="AC1302" t="n">
        <v>0</v>
      </c>
      <c r="AD1302" t="n">
        <v>1</v>
      </c>
      <c r="AE1302" t="n">
        <v>1</v>
      </c>
      <c r="AF1302" t="n">
        <v>1</v>
      </c>
      <c r="AG1302" t="n">
        <v>0</v>
      </c>
      <c r="AH1302" t="n">
        <v>11</v>
      </c>
      <c r="AI1302" t="n">
        <v>18</v>
      </c>
      <c r="AJ1302" t="n">
        <v>39</v>
      </c>
      <c r="AK1302" t="n">
        <v>3</v>
      </c>
      <c r="AL1302" t="n">
        <v>3</v>
      </c>
      <c r="AM1302" t="n">
        <v>84</v>
      </c>
      <c r="AN1302" t="n">
        <v>0</v>
      </c>
      <c r="AO1302" t="n">
        <v>0</v>
      </c>
      <c r="AP1302" t="n">
        <v>6</v>
      </c>
      <c r="AQ1302" t="n">
        <v>27</v>
      </c>
      <c r="AR1302" t="n">
        <v>33</v>
      </c>
      <c r="AS1302" t="n">
        <v>11</v>
      </c>
      <c r="AT1302" t="n">
        <v>1</v>
      </c>
      <c r="AU1302" t="n">
        <v>2</v>
      </c>
      <c r="AV1302" t="n">
        <v>1</v>
      </c>
      <c r="AW1302" t="n">
        <v>15</v>
      </c>
      <c r="AX1302" t="n">
        <v>0</v>
      </c>
      <c r="AY1302" t="n">
        <v>15</v>
      </c>
      <c r="AZ1302" t="n">
        <v>0</v>
      </c>
      <c r="BA1302" t="n">
        <v>1</v>
      </c>
      <c r="BB1302" t="n">
        <v>30</v>
      </c>
      <c r="BC1302" t="n">
        <v>70</v>
      </c>
      <c r="BD1302" t="n">
        <v>13</v>
      </c>
      <c r="BE1302" t="n">
        <v>15</v>
      </c>
      <c r="BF1302" t="n">
        <v>31</v>
      </c>
      <c r="BG1302" t="n">
        <v>0</v>
      </c>
      <c r="BH1302" t="n">
        <v>0</v>
      </c>
      <c r="BI1302" t="n">
        <v>1</v>
      </c>
      <c r="BJ1302" t="n">
        <v>10</v>
      </c>
      <c r="BK1302" t="n">
        <v>3</v>
      </c>
      <c r="BL1302" t="n">
        <v>54</v>
      </c>
      <c r="BM1302" t="n">
        <v>41</v>
      </c>
      <c r="BN1302" t="n">
        <v>4</v>
      </c>
      <c r="BO1302" t="n">
        <v>18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160</v>
      </c>
      <c r="Z1303" t="n">
        <v>306</v>
      </c>
      <c r="AA1303" t="n">
        <v>56</v>
      </c>
      <c r="AB1303" t="n">
        <v>0</v>
      </c>
      <c r="AC1303" t="n">
        <v>0</v>
      </c>
      <c r="AD1303" t="n">
        <v>1</v>
      </c>
      <c r="AE1303" t="n">
        <v>9</v>
      </c>
      <c r="AF1303" t="n">
        <v>4</v>
      </c>
      <c r="AG1303" t="n">
        <v>5</v>
      </c>
      <c r="AH1303" t="n">
        <v>6</v>
      </c>
      <c r="AI1303" t="n">
        <v>126</v>
      </c>
      <c r="AJ1303" t="n">
        <v>60</v>
      </c>
      <c r="AK1303" t="n">
        <v>44</v>
      </c>
      <c r="AL1303" t="n">
        <v>5</v>
      </c>
      <c r="AM1303" t="n">
        <v>53</v>
      </c>
      <c r="AN1303" t="n">
        <v>0</v>
      </c>
      <c r="AO1303" t="n">
        <v>0</v>
      </c>
      <c r="AP1303" t="n">
        <v>2</v>
      </c>
      <c r="AQ1303" t="n">
        <v>1</v>
      </c>
      <c r="AR1303" t="n">
        <v>11</v>
      </c>
      <c r="AS1303" t="n">
        <v>6</v>
      </c>
      <c r="AT1303" t="n">
        <v>3</v>
      </c>
      <c r="AU1303" t="n">
        <v>4</v>
      </c>
      <c r="AV1303" t="n">
        <v>41</v>
      </c>
      <c r="AW1303" t="n">
        <v>34</v>
      </c>
      <c r="AX1303" t="n">
        <v>0</v>
      </c>
      <c r="AY1303" t="n">
        <v>0</v>
      </c>
      <c r="AZ1303" t="n">
        <v>5</v>
      </c>
      <c r="BA1303" t="n">
        <v>50</v>
      </c>
      <c r="BB1303" t="n">
        <v>110</v>
      </c>
      <c r="BC1303" t="n">
        <v>43</v>
      </c>
      <c r="BD1303" t="n">
        <v>5</v>
      </c>
      <c r="BE1303" t="n">
        <v>34</v>
      </c>
      <c r="BF1303" t="n">
        <v>48</v>
      </c>
      <c r="BG1303" t="n">
        <v>1</v>
      </c>
      <c r="BH1303" t="n">
        <v>4</v>
      </c>
      <c r="BI1303" t="n">
        <v>7</v>
      </c>
      <c r="BJ1303" t="n">
        <v>5</v>
      </c>
      <c r="BK1303" t="n">
        <v>5</v>
      </c>
      <c r="BL1303" t="n">
        <v>26</v>
      </c>
      <c r="BM1303" t="n">
        <v>30</v>
      </c>
      <c r="BN1303" t="n">
        <v>10</v>
      </c>
      <c r="BO1303" t="n">
        <v>2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3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203</v>
      </c>
      <c r="Z1304" t="n">
        <v>204</v>
      </c>
      <c r="AA1304" t="n">
        <v>168</v>
      </c>
      <c r="AB1304" t="n">
        <v>0</v>
      </c>
      <c r="AC1304" t="n">
        <v>3</v>
      </c>
      <c r="AD1304" t="n">
        <v>4</v>
      </c>
      <c r="AE1304" t="n">
        <v>8</v>
      </c>
      <c r="AF1304" t="n">
        <v>6</v>
      </c>
      <c r="AG1304" t="n">
        <v>3</v>
      </c>
      <c r="AH1304" t="n">
        <v>33</v>
      </c>
      <c r="AI1304" t="n">
        <v>74</v>
      </c>
      <c r="AJ1304" t="n">
        <v>33</v>
      </c>
      <c r="AK1304" t="n">
        <v>18</v>
      </c>
      <c r="AL1304" t="n">
        <v>1</v>
      </c>
      <c r="AM1304" t="n">
        <v>9</v>
      </c>
      <c r="AN1304" t="n">
        <v>0</v>
      </c>
      <c r="AO1304" t="n">
        <v>0</v>
      </c>
      <c r="AP1304" t="n">
        <v>4</v>
      </c>
      <c r="AQ1304" t="n">
        <v>48</v>
      </c>
      <c r="AR1304" t="n">
        <v>93</v>
      </c>
      <c r="AS1304" t="n">
        <v>54</v>
      </c>
      <c r="AT1304" t="n">
        <v>3</v>
      </c>
      <c r="AU1304" t="n">
        <v>1</v>
      </c>
      <c r="AV1304" t="n">
        <v>20</v>
      </c>
      <c r="AW1304" t="n">
        <v>36</v>
      </c>
      <c r="AX1304" t="n">
        <v>5</v>
      </c>
      <c r="AY1304" t="n">
        <v>26</v>
      </c>
      <c r="AZ1304" t="n">
        <v>5</v>
      </c>
      <c r="BA1304" t="n">
        <v>37</v>
      </c>
      <c r="BB1304" t="n">
        <v>188</v>
      </c>
      <c r="BC1304" t="n">
        <v>2</v>
      </c>
      <c r="BD1304" t="n">
        <v>29</v>
      </c>
      <c r="BE1304" t="n">
        <v>41</v>
      </c>
      <c r="BF1304" t="n">
        <v>26</v>
      </c>
      <c r="BG1304" t="n">
        <v>4</v>
      </c>
      <c r="BH1304" t="n">
        <v>5</v>
      </c>
      <c r="BI1304" t="n">
        <v>60</v>
      </c>
      <c r="BJ1304" t="n">
        <v>60</v>
      </c>
      <c r="BK1304" t="n">
        <v>4</v>
      </c>
      <c r="BL1304" t="n">
        <v>33</v>
      </c>
      <c r="BM1304" t="n">
        <v>24</v>
      </c>
      <c r="BN1304" t="n">
        <v>2</v>
      </c>
      <c r="BO1304" t="n">
        <v>16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253</v>
      </c>
      <c r="Z1305" t="n">
        <v>124</v>
      </c>
      <c r="AA1305" t="n">
        <v>56</v>
      </c>
      <c r="AB1305" t="n">
        <v>1</v>
      </c>
      <c r="AC1305" t="n">
        <v>0</v>
      </c>
      <c r="AD1305" t="n">
        <v>0</v>
      </c>
      <c r="AE1305" t="n">
        <v>1</v>
      </c>
      <c r="AF1305" t="n">
        <v>3</v>
      </c>
      <c r="AG1305" t="n">
        <v>9</v>
      </c>
      <c r="AH1305" t="n">
        <v>13</v>
      </c>
      <c r="AI1305" t="n">
        <v>32</v>
      </c>
      <c r="AJ1305" t="n">
        <v>20</v>
      </c>
      <c r="AK1305" t="n">
        <v>105</v>
      </c>
      <c r="AL1305" t="n">
        <v>1</v>
      </c>
      <c r="AM1305" t="n">
        <v>31</v>
      </c>
      <c r="AN1305" t="n">
        <v>0</v>
      </c>
      <c r="AO1305" t="n">
        <v>0</v>
      </c>
      <c r="AP1305" t="n">
        <v>6</v>
      </c>
      <c r="AQ1305" t="n">
        <v>38</v>
      </c>
      <c r="AR1305" t="n">
        <v>218</v>
      </c>
      <c r="AS1305" t="n">
        <v>190</v>
      </c>
      <c r="AT1305" t="n">
        <v>9</v>
      </c>
      <c r="AU1305" t="n">
        <v>1</v>
      </c>
      <c r="AV1305" t="n">
        <v>70</v>
      </c>
      <c r="AW1305" t="n">
        <v>12</v>
      </c>
      <c r="AX1305" t="n">
        <v>5</v>
      </c>
      <c r="AY1305" t="n">
        <v>35</v>
      </c>
      <c r="AZ1305" t="n">
        <v>0</v>
      </c>
      <c r="BA1305" t="n">
        <v>1</v>
      </c>
      <c r="BB1305" t="n">
        <v>55</v>
      </c>
      <c r="BC1305" t="n">
        <v>25</v>
      </c>
      <c r="BD1305" t="n">
        <v>11</v>
      </c>
      <c r="BE1305" t="n">
        <v>12</v>
      </c>
      <c r="BF1305" t="n">
        <v>18</v>
      </c>
      <c r="BG1305" t="n">
        <v>2</v>
      </c>
      <c r="BH1305" t="n">
        <v>8</v>
      </c>
      <c r="BI1305" t="n">
        <v>33</v>
      </c>
      <c r="BJ1305" t="n">
        <v>51</v>
      </c>
      <c r="BK1305" t="n">
        <v>1</v>
      </c>
      <c r="BL1305" t="n">
        <v>22</v>
      </c>
      <c r="BM1305" t="n">
        <v>50</v>
      </c>
      <c r="BN1305" t="n">
        <v>25</v>
      </c>
      <c r="BO1305" t="n">
        <v>2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2</v>
      </c>
      <c r="U1306" t="n">
        <v>0</v>
      </c>
      <c r="V1306" t="n">
        <v>0</v>
      </c>
      <c r="W1306" t="n">
        <v>0</v>
      </c>
      <c r="X1306" t="n">
        <v>0</v>
      </c>
      <c r="Y1306" t="n">
        <v>251</v>
      </c>
      <c r="Z1306" t="n">
        <v>216</v>
      </c>
      <c r="AA1306" t="n">
        <v>58</v>
      </c>
      <c r="AB1306" t="n">
        <v>1</v>
      </c>
      <c r="AC1306" t="n">
        <v>3</v>
      </c>
      <c r="AD1306" t="n">
        <v>8</v>
      </c>
      <c r="AE1306" t="n">
        <v>6</v>
      </c>
      <c r="AF1306" t="n">
        <v>5</v>
      </c>
      <c r="AG1306" t="n">
        <v>0</v>
      </c>
      <c r="AH1306" t="n">
        <v>65</v>
      </c>
      <c r="AI1306" t="n">
        <v>90</v>
      </c>
      <c r="AJ1306" t="n">
        <v>60</v>
      </c>
      <c r="AK1306" t="n">
        <v>51</v>
      </c>
      <c r="AL1306" t="n">
        <v>5</v>
      </c>
      <c r="AM1306" t="n">
        <v>64</v>
      </c>
      <c r="AN1306" t="n">
        <v>0</v>
      </c>
      <c r="AO1306" t="n">
        <v>0</v>
      </c>
      <c r="AP1306" t="n">
        <v>3</v>
      </c>
      <c r="AQ1306" t="n">
        <v>9</v>
      </c>
      <c r="AR1306" t="n">
        <v>39</v>
      </c>
      <c r="AS1306" t="n">
        <v>34</v>
      </c>
      <c r="AT1306" t="n">
        <v>8</v>
      </c>
      <c r="AU1306" t="n">
        <v>0</v>
      </c>
      <c r="AV1306" t="n">
        <v>94</v>
      </c>
      <c r="AW1306" t="n">
        <v>1</v>
      </c>
      <c r="AX1306" t="n">
        <v>3</v>
      </c>
      <c r="AY1306" t="n">
        <v>51</v>
      </c>
      <c r="AZ1306" t="n">
        <v>3</v>
      </c>
      <c r="BA1306" t="n">
        <v>17</v>
      </c>
      <c r="BB1306" t="n">
        <v>72</v>
      </c>
      <c r="BC1306" t="n">
        <v>51</v>
      </c>
      <c r="BD1306" t="n">
        <v>63</v>
      </c>
      <c r="BE1306" t="n">
        <v>0</v>
      </c>
      <c r="BF1306" t="n">
        <v>54</v>
      </c>
      <c r="BG1306" t="n">
        <v>4</v>
      </c>
      <c r="BH1306" t="n">
        <v>4</v>
      </c>
      <c r="BI1306" t="n">
        <v>11</v>
      </c>
      <c r="BJ1306" t="n">
        <v>14</v>
      </c>
      <c r="BK1306" t="n">
        <v>2</v>
      </c>
      <c r="BL1306" t="n">
        <v>9</v>
      </c>
      <c r="BM1306" t="n">
        <v>13</v>
      </c>
      <c r="BN1306" t="n">
        <v>5</v>
      </c>
      <c r="BO1306" t="n">
        <v>7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176</v>
      </c>
      <c r="Z1307" t="n">
        <v>219</v>
      </c>
      <c r="AA1307" t="n">
        <v>53</v>
      </c>
      <c r="AB1307" t="n">
        <v>1</v>
      </c>
      <c r="AC1307" t="n">
        <v>1</v>
      </c>
      <c r="AD1307" t="n">
        <v>0</v>
      </c>
      <c r="AE1307" t="n">
        <v>9</v>
      </c>
      <c r="AF1307" t="n">
        <v>2</v>
      </c>
      <c r="AG1307" t="n">
        <v>3</v>
      </c>
      <c r="AH1307" t="n">
        <v>37</v>
      </c>
      <c r="AI1307" t="n">
        <v>155</v>
      </c>
      <c r="AJ1307" t="n">
        <v>20</v>
      </c>
      <c r="AK1307" t="n">
        <v>39</v>
      </c>
      <c r="AL1307" t="n">
        <v>4</v>
      </c>
      <c r="AM1307" t="n">
        <v>99</v>
      </c>
      <c r="AN1307" t="n">
        <v>0</v>
      </c>
      <c r="AO1307" t="n">
        <v>0</v>
      </c>
      <c r="AP1307" t="n">
        <v>1</v>
      </c>
      <c r="AQ1307" t="n">
        <v>41</v>
      </c>
      <c r="AR1307" t="n">
        <v>126</v>
      </c>
      <c r="AS1307" t="n">
        <v>90</v>
      </c>
      <c r="AT1307" t="n">
        <v>0</v>
      </c>
      <c r="AU1307" t="n">
        <v>0</v>
      </c>
      <c r="AV1307" t="n">
        <v>5</v>
      </c>
      <c r="AW1307" t="n">
        <v>3</v>
      </c>
      <c r="AX1307" t="n">
        <v>1</v>
      </c>
      <c r="AY1307" t="n">
        <v>72</v>
      </c>
      <c r="AZ1307" t="n">
        <v>4</v>
      </c>
      <c r="BA1307" t="n">
        <v>8</v>
      </c>
      <c r="BB1307" t="n">
        <v>58</v>
      </c>
      <c r="BC1307" t="n">
        <v>87</v>
      </c>
      <c r="BD1307" t="n">
        <v>36</v>
      </c>
      <c r="BE1307" t="n">
        <v>0</v>
      </c>
      <c r="BF1307" t="n">
        <v>22</v>
      </c>
      <c r="BG1307" t="n">
        <v>5</v>
      </c>
      <c r="BH1307" t="n">
        <v>0</v>
      </c>
      <c r="BI1307" t="n">
        <v>65</v>
      </c>
      <c r="BJ1307" t="n">
        <v>62</v>
      </c>
      <c r="BK1307" t="n">
        <v>1</v>
      </c>
      <c r="BL1307" t="n">
        <v>1</v>
      </c>
      <c r="BM1307" t="n">
        <v>26</v>
      </c>
      <c r="BN1307" t="n">
        <v>15</v>
      </c>
      <c r="BO1307" t="n">
        <v>168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2</v>
      </c>
      <c r="H1308" t="n">
        <v>1</v>
      </c>
      <c r="I1308" t="n">
        <v>0</v>
      </c>
      <c r="J1308" t="n">
        <v>1</v>
      </c>
      <c r="K1308" t="n">
        <v>0</v>
      </c>
      <c r="L1308" t="n">
        <v>2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192</v>
      </c>
      <c r="Z1308" t="n">
        <v>124</v>
      </c>
      <c r="AA1308" t="n">
        <v>112</v>
      </c>
      <c r="AB1308" t="n">
        <v>1</v>
      </c>
      <c r="AC1308" t="n">
        <v>0</v>
      </c>
      <c r="AD1308" t="n">
        <v>7</v>
      </c>
      <c r="AE1308" t="n">
        <v>5</v>
      </c>
      <c r="AF1308" t="n">
        <v>3</v>
      </c>
      <c r="AG1308" t="n">
        <v>0</v>
      </c>
      <c r="AH1308" t="n">
        <v>83</v>
      </c>
      <c r="AI1308" t="n">
        <v>97</v>
      </c>
      <c r="AJ1308" t="n">
        <v>25</v>
      </c>
      <c r="AK1308" t="n">
        <v>33</v>
      </c>
      <c r="AL1308" t="n">
        <v>1</v>
      </c>
      <c r="AM1308" t="n">
        <v>16</v>
      </c>
      <c r="AN1308" t="n">
        <v>0</v>
      </c>
      <c r="AO1308" t="n">
        <v>0</v>
      </c>
      <c r="AP1308" t="n">
        <v>4</v>
      </c>
      <c r="AQ1308" t="n">
        <v>24</v>
      </c>
      <c r="AR1308" t="n">
        <v>53</v>
      </c>
      <c r="AS1308" t="n">
        <v>34</v>
      </c>
      <c r="AT1308" t="n">
        <v>0</v>
      </c>
      <c r="AU1308" t="n">
        <v>1</v>
      </c>
      <c r="AV1308" t="n">
        <v>1</v>
      </c>
      <c r="AW1308" t="n">
        <v>7</v>
      </c>
      <c r="AX1308" t="n">
        <v>3</v>
      </c>
      <c r="AY1308" t="n">
        <v>72</v>
      </c>
      <c r="AZ1308" t="n">
        <v>1</v>
      </c>
      <c r="BA1308" t="n">
        <v>9</v>
      </c>
      <c r="BB1308" t="n">
        <v>114</v>
      </c>
      <c r="BC1308" t="n">
        <v>12</v>
      </c>
      <c r="BD1308" t="n">
        <v>86</v>
      </c>
      <c r="BE1308" t="n">
        <v>7</v>
      </c>
      <c r="BF1308" t="n">
        <v>20</v>
      </c>
      <c r="BG1308" t="n">
        <v>5</v>
      </c>
      <c r="BH1308" t="n">
        <v>0</v>
      </c>
      <c r="BI1308" t="n">
        <v>30</v>
      </c>
      <c r="BJ1308" t="n">
        <v>25</v>
      </c>
      <c r="BK1308" t="n">
        <v>0</v>
      </c>
      <c r="BL1308" t="n">
        <v>7</v>
      </c>
      <c r="BM1308" t="n">
        <v>11</v>
      </c>
      <c r="BN1308" t="n">
        <v>4</v>
      </c>
      <c r="BO1308" t="n">
        <v>21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168</v>
      </c>
      <c r="Z1309" t="n">
        <v>127</v>
      </c>
      <c r="AA1309" t="n">
        <v>59</v>
      </c>
      <c r="AB1309" t="n">
        <v>1</v>
      </c>
      <c r="AC1309" t="n">
        <v>0</v>
      </c>
      <c r="AD1309" t="n">
        <v>3</v>
      </c>
      <c r="AE1309" t="n">
        <v>4</v>
      </c>
      <c r="AF1309" t="n">
        <v>7</v>
      </c>
      <c r="AG1309" t="n">
        <v>2</v>
      </c>
      <c r="AH1309" t="n">
        <v>34</v>
      </c>
      <c r="AI1309" t="n">
        <v>39</v>
      </c>
      <c r="AJ1309" t="n">
        <v>60</v>
      </c>
      <c r="AK1309" t="n">
        <v>33</v>
      </c>
      <c r="AL1309" t="n">
        <v>4</v>
      </c>
      <c r="AM1309" t="n">
        <v>17</v>
      </c>
      <c r="AN1309" t="n">
        <v>0</v>
      </c>
      <c r="AO1309" t="n">
        <v>0</v>
      </c>
      <c r="AP1309" t="n">
        <v>6</v>
      </c>
      <c r="AQ1309" t="n">
        <v>19</v>
      </c>
      <c r="AR1309" t="n">
        <v>114</v>
      </c>
      <c r="AS1309" t="n">
        <v>95</v>
      </c>
      <c r="AT1309" t="n">
        <v>4</v>
      </c>
      <c r="AU1309" t="n">
        <v>1</v>
      </c>
      <c r="AV1309" t="n">
        <v>31</v>
      </c>
      <c r="AW1309" t="n">
        <v>4</v>
      </c>
      <c r="AX1309" t="n">
        <v>1</v>
      </c>
      <c r="AY1309" t="n">
        <v>50</v>
      </c>
      <c r="AZ1309" t="n">
        <v>3</v>
      </c>
      <c r="BA1309" t="n">
        <v>9</v>
      </c>
      <c r="BB1309" t="n">
        <v>65</v>
      </c>
      <c r="BC1309" t="n">
        <v>13</v>
      </c>
      <c r="BD1309" t="n">
        <v>32</v>
      </c>
      <c r="BE1309" t="n">
        <v>5</v>
      </c>
      <c r="BF1309" t="n">
        <v>50</v>
      </c>
      <c r="BG1309" t="n">
        <v>1</v>
      </c>
      <c r="BH1309" t="n">
        <v>6</v>
      </c>
      <c r="BI1309" t="n">
        <v>13</v>
      </c>
      <c r="BJ1309" t="n">
        <v>21</v>
      </c>
      <c r="BK1309" t="n">
        <v>5</v>
      </c>
      <c r="BL1309" t="n">
        <v>30</v>
      </c>
      <c r="BM1309" t="n">
        <v>44</v>
      </c>
      <c r="BN1309" t="n">
        <v>17</v>
      </c>
      <c r="BO1309" t="n">
        <v>2</v>
      </c>
    </row>
    <row r="1310">
      <c r="A1310" t="n">
        <v>0</v>
      </c>
      <c r="B1310" t="n">
        <v>3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225</v>
      </c>
      <c r="Z1310" t="n">
        <v>137</v>
      </c>
      <c r="AA1310" t="n">
        <v>75</v>
      </c>
      <c r="AB1310" t="n">
        <v>3</v>
      </c>
      <c r="AC1310" t="n">
        <v>1</v>
      </c>
      <c r="AD1310" t="n">
        <v>5</v>
      </c>
      <c r="AE1310" t="n">
        <v>4</v>
      </c>
      <c r="AF1310" t="n">
        <v>3</v>
      </c>
      <c r="AG1310" t="n">
        <v>8</v>
      </c>
      <c r="AH1310" t="n">
        <v>40</v>
      </c>
      <c r="AI1310" t="n">
        <v>30</v>
      </c>
      <c r="AJ1310" t="n">
        <v>24</v>
      </c>
      <c r="AK1310" t="n">
        <v>93</v>
      </c>
      <c r="AL1310" t="n">
        <v>1</v>
      </c>
      <c r="AM1310" t="n">
        <v>2</v>
      </c>
      <c r="AN1310" t="n">
        <v>0</v>
      </c>
      <c r="AO1310" t="n">
        <v>0</v>
      </c>
      <c r="AP1310" t="n">
        <v>2</v>
      </c>
      <c r="AQ1310" t="n">
        <v>26</v>
      </c>
      <c r="AR1310" t="n">
        <v>65</v>
      </c>
      <c r="AS1310" t="n">
        <v>43</v>
      </c>
      <c r="AT1310" t="n">
        <v>5</v>
      </c>
      <c r="AU1310" t="n">
        <v>1</v>
      </c>
      <c r="AV1310" t="n">
        <v>15</v>
      </c>
      <c r="AW1310" t="n">
        <v>13</v>
      </c>
      <c r="AX1310" t="n">
        <v>11</v>
      </c>
      <c r="AY1310" t="n">
        <v>17</v>
      </c>
      <c r="AZ1310" t="n">
        <v>1</v>
      </c>
      <c r="BA1310" t="n">
        <v>8</v>
      </c>
      <c r="BB1310" t="n">
        <v>78</v>
      </c>
      <c r="BC1310" t="n">
        <v>11</v>
      </c>
      <c r="BD1310" t="n">
        <v>35</v>
      </c>
      <c r="BE1310" t="n">
        <v>15</v>
      </c>
      <c r="BF1310" t="n">
        <v>19</v>
      </c>
      <c r="BG1310" t="n">
        <v>3</v>
      </c>
      <c r="BH1310" t="n">
        <v>1</v>
      </c>
      <c r="BI1310" t="n">
        <v>17</v>
      </c>
      <c r="BJ1310" t="n">
        <v>24</v>
      </c>
      <c r="BK1310" t="n">
        <v>2</v>
      </c>
      <c r="BL1310" t="n">
        <v>1</v>
      </c>
      <c r="BM1310" t="n">
        <v>25</v>
      </c>
      <c r="BN1310" t="n">
        <v>14</v>
      </c>
      <c r="BO1310" t="n">
        <v>2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139</v>
      </c>
      <c r="Z1311" t="n">
        <v>306</v>
      </c>
      <c r="AA1311" t="n">
        <v>50</v>
      </c>
      <c r="AB1311" t="n">
        <v>2</v>
      </c>
      <c r="AC1311" t="n">
        <v>1</v>
      </c>
      <c r="AD1311" t="n">
        <v>1</v>
      </c>
      <c r="AE1311" t="n">
        <v>2</v>
      </c>
      <c r="AF1311" t="n">
        <v>0</v>
      </c>
      <c r="AG1311" t="n">
        <v>2</v>
      </c>
      <c r="AH1311" t="n">
        <v>8</v>
      </c>
      <c r="AI1311" t="n">
        <v>2</v>
      </c>
      <c r="AJ1311" t="n">
        <v>2</v>
      </c>
      <c r="AK1311" t="n">
        <v>19</v>
      </c>
      <c r="AL1311" t="n">
        <v>6</v>
      </c>
      <c r="AM1311" t="n">
        <v>74</v>
      </c>
      <c r="AN1311" t="n">
        <v>0</v>
      </c>
      <c r="AO1311" t="n">
        <v>0</v>
      </c>
      <c r="AP1311" t="n">
        <v>2</v>
      </c>
      <c r="AQ1311" t="n">
        <v>16</v>
      </c>
      <c r="AR1311" t="n">
        <v>136</v>
      </c>
      <c r="AS1311" t="n">
        <v>118</v>
      </c>
      <c r="AT1311" t="n">
        <v>0</v>
      </c>
      <c r="AU1311" t="n">
        <v>1</v>
      </c>
      <c r="AV1311" t="n">
        <v>1</v>
      </c>
      <c r="AW1311" t="n">
        <v>43</v>
      </c>
      <c r="AX1311" t="n">
        <v>5</v>
      </c>
      <c r="AY1311" t="n">
        <v>-1</v>
      </c>
      <c r="AZ1311" t="n">
        <v>3</v>
      </c>
      <c r="BA1311" t="n">
        <v>15</v>
      </c>
      <c r="BB1311" t="n">
        <v>62</v>
      </c>
      <c r="BC1311" t="n">
        <v>68</v>
      </c>
      <c r="BD1311" t="n">
        <v>10</v>
      </c>
      <c r="BE1311" t="n">
        <v>43</v>
      </c>
      <c r="BF1311" t="n">
        <v>3</v>
      </c>
      <c r="BG1311" t="n">
        <v>0</v>
      </c>
      <c r="BH1311" t="n">
        <v>4</v>
      </c>
      <c r="BI1311" t="n">
        <v>1</v>
      </c>
      <c r="BJ1311" t="n">
        <v>9</v>
      </c>
      <c r="BK1311" t="n">
        <v>9</v>
      </c>
      <c r="BL1311" t="n">
        <v>64</v>
      </c>
      <c r="BM1311" t="n">
        <v>89</v>
      </c>
      <c r="BN1311" t="n">
        <v>33</v>
      </c>
      <c r="BO1311" t="n">
        <v>4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164</v>
      </c>
      <c r="Z1312" t="n">
        <v>353</v>
      </c>
      <c r="AA1312" t="n">
        <v>24</v>
      </c>
      <c r="AB1312" t="n">
        <v>1</v>
      </c>
      <c r="AC1312" t="n">
        <v>1</v>
      </c>
      <c r="AD1312" t="n">
        <v>5</v>
      </c>
      <c r="AE1312" t="n">
        <v>3</v>
      </c>
      <c r="AF1312" t="n">
        <v>1</v>
      </c>
      <c r="AG1312" t="n">
        <v>3</v>
      </c>
      <c r="AH1312" t="n">
        <v>47</v>
      </c>
      <c r="AI1312" t="n">
        <v>37</v>
      </c>
      <c r="AJ1312" t="n">
        <v>14</v>
      </c>
      <c r="AK1312" t="n">
        <v>41</v>
      </c>
      <c r="AL1312" t="n">
        <v>2</v>
      </c>
      <c r="AM1312" t="n">
        <v>64</v>
      </c>
      <c r="AN1312" t="n">
        <v>0</v>
      </c>
      <c r="AO1312" t="n">
        <v>0</v>
      </c>
      <c r="AP1312" t="n">
        <v>3</v>
      </c>
      <c r="AQ1312" t="n">
        <v>9</v>
      </c>
      <c r="AR1312" t="n">
        <v>69</v>
      </c>
      <c r="AS1312" t="n">
        <v>61</v>
      </c>
      <c r="AT1312" t="n">
        <v>1</v>
      </c>
      <c r="AU1312" t="n">
        <v>2</v>
      </c>
      <c r="AV1312" t="n">
        <v>3</v>
      </c>
      <c r="AW1312" t="n">
        <v>45</v>
      </c>
      <c r="AX1312" t="n">
        <v>5</v>
      </c>
      <c r="AY1312" t="n">
        <v>51</v>
      </c>
      <c r="AZ1312" t="n">
        <v>2</v>
      </c>
      <c r="BA1312" t="n">
        <v>8</v>
      </c>
      <c r="BB1312" t="n">
        <v>30</v>
      </c>
      <c r="BC1312" t="n">
        <v>60</v>
      </c>
      <c r="BD1312" t="n">
        <v>41</v>
      </c>
      <c r="BE1312" t="n">
        <v>45</v>
      </c>
      <c r="BF1312" t="n">
        <v>10</v>
      </c>
      <c r="BG1312" t="n">
        <v>3</v>
      </c>
      <c r="BH1312" t="n">
        <v>5</v>
      </c>
      <c r="BI1312" t="n">
        <v>19</v>
      </c>
      <c r="BJ1312" t="n">
        <v>18</v>
      </c>
      <c r="BK1312" t="n">
        <v>4</v>
      </c>
      <c r="BL1312" t="n">
        <v>25</v>
      </c>
      <c r="BM1312" t="n">
        <v>38</v>
      </c>
      <c r="BN1312" t="n">
        <v>15</v>
      </c>
      <c r="BO1312" t="n">
        <v>16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222</v>
      </c>
      <c r="Z1313" t="n">
        <v>291</v>
      </c>
      <c r="AA1313" t="n">
        <v>50</v>
      </c>
      <c r="AB1313" t="n">
        <v>1</v>
      </c>
      <c r="AC1313" t="n">
        <v>1</v>
      </c>
      <c r="AD1313" t="n">
        <v>3</v>
      </c>
      <c r="AE1313" t="n">
        <v>2</v>
      </c>
      <c r="AF1313" t="n">
        <v>2</v>
      </c>
      <c r="AG1313" t="n">
        <v>6</v>
      </c>
      <c r="AH1313" t="n">
        <v>45</v>
      </c>
      <c r="AI1313" t="n">
        <v>42</v>
      </c>
      <c r="AJ1313" t="n">
        <v>58</v>
      </c>
      <c r="AK1313" t="n">
        <v>84</v>
      </c>
      <c r="AL1313" t="n">
        <v>3</v>
      </c>
      <c r="AM1313" t="n">
        <v>103</v>
      </c>
      <c r="AN1313" t="n">
        <v>0</v>
      </c>
      <c r="AO1313" t="n">
        <v>0</v>
      </c>
      <c r="AP1313" t="n">
        <v>5</v>
      </c>
      <c r="AQ1313" t="n">
        <v>29</v>
      </c>
      <c r="AR1313" t="n">
        <v>64</v>
      </c>
      <c r="AS1313" t="n">
        <v>39</v>
      </c>
      <c r="AT1313" t="n">
        <v>3</v>
      </c>
      <c r="AU1313" t="n">
        <v>1</v>
      </c>
      <c r="AV1313" t="n">
        <v>18</v>
      </c>
      <c r="AW1313" t="n">
        <v>18</v>
      </c>
      <c r="AX1313" t="n">
        <v>3</v>
      </c>
      <c r="AY1313" t="n">
        <v>51</v>
      </c>
      <c r="AZ1313" t="n">
        <v>4</v>
      </c>
      <c r="BA1313" t="n">
        <v>42</v>
      </c>
      <c r="BB1313" t="n">
        <v>92</v>
      </c>
      <c r="BC1313" t="n">
        <v>84</v>
      </c>
      <c r="BD1313" t="n">
        <v>40</v>
      </c>
      <c r="BE1313" t="n">
        <v>19</v>
      </c>
      <c r="BF1313" t="n">
        <v>47</v>
      </c>
      <c r="BG1313" t="n">
        <v>1</v>
      </c>
      <c r="BH1313" t="n">
        <v>0</v>
      </c>
      <c r="BI1313" t="n">
        <v>19</v>
      </c>
      <c r="BJ1313" t="n">
        <v>25</v>
      </c>
      <c r="BK1313" t="n">
        <v>3</v>
      </c>
      <c r="BL1313" t="n">
        <v>25</v>
      </c>
      <c r="BM1313" t="n">
        <v>20</v>
      </c>
      <c r="BN1313" t="n">
        <v>3</v>
      </c>
      <c r="BO1313" t="n">
        <v>14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2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223</v>
      </c>
      <c r="Z1314" t="n">
        <v>236</v>
      </c>
      <c r="AA1314" t="n">
        <v>122</v>
      </c>
      <c r="AB1314" t="n">
        <v>1</v>
      </c>
      <c r="AC1314" t="n">
        <v>0</v>
      </c>
      <c r="AD1314" t="n">
        <v>2</v>
      </c>
      <c r="AE1314" t="n">
        <v>5</v>
      </c>
      <c r="AF1314" t="n">
        <v>5</v>
      </c>
      <c r="AG1314" t="n">
        <v>1</v>
      </c>
      <c r="AH1314" t="n">
        <v>33</v>
      </c>
      <c r="AI1314" t="n">
        <v>61</v>
      </c>
      <c r="AJ1314" t="n">
        <v>65</v>
      </c>
      <c r="AK1314" t="n">
        <v>62</v>
      </c>
      <c r="AL1314" t="n">
        <v>3</v>
      </c>
      <c r="AM1314" t="n">
        <v>25</v>
      </c>
      <c r="AN1314" t="n">
        <v>0</v>
      </c>
      <c r="AO1314" t="n">
        <v>0</v>
      </c>
      <c r="AP1314" t="n">
        <v>1</v>
      </c>
      <c r="AQ1314" t="n">
        <v>1</v>
      </c>
      <c r="AR1314" t="n">
        <v>71</v>
      </c>
      <c r="AS1314" t="n">
        <v>64</v>
      </c>
      <c r="AT1314" t="n">
        <v>0</v>
      </c>
      <c r="AU1314" t="n">
        <v>1</v>
      </c>
      <c r="AV1314" t="n">
        <v>28</v>
      </c>
      <c r="AW1314" t="n">
        <v>10</v>
      </c>
      <c r="AX1314" t="n">
        <v>0</v>
      </c>
      <c r="AY1314" t="n">
        <v>108</v>
      </c>
      <c r="AZ1314" t="n">
        <v>3</v>
      </c>
      <c r="BA1314" t="n">
        <v>21</v>
      </c>
      <c r="BB1314" t="n">
        <v>134</v>
      </c>
      <c r="BC1314" t="n">
        <v>21</v>
      </c>
      <c r="BD1314" t="n">
        <v>30</v>
      </c>
      <c r="BE1314" t="n">
        <v>17</v>
      </c>
      <c r="BF1314" t="n">
        <v>51</v>
      </c>
      <c r="BG1314" t="n">
        <v>2</v>
      </c>
      <c r="BH1314" t="n">
        <v>8</v>
      </c>
      <c r="BI1314" t="n">
        <v>48</v>
      </c>
      <c r="BJ1314" t="n">
        <v>50</v>
      </c>
      <c r="BK1314" t="n">
        <v>7</v>
      </c>
      <c r="BL1314" t="n">
        <v>39</v>
      </c>
      <c r="BM1314" t="n">
        <v>44</v>
      </c>
      <c r="BN1314" t="n">
        <v>13</v>
      </c>
      <c r="BO1314" t="n">
        <v>25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2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115</v>
      </c>
      <c r="Z1315" t="n">
        <v>155</v>
      </c>
      <c r="AA1315" t="n">
        <v>27</v>
      </c>
      <c r="AB1315" t="n">
        <v>1</v>
      </c>
      <c r="AC1315" t="n">
        <v>1</v>
      </c>
      <c r="AD1315" t="n">
        <v>0</v>
      </c>
      <c r="AE1315" t="n">
        <v>4</v>
      </c>
      <c r="AF1315" t="n">
        <v>2</v>
      </c>
      <c r="AG1315" t="n">
        <v>2</v>
      </c>
      <c r="AH1315" t="n">
        <v>24</v>
      </c>
      <c r="AI1315" t="n">
        <v>25</v>
      </c>
      <c r="AJ1315" t="n">
        <v>15</v>
      </c>
      <c r="AK1315" t="n">
        <v>1</v>
      </c>
      <c r="AL1315" t="n">
        <v>3</v>
      </c>
      <c r="AM1315" t="n">
        <v>17</v>
      </c>
      <c r="AN1315" t="n">
        <v>0</v>
      </c>
      <c r="AO1315" t="n">
        <v>0</v>
      </c>
      <c r="AP1315" t="n">
        <v>2</v>
      </c>
      <c r="AQ1315" t="n">
        <v>12</v>
      </c>
      <c r="AR1315" t="n">
        <v>108</v>
      </c>
      <c r="AS1315" t="n">
        <v>95</v>
      </c>
      <c r="AT1315" t="n">
        <v>3</v>
      </c>
      <c r="AU1315" t="n">
        <v>2</v>
      </c>
      <c r="AV1315" t="n">
        <v>8</v>
      </c>
      <c r="AW1315" t="n">
        <v>22</v>
      </c>
      <c r="AX1315" t="n">
        <v>0</v>
      </c>
      <c r="AY1315" t="n">
        <v>12</v>
      </c>
      <c r="AZ1315" t="n">
        <v>3</v>
      </c>
      <c r="BA1315" t="n">
        <v>24</v>
      </c>
      <c r="BB1315" t="n">
        <v>52</v>
      </c>
      <c r="BC1315" t="n">
        <v>14</v>
      </c>
      <c r="BD1315" t="n">
        <v>24</v>
      </c>
      <c r="BE1315" t="n">
        <v>22</v>
      </c>
      <c r="BF1315" t="n">
        <v>11</v>
      </c>
      <c r="BG1315" t="n">
        <v>4</v>
      </c>
      <c r="BH1315" t="n">
        <v>0</v>
      </c>
      <c r="BI1315" t="n">
        <v>25</v>
      </c>
      <c r="BJ1315" t="n">
        <v>22</v>
      </c>
      <c r="BK1315" t="n">
        <v>2</v>
      </c>
      <c r="BL1315" t="n">
        <v>9</v>
      </c>
      <c r="BM1315" t="n">
        <v>37</v>
      </c>
      <c r="BN1315" t="n">
        <v>20</v>
      </c>
      <c r="BO1315" t="n">
        <v>9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2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n">
        <v>284</v>
      </c>
      <c r="Z1316" t="n">
        <v>179</v>
      </c>
      <c r="AA1316" t="n">
        <v>84</v>
      </c>
      <c r="AB1316" t="n">
        <v>3</v>
      </c>
      <c r="AC1316" t="n">
        <v>2</v>
      </c>
      <c r="AD1316" t="n">
        <v>3</v>
      </c>
      <c r="AE1316" t="n">
        <v>0</v>
      </c>
      <c r="AF1316" t="n">
        <v>5</v>
      </c>
      <c r="AG1316" t="n">
        <v>5</v>
      </c>
      <c r="AH1316" t="n">
        <v>44</v>
      </c>
      <c r="AI1316" t="n">
        <v>24</v>
      </c>
      <c r="AJ1316" t="n">
        <v>51</v>
      </c>
      <c r="AK1316" t="n">
        <v>39</v>
      </c>
      <c r="AL1316" t="n">
        <v>2</v>
      </c>
      <c r="AM1316" t="n">
        <v>22</v>
      </c>
      <c r="AN1316" t="n">
        <v>0</v>
      </c>
      <c r="AO1316" t="n">
        <v>0</v>
      </c>
      <c r="AP1316" t="n">
        <v>3</v>
      </c>
      <c r="AQ1316" t="n">
        <v>13</v>
      </c>
      <c r="AR1316" t="n">
        <v>112</v>
      </c>
      <c r="AS1316" t="n">
        <v>96</v>
      </c>
      <c r="AT1316" t="n">
        <v>1</v>
      </c>
      <c r="AU1316" t="n">
        <v>2</v>
      </c>
      <c r="AV1316" t="n">
        <v>53</v>
      </c>
      <c r="AW1316" t="n">
        <v>20</v>
      </c>
      <c r="AX1316" t="n">
        <v>0</v>
      </c>
      <c r="AY1316" t="n">
        <v>14</v>
      </c>
      <c r="AZ1316" t="n">
        <v>1</v>
      </c>
      <c r="BA1316" t="n">
        <v>24</v>
      </c>
      <c r="BB1316" t="n">
        <v>105</v>
      </c>
      <c r="BC1316" t="n">
        <v>52</v>
      </c>
      <c r="BD1316" t="n">
        <v>41</v>
      </c>
      <c r="BE1316" t="n">
        <v>20</v>
      </c>
      <c r="BF1316" t="n">
        <v>55</v>
      </c>
      <c r="BG1316" t="n">
        <v>2</v>
      </c>
      <c r="BH1316" t="n">
        <v>23</v>
      </c>
      <c r="BI1316" t="n">
        <v>1</v>
      </c>
      <c r="BJ1316" t="n">
        <v>7</v>
      </c>
      <c r="BK1316" t="n">
        <v>0</v>
      </c>
      <c r="BL1316" t="n">
        <v>1</v>
      </c>
      <c r="BM1316" t="n">
        <v>33</v>
      </c>
      <c r="BN1316" t="n">
        <v>19</v>
      </c>
      <c r="BO1316" t="n">
        <v>2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4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</v>
      </c>
      <c r="U1317" t="n">
        <v>0</v>
      </c>
      <c r="V1317" t="n">
        <v>0</v>
      </c>
      <c r="W1317" t="n">
        <v>0</v>
      </c>
      <c r="X1317" t="n">
        <v>0</v>
      </c>
      <c r="Y1317" t="n">
        <v>132</v>
      </c>
      <c r="Z1317" t="n">
        <v>149</v>
      </c>
      <c r="AA1317" t="n">
        <v>43</v>
      </c>
      <c r="AB1317" t="n">
        <v>2</v>
      </c>
      <c r="AC1317" t="n">
        <v>1</v>
      </c>
      <c r="AD1317" t="n">
        <v>2</v>
      </c>
      <c r="AE1317" t="n">
        <v>4</v>
      </c>
      <c r="AF1317" t="n">
        <v>0</v>
      </c>
      <c r="AG1317" t="n">
        <v>2</v>
      </c>
      <c r="AH1317" t="n">
        <v>81</v>
      </c>
      <c r="AI1317" t="n">
        <v>16</v>
      </c>
      <c r="AJ1317" t="n">
        <v>2</v>
      </c>
      <c r="AK1317" t="n">
        <v>1</v>
      </c>
      <c r="AL1317" t="n">
        <v>1</v>
      </c>
      <c r="AM1317" t="n">
        <v>17</v>
      </c>
      <c r="AN1317" t="n">
        <v>0</v>
      </c>
      <c r="AO1317" t="n">
        <v>0</v>
      </c>
      <c r="AP1317" t="n">
        <v>6</v>
      </c>
      <c r="AQ1317" t="n">
        <v>29</v>
      </c>
      <c r="AR1317" t="n">
        <v>65</v>
      </c>
      <c r="AS1317" t="n">
        <v>40</v>
      </c>
      <c r="AT1317" t="n">
        <v>4</v>
      </c>
      <c r="AU1317" t="n">
        <v>2</v>
      </c>
      <c r="AV1317" t="n">
        <v>27</v>
      </c>
      <c r="AW1317" t="n">
        <v>10</v>
      </c>
      <c r="AX1317" t="n">
        <v>19</v>
      </c>
      <c r="AY1317" t="n">
        <v>8</v>
      </c>
      <c r="AZ1317" t="n">
        <v>4</v>
      </c>
      <c r="BA1317" t="n">
        <v>29</v>
      </c>
      <c r="BB1317" t="n">
        <v>72</v>
      </c>
      <c r="BC1317" t="n">
        <v>14</v>
      </c>
      <c r="BD1317" t="n">
        <v>73</v>
      </c>
      <c r="BE1317" t="n">
        <v>13</v>
      </c>
      <c r="BF1317" t="n">
        <v>5</v>
      </c>
      <c r="BG1317" t="n">
        <v>0</v>
      </c>
      <c r="BH1317" t="n">
        <v>3</v>
      </c>
      <c r="BI1317" t="n">
        <v>5</v>
      </c>
      <c r="BJ1317" t="n">
        <v>1</v>
      </c>
      <c r="BK1317" t="n">
        <v>2</v>
      </c>
      <c r="BL1317" t="n">
        <v>15</v>
      </c>
      <c r="BM1317" t="n">
        <v>14</v>
      </c>
      <c r="BN1317" t="n">
        <v>3</v>
      </c>
      <c r="BO1317" t="n">
        <v>16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144</v>
      </c>
      <c r="Z1318" t="n">
        <v>172</v>
      </c>
      <c r="AA1318" t="n">
        <v>81</v>
      </c>
      <c r="AB1318" t="n">
        <v>0</v>
      </c>
      <c r="AC1318" t="n">
        <v>2</v>
      </c>
      <c r="AD1318" t="n">
        <v>2</v>
      </c>
      <c r="AE1318" t="n">
        <v>3</v>
      </c>
      <c r="AF1318" t="n">
        <v>7</v>
      </c>
      <c r="AG1318" t="n">
        <v>5</v>
      </c>
      <c r="AH1318" t="n">
        <v>21</v>
      </c>
      <c r="AI1318" t="n">
        <v>34</v>
      </c>
      <c r="AJ1318" t="n">
        <v>51</v>
      </c>
      <c r="AK1318" t="n">
        <v>38</v>
      </c>
      <c r="AL1318" t="n">
        <v>1</v>
      </c>
      <c r="AM1318" t="n">
        <v>14</v>
      </c>
      <c r="AN1318" t="n">
        <v>0</v>
      </c>
      <c r="AO1318" t="n">
        <v>0</v>
      </c>
      <c r="AP1318" t="n">
        <v>3</v>
      </c>
      <c r="AQ1318" t="n">
        <v>35</v>
      </c>
      <c r="AR1318" t="n">
        <v>83</v>
      </c>
      <c r="AS1318" t="n">
        <v>55</v>
      </c>
      <c r="AT1318" t="n">
        <v>2</v>
      </c>
      <c r="AU1318" t="n">
        <v>1</v>
      </c>
      <c r="AV1318" t="n">
        <v>10</v>
      </c>
      <c r="AW1318" t="n">
        <v>3</v>
      </c>
      <c r="AX1318" t="n">
        <v>0</v>
      </c>
      <c r="AY1318" t="n">
        <v>29</v>
      </c>
      <c r="AZ1318" t="n">
        <v>1</v>
      </c>
      <c r="BA1318" t="n">
        <v>12</v>
      </c>
      <c r="BB1318" t="n">
        <v>89</v>
      </c>
      <c r="BC1318" t="n">
        <v>35</v>
      </c>
      <c r="BD1318" t="n">
        <v>38</v>
      </c>
      <c r="BE1318" t="n">
        <v>1</v>
      </c>
      <c r="BF1318" t="n">
        <v>47</v>
      </c>
      <c r="BG1318" t="n">
        <v>2</v>
      </c>
      <c r="BH1318" t="n">
        <v>4</v>
      </c>
      <c r="BI1318" t="n">
        <v>12</v>
      </c>
      <c r="BJ1318" t="n">
        <v>10</v>
      </c>
      <c r="BK1318" t="n">
        <v>1</v>
      </c>
      <c r="BL1318" t="n">
        <v>8</v>
      </c>
      <c r="BM1318" t="n">
        <v>51</v>
      </c>
      <c r="BN1318" t="n">
        <v>30</v>
      </c>
      <c r="BO1318" t="n">
        <v>23</v>
      </c>
    </row>
    <row r="1319">
      <c r="A1319" t="n">
        <v>2</v>
      </c>
      <c r="B1319" t="n">
        <v>0</v>
      </c>
      <c r="C1319" t="n">
        <v>1</v>
      </c>
      <c r="D1319" t="n">
        <v>0</v>
      </c>
      <c r="E1319" t="n">
        <v>2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207</v>
      </c>
      <c r="Z1319" t="n">
        <v>313</v>
      </c>
      <c r="AA1319" t="n">
        <v>64</v>
      </c>
      <c r="AB1319" t="n">
        <v>1</v>
      </c>
      <c r="AC1319" t="n">
        <v>3</v>
      </c>
      <c r="AD1319" t="n">
        <v>5</v>
      </c>
      <c r="AE1319" t="n">
        <v>1</v>
      </c>
      <c r="AF1319" t="n">
        <v>1</v>
      </c>
      <c r="AG1319" t="n">
        <v>3</v>
      </c>
      <c r="AH1319" t="n">
        <v>48</v>
      </c>
      <c r="AI1319" t="n">
        <v>13</v>
      </c>
      <c r="AJ1319" t="n">
        <v>25</v>
      </c>
      <c r="AK1319" t="n">
        <v>19</v>
      </c>
      <c r="AL1319" t="n">
        <v>7</v>
      </c>
      <c r="AM1319" t="n">
        <v>127</v>
      </c>
      <c r="AN1319" t="n">
        <v>0</v>
      </c>
      <c r="AO1319" t="n">
        <v>0</v>
      </c>
      <c r="AP1319" t="n">
        <v>10</v>
      </c>
      <c r="AQ1319" t="n">
        <v>61</v>
      </c>
      <c r="AR1319" t="n">
        <v>116</v>
      </c>
      <c r="AS1319" t="n">
        <v>63</v>
      </c>
      <c r="AT1319" t="n">
        <v>1</v>
      </c>
      <c r="AU1319" t="n">
        <v>1</v>
      </c>
      <c r="AV1319" t="n">
        <v>13</v>
      </c>
      <c r="AW1319" t="n">
        <v>47</v>
      </c>
      <c r="AX1319" t="n">
        <v>4</v>
      </c>
      <c r="AY1319" t="n">
        <v>49</v>
      </c>
      <c r="AZ1319" t="n">
        <v>1</v>
      </c>
      <c r="BA1319" t="n">
        <v>8</v>
      </c>
      <c r="BB1319" t="n">
        <v>69</v>
      </c>
      <c r="BC1319" t="n">
        <v>105</v>
      </c>
      <c r="BD1319" t="n">
        <v>39</v>
      </c>
      <c r="BE1319" t="n">
        <v>47</v>
      </c>
      <c r="BF1319" t="n">
        <v>28</v>
      </c>
      <c r="BG1319" t="n">
        <v>0</v>
      </c>
      <c r="BH1319" t="n">
        <v>15</v>
      </c>
      <c r="BI1319" t="n">
        <v>1</v>
      </c>
      <c r="BJ1319" t="n">
        <v>5</v>
      </c>
      <c r="BK1319" t="n">
        <v>4</v>
      </c>
      <c r="BL1319" t="n">
        <v>43</v>
      </c>
      <c r="BM1319" t="n">
        <v>38</v>
      </c>
      <c r="BN1319" t="n">
        <v>7</v>
      </c>
      <c r="BO1319" t="n">
        <v>30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173</v>
      </c>
      <c r="Z1320" t="n">
        <v>311</v>
      </c>
      <c r="AA1320" t="n">
        <v>33</v>
      </c>
      <c r="AB1320" t="n">
        <v>2</v>
      </c>
      <c r="AC1320" t="n">
        <v>1</v>
      </c>
      <c r="AD1320" t="n">
        <v>4</v>
      </c>
      <c r="AE1320" t="n">
        <v>2</v>
      </c>
      <c r="AF1320" t="n">
        <v>0</v>
      </c>
      <c r="AG1320" t="n">
        <v>2</v>
      </c>
      <c r="AH1320" t="n">
        <v>84</v>
      </c>
      <c r="AI1320" t="n">
        <v>13</v>
      </c>
      <c r="AJ1320" t="n">
        <v>24</v>
      </c>
      <c r="AK1320" t="n">
        <v>7</v>
      </c>
      <c r="AL1320" t="n">
        <v>5</v>
      </c>
      <c r="AM1320" t="n">
        <v>113</v>
      </c>
      <c r="AN1320" t="n">
        <v>0</v>
      </c>
      <c r="AO1320" t="n">
        <v>0</v>
      </c>
      <c r="AP1320" t="n">
        <v>3</v>
      </c>
      <c r="AQ1320" t="n">
        <v>1</v>
      </c>
      <c r="AR1320" t="n">
        <v>108</v>
      </c>
      <c r="AS1320" t="n">
        <v>99</v>
      </c>
      <c r="AT1320" t="n">
        <v>4</v>
      </c>
      <c r="AU1320" t="n">
        <v>2</v>
      </c>
      <c r="AV1320" t="n">
        <v>33</v>
      </c>
      <c r="AW1320" t="n">
        <v>29</v>
      </c>
      <c r="AX1320" t="n">
        <v>9</v>
      </c>
      <c r="AY1320" t="n">
        <v>44</v>
      </c>
      <c r="AZ1320" t="n">
        <v>5</v>
      </c>
      <c r="BA1320" t="n">
        <v>75</v>
      </c>
      <c r="BB1320" t="n">
        <v>120</v>
      </c>
      <c r="BC1320" t="n">
        <v>94</v>
      </c>
      <c r="BD1320" t="n">
        <v>75</v>
      </c>
      <c r="BE1320" t="n">
        <v>32</v>
      </c>
      <c r="BF1320" t="n">
        <v>32</v>
      </c>
      <c r="BG1320" t="n">
        <v>1</v>
      </c>
      <c r="BH1320" t="n">
        <v>8</v>
      </c>
      <c r="BI1320" t="n">
        <v>1</v>
      </c>
      <c r="BJ1320" t="n">
        <v>6</v>
      </c>
      <c r="BK1320" t="n">
        <v>0</v>
      </c>
      <c r="BL1320" t="n">
        <v>1</v>
      </c>
      <c r="BM1320" t="n">
        <v>1</v>
      </c>
      <c r="BN1320" t="n">
        <v>1</v>
      </c>
      <c r="BO1320" t="n">
        <v>23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2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1</v>
      </c>
      <c r="V1321" t="n">
        <v>0</v>
      </c>
      <c r="W1321" t="n">
        <v>0</v>
      </c>
      <c r="X1321" t="n">
        <v>0</v>
      </c>
      <c r="Y1321" t="n">
        <v>401</v>
      </c>
      <c r="Z1321" t="n">
        <v>260</v>
      </c>
      <c r="AA1321" t="n">
        <v>42</v>
      </c>
      <c r="AB1321" t="n">
        <v>0</v>
      </c>
      <c r="AC1321" t="n">
        <v>3</v>
      </c>
      <c r="AD1321" t="n">
        <v>4</v>
      </c>
      <c r="AE1321" t="n">
        <v>6</v>
      </c>
      <c r="AF1321" t="n">
        <v>6</v>
      </c>
      <c r="AG1321" t="n">
        <v>2</v>
      </c>
      <c r="AH1321" t="n">
        <v>111</v>
      </c>
      <c r="AI1321" t="n">
        <v>77</v>
      </c>
      <c r="AJ1321" t="n">
        <v>92</v>
      </c>
      <c r="AK1321" t="n">
        <v>75</v>
      </c>
      <c r="AL1321" t="n">
        <v>5</v>
      </c>
      <c r="AM1321" t="n">
        <v>46</v>
      </c>
      <c r="AN1321" t="n">
        <v>0</v>
      </c>
      <c r="AO1321" t="n">
        <v>0</v>
      </c>
      <c r="AP1321" t="n">
        <v>7</v>
      </c>
      <c r="AQ1321" t="n">
        <v>33</v>
      </c>
      <c r="AR1321" t="n">
        <v>80</v>
      </c>
      <c r="AS1321" t="n">
        <v>53</v>
      </c>
      <c r="AT1321" t="n">
        <v>1</v>
      </c>
      <c r="AU1321" t="n">
        <v>3</v>
      </c>
      <c r="AV1321" t="n">
        <v>38</v>
      </c>
      <c r="AW1321" t="n">
        <v>43</v>
      </c>
      <c r="AX1321" t="n">
        <v>0</v>
      </c>
      <c r="AY1321" t="n">
        <v>34</v>
      </c>
      <c r="AZ1321" t="n">
        <v>2</v>
      </c>
      <c r="BA1321" t="n">
        <v>16</v>
      </c>
      <c r="BB1321" t="n">
        <v>55</v>
      </c>
      <c r="BC1321" t="n">
        <v>38</v>
      </c>
      <c r="BD1321" t="n">
        <v>99</v>
      </c>
      <c r="BE1321" t="n">
        <v>43</v>
      </c>
      <c r="BF1321" t="n">
        <v>74</v>
      </c>
      <c r="BG1321" t="n">
        <v>0</v>
      </c>
      <c r="BH1321" t="n">
        <v>7</v>
      </c>
      <c r="BI1321" t="n">
        <v>26</v>
      </c>
      <c r="BJ1321" t="n">
        <v>23</v>
      </c>
      <c r="BK1321" t="n">
        <v>4</v>
      </c>
      <c r="BL1321" t="n">
        <v>45</v>
      </c>
      <c r="BM1321" t="n">
        <v>32</v>
      </c>
      <c r="BN1321" t="n">
        <v>2</v>
      </c>
      <c r="BO1321" t="n">
        <v>131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119</v>
      </c>
      <c r="Z1322" t="n">
        <v>132</v>
      </c>
      <c r="AA1322" t="n">
        <v>44</v>
      </c>
      <c r="AB1322" t="n">
        <v>2</v>
      </c>
      <c r="AC1322" t="n">
        <v>1</v>
      </c>
      <c r="AD1322" t="n">
        <v>3</v>
      </c>
      <c r="AE1322" t="n">
        <v>2</v>
      </c>
      <c r="AF1322" t="n">
        <v>0</v>
      </c>
      <c r="AG1322" t="n">
        <v>0</v>
      </c>
      <c r="AH1322" t="n">
        <v>26</v>
      </c>
      <c r="AI1322" t="n">
        <v>37</v>
      </c>
      <c r="AJ1322" t="n">
        <v>2</v>
      </c>
      <c r="AK1322" t="n">
        <v>1</v>
      </c>
      <c r="AL1322" t="n">
        <v>5</v>
      </c>
      <c r="AM1322" t="n">
        <v>83</v>
      </c>
      <c r="AN1322" t="n">
        <v>0</v>
      </c>
      <c r="AO1322" t="n">
        <v>0</v>
      </c>
      <c r="AP1322" t="n">
        <v>2</v>
      </c>
      <c r="AQ1322" t="n">
        <v>1</v>
      </c>
      <c r="AR1322" t="n">
        <v>123</v>
      </c>
      <c r="AS1322" t="n">
        <v>113</v>
      </c>
      <c r="AT1322" t="n">
        <v>1</v>
      </c>
      <c r="AU1322" t="n">
        <v>0</v>
      </c>
      <c r="AV1322" t="n">
        <v>14</v>
      </c>
      <c r="AW1322" t="n">
        <v>2</v>
      </c>
      <c r="AX1322" t="n">
        <v>7</v>
      </c>
      <c r="AY1322" t="n">
        <v>14</v>
      </c>
      <c r="AZ1322" t="n">
        <v>0</v>
      </c>
      <c r="BA1322" t="n">
        <v>7</v>
      </c>
      <c r="BB1322" t="n">
        <v>49</v>
      </c>
      <c r="BC1322" t="n">
        <v>73</v>
      </c>
      <c r="BD1322" t="n">
        <v>28</v>
      </c>
      <c r="BE1322" t="n">
        <v>4</v>
      </c>
      <c r="BF1322" t="n">
        <v>2</v>
      </c>
      <c r="BG1322" t="n">
        <v>3</v>
      </c>
      <c r="BH1322" t="n">
        <v>0</v>
      </c>
      <c r="BI1322" t="n">
        <v>7</v>
      </c>
      <c r="BJ1322" t="n">
        <v>1</v>
      </c>
      <c r="BK1322" t="n">
        <v>2</v>
      </c>
      <c r="BL1322" t="n">
        <v>1</v>
      </c>
      <c r="BM1322" t="n">
        <v>17</v>
      </c>
      <c r="BN1322" t="n">
        <v>10</v>
      </c>
      <c r="BO1322" t="n">
        <v>2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130</v>
      </c>
      <c r="Z1323" t="n">
        <v>154</v>
      </c>
      <c r="AA1323" t="n">
        <v>12</v>
      </c>
      <c r="AB1323" t="n">
        <v>1</v>
      </c>
      <c r="AC1323" t="n">
        <v>2</v>
      </c>
      <c r="AD1323" t="n">
        <v>0</v>
      </c>
      <c r="AE1323" t="n">
        <v>4</v>
      </c>
      <c r="AF1323" t="n">
        <v>1</v>
      </c>
      <c r="AG1323" t="n">
        <v>0</v>
      </c>
      <c r="AH1323" t="n">
        <v>2</v>
      </c>
      <c r="AI1323" t="n">
        <v>26</v>
      </c>
      <c r="AJ1323" t="n">
        <v>2</v>
      </c>
      <c r="AK1323" t="n">
        <v>1</v>
      </c>
      <c r="AL1323" t="n">
        <v>2</v>
      </c>
      <c r="AM1323" t="n">
        <v>13</v>
      </c>
      <c r="AN1323" t="n">
        <v>0</v>
      </c>
      <c r="AO1323" t="n">
        <v>0</v>
      </c>
      <c r="AP1323" t="n">
        <v>4</v>
      </c>
      <c r="AQ1323" t="n">
        <v>13</v>
      </c>
      <c r="AR1323" t="n">
        <v>141</v>
      </c>
      <c r="AS1323" t="n">
        <v>125</v>
      </c>
      <c r="AT1323" t="n">
        <v>5</v>
      </c>
      <c r="AU1323" t="n">
        <v>5</v>
      </c>
      <c r="AV1323" t="n">
        <v>31</v>
      </c>
      <c r="AW1323" t="n">
        <v>46</v>
      </c>
      <c r="AX1323" t="n">
        <v>0</v>
      </c>
      <c r="AY1323" t="n">
        <v>17</v>
      </c>
      <c r="AZ1323" t="n">
        <v>0</v>
      </c>
      <c r="BA1323" t="n">
        <v>11</v>
      </c>
      <c r="BB1323" t="n">
        <v>23</v>
      </c>
      <c r="BC1323" t="n">
        <v>30</v>
      </c>
      <c r="BD1323" t="n">
        <v>23</v>
      </c>
      <c r="BE1323" t="n">
        <v>46</v>
      </c>
      <c r="BF1323" t="n">
        <v>33</v>
      </c>
      <c r="BG1323" t="n">
        <v>1</v>
      </c>
      <c r="BH1323" t="n">
        <v>5</v>
      </c>
      <c r="BI1323" t="n">
        <v>1</v>
      </c>
      <c r="BJ1323" t="n">
        <v>2</v>
      </c>
      <c r="BK1323" t="n">
        <v>0</v>
      </c>
      <c r="BL1323" t="n">
        <v>9</v>
      </c>
      <c r="BM1323" t="n">
        <v>12</v>
      </c>
      <c r="BN1323" t="n">
        <v>4</v>
      </c>
      <c r="BO1323" t="n">
        <v>2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1</v>
      </c>
      <c r="V1324" t="n">
        <v>1</v>
      </c>
      <c r="W1324" t="n">
        <v>0</v>
      </c>
      <c r="X1324" t="n">
        <v>0</v>
      </c>
      <c r="Y1324" t="n">
        <v>314</v>
      </c>
      <c r="Z1324" t="n">
        <v>382</v>
      </c>
      <c r="AA1324" t="n">
        <v>50</v>
      </c>
      <c r="AB1324" t="n">
        <v>1</v>
      </c>
      <c r="AC1324" t="n">
        <v>1</v>
      </c>
      <c r="AD1324" t="n">
        <v>6</v>
      </c>
      <c r="AE1324" t="n">
        <v>9</v>
      </c>
      <c r="AF1324" t="n">
        <v>1</v>
      </c>
      <c r="AG1324" t="n">
        <v>6</v>
      </c>
      <c r="AH1324" t="n">
        <v>42</v>
      </c>
      <c r="AI1324" t="n">
        <v>110</v>
      </c>
      <c r="AJ1324" t="n">
        <v>21</v>
      </c>
      <c r="AK1324" t="n">
        <v>93</v>
      </c>
      <c r="AL1324" t="n">
        <v>2</v>
      </c>
      <c r="AM1324" t="n">
        <v>35</v>
      </c>
      <c r="AN1324" t="n">
        <v>0</v>
      </c>
      <c r="AO1324" t="n">
        <v>0</v>
      </c>
      <c r="AP1324" t="n">
        <v>3</v>
      </c>
      <c r="AQ1324" t="n">
        <v>19</v>
      </c>
      <c r="AR1324" t="n">
        <v>80</v>
      </c>
      <c r="AS1324" t="n">
        <v>64</v>
      </c>
      <c r="AT1324" t="n">
        <v>3</v>
      </c>
      <c r="AU1324" t="n">
        <v>2</v>
      </c>
      <c r="AV1324" t="n">
        <v>41</v>
      </c>
      <c r="AW1324" t="n">
        <v>27</v>
      </c>
      <c r="AX1324" t="n">
        <v>4</v>
      </c>
      <c r="AY1324" t="n">
        <v>72</v>
      </c>
      <c r="AZ1324" t="n">
        <v>3</v>
      </c>
      <c r="BA1324" t="n">
        <v>46</v>
      </c>
      <c r="BB1324" t="n">
        <v>99</v>
      </c>
      <c r="BC1324" t="n">
        <v>35</v>
      </c>
      <c r="BD1324" t="n">
        <v>57</v>
      </c>
      <c r="BE1324" t="n">
        <v>27</v>
      </c>
      <c r="BF1324" t="n">
        <v>18</v>
      </c>
      <c r="BG1324" t="n">
        <v>2</v>
      </c>
      <c r="BH1324" t="n">
        <v>29</v>
      </c>
      <c r="BI1324" t="n">
        <v>41</v>
      </c>
      <c r="BJ1324" t="n">
        <v>47</v>
      </c>
      <c r="BK1324" t="n">
        <v>9</v>
      </c>
      <c r="BL1324" t="n">
        <v>135</v>
      </c>
      <c r="BM1324" t="n">
        <v>112</v>
      </c>
      <c r="BN1324" t="n">
        <v>14</v>
      </c>
      <c r="BO1324" t="n">
        <v>11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1</v>
      </c>
      <c r="V1325" t="n">
        <v>0</v>
      </c>
      <c r="W1325" t="n">
        <v>0</v>
      </c>
      <c r="X1325" t="n">
        <v>0</v>
      </c>
      <c r="Y1325" t="n">
        <v>95</v>
      </c>
      <c r="Z1325" t="n">
        <v>129</v>
      </c>
      <c r="AA1325" t="n">
        <v>70</v>
      </c>
      <c r="AB1325" t="n">
        <v>1</v>
      </c>
      <c r="AC1325" t="n">
        <v>0</v>
      </c>
      <c r="AD1325" t="n">
        <v>2</v>
      </c>
      <c r="AE1325" t="n">
        <v>1</v>
      </c>
      <c r="AF1325" t="n">
        <v>3</v>
      </c>
      <c r="AG1325" t="n">
        <v>3</v>
      </c>
      <c r="AH1325" t="n">
        <v>29</v>
      </c>
      <c r="AI1325" t="n">
        <v>2</v>
      </c>
      <c r="AJ1325" t="n">
        <v>7</v>
      </c>
      <c r="AK1325" t="n">
        <v>10</v>
      </c>
      <c r="AL1325" t="n">
        <v>1</v>
      </c>
      <c r="AM1325" t="n">
        <v>21</v>
      </c>
      <c r="AN1325" t="n">
        <v>0</v>
      </c>
      <c r="AO1325" t="n">
        <v>0</v>
      </c>
      <c r="AP1325" t="n">
        <v>3</v>
      </c>
      <c r="AQ1325" t="n">
        <v>47</v>
      </c>
      <c r="AR1325" t="n">
        <v>115</v>
      </c>
      <c r="AS1325" t="n">
        <v>76</v>
      </c>
      <c r="AT1325" t="n">
        <v>0</v>
      </c>
      <c r="AU1325" t="n">
        <v>4</v>
      </c>
      <c r="AV1325" t="n">
        <v>-4</v>
      </c>
      <c r="AW1325" t="n">
        <v>44</v>
      </c>
      <c r="AX1325" t="n">
        <v>0</v>
      </c>
      <c r="AY1325" t="n">
        <v>63</v>
      </c>
      <c r="AZ1325" t="n">
        <v>1</v>
      </c>
      <c r="BA1325" t="n">
        <v>-1</v>
      </c>
      <c r="BB1325" t="n">
        <v>69</v>
      </c>
      <c r="BC1325" t="n">
        <v>17</v>
      </c>
      <c r="BD1325" t="n">
        <v>27</v>
      </c>
      <c r="BE1325" t="n">
        <v>43</v>
      </c>
      <c r="BF1325" t="n">
        <v>5</v>
      </c>
      <c r="BG1325" t="n">
        <v>2</v>
      </c>
      <c r="BH1325" t="n">
        <v>0</v>
      </c>
      <c r="BI1325" t="n">
        <v>10</v>
      </c>
      <c r="BJ1325" t="n">
        <v>9</v>
      </c>
      <c r="BK1325" t="n">
        <v>0</v>
      </c>
      <c r="BL1325" t="n">
        <v>5</v>
      </c>
      <c r="BM1325" t="n">
        <v>28</v>
      </c>
      <c r="BN1325" t="n">
        <v>17</v>
      </c>
      <c r="BO1325" t="n">
        <v>23</v>
      </c>
    </row>
    <row r="1326">
      <c r="A1326" t="n">
        <v>2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2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2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218</v>
      </c>
      <c r="Z1326" t="n">
        <v>138</v>
      </c>
      <c r="AA1326" t="n">
        <v>84</v>
      </c>
      <c r="AB1326" t="n">
        <v>3</v>
      </c>
      <c r="AC1326" t="n">
        <v>2</v>
      </c>
      <c r="AD1326" t="n">
        <v>1</v>
      </c>
      <c r="AE1326" t="n">
        <v>3</v>
      </c>
      <c r="AF1326" t="n">
        <v>3</v>
      </c>
      <c r="AG1326" t="n">
        <v>6</v>
      </c>
      <c r="AH1326" t="n">
        <v>2</v>
      </c>
      <c r="AI1326" t="n">
        <v>30</v>
      </c>
      <c r="AJ1326" t="n">
        <v>13</v>
      </c>
      <c r="AK1326" t="n">
        <v>39</v>
      </c>
      <c r="AL1326" t="n">
        <v>5</v>
      </c>
      <c r="AM1326" t="n">
        <v>50</v>
      </c>
      <c r="AN1326" t="n">
        <v>1</v>
      </c>
      <c r="AO1326" t="n">
        <v>0</v>
      </c>
      <c r="AP1326" t="n">
        <v>9</v>
      </c>
      <c r="AQ1326" t="n">
        <v>36</v>
      </c>
      <c r="AR1326" t="n">
        <v>79</v>
      </c>
      <c r="AS1326" t="n">
        <v>48</v>
      </c>
      <c r="AT1326" t="n">
        <v>3</v>
      </c>
      <c r="AU1326" t="n">
        <v>0</v>
      </c>
      <c r="AV1326" t="n">
        <v>11</v>
      </c>
      <c r="AW1326" t="n">
        <v>1</v>
      </c>
      <c r="AX1326" t="n">
        <v>21</v>
      </c>
      <c r="AY1326" t="n">
        <v>15</v>
      </c>
      <c r="AZ1326" t="n">
        <v>2</v>
      </c>
      <c r="BA1326" t="n">
        <v>29</v>
      </c>
      <c r="BB1326" t="n">
        <v>108</v>
      </c>
      <c r="BC1326" t="n">
        <v>70</v>
      </c>
      <c r="BD1326" t="n">
        <v>5</v>
      </c>
      <c r="BE1326" t="n">
        <v>1</v>
      </c>
      <c r="BF1326" t="n">
        <v>13</v>
      </c>
      <c r="BG1326" t="n">
        <v>2</v>
      </c>
      <c r="BH1326" t="n">
        <v>5</v>
      </c>
      <c r="BI1326" t="n">
        <v>60</v>
      </c>
      <c r="BJ1326" t="n">
        <v>55</v>
      </c>
      <c r="BK1326" t="n">
        <v>2</v>
      </c>
      <c r="BL1326" t="n">
        <v>26</v>
      </c>
      <c r="BM1326" t="n">
        <v>24</v>
      </c>
      <c r="BN1326" t="n">
        <v>6</v>
      </c>
      <c r="BO1326" t="n">
        <v>65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377</v>
      </c>
      <c r="Z1327" t="n">
        <v>116</v>
      </c>
      <c r="AA1327" t="n">
        <v>77</v>
      </c>
      <c r="AB1327" t="n">
        <v>1</v>
      </c>
      <c r="AC1327" t="n">
        <v>0</v>
      </c>
      <c r="AD1327" t="n">
        <v>5</v>
      </c>
      <c r="AE1327" t="n">
        <v>0</v>
      </c>
      <c r="AF1327" t="n">
        <v>5</v>
      </c>
      <c r="AG1327" t="n">
        <v>8</v>
      </c>
      <c r="AH1327" t="n">
        <v>61</v>
      </c>
      <c r="AI1327" t="n">
        <v>24</v>
      </c>
      <c r="AJ1327" t="n">
        <v>68</v>
      </c>
      <c r="AK1327" t="n">
        <v>119</v>
      </c>
      <c r="AL1327" t="n">
        <v>0</v>
      </c>
      <c r="AM1327" t="n">
        <v>27</v>
      </c>
      <c r="AN1327" t="n">
        <v>0</v>
      </c>
      <c r="AO1327" t="n">
        <v>0</v>
      </c>
      <c r="AP1327" t="n">
        <v>11</v>
      </c>
      <c r="AQ1327" t="n">
        <v>131</v>
      </c>
      <c r="AR1327" t="n">
        <v>259</v>
      </c>
      <c r="AS1327" t="n">
        <v>155</v>
      </c>
      <c r="AT1327" t="n">
        <v>2</v>
      </c>
      <c r="AU1327" t="n">
        <v>1</v>
      </c>
      <c r="AV1327" t="n">
        <v>1</v>
      </c>
      <c r="AW1327" t="n">
        <v>11</v>
      </c>
      <c r="AX1327" t="n">
        <v>0</v>
      </c>
      <c r="AY1327" t="n">
        <v>10</v>
      </c>
      <c r="AZ1327" t="n">
        <v>2</v>
      </c>
      <c r="BA1327" t="n">
        <v>4</v>
      </c>
      <c r="BB1327" t="n">
        <v>74</v>
      </c>
      <c r="BC1327" t="n">
        <v>21</v>
      </c>
      <c r="BD1327" t="n">
        <v>57</v>
      </c>
      <c r="BE1327" t="n">
        <v>10</v>
      </c>
      <c r="BF1327" t="n">
        <v>55</v>
      </c>
      <c r="BG1327" t="n">
        <v>5</v>
      </c>
      <c r="BH1327" t="n">
        <v>11</v>
      </c>
      <c r="BI1327" t="n">
        <v>34</v>
      </c>
      <c r="BJ1327" t="n">
        <v>31</v>
      </c>
      <c r="BK1327" t="n">
        <v>3</v>
      </c>
      <c r="BL1327" t="n">
        <v>1</v>
      </c>
      <c r="BM1327" t="n">
        <v>3</v>
      </c>
      <c r="BN1327" t="n">
        <v>1</v>
      </c>
      <c r="BO1327" t="n">
        <v>4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2</v>
      </c>
      <c r="U1328" t="n">
        <v>0</v>
      </c>
      <c r="V1328" t="n">
        <v>0</v>
      </c>
      <c r="W1328" t="n">
        <v>1</v>
      </c>
      <c r="X1328" t="n">
        <v>0</v>
      </c>
      <c r="Y1328" t="n">
        <v>264</v>
      </c>
      <c r="Z1328" t="n">
        <v>251</v>
      </c>
      <c r="AA1328" t="n">
        <v>44</v>
      </c>
      <c r="AB1328" t="n">
        <v>3</v>
      </c>
      <c r="AC1328" t="n">
        <v>1</v>
      </c>
      <c r="AD1328" t="n">
        <v>3</v>
      </c>
      <c r="AE1328" t="n">
        <v>6</v>
      </c>
      <c r="AF1328" t="n">
        <v>3</v>
      </c>
      <c r="AG1328" t="n">
        <v>7</v>
      </c>
      <c r="AH1328" t="n">
        <v>30</v>
      </c>
      <c r="AI1328" t="n">
        <v>99</v>
      </c>
      <c r="AJ1328" t="n">
        <v>42</v>
      </c>
      <c r="AK1328" t="n">
        <v>50</v>
      </c>
      <c r="AL1328" t="n">
        <v>3</v>
      </c>
      <c r="AM1328" t="n">
        <v>33</v>
      </c>
      <c r="AN1328" t="n">
        <v>0</v>
      </c>
      <c r="AO1328" t="n">
        <v>0</v>
      </c>
      <c r="AP1328" t="n">
        <v>9</v>
      </c>
      <c r="AQ1328" t="n">
        <v>100</v>
      </c>
      <c r="AR1328" t="n">
        <v>132</v>
      </c>
      <c r="AS1328" t="n">
        <v>47</v>
      </c>
      <c r="AT1328" t="n">
        <v>5</v>
      </c>
      <c r="AU1328" t="n">
        <v>2</v>
      </c>
      <c r="AV1328" t="n">
        <v>49</v>
      </c>
      <c r="AW1328" t="n">
        <v>16</v>
      </c>
      <c r="AX1328" t="n">
        <v>0</v>
      </c>
      <c r="AY1328" t="n">
        <v>1</v>
      </c>
      <c r="AZ1328" t="n">
        <v>4</v>
      </c>
      <c r="BA1328" t="n">
        <v>29</v>
      </c>
      <c r="BB1328" t="n">
        <v>72</v>
      </c>
      <c r="BC1328" t="n">
        <v>29</v>
      </c>
      <c r="BD1328" t="n">
        <v>57</v>
      </c>
      <c r="BE1328" t="n">
        <v>15</v>
      </c>
      <c r="BF1328" t="n">
        <v>33</v>
      </c>
      <c r="BG1328" t="n">
        <v>4</v>
      </c>
      <c r="BH1328" t="n">
        <v>9</v>
      </c>
      <c r="BI1328" t="n">
        <v>27</v>
      </c>
      <c r="BJ1328" t="n">
        <v>37</v>
      </c>
      <c r="BK1328" t="n">
        <v>3</v>
      </c>
      <c r="BL1328" t="n">
        <v>21</v>
      </c>
      <c r="BM1328" t="n">
        <v>22</v>
      </c>
      <c r="BN1328" t="n">
        <v>6</v>
      </c>
      <c r="BO1328" t="n">
        <v>25</v>
      </c>
    </row>
    <row r="1329">
      <c r="A1329" t="n">
        <v>0</v>
      </c>
      <c r="B1329" t="n">
        <v>0</v>
      </c>
      <c r="C1329" t="n">
        <v>0</v>
      </c>
      <c r="D1329" t="n">
        <v>2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225</v>
      </c>
      <c r="Z1329" t="n">
        <v>238</v>
      </c>
      <c r="AA1329" t="n">
        <v>64</v>
      </c>
      <c r="AB1329" t="n">
        <v>2</v>
      </c>
      <c r="AC1329" t="n">
        <v>0</v>
      </c>
      <c r="AD1329" t="n">
        <v>3</v>
      </c>
      <c r="AE1329" t="n">
        <v>7</v>
      </c>
      <c r="AF1329" t="n">
        <v>6</v>
      </c>
      <c r="AG1329" t="n">
        <v>3</v>
      </c>
      <c r="AH1329" t="n">
        <v>88</v>
      </c>
      <c r="AI1329" t="n">
        <v>42</v>
      </c>
      <c r="AJ1329" t="n">
        <v>75</v>
      </c>
      <c r="AK1329" t="n">
        <v>15</v>
      </c>
      <c r="AL1329" t="n">
        <v>0</v>
      </c>
      <c r="AM1329" t="n">
        <v>7</v>
      </c>
      <c r="AN1329" t="n">
        <v>0</v>
      </c>
      <c r="AO1329" t="n">
        <v>0</v>
      </c>
      <c r="AP1329" t="n">
        <v>4</v>
      </c>
      <c r="AQ1329" t="n">
        <v>10</v>
      </c>
      <c r="AR1329" t="n">
        <v>137</v>
      </c>
      <c r="AS1329" t="n">
        <v>123</v>
      </c>
      <c r="AT1329" t="n">
        <v>3</v>
      </c>
      <c r="AU1329" t="n">
        <v>3</v>
      </c>
      <c r="AV1329" t="n">
        <v>19</v>
      </c>
      <c r="AW1329" t="n">
        <v>38</v>
      </c>
      <c r="AX1329" t="n">
        <v>9</v>
      </c>
      <c r="AY1329" t="n">
        <v>26</v>
      </c>
      <c r="AZ1329" t="n">
        <v>1</v>
      </c>
      <c r="BA1329" t="n">
        <v>18</v>
      </c>
      <c r="BB1329" t="n">
        <v>80</v>
      </c>
      <c r="BC1329" t="n">
        <v>3</v>
      </c>
      <c r="BD1329" t="n">
        <v>83</v>
      </c>
      <c r="BE1329" t="n">
        <v>37</v>
      </c>
      <c r="BF1329" t="n">
        <v>66</v>
      </c>
      <c r="BG1329" t="n">
        <v>0</v>
      </c>
      <c r="BH1329" t="n">
        <v>4</v>
      </c>
      <c r="BI1329" t="n">
        <v>1</v>
      </c>
      <c r="BJ1329" t="n">
        <v>3</v>
      </c>
      <c r="BK1329" t="n">
        <v>0</v>
      </c>
      <c r="BL1329" t="n">
        <v>-1</v>
      </c>
      <c r="BM1329" t="n">
        <v>9</v>
      </c>
      <c r="BN1329" t="n">
        <v>5</v>
      </c>
      <c r="BO1329" t="n">
        <v>4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335</v>
      </c>
      <c r="Z1330" t="n">
        <v>252</v>
      </c>
      <c r="AA1330" t="n">
        <v>21</v>
      </c>
      <c r="AB1330" t="n">
        <v>0</v>
      </c>
      <c r="AC1330" t="n">
        <v>1</v>
      </c>
      <c r="AD1330" t="n">
        <v>10</v>
      </c>
      <c r="AE1330" t="n">
        <v>9</v>
      </c>
      <c r="AF1330" t="n">
        <v>5</v>
      </c>
      <c r="AG1330" t="n">
        <v>2</v>
      </c>
      <c r="AH1330" t="n">
        <v>155</v>
      </c>
      <c r="AI1330" t="n">
        <v>174</v>
      </c>
      <c r="AJ1330" t="n">
        <v>23</v>
      </c>
      <c r="AK1330" t="n">
        <v>25</v>
      </c>
      <c r="AL1330" t="n">
        <v>3</v>
      </c>
      <c r="AM1330" t="n">
        <v>17</v>
      </c>
      <c r="AN1330" t="n">
        <v>0</v>
      </c>
      <c r="AO1330" t="n">
        <v>0</v>
      </c>
      <c r="AP1330" t="n">
        <v>3</v>
      </c>
      <c r="AQ1330" t="n">
        <v>33</v>
      </c>
      <c r="AR1330" t="n">
        <v>38</v>
      </c>
      <c r="AS1330" t="n">
        <v>10</v>
      </c>
      <c r="AT1330" t="n">
        <v>2</v>
      </c>
      <c r="AU1330" t="n">
        <v>0</v>
      </c>
      <c r="AV1330" t="n">
        <v>9</v>
      </c>
      <c r="AW1330" t="n">
        <v>12</v>
      </c>
      <c r="AX1330" t="n">
        <v>0</v>
      </c>
      <c r="AY1330" t="n">
        <v>23</v>
      </c>
      <c r="AZ1330" t="n">
        <v>5</v>
      </c>
      <c r="BA1330" t="n">
        <v>23</v>
      </c>
      <c r="BB1330" t="n">
        <v>45</v>
      </c>
      <c r="BC1330" t="n">
        <v>13</v>
      </c>
      <c r="BD1330" t="n">
        <v>153</v>
      </c>
      <c r="BE1330" t="n">
        <v>12</v>
      </c>
      <c r="BF1330" t="n">
        <v>20</v>
      </c>
      <c r="BG1330" t="n">
        <v>1</v>
      </c>
      <c r="BH1330" t="n">
        <v>12</v>
      </c>
      <c r="BI1330" t="n">
        <v>47</v>
      </c>
      <c r="BJ1330" t="n">
        <v>44</v>
      </c>
      <c r="BK1330" t="n">
        <v>5</v>
      </c>
      <c r="BL1330" t="n">
        <v>28</v>
      </c>
      <c r="BM1330" t="n">
        <v>19</v>
      </c>
      <c r="BN1330" t="n">
        <v>0</v>
      </c>
      <c r="BO1330" t="n">
        <v>14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261</v>
      </c>
      <c r="Z1331" t="n">
        <v>196</v>
      </c>
      <c r="AA1331" t="n">
        <v>51</v>
      </c>
      <c r="AB1331" t="n">
        <v>1</v>
      </c>
      <c r="AC1331" t="n">
        <v>0</v>
      </c>
      <c r="AD1331" t="n">
        <v>3</v>
      </c>
      <c r="AE1331" t="n">
        <v>15</v>
      </c>
      <c r="AF1331" t="n">
        <v>9</v>
      </c>
      <c r="AG1331" t="n">
        <v>6</v>
      </c>
      <c r="AH1331" t="n">
        <v>46</v>
      </c>
      <c r="AI1331" t="n">
        <v>87</v>
      </c>
      <c r="AJ1331" t="n">
        <v>103</v>
      </c>
      <c r="AK1331" t="n">
        <v>57</v>
      </c>
      <c r="AL1331" t="n">
        <v>2</v>
      </c>
      <c r="AM1331" t="n">
        <v>2</v>
      </c>
      <c r="AN1331" t="n">
        <v>0</v>
      </c>
      <c r="AO1331" t="n">
        <v>0</v>
      </c>
      <c r="AP1331" t="n">
        <v>3</v>
      </c>
      <c r="AQ1331" t="n">
        <v>7</v>
      </c>
      <c r="AR1331" t="n">
        <v>47</v>
      </c>
      <c r="AS1331" t="n">
        <v>40</v>
      </c>
      <c r="AT1331" t="n">
        <v>6</v>
      </c>
      <c r="AU1331" t="n">
        <v>1</v>
      </c>
      <c r="AV1331" t="n">
        <v>44</v>
      </c>
      <c r="AW1331" t="n">
        <v>5</v>
      </c>
      <c r="AX1331" t="n">
        <v>0</v>
      </c>
      <c r="AY1331" t="n">
        <v>27</v>
      </c>
      <c r="AZ1331" t="n">
        <v>5</v>
      </c>
      <c r="BA1331" t="n">
        <v>42</v>
      </c>
      <c r="BB1331" t="n">
        <v>94</v>
      </c>
      <c r="BC1331" t="n">
        <v>2</v>
      </c>
      <c r="BD1331" t="n">
        <v>41</v>
      </c>
      <c r="BE1331" t="n">
        <v>4</v>
      </c>
      <c r="BF1331" t="n">
        <v>85</v>
      </c>
      <c r="BG1331" t="n">
        <v>1</v>
      </c>
      <c r="BH1331" t="n">
        <v>13</v>
      </c>
      <c r="BI1331" t="n">
        <v>20</v>
      </c>
      <c r="BJ1331" t="n">
        <v>19</v>
      </c>
      <c r="BK1331" t="n">
        <v>3</v>
      </c>
      <c r="BL1331" t="n">
        <v>58</v>
      </c>
      <c r="BM1331" t="n">
        <v>39</v>
      </c>
      <c r="BN1331" t="n">
        <v>1</v>
      </c>
      <c r="BO1331" t="n">
        <v>42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166</v>
      </c>
      <c r="Z1332" t="n">
        <v>192</v>
      </c>
      <c r="AA1332" t="n">
        <v>39</v>
      </c>
      <c r="AB1332" t="n">
        <v>1</v>
      </c>
      <c r="AC1332" t="n">
        <v>1</v>
      </c>
      <c r="AD1332" t="n">
        <v>4</v>
      </c>
      <c r="AE1332" t="n">
        <v>6</v>
      </c>
      <c r="AF1332" t="n">
        <v>2</v>
      </c>
      <c r="AG1332" t="n">
        <v>2</v>
      </c>
      <c r="AH1332" t="n">
        <v>32</v>
      </c>
      <c r="AI1332" t="n">
        <v>36</v>
      </c>
      <c r="AJ1332" t="n">
        <v>25</v>
      </c>
      <c r="AK1332" t="n">
        <v>6</v>
      </c>
      <c r="AL1332" t="n">
        <v>3</v>
      </c>
      <c r="AM1332" t="n">
        <v>44</v>
      </c>
      <c r="AN1332" t="n">
        <v>0</v>
      </c>
      <c r="AO1332" t="n">
        <v>0</v>
      </c>
      <c r="AP1332" t="n">
        <v>0</v>
      </c>
      <c r="AQ1332" t="n">
        <v>4</v>
      </c>
      <c r="AR1332" t="n">
        <v>112</v>
      </c>
      <c r="AS1332" t="n">
        <v>104</v>
      </c>
      <c r="AT1332" t="n">
        <v>3</v>
      </c>
      <c r="AU1332" t="n">
        <v>1</v>
      </c>
      <c r="AV1332" t="n">
        <v>9</v>
      </c>
      <c r="AW1332" t="n">
        <v>15</v>
      </c>
      <c r="AX1332" t="n">
        <v>11</v>
      </c>
      <c r="AY1332" t="n">
        <v>32</v>
      </c>
      <c r="AZ1332" t="n">
        <v>3</v>
      </c>
      <c r="BA1332" t="n">
        <v>5</v>
      </c>
      <c r="BB1332" t="n">
        <v>40</v>
      </c>
      <c r="BC1332" t="n">
        <v>34</v>
      </c>
      <c r="BD1332" t="n">
        <v>43</v>
      </c>
      <c r="BE1332" t="n">
        <v>15</v>
      </c>
      <c r="BF1332" t="n">
        <v>20</v>
      </c>
      <c r="BG1332" t="n">
        <v>5</v>
      </c>
      <c r="BH1332" t="n">
        <v>13</v>
      </c>
      <c r="BI1332" t="n">
        <v>47</v>
      </c>
      <c r="BJ1332" t="n">
        <v>45</v>
      </c>
      <c r="BK1332" t="n">
        <v>3</v>
      </c>
      <c r="BL1332" t="n">
        <v>32</v>
      </c>
      <c r="BM1332" t="n">
        <v>21</v>
      </c>
      <c r="BN1332" t="n">
        <v>0</v>
      </c>
      <c r="BO1332" t="n">
        <v>9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300</v>
      </c>
      <c r="Z1333" t="n">
        <v>126</v>
      </c>
      <c r="AA1333" t="n">
        <v>17</v>
      </c>
      <c r="AB1333" t="n">
        <v>0</v>
      </c>
      <c r="AC1333" t="n">
        <v>0</v>
      </c>
      <c r="AD1333" t="n">
        <v>5</v>
      </c>
      <c r="AE1333" t="n">
        <v>7</v>
      </c>
      <c r="AF1333" t="n">
        <v>4</v>
      </c>
      <c r="AG1333" t="n">
        <v>1</v>
      </c>
      <c r="AH1333" t="n">
        <v>91</v>
      </c>
      <c r="AI1333" t="n">
        <v>47</v>
      </c>
      <c r="AJ1333" t="n">
        <v>82</v>
      </c>
      <c r="AK1333" t="n">
        <v>24</v>
      </c>
      <c r="AL1333" t="n">
        <v>1</v>
      </c>
      <c r="AM1333" t="n">
        <v>14</v>
      </c>
      <c r="AN1333" t="n">
        <v>1</v>
      </c>
      <c r="AO1333" t="n">
        <v>0</v>
      </c>
      <c r="AP1333" t="n">
        <v>6</v>
      </c>
      <c r="AQ1333" t="n">
        <v>30</v>
      </c>
      <c r="AR1333" t="n">
        <v>69</v>
      </c>
      <c r="AS1333" t="n">
        <v>43</v>
      </c>
      <c r="AT1333" t="n">
        <v>0</v>
      </c>
      <c r="AU1333" t="n">
        <v>1</v>
      </c>
      <c r="AV1333" t="n">
        <v>29</v>
      </c>
      <c r="AW1333" t="n">
        <v>7</v>
      </c>
      <c r="AX1333" t="n">
        <v>1</v>
      </c>
      <c r="AY1333" t="n">
        <v>53</v>
      </c>
      <c r="AZ1333" t="n">
        <v>0</v>
      </c>
      <c r="BA1333" t="n">
        <v>1</v>
      </c>
      <c r="BB1333" t="n">
        <v>17</v>
      </c>
      <c r="BC1333" t="n">
        <v>20</v>
      </c>
      <c r="BD1333" t="n">
        <v>95</v>
      </c>
      <c r="BE1333" t="n">
        <v>9</v>
      </c>
      <c r="BF1333" t="n">
        <v>63</v>
      </c>
      <c r="BG1333" t="n">
        <v>2</v>
      </c>
      <c r="BH1333" t="n">
        <v>7</v>
      </c>
      <c r="BI1333" t="n">
        <v>66</v>
      </c>
      <c r="BJ1333" t="n">
        <v>64</v>
      </c>
      <c r="BK1333" t="n">
        <v>0</v>
      </c>
      <c r="BL1333" t="n">
        <v>5</v>
      </c>
      <c r="BM1333" t="n">
        <v>5</v>
      </c>
      <c r="BN1333" t="n">
        <v>3</v>
      </c>
      <c r="BO1333" t="n">
        <v>2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2</v>
      </c>
      <c r="V1334" t="n">
        <v>0</v>
      </c>
      <c r="W1334" t="n">
        <v>0</v>
      </c>
      <c r="X1334" t="n">
        <v>0</v>
      </c>
      <c r="Y1334" t="n">
        <v>293</v>
      </c>
      <c r="Z1334" t="n">
        <v>316</v>
      </c>
      <c r="AA1334" t="n">
        <v>60</v>
      </c>
      <c r="AB1334" t="n">
        <v>1</v>
      </c>
      <c r="AC1334" t="n">
        <v>1</v>
      </c>
      <c r="AD1334" t="n">
        <v>6</v>
      </c>
      <c r="AE1334" t="n">
        <v>8</v>
      </c>
      <c r="AF1334" t="n">
        <v>8</v>
      </c>
      <c r="AG1334" t="n">
        <v>3</v>
      </c>
      <c r="AH1334" t="n">
        <v>98</v>
      </c>
      <c r="AI1334" t="n">
        <v>81</v>
      </c>
      <c r="AJ1334" t="n">
        <v>106</v>
      </c>
      <c r="AK1334" t="n">
        <v>39</v>
      </c>
      <c r="AL1334" t="n">
        <v>1</v>
      </c>
      <c r="AM1334" t="n">
        <v>61</v>
      </c>
      <c r="AN1334" t="n">
        <v>0</v>
      </c>
      <c r="AO1334" t="n">
        <v>0</v>
      </c>
      <c r="AP1334" t="n">
        <v>7</v>
      </c>
      <c r="AQ1334" t="n">
        <v>21</v>
      </c>
      <c r="AR1334" t="n">
        <v>67</v>
      </c>
      <c r="AS1334" t="n">
        <v>49</v>
      </c>
      <c r="AT1334" t="n">
        <v>2</v>
      </c>
      <c r="AU1334" t="n">
        <v>1</v>
      </c>
      <c r="AV1334" t="n">
        <v>18</v>
      </c>
      <c r="AW1334" t="n">
        <v>19</v>
      </c>
      <c r="AX1334" t="n">
        <v>0</v>
      </c>
      <c r="AY1334" t="n">
        <v>5</v>
      </c>
      <c r="AZ1334" t="n">
        <v>2</v>
      </c>
      <c r="BA1334" t="n">
        <v>23</v>
      </c>
      <c r="BB1334" t="n">
        <v>80</v>
      </c>
      <c r="BC1334" t="n">
        <v>51</v>
      </c>
      <c r="BD1334" t="n">
        <v>112</v>
      </c>
      <c r="BE1334" t="n">
        <v>21</v>
      </c>
      <c r="BF1334" t="n">
        <v>86</v>
      </c>
      <c r="BG1334" t="n">
        <v>4</v>
      </c>
      <c r="BH1334" t="n">
        <v>3</v>
      </c>
      <c r="BI1334" t="n">
        <v>47</v>
      </c>
      <c r="BJ1334" t="n">
        <v>58</v>
      </c>
      <c r="BK1334" t="n">
        <v>6</v>
      </c>
      <c r="BL1334" t="n">
        <v>70</v>
      </c>
      <c r="BM1334" t="n">
        <v>64</v>
      </c>
      <c r="BN1334" t="n">
        <v>13</v>
      </c>
      <c r="BO1334" t="n">
        <v>4</v>
      </c>
    </row>
    <row r="1335">
      <c r="A1335" t="n">
        <v>0</v>
      </c>
      <c r="B1335" t="n">
        <v>2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143</v>
      </c>
      <c r="Z1335" t="n">
        <v>360</v>
      </c>
      <c r="AA1335" t="n">
        <v>21</v>
      </c>
      <c r="AB1335" t="n">
        <v>3</v>
      </c>
      <c r="AC1335" t="n">
        <v>0</v>
      </c>
      <c r="AD1335" t="n">
        <v>6</v>
      </c>
      <c r="AE1335" t="n">
        <v>8</v>
      </c>
      <c r="AF1335" t="n">
        <v>3</v>
      </c>
      <c r="AG1335" t="n">
        <v>6</v>
      </c>
      <c r="AH1335" t="n">
        <v>52</v>
      </c>
      <c r="AI1335" t="n">
        <v>18</v>
      </c>
      <c r="AJ1335" t="n">
        <v>39</v>
      </c>
      <c r="AK1335" t="n">
        <v>21</v>
      </c>
      <c r="AL1335" t="n">
        <v>9</v>
      </c>
      <c r="AM1335" t="n">
        <v>265</v>
      </c>
      <c r="AN1335" t="n">
        <v>0</v>
      </c>
      <c r="AO1335" t="n">
        <v>0</v>
      </c>
      <c r="AP1335" t="n">
        <v>6</v>
      </c>
      <c r="AQ1335" t="n">
        <v>-2</v>
      </c>
      <c r="AR1335" t="n">
        <v>40</v>
      </c>
      <c r="AS1335" t="n">
        <v>39</v>
      </c>
      <c r="AT1335" t="n">
        <v>1</v>
      </c>
      <c r="AU1335" t="n">
        <v>2</v>
      </c>
      <c r="AV1335" t="n">
        <v>1</v>
      </c>
      <c r="AW1335" t="n">
        <v>19</v>
      </c>
      <c r="AX1335" t="n">
        <v>2</v>
      </c>
      <c r="AY1335" t="n">
        <v>1</v>
      </c>
      <c r="AZ1335" t="n">
        <v>1</v>
      </c>
      <c r="BA1335" t="n">
        <v>12</v>
      </c>
      <c r="BB1335" t="n">
        <v>33</v>
      </c>
      <c r="BC1335" t="n">
        <v>207</v>
      </c>
      <c r="BD1335" t="n">
        <v>45</v>
      </c>
      <c r="BE1335" t="n">
        <v>19</v>
      </c>
      <c r="BF1335" t="n">
        <v>33</v>
      </c>
      <c r="BG1335" t="n">
        <v>2</v>
      </c>
      <c r="BH1335" t="n">
        <v>2</v>
      </c>
      <c r="BI1335" t="n">
        <v>16</v>
      </c>
      <c r="BJ1335" t="n">
        <v>18</v>
      </c>
      <c r="BK1335" t="n">
        <v>6</v>
      </c>
      <c r="BL1335" t="n">
        <v>30</v>
      </c>
      <c r="BM1335" t="n">
        <v>25</v>
      </c>
      <c r="BN1335" t="n">
        <v>5</v>
      </c>
      <c r="BO1335" t="n">
        <v>16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2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63</v>
      </c>
      <c r="Z1336" t="n">
        <v>168</v>
      </c>
      <c r="AA1336" t="n">
        <v>85</v>
      </c>
      <c r="AB1336" t="n">
        <v>3</v>
      </c>
      <c r="AC1336" t="n">
        <v>3</v>
      </c>
      <c r="AD1336" t="n">
        <v>2</v>
      </c>
      <c r="AE1336" t="n">
        <v>10</v>
      </c>
      <c r="AF1336" t="n">
        <v>1</v>
      </c>
      <c r="AG1336" t="n">
        <v>8</v>
      </c>
      <c r="AH1336" t="n">
        <v>2</v>
      </c>
      <c r="AI1336" t="n">
        <v>146</v>
      </c>
      <c r="AJ1336" t="n">
        <v>27</v>
      </c>
      <c r="AK1336" t="n">
        <v>18</v>
      </c>
      <c r="AL1336" t="n">
        <v>0</v>
      </c>
      <c r="AM1336" t="n">
        <v>2</v>
      </c>
      <c r="AN1336" t="n">
        <v>0</v>
      </c>
      <c r="AO1336" t="n">
        <v>0</v>
      </c>
      <c r="AP1336" t="n">
        <v>5</v>
      </c>
      <c r="AQ1336" t="n">
        <v>-3</v>
      </c>
      <c r="AR1336" t="n">
        <v>193</v>
      </c>
      <c r="AS1336" t="n">
        <v>186</v>
      </c>
      <c r="AT1336" t="n">
        <v>2</v>
      </c>
      <c r="AU1336" t="n">
        <v>0</v>
      </c>
      <c r="AV1336" t="n">
        <v>15</v>
      </c>
      <c r="AW1336" t="n">
        <v>7</v>
      </c>
      <c r="AX1336" t="n">
        <v>3</v>
      </c>
      <c r="AY1336" t="n">
        <v>14</v>
      </c>
      <c r="AZ1336" t="n">
        <v>0</v>
      </c>
      <c r="BA1336" t="n">
        <v>1</v>
      </c>
      <c r="BB1336" t="n">
        <v>82</v>
      </c>
      <c r="BC1336" t="n">
        <v>2</v>
      </c>
      <c r="BD1336" t="n">
        <v>2</v>
      </c>
      <c r="BE1336" t="n">
        <v>7</v>
      </c>
      <c r="BF1336" t="n">
        <v>26</v>
      </c>
      <c r="BG1336" t="n">
        <v>2</v>
      </c>
      <c r="BH1336" t="n">
        <v>1</v>
      </c>
      <c r="BI1336" t="n">
        <v>1</v>
      </c>
      <c r="BJ1336" t="n">
        <v>9</v>
      </c>
      <c r="BK1336" t="n">
        <v>2</v>
      </c>
      <c r="BL1336" t="n">
        <v>1</v>
      </c>
      <c r="BM1336" t="n">
        <v>7</v>
      </c>
      <c r="BN1336" t="n">
        <v>4</v>
      </c>
      <c r="BO1336" t="n">
        <v>2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2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289</v>
      </c>
      <c r="Z1337" t="n">
        <v>261</v>
      </c>
      <c r="AA1337" t="n">
        <v>67</v>
      </c>
      <c r="AB1337" t="n">
        <v>3</v>
      </c>
      <c r="AC1337" t="n">
        <v>0</v>
      </c>
      <c r="AD1337" t="n">
        <v>3</v>
      </c>
      <c r="AE1337" t="n">
        <v>10</v>
      </c>
      <c r="AF1337" t="n">
        <v>4</v>
      </c>
      <c r="AG1337" t="n">
        <v>0</v>
      </c>
      <c r="AH1337" t="n">
        <v>78</v>
      </c>
      <c r="AI1337" t="n">
        <v>135</v>
      </c>
      <c r="AJ1337" t="n">
        <v>32</v>
      </c>
      <c r="AK1337" t="n">
        <v>1</v>
      </c>
      <c r="AL1337" t="n">
        <v>5</v>
      </c>
      <c r="AM1337" t="n">
        <v>53</v>
      </c>
      <c r="AN1337" t="n">
        <v>0</v>
      </c>
      <c r="AO1337" t="n">
        <v>0</v>
      </c>
      <c r="AP1337" t="n">
        <v>3</v>
      </c>
      <c r="AQ1337" t="n">
        <v>13</v>
      </c>
      <c r="AR1337" t="n">
        <v>137</v>
      </c>
      <c r="AS1337" t="n">
        <v>122</v>
      </c>
      <c r="AT1337" t="n">
        <v>1</v>
      </c>
      <c r="AU1337" t="n">
        <v>2</v>
      </c>
      <c r="AV1337" t="n">
        <v>34</v>
      </c>
      <c r="AW1337" t="n">
        <v>24</v>
      </c>
      <c r="AX1337" t="n">
        <v>11</v>
      </c>
      <c r="AY1337" t="n">
        <v>61</v>
      </c>
      <c r="AZ1337" t="n">
        <v>1</v>
      </c>
      <c r="BA1337" t="n">
        <v>20</v>
      </c>
      <c r="BB1337" t="n">
        <v>83</v>
      </c>
      <c r="BC1337" t="n">
        <v>56</v>
      </c>
      <c r="BD1337" t="n">
        <v>73</v>
      </c>
      <c r="BE1337" t="n">
        <v>28</v>
      </c>
      <c r="BF1337" t="n">
        <v>29</v>
      </c>
      <c r="BG1337" t="n">
        <v>3</v>
      </c>
      <c r="BH1337" t="n">
        <v>17</v>
      </c>
      <c r="BI1337" t="n">
        <v>17</v>
      </c>
      <c r="BJ1337" t="n">
        <v>22</v>
      </c>
      <c r="BK1337" t="n">
        <v>2</v>
      </c>
      <c r="BL1337" t="n">
        <v>15</v>
      </c>
      <c r="BM1337" t="n">
        <v>14</v>
      </c>
      <c r="BN1337" t="n">
        <v>3</v>
      </c>
      <c r="BO1337" t="n">
        <v>7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5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3</v>
      </c>
      <c r="X1338" t="n">
        <v>0</v>
      </c>
      <c r="Y1338" t="n">
        <v>178</v>
      </c>
      <c r="Z1338" t="n">
        <v>217</v>
      </c>
      <c r="AA1338" t="n">
        <v>4</v>
      </c>
      <c r="AB1338" t="n">
        <v>1</v>
      </c>
      <c r="AC1338" t="n">
        <v>2</v>
      </c>
      <c r="AD1338" t="n">
        <v>1</v>
      </c>
      <c r="AE1338" t="n">
        <v>10</v>
      </c>
      <c r="AF1338" t="n">
        <v>3</v>
      </c>
      <c r="AG1338" t="n">
        <v>5</v>
      </c>
      <c r="AH1338" t="n">
        <v>19</v>
      </c>
      <c r="AI1338" t="n">
        <v>105</v>
      </c>
      <c r="AJ1338" t="n">
        <v>31</v>
      </c>
      <c r="AK1338" t="n">
        <v>113</v>
      </c>
      <c r="AL1338" t="n">
        <v>4</v>
      </c>
      <c r="AM1338" t="n">
        <v>44</v>
      </c>
      <c r="AN1338" t="n">
        <v>0</v>
      </c>
      <c r="AO1338" t="n">
        <v>1</v>
      </c>
      <c r="AP1338" t="n">
        <v>2</v>
      </c>
      <c r="AQ1338" t="n">
        <v>6</v>
      </c>
      <c r="AR1338" t="n">
        <v>130</v>
      </c>
      <c r="AS1338" t="n">
        <v>120</v>
      </c>
      <c r="AT1338" t="n">
        <v>0</v>
      </c>
      <c r="AU1338" t="n">
        <v>1</v>
      </c>
      <c r="AV1338" t="n">
        <v>4</v>
      </c>
      <c r="AW1338" t="n">
        <v>14</v>
      </c>
      <c r="AX1338" t="n">
        <v>0</v>
      </c>
      <c r="AY1338" t="n">
        <v>19</v>
      </c>
      <c r="AZ1338" t="n">
        <v>4</v>
      </c>
      <c r="BA1338" t="n">
        <v>60</v>
      </c>
      <c r="BB1338" t="n">
        <v>78</v>
      </c>
      <c r="BC1338" t="n">
        <v>47</v>
      </c>
      <c r="BD1338" t="n">
        <v>16</v>
      </c>
      <c r="BE1338" t="n">
        <v>14</v>
      </c>
      <c r="BF1338" t="n">
        <v>38</v>
      </c>
      <c r="BG1338" t="n">
        <v>2</v>
      </c>
      <c r="BH1338" t="n">
        <v>0</v>
      </c>
      <c r="BI1338" t="n">
        <v>26</v>
      </c>
      <c r="BJ1338" t="n">
        <v>41</v>
      </c>
      <c r="BK1338" t="n">
        <v>3</v>
      </c>
      <c r="BL1338" t="n">
        <v>9</v>
      </c>
      <c r="BM1338" t="n">
        <v>10</v>
      </c>
      <c r="BN1338" t="n">
        <v>3</v>
      </c>
      <c r="BO1338" t="n">
        <v>40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173</v>
      </c>
      <c r="Z1339" t="n">
        <v>90</v>
      </c>
      <c r="AA1339" t="n">
        <v>61</v>
      </c>
      <c r="AB1339" t="n">
        <v>1</v>
      </c>
      <c r="AC1339" t="n">
        <v>2</v>
      </c>
      <c r="AD1339" t="n">
        <v>2</v>
      </c>
      <c r="AE1339" t="n">
        <v>3</v>
      </c>
      <c r="AF1339" t="n">
        <v>0</v>
      </c>
      <c r="AG1339" t="n">
        <v>2</v>
      </c>
      <c r="AH1339" t="n">
        <v>19</v>
      </c>
      <c r="AI1339" t="n">
        <v>21</v>
      </c>
      <c r="AJ1339" t="n">
        <v>21</v>
      </c>
      <c r="AK1339" t="n">
        <v>1</v>
      </c>
      <c r="AL1339" t="n">
        <v>1</v>
      </c>
      <c r="AM1339" t="n">
        <v>10</v>
      </c>
      <c r="AN1339" t="n">
        <v>0</v>
      </c>
      <c r="AO1339" t="n">
        <v>0</v>
      </c>
      <c r="AP1339" t="n">
        <v>6</v>
      </c>
      <c r="AQ1339" t="n">
        <v>58</v>
      </c>
      <c r="AR1339" t="n">
        <v>122</v>
      </c>
      <c r="AS1339" t="n">
        <v>72</v>
      </c>
      <c r="AT1339" t="n">
        <v>1</v>
      </c>
      <c r="AU1339" t="n">
        <v>0</v>
      </c>
      <c r="AV1339" t="n">
        <v>1</v>
      </c>
      <c r="AW1339" t="n">
        <v>5</v>
      </c>
      <c r="AX1339" t="n">
        <v>1</v>
      </c>
      <c r="AY1339" t="n">
        <v>41</v>
      </c>
      <c r="AZ1339" t="n">
        <v>1</v>
      </c>
      <c r="BA1339" t="n">
        <v>5</v>
      </c>
      <c r="BB1339" t="n">
        <v>62</v>
      </c>
      <c r="BC1339" t="n">
        <v>5</v>
      </c>
      <c r="BD1339" t="n">
        <v>46</v>
      </c>
      <c r="BE1339" t="n">
        <v>4</v>
      </c>
      <c r="BF1339" t="n">
        <v>38</v>
      </c>
      <c r="BG1339" t="n">
        <v>0</v>
      </c>
      <c r="BH1339" t="n">
        <v>15</v>
      </c>
      <c r="BI1339" t="n">
        <v>1</v>
      </c>
      <c r="BJ1339" t="n">
        <v>4</v>
      </c>
      <c r="BK1339" t="n">
        <v>3</v>
      </c>
      <c r="BL1339" t="n">
        <v>1</v>
      </c>
      <c r="BM1339" t="n">
        <v>13</v>
      </c>
      <c r="BN1339" t="n">
        <v>8</v>
      </c>
      <c r="BO1339" t="n">
        <v>40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2</v>
      </c>
      <c r="S1340" t="n">
        <v>1</v>
      </c>
      <c r="T1340" t="n">
        <v>0</v>
      </c>
      <c r="U1340" t="n">
        <v>0</v>
      </c>
      <c r="V1340" t="n">
        <v>0</v>
      </c>
      <c r="W1340" t="n">
        <v>2</v>
      </c>
      <c r="X1340" t="n">
        <v>0</v>
      </c>
      <c r="Y1340" t="n">
        <v>132</v>
      </c>
      <c r="Z1340" t="n">
        <v>250</v>
      </c>
      <c r="AA1340" t="n">
        <v>15</v>
      </c>
      <c r="AB1340" t="n">
        <v>2</v>
      </c>
      <c r="AC1340" t="n">
        <v>0</v>
      </c>
      <c r="AD1340" t="n">
        <v>4</v>
      </c>
      <c r="AE1340" t="n">
        <v>3</v>
      </c>
      <c r="AF1340" t="n">
        <v>4</v>
      </c>
      <c r="AG1340" t="n">
        <v>0</v>
      </c>
      <c r="AH1340" t="n">
        <v>30</v>
      </c>
      <c r="AI1340" t="n">
        <v>32</v>
      </c>
      <c r="AJ1340" t="n">
        <v>73</v>
      </c>
      <c r="AK1340" t="n">
        <v>30</v>
      </c>
      <c r="AL1340" t="n">
        <v>7</v>
      </c>
      <c r="AM1340" t="n">
        <v>99</v>
      </c>
      <c r="AN1340" t="n">
        <v>1</v>
      </c>
      <c r="AO1340" t="n">
        <v>0</v>
      </c>
      <c r="AP1340" t="n">
        <v>1</v>
      </c>
      <c r="AQ1340" t="n">
        <v>1</v>
      </c>
      <c r="AR1340" t="n">
        <v>143</v>
      </c>
      <c r="AS1340" t="n">
        <v>132</v>
      </c>
      <c r="AT1340" t="n">
        <v>0</v>
      </c>
      <c r="AU1340" t="n">
        <v>2</v>
      </c>
      <c r="AV1340" t="n">
        <v>1</v>
      </c>
      <c r="AW1340" t="n">
        <v>33</v>
      </c>
      <c r="AX1340" t="n">
        <v>0</v>
      </c>
      <c r="AY1340" t="n">
        <v>44</v>
      </c>
      <c r="AZ1340" t="n">
        <v>0</v>
      </c>
      <c r="BA1340" t="n">
        <v>4</v>
      </c>
      <c r="BB1340" t="n">
        <v>16</v>
      </c>
      <c r="BC1340" t="n">
        <v>84</v>
      </c>
      <c r="BD1340" t="n">
        <v>29</v>
      </c>
      <c r="BE1340" t="n">
        <v>34</v>
      </c>
      <c r="BF1340" t="n">
        <v>67</v>
      </c>
      <c r="BG1340" t="n">
        <v>1</v>
      </c>
      <c r="BH1340" t="n">
        <v>4</v>
      </c>
      <c r="BI1340" t="n">
        <v>14</v>
      </c>
      <c r="BJ1340" t="n">
        <v>34</v>
      </c>
      <c r="BK1340" t="n">
        <v>1</v>
      </c>
      <c r="BL1340" t="n">
        <v>19</v>
      </c>
      <c r="BM1340" t="n">
        <v>13</v>
      </c>
      <c r="BN1340" t="n">
        <v>1</v>
      </c>
      <c r="BO1340" t="n">
        <v>70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2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148</v>
      </c>
      <c r="Z1341" t="n">
        <v>141</v>
      </c>
      <c r="AA1341" t="n">
        <v>31</v>
      </c>
      <c r="AB1341" t="n">
        <v>1</v>
      </c>
      <c r="AC1341" t="n">
        <v>1</v>
      </c>
      <c r="AD1341" t="n">
        <v>2</v>
      </c>
      <c r="AE1341" t="n">
        <v>4</v>
      </c>
      <c r="AF1341" t="n">
        <v>5</v>
      </c>
      <c r="AG1341" t="n">
        <v>2</v>
      </c>
      <c r="AH1341" t="n">
        <v>21</v>
      </c>
      <c r="AI1341" t="n">
        <v>13</v>
      </c>
      <c r="AJ1341" t="n">
        <v>31</v>
      </c>
      <c r="AK1341" t="n">
        <v>1</v>
      </c>
      <c r="AL1341" t="n">
        <v>4</v>
      </c>
      <c r="AM1341" t="n">
        <v>11</v>
      </c>
      <c r="AN1341" t="n">
        <v>0</v>
      </c>
      <c r="AO1341" t="n">
        <v>0</v>
      </c>
      <c r="AP1341" t="n">
        <v>2</v>
      </c>
      <c r="AQ1341" t="n">
        <v>18</v>
      </c>
      <c r="AR1341" t="n">
        <v>111</v>
      </c>
      <c r="AS1341" t="n">
        <v>93</v>
      </c>
      <c r="AT1341" t="n">
        <v>3</v>
      </c>
      <c r="AU1341" t="n">
        <v>2</v>
      </c>
      <c r="AV1341" t="n">
        <v>29</v>
      </c>
      <c r="AW1341" t="n">
        <v>25</v>
      </c>
      <c r="AX1341" t="n">
        <v>0</v>
      </c>
      <c r="AY1341" t="n">
        <v>78</v>
      </c>
      <c r="AZ1341" t="n">
        <v>1</v>
      </c>
      <c r="BA1341" t="n">
        <v>1</v>
      </c>
      <c r="BB1341" t="n">
        <v>31</v>
      </c>
      <c r="BC1341" t="n">
        <v>30</v>
      </c>
      <c r="BD1341" t="n">
        <v>18</v>
      </c>
      <c r="BE1341" t="n">
        <v>27</v>
      </c>
      <c r="BF1341" t="n">
        <v>27</v>
      </c>
      <c r="BG1341" t="n">
        <v>1</v>
      </c>
      <c r="BH1341" t="n">
        <v>9</v>
      </c>
      <c r="BI1341" t="n">
        <v>11</v>
      </c>
      <c r="BJ1341" t="n">
        <v>23</v>
      </c>
      <c r="BK1341" t="n">
        <v>0</v>
      </c>
      <c r="BL1341" t="n">
        <v>44</v>
      </c>
      <c r="BM1341" t="n">
        <v>42</v>
      </c>
      <c r="BN1341" t="n">
        <v>9</v>
      </c>
      <c r="BO1341" t="n">
        <v>2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2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205</v>
      </c>
      <c r="Z1342" t="n">
        <v>209</v>
      </c>
      <c r="AA1342" t="n">
        <v>47</v>
      </c>
      <c r="AB1342" t="n">
        <v>2</v>
      </c>
      <c r="AC1342" t="n">
        <v>0</v>
      </c>
      <c r="AD1342" t="n">
        <v>3</v>
      </c>
      <c r="AE1342" t="n">
        <v>14</v>
      </c>
      <c r="AF1342" t="n">
        <v>2</v>
      </c>
      <c r="AG1342" t="n">
        <v>1</v>
      </c>
      <c r="AH1342" t="n">
        <v>27</v>
      </c>
      <c r="AI1342" t="n">
        <v>198</v>
      </c>
      <c r="AJ1342" t="n">
        <v>91</v>
      </c>
      <c r="AK1342" t="n">
        <v>38</v>
      </c>
      <c r="AL1342" t="n">
        <v>1</v>
      </c>
      <c r="AM1342" t="n">
        <v>7</v>
      </c>
      <c r="AN1342" t="n">
        <v>0</v>
      </c>
      <c r="AO1342" t="n">
        <v>0</v>
      </c>
      <c r="AP1342" t="n">
        <v>3</v>
      </c>
      <c r="AQ1342" t="n">
        <v>16</v>
      </c>
      <c r="AR1342" t="n">
        <v>63</v>
      </c>
      <c r="AS1342" t="n">
        <v>49</v>
      </c>
      <c r="AT1342" t="n">
        <v>1</v>
      </c>
      <c r="AU1342" t="n">
        <v>0</v>
      </c>
      <c r="AV1342" t="n">
        <v>1</v>
      </c>
      <c r="AW1342" t="n">
        <v>12</v>
      </c>
      <c r="AX1342" t="n">
        <v>0</v>
      </c>
      <c r="AY1342" t="n">
        <v>21</v>
      </c>
      <c r="AZ1342" t="n">
        <v>1</v>
      </c>
      <c r="BA1342" t="n">
        <v>1</v>
      </c>
      <c r="BB1342" t="n">
        <v>47</v>
      </c>
      <c r="BC1342" t="n">
        <v>2</v>
      </c>
      <c r="BD1342" t="n">
        <v>24</v>
      </c>
      <c r="BE1342" t="n">
        <v>11</v>
      </c>
      <c r="BF1342" t="n">
        <v>71</v>
      </c>
      <c r="BG1342" t="n">
        <v>1</v>
      </c>
      <c r="BH1342" t="n">
        <v>21</v>
      </c>
      <c r="BI1342" t="n">
        <v>13</v>
      </c>
      <c r="BJ1342" t="n">
        <v>12</v>
      </c>
      <c r="BK1342" t="n">
        <v>3</v>
      </c>
      <c r="BL1342" t="n">
        <v>2</v>
      </c>
      <c r="BM1342" t="n">
        <v>12</v>
      </c>
      <c r="BN1342" t="n">
        <v>7</v>
      </c>
      <c r="BO1342" t="n">
        <v>2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183</v>
      </c>
      <c r="Z1343" t="n">
        <v>185</v>
      </c>
      <c r="AA1343" t="n">
        <v>35</v>
      </c>
      <c r="AB1343" t="n">
        <v>1</v>
      </c>
      <c r="AC1343" t="n">
        <v>0</v>
      </c>
      <c r="AD1343" t="n">
        <v>4</v>
      </c>
      <c r="AE1343" t="n">
        <v>10</v>
      </c>
      <c r="AF1343" t="n">
        <v>1</v>
      </c>
      <c r="AG1343" t="n">
        <v>8</v>
      </c>
      <c r="AH1343" t="n">
        <v>63</v>
      </c>
      <c r="AI1343" t="n">
        <v>72</v>
      </c>
      <c r="AJ1343" t="n">
        <v>6</v>
      </c>
      <c r="AK1343" t="n">
        <v>59</v>
      </c>
      <c r="AL1343" t="n">
        <v>4</v>
      </c>
      <c r="AM1343" t="n">
        <v>33</v>
      </c>
      <c r="AN1343" t="n">
        <v>1</v>
      </c>
      <c r="AO1343" t="n">
        <v>0</v>
      </c>
      <c r="AP1343" t="n">
        <v>9</v>
      </c>
      <c r="AQ1343" t="n">
        <v>58</v>
      </c>
      <c r="AR1343" t="n">
        <v>90</v>
      </c>
      <c r="AS1343" t="n">
        <v>42</v>
      </c>
      <c r="AT1343" t="n">
        <v>4</v>
      </c>
      <c r="AU1343" t="n">
        <v>2</v>
      </c>
      <c r="AV1343" t="n">
        <v>34</v>
      </c>
      <c r="AW1343" t="n">
        <v>9</v>
      </c>
      <c r="AX1343" t="n">
        <v>1</v>
      </c>
      <c r="AY1343" t="n">
        <v>32</v>
      </c>
      <c r="AZ1343" t="n">
        <v>4</v>
      </c>
      <c r="BA1343" t="n">
        <v>20</v>
      </c>
      <c r="BB1343" t="n">
        <v>54</v>
      </c>
      <c r="BC1343" t="n">
        <v>30</v>
      </c>
      <c r="BD1343" t="n">
        <v>60</v>
      </c>
      <c r="BE1343" t="n">
        <v>10</v>
      </c>
      <c r="BF1343" t="n">
        <v>10</v>
      </c>
      <c r="BG1343" t="n">
        <v>2</v>
      </c>
      <c r="BH1343" t="n">
        <v>0</v>
      </c>
      <c r="BI1343" t="n">
        <v>19</v>
      </c>
      <c r="BJ1343" t="n">
        <v>24</v>
      </c>
      <c r="BK1343" t="n">
        <v>2</v>
      </c>
      <c r="BL1343" t="n">
        <v>19</v>
      </c>
      <c r="BM1343" t="n">
        <v>20</v>
      </c>
      <c r="BN1343" t="n">
        <v>6</v>
      </c>
      <c r="BO1343" t="n">
        <v>2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2</v>
      </c>
      <c r="U1344" t="n">
        <v>0</v>
      </c>
      <c r="V1344" t="n">
        <v>0</v>
      </c>
      <c r="W1344" t="n">
        <v>0</v>
      </c>
      <c r="X1344" t="n">
        <v>0</v>
      </c>
      <c r="Y1344" t="n">
        <v>205</v>
      </c>
      <c r="Z1344" t="n">
        <v>246</v>
      </c>
      <c r="AA1344" t="n">
        <v>10</v>
      </c>
      <c r="AB1344" t="n">
        <v>1</v>
      </c>
      <c r="AC1344" t="n">
        <v>2</v>
      </c>
      <c r="AD1344" t="n">
        <v>3</v>
      </c>
      <c r="AE1344" t="n">
        <v>7</v>
      </c>
      <c r="AF1344" t="n">
        <v>0</v>
      </c>
      <c r="AG1344" t="n">
        <v>8</v>
      </c>
      <c r="AH1344" t="n">
        <v>25</v>
      </c>
      <c r="AI1344" t="n">
        <v>24</v>
      </c>
      <c r="AJ1344" t="n">
        <v>3</v>
      </c>
      <c r="AK1344" t="n">
        <v>120</v>
      </c>
      <c r="AL1344" t="n">
        <v>3</v>
      </c>
      <c r="AM1344" t="n">
        <v>13</v>
      </c>
      <c r="AN1344" t="n">
        <v>0</v>
      </c>
      <c r="AO1344" t="n">
        <v>0</v>
      </c>
      <c r="AP1344" t="n">
        <v>7</v>
      </c>
      <c r="AQ1344" t="n">
        <v>56</v>
      </c>
      <c r="AR1344" t="n">
        <v>101</v>
      </c>
      <c r="AS1344" t="n">
        <v>54</v>
      </c>
      <c r="AT1344" t="n">
        <v>1</v>
      </c>
      <c r="AU1344" t="n">
        <v>1</v>
      </c>
      <c r="AV1344" t="n">
        <v>14</v>
      </c>
      <c r="AW1344" t="n">
        <v>19</v>
      </c>
      <c r="AX1344" t="n">
        <v>0</v>
      </c>
      <c r="AY1344" t="n">
        <v>64</v>
      </c>
      <c r="AZ1344" t="n">
        <v>5</v>
      </c>
      <c r="BA1344" t="n">
        <v>49</v>
      </c>
      <c r="BB1344" t="n">
        <v>66</v>
      </c>
      <c r="BC1344" t="n">
        <v>10</v>
      </c>
      <c r="BD1344" t="n">
        <v>22</v>
      </c>
      <c r="BE1344" t="n">
        <v>24</v>
      </c>
      <c r="BF1344" t="n">
        <v>2</v>
      </c>
      <c r="BG1344" t="n">
        <v>1</v>
      </c>
      <c r="BH1344" t="n">
        <v>4</v>
      </c>
      <c r="BI1344" t="n">
        <v>26</v>
      </c>
      <c r="BJ1344" t="n">
        <v>23</v>
      </c>
      <c r="BK1344" t="n">
        <v>0</v>
      </c>
      <c r="BL1344" t="n">
        <v>1</v>
      </c>
      <c r="BM1344" t="n">
        <v>13</v>
      </c>
      <c r="BN1344" t="n">
        <v>7</v>
      </c>
      <c r="BO1344" t="n">
        <v>2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2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238</v>
      </c>
      <c r="Z1345" t="n">
        <v>249</v>
      </c>
      <c r="AA1345" t="n">
        <v>112</v>
      </c>
      <c r="AB1345" t="n">
        <v>3</v>
      </c>
      <c r="AC1345" t="n">
        <v>1</v>
      </c>
      <c r="AD1345" t="n">
        <v>0</v>
      </c>
      <c r="AE1345" t="n">
        <v>6</v>
      </c>
      <c r="AF1345" t="n">
        <v>3</v>
      </c>
      <c r="AG1345" t="n">
        <v>2</v>
      </c>
      <c r="AH1345" t="n">
        <v>61</v>
      </c>
      <c r="AI1345" t="n">
        <v>32</v>
      </c>
      <c r="AJ1345" t="n">
        <v>28</v>
      </c>
      <c r="AK1345" t="n">
        <v>19</v>
      </c>
      <c r="AL1345" t="n">
        <v>2</v>
      </c>
      <c r="AM1345" t="n">
        <v>33</v>
      </c>
      <c r="AN1345" t="n">
        <v>0</v>
      </c>
      <c r="AO1345" t="n">
        <v>0</v>
      </c>
      <c r="AP1345" t="n">
        <v>5</v>
      </c>
      <c r="AQ1345" t="n">
        <v>30</v>
      </c>
      <c r="AR1345" t="n">
        <v>78</v>
      </c>
      <c r="AS1345" t="n">
        <v>52</v>
      </c>
      <c r="AT1345" t="n">
        <v>1</v>
      </c>
      <c r="AU1345" t="n">
        <v>2</v>
      </c>
      <c r="AV1345" t="n">
        <v>1</v>
      </c>
      <c r="AW1345" t="n">
        <v>22</v>
      </c>
      <c r="AX1345" t="n">
        <v>1</v>
      </c>
      <c r="AY1345" t="n">
        <v>74</v>
      </c>
      <c r="AZ1345" t="n">
        <v>2</v>
      </c>
      <c r="BA1345" t="n">
        <v>17</v>
      </c>
      <c r="BB1345" t="n">
        <v>122</v>
      </c>
      <c r="BC1345" t="n">
        <v>28</v>
      </c>
      <c r="BD1345" t="n">
        <v>55</v>
      </c>
      <c r="BE1345" t="n">
        <v>25</v>
      </c>
      <c r="BF1345" t="n">
        <v>22</v>
      </c>
      <c r="BG1345" t="n">
        <v>2</v>
      </c>
      <c r="BH1345" t="n">
        <v>9</v>
      </c>
      <c r="BI1345" t="n">
        <v>16</v>
      </c>
      <c r="BJ1345" t="n">
        <v>13</v>
      </c>
      <c r="BK1345" t="n">
        <v>6</v>
      </c>
      <c r="BL1345" t="n">
        <v>53</v>
      </c>
      <c r="BM1345" t="n">
        <v>39</v>
      </c>
      <c r="BN1345" t="n">
        <v>4</v>
      </c>
      <c r="BO1345" t="n">
        <v>2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3</v>
      </c>
      <c r="V1346" t="n">
        <v>0</v>
      </c>
      <c r="W1346" t="n">
        <v>1</v>
      </c>
      <c r="X1346" t="n">
        <v>0</v>
      </c>
      <c r="Y1346" t="n">
        <v>186</v>
      </c>
      <c r="Z1346" t="n">
        <v>161</v>
      </c>
      <c r="AA1346" t="n">
        <v>-2</v>
      </c>
      <c r="AB1346" t="n">
        <v>0</v>
      </c>
      <c r="AC1346" t="n">
        <v>0</v>
      </c>
      <c r="AD1346" t="n">
        <v>0</v>
      </c>
      <c r="AE1346" t="n">
        <v>6</v>
      </c>
      <c r="AF1346" t="n">
        <v>4</v>
      </c>
      <c r="AG1346" t="n">
        <v>3</v>
      </c>
      <c r="AH1346" t="n">
        <v>10</v>
      </c>
      <c r="AI1346" t="n">
        <v>84</v>
      </c>
      <c r="AJ1346" t="n">
        <v>55</v>
      </c>
      <c r="AK1346" t="n">
        <v>15</v>
      </c>
      <c r="AL1346" t="n">
        <v>0</v>
      </c>
      <c r="AM1346" t="n">
        <v>17</v>
      </c>
      <c r="AN1346" t="n">
        <v>0</v>
      </c>
      <c r="AO1346" t="n">
        <v>0</v>
      </c>
      <c r="AP1346" t="n">
        <v>7</v>
      </c>
      <c r="AQ1346" t="n">
        <v>29</v>
      </c>
      <c r="AR1346" t="n">
        <v>46</v>
      </c>
      <c r="AS1346" t="n">
        <v>22</v>
      </c>
      <c r="AT1346" t="n">
        <v>3</v>
      </c>
      <c r="AU1346" t="n">
        <v>1</v>
      </c>
      <c r="AV1346" t="n">
        <v>19</v>
      </c>
      <c r="AW1346" t="n">
        <v>7</v>
      </c>
      <c r="AX1346" t="n">
        <v>2</v>
      </c>
      <c r="AY1346" t="n">
        <v>31</v>
      </c>
      <c r="AZ1346" t="n">
        <v>3</v>
      </c>
      <c r="BA1346" t="n">
        <v>9</v>
      </c>
      <c r="BB1346" t="n">
        <v>9</v>
      </c>
      <c r="BC1346" t="n">
        <v>29</v>
      </c>
      <c r="BD1346" t="n">
        <v>4</v>
      </c>
      <c r="BE1346" t="n">
        <v>7</v>
      </c>
      <c r="BF1346" t="n">
        <v>43</v>
      </c>
      <c r="BG1346" t="n">
        <v>3</v>
      </c>
      <c r="BH1346" t="n">
        <v>13</v>
      </c>
      <c r="BI1346" t="n">
        <v>48</v>
      </c>
      <c r="BJ1346" t="n">
        <v>45</v>
      </c>
      <c r="BK1346" t="n">
        <v>1</v>
      </c>
      <c r="BL1346" t="n">
        <v>32</v>
      </c>
      <c r="BM1346" t="n">
        <v>48</v>
      </c>
      <c r="BN1346" t="n">
        <v>18</v>
      </c>
      <c r="BO1346" t="n">
        <v>-5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3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n">
        <v>172</v>
      </c>
      <c r="Z1347" t="n">
        <v>286</v>
      </c>
      <c r="AA1347" t="n">
        <v>20</v>
      </c>
      <c r="AB1347" t="n">
        <v>2</v>
      </c>
      <c r="AC1347" t="n">
        <v>1</v>
      </c>
      <c r="AD1347" t="n">
        <v>4</v>
      </c>
      <c r="AE1347" t="n">
        <v>1</v>
      </c>
      <c r="AF1347" t="n">
        <v>1</v>
      </c>
      <c r="AG1347" t="n">
        <v>0</v>
      </c>
      <c r="AH1347" t="n">
        <v>106</v>
      </c>
      <c r="AI1347" t="n">
        <v>30</v>
      </c>
      <c r="AJ1347" t="n">
        <v>2</v>
      </c>
      <c r="AK1347" t="n">
        <v>1</v>
      </c>
      <c r="AL1347" t="n">
        <v>4</v>
      </c>
      <c r="AM1347" t="n">
        <v>122</v>
      </c>
      <c r="AN1347" t="n">
        <v>0</v>
      </c>
      <c r="AO1347" t="n">
        <v>0</v>
      </c>
      <c r="AP1347" t="n">
        <v>0</v>
      </c>
      <c r="AQ1347" t="n">
        <v>1</v>
      </c>
      <c r="AR1347" t="n">
        <v>139</v>
      </c>
      <c r="AS1347" t="n">
        <v>128</v>
      </c>
      <c r="AT1347" t="n">
        <v>1</v>
      </c>
      <c r="AU1347" t="n">
        <v>2</v>
      </c>
      <c r="AV1347" t="n">
        <v>3</v>
      </c>
      <c r="AW1347" t="n">
        <v>14</v>
      </c>
      <c r="AX1347" t="n">
        <v>1</v>
      </c>
      <c r="AY1347" t="n">
        <v>10</v>
      </c>
      <c r="AZ1347" t="n">
        <v>2</v>
      </c>
      <c r="BA1347" t="n">
        <v>14</v>
      </c>
      <c r="BB1347" t="n">
        <v>34</v>
      </c>
      <c r="BC1347" t="n">
        <v>101</v>
      </c>
      <c r="BD1347" t="n">
        <v>127</v>
      </c>
      <c r="BE1347" t="n">
        <v>17</v>
      </c>
      <c r="BF1347" t="n">
        <v>39</v>
      </c>
      <c r="BG1347" t="n">
        <v>1</v>
      </c>
      <c r="BH1347" t="n">
        <v>2</v>
      </c>
      <c r="BI1347" t="n">
        <v>2</v>
      </c>
      <c r="BJ1347" t="n">
        <v>26</v>
      </c>
      <c r="BK1347" t="n">
        <v>3</v>
      </c>
      <c r="BL1347" t="n">
        <v>11</v>
      </c>
      <c r="BM1347" t="n">
        <v>20</v>
      </c>
      <c r="BN1347" t="n">
        <v>8</v>
      </c>
      <c r="BO1347" t="n">
        <v>-3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2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1</v>
      </c>
      <c r="V1348" t="n">
        <v>0</v>
      </c>
      <c r="W1348" t="n">
        <v>1</v>
      </c>
      <c r="X1348" t="n">
        <v>0</v>
      </c>
      <c r="Y1348" t="n">
        <v>172</v>
      </c>
      <c r="Z1348" t="n">
        <v>163</v>
      </c>
      <c r="AA1348" t="n">
        <v>32</v>
      </c>
      <c r="AB1348" t="n">
        <v>1</v>
      </c>
      <c r="AC1348" t="n">
        <v>0</v>
      </c>
      <c r="AD1348" t="n">
        <v>0</v>
      </c>
      <c r="AE1348" t="n">
        <v>8</v>
      </c>
      <c r="AF1348" t="n">
        <v>4</v>
      </c>
      <c r="AG1348" t="n">
        <v>1</v>
      </c>
      <c r="AH1348" t="n">
        <v>2</v>
      </c>
      <c r="AI1348" t="n">
        <v>51</v>
      </c>
      <c r="AJ1348" t="n">
        <v>70</v>
      </c>
      <c r="AK1348" t="n">
        <v>1</v>
      </c>
      <c r="AL1348" t="n">
        <v>4</v>
      </c>
      <c r="AM1348" t="n">
        <v>32</v>
      </c>
      <c r="AN1348" t="n">
        <v>0</v>
      </c>
      <c r="AO1348" t="n">
        <v>0</v>
      </c>
      <c r="AP1348" t="n">
        <v>7</v>
      </c>
      <c r="AQ1348" t="n">
        <v>41</v>
      </c>
      <c r="AR1348" t="n">
        <v>132</v>
      </c>
      <c r="AS1348" t="n">
        <v>96</v>
      </c>
      <c r="AT1348" t="n">
        <v>3</v>
      </c>
      <c r="AU1348" t="n">
        <v>0</v>
      </c>
      <c r="AV1348" t="n">
        <v>20</v>
      </c>
      <c r="AW1348" t="n">
        <v>1</v>
      </c>
      <c r="AX1348" t="n">
        <v>13</v>
      </c>
      <c r="AY1348" t="n">
        <v>20</v>
      </c>
      <c r="AZ1348" t="n">
        <v>1</v>
      </c>
      <c r="BA1348" t="n">
        <v>-5</v>
      </c>
      <c r="BB1348" t="n">
        <v>27</v>
      </c>
      <c r="BC1348" t="n">
        <v>27</v>
      </c>
      <c r="BD1348" t="n">
        <v>6</v>
      </c>
      <c r="BE1348" t="n">
        <v>1</v>
      </c>
      <c r="BF1348" t="n">
        <v>70</v>
      </c>
      <c r="BG1348" t="n">
        <v>1</v>
      </c>
      <c r="BH1348" t="n">
        <v>4</v>
      </c>
      <c r="BI1348" t="n">
        <v>46</v>
      </c>
      <c r="BJ1348" t="n">
        <v>42</v>
      </c>
      <c r="BK1348" t="n">
        <v>3</v>
      </c>
      <c r="BL1348" t="n">
        <v>21</v>
      </c>
      <c r="BM1348" t="n">
        <v>54</v>
      </c>
      <c r="BN1348" t="n">
        <v>28</v>
      </c>
      <c r="BO1348" t="n">
        <v>18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185</v>
      </c>
      <c r="Z1349" t="n">
        <v>199</v>
      </c>
      <c r="AA1349" t="n">
        <v>43</v>
      </c>
      <c r="AB1349" t="n">
        <v>1</v>
      </c>
      <c r="AC1349" t="n">
        <v>2</v>
      </c>
      <c r="AD1349" t="n">
        <v>4</v>
      </c>
      <c r="AE1349" t="n">
        <v>0</v>
      </c>
      <c r="AF1349" t="n">
        <v>1</v>
      </c>
      <c r="AG1349" t="n">
        <v>6</v>
      </c>
      <c r="AH1349" t="n">
        <v>60</v>
      </c>
      <c r="AI1349" t="n">
        <v>2</v>
      </c>
      <c r="AJ1349" t="n">
        <v>34</v>
      </c>
      <c r="AK1349" t="n">
        <v>15</v>
      </c>
      <c r="AL1349" t="n">
        <v>3</v>
      </c>
      <c r="AM1349" t="n">
        <v>90</v>
      </c>
      <c r="AN1349" t="n">
        <v>0</v>
      </c>
      <c r="AO1349" t="n">
        <v>0</v>
      </c>
      <c r="AP1349" t="n">
        <v>4</v>
      </c>
      <c r="AQ1349" t="n">
        <v>13</v>
      </c>
      <c r="AR1349" t="n">
        <v>71</v>
      </c>
      <c r="AS1349" t="n">
        <v>58</v>
      </c>
      <c r="AT1349" t="n">
        <v>4</v>
      </c>
      <c r="AU1349" t="n">
        <v>2</v>
      </c>
      <c r="AV1349" t="n">
        <v>22</v>
      </c>
      <c r="AW1349" t="n">
        <v>19</v>
      </c>
      <c r="AX1349" t="n">
        <v>0</v>
      </c>
      <c r="AY1349" t="n">
        <v>23</v>
      </c>
      <c r="AZ1349" t="n">
        <v>7</v>
      </c>
      <c r="BA1349" t="n">
        <v>69</v>
      </c>
      <c r="BB1349" t="n">
        <v>122</v>
      </c>
      <c r="BC1349" t="n">
        <v>76</v>
      </c>
      <c r="BD1349" t="n">
        <v>59</v>
      </c>
      <c r="BE1349" t="n">
        <v>19</v>
      </c>
      <c r="BF1349" t="n">
        <v>27</v>
      </c>
      <c r="BG1349" t="n">
        <v>0</v>
      </c>
      <c r="BH1349" t="n">
        <v>19</v>
      </c>
      <c r="BI1349" t="n">
        <v>1</v>
      </c>
      <c r="BJ1349" t="n">
        <v>1</v>
      </c>
      <c r="BK1349" t="n">
        <v>0</v>
      </c>
      <c r="BL1349" t="n">
        <v>5</v>
      </c>
      <c r="BM1349" t="n">
        <v>27</v>
      </c>
      <c r="BN1349" t="n">
        <v>16</v>
      </c>
      <c r="BO1349" t="n">
        <v>2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203</v>
      </c>
      <c r="Z1350" t="n">
        <v>274</v>
      </c>
      <c r="AA1350" t="n">
        <v>178</v>
      </c>
      <c r="AB1350" t="n">
        <v>2</v>
      </c>
      <c r="AC1350" t="n">
        <v>1</v>
      </c>
      <c r="AD1350" t="n">
        <v>3</v>
      </c>
      <c r="AE1350" t="n">
        <v>4</v>
      </c>
      <c r="AF1350" t="n">
        <v>5</v>
      </c>
      <c r="AG1350" t="n">
        <v>3</v>
      </c>
      <c r="AH1350" t="n">
        <v>24</v>
      </c>
      <c r="AI1350" t="n">
        <v>67</v>
      </c>
      <c r="AJ1350" t="n">
        <v>53</v>
      </c>
      <c r="AK1350" t="n">
        <v>1</v>
      </c>
      <c r="AL1350" t="n">
        <v>3</v>
      </c>
      <c r="AM1350" t="n">
        <v>36</v>
      </c>
      <c r="AN1350" t="n">
        <v>0</v>
      </c>
      <c r="AO1350" t="n">
        <v>0</v>
      </c>
      <c r="AP1350" t="n">
        <v>0</v>
      </c>
      <c r="AQ1350" t="n">
        <v>1</v>
      </c>
      <c r="AR1350" t="n">
        <v>167</v>
      </c>
      <c r="AS1350" t="n">
        <v>155</v>
      </c>
      <c r="AT1350" t="n">
        <v>3</v>
      </c>
      <c r="AU1350" t="n">
        <v>2</v>
      </c>
      <c r="AV1350" t="n">
        <v>11</v>
      </c>
      <c r="AW1350" t="n">
        <v>40</v>
      </c>
      <c r="AX1350" t="n">
        <v>6</v>
      </c>
      <c r="AY1350" t="n">
        <v>49</v>
      </c>
      <c r="AZ1350" t="n">
        <v>4</v>
      </c>
      <c r="BA1350" t="n">
        <v>35</v>
      </c>
      <c r="BB1350" t="n">
        <v>198</v>
      </c>
      <c r="BC1350" t="n">
        <v>32</v>
      </c>
      <c r="BD1350" t="n">
        <v>29</v>
      </c>
      <c r="BE1350" t="n">
        <v>45</v>
      </c>
      <c r="BF1350" t="n">
        <v>42</v>
      </c>
      <c r="BG1350" t="n">
        <v>3</v>
      </c>
      <c r="BH1350" t="n">
        <v>5</v>
      </c>
      <c r="BI1350" t="n">
        <v>46</v>
      </c>
      <c r="BJ1350" t="n">
        <v>43</v>
      </c>
      <c r="BK1350" t="n">
        <v>1</v>
      </c>
      <c r="BL1350" t="n">
        <v>19</v>
      </c>
      <c r="BM1350" t="n">
        <v>26</v>
      </c>
      <c r="BN1350" t="n">
        <v>9</v>
      </c>
      <c r="BO1350" t="n">
        <v>28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230</v>
      </c>
      <c r="Z1351" t="n">
        <v>261</v>
      </c>
      <c r="AA1351" t="n">
        <v>80</v>
      </c>
      <c r="AB1351" t="n">
        <v>0</v>
      </c>
      <c r="AC1351" t="n">
        <v>0</v>
      </c>
      <c r="AD1351" t="n">
        <v>3</v>
      </c>
      <c r="AE1351" t="n">
        <v>4</v>
      </c>
      <c r="AF1351" t="n">
        <v>0</v>
      </c>
      <c r="AG1351" t="n">
        <v>3</v>
      </c>
      <c r="AH1351" t="n">
        <v>67</v>
      </c>
      <c r="AI1351" t="n">
        <v>24</v>
      </c>
      <c r="AJ1351" t="n">
        <v>11</v>
      </c>
      <c r="AK1351" t="n">
        <v>44</v>
      </c>
      <c r="AL1351" t="n">
        <v>7</v>
      </c>
      <c r="AM1351" t="n">
        <v>164</v>
      </c>
      <c r="AN1351" t="n">
        <v>0</v>
      </c>
      <c r="AO1351" t="n">
        <v>1</v>
      </c>
      <c r="AP1351" t="n">
        <v>2</v>
      </c>
      <c r="AQ1351" t="n">
        <v>4</v>
      </c>
      <c r="AR1351" t="n">
        <v>99</v>
      </c>
      <c r="AS1351" t="n">
        <v>91</v>
      </c>
      <c r="AT1351" t="n">
        <v>6</v>
      </c>
      <c r="AU1351" t="n">
        <v>1</v>
      </c>
      <c r="AV1351" t="n">
        <v>30</v>
      </c>
      <c r="AW1351" t="n">
        <v>1</v>
      </c>
      <c r="AX1351" t="n">
        <v>0</v>
      </c>
      <c r="AY1351" t="n">
        <v>35</v>
      </c>
      <c r="AZ1351" t="n">
        <v>3</v>
      </c>
      <c r="BA1351" t="n">
        <v>1</v>
      </c>
      <c r="BB1351" t="n">
        <v>78</v>
      </c>
      <c r="BC1351" t="n">
        <v>136</v>
      </c>
      <c r="BD1351" t="n">
        <v>74</v>
      </c>
      <c r="BE1351" t="n">
        <v>1</v>
      </c>
      <c r="BF1351" t="n">
        <v>10</v>
      </c>
      <c r="BG1351" t="n">
        <v>5</v>
      </c>
      <c r="BH1351" t="n">
        <v>7</v>
      </c>
      <c r="BI1351" t="n">
        <v>34</v>
      </c>
      <c r="BJ1351" t="n">
        <v>35</v>
      </c>
      <c r="BK1351" t="n">
        <v>5</v>
      </c>
      <c r="BL1351" t="n">
        <v>65</v>
      </c>
      <c r="BM1351" t="n">
        <v>44</v>
      </c>
      <c r="BN1351" t="n">
        <v>1</v>
      </c>
      <c r="BO1351" t="n">
        <v>32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342</v>
      </c>
      <c r="Z1352" t="n">
        <v>294</v>
      </c>
      <c r="AA1352" t="n">
        <v>41</v>
      </c>
      <c r="AB1352" t="n">
        <v>1</v>
      </c>
      <c r="AC1352" t="n">
        <v>0</v>
      </c>
      <c r="AD1352" t="n">
        <v>3</v>
      </c>
      <c r="AE1352" t="n">
        <v>3</v>
      </c>
      <c r="AF1352" t="n">
        <v>4</v>
      </c>
      <c r="AG1352" t="n">
        <v>4</v>
      </c>
      <c r="AH1352" t="n">
        <v>78</v>
      </c>
      <c r="AI1352" t="n">
        <v>0</v>
      </c>
      <c r="AJ1352" t="n">
        <v>49</v>
      </c>
      <c r="AK1352" t="n">
        <v>89</v>
      </c>
      <c r="AL1352" t="n">
        <v>6</v>
      </c>
      <c r="AM1352" t="n">
        <v>127</v>
      </c>
      <c r="AN1352" t="n">
        <v>0</v>
      </c>
      <c r="AO1352" t="n">
        <v>0</v>
      </c>
      <c r="AP1352" t="n">
        <v>0</v>
      </c>
      <c r="AQ1352" t="n">
        <v>7</v>
      </c>
      <c r="AR1352" t="n">
        <v>39</v>
      </c>
      <c r="AS1352" t="n">
        <v>36</v>
      </c>
      <c r="AT1352" t="n">
        <v>0</v>
      </c>
      <c r="AU1352" t="n">
        <v>1</v>
      </c>
      <c r="AV1352" t="n">
        <v>10</v>
      </c>
      <c r="AW1352" t="n">
        <v>16</v>
      </c>
      <c r="AX1352" t="n">
        <v>23</v>
      </c>
      <c r="AY1352" t="n">
        <v>23</v>
      </c>
      <c r="AZ1352" t="n">
        <v>3</v>
      </c>
      <c r="BA1352" t="n">
        <v>5</v>
      </c>
      <c r="BB1352" t="n">
        <v>42</v>
      </c>
      <c r="BC1352" t="n">
        <v>107</v>
      </c>
      <c r="BD1352" t="n">
        <v>70</v>
      </c>
      <c r="BE1352" t="n">
        <v>14</v>
      </c>
      <c r="BF1352" t="n">
        <v>39</v>
      </c>
      <c r="BG1352" t="n">
        <v>7</v>
      </c>
      <c r="BH1352" t="n">
        <v>17</v>
      </c>
      <c r="BI1352" t="n">
        <v>73</v>
      </c>
      <c r="BJ1352" t="n">
        <v>66</v>
      </c>
      <c r="BK1352" t="n">
        <v>0</v>
      </c>
      <c r="BL1352" t="n">
        <v>1</v>
      </c>
      <c r="BM1352" t="n">
        <v>32</v>
      </c>
      <c r="BN1352" t="n">
        <v>19</v>
      </c>
      <c r="BO1352" t="n">
        <v>2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2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4</v>
      </c>
      <c r="U1353" t="n">
        <v>0</v>
      </c>
      <c r="V1353" t="n">
        <v>0</v>
      </c>
      <c r="W1353" t="n">
        <v>0</v>
      </c>
      <c r="X1353" t="n">
        <v>1</v>
      </c>
      <c r="Y1353" t="n">
        <v>121</v>
      </c>
      <c r="Z1353" t="n">
        <v>127</v>
      </c>
      <c r="AA1353" t="n">
        <v>78</v>
      </c>
      <c r="AB1353" t="n">
        <v>1</v>
      </c>
      <c r="AC1353" t="n">
        <v>1</v>
      </c>
      <c r="AD1353" t="n">
        <v>3</v>
      </c>
      <c r="AE1353" t="n">
        <v>4</v>
      </c>
      <c r="AF1353" t="n">
        <v>3</v>
      </c>
      <c r="AG1353" t="n">
        <v>5</v>
      </c>
      <c r="AH1353" t="n">
        <v>46</v>
      </c>
      <c r="AI1353" t="n">
        <v>10</v>
      </c>
      <c r="AJ1353" t="n">
        <v>14</v>
      </c>
      <c r="AK1353" t="n">
        <v>15</v>
      </c>
      <c r="AL1353" t="n">
        <v>3</v>
      </c>
      <c r="AM1353" t="n">
        <v>44</v>
      </c>
      <c r="AN1353" t="n">
        <v>0</v>
      </c>
      <c r="AO1353" t="n">
        <v>0</v>
      </c>
      <c r="AP1353" t="n">
        <v>4</v>
      </c>
      <c r="AQ1353" t="n">
        <v>21</v>
      </c>
      <c r="AR1353" t="n">
        <v>145</v>
      </c>
      <c r="AS1353" t="n">
        <v>124</v>
      </c>
      <c r="AT1353" t="n">
        <v>6</v>
      </c>
      <c r="AU1353" t="n">
        <v>0</v>
      </c>
      <c r="AV1353" t="n">
        <v>46</v>
      </c>
      <c r="AW1353" t="n">
        <v>11</v>
      </c>
      <c r="AX1353" t="n">
        <v>3</v>
      </c>
      <c r="AY1353" t="n">
        <v>25</v>
      </c>
      <c r="AZ1353" t="n">
        <v>3</v>
      </c>
      <c r="BA1353" t="n">
        <v>10</v>
      </c>
      <c r="BB1353" t="n">
        <v>84</v>
      </c>
      <c r="BC1353" t="n">
        <v>37</v>
      </c>
      <c r="BD1353" t="n">
        <v>73</v>
      </c>
      <c r="BE1353" t="n">
        <v>11</v>
      </c>
      <c r="BF1353" t="n">
        <v>11</v>
      </c>
      <c r="BG1353" t="n">
        <v>0</v>
      </c>
      <c r="BH1353" t="n">
        <v>0</v>
      </c>
      <c r="BI1353" t="n">
        <v>1</v>
      </c>
      <c r="BJ1353" t="n">
        <v>3</v>
      </c>
      <c r="BK1353" t="n">
        <v>3</v>
      </c>
      <c r="BL1353" t="n">
        <v>16</v>
      </c>
      <c r="BM1353" t="n">
        <v>21</v>
      </c>
      <c r="BN1353" t="n">
        <v>7</v>
      </c>
      <c r="BO1353" t="n">
        <v>32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345</v>
      </c>
      <c r="Z1354" t="n">
        <v>199</v>
      </c>
      <c r="AA1354" t="n">
        <v>110</v>
      </c>
      <c r="AB1354" t="n">
        <v>1</v>
      </c>
      <c r="AC1354" t="n">
        <v>1</v>
      </c>
      <c r="AD1354" t="n">
        <v>6</v>
      </c>
      <c r="AE1354" t="n">
        <v>5</v>
      </c>
      <c r="AF1354" t="n">
        <v>3</v>
      </c>
      <c r="AG1354" t="n">
        <v>3</v>
      </c>
      <c r="AH1354" t="n">
        <v>64</v>
      </c>
      <c r="AI1354" t="n">
        <v>85</v>
      </c>
      <c r="AJ1354" t="n">
        <v>37</v>
      </c>
      <c r="AK1354" t="n">
        <v>90</v>
      </c>
      <c r="AL1354" t="n">
        <v>3</v>
      </c>
      <c r="AM1354" t="n">
        <v>54</v>
      </c>
      <c r="AN1354" t="n">
        <v>1</v>
      </c>
      <c r="AO1354" t="n">
        <v>0</v>
      </c>
      <c r="AP1354" t="n">
        <v>9</v>
      </c>
      <c r="AQ1354" t="n">
        <v>116</v>
      </c>
      <c r="AR1354" t="n">
        <v>154</v>
      </c>
      <c r="AS1354" t="n">
        <v>58</v>
      </c>
      <c r="AT1354" t="n">
        <v>3</v>
      </c>
      <c r="AU1354" t="n">
        <v>1</v>
      </c>
      <c r="AV1354" t="n">
        <v>44</v>
      </c>
      <c r="AW1354" t="n">
        <v>1</v>
      </c>
      <c r="AX1354" t="n">
        <v>0</v>
      </c>
      <c r="AY1354" t="n">
        <v>20</v>
      </c>
      <c r="AZ1354" t="n">
        <v>2</v>
      </c>
      <c r="BA1354" t="n">
        <v>1</v>
      </c>
      <c r="BB1354" t="n">
        <v>107</v>
      </c>
      <c r="BC1354" t="n">
        <v>54</v>
      </c>
      <c r="BD1354" t="n">
        <v>56</v>
      </c>
      <c r="BE1354" t="n">
        <v>7</v>
      </c>
      <c r="BF1354" t="n">
        <v>29</v>
      </c>
      <c r="BG1354" t="n">
        <v>1</v>
      </c>
      <c r="BH1354" t="n">
        <v>5</v>
      </c>
      <c r="BI1354" t="n">
        <v>12</v>
      </c>
      <c r="BJ1354" t="n">
        <v>10</v>
      </c>
      <c r="BK1354" t="n">
        <v>4</v>
      </c>
      <c r="BL1354" t="n">
        <v>26</v>
      </c>
      <c r="BM1354" t="n">
        <v>44</v>
      </c>
      <c r="BN1354" t="n">
        <v>18</v>
      </c>
      <c r="BO1354" t="n">
        <v>2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</v>
      </c>
      <c r="U1355" t="n">
        <v>0</v>
      </c>
      <c r="V1355" t="n">
        <v>0</v>
      </c>
      <c r="W1355" t="n">
        <v>0</v>
      </c>
      <c r="X1355" t="n">
        <v>0</v>
      </c>
      <c r="Y1355" t="n">
        <v>172</v>
      </c>
      <c r="Z1355" t="n">
        <v>318</v>
      </c>
      <c r="AA1355" t="n">
        <v>31</v>
      </c>
      <c r="AB1355" t="n">
        <v>1</v>
      </c>
      <c r="AC1355" t="n">
        <v>2</v>
      </c>
      <c r="AD1355" t="n">
        <v>6</v>
      </c>
      <c r="AE1355" t="n">
        <v>8</v>
      </c>
      <c r="AF1355" t="n">
        <v>5</v>
      </c>
      <c r="AG1355" t="n">
        <v>2</v>
      </c>
      <c r="AH1355" t="n">
        <v>42</v>
      </c>
      <c r="AI1355" t="n">
        <v>121</v>
      </c>
      <c r="AJ1355" t="n">
        <v>47</v>
      </c>
      <c r="AK1355" t="n">
        <v>10</v>
      </c>
      <c r="AL1355" t="n">
        <v>4</v>
      </c>
      <c r="AM1355" t="n">
        <v>44</v>
      </c>
      <c r="AN1355" t="n">
        <v>0</v>
      </c>
      <c r="AO1355" t="n">
        <v>0</v>
      </c>
      <c r="AP1355" t="n">
        <v>5</v>
      </c>
      <c r="AQ1355" t="n">
        <v>19</v>
      </c>
      <c r="AR1355" t="n">
        <v>63</v>
      </c>
      <c r="AS1355" t="n">
        <v>47</v>
      </c>
      <c r="AT1355" t="n">
        <v>1</v>
      </c>
      <c r="AU1355" t="n">
        <v>2</v>
      </c>
      <c r="AV1355" t="n">
        <v>17</v>
      </c>
      <c r="AW1355" t="n">
        <v>24</v>
      </c>
      <c r="AX1355" t="n">
        <v>8</v>
      </c>
      <c r="AY1355" t="n">
        <v>55</v>
      </c>
      <c r="AZ1355" t="n">
        <v>6</v>
      </c>
      <c r="BA1355" t="n">
        <v>71</v>
      </c>
      <c r="BB1355" t="n">
        <v>113</v>
      </c>
      <c r="BC1355" t="n">
        <v>37</v>
      </c>
      <c r="BD1355" t="n">
        <v>38</v>
      </c>
      <c r="BE1355" t="n">
        <v>23</v>
      </c>
      <c r="BF1355" t="n">
        <v>44</v>
      </c>
      <c r="BG1355" t="n">
        <v>0</v>
      </c>
      <c r="BH1355" t="n">
        <v>21</v>
      </c>
      <c r="BI1355" t="n">
        <v>1</v>
      </c>
      <c r="BJ1355" t="n">
        <v>1</v>
      </c>
      <c r="BK1355" t="n">
        <v>0</v>
      </c>
      <c r="BL1355" t="n">
        <v>1</v>
      </c>
      <c r="BM1355" t="n">
        <v>1</v>
      </c>
      <c r="BN1355" t="n">
        <v>1</v>
      </c>
      <c r="BO1355" t="n">
        <v>25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214</v>
      </c>
      <c r="Z1356" t="n">
        <v>134</v>
      </c>
      <c r="AA1356" t="n">
        <v>25</v>
      </c>
      <c r="AB1356" t="n">
        <v>2</v>
      </c>
      <c r="AC1356" t="n">
        <v>2</v>
      </c>
      <c r="AD1356" t="n">
        <v>0</v>
      </c>
      <c r="AE1356" t="n">
        <v>4</v>
      </c>
      <c r="AF1356" t="n">
        <v>1</v>
      </c>
      <c r="AG1356" t="n">
        <v>6</v>
      </c>
      <c r="AH1356" t="n">
        <v>2</v>
      </c>
      <c r="AI1356" t="n">
        <v>32</v>
      </c>
      <c r="AJ1356" t="n">
        <v>5</v>
      </c>
      <c r="AK1356" t="n">
        <v>78</v>
      </c>
      <c r="AL1356" t="n">
        <v>1</v>
      </c>
      <c r="AM1356" t="n">
        <v>28</v>
      </c>
      <c r="AN1356" t="n">
        <v>1</v>
      </c>
      <c r="AO1356" t="n">
        <v>1</v>
      </c>
      <c r="AP1356" t="n">
        <v>7</v>
      </c>
      <c r="AQ1356" t="n">
        <v>19</v>
      </c>
      <c r="AR1356" t="n">
        <v>116</v>
      </c>
      <c r="AS1356" t="n">
        <v>97</v>
      </c>
      <c r="AT1356" t="n">
        <v>3</v>
      </c>
      <c r="AU1356" t="n">
        <v>1</v>
      </c>
      <c r="AV1356" t="n">
        <v>25</v>
      </c>
      <c r="AW1356" t="n">
        <v>12</v>
      </c>
      <c r="AX1356" t="n">
        <v>0</v>
      </c>
      <c r="AY1356" t="n">
        <v>39</v>
      </c>
      <c r="AZ1356" t="n">
        <v>0</v>
      </c>
      <c r="BA1356" t="n">
        <v>1</v>
      </c>
      <c r="BB1356" t="n">
        <v>26</v>
      </c>
      <c r="BC1356" t="n">
        <v>26</v>
      </c>
      <c r="BD1356" t="n">
        <v>3</v>
      </c>
      <c r="BE1356" t="n">
        <v>12</v>
      </c>
      <c r="BF1356" t="n">
        <v>15</v>
      </c>
      <c r="BG1356" t="n">
        <v>3</v>
      </c>
      <c r="BH1356" t="n">
        <v>27</v>
      </c>
      <c r="BI1356" t="n">
        <v>27</v>
      </c>
      <c r="BJ1356" t="n">
        <v>37</v>
      </c>
      <c r="BK1356" t="n">
        <v>1</v>
      </c>
      <c r="BL1356" t="n">
        <v>11</v>
      </c>
      <c r="BM1356" t="n">
        <v>49</v>
      </c>
      <c r="BN1356" t="n">
        <v>27</v>
      </c>
      <c r="BO1356" t="n">
        <v>23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2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197</v>
      </c>
      <c r="Z1357" t="n">
        <v>175</v>
      </c>
      <c r="AA1357" t="n">
        <v>29</v>
      </c>
      <c r="AB1357" t="n">
        <v>3</v>
      </c>
      <c r="AC1357" t="n">
        <v>0</v>
      </c>
      <c r="AD1357" t="n">
        <v>1</v>
      </c>
      <c r="AE1357" t="n">
        <v>5</v>
      </c>
      <c r="AF1357" t="n">
        <v>2</v>
      </c>
      <c r="AG1357" t="n">
        <v>7</v>
      </c>
      <c r="AH1357" t="n">
        <v>44</v>
      </c>
      <c r="AI1357" t="n">
        <v>62</v>
      </c>
      <c r="AJ1357" t="n">
        <v>31</v>
      </c>
      <c r="AK1357" t="n">
        <v>48</v>
      </c>
      <c r="AL1357" t="n">
        <v>4</v>
      </c>
      <c r="AM1357" t="n">
        <v>32</v>
      </c>
      <c r="AN1357" t="n">
        <v>0</v>
      </c>
      <c r="AO1357" t="n">
        <v>0</v>
      </c>
      <c r="AP1357" t="n">
        <v>3</v>
      </c>
      <c r="AQ1357" t="n">
        <v>1</v>
      </c>
      <c r="AR1357" t="n">
        <v>53</v>
      </c>
      <c r="AS1357" t="n">
        <v>47</v>
      </c>
      <c r="AT1357" t="n">
        <v>4</v>
      </c>
      <c r="AU1357" t="n">
        <v>2</v>
      </c>
      <c r="AV1357" t="n">
        <v>22</v>
      </c>
      <c r="AW1357" t="n">
        <v>30</v>
      </c>
      <c r="AX1357" t="n">
        <v>5</v>
      </c>
      <c r="AY1357" t="n">
        <v>67</v>
      </c>
      <c r="AZ1357" t="n">
        <v>0</v>
      </c>
      <c r="BA1357" t="n">
        <v>1</v>
      </c>
      <c r="BB1357" t="n">
        <v>29</v>
      </c>
      <c r="BC1357" t="n">
        <v>30</v>
      </c>
      <c r="BD1357" t="n">
        <v>46</v>
      </c>
      <c r="BE1357" t="n">
        <v>30</v>
      </c>
      <c r="BF1357" t="n">
        <v>24</v>
      </c>
      <c r="BG1357" t="n">
        <v>4</v>
      </c>
      <c r="BH1357" t="n">
        <v>8</v>
      </c>
      <c r="BI1357" t="n">
        <v>36</v>
      </c>
      <c r="BJ1357" t="n">
        <v>37</v>
      </c>
      <c r="BK1357" t="n">
        <v>5</v>
      </c>
      <c r="BL1357" t="n">
        <v>8</v>
      </c>
      <c r="BM1357" t="n">
        <v>21</v>
      </c>
      <c r="BN1357" t="n">
        <v>11</v>
      </c>
      <c r="BO1357" t="n">
        <v>2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222</v>
      </c>
      <c r="Z1358" t="n">
        <v>312</v>
      </c>
      <c r="AA1358" t="n">
        <v>69</v>
      </c>
      <c r="AB1358" t="n">
        <v>2</v>
      </c>
      <c r="AC1358" t="n">
        <v>0</v>
      </c>
      <c r="AD1358" t="n">
        <v>6</v>
      </c>
      <c r="AE1358" t="n">
        <v>7</v>
      </c>
      <c r="AF1358" t="n">
        <v>7</v>
      </c>
      <c r="AG1358" t="n">
        <v>3</v>
      </c>
      <c r="AH1358" t="n">
        <v>32</v>
      </c>
      <c r="AI1358" t="n">
        <v>27</v>
      </c>
      <c r="AJ1358" t="n">
        <v>68</v>
      </c>
      <c r="AK1358" t="n">
        <v>27</v>
      </c>
      <c r="AL1358" t="n">
        <v>3</v>
      </c>
      <c r="AM1358" t="n">
        <v>95</v>
      </c>
      <c r="AN1358" t="n">
        <v>0</v>
      </c>
      <c r="AO1358" t="n">
        <v>0</v>
      </c>
      <c r="AP1358" t="n">
        <v>4</v>
      </c>
      <c r="AQ1358" t="n">
        <v>15</v>
      </c>
      <c r="AR1358" t="n">
        <v>73</v>
      </c>
      <c r="AS1358" t="n">
        <v>61</v>
      </c>
      <c r="AT1358" t="n">
        <v>1</v>
      </c>
      <c r="AU1358" t="n">
        <v>1</v>
      </c>
      <c r="AV1358" t="n">
        <v>1</v>
      </c>
      <c r="AW1358" t="n">
        <v>39</v>
      </c>
      <c r="AX1358" t="n">
        <v>0</v>
      </c>
      <c r="AY1358" t="n">
        <v>26</v>
      </c>
      <c r="AZ1358" t="n">
        <v>1</v>
      </c>
      <c r="BA1358" t="n">
        <v>36</v>
      </c>
      <c r="BB1358" t="n">
        <v>104</v>
      </c>
      <c r="BC1358" t="n">
        <v>86</v>
      </c>
      <c r="BD1358" t="n">
        <v>34</v>
      </c>
      <c r="BE1358" t="n">
        <v>38</v>
      </c>
      <c r="BF1358" t="n">
        <v>54</v>
      </c>
      <c r="BG1358" t="n">
        <v>4</v>
      </c>
      <c r="BH1358" t="n">
        <v>14</v>
      </c>
      <c r="BI1358" t="n">
        <v>44</v>
      </c>
      <c r="BJ1358" t="n">
        <v>40</v>
      </c>
      <c r="BK1358" t="n">
        <v>3</v>
      </c>
      <c r="BL1358" t="n">
        <v>42</v>
      </c>
      <c r="BM1358" t="n">
        <v>54</v>
      </c>
      <c r="BN1358" t="n">
        <v>18</v>
      </c>
      <c r="BO1358" t="n">
        <v>2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2</v>
      </c>
      <c r="G1359" t="n">
        <v>0</v>
      </c>
      <c r="H1359" t="n">
        <v>0</v>
      </c>
      <c r="I1359" t="n">
        <v>0</v>
      </c>
      <c r="J1359" t="n">
        <v>1</v>
      </c>
      <c r="K1359" t="n">
        <v>2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199</v>
      </c>
      <c r="Z1359" t="n">
        <v>248</v>
      </c>
      <c r="AA1359" t="n">
        <v>75</v>
      </c>
      <c r="AB1359" t="n">
        <v>1</v>
      </c>
      <c r="AC1359" t="n">
        <v>2</v>
      </c>
      <c r="AD1359" t="n">
        <v>0</v>
      </c>
      <c r="AE1359" t="n">
        <v>4</v>
      </c>
      <c r="AF1359" t="n">
        <v>10</v>
      </c>
      <c r="AG1359" t="n">
        <v>5</v>
      </c>
      <c r="AH1359" t="n">
        <v>7</v>
      </c>
      <c r="AI1359" t="n">
        <v>91</v>
      </c>
      <c r="AJ1359" t="n">
        <v>82</v>
      </c>
      <c r="AK1359" t="n">
        <v>10</v>
      </c>
      <c r="AL1359" t="n">
        <v>2</v>
      </c>
      <c r="AM1359" t="n">
        <v>18</v>
      </c>
      <c r="AN1359" t="n">
        <v>0</v>
      </c>
      <c r="AO1359" t="n">
        <v>0</v>
      </c>
      <c r="AP1359" t="n">
        <v>10</v>
      </c>
      <c r="AQ1359" t="n">
        <v>64</v>
      </c>
      <c r="AR1359" t="n">
        <v>157</v>
      </c>
      <c r="AS1359" t="n">
        <v>101</v>
      </c>
      <c r="AT1359" t="n">
        <v>0</v>
      </c>
      <c r="AU1359" t="n">
        <v>1</v>
      </c>
      <c r="AV1359" t="n">
        <v>5</v>
      </c>
      <c r="AW1359" t="n">
        <v>12</v>
      </c>
      <c r="AX1359" t="n">
        <v>12</v>
      </c>
      <c r="AY1359" t="n">
        <v>41</v>
      </c>
      <c r="AZ1359" t="n">
        <v>3</v>
      </c>
      <c r="BA1359" t="n">
        <v>30</v>
      </c>
      <c r="BB1359" t="n">
        <v>103</v>
      </c>
      <c r="BC1359" t="n">
        <v>22</v>
      </c>
      <c r="BD1359" t="n">
        <v>2</v>
      </c>
      <c r="BE1359" t="n">
        <v>11</v>
      </c>
      <c r="BF1359" t="n">
        <v>70</v>
      </c>
      <c r="BG1359" t="n">
        <v>3</v>
      </c>
      <c r="BH1359" t="n">
        <v>2</v>
      </c>
      <c r="BI1359" t="n">
        <v>33</v>
      </c>
      <c r="BJ1359" t="n">
        <v>28</v>
      </c>
      <c r="BK1359" t="n">
        <v>7</v>
      </c>
      <c r="BL1359" t="n">
        <v>53</v>
      </c>
      <c r="BM1359" t="n">
        <v>46</v>
      </c>
      <c r="BN1359" t="n">
        <v>8</v>
      </c>
      <c r="BO1359" t="n">
        <v>16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2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156</v>
      </c>
      <c r="Z1360" t="n">
        <v>136</v>
      </c>
      <c r="AA1360" t="n">
        <v>78</v>
      </c>
      <c r="AB1360" t="n">
        <v>2</v>
      </c>
      <c r="AC1360" t="n">
        <v>1</v>
      </c>
      <c r="AD1360" t="n">
        <v>3</v>
      </c>
      <c r="AE1360" t="n">
        <v>3</v>
      </c>
      <c r="AF1360" t="n">
        <v>3</v>
      </c>
      <c r="AG1360" t="n">
        <v>2</v>
      </c>
      <c r="AH1360" t="n">
        <v>32</v>
      </c>
      <c r="AI1360" t="n">
        <v>51</v>
      </c>
      <c r="AJ1360" t="n">
        <v>34</v>
      </c>
      <c r="AK1360" t="n">
        <v>15</v>
      </c>
      <c r="AL1360" t="n">
        <v>0</v>
      </c>
      <c r="AM1360" t="n">
        <v>2</v>
      </c>
      <c r="AN1360" t="n">
        <v>0</v>
      </c>
      <c r="AO1360" t="n">
        <v>0</v>
      </c>
      <c r="AP1360" t="n">
        <v>1</v>
      </c>
      <c r="AQ1360" t="n">
        <v>21</v>
      </c>
      <c r="AR1360" t="n">
        <v>92</v>
      </c>
      <c r="AS1360" t="n">
        <v>72</v>
      </c>
      <c r="AT1360" t="n">
        <v>1</v>
      </c>
      <c r="AU1360" t="n">
        <v>1</v>
      </c>
      <c r="AV1360" t="n">
        <v>13</v>
      </c>
      <c r="AW1360" t="n">
        <v>13</v>
      </c>
      <c r="AX1360" t="n">
        <v>3</v>
      </c>
      <c r="AY1360" t="n">
        <v>61</v>
      </c>
      <c r="AZ1360" t="n">
        <v>4</v>
      </c>
      <c r="BA1360" t="n">
        <v>24</v>
      </c>
      <c r="BB1360" t="n">
        <v>100</v>
      </c>
      <c r="BC1360" t="n">
        <v>7</v>
      </c>
      <c r="BD1360" t="n">
        <v>28</v>
      </c>
      <c r="BE1360" t="n">
        <v>17</v>
      </c>
      <c r="BF1360" t="n">
        <v>27</v>
      </c>
      <c r="BG1360" t="n">
        <v>2</v>
      </c>
      <c r="BH1360" t="n">
        <v>3</v>
      </c>
      <c r="BI1360" t="n">
        <v>36</v>
      </c>
      <c r="BJ1360" t="n">
        <v>32</v>
      </c>
      <c r="BK1360" t="n">
        <v>3</v>
      </c>
      <c r="BL1360" t="n">
        <v>24</v>
      </c>
      <c r="BM1360" t="n">
        <v>40</v>
      </c>
      <c r="BN1360" t="n">
        <v>16</v>
      </c>
      <c r="BO1360" t="n">
        <v>14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197</v>
      </c>
      <c r="Z1361" t="n">
        <v>277</v>
      </c>
      <c r="AA1361" t="n">
        <v>48</v>
      </c>
      <c r="AB1361" t="n">
        <v>0</v>
      </c>
      <c r="AC1361" t="n">
        <v>1</v>
      </c>
      <c r="AD1361" t="n">
        <v>6</v>
      </c>
      <c r="AE1361" t="n">
        <v>7</v>
      </c>
      <c r="AF1361" t="n">
        <v>6</v>
      </c>
      <c r="AG1361" t="n">
        <v>1</v>
      </c>
      <c r="AH1361" t="n">
        <v>58</v>
      </c>
      <c r="AI1361" t="n">
        <v>21</v>
      </c>
      <c r="AJ1361" t="n">
        <v>79</v>
      </c>
      <c r="AK1361" t="n">
        <v>21</v>
      </c>
      <c r="AL1361" t="n">
        <v>1</v>
      </c>
      <c r="AM1361" t="n">
        <v>39</v>
      </c>
      <c r="AN1361" t="n">
        <v>0</v>
      </c>
      <c r="AO1361" t="n">
        <v>0</v>
      </c>
      <c r="AP1361" t="n">
        <v>4</v>
      </c>
      <c r="AQ1361" t="n">
        <v>23</v>
      </c>
      <c r="AR1361" t="n">
        <v>65</v>
      </c>
      <c r="AS1361" t="n">
        <v>46</v>
      </c>
      <c r="AT1361" t="n">
        <v>3</v>
      </c>
      <c r="AU1361" t="n">
        <v>3</v>
      </c>
      <c r="AV1361" t="n">
        <v>21</v>
      </c>
      <c r="AW1361" t="n">
        <v>35</v>
      </c>
      <c r="AX1361" t="n">
        <v>3</v>
      </c>
      <c r="AY1361" t="n">
        <v>47</v>
      </c>
      <c r="AZ1361" t="n">
        <v>4</v>
      </c>
      <c r="BA1361" t="n">
        <v>14</v>
      </c>
      <c r="BB1361" t="n">
        <v>58</v>
      </c>
      <c r="BC1361" t="n">
        <v>54</v>
      </c>
      <c r="BD1361" t="n">
        <v>52</v>
      </c>
      <c r="BE1361" t="n">
        <v>34</v>
      </c>
      <c r="BF1361" t="n">
        <v>66</v>
      </c>
      <c r="BG1361" t="n">
        <v>0</v>
      </c>
      <c r="BH1361" t="n">
        <v>3</v>
      </c>
      <c r="BI1361" t="n">
        <v>22</v>
      </c>
      <c r="BJ1361" t="n">
        <v>45</v>
      </c>
      <c r="BK1361" t="n">
        <v>1</v>
      </c>
      <c r="BL1361" t="n">
        <v>1</v>
      </c>
      <c r="BM1361" t="n">
        <v>6</v>
      </c>
      <c r="BN1361" t="n">
        <v>3</v>
      </c>
      <c r="BO1361" t="n">
        <v>23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194</v>
      </c>
      <c r="Z1362" t="n">
        <v>191</v>
      </c>
      <c r="AA1362" t="n">
        <v>15</v>
      </c>
      <c r="AB1362" t="n">
        <v>1</v>
      </c>
      <c r="AC1362" t="n">
        <v>3</v>
      </c>
      <c r="AD1362" t="n">
        <v>1</v>
      </c>
      <c r="AE1362" t="n">
        <v>4</v>
      </c>
      <c r="AF1362" t="n">
        <v>4</v>
      </c>
      <c r="AG1362" t="n">
        <v>5</v>
      </c>
      <c r="AH1362" t="n">
        <v>19</v>
      </c>
      <c r="AI1362" t="n">
        <v>77</v>
      </c>
      <c r="AJ1362" t="n">
        <v>38</v>
      </c>
      <c r="AK1362" t="n">
        <v>87</v>
      </c>
      <c r="AL1362" t="n">
        <v>2</v>
      </c>
      <c r="AM1362" t="n">
        <v>17</v>
      </c>
      <c r="AN1362" t="n">
        <v>0</v>
      </c>
      <c r="AO1362" t="n">
        <v>0</v>
      </c>
      <c r="AP1362" t="n">
        <v>1</v>
      </c>
      <c r="AQ1362" t="n">
        <v>6</v>
      </c>
      <c r="AR1362" t="n">
        <v>102</v>
      </c>
      <c r="AS1362" t="n">
        <v>94</v>
      </c>
      <c r="AT1362" t="n">
        <v>5</v>
      </c>
      <c r="AU1362" t="n">
        <v>0</v>
      </c>
      <c r="AV1362" t="n">
        <v>70</v>
      </c>
      <c r="AW1362" t="n">
        <v>1</v>
      </c>
      <c r="AX1362" t="n">
        <v>4</v>
      </c>
      <c r="AY1362" t="n">
        <v>58</v>
      </c>
      <c r="AZ1362" t="n">
        <v>0</v>
      </c>
      <c r="BA1362" t="n">
        <v>3</v>
      </c>
      <c r="BB1362" t="n">
        <v>15</v>
      </c>
      <c r="BC1362" t="n">
        <v>14</v>
      </c>
      <c r="BD1362" t="n">
        <v>16</v>
      </c>
      <c r="BE1362" t="n">
        <v>9</v>
      </c>
      <c r="BF1362" t="n">
        <v>30</v>
      </c>
      <c r="BG1362" t="n">
        <v>1</v>
      </c>
      <c r="BH1362" t="n">
        <v>0</v>
      </c>
      <c r="BI1362" t="n">
        <v>1</v>
      </c>
      <c r="BJ1362" t="n">
        <v>1</v>
      </c>
      <c r="BK1362" t="n">
        <v>1</v>
      </c>
      <c r="BL1362" t="n">
        <v>7</v>
      </c>
      <c r="BM1362" t="n">
        <v>13</v>
      </c>
      <c r="BN1362" t="n">
        <v>7</v>
      </c>
      <c r="BO1362" t="n">
        <v>44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282</v>
      </c>
      <c r="Z1363" t="n">
        <v>361</v>
      </c>
      <c r="AA1363" t="n">
        <v>41</v>
      </c>
      <c r="AB1363" t="n">
        <v>4</v>
      </c>
      <c r="AC1363" t="n">
        <v>0</v>
      </c>
      <c r="AD1363" t="n">
        <v>8</v>
      </c>
      <c r="AE1363" t="n">
        <v>4</v>
      </c>
      <c r="AF1363" t="n">
        <v>2</v>
      </c>
      <c r="AG1363" t="n">
        <v>1</v>
      </c>
      <c r="AH1363" t="n">
        <v>100</v>
      </c>
      <c r="AI1363" t="n">
        <v>75</v>
      </c>
      <c r="AJ1363" t="n">
        <v>21</v>
      </c>
      <c r="AK1363" t="n">
        <v>22</v>
      </c>
      <c r="AL1363" t="n">
        <v>11</v>
      </c>
      <c r="AM1363" t="n">
        <v>246</v>
      </c>
      <c r="AN1363" t="n">
        <v>0</v>
      </c>
      <c r="AO1363" t="n">
        <v>0</v>
      </c>
      <c r="AP1363" t="n">
        <v>0</v>
      </c>
      <c r="AQ1363" t="n">
        <v>1</v>
      </c>
      <c r="AR1363" t="n">
        <v>125</v>
      </c>
      <c r="AS1363" t="n">
        <v>114</v>
      </c>
      <c r="AT1363" t="n">
        <v>0</v>
      </c>
      <c r="AU1363" t="n">
        <v>1</v>
      </c>
      <c r="AV1363" t="n">
        <v>1</v>
      </c>
      <c r="AW1363" t="n">
        <v>5</v>
      </c>
      <c r="AX1363" t="n">
        <v>2</v>
      </c>
      <c r="AY1363" t="n">
        <v>22</v>
      </c>
      <c r="AZ1363" t="n">
        <v>0</v>
      </c>
      <c r="BA1363" t="n">
        <v>3</v>
      </c>
      <c r="BB1363" t="n">
        <v>41</v>
      </c>
      <c r="BC1363" t="n">
        <v>198</v>
      </c>
      <c r="BD1363" t="n">
        <v>93</v>
      </c>
      <c r="BE1363" t="n">
        <v>5</v>
      </c>
      <c r="BF1363" t="n">
        <v>44</v>
      </c>
      <c r="BG1363" t="n">
        <v>3</v>
      </c>
      <c r="BH1363" t="n">
        <v>18</v>
      </c>
      <c r="BI1363" t="n">
        <v>62</v>
      </c>
      <c r="BJ1363" t="n">
        <v>67</v>
      </c>
      <c r="BK1363" t="n">
        <v>3</v>
      </c>
      <c r="BL1363" t="n">
        <v>28</v>
      </c>
      <c r="BM1363" t="n">
        <v>32</v>
      </c>
      <c r="BN1363" t="n">
        <v>10</v>
      </c>
      <c r="BO1363" t="n">
        <v>30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3</v>
      </c>
      <c r="N1364" t="n">
        <v>0</v>
      </c>
      <c r="O1364" t="n">
        <v>0</v>
      </c>
      <c r="P1364" t="n">
        <v>0</v>
      </c>
      <c r="Q1364" t="n">
        <v>0</v>
      </c>
      <c r="R1364" t="n">
        <v>2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191</v>
      </c>
      <c r="Z1364" t="n">
        <v>277</v>
      </c>
      <c r="AA1364" t="n">
        <v>6</v>
      </c>
      <c r="AB1364" t="n">
        <v>2</v>
      </c>
      <c r="AC1364" t="n">
        <v>0</v>
      </c>
      <c r="AD1364" t="n">
        <v>12</v>
      </c>
      <c r="AE1364" t="n">
        <v>13</v>
      </c>
      <c r="AF1364" t="n">
        <v>2</v>
      </c>
      <c r="AG1364" t="n">
        <v>3</v>
      </c>
      <c r="AH1364" t="n">
        <v>84</v>
      </c>
      <c r="AI1364" t="n">
        <v>119</v>
      </c>
      <c r="AJ1364" t="n">
        <v>57</v>
      </c>
      <c r="AK1364" t="n">
        <v>32</v>
      </c>
      <c r="AL1364" t="n">
        <v>1</v>
      </c>
      <c r="AM1364" t="n">
        <v>6</v>
      </c>
      <c r="AN1364" t="n">
        <v>1</v>
      </c>
      <c r="AO1364" t="n">
        <v>0</v>
      </c>
      <c r="AP1364" t="n">
        <v>3</v>
      </c>
      <c r="AQ1364" t="n">
        <v>19</v>
      </c>
      <c r="AR1364" t="n">
        <v>126</v>
      </c>
      <c r="AS1364" t="n">
        <v>107</v>
      </c>
      <c r="AT1364" t="n">
        <v>3</v>
      </c>
      <c r="AU1364" t="n">
        <v>2</v>
      </c>
      <c r="AV1364" t="n">
        <v>25</v>
      </c>
      <c r="AW1364" t="n">
        <v>4</v>
      </c>
      <c r="AX1364" t="n">
        <v>0</v>
      </c>
      <c r="AY1364" t="n">
        <v>19</v>
      </c>
      <c r="AZ1364" t="n">
        <v>1</v>
      </c>
      <c r="BA1364" t="n">
        <v>8</v>
      </c>
      <c r="BB1364" t="n">
        <v>13</v>
      </c>
      <c r="BC1364" t="n">
        <v>2</v>
      </c>
      <c r="BD1364" t="n">
        <v>89</v>
      </c>
      <c r="BE1364" t="n">
        <v>4</v>
      </c>
      <c r="BF1364" t="n">
        <v>46</v>
      </c>
      <c r="BG1364" t="n">
        <v>0</v>
      </c>
      <c r="BH1364" t="n">
        <v>5</v>
      </c>
      <c r="BI1364" t="n">
        <v>1</v>
      </c>
      <c r="BJ1364" t="n">
        <v>11</v>
      </c>
      <c r="BK1364" t="n">
        <v>3</v>
      </c>
      <c r="BL1364" t="n">
        <v>30</v>
      </c>
      <c r="BM1364" t="n">
        <v>26</v>
      </c>
      <c r="BN1364" t="n">
        <v>5</v>
      </c>
      <c r="BO1364" t="n">
        <v>2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3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162</v>
      </c>
      <c r="Z1365" t="n">
        <v>223</v>
      </c>
      <c r="AA1365" t="n">
        <v>15</v>
      </c>
      <c r="AB1365" t="n">
        <v>5</v>
      </c>
      <c r="AC1365" t="n">
        <v>0</v>
      </c>
      <c r="AD1365" t="n">
        <v>3</v>
      </c>
      <c r="AE1365" t="n">
        <v>10</v>
      </c>
      <c r="AF1365" t="n">
        <v>9</v>
      </c>
      <c r="AG1365" t="n">
        <v>4</v>
      </c>
      <c r="AH1365" t="n">
        <v>35</v>
      </c>
      <c r="AI1365" t="n">
        <v>84</v>
      </c>
      <c r="AJ1365" t="n">
        <v>77</v>
      </c>
      <c r="AK1365" t="n">
        <v>38</v>
      </c>
      <c r="AL1365" t="n">
        <v>4</v>
      </c>
      <c r="AM1365" t="n">
        <v>59</v>
      </c>
      <c r="AN1365" t="n">
        <v>0</v>
      </c>
      <c r="AO1365" t="n">
        <v>0</v>
      </c>
      <c r="AP1365" t="n">
        <v>7</v>
      </c>
      <c r="AQ1365" t="n">
        <v>41</v>
      </c>
      <c r="AR1365" t="n">
        <v>120</v>
      </c>
      <c r="AS1365" t="n">
        <v>85</v>
      </c>
      <c r="AT1365" t="n">
        <v>2</v>
      </c>
      <c r="AU1365" t="n">
        <v>2</v>
      </c>
      <c r="AV1365" t="n">
        <v>4</v>
      </c>
      <c r="AW1365" t="n">
        <v>4</v>
      </c>
      <c r="AX1365" t="n">
        <v>0</v>
      </c>
      <c r="AY1365" t="n">
        <v>47</v>
      </c>
      <c r="AZ1365" t="n">
        <v>4</v>
      </c>
      <c r="BA1365" t="n">
        <v>21</v>
      </c>
      <c r="BB1365" t="n">
        <v>37</v>
      </c>
      <c r="BC1365" t="n">
        <v>49</v>
      </c>
      <c r="BD1365" t="n">
        <v>38</v>
      </c>
      <c r="BE1365" t="n">
        <v>3</v>
      </c>
      <c r="BF1365" t="n">
        <v>62</v>
      </c>
      <c r="BG1365" t="n">
        <v>2</v>
      </c>
      <c r="BH1365" t="n">
        <v>8</v>
      </c>
      <c r="BI1365" t="n">
        <v>1</v>
      </c>
      <c r="BJ1365" t="n">
        <v>1</v>
      </c>
      <c r="BK1365" t="n">
        <v>5</v>
      </c>
      <c r="BL1365" t="n">
        <v>33</v>
      </c>
      <c r="BM1365" t="n">
        <v>22</v>
      </c>
      <c r="BN1365" t="n">
        <v>0</v>
      </c>
      <c r="BO1365" t="n">
        <v>11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266</v>
      </c>
      <c r="Z1366" t="n">
        <v>151</v>
      </c>
      <c r="AA1366" t="n">
        <v>26</v>
      </c>
      <c r="AB1366" t="n">
        <v>0</v>
      </c>
      <c r="AC1366" t="n">
        <v>0</v>
      </c>
      <c r="AD1366" t="n">
        <v>4</v>
      </c>
      <c r="AE1366" t="n">
        <v>7</v>
      </c>
      <c r="AF1366" t="n">
        <v>9</v>
      </c>
      <c r="AG1366" t="n">
        <v>5</v>
      </c>
      <c r="AH1366" t="n">
        <v>47</v>
      </c>
      <c r="AI1366" t="n">
        <v>42</v>
      </c>
      <c r="AJ1366" t="n">
        <v>49</v>
      </c>
      <c r="AK1366" t="n">
        <v>25</v>
      </c>
      <c r="AL1366" t="n">
        <v>6</v>
      </c>
      <c r="AM1366" t="n">
        <v>55</v>
      </c>
      <c r="AN1366" t="n">
        <v>0</v>
      </c>
      <c r="AO1366" t="n">
        <v>0</v>
      </c>
      <c r="AP1366" t="n">
        <v>4</v>
      </c>
      <c r="AQ1366" t="n">
        <v>38</v>
      </c>
      <c r="AR1366" t="n">
        <v>70</v>
      </c>
      <c r="AS1366" t="n">
        <v>37</v>
      </c>
      <c r="AT1366" t="n">
        <v>2</v>
      </c>
      <c r="AU1366" t="n">
        <v>0</v>
      </c>
      <c r="AV1366" t="n">
        <v>43</v>
      </c>
      <c r="AW1366" t="n">
        <v>1</v>
      </c>
      <c r="AX1366" t="n">
        <v>3</v>
      </c>
      <c r="AY1366" t="n">
        <v>19</v>
      </c>
      <c r="AZ1366" t="n">
        <v>0</v>
      </c>
      <c r="BA1366" t="n">
        <v>1</v>
      </c>
      <c r="BB1366" t="n">
        <v>26</v>
      </c>
      <c r="BC1366" t="n">
        <v>82</v>
      </c>
      <c r="BD1366" t="n">
        <v>42</v>
      </c>
      <c r="BE1366" t="n">
        <v>1</v>
      </c>
      <c r="BF1366" t="n">
        <v>39</v>
      </c>
      <c r="BG1366" t="n">
        <v>3</v>
      </c>
      <c r="BH1366" t="n">
        <v>14</v>
      </c>
      <c r="BI1366" t="n">
        <v>42</v>
      </c>
      <c r="BJ1366" t="n">
        <v>38</v>
      </c>
      <c r="BK1366" t="n">
        <v>6</v>
      </c>
      <c r="BL1366" t="n">
        <v>49</v>
      </c>
      <c r="BM1366" t="n">
        <v>40</v>
      </c>
      <c r="BN1366" t="n">
        <v>6</v>
      </c>
      <c r="BO1366" t="n">
        <v>14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205</v>
      </c>
      <c r="Z1367" t="n">
        <v>359</v>
      </c>
      <c r="AA1367" t="n">
        <v>24</v>
      </c>
      <c r="AB1367" t="n">
        <v>2</v>
      </c>
      <c r="AC1367" t="n">
        <v>0</v>
      </c>
      <c r="AD1367" t="n">
        <v>3</v>
      </c>
      <c r="AE1367" t="n">
        <v>9</v>
      </c>
      <c r="AF1367" t="n">
        <v>3</v>
      </c>
      <c r="AG1367" t="n">
        <v>7</v>
      </c>
      <c r="AH1367" t="n">
        <v>42</v>
      </c>
      <c r="AI1367" t="n">
        <v>160</v>
      </c>
      <c r="AJ1367" t="n">
        <v>23</v>
      </c>
      <c r="AK1367" t="n">
        <v>72</v>
      </c>
      <c r="AL1367" t="n">
        <v>3</v>
      </c>
      <c r="AM1367" t="n">
        <v>21</v>
      </c>
      <c r="AN1367" t="n">
        <v>0</v>
      </c>
      <c r="AO1367" t="n">
        <v>0</v>
      </c>
      <c r="AP1367" t="n">
        <v>6</v>
      </c>
      <c r="AQ1367" t="n">
        <v>47</v>
      </c>
      <c r="AR1367" t="n">
        <v>63</v>
      </c>
      <c r="AS1367" t="n">
        <v>23</v>
      </c>
      <c r="AT1367" t="n">
        <v>0</v>
      </c>
      <c r="AU1367" t="n">
        <v>0</v>
      </c>
      <c r="AV1367" t="n">
        <v>1</v>
      </c>
      <c r="AW1367" t="n">
        <v>21</v>
      </c>
      <c r="AX1367" t="n">
        <v>0</v>
      </c>
      <c r="AY1367" t="n">
        <v>13</v>
      </c>
      <c r="AZ1367" t="n">
        <v>1</v>
      </c>
      <c r="BA1367" t="n">
        <v>14</v>
      </c>
      <c r="BB1367" t="n">
        <v>37</v>
      </c>
      <c r="BC1367" t="n">
        <v>22</v>
      </c>
      <c r="BD1367" t="n">
        <v>81</v>
      </c>
      <c r="BE1367" t="n">
        <v>20</v>
      </c>
      <c r="BF1367" t="n">
        <v>18</v>
      </c>
      <c r="BG1367" t="n">
        <v>0</v>
      </c>
      <c r="BH1367" t="n">
        <v>17</v>
      </c>
      <c r="BI1367" t="n">
        <v>4</v>
      </c>
      <c r="BJ1367" t="n">
        <v>27</v>
      </c>
      <c r="BK1367" t="n">
        <v>0</v>
      </c>
      <c r="BL1367" t="n">
        <v>2</v>
      </c>
      <c r="BM1367" t="n">
        <v>28</v>
      </c>
      <c r="BN1367" t="n">
        <v>17</v>
      </c>
      <c r="BO1367" t="n">
        <v>21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231</v>
      </c>
      <c r="Z1368" t="n">
        <v>122</v>
      </c>
      <c r="AA1368" t="n">
        <v>21</v>
      </c>
      <c r="AB1368" t="n">
        <v>1</v>
      </c>
      <c r="AC1368" t="n">
        <v>0</v>
      </c>
      <c r="AD1368" t="n">
        <v>2</v>
      </c>
      <c r="AE1368" t="n">
        <v>2</v>
      </c>
      <c r="AF1368" t="n">
        <v>0</v>
      </c>
      <c r="AG1368" t="n">
        <v>3</v>
      </c>
      <c r="AH1368" t="n">
        <v>73</v>
      </c>
      <c r="AI1368" t="n">
        <v>15</v>
      </c>
      <c r="AJ1368" t="n">
        <v>16</v>
      </c>
      <c r="AK1368" t="n">
        <v>35</v>
      </c>
      <c r="AL1368" t="n">
        <v>2</v>
      </c>
      <c r="AM1368" t="n">
        <v>11</v>
      </c>
      <c r="AN1368" t="n">
        <v>0</v>
      </c>
      <c r="AO1368" t="n">
        <v>0</v>
      </c>
      <c r="AP1368" t="n">
        <v>3</v>
      </c>
      <c r="AQ1368" t="n">
        <v>18</v>
      </c>
      <c r="AR1368" t="n">
        <v>192</v>
      </c>
      <c r="AS1368" t="n">
        <v>173</v>
      </c>
      <c r="AT1368" t="n">
        <v>3</v>
      </c>
      <c r="AU1368" t="n">
        <v>1</v>
      </c>
      <c r="AV1368" t="n">
        <v>39</v>
      </c>
      <c r="AW1368" t="n">
        <v>1</v>
      </c>
      <c r="AX1368" t="n">
        <v>5</v>
      </c>
      <c r="AY1368" t="n">
        <v>31</v>
      </c>
      <c r="AZ1368" t="n">
        <v>0</v>
      </c>
      <c r="BA1368" t="n">
        <v>-1</v>
      </c>
      <c r="BB1368" t="n">
        <v>20</v>
      </c>
      <c r="BC1368" t="n">
        <v>23</v>
      </c>
      <c r="BD1368" t="n">
        <v>66</v>
      </c>
      <c r="BE1368" t="n">
        <v>2</v>
      </c>
      <c r="BF1368" t="n">
        <v>16</v>
      </c>
      <c r="BG1368" t="n">
        <v>5</v>
      </c>
      <c r="BH1368" t="n">
        <v>0</v>
      </c>
      <c r="BI1368" t="n">
        <v>58</v>
      </c>
      <c r="BJ1368" t="n">
        <v>53</v>
      </c>
      <c r="BK1368" t="n">
        <v>4</v>
      </c>
      <c r="BL1368" t="n">
        <v>21</v>
      </c>
      <c r="BM1368" t="n">
        <v>20</v>
      </c>
      <c r="BN1368" t="n">
        <v>4</v>
      </c>
      <c r="BO1368" t="n">
        <v>2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193</v>
      </c>
      <c r="Z1369" t="n">
        <v>296</v>
      </c>
      <c r="AA1369" t="n">
        <v>98</v>
      </c>
      <c r="AB1369" t="n">
        <v>2</v>
      </c>
      <c r="AC1369" t="n">
        <v>1</v>
      </c>
      <c r="AD1369" t="n">
        <v>6</v>
      </c>
      <c r="AE1369" t="n">
        <v>10</v>
      </c>
      <c r="AF1369" t="n">
        <v>5</v>
      </c>
      <c r="AG1369" t="n">
        <v>3</v>
      </c>
      <c r="AH1369" t="n">
        <v>63</v>
      </c>
      <c r="AI1369" t="n">
        <v>97</v>
      </c>
      <c r="AJ1369" t="n">
        <v>22</v>
      </c>
      <c r="AK1369" t="n">
        <v>15</v>
      </c>
      <c r="AL1369" t="n">
        <v>1</v>
      </c>
      <c r="AM1369" t="n">
        <v>46</v>
      </c>
      <c r="AN1369" t="n">
        <v>0</v>
      </c>
      <c r="AO1369" t="n">
        <v>0</v>
      </c>
      <c r="AP1369" t="n">
        <v>9</v>
      </c>
      <c r="AQ1369" t="n">
        <v>81</v>
      </c>
      <c r="AR1369" t="n">
        <v>189</v>
      </c>
      <c r="AS1369" t="n">
        <v>120</v>
      </c>
      <c r="AT1369" t="n">
        <v>4</v>
      </c>
      <c r="AU1369" t="n">
        <v>1</v>
      </c>
      <c r="AV1369" t="n">
        <v>21</v>
      </c>
      <c r="AW1369" t="n">
        <v>6</v>
      </c>
      <c r="AX1369" t="n">
        <v>3</v>
      </c>
      <c r="AY1369" t="n">
        <v>18</v>
      </c>
      <c r="AZ1369" t="n">
        <v>1</v>
      </c>
      <c r="BA1369" t="n">
        <v>18</v>
      </c>
      <c r="BB1369" t="n">
        <v>111</v>
      </c>
      <c r="BC1369" t="n">
        <v>38</v>
      </c>
      <c r="BD1369" t="n">
        <v>49</v>
      </c>
      <c r="BE1369" t="n">
        <v>6</v>
      </c>
      <c r="BF1369" t="n">
        <v>26</v>
      </c>
      <c r="BG1369" t="n">
        <v>4</v>
      </c>
      <c r="BH1369" t="n">
        <v>4</v>
      </c>
      <c r="BI1369" t="n">
        <v>27</v>
      </c>
      <c r="BJ1369" t="n">
        <v>25</v>
      </c>
      <c r="BK1369" t="n">
        <v>2</v>
      </c>
      <c r="BL1369" t="n">
        <v>14</v>
      </c>
      <c r="BM1369" t="n">
        <v>14</v>
      </c>
      <c r="BN1369" t="n">
        <v>4</v>
      </c>
      <c r="BO1369" t="n">
        <v>18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279</v>
      </c>
      <c r="Z1370" t="n">
        <v>292</v>
      </c>
      <c r="AA1370" t="n">
        <v>206</v>
      </c>
      <c r="AB1370" t="n">
        <v>1</v>
      </c>
      <c r="AC1370" t="n">
        <v>0</v>
      </c>
      <c r="AD1370" t="n">
        <v>3</v>
      </c>
      <c r="AE1370" t="n">
        <v>7</v>
      </c>
      <c r="AF1370" t="n">
        <v>4</v>
      </c>
      <c r="AG1370" t="n">
        <v>2</v>
      </c>
      <c r="AH1370" t="n">
        <v>30</v>
      </c>
      <c r="AI1370" t="n">
        <v>30</v>
      </c>
      <c r="AJ1370" t="n">
        <v>54</v>
      </c>
      <c r="AK1370" t="n">
        <v>18</v>
      </c>
      <c r="AL1370" t="n">
        <v>8</v>
      </c>
      <c r="AM1370" t="n">
        <v>114</v>
      </c>
      <c r="AN1370" t="n">
        <v>0</v>
      </c>
      <c r="AO1370" t="n">
        <v>0</v>
      </c>
      <c r="AP1370" t="n">
        <v>9</v>
      </c>
      <c r="AQ1370" t="n">
        <v>74</v>
      </c>
      <c r="AR1370" t="n">
        <v>185</v>
      </c>
      <c r="AS1370" t="n">
        <v>120</v>
      </c>
      <c r="AT1370" t="n">
        <v>0</v>
      </c>
      <c r="AU1370" t="n">
        <v>1</v>
      </c>
      <c r="AV1370" t="n">
        <v>1</v>
      </c>
      <c r="AW1370" t="n">
        <v>13</v>
      </c>
      <c r="AX1370" t="n">
        <v>5</v>
      </c>
      <c r="AY1370" t="n">
        <v>13</v>
      </c>
      <c r="AZ1370" t="n">
        <v>2</v>
      </c>
      <c r="BA1370" t="n">
        <v>31</v>
      </c>
      <c r="BB1370" t="n">
        <v>223</v>
      </c>
      <c r="BC1370" t="n">
        <v>94</v>
      </c>
      <c r="BD1370" t="n">
        <v>27</v>
      </c>
      <c r="BE1370" t="n">
        <v>19</v>
      </c>
      <c r="BF1370" t="n">
        <v>55</v>
      </c>
      <c r="BG1370" t="n">
        <v>0</v>
      </c>
      <c r="BH1370" t="n">
        <v>14</v>
      </c>
      <c r="BI1370" t="n">
        <v>10</v>
      </c>
      <c r="BJ1370" t="n">
        <v>18</v>
      </c>
      <c r="BK1370" t="n">
        <v>1</v>
      </c>
      <c r="BL1370" t="n">
        <v>22</v>
      </c>
      <c r="BM1370" t="n">
        <v>29</v>
      </c>
      <c r="BN1370" t="n">
        <v>10</v>
      </c>
      <c r="BO1370" t="n">
        <v>11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379</v>
      </c>
      <c r="Z1371" t="n">
        <v>304</v>
      </c>
      <c r="AA1371" t="n">
        <v>39</v>
      </c>
      <c r="AB1371" t="n">
        <v>4</v>
      </c>
      <c r="AC1371" t="n">
        <v>0</v>
      </c>
      <c r="AD1371" t="n">
        <v>5</v>
      </c>
      <c r="AE1371" t="n">
        <v>3</v>
      </c>
      <c r="AF1371" t="n">
        <v>6</v>
      </c>
      <c r="AG1371" t="n">
        <v>6</v>
      </c>
      <c r="AH1371" t="n">
        <v>70</v>
      </c>
      <c r="AI1371" t="n">
        <v>30</v>
      </c>
      <c r="AJ1371" t="n">
        <v>122</v>
      </c>
      <c r="AK1371" t="n">
        <v>45</v>
      </c>
      <c r="AL1371" t="n">
        <v>4</v>
      </c>
      <c r="AM1371" t="n">
        <v>62</v>
      </c>
      <c r="AN1371" t="n">
        <v>0</v>
      </c>
      <c r="AO1371" t="n">
        <v>0</v>
      </c>
      <c r="AP1371" t="n">
        <v>0</v>
      </c>
      <c r="AQ1371" t="n">
        <v>15</v>
      </c>
      <c r="AR1371" t="n">
        <v>167</v>
      </c>
      <c r="AS1371" t="n">
        <v>148</v>
      </c>
      <c r="AT1371" t="n">
        <v>5</v>
      </c>
      <c r="AU1371" t="n">
        <v>1</v>
      </c>
      <c r="AV1371" t="n">
        <v>87</v>
      </c>
      <c r="AW1371" t="n">
        <v>18</v>
      </c>
      <c r="AX1371" t="n">
        <v>8</v>
      </c>
      <c r="AY1371" t="n">
        <v>19</v>
      </c>
      <c r="AZ1371" t="n">
        <v>0</v>
      </c>
      <c r="BA1371" t="n">
        <v>1</v>
      </c>
      <c r="BB1371" t="n">
        <v>37</v>
      </c>
      <c r="BC1371" t="n">
        <v>55</v>
      </c>
      <c r="BD1371" t="n">
        <v>79</v>
      </c>
      <c r="BE1371" t="n">
        <v>18</v>
      </c>
      <c r="BF1371" t="n">
        <v>96</v>
      </c>
      <c r="BG1371" t="n">
        <v>3</v>
      </c>
      <c r="BH1371" t="n">
        <v>15</v>
      </c>
      <c r="BI1371" t="n">
        <v>39</v>
      </c>
      <c r="BJ1371" t="n">
        <v>42</v>
      </c>
      <c r="BK1371" t="n">
        <v>7</v>
      </c>
      <c r="BL1371" t="n">
        <v>121</v>
      </c>
      <c r="BM1371" t="n">
        <v>86</v>
      </c>
      <c r="BN1371" t="n">
        <v>3</v>
      </c>
      <c r="BO1371" t="n">
        <v>7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276</v>
      </c>
      <c r="Z1372" t="n">
        <v>270</v>
      </c>
      <c r="AA1372" t="n">
        <v>15</v>
      </c>
      <c r="AB1372" t="n">
        <v>0</v>
      </c>
      <c r="AC1372" t="n">
        <v>3</v>
      </c>
      <c r="AD1372" t="n">
        <v>3</v>
      </c>
      <c r="AE1372" t="n">
        <v>0</v>
      </c>
      <c r="AF1372" t="n">
        <v>4</v>
      </c>
      <c r="AG1372" t="n">
        <v>3</v>
      </c>
      <c r="AH1372" t="n">
        <v>78</v>
      </c>
      <c r="AI1372" t="n">
        <v>22</v>
      </c>
      <c r="AJ1372" t="n">
        <v>30</v>
      </c>
      <c r="AK1372" t="n">
        <v>57</v>
      </c>
      <c r="AL1372" t="n">
        <v>5</v>
      </c>
      <c r="AM1372" t="n">
        <v>147</v>
      </c>
      <c r="AN1372" t="n">
        <v>0</v>
      </c>
      <c r="AO1372" t="n">
        <v>0</v>
      </c>
      <c r="AP1372" t="n">
        <v>5</v>
      </c>
      <c r="AQ1372" t="n">
        <v>24</v>
      </c>
      <c r="AR1372" t="n">
        <v>56</v>
      </c>
      <c r="AS1372" t="n">
        <v>37</v>
      </c>
      <c r="AT1372" t="n">
        <v>2</v>
      </c>
      <c r="AU1372" t="n">
        <v>2</v>
      </c>
      <c r="AV1372" t="n">
        <v>13</v>
      </c>
      <c r="AW1372" t="n">
        <v>5</v>
      </c>
      <c r="AX1372" t="n">
        <v>0</v>
      </c>
      <c r="AY1372" t="n">
        <v>48</v>
      </c>
      <c r="AZ1372" t="n">
        <v>4</v>
      </c>
      <c r="BA1372" t="n">
        <v>9</v>
      </c>
      <c r="BB1372" t="n">
        <v>21</v>
      </c>
      <c r="BC1372" t="n">
        <v>127</v>
      </c>
      <c r="BD1372" t="n">
        <v>72</v>
      </c>
      <c r="BE1372" t="n">
        <v>5</v>
      </c>
      <c r="BF1372" t="n">
        <v>25</v>
      </c>
      <c r="BG1372" t="n">
        <v>8</v>
      </c>
      <c r="BH1372" t="n">
        <v>2</v>
      </c>
      <c r="BI1372" t="n">
        <v>91</v>
      </c>
      <c r="BJ1372" t="n">
        <v>92</v>
      </c>
      <c r="BK1372" t="n">
        <v>2</v>
      </c>
      <c r="BL1372" t="n">
        <v>1</v>
      </c>
      <c r="BM1372" t="n">
        <v>5</v>
      </c>
      <c r="BN1372" t="n">
        <v>3</v>
      </c>
      <c r="BO1372" t="n">
        <v>40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3</v>
      </c>
      <c r="S1373" t="n">
        <v>0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193</v>
      </c>
      <c r="Z1373" t="n">
        <v>173</v>
      </c>
      <c r="AA1373" t="n">
        <v>108</v>
      </c>
      <c r="AB1373" t="n">
        <v>2</v>
      </c>
      <c r="AC1373" t="n">
        <v>2</v>
      </c>
      <c r="AD1373" t="n">
        <v>1</v>
      </c>
      <c r="AE1373" t="n">
        <v>2</v>
      </c>
      <c r="AF1373" t="n">
        <v>8</v>
      </c>
      <c r="AG1373" t="n">
        <v>3</v>
      </c>
      <c r="AH1373" t="n">
        <v>57</v>
      </c>
      <c r="AI1373" t="n">
        <v>2</v>
      </c>
      <c r="AJ1373" t="n">
        <v>99</v>
      </c>
      <c r="AK1373" t="n">
        <v>10</v>
      </c>
      <c r="AL1373" t="n">
        <v>3</v>
      </c>
      <c r="AM1373" t="n">
        <v>14</v>
      </c>
      <c r="AN1373" t="n">
        <v>1</v>
      </c>
      <c r="AO1373" t="n">
        <v>0</v>
      </c>
      <c r="AP1373" t="n">
        <v>0</v>
      </c>
      <c r="AQ1373" t="n">
        <v>1</v>
      </c>
      <c r="AR1373" t="n">
        <v>22</v>
      </c>
      <c r="AS1373" t="n">
        <v>17</v>
      </c>
      <c r="AT1373" t="n">
        <v>3</v>
      </c>
      <c r="AU1373" t="n">
        <v>2</v>
      </c>
      <c r="AV1373" t="n">
        <v>33</v>
      </c>
      <c r="AW1373" t="n">
        <v>20</v>
      </c>
      <c r="AX1373" t="n">
        <v>7</v>
      </c>
      <c r="AY1373" t="n">
        <v>32</v>
      </c>
      <c r="AZ1373" t="n">
        <v>5</v>
      </c>
      <c r="BA1373" t="n">
        <v>65</v>
      </c>
      <c r="BB1373" t="n">
        <v>174</v>
      </c>
      <c r="BC1373" t="n">
        <v>12</v>
      </c>
      <c r="BD1373" t="n">
        <v>51</v>
      </c>
      <c r="BE1373" t="n">
        <v>30</v>
      </c>
      <c r="BF1373" t="n">
        <v>85</v>
      </c>
      <c r="BG1373" t="n">
        <v>0</v>
      </c>
      <c r="BH1373" t="n">
        <v>3</v>
      </c>
      <c r="BI1373" t="n">
        <v>7</v>
      </c>
      <c r="BJ1373" t="n">
        <v>7</v>
      </c>
      <c r="BK1373" t="n">
        <v>2</v>
      </c>
      <c r="BL1373" t="n">
        <v>38</v>
      </c>
      <c r="BM1373" t="n">
        <v>38</v>
      </c>
      <c r="BN1373" t="n">
        <v>9</v>
      </c>
      <c r="BO1373" t="n">
        <v>2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191</v>
      </c>
      <c r="Z1374" t="n">
        <v>178</v>
      </c>
      <c r="AA1374" t="n">
        <v>81</v>
      </c>
      <c r="AB1374" t="n">
        <v>0</v>
      </c>
      <c r="AC1374" t="n">
        <v>0</v>
      </c>
      <c r="AD1374" t="n">
        <v>2</v>
      </c>
      <c r="AE1374" t="n">
        <v>2</v>
      </c>
      <c r="AF1374" t="n">
        <v>3</v>
      </c>
      <c r="AG1374" t="n">
        <v>4</v>
      </c>
      <c r="AH1374" t="n">
        <v>30</v>
      </c>
      <c r="AI1374" t="n">
        <v>44</v>
      </c>
      <c r="AJ1374" t="n">
        <v>36</v>
      </c>
      <c r="AK1374" t="n">
        <v>32</v>
      </c>
      <c r="AL1374" t="n">
        <v>2</v>
      </c>
      <c r="AM1374" t="n">
        <v>47</v>
      </c>
      <c r="AN1374" t="n">
        <v>0</v>
      </c>
      <c r="AO1374" t="n">
        <v>0</v>
      </c>
      <c r="AP1374" t="n">
        <v>3</v>
      </c>
      <c r="AQ1374" t="n">
        <v>12</v>
      </c>
      <c r="AR1374" t="n">
        <v>61</v>
      </c>
      <c r="AS1374" t="n">
        <v>50</v>
      </c>
      <c r="AT1374" t="n">
        <v>3</v>
      </c>
      <c r="AU1374" t="n">
        <v>0</v>
      </c>
      <c r="AV1374" t="n">
        <v>28</v>
      </c>
      <c r="AW1374" t="n">
        <v>5</v>
      </c>
      <c r="AX1374" t="n">
        <v>0</v>
      </c>
      <c r="AY1374" t="n">
        <v>93</v>
      </c>
      <c r="AZ1374" t="n">
        <v>7</v>
      </c>
      <c r="BA1374" t="n">
        <v>46</v>
      </c>
      <c r="BB1374" t="n">
        <v>125</v>
      </c>
      <c r="BC1374" t="n">
        <v>39</v>
      </c>
      <c r="BD1374" t="n">
        <v>29</v>
      </c>
      <c r="BE1374" t="n">
        <v>8</v>
      </c>
      <c r="BF1374" t="n">
        <v>41</v>
      </c>
      <c r="BG1374" t="n">
        <v>3</v>
      </c>
      <c r="BH1374" t="n">
        <v>11</v>
      </c>
      <c r="BI1374" t="n">
        <v>1</v>
      </c>
      <c r="BJ1374" t="n">
        <v>1</v>
      </c>
      <c r="BK1374" t="n">
        <v>1</v>
      </c>
      <c r="BL1374" t="n">
        <v>11</v>
      </c>
      <c r="BM1374" t="n">
        <v>10</v>
      </c>
      <c r="BN1374" t="n">
        <v>2</v>
      </c>
      <c r="BO1374" t="n">
        <v>9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171</v>
      </c>
      <c r="Z1375" t="n">
        <v>141</v>
      </c>
      <c r="AA1375" t="n">
        <v>84</v>
      </c>
      <c r="AB1375" t="n">
        <v>1</v>
      </c>
      <c r="AC1375" t="n">
        <v>1</v>
      </c>
      <c r="AD1375" t="n">
        <v>5</v>
      </c>
      <c r="AE1375" t="n">
        <v>5</v>
      </c>
      <c r="AF1375" t="n">
        <v>6</v>
      </c>
      <c r="AG1375" t="n">
        <v>0</v>
      </c>
      <c r="AH1375" t="n">
        <v>42</v>
      </c>
      <c r="AI1375" t="n">
        <v>50</v>
      </c>
      <c r="AJ1375" t="n">
        <v>57</v>
      </c>
      <c r="AK1375" t="n">
        <v>1</v>
      </c>
      <c r="AL1375" t="n">
        <v>3</v>
      </c>
      <c r="AM1375" t="n">
        <v>21</v>
      </c>
      <c r="AN1375" t="n">
        <v>0</v>
      </c>
      <c r="AO1375" t="n">
        <v>0</v>
      </c>
      <c r="AP1375" t="n">
        <v>3</v>
      </c>
      <c r="AQ1375" t="n">
        <v>10</v>
      </c>
      <c r="AR1375" t="n">
        <v>101</v>
      </c>
      <c r="AS1375" t="n">
        <v>89</v>
      </c>
      <c r="AT1375" t="n">
        <v>0</v>
      </c>
      <c r="AU1375" t="n">
        <v>4</v>
      </c>
      <c r="AV1375" t="n">
        <v>8</v>
      </c>
      <c r="AW1375" t="n">
        <v>28</v>
      </c>
      <c r="AX1375" t="n">
        <v>0</v>
      </c>
      <c r="AY1375" t="n">
        <v>35</v>
      </c>
      <c r="AZ1375" t="n">
        <v>1</v>
      </c>
      <c r="BA1375" t="n">
        <v>1</v>
      </c>
      <c r="BB1375" t="n">
        <v>81</v>
      </c>
      <c r="BC1375" t="n">
        <v>19</v>
      </c>
      <c r="BD1375" t="n">
        <v>38</v>
      </c>
      <c r="BE1375" t="n">
        <v>28</v>
      </c>
      <c r="BF1375" t="n">
        <v>50</v>
      </c>
      <c r="BG1375" t="n">
        <v>3</v>
      </c>
      <c r="BH1375" t="n">
        <v>2</v>
      </c>
      <c r="BI1375" t="n">
        <v>57</v>
      </c>
      <c r="BJ1375" t="n">
        <v>51</v>
      </c>
      <c r="BK1375" t="n">
        <v>1</v>
      </c>
      <c r="BL1375" t="n">
        <v>19</v>
      </c>
      <c r="BM1375" t="n">
        <v>42</v>
      </c>
      <c r="BN1375" t="n">
        <v>19</v>
      </c>
      <c r="BO1375" t="n">
        <v>2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208</v>
      </c>
      <c r="Z1376" t="n">
        <v>301</v>
      </c>
      <c r="AA1376" t="n">
        <v>10</v>
      </c>
      <c r="AB1376" t="n">
        <v>1</v>
      </c>
      <c r="AC1376" t="n">
        <v>2</v>
      </c>
      <c r="AD1376" t="n">
        <v>2</v>
      </c>
      <c r="AE1376" t="n">
        <v>2</v>
      </c>
      <c r="AF1376" t="n">
        <v>9</v>
      </c>
      <c r="AG1376" t="n">
        <v>2</v>
      </c>
      <c r="AH1376" t="n">
        <v>67</v>
      </c>
      <c r="AI1376" t="n">
        <v>2</v>
      </c>
      <c r="AJ1376" t="n">
        <v>82</v>
      </c>
      <c r="AK1376" t="n">
        <v>9</v>
      </c>
      <c r="AL1376" t="n">
        <v>6</v>
      </c>
      <c r="AM1376" t="n">
        <v>81</v>
      </c>
      <c r="AN1376" t="n">
        <v>0</v>
      </c>
      <c r="AO1376" t="n">
        <v>0</v>
      </c>
      <c r="AP1376" t="n">
        <v>3</v>
      </c>
      <c r="AQ1376" t="n">
        <v>27</v>
      </c>
      <c r="AR1376" t="n">
        <v>119</v>
      </c>
      <c r="AS1376" t="n">
        <v>95</v>
      </c>
      <c r="AT1376" t="n">
        <v>3</v>
      </c>
      <c r="AU1376" t="n">
        <v>3</v>
      </c>
      <c r="AV1376" t="n">
        <v>19</v>
      </c>
      <c r="AW1376" t="n">
        <v>41</v>
      </c>
      <c r="AX1376" t="n">
        <v>2</v>
      </c>
      <c r="AY1376" t="n">
        <v>8</v>
      </c>
      <c r="AZ1376" t="n">
        <v>0</v>
      </c>
      <c r="BA1376" t="n">
        <v>1</v>
      </c>
      <c r="BB1376" t="n">
        <v>11</v>
      </c>
      <c r="BC1376" t="n">
        <v>71</v>
      </c>
      <c r="BD1376" t="n">
        <v>60</v>
      </c>
      <c r="BE1376" t="n">
        <v>40</v>
      </c>
      <c r="BF1376" t="n">
        <v>68</v>
      </c>
      <c r="BG1376" t="n">
        <v>1</v>
      </c>
      <c r="BH1376" t="n">
        <v>7</v>
      </c>
      <c r="BI1376" t="n">
        <v>1</v>
      </c>
      <c r="BJ1376" t="n">
        <v>1</v>
      </c>
      <c r="BK1376" t="n">
        <v>0</v>
      </c>
      <c r="BL1376" t="n">
        <v>1</v>
      </c>
      <c r="BM1376" t="n">
        <v>1</v>
      </c>
      <c r="BN1376" t="n">
        <v>0</v>
      </c>
      <c r="BO1376" t="n">
        <v>2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296</v>
      </c>
      <c r="Z1377" t="n">
        <v>39</v>
      </c>
      <c r="AA1377" t="n">
        <v>48</v>
      </c>
      <c r="AB1377" t="n">
        <v>0</v>
      </c>
      <c r="AC1377" t="n">
        <v>0</v>
      </c>
      <c r="AD1377" t="n">
        <v>8</v>
      </c>
      <c r="AE1377" t="n">
        <v>2</v>
      </c>
      <c r="AF1377" t="n">
        <v>3</v>
      </c>
      <c r="AG1377" t="n">
        <v>12</v>
      </c>
      <c r="AH1377" t="n">
        <v>72</v>
      </c>
      <c r="AI1377" t="n">
        <v>31</v>
      </c>
      <c r="AJ1377" t="n">
        <v>12</v>
      </c>
      <c r="AK1377" t="n">
        <v>140</v>
      </c>
      <c r="AL1377" t="n">
        <v>0</v>
      </c>
      <c r="AM1377" t="n">
        <v>2</v>
      </c>
      <c r="AN1377" t="n">
        <v>0</v>
      </c>
      <c r="AO1377" t="n">
        <v>0</v>
      </c>
      <c r="AP1377" t="n">
        <v>3</v>
      </c>
      <c r="AQ1377" t="n">
        <v>33</v>
      </c>
      <c r="AR1377" t="n">
        <v>103</v>
      </c>
      <c r="AS1377" t="n">
        <v>75</v>
      </c>
      <c r="AT1377" t="n">
        <v>2</v>
      </c>
      <c r="AU1377" t="n">
        <v>1</v>
      </c>
      <c r="AV1377" t="n">
        <v>4</v>
      </c>
      <c r="AW1377" t="n">
        <v>1</v>
      </c>
      <c r="AX1377" t="n">
        <v>0</v>
      </c>
      <c r="AY1377" t="n">
        <v>35</v>
      </c>
      <c r="AZ1377" t="n">
        <v>2</v>
      </c>
      <c r="BA1377" t="n">
        <v>5</v>
      </c>
      <c r="BB1377" t="n">
        <v>50</v>
      </c>
      <c r="BC1377" t="n">
        <v>2</v>
      </c>
      <c r="BD1377" t="n">
        <v>63</v>
      </c>
      <c r="BE1377" t="n">
        <v>3</v>
      </c>
      <c r="BF1377" t="n">
        <v>10</v>
      </c>
      <c r="BG1377" t="n">
        <v>0</v>
      </c>
      <c r="BH1377" t="n">
        <v>3</v>
      </c>
      <c r="BI1377" t="n">
        <v>4</v>
      </c>
      <c r="BJ1377" t="n">
        <v>1</v>
      </c>
      <c r="BK1377" t="n">
        <v>0</v>
      </c>
      <c r="BL1377" t="n">
        <v>4</v>
      </c>
      <c r="BM1377" t="n">
        <v>14</v>
      </c>
      <c r="BN1377" t="n">
        <v>8</v>
      </c>
      <c r="BO1377" t="n">
        <v>2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3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202</v>
      </c>
      <c r="Z1378" t="n">
        <v>242</v>
      </c>
      <c r="AA1378" t="n">
        <v>33</v>
      </c>
      <c r="AB1378" t="n">
        <v>4</v>
      </c>
      <c r="AC1378" t="n">
        <v>1</v>
      </c>
      <c r="AD1378" t="n">
        <v>2</v>
      </c>
      <c r="AE1378" t="n">
        <v>7</v>
      </c>
      <c r="AF1378" t="n">
        <v>8</v>
      </c>
      <c r="AG1378" t="n">
        <v>2</v>
      </c>
      <c r="AH1378" t="n">
        <v>17</v>
      </c>
      <c r="AI1378" t="n">
        <v>75</v>
      </c>
      <c r="AJ1378" t="n">
        <v>90</v>
      </c>
      <c r="AK1378" t="n">
        <v>36</v>
      </c>
      <c r="AL1378" t="n">
        <v>6</v>
      </c>
      <c r="AM1378" t="n">
        <v>92</v>
      </c>
      <c r="AN1378" t="n">
        <v>0</v>
      </c>
      <c r="AO1378" t="n">
        <v>0</v>
      </c>
      <c r="AP1378" t="n">
        <v>3</v>
      </c>
      <c r="AQ1378" t="n">
        <v>15</v>
      </c>
      <c r="AR1378" t="n">
        <v>41</v>
      </c>
      <c r="AS1378" t="n">
        <v>29</v>
      </c>
      <c r="AT1378" t="n">
        <v>4</v>
      </c>
      <c r="AU1378" t="n">
        <v>1</v>
      </c>
      <c r="AV1378" t="n">
        <v>50</v>
      </c>
      <c r="AW1378" t="n">
        <v>4</v>
      </c>
      <c r="AX1378" t="n">
        <v>6</v>
      </c>
      <c r="AY1378" t="n">
        <v>22</v>
      </c>
      <c r="AZ1378" t="n">
        <v>1</v>
      </c>
      <c r="BA1378" t="n">
        <v>2</v>
      </c>
      <c r="BB1378" t="n">
        <v>33</v>
      </c>
      <c r="BC1378" t="n">
        <v>78</v>
      </c>
      <c r="BD1378" t="n">
        <v>14</v>
      </c>
      <c r="BE1378" t="n">
        <v>4</v>
      </c>
      <c r="BF1378" t="n">
        <v>85</v>
      </c>
      <c r="BG1378" t="n">
        <v>1</v>
      </c>
      <c r="BH1378" t="n">
        <v>5</v>
      </c>
      <c r="BI1378" t="n">
        <v>1</v>
      </c>
      <c r="BJ1378" t="n">
        <v>6</v>
      </c>
      <c r="BK1378" t="n">
        <v>0</v>
      </c>
      <c r="BL1378" t="n">
        <v>1</v>
      </c>
      <c r="BM1378" t="n">
        <v>16</v>
      </c>
      <c r="BN1378" t="n">
        <v>9</v>
      </c>
      <c r="BO1378" t="n">
        <v>2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3</v>
      </c>
      <c r="U1379" t="n">
        <v>0</v>
      </c>
      <c r="V1379" t="n">
        <v>0</v>
      </c>
      <c r="W1379" t="n">
        <v>0</v>
      </c>
      <c r="X1379" t="n">
        <v>0</v>
      </c>
      <c r="Y1379" t="n">
        <v>356</v>
      </c>
      <c r="Z1379" t="n">
        <v>169</v>
      </c>
      <c r="AA1379" t="n">
        <v>172</v>
      </c>
      <c r="AB1379" t="n">
        <v>2</v>
      </c>
      <c r="AC1379" t="n">
        <v>0</v>
      </c>
      <c r="AD1379" t="n">
        <v>9</v>
      </c>
      <c r="AE1379" t="n">
        <v>10</v>
      </c>
      <c r="AF1379" t="n">
        <v>8</v>
      </c>
      <c r="AG1379" t="n">
        <v>0</v>
      </c>
      <c r="AH1379" t="n">
        <v>130</v>
      </c>
      <c r="AI1379" t="n">
        <v>128</v>
      </c>
      <c r="AJ1379" t="n">
        <v>75</v>
      </c>
      <c r="AK1379" t="n">
        <v>13</v>
      </c>
      <c r="AL1379" t="n">
        <v>2</v>
      </c>
      <c r="AM1379" t="n">
        <v>17</v>
      </c>
      <c r="AN1379" t="n">
        <v>0</v>
      </c>
      <c r="AO1379" t="n">
        <v>0</v>
      </c>
      <c r="AP1379" t="n">
        <v>3</v>
      </c>
      <c r="AQ1379" t="n">
        <v>26</v>
      </c>
      <c r="AR1379" t="n">
        <v>81</v>
      </c>
      <c r="AS1379" t="n">
        <v>60</v>
      </c>
      <c r="AT1379" t="n">
        <v>3</v>
      </c>
      <c r="AU1379" t="n">
        <v>2</v>
      </c>
      <c r="AV1379" t="n">
        <v>28</v>
      </c>
      <c r="AW1379" t="n">
        <v>8</v>
      </c>
      <c r="AX1379" t="n">
        <v>6</v>
      </c>
      <c r="AY1379" t="n">
        <v>38</v>
      </c>
      <c r="AZ1379" t="n">
        <v>3</v>
      </c>
      <c r="BA1379" t="n">
        <v>10</v>
      </c>
      <c r="BB1379" t="n">
        <v>170</v>
      </c>
      <c r="BC1379" t="n">
        <v>13</v>
      </c>
      <c r="BD1379" t="n">
        <v>131</v>
      </c>
      <c r="BE1379" t="n">
        <v>9</v>
      </c>
      <c r="BF1379" t="n">
        <v>60</v>
      </c>
      <c r="BG1379" t="n">
        <v>4</v>
      </c>
      <c r="BH1379" t="n">
        <v>7</v>
      </c>
      <c r="BI1379" t="n">
        <v>15</v>
      </c>
      <c r="BJ1379" t="n">
        <v>25</v>
      </c>
      <c r="BK1379" t="n">
        <v>3</v>
      </c>
      <c r="BL1379" t="n">
        <v>9</v>
      </c>
      <c r="BM1379" t="n">
        <v>20</v>
      </c>
      <c r="BN1379" t="n">
        <v>9</v>
      </c>
      <c r="BO1379" t="n">
        <v>14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2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252</v>
      </c>
      <c r="Z1380" t="n">
        <v>113</v>
      </c>
      <c r="AA1380" t="n">
        <v>47</v>
      </c>
      <c r="AB1380" t="n">
        <v>3</v>
      </c>
      <c r="AC1380" t="n">
        <v>1</v>
      </c>
      <c r="AD1380" t="n">
        <v>4</v>
      </c>
      <c r="AE1380" t="n">
        <v>5</v>
      </c>
      <c r="AF1380" t="n">
        <v>5</v>
      </c>
      <c r="AG1380" t="n">
        <v>10</v>
      </c>
      <c r="AH1380" t="n">
        <v>19</v>
      </c>
      <c r="AI1380" t="n">
        <v>36</v>
      </c>
      <c r="AJ1380" t="n">
        <v>49</v>
      </c>
      <c r="AK1380" t="n">
        <v>71</v>
      </c>
      <c r="AL1380" t="n">
        <v>0</v>
      </c>
      <c r="AM1380" t="n">
        <v>10</v>
      </c>
      <c r="AN1380" t="n">
        <v>0</v>
      </c>
      <c r="AO1380" t="n">
        <v>0</v>
      </c>
      <c r="AP1380" t="n">
        <v>10</v>
      </c>
      <c r="AQ1380" t="n">
        <v>41</v>
      </c>
      <c r="AR1380" t="n">
        <v>95</v>
      </c>
      <c r="AS1380" t="n">
        <v>61</v>
      </c>
      <c r="AT1380" t="n">
        <v>4</v>
      </c>
      <c r="AU1380" t="n">
        <v>1</v>
      </c>
      <c r="AV1380" t="n">
        <v>40</v>
      </c>
      <c r="AW1380" t="n">
        <v>13</v>
      </c>
      <c r="AX1380" t="n">
        <v>31</v>
      </c>
      <c r="AY1380" t="n">
        <v>-4</v>
      </c>
      <c r="AZ1380" t="n">
        <v>2</v>
      </c>
      <c r="BA1380" t="n">
        <v>3</v>
      </c>
      <c r="BB1380" t="n">
        <v>47</v>
      </c>
      <c r="BC1380" t="n">
        <v>4</v>
      </c>
      <c r="BD1380" t="n">
        <v>36</v>
      </c>
      <c r="BE1380" t="n">
        <v>12</v>
      </c>
      <c r="BF1380" t="n">
        <v>44</v>
      </c>
      <c r="BG1380" t="n">
        <v>4</v>
      </c>
      <c r="BH1380" t="n">
        <v>21</v>
      </c>
      <c r="BI1380" t="n">
        <v>20</v>
      </c>
      <c r="BJ1380" t="n">
        <v>21</v>
      </c>
      <c r="BK1380" t="n">
        <v>5</v>
      </c>
      <c r="BL1380" t="n">
        <v>27</v>
      </c>
      <c r="BM1380" t="n">
        <v>18</v>
      </c>
      <c r="BN1380" t="n">
        <v>1</v>
      </c>
      <c r="BO1380" t="n">
        <v>30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2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144</v>
      </c>
      <c r="Z1381" t="n">
        <v>128</v>
      </c>
      <c r="AA1381" t="n">
        <v>25</v>
      </c>
      <c r="AB1381" t="n">
        <v>0</v>
      </c>
      <c r="AC1381" t="n">
        <v>0</v>
      </c>
      <c r="AD1381" t="n">
        <v>1</v>
      </c>
      <c r="AE1381" t="n">
        <v>6</v>
      </c>
      <c r="AF1381" t="n">
        <v>2</v>
      </c>
      <c r="AG1381" t="n">
        <v>3</v>
      </c>
      <c r="AH1381" t="n">
        <v>9</v>
      </c>
      <c r="AI1381" t="n">
        <v>13</v>
      </c>
      <c r="AJ1381" t="n">
        <v>6</v>
      </c>
      <c r="AK1381" t="n">
        <v>62</v>
      </c>
      <c r="AL1381" t="n">
        <v>4</v>
      </c>
      <c r="AM1381" t="n">
        <v>11</v>
      </c>
      <c r="AN1381" t="n">
        <v>0</v>
      </c>
      <c r="AO1381" t="n">
        <v>0</v>
      </c>
      <c r="AP1381" t="n">
        <v>5</v>
      </c>
      <c r="AQ1381" t="n">
        <v>18</v>
      </c>
      <c r="AR1381" t="n">
        <v>166</v>
      </c>
      <c r="AS1381" t="n">
        <v>143</v>
      </c>
      <c r="AT1381" t="n">
        <v>3</v>
      </c>
      <c r="AU1381" t="n">
        <v>2</v>
      </c>
      <c r="AV1381" t="n">
        <v>6</v>
      </c>
      <c r="AW1381" t="n">
        <v>17</v>
      </c>
      <c r="AX1381" t="n">
        <v>18</v>
      </c>
      <c r="AY1381" t="n">
        <v>13</v>
      </c>
      <c r="AZ1381" t="n">
        <v>4</v>
      </c>
      <c r="BA1381" t="n">
        <v>48</v>
      </c>
      <c r="BB1381" t="n">
        <v>80</v>
      </c>
      <c r="BC1381" t="n">
        <v>29</v>
      </c>
      <c r="BD1381" t="n">
        <v>28</v>
      </c>
      <c r="BE1381" t="n">
        <v>17</v>
      </c>
      <c r="BF1381" t="n">
        <v>12</v>
      </c>
      <c r="BG1381" t="n">
        <v>1</v>
      </c>
      <c r="BH1381" t="n">
        <v>6</v>
      </c>
      <c r="BI1381" t="n">
        <v>22</v>
      </c>
      <c r="BJ1381" t="n">
        <v>26</v>
      </c>
      <c r="BK1381" t="n">
        <v>0</v>
      </c>
      <c r="BL1381" t="n">
        <v>8</v>
      </c>
      <c r="BM1381" t="n">
        <v>8</v>
      </c>
      <c r="BN1381" t="n">
        <v>3</v>
      </c>
      <c r="BO1381" t="n">
        <v>68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112</v>
      </c>
      <c r="Z1382" t="n">
        <v>123</v>
      </c>
      <c r="AA1382" t="n">
        <v>93</v>
      </c>
      <c r="AB1382" t="n">
        <v>1</v>
      </c>
      <c r="AC1382" t="n">
        <v>1</v>
      </c>
      <c r="AD1382" t="n">
        <v>4</v>
      </c>
      <c r="AE1382" t="n">
        <v>7</v>
      </c>
      <c r="AF1382" t="n">
        <v>1</v>
      </c>
      <c r="AG1382" t="n">
        <v>2</v>
      </c>
      <c r="AH1382" t="n">
        <v>45</v>
      </c>
      <c r="AI1382" t="n">
        <v>45</v>
      </c>
      <c r="AJ1382" t="n">
        <v>10</v>
      </c>
      <c r="AK1382" t="n">
        <v>13</v>
      </c>
      <c r="AL1382" t="n">
        <v>8</v>
      </c>
      <c r="AM1382" t="n">
        <v>44</v>
      </c>
      <c r="AN1382" t="n">
        <v>0</v>
      </c>
      <c r="AO1382" t="n">
        <v>0</v>
      </c>
      <c r="AP1382" t="n">
        <v>3</v>
      </c>
      <c r="AQ1382" t="n">
        <v>10</v>
      </c>
      <c r="AR1382" t="n">
        <v>43</v>
      </c>
      <c r="AS1382" t="n">
        <v>35</v>
      </c>
      <c r="AT1382" t="n">
        <v>3</v>
      </c>
      <c r="AU1382" t="n">
        <v>1</v>
      </c>
      <c r="AV1382" t="n">
        <v>24</v>
      </c>
      <c r="AW1382" t="n">
        <v>5</v>
      </c>
      <c r="AX1382" t="n">
        <v>2</v>
      </c>
      <c r="AY1382" t="n">
        <v>23</v>
      </c>
      <c r="AZ1382" t="n">
        <v>0</v>
      </c>
      <c r="BA1382" t="n">
        <v>14</v>
      </c>
      <c r="BB1382" t="n">
        <v>103</v>
      </c>
      <c r="BC1382" t="n">
        <v>37</v>
      </c>
      <c r="BD1382" t="n">
        <v>51</v>
      </c>
      <c r="BE1382" t="n">
        <v>5</v>
      </c>
      <c r="BF1382" t="n">
        <v>7</v>
      </c>
      <c r="BG1382" t="n">
        <v>1</v>
      </c>
      <c r="BH1382" t="n">
        <v>4</v>
      </c>
      <c r="BI1382" t="n">
        <v>20</v>
      </c>
      <c r="BJ1382" t="n">
        <v>17</v>
      </c>
      <c r="BK1382" t="n">
        <v>0</v>
      </c>
      <c r="BL1382" t="n">
        <v>3</v>
      </c>
      <c r="BM1382" t="n">
        <v>7</v>
      </c>
      <c r="BN1382" t="n">
        <v>4</v>
      </c>
      <c r="BO1382" t="n">
        <v>11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172</v>
      </c>
      <c r="Z1383" t="n">
        <v>278</v>
      </c>
      <c r="AA1383" t="n">
        <v>103</v>
      </c>
      <c r="AB1383" t="n">
        <v>3</v>
      </c>
      <c r="AC1383" t="n">
        <v>1</v>
      </c>
      <c r="AD1383" t="n">
        <v>4</v>
      </c>
      <c r="AE1383" t="n">
        <v>3</v>
      </c>
      <c r="AF1383" t="n">
        <v>2</v>
      </c>
      <c r="AG1383" t="n">
        <v>3</v>
      </c>
      <c r="AH1383" t="n">
        <v>56</v>
      </c>
      <c r="AI1383" t="n">
        <v>54</v>
      </c>
      <c r="AJ1383" t="n">
        <v>13</v>
      </c>
      <c r="AK1383" t="n">
        <v>33</v>
      </c>
      <c r="AL1383" t="n">
        <v>4</v>
      </c>
      <c r="AM1383" t="n">
        <v>17</v>
      </c>
      <c r="AN1383" t="n">
        <v>0</v>
      </c>
      <c r="AO1383" t="n">
        <v>0</v>
      </c>
      <c r="AP1383" t="n">
        <v>1</v>
      </c>
      <c r="AQ1383" t="n">
        <v>1</v>
      </c>
      <c r="AR1383" t="n">
        <v>63</v>
      </c>
      <c r="AS1383" t="n">
        <v>56</v>
      </c>
      <c r="AT1383" t="n">
        <v>2</v>
      </c>
      <c r="AU1383" t="n">
        <v>1</v>
      </c>
      <c r="AV1383" t="n">
        <v>12</v>
      </c>
      <c r="AW1383" t="n">
        <v>18</v>
      </c>
      <c r="AX1383" t="n">
        <v>4</v>
      </c>
      <c r="AY1383" t="n">
        <v>12</v>
      </c>
      <c r="AZ1383" t="n">
        <v>2</v>
      </c>
      <c r="BA1383" t="n">
        <v>18</v>
      </c>
      <c r="BB1383" t="n">
        <v>115</v>
      </c>
      <c r="BC1383" t="n">
        <v>15</v>
      </c>
      <c r="BD1383" t="n">
        <v>56</v>
      </c>
      <c r="BE1383" t="n">
        <v>23</v>
      </c>
      <c r="BF1383" t="n">
        <v>56</v>
      </c>
      <c r="BG1383" t="n">
        <v>3</v>
      </c>
      <c r="BH1383" t="n">
        <v>5</v>
      </c>
      <c r="BI1383" t="n">
        <v>1</v>
      </c>
      <c r="BJ1383" t="n">
        <v>1</v>
      </c>
      <c r="BK1383" t="n">
        <v>3</v>
      </c>
      <c r="BL1383" t="n">
        <v>9</v>
      </c>
      <c r="BM1383" t="n">
        <v>39</v>
      </c>
      <c r="BN1383" t="n">
        <v>22</v>
      </c>
      <c r="BO1383" t="n">
        <v>2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206</v>
      </c>
      <c r="Z1384" t="n">
        <v>167</v>
      </c>
      <c r="AA1384" t="n">
        <v>89</v>
      </c>
      <c r="AB1384" t="n">
        <v>2</v>
      </c>
      <c r="AC1384" t="n">
        <v>1</v>
      </c>
      <c r="AD1384" t="n">
        <v>7</v>
      </c>
      <c r="AE1384" t="n">
        <v>4</v>
      </c>
      <c r="AF1384" t="n">
        <v>7</v>
      </c>
      <c r="AG1384" t="n">
        <v>5</v>
      </c>
      <c r="AH1384" t="n">
        <v>73</v>
      </c>
      <c r="AI1384" t="n">
        <v>43</v>
      </c>
      <c r="AJ1384" t="n">
        <v>59</v>
      </c>
      <c r="AK1384" t="n">
        <v>41</v>
      </c>
      <c r="AL1384" t="n">
        <v>3</v>
      </c>
      <c r="AM1384" t="n">
        <v>25</v>
      </c>
      <c r="AN1384" t="n">
        <v>0</v>
      </c>
      <c r="AO1384" t="n">
        <v>0</v>
      </c>
      <c r="AP1384" t="n">
        <v>1</v>
      </c>
      <c r="AQ1384" t="n">
        <v>1</v>
      </c>
      <c r="AR1384" t="n">
        <v>74</v>
      </c>
      <c r="AS1384" t="n">
        <v>67</v>
      </c>
      <c r="AT1384" t="n">
        <v>1</v>
      </c>
      <c r="AU1384" t="n">
        <v>2</v>
      </c>
      <c r="AV1384" t="n">
        <v>18</v>
      </c>
      <c r="AW1384" t="n">
        <v>22</v>
      </c>
      <c r="AX1384" t="n">
        <v>0</v>
      </c>
      <c r="AY1384" t="n">
        <v>73</v>
      </c>
      <c r="AZ1384" t="n">
        <v>6</v>
      </c>
      <c r="BA1384" t="n">
        <v>8</v>
      </c>
      <c r="BB1384" t="n">
        <v>92</v>
      </c>
      <c r="BC1384" t="n">
        <v>28</v>
      </c>
      <c r="BD1384" t="n">
        <v>71</v>
      </c>
      <c r="BE1384" t="n">
        <v>24</v>
      </c>
      <c r="BF1384" t="n">
        <v>49</v>
      </c>
      <c r="BG1384" t="n">
        <v>0</v>
      </c>
      <c r="BH1384" t="n">
        <v>14</v>
      </c>
      <c r="BI1384" t="n">
        <v>6</v>
      </c>
      <c r="BJ1384" t="n">
        <v>1</v>
      </c>
      <c r="BK1384" t="n">
        <v>4</v>
      </c>
      <c r="BL1384" t="n">
        <v>43</v>
      </c>
      <c r="BM1384" t="n">
        <v>35</v>
      </c>
      <c r="BN1384" t="n">
        <v>5</v>
      </c>
      <c r="BO1384" t="n">
        <v>9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259</v>
      </c>
      <c r="Z1385" t="n">
        <v>249</v>
      </c>
      <c r="AA1385" t="n">
        <v>34</v>
      </c>
      <c r="AB1385" t="n">
        <v>1</v>
      </c>
      <c r="AC1385" t="n">
        <v>0</v>
      </c>
      <c r="AD1385" t="n">
        <v>2</v>
      </c>
      <c r="AE1385" t="n">
        <v>7</v>
      </c>
      <c r="AF1385" t="n">
        <v>2</v>
      </c>
      <c r="AG1385" t="n">
        <v>6</v>
      </c>
      <c r="AH1385" t="n">
        <v>39</v>
      </c>
      <c r="AI1385" t="n">
        <v>40</v>
      </c>
      <c r="AJ1385" t="n">
        <v>15</v>
      </c>
      <c r="AK1385" t="n">
        <v>101</v>
      </c>
      <c r="AL1385" t="n">
        <v>2</v>
      </c>
      <c r="AM1385" t="n">
        <v>13</v>
      </c>
      <c r="AN1385" t="n">
        <v>0</v>
      </c>
      <c r="AO1385" t="n">
        <v>0</v>
      </c>
      <c r="AP1385" t="n">
        <v>8</v>
      </c>
      <c r="AQ1385" t="n">
        <v>41</v>
      </c>
      <c r="AR1385" t="n">
        <v>76</v>
      </c>
      <c r="AS1385" t="n">
        <v>41</v>
      </c>
      <c r="AT1385" t="n">
        <v>3</v>
      </c>
      <c r="AU1385" t="n">
        <v>2</v>
      </c>
      <c r="AV1385" t="n">
        <v>24</v>
      </c>
      <c r="AW1385" t="n">
        <v>42</v>
      </c>
      <c r="AX1385" t="n">
        <v>0</v>
      </c>
      <c r="AY1385" t="n">
        <v>1</v>
      </c>
      <c r="AZ1385" t="n">
        <v>4</v>
      </c>
      <c r="BA1385" t="n">
        <v>48</v>
      </c>
      <c r="BB1385" t="n">
        <v>87</v>
      </c>
      <c r="BC1385" t="n">
        <v>2</v>
      </c>
      <c r="BD1385" t="n">
        <v>34</v>
      </c>
      <c r="BE1385" t="n">
        <v>41</v>
      </c>
      <c r="BF1385" t="n">
        <v>11</v>
      </c>
      <c r="BG1385" t="n">
        <v>4</v>
      </c>
      <c r="BH1385" t="n">
        <v>14</v>
      </c>
      <c r="BI1385" t="n">
        <v>49</v>
      </c>
      <c r="BJ1385" t="n">
        <v>46</v>
      </c>
      <c r="BK1385" t="n">
        <v>0</v>
      </c>
      <c r="BL1385" t="n">
        <v>3</v>
      </c>
      <c r="BM1385" t="n">
        <v>23</v>
      </c>
      <c r="BN1385" t="n">
        <v>13</v>
      </c>
      <c r="BO1385" t="n">
        <v>30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n">
        <v>0</v>
      </c>
      <c r="P1386" t="n">
        <v>0</v>
      </c>
      <c r="Q1386" t="n">
        <v>0</v>
      </c>
      <c r="R1386" t="n">
        <v>2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n">
        <v>156</v>
      </c>
      <c r="Z1386" t="n">
        <v>104</v>
      </c>
      <c r="AA1386" t="n">
        <v>222</v>
      </c>
      <c r="AB1386" t="n">
        <v>2</v>
      </c>
      <c r="AC1386" t="n">
        <v>0</v>
      </c>
      <c r="AD1386" t="n">
        <v>4</v>
      </c>
      <c r="AE1386" t="n">
        <v>0</v>
      </c>
      <c r="AF1386" t="n">
        <v>6</v>
      </c>
      <c r="AG1386" t="n">
        <v>10</v>
      </c>
      <c r="AH1386" t="n">
        <v>11</v>
      </c>
      <c r="AI1386" t="n">
        <v>27</v>
      </c>
      <c r="AJ1386" t="n">
        <v>68</v>
      </c>
      <c r="AK1386" t="n">
        <v>65</v>
      </c>
      <c r="AL1386" t="n">
        <v>3</v>
      </c>
      <c r="AM1386" t="n">
        <v>14</v>
      </c>
      <c r="AN1386" t="n">
        <v>0</v>
      </c>
      <c r="AO1386" t="n">
        <v>0</v>
      </c>
      <c r="AP1386" t="n">
        <v>0</v>
      </c>
      <c r="AQ1386" t="n">
        <v>3</v>
      </c>
      <c r="AR1386" t="n">
        <v>81</v>
      </c>
      <c r="AS1386" t="n">
        <v>76</v>
      </c>
      <c r="AT1386" t="n">
        <v>2</v>
      </c>
      <c r="AU1386" t="n">
        <v>3</v>
      </c>
      <c r="AV1386" t="n">
        <v>21</v>
      </c>
      <c r="AW1386" t="n">
        <v>20</v>
      </c>
      <c r="AX1386" t="n">
        <v>3</v>
      </c>
      <c r="AY1386" t="n">
        <v>20</v>
      </c>
      <c r="AZ1386" t="n">
        <v>3</v>
      </c>
      <c r="BA1386" t="n">
        <v>1</v>
      </c>
      <c r="BB1386" t="n">
        <v>234</v>
      </c>
      <c r="BC1386" t="n">
        <v>11</v>
      </c>
      <c r="BD1386" t="n">
        <v>12</v>
      </c>
      <c r="BE1386" t="n">
        <v>20</v>
      </c>
      <c r="BF1386" t="n">
        <v>64</v>
      </c>
      <c r="BG1386" t="n">
        <v>0</v>
      </c>
      <c r="BH1386" t="n">
        <v>6</v>
      </c>
      <c r="BI1386" t="n">
        <v>1</v>
      </c>
      <c r="BJ1386" t="n">
        <v>7</v>
      </c>
      <c r="BK1386" t="n">
        <v>0</v>
      </c>
      <c r="BL1386" t="n">
        <v>1</v>
      </c>
      <c r="BM1386" t="n">
        <v>13</v>
      </c>
      <c r="BN1386" t="n">
        <v>7</v>
      </c>
      <c r="BO1386" t="n">
        <v>23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2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185</v>
      </c>
      <c r="Z1387" t="n">
        <v>99</v>
      </c>
      <c r="AA1387" t="n">
        <v>56</v>
      </c>
      <c r="AB1387" t="n">
        <v>3</v>
      </c>
      <c r="AC1387" t="n">
        <v>1</v>
      </c>
      <c r="AD1387" t="n">
        <v>4</v>
      </c>
      <c r="AE1387" t="n">
        <v>3</v>
      </c>
      <c r="AF1387" t="n">
        <v>5</v>
      </c>
      <c r="AG1387" t="n">
        <v>1</v>
      </c>
      <c r="AH1387" t="n">
        <v>51</v>
      </c>
      <c r="AI1387" t="n">
        <v>60</v>
      </c>
      <c r="AJ1387" t="n">
        <v>51</v>
      </c>
      <c r="AK1387" t="n">
        <v>4</v>
      </c>
      <c r="AL1387" t="n">
        <v>0</v>
      </c>
      <c r="AM1387" t="n">
        <v>9</v>
      </c>
      <c r="AN1387" t="n">
        <v>0</v>
      </c>
      <c r="AO1387" t="n">
        <v>0</v>
      </c>
      <c r="AP1387" t="n">
        <v>4</v>
      </c>
      <c r="AQ1387" t="n">
        <v>9</v>
      </c>
      <c r="AR1387" t="n">
        <v>185</v>
      </c>
      <c r="AS1387" t="n">
        <v>171</v>
      </c>
      <c r="AT1387" t="n">
        <v>6</v>
      </c>
      <c r="AU1387" t="n">
        <v>0</v>
      </c>
      <c r="AV1387" t="n">
        <v>36</v>
      </c>
      <c r="AW1387" t="n">
        <v>2</v>
      </c>
      <c r="AX1387" t="n">
        <v>5</v>
      </c>
      <c r="AY1387" t="n">
        <v>23</v>
      </c>
      <c r="AZ1387" t="n">
        <v>1</v>
      </c>
      <c r="BA1387" t="n">
        <v>7</v>
      </c>
      <c r="BB1387" t="n">
        <v>59</v>
      </c>
      <c r="BC1387" t="n">
        <v>10</v>
      </c>
      <c r="BD1387" t="n">
        <v>45</v>
      </c>
      <c r="BE1387" t="n">
        <v>1</v>
      </c>
      <c r="BF1387" t="n">
        <v>41</v>
      </c>
      <c r="BG1387" t="n">
        <v>1</v>
      </c>
      <c r="BH1387" t="n">
        <v>9</v>
      </c>
      <c r="BI1387" t="n">
        <v>25</v>
      </c>
      <c r="BJ1387" t="n">
        <v>34</v>
      </c>
      <c r="BK1387" t="n">
        <v>0</v>
      </c>
      <c r="BL1387" t="n">
        <v>8</v>
      </c>
      <c r="BM1387" t="n">
        <v>5</v>
      </c>
      <c r="BN1387" t="n">
        <v>0</v>
      </c>
      <c r="BO1387" t="n">
        <v>131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190</v>
      </c>
      <c r="Z1388" t="n">
        <v>175</v>
      </c>
      <c r="AA1388" t="n">
        <v>68</v>
      </c>
      <c r="AB1388" t="n">
        <v>0</v>
      </c>
      <c r="AC1388" t="n">
        <v>1</v>
      </c>
      <c r="AD1388" t="n">
        <v>3</v>
      </c>
      <c r="AE1388" t="n">
        <v>3</v>
      </c>
      <c r="AF1388" t="n">
        <v>3</v>
      </c>
      <c r="AG1388" t="n">
        <v>3</v>
      </c>
      <c r="AH1388" t="n">
        <v>35</v>
      </c>
      <c r="AI1388" t="n">
        <v>25</v>
      </c>
      <c r="AJ1388" t="n">
        <v>23</v>
      </c>
      <c r="AK1388" t="n">
        <v>0</v>
      </c>
      <c r="AL1388" t="n">
        <v>3</v>
      </c>
      <c r="AM1388" t="n">
        <v>37</v>
      </c>
      <c r="AN1388" t="n">
        <v>0</v>
      </c>
      <c r="AO1388" t="n">
        <v>0</v>
      </c>
      <c r="AP1388" t="n">
        <v>7</v>
      </c>
      <c r="AQ1388" t="n">
        <v>41</v>
      </c>
      <c r="AR1388" t="n">
        <v>78</v>
      </c>
      <c r="AS1388" t="n">
        <v>43</v>
      </c>
      <c r="AT1388" t="n">
        <v>1</v>
      </c>
      <c r="AU1388" t="n">
        <v>2</v>
      </c>
      <c r="AV1388" t="n">
        <v>10</v>
      </c>
      <c r="AW1388" t="n">
        <v>4</v>
      </c>
      <c r="AX1388" t="n">
        <v>2</v>
      </c>
      <c r="AY1388" t="n">
        <v>50</v>
      </c>
      <c r="AZ1388" t="n">
        <v>5</v>
      </c>
      <c r="BA1388" t="n">
        <v>20</v>
      </c>
      <c r="BB1388" t="n">
        <v>85</v>
      </c>
      <c r="BC1388" t="n">
        <v>32</v>
      </c>
      <c r="BD1388" t="n">
        <v>39</v>
      </c>
      <c r="BE1388" t="n">
        <v>3</v>
      </c>
      <c r="BF1388" t="n">
        <v>37</v>
      </c>
      <c r="BG1388" t="n">
        <v>7</v>
      </c>
      <c r="BH1388" t="n">
        <v>5</v>
      </c>
      <c r="BI1388" t="n">
        <v>70</v>
      </c>
      <c r="BJ1388" t="n">
        <v>63</v>
      </c>
      <c r="BK1388" t="n">
        <v>10</v>
      </c>
      <c r="BL1388" t="n">
        <v>89</v>
      </c>
      <c r="BM1388" t="n">
        <v>79</v>
      </c>
      <c r="BN1388" t="n">
        <v>12</v>
      </c>
      <c r="BO1388" t="n">
        <v>2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n">
        <v>217</v>
      </c>
      <c r="Z1389" t="n">
        <v>144</v>
      </c>
      <c r="AA1389" t="n">
        <v>16</v>
      </c>
      <c r="AB1389" t="n">
        <v>2</v>
      </c>
      <c r="AC1389" t="n">
        <v>0</v>
      </c>
      <c r="AD1389" t="n">
        <v>0</v>
      </c>
      <c r="AE1389" t="n">
        <v>5</v>
      </c>
      <c r="AF1389" t="n">
        <v>3</v>
      </c>
      <c r="AG1389" t="n">
        <v>3</v>
      </c>
      <c r="AH1389" t="n">
        <v>2</v>
      </c>
      <c r="AI1389" t="n">
        <v>33</v>
      </c>
      <c r="AJ1389" t="n">
        <v>55</v>
      </c>
      <c r="AK1389" t="n">
        <v>13</v>
      </c>
      <c r="AL1389" t="n">
        <v>2</v>
      </c>
      <c r="AM1389" t="n">
        <v>22</v>
      </c>
      <c r="AN1389" t="n">
        <v>1</v>
      </c>
      <c r="AO1389" t="n">
        <v>0</v>
      </c>
      <c r="AP1389" t="n">
        <v>3</v>
      </c>
      <c r="AQ1389" t="n">
        <v>23</v>
      </c>
      <c r="AR1389" t="n">
        <v>50</v>
      </c>
      <c r="AS1389" t="n">
        <v>32</v>
      </c>
      <c r="AT1389" t="n">
        <v>8</v>
      </c>
      <c r="AU1389" t="n">
        <v>1</v>
      </c>
      <c r="AV1389" t="n">
        <v>96</v>
      </c>
      <c r="AW1389" t="n">
        <v>4</v>
      </c>
      <c r="AX1389" t="n">
        <v>7</v>
      </c>
      <c r="AY1389" t="n">
        <v>22</v>
      </c>
      <c r="AZ1389" t="n">
        <v>2</v>
      </c>
      <c r="BA1389" t="n">
        <v>24</v>
      </c>
      <c r="BB1389" t="n">
        <v>42</v>
      </c>
      <c r="BC1389" t="n">
        <v>29</v>
      </c>
      <c r="BD1389" t="n">
        <v>5</v>
      </c>
      <c r="BE1389" t="n">
        <v>3</v>
      </c>
      <c r="BF1389" t="n">
        <v>48</v>
      </c>
      <c r="BG1389" t="n">
        <v>3</v>
      </c>
      <c r="BH1389" t="n">
        <v>10</v>
      </c>
      <c r="BI1389" t="n">
        <v>32</v>
      </c>
      <c r="BJ1389" t="n">
        <v>27</v>
      </c>
      <c r="BK1389" t="n">
        <v>1</v>
      </c>
      <c r="BL1389" t="n">
        <v>11</v>
      </c>
      <c r="BM1389" t="n">
        <v>13</v>
      </c>
      <c r="BN1389" t="n">
        <v>4</v>
      </c>
      <c r="BO1389" t="n">
        <v>2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128</v>
      </c>
      <c r="Z1390" t="n">
        <v>262</v>
      </c>
      <c r="AA1390" t="n">
        <v>88</v>
      </c>
      <c r="AB1390" t="n">
        <v>0</v>
      </c>
      <c r="AC1390" t="n">
        <v>0</v>
      </c>
      <c r="AD1390" t="n">
        <v>3</v>
      </c>
      <c r="AE1390" t="n">
        <v>2</v>
      </c>
      <c r="AF1390" t="n">
        <v>2</v>
      </c>
      <c r="AG1390" t="n">
        <v>2</v>
      </c>
      <c r="AH1390" t="n">
        <v>33</v>
      </c>
      <c r="AI1390" t="n">
        <v>6</v>
      </c>
      <c r="AJ1390" t="n">
        <v>5</v>
      </c>
      <c r="AK1390" t="n">
        <v>10</v>
      </c>
      <c r="AL1390" t="n">
        <v>4</v>
      </c>
      <c r="AM1390" t="n">
        <v>92</v>
      </c>
      <c r="AN1390" t="n">
        <v>0</v>
      </c>
      <c r="AO1390" t="n">
        <v>0</v>
      </c>
      <c r="AP1390" t="n">
        <v>2</v>
      </c>
      <c r="AQ1390" t="n">
        <v>24</v>
      </c>
      <c r="AR1390" t="n">
        <v>99</v>
      </c>
      <c r="AS1390" t="n">
        <v>79</v>
      </c>
      <c r="AT1390" t="n">
        <v>1</v>
      </c>
      <c r="AU1390" t="n">
        <v>2</v>
      </c>
      <c r="AV1390" t="n">
        <v>12</v>
      </c>
      <c r="AW1390" t="n">
        <v>50</v>
      </c>
      <c r="AX1390" t="n">
        <v>6</v>
      </c>
      <c r="AY1390" t="n">
        <v>32</v>
      </c>
      <c r="AZ1390" t="n">
        <v>0</v>
      </c>
      <c r="BA1390" t="n">
        <v>27</v>
      </c>
      <c r="BB1390" t="n">
        <v>111</v>
      </c>
      <c r="BC1390" t="n">
        <v>77</v>
      </c>
      <c r="BD1390" t="n">
        <v>32</v>
      </c>
      <c r="BE1390" t="n">
        <v>50</v>
      </c>
      <c r="BF1390" t="n">
        <v>5</v>
      </c>
      <c r="BG1390" t="n">
        <v>1</v>
      </c>
      <c r="BH1390" t="n">
        <v>6</v>
      </c>
      <c r="BI1390" t="n">
        <v>10</v>
      </c>
      <c r="BJ1390" t="n">
        <v>18</v>
      </c>
      <c r="BK1390" t="n">
        <v>0</v>
      </c>
      <c r="BL1390" t="n">
        <v>2</v>
      </c>
      <c r="BM1390" t="n">
        <v>1</v>
      </c>
      <c r="BN1390" t="n">
        <v>0</v>
      </c>
      <c r="BO1390" t="n">
        <v>2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0</v>
      </c>
      <c r="W1391" t="n">
        <v>0</v>
      </c>
      <c r="X1391" t="n">
        <v>0</v>
      </c>
      <c r="Y1391" t="n">
        <v>263</v>
      </c>
      <c r="Z1391" t="n">
        <v>226</v>
      </c>
      <c r="AA1391" t="n">
        <v>59</v>
      </c>
      <c r="AB1391" t="n">
        <v>3</v>
      </c>
      <c r="AC1391" t="n">
        <v>0</v>
      </c>
      <c r="AD1391" t="n">
        <v>7</v>
      </c>
      <c r="AE1391" t="n">
        <v>4</v>
      </c>
      <c r="AF1391" t="n">
        <v>3</v>
      </c>
      <c r="AG1391" t="n">
        <v>11</v>
      </c>
      <c r="AH1391" t="n">
        <v>105</v>
      </c>
      <c r="AI1391" t="n">
        <v>37</v>
      </c>
      <c r="AJ1391" t="n">
        <v>38</v>
      </c>
      <c r="AK1391" t="n">
        <v>75</v>
      </c>
      <c r="AL1391" t="n">
        <v>3</v>
      </c>
      <c r="AM1391" t="n">
        <v>94</v>
      </c>
      <c r="AN1391" t="n">
        <v>0</v>
      </c>
      <c r="AO1391" t="n">
        <v>0</v>
      </c>
      <c r="AP1391" t="n">
        <v>4</v>
      </c>
      <c r="AQ1391" t="n">
        <v>36</v>
      </c>
      <c r="AR1391" t="n">
        <v>91</v>
      </c>
      <c r="AS1391" t="n">
        <v>60</v>
      </c>
      <c r="AT1391" t="n">
        <v>4</v>
      </c>
      <c r="AU1391" t="n">
        <v>4</v>
      </c>
      <c r="AV1391" t="n">
        <v>48</v>
      </c>
      <c r="AW1391" t="n">
        <v>30</v>
      </c>
      <c r="AX1391" t="n">
        <v>11</v>
      </c>
      <c r="AY1391" t="n">
        <v>8</v>
      </c>
      <c r="AZ1391" t="n">
        <v>6</v>
      </c>
      <c r="BA1391" t="n">
        <v>30</v>
      </c>
      <c r="BB1391" t="n">
        <v>86</v>
      </c>
      <c r="BC1391" t="n">
        <v>78</v>
      </c>
      <c r="BD1391" t="n">
        <v>97</v>
      </c>
      <c r="BE1391" t="n">
        <v>31</v>
      </c>
      <c r="BF1391" t="n">
        <v>31</v>
      </c>
      <c r="BG1391" t="n">
        <v>1</v>
      </c>
      <c r="BH1391" t="n">
        <v>3</v>
      </c>
      <c r="BI1391" t="n">
        <v>18</v>
      </c>
      <c r="BJ1391" t="n">
        <v>24</v>
      </c>
      <c r="BK1391" t="n">
        <v>3</v>
      </c>
      <c r="BL1391" t="n">
        <v>16</v>
      </c>
      <c r="BM1391" t="n">
        <v>11</v>
      </c>
      <c r="BN1391" t="n">
        <v>0</v>
      </c>
      <c r="BO1391" t="n">
        <v>2</v>
      </c>
    </row>
    <row r="1392">
      <c r="A1392" t="n">
        <v>0</v>
      </c>
      <c r="B1392" t="n">
        <v>0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276</v>
      </c>
      <c r="Z1392" t="n">
        <v>114</v>
      </c>
      <c r="AA1392" t="n">
        <v>36</v>
      </c>
      <c r="AB1392" t="n">
        <v>2</v>
      </c>
      <c r="AC1392" t="n">
        <v>1</v>
      </c>
      <c r="AD1392" t="n">
        <v>3</v>
      </c>
      <c r="AE1392" t="n">
        <v>3</v>
      </c>
      <c r="AF1392" t="n">
        <v>0</v>
      </c>
      <c r="AG1392" t="n">
        <v>10</v>
      </c>
      <c r="AH1392" t="n">
        <v>41</v>
      </c>
      <c r="AI1392" t="n">
        <v>42</v>
      </c>
      <c r="AJ1392" t="n">
        <v>11</v>
      </c>
      <c r="AK1392" t="n">
        <v>98</v>
      </c>
      <c r="AL1392" t="n">
        <v>3</v>
      </c>
      <c r="AM1392" t="n">
        <v>16</v>
      </c>
      <c r="AN1392" t="n">
        <v>0</v>
      </c>
      <c r="AO1392" t="n">
        <v>0</v>
      </c>
      <c r="AP1392" t="n">
        <v>3</v>
      </c>
      <c r="AQ1392" t="n">
        <v>6</v>
      </c>
      <c r="AR1392" t="n">
        <v>98</v>
      </c>
      <c r="AS1392" t="n">
        <v>90</v>
      </c>
      <c r="AT1392" t="n">
        <v>0</v>
      </c>
      <c r="AU1392" t="n">
        <v>0</v>
      </c>
      <c r="AV1392" t="n">
        <v>4</v>
      </c>
      <c r="AW1392" t="n">
        <v>1</v>
      </c>
      <c r="AX1392" t="n">
        <v>5</v>
      </c>
      <c r="AY1392" t="n">
        <v>18</v>
      </c>
      <c r="AZ1392" t="n">
        <v>1</v>
      </c>
      <c r="BA1392" t="n">
        <v>1</v>
      </c>
      <c r="BB1392" t="n">
        <v>36</v>
      </c>
      <c r="BC1392" t="n">
        <v>13</v>
      </c>
      <c r="BD1392" t="n">
        <v>67</v>
      </c>
      <c r="BE1392" t="n">
        <v>2</v>
      </c>
      <c r="BF1392" t="n">
        <v>18</v>
      </c>
      <c r="BG1392" t="n">
        <v>3</v>
      </c>
      <c r="BH1392" t="n">
        <v>15</v>
      </c>
      <c r="BI1392" t="n">
        <v>36</v>
      </c>
      <c r="BJ1392" t="n">
        <v>37</v>
      </c>
      <c r="BK1392" t="n">
        <v>3</v>
      </c>
      <c r="BL1392" t="n">
        <v>7</v>
      </c>
      <c r="BM1392" t="n">
        <v>13</v>
      </c>
      <c r="BN1392" t="n">
        <v>6</v>
      </c>
      <c r="BO1392" t="n">
        <v>77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177</v>
      </c>
      <c r="Z1393" t="n">
        <v>133</v>
      </c>
      <c r="AA1393" t="n">
        <v>20</v>
      </c>
      <c r="AB1393" t="n">
        <v>1</v>
      </c>
      <c r="AC1393" t="n">
        <v>1</v>
      </c>
      <c r="AD1393" t="n">
        <v>3</v>
      </c>
      <c r="AE1393" t="n">
        <v>3</v>
      </c>
      <c r="AF1393" t="n">
        <v>1</v>
      </c>
      <c r="AG1393" t="n">
        <v>4</v>
      </c>
      <c r="AH1393" t="n">
        <v>24</v>
      </c>
      <c r="AI1393" t="n">
        <v>8</v>
      </c>
      <c r="AJ1393" t="n">
        <v>12</v>
      </c>
      <c r="AK1393" t="n">
        <v>41</v>
      </c>
      <c r="AL1393" t="n">
        <v>1</v>
      </c>
      <c r="AM1393" t="n">
        <v>14</v>
      </c>
      <c r="AN1393" t="n">
        <v>0</v>
      </c>
      <c r="AO1393" t="n">
        <v>0</v>
      </c>
      <c r="AP1393" t="n">
        <v>6</v>
      </c>
      <c r="AQ1393" t="n">
        <v>64</v>
      </c>
      <c r="AR1393" t="n">
        <v>104</v>
      </c>
      <c r="AS1393" t="n">
        <v>49</v>
      </c>
      <c r="AT1393" t="n">
        <v>3</v>
      </c>
      <c r="AU1393" t="n">
        <v>0</v>
      </c>
      <c r="AV1393" t="n">
        <v>27</v>
      </c>
      <c r="AW1393" t="n">
        <v>6</v>
      </c>
      <c r="AX1393" t="n">
        <v>15</v>
      </c>
      <c r="AY1393" t="n">
        <v>68</v>
      </c>
      <c r="AZ1393" t="n">
        <v>6</v>
      </c>
      <c r="BA1393" t="n">
        <v>48</v>
      </c>
      <c r="BB1393" t="n">
        <v>74</v>
      </c>
      <c r="BC1393" t="n">
        <v>11</v>
      </c>
      <c r="BD1393" t="n">
        <v>21</v>
      </c>
      <c r="BE1393" t="n">
        <v>13</v>
      </c>
      <c r="BF1393" t="n">
        <v>8</v>
      </c>
      <c r="BG1393" t="n">
        <v>1</v>
      </c>
      <c r="BH1393" t="n">
        <v>5</v>
      </c>
      <c r="BI1393" t="n">
        <v>20</v>
      </c>
      <c r="BJ1393" t="n">
        <v>33</v>
      </c>
      <c r="BK1393" t="n">
        <v>4</v>
      </c>
      <c r="BL1393" t="n">
        <v>35</v>
      </c>
      <c r="BM1393" t="n">
        <v>22</v>
      </c>
      <c r="BN1393" t="n">
        <v>0</v>
      </c>
      <c r="BO1393" t="n">
        <v>25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2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215</v>
      </c>
      <c r="Z1394" t="n">
        <v>195</v>
      </c>
      <c r="AA1394" t="n">
        <v>71</v>
      </c>
      <c r="AB1394" t="n">
        <v>3</v>
      </c>
      <c r="AC1394" t="n">
        <v>3</v>
      </c>
      <c r="AD1394" t="n">
        <v>1</v>
      </c>
      <c r="AE1394" t="n">
        <v>3</v>
      </c>
      <c r="AF1394" t="n">
        <v>1</v>
      </c>
      <c r="AG1394" t="n">
        <v>5</v>
      </c>
      <c r="AH1394" t="n">
        <v>60</v>
      </c>
      <c r="AI1394" t="n">
        <v>2</v>
      </c>
      <c r="AJ1394" t="n">
        <v>5</v>
      </c>
      <c r="AK1394" t="n">
        <v>48</v>
      </c>
      <c r="AL1394" t="n">
        <v>3</v>
      </c>
      <c r="AM1394" t="n">
        <v>35</v>
      </c>
      <c r="AN1394" t="n">
        <v>0</v>
      </c>
      <c r="AO1394" t="n">
        <v>0</v>
      </c>
      <c r="AP1394" t="n">
        <v>6</v>
      </c>
      <c r="AQ1394" t="n">
        <v>15</v>
      </c>
      <c r="AR1394" t="n">
        <v>125</v>
      </c>
      <c r="AS1394" t="n">
        <v>109</v>
      </c>
      <c r="AT1394" t="n">
        <v>3</v>
      </c>
      <c r="AU1394" t="n">
        <v>2</v>
      </c>
      <c r="AV1394" t="n">
        <v>22</v>
      </c>
      <c r="AW1394" t="n">
        <v>33</v>
      </c>
      <c r="AX1394" t="n">
        <v>0</v>
      </c>
      <c r="AY1394" t="n">
        <v>13</v>
      </c>
      <c r="AZ1394" t="n">
        <v>5</v>
      </c>
      <c r="BA1394" t="n">
        <v>16</v>
      </c>
      <c r="BB1394" t="n">
        <v>83</v>
      </c>
      <c r="BC1394" t="n">
        <v>35</v>
      </c>
      <c r="BD1394" t="n">
        <v>84</v>
      </c>
      <c r="BE1394" t="n">
        <v>33</v>
      </c>
      <c r="BF1394" t="n">
        <v>9</v>
      </c>
      <c r="BG1394" t="n">
        <v>0</v>
      </c>
      <c r="BH1394" t="n">
        <v>6</v>
      </c>
      <c r="BI1394" t="n">
        <v>1</v>
      </c>
      <c r="BJ1394" t="n">
        <v>2</v>
      </c>
      <c r="BK1394" t="n">
        <v>5</v>
      </c>
      <c r="BL1394" t="n">
        <v>26</v>
      </c>
      <c r="BM1394" t="n">
        <v>34</v>
      </c>
      <c r="BN1394" t="n">
        <v>12</v>
      </c>
      <c r="BO1394" t="n">
        <v>152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287</v>
      </c>
      <c r="Z1395" t="n">
        <v>112</v>
      </c>
      <c r="AA1395" t="n">
        <v>78</v>
      </c>
      <c r="AB1395" t="n">
        <v>0</v>
      </c>
      <c r="AC1395" t="n">
        <v>1</v>
      </c>
      <c r="AD1395" t="n">
        <v>8</v>
      </c>
      <c r="AE1395" t="n">
        <v>0</v>
      </c>
      <c r="AF1395" t="n">
        <v>4</v>
      </c>
      <c r="AG1395" t="n">
        <v>5</v>
      </c>
      <c r="AH1395" t="n">
        <v>52</v>
      </c>
      <c r="AI1395" t="n">
        <v>7</v>
      </c>
      <c r="AJ1395" t="n">
        <v>72</v>
      </c>
      <c r="AK1395" t="n">
        <v>28</v>
      </c>
      <c r="AL1395" t="n">
        <v>1</v>
      </c>
      <c r="AM1395" t="n">
        <v>2</v>
      </c>
      <c r="AN1395" t="n">
        <v>0</v>
      </c>
      <c r="AO1395" t="n">
        <v>0</v>
      </c>
      <c r="AP1395" t="n">
        <v>5</v>
      </c>
      <c r="AQ1395" t="n">
        <v>91</v>
      </c>
      <c r="AR1395" t="n">
        <v>111</v>
      </c>
      <c r="AS1395" t="n">
        <v>33</v>
      </c>
      <c r="AT1395" t="n">
        <v>6</v>
      </c>
      <c r="AU1395" t="n">
        <v>1</v>
      </c>
      <c r="AV1395" t="n">
        <v>34</v>
      </c>
      <c r="AW1395" t="n">
        <v>1</v>
      </c>
      <c r="AX1395" t="n">
        <v>0</v>
      </c>
      <c r="AY1395" t="n">
        <v>92</v>
      </c>
      <c r="AZ1395" t="n">
        <v>1</v>
      </c>
      <c r="BA1395" t="n">
        <v>4</v>
      </c>
      <c r="BB1395" t="n">
        <v>77</v>
      </c>
      <c r="BC1395" t="n">
        <v>53</v>
      </c>
      <c r="BD1395" t="n">
        <v>46</v>
      </c>
      <c r="BE1395" t="n">
        <v>3</v>
      </c>
      <c r="BF1395" t="n">
        <v>57</v>
      </c>
      <c r="BG1395" t="n">
        <v>2</v>
      </c>
      <c r="BH1395" t="n">
        <v>9</v>
      </c>
      <c r="BI1395" t="n">
        <v>26</v>
      </c>
      <c r="BJ1395" t="n">
        <v>24</v>
      </c>
      <c r="BK1395" t="n">
        <v>3</v>
      </c>
      <c r="BL1395" t="n">
        <v>38</v>
      </c>
      <c r="BM1395" t="n">
        <v>26</v>
      </c>
      <c r="BN1395" t="n">
        <v>1</v>
      </c>
      <c r="BO1395" t="n">
        <v>2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3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78</v>
      </c>
      <c r="Z1396" t="n">
        <v>130</v>
      </c>
      <c r="AA1396" t="n">
        <v>63</v>
      </c>
      <c r="AB1396" t="n">
        <v>4</v>
      </c>
      <c r="AC1396" t="n">
        <v>0</v>
      </c>
      <c r="AD1396" t="n">
        <v>6</v>
      </c>
      <c r="AE1396" t="n">
        <v>4</v>
      </c>
      <c r="AF1396" t="n">
        <v>3</v>
      </c>
      <c r="AG1396" t="n">
        <v>3</v>
      </c>
      <c r="AH1396" t="n">
        <v>42</v>
      </c>
      <c r="AI1396" t="n">
        <v>26</v>
      </c>
      <c r="AJ1396" t="n">
        <v>15</v>
      </c>
      <c r="AK1396" t="n">
        <v>10</v>
      </c>
      <c r="AL1396" t="n">
        <v>1</v>
      </c>
      <c r="AM1396" t="n">
        <v>21</v>
      </c>
      <c r="AN1396" t="n">
        <v>0</v>
      </c>
      <c r="AO1396" t="n">
        <v>1</v>
      </c>
      <c r="AP1396" t="n">
        <v>7</v>
      </c>
      <c r="AQ1396" t="n">
        <v>19</v>
      </c>
      <c r="AR1396" t="n">
        <v>80</v>
      </c>
      <c r="AS1396" t="n">
        <v>63</v>
      </c>
      <c r="AT1396" t="n">
        <v>2</v>
      </c>
      <c r="AU1396" t="n">
        <v>2</v>
      </c>
      <c r="AV1396" t="n">
        <v>5</v>
      </c>
      <c r="AW1396" t="n">
        <v>18</v>
      </c>
      <c r="AX1396" t="n">
        <v>0</v>
      </c>
      <c r="AY1396" t="n">
        <v>20</v>
      </c>
      <c r="AZ1396" t="n">
        <v>0</v>
      </c>
      <c r="BA1396" t="n">
        <v>1</v>
      </c>
      <c r="BB1396" t="n">
        <v>62</v>
      </c>
      <c r="BC1396" t="n">
        <v>25</v>
      </c>
      <c r="BD1396" t="n">
        <v>37</v>
      </c>
      <c r="BE1396" t="n">
        <v>32</v>
      </c>
      <c r="BF1396" t="n">
        <v>49</v>
      </c>
      <c r="BG1396" t="n">
        <v>3</v>
      </c>
      <c r="BH1396" t="n">
        <v>0</v>
      </c>
      <c r="BI1396" t="n">
        <v>18</v>
      </c>
      <c r="BJ1396" t="n">
        <v>16</v>
      </c>
      <c r="BK1396" t="n">
        <v>1</v>
      </c>
      <c r="BL1396" t="n">
        <v>1</v>
      </c>
      <c r="BM1396" t="n">
        <v>10</v>
      </c>
      <c r="BN1396" t="n">
        <v>5</v>
      </c>
      <c r="BO1396" t="n">
        <v>23</v>
      </c>
    </row>
    <row r="1397">
      <c r="A1397" t="n">
        <v>3</v>
      </c>
      <c r="B1397" t="n">
        <v>0</v>
      </c>
      <c r="C1397" t="n">
        <v>0</v>
      </c>
      <c r="D1397" t="n">
        <v>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250</v>
      </c>
      <c r="Z1397" t="n">
        <v>222</v>
      </c>
      <c r="AA1397" t="n">
        <v>8</v>
      </c>
      <c r="AB1397" t="n">
        <v>2</v>
      </c>
      <c r="AC1397" t="n">
        <v>0</v>
      </c>
      <c r="AD1397" t="n">
        <v>1</v>
      </c>
      <c r="AE1397" t="n">
        <v>9</v>
      </c>
      <c r="AF1397" t="n">
        <v>3</v>
      </c>
      <c r="AG1397" t="n">
        <v>1</v>
      </c>
      <c r="AH1397" t="n">
        <v>43</v>
      </c>
      <c r="AI1397" t="n">
        <v>72</v>
      </c>
      <c r="AJ1397" t="n">
        <v>53</v>
      </c>
      <c r="AK1397" t="n">
        <v>19</v>
      </c>
      <c r="AL1397" t="n">
        <v>4</v>
      </c>
      <c r="AM1397" t="n">
        <v>99</v>
      </c>
      <c r="AN1397" t="n">
        <v>0</v>
      </c>
      <c r="AO1397" t="n">
        <v>0</v>
      </c>
      <c r="AP1397" t="n">
        <v>1</v>
      </c>
      <c r="AQ1397" t="n">
        <v>7</v>
      </c>
      <c r="AR1397" t="n">
        <v>122</v>
      </c>
      <c r="AS1397" t="n">
        <v>110</v>
      </c>
      <c r="AT1397" t="n">
        <v>3</v>
      </c>
      <c r="AU1397" t="n">
        <v>1</v>
      </c>
      <c r="AV1397" t="n">
        <v>84</v>
      </c>
      <c r="AW1397" t="n">
        <v>7</v>
      </c>
      <c r="AX1397" t="n">
        <v>3</v>
      </c>
      <c r="AY1397" t="n">
        <v>9</v>
      </c>
      <c r="AZ1397" t="n">
        <v>2</v>
      </c>
      <c r="BA1397" t="n">
        <v>9</v>
      </c>
      <c r="BB1397" t="n">
        <v>18</v>
      </c>
      <c r="BC1397" t="n">
        <v>81</v>
      </c>
      <c r="BD1397" t="n">
        <v>38</v>
      </c>
      <c r="BE1397" t="n">
        <v>7</v>
      </c>
      <c r="BF1397" t="n">
        <v>48</v>
      </c>
      <c r="BG1397" t="n">
        <v>2</v>
      </c>
      <c r="BH1397" t="n">
        <v>8</v>
      </c>
      <c r="BI1397" t="n">
        <v>12</v>
      </c>
      <c r="BJ1397" t="n">
        <v>14</v>
      </c>
      <c r="BK1397" t="n">
        <v>0</v>
      </c>
      <c r="BL1397" t="n">
        <v>31</v>
      </c>
      <c r="BM1397" t="n">
        <v>30</v>
      </c>
      <c r="BN1397" t="n">
        <v>8</v>
      </c>
      <c r="BO1397" t="n">
        <v>51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243</v>
      </c>
      <c r="Z1398" t="n">
        <v>177</v>
      </c>
      <c r="AA1398" t="n">
        <v>56</v>
      </c>
      <c r="AB1398" t="n">
        <v>0</v>
      </c>
      <c r="AC1398" t="n">
        <v>1</v>
      </c>
      <c r="AD1398" t="n">
        <v>2</v>
      </c>
      <c r="AE1398" t="n">
        <v>5</v>
      </c>
      <c r="AF1398" t="n">
        <v>5</v>
      </c>
      <c r="AG1398" t="n">
        <v>1</v>
      </c>
      <c r="AH1398" t="n">
        <v>50</v>
      </c>
      <c r="AI1398" t="n">
        <v>59</v>
      </c>
      <c r="AJ1398" t="n">
        <v>46</v>
      </c>
      <c r="AK1398" t="n">
        <v>53</v>
      </c>
      <c r="AL1398" t="n">
        <v>5</v>
      </c>
      <c r="AM1398" t="n">
        <v>55</v>
      </c>
      <c r="AN1398" t="n">
        <v>0</v>
      </c>
      <c r="AO1398" t="n">
        <v>0</v>
      </c>
      <c r="AP1398" t="n">
        <v>1</v>
      </c>
      <c r="AQ1398" t="n">
        <v>38</v>
      </c>
      <c r="AR1398" t="n">
        <v>111</v>
      </c>
      <c r="AS1398" t="n">
        <v>79</v>
      </c>
      <c r="AT1398" t="n">
        <v>0</v>
      </c>
      <c r="AU1398" t="n">
        <v>0</v>
      </c>
      <c r="AV1398" t="n">
        <v>1</v>
      </c>
      <c r="AW1398" t="n">
        <v>4</v>
      </c>
      <c r="AX1398" t="n">
        <v>2</v>
      </c>
      <c r="AY1398" t="n">
        <v>39</v>
      </c>
      <c r="AZ1398" t="n">
        <v>2</v>
      </c>
      <c r="BA1398" t="n">
        <v>23</v>
      </c>
      <c r="BB1398" t="n">
        <v>76</v>
      </c>
      <c r="BC1398" t="n">
        <v>46</v>
      </c>
      <c r="BD1398" t="n">
        <v>45</v>
      </c>
      <c r="BE1398" t="n">
        <v>8</v>
      </c>
      <c r="BF1398" t="n">
        <v>41</v>
      </c>
      <c r="BG1398" t="n">
        <v>3</v>
      </c>
      <c r="BH1398" t="n">
        <v>17</v>
      </c>
      <c r="BI1398" t="n">
        <v>28</v>
      </c>
      <c r="BJ1398" t="n">
        <v>25</v>
      </c>
      <c r="BK1398" t="n">
        <v>4</v>
      </c>
      <c r="BL1398" t="n">
        <v>36</v>
      </c>
      <c r="BM1398" t="n">
        <v>35</v>
      </c>
      <c r="BN1398" t="n">
        <v>9</v>
      </c>
      <c r="BO1398" t="n">
        <v>2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3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264</v>
      </c>
      <c r="Z1399" t="n">
        <v>227</v>
      </c>
      <c r="AA1399" t="n">
        <v>26</v>
      </c>
      <c r="AB1399" t="n">
        <v>0</v>
      </c>
      <c r="AC1399" t="n">
        <v>0</v>
      </c>
      <c r="AD1399" t="n">
        <v>10</v>
      </c>
      <c r="AE1399" t="n">
        <v>6</v>
      </c>
      <c r="AF1399" t="n">
        <v>4</v>
      </c>
      <c r="AG1399" t="n">
        <v>3</v>
      </c>
      <c r="AH1399" t="n">
        <v>109</v>
      </c>
      <c r="AI1399" t="n">
        <v>40</v>
      </c>
      <c r="AJ1399" t="n">
        <v>23</v>
      </c>
      <c r="AK1399" t="n">
        <v>27</v>
      </c>
      <c r="AL1399" t="n">
        <v>1</v>
      </c>
      <c r="AM1399" t="n">
        <v>83</v>
      </c>
      <c r="AN1399" t="n">
        <v>0</v>
      </c>
      <c r="AO1399" t="n">
        <v>0</v>
      </c>
      <c r="AP1399" t="n">
        <v>8</v>
      </c>
      <c r="AQ1399" t="n">
        <v>123</v>
      </c>
      <c r="AR1399" t="n">
        <v>266</v>
      </c>
      <c r="AS1399" t="n">
        <v>181</v>
      </c>
      <c r="AT1399" t="n">
        <v>1</v>
      </c>
      <c r="AU1399" t="n">
        <v>3</v>
      </c>
      <c r="AV1399" t="n">
        <v>1</v>
      </c>
      <c r="AW1399" t="n">
        <v>41</v>
      </c>
      <c r="AX1399" t="n">
        <v>3</v>
      </c>
      <c r="AY1399" t="n">
        <v>7</v>
      </c>
      <c r="AZ1399" t="n">
        <v>4</v>
      </c>
      <c r="BA1399" t="n">
        <v>14</v>
      </c>
      <c r="BB1399" t="n">
        <v>40</v>
      </c>
      <c r="BC1399" t="n">
        <v>95</v>
      </c>
      <c r="BD1399" t="n">
        <v>113</v>
      </c>
      <c r="BE1399" t="n">
        <v>38</v>
      </c>
      <c r="BF1399" t="n">
        <v>25</v>
      </c>
      <c r="BG1399" t="n">
        <v>3</v>
      </c>
      <c r="BH1399" t="n">
        <v>9</v>
      </c>
      <c r="BI1399" t="n">
        <v>24</v>
      </c>
      <c r="BJ1399" t="n">
        <v>22</v>
      </c>
      <c r="BK1399" t="n">
        <v>0</v>
      </c>
      <c r="BL1399" t="n">
        <v>1</v>
      </c>
      <c r="BM1399" t="n">
        <v>14</v>
      </c>
      <c r="BN1399" t="n">
        <v>8</v>
      </c>
      <c r="BO1399" t="n">
        <v>2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219</v>
      </c>
      <c r="Z1400" t="n">
        <v>232</v>
      </c>
      <c r="AA1400" t="n">
        <v>22</v>
      </c>
      <c r="AB1400" t="n">
        <v>2</v>
      </c>
      <c r="AC1400" t="n">
        <v>0</v>
      </c>
      <c r="AD1400" t="n">
        <v>9</v>
      </c>
      <c r="AE1400" t="n">
        <v>5</v>
      </c>
      <c r="AF1400" t="n">
        <v>3</v>
      </c>
      <c r="AG1400" t="n">
        <v>3</v>
      </c>
      <c r="AH1400" t="n">
        <v>102</v>
      </c>
      <c r="AI1400" t="n">
        <v>36</v>
      </c>
      <c r="AJ1400" t="n">
        <v>38</v>
      </c>
      <c r="AK1400" t="n">
        <v>1</v>
      </c>
      <c r="AL1400" t="n">
        <v>2</v>
      </c>
      <c r="AM1400" t="n">
        <v>40</v>
      </c>
      <c r="AN1400" t="n">
        <v>0</v>
      </c>
      <c r="AO1400" t="n">
        <v>0</v>
      </c>
      <c r="AP1400" t="n">
        <v>1</v>
      </c>
      <c r="AQ1400" t="n">
        <v>1</v>
      </c>
      <c r="AR1400" t="n">
        <v>106</v>
      </c>
      <c r="AS1400" t="n">
        <v>97</v>
      </c>
      <c r="AT1400" t="n">
        <v>0</v>
      </c>
      <c r="AU1400" t="n">
        <v>1</v>
      </c>
      <c r="AV1400" t="n">
        <v>20</v>
      </c>
      <c r="AW1400" t="n">
        <v>25</v>
      </c>
      <c r="AX1400" t="n">
        <v>2</v>
      </c>
      <c r="AY1400" t="n">
        <v>20</v>
      </c>
      <c r="AZ1400" t="n">
        <v>7</v>
      </c>
      <c r="BA1400" t="n">
        <v>73</v>
      </c>
      <c r="BB1400" t="n">
        <v>108</v>
      </c>
      <c r="BC1400" t="n">
        <v>34</v>
      </c>
      <c r="BD1400" t="n">
        <v>94</v>
      </c>
      <c r="BE1400" t="n">
        <v>25</v>
      </c>
      <c r="BF1400" t="n">
        <v>30</v>
      </c>
      <c r="BG1400" t="n">
        <v>3</v>
      </c>
      <c r="BH1400" t="n">
        <v>11</v>
      </c>
      <c r="BI1400" t="n">
        <v>34</v>
      </c>
      <c r="BJ1400" t="n">
        <v>34</v>
      </c>
      <c r="BK1400" t="n">
        <v>3</v>
      </c>
      <c r="BL1400" t="n">
        <v>10</v>
      </c>
      <c r="BM1400" t="n">
        <v>18</v>
      </c>
      <c r="BN1400" t="n">
        <v>7</v>
      </c>
      <c r="BO1400" t="n">
        <v>2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2</v>
      </c>
      <c r="I1401" t="n">
        <v>0</v>
      </c>
      <c r="J1401" t="n">
        <v>1</v>
      </c>
      <c r="K1401" t="n">
        <v>0</v>
      </c>
      <c r="L1401" t="n">
        <v>0</v>
      </c>
      <c r="M1401" t="n">
        <v>5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175</v>
      </c>
      <c r="Z1401" t="n">
        <v>300</v>
      </c>
      <c r="AA1401" t="n">
        <v>31</v>
      </c>
      <c r="AB1401" t="n">
        <v>3</v>
      </c>
      <c r="AC1401" t="n">
        <v>2</v>
      </c>
      <c r="AD1401" t="n">
        <v>3</v>
      </c>
      <c r="AE1401" t="n">
        <v>7</v>
      </c>
      <c r="AF1401" t="n">
        <v>5</v>
      </c>
      <c r="AG1401" t="n">
        <v>4</v>
      </c>
      <c r="AH1401" t="n">
        <v>48</v>
      </c>
      <c r="AI1401" t="n">
        <v>90</v>
      </c>
      <c r="AJ1401" t="n">
        <v>56</v>
      </c>
      <c r="AK1401" t="n">
        <v>32</v>
      </c>
      <c r="AL1401" t="n">
        <v>3</v>
      </c>
      <c r="AM1401" t="n">
        <v>36</v>
      </c>
      <c r="AN1401" t="n">
        <v>0</v>
      </c>
      <c r="AO1401" t="n">
        <v>0</v>
      </c>
      <c r="AP1401" t="n">
        <v>4</v>
      </c>
      <c r="AQ1401" t="n">
        <v>27</v>
      </c>
      <c r="AR1401" t="n">
        <v>92</v>
      </c>
      <c r="AS1401" t="n">
        <v>68</v>
      </c>
      <c r="AT1401" t="n">
        <v>3</v>
      </c>
      <c r="AU1401" t="n">
        <v>0</v>
      </c>
      <c r="AV1401" t="n">
        <v>31</v>
      </c>
      <c r="AW1401" t="n">
        <v>4</v>
      </c>
      <c r="AX1401" t="n">
        <v>0</v>
      </c>
      <c r="AY1401" t="n">
        <v>9</v>
      </c>
      <c r="AZ1401" t="n">
        <v>0</v>
      </c>
      <c r="BA1401" t="n">
        <v>1</v>
      </c>
      <c r="BB1401" t="n">
        <v>30</v>
      </c>
      <c r="BC1401" t="n">
        <v>35</v>
      </c>
      <c r="BD1401" t="n">
        <v>54</v>
      </c>
      <c r="BE1401" t="n">
        <v>7</v>
      </c>
      <c r="BF1401" t="n">
        <v>47</v>
      </c>
      <c r="BG1401" t="n">
        <v>2</v>
      </c>
      <c r="BH1401" t="n">
        <v>0</v>
      </c>
      <c r="BI1401" t="n">
        <v>8</v>
      </c>
      <c r="BJ1401" t="n">
        <v>7</v>
      </c>
      <c r="BK1401" t="n">
        <v>1</v>
      </c>
      <c r="BL1401" t="n">
        <v>8</v>
      </c>
      <c r="BM1401" t="n">
        <v>5</v>
      </c>
      <c r="BN1401" t="n">
        <v>1</v>
      </c>
      <c r="BO1401" t="n">
        <v>2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185</v>
      </c>
      <c r="Z1402" t="n">
        <v>204</v>
      </c>
      <c r="AA1402" t="n">
        <v>76</v>
      </c>
      <c r="AB1402" t="n">
        <v>3</v>
      </c>
      <c r="AC1402" t="n">
        <v>1</v>
      </c>
      <c r="AD1402" t="n">
        <v>2</v>
      </c>
      <c r="AE1402" t="n">
        <v>7</v>
      </c>
      <c r="AF1402" t="n">
        <v>1</v>
      </c>
      <c r="AG1402" t="n">
        <v>2</v>
      </c>
      <c r="AH1402" t="n">
        <v>11</v>
      </c>
      <c r="AI1402" t="n">
        <v>59</v>
      </c>
      <c r="AJ1402" t="n">
        <v>24</v>
      </c>
      <c r="AK1402" t="n">
        <v>35</v>
      </c>
      <c r="AL1402" t="n">
        <v>2</v>
      </c>
      <c r="AM1402" t="n">
        <v>24</v>
      </c>
      <c r="AN1402" t="n">
        <v>0</v>
      </c>
      <c r="AO1402" t="n">
        <v>0</v>
      </c>
      <c r="AP1402" t="n">
        <v>3</v>
      </c>
      <c r="AQ1402" t="n">
        <v>13</v>
      </c>
      <c r="AR1402" t="n">
        <v>64</v>
      </c>
      <c r="AS1402" t="n">
        <v>51</v>
      </c>
      <c r="AT1402" t="n">
        <v>1</v>
      </c>
      <c r="AU1402" t="n">
        <v>1</v>
      </c>
      <c r="AV1402" t="n">
        <v>10</v>
      </c>
      <c r="AW1402" t="n">
        <v>1</v>
      </c>
      <c r="AX1402" t="n">
        <v>3</v>
      </c>
      <c r="AY1402" t="n">
        <v>8</v>
      </c>
      <c r="AZ1402" t="n">
        <v>2</v>
      </c>
      <c r="BA1402" t="n">
        <v>10</v>
      </c>
      <c r="BB1402" t="n">
        <v>82</v>
      </c>
      <c r="BC1402" t="n">
        <v>19</v>
      </c>
      <c r="BD1402" t="n">
        <v>9</v>
      </c>
      <c r="BE1402" t="n">
        <v>23</v>
      </c>
      <c r="BF1402" t="n">
        <v>19</v>
      </c>
      <c r="BG1402" t="n">
        <v>2</v>
      </c>
      <c r="BH1402" t="n">
        <v>5</v>
      </c>
      <c r="BI1402" t="n">
        <v>20</v>
      </c>
      <c r="BJ1402" t="n">
        <v>26</v>
      </c>
      <c r="BK1402" t="n">
        <v>7</v>
      </c>
      <c r="BL1402" t="n">
        <v>66</v>
      </c>
      <c r="BM1402" t="n">
        <v>63</v>
      </c>
      <c r="BN1402" t="n">
        <v>14</v>
      </c>
      <c r="BO1402" t="n">
        <v>2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2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242</v>
      </c>
      <c r="Z1403" t="n">
        <v>206</v>
      </c>
      <c r="AA1403" t="n">
        <v>44</v>
      </c>
      <c r="AB1403" t="n">
        <v>1</v>
      </c>
      <c r="AC1403" t="n">
        <v>1</v>
      </c>
      <c r="AD1403" t="n">
        <v>5</v>
      </c>
      <c r="AE1403" t="n">
        <v>5</v>
      </c>
      <c r="AF1403" t="n">
        <v>3</v>
      </c>
      <c r="AG1403" t="n">
        <v>6</v>
      </c>
      <c r="AH1403" t="n">
        <v>62</v>
      </c>
      <c r="AI1403" t="n">
        <v>33</v>
      </c>
      <c r="AJ1403" t="n">
        <v>39</v>
      </c>
      <c r="AK1403" t="n">
        <v>59</v>
      </c>
      <c r="AL1403" t="n">
        <v>3</v>
      </c>
      <c r="AM1403" t="n">
        <v>13</v>
      </c>
      <c r="AN1403" t="n">
        <v>0</v>
      </c>
      <c r="AO1403" t="n">
        <v>0</v>
      </c>
      <c r="AP1403" t="n">
        <v>4</v>
      </c>
      <c r="AQ1403" t="n">
        <v>0</v>
      </c>
      <c r="AR1403" t="n">
        <v>77</v>
      </c>
      <c r="AS1403" t="n">
        <v>70</v>
      </c>
      <c r="AT1403" t="n">
        <v>6</v>
      </c>
      <c r="AU1403" t="n">
        <v>2</v>
      </c>
      <c r="AV1403" t="n">
        <v>76</v>
      </c>
      <c r="AW1403" t="n">
        <v>19</v>
      </c>
      <c r="AX1403" t="n">
        <v>0</v>
      </c>
      <c r="AY1403" t="n">
        <v>9</v>
      </c>
      <c r="AZ1403" t="n">
        <v>1</v>
      </c>
      <c r="BA1403" t="n">
        <v>15</v>
      </c>
      <c r="BB1403" t="n">
        <v>56</v>
      </c>
      <c r="BC1403" t="n">
        <v>10</v>
      </c>
      <c r="BD1403" t="n">
        <v>61</v>
      </c>
      <c r="BE1403" t="n">
        <v>22</v>
      </c>
      <c r="BF1403" t="n">
        <v>34</v>
      </c>
      <c r="BG1403" t="n">
        <v>4</v>
      </c>
      <c r="BH1403" t="n">
        <v>3</v>
      </c>
      <c r="BI1403" t="n">
        <v>48</v>
      </c>
      <c r="BJ1403" t="n">
        <v>45</v>
      </c>
      <c r="BK1403" t="n">
        <v>3</v>
      </c>
      <c r="BL1403" t="n">
        <v>41</v>
      </c>
      <c r="BM1403" t="n">
        <v>68</v>
      </c>
      <c r="BN1403" t="n">
        <v>29</v>
      </c>
      <c r="BO1403" t="n">
        <v>2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142</v>
      </c>
      <c r="Z1404" t="n">
        <v>126</v>
      </c>
      <c r="AA1404" t="n">
        <v>51</v>
      </c>
      <c r="AB1404" t="n">
        <v>1</v>
      </c>
      <c r="AC1404" t="n">
        <v>0</v>
      </c>
      <c r="AD1404" t="n">
        <v>5</v>
      </c>
      <c r="AE1404" t="n">
        <v>6</v>
      </c>
      <c r="AF1404" t="n">
        <v>3</v>
      </c>
      <c r="AG1404" t="n">
        <v>7</v>
      </c>
      <c r="AH1404" t="n">
        <v>24</v>
      </c>
      <c r="AI1404" t="n">
        <v>26</v>
      </c>
      <c r="AJ1404" t="n">
        <v>32</v>
      </c>
      <c r="AK1404" t="n">
        <v>25</v>
      </c>
      <c r="AL1404" t="n">
        <v>3</v>
      </c>
      <c r="AM1404" t="n">
        <v>29</v>
      </c>
      <c r="AN1404" t="n">
        <v>0</v>
      </c>
      <c r="AO1404" t="n">
        <v>0</v>
      </c>
      <c r="AP1404" t="n">
        <v>3</v>
      </c>
      <c r="AQ1404" t="n">
        <v>44</v>
      </c>
      <c r="AR1404" t="n">
        <v>79</v>
      </c>
      <c r="AS1404" t="n">
        <v>43</v>
      </c>
      <c r="AT1404" t="n">
        <v>4</v>
      </c>
      <c r="AU1404" t="n">
        <v>0</v>
      </c>
      <c r="AV1404" t="n">
        <v>22</v>
      </c>
      <c r="AW1404" t="n">
        <v>1</v>
      </c>
      <c r="AX1404" t="n">
        <v>0</v>
      </c>
      <c r="AY1404" t="n">
        <v>44</v>
      </c>
      <c r="AZ1404" t="n">
        <v>3</v>
      </c>
      <c r="BA1404" t="n">
        <v>26</v>
      </c>
      <c r="BB1404" t="n">
        <v>75</v>
      </c>
      <c r="BC1404" t="n">
        <v>87</v>
      </c>
      <c r="BD1404" t="n">
        <v>21</v>
      </c>
      <c r="BE1404" t="n">
        <v>1</v>
      </c>
      <c r="BF1404" t="n">
        <v>26</v>
      </c>
      <c r="BG1404" t="n">
        <v>0</v>
      </c>
      <c r="BH1404" t="n">
        <v>3</v>
      </c>
      <c r="BI1404" t="n">
        <v>37</v>
      </c>
      <c r="BJ1404" t="n">
        <v>38</v>
      </c>
      <c r="BK1404" t="n">
        <v>0</v>
      </c>
      <c r="BL1404" t="n">
        <v>9</v>
      </c>
      <c r="BM1404" t="n">
        <v>6</v>
      </c>
      <c r="BN1404" t="n">
        <v>1</v>
      </c>
      <c r="BO1404" t="n">
        <v>11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142</v>
      </c>
      <c r="Z1405" t="n">
        <v>287</v>
      </c>
      <c r="AA1405" t="n">
        <v>56</v>
      </c>
      <c r="AB1405" t="n">
        <v>1</v>
      </c>
      <c r="AC1405" t="n">
        <v>0</v>
      </c>
      <c r="AD1405" t="n">
        <v>2</v>
      </c>
      <c r="AE1405" t="n">
        <v>7</v>
      </c>
      <c r="AF1405" t="n">
        <v>4</v>
      </c>
      <c r="AG1405" t="n">
        <v>3</v>
      </c>
      <c r="AH1405" t="n">
        <v>44</v>
      </c>
      <c r="AI1405" t="n">
        <v>68</v>
      </c>
      <c r="AJ1405" t="n">
        <v>16</v>
      </c>
      <c r="AK1405" t="n">
        <v>25</v>
      </c>
      <c r="AL1405" t="n">
        <v>3</v>
      </c>
      <c r="AM1405" t="n">
        <v>102</v>
      </c>
      <c r="AN1405" t="n">
        <v>0</v>
      </c>
      <c r="AO1405" t="n">
        <v>0</v>
      </c>
      <c r="AP1405" t="n">
        <v>5</v>
      </c>
      <c r="AQ1405" t="n">
        <v>-7</v>
      </c>
      <c r="AR1405" t="n">
        <v>97</v>
      </c>
      <c r="AS1405" t="n">
        <v>95</v>
      </c>
      <c r="AT1405" t="n">
        <v>4</v>
      </c>
      <c r="AU1405" t="n">
        <v>4</v>
      </c>
      <c r="AV1405" t="n">
        <v>25</v>
      </c>
      <c r="AW1405" t="n">
        <v>27</v>
      </c>
      <c r="AX1405" t="n">
        <v>3</v>
      </c>
      <c r="AY1405" t="n">
        <v>62</v>
      </c>
      <c r="AZ1405" t="n">
        <v>3</v>
      </c>
      <c r="BA1405" t="n">
        <v>12</v>
      </c>
      <c r="BB1405" t="n">
        <v>66</v>
      </c>
      <c r="BC1405" t="n">
        <v>83</v>
      </c>
      <c r="BD1405" t="n">
        <v>43</v>
      </c>
      <c r="BE1405" t="n">
        <v>38</v>
      </c>
      <c r="BF1405" t="n">
        <v>12</v>
      </c>
      <c r="BG1405" t="n">
        <v>1</v>
      </c>
      <c r="BH1405" t="n">
        <v>11</v>
      </c>
      <c r="BI1405" t="n">
        <v>10</v>
      </c>
      <c r="BJ1405" t="n">
        <v>11</v>
      </c>
      <c r="BK1405" t="n">
        <v>3</v>
      </c>
      <c r="BL1405" t="n">
        <v>11</v>
      </c>
      <c r="BM1405" t="n">
        <v>14</v>
      </c>
      <c r="BN1405" t="n">
        <v>4</v>
      </c>
      <c r="BO1405" t="n">
        <v>23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203</v>
      </c>
      <c r="Z1406" t="n">
        <v>233</v>
      </c>
      <c r="AA1406" t="n">
        <v>151</v>
      </c>
      <c r="AB1406" t="n">
        <v>1</v>
      </c>
      <c r="AC1406" t="n">
        <v>1</v>
      </c>
      <c r="AD1406" t="n">
        <v>4</v>
      </c>
      <c r="AE1406" t="n">
        <v>9</v>
      </c>
      <c r="AF1406" t="n">
        <v>7</v>
      </c>
      <c r="AG1406" t="n">
        <v>2</v>
      </c>
      <c r="AH1406" t="n">
        <v>2</v>
      </c>
      <c r="AI1406" t="n">
        <v>132</v>
      </c>
      <c r="AJ1406" t="n">
        <v>54</v>
      </c>
      <c r="AK1406" t="n">
        <v>1</v>
      </c>
      <c r="AL1406" t="n">
        <v>0</v>
      </c>
      <c r="AM1406" t="n">
        <v>25</v>
      </c>
      <c r="AN1406" t="n">
        <v>2</v>
      </c>
      <c r="AO1406" t="n">
        <v>0</v>
      </c>
      <c r="AP1406" t="n">
        <v>2</v>
      </c>
      <c r="AQ1406" t="n">
        <v>18</v>
      </c>
      <c r="AR1406" t="n">
        <v>136</v>
      </c>
      <c r="AS1406" t="n">
        <v>118</v>
      </c>
      <c r="AT1406" t="n">
        <v>3</v>
      </c>
      <c r="AU1406" t="n">
        <v>2</v>
      </c>
      <c r="AV1406" t="n">
        <v>25</v>
      </c>
      <c r="AW1406" t="n">
        <v>6</v>
      </c>
      <c r="AX1406" t="n">
        <v>0</v>
      </c>
      <c r="AY1406" t="n">
        <v>108</v>
      </c>
      <c r="AZ1406" t="n">
        <v>3</v>
      </c>
      <c r="BA1406" t="n">
        <v>-3</v>
      </c>
      <c r="BB1406" t="n">
        <v>137</v>
      </c>
      <c r="BC1406" t="n">
        <v>21</v>
      </c>
      <c r="BD1406" t="n">
        <v>13</v>
      </c>
      <c r="BE1406" t="n">
        <v>6</v>
      </c>
      <c r="BF1406" t="n">
        <v>43</v>
      </c>
      <c r="BG1406" t="n">
        <v>2</v>
      </c>
      <c r="BH1406" t="n">
        <v>9</v>
      </c>
      <c r="BI1406" t="n">
        <v>3</v>
      </c>
      <c r="BJ1406" t="n">
        <v>1</v>
      </c>
      <c r="BK1406" t="n">
        <v>5</v>
      </c>
      <c r="BL1406" t="n">
        <v>30</v>
      </c>
      <c r="BM1406" t="n">
        <v>55</v>
      </c>
      <c r="BN1406" t="n">
        <v>25</v>
      </c>
      <c r="BO1406" t="n">
        <v>2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2</v>
      </c>
      <c r="U1407" t="n">
        <v>0</v>
      </c>
      <c r="V1407" t="n">
        <v>0</v>
      </c>
      <c r="W1407" t="n">
        <v>0</v>
      </c>
      <c r="X1407" t="n">
        <v>0</v>
      </c>
      <c r="Y1407" t="n">
        <v>177</v>
      </c>
      <c r="Z1407" t="n">
        <v>209</v>
      </c>
      <c r="AA1407" t="n">
        <v>137</v>
      </c>
      <c r="AB1407" t="n">
        <v>1</v>
      </c>
      <c r="AC1407" t="n">
        <v>2</v>
      </c>
      <c r="AD1407" t="n">
        <v>4</v>
      </c>
      <c r="AE1407" t="n">
        <v>7</v>
      </c>
      <c r="AF1407" t="n">
        <v>3</v>
      </c>
      <c r="AG1407" t="n">
        <v>0</v>
      </c>
      <c r="AH1407" t="n">
        <v>34</v>
      </c>
      <c r="AI1407" t="n">
        <v>40</v>
      </c>
      <c r="AJ1407" t="n">
        <v>36</v>
      </c>
      <c r="AK1407" t="n">
        <v>1</v>
      </c>
      <c r="AL1407" t="n">
        <v>5</v>
      </c>
      <c r="AM1407" t="n">
        <v>64</v>
      </c>
      <c r="AN1407" t="n">
        <v>0</v>
      </c>
      <c r="AO1407" t="n">
        <v>0</v>
      </c>
      <c r="AP1407" t="n">
        <v>2</v>
      </c>
      <c r="AQ1407" t="n">
        <v>30</v>
      </c>
      <c r="AR1407" t="n">
        <v>73</v>
      </c>
      <c r="AS1407" t="n">
        <v>49</v>
      </c>
      <c r="AT1407" t="n">
        <v>0</v>
      </c>
      <c r="AU1407" t="n">
        <v>1</v>
      </c>
      <c r="AV1407" t="n">
        <v>0</v>
      </c>
      <c r="AW1407" t="n">
        <v>7</v>
      </c>
      <c r="AX1407" t="n">
        <v>1</v>
      </c>
      <c r="AY1407" t="n">
        <v>26</v>
      </c>
      <c r="AZ1407" t="n">
        <v>2</v>
      </c>
      <c r="BA1407" t="n">
        <v>10</v>
      </c>
      <c r="BB1407" t="n">
        <v>138</v>
      </c>
      <c r="BC1407" t="n">
        <v>53</v>
      </c>
      <c r="BD1407" t="n">
        <v>30</v>
      </c>
      <c r="BE1407" t="n">
        <v>7</v>
      </c>
      <c r="BF1407" t="n">
        <v>29</v>
      </c>
      <c r="BG1407" t="n">
        <v>1</v>
      </c>
      <c r="BH1407" t="n">
        <v>14</v>
      </c>
      <c r="BI1407" t="n">
        <v>7</v>
      </c>
      <c r="BJ1407" t="n">
        <v>4</v>
      </c>
      <c r="BK1407" t="n">
        <v>3</v>
      </c>
      <c r="BL1407" t="n">
        <v>24</v>
      </c>
      <c r="BM1407" t="n">
        <v>16</v>
      </c>
      <c r="BN1407" t="n">
        <v>1</v>
      </c>
      <c r="BO1407" t="n">
        <v>35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206</v>
      </c>
      <c r="Z1408" t="n">
        <v>215</v>
      </c>
      <c r="AA1408" t="n">
        <v>110</v>
      </c>
      <c r="AB1408" t="n">
        <v>1</v>
      </c>
      <c r="AC1408" t="n">
        <v>0</v>
      </c>
      <c r="AD1408" t="n">
        <v>1</v>
      </c>
      <c r="AE1408" t="n">
        <v>2</v>
      </c>
      <c r="AF1408" t="n">
        <v>8</v>
      </c>
      <c r="AG1408" t="n">
        <v>3</v>
      </c>
      <c r="AH1408" t="n">
        <v>54</v>
      </c>
      <c r="AI1408" t="n">
        <v>86</v>
      </c>
      <c r="AJ1408" t="n">
        <v>84</v>
      </c>
      <c r="AK1408" t="n">
        <v>9</v>
      </c>
      <c r="AL1408" t="n">
        <v>1</v>
      </c>
      <c r="AM1408" t="n">
        <v>17</v>
      </c>
      <c r="AN1408" t="n">
        <v>0</v>
      </c>
      <c r="AO1408" t="n">
        <v>0</v>
      </c>
      <c r="AP1408" t="n">
        <v>6</v>
      </c>
      <c r="AQ1408" t="n">
        <v>36</v>
      </c>
      <c r="AR1408" t="n">
        <v>80</v>
      </c>
      <c r="AS1408" t="n">
        <v>50</v>
      </c>
      <c r="AT1408" t="n">
        <v>5</v>
      </c>
      <c r="AU1408" t="n">
        <v>2</v>
      </c>
      <c r="AV1408" t="n">
        <v>34</v>
      </c>
      <c r="AW1408" t="n">
        <v>12</v>
      </c>
      <c r="AX1408" t="n">
        <v>0</v>
      </c>
      <c r="AY1408" t="n">
        <v>24</v>
      </c>
      <c r="AZ1408" t="n">
        <v>1</v>
      </c>
      <c r="BA1408" t="n">
        <v>2</v>
      </c>
      <c r="BB1408" t="n">
        <v>108</v>
      </c>
      <c r="BC1408" t="n">
        <v>14</v>
      </c>
      <c r="BD1408" t="n">
        <v>52</v>
      </c>
      <c r="BE1408" t="n">
        <v>11</v>
      </c>
      <c r="BF1408" t="n">
        <v>70</v>
      </c>
      <c r="BG1408" t="n">
        <v>0</v>
      </c>
      <c r="BH1408" t="n">
        <v>2</v>
      </c>
      <c r="BI1408" t="n">
        <v>16</v>
      </c>
      <c r="BJ1408" t="n">
        <v>14</v>
      </c>
      <c r="BK1408" t="n">
        <v>2</v>
      </c>
      <c r="BL1408" t="n">
        <v>1</v>
      </c>
      <c r="BM1408" t="n">
        <v>13</v>
      </c>
      <c r="BN1408" t="n">
        <v>8</v>
      </c>
      <c r="BO1408" t="n">
        <v>16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</v>
      </c>
      <c r="J1409" t="n">
        <v>0</v>
      </c>
      <c r="K1409" t="n">
        <v>0</v>
      </c>
      <c r="L1409" t="n">
        <v>0</v>
      </c>
      <c r="M1409" t="n">
        <v>2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170</v>
      </c>
      <c r="Z1409" t="n">
        <v>279</v>
      </c>
      <c r="AA1409" t="n">
        <v>17</v>
      </c>
      <c r="AB1409" t="n">
        <v>2</v>
      </c>
      <c r="AC1409" t="n">
        <v>0</v>
      </c>
      <c r="AD1409" t="n">
        <v>5</v>
      </c>
      <c r="AE1409" t="n">
        <v>11</v>
      </c>
      <c r="AF1409" t="n">
        <v>1</v>
      </c>
      <c r="AG1409" t="n">
        <v>3</v>
      </c>
      <c r="AH1409" t="n">
        <v>60</v>
      </c>
      <c r="AI1409" t="n">
        <v>102</v>
      </c>
      <c r="AJ1409" t="n">
        <v>2</v>
      </c>
      <c r="AK1409" t="n">
        <v>41</v>
      </c>
      <c r="AL1409" t="n">
        <v>3</v>
      </c>
      <c r="AM1409" t="n">
        <v>142</v>
      </c>
      <c r="AN1409" t="n">
        <v>0</v>
      </c>
      <c r="AO1409" t="n">
        <v>0</v>
      </c>
      <c r="AP1409" t="n">
        <v>3</v>
      </c>
      <c r="AQ1409" t="n">
        <v>24</v>
      </c>
      <c r="AR1409" t="n">
        <v>79</v>
      </c>
      <c r="AS1409" t="n">
        <v>57</v>
      </c>
      <c r="AT1409" t="n">
        <v>1</v>
      </c>
      <c r="AU1409" t="n">
        <v>0</v>
      </c>
      <c r="AV1409" t="n">
        <v>1</v>
      </c>
      <c r="AW1409" t="n">
        <v>7</v>
      </c>
      <c r="AX1409" t="n">
        <v>20</v>
      </c>
      <c r="AY1409" t="n">
        <v>27</v>
      </c>
      <c r="AZ1409" t="n">
        <v>3</v>
      </c>
      <c r="BA1409" t="n">
        <v>28</v>
      </c>
      <c r="BB1409" t="n">
        <v>46</v>
      </c>
      <c r="BC1409" t="n">
        <v>119</v>
      </c>
      <c r="BD1409" t="n">
        <v>53</v>
      </c>
      <c r="BE1409" t="n">
        <v>7</v>
      </c>
      <c r="BF1409" t="n">
        <v>56</v>
      </c>
      <c r="BG1409" t="n">
        <v>0</v>
      </c>
      <c r="BH1409" t="n">
        <v>14</v>
      </c>
      <c r="BI1409" t="n">
        <v>10</v>
      </c>
      <c r="BJ1409" t="n">
        <v>9</v>
      </c>
      <c r="BK1409" t="n">
        <v>1</v>
      </c>
      <c r="BL1409" t="n">
        <v>26</v>
      </c>
      <c r="BM1409" t="n">
        <v>19</v>
      </c>
      <c r="BN1409" t="n">
        <v>2</v>
      </c>
      <c r="BO1409" t="n">
        <v>2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2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153</v>
      </c>
      <c r="Z1410" t="n">
        <v>226</v>
      </c>
      <c r="AA1410" t="n">
        <v>81</v>
      </c>
      <c r="AB1410" t="n">
        <v>0</v>
      </c>
      <c r="AC1410" t="n">
        <v>1</v>
      </c>
      <c r="AD1410" t="n">
        <v>3</v>
      </c>
      <c r="AE1410" t="n">
        <v>6</v>
      </c>
      <c r="AF1410" t="n">
        <v>8</v>
      </c>
      <c r="AG1410" t="n">
        <v>3</v>
      </c>
      <c r="AH1410" t="n">
        <v>54</v>
      </c>
      <c r="AI1410" t="n">
        <v>80</v>
      </c>
      <c r="AJ1410" t="n">
        <v>48</v>
      </c>
      <c r="AK1410" t="n">
        <v>33</v>
      </c>
      <c r="AL1410" t="n">
        <v>3</v>
      </c>
      <c r="AM1410" t="n">
        <v>14</v>
      </c>
      <c r="AN1410" t="n">
        <v>0</v>
      </c>
      <c r="AO1410" t="n">
        <v>0</v>
      </c>
      <c r="AP1410" t="n">
        <v>5</v>
      </c>
      <c r="AQ1410" t="n">
        <v>16</v>
      </c>
      <c r="AR1410" t="n">
        <v>37</v>
      </c>
      <c r="AS1410" t="n">
        <v>24</v>
      </c>
      <c r="AT1410" t="n">
        <v>2</v>
      </c>
      <c r="AU1410" t="n">
        <v>3</v>
      </c>
      <c r="AV1410" t="n">
        <v>15</v>
      </c>
      <c r="AW1410" t="n">
        <v>15</v>
      </c>
      <c r="AX1410" t="n">
        <v>0</v>
      </c>
      <c r="AY1410" t="n">
        <v>51</v>
      </c>
      <c r="AZ1410" t="n">
        <v>0</v>
      </c>
      <c r="BA1410" t="n">
        <v>2</v>
      </c>
      <c r="BB1410" t="n">
        <v>78</v>
      </c>
      <c r="BC1410" t="n">
        <v>15</v>
      </c>
      <c r="BD1410" t="n">
        <v>62</v>
      </c>
      <c r="BE1410" t="n">
        <v>20</v>
      </c>
      <c r="BF1410" t="n">
        <v>38</v>
      </c>
      <c r="BG1410" t="n">
        <v>3</v>
      </c>
      <c r="BH1410" t="n">
        <v>0</v>
      </c>
      <c r="BI1410" t="n">
        <v>20</v>
      </c>
      <c r="BJ1410" t="n">
        <v>19</v>
      </c>
      <c r="BK1410" t="n">
        <v>6</v>
      </c>
      <c r="BL1410" t="n">
        <v>35</v>
      </c>
      <c r="BM1410" t="n">
        <v>20</v>
      </c>
      <c r="BN1410" t="n">
        <v>-2</v>
      </c>
      <c r="BO1410" t="n">
        <v>2</v>
      </c>
    </row>
    <row r="1411">
      <c r="A1411" t="n">
        <v>1</v>
      </c>
      <c r="B1411" t="n">
        <v>0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2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263</v>
      </c>
      <c r="Z1411" t="n">
        <v>127</v>
      </c>
      <c r="AA1411" t="n">
        <v>26</v>
      </c>
      <c r="AB1411" t="n">
        <v>1</v>
      </c>
      <c r="AC1411" t="n">
        <v>2</v>
      </c>
      <c r="AD1411" t="n">
        <v>2</v>
      </c>
      <c r="AE1411" t="n">
        <v>3</v>
      </c>
      <c r="AF1411" t="n">
        <v>7</v>
      </c>
      <c r="AG1411" t="n">
        <v>3</v>
      </c>
      <c r="AH1411" t="n">
        <v>26</v>
      </c>
      <c r="AI1411" t="n">
        <v>62</v>
      </c>
      <c r="AJ1411" t="n">
        <v>65</v>
      </c>
      <c r="AK1411" t="n">
        <v>9</v>
      </c>
      <c r="AL1411" t="n">
        <v>0</v>
      </c>
      <c r="AM1411" t="n">
        <v>9</v>
      </c>
      <c r="AN1411" t="n">
        <v>0</v>
      </c>
      <c r="AO1411" t="n">
        <v>0</v>
      </c>
      <c r="AP1411" t="n">
        <v>5</v>
      </c>
      <c r="AQ1411" t="n">
        <v>76</v>
      </c>
      <c r="AR1411" t="n">
        <v>118</v>
      </c>
      <c r="AS1411" t="n">
        <v>53</v>
      </c>
      <c r="AT1411" t="n">
        <v>3</v>
      </c>
      <c r="AU1411" t="n">
        <v>1</v>
      </c>
      <c r="AV1411" t="n">
        <v>28</v>
      </c>
      <c r="AW1411" t="n">
        <v>5</v>
      </c>
      <c r="AX1411" t="n">
        <v>4</v>
      </c>
      <c r="AY1411" t="n">
        <v>37</v>
      </c>
      <c r="AZ1411" t="n">
        <v>3</v>
      </c>
      <c r="BA1411" t="n">
        <v>12</v>
      </c>
      <c r="BB1411" t="n">
        <v>39</v>
      </c>
      <c r="BC1411" t="n">
        <v>10</v>
      </c>
      <c r="BD1411" t="n">
        <v>23</v>
      </c>
      <c r="BE1411" t="n">
        <v>12</v>
      </c>
      <c r="BF1411" t="n">
        <v>68</v>
      </c>
      <c r="BG1411" t="n">
        <v>6</v>
      </c>
      <c r="BH1411" t="n">
        <v>5</v>
      </c>
      <c r="BI1411" t="n">
        <v>84</v>
      </c>
      <c r="BJ1411" t="n">
        <v>102</v>
      </c>
      <c r="BK1411" t="n">
        <v>2</v>
      </c>
      <c r="BL1411" t="n">
        <v>11</v>
      </c>
      <c r="BM1411" t="n">
        <v>13</v>
      </c>
      <c r="BN1411" t="n">
        <v>4</v>
      </c>
      <c r="BO1411" t="n">
        <v>28</v>
      </c>
    </row>
    <row r="1412">
      <c r="A1412" t="n">
        <v>0</v>
      </c>
      <c r="B1412" t="n">
        <v>0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2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190</v>
      </c>
      <c r="Z1412" t="n">
        <v>117</v>
      </c>
      <c r="AA1412" t="n">
        <v>34</v>
      </c>
      <c r="AB1412" t="n">
        <v>2</v>
      </c>
      <c r="AC1412" t="n">
        <v>0</v>
      </c>
      <c r="AD1412" t="n">
        <v>2</v>
      </c>
      <c r="AE1412" t="n">
        <v>7</v>
      </c>
      <c r="AF1412" t="n">
        <v>1</v>
      </c>
      <c r="AG1412" t="n">
        <v>2</v>
      </c>
      <c r="AH1412" t="n">
        <v>24</v>
      </c>
      <c r="AI1412" t="n">
        <v>20</v>
      </c>
      <c r="AJ1412" t="n">
        <v>27</v>
      </c>
      <c r="AK1412" t="n">
        <v>16</v>
      </c>
      <c r="AL1412" t="n">
        <v>3</v>
      </c>
      <c r="AM1412" t="n">
        <v>10</v>
      </c>
      <c r="AN1412" t="n">
        <v>0</v>
      </c>
      <c r="AO1412" t="n">
        <v>0</v>
      </c>
      <c r="AP1412" t="n">
        <v>11</v>
      </c>
      <c r="AQ1412" t="n">
        <v>81</v>
      </c>
      <c r="AR1412" t="n">
        <v>212</v>
      </c>
      <c r="AS1412" t="n">
        <v>142</v>
      </c>
      <c r="AT1412" t="n">
        <v>6</v>
      </c>
      <c r="AU1412" t="n">
        <v>0</v>
      </c>
      <c r="AV1412" t="n">
        <v>49</v>
      </c>
      <c r="AW1412" t="n">
        <v>1</v>
      </c>
      <c r="AX1412" t="n">
        <v>0</v>
      </c>
      <c r="AY1412" t="n">
        <v>25</v>
      </c>
      <c r="AZ1412" t="n">
        <v>0</v>
      </c>
      <c r="BA1412" t="n">
        <v>1</v>
      </c>
      <c r="BB1412" t="n">
        <v>34</v>
      </c>
      <c r="BC1412" t="n">
        <v>3</v>
      </c>
      <c r="BD1412" t="n">
        <v>23</v>
      </c>
      <c r="BE1412" t="n">
        <v>5</v>
      </c>
      <c r="BF1412" t="n">
        <v>21</v>
      </c>
      <c r="BG1412" t="n">
        <v>3</v>
      </c>
      <c r="BH1412" t="n">
        <v>6</v>
      </c>
      <c r="BI1412" t="n">
        <v>31</v>
      </c>
      <c r="BJ1412" t="n">
        <v>27</v>
      </c>
      <c r="BK1412" t="n">
        <v>3</v>
      </c>
      <c r="BL1412" t="n">
        <v>41</v>
      </c>
      <c r="BM1412" t="n">
        <v>28</v>
      </c>
      <c r="BN1412" t="n">
        <v>0</v>
      </c>
      <c r="BO1412" t="n">
        <v>2</v>
      </c>
    </row>
    <row r="1413">
      <c r="A1413" t="n">
        <v>1</v>
      </c>
      <c r="B1413" t="n">
        <v>1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3</v>
      </c>
      <c r="U1413" t="n">
        <v>0</v>
      </c>
      <c r="V1413" t="n">
        <v>0</v>
      </c>
      <c r="W1413" t="n">
        <v>0</v>
      </c>
      <c r="X1413" t="n">
        <v>0</v>
      </c>
      <c r="Y1413" t="n">
        <v>256</v>
      </c>
      <c r="Z1413" t="n">
        <v>274</v>
      </c>
      <c r="AA1413" t="n">
        <v>145</v>
      </c>
      <c r="AB1413" t="n">
        <v>1</v>
      </c>
      <c r="AC1413" t="n">
        <v>2</v>
      </c>
      <c r="AD1413" t="n">
        <v>3</v>
      </c>
      <c r="AE1413" t="n">
        <v>2</v>
      </c>
      <c r="AF1413" t="n">
        <v>2</v>
      </c>
      <c r="AG1413" t="n">
        <v>5</v>
      </c>
      <c r="AH1413" t="n">
        <v>18</v>
      </c>
      <c r="AI1413" t="n">
        <v>18</v>
      </c>
      <c r="AJ1413" t="n">
        <v>14</v>
      </c>
      <c r="AK1413" t="n">
        <v>18</v>
      </c>
      <c r="AL1413" t="n">
        <v>4</v>
      </c>
      <c r="AM1413" t="n">
        <v>46</v>
      </c>
      <c r="AN1413" t="n">
        <v>0</v>
      </c>
      <c r="AO1413" t="n">
        <v>0</v>
      </c>
      <c r="AP1413" t="n">
        <v>2</v>
      </c>
      <c r="AQ1413" t="n">
        <v>33</v>
      </c>
      <c r="AR1413" t="n">
        <v>114</v>
      </c>
      <c r="AS1413" t="n">
        <v>85</v>
      </c>
      <c r="AT1413" t="n">
        <v>5</v>
      </c>
      <c r="AU1413" t="n">
        <v>1</v>
      </c>
      <c r="AV1413" t="n">
        <v>21</v>
      </c>
      <c r="AW1413" t="n">
        <v>8</v>
      </c>
      <c r="AX1413" t="n">
        <v>6</v>
      </c>
      <c r="AY1413" t="n">
        <v>15</v>
      </c>
      <c r="AZ1413" t="n">
        <v>1</v>
      </c>
      <c r="BA1413" t="n">
        <v>11</v>
      </c>
      <c r="BB1413" t="n">
        <v>142</v>
      </c>
      <c r="BC1413" t="n">
        <v>42</v>
      </c>
      <c r="BD1413" t="n">
        <v>22</v>
      </c>
      <c r="BE1413" t="n">
        <v>11</v>
      </c>
      <c r="BF1413" t="n">
        <v>15</v>
      </c>
      <c r="BG1413" t="n">
        <v>3</v>
      </c>
      <c r="BH1413" t="n">
        <v>12</v>
      </c>
      <c r="BI1413" t="n">
        <v>25</v>
      </c>
      <c r="BJ1413" t="n">
        <v>23</v>
      </c>
      <c r="BK1413" t="n">
        <v>2</v>
      </c>
      <c r="BL1413" t="n">
        <v>14</v>
      </c>
      <c r="BM1413" t="n">
        <v>34</v>
      </c>
      <c r="BN1413" t="n">
        <v>16</v>
      </c>
      <c r="BO1413" t="n">
        <v>2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103</v>
      </c>
      <c r="Z1414" t="n">
        <v>119</v>
      </c>
      <c r="AA1414" t="n">
        <v>7</v>
      </c>
      <c r="AB1414" t="n">
        <v>0</v>
      </c>
      <c r="AC1414" t="n">
        <v>4</v>
      </c>
      <c r="AD1414" t="n">
        <v>0</v>
      </c>
      <c r="AE1414" t="n">
        <v>5</v>
      </c>
      <c r="AF1414" t="n">
        <v>6</v>
      </c>
      <c r="AG1414" t="n">
        <v>7</v>
      </c>
      <c r="AH1414" t="n">
        <v>2</v>
      </c>
      <c r="AI1414" t="n">
        <v>42</v>
      </c>
      <c r="AJ1414" t="n">
        <v>32</v>
      </c>
      <c r="AK1414" t="n">
        <v>41</v>
      </c>
      <c r="AL1414" t="n">
        <v>4</v>
      </c>
      <c r="AM1414" t="n">
        <v>28</v>
      </c>
      <c r="AN1414" t="n">
        <v>0</v>
      </c>
      <c r="AO1414" t="n">
        <v>0</v>
      </c>
      <c r="AP1414" t="n">
        <v>2</v>
      </c>
      <c r="AQ1414" t="n">
        <v>7</v>
      </c>
      <c r="AR1414" t="n">
        <v>181</v>
      </c>
      <c r="AS1414" t="n">
        <v>169</v>
      </c>
      <c r="AT1414" t="n">
        <v>2</v>
      </c>
      <c r="AU1414" t="n">
        <v>3</v>
      </c>
      <c r="AV1414" t="n">
        <v>8</v>
      </c>
      <c r="AW1414" t="n">
        <v>8</v>
      </c>
      <c r="AX1414" t="n">
        <v>1</v>
      </c>
      <c r="AY1414" t="n">
        <v>22</v>
      </c>
      <c r="AZ1414" t="n">
        <v>0</v>
      </c>
      <c r="BA1414" t="n">
        <v>1</v>
      </c>
      <c r="BB1414" t="n">
        <v>8</v>
      </c>
      <c r="BC1414" t="n">
        <v>31</v>
      </c>
      <c r="BD1414" t="n">
        <v>7</v>
      </c>
      <c r="BE1414" t="n">
        <v>7</v>
      </c>
      <c r="BF1414" t="n">
        <v>32</v>
      </c>
      <c r="BG1414" t="n">
        <v>3</v>
      </c>
      <c r="BH1414" t="n">
        <v>8</v>
      </c>
      <c r="BI1414" t="n">
        <v>16</v>
      </c>
      <c r="BJ1414" t="n">
        <v>29</v>
      </c>
      <c r="BK1414" t="n">
        <v>2</v>
      </c>
      <c r="BL1414" t="n">
        <v>10</v>
      </c>
      <c r="BM1414" t="n">
        <v>9</v>
      </c>
      <c r="BN1414" t="n">
        <v>3</v>
      </c>
      <c r="BO1414" t="n">
        <v>2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4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180</v>
      </c>
      <c r="Z1415" t="n">
        <v>169</v>
      </c>
      <c r="AA1415" t="n">
        <v>84</v>
      </c>
      <c r="AB1415" t="n">
        <v>4</v>
      </c>
      <c r="AC1415" t="n">
        <v>0</v>
      </c>
      <c r="AD1415" t="n">
        <v>4</v>
      </c>
      <c r="AE1415" t="n">
        <v>4</v>
      </c>
      <c r="AF1415" t="n">
        <v>1</v>
      </c>
      <c r="AG1415" t="n">
        <v>1</v>
      </c>
      <c r="AH1415" t="n">
        <v>67</v>
      </c>
      <c r="AI1415" t="n">
        <v>49</v>
      </c>
      <c r="AJ1415" t="n">
        <v>18</v>
      </c>
      <c r="AK1415" t="n">
        <v>27</v>
      </c>
      <c r="AL1415" t="n">
        <v>2</v>
      </c>
      <c r="AM1415" t="n">
        <v>18</v>
      </c>
      <c r="AN1415" t="n">
        <v>0</v>
      </c>
      <c r="AO1415" t="n">
        <v>0</v>
      </c>
      <c r="AP1415" t="n">
        <v>0</v>
      </c>
      <c r="AQ1415" t="n">
        <v>12</v>
      </c>
      <c r="AR1415" t="n">
        <v>126</v>
      </c>
      <c r="AS1415" t="n">
        <v>110</v>
      </c>
      <c r="AT1415" t="n">
        <v>0</v>
      </c>
      <c r="AU1415" t="n">
        <v>3</v>
      </c>
      <c r="AV1415" t="n">
        <v>1</v>
      </c>
      <c r="AW1415" t="n">
        <v>16</v>
      </c>
      <c r="AX1415" t="n">
        <v>0</v>
      </c>
      <c r="AY1415" t="n">
        <v>37</v>
      </c>
      <c r="AZ1415" t="n">
        <v>3</v>
      </c>
      <c r="BA1415" t="n">
        <v>23</v>
      </c>
      <c r="BB1415" t="n">
        <v>103</v>
      </c>
      <c r="BC1415" t="n">
        <v>42</v>
      </c>
      <c r="BD1415" t="n">
        <v>59</v>
      </c>
      <c r="BE1415" t="n">
        <v>16</v>
      </c>
      <c r="BF1415" t="n">
        <v>30</v>
      </c>
      <c r="BG1415" t="n">
        <v>1</v>
      </c>
      <c r="BH1415" t="n">
        <v>2</v>
      </c>
      <c r="BI1415" t="n">
        <v>17</v>
      </c>
      <c r="BJ1415" t="n">
        <v>14</v>
      </c>
      <c r="BK1415" t="n">
        <v>3</v>
      </c>
      <c r="BL1415" t="n">
        <v>50</v>
      </c>
      <c r="BM1415" t="n">
        <v>37</v>
      </c>
      <c r="BN1415" t="n">
        <v>3</v>
      </c>
      <c r="BO1415" t="n">
        <v>14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270</v>
      </c>
      <c r="Z1416" t="n">
        <v>154</v>
      </c>
      <c r="AA1416" t="n">
        <v>43</v>
      </c>
      <c r="AB1416" t="n">
        <v>0</v>
      </c>
      <c r="AC1416" t="n">
        <v>1</v>
      </c>
      <c r="AD1416" t="n">
        <v>9</v>
      </c>
      <c r="AE1416" t="n">
        <v>4</v>
      </c>
      <c r="AF1416" t="n">
        <v>1</v>
      </c>
      <c r="AG1416" t="n">
        <v>0</v>
      </c>
      <c r="AH1416" t="n">
        <v>74</v>
      </c>
      <c r="AI1416" t="n">
        <v>90</v>
      </c>
      <c r="AJ1416" t="n">
        <v>85</v>
      </c>
      <c r="AK1416" t="n">
        <v>-2</v>
      </c>
      <c r="AL1416" t="n">
        <v>1</v>
      </c>
      <c r="AM1416" t="n">
        <v>22</v>
      </c>
      <c r="AN1416" t="n">
        <v>1</v>
      </c>
      <c r="AO1416" t="n">
        <v>0</v>
      </c>
      <c r="AP1416" t="n">
        <v>6</v>
      </c>
      <c r="AQ1416" t="n">
        <v>59</v>
      </c>
      <c r="AR1416" t="n">
        <v>96</v>
      </c>
      <c r="AS1416" t="n">
        <v>46</v>
      </c>
      <c r="AT1416" t="n">
        <v>1</v>
      </c>
      <c r="AU1416" t="n">
        <v>1</v>
      </c>
      <c r="AV1416" t="n">
        <v>23</v>
      </c>
      <c r="AW1416" t="n">
        <v>13</v>
      </c>
      <c r="AX1416" t="n">
        <v>0</v>
      </c>
      <c r="AY1416" t="n">
        <v>54</v>
      </c>
      <c r="AZ1416" t="n">
        <v>3</v>
      </c>
      <c r="BA1416" t="n">
        <v>14</v>
      </c>
      <c r="BB1416" t="n">
        <v>54</v>
      </c>
      <c r="BC1416" t="n">
        <v>19</v>
      </c>
      <c r="BD1416" t="n">
        <v>66</v>
      </c>
      <c r="BE1416" t="n">
        <v>16</v>
      </c>
      <c r="BF1416" t="n">
        <v>68</v>
      </c>
      <c r="BG1416" t="n">
        <v>2</v>
      </c>
      <c r="BH1416" t="n">
        <v>8</v>
      </c>
      <c r="BI1416" t="n">
        <v>57</v>
      </c>
      <c r="BJ1416" t="n">
        <v>52</v>
      </c>
      <c r="BK1416" t="n">
        <v>2</v>
      </c>
      <c r="BL1416" t="n">
        <v>7</v>
      </c>
      <c r="BM1416" t="n">
        <v>9</v>
      </c>
      <c r="BN1416" t="n">
        <v>4</v>
      </c>
      <c r="BO1416" t="n">
        <v>93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160</v>
      </c>
      <c r="Z1417" t="n">
        <v>294</v>
      </c>
      <c r="AA1417" t="n">
        <v>109</v>
      </c>
      <c r="AB1417" t="n">
        <v>1</v>
      </c>
      <c r="AC1417" t="n">
        <v>0</v>
      </c>
      <c r="AD1417" t="n">
        <v>1</v>
      </c>
      <c r="AE1417" t="n">
        <v>10</v>
      </c>
      <c r="AF1417" t="n">
        <v>0</v>
      </c>
      <c r="AG1417" t="n">
        <v>2</v>
      </c>
      <c r="AH1417" t="n">
        <v>11</v>
      </c>
      <c r="AI1417" t="n">
        <v>77</v>
      </c>
      <c r="AJ1417" t="n">
        <v>16</v>
      </c>
      <c r="AK1417" t="n">
        <v>1</v>
      </c>
      <c r="AL1417" t="n">
        <v>5</v>
      </c>
      <c r="AM1417" t="n">
        <v>88</v>
      </c>
      <c r="AN1417" t="n">
        <v>0</v>
      </c>
      <c r="AO1417" t="n">
        <v>0</v>
      </c>
      <c r="AP1417" t="n">
        <v>3</v>
      </c>
      <c r="AQ1417" t="n">
        <v>52</v>
      </c>
      <c r="AR1417" t="n">
        <v>90</v>
      </c>
      <c r="AS1417" t="n">
        <v>49</v>
      </c>
      <c r="AT1417" t="n">
        <v>1</v>
      </c>
      <c r="AU1417" t="n">
        <v>3</v>
      </c>
      <c r="AV1417" t="n">
        <v>18</v>
      </c>
      <c r="AW1417" t="n">
        <v>39</v>
      </c>
      <c r="AX1417" t="n">
        <v>0</v>
      </c>
      <c r="AY1417" t="n">
        <v>86</v>
      </c>
      <c r="AZ1417" t="n">
        <v>4</v>
      </c>
      <c r="BA1417" t="n">
        <v>8</v>
      </c>
      <c r="BB1417" t="n">
        <v>111</v>
      </c>
      <c r="BC1417" t="n">
        <v>75</v>
      </c>
      <c r="BD1417" t="n">
        <v>9</v>
      </c>
      <c r="BE1417" t="n">
        <v>39</v>
      </c>
      <c r="BF1417" t="n">
        <v>26</v>
      </c>
      <c r="BG1417" t="n">
        <v>2</v>
      </c>
      <c r="BH1417" t="n">
        <v>12</v>
      </c>
      <c r="BI1417" t="n">
        <v>19</v>
      </c>
      <c r="BJ1417" t="n">
        <v>16</v>
      </c>
      <c r="BK1417" t="n">
        <v>3</v>
      </c>
      <c r="BL1417" t="n">
        <v>36</v>
      </c>
      <c r="BM1417" t="n">
        <v>27</v>
      </c>
      <c r="BN1417" t="n">
        <v>3</v>
      </c>
      <c r="BO1417" t="n">
        <v>2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283</v>
      </c>
      <c r="Z1418" t="n">
        <v>141</v>
      </c>
      <c r="AA1418" t="n">
        <v>70</v>
      </c>
      <c r="AB1418" t="n">
        <v>0</v>
      </c>
      <c r="AC1418" t="n">
        <v>1</v>
      </c>
      <c r="AD1418" t="n">
        <v>5</v>
      </c>
      <c r="AE1418" t="n">
        <v>1</v>
      </c>
      <c r="AF1418" t="n">
        <v>5</v>
      </c>
      <c r="AG1418" t="n">
        <v>6</v>
      </c>
      <c r="AH1418" t="n">
        <v>80</v>
      </c>
      <c r="AI1418" t="n">
        <v>9</v>
      </c>
      <c r="AJ1418" t="n">
        <v>22</v>
      </c>
      <c r="AK1418" t="n">
        <v>30</v>
      </c>
      <c r="AL1418" t="n">
        <v>1</v>
      </c>
      <c r="AM1418" t="n">
        <v>36</v>
      </c>
      <c r="AN1418" t="n">
        <v>1</v>
      </c>
      <c r="AO1418" t="n">
        <v>0</v>
      </c>
      <c r="AP1418" t="n">
        <v>4</v>
      </c>
      <c r="AQ1418" t="n">
        <v>30</v>
      </c>
      <c r="AR1418" t="n">
        <v>149</v>
      </c>
      <c r="AS1418" t="n">
        <v>122</v>
      </c>
      <c r="AT1418" t="n">
        <v>0</v>
      </c>
      <c r="AU1418" t="n">
        <v>0</v>
      </c>
      <c r="AV1418" t="n">
        <v>1</v>
      </c>
      <c r="AW1418" t="n">
        <v>8</v>
      </c>
      <c r="AX1418" t="n">
        <v>2</v>
      </c>
      <c r="AY1418" t="n">
        <v>52</v>
      </c>
      <c r="AZ1418" t="n">
        <v>2</v>
      </c>
      <c r="BA1418" t="n">
        <v>1</v>
      </c>
      <c r="BB1418" t="n">
        <v>68</v>
      </c>
      <c r="BC1418" t="n">
        <v>30</v>
      </c>
      <c r="BD1418" t="n">
        <v>77</v>
      </c>
      <c r="BE1418" t="n">
        <v>7</v>
      </c>
      <c r="BF1418" t="n">
        <v>61</v>
      </c>
      <c r="BG1418" t="n">
        <v>3</v>
      </c>
      <c r="BH1418" t="n">
        <v>15</v>
      </c>
      <c r="BI1418" t="n">
        <v>34</v>
      </c>
      <c r="BJ1418" t="n">
        <v>31</v>
      </c>
      <c r="BK1418" t="n">
        <v>0</v>
      </c>
      <c r="BL1418" t="n">
        <v>1</v>
      </c>
      <c r="BM1418" t="n">
        <v>9</v>
      </c>
      <c r="BN1418" t="n">
        <v>5</v>
      </c>
      <c r="BO1418" t="n">
        <v>11</v>
      </c>
    </row>
    <row r="1419">
      <c r="A1419" t="n">
        <v>2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307</v>
      </c>
      <c r="Z1419" t="n">
        <v>289</v>
      </c>
      <c r="AA1419" t="n">
        <v>49</v>
      </c>
      <c r="AB1419" t="n">
        <v>0</v>
      </c>
      <c r="AC1419" t="n">
        <v>1</v>
      </c>
      <c r="AD1419" t="n">
        <v>13</v>
      </c>
      <c r="AE1419" t="n">
        <v>4</v>
      </c>
      <c r="AF1419" t="n">
        <v>1</v>
      </c>
      <c r="AG1419" t="n">
        <v>1</v>
      </c>
      <c r="AH1419" t="n">
        <v>199</v>
      </c>
      <c r="AI1419" t="n">
        <v>36</v>
      </c>
      <c r="AJ1419" t="n">
        <v>6</v>
      </c>
      <c r="AK1419" t="n">
        <v>19</v>
      </c>
      <c r="AL1419" t="n">
        <v>7</v>
      </c>
      <c r="AM1419" t="n">
        <v>68</v>
      </c>
      <c r="AN1419" t="n">
        <v>0</v>
      </c>
      <c r="AO1419" t="n">
        <v>0</v>
      </c>
      <c r="AP1419" t="n">
        <v>4</v>
      </c>
      <c r="AQ1419" t="n">
        <v>45</v>
      </c>
      <c r="AR1419" t="n">
        <v>228</v>
      </c>
      <c r="AS1419" t="n">
        <v>188</v>
      </c>
      <c r="AT1419" t="n">
        <v>1</v>
      </c>
      <c r="AU1419" t="n">
        <v>2</v>
      </c>
      <c r="AV1419" t="n">
        <v>10</v>
      </c>
      <c r="AW1419" t="n">
        <v>25</v>
      </c>
      <c r="AX1419" t="n">
        <v>11</v>
      </c>
      <c r="AY1419" t="n">
        <v>4</v>
      </c>
      <c r="AZ1419" t="n">
        <v>6</v>
      </c>
      <c r="BA1419" t="n">
        <v>105</v>
      </c>
      <c r="BB1419" t="n">
        <v>175</v>
      </c>
      <c r="BC1419" t="n">
        <v>57</v>
      </c>
      <c r="BD1419" t="n">
        <v>182</v>
      </c>
      <c r="BE1419" t="n">
        <v>41</v>
      </c>
      <c r="BF1419" t="n">
        <v>8</v>
      </c>
      <c r="BG1419" t="n">
        <v>0</v>
      </c>
      <c r="BH1419" t="n">
        <v>5</v>
      </c>
      <c r="BI1419" t="n">
        <v>29</v>
      </c>
      <c r="BJ1419" t="n">
        <v>40</v>
      </c>
      <c r="BK1419" t="n">
        <v>1</v>
      </c>
      <c r="BL1419" t="n">
        <v>33</v>
      </c>
      <c r="BM1419" t="n">
        <v>21</v>
      </c>
      <c r="BN1419" t="n">
        <v>-1</v>
      </c>
      <c r="BO1419" t="n">
        <v>18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321</v>
      </c>
      <c r="Z1420" t="n">
        <v>209</v>
      </c>
      <c r="AA1420" t="n">
        <v>56</v>
      </c>
      <c r="AB1420" t="n">
        <v>2</v>
      </c>
      <c r="AC1420" t="n">
        <v>1</v>
      </c>
      <c r="AD1420" t="n">
        <v>5</v>
      </c>
      <c r="AE1420" t="n">
        <v>5</v>
      </c>
      <c r="AF1420" t="n">
        <v>1</v>
      </c>
      <c r="AG1420" t="n">
        <v>1</v>
      </c>
      <c r="AH1420" t="n">
        <v>63</v>
      </c>
      <c r="AI1420" t="n">
        <v>49</v>
      </c>
      <c r="AJ1420" t="n">
        <v>12</v>
      </c>
      <c r="AK1420" t="n">
        <v>7</v>
      </c>
      <c r="AL1420" t="n">
        <v>8</v>
      </c>
      <c r="AM1420" t="n">
        <v>46</v>
      </c>
      <c r="AN1420" t="n">
        <v>0</v>
      </c>
      <c r="AO1420" t="n">
        <v>0</v>
      </c>
      <c r="AP1420" t="n">
        <v>7</v>
      </c>
      <c r="AQ1420" t="n">
        <v>96</v>
      </c>
      <c r="AR1420" t="n">
        <v>114</v>
      </c>
      <c r="AS1420" t="n">
        <v>32</v>
      </c>
      <c r="AT1420" t="n">
        <v>0</v>
      </c>
      <c r="AU1420" t="n">
        <v>1</v>
      </c>
      <c r="AV1420" t="n">
        <v>17</v>
      </c>
      <c r="AW1420" t="n">
        <v>14</v>
      </c>
      <c r="AX1420" t="n">
        <v>11</v>
      </c>
      <c r="AY1420" t="n">
        <v>24</v>
      </c>
      <c r="AZ1420" t="n">
        <v>2</v>
      </c>
      <c r="BA1420" t="n">
        <v>15</v>
      </c>
      <c r="BB1420" t="n">
        <v>68</v>
      </c>
      <c r="BC1420" t="n">
        <v>38</v>
      </c>
      <c r="BD1420" t="n">
        <v>56</v>
      </c>
      <c r="BE1420" t="n">
        <v>18</v>
      </c>
      <c r="BF1420" t="n">
        <v>10</v>
      </c>
      <c r="BG1420" t="n">
        <v>2</v>
      </c>
      <c r="BH1420" t="n">
        <v>2</v>
      </c>
      <c r="BI1420" t="n">
        <v>29</v>
      </c>
      <c r="BJ1420" t="n">
        <v>28</v>
      </c>
      <c r="BK1420" t="n">
        <v>1</v>
      </c>
      <c r="BL1420" t="n">
        <v>1</v>
      </c>
      <c r="BM1420" t="n">
        <v>-1</v>
      </c>
      <c r="BN1420" t="n">
        <v>-1</v>
      </c>
      <c r="BO1420" t="n">
        <v>58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2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2</v>
      </c>
      <c r="U1421" t="n">
        <v>0</v>
      </c>
      <c r="V1421" t="n">
        <v>0</v>
      </c>
      <c r="W1421" t="n">
        <v>0</v>
      </c>
      <c r="X1421" t="n">
        <v>0</v>
      </c>
      <c r="Y1421" t="n">
        <v>259</v>
      </c>
      <c r="Z1421" t="n">
        <v>151</v>
      </c>
      <c r="AA1421" t="n">
        <v>110</v>
      </c>
      <c r="AB1421" t="n">
        <v>1</v>
      </c>
      <c r="AC1421" t="n">
        <v>2</v>
      </c>
      <c r="AD1421" t="n">
        <v>4</v>
      </c>
      <c r="AE1421" t="n">
        <v>11</v>
      </c>
      <c r="AF1421" t="n">
        <v>3</v>
      </c>
      <c r="AG1421" t="n">
        <v>9</v>
      </c>
      <c r="AH1421" t="n">
        <v>57</v>
      </c>
      <c r="AI1421" t="n">
        <v>68</v>
      </c>
      <c r="AJ1421" t="n">
        <v>45</v>
      </c>
      <c r="AK1421" t="n">
        <v>89</v>
      </c>
      <c r="AL1421" t="n">
        <v>2</v>
      </c>
      <c r="AM1421" t="n">
        <v>11</v>
      </c>
      <c r="AN1421" t="n">
        <v>0</v>
      </c>
      <c r="AO1421" t="n">
        <v>0</v>
      </c>
      <c r="AP1421" t="n">
        <v>3</v>
      </c>
      <c r="AQ1421" t="n">
        <v>36</v>
      </c>
      <c r="AR1421" t="n">
        <v>39</v>
      </c>
      <c r="AS1421" t="n">
        <v>9</v>
      </c>
      <c r="AT1421" t="n">
        <v>5</v>
      </c>
      <c r="AU1421" t="n">
        <v>1</v>
      </c>
      <c r="AV1421" t="n">
        <v>30</v>
      </c>
      <c r="AW1421" t="n">
        <v>5</v>
      </c>
      <c r="AX1421" t="n">
        <v>0</v>
      </c>
      <c r="AY1421" t="n">
        <v>28</v>
      </c>
      <c r="AZ1421" t="n">
        <v>0</v>
      </c>
      <c r="BA1421" t="n">
        <v>29</v>
      </c>
      <c r="BB1421" t="n">
        <v>133</v>
      </c>
      <c r="BC1421" t="n">
        <v>9</v>
      </c>
      <c r="BD1421" t="n">
        <v>51</v>
      </c>
      <c r="BE1421" t="n">
        <v>5</v>
      </c>
      <c r="BF1421" t="n">
        <v>35</v>
      </c>
      <c r="BG1421" t="n">
        <v>2</v>
      </c>
      <c r="BH1421" t="n">
        <v>3</v>
      </c>
      <c r="BI1421" t="n">
        <v>14</v>
      </c>
      <c r="BJ1421" t="n">
        <v>27</v>
      </c>
      <c r="BK1421" t="n">
        <v>3</v>
      </c>
      <c r="BL1421" t="n">
        <v>27</v>
      </c>
      <c r="BM1421" t="n">
        <v>42</v>
      </c>
      <c r="BN1421" t="n">
        <v>17</v>
      </c>
      <c r="BO1421" t="n">
        <v>-3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194</v>
      </c>
      <c r="Z1422" t="n">
        <v>143</v>
      </c>
      <c r="AA1422" t="n">
        <v>126</v>
      </c>
      <c r="AB1422" t="n">
        <v>3</v>
      </c>
      <c r="AC1422" t="n">
        <v>1</v>
      </c>
      <c r="AD1422" t="n">
        <v>5</v>
      </c>
      <c r="AE1422" t="n">
        <v>4</v>
      </c>
      <c r="AF1422" t="n">
        <v>1</v>
      </c>
      <c r="AG1422" t="n">
        <v>3</v>
      </c>
      <c r="AH1422" t="n">
        <v>41</v>
      </c>
      <c r="AI1422" t="n">
        <v>43</v>
      </c>
      <c r="AJ1422" t="n">
        <v>21</v>
      </c>
      <c r="AK1422" t="n">
        <v>9</v>
      </c>
      <c r="AL1422" t="n">
        <v>2</v>
      </c>
      <c r="AM1422" t="n">
        <v>25</v>
      </c>
      <c r="AN1422" t="n">
        <v>1</v>
      </c>
      <c r="AO1422" t="n">
        <v>0</v>
      </c>
      <c r="AP1422" t="n">
        <v>9</v>
      </c>
      <c r="AQ1422" t="n">
        <v>123</v>
      </c>
      <c r="AR1422" t="n">
        <v>214</v>
      </c>
      <c r="AS1422" t="n">
        <v>116</v>
      </c>
      <c r="AT1422" t="n">
        <v>1</v>
      </c>
      <c r="AU1422" t="n">
        <v>1</v>
      </c>
      <c r="AV1422" t="n">
        <v>1</v>
      </c>
      <c r="AW1422" t="n">
        <v>11</v>
      </c>
      <c r="AX1422" t="n">
        <v>5</v>
      </c>
      <c r="AY1422" t="n">
        <v>40</v>
      </c>
      <c r="AZ1422" t="n">
        <v>2</v>
      </c>
      <c r="BA1422" t="n">
        <v>26</v>
      </c>
      <c r="BB1422" t="n">
        <v>144</v>
      </c>
      <c r="BC1422" t="n">
        <v>35</v>
      </c>
      <c r="BD1422" t="n">
        <v>36</v>
      </c>
      <c r="BE1422" t="n">
        <v>10</v>
      </c>
      <c r="BF1422" t="n">
        <v>17</v>
      </c>
      <c r="BG1422" t="n">
        <v>3</v>
      </c>
      <c r="BH1422" t="n">
        <v>5</v>
      </c>
      <c r="BI1422" t="n">
        <v>41</v>
      </c>
      <c r="BJ1422" t="n">
        <v>37</v>
      </c>
      <c r="BK1422" t="n">
        <v>0</v>
      </c>
      <c r="BL1422" t="n">
        <v>4</v>
      </c>
      <c r="BM1422" t="n">
        <v>1</v>
      </c>
      <c r="BN1422" t="n">
        <v>0</v>
      </c>
      <c r="BO1422" t="n">
        <v>30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171</v>
      </c>
      <c r="Z1423" t="n">
        <v>202</v>
      </c>
      <c r="AA1423" t="n">
        <v>56</v>
      </c>
      <c r="AB1423" t="n">
        <v>1</v>
      </c>
      <c r="AC1423" t="n">
        <v>1</v>
      </c>
      <c r="AD1423" t="n">
        <v>5</v>
      </c>
      <c r="AE1423" t="n">
        <v>8</v>
      </c>
      <c r="AF1423" t="n">
        <v>2</v>
      </c>
      <c r="AG1423" t="n">
        <v>9</v>
      </c>
      <c r="AH1423" t="n">
        <v>38</v>
      </c>
      <c r="AI1423" t="n">
        <v>69</v>
      </c>
      <c r="AJ1423" t="n">
        <v>24</v>
      </c>
      <c r="AK1423" t="n">
        <v>51</v>
      </c>
      <c r="AL1423" t="n">
        <v>3</v>
      </c>
      <c r="AM1423" t="n">
        <v>62</v>
      </c>
      <c r="AN1423" t="n">
        <v>0</v>
      </c>
      <c r="AO1423" t="n">
        <v>0</v>
      </c>
      <c r="AP1423" t="n">
        <v>4</v>
      </c>
      <c r="AQ1423" t="n">
        <v>61</v>
      </c>
      <c r="AR1423" t="n">
        <v>98</v>
      </c>
      <c r="AS1423" t="n">
        <v>47</v>
      </c>
      <c r="AT1423" t="n">
        <v>0</v>
      </c>
      <c r="AU1423" t="n">
        <v>0</v>
      </c>
      <c r="AV1423" t="n">
        <v>1</v>
      </c>
      <c r="AW1423" t="n">
        <v>2</v>
      </c>
      <c r="AX1423" t="n">
        <v>0</v>
      </c>
      <c r="AY1423" t="n">
        <v>1</v>
      </c>
      <c r="AZ1423" t="n">
        <v>2</v>
      </c>
      <c r="BA1423" t="n">
        <v>18</v>
      </c>
      <c r="BB1423" t="n">
        <v>71</v>
      </c>
      <c r="BC1423" t="n">
        <v>52</v>
      </c>
      <c r="BD1423" t="n">
        <v>32</v>
      </c>
      <c r="BE1423" t="n">
        <v>2</v>
      </c>
      <c r="BF1423" t="n">
        <v>19</v>
      </c>
      <c r="BG1423" t="n">
        <v>7</v>
      </c>
      <c r="BH1423" t="n">
        <v>9</v>
      </c>
      <c r="BI1423" t="n">
        <v>29</v>
      </c>
      <c r="BJ1423" t="n">
        <v>41</v>
      </c>
      <c r="BK1423" t="n">
        <v>4</v>
      </c>
      <c r="BL1423" t="n">
        <v>60</v>
      </c>
      <c r="BM1423" t="n">
        <v>52</v>
      </c>
      <c r="BN1423" t="n">
        <v>9</v>
      </c>
      <c r="BO1423" t="n">
        <v>4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173</v>
      </c>
      <c r="Z1424" t="n">
        <v>218</v>
      </c>
      <c r="AA1424" t="n">
        <v>82</v>
      </c>
      <c r="AB1424" t="n">
        <v>0</v>
      </c>
      <c r="AC1424" t="n">
        <v>1</v>
      </c>
      <c r="AD1424" t="n">
        <v>2</v>
      </c>
      <c r="AE1424" t="n">
        <v>3</v>
      </c>
      <c r="AF1424" t="n">
        <v>5</v>
      </c>
      <c r="AG1424" t="n">
        <v>3</v>
      </c>
      <c r="AH1424" t="n">
        <v>38</v>
      </c>
      <c r="AI1424" t="n">
        <v>47</v>
      </c>
      <c r="AJ1424" t="n">
        <v>70</v>
      </c>
      <c r="AK1424" t="n">
        <v>1</v>
      </c>
      <c r="AL1424" t="n">
        <v>4</v>
      </c>
      <c r="AM1424" t="n">
        <v>48</v>
      </c>
      <c r="AN1424" t="n">
        <v>0</v>
      </c>
      <c r="AO1424" t="n">
        <v>0</v>
      </c>
      <c r="AP1424" t="n">
        <v>5</v>
      </c>
      <c r="AQ1424" t="n">
        <v>26</v>
      </c>
      <c r="AR1424" t="n">
        <v>71</v>
      </c>
      <c r="AS1424" t="n">
        <v>50</v>
      </c>
      <c r="AT1424" t="n">
        <v>3</v>
      </c>
      <c r="AU1424" t="n">
        <v>3</v>
      </c>
      <c r="AV1424" t="n">
        <v>12</v>
      </c>
      <c r="AW1424" t="n">
        <v>42</v>
      </c>
      <c r="AX1424" t="n">
        <v>0</v>
      </c>
      <c r="AY1424" t="n">
        <v>55</v>
      </c>
      <c r="AZ1424" t="n">
        <v>2</v>
      </c>
      <c r="BA1424" t="n">
        <v>12</v>
      </c>
      <c r="BB1424" t="n">
        <v>90</v>
      </c>
      <c r="BC1424" t="n">
        <v>54</v>
      </c>
      <c r="BD1424" t="n">
        <v>33</v>
      </c>
      <c r="BE1424" t="n">
        <v>41</v>
      </c>
      <c r="BF1424" t="n">
        <v>68</v>
      </c>
      <c r="BG1424" t="n">
        <v>7</v>
      </c>
      <c r="BH1424" t="n">
        <v>3</v>
      </c>
      <c r="BI1424" t="n">
        <v>53</v>
      </c>
      <c r="BJ1424" t="n">
        <v>59</v>
      </c>
      <c r="BK1424" t="n">
        <v>2</v>
      </c>
      <c r="BL1424" t="n">
        <v>16</v>
      </c>
      <c r="BM1424" t="n">
        <v>13</v>
      </c>
      <c r="BN1424" t="n">
        <v>2</v>
      </c>
      <c r="BO1424" t="n">
        <v>2</v>
      </c>
    </row>
    <row r="1425">
      <c r="A1425" t="n">
        <v>0</v>
      </c>
      <c r="B1425" t="n">
        <v>1</v>
      </c>
      <c r="C1425" t="n">
        <v>0</v>
      </c>
      <c r="D1425" t="n">
        <v>2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250</v>
      </c>
      <c r="Z1425" t="n">
        <v>230</v>
      </c>
      <c r="AA1425" t="n">
        <v>87</v>
      </c>
      <c r="AB1425" t="n">
        <v>3</v>
      </c>
      <c r="AC1425" t="n">
        <v>1</v>
      </c>
      <c r="AD1425" t="n">
        <v>2</v>
      </c>
      <c r="AE1425" t="n">
        <v>2</v>
      </c>
      <c r="AF1425" t="n">
        <v>7</v>
      </c>
      <c r="AG1425" t="n">
        <v>8</v>
      </c>
      <c r="AH1425" t="n">
        <v>13</v>
      </c>
      <c r="AI1425" t="n">
        <v>40</v>
      </c>
      <c r="AJ1425" t="n">
        <v>80</v>
      </c>
      <c r="AK1425" t="n">
        <v>83</v>
      </c>
      <c r="AL1425" t="n">
        <v>4</v>
      </c>
      <c r="AM1425" t="n">
        <v>73</v>
      </c>
      <c r="AN1425" t="n">
        <v>0</v>
      </c>
      <c r="AO1425" t="n">
        <v>0</v>
      </c>
      <c r="AP1425" t="n">
        <v>2</v>
      </c>
      <c r="AQ1425" t="n">
        <v>0</v>
      </c>
      <c r="AR1425" t="n">
        <v>111</v>
      </c>
      <c r="AS1425" t="n">
        <v>104</v>
      </c>
      <c r="AT1425" t="n">
        <v>9</v>
      </c>
      <c r="AU1425" t="n">
        <v>1</v>
      </c>
      <c r="AV1425" t="n">
        <v>74</v>
      </c>
      <c r="AW1425" t="n">
        <v>13</v>
      </c>
      <c r="AX1425" t="n">
        <v>4</v>
      </c>
      <c r="AY1425" t="n">
        <v>41</v>
      </c>
      <c r="AZ1425" t="n">
        <v>3</v>
      </c>
      <c r="BA1425" t="n">
        <v>14</v>
      </c>
      <c r="BB1425" t="n">
        <v>97</v>
      </c>
      <c r="BC1425" t="n">
        <v>69</v>
      </c>
      <c r="BD1425" t="n">
        <v>11</v>
      </c>
      <c r="BE1425" t="n">
        <v>17</v>
      </c>
      <c r="BF1425" t="n">
        <v>63</v>
      </c>
      <c r="BG1425" t="n">
        <v>0</v>
      </c>
      <c r="BH1425" t="n">
        <v>6</v>
      </c>
      <c r="BI1425" t="n">
        <v>27</v>
      </c>
      <c r="BJ1425" t="n">
        <v>24</v>
      </c>
      <c r="BK1425" t="n">
        <v>8</v>
      </c>
      <c r="BL1425" t="n">
        <v>73</v>
      </c>
      <c r="BM1425" t="n">
        <v>75</v>
      </c>
      <c r="BN1425" t="n">
        <v>18</v>
      </c>
      <c r="BO1425" t="n">
        <v>2</v>
      </c>
    </row>
    <row r="1426">
      <c r="A1426" t="n">
        <v>0</v>
      </c>
      <c r="B1426" t="n">
        <v>1</v>
      </c>
      <c r="C1426" t="n">
        <v>0</v>
      </c>
      <c r="D1426" t="n">
        <v>2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142</v>
      </c>
      <c r="Z1426" t="n">
        <v>189</v>
      </c>
      <c r="AA1426" t="n">
        <v>34</v>
      </c>
      <c r="AB1426" t="n">
        <v>2</v>
      </c>
      <c r="AC1426" t="n">
        <v>0</v>
      </c>
      <c r="AD1426" t="n">
        <v>2</v>
      </c>
      <c r="AE1426" t="n">
        <v>0</v>
      </c>
      <c r="AF1426" t="n">
        <v>1</v>
      </c>
      <c r="AG1426" t="n">
        <v>3</v>
      </c>
      <c r="AH1426" t="n">
        <v>26</v>
      </c>
      <c r="AI1426" t="n">
        <v>39</v>
      </c>
      <c r="AJ1426" t="n">
        <v>2</v>
      </c>
      <c r="AK1426" t="n">
        <v>25</v>
      </c>
      <c r="AL1426" t="n">
        <v>0</v>
      </c>
      <c r="AM1426" t="n">
        <v>36</v>
      </c>
      <c r="AN1426" t="n">
        <v>0</v>
      </c>
      <c r="AO1426" t="n">
        <v>0</v>
      </c>
      <c r="AP1426" t="n">
        <v>5</v>
      </c>
      <c r="AQ1426" t="n">
        <v>9</v>
      </c>
      <c r="AR1426" t="n">
        <v>122</v>
      </c>
      <c r="AS1426" t="n">
        <v>110</v>
      </c>
      <c r="AT1426" t="n">
        <v>4</v>
      </c>
      <c r="AU1426" t="n">
        <v>1</v>
      </c>
      <c r="AV1426" t="n">
        <v>39</v>
      </c>
      <c r="AW1426" t="n">
        <v>5</v>
      </c>
      <c r="AX1426" t="n">
        <v>0</v>
      </c>
      <c r="AY1426" t="n">
        <v>23</v>
      </c>
      <c r="AZ1426" t="n">
        <v>6</v>
      </c>
      <c r="BA1426" t="n">
        <v>58</v>
      </c>
      <c r="BB1426" t="n">
        <v>99</v>
      </c>
      <c r="BC1426" t="n">
        <v>43</v>
      </c>
      <c r="BD1426" t="n">
        <v>25</v>
      </c>
      <c r="BE1426" t="n">
        <v>5</v>
      </c>
      <c r="BF1426" t="n">
        <v>2</v>
      </c>
      <c r="BG1426" t="n">
        <v>5</v>
      </c>
      <c r="BH1426" t="n">
        <v>0</v>
      </c>
      <c r="BI1426" t="n">
        <v>7</v>
      </c>
      <c r="BJ1426" t="n">
        <v>5</v>
      </c>
      <c r="BK1426" t="n">
        <v>5</v>
      </c>
      <c r="BL1426" t="n">
        <v>1</v>
      </c>
      <c r="BM1426" t="n">
        <v>1</v>
      </c>
      <c r="BN1426" t="n">
        <v>0</v>
      </c>
      <c r="BO1426" t="n">
        <v>2</v>
      </c>
    </row>
    <row r="1427">
      <c r="A1427" t="n">
        <v>3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187</v>
      </c>
      <c r="Z1427" t="n">
        <v>208</v>
      </c>
      <c r="AA1427" t="n">
        <v>47</v>
      </c>
      <c r="AB1427" t="n">
        <v>1</v>
      </c>
      <c r="AC1427" t="n">
        <v>1</v>
      </c>
      <c r="AD1427" t="n">
        <v>5</v>
      </c>
      <c r="AE1427" t="n">
        <v>6</v>
      </c>
      <c r="AF1427" t="n">
        <v>2</v>
      </c>
      <c r="AG1427" t="n">
        <v>5</v>
      </c>
      <c r="AH1427" t="n">
        <v>45</v>
      </c>
      <c r="AI1427" t="n">
        <v>39</v>
      </c>
      <c r="AJ1427" t="n">
        <v>28</v>
      </c>
      <c r="AK1427" t="n">
        <v>47</v>
      </c>
      <c r="AL1427" t="n">
        <v>4</v>
      </c>
      <c r="AM1427" t="n">
        <v>124</v>
      </c>
      <c r="AN1427" t="n">
        <v>0</v>
      </c>
      <c r="AO1427" t="n">
        <v>0</v>
      </c>
      <c r="AP1427" t="n">
        <v>3</v>
      </c>
      <c r="AQ1427" t="n">
        <v>35</v>
      </c>
      <c r="AR1427" t="n">
        <v>145</v>
      </c>
      <c r="AS1427" t="n">
        <v>114</v>
      </c>
      <c r="AT1427" t="n">
        <v>2</v>
      </c>
      <c r="AU1427" t="n">
        <v>2</v>
      </c>
      <c r="AV1427" t="n">
        <v>1</v>
      </c>
      <c r="AW1427" t="n">
        <v>13</v>
      </c>
      <c r="AX1427" t="n">
        <v>1</v>
      </c>
      <c r="AY1427" t="n">
        <v>-1</v>
      </c>
      <c r="AZ1427" t="n">
        <v>3</v>
      </c>
      <c r="BA1427" t="n">
        <v>35</v>
      </c>
      <c r="BB1427" t="n">
        <v>82</v>
      </c>
      <c r="BC1427" t="n">
        <v>116</v>
      </c>
      <c r="BD1427" t="n">
        <v>44</v>
      </c>
      <c r="BE1427" t="n">
        <v>13</v>
      </c>
      <c r="BF1427" t="n">
        <v>22</v>
      </c>
      <c r="BG1427" t="n">
        <v>2</v>
      </c>
      <c r="BH1427" t="n">
        <v>10</v>
      </c>
      <c r="BI1427" t="n">
        <v>15</v>
      </c>
      <c r="BJ1427" t="n">
        <v>13</v>
      </c>
      <c r="BK1427" t="n">
        <v>0</v>
      </c>
      <c r="BL1427" t="n">
        <v>1</v>
      </c>
      <c r="BM1427" t="n">
        <v>15</v>
      </c>
      <c r="BN1427" t="n">
        <v>8</v>
      </c>
      <c r="BO1427" t="n">
        <v>2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2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169</v>
      </c>
      <c r="Z1428" t="n">
        <v>258</v>
      </c>
      <c r="AA1428" t="n">
        <v>93</v>
      </c>
      <c r="AB1428" t="n">
        <v>0</v>
      </c>
      <c r="AC1428" t="n">
        <v>1</v>
      </c>
      <c r="AD1428" t="n">
        <v>5</v>
      </c>
      <c r="AE1428" t="n">
        <v>4</v>
      </c>
      <c r="AF1428" t="n">
        <v>3</v>
      </c>
      <c r="AG1428" t="n">
        <v>0</v>
      </c>
      <c r="AH1428" t="n">
        <v>88</v>
      </c>
      <c r="AI1428" t="n">
        <v>65</v>
      </c>
      <c r="AJ1428" t="n">
        <v>16</v>
      </c>
      <c r="AK1428" t="n">
        <v>7</v>
      </c>
      <c r="AL1428" t="n">
        <v>6</v>
      </c>
      <c r="AM1428" t="n">
        <v>80</v>
      </c>
      <c r="AN1428" t="n">
        <v>0</v>
      </c>
      <c r="AO1428" t="n">
        <v>0</v>
      </c>
      <c r="AP1428" t="n">
        <v>1</v>
      </c>
      <c r="AQ1428" t="n">
        <v>4</v>
      </c>
      <c r="AR1428" t="n">
        <v>35</v>
      </c>
      <c r="AS1428" t="n">
        <v>31</v>
      </c>
      <c r="AT1428" t="n">
        <v>1</v>
      </c>
      <c r="AU1428" t="n">
        <v>2</v>
      </c>
      <c r="AV1428" t="n">
        <v>1</v>
      </c>
      <c r="AW1428" t="n">
        <v>14</v>
      </c>
      <c r="AX1428" t="n">
        <v>5</v>
      </c>
      <c r="AY1428" t="n">
        <v>49</v>
      </c>
      <c r="AZ1428" t="n">
        <v>1</v>
      </c>
      <c r="BA1428" t="n">
        <v>15</v>
      </c>
      <c r="BB1428" t="n">
        <v>103</v>
      </c>
      <c r="BC1428" t="n">
        <v>66</v>
      </c>
      <c r="BD1428" t="n">
        <v>81</v>
      </c>
      <c r="BE1428" t="n">
        <v>14</v>
      </c>
      <c r="BF1428" t="n">
        <v>33</v>
      </c>
      <c r="BG1428" t="n">
        <v>2</v>
      </c>
      <c r="BH1428" t="n">
        <v>0</v>
      </c>
      <c r="BI1428" t="n">
        <v>15</v>
      </c>
      <c r="BJ1428" t="n">
        <v>31</v>
      </c>
      <c r="BK1428" t="n">
        <v>0</v>
      </c>
      <c r="BL1428" t="n">
        <v>1</v>
      </c>
      <c r="BM1428" t="n">
        <v>3</v>
      </c>
      <c r="BN1428" t="n">
        <v>1</v>
      </c>
      <c r="BO1428" t="n">
        <v>30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3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226</v>
      </c>
      <c r="Z1429" t="n">
        <v>135</v>
      </c>
      <c r="AA1429" t="n">
        <v>84</v>
      </c>
      <c r="AB1429" t="n">
        <v>0</v>
      </c>
      <c r="AC1429" t="n">
        <v>2</v>
      </c>
      <c r="AD1429" t="n">
        <v>4</v>
      </c>
      <c r="AE1429" t="n">
        <v>8</v>
      </c>
      <c r="AF1429" t="n">
        <v>2</v>
      </c>
      <c r="AG1429" t="n">
        <v>2</v>
      </c>
      <c r="AH1429" t="n">
        <v>25</v>
      </c>
      <c r="AI1429" t="n">
        <v>53</v>
      </c>
      <c r="AJ1429" t="n">
        <v>24</v>
      </c>
      <c r="AK1429" t="n">
        <v>1</v>
      </c>
      <c r="AL1429" t="n">
        <v>1</v>
      </c>
      <c r="AM1429" t="n">
        <v>69</v>
      </c>
      <c r="AN1429" t="n">
        <v>0</v>
      </c>
      <c r="AO1429" t="n">
        <v>1</v>
      </c>
      <c r="AP1429" t="n">
        <v>2</v>
      </c>
      <c r="AQ1429" t="n">
        <v>16</v>
      </c>
      <c r="AR1429" t="n">
        <v>53</v>
      </c>
      <c r="AS1429" t="n">
        <v>38</v>
      </c>
      <c r="AT1429" t="n">
        <v>0</v>
      </c>
      <c r="AU1429" t="n">
        <v>2</v>
      </c>
      <c r="AV1429" t="n">
        <v>1</v>
      </c>
      <c r="AW1429" t="n">
        <v>5</v>
      </c>
      <c r="AX1429" t="n">
        <v>3</v>
      </c>
      <c r="AY1429" t="n">
        <v>38</v>
      </c>
      <c r="AZ1429" t="n">
        <v>0</v>
      </c>
      <c r="BA1429" t="n">
        <v>1</v>
      </c>
      <c r="BB1429" t="n">
        <v>82</v>
      </c>
      <c r="BC1429" t="n">
        <v>57</v>
      </c>
      <c r="BD1429" t="n">
        <v>23</v>
      </c>
      <c r="BE1429" t="n">
        <v>5</v>
      </c>
      <c r="BF1429" t="n">
        <v>21</v>
      </c>
      <c r="BG1429" t="n">
        <v>6</v>
      </c>
      <c r="BH1429" t="n">
        <v>32</v>
      </c>
      <c r="BI1429" t="n">
        <v>56</v>
      </c>
      <c r="BJ1429" t="n">
        <v>51</v>
      </c>
      <c r="BK1429" t="n">
        <v>1</v>
      </c>
      <c r="BL1429" t="n">
        <v>1</v>
      </c>
      <c r="BM1429" t="n">
        <v>36</v>
      </c>
      <c r="BN1429" t="n">
        <v>22</v>
      </c>
      <c r="BO1429" t="n">
        <v>11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2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3</v>
      </c>
      <c r="U1430" t="n">
        <v>0</v>
      </c>
      <c r="V1430" t="n">
        <v>0</v>
      </c>
      <c r="W1430" t="n">
        <v>0</v>
      </c>
      <c r="X1430" t="n">
        <v>0</v>
      </c>
      <c r="Y1430" t="n">
        <v>247</v>
      </c>
      <c r="Z1430" t="n">
        <v>284</v>
      </c>
      <c r="AA1430" t="n">
        <v>130</v>
      </c>
      <c r="AB1430" t="n">
        <v>1</v>
      </c>
      <c r="AC1430" t="n">
        <v>2</v>
      </c>
      <c r="AD1430" t="n">
        <v>1</v>
      </c>
      <c r="AE1430" t="n">
        <v>1</v>
      </c>
      <c r="AF1430" t="n">
        <v>6</v>
      </c>
      <c r="AG1430" t="n">
        <v>1</v>
      </c>
      <c r="AH1430" t="n">
        <v>38</v>
      </c>
      <c r="AI1430" t="n">
        <v>36</v>
      </c>
      <c r="AJ1430" t="n">
        <v>68</v>
      </c>
      <c r="AK1430" t="n">
        <v>18</v>
      </c>
      <c r="AL1430" t="n">
        <v>3</v>
      </c>
      <c r="AM1430" t="n">
        <v>87</v>
      </c>
      <c r="AN1430" t="n">
        <v>0</v>
      </c>
      <c r="AO1430" t="n">
        <v>0</v>
      </c>
      <c r="AP1430" t="n">
        <v>4</v>
      </c>
      <c r="AQ1430" t="n">
        <v>23</v>
      </c>
      <c r="AR1430" t="n">
        <v>105</v>
      </c>
      <c r="AS1430" t="n">
        <v>85</v>
      </c>
      <c r="AT1430" t="n">
        <v>1</v>
      </c>
      <c r="AU1430" t="n">
        <v>1</v>
      </c>
      <c r="AV1430" t="n">
        <v>1</v>
      </c>
      <c r="AW1430" t="n">
        <v>15</v>
      </c>
      <c r="AX1430" t="n">
        <v>2</v>
      </c>
      <c r="AY1430" t="n">
        <v>45</v>
      </c>
      <c r="AZ1430" t="n">
        <v>0</v>
      </c>
      <c r="BA1430" t="n">
        <v>41</v>
      </c>
      <c r="BB1430" t="n">
        <v>166</v>
      </c>
      <c r="BC1430" t="n">
        <v>72</v>
      </c>
      <c r="BD1430" t="n">
        <v>34</v>
      </c>
      <c r="BE1430" t="n">
        <v>15</v>
      </c>
      <c r="BF1430" t="n">
        <v>52</v>
      </c>
      <c r="BG1430" t="n">
        <v>3</v>
      </c>
      <c r="BH1430" t="n">
        <v>13</v>
      </c>
      <c r="BI1430" t="n">
        <v>41</v>
      </c>
      <c r="BJ1430" t="n">
        <v>47</v>
      </c>
      <c r="BK1430" t="n">
        <v>4</v>
      </c>
      <c r="BL1430" t="n">
        <v>18</v>
      </c>
      <c r="BM1430" t="n">
        <v>32</v>
      </c>
      <c r="BN1430" t="n">
        <v>14</v>
      </c>
      <c r="BO1430" t="n">
        <v>2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2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314</v>
      </c>
      <c r="Z1431" t="n">
        <v>389</v>
      </c>
      <c r="AA1431" t="n">
        <v>82</v>
      </c>
      <c r="AB1431" t="n">
        <v>0</v>
      </c>
      <c r="AC1431" t="n">
        <v>2</v>
      </c>
      <c r="AD1431" t="n">
        <v>3</v>
      </c>
      <c r="AE1431" t="n">
        <v>10</v>
      </c>
      <c r="AF1431" t="n">
        <v>8</v>
      </c>
      <c r="AG1431" t="n">
        <v>3</v>
      </c>
      <c r="AH1431" t="n">
        <v>11</v>
      </c>
      <c r="AI1431" t="n">
        <v>226</v>
      </c>
      <c r="AJ1431" t="n">
        <v>114</v>
      </c>
      <c r="AK1431" t="n">
        <v>10</v>
      </c>
      <c r="AL1431" t="n">
        <v>5</v>
      </c>
      <c r="AM1431" t="n">
        <v>35</v>
      </c>
      <c r="AN1431" t="n">
        <v>0</v>
      </c>
      <c r="AO1431" t="n">
        <v>0</v>
      </c>
      <c r="AP1431" t="n">
        <v>6</v>
      </c>
      <c r="AQ1431" t="n">
        <v>55</v>
      </c>
      <c r="AR1431" t="n">
        <v>188</v>
      </c>
      <c r="AS1431" t="n">
        <v>138</v>
      </c>
      <c r="AT1431" t="n">
        <v>2</v>
      </c>
      <c r="AU1431" t="n">
        <v>2</v>
      </c>
      <c r="AV1431" t="n">
        <v>6</v>
      </c>
      <c r="AW1431" t="n">
        <v>25</v>
      </c>
      <c r="AX1431" t="n">
        <v>0</v>
      </c>
      <c r="AY1431" t="n">
        <v>17</v>
      </c>
      <c r="AZ1431" t="n">
        <v>0</v>
      </c>
      <c r="BA1431" t="n">
        <v>15</v>
      </c>
      <c r="BB1431" t="n">
        <v>92</v>
      </c>
      <c r="BC1431" t="n">
        <v>29</v>
      </c>
      <c r="BD1431" t="n">
        <v>19</v>
      </c>
      <c r="BE1431" t="n">
        <v>25</v>
      </c>
      <c r="BF1431" t="n">
        <v>106</v>
      </c>
      <c r="BG1431" t="n">
        <v>2</v>
      </c>
      <c r="BH1431" t="n">
        <v>41</v>
      </c>
      <c r="BI1431" t="n">
        <v>19</v>
      </c>
      <c r="BJ1431" t="n">
        <v>28</v>
      </c>
      <c r="BK1431" t="n">
        <v>3</v>
      </c>
      <c r="BL1431" t="n">
        <v>44</v>
      </c>
      <c r="BM1431" t="n">
        <v>30</v>
      </c>
      <c r="BN1431" t="n">
        <v>1</v>
      </c>
      <c r="BO1431" t="n">
        <v>32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101</v>
      </c>
      <c r="Z1432" t="n">
        <v>178</v>
      </c>
      <c r="AA1432" t="n">
        <v>70</v>
      </c>
      <c r="AB1432" t="n">
        <v>0</v>
      </c>
      <c r="AC1432" t="n">
        <v>2</v>
      </c>
      <c r="AD1432" t="n">
        <v>3</v>
      </c>
      <c r="AE1432" t="n">
        <v>5</v>
      </c>
      <c r="AF1432" t="n">
        <v>2</v>
      </c>
      <c r="AG1432" t="n">
        <v>4</v>
      </c>
      <c r="AH1432" t="n">
        <v>21</v>
      </c>
      <c r="AI1432" t="n">
        <v>6</v>
      </c>
      <c r="AJ1432" t="n">
        <v>7</v>
      </c>
      <c r="AK1432" t="n">
        <v>16</v>
      </c>
      <c r="AL1432" t="n">
        <v>7</v>
      </c>
      <c r="AM1432" t="n">
        <v>81</v>
      </c>
      <c r="AN1432" t="n">
        <v>0</v>
      </c>
      <c r="AO1432" t="n">
        <v>0</v>
      </c>
      <c r="AP1432" t="n">
        <v>0</v>
      </c>
      <c r="AQ1432" t="n">
        <v>1</v>
      </c>
      <c r="AR1432" t="n">
        <v>160</v>
      </c>
      <c r="AS1432" t="n">
        <v>149</v>
      </c>
      <c r="AT1432" t="n">
        <v>7</v>
      </c>
      <c r="AU1432" t="n">
        <v>4</v>
      </c>
      <c r="AV1432" t="n">
        <v>38</v>
      </c>
      <c r="AW1432" t="n">
        <v>24</v>
      </c>
      <c r="AX1432" t="n">
        <v>6</v>
      </c>
      <c r="AY1432" t="n">
        <v>14</v>
      </c>
      <c r="AZ1432" t="n">
        <v>0</v>
      </c>
      <c r="BA1432" t="n">
        <v>8</v>
      </c>
      <c r="BB1432" t="n">
        <v>74</v>
      </c>
      <c r="BC1432" t="n">
        <v>68</v>
      </c>
      <c r="BD1432" t="n">
        <v>31</v>
      </c>
      <c r="BE1432" t="n">
        <v>23</v>
      </c>
      <c r="BF1432" t="n">
        <v>17</v>
      </c>
      <c r="BG1432" t="n">
        <v>5</v>
      </c>
      <c r="BH1432" t="n">
        <v>0</v>
      </c>
      <c r="BI1432" t="n">
        <v>10</v>
      </c>
      <c r="BJ1432" t="n">
        <v>12</v>
      </c>
      <c r="BK1432" t="n">
        <v>0</v>
      </c>
      <c r="BL1432" t="n">
        <v>1</v>
      </c>
      <c r="BM1432" t="n">
        <v>1</v>
      </c>
      <c r="BN1432" t="n">
        <v>0</v>
      </c>
      <c r="BO1432" t="n">
        <v>68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92</v>
      </c>
      <c r="Z1433" t="n">
        <v>198</v>
      </c>
      <c r="AA1433" t="n">
        <v>42</v>
      </c>
      <c r="AB1433" t="n">
        <v>1</v>
      </c>
      <c r="AC1433" t="n">
        <v>0</v>
      </c>
      <c r="AD1433" t="n">
        <v>3</v>
      </c>
      <c r="AE1433" t="n">
        <v>4</v>
      </c>
      <c r="AF1433" t="n">
        <v>2</v>
      </c>
      <c r="AG1433" t="n">
        <v>3</v>
      </c>
      <c r="AH1433" t="n">
        <v>11</v>
      </c>
      <c r="AI1433" t="n">
        <v>25</v>
      </c>
      <c r="AJ1433" t="n">
        <v>20</v>
      </c>
      <c r="AK1433" t="n">
        <v>15</v>
      </c>
      <c r="AL1433" t="n">
        <v>2</v>
      </c>
      <c r="AM1433" t="n">
        <v>47</v>
      </c>
      <c r="AN1433" t="n">
        <v>1</v>
      </c>
      <c r="AO1433" t="n">
        <v>0</v>
      </c>
      <c r="AP1433" t="n">
        <v>1</v>
      </c>
      <c r="AQ1433" t="n">
        <v>1</v>
      </c>
      <c r="AR1433" t="n">
        <v>108</v>
      </c>
      <c r="AS1433" t="n">
        <v>99</v>
      </c>
      <c r="AT1433" t="n">
        <v>1</v>
      </c>
      <c r="AU1433" t="n">
        <v>1</v>
      </c>
      <c r="AV1433" t="n">
        <v>1</v>
      </c>
      <c r="AW1433" t="n">
        <v>28</v>
      </c>
      <c r="AX1433" t="n">
        <v>0</v>
      </c>
      <c r="AY1433" t="n">
        <v>82</v>
      </c>
      <c r="AZ1433" t="n">
        <v>4</v>
      </c>
      <c r="BA1433" t="n">
        <v>23</v>
      </c>
      <c r="BB1433" t="n">
        <v>64</v>
      </c>
      <c r="BC1433" t="n">
        <v>38</v>
      </c>
      <c r="BD1433" t="n">
        <v>11</v>
      </c>
      <c r="BE1433" t="n">
        <v>29</v>
      </c>
      <c r="BF1433" t="n">
        <v>16</v>
      </c>
      <c r="BG1433" t="n">
        <v>0</v>
      </c>
      <c r="BH1433" t="n">
        <v>4</v>
      </c>
      <c r="BI1433" t="n">
        <v>1</v>
      </c>
      <c r="BJ1433" t="n">
        <v>25</v>
      </c>
      <c r="BK1433" t="n">
        <v>0</v>
      </c>
      <c r="BL1433" t="n">
        <v>4</v>
      </c>
      <c r="BM1433" t="n">
        <v>15</v>
      </c>
      <c r="BN1433" t="n">
        <v>8</v>
      </c>
      <c r="BO1433" t="n">
        <v>2</v>
      </c>
    </row>
    <row r="1434">
      <c r="A1434" t="n">
        <v>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134</v>
      </c>
      <c r="Z1434" t="n">
        <v>165</v>
      </c>
      <c r="AA1434" t="n">
        <v>109</v>
      </c>
      <c r="AB1434" t="n">
        <v>4</v>
      </c>
      <c r="AC1434" t="n">
        <v>0</v>
      </c>
      <c r="AD1434" t="n">
        <v>3</v>
      </c>
      <c r="AE1434" t="n">
        <v>11</v>
      </c>
      <c r="AF1434" t="n">
        <v>4</v>
      </c>
      <c r="AG1434" t="n">
        <v>3</v>
      </c>
      <c r="AH1434" t="n">
        <v>13</v>
      </c>
      <c r="AI1434" t="n">
        <v>42</v>
      </c>
      <c r="AJ1434" t="n">
        <v>24</v>
      </c>
      <c r="AK1434" t="n">
        <v>13</v>
      </c>
      <c r="AL1434" t="n">
        <v>4</v>
      </c>
      <c r="AM1434" t="n">
        <v>1</v>
      </c>
      <c r="AN1434" t="n">
        <v>1</v>
      </c>
      <c r="AO1434" t="n">
        <v>0</v>
      </c>
      <c r="AP1434" t="n">
        <v>8</v>
      </c>
      <c r="AQ1434" t="n">
        <v>61</v>
      </c>
      <c r="AR1434" t="n">
        <v>106</v>
      </c>
      <c r="AS1434" t="n">
        <v>55</v>
      </c>
      <c r="AT1434" t="n">
        <v>0</v>
      </c>
      <c r="AU1434" t="n">
        <v>2</v>
      </c>
      <c r="AV1434" t="n">
        <v>5</v>
      </c>
      <c r="AW1434" t="n">
        <v>17</v>
      </c>
      <c r="AX1434" t="n">
        <v>32</v>
      </c>
      <c r="AY1434" t="n">
        <v>4</v>
      </c>
      <c r="AZ1434" t="n">
        <v>5</v>
      </c>
      <c r="BA1434" t="n">
        <v>16</v>
      </c>
      <c r="BB1434" t="n">
        <v>119</v>
      </c>
      <c r="BC1434" t="n">
        <v>7</v>
      </c>
      <c r="BD1434" t="n">
        <v>11</v>
      </c>
      <c r="BE1434" t="n">
        <v>18</v>
      </c>
      <c r="BF1434" t="n">
        <v>18</v>
      </c>
      <c r="BG1434" t="n">
        <v>5</v>
      </c>
      <c r="BH1434" t="n">
        <v>0</v>
      </c>
      <c r="BI1434" t="n">
        <v>27</v>
      </c>
      <c r="BJ1434" t="n">
        <v>43</v>
      </c>
      <c r="BK1434" t="n">
        <v>0</v>
      </c>
      <c r="BL1434" t="n">
        <v>2</v>
      </c>
      <c r="BM1434" t="n">
        <v>13</v>
      </c>
      <c r="BN1434" t="n">
        <v>7</v>
      </c>
      <c r="BO1434" t="n">
        <v>40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3</v>
      </c>
      <c r="U1435" t="n">
        <v>0</v>
      </c>
      <c r="V1435" t="n">
        <v>0</v>
      </c>
      <c r="W1435" t="n">
        <v>0</v>
      </c>
      <c r="X1435" t="n">
        <v>0</v>
      </c>
      <c r="Y1435" t="n">
        <v>284</v>
      </c>
      <c r="Z1435" t="n">
        <v>138</v>
      </c>
      <c r="AA1435" t="n">
        <v>51</v>
      </c>
      <c r="AB1435" t="n">
        <v>0</v>
      </c>
      <c r="AC1435" t="n">
        <v>3</v>
      </c>
      <c r="AD1435" t="n">
        <v>5</v>
      </c>
      <c r="AE1435" t="n">
        <v>7</v>
      </c>
      <c r="AF1435" t="n">
        <v>3</v>
      </c>
      <c r="AG1435" t="n">
        <v>4</v>
      </c>
      <c r="AH1435" t="n">
        <v>76</v>
      </c>
      <c r="AI1435" t="n">
        <v>37</v>
      </c>
      <c r="AJ1435" t="n">
        <v>14</v>
      </c>
      <c r="AK1435" t="n">
        <v>12</v>
      </c>
      <c r="AL1435" t="n">
        <v>4</v>
      </c>
      <c r="AM1435" t="n">
        <v>44</v>
      </c>
      <c r="AN1435" t="n">
        <v>0</v>
      </c>
      <c r="AO1435" t="n">
        <v>0</v>
      </c>
      <c r="AP1435" t="n">
        <v>3</v>
      </c>
      <c r="AQ1435" t="n">
        <v>-2</v>
      </c>
      <c r="AR1435" t="n">
        <v>96</v>
      </c>
      <c r="AS1435" t="n">
        <v>91</v>
      </c>
      <c r="AT1435" t="n">
        <v>3</v>
      </c>
      <c r="AU1435" t="n">
        <v>0</v>
      </c>
      <c r="AV1435" t="n">
        <v>33</v>
      </c>
      <c r="AW1435" t="n">
        <v>1</v>
      </c>
      <c r="AX1435" t="n">
        <v>0</v>
      </c>
      <c r="AY1435" t="n">
        <v>15</v>
      </c>
      <c r="AZ1435" t="n">
        <v>5</v>
      </c>
      <c r="BA1435" t="n">
        <v>49</v>
      </c>
      <c r="BB1435" t="n">
        <v>104</v>
      </c>
      <c r="BC1435" t="n">
        <v>45</v>
      </c>
      <c r="BD1435" t="n">
        <v>71</v>
      </c>
      <c r="BE1435" t="n">
        <v>3</v>
      </c>
      <c r="BF1435" t="n">
        <v>13</v>
      </c>
      <c r="BG1435" t="n">
        <v>2</v>
      </c>
      <c r="BH1435" t="n">
        <v>16</v>
      </c>
      <c r="BI1435" t="n">
        <v>1</v>
      </c>
      <c r="BJ1435" t="n">
        <v>4</v>
      </c>
      <c r="BK1435" t="n">
        <v>0</v>
      </c>
      <c r="BL1435" t="n">
        <v>1</v>
      </c>
      <c r="BM1435" t="n">
        <v>7</v>
      </c>
      <c r="BN1435" t="n">
        <v>4</v>
      </c>
      <c r="BO1435" t="n">
        <v>35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2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400</v>
      </c>
      <c r="Z1436" t="n">
        <v>229</v>
      </c>
      <c r="AA1436" t="n">
        <v>142</v>
      </c>
      <c r="AB1436" t="n">
        <v>1</v>
      </c>
      <c r="AC1436" t="n">
        <v>1</v>
      </c>
      <c r="AD1436" t="n">
        <v>1</v>
      </c>
      <c r="AE1436" t="n">
        <v>8</v>
      </c>
      <c r="AF1436" t="n">
        <v>8</v>
      </c>
      <c r="AG1436" t="n">
        <v>3</v>
      </c>
      <c r="AH1436" t="n">
        <v>45</v>
      </c>
      <c r="AI1436" t="n">
        <v>31</v>
      </c>
      <c r="AJ1436" t="n">
        <v>125</v>
      </c>
      <c r="AK1436" t="n">
        <v>36</v>
      </c>
      <c r="AL1436" t="n">
        <v>4</v>
      </c>
      <c r="AM1436" t="n">
        <v>28</v>
      </c>
      <c r="AN1436" t="n">
        <v>0</v>
      </c>
      <c r="AO1436" t="n">
        <v>0</v>
      </c>
      <c r="AP1436" t="n">
        <v>3</v>
      </c>
      <c r="AQ1436" t="n">
        <v>42</v>
      </c>
      <c r="AR1436" t="n">
        <v>136</v>
      </c>
      <c r="AS1436" t="n">
        <v>99</v>
      </c>
      <c r="AT1436" t="n">
        <v>1</v>
      </c>
      <c r="AU1436" t="n">
        <v>1</v>
      </c>
      <c r="AV1436" t="n">
        <v>47</v>
      </c>
      <c r="AW1436" t="n">
        <v>16</v>
      </c>
      <c r="AX1436" t="n">
        <v>0</v>
      </c>
      <c r="AY1436" t="n">
        <v>21</v>
      </c>
      <c r="AZ1436" t="n">
        <v>4</v>
      </c>
      <c r="BA1436" t="n">
        <v>33</v>
      </c>
      <c r="BB1436" t="n">
        <v>166</v>
      </c>
      <c r="BC1436" t="n">
        <v>29</v>
      </c>
      <c r="BD1436" t="n">
        <v>40</v>
      </c>
      <c r="BE1436" t="n">
        <v>18</v>
      </c>
      <c r="BF1436" t="n">
        <v>101</v>
      </c>
      <c r="BG1436" t="n">
        <v>5</v>
      </c>
      <c r="BH1436" t="n">
        <v>14</v>
      </c>
      <c r="BI1436" t="n">
        <v>107</v>
      </c>
      <c r="BJ1436" t="n">
        <v>102</v>
      </c>
      <c r="BK1436" t="n">
        <v>3</v>
      </c>
      <c r="BL1436" t="n">
        <v>27</v>
      </c>
      <c r="BM1436" t="n">
        <v>34</v>
      </c>
      <c r="BN1436" t="n">
        <v>11</v>
      </c>
      <c r="BO1436" t="n">
        <v>2</v>
      </c>
    </row>
    <row r="1437">
      <c r="A1437" t="n">
        <v>0</v>
      </c>
      <c r="B1437" t="n">
        <v>0</v>
      </c>
      <c r="C1437" t="n">
        <v>0</v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2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3</v>
      </c>
      <c r="U1437" t="n">
        <v>0</v>
      </c>
      <c r="V1437" t="n">
        <v>0</v>
      </c>
      <c r="W1437" t="n">
        <v>0</v>
      </c>
      <c r="X1437" t="n">
        <v>2</v>
      </c>
      <c r="Y1437" t="n">
        <v>276</v>
      </c>
      <c r="Z1437" t="n">
        <v>226</v>
      </c>
      <c r="AA1437" t="n">
        <v>121</v>
      </c>
      <c r="AB1437" t="n">
        <v>2</v>
      </c>
      <c r="AC1437" t="n">
        <v>1</v>
      </c>
      <c r="AD1437" t="n">
        <v>2</v>
      </c>
      <c r="AE1437" t="n">
        <v>2</v>
      </c>
      <c r="AF1437" t="n">
        <v>0</v>
      </c>
      <c r="AG1437" t="n">
        <v>8</v>
      </c>
      <c r="AH1437" t="n">
        <v>42</v>
      </c>
      <c r="AI1437" t="n">
        <v>31</v>
      </c>
      <c r="AJ1437" t="n">
        <v>36</v>
      </c>
      <c r="AK1437" t="n">
        <v>51</v>
      </c>
      <c r="AL1437" t="n">
        <v>7</v>
      </c>
      <c r="AM1437" t="n">
        <v>73</v>
      </c>
      <c r="AN1437" t="n">
        <v>0</v>
      </c>
      <c r="AO1437" t="n">
        <v>0</v>
      </c>
      <c r="AP1437" t="n">
        <v>0</v>
      </c>
      <c r="AQ1437" t="n">
        <v>1</v>
      </c>
      <c r="AR1437" t="n">
        <v>102</v>
      </c>
      <c r="AS1437" t="n">
        <v>94</v>
      </c>
      <c r="AT1437" t="n">
        <v>4</v>
      </c>
      <c r="AU1437" t="n">
        <v>1</v>
      </c>
      <c r="AV1437" t="n">
        <v>38</v>
      </c>
      <c r="AW1437" t="n">
        <v>23</v>
      </c>
      <c r="AX1437" t="n">
        <v>1</v>
      </c>
      <c r="AY1437" t="n">
        <v>27</v>
      </c>
      <c r="AZ1437" t="n">
        <v>6</v>
      </c>
      <c r="BA1437" t="n">
        <v>45</v>
      </c>
      <c r="BB1437" t="n">
        <v>161</v>
      </c>
      <c r="BC1437" t="n">
        <v>117</v>
      </c>
      <c r="BD1437" t="n">
        <v>38</v>
      </c>
      <c r="BE1437" t="n">
        <v>23</v>
      </c>
      <c r="BF1437" t="n">
        <v>31</v>
      </c>
      <c r="BG1437" t="n">
        <v>4</v>
      </c>
      <c r="BH1437" t="n">
        <v>14</v>
      </c>
      <c r="BI1437" t="n">
        <v>22</v>
      </c>
      <c r="BJ1437" t="n">
        <v>28</v>
      </c>
      <c r="BK1437" t="n">
        <v>3</v>
      </c>
      <c r="BL1437" t="n">
        <v>4</v>
      </c>
      <c r="BM1437" t="n">
        <v>52</v>
      </c>
      <c r="BN1437" t="n">
        <v>33</v>
      </c>
      <c r="BO1437" t="n">
        <v>2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245</v>
      </c>
      <c r="Z1438" t="n">
        <v>164</v>
      </c>
      <c r="AA1438" t="n">
        <v>95</v>
      </c>
      <c r="AB1438" t="n">
        <v>0</v>
      </c>
      <c r="AC1438" t="n">
        <v>1</v>
      </c>
      <c r="AD1438" t="n">
        <v>6</v>
      </c>
      <c r="AE1438" t="n">
        <v>3</v>
      </c>
      <c r="AF1438" t="n">
        <v>7</v>
      </c>
      <c r="AG1438" t="n">
        <v>3</v>
      </c>
      <c r="AH1438" t="n">
        <v>75</v>
      </c>
      <c r="AI1438" t="n">
        <v>15</v>
      </c>
      <c r="AJ1438" t="n">
        <v>56</v>
      </c>
      <c r="AK1438" t="n">
        <v>25</v>
      </c>
      <c r="AL1438" t="n">
        <v>2</v>
      </c>
      <c r="AM1438" t="n">
        <v>27</v>
      </c>
      <c r="AN1438" t="n">
        <v>0</v>
      </c>
      <c r="AO1438" t="n">
        <v>0</v>
      </c>
      <c r="AP1438" t="n">
        <v>4</v>
      </c>
      <c r="AQ1438" t="n">
        <v>15</v>
      </c>
      <c r="AR1438" t="n">
        <v>136</v>
      </c>
      <c r="AS1438" t="n">
        <v>120</v>
      </c>
      <c r="AT1438" t="n">
        <v>5</v>
      </c>
      <c r="AU1438" t="n">
        <v>2</v>
      </c>
      <c r="AV1438" t="n">
        <v>15</v>
      </c>
      <c r="AW1438" t="n">
        <v>41</v>
      </c>
      <c r="AX1438" t="n">
        <v>0</v>
      </c>
      <c r="AY1438" t="n">
        <v>20</v>
      </c>
      <c r="AZ1438" t="n">
        <v>1</v>
      </c>
      <c r="BA1438" t="n">
        <v>1</v>
      </c>
      <c r="BB1438" t="n">
        <v>93</v>
      </c>
      <c r="BC1438" t="n">
        <v>23</v>
      </c>
      <c r="BD1438" t="n">
        <v>69</v>
      </c>
      <c r="BE1438" t="n">
        <v>40</v>
      </c>
      <c r="BF1438" t="n">
        <v>44</v>
      </c>
      <c r="BG1438" t="n">
        <v>2</v>
      </c>
      <c r="BH1438" t="n">
        <v>13</v>
      </c>
      <c r="BI1438" t="n">
        <v>6</v>
      </c>
      <c r="BJ1438" t="n">
        <v>46</v>
      </c>
      <c r="BK1438" t="n">
        <v>0</v>
      </c>
      <c r="BL1438" t="n">
        <v>1</v>
      </c>
      <c r="BM1438" t="n">
        <v>20</v>
      </c>
      <c r="BN1438" t="n">
        <v>11</v>
      </c>
      <c r="BO1438" t="n">
        <v>25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4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2</v>
      </c>
      <c r="U1439" t="n">
        <v>0</v>
      </c>
      <c r="V1439" t="n">
        <v>0</v>
      </c>
      <c r="W1439" t="n">
        <v>0</v>
      </c>
      <c r="X1439" t="n">
        <v>0</v>
      </c>
      <c r="Y1439" t="n">
        <v>222</v>
      </c>
      <c r="Z1439" t="n">
        <v>241</v>
      </c>
      <c r="AA1439" t="n">
        <v>52</v>
      </c>
      <c r="AB1439" t="n">
        <v>1</v>
      </c>
      <c r="AC1439" t="n">
        <v>2</v>
      </c>
      <c r="AD1439" t="n">
        <v>7</v>
      </c>
      <c r="AE1439" t="n">
        <v>4</v>
      </c>
      <c r="AF1439" t="n">
        <v>2</v>
      </c>
      <c r="AG1439" t="n">
        <v>1</v>
      </c>
      <c r="AH1439" t="n">
        <v>59</v>
      </c>
      <c r="AI1439" t="n">
        <v>45</v>
      </c>
      <c r="AJ1439" t="n">
        <v>29</v>
      </c>
      <c r="AK1439" t="n">
        <v>1</v>
      </c>
      <c r="AL1439" t="n">
        <v>3</v>
      </c>
      <c r="AM1439" t="n">
        <v>36</v>
      </c>
      <c r="AN1439" t="n">
        <v>0</v>
      </c>
      <c r="AO1439" t="n">
        <v>0</v>
      </c>
      <c r="AP1439" t="n">
        <v>3</v>
      </c>
      <c r="AQ1439" t="n">
        <v>62</v>
      </c>
      <c r="AR1439" t="n">
        <v>156</v>
      </c>
      <c r="AS1439" t="n">
        <v>103</v>
      </c>
      <c r="AT1439" t="n">
        <v>4</v>
      </c>
      <c r="AU1439" t="n">
        <v>3</v>
      </c>
      <c r="AV1439" t="n">
        <v>69</v>
      </c>
      <c r="AW1439" t="n">
        <v>24</v>
      </c>
      <c r="AX1439" t="n">
        <v>0</v>
      </c>
      <c r="AY1439" t="n">
        <v>24</v>
      </c>
      <c r="AZ1439" t="n">
        <v>5</v>
      </c>
      <c r="BA1439" t="n">
        <v>26</v>
      </c>
      <c r="BB1439" t="n">
        <v>76</v>
      </c>
      <c r="BC1439" t="n">
        <v>30</v>
      </c>
      <c r="BD1439" t="n">
        <v>54</v>
      </c>
      <c r="BE1439" t="n">
        <v>27</v>
      </c>
      <c r="BF1439" t="n">
        <v>23</v>
      </c>
      <c r="BG1439" t="n">
        <v>2</v>
      </c>
      <c r="BH1439" t="n">
        <v>11</v>
      </c>
      <c r="BI1439" t="n">
        <v>14</v>
      </c>
      <c r="BJ1439" t="n">
        <v>23</v>
      </c>
      <c r="BK1439" t="n">
        <v>6</v>
      </c>
      <c r="BL1439" t="n">
        <v>67</v>
      </c>
      <c r="BM1439" t="n">
        <v>44</v>
      </c>
      <c r="BN1439" t="n">
        <v>-1</v>
      </c>
      <c r="BO1439" t="n">
        <v>49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243</v>
      </c>
      <c r="Z1440" t="n">
        <v>115</v>
      </c>
      <c r="AA1440" t="n">
        <v>110</v>
      </c>
      <c r="AB1440" t="n">
        <v>1</v>
      </c>
      <c r="AC1440" t="n">
        <v>0</v>
      </c>
      <c r="AD1440" t="n">
        <v>5</v>
      </c>
      <c r="AE1440" t="n">
        <v>1</v>
      </c>
      <c r="AF1440" t="n">
        <v>1</v>
      </c>
      <c r="AG1440" t="n">
        <v>6</v>
      </c>
      <c r="AH1440" t="n">
        <v>67</v>
      </c>
      <c r="AI1440" t="n">
        <v>2</v>
      </c>
      <c r="AJ1440" t="n">
        <v>33</v>
      </c>
      <c r="AK1440" t="n">
        <v>54</v>
      </c>
      <c r="AL1440" t="n">
        <v>2</v>
      </c>
      <c r="AM1440" t="n">
        <v>39</v>
      </c>
      <c r="AN1440" t="n">
        <v>1</v>
      </c>
      <c r="AO1440" t="n">
        <v>0</v>
      </c>
      <c r="AP1440" t="n">
        <v>5</v>
      </c>
      <c r="AQ1440" t="n">
        <v>27</v>
      </c>
      <c r="AR1440" t="n">
        <v>37</v>
      </c>
      <c r="AS1440" t="n">
        <v>15</v>
      </c>
      <c r="AT1440" t="n">
        <v>2</v>
      </c>
      <c r="AU1440" t="n">
        <v>2</v>
      </c>
      <c r="AV1440" t="n">
        <v>6</v>
      </c>
      <c r="AW1440" t="n">
        <v>8</v>
      </c>
      <c r="AX1440" t="n">
        <v>-1</v>
      </c>
      <c r="AY1440" t="n">
        <v>47</v>
      </c>
      <c r="AZ1440" t="n">
        <v>2</v>
      </c>
      <c r="BA1440" t="n">
        <v>9</v>
      </c>
      <c r="BB1440" t="n">
        <v>114</v>
      </c>
      <c r="BC1440" t="n">
        <v>31</v>
      </c>
      <c r="BD1440" t="n">
        <v>62</v>
      </c>
      <c r="BE1440" t="n">
        <v>8</v>
      </c>
      <c r="BF1440" t="n">
        <v>32</v>
      </c>
      <c r="BG1440" t="n">
        <v>5</v>
      </c>
      <c r="BH1440" t="n">
        <v>0</v>
      </c>
      <c r="BI1440" t="n">
        <v>57</v>
      </c>
      <c r="BJ1440" t="n">
        <v>55</v>
      </c>
      <c r="BK1440" t="n">
        <v>1</v>
      </c>
      <c r="BL1440" t="n">
        <v>1</v>
      </c>
      <c r="BM1440" t="n">
        <v>31</v>
      </c>
      <c r="BN1440" t="n">
        <v>18</v>
      </c>
      <c r="BO1440" t="n">
        <v>37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2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206</v>
      </c>
      <c r="Z1441" t="n">
        <v>138</v>
      </c>
      <c r="AA1441" t="n">
        <v>87</v>
      </c>
      <c r="AB1441" t="n">
        <v>2</v>
      </c>
      <c r="AC1441" t="n">
        <v>1</v>
      </c>
      <c r="AD1441" t="n">
        <v>3</v>
      </c>
      <c r="AE1441" t="n">
        <v>2</v>
      </c>
      <c r="AF1441" t="n">
        <v>8</v>
      </c>
      <c r="AG1441" t="n">
        <v>0</v>
      </c>
      <c r="AH1441" t="n">
        <v>51</v>
      </c>
      <c r="AI1441" t="n">
        <v>22</v>
      </c>
      <c r="AJ1441" t="n">
        <v>73</v>
      </c>
      <c r="AK1441" t="n">
        <v>18</v>
      </c>
      <c r="AL1441" t="n">
        <v>2</v>
      </c>
      <c r="AM1441" t="n">
        <v>10</v>
      </c>
      <c r="AN1441" t="n">
        <v>0</v>
      </c>
      <c r="AO1441" t="n">
        <v>0</v>
      </c>
      <c r="AP1441" t="n">
        <v>7</v>
      </c>
      <c r="AQ1441" t="n">
        <v>87</v>
      </c>
      <c r="AR1441" t="n">
        <v>175</v>
      </c>
      <c r="AS1441" t="n">
        <v>100</v>
      </c>
      <c r="AT1441" t="n">
        <v>0</v>
      </c>
      <c r="AU1441" t="n">
        <v>1</v>
      </c>
      <c r="AV1441" t="n">
        <v>1</v>
      </c>
      <c r="AW1441" t="n">
        <v>8</v>
      </c>
      <c r="AX1441" t="n">
        <v>4</v>
      </c>
      <c r="AY1441" t="n">
        <v>102</v>
      </c>
      <c r="AZ1441" t="n">
        <v>1</v>
      </c>
      <c r="BA1441" t="n">
        <v>15</v>
      </c>
      <c r="BB1441" t="n">
        <v>98</v>
      </c>
      <c r="BC1441" t="n">
        <v>6</v>
      </c>
      <c r="BD1441" t="n">
        <v>45</v>
      </c>
      <c r="BE1441" t="n">
        <v>7</v>
      </c>
      <c r="BF1441" t="n">
        <v>64</v>
      </c>
      <c r="BG1441" t="n">
        <v>1</v>
      </c>
      <c r="BH1441" t="n">
        <v>10</v>
      </c>
      <c r="BI1441" t="n">
        <v>1</v>
      </c>
      <c r="BJ1441" t="n">
        <v>1</v>
      </c>
      <c r="BK1441" t="n">
        <v>3</v>
      </c>
      <c r="BL1441" t="n">
        <v>15</v>
      </c>
      <c r="BM1441" t="n">
        <v>11</v>
      </c>
      <c r="BN1441" t="n">
        <v>0</v>
      </c>
      <c r="BO1441" t="n">
        <v>54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205</v>
      </c>
      <c r="Z1442" t="n">
        <v>131</v>
      </c>
      <c r="AA1442" t="n">
        <v>72</v>
      </c>
      <c r="AB1442" t="n">
        <v>2</v>
      </c>
      <c r="AC1442" t="n">
        <v>1</v>
      </c>
      <c r="AD1442" t="n">
        <v>3</v>
      </c>
      <c r="AE1442" t="n">
        <v>5</v>
      </c>
      <c r="AF1442" t="n">
        <v>3</v>
      </c>
      <c r="AG1442" t="n">
        <v>3</v>
      </c>
      <c r="AH1442" t="n">
        <v>47</v>
      </c>
      <c r="AI1442" t="n">
        <v>21</v>
      </c>
      <c r="AJ1442" t="n">
        <v>31</v>
      </c>
      <c r="AK1442" t="n">
        <v>25</v>
      </c>
      <c r="AL1442" t="n">
        <v>1</v>
      </c>
      <c r="AM1442" t="n">
        <v>18</v>
      </c>
      <c r="AN1442" t="n">
        <v>0</v>
      </c>
      <c r="AO1442" t="n">
        <v>0</v>
      </c>
      <c r="AP1442" t="n">
        <v>1</v>
      </c>
      <c r="AQ1442" t="n">
        <v>13</v>
      </c>
      <c r="AR1442" t="n">
        <v>82</v>
      </c>
      <c r="AS1442" t="n">
        <v>69</v>
      </c>
      <c r="AT1442" t="n">
        <v>2</v>
      </c>
      <c r="AU1442" t="n">
        <v>1</v>
      </c>
      <c r="AV1442" t="n">
        <v>12</v>
      </c>
      <c r="AW1442" t="n">
        <v>10</v>
      </c>
      <c r="AX1442" t="n">
        <v>6</v>
      </c>
      <c r="AY1442" t="n">
        <v>24</v>
      </c>
      <c r="AZ1442" t="n">
        <v>3</v>
      </c>
      <c r="BA1442" t="n">
        <v>14</v>
      </c>
      <c r="BB1442" t="n">
        <v>82</v>
      </c>
      <c r="BC1442" t="n">
        <v>26</v>
      </c>
      <c r="BD1442" t="n">
        <v>54</v>
      </c>
      <c r="BE1442" t="n">
        <v>14</v>
      </c>
      <c r="BF1442" t="n">
        <v>25</v>
      </c>
      <c r="BG1442" t="n">
        <v>0</v>
      </c>
      <c r="BH1442" t="n">
        <v>22</v>
      </c>
      <c r="BI1442" t="n">
        <v>1</v>
      </c>
      <c r="BJ1442" t="n">
        <v>4</v>
      </c>
      <c r="BK1442" t="n">
        <v>0</v>
      </c>
      <c r="BL1442" t="n">
        <v>18</v>
      </c>
      <c r="BM1442" t="n">
        <v>38</v>
      </c>
      <c r="BN1442" t="n">
        <v>17</v>
      </c>
      <c r="BO1442" t="n">
        <v>16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248</v>
      </c>
      <c r="Z1443" t="n">
        <v>216</v>
      </c>
      <c r="AA1443" t="n">
        <v>57</v>
      </c>
      <c r="AB1443" t="n">
        <v>1</v>
      </c>
      <c r="AC1443" t="n">
        <v>0</v>
      </c>
      <c r="AD1443" t="n">
        <v>1</v>
      </c>
      <c r="AE1443" t="n">
        <v>4</v>
      </c>
      <c r="AF1443" t="n">
        <v>4</v>
      </c>
      <c r="AG1443" t="n">
        <v>5</v>
      </c>
      <c r="AH1443" t="n">
        <v>73</v>
      </c>
      <c r="AI1443" t="n">
        <v>25</v>
      </c>
      <c r="AJ1443" t="n">
        <v>57</v>
      </c>
      <c r="AK1443" t="n">
        <v>21</v>
      </c>
      <c r="AL1443" t="n">
        <v>4</v>
      </c>
      <c r="AM1443" t="n">
        <v>58</v>
      </c>
      <c r="AN1443" t="n">
        <v>0</v>
      </c>
      <c r="AO1443" t="n">
        <v>0</v>
      </c>
      <c r="AP1443" t="n">
        <v>1</v>
      </c>
      <c r="AQ1443" t="n">
        <v>4</v>
      </c>
      <c r="AR1443" t="n">
        <v>39</v>
      </c>
      <c r="AS1443" t="n">
        <v>35</v>
      </c>
      <c r="AT1443" t="n">
        <v>5</v>
      </c>
      <c r="AU1443" t="n">
        <v>3</v>
      </c>
      <c r="AV1443" t="n">
        <v>24</v>
      </c>
      <c r="AW1443" t="n">
        <v>46</v>
      </c>
      <c r="AX1443" t="n">
        <v>4</v>
      </c>
      <c r="AY1443" t="n">
        <v>24</v>
      </c>
      <c r="AZ1443" t="n">
        <v>2</v>
      </c>
      <c r="BA1443" t="n">
        <v>16</v>
      </c>
      <c r="BB1443" t="n">
        <v>69</v>
      </c>
      <c r="BC1443" t="n">
        <v>48</v>
      </c>
      <c r="BD1443" t="n">
        <v>66</v>
      </c>
      <c r="BE1443" t="n">
        <v>46</v>
      </c>
      <c r="BF1443" t="n">
        <v>46</v>
      </c>
      <c r="BG1443" t="n">
        <v>1</v>
      </c>
      <c r="BH1443" t="n">
        <v>14</v>
      </c>
      <c r="BI1443" t="n">
        <v>7</v>
      </c>
      <c r="BJ1443" t="n">
        <v>6</v>
      </c>
      <c r="BK1443" t="n">
        <v>1</v>
      </c>
      <c r="BL1443" t="n">
        <v>33</v>
      </c>
      <c r="BM1443" t="n">
        <v>32</v>
      </c>
      <c r="BN1443" t="n">
        <v>8</v>
      </c>
      <c r="BO1443" t="n">
        <v>2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187</v>
      </c>
      <c r="Z1444" t="n">
        <v>169</v>
      </c>
      <c r="AA1444" t="n">
        <v>25</v>
      </c>
      <c r="AB1444" t="n">
        <v>4</v>
      </c>
      <c r="AC1444" t="n">
        <v>1</v>
      </c>
      <c r="AD1444" t="n">
        <v>4</v>
      </c>
      <c r="AE1444" t="n">
        <v>5</v>
      </c>
      <c r="AF1444" t="n">
        <v>3</v>
      </c>
      <c r="AG1444" t="n">
        <v>5</v>
      </c>
      <c r="AH1444" t="n">
        <v>33</v>
      </c>
      <c r="AI1444" t="n">
        <v>24</v>
      </c>
      <c r="AJ1444" t="n">
        <v>28</v>
      </c>
      <c r="AK1444" t="n">
        <v>42</v>
      </c>
      <c r="AL1444" t="n">
        <v>3</v>
      </c>
      <c r="AM1444" t="n">
        <v>85</v>
      </c>
      <c r="AN1444" t="n">
        <v>0</v>
      </c>
      <c r="AO1444" t="n">
        <v>0</v>
      </c>
      <c r="AP1444" t="n">
        <v>8</v>
      </c>
      <c r="AQ1444" t="n">
        <v>55</v>
      </c>
      <c r="AR1444" t="n">
        <v>130</v>
      </c>
      <c r="AS1444" t="n">
        <v>85</v>
      </c>
      <c r="AT1444" t="n">
        <v>0</v>
      </c>
      <c r="AU1444" t="n">
        <v>1</v>
      </c>
      <c r="AV1444" t="n">
        <v>1</v>
      </c>
      <c r="AW1444" t="n">
        <v>4</v>
      </c>
      <c r="AX1444" t="n">
        <v>1</v>
      </c>
      <c r="AY1444" t="n">
        <v>25</v>
      </c>
      <c r="AZ1444" t="n">
        <v>0</v>
      </c>
      <c r="BA1444" t="n">
        <v>1</v>
      </c>
      <c r="BB1444" t="n">
        <v>25</v>
      </c>
      <c r="BC1444" t="n">
        <v>70</v>
      </c>
      <c r="BD1444" t="n">
        <v>38</v>
      </c>
      <c r="BE1444" t="n">
        <v>5</v>
      </c>
      <c r="BF1444" t="n">
        <v>22</v>
      </c>
      <c r="BG1444" t="n">
        <v>3</v>
      </c>
      <c r="BH1444" t="n">
        <v>8</v>
      </c>
      <c r="BI1444" t="n">
        <v>18</v>
      </c>
      <c r="BJ1444" t="n">
        <v>15</v>
      </c>
      <c r="BK1444" t="n">
        <v>2</v>
      </c>
      <c r="BL1444" t="n">
        <v>1</v>
      </c>
      <c r="BM1444" t="n">
        <v>1</v>
      </c>
      <c r="BN1444" t="n">
        <v>0</v>
      </c>
      <c r="BO1444" t="n">
        <v>2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2</v>
      </c>
      <c r="W1445" t="n">
        <v>0</v>
      </c>
      <c r="X1445" t="n">
        <v>0</v>
      </c>
      <c r="Y1445" t="n">
        <v>218</v>
      </c>
      <c r="Z1445" t="n">
        <v>364</v>
      </c>
      <c r="AA1445" t="n">
        <v>51</v>
      </c>
      <c r="AB1445" t="n">
        <v>2</v>
      </c>
      <c r="AC1445" t="n">
        <v>0</v>
      </c>
      <c r="AD1445" t="n">
        <v>2</v>
      </c>
      <c r="AE1445" t="n">
        <v>12</v>
      </c>
      <c r="AF1445" t="n">
        <v>2</v>
      </c>
      <c r="AG1445" t="n">
        <v>1</v>
      </c>
      <c r="AH1445" t="n">
        <v>33</v>
      </c>
      <c r="AI1445" t="n">
        <v>95</v>
      </c>
      <c r="AJ1445" t="n">
        <v>72</v>
      </c>
      <c r="AK1445" t="n">
        <v>1</v>
      </c>
      <c r="AL1445" t="n">
        <v>8</v>
      </c>
      <c r="AM1445" t="n">
        <v>150</v>
      </c>
      <c r="AN1445" t="n">
        <v>0</v>
      </c>
      <c r="AO1445" t="n">
        <v>0</v>
      </c>
      <c r="AP1445" t="n">
        <v>1</v>
      </c>
      <c r="AQ1445" t="n">
        <v>32</v>
      </c>
      <c r="AR1445" t="n">
        <v>181</v>
      </c>
      <c r="AS1445" t="n">
        <v>150</v>
      </c>
      <c r="AT1445" t="n">
        <v>0</v>
      </c>
      <c r="AU1445" t="n">
        <v>4</v>
      </c>
      <c r="AV1445" t="n">
        <v>1</v>
      </c>
      <c r="AW1445" t="n">
        <v>27</v>
      </c>
      <c r="AX1445" t="n">
        <v>11</v>
      </c>
      <c r="AY1445" t="n">
        <v>52</v>
      </c>
      <c r="AZ1445" t="n">
        <v>1</v>
      </c>
      <c r="BA1445" t="n">
        <v>1</v>
      </c>
      <c r="BB1445" t="n">
        <v>51</v>
      </c>
      <c r="BC1445" t="n">
        <v>126</v>
      </c>
      <c r="BD1445" t="n">
        <v>30</v>
      </c>
      <c r="BE1445" t="n">
        <v>27</v>
      </c>
      <c r="BF1445" t="n">
        <v>63</v>
      </c>
      <c r="BG1445" t="n">
        <v>3</v>
      </c>
      <c r="BH1445" t="n">
        <v>5</v>
      </c>
      <c r="BI1445" t="n">
        <v>35</v>
      </c>
      <c r="BJ1445" t="n">
        <v>32</v>
      </c>
      <c r="BK1445" t="n">
        <v>3</v>
      </c>
      <c r="BL1445" t="n">
        <v>25</v>
      </c>
      <c r="BM1445" t="n">
        <v>17</v>
      </c>
      <c r="BN1445" t="n">
        <v>0</v>
      </c>
      <c r="BO1445" t="n">
        <v>145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2</v>
      </c>
      <c r="U1446" t="n">
        <v>1</v>
      </c>
      <c r="V1446" t="n">
        <v>0</v>
      </c>
      <c r="W1446" t="n">
        <v>0</v>
      </c>
      <c r="X1446" t="n">
        <v>0</v>
      </c>
      <c r="Y1446" t="n">
        <v>305</v>
      </c>
      <c r="Z1446" t="n">
        <v>421</v>
      </c>
      <c r="AA1446" t="n">
        <v>101</v>
      </c>
      <c r="AB1446" t="n">
        <v>0</v>
      </c>
      <c r="AC1446" t="n">
        <v>0</v>
      </c>
      <c r="AD1446" t="n">
        <v>5</v>
      </c>
      <c r="AE1446" t="n">
        <v>8</v>
      </c>
      <c r="AF1446" t="n">
        <v>6</v>
      </c>
      <c r="AG1446" t="n">
        <v>3</v>
      </c>
      <c r="AH1446" t="n">
        <v>127</v>
      </c>
      <c r="AI1446" t="n">
        <v>95</v>
      </c>
      <c r="AJ1446" t="n">
        <v>119</v>
      </c>
      <c r="AK1446" t="n">
        <v>25</v>
      </c>
      <c r="AL1446" t="n">
        <v>4</v>
      </c>
      <c r="AM1446" t="n">
        <v>39</v>
      </c>
      <c r="AN1446" t="n">
        <v>0</v>
      </c>
      <c r="AO1446" t="n">
        <v>0</v>
      </c>
      <c r="AP1446" t="n">
        <v>3</v>
      </c>
      <c r="AQ1446" t="n">
        <v>35</v>
      </c>
      <c r="AR1446" t="n">
        <v>134</v>
      </c>
      <c r="AS1446" t="n">
        <v>104</v>
      </c>
      <c r="AT1446" t="n">
        <v>3</v>
      </c>
      <c r="AU1446" t="n">
        <v>1</v>
      </c>
      <c r="AV1446" t="n">
        <v>15</v>
      </c>
      <c r="AW1446" t="n">
        <v>27</v>
      </c>
      <c r="AX1446" t="n">
        <v>0</v>
      </c>
      <c r="AY1446" t="n">
        <v>14</v>
      </c>
      <c r="AZ1446" t="n">
        <v>0</v>
      </c>
      <c r="BA1446" t="n">
        <v>1</v>
      </c>
      <c r="BB1446" t="n">
        <v>100</v>
      </c>
      <c r="BC1446" t="n">
        <v>34</v>
      </c>
      <c r="BD1446" t="n">
        <v>113</v>
      </c>
      <c r="BE1446" t="n">
        <v>31</v>
      </c>
      <c r="BF1446" t="n">
        <v>111</v>
      </c>
      <c r="BG1446" t="n">
        <v>2</v>
      </c>
      <c r="BH1446" t="n">
        <v>0</v>
      </c>
      <c r="BI1446" t="n">
        <v>9</v>
      </c>
      <c r="BJ1446" t="n">
        <v>13</v>
      </c>
      <c r="BK1446" t="n">
        <v>7</v>
      </c>
      <c r="BL1446" t="n">
        <v>88</v>
      </c>
      <c r="BM1446" t="n">
        <v>72</v>
      </c>
      <c r="BN1446" t="n">
        <v>9</v>
      </c>
      <c r="BO1446" t="n">
        <v>2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233</v>
      </c>
      <c r="Z1447" t="n">
        <v>163</v>
      </c>
      <c r="AA1447" t="n">
        <v>171</v>
      </c>
      <c r="AB1447" t="n">
        <v>1</v>
      </c>
      <c r="AC1447" t="n">
        <v>2</v>
      </c>
      <c r="AD1447" t="n">
        <v>6</v>
      </c>
      <c r="AE1447" t="n">
        <v>3</v>
      </c>
      <c r="AF1447" t="n">
        <v>8</v>
      </c>
      <c r="AG1447" t="n">
        <v>4</v>
      </c>
      <c r="AH1447" t="n">
        <v>30</v>
      </c>
      <c r="AI1447" t="n">
        <v>28</v>
      </c>
      <c r="AJ1447" t="n">
        <v>85</v>
      </c>
      <c r="AK1447" t="n">
        <v>7</v>
      </c>
      <c r="AL1447" t="n">
        <v>2</v>
      </c>
      <c r="AM1447" t="n">
        <v>14</v>
      </c>
      <c r="AN1447" t="n">
        <v>1</v>
      </c>
      <c r="AO1447" t="n">
        <v>0</v>
      </c>
      <c r="AP1447" t="n">
        <v>0</v>
      </c>
      <c r="AQ1447" t="n">
        <v>33</v>
      </c>
      <c r="AR1447" t="n">
        <v>57</v>
      </c>
      <c r="AS1447" t="n">
        <v>31</v>
      </c>
      <c r="AT1447" t="n">
        <v>3</v>
      </c>
      <c r="AU1447" t="n">
        <v>4</v>
      </c>
      <c r="AV1447" t="n">
        <v>2</v>
      </c>
      <c r="AW1447" t="n">
        <v>30</v>
      </c>
      <c r="AX1447" t="n">
        <v>0</v>
      </c>
      <c r="AY1447" t="n">
        <v>67</v>
      </c>
      <c r="AZ1447" t="n">
        <v>4</v>
      </c>
      <c r="BA1447" t="n">
        <v>17</v>
      </c>
      <c r="BB1447" t="n">
        <v>174</v>
      </c>
      <c r="BC1447" t="n">
        <v>77</v>
      </c>
      <c r="BD1447" t="n">
        <v>27</v>
      </c>
      <c r="BE1447" t="n">
        <v>30</v>
      </c>
      <c r="BF1447" t="n">
        <v>71</v>
      </c>
      <c r="BG1447" t="n">
        <v>3</v>
      </c>
      <c r="BH1447" t="n">
        <v>23</v>
      </c>
      <c r="BI1447" t="n">
        <v>16</v>
      </c>
      <c r="BJ1447" t="n">
        <v>22</v>
      </c>
      <c r="BK1447" t="n">
        <v>6</v>
      </c>
      <c r="BL1447" t="n">
        <v>33</v>
      </c>
      <c r="BM1447" t="n">
        <v>33</v>
      </c>
      <c r="BN1447" t="n">
        <v>9</v>
      </c>
      <c r="BO1447" t="n">
        <v>2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2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194</v>
      </c>
      <c r="Z1448" t="n">
        <v>277</v>
      </c>
      <c r="AA1448" t="n">
        <v>88</v>
      </c>
      <c r="AB1448" t="n">
        <v>0</v>
      </c>
      <c r="AC1448" t="n">
        <v>0</v>
      </c>
      <c r="AD1448" t="n">
        <v>6</v>
      </c>
      <c r="AE1448" t="n">
        <v>5</v>
      </c>
      <c r="AF1448" t="n">
        <v>1</v>
      </c>
      <c r="AG1448" t="n">
        <v>8</v>
      </c>
      <c r="AH1448" t="n">
        <v>68</v>
      </c>
      <c r="AI1448" t="n">
        <v>60</v>
      </c>
      <c r="AJ1448" t="n">
        <v>75</v>
      </c>
      <c r="AK1448" t="n">
        <v>39</v>
      </c>
      <c r="AL1448" t="n">
        <v>1</v>
      </c>
      <c r="AM1448" t="n">
        <v>62</v>
      </c>
      <c r="AN1448" t="n">
        <v>0</v>
      </c>
      <c r="AO1448" t="n">
        <v>0</v>
      </c>
      <c r="AP1448" t="n">
        <v>4</v>
      </c>
      <c r="AQ1448" t="n">
        <v>61</v>
      </c>
      <c r="AR1448" t="n">
        <v>179</v>
      </c>
      <c r="AS1448" t="n">
        <v>123</v>
      </c>
      <c r="AT1448" t="n">
        <v>0</v>
      </c>
      <c r="AU1448" t="n">
        <v>1</v>
      </c>
      <c r="AV1448" t="n">
        <v>1</v>
      </c>
      <c r="AW1448" t="n">
        <v>15</v>
      </c>
      <c r="AX1448" t="n">
        <v>6</v>
      </c>
      <c r="AY1448" t="n">
        <v>93</v>
      </c>
      <c r="AZ1448" t="n">
        <v>9</v>
      </c>
      <c r="BA1448" t="n">
        <v>58</v>
      </c>
      <c r="BB1448" t="n">
        <v>145</v>
      </c>
      <c r="BC1448" t="n">
        <v>59</v>
      </c>
      <c r="BD1448" t="n">
        <v>66</v>
      </c>
      <c r="BE1448" t="n">
        <v>31</v>
      </c>
      <c r="BF1448" t="n">
        <v>64</v>
      </c>
      <c r="BG1448" t="n">
        <v>0</v>
      </c>
      <c r="BH1448" t="n">
        <v>4</v>
      </c>
      <c r="BI1448" t="n">
        <v>1</v>
      </c>
      <c r="BJ1448" t="n">
        <v>1</v>
      </c>
      <c r="BK1448" t="n">
        <v>6</v>
      </c>
      <c r="BL1448" t="n">
        <v>81</v>
      </c>
      <c r="BM1448" t="n">
        <v>99</v>
      </c>
      <c r="BN1448" t="n">
        <v>30</v>
      </c>
      <c r="BO1448" t="n">
        <v>35</v>
      </c>
    </row>
    <row r="1449">
      <c r="A1449" t="n">
        <v>0</v>
      </c>
      <c r="B1449" t="n">
        <v>0</v>
      </c>
      <c r="C1449" t="n">
        <v>0</v>
      </c>
      <c r="D1449" t="n">
        <v>2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2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228</v>
      </c>
      <c r="Z1449" t="n">
        <v>170</v>
      </c>
      <c r="AA1449" t="n">
        <v>73</v>
      </c>
      <c r="AB1449" t="n">
        <v>4</v>
      </c>
      <c r="AC1449" t="n">
        <v>1</v>
      </c>
      <c r="AD1449" t="n">
        <v>0</v>
      </c>
      <c r="AE1449" t="n">
        <v>2</v>
      </c>
      <c r="AF1449" t="n">
        <v>6</v>
      </c>
      <c r="AG1449" t="n">
        <v>5</v>
      </c>
      <c r="AH1449" t="n">
        <v>11</v>
      </c>
      <c r="AI1449" t="n">
        <v>13</v>
      </c>
      <c r="AJ1449" t="n">
        <v>28</v>
      </c>
      <c r="AK1449" t="n">
        <v>36</v>
      </c>
      <c r="AL1449" t="n">
        <v>6</v>
      </c>
      <c r="AM1449" t="n">
        <v>96</v>
      </c>
      <c r="AN1449" t="n">
        <v>0</v>
      </c>
      <c r="AO1449" t="n">
        <v>0</v>
      </c>
      <c r="AP1449" t="n">
        <v>3</v>
      </c>
      <c r="AQ1449" t="n">
        <v>16</v>
      </c>
      <c r="AR1449" t="n">
        <v>115</v>
      </c>
      <c r="AS1449" t="n">
        <v>97</v>
      </c>
      <c r="AT1449" t="n">
        <v>2</v>
      </c>
      <c r="AU1449" t="n">
        <v>1</v>
      </c>
      <c r="AV1449" t="n">
        <v>62</v>
      </c>
      <c r="AW1449" t="n">
        <v>13</v>
      </c>
      <c r="AX1449" t="n">
        <v>0</v>
      </c>
      <c r="AY1449" t="n">
        <v>78</v>
      </c>
      <c r="AZ1449" t="n">
        <v>2</v>
      </c>
      <c r="BA1449" t="n">
        <v>10</v>
      </c>
      <c r="BB1449" t="n">
        <v>79</v>
      </c>
      <c r="BC1449" t="n">
        <v>80</v>
      </c>
      <c r="BD1449" t="n">
        <v>9</v>
      </c>
      <c r="BE1449" t="n">
        <v>12</v>
      </c>
      <c r="BF1449" t="n">
        <v>22</v>
      </c>
      <c r="BG1449" t="n">
        <v>5</v>
      </c>
      <c r="BH1449" t="n">
        <v>10</v>
      </c>
      <c r="BI1449" t="n">
        <v>73</v>
      </c>
      <c r="BJ1449" t="n">
        <v>77</v>
      </c>
      <c r="BK1449" t="n">
        <v>5</v>
      </c>
      <c r="BL1449" t="n">
        <v>20</v>
      </c>
      <c r="BM1449" t="n">
        <v>18</v>
      </c>
      <c r="BN1449" t="n">
        <v>4</v>
      </c>
      <c r="BO1449" t="n">
        <v>2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190</v>
      </c>
      <c r="Z1450" t="n">
        <v>147</v>
      </c>
      <c r="AA1450" t="n">
        <v>81</v>
      </c>
      <c r="AB1450" t="n">
        <v>2</v>
      </c>
      <c r="AC1450" t="n">
        <v>0</v>
      </c>
      <c r="AD1450" t="n">
        <v>5</v>
      </c>
      <c r="AE1450" t="n">
        <v>3</v>
      </c>
      <c r="AF1450" t="n">
        <v>8</v>
      </c>
      <c r="AG1450" t="n">
        <v>2</v>
      </c>
      <c r="AH1450" t="n">
        <v>75</v>
      </c>
      <c r="AI1450" t="n">
        <v>24</v>
      </c>
      <c r="AJ1450" t="n">
        <v>77</v>
      </c>
      <c r="AK1450" t="n">
        <v>4</v>
      </c>
      <c r="AL1450" t="n">
        <v>5</v>
      </c>
      <c r="AM1450" t="n">
        <v>47</v>
      </c>
      <c r="AN1450" t="n">
        <v>0</v>
      </c>
      <c r="AO1450" t="n">
        <v>0</v>
      </c>
      <c r="AP1450" t="n">
        <v>5</v>
      </c>
      <c r="AQ1450" t="n">
        <v>27</v>
      </c>
      <c r="AR1450" t="n">
        <v>116</v>
      </c>
      <c r="AS1450" t="n">
        <v>92</v>
      </c>
      <c r="AT1450" t="n">
        <v>0</v>
      </c>
      <c r="AU1450" t="n">
        <v>1</v>
      </c>
      <c r="AV1450" t="n">
        <v>1</v>
      </c>
      <c r="AW1450" t="n">
        <v>19</v>
      </c>
      <c r="AX1450" t="n">
        <v>13</v>
      </c>
      <c r="AY1450" t="n">
        <v>87</v>
      </c>
      <c r="AZ1450" t="n">
        <v>4</v>
      </c>
      <c r="BA1450" t="n">
        <v>12</v>
      </c>
      <c r="BB1450" t="n">
        <v>90</v>
      </c>
      <c r="BC1450" t="n">
        <v>44</v>
      </c>
      <c r="BD1450" t="n">
        <v>67</v>
      </c>
      <c r="BE1450" t="n">
        <v>18</v>
      </c>
      <c r="BF1450" t="n">
        <v>70</v>
      </c>
      <c r="BG1450" t="n">
        <v>3</v>
      </c>
      <c r="BH1450" t="n">
        <v>1</v>
      </c>
      <c r="BI1450" t="n">
        <v>9</v>
      </c>
      <c r="BJ1450" t="n">
        <v>8</v>
      </c>
      <c r="BK1450" t="n">
        <v>0</v>
      </c>
      <c r="BL1450" t="n">
        <v>1</v>
      </c>
      <c r="BM1450" t="n">
        <v>1</v>
      </c>
      <c r="BN1450" t="n">
        <v>0</v>
      </c>
      <c r="BO1450" t="n">
        <v>2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2</v>
      </c>
      <c r="H1451" t="n">
        <v>0</v>
      </c>
      <c r="I1451" t="n">
        <v>0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</v>
      </c>
      <c r="S1451" t="n">
        <v>2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215</v>
      </c>
      <c r="Z1451" t="n">
        <v>262</v>
      </c>
      <c r="AA1451" t="n">
        <v>39</v>
      </c>
      <c r="AB1451" t="n">
        <v>2</v>
      </c>
      <c r="AC1451" t="n">
        <v>2</v>
      </c>
      <c r="AD1451" t="n">
        <v>6</v>
      </c>
      <c r="AE1451" t="n">
        <v>11</v>
      </c>
      <c r="AF1451" t="n">
        <v>7</v>
      </c>
      <c r="AG1451" t="n">
        <v>5</v>
      </c>
      <c r="AH1451" t="n">
        <v>73</v>
      </c>
      <c r="AI1451" t="n">
        <v>104</v>
      </c>
      <c r="AJ1451" t="n">
        <v>72</v>
      </c>
      <c r="AK1451" t="n">
        <v>80</v>
      </c>
      <c r="AL1451" t="n">
        <v>5</v>
      </c>
      <c r="AM1451" t="n">
        <v>43</v>
      </c>
      <c r="AN1451" t="n">
        <v>0</v>
      </c>
      <c r="AO1451" t="n">
        <v>2</v>
      </c>
      <c r="AP1451" t="n">
        <v>3</v>
      </c>
      <c r="AQ1451" t="n">
        <v>10</v>
      </c>
      <c r="AR1451" t="n">
        <v>68</v>
      </c>
      <c r="AS1451" t="n">
        <v>56</v>
      </c>
      <c r="AT1451" t="n">
        <v>3</v>
      </c>
      <c r="AU1451" t="n">
        <v>2</v>
      </c>
      <c r="AV1451" t="n">
        <v>1</v>
      </c>
      <c r="AW1451" t="n">
        <v>46</v>
      </c>
      <c r="AX1451" t="n">
        <v>0</v>
      </c>
      <c r="AY1451" t="n">
        <v>22</v>
      </c>
      <c r="AZ1451" t="n">
        <v>1</v>
      </c>
      <c r="BA1451" t="n">
        <v>5</v>
      </c>
      <c r="BB1451" t="n">
        <v>40</v>
      </c>
      <c r="BC1451" t="n">
        <v>50</v>
      </c>
      <c r="BD1451" t="n">
        <v>70</v>
      </c>
      <c r="BE1451" t="n">
        <v>49</v>
      </c>
      <c r="BF1451" t="n">
        <v>56</v>
      </c>
      <c r="BG1451" t="n">
        <v>1</v>
      </c>
      <c r="BH1451" t="n">
        <v>5</v>
      </c>
      <c r="BI1451" t="n">
        <v>9</v>
      </c>
      <c r="BJ1451" t="n">
        <v>16</v>
      </c>
      <c r="BK1451" t="n">
        <v>3</v>
      </c>
      <c r="BL1451" t="n">
        <v>11</v>
      </c>
      <c r="BM1451" t="n">
        <v>20</v>
      </c>
      <c r="BN1451" t="n">
        <v>9</v>
      </c>
      <c r="BO1451" t="n">
        <v>119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2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167</v>
      </c>
      <c r="Z1452" t="n">
        <v>353</v>
      </c>
      <c r="AA1452" t="n">
        <v>84</v>
      </c>
      <c r="AB1452" t="n">
        <v>1</v>
      </c>
      <c r="AC1452" t="n">
        <v>0</v>
      </c>
      <c r="AD1452" t="n">
        <v>4</v>
      </c>
      <c r="AE1452" t="n">
        <v>10</v>
      </c>
      <c r="AF1452" t="n">
        <v>4</v>
      </c>
      <c r="AG1452" t="n">
        <v>0</v>
      </c>
      <c r="AH1452" t="n">
        <v>53</v>
      </c>
      <c r="AI1452" t="n">
        <v>102</v>
      </c>
      <c r="AJ1452" t="n">
        <v>59</v>
      </c>
      <c r="AK1452" t="n">
        <v>1</v>
      </c>
      <c r="AL1452" t="n">
        <v>2</v>
      </c>
      <c r="AM1452" t="n">
        <v>40</v>
      </c>
      <c r="AN1452" t="n">
        <v>0</v>
      </c>
      <c r="AO1452" t="n">
        <v>0</v>
      </c>
      <c r="AP1452" t="n">
        <v>6</v>
      </c>
      <c r="AQ1452" t="n">
        <v>38</v>
      </c>
      <c r="AR1452" t="n">
        <v>74</v>
      </c>
      <c r="AS1452" t="n">
        <v>42</v>
      </c>
      <c r="AT1452" t="n">
        <v>4</v>
      </c>
      <c r="AU1452" t="n">
        <v>7</v>
      </c>
      <c r="AV1452" t="n">
        <v>21</v>
      </c>
      <c r="AW1452" t="n">
        <v>70</v>
      </c>
      <c r="AX1452" t="n">
        <v>4</v>
      </c>
      <c r="AY1452" t="n">
        <v>7</v>
      </c>
      <c r="AZ1452" t="n">
        <v>0</v>
      </c>
      <c r="BA1452" t="n">
        <v>49</v>
      </c>
      <c r="BB1452" t="n">
        <v>132</v>
      </c>
      <c r="BC1452" t="n">
        <v>33</v>
      </c>
      <c r="BD1452" t="n">
        <v>52</v>
      </c>
      <c r="BE1452" t="n">
        <v>71</v>
      </c>
      <c r="BF1452" t="n">
        <v>52</v>
      </c>
      <c r="BG1452" t="n">
        <v>1</v>
      </c>
      <c r="BH1452" t="n">
        <v>3</v>
      </c>
      <c r="BI1452" t="n">
        <v>1</v>
      </c>
      <c r="BJ1452" t="n">
        <v>7</v>
      </c>
      <c r="BK1452" t="n">
        <v>0</v>
      </c>
      <c r="BL1452" t="n">
        <v>1</v>
      </c>
      <c r="BM1452" t="n">
        <v>1</v>
      </c>
      <c r="BN1452" t="n">
        <v>0</v>
      </c>
      <c r="BO1452" t="n">
        <v>2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2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228</v>
      </c>
      <c r="Z1453" t="n">
        <v>133</v>
      </c>
      <c r="AA1453" t="n">
        <v>35</v>
      </c>
      <c r="AB1453" t="n">
        <v>1</v>
      </c>
      <c r="AC1453" t="n">
        <v>2</v>
      </c>
      <c r="AD1453" t="n">
        <v>6</v>
      </c>
      <c r="AE1453" t="n">
        <v>5</v>
      </c>
      <c r="AF1453" t="n">
        <v>1</v>
      </c>
      <c r="AG1453" t="n">
        <v>0</v>
      </c>
      <c r="AH1453" t="n">
        <v>29</v>
      </c>
      <c r="AI1453" t="n">
        <v>36</v>
      </c>
      <c r="AJ1453" t="n">
        <v>72</v>
      </c>
      <c r="AK1453" t="n">
        <v>1</v>
      </c>
      <c r="AL1453" t="n">
        <v>2</v>
      </c>
      <c r="AM1453" t="n">
        <v>39</v>
      </c>
      <c r="AN1453" t="n">
        <v>0</v>
      </c>
      <c r="AO1453" t="n">
        <v>0</v>
      </c>
      <c r="AP1453" t="n">
        <v>3</v>
      </c>
      <c r="AQ1453" t="n">
        <v>10</v>
      </c>
      <c r="AR1453" t="n">
        <v>82</v>
      </c>
      <c r="AS1453" t="n">
        <v>71</v>
      </c>
      <c r="AT1453" t="n">
        <v>0</v>
      </c>
      <c r="AU1453" t="n">
        <v>0</v>
      </c>
      <c r="AV1453" t="n">
        <v>1</v>
      </c>
      <c r="AW1453" t="n">
        <v>1</v>
      </c>
      <c r="AX1453" t="n">
        <v>0</v>
      </c>
      <c r="AY1453" t="n">
        <v>24</v>
      </c>
      <c r="AZ1453" t="n">
        <v>1</v>
      </c>
      <c r="BA1453" t="n">
        <v>3</v>
      </c>
      <c r="BB1453" t="n">
        <v>35</v>
      </c>
      <c r="BC1453" t="n">
        <v>32</v>
      </c>
      <c r="BD1453" t="n">
        <v>27</v>
      </c>
      <c r="BE1453" t="n">
        <v>1</v>
      </c>
      <c r="BF1453" t="n">
        <v>57</v>
      </c>
      <c r="BG1453" t="n">
        <v>2</v>
      </c>
      <c r="BH1453" t="n">
        <v>1</v>
      </c>
      <c r="BI1453" t="n">
        <v>73</v>
      </c>
      <c r="BJ1453" t="n">
        <v>71</v>
      </c>
      <c r="BK1453" t="n">
        <v>1</v>
      </c>
      <c r="BL1453" t="n">
        <v>5</v>
      </c>
      <c r="BM1453" t="n">
        <v>1</v>
      </c>
      <c r="BN1453" t="n">
        <v>0</v>
      </c>
      <c r="BO1453" t="n">
        <v>72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157</v>
      </c>
      <c r="Z1454" t="n">
        <v>97</v>
      </c>
      <c r="AA1454" t="n">
        <v>122</v>
      </c>
      <c r="AB1454" t="n">
        <v>0</v>
      </c>
      <c r="AC1454" t="n">
        <v>2</v>
      </c>
      <c r="AD1454" t="n">
        <v>5</v>
      </c>
      <c r="AE1454" t="n">
        <v>1</v>
      </c>
      <c r="AF1454" t="n">
        <v>2</v>
      </c>
      <c r="AG1454" t="n">
        <v>4</v>
      </c>
      <c r="AH1454" t="n">
        <v>79</v>
      </c>
      <c r="AI1454" t="n">
        <v>15</v>
      </c>
      <c r="AJ1454" t="n">
        <v>19</v>
      </c>
      <c r="AK1454" t="n">
        <v>41</v>
      </c>
      <c r="AL1454" t="n">
        <v>1</v>
      </c>
      <c r="AM1454" t="n">
        <v>18</v>
      </c>
      <c r="AN1454" t="n">
        <v>0</v>
      </c>
      <c r="AO1454" t="n">
        <v>0</v>
      </c>
      <c r="AP1454" t="n">
        <v>1</v>
      </c>
      <c r="AQ1454" t="n">
        <v>1</v>
      </c>
      <c r="AR1454" t="n">
        <v>67</v>
      </c>
      <c r="AS1454" t="n">
        <v>60</v>
      </c>
      <c r="AT1454" t="n">
        <v>2</v>
      </c>
      <c r="AU1454" t="n">
        <v>0</v>
      </c>
      <c r="AV1454" t="n">
        <v>14</v>
      </c>
      <c r="AW1454" t="n">
        <v>3</v>
      </c>
      <c r="AX1454" t="n">
        <v>2</v>
      </c>
      <c r="AY1454" t="n">
        <v>51</v>
      </c>
      <c r="AZ1454" t="n">
        <v>1</v>
      </c>
      <c r="BA1454" t="n">
        <v>1</v>
      </c>
      <c r="BB1454" t="n">
        <v>118</v>
      </c>
      <c r="BC1454" t="n">
        <v>20</v>
      </c>
      <c r="BD1454" t="n">
        <v>74</v>
      </c>
      <c r="BE1454" t="n">
        <v>1</v>
      </c>
      <c r="BF1454" t="n">
        <v>15</v>
      </c>
      <c r="BG1454" t="n">
        <v>0</v>
      </c>
      <c r="BH1454" t="n">
        <v>5</v>
      </c>
      <c r="BI1454" t="n">
        <v>1</v>
      </c>
      <c r="BJ1454" t="n">
        <v>4</v>
      </c>
      <c r="BK1454" t="n">
        <v>0</v>
      </c>
      <c r="BL1454" t="n">
        <v>1</v>
      </c>
      <c r="BM1454" t="n">
        <v>13</v>
      </c>
      <c r="BN1454" t="n">
        <v>7</v>
      </c>
      <c r="BO1454" t="n">
        <v>11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3</v>
      </c>
      <c r="U1455" t="n">
        <v>0</v>
      </c>
      <c r="V1455" t="n">
        <v>0</v>
      </c>
      <c r="W1455" t="n">
        <v>0</v>
      </c>
      <c r="X1455" t="n">
        <v>0</v>
      </c>
      <c r="Y1455" t="n">
        <v>251</v>
      </c>
      <c r="Z1455" t="n">
        <v>179</v>
      </c>
      <c r="AA1455" t="n">
        <v>121</v>
      </c>
      <c r="AB1455" t="n">
        <v>0</v>
      </c>
      <c r="AC1455" t="n">
        <v>3</v>
      </c>
      <c r="AD1455" t="n">
        <v>5</v>
      </c>
      <c r="AE1455" t="n">
        <v>4</v>
      </c>
      <c r="AF1455" t="n">
        <v>5</v>
      </c>
      <c r="AG1455" t="n">
        <v>4</v>
      </c>
      <c r="AH1455" t="n">
        <v>41</v>
      </c>
      <c r="AI1455" t="n">
        <v>61</v>
      </c>
      <c r="AJ1455" t="n">
        <v>51</v>
      </c>
      <c r="AK1455" t="n">
        <v>60</v>
      </c>
      <c r="AL1455" t="n">
        <v>2</v>
      </c>
      <c r="AM1455" t="n">
        <v>37</v>
      </c>
      <c r="AN1455" t="n">
        <v>0</v>
      </c>
      <c r="AO1455" t="n">
        <v>0</v>
      </c>
      <c r="AP1455" t="n">
        <v>0</v>
      </c>
      <c r="AQ1455" t="n">
        <v>21</v>
      </c>
      <c r="AR1455" t="n">
        <v>31</v>
      </c>
      <c r="AS1455" t="n">
        <v>14</v>
      </c>
      <c r="AT1455" t="n">
        <v>1</v>
      </c>
      <c r="AU1455" t="n">
        <v>2</v>
      </c>
      <c r="AV1455" t="n">
        <v>5</v>
      </c>
      <c r="AW1455" t="n">
        <v>17</v>
      </c>
      <c r="AX1455" t="n">
        <v>0</v>
      </c>
      <c r="AY1455" t="n">
        <v>63</v>
      </c>
      <c r="AZ1455" t="n">
        <v>2</v>
      </c>
      <c r="BA1455" t="n">
        <v>26</v>
      </c>
      <c r="BB1455" t="n">
        <v>139</v>
      </c>
      <c r="BC1455" t="n">
        <v>35</v>
      </c>
      <c r="BD1455" t="n">
        <v>36</v>
      </c>
      <c r="BE1455" t="n">
        <v>24</v>
      </c>
      <c r="BF1455" t="n">
        <v>43</v>
      </c>
      <c r="BG1455" t="n">
        <v>4</v>
      </c>
      <c r="BH1455" t="n">
        <v>19</v>
      </c>
      <c r="BI1455" t="n">
        <v>61</v>
      </c>
      <c r="BJ1455" t="n">
        <v>58</v>
      </c>
      <c r="BK1455" t="n">
        <v>0</v>
      </c>
      <c r="BL1455" t="n">
        <v>1</v>
      </c>
      <c r="BM1455" t="n">
        <v>10</v>
      </c>
      <c r="BN1455" t="n">
        <v>5</v>
      </c>
      <c r="BO1455" t="n">
        <v>2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344</v>
      </c>
      <c r="Z1456" t="n">
        <v>144</v>
      </c>
      <c r="AA1456" t="n">
        <v>69</v>
      </c>
      <c r="AB1456" t="n">
        <v>0</v>
      </c>
      <c r="AC1456" t="n">
        <v>1</v>
      </c>
      <c r="AD1456" t="n">
        <v>4</v>
      </c>
      <c r="AE1456" t="n">
        <v>7</v>
      </c>
      <c r="AF1456" t="n">
        <v>8</v>
      </c>
      <c r="AG1456" t="n">
        <v>6</v>
      </c>
      <c r="AH1456" t="n">
        <v>41</v>
      </c>
      <c r="AI1456" t="n">
        <v>83</v>
      </c>
      <c r="AJ1456" t="n">
        <v>49</v>
      </c>
      <c r="AK1456" t="n">
        <v>86</v>
      </c>
      <c r="AL1456" t="n">
        <v>0</v>
      </c>
      <c r="AM1456" t="n">
        <v>2</v>
      </c>
      <c r="AN1456" t="n">
        <v>0</v>
      </c>
      <c r="AO1456" t="n">
        <v>0</v>
      </c>
      <c r="AP1456" t="n">
        <v>6</v>
      </c>
      <c r="AQ1456" t="n">
        <v>68</v>
      </c>
      <c r="AR1456" t="n">
        <v>171</v>
      </c>
      <c r="AS1456" t="n">
        <v>110</v>
      </c>
      <c r="AT1456" t="n">
        <v>5</v>
      </c>
      <c r="AU1456" t="n">
        <v>3</v>
      </c>
      <c r="AV1456" t="n">
        <v>38</v>
      </c>
      <c r="AW1456" t="n">
        <v>13</v>
      </c>
      <c r="AX1456" t="n">
        <v>0</v>
      </c>
      <c r="AY1456" t="n">
        <v>14</v>
      </c>
      <c r="AZ1456" t="n">
        <v>1</v>
      </c>
      <c r="BA1456" t="n">
        <v>1</v>
      </c>
      <c r="BB1456" t="n">
        <v>67</v>
      </c>
      <c r="BC1456" t="n">
        <v>16</v>
      </c>
      <c r="BD1456" t="n">
        <v>36</v>
      </c>
      <c r="BE1456" t="n">
        <v>20</v>
      </c>
      <c r="BF1456" t="n">
        <v>39</v>
      </c>
      <c r="BG1456" t="n">
        <v>2</v>
      </c>
      <c r="BH1456" t="n">
        <v>16</v>
      </c>
      <c r="BI1456" t="n">
        <v>32</v>
      </c>
      <c r="BJ1456" t="n">
        <v>27</v>
      </c>
      <c r="BK1456" t="n">
        <v>0</v>
      </c>
      <c r="BL1456" t="n">
        <v>1</v>
      </c>
      <c r="BM1456" t="n">
        <v>2</v>
      </c>
      <c r="BN1456" t="n">
        <v>0</v>
      </c>
      <c r="BO1456" t="n">
        <v>18</v>
      </c>
    </row>
    <row r="1457">
      <c r="A1457" t="n">
        <v>0</v>
      </c>
      <c r="B1457" t="n">
        <v>0</v>
      </c>
      <c r="C1457" t="n">
        <v>0</v>
      </c>
      <c r="D1457" t="n">
        <v>2</v>
      </c>
      <c r="E1457" t="n">
        <v>0</v>
      </c>
      <c r="F1457" t="n">
        <v>0</v>
      </c>
      <c r="G1457" t="n">
        <v>0</v>
      </c>
      <c r="H1457" t="n">
        <v>3</v>
      </c>
      <c r="I1457" t="n">
        <v>0</v>
      </c>
      <c r="J1457" t="n">
        <v>0</v>
      </c>
      <c r="K1457" t="n">
        <v>0</v>
      </c>
      <c r="L1457" t="n">
        <v>0</v>
      </c>
      <c r="M1457" t="n">
        <v>4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143</v>
      </c>
      <c r="Z1457" t="n">
        <v>240</v>
      </c>
      <c r="AA1457" t="n">
        <v>4</v>
      </c>
      <c r="AB1457" t="n">
        <v>5</v>
      </c>
      <c r="AC1457" t="n">
        <v>0</v>
      </c>
      <c r="AD1457" t="n">
        <v>1</v>
      </c>
      <c r="AE1457" t="n">
        <v>4</v>
      </c>
      <c r="AF1457" t="n">
        <v>2</v>
      </c>
      <c r="AG1457" t="n">
        <v>0</v>
      </c>
      <c r="AH1457" t="n">
        <v>39</v>
      </c>
      <c r="AI1457" t="n">
        <v>66</v>
      </c>
      <c r="AJ1457" t="n">
        <v>2</v>
      </c>
      <c r="AK1457" t="n">
        <v>1</v>
      </c>
      <c r="AL1457" t="n">
        <v>3</v>
      </c>
      <c r="AM1457" t="n">
        <v>27</v>
      </c>
      <c r="AN1457" t="n">
        <v>0</v>
      </c>
      <c r="AO1457" t="n">
        <v>0</v>
      </c>
      <c r="AP1457" t="n">
        <v>3</v>
      </c>
      <c r="AQ1457" t="n">
        <v>16</v>
      </c>
      <c r="AR1457" t="n">
        <v>108</v>
      </c>
      <c r="AS1457" t="n">
        <v>92</v>
      </c>
      <c r="AT1457" t="n">
        <v>4</v>
      </c>
      <c r="AU1457" t="n">
        <v>2</v>
      </c>
      <c r="AV1457" t="n">
        <v>62</v>
      </c>
      <c r="AW1457" t="n">
        <v>15</v>
      </c>
      <c r="AX1457" t="n">
        <v>3</v>
      </c>
      <c r="AY1457" t="n">
        <v>1</v>
      </c>
      <c r="AZ1457" t="n">
        <v>3</v>
      </c>
      <c r="BA1457" t="n">
        <v>4</v>
      </c>
      <c r="BB1457" t="n">
        <v>8</v>
      </c>
      <c r="BC1457" t="n">
        <v>21</v>
      </c>
      <c r="BD1457" t="n">
        <v>44</v>
      </c>
      <c r="BE1457" t="n">
        <v>15</v>
      </c>
      <c r="BF1457" t="n">
        <v>0</v>
      </c>
      <c r="BG1457" t="n">
        <v>1</v>
      </c>
      <c r="BH1457" t="n">
        <v>1</v>
      </c>
      <c r="BI1457" t="n">
        <v>5</v>
      </c>
      <c r="BJ1457" t="n">
        <v>4</v>
      </c>
      <c r="BK1457" t="n">
        <v>6</v>
      </c>
      <c r="BL1457" t="n">
        <v>41</v>
      </c>
      <c r="BM1457" t="n">
        <v>31</v>
      </c>
      <c r="BN1457" t="n">
        <v>3</v>
      </c>
      <c r="BO1457" t="n">
        <v>4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2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355</v>
      </c>
      <c r="Z1458" t="n">
        <v>186</v>
      </c>
      <c r="AA1458" t="n">
        <v>61</v>
      </c>
      <c r="AB1458" t="n">
        <v>1</v>
      </c>
      <c r="AC1458" t="n">
        <v>3</v>
      </c>
      <c r="AD1458" t="n">
        <v>10</v>
      </c>
      <c r="AE1458" t="n">
        <v>10</v>
      </c>
      <c r="AF1458" t="n">
        <v>5</v>
      </c>
      <c r="AG1458" t="n">
        <v>2</v>
      </c>
      <c r="AH1458" t="n">
        <v>181</v>
      </c>
      <c r="AI1458" t="n">
        <v>48</v>
      </c>
      <c r="AJ1458" t="n">
        <v>77</v>
      </c>
      <c r="AK1458" t="n">
        <v>15</v>
      </c>
      <c r="AL1458" t="n">
        <v>6</v>
      </c>
      <c r="AM1458" t="n">
        <v>79</v>
      </c>
      <c r="AN1458" t="n">
        <v>1</v>
      </c>
      <c r="AO1458" t="n">
        <v>1</v>
      </c>
      <c r="AP1458" t="n">
        <v>5</v>
      </c>
      <c r="AQ1458" t="n">
        <v>9</v>
      </c>
      <c r="AR1458" t="n">
        <v>72</v>
      </c>
      <c r="AS1458" t="n">
        <v>63</v>
      </c>
      <c r="AT1458" t="n">
        <v>0</v>
      </c>
      <c r="AU1458" t="n">
        <v>2</v>
      </c>
      <c r="AV1458" t="n">
        <v>2</v>
      </c>
      <c r="AW1458" t="n">
        <v>3</v>
      </c>
      <c r="AX1458" t="n">
        <v>11</v>
      </c>
      <c r="AY1458" t="n">
        <v>25</v>
      </c>
      <c r="AZ1458" t="n">
        <v>3</v>
      </c>
      <c r="BA1458" t="n">
        <v>1</v>
      </c>
      <c r="BB1458" t="n">
        <v>60</v>
      </c>
      <c r="BC1458" t="n">
        <v>66</v>
      </c>
      <c r="BD1458" t="n">
        <v>165</v>
      </c>
      <c r="BE1458" t="n">
        <v>8</v>
      </c>
      <c r="BF1458" t="n">
        <v>68</v>
      </c>
      <c r="BG1458" t="n">
        <v>3</v>
      </c>
      <c r="BH1458" t="n">
        <v>0</v>
      </c>
      <c r="BI1458" t="n">
        <v>36</v>
      </c>
      <c r="BJ1458" t="n">
        <v>33</v>
      </c>
      <c r="BK1458" t="n">
        <v>2</v>
      </c>
      <c r="BL1458" t="n">
        <v>18</v>
      </c>
      <c r="BM1458" t="n">
        <v>12</v>
      </c>
      <c r="BN1458" t="n">
        <v>0</v>
      </c>
      <c r="BO1458" t="n">
        <v>14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</v>
      </c>
      <c r="J1459" t="n">
        <v>0</v>
      </c>
      <c r="K1459" t="n">
        <v>1</v>
      </c>
      <c r="L1459" t="n">
        <v>0</v>
      </c>
      <c r="M1459" t="n">
        <v>2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218</v>
      </c>
      <c r="Z1459" t="n">
        <v>158</v>
      </c>
      <c r="AA1459" t="n">
        <v>60</v>
      </c>
      <c r="AB1459" t="n">
        <v>4</v>
      </c>
      <c r="AC1459" t="n">
        <v>2</v>
      </c>
      <c r="AD1459" t="n">
        <v>5</v>
      </c>
      <c r="AE1459" t="n">
        <v>6</v>
      </c>
      <c r="AF1459" t="n">
        <v>5</v>
      </c>
      <c r="AG1459" t="n">
        <v>3</v>
      </c>
      <c r="AH1459" t="n">
        <v>53</v>
      </c>
      <c r="AI1459" t="n">
        <v>27</v>
      </c>
      <c r="AJ1459" t="n">
        <v>45</v>
      </c>
      <c r="AK1459" t="n">
        <v>7</v>
      </c>
      <c r="AL1459" t="n">
        <v>2</v>
      </c>
      <c r="AM1459" t="n">
        <v>22</v>
      </c>
      <c r="AN1459" t="n">
        <v>0</v>
      </c>
      <c r="AO1459" t="n">
        <v>0</v>
      </c>
      <c r="AP1459" t="n">
        <v>6</v>
      </c>
      <c r="AQ1459" t="n">
        <v>52</v>
      </c>
      <c r="AR1459" t="n">
        <v>102</v>
      </c>
      <c r="AS1459" t="n">
        <v>60</v>
      </c>
      <c r="AT1459" t="n">
        <v>6</v>
      </c>
      <c r="AU1459" t="n">
        <v>2</v>
      </c>
      <c r="AV1459" t="n">
        <v>42</v>
      </c>
      <c r="AW1459" t="n">
        <v>9</v>
      </c>
      <c r="AX1459" t="n">
        <v>0</v>
      </c>
      <c r="AY1459" t="n">
        <v>27</v>
      </c>
      <c r="AZ1459" t="n">
        <v>0</v>
      </c>
      <c r="BA1459" t="n">
        <v>7</v>
      </c>
      <c r="BB1459" t="n">
        <v>62</v>
      </c>
      <c r="BC1459" t="n">
        <v>22</v>
      </c>
      <c r="BD1459" t="n">
        <v>54</v>
      </c>
      <c r="BE1459" t="n">
        <v>12</v>
      </c>
      <c r="BF1459" t="n">
        <v>42</v>
      </c>
      <c r="BG1459" t="n">
        <v>3</v>
      </c>
      <c r="BH1459" t="n">
        <v>13</v>
      </c>
      <c r="BI1459" t="n">
        <v>10</v>
      </c>
      <c r="BJ1459" t="n">
        <v>9</v>
      </c>
      <c r="BK1459" t="n">
        <v>0</v>
      </c>
      <c r="BL1459" t="n">
        <v>1</v>
      </c>
      <c r="BM1459" t="n">
        <v>57</v>
      </c>
      <c r="BN1459" t="n">
        <v>38</v>
      </c>
      <c r="BO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169</v>
      </c>
      <c r="Z1460" t="n">
        <v>166</v>
      </c>
      <c r="AA1460" t="n">
        <v>57</v>
      </c>
      <c r="AB1460" t="n">
        <v>0</v>
      </c>
      <c r="AC1460" t="n">
        <v>2</v>
      </c>
      <c r="AD1460" t="n">
        <v>2</v>
      </c>
      <c r="AE1460" t="n">
        <v>2</v>
      </c>
      <c r="AF1460" t="n">
        <v>5</v>
      </c>
      <c r="AG1460" t="n">
        <v>5</v>
      </c>
      <c r="AH1460" t="n">
        <v>46</v>
      </c>
      <c r="AI1460" t="n">
        <v>21</v>
      </c>
      <c r="AJ1460" t="n">
        <v>67</v>
      </c>
      <c r="AK1460" t="n">
        <v>28</v>
      </c>
      <c r="AL1460" t="n">
        <v>9</v>
      </c>
      <c r="AM1460" t="n">
        <v>132</v>
      </c>
      <c r="AN1460" t="n">
        <v>0</v>
      </c>
      <c r="AO1460" t="n">
        <v>0</v>
      </c>
      <c r="AP1460" t="n">
        <v>2</v>
      </c>
      <c r="AQ1460" t="n">
        <v>12</v>
      </c>
      <c r="AR1460" t="n">
        <v>169</v>
      </c>
      <c r="AS1460" t="n">
        <v>152</v>
      </c>
      <c r="AT1460" t="n">
        <v>2</v>
      </c>
      <c r="AU1460" t="n">
        <v>3</v>
      </c>
      <c r="AV1460" t="n">
        <v>6</v>
      </c>
      <c r="AW1460" t="n">
        <v>13</v>
      </c>
      <c r="AX1460" t="n">
        <v>2</v>
      </c>
      <c r="AY1460" t="n">
        <v>25</v>
      </c>
      <c r="AZ1460" t="n">
        <v>3</v>
      </c>
      <c r="BA1460" t="n">
        <v>14</v>
      </c>
      <c r="BB1460" t="n">
        <v>68</v>
      </c>
      <c r="BC1460" t="n">
        <v>116</v>
      </c>
      <c r="BD1460" t="n">
        <v>57</v>
      </c>
      <c r="BE1460" t="n">
        <v>12</v>
      </c>
      <c r="BF1460" t="n">
        <v>61</v>
      </c>
      <c r="BG1460" t="n">
        <v>2</v>
      </c>
      <c r="BH1460" t="n">
        <v>10</v>
      </c>
      <c r="BI1460" t="n">
        <v>1</v>
      </c>
      <c r="BJ1460" t="n">
        <v>1</v>
      </c>
      <c r="BK1460" t="n">
        <v>2</v>
      </c>
      <c r="BL1460" t="n">
        <v>7</v>
      </c>
      <c r="BM1460" t="n">
        <v>22</v>
      </c>
      <c r="BN1460" t="n">
        <v>12</v>
      </c>
      <c r="BO1460" t="n">
        <v>2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2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3</v>
      </c>
      <c r="V1461" t="n">
        <v>0</v>
      </c>
      <c r="W1461" t="n">
        <v>1</v>
      </c>
      <c r="X1461" t="n">
        <v>1</v>
      </c>
      <c r="Y1461" t="n">
        <v>221</v>
      </c>
      <c r="Z1461" t="n">
        <v>85</v>
      </c>
      <c r="AA1461" t="n">
        <v>98</v>
      </c>
      <c r="AB1461" t="n">
        <v>0</v>
      </c>
      <c r="AC1461" t="n">
        <v>7</v>
      </c>
      <c r="AD1461" t="n">
        <v>6</v>
      </c>
      <c r="AE1461" t="n">
        <v>4</v>
      </c>
      <c r="AF1461" t="n">
        <v>2</v>
      </c>
      <c r="AG1461" t="n">
        <v>0</v>
      </c>
      <c r="AH1461" t="n">
        <v>66</v>
      </c>
      <c r="AI1461" t="n">
        <v>10</v>
      </c>
      <c r="AJ1461" t="n">
        <v>62</v>
      </c>
      <c r="AK1461" t="n">
        <v>4</v>
      </c>
      <c r="AL1461" t="n">
        <v>1</v>
      </c>
      <c r="AM1461" t="n">
        <v>21</v>
      </c>
      <c r="AN1461" t="n">
        <v>0</v>
      </c>
      <c r="AO1461" t="n">
        <v>0</v>
      </c>
      <c r="AP1461" t="n">
        <v>5</v>
      </c>
      <c r="AQ1461" t="n">
        <v>50</v>
      </c>
      <c r="AR1461" t="n">
        <v>69</v>
      </c>
      <c r="AS1461" t="n">
        <v>27</v>
      </c>
      <c r="AT1461" t="n">
        <v>1</v>
      </c>
      <c r="AU1461" t="n">
        <v>1</v>
      </c>
      <c r="AV1461" t="n">
        <v>22</v>
      </c>
      <c r="AW1461" t="n">
        <v>10</v>
      </c>
      <c r="AX1461" t="n">
        <v>0</v>
      </c>
      <c r="AY1461" t="n">
        <v>-1</v>
      </c>
      <c r="AZ1461" t="n">
        <v>0</v>
      </c>
      <c r="BA1461" t="n">
        <v>1</v>
      </c>
      <c r="BB1461" t="n">
        <v>96</v>
      </c>
      <c r="BC1461" t="n">
        <v>36</v>
      </c>
      <c r="BD1461" t="n">
        <v>60</v>
      </c>
      <c r="BE1461" t="n">
        <v>10</v>
      </c>
      <c r="BF1461" t="n">
        <v>48</v>
      </c>
      <c r="BG1461" t="n">
        <v>0</v>
      </c>
      <c r="BH1461" t="n">
        <v>4</v>
      </c>
      <c r="BI1461" t="n">
        <v>20</v>
      </c>
      <c r="BJ1461" t="n">
        <v>38</v>
      </c>
      <c r="BK1461" t="n">
        <v>2</v>
      </c>
      <c r="BL1461" t="n">
        <v>25</v>
      </c>
      <c r="BM1461" t="n">
        <v>31</v>
      </c>
      <c r="BN1461" t="n">
        <v>11</v>
      </c>
      <c r="BO1461" t="n">
        <v>16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2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205</v>
      </c>
      <c r="Z1462" t="n">
        <v>191</v>
      </c>
      <c r="AA1462" t="n">
        <v>128</v>
      </c>
      <c r="AB1462" t="n">
        <v>0</v>
      </c>
      <c r="AC1462" t="n">
        <v>0</v>
      </c>
      <c r="AD1462" t="n">
        <v>6</v>
      </c>
      <c r="AE1462" t="n">
        <v>11</v>
      </c>
      <c r="AF1462" t="n">
        <v>5</v>
      </c>
      <c r="AG1462" t="n">
        <v>3</v>
      </c>
      <c r="AH1462" t="n">
        <v>60</v>
      </c>
      <c r="AI1462" t="n">
        <v>80</v>
      </c>
      <c r="AJ1462" t="n">
        <v>64</v>
      </c>
      <c r="AK1462" t="n">
        <v>1</v>
      </c>
      <c r="AL1462" t="n">
        <v>3</v>
      </c>
      <c r="AM1462" t="n">
        <v>16</v>
      </c>
      <c r="AN1462" t="n">
        <v>1</v>
      </c>
      <c r="AO1462" t="n">
        <v>0</v>
      </c>
      <c r="AP1462" t="n">
        <v>6</v>
      </c>
      <c r="AQ1462" t="n">
        <v>26</v>
      </c>
      <c r="AR1462" t="n">
        <v>81</v>
      </c>
      <c r="AS1462" t="n">
        <v>58</v>
      </c>
      <c r="AT1462" t="n">
        <v>5</v>
      </c>
      <c r="AU1462" t="n">
        <v>0</v>
      </c>
      <c r="AV1462" t="n">
        <v>34</v>
      </c>
      <c r="AW1462" t="n">
        <v>8</v>
      </c>
      <c r="AX1462" t="n">
        <v>0</v>
      </c>
      <c r="AY1462" t="n">
        <v>32</v>
      </c>
      <c r="AZ1462" t="n">
        <v>1</v>
      </c>
      <c r="BA1462" t="n">
        <v>1</v>
      </c>
      <c r="BB1462" t="n">
        <v>124</v>
      </c>
      <c r="BC1462" t="n">
        <v>12</v>
      </c>
      <c r="BD1462" t="n">
        <v>55</v>
      </c>
      <c r="BE1462" t="n">
        <v>8</v>
      </c>
      <c r="BF1462" t="n">
        <v>50</v>
      </c>
      <c r="BG1462" t="n">
        <v>1</v>
      </c>
      <c r="BH1462" t="n">
        <v>12</v>
      </c>
      <c r="BI1462" t="n">
        <v>8</v>
      </c>
      <c r="BJ1462" t="n">
        <v>30</v>
      </c>
      <c r="BK1462" t="n">
        <v>3</v>
      </c>
      <c r="BL1462" t="n">
        <v>11</v>
      </c>
      <c r="BM1462" t="n">
        <v>17</v>
      </c>
      <c r="BN1462" t="n">
        <v>6</v>
      </c>
      <c r="BO1462" t="n">
        <v>35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2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213</v>
      </c>
      <c r="Z1463" t="n">
        <v>125</v>
      </c>
      <c r="AA1463" t="n">
        <v>94</v>
      </c>
      <c r="AB1463" t="n">
        <v>2</v>
      </c>
      <c r="AC1463" t="n">
        <v>0</v>
      </c>
      <c r="AD1463" t="n">
        <v>5</v>
      </c>
      <c r="AE1463" t="n">
        <v>4</v>
      </c>
      <c r="AF1463" t="n">
        <v>7</v>
      </c>
      <c r="AG1463" t="n">
        <v>2</v>
      </c>
      <c r="AH1463" t="n">
        <v>26</v>
      </c>
      <c r="AI1463" t="n">
        <v>32</v>
      </c>
      <c r="AJ1463" t="n">
        <v>33</v>
      </c>
      <c r="AK1463" t="n">
        <v>13</v>
      </c>
      <c r="AL1463" t="n">
        <v>5</v>
      </c>
      <c r="AM1463" t="n">
        <v>59</v>
      </c>
      <c r="AN1463" t="n">
        <v>0</v>
      </c>
      <c r="AO1463" t="n">
        <v>0</v>
      </c>
      <c r="AP1463" t="n">
        <v>6</v>
      </c>
      <c r="AQ1463" t="n">
        <v>21</v>
      </c>
      <c r="AR1463" t="n">
        <v>51</v>
      </c>
      <c r="AS1463" t="n">
        <v>34</v>
      </c>
      <c r="AT1463" t="n">
        <v>0</v>
      </c>
      <c r="AU1463" t="n">
        <v>1</v>
      </c>
      <c r="AV1463" t="n">
        <v>44</v>
      </c>
      <c r="AW1463" t="n">
        <v>1</v>
      </c>
      <c r="AX1463" t="n">
        <v>0</v>
      </c>
      <c r="AY1463" t="n">
        <v>86</v>
      </c>
      <c r="AZ1463" t="n">
        <v>1</v>
      </c>
      <c r="BA1463" t="n">
        <v>18</v>
      </c>
      <c r="BB1463" t="n">
        <v>108</v>
      </c>
      <c r="BC1463" t="n">
        <v>52</v>
      </c>
      <c r="BD1463" t="n">
        <v>32</v>
      </c>
      <c r="BE1463" t="n">
        <v>3</v>
      </c>
      <c r="BF1463" t="n">
        <v>33</v>
      </c>
      <c r="BG1463" t="n">
        <v>1</v>
      </c>
      <c r="BH1463" t="n">
        <v>11</v>
      </c>
      <c r="BI1463" t="n">
        <v>14</v>
      </c>
      <c r="BJ1463" t="n">
        <v>22</v>
      </c>
      <c r="BK1463" t="n">
        <v>0</v>
      </c>
      <c r="BL1463" t="n">
        <v>1</v>
      </c>
      <c r="BM1463" t="n">
        <v>28</v>
      </c>
      <c r="BN1463" t="n">
        <v>16</v>
      </c>
      <c r="BO1463" t="n">
        <v>2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178</v>
      </c>
      <c r="Z1464" t="n">
        <v>220</v>
      </c>
      <c r="AA1464" t="n">
        <v>31</v>
      </c>
      <c r="AB1464" t="n">
        <v>1</v>
      </c>
      <c r="AC1464" t="n">
        <v>1</v>
      </c>
      <c r="AD1464" t="n">
        <v>7</v>
      </c>
      <c r="AE1464" t="n">
        <v>4</v>
      </c>
      <c r="AF1464" t="n">
        <v>4</v>
      </c>
      <c r="AG1464" t="n">
        <v>3</v>
      </c>
      <c r="AH1464" t="n">
        <v>107</v>
      </c>
      <c r="AI1464" t="n">
        <v>59</v>
      </c>
      <c r="AJ1464" t="n">
        <v>47</v>
      </c>
      <c r="AK1464" t="n">
        <v>-8</v>
      </c>
      <c r="AL1464" t="n">
        <v>2</v>
      </c>
      <c r="AM1464" t="n">
        <v>50</v>
      </c>
      <c r="AN1464" t="n">
        <v>0</v>
      </c>
      <c r="AO1464" t="n">
        <v>0</v>
      </c>
      <c r="AP1464" t="n">
        <v>0</v>
      </c>
      <c r="AQ1464" t="n">
        <v>9</v>
      </c>
      <c r="AR1464" t="n">
        <v>281</v>
      </c>
      <c r="AS1464" t="n">
        <v>255</v>
      </c>
      <c r="AT1464" t="n">
        <v>0</v>
      </c>
      <c r="AU1464" t="n">
        <v>0</v>
      </c>
      <c r="AV1464" t="n">
        <v>1</v>
      </c>
      <c r="AW1464" t="n">
        <v>30</v>
      </c>
      <c r="AX1464" t="n">
        <v>11</v>
      </c>
      <c r="AY1464" t="n">
        <v>48</v>
      </c>
      <c r="AZ1464" t="n">
        <v>3</v>
      </c>
      <c r="BA1464" t="n">
        <v>14</v>
      </c>
      <c r="BB1464" t="n">
        <v>42</v>
      </c>
      <c r="BC1464" t="n">
        <v>39</v>
      </c>
      <c r="BD1464" t="n">
        <v>96</v>
      </c>
      <c r="BE1464" t="n">
        <v>29</v>
      </c>
      <c r="BF1464" t="n">
        <v>37</v>
      </c>
      <c r="BG1464" t="n">
        <v>1</v>
      </c>
      <c r="BH1464" t="n">
        <v>6</v>
      </c>
      <c r="BI1464" t="n">
        <v>9</v>
      </c>
      <c r="BJ1464" t="n">
        <v>12</v>
      </c>
      <c r="BK1464" t="n">
        <v>3</v>
      </c>
      <c r="BL1464" t="n">
        <v>33</v>
      </c>
      <c r="BM1464" t="n">
        <v>43</v>
      </c>
      <c r="BN1464" t="n">
        <v>15</v>
      </c>
      <c r="BO1464" t="n">
        <v>2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2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n">
        <v>0</v>
      </c>
      <c r="T1465" t="n">
        <v>2</v>
      </c>
      <c r="U1465" t="n">
        <v>0</v>
      </c>
      <c r="V1465" t="n">
        <v>0</v>
      </c>
      <c r="W1465" t="n">
        <v>0</v>
      </c>
      <c r="X1465" t="n">
        <v>0</v>
      </c>
      <c r="Y1465" t="n">
        <v>170</v>
      </c>
      <c r="Z1465" t="n">
        <v>117</v>
      </c>
      <c r="AA1465" t="n">
        <v>85</v>
      </c>
      <c r="AB1465" t="n">
        <v>0</v>
      </c>
      <c r="AC1465" t="n">
        <v>2</v>
      </c>
      <c r="AD1465" t="n">
        <v>5</v>
      </c>
      <c r="AE1465" t="n">
        <v>2</v>
      </c>
      <c r="AF1465" t="n">
        <v>3</v>
      </c>
      <c r="AG1465" t="n">
        <v>7</v>
      </c>
      <c r="AH1465" t="n">
        <v>29</v>
      </c>
      <c r="AI1465" t="n">
        <v>25</v>
      </c>
      <c r="AJ1465" t="n">
        <v>20</v>
      </c>
      <c r="AK1465" t="n">
        <v>56</v>
      </c>
      <c r="AL1465" t="n">
        <v>1</v>
      </c>
      <c r="AM1465" t="n">
        <v>33</v>
      </c>
      <c r="AN1465" t="n">
        <v>0</v>
      </c>
      <c r="AO1465" t="n">
        <v>0</v>
      </c>
      <c r="AP1465" t="n">
        <v>4</v>
      </c>
      <c r="AQ1465" t="n">
        <v>16</v>
      </c>
      <c r="AR1465" t="n">
        <v>125</v>
      </c>
      <c r="AS1465" t="n">
        <v>108</v>
      </c>
      <c r="AT1465" t="n">
        <v>3</v>
      </c>
      <c r="AU1465" t="n">
        <v>1</v>
      </c>
      <c r="AV1465" t="n">
        <v>22</v>
      </c>
      <c r="AW1465" t="n">
        <v>4</v>
      </c>
      <c r="AX1465" t="n">
        <v>4</v>
      </c>
      <c r="AY1465" t="n">
        <v>38</v>
      </c>
      <c r="AZ1465" t="n">
        <v>2</v>
      </c>
      <c r="BA1465" t="n">
        <v>33</v>
      </c>
      <c r="BB1465" t="n">
        <v>113</v>
      </c>
      <c r="BC1465" t="n">
        <v>27</v>
      </c>
      <c r="BD1465" t="n">
        <v>27</v>
      </c>
      <c r="BE1465" t="n">
        <v>3</v>
      </c>
      <c r="BF1465" t="n">
        <v>18</v>
      </c>
      <c r="BG1465" t="n">
        <v>2</v>
      </c>
      <c r="BH1465" t="n">
        <v>11</v>
      </c>
      <c r="BI1465" t="n">
        <v>17</v>
      </c>
      <c r="BJ1465" t="n">
        <v>20</v>
      </c>
      <c r="BK1465" t="n">
        <v>1</v>
      </c>
      <c r="BL1465" t="n">
        <v>10</v>
      </c>
      <c r="BM1465" t="n">
        <v>9</v>
      </c>
      <c r="BN1465" t="n">
        <v>2</v>
      </c>
      <c r="BO1465" t="n">
        <v>4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2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2</v>
      </c>
      <c r="T1466" t="n">
        <v>2</v>
      </c>
      <c r="U1466" t="n">
        <v>0</v>
      </c>
      <c r="V1466" t="n">
        <v>0</v>
      </c>
      <c r="W1466" t="n">
        <v>0</v>
      </c>
      <c r="X1466" t="n">
        <v>0</v>
      </c>
      <c r="Y1466" t="n">
        <v>209</v>
      </c>
      <c r="Z1466" t="n">
        <v>202</v>
      </c>
      <c r="AA1466" t="n">
        <v>114</v>
      </c>
      <c r="AB1466" t="n">
        <v>1</v>
      </c>
      <c r="AC1466" t="n">
        <v>2</v>
      </c>
      <c r="AD1466" t="n">
        <v>4</v>
      </c>
      <c r="AE1466" t="n">
        <v>7</v>
      </c>
      <c r="AF1466" t="n">
        <v>2</v>
      </c>
      <c r="AG1466" t="n">
        <v>7</v>
      </c>
      <c r="AH1466" t="n">
        <v>47</v>
      </c>
      <c r="AI1466" t="n">
        <v>36</v>
      </c>
      <c r="AJ1466" t="n">
        <v>14</v>
      </c>
      <c r="AK1466" t="n">
        <v>122</v>
      </c>
      <c r="AL1466" t="n">
        <v>4</v>
      </c>
      <c r="AM1466" t="n">
        <v>24</v>
      </c>
      <c r="AN1466" t="n">
        <v>0</v>
      </c>
      <c r="AO1466" t="n">
        <v>0</v>
      </c>
      <c r="AP1466" t="n">
        <v>5</v>
      </c>
      <c r="AQ1466" t="n">
        <v>30</v>
      </c>
      <c r="AR1466" t="n">
        <v>87</v>
      </c>
      <c r="AS1466" t="n">
        <v>61</v>
      </c>
      <c r="AT1466" t="n">
        <v>2</v>
      </c>
      <c r="AU1466" t="n">
        <v>4</v>
      </c>
      <c r="AV1466" t="n">
        <v>1</v>
      </c>
      <c r="AW1466" t="n">
        <v>40</v>
      </c>
      <c r="AX1466" t="n">
        <v>0</v>
      </c>
      <c r="AY1466" t="n">
        <v>76</v>
      </c>
      <c r="AZ1466" t="n">
        <v>5</v>
      </c>
      <c r="BA1466" t="n">
        <v>31</v>
      </c>
      <c r="BB1466" t="n">
        <v>139</v>
      </c>
      <c r="BC1466" t="n">
        <v>19</v>
      </c>
      <c r="BD1466" t="n">
        <v>42</v>
      </c>
      <c r="BE1466" t="n">
        <v>39</v>
      </c>
      <c r="BF1466" t="n">
        <v>12</v>
      </c>
      <c r="BG1466" t="n">
        <v>3</v>
      </c>
      <c r="BH1466" t="n">
        <v>9</v>
      </c>
      <c r="BI1466" t="n">
        <v>20</v>
      </c>
      <c r="BJ1466" t="n">
        <v>22</v>
      </c>
      <c r="BK1466" t="n">
        <v>5</v>
      </c>
      <c r="BL1466" t="n">
        <v>20</v>
      </c>
      <c r="BM1466" t="n">
        <v>13</v>
      </c>
      <c r="BN1466" t="n">
        <v>0</v>
      </c>
      <c r="BO1466" t="n">
        <v>70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2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293</v>
      </c>
      <c r="Z1467" t="n">
        <v>213</v>
      </c>
      <c r="AA1467" t="n">
        <v>124</v>
      </c>
      <c r="AB1467" t="n">
        <v>0</v>
      </c>
      <c r="AC1467" t="n">
        <v>0</v>
      </c>
      <c r="AD1467" t="n">
        <v>1</v>
      </c>
      <c r="AE1467" t="n">
        <v>4</v>
      </c>
      <c r="AF1467" t="n">
        <v>2</v>
      </c>
      <c r="AG1467" t="n">
        <v>5</v>
      </c>
      <c r="AH1467" t="n">
        <v>76</v>
      </c>
      <c r="AI1467" t="n">
        <v>53</v>
      </c>
      <c r="AJ1467" t="n">
        <v>83</v>
      </c>
      <c r="AK1467" t="n">
        <v>48</v>
      </c>
      <c r="AL1467" t="n">
        <v>5</v>
      </c>
      <c r="AM1467" t="n">
        <v>57</v>
      </c>
      <c r="AN1467" t="n">
        <v>0</v>
      </c>
      <c r="AO1467" t="n">
        <v>0</v>
      </c>
      <c r="AP1467" t="n">
        <v>6</v>
      </c>
      <c r="AQ1467" t="n">
        <v>23</v>
      </c>
      <c r="AR1467" t="n">
        <v>113</v>
      </c>
      <c r="AS1467" t="n">
        <v>93</v>
      </c>
      <c r="AT1467" t="n">
        <v>2</v>
      </c>
      <c r="AU1467" t="n">
        <v>0</v>
      </c>
      <c r="AV1467" t="n">
        <v>27</v>
      </c>
      <c r="AW1467" t="n">
        <v>20</v>
      </c>
      <c r="AX1467" t="n">
        <v>7</v>
      </c>
      <c r="AY1467" t="n">
        <v>10</v>
      </c>
      <c r="AZ1467" t="n">
        <v>0</v>
      </c>
      <c r="BA1467" t="n">
        <v>1</v>
      </c>
      <c r="BB1467" t="n">
        <v>118</v>
      </c>
      <c r="BC1467" t="n">
        <v>53</v>
      </c>
      <c r="BD1467" t="n">
        <v>76</v>
      </c>
      <c r="BE1467" t="n">
        <v>20</v>
      </c>
      <c r="BF1467" t="n">
        <v>64</v>
      </c>
      <c r="BG1467" t="n">
        <v>4</v>
      </c>
      <c r="BH1467" t="n">
        <v>3</v>
      </c>
      <c r="BI1467" t="n">
        <v>62</v>
      </c>
      <c r="BJ1467" t="n">
        <v>57</v>
      </c>
      <c r="BK1467" t="n">
        <v>7</v>
      </c>
      <c r="BL1467" t="n">
        <v>60</v>
      </c>
      <c r="BM1467" t="n">
        <v>62</v>
      </c>
      <c r="BN1467" t="n">
        <v>15</v>
      </c>
      <c r="BO1467" t="n">
        <v>2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100</v>
      </c>
      <c r="Z1468" t="n">
        <v>131</v>
      </c>
      <c r="AA1468" t="n">
        <v>52</v>
      </c>
      <c r="AB1468" t="n">
        <v>1</v>
      </c>
      <c r="AC1468" t="n">
        <v>0</v>
      </c>
      <c r="AD1468" t="n">
        <v>1</v>
      </c>
      <c r="AE1468" t="n">
        <v>2</v>
      </c>
      <c r="AF1468" t="n">
        <v>1</v>
      </c>
      <c r="AG1468" t="n">
        <v>3</v>
      </c>
      <c r="AH1468" t="n">
        <v>6</v>
      </c>
      <c r="AI1468" t="n">
        <v>2</v>
      </c>
      <c r="AJ1468" t="n">
        <v>24</v>
      </c>
      <c r="AK1468" t="n">
        <v>0</v>
      </c>
      <c r="AL1468" t="n">
        <v>4</v>
      </c>
      <c r="AM1468" t="n">
        <v>64</v>
      </c>
      <c r="AN1468" t="n">
        <v>0</v>
      </c>
      <c r="AO1468" t="n">
        <v>0</v>
      </c>
      <c r="AP1468" t="n">
        <v>1</v>
      </c>
      <c r="AQ1468" t="n">
        <v>9</v>
      </c>
      <c r="AR1468" t="n">
        <v>150</v>
      </c>
      <c r="AS1468" t="n">
        <v>136</v>
      </c>
      <c r="AT1468" t="n">
        <v>1</v>
      </c>
      <c r="AU1468" t="n">
        <v>1</v>
      </c>
      <c r="AV1468" t="n">
        <v>2</v>
      </c>
      <c r="AW1468" t="n">
        <v>9</v>
      </c>
      <c r="AX1468" t="n">
        <v>20</v>
      </c>
      <c r="AY1468" t="n">
        <v>41</v>
      </c>
      <c r="AZ1468" t="n">
        <v>6</v>
      </c>
      <c r="BA1468" t="n">
        <v>37</v>
      </c>
      <c r="BB1468" t="n">
        <v>89</v>
      </c>
      <c r="BC1468" t="n">
        <v>54</v>
      </c>
      <c r="BD1468" t="n">
        <v>8</v>
      </c>
      <c r="BE1468" t="n">
        <v>8</v>
      </c>
      <c r="BF1468" t="n">
        <v>30</v>
      </c>
      <c r="BG1468" t="n">
        <v>0</v>
      </c>
      <c r="BH1468" t="n">
        <v>3</v>
      </c>
      <c r="BI1468" t="n">
        <v>1</v>
      </c>
      <c r="BJ1468" t="n">
        <v>4</v>
      </c>
      <c r="BK1468" t="n">
        <v>0</v>
      </c>
      <c r="BL1468" t="n">
        <v>16</v>
      </c>
      <c r="BM1468" t="n">
        <v>13</v>
      </c>
      <c r="BN1468" t="n">
        <v>2</v>
      </c>
      <c r="BO1468" t="n">
        <v>2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3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2</v>
      </c>
      <c r="V1469" t="n">
        <v>0</v>
      </c>
      <c r="W1469" t="n">
        <v>0</v>
      </c>
      <c r="X1469" t="n">
        <v>0</v>
      </c>
      <c r="Y1469" t="n">
        <v>102</v>
      </c>
      <c r="Z1469" t="n">
        <v>149</v>
      </c>
      <c r="AA1469" t="n">
        <v>7</v>
      </c>
      <c r="AB1469" t="n">
        <v>1</v>
      </c>
      <c r="AC1469" t="n">
        <v>1</v>
      </c>
      <c r="AD1469" t="n">
        <v>3</v>
      </c>
      <c r="AE1469" t="n">
        <v>1</v>
      </c>
      <c r="AF1469" t="n">
        <v>2</v>
      </c>
      <c r="AG1469" t="n">
        <v>0</v>
      </c>
      <c r="AH1469" t="n">
        <v>28</v>
      </c>
      <c r="AI1469" t="n">
        <v>14</v>
      </c>
      <c r="AJ1469" t="n">
        <v>30</v>
      </c>
      <c r="AK1469" t="n">
        <v>7</v>
      </c>
      <c r="AL1469" t="n">
        <v>1</v>
      </c>
      <c r="AM1469" t="n">
        <v>10</v>
      </c>
      <c r="AN1469" t="n">
        <v>0</v>
      </c>
      <c r="AO1469" t="n">
        <v>0</v>
      </c>
      <c r="AP1469" t="n">
        <v>3</v>
      </c>
      <c r="AQ1469" t="n">
        <v>19</v>
      </c>
      <c r="AR1469" t="n">
        <v>135</v>
      </c>
      <c r="AS1469" t="n">
        <v>115</v>
      </c>
      <c r="AT1469" t="n">
        <v>0</v>
      </c>
      <c r="AU1469" t="n">
        <v>0</v>
      </c>
      <c r="AV1469" t="n">
        <v>2</v>
      </c>
      <c r="AW1469" t="n">
        <v>1</v>
      </c>
      <c r="AX1469" t="n">
        <v>2</v>
      </c>
      <c r="AY1469" t="n">
        <v>42</v>
      </c>
      <c r="AZ1469" t="n">
        <v>6</v>
      </c>
      <c r="BA1469" t="n">
        <v>21</v>
      </c>
      <c r="BB1469" t="n">
        <v>29</v>
      </c>
      <c r="BC1469" t="n">
        <v>5</v>
      </c>
      <c r="BD1469" t="n">
        <v>25</v>
      </c>
      <c r="BE1469" t="n">
        <v>13</v>
      </c>
      <c r="BF1469" t="n">
        <v>24</v>
      </c>
      <c r="BG1469" t="n">
        <v>0</v>
      </c>
      <c r="BH1469" t="n">
        <v>2</v>
      </c>
      <c r="BI1469" t="n">
        <v>10</v>
      </c>
      <c r="BJ1469" t="n">
        <v>9</v>
      </c>
      <c r="BK1469" t="n">
        <v>4</v>
      </c>
      <c r="BL1469" t="n">
        <v>70</v>
      </c>
      <c r="BM1469" t="n">
        <v>61</v>
      </c>
      <c r="BN1469" t="n">
        <v>11</v>
      </c>
      <c r="BO1469" t="n">
        <v>2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185</v>
      </c>
      <c r="Z1470" t="n">
        <v>351</v>
      </c>
      <c r="AA1470" t="n">
        <v>44</v>
      </c>
      <c r="AB1470" t="n">
        <v>0</v>
      </c>
      <c r="AC1470" t="n">
        <v>2</v>
      </c>
      <c r="AD1470" t="n">
        <v>5</v>
      </c>
      <c r="AE1470" t="n">
        <v>6</v>
      </c>
      <c r="AF1470" t="n">
        <v>4</v>
      </c>
      <c r="AG1470" t="n">
        <v>2</v>
      </c>
      <c r="AH1470" t="n">
        <v>63</v>
      </c>
      <c r="AI1470" t="n">
        <v>120</v>
      </c>
      <c r="AJ1470" t="n">
        <v>59</v>
      </c>
      <c r="AK1470" t="n">
        <v>1</v>
      </c>
      <c r="AL1470" t="n">
        <v>4</v>
      </c>
      <c r="AM1470" t="n">
        <v>14</v>
      </c>
      <c r="AN1470" t="n">
        <v>0</v>
      </c>
      <c r="AO1470" t="n">
        <v>0</v>
      </c>
      <c r="AP1470" t="n">
        <v>6</v>
      </c>
      <c r="AQ1470" t="n">
        <v>24</v>
      </c>
      <c r="AR1470" t="n">
        <v>50</v>
      </c>
      <c r="AS1470" t="n">
        <v>29</v>
      </c>
      <c r="AT1470" t="n">
        <v>1</v>
      </c>
      <c r="AU1470" t="n">
        <v>4</v>
      </c>
      <c r="AV1470" t="n">
        <v>18</v>
      </c>
      <c r="AW1470" t="n">
        <v>78</v>
      </c>
      <c r="AX1470" t="n">
        <v>6</v>
      </c>
      <c r="AY1470" t="n">
        <v>28</v>
      </c>
      <c r="AZ1470" t="n">
        <v>1</v>
      </c>
      <c r="BA1470" t="n">
        <v>1</v>
      </c>
      <c r="BB1470" t="n">
        <v>44</v>
      </c>
      <c r="BC1470" t="n">
        <v>12</v>
      </c>
      <c r="BD1470" t="n">
        <v>70</v>
      </c>
      <c r="BE1470" t="n">
        <v>82</v>
      </c>
      <c r="BF1470" t="n">
        <v>64</v>
      </c>
      <c r="BG1470" t="n">
        <v>2</v>
      </c>
      <c r="BH1470" t="n">
        <v>0</v>
      </c>
      <c r="BI1470" t="n">
        <v>24</v>
      </c>
      <c r="BJ1470" t="n">
        <v>22</v>
      </c>
      <c r="BK1470" t="n">
        <v>2</v>
      </c>
      <c r="BL1470" t="n">
        <v>11</v>
      </c>
      <c r="BM1470" t="n">
        <v>9</v>
      </c>
      <c r="BN1470" t="n">
        <v>0</v>
      </c>
      <c r="BO1470" t="n">
        <v>14</v>
      </c>
    </row>
    <row r="1471">
      <c r="A1471" t="n">
        <v>0</v>
      </c>
      <c r="B1471" t="n">
        <v>0</v>
      </c>
      <c r="C1471" t="n">
        <v>0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236</v>
      </c>
      <c r="Z1471" t="n">
        <v>198</v>
      </c>
      <c r="AA1471" t="n">
        <v>86</v>
      </c>
      <c r="AB1471" t="n">
        <v>1</v>
      </c>
      <c r="AC1471" t="n">
        <v>1</v>
      </c>
      <c r="AD1471" t="n">
        <v>0</v>
      </c>
      <c r="AE1471" t="n">
        <v>0</v>
      </c>
      <c r="AF1471" t="n">
        <v>4</v>
      </c>
      <c r="AG1471" t="n">
        <v>0</v>
      </c>
      <c r="AH1471" t="n">
        <v>41</v>
      </c>
      <c r="AI1471" t="n">
        <v>7</v>
      </c>
      <c r="AJ1471" t="n">
        <v>32</v>
      </c>
      <c r="AK1471" t="n">
        <v>15</v>
      </c>
      <c r="AL1471" t="n">
        <v>2</v>
      </c>
      <c r="AM1471" t="n">
        <v>73</v>
      </c>
      <c r="AN1471" t="n">
        <v>0</v>
      </c>
      <c r="AO1471" t="n">
        <v>0</v>
      </c>
      <c r="AP1471" t="n">
        <v>7</v>
      </c>
      <c r="AQ1471" t="n">
        <v>48</v>
      </c>
      <c r="AR1471" t="n">
        <v>122</v>
      </c>
      <c r="AS1471" t="n">
        <v>82</v>
      </c>
      <c r="AT1471" t="n">
        <v>9</v>
      </c>
      <c r="AU1471" t="n">
        <v>3</v>
      </c>
      <c r="AV1471" t="n">
        <v>145</v>
      </c>
      <c r="AW1471" t="n">
        <v>38</v>
      </c>
      <c r="AX1471" t="n">
        <v>1</v>
      </c>
      <c r="AY1471" t="n">
        <v>64</v>
      </c>
      <c r="AZ1471" t="n">
        <v>1</v>
      </c>
      <c r="BA1471" t="n">
        <v>15</v>
      </c>
      <c r="BB1471" t="n">
        <v>95</v>
      </c>
      <c r="BC1471" t="n">
        <v>67</v>
      </c>
      <c r="BD1471" t="n">
        <v>39</v>
      </c>
      <c r="BE1471" t="n">
        <v>37</v>
      </c>
      <c r="BF1471" t="n">
        <v>37</v>
      </c>
      <c r="BG1471" t="n">
        <v>1</v>
      </c>
      <c r="BH1471" t="n">
        <v>0</v>
      </c>
      <c r="BI1471" t="n">
        <v>1</v>
      </c>
      <c r="BJ1471" t="n">
        <v>5</v>
      </c>
      <c r="BK1471" t="n">
        <v>0</v>
      </c>
      <c r="BL1471" t="n">
        <v>1</v>
      </c>
      <c r="BM1471" t="n">
        <v>13</v>
      </c>
      <c r="BN1471" t="n">
        <v>7</v>
      </c>
      <c r="BO1471" t="n">
        <v>7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2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234</v>
      </c>
      <c r="Z1472" t="n">
        <v>237</v>
      </c>
      <c r="AA1472" t="n">
        <v>22</v>
      </c>
      <c r="AB1472" t="n">
        <v>0</v>
      </c>
      <c r="AC1472" t="n">
        <v>0</v>
      </c>
      <c r="AD1472" t="n">
        <v>3</v>
      </c>
      <c r="AE1472" t="n">
        <v>6</v>
      </c>
      <c r="AF1472" t="n">
        <v>3</v>
      </c>
      <c r="AG1472" t="n">
        <v>4</v>
      </c>
      <c r="AH1472" t="n">
        <v>94</v>
      </c>
      <c r="AI1472" t="n">
        <v>67</v>
      </c>
      <c r="AJ1472" t="n">
        <v>15</v>
      </c>
      <c r="AK1472" t="n">
        <v>104</v>
      </c>
      <c r="AL1472" t="n">
        <v>3</v>
      </c>
      <c r="AM1472" t="n">
        <v>27</v>
      </c>
      <c r="AN1472" t="n">
        <v>0</v>
      </c>
      <c r="AO1472" t="n">
        <v>0</v>
      </c>
      <c r="AP1472" t="n">
        <v>3</v>
      </c>
      <c r="AQ1472" t="n">
        <v>12</v>
      </c>
      <c r="AR1472" t="n">
        <v>60</v>
      </c>
      <c r="AS1472" t="n">
        <v>49</v>
      </c>
      <c r="AT1472" t="n">
        <v>0</v>
      </c>
      <c r="AU1472" t="n">
        <v>2</v>
      </c>
      <c r="AV1472" t="n">
        <v>1</v>
      </c>
      <c r="AW1472" t="n">
        <v>13</v>
      </c>
      <c r="AX1472" t="n">
        <v>0</v>
      </c>
      <c r="AY1472" t="n">
        <v>10</v>
      </c>
      <c r="AZ1472" t="n">
        <v>10</v>
      </c>
      <c r="BA1472" t="n">
        <v>116</v>
      </c>
      <c r="BB1472" t="n">
        <v>185</v>
      </c>
      <c r="BC1472" t="n">
        <v>22</v>
      </c>
      <c r="BD1472" t="n">
        <v>85</v>
      </c>
      <c r="BE1472" t="n">
        <v>15</v>
      </c>
      <c r="BF1472" t="n">
        <v>12</v>
      </c>
      <c r="BG1472" t="n">
        <v>0</v>
      </c>
      <c r="BH1472" t="n">
        <v>12</v>
      </c>
      <c r="BI1472" t="n">
        <v>1</v>
      </c>
      <c r="BJ1472" t="n">
        <v>4</v>
      </c>
      <c r="BK1472" t="n">
        <v>1</v>
      </c>
      <c r="BL1472" t="n">
        <v>1</v>
      </c>
      <c r="BM1472" t="n">
        <v>13</v>
      </c>
      <c r="BN1472" t="n">
        <v>7</v>
      </c>
      <c r="BO1472" t="n">
        <v>150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177</v>
      </c>
      <c r="Z1473" t="n">
        <v>202</v>
      </c>
      <c r="AA1473" t="n">
        <v>69</v>
      </c>
      <c r="AB1473" t="n">
        <v>0</v>
      </c>
      <c r="AC1473" t="n">
        <v>2</v>
      </c>
      <c r="AD1473" t="n">
        <v>2</v>
      </c>
      <c r="AE1473" t="n">
        <v>2</v>
      </c>
      <c r="AF1473" t="n">
        <v>7</v>
      </c>
      <c r="AG1473" t="n">
        <v>8</v>
      </c>
      <c r="AH1473" t="n">
        <v>2</v>
      </c>
      <c r="AI1473" t="n">
        <v>12</v>
      </c>
      <c r="AJ1473" t="n">
        <v>54</v>
      </c>
      <c r="AK1473" t="n">
        <v>48</v>
      </c>
      <c r="AL1473" t="n">
        <v>1</v>
      </c>
      <c r="AM1473" t="n">
        <v>25</v>
      </c>
      <c r="AN1473" t="n">
        <v>1</v>
      </c>
      <c r="AO1473" t="n">
        <v>0</v>
      </c>
      <c r="AP1473" t="n">
        <v>6</v>
      </c>
      <c r="AQ1473" t="n">
        <v>56</v>
      </c>
      <c r="AR1473" t="n">
        <v>107</v>
      </c>
      <c r="AS1473" t="n">
        <v>60</v>
      </c>
      <c r="AT1473" t="n">
        <v>5</v>
      </c>
      <c r="AU1473" t="n">
        <v>1</v>
      </c>
      <c r="AV1473" t="n">
        <v>23</v>
      </c>
      <c r="AW1473" t="n">
        <v>19</v>
      </c>
      <c r="AX1473" t="n">
        <v>0</v>
      </c>
      <c r="AY1473" t="n">
        <v>14</v>
      </c>
      <c r="AZ1473" t="n">
        <v>4</v>
      </c>
      <c r="BA1473" t="n">
        <v>16</v>
      </c>
      <c r="BB1473" t="n">
        <v>82</v>
      </c>
      <c r="BC1473" t="n">
        <v>20</v>
      </c>
      <c r="BD1473" t="n">
        <v>12</v>
      </c>
      <c r="BE1473" t="n">
        <v>21</v>
      </c>
      <c r="BF1473" t="n">
        <v>42</v>
      </c>
      <c r="BG1473" t="n">
        <v>6</v>
      </c>
      <c r="BH1473" t="n">
        <v>3</v>
      </c>
      <c r="BI1473" t="n">
        <v>28</v>
      </c>
      <c r="BJ1473" t="n">
        <v>46</v>
      </c>
      <c r="BK1473" t="n">
        <v>2</v>
      </c>
      <c r="BL1473" t="n">
        <v>1</v>
      </c>
      <c r="BM1473" t="n">
        <v>12</v>
      </c>
      <c r="BN1473" t="n">
        <v>7</v>
      </c>
      <c r="BO1473" t="n">
        <v>25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122</v>
      </c>
      <c r="Z1474" t="n">
        <v>113</v>
      </c>
      <c r="AA1474" t="n">
        <v>67</v>
      </c>
      <c r="AB1474" t="n">
        <v>0</v>
      </c>
      <c r="AC1474" t="n">
        <v>1</v>
      </c>
      <c r="AD1474" t="n">
        <v>2</v>
      </c>
      <c r="AE1474" t="n">
        <v>1</v>
      </c>
      <c r="AF1474" t="n">
        <v>4</v>
      </c>
      <c r="AG1474" t="n">
        <v>4</v>
      </c>
      <c r="AH1474" t="n">
        <v>10</v>
      </c>
      <c r="AI1474" t="n">
        <v>3</v>
      </c>
      <c r="AJ1474" t="n">
        <v>33</v>
      </c>
      <c r="AK1474" t="n">
        <v>15</v>
      </c>
      <c r="AL1474" t="n">
        <v>4</v>
      </c>
      <c r="AM1474" t="n">
        <v>40</v>
      </c>
      <c r="AN1474" t="n">
        <v>0</v>
      </c>
      <c r="AO1474" t="n">
        <v>0</v>
      </c>
      <c r="AP1474" t="n">
        <v>0</v>
      </c>
      <c r="AQ1474" t="n">
        <v>1</v>
      </c>
      <c r="AR1474" t="n">
        <v>53</v>
      </c>
      <c r="AS1474" t="n">
        <v>48</v>
      </c>
      <c r="AT1474" t="n">
        <v>1</v>
      </c>
      <c r="AU1474" t="n">
        <v>2</v>
      </c>
      <c r="AV1474" t="n">
        <v>9</v>
      </c>
      <c r="AW1474" t="n">
        <v>13</v>
      </c>
      <c r="AX1474" t="n">
        <v>0</v>
      </c>
      <c r="AY1474" t="n">
        <v>3</v>
      </c>
      <c r="AZ1474" t="n">
        <v>1</v>
      </c>
      <c r="BA1474" t="n">
        <v>5</v>
      </c>
      <c r="BB1474" t="n">
        <v>66</v>
      </c>
      <c r="BC1474" t="n">
        <v>34</v>
      </c>
      <c r="BD1474" t="n">
        <v>7</v>
      </c>
      <c r="BE1474" t="n">
        <v>14</v>
      </c>
      <c r="BF1474" t="n">
        <v>34</v>
      </c>
      <c r="BG1474" t="n">
        <v>0</v>
      </c>
      <c r="BH1474" t="n">
        <v>0</v>
      </c>
      <c r="BI1474" t="n">
        <v>7</v>
      </c>
      <c r="BJ1474" t="n">
        <v>33</v>
      </c>
      <c r="BK1474" t="n">
        <v>3</v>
      </c>
      <c r="BL1474" t="n">
        <v>15</v>
      </c>
      <c r="BM1474" t="n">
        <v>16</v>
      </c>
      <c r="BN1474" t="n">
        <v>4</v>
      </c>
      <c r="BO1474" t="n">
        <v>2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2</v>
      </c>
      <c r="I1475" t="n">
        <v>1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</v>
      </c>
      <c r="X1475" t="n">
        <v>0</v>
      </c>
      <c r="Y1475" t="n">
        <v>251</v>
      </c>
      <c r="Z1475" t="n">
        <v>183</v>
      </c>
      <c r="AA1475" t="n">
        <v>89</v>
      </c>
      <c r="AB1475" t="n">
        <v>2</v>
      </c>
      <c r="AC1475" t="n">
        <v>2</v>
      </c>
      <c r="AD1475" t="n">
        <v>6</v>
      </c>
      <c r="AE1475" t="n">
        <v>3</v>
      </c>
      <c r="AF1475" t="n">
        <v>1</v>
      </c>
      <c r="AG1475" t="n">
        <v>3</v>
      </c>
      <c r="AH1475" t="n">
        <v>45</v>
      </c>
      <c r="AI1475" t="n">
        <v>40</v>
      </c>
      <c r="AJ1475" t="n">
        <v>21</v>
      </c>
      <c r="AK1475" t="n">
        <v>33</v>
      </c>
      <c r="AL1475" t="n">
        <v>1</v>
      </c>
      <c r="AM1475" t="n">
        <v>68</v>
      </c>
      <c r="AN1475" t="n">
        <v>0</v>
      </c>
      <c r="AO1475" t="n">
        <v>0</v>
      </c>
      <c r="AP1475" t="n">
        <v>2</v>
      </c>
      <c r="AQ1475" t="n">
        <v>1</v>
      </c>
      <c r="AR1475" t="n">
        <v>99</v>
      </c>
      <c r="AS1475" t="n">
        <v>91</v>
      </c>
      <c r="AT1475" t="n">
        <v>2</v>
      </c>
      <c r="AU1475" t="n">
        <v>0</v>
      </c>
      <c r="AV1475" t="n">
        <v>1</v>
      </c>
      <c r="AW1475" t="n">
        <v>17</v>
      </c>
      <c r="AX1475" t="n">
        <v>2</v>
      </c>
      <c r="AY1475" t="n">
        <v>6</v>
      </c>
      <c r="AZ1475" t="n">
        <v>3</v>
      </c>
      <c r="BA1475" t="n">
        <v>16</v>
      </c>
      <c r="BB1475" t="n">
        <v>101</v>
      </c>
      <c r="BC1475" t="n">
        <v>56</v>
      </c>
      <c r="BD1475" t="n">
        <v>42</v>
      </c>
      <c r="BE1475" t="n">
        <v>23</v>
      </c>
      <c r="BF1475" t="n">
        <v>17</v>
      </c>
      <c r="BG1475" t="n">
        <v>4</v>
      </c>
      <c r="BH1475" t="n">
        <v>12</v>
      </c>
      <c r="BI1475" t="n">
        <v>70</v>
      </c>
      <c r="BJ1475" t="n">
        <v>64</v>
      </c>
      <c r="BK1475" t="n">
        <v>3</v>
      </c>
      <c r="BL1475" t="n">
        <v>18</v>
      </c>
      <c r="BM1475" t="n">
        <v>119</v>
      </c>
      <c r="BN1475" t="n">
        <v>72</v>
      </c>
      <c r="BO1475" t="n">
        <v>14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111</v>
      </c>
      <c r="Z1476" t="n">
        <v>152</v>
      </c>
      <c r="AA1476" t="n">
        <v>36</v>
      </c>
      <c r="AB1476" t="n">
        <v>2</v>
      </c>
      <c r="AC1476" t="n">
        <v>1</v>
      </c>
      <c r="AD1476" t="n">
        <v>1</v>
      </c>
      <c r="AE1476" t="n">
        <v>6</v>
      </c>
      <c r="AF1476" t="n">
        <v>1</v>
      </c>
      <c r="AG1476" t="n">
        <v>2</v>
      </c>
      <c r="AH1476" t="n">
        <v>29</v>
      </c>
      <c r="AI1476" t="n">
        <v>50</v>
      </c>
      <c r="AJ1476" t="n">
        <v>5</v>
      </c>
      <c r="AK1476" t="n">
        <v>25</v>
      </c>
      <c r="AL1476" t="n">
        <v>2</v>
      </c>
      <c r="AM1476" t="n">
        <v>13</v>
      </c>
      <c r="AN1476" t="n">
        <v>0</v>
      </c>
      <c r="AO1476" t="n">
        <v>0</v>
      </c>
      <c r="AP1476" t="n">
        <v>4</v>
      </c>
      <c r="AQ1476" t="n">
        <v>19</v>
      </c>
      <c r="AR1476" t="n">
        <v>63</v>
      </c>
      <c r="AS1476" t="n">
        <v>47</v>
      </c>
      <c r="AT1476" t="n">
        <v>6</v>
      </c>
      <c r="AU1476" t="n">
        <v>0</v>
      </c>
      <c r="AV1476" t="n">
        <v>33</v>
      </c>
      <c r="AW1476" t="n">
        <v>1</v>
      </c>
      <c r="AX1476" t="n">
        <v>6</v>
      </c>
      <c r="AY1476" t="n">
        <v>87</v>
      </c>
      <c r="AZ1476" t="n">
        <v>2</v>
      </c>
      <c r="BA1476" t="n">
        <v>29</v>
      </c>
      <c r="BB1476" t="n">
        <v>64</v>
      </c>
      <c r="BC1476" t="n">
        <v>10</v>
      </c>
      <c r="BD1476" t="n">
        <v>27</v>
      </c>
      <c r="BE1476" t="n">
        <v>4</v>
      </c>
      <c r="BF1476" t="n">
        <v>3</v>
      </c>
      <c r="BG1476" t="n">
        <v>0</v>
      </c>
      <c r="BH1476" t="n">
        <v>4</v>
      </c>
      <c r="BI1476" t="n">
        <v>3</v>
      </c>
      <c r="BJ1476" t="n">
        <v>1</v>
      </c>
      <c r="BK1476" t="n">
        <v>3</v>
      </c>
      <c r="BL1476" t="n">
        <v>9</v>
      </c>
      <c r="BM1476" t="n">
        <v>14</v>
      </c>
      <c r="BN1476" t="n">
        <v>5</v>
      </c>
      <c r="BO1476" t="n">
        <v>9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2</v>
      </c>
      <c r="H1477" t="n">
        <v>0</v>
      </c>
      <c r="I1477" t="n">
        <v>0</v>
      </c>
      <c r="J1477" t="n">
        <v>2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381</v>
      </c>
      <c r="Z1477" t="n">
        <v>248</v>
      </c>
      <c r="AA1477" t="n">
        <v>38</v>
      </c>
      <c r="AB1477" t="n">
        <v>2</v>
      </c>
      <c r="AC1477" t="n">
        <v>2</v>
      </c>
      <c r="AD1477" t="n">
        <v>10</v>
      </c>
      <c r="AE1477" t="n">
        <v>7</v>
      </c>
      <c r="AF1477" t="n">
        <v>5</v>
      </c>
      <c r="AG1477" t="n">
        <v>2</v>
      </c>
      <c r="AH1477" t="n">
        <v>160</v>
      </c>
      <c r="AI1477" t="n">
        <v>75</v>
      </c>
      <c r="AJ1477" t="n">
        <v>48</v>
      </c>
      <c r="AK1477" t="n">
        <v>9</v>
      </c>
      <c r="AL1477" t="n">
        <v>6</v>
      </c>
      <c r="AM1477" t="n">
        <v>48</v>
      </c>
      <c r="AN1477" t="n">
        <v>0</v>
      </c>
      <c r="AO1477" t="n">
        <v>0</v>
      </c>
      <c r="AP1477" t="n">
        <v>2</v>
      </c>
      <c r="AQ1477" t="n">
        <v>6</v>
      </c>
      <c r="AR1477" t="n">
        <v>73</v>
      </c>
      <c r="AS1477" t="n">
        <v>66</v>
      </c>
      <c r="AT1477" t="n">
        <v>2</v>
      </c>
      <c r="AU1477" t="n">
        <v>1</v>
      </c>
      <c r="AV1477" t="n">
        <v>42</v>
      </c>
      <c r="AW1477" t="n">
        <v>4</v>
      </c>
      <c r="AX1477" t="n">
        <v>9</v>
      </c>
      <c r="AY1477" t="n">
        <v>77</v>
      </c>
      <c r="AZ1477" t="n">
        <v>2</v>
      </c>
      <c r="BA1477" t="n">
        <v>18</v>
      </c>
      <c r="BB1477" t="n">
        <v>54</v>
      </c>
      <c r="BC1477" t="n">
        <v>47</v>
      </c>
      <c r="BD1477" t="n">
        <v>142</v>
      </c>
      <c r="BE1477" t="n">
        <v>5</v>
      </c>
      <c r="BF1477" t="n">
        <v>39</v>
      </c>
      <c r="BG1477" t="n">
        <v>2</v>
      </c>
      <c r="BH1477" t="n">
        <v>16</v>
      </c>
      <c r="BI1477" t="n">
        <v>33</v>
      </c>
      <c r="BJ1477" t="n">
        <v>30</v>
      </c>
      <c r="BK1477" t="n">
        <v>0</v>
      </c>
      <c r="BL1477" t="n">
        <v>1</v>
      </c>
      <c r="BM1477" t="n">
        <v>21</v>
      </c>
      <c r="BN1477" t="n">
        <v>12</v>
      </c>
      <c r="BO1477" t="n">
        <v>14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207</v>
      </c>
      <c r="Z1478" t="n">
        <v>290</v>
      </c>
      <c r="AA1478" t="n">
        <v>104</v>
      </c>
      <c r="AB1478" t="n">
        <v>1</v>
      </c>
      <c r="AC1478" t="n">
        <v>0</v>
      </c>
      <c r="AD1478" t="n">
        <v>6</v>
      </c>
      <c r="AE1478" t="n">
        <v>6</v>
      </c>
      <c r="AF1478" t="n">
        <v>0</v>
      </c>
      <c r="AG1478" t="n">
        <v>3</v>
      </c>
      <c r="AH1478" t="n">
        <v>100</v>
      </c>
      <c r="AI1478" t="n">
        <v>45</v>
      </c>
      <c r="AJ1478" t="n">
        <v>7</v>
      </c>
      <c r="AK1478" t="n">
        <v>33</v>
      </c>
      <c r="AL1478" t="n">
        <v>6</v>
      </c>
      <c r="AM1478" t="n">
        <v>118</v>
      </c>
      <c r="AN1478" t="n">
        <v>0</v>
      </c>
      <c r="AO1478" t="n">
        <v>0</v>
      </c>
      <c r="AP1478" t="n">
        <v>0</v>
      </c>
      <c r="AQ1478" t="n">
        <v>1</v>
      </c>
      <c r="AR1478" t="n">
        <v>188</v>
      </c>
      <c r="AS1478" t="n">
        <v>178</v>
      </c>
      <c r="AT1478" t="n">
        <v>1</v>
      </c>
      <c r="AU1478" t="n">
        <v>1</v>
      </c>
      <c r="AV1478" t="n">
        <v>10</v>
      </c>
      <c r="AW1478" t="n">
        <v>1</v>
      </c>
      <c r="AX1478" t="n">
        <v>6</v>
      </c>
      <c r="AY1478" t="n">
        <v>73</v>
      </c>
      <c r="AZ1478" t="n">
        <v>0</v>
      </c>
      <c r="BA1478" t="n">
        <v>23</v>
      </c>
      <c r="BB1478" t="n">
        <v>122</v>
      </c>
      <c r="BC1478" t="n">
        <v>114</v>
      </c>
      <c r="BD1478" t="n">
        <v>94</v>
      </c>
      <c r="BE1478" t="n">
        <v>3</v>
      </c>
      <c r="BF1478" t="n">
        <v>8</v>
      </c>
      <c r="BG1478" t="n">
        <v>0</v>
      </c>
      <c r="BH1478" t="n">
        <v>5</v>
      </c>
      <c r="BI1478" t="n">
        <v>1</v>
      </c>
      <c r="BJ1478" t="n">
        <v>13</v>
      </c>
      <c r="BK1478" t="n">
        <v>3</v>
      </c>
      <c r="BL1478" t="n">
        <v>53</v>
      </c>
      <c r="BM1478" t="n">
        <v>33</v>
      </c>
      <c r="BN1478" t="n">
        <v>-2</v>
      </c>
      <c r="BO1478" t="n">
        <v>2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2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195</v>
      </c>
      <c r="Z1479" t="n">
        <v>207</v>
      </c>
      <c r="AA1479" t="n">
        <v>87</v>
      </c>
      <c r="AB1479" t="n">
        <v>1</v>
      </c>
      <c r="AC1479" t="n">
        <v>3</v>
      </c>
      <c r="AD1479" t="n">
        <v>1</v>
      </c>
      <c r="AE1479" t="n">
        <v>7</v>
      </c>
      <c r="AF1479" t="n">
        <v>6</v>
      </c>
      <c r="AG1479" t="n">
        <v>5</v>
      </c>
      <c r="AH1479" t="n">
        <v>18</v>
      </c>
      <c r="AI1479" t="n">
        <v>152</v>
      </c>
      <c r="AJ1479" t="n">
        <v>23</v>
      </c>
      <c r="AK1479" t="n">
        <v>27</v>
      </c>
      <c r="AL1479" t="n">
        <v>1</v>
      </c>
      <c r="AM1479" t="n">
        <v>17</v>
      </c>
      <c r="AN1479" t="n">
        <v>0</v>
      </c>
      <c r="AO1479" t="n">
        <v>0</v>
      </c>
      <c r="AP1479" t="n">
        <v>8</v>
      </c>
      <c r="AQ1479" t="n">
        <v>39</v>
      </c>
      <c r="AR1479" t="n">
        <v>186</v>
      </c>
      <c r="AS1479" t="n">
        <v>149</v>
      </c>
      <c r="AT1479" t="n">
        <v>1</v>
      </c>
      <c r="AU1479" t="n">
        <v>1</v>
      </c>
      <c r="AV1479" t="n">
        <v>22</v>
      </c>
      <c r="AW1479" t="n">
        <v>14</v>
      </c>
      <c r="AX1479" t="n">
        <v>6</v>
      </c>
      <c r="AY1479" t="n">
        <v>40</v>
      </c>
      <c r="AZ1479" t="n">
        <v>3</v>
      </c>
      <c r="BA1479" t="n">
        <v>21</v>
      </c>
      <c r="BB1479" t="n">
        <v>104</v>
      </c>
      <c r="BC1479" t="n">
        <v>14</v>
      </c>
      <c r="BD1479" t="n">
        <v>15</v>
      </c>
      <c r="BE1479" t="n">
        <v>14</v>
      </c>
      <c r="BF1479" t="n">
        <v>32</v>
      </c>
      <c r="BG1479" t="n">
        <v>4</v>
      </c>
      <c r="BH1479" t="n">
        <v>16</v>
      </c>
      <c r="BI1479" t="n">
        <v>29</v>
      </c>
      <c r="BJ1479" t="n">
        <v>26</v>
      </c>
      <c r="BK1479" t="n">
        <v>0</v>
      </c>
      <c r="BL1479" t="n">
        <v>1</v>
      </c>
      <c r="BM1479" t="n">
        <v>1</v>
      </c>
      <c r="BN1479" t="n">
        <v>1</v>
      </c>
      <c r="BO1479" t="n">
        <v>54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n">
        <v>167</v>
      </c>
      <c r="Z1480" t="n">
        <v>98</v>
      </c>
      <c r="AA1480" t="n">
        <v>66</v>
      </c>
      <c r="AB1480" t="n">
        <v>1</v>
      </c>
      <c r="AC1480" t="n">
        <v>2</v>
      </c>
      <c r="AD1480" t="n">
        <v>5</v>
      </c>
      <c r="AE1480" t="n">
        <v>6</v>
      </c>
      <c r="AF1480" t="n">
        <v>4</v>
      </c>
      <c r="AG1480" t="n">
        <v>2</v>
      </c>
      <c r="AH1480" t="n">
        <v>16</v>
      </c>
      <c r="AI1480" t="n">
        <v>0</v>
      </c>
      <c r="AJ1480" t="n">
        <v>31</v>
      </c>
      <c r="AK1480" t="n">
        <v>1</v>
      </c>
      <c r="AL1480" t="n">
        <v>2</v>
      </c>
      <c r="AM1480" t="n">
        <v>42</v>
      </c>
      <c r="AN1480" t="n">
        <v>0</v>
      </c>
      <c r="AO1480" t="n">
        <v>0</v>
      </c>
      <c r="AP1480" t="n">
        <v>10</v>
      </c>
      <c r="AQ1480" t="n">
        <v>53</v>
      </c>
      <c r="AR1480" t="n">
        <v>131</v>
      </c>
      <c r="AS1480" t="n">
        <v>87</v>
      </c>
      <c r="AT1480" t="n">
        <v>4</v>
      </c>
      <c r="AU1480" t="n">
        <v>0</v>
      </c>
      <c r="AV1480" t="n">
        <v>56</v>
      </c>
      <c r="AW1480" t="n">
        <v>1</v>
      </c>
      <c r="AX1480" t="n">
        <v>2</v>
      </c>
      <c r="AY1480" t="n">
        <v>44</v>
      </c>
      <c r="AZ1480" t="n">
        <v>4</v>
      </c>
      <c r="BA1480" t="n">
        <v>23</v>
      </c>
      <c r="BB1480" t="n">
        <v>85</v>
      </c>
      <c r="BC1480" t="n">
        <v>36</v>
      </c>
      <c r="BD1480" t="n">
        <v>14</v>
      </c>
      <c r="BE1480" t="n">
        <v>8</v>
      </c>
      <c r="BF1480" t="n">
        <v>25</v>
      </c>
      <c r="BG1480" t="n">
        <v>2</v>
      </c>
      <c r="BH1480" t="n">
        <v>2</v>
      </c>
      <c r="BI1480" t="n">
        <v>36</v>
      </c>
      <c r="BJ1480" t="n">
        <v>36</v>
      </c>
      <c r="BK1480" t="n">
        <v>6</v>
      </c>
      <c r="BL1480" t="n">
        <v>16</v>
      </c>
      <c r="BM1480" t="n">
        <v>51</v>
      </c>
      <c r="BN1480" t="n">
        <v>27</v>
      </c>
      <c r="BO1480" t="n">
        <v>2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2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3</v>
      </c>
      <c r="U1481" t="n">
        <v>1</v>
      </c>
      <c r="V1481" t="n">
        <v>0</v>
      </c>
      <c r="W1481" t="n">
        <v>0</v>
      </c>
      <c r="X1481" t="n">
        <v>1</v>
      </c>
      <c r="Y1481" t="n">
        <v>161</v>
      </c>
      <c r="Z1481" t="n">
        <v>169</v>
      </c>
      <c r="AA1481" t="n">
        <v>93</v>
      </c>
      <c r="AB1481" t="n">
        <v>2</v>
      </c>
      <c r="AC1481" t="n">
        <v>4</v>
      </c>
      <c r="AD1481" t="n">
        <v>5</v>
      </c>
      <c r="AE1481" t="n">
        <v>6</v>
      </c>
      <c r="AF1481" t="n">
        <v>1</v>
      </c>
      <c r="AG1481" t="n">
        <v>3</v>
      </c>
      <c r="AH1481" t="n">
        <v>24</v>
      </c>
      <c r="AI1481" t="n">
        <v>37</v>
      </c>
      <c r="AJ1481" t="n">
        <v>2</v>
      </c>
      <c r="AK1481" t="n">
        <v>44</v>
      </c>
      <c r="AL1481" t="n">
        <v>5</v>
      </c>
      <c r="AM1481" t="n">
        <v>46</v>
      </c>
      <c r="AN1481" t="n">
        <v>0</v>
      </c>
      <c r="AO1481" t="n">
        <v>0</v>
      </c>
      <c r="AP1481" t="n">
        <v>6</v>
      </c>
      <c r="AQ1481" t="n">
        <v>45</v>
      </c>
      <c r="AR1481" t="n">
        <v>111</v>
      </c>
      <c r="AS1481" t="n">
        <v>73</v>
      </c>
      <c r="AT1481" t="n">
        <v>3</v>
      </c>
      <c r="AU1481" t="n">
        <v>3</v>
      </c>
      <c r="AV1481" t="n">
        <v>18</v>
      </c>
      <c r="AW1481" t="n">
        <v>25</v>
      </c>
      <c r="AX1481" t="n">
        <v>1</v>
      </c>
      <c r="AY1481" t="n">
        <v>25</v>
      </c>
      <c r="AZ1481" t="n">
        <v>1</v>
      </c>
      <c r="BA1481" t="n">
        <v>30</v>
      </c>
      <c r="BB1481" t="n">
        <v>119</v>
      </c>
      <c r="BC1481" t="n">
        <v>45</v>
      </c>
      <c r="BD1481" t="n">
        <v>20</v>
      </c>
      <c r="BE1481" t="n">
        <v>25</v>
      </c>
      <c r="BF1481" t="n">
        <v>4</v>
      </c>
      <c r="BG1481" t="n">
        <v>1</v>
      </c>
      <c r="BH1481" t="n">
        <v>3</v>
      </c>
      <c r="BI1481" t="n">
        <v>1</v>
      </c>
      <c r="BJ1481" t="n">
        <v>12</v>
      </c>
      <c r="BK1481" t="n">
        <v>5</v>
      </c>
      <c r="BL1481" t="n">
        <v>24</v>
      </c>
      <c r="BM1481" t="n">
        <v>15</v>
      </c>
      <c r="BN1481" t="n">
        <v>0</v>
      </c>
      <c r="BO1481" t="n">
        <v>16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2</v>
      </c>
      <c r="U1482" t="n">
        <v>0</v>
      </c>
      <c r="V1482" t="n">
        <v>0</v>
      </c>
      <c r="W1482" t="n">
        <v>2</v>
      </c>
      <c r="X1482" t="n">
        <v>0</v>
      </c>
      <c r="Y1482" t="n">
        <v>180</v>
      </c>
      <c r="Z1482" t="n">
        <v>266</v>
      </c>
      <c r="AA1482" t="n">
        <v>26</v>
      </c>
      <c r="AB1482" t="n">
        <v>0</v>
      </c>
      <c r="AC1482" t="n">
        <v>0</v>
      </c>
      <c r="AD1482" t="n">
        <v>2</v>
      </c>
      <c r="AE1482" t="n">
        <v>2</v>
      </c>
      <c r="AF1482" t="n">
        <v>5</v>
      </c>
      <c r="AG1482" t="n">
        <v>0</v>
      </c>
      <c r="AH1482" t="n">
        <v>15</v>
      </c>
      <c r="AI1482" t="n">
        <v>65</v>
      </c>
      <c r="AJ1482" t="n">
        <v>73</v>
      </c>
      <c r="AK1482" t="n">
        <v>1</v>
      </c>
      <c r="AL1482" t="n">
        <v>3</v>
      </c>
      <c r="AM1482" t="n">
        <v>64</v>
      </c>
      <c r="AN1482" t="n">
        <v>1</v>
      </c>
      <c r="AO1482" t="n">
        <v>0</v>
      </c>
      <c r="AP1482" t="n">
        <v>3</v>
      </c>
      <c r="AQ1482" t="n">
        <v>42</v>
      </c>
      <c r="AR1482" t="n">
        <v>70</v>
      </c>
      <c r="AS1482" t="n">
        <v>35</v>
      </c>
      <c r="AT1482" t="n">
        <v>1</v>
      </c>
      <c r="AU1482" t="n">
        <v>1</v>
      </c>
      <c r="AV1482" t="n">
        <v>8</v>
      </c>
      <c r="AW1482" t="n">
        <v>19</v>
      </c>
      <c r="AX1482" t="n">
        <v>0</v>
      </c>
      <c r="AY1482" t="n">
        <v>8</v>
      </c>
      <c r="AZ1482" t="n">
        <v>3</v>
      </c>
      <c r="BA1482" t="n">
        <v>29</v>
      </c>
      <c r="BB1482" t="n">
        <v>57</v>
      </c>
      <c r="BC1482" t="n">
        <v>68</v>
      </c>
      <c r="BD1482" t="n">
        <v>18</v>
      </c>
      <c r="BE1482" t="n">
        <v>18</v>
      </c>
      <c r="BF1482" t="n">
        <v>58</v>
      </c>
      <c r="BG1482" t="n">
        <v>5</v>
      </c>
      <c r="BH1482" t="n">
        <v>11</v>
      </c>
      <c r="BI1482" t="n">
        <v>50</v>
      </c>
      <c r="BJ1482" t="n">
        <v>72</v>
      </c>
      <c r="BK1482" t="n">
        <v>8</v>
      </c>
      <c r="BL1482" t="n">
        <v>93</v>
      </c>
      <c r="BM1482" t="n">
        <v>75</v>
      </c>
      <c r="BN1482" t="n">
        <v>10</v>
      </c>
      <c r="BO1482" t="n">
        <v>2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133</v>
      </c>
      <c r="Z1483" t="n">
        <v>230</v>
      </c>
      <c r="AA1483" t="n">
        <v>41</v>
      </c>
      <c r="AB1483" t="n">
        <v>1</v>
      </c>
      <c r="AC1483" t="n">
        <v>3</v>
      </c>
      <c r="AD1483" t="n">
        <v>2</v>
      </c>
      <c r="AE1483" t="n">
        <v>3</v>
      </c>
      <c r="AF1483" t="n">
        <v>3</v>
      </c>
      <c r="AG1483" t="n">
        <v>8</v>
      </c>
      <c r="AH1483" t="n">
        <v>63</v>
      </c>
      <c r="AI1483" t="n">
        <v>32</v>
      </c>
      <c r="AJ1483" t="n">
        <v>5</v>
      </c>
      <c r="AK1483" t="n">
        <v>54</v>
      </c>
      <c r="AL1483" t="n">
        <v>4</v>
      </c>
      <c r="AM1483" t="n">
        <v>88</v>
      </c>
      <c r="AN1483" t="n">
        <v>0</v>
      </c>
      <c r="AO1483" t="n">
        <v>0</v>
      </c>
      <c r="AP1483" t="n">
        <v>5</v>
      </c>
      <c r="AQ1483" t="n">
        <v>15</v>
      </c>
      <c r="AR1483" t="n">
        <v>91</v>
      </c>
      <c r="AS1483" t="n">
        <v>78</v>
      </c>
      <c r="AT1483" t="n">
        <v>2</v>
      </c>
      <c r="AU1483" t="n">
        <v>1</v>
      </c>
      <c r="AV1483" t="n">
        <v>1</v>
      </c>
      <c r="AW1483" t="n">
        <v>11</v>
      </c>
      <c r="AX1483" t="n">
        <v>2</v>
      </c>
      <c r="AY1483" t="n">
        <v>15</v>
      </c>
      <c r="AZ1483" t="n">
        <v>0</v>
      </c>
      <c r="BA1483" t="n">
        <v>1</v>
      </c>
      <c r="BB1483" t="n">
        <v>41</v>
      </c>
      <c r="BC1483" t="n">
        <v>75</v>
      </c>
      <c r="BD1483" t="n">
        <v>72</v>
      </c>
      <c r="BE1483" t="n">
        <v>11</v>
      </c>
      <c r="BF1483" t="n">
        <v>10</v>
      </c>
      <c r="BG1483" t="n">
        <v>1</v>
      </c>
      <c r="BH1483" t="n">
        <v>8</v>
      </c>
      <c r="BI1483" t="n">
        <v>11</v>
      </c>
      <c r="BJ1483" t="n">
        <v>9</v>
      </c>
      <c r="BK1483" t="n">
        <v>3</v>
      </c>
      <c r="BL1483" t="n">
        <v>21</v>
      </c>
      <c r="BM1483" t="n">
        <v>14</v>
      </c>
      <c r="BN1483" t="n">
        <v>0</v>
      </c>
      <c r="BO1483" t="n">
        <v>70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179</v>
      </c>
      <c r="Z1484" t="n">
        <v>240</v>
      </c>
      <c r="AA1484" t="n">
        <v>53</v>
      </c>
      <c r="AB1484" t="n">
        <v>2</v>
      </c>
      <c r="AC1484" t="n">
        <v>1</v>
      </c>
      <c r="AD1484" t="n">
        <v>6</v>
      </c>
      <c r="AE1484" t="n">
        <v>12</v>
      </c>
      <c r="AF1484" t="n">
        <v>1</v>
      </c>
      <c r="AG1484" t="n">
        <v>1</v>
      </c>
      <c r="AH1484" t="n">
        <v>72</v>
      </c>
      <c r="AI1484" t="n">
        <v>91</v>
      </c>
      <c r="AJ1484" t="n">
        <v>19</v>
      </c>
      <c r="AK1484" t="n">
        <v>10</v>
      </c>
      <c r="AL1484" t="n">
        <v>2</v>
      </c>
      <c r="AM1484" t="n">
        <v>51</v>
      </c>
      <c r="AN1484" t="n">
        <v>0</v>
      </c>
      <c r="AO1484" t="n">
        <v>0</v>
      </c>
      <c r="AP1484" t="n">
        <v>1</v>
      </c>
      <c r="AQ1484" t="n">
        <v>9</v>
      </c>
      <c r="AR1484" t="n">
        <v>144</v>
      </c>
      <c r="AS1484" t="n">
        <v>132</v>
      </c>
      <c r="AT1484" t="n">
        <v>0</v>
      </c>
      <c r="AU1484" t="n">
        <v>1</v>
      </c>
      <c r="AV1484" t="n">
        <v>1</v>
      </c>
      <c r="AW1484" t="n">
        <v>3</v>
      </c>
      <c r="AX1484" t="n">
        <v>3</v>
      </c>
      <c r="AY1484" t="n">
        <v>68</v>
      </c>
      <c r="AZ1484" t="n">
        <v>0</v>
      </c>
      <c r="BA1484" t="n">
        <v>1</v>
      </c>
      <c r="BB1484" t="n">
        <v>53</v>
      </c>
      <c r="BC1484" t="n">
        <v>45</v>
      </c>
      <c r="BD1484" t="n">
        <v>65</v>
      </c>
      <c r="BE1484" t="n">
        <v>14</v>
      </c>
      <c r="BF1484" t="n">
        <v>14</v>
      </c>
      <c r="BG1484" t="n">
        <v>1</v>
      </c>
      <c r="BH1484" t="n">
        <v>14</v>
      </c>
      <c r="BI1484" t="n">
        <v>22</v>
      </c>
      <c r="BJ1484" t="n">
        <v>20</v>
      </c>
      <c r="BK1484" t="n">
        <v>3</v>
      </c>
      <c r="BL1484" t="n">
        <v>1</v>
      </c>
      <c r="BM1484" t="n">
        <v>9</v>
      </c>
      <c r="BN1484" t="n">
        <v>5</v>
      </c>
      <c r="BO1484" t="n">
        <v>2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258</v>
      </c>
      <c r="Z1485" t="n">
        <v>74</v>
      </c>
      <c r="AA1485" t="n">
        <v>23</v>
      </c>
      <c r="AB1485" t="n">
        <v>0</v>
      </c>
      <c r="AC1485" t="n">
        <v>3</v>
      </c>
      <c r="AD1485" t="n">
        <v>7</v>
      </c>
      <c r="AE1485" t="n">
        <v>2</v>
      </c>
      <c r="AF1485" t="n">
        <v>2</v>
      </c>
      <c r="AG1485" t="n">
        <v>1</v>
      </c>
      <c r="AH1485" t="n">
        <v>122</v>
      </c>
      <c r="AI1485" t="n">
        <v>7</v>
      </c>
      <c r="AJ1485" t="n">
        <v>16</v>
      </c>
      <c r="AK1485" t="n">
        <v>1</v>
      </c>
      <c r="AL1485" t="n">
        <v>1</v>
      </c>
      <c r="AM1485" t="n">
        <v>24</v>
      </c>
      <c r="AN1485" t="n">
        <v>0</v>
      </c>
      <c r="AO1485" t="n">
        <v>0</v>
      </c>
      <c r="AP1485" t="n">
        <v>1</v>
      </c>
      <c r="AQ1485" t="n">
        <v>7</v>
      </c>
      <c r="AR1485" t="n">
        <v>80</v>
      </c>
      <c r="AS1485" t="n">
        <v>72</v>
      </c>
      <c r="AT1485" t="n">
        <v>2</v>
      </c>
      <c r="AU1485" t="n">
        <v>1</v>
      </c>
      <c r="AV1485" t="n">
        <v>42</v>
      </c>
      <c r="AW1485" t="n">
        <v>1</v>
      </c>
      <c r="AX1485" t="n">
        <v>1</v>
      </c>
      <c r="AY1485" t="n">
        <v>7</v>
      </c>
      <c r="AZ1485" t="n">
        <v>1</v>
      </c>
      <c r="BA1485" t="n">
        <v>14</v>
      </c>
      <c r="BB1485" t="n">
        <v>36</v>
      </c>
      <c r="BC1485" t="n">
        <v>19</v>
      </c>
      <c r="BD1485" t="n">
        <v>110</v>
      </c>
      <c r="BE1485" t="n">
        <v>2</v>
      </c>
      <c r="BF1485" t="n">
        <v>17</v>
      </c>
      <c r="BG1485" t="n">
        <v>3</v>
      </c>
      <c r="BH1485" t="n">
        <v>2</v>
      </c>
      <c r="BI1485" t="n">
        <v>75</v>
      </c>
      <c r="BJ1485" t="n">
        <v>70</v>
      </c>
      <c r="BK1485" t="n">
        <v>1</v>
      </c>
      <c r="BL1485" t="n">
        <v>19</v>
      </c>
      <c r="BM1485" t="n">
        <v>28</v>
      </c>
      <c r="BN1485" t="n">
        <v>11</v>
      </c>
      <c r="BO1485" t="n">
        <v>14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206</v>
      </c>
      <c r="Z1486" t="n">
        <v>115</v>
      </c>
      <c r="AA1486" t="n">
        <v>42</v>
      </c>
      <c r="AB1486" t="n">
        <v>1</v>
      </c>
      <c r="AC1486" t="n">
        <v>0</v>
      </c>
      <c r="AD1486" t="n">
        <v>4</v>
      </c>
      <c r="AE1486" t="n">
        <v>1</v>
      </c>
      <c r="AF1486" t="n">
        <v>2</v>
      </c>
      <c r="AG1486" t="n">
        <v>4</v>
      </c>
      <c r="AH1486" t="n">
        <v>17</v>
      </c>
      <c r="AI1486" t="n">
        <v>16</v>
      </c>
      <c r="AJ1486" t="n">
        <v>37</v>
      </c>
      <c r="AK1486" t="n">
        <v>63</v>
      </c>
      <c r="AL1486" t="n">
        <v>1</v>
      </c>
      <c r="AM1486" t="n">
        <v>27</v>
      </c>
      <c r="AN1486" t="n">
        <v>1</v>
      </c>
      <c r="AO1486" t="n">
        <v>0</v>
      </c>
      <c r="AP1486" t="n">
        <v>1</v>
      </c>
      <c r="AQ1486" t="n">
        <v>1</v>
      </c>
      <c r="AR1486" t="n">
        <v>160</v>
      </c>
      <c r="AS1486" t="n">
        <v>149</v>
      </c>
      <c r="AT1486" t="n">
        <v>2</v>
      </c>
      <c r="AU1486" t="n">
        <v>1</v>
      </c>
      <c r="AV1486" t="n">
        <v>77</v>
      </c>
      <c r="AW1486" t="n">
        <v>22</v>
      </c>
      <c r="AX1486" t="n">
        <v>0</v>
      </c>
      <c r="AY1486" t="n">
        <v>49</v>
      </c>
      <c r="AZ1486" t="n">
        <v>2</v>
      </c>
      <c r="BA1486" t="n">
        <v>18</v>
      </c>
      <c r="BB1486" t="n">
        <v>58</v>
      </c>
      <c r="BC1486" t="n">
        <v>29</v>
      </c>
      <c r="BD1486" t="n">
        <v>25</v>
      </c>
      <c r="BE1486" t="n">
        <v>22</v>
      </c>
      <c r="BF1486" t="n">
        <v>29</v>
      </c>
      <c r="BG1486" t="n">
        <v>4</v>
      </c>
      <c r="BH1486" t="n">
        <v>0</v>
      </c>
      <c r="BI1486" t="n">
        <v>32</v>
      </c>
      <c r="BJ1486" t="n">
        <v>40</v>
      </c>
      <c r="BK1486" t="n">
        <v>4</v>
      </c>
      <c r="BL1486" t="n">
        <v>27</v>
      </c>
      <c r="BM1486" t="n">
        <v>22</v>
      </c>
      <c r="BN1486" t="n">
        <v>4</v>
      </c>
      <c r="BO1486" t="n">
        <v>-5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2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284</v>
      </c>
      <c r="Z1487" t="n">
        <v>126</v>
      </c>
      <c r="AA1487" t="n">
        <v>45</v>
      </c>
      <c r="AB1487" t="n">
        <v>2</v>
      </c>
      <c r="AC1487" t="n">
        <v>2</v>
      </c>
      <c r="AD1487" t="n">
        <v>3</v>
      </c>
      <c r="AE1487" t="n">
        <v>3</v>
      </c>
      <c r="AF1487" t="n">
        <v>5</v>
      </c>
      <c r="AG1487" t="n">
        <v>8</v>
      </c>
      <c r="AH1487" t="n">
        <v>100</v>
      </c>
      <c r="AI1487" t="n">
        <v>7</v>
      </c>
      <c r="AJ1487" t="n">
        <v>38</v>
      </c>
      <c r="AK1487" t="n">
        <v>81</v>
      </c>
      <c r="AL1487" t="n">
        <v>1</v>
      </c>
      <c r="AM1487" t="n">
        <v>5</v>
      </c>
      <c r="AN1487" t="n">
        <v>0</v>
      </c>
      <c r="AO1487" t="n">
        <v>0</v>
      </c>
      <c r="AP1487" t="n">
        <v>3</v>
      </c>
      <c r="AQ1487" t="n">
        <v>10</v>
      </c>
      <c r="AR1487" t="n">
        <v>48</v>
      </c>
      <c r="AS1487" t="n">
        <v>39</v>
      </c>
      <c r="AT1487" t="n">
        <v>2</v>
      </c>
      <c r="AU1487" t="n">
        <v>0</v>
      </c>
      <c r="AV1487" t="n">
        <v>21</v>
      </c>
      <c r="AW1487" t="n">
        <v>7</v>
      </c>
      <c r="AX1487" t="n">
        <v>0</v>
      </c>
      <c r="AY1487" t="n">
        <v>7</v>
      </c>
      <c r="AZ1487" t="n">
        <v>3</v>
      </c>
      <c r="BA1487" t="n">
        <v>22</v>
      </c>
      <c r="BB1487" t="n">
        <v>66</v>
      </c>
      <c r="BC1487" t="n">
        <v>3</v>
      </c>
      <c r="BD1487" t="n">
        <v>97</v>
      </c>
      <c r="BE1487" t="n">
        <v>6</v>
      </c>
      <c r="BF1487" t="n">
        <v>30</v>
      </c>
      <c r="BG1487" t="n">
        <v>1</v>
      </c>
      <c r="BH1487" t="n">
        <v>6</v>
      </c>
      <c r="BI1487" t="n">
        <v>28</v>
      </c>
      <c r="BJ1487" t="n">
        <v>32</v>
      </c>
      <c r="BK1487" t="n">
        <v>4</v>
      </c>
      <c r="BL1487" t="n">
        <v>25</v>
      </c>
      <c r="BM1487" t="n">
        <v>23</v>
      </c>
      <c r="BN1487" t="n">
        <v>5</v>
      </c>
      <c r="BO1487" t="n">
        <v>28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149</v>
      </c>
      <c r="Z1488" t="n">
        <v>205</v>
      </c>
      <c r="AA1488" t="n">
        <v>54</v>
      </c>
      <c r="AB1488" t="n">
        <v>3</v>
      </c>
      <c r="AC1488" t="n">
        <v>0</v>
      </c>
      <c r="AD1488" t="n">
        <v>2</v>
      </c>
      <c r="AE1488" t="n">
        <v>9</v>
      </c>
      <c r="AF1488" t="n">
        <v>5</v>
      </c>
      <c r="AG1488" t="n">
        <v>4</v>
      </c>
      <c r="AH1488" t="n">
        <v>7</v>
      </c>
      <c r="AI1488" t="n">
        <v>55</v>
      </c>
      <c r="AJ1488" t="n">
        <v>40</v>
      </c>
      <c r="AK1488" t="n">
        <v>15</v>
      </c>
      <c r="AL1488" t="n">
        <v>5</v>
      </c>
      <c r="AM1488" t="n">
        <v>57</v>
      </c>
      <c r="AN1488" t="n">
        <v>0</v>
      </c>
      <c r="AO1488" t="n">
        <v>0</v>
      </c>
      <c r="AP1488" t="n">
        <v>3</v>
      </c>
      <c r="AQ1488" t="n">
        <v>9</v>
      </c>
      <c r="AR1488" t="n">
        <v>42</v>
      </c>
      <c r="AS1488" t="n">
        <v>36</v>
      </c>
      <c r="AT1488" t="n">
        <v>3</v>
      </c>
      <c r="AU1488" t="n">
        <v>3</v>
      </c>
      <c r="AV1488" t="n">
        <v>25</v>
      </c>
      <c r="AW1488" t="n">
        <v>31</v>
      </c>
      <c r="AX1488" t="n">
        <v>0</v>
      </c>
      <c r="AY1488" t="n">
        <v>4</v>
      </c>
      <c r="AZ1488" t="n">
        <v>4</v>
      </c>
      <c r="BA1488" t="n">
        <v>11</v>
      </c>
      <c r="BB1488" t="n">
        <v>63</v>
      </c>
      <c r="BC1488" t="n">
        <v>49</v>
      </c>
      <c r="BD1488" t="n">
        <v>3</v>
      </c>
      <c r="BE1488" t="n">
        <v>31</v>
      </c>
      <c r="BF1488" t="n">
        <v>32</v>
      </c>
      <c r="BG1488" t="n">
        <v>3</v>
      </c>
      <c r="BH1488" t="n">
        <v>5</v>
      </c>
      <c r="BI1488" t="n">
        <v>55</v>
      </c>
      <c r="BJ1488" t="n">
        <v>50</v>
      </c>
      <c r="BK1488" t="n">
        <v>5</v>
      </c>
      <c r="BL1488" t="n">
        <v>21</v>
      </c>
      <c r="BM1488" t="n">
        <v>23</v>
      </c>
      <c r="BN1488" t="n">
        <v>7</v>
      </c>
      <c r="BO1488" t="n">
        <v>2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2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203</v>
      </c>
      <c r="Z1489" t="n">
        <v>183</v>
      </c>
      <c r="AA1489" t="n">
        <v>108</v>
      </c>
      <c r="AB1489" t="n">
        <v>3</v>
      </c>
      <c r="AC1489" t="n">
        <v>0</v>
      </c>
      <c r="AD1489" t="n">
        <v>1</v>
      </c>
      <c r="AE1489" t="n">
        <v>7</v>
      </c>
      <c r="AF1489" t="n">
        <v>6</v>
      </c>
      <c r="AG1489" t="n">
        <v>7</v>
      </c>
      <c r="AH1489" t="n">
        <v>56</v>
      </c>
      <c r="AI1489" t="n">
        <v>85</v>
      </c>
      <c r="AJ1489" t="n">
        <v>56</v>
      </c>
      <c r="AK1489" t="n">
        <v>57</v>
      </c>
      <c r="AL1489" t="n">
        <v>4</v>
      </c>
      <c r="AM1489" t="n">
        <v>47</v>
      </c>
      <c r="AN1489" t="n">
        <v>0</v>
      </c>
      <c r="AO1489" t="n">
        <v>0</v>
      </c>
      <c r="AP1489" t="n">
        <v>0</v>
      </c>
      <c r="AQ1489" t="n">
        <v>7</v>
      </c>
      <c r="AR1489" t="n">
        <v>27</v>
      </c>
      <c r="AS1489" t="n">
        <v>22</v>
      </c>
      <c r="AT1489" t="n">
        <v>0</v>
      </c>
      <c r="AU1489" t="n">
        <v>1</v>
      </c>
      <c r="AV1489" t="n">
        <v>1</v>
      </c>
      <c r="AW1489" t="n">
        <v>3</v>
      </c>
      <c r="AX1489" t="n">
        <v>0</v>
      </c>
      <c r="AY1489" t="n">
        <v>29</v>
      </c>
      <c r="AZ1489" t="n">
        <v>3</v>
      </c>
      <c r="BA1489" t="n">
        <v>54</v>
      </c>
      <c r="BB1489" t="n">
        <v>162</v>
      </c>
      <c r="BC1489" t="n">
        <v>39</v>
      </c>
      <c r="BD1489" t="n">
        <v>49</v>
      </c>
      <c r="BE1489" t="n">
        <v>0</v>
      </c>
      <c r="BF1489" t="n">
        <v>44</v>
      </c>
      <c r="BG1489" t="n">
        <v>0</v>
      </c>
      <c r="BH1489" t="n">
        <v>10</v>
      </c>
      <c r="BI1489" t="n">
        <v>5</v>
      </c>
      <c r="BJ1489" t="n">
        <v>1</v>
      </c>
      <c r="BK1489" t="n">
        <v>0</v>
      </c>
      <c r="BL1489" t="n">
        <v>1</v>
      </c>
      <c r="BM1489" t="n">
        <v>55</v>
      </c>
      <c r="BN1489" t="n">
        <v>36</v>
      </c>
      <c r="BO1489" t="n">
        <v>2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279</v>
      </c>
      <c r="Z1490" t="n">
        <v>127</v>
      </c>
      <c r="AA1490" t="n">
        <v>42</v>
      </c>
      <c r="AB1490" t="n">
        <v>1</v>
      </c>
      <c r="AC1490" t="n">
        <v>0</v>
      </c>
      <c r="AD1490" t="n">
        <v>5</v>
      </c>
      <c r="AE1490" t="n">
        <v>6</v>
      </c>
      <c r="AF1490" t="n">
        <v>9</v>
      </c>
      <c r="AG1490" t="n">
        <v>3</v>
      </c>
      <c r="AH1490" t="n">
        <v>42</v>
      </c>
      <c r="AI1490" t="n">
        <v>71</v>
      </c>
      <c r="AJ1490" t="n">
        <v>63</v>
      </c>
      <c r="AK1490" t="n">
        <v>33</v>
      </c>
      <c r="AL1490" t="n">
        <v>2</v>
      </c>
      <c r="AM1490" t="n">
        <v>7</v>
      </c>
      <c r="AN1490" t="n">
        <v>0</v>
      </c>
      <c r="AO1490" t="n">
        <v>0</v>
      </c>
      <c r="AP1490" t="n">
        <v>2</v>
      </c>
      <c r="AQ1490" t="n">
        <v>10</v>
      </c>
      <c r="AR1490" t="n">
        <v>69</v>
      </c>
      <c r="AS1490" t="n">
        <v>58</v>
      </c>
      <c r="AT1490" t="n">
        <v>4</v>
      </c>
      <c r="AU1490" t="n">
        <v>1</v>
      </c>
      <c r="AV1490" t="n">
        <v>80</v>
      </c>
      <c r="AW1490" t="n">
        <v>8</v>
      </c>
      <c r="AX1490" t="n">
        <v>0</v>
      </c>
      <c r="AY1490" t="n">
        <v>48</v>
      </c>
      <c r="AZ1490" t="n">
        <v>2</v>
      </c>
      <c r="BA1490" t="n">
        <v>7</v>
      </c>
      <c r="BB1490" t="n">
        <v>45</v>
      </c>
      <c r="BC1490" t="n">
        <v>13</v>
      </c>
      <c r="BD1490" t="n">
        <v>78</v>
      </c>
      <c r="BE1490" t="n">
        <v>7</v>
      </c>
      <c r="BF1490" t="n">
        <v>49</v>
      </c>
      <c r="BG1490" t="n">
        <v>2</v>
      </c>
      <c r="BH1490" t="n">
        <v>3</v>
      </c>
      <c r="BI1490" t="n">
        <v>54</v>
      </c>
      <c r="BJ1490" t="n">
        <v>49</v>
      </c>
      <c r="BK1490" t="n">
        <v>3</v>
      </c>
      <c r="BL1490" t="n">
        <v>55</v>
      </c>
      <c r="BM1490" t="n">
        <v>50</v>
      </c>
      <c r="BN1490" t="n">
        <v>10</v>
      </c>
      <c r="BO1490" t="n">
        <v>2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162</v>
      </c>
      <c r="Z1491" t="n">
        <v>163</v>
      </c>
      <c r="AA1491" t="n">
        <v>61</v>
      </c>
      <c r="AB1491" t="n">
        <v>1</v>
      </c>
      <c r="AC1491" t="n">
        <v>1</v>
      </c>
      <c r="AD1491" t="n">
        <v>2</v>
      </c>
      <c r="AE1491" t="n">
        <v>4</v>
      </c>
      <c r="AF1491" t="n">
        <v>0</v>
      </c>
      <c r="AG1491" t="n">
        <v>3</v>
      </c>
      <c r="AH1491" t="n">
        <v>19</v>
      </c>
      <c r="AI1491" t="n">
        <v>66</v>
      </c>
      <c r="AJ1491" t="n">
        <v>7</v>
      </c>
      <c r="AK1491" t="n">
        <v>10</v>
      </c>
      <c r="AL1491" t="n">
        <v>3</v>
      </c>
      <c r="AM1491" t="n">
        <v>33</v>
      </c>
      <c r="AN1491" t="n">
        <v>0</v>
      </c>
      <c r="AO1491" t="n">
        <v>0</v>
      </c>
      <c r="AP1491" t="n">
        <v>3</v>
      </c>
      <c r="AQ1491" t="n">
        <v>21</v>
      </c>
      <c r="AR1491" t="n">
        <v>140</v>
      </c>
      <c r="AS1491" t="n">
        <v>121</v>
      </c>
      <c r="AT1491" t="n">
        <v>1</v>
      </c>
      <c r="AU1491" t="n">
        <v>2</v>
      </c>
      <c r="AV1491" t="n">
        <v>25</v>
      </c>
      <c r="AW1491" t="n">
        <v>28</v>
      </c>
      <c r="AX1491" t="n">
        <v>11</v>
      </c>
      <c r="AY1491" t="n">
        <v>41</v>
      </c>
      <c r="AZ1491" t="n">
        <v>4</v>
      </c>
      <c r="BA1491" t="n">
        <v>12</v>
      </c>
      <c r="BB1491" t="n">
        <v>71</v>
      </c>
      <c r="BC1491" t="n">
        <v>62</v>
      </c>
      <c r="BD1491" t="n">
        <v>16</v>
      </c>
      <c r="BE1491" t="n">
        <v>30</v>
      </c>
      <c r="BF1491" t="n">
        <v>11</v>
      </c>
      <c r="BG1491" t="n">
        <v>1</v>
      </c>
      <c r="BH1491" t="n">
        <v>17</v>
      </c>
      <c r="BI1491" t="n">
        <v>10</v>
      </c>
      <c r="BJ1491" t="n">
        <v>22</v>
      </c>
      <c r="BK1491" t="n">
        <v>3</v>
      </c>
      <c r="BL1491" t="n">
        <v>8</v>
      </c>
      <c r="BM1491" t="n">
        <v>27</v>
      </c>
      <c r="BN1491" t="n">
        <v>14</v>
      </c>
      <c r="BO1491" t="n">
        <v>2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224</v>
      </c>
      <c r="Z1492" t="n">
        <v>288</v>
      </c>
      <c r="AA1492" t="n">
        <v>40</v>
      </c>
      <c r="AB1492" t="n">
        <v>0</v>
      </c>
      <c r="AC1492" t="n">
        <v>1</v>
      </c>
      <c r="AD1492" t="n">
        <v>5</v>
      </c>
      <c r="AE1492" t="n">
        <v>8</v>
      </c>
      <c r="AF1492" t="n">
        <v>5</v>
      </c>
      <c r="AG1492" t="n">
        <v>5</v>
      </c>
      <c r="AH1492" t="n">
        <v>82</v>
      </c>
      <c r="AI1492" t="n">
        <v>129</v>
      </c>
      <c r="AJ1492" t="n">
        <v>65</v>
      </c>
      <c r="AK1492" t="n">
        <v>32</v>
      </c>
      <c r="AL1492" t="n">
        <v>3</v>
      </c>
      <c r="AM1492" t="n">
        <v>111</v>
      </c>
      <c r="AN1492" t="n">
        <v>0</v>
      </c>
      <c r="AO1492" t="n">
        <v>0</v>
      </c>
      <c r="AP1492" t="n">
        <v>1</v>
      </c>
      <c r="AQ1492" t="n">
        <v>32</v>
      </c>
      <c r="AR1492" t="n">
        <v>198</v>
      </c>
      <c r="AS1492" t="n">
        <v>169</v>
      </c>
      <c r="AT1492" t="n">
        <v>2</v>
      </c>
      <c r="AU1492" t="n">
        <v>3</v>
      </c>
      <c r="AV1492" t="n">
        <v>15</v>
      </c>
      <c r="AW1492" t="n">
        <v>19</v>
      </c>
      <c r="AX1492" t="n">
        <v>10</v>
      </c>
      <c r="AY1492" t="n">
        <v>5</v>
      </c>
      <c r="AZ1492" t="n">
        <v>1</v>
      </c>
      <c r="BA1492" t="n">
        <v>9</v>
      </c>
      <c r="BB1492" t="n">
        <v>45</v>
      </c>
      <c r="BC1492" t="n">
        <v>91</v>
      </c>
      <c r="BD1492" t="n">
        <v>74</v>
      </c>
      <c r="BE1492" t="n">
        <v>19</v>
      </c>
      <c r="BF1492" t="n">
        <v>51</v>
      </c>
      <c r="BG1492" t="n">
        <v>3</v>
      </c>
      <c r="BH1492" t="n">
        <v>7</v>
      </c>
      <c r="BI1492" t="n">
        <v>7</v>
      </c>
      <c r="BJ1492" t="n">
        <v>12</v>
      </c>
      <c r="BK1492" t="n">
        <v>1</v>
      </c>
      <c r="BL1492" t="n">
        <v>11</v>
      </c>
      <c r="BM1492" t="n">
        <v>15</v>
      </c>
      <c r="BN1492" t="n">
        <v>5</v>
      </c>
      <c r="BO1492" t="n">
        <v>77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148</v>
      </c>
      <c r="Z1493" t="n">
        <v>188</v>
      </c>
      <c r="AA1493" t="n">
        <v>52</v>
      </c>
      <c r="AB1493" t="n">
        <v>0</v>
      </c>
      <c r="AC1493" t="n">
        <v>2</v>
      </c>
      <c r="AD1493" t="n">
        <v>4</v>
      </c>
      <c r="AE1493" t="n">
        <v>4</v>
      </c>
      <c r="AF1493" t="n">
        <v>3</v>
      </c>
      <c r="AG1493" t="n">
        <v>1</v>
      </c>
      <c r="AH1493" t="n">
        <v>12</v>
      </c>
      <c r="AI1493" t="n">
        <v>33</v>
      </c>
      <c r="AJ1493" t="n">
        <v>49</v>
      </c>
      <c r="AK1493" t="n">
        <v>1</v>
      </c>
      <c r="AL1493" t="n">
        <v>0</v>
      </c>
      <c r="AM1493" t="n">
        <v>11</v>
      </c>
      <c r="AN1493" t="n">
        <v>0</v>
      </c>
      <c r="AO1493" t="n">
        <v>0</v>
      </c>
      <c r="AP1493" t="n">
        <v>3</v>
      </c>
      <c r="AQ1493" t="n">
        <v>29</v>
      </c>
      <c r="AR1493" t="n">
        <v>63</v>
      </c>
      <c r="AS1493" t="n">
        <v>39</v>
      </c>
      <c r="AT1493" t="n">
        <v>1</v>
      </c>
      <c r="AU1493" t="n">
        <v>0</v>
      </c>
      <c r="AV1493" t="n">
        <v>8</v>
      </c>
      <c r="AW1493" t="n">
        <v>3</v>
      </c>
      <c r="AX1493" t="n">
        <v>2</v>
      </c>
      <c r="AY1493" t="n">
        <v>102</v>
      </c>
      <c r="AZ1493" t="n">
        <v>3</v>
      </c>
      <c r="BA1493" t="n">
        <v>37</v>
      </c>
      <c r="BB1493" t="n">
        <v>90</v>
      </c>
      <c r="BC1493" t="n">
        <v>30</v>
      </c>
      <c r="BD1493" t="n">
        <v>19</v>
      </c>
      <c r="BE1493" t="n">
        <v>3</v>
      </c>
      <c r="BF1493" t="n">
        <v>41</v>
      </c>
      <c r="BG1493" t="n">
        <v>0</v>
      </c>
      <c r="BH1493" t="n">
        <v>7</v>
      </c>
      <c r="BI1493" t="n">
        <v>6</v>
      </c>
      <c r="BJ1493" t="n">
        <v>1</v>
      </c>
      <c r="BK1493" t="n">
        <v>3</v>
      </c>
      <c r="BL1493" t="n">
        <v>7</v>
      </c>
      <c r="BM1493" t="n">
        <v>-1</v>
      </c>
      <c r="BN1493" t="n">
        <v>-1</v>
      </c>
      <c r="BO1493" t="n">
        <v>7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234</v>
      </c>
      <c r="Z1494" t="n">
        <v>178</v>
      </c>
      <c r="AA1494" t="n">
        <v>86</v>
      </c>
      <c r="AB1494" t="n">
        <v>1</v>
      </c>
      <c r="AC1494" t="n">
        <v>1</v>
      </c>
      <c r="AD1494" t="n">
        <v>2</v>
      </c>
      <c r="AE1494" t="n">
        <v>4</v>
      </c>
      <c r="AF1494" t="n">
        <v>1</v>
      </c>
      <c r="AG1494" t="n">
        <v>6</v>
      </c>
      <c r="AH1494" t="n">
        <v>57</v>
      </c>
      <c r="AI1494" t="n">
        <v>38</v>
      </c>
      <c r="AJ1494" t="n">
        <v>49</v>
      </c>
      <c r="AK1494" t="n">
        <v>59</v>
      </c>
      <c r="AL1494" t="n">
        <v>5</v>
      </c>
      <c r="AM1494" t="n">
        <v>37</v>
      </c>
      <c r="AN1494" t="n">
        <v>1</v>
      </c>
      <c r="AO1494" t="n">
        <v>0</v>
      </c>
      <c r="AP1494" t="n">
        <v>6</v>
      </c>
      <c r="AQ1494" t="n">
        <v>59</v>
      </c>
      <c r="AR1494" t="n">
        <v>172</v>
      </c>
      <c r="AS1494" t="n">
        <v>118</v>
      </c>
      <c r="AT1494" t="n">
        <v>2</v>
      </c>
      <c r="AU1494" t="n">
        <v>2</v>
      </c>
      <c r="AV1494" t="n">
        <v>-1</v>
      </c>
      <c r="AW1494" t="n">
        <v>21</v>
      </c>
      <c r="AX1494" t="n">
        <v>1</v>
      </c>
      <c r="AY1494" t="n">
        <v>-7</v>
      </c>
      <c r="AZ1494" t="n">
        <v>2</v>
      </c>
      <c r="BA1494" t="n">
        <v>9</v>
      </c>
      <c r="BB1494" t="n">
        <v>90</v>
      </c>
      <c r="BC1494" t="n">
        <v>31</v>
      </c>
      <c r="BD1494" t="n">
        <v>58</v>
      </c>
      <c r="BE1494" t="n">
        <v>21</v>
      </c>
      <c r="BF1494" t="n">
        <v>39</v>
      </c>
      <c r="BG1494" t="n">
        <v>2</v>
      </c>
      <c r="BH1494" t="n">
        <v>0</v>
      </c>
      <c r="BI1494" t="n">
        <v>17</v>
      </c>
      <c r="BJ1494" t="n">
        <v>14</v>
      </c>
      <c r="BK1494" t="n">
        <v>1</v>
      </c>
      <c r="BL1494" t="n">
        <v>14</v>
      </c>
      <c r="BM1494" t="n">
        <v>14</v>
      </c>
      <c r="BN1494" t="n">
        <v>4</v>
      </c>
      <c r="BO1494" t="n">
        <v>2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215</v>
      </c>
      <c r="Z1495" t="n">
        <v>149</v>
      </c>
      <c r="AA1495" t="n">
        <v>62</v>
      </c>
      <c r="AB1495" t="n">
        <v>2</v>
      </c>
      <c r="AC1495" t="n">
        <v>0</v>
      </c>
      <c r="AD1495" t="n">
        <v>6</v>
      </c>
      <c r="AE1495" t="n">
        <v>7</v>
      </c>
      <c r="AF1495" t="n">
        <v>0</v>
      </c>
      <c r="AG1495" t="n">
        <v>3</v>
      </c>
      <c r="AH1495" t="n">
        <v>72</v>
      </c>
      <c r="AI1495" t="n">
        <v>75</v>
      </c>
      <c r="AJ1495" t="n">
        <v>10</v>
      </c>
      <c r="AK1495" t="n">
        <v>10</v>
      </c>
      <c r="AL1495" t="n">
        <v>2</v>
      </c>
      <c r="AM1495" t="n">
        <v>37</v>
      </c>
      <c r="AN1495" t="n">
        <v>0</v>
      </c>
      <c r="AO1495" t="n">
        <v>0</v>
      </c>
      <c r="AP1495" t="n">
        <v>3</v>
      </c>
      <c r="AQ1495" t="n">
        <v>35</v>
      </c>
      <c r="AR1495" t="n">
        <v>81</v>
      </c>
      <c r="AS1495" t="n">
        <v>52</v>
      </c>
      <c r="AT1495" t="n">
        <v>2</v>
      </c>
      <c r="AU1495" t="n">
        <v>0</v>
      </c>
      <c r="AV1495" t="n">
        <v>46</v>
      </c>
      <c r="AW1495" t="n">
        <v>3</v>
      </c>
      <c r="AX1495" t="n">
        <v>0</v>
      </c>
      <c r="AY1495" t="n">
        <v>4</v>
      </c>
      <c r="AZ1495" t="n">
        <v>0</v>
      </c>
      <c r="BA1495" t="n">
        <v>1</v>
      </c>
      <c r="BB1495" t="n">
        <v>61</v>
      </c>
      <c r="BC1495" t="n">
        <v>39</v>
      </c>
      <c r="BD1495" t="n">
        <v>75</v>
      </c>
      <c r="BE1495" t="n">
        <v>2</v>
      </c>
      <c r="BF1495" t="n">
        <v>8</v>
      </c>
      <c r="BG1495" t="n">
        <v>0</v>
      </c>
      <c r="BH1495" t="n">
        <v>0</v>
      </c>
      <c r="BI1495" t="n">
        <v>7</v>
      </c>
      <c r="BJ1495" t="n">
        <v>6</v>
      </c>
      <c r="BK1495" t="n">
        <v>0</v>
      </c>
      <c r="BL1495" t="n">
        <v>1</v>
      </c>
      <c r="BM1495" t="n">
        <v>18</v>
      </c>
      <c r="BN1495" t="n">
        <v>10</v>
      </c>
      <c r="BO1495" t="n">
        <v>4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88</v>
      </c>
      <c r="Z1496" t="n">
        <v>178</v>
      </c>
      <c r="AA1496" t="n">
        <v>4</v>
      </c>
      <c r="AB1496" t="n">
        <v>1</v>
      </c>
      <c r="AC1496" t="n">
        <v>0</v>
      </c>
      <c r="AD1496" t="n">
        <v>1</v>
      </c>
      <c r="AE1496" t="n">
        <v>5</v>
      </c>
      <c r="AF1496" t="n">
        <v>2</v>
      </c>
      <c r="AG1496" t="n">
        <v>1</v>
      </c>
      <c r="AH1496" t="n">
        <v>11</v>
      </c>
      <c r="AI1496" t="n">
        <v>63</v>
      </c>
      <c r="AJ1496" t="n">
        <v>29</v>
      </c>
      <c r="AK1496" t="n">
        <v>1</v>
      </c>
      <c r="AL1496" t="n">
        <v>2</v>
      </c>
      <c r="AM1496" t="n">
        <v>46</v>
      </c>
      <c r="AN1496" t="n">
        <v>0</v>
      </c>
      <c r="AO1496" t="n">
        <v>0</v>
      </c>
      <c r="AP1496" t="n">
        <v>1</v>
      </c>
      <c r="AQ1496" t="n">
        <v>29</v>
      </c>
      <c r="AR1496" t="n">
        <v>76</v>
      </c>
      <c r="AS1496" t="n">
        <v>51</v>
      </c>
      <c r="AT1496" t="n">
        <v>1</v>
      </c>
      <c r="AU1496" t="n">
        <v>2</v>
      </c>
      <c r="AV1496" t="n">
        <v>5</v>
      </c>
      <c r="AW1496" t="n">
        <v>19</v>
      </c>
      <c r="AX1496" t="n">
        <v>0</v>
      </c>
      <c r="AY1496" t="n">
        <v>24</v>
      </c>
      <c r="AZ1496" t="n">
        <v>0</v>
      </c>
      <c r="BA1496" t="n">
        <v>1</v>
      </c>
      <c r="BB1496" t="n">
        <v>6</v>
      </c>
      <c r="BC1496" t="n">
        <v>41</v>
      </c>
      <c r="BD1496" t="n">
        <v>15</v>
      </c>
      <c r="BE1496" t="n">
        <v>24</v>
      </c>
      <c r="BF1496" t="n">
        <v>27</v>
      </c>
      <c r="BG1496" t="n">
        <v>2</v>
      </c>
      <c r="BH1496" t="n">
        <v>5</v>
      </c>
      <c r="BI1496" t="n">
        <v>7</v>
      </c>
      <c r="BJ1496" t="n">
        <v>-3</v>
      </c>
      <c r="BK1496" t="n">
        <v>3</v>
      </c>
      <c r="BL1496" t="n">
        <v>14</v>
      </c>
      <c r="BM1496" t="n">
        <v>31</v>
      </c>
      <c r="BN1496" t="n">
        <v>15</v>
      </c>
      <c r="BO1496" t="n">
        <v>2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2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158</v>
      </c>
      <c r="Z1497" t="n">
        <v>162</v>
      </c>
      <c r="AA1497" t="n">
        <v>41</v>
      </c>
      <c r="AB1497" t="n">
        <v>2</v>
      </c>
      <c r="AC1497" t="n">
        <v>3</v>
      </c>
      <c r="AD1497" t="n">
        <v>2</v>
      </c>
      <c r="AE1497" t="n">
        <v>6</v>
      </c>
      <c r="AF1497" t="n">
        <v>1</v>
      </c>
      <c r="AG1497" t="n">
        <v>2</v>
      </c>
      <c r="AH1497" t="n">
        <v>20</v>
      </c>
      <c r="AI1497" t="n">
        <v>33</v>
      </c>
      <c r="AJ1497" t="n">
        <v>14</v>
      </c>
      <c r="AK1497" t="n">
        <v>57</v>
      </c>
      <c r="AL1497" t="n">
        <v>1</v>
      </c>
      <c r="AM1497" t="n">
        <v>33</v>
      </c>
      <c r="AN1497" t="n">
        <v>0</v>
      </c>
      <c r="AO1497" t="n">
        <v>0</v>
      </c>
      <c r="AP1497" t="n">
        <v>6</v>
      </c>
      <c r="AQ1497" t="n">
        <v>39</v>
      </c>
      <c r="AR1497" t="n">
        <v>140</v>
      </c>
      <c r="AS1497" t="n">
        <v>107</v>
      </c>
      <c r="AT1497" t="n">
        <v>5</v>
      </c>
      <c r="AU1497" t="n">
        <v>1</v>
      </c>
      <c r="AV1497" t="n">
        <v>24</v>
      </c>
      <c r="AW1497" t="n">
        <v>12</v>
      </c>
      <c r="AX1497" t="n">
        <v>1</v>
      </c>
      <c r="AY1497" t="n">
        <v>40</v>
      </c>
      <c r="AZ1497" t="n">
        <v>6</v>
      </c>
      <c r="BA1497" t="n">
        <v>26</v>
      </c>
      <c r="BB1497" t="n">
        <v>65</v>
      </c>
      <c r="BC1497" t="n">
        <v>38</v>
      </c>
      <c r="BD1497" t="n">
        <v>33</v>
      </c>
      <c r="BE1497" t="n">
        <v>11</v>
      </c>
      <c r="BF1497" t="n">
        <v>12</v>
      </c>
      <c r="BG1497" t="n">
        <v>1</v>
      </c>
      <c r="BH1497" t="n">
        <v>0</v>
      </c>
      <c r="BI1497" t="n">
        <v>1</v>
      </c>
      <c r="BJ1497" t="n">
        <v>1</v>
      </c>
      <c r="BK1497" t="n">
        <v>2</v>
      </c>
      <c r="BL1497" t="n">
        <v>1</v>
      </c>
      <c r="BM1497" t="n">
        <v>12</v>
      </c>
      <c r="BN1497" t="n">
        <v>7</v>
      </c>
      <c r="BO1497" t="n">
        <v>16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2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219</v>
      </c>
      <c r="Z1498" t="n">
        <v>233</v>
      </c>
      <c r="AA1498" t="n">
        <v>119</v>
      </c>
      <c r="AB1498" t="n">
        <v>1</v>
      </c>
      <c r="AC1498" t="n">
        <v>0</v>
      </c>
      <c r="AD1498" t="n">
        <v>2</v>
      </c>
      <c r="AE1498" t="n">
        <v>1</v>
      </c>
      <c r="AF1498" t="n">
        <v>2</v>
      </c>
      <c r="AG1498" t="n">
        <v>6</v>
      </c>
      <c r="AH1498" t="n">
        <v>31</v>
      </c>
      <c r="AI1498" t="n">
        <v>15</v>
      </c>
      <c r="AJ1498" t="n">
        <v>62</v>
      </c>
      <c r="AK1498" t="n">
        <v>96</v>
      </c>
      <c r="AL1498" t="n">
        <v>2</v>
      </c>
      <c r="AM1498" t="n">
        <v>28</v>
      </c>
      <c r="AN1498" t="n">
        <v>2</v>
      </c>
      <c r="AO1498" t="n">
        <v>0</v>
      </c>
      <c r="AP1498" t="n">
        <v>4</v>
      </c>
      <c r="AQ1498" t="n">
        <v>76</v>
      </c>
      <c r="AR1498" t="n">
        <v>183</v>
      </c>
      <c r="AS1498" t="n">
        <v>115</v>
      </c>
      <c r="AT1498" t="n">
        <v>2</v>
      </c>
      <c r="AU1498" t="n">
        <v>4</v>
      </c>
      <c r="AV1498" t="n">
        <v>1</v>
      </c>
      <c r="AW1498" t="n">
        <v>53</v>
      </c>
      <c r="AX1498" t="n">
        <v>0</v>
      </c>
      <c r="AY1498" t="n">
        <v>59</v>
      </c>
      <c r="AZ1498" t="n">
        <v>1</v>
      </c>
      <c r="BA1498" t="n">
        <v>7</v>
      </c>
      <c r="BB1498" t="n">
        <v>119</v>
      </c>
      <c r="BC1498" t="n">
        <v>24</v>
      </c>
      <c r="BD1498" t="n">
        <v>28</v>
      </c>
      <c r="BE1498" t="n">
        <v>55</v>
      </c>
      <c r="BF1498" t="n">
        <v>48</v>
      </c>
      <c r="BG1498" t="n">
        <v>1</v>
      </c>
      <c r="BH1498" t="n">
        <v>1</v>
      </c>
      <c r="BI1498" t="n">
        <v>1</v>
      </c>
      <c r="BJ1498" t="n">
        <v>3</v>
      </c>
      <c r="BK1498" t="n">
        <v>6</v>
      </c>
      <c r="BL1498" t="n">
        <v>41</v>
      </c>
      <c r="BM1498" t="n">
        <v>29</v>
      </c>
      <c r="BN1498" t="n">
        <v>2</v>
      </c>
      <c r="BO1498" t="n">
        <v>82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199</v>
      </c>
      <c r="Z1499" t="n">
        <v>187</v>
      </c>
      <c r="AA1499" t="n">
        <v>51</v>
      </c>
      <c r="AB1499" t="n">
        <v>0</v>
      </c>
      <c r="AC1499" t="n">
        <v>0</v>
      </c>
      <c r="AD1499" t="n">
        <v>4</v>
      </c>
      <c r="AE1499" t="n">
        <v>7</v>
      </c>
      <c r="AF1499" t="n">
        <v>3</v>
      </c>
      <c r="AG1499" t="n">
        <v>1</v>
      </c>
      <c r="AH1499" t="n">
        <v>25</v>
      </c>
      <c r="AI1499" t="n">
        <v>49</v>
      </c>
      <c r="AJ1499" t="n">
        <v>14</v>
      </c>
      <c r="AK1499" t="n">
        <v>44</v>
      </c>
      <c r="AL1499" t="n">
        <v>4</v>
      </c>
      <c r="AM1499" t="n">
        <v>51</v>
      </c>
      <c r="AN1499" t="n">
        <v>0</v>
      </c>
      <c r="AO1499" t="n">
        <v>0</v>
      </c>
      <c r="AP1499" t="n">
        <v>4</v>
      </c>
      <c r="AQ1499" t="n">
        <v>47</v>
      </c>
      <c r="AR1499" t="n">
        <v>178</v>
      </c>
      <c r="AS1499" t="n">
        <v>133</v>
      </c>
      <c r="AT1499" t="n">
        <v>5</v>
      </c>
      <c r="AU1499" t="n">
        <v>0</v>
      </c>
      <c r="AV1499" t="n">
        <v>32</v>
      </c>
      <c r="AW1499" t="n">
        <v>4</v>
      </c>
      <c r="AX1499" t="n">
        <v>0</v>
      </c>
      <c r="AY1499" t="n">
        <v>1</v>
      </c>
      <c r="AZ1499" t="n">
        <v>2</v>
      </c>
      <c r="BA1499" t="n">
        <v>7</v>
      </c>
      <c r="BB1499" t="n">
        <v>55</v>
      </c>
      <c r="BC1499" t="n">
        <v>43</v>
      </c>
      <c r="BD1499" t="n">
        <v>24</v>
      </c>
      <c r="BE1499" t="n">
        <v>12</v>
      </c>
      <c r="BF1499" t="n">
        <v>17</v>
      </c>
      <c r="BG1499" t="n">
        <v>3</v>
      </c>
      <c r="BH1499" t="n">
        <v>8</v>
      </c>
      <c r="BI1499" t="n">
        <v>50</v>
      </c>
      <c r="BJ1499" t="n">
        <v>46</v>
      </c>
      <c r="BK1499" t="n">
        <v>3</v>
      </c>
      <c r="BL1499" t="n">
        <v>16</v>
      </c>
      <c r="BM1499" t="n">
        <v>12</v>
      </c>
      <c r="BN1499" t="n">
        <v>1</v>
      </c>
      <c r="BO1499" t="n">
        <v>7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139</v>
      </c>
      <c r="Z1500" t="n">
        <v>168</v>
      </c>
      <c r="AA1500" t="n">
        <v>41</v>
      </c>
      <c r="AB1500" t="n">
        <v>0</v>
      </c>
      <c r="AC1500" t="n">
        <v>2</v>
      </c>
      <c r="AD1500" t="n">
        <v>3</v>
      </c>
      <c r="AE1500" t="n">
        <v>1</v>
      </c>
      <c r="AF1500" t="n">
        <v>8</v>
      </c>
      <c r="AG1500" t="n">
        <v>2</v>
      </c>
      <c r="AH1500" t="n">
        <v>23</v>
      </c>
      <c r="AI1500" t="n">
        <v>28</v>
      </c>
      <c r="AJ1500" t="n">
        <v>56</v>
      </c>
      <c r="AK1500" t="n">
        <v>13</v>
      </c>
      <c r="AL1500" t="n">
        <v>5</v>
      </c>
      <c r="AM1500" t="n">
        <v>68</v>
      </c>
      <c r="AN1500" t="n">
        <v>0</v>
      </c>
      <c r="AO1500" t="n">
        <v>0</v>
      </c>
      <c r="AP1500" t="n">
        <v>3</v>
      </c>
      <c r="AQ1500" t="n">
        <v>16</v>
      </c>
      <c r="AR1500" t="n">
        <v>45</v>
      </c>
      <c r="AS1500" t="n">
        <v>33</v>
      </c>
      <c r="AT1500" t="n">
        <v>1</v>
      </c>
      <c r="AU1500" t="n">
        <v>2</v>
      </c>
      <c r="AV1500" t="n">
        <v>1</v>
      </c>
      <c r="AW1500" t="n">
        <v>27</v>
      </c>
      <c r="AX1500" t="n">
        <v>23</v>
      </c>
      <c r="AY1500" t="n">
        <v>39</v>
      </c>
      <c r="AZ1500" t="n">
        <v>0</v>
      </c>
      <c r="BA1500" t="n">
        <v>4</v>
      </c>
      <c r="BB1500" t="n">
        <v>40</v>
      </c>
      <c r="BC1500" t="n">
        <v>58</v>
      </c>
      <c r="BD1500" t="n">
        <v>19</v>
      </c>
      <c r="BE1500" t="n">
        <v>30</v>
      </c>
      <c r="BF1500" t="n">
        <v>55</v>
      </c>
      <c r="BG1500" t="n">
        <v>1</v>
      </c>
      <c r="BH1500" t="n">
        <v>5</v>
      </c>
      <c r="BI1500" t="n">
        <v>27</v>
      </c>
      <c r="BJ1500" t="n">
        <v>24</v>
      </c>
      <c r="BK1500" t="n">
        <v>3</v>
      </c>
      <c r="BL1500" t="n">
        <v>9</v>
      </c>
      <c r="BM1500" t="n">
        <v>21</v>
      </c>
      <c r="BN1500" t="n">
        <v>10</v>
      </c>
      <c r="BO1500" t="n">
        <v>11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2</v>
      </c>
      <c r="T1501" t="n">
        <v>2</v>
      </c>
      <c r="U1501" t="n">
        <v>0</v>
      </c>
      <c r="V1501" t="n">
        <v>0</v>
      </c>
      <c r="W1501" t="n">
        <v>0</v>
      </c>
      <c r="X1501" t="n">
        <v>0</v>
      </c>
      <c r="Y1501" t="n">
        <v>84</v>
      </c>
      <c r="Z1501" t="n">
        <v>43</v>
      </c>
      <c r="AA1501" t="n">
        <v>62</v>
      </c>
      <c r="AB1501" t="n">
        <v>1</v>
      </c>
      <c r="AC1501" t="n">
        <v>2</v>
      </c>
      <c r="AD1501" t="n">
        <v>2</v>
      </c>
      <c r="AE1501" t="n">
        <v>6</v>
      </c>
      <c r="AF1501" t="n">
        <v>2</v>
      </c>
      <c r="AG1501" t="n">
        <v>3</v>
      </c>
      <c r="AH1501" t="n">
        <v>2</v>
      </c>
      <c r="AI1501" t="n">
        <v>21</v>
      </c>
      <c r="AJ1501" t="n">
        <v>31</v>
      </c>
      <c r="AK1501" t="n">
        <v>22</v>
      </c>
      <c r="AL1501" t="n">
        <v>1</v>
      </c>
      <c r="AM1501" t="n">
        <v>2</v>
      </c>
      <c r="AN1501" t="n">
        <v>0</v>
      </c>
      <c r="AO1501" t="n">
        <v>0</v>
      </c>
      <c r="AP1501" t="n">
        <v>0</v>
      </c>
      <c r="AQ1501" t="n">
        <v>6</v>
      </c>
      <c r="AR1501" t="n">
        <v>62</v>
      </c>
      <c r="AS1501" t="n">
        <v>55</v>
      </c>
      <c r="AT1501" t="n">
        <v>1</v>
      </c>
      <c r="AU1501" t="n">
        <v>1</v>
      </c>
      <c r="AV1501" t="n">
        <v>11</v>
      </c>
      <c r="AW1501" t="n">
        <v>1</v>
      </c>
      <c r="AX1501" t="n">
        <v>2</v>
      </c>
      <c r="AY1501" t="n">
        <v>73</v>
      </c>
      <c r="AZ1501" t="n">
        <v>4</v>
      </c>
      <c r="BA1501" t="n">
        <v>18</v>
      </c>
      <c r="BB1501" t="n">
        <v>77</v>
      </c>
      <c r="BC1501" t="n">
        <v>13</v>
      </c>
      <c r="BD1501" t="n">
        <v>8</v>
      </c>
      <c r="BE1501" t="n">
        <v>9</v>
      </c>
      <c r="BF1501" t="n">
        <v>39</v>
      </c>
      <c r="BG1501" t="n">
        <v>4</v>
      </c>
      <c r="BH1501" t="n">
        <v>2</v>
      </c>
      <c r="BI1501" t="n">
        <v>5</v>
      </c>
      <c r="BJ1501" t="n">
        <v>17</v>
      </c>
      <c r="BK1501" t="n">
        <v>0</v>
      </c>
      <c r="BL1501" t="n">
        <v>1</v>
      </c>
      <c r="BM1501" t="n">
        <v>2</v>
      </c>
      <c r="BN1501" t="n">
        <v>0</v>
      </c>
      <c r="BO1501" t="n">
        <v>21</v>
      </c>
    </row>
    <row r="1502">
      <c r="A1502" t="n">
        <v>0</v>
      </c>
      <c r="B1502" t="n">
        <v>0</v>
      </c>
      <c r="C1502" t="n">
        <v>0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235</v>
      </c>
      <c r="Z1502" t="n">
        <v>132</v>
      </c>
      <c r="AA1502" t="n">
        <v>40</v>
      </c>
      <c r="AB1502" t="n">
        <v>3</v>
      </c>
      <c r="AC1502" t="n">
        <v>0</v>
      </c>
      <c r="AD1502" t="n">
        <v>8</v>
      </c>
      <c r="AE1502" t="n">
        <v>2</v>
      </c>
      <c r="AF1502" t="n">
        <v>7</v>
      </c>
      <c r="AG1502" t="n">
        <v>3</v>
      </c>
      <c r="AH1502" t="n">
        <v>88</v>
      </c>
      <c r="AI1502" t="n">
        <v>31</v>
      </c>
      <c r="AJ1502" t="n">
        <v>37</v>
      </c>
      <c r="AK1502" t="n">
        <v>39</v>
      </c>
      <c r="AL1502" t="n">
        <v>2</v>
      </c>
      <c r="AM1502" t="n">
        <v>36</v>
      </c>
      <c r="AN1502" t="n">
        <v>0</v>
      </c>
      <c r="AO1502" t="n">
        <v>0</v>
      </c>
      <c r="AP1502" t="n">
        <v>3</v>
      </c>
      <c r="AQ1502" t="n">
        <v>12</v>
      </c>
      <c r="AR1502" t="n">
        <v>38</v>
      </c>
      <c r="AS1502" t="n">
        <v>28</v>
      </c>
      <c r="AT1502" t="n">
        <v>6</v>
      </c>
      <c r="AU1502" t="n">
        <v>2</v>
      </c>
      <c r="AV1502" t="n">
        <v>53</v>
      </c>
      <c r="AW1502" t="n">
        <v>16</v>
      </c>
      <c r="AX1502" t="n">
        <v>7</v>
      </c>
      <c r="AY1502" t="n">
        <v>31</v>
      </c>
      <c r="AZ1502" t="n">
        <v>3</v>
      </c>
      <c r="BA1502" t="n">
        <v>11</v>
      </c>
      <c r="BB1502" t="n">
        <v>50</v>
      </c>
      <c r="BC1502" t="n">
        <v>35</v>
      </c>
      <c r="BD1502" t="n">
        <v>87</v>
      </c>
      <c r="BE1502" t="n">
        <v>16</v>
      </c>
      <c r="BF1502" t="n">
        <v>34</v>
      </c>
      <c r="BG1502" t="n">
        <v>4</v>
      </c>
      <c r="BH1502" t="n">
        <v>9</v>
      </c>
      <c r="BI1502" t="n">
        <v>32</v>
      </c>
      <c r="BJ1502" t="n">
        <v>29</v>
      </c>
      <c r="BK1502" t="n">
        <v>2</v>
      </c>
      <c r="BL1502" t="n">
        <v>18</v>
      </c>
      <c r="BM1502" t="n">
        <v>16</v>
      </c>
      <c r="BN1502" t="n">
        <v>4</v>
      </c>
      <c r="BO1502" t="n">
        <v>11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2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359</v>
      </c>
      <c r="Z1503" t="n">
        <v>220</v>
      </c>
      <c r="AA1503" t="n">
        <v>117</v>
      </c>
      <c r="AB1503" t="n">
        <v>1</v>
      </c>
      <c r="AC1503" t="n">
        <v>1</v>
      </c>
      <c r="AD1503" t="n">
        <v>7</v>
      </c>
      <c r="AE1503" t="n">
        <v>7</v>
      </c>
      <c r="AF1503" t="n">
        <v>7</v>
      </c>
      <c r="AG1503" t="n">
        <v>3</v>
      </c>
      <c r="AH1503" t="n">
        <v>133</v>
      </c>
      <c r="AI1503" t="n">
        <v>131</v>
      </c>
      <c r="AJ1503" t="n">
        <v>62</v>
      </c>
      <c r="AK1503" t="n">
        <v>78</v>
      </c>
      <c r="AL1503" t="n">
        <v>5</v>
      </c>
      <c r="AM1503" t="n">
        <v>32</v>
      </c>
      <c r="AN1503" t="n">
        <v>0</v>
      </c>
      <c r="AO1503" t="n">
        <v>0</v>
      </c>
      <c r="AP1503" t="n">
        <v>5</v>
      </c>
      <c r="AQ1503" t="n">
        <v>44</v>
      </c>
      <c r="AR1503" t="n">
        <v>130</v>
      </c>
      <c r="AS1503" t="n">
        <v>93</v>
      </c>
      <c r="AT1503" t="n">
        <v>4</v>
      </c>
      <c r="AU1503" t="n">
        <v>1</v>
      </c>
      <c r="AV1503" t="n">
        <v>55</v>
      </c>
      <c r="AW1503" t="n">
        <v>8</v>
      </c>
      <c r="AX1503" t="n">
        <v>0</v>
      </c>
      <c r="AY1503" t="n">
        <v>32</v>
      </c>
      <c r="AZ1503" t="n">
        <v>5</v>
      </c>
      <c r="BA1503" t="n">
        <v>33</v>
      </c>
      <c r="BB1503" t="n">
        <v>143</v>
      </c>
      <c r="BC1503" t="n">
        <v>27</v>
      </c>
      <c r="BD1503" t="n">
        <v>122</v>
      </c>
      <c r="BE1503" t="n">
        <v>9</v>
      </c>
      <c r="BF1503" t="n">
        <v>48</v>
      </c>
      <c r="BG1503" t="n">
        <v>4</v>
      </c>
      <c r="BH1503" t="n">
        <v>0</v>
      </c>
      <c r="BI1503" t="n">
        <v>25</v>
      </c>
      <c r="BJ1503" t="n">
        <v>25</v>
      </c>
      <c r="BK1503" t="n">
        <v>3</v>
      </c>
      <c r="BL1503" t="n">
        <v>1</v>
      </c>
      <c r="BM1503" t="n">
        <v>8</v>
      </c>
      <c r="BN1503" t="n">
        <v>4</v>
      </c>
      <c r="BO1503" t="n">
        <v>2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2</v>
      </c>
      <c r="U1504" t="n">
        <v>0</v>
      </c>
      <c r="V1504" t="n">
        <v>0</v>
      </c>
      <c r="W1504" t="n">
        <v>0</v>
      </c>
      <c r="X1504" t="n">
        <v>0</v>
      </c>
      <c r="Y1504" t="n">
        <v>222</v>
      </c>
      <c r="Z1504" t="n">
        <v>143</v>
      </c>
      <c r="AA1504" t="n">
        <v>77</v>
      </c>
      <c r="AB1504" t="n">
        <v>0</v>
      </c>
      <c r="AC1504" t="n">
        <v>0</v>
      </c>
      <c r="AD1504" t="n">
        <v>2</v>
      </c>
      <c r="AE1504" t="n">
        <v>4</v>
      </c>
      <c r="AF1504" t="n">
        <v>1</v>
      </c>
      <c r="AG1504" t="n">
        <v>3</v>
      </c>
      <c r="AH1504" t="n">
        <v>21</v>
      </c>
      <c r="AI1504" t="n">
        <v>25</v>
      </c>
      <c r="AJ1504" t="n">
        <v>55</v>
      </c>
      <c r="AK1504" t="n">
        <v>51</v>
      </c>
      <c r="AL1504" t="n">
        <v>1</v>
      </c>
      <c r="AM1504" t="n">
        <v>9</v>
      </c>
      <c r="AN1504" t="n">
        <v>0</v>
      </c>
      <c r="AO1504" t="n">
        <v>0</v>
      </c>
      <c r="AP1504" t="n">
        <v>1</v>
      </c>
      <c r="AQ1504" t="n">
        <v>3</v>
      </c>
      <c r="AR1504" t="n">
        <v>67</v>
      </c>
      <c r="AS1504" t="n">
        <v>61</v>
      </c>
      <c r="AT1504" t="n">
        <v>2</v>
      </c>
      <c r="AU1504" t="n">
        <v>1</v>
      </c>
      <c r="AV1504" t="n">
        <v>1</v>
      </c>
      <c r="AW1504" t="n">
        <v>35</v>
      </c>
      <c r="AX1504" t="n">
        <v>3</v>
      </c>
      <c r="AY1504" t="n">
        <v>10</v>
      </c>
      <c r="AZ1504" t="n">
        <v>0</v>
      </c>
      <c r="BA1504" t="n">
        <v>1</v>
      </c>
      <c r="BB1504" t="n">
        <v>75</v>
      </c>
      <c r="BC1504" t="n">
        <v>5</v>
      </c>
      <c r="BD1504" t="n">
        <v>21</v>
      </c>
      <c r="BE1504" t="n">
        <v>35</v>
      </c>
      <c r="BF1504" t="n">
        <v>43</v>
      </c>
      <c r="BG1504" t="n">
        <v>1</v>
      </c>
      <c r="BH1504" t="n">
        <v>12</v>
      </c>
      <c r="BI1504" t="n">
        <v>9</v>
      </c>
      <c r="BJ1504" t="n">
        <v>7</v>
      </c>
      <c r="BK1504" t="n">
        <v>1</v>
      </c>
      <c r="BL1504" t="n">
        <v>1</v>
      </c>
      <c r="BM1504" t="n">
        <v>25</v>
      </c>
      <c r="BN1504" t="n">
        <v>14</v>
      </c>
      <c r="BO1504" t="n">
        <v>2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2</v>
      </c>
      <c r="V1505" t="n">
        <v>0</v>
      </c>
      <c r="W1505" t="n">
        <v>0</v>
      </c>
      <c r="X1505" t="n">
        <v>0</v>
      </c>
      <c r="Y1505" t="n">
        <v>416</v>
      </c>
      <c r="Z1505" t="n">
        <v>117</v>
      </c>
      <c r="AA1505" t="n">
        <v>45</v>
      </c>
      <c r="AB1505" t="n">
        <v>2</v>
      </c>
      <c r="AC1505" t="n">
        <v>3</v>
      </c>
      <c r="AD1505" t="n">
        <v>3</v>
      </c>
      <c r="AE1505" t="n">
        <v>8</v>
      </c>
      <c r="AF1505" t="n">
        <v>4</v>
      </c>
      <c r="AG1505" t="n">
        <v>1</v>
      </c>
      <c r="AH1505" t="n">
        <v>65</v>
      </c>
      <c r="AI1505" t="n">
        <v>44</v>
      </c>
      <c r="AJ1505" t="n">
        <v>58</v>
      </c>
      <c r="AK1505" t="n">
        <v>32</v>
      </c>
      <c r="AL1505" t="n">
        <v>1</v>
      </c>
      <c r="AM1505" t="n">
        <v>28</v>
      </c>
      <c r="AN1505" t="n">
        <v>0</v>
      </c>
      <c r="AO1505" t="n">
        <v>2</v>
      </c>
      <c r="AP1505" t="n">
        <v>3</v>
      </c>
      <c r="AQ1505" t="n">
        <v>77</v>
      </c>
      <c r="AR1505" t="n">
        <v>149</v>
      </c>
      <c r="AS1505" t="n">
        <v>84</v>
      </c>
      <c r="AT1505" t="n">
        <v>1</v>
      </c>
      <c r="AU1505" t="n">
        <v>1</v>
      </c>
      <c r="AV1505" t="n">
        <v>1</v>
      </c>
      <c r="AW1505" t="n">
        <v>3</v>
      </c>
      <c r="AX1505" t="n">
        <v>5</v>
      </c>
      <c r="AY1505" t="n">
        <v>13</v>
      </c>
      <c r="AZ1505" t="n">
        <v>0</v>
      </c>
      <c r="BA1505" t="n">
        <v>1</v>
      </c>
      <c r="BB1505" t="n">
        <v>45</v>
      </c>
      <c r="BC1505" t="n">
        <v>55</v>
      </c>
      <c r="BD1505" t="n">
        <v>76</v>
      </c>
      <c r="BE1505" t="n">
        <v>1</v>
      </c>
      <c r="BF1505" t="n">
        <v>47</v>
      </c>
      <c r="BG1505" t="n">
        <v>2</v>
      </c>
      <c r="BH1505" t="n">
        <v>45</v>
      </c>
      <c r="BI1505" t="n">
        <v>22</v>
      </c>
      <c r="BJ1505" t="n">
        <v>20</v>
      </c>
      <c r="BK1505" t="n">
        <v>6</v>
      </c>
      <c r="BL1505" t="n">
        <v>65</v>
      </c>
      <c r="BM1505" t="n">
        <v>64</v>
      </c>
      <c r="BN1505" t="n">
        <v>15</v>
      </c>
      <c r="BO1505" t="n">
        <v>70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260</v>
      </c>
      <c r="Z1506" t="n">
        <v>155</v>
      </c>
      <c r="AA1506" t="n">
        <v>98</v>
      </c>
      <c r="AB1506" t="n">
        <v>1</v>
      </c>
      <c r="AC1506" t="n">
        <v>2</v>
      </c>
      <c r="AD1506" t="n">
        <v>3</v>
      </c>
      <c r="AE1506" t="n">
        <v>4</v>
      </c>
      <c r="AF1506" t="n">
        <v>8</v>
      </c>
      <c r="AG1506" t="n">
        <v>5</v>
      </c>
      <c r="AH1506" t="n">
        <v>72</v>
      </c>
      <c r="AI1506" t="n">
        <v>54</v>
      </c>
      <c r="AJ1506" t="n">
        <v>123</v>
      </c>
      <c r="AK1506" t="n">
        <v>74</v>
      </c>
      <c r="AL1506" t="n">
        <v>2</v>
      </c>
      <c r="AM1506" t="n">
        <v>25</v>
      </c>
      <c r="AN1506" t="n">
        <v>3</v>
      </c>
      <c r="AO1506" t="n">
        <v>0</v>
      </c>
      <c r="AP1506" t="n">
        <v>3</v>
      </c>
      <c r="AQ1506" t="n">
        <v>10</v>
      </c>
      <c r="AR1506" t="n">
        <v>31</v>
      </c>
      <c r="AS1506" t="n">
        <v>23</v>
      </c>
      <c r="AT1506" t="n">
        <v>2</v>
      </c>
      <c r="AU1506" t="n">
        <v>2</v>
      </c>
      <c r="AV1506" t="n">
        <v>12</v>
      </c>
      <c r="AW1506" t="n">
        <v>15</v>
      </c>
      <c r="AX1506" t="n">
        <v>0</v>
      </c>
      <c r="AY1506" t="n">
        <v>66</v>
      </c>
      <c r="AZ1506" t="n">
        <v>1</v>
      </c>
      <c r="BA1506" t="n">
        <v>9</v>
      </c>
      <c r="BB1506" t="n">
        <v>103</v>
      </c>
      <c r="BC1506" t="n">
        <v>41</v>
      </c>
      <c r="BD1506" t="n">
        <v>69</v>
      </c>
      <c r="BE1506" t="n">
        <v>21</v>
      </c>
      <c r="BF1506" t="n">
        <v>98</v>
      </c>
      <c r="BG1506" t="n">
        <v>2</v>
      </c>
      <c r="BH1506" t="n">
        <v>1</v>
      </c>
      <c r="BI1506" t="n">
        <v>14</v>
      </c>
      <c r="BJ1506" t="n">
        <v>15</v>
      </c>
      <c r="BK1506" t="n">
        <v>0</v>
      </c>
      <c r="BL1506" t="n">
        <v>1</v>
      </c>
      <c r="BM1506" t="n">
        <v>19</v>
      </c>
      <c r="BN1506" t="n">
        <v>11</v>
      </c>
      <c r="BO1506" t="n">
        <v>2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1</v>
      </c>
      <c r="V1507" t="n">
        <v>0</v>
      </c>
      <c r="W1507" t="n">
        <v>0</v>
      </c>
      <c r="X1507" t="n">
        <v>0</v>
      </c>
      <c r="Y1507" t="n">
        <v>228</v>
      </c>
      <c r="Z1507" t="n">
        <v>247</v>
      </c>
      <c r="AA1507" t="n">
        <v>24</v>
      </c>
      <c r="AB1507" t="n">
        <v>2</v>
      </c>
      <c r="AC1507" t="n">
        <v>0</v>
      </c>
      <c r="AD1507" t="n">
        <v>10</v>
      </c>
      <c r="AE1507" t="n">
        <v>5</v>
      </c>
      <c r="AF1507" t="n">
        <v>6</v>
      </c>
      <c r="AG1507" t="n">
        <v>6</v>
      </c>
      <c r="AH1507" t="n">
        <v>113</v>
      </c>
      <c r="AI1507" t="n">
        <v>45</v>
      </c>
      <c r="AJ1507" t="n">
        <v>51</v>
      </c>
      <c r="AK1507" t="n">
        <v>45</v>
      </c>
      <c r="AL1507" t="n">
        <v>4</v>
      </c>
      <c r="AM1507" t="n">
        <v>51</v>
      </c>
      <c r="AN1507" t="n">
        <v>0</v>
      </c>
      <c r="AO1507" t="n">
        <v>0</v>
      </c>
      <c r="AP1507" t="n">
        <v>6</v>
      </c>
      <c r="AQ1507" t="n">
        <v>30</v>
      </c>
      <c r="AR1507" t="n">
        <v>194</v>
      </c>
      <c r="AS1507" t="n">
        <v>165</v>
      </c>
      <c r="AT1507" t="n">
        <v>2</v>
      </c>
      <c r="AU1507" t="n">
        <v>3</v>
      </c>
      <c r="AV1507" t="n">
        <v>14</v>
      </c>
      <c r="AW1507" t="n">
        <v>36</v>
      </c>
      <c r="AX1507" t="n">
        <v>6</v>
      </c>
      <c r="AY1507" t="n">
        <v>83</v>
      </c>
      <c r="AZ1507" t="n">
        <v>5</v>
      </c>
      <c r="BA1507" t="n">
        <v>17</v>
      </c>
      <c r="BB1507" t="n">
        <v>41</v>
      </c>
      <c r="BC1507" t="n">
        <v>48</v>
      </c>
      <c r="BD1507" t="n">
        <v>102</v>
      </c>
      <c r="BE1507" t="n">
        <v>45</v>
      </c>
      <c r="BF1507" t="n">
        <v>41</v>
      </c>
      <c r="BG1507" t="n">
        <v>1</v>
      </c>
      <c r="BH1507" t="n">
        <v>1</v>
      </c>
      <c r="BI1507" t="n">
        <v>1</v>
      </c>
      <c r="BJ1507" t="n">
        <v>6</v>
      </c>
      <c r="BK1507" t="n">
        <v>4</v>
      </c>
      <c r="BL1507" t="n">
        <v>43</v>
      </c>
      <c r="BM1507" t="n">
        <v>29</v>
      </c>
      <c r="BN1507" t="n">
        <v>1</v>
      </c>
      <c r="BO1507" t="n">
        <v>14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295</v>
      </c>
      <c r="Z1508" t="n">
        <v>150</v>
      </c>
      <c r="AA1508" t="n">
        <v>43</v>
      </c>
      <c r="AB1508" t="n">
        <v>1</v>
      </c>
      <c r="AC1508" t="n">
        <v>1</v>
      </c>
      <c r="AD1508" t="n">
        <v>3</v>
      </c>
      <c r="AE1508" t="n">
        <v>2</v>
      </c>
      <c r="AF1508" t="n">
        <v>2</v>
      </c>
      <c r="AG1508" t="n">
        <v>5</v>
      </c>
      <c r="AH1508" t="n">
        <v>96</v>
      </c>
      <c r="AI1508" t="n">
        <v>31</v>
      </c>
      <c r="AJ1508" t="n">
        <v>48</v>
      </c>
      <c r="AK1508" t="n">
        <v>36</v>
      </c>
      <c r="AL1508" t="n">
        <v>0</v>
      </c>
      <c r="AM1508" t="n">
        <v>9</v>
      </c>
      <c r="AN1508" t="n">
        <v>0</v>
      </c>
      <c r="AO1508" t="n">
        <v>0</v>
      </c>
      <c r="AP1508" t="n">
        <v>8</v>
      </c>
      <c r="AQ1508" t="n">
        <v>61</v>
      </c>
      <c r="AR1508" t="n">
        <v>142</v>
      </c>
      <c r="AS1508" t="n">
        <v>91</v>
      </c>
      <c r="AT1508" t="n">
        <v>3</v>
      </c>
      <c r="AU1508" t="n">
        <v>1</v>
      </c>
      <c r="AV1508" t="n">
        <v>3</v>
      </c>
      <c r="AW1508" t="n">
        <v>35</v>
      </c>
      <c r="AX1508" t="n">
        <v>0</v>
      </c>
      <c r="AY1508" t="n">
        <v>46</v>
      </c>
      <c r="AZ1508" t="n">
        <v>1</v>
      </c>
      <c r="BA1508" t="n">
        <v>9</v>
      </c>
      <c r="BB1508" t="n">
        <v>50</v>
      </c>
      <c r="BC1508" t="n">
        <v>2</v>
      </c>
      <c r="BD1508" t="n">
        <v>94</v>
      </c>
      <c r="BE1508" t="n">
        <v>35</v>
      </c>
      <c r="BF1508" t="n">
        <v>38</v>
      </c>
      <c r="BG1508" t="n">
        <v>8</v>
      </c>
      <c r="BH1508" t="n">
        <v>1</v>
      </c>
      <c r="BI1508" t="n">
        <v>95</v>
      </c>
      <c r="BJ1508" t="n">
        <v>87</v>
      </c>
      <c r="BK1508" t="n">
        <v>0</v>
      </c>
      <c r="BL1508" t="n">
        <v>1</v>
      </c>
      <c r="BM1508" t="n">
        <v>8</v>
      </c>
      <c r="BN1508" t="n">
        <v>4</v>
      </c>
      <c r="BO1508" t="n">
        <v>42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2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425</v>
      </c>
      <c r="Z1509" t="n">
        <v>186</v>
      </c>
      <c r="AA1509" t="n">
        <v>70</v>
      </c>
      <c r="AB1509" t="n">
        <v>2</v>
      </c>
      <c r="AC1509" t="n">
        <v>0</v>
      </c>
      <c r="AD1509" t="n">
        <v>10</v>
      </c>
      <c r="AE1509" t="n">
        <v>6</v>
      </c>
      <c r="AF1509" t="n">
        <v>6</v>
      </c>
      <c r="AG1509" t="n">
        <v>7</v>
      </c>
      <c r="AH1509" t="n">
        <v>164</v>
      </c>
      <c r="AI1509" t="n">
        <v>73</v>
      </c>
      <c r="AJ1509" t="n">
        <v>55</v>
      </c>
      <c r="AK1509" t="n">
        <v>99</v>
      </c>
      <c r="AL1509" t="n">
        <v>3</v>
      </c>
      <c r="AM1509" t="n">
        <v>58</v>
      </c>
      <c r="AN1509" t="n">
        <v>0</v>
      </c>
      <c r="AO1509" t="n">
        <v>1</v>
      </c>
      <c r="AP1509" t="n">
        <v>8</v>
      </c>
      <c r="AQ1509" t="n">
        <v>50</v>
      </c>
      <c r="AR1509" t="n">
        <v>137</v>
      </c>
      <c r="AS1509" t="n">
        <v>95</v>
      </c>
      <c r="AT1509" t="n">
        <v>2</v>
      </c>
      <c r="AU1509" t="n">
        <v>1</v>
      </c>
      <c r="AV1509" t="n">
        <v>13</v>
      </c>
      <c r="AW1509" t="n">
        <v>1</v>
      </c>
      <c r="AX1509" t="n">
        <v>19</v>
      </c>
      <c r="AY1509" t="n">
        <v>98</v>
      </c>
      <c r="AZ1509" t="n">
        <v>0</v>
      </c>
      <c r="BA1509" t="n">
        <v>8</v>
      </c>
      <c r="BB1509" t="n">
        <v>74</v>
      </c>
      <c r="BC1509" t="n">
        <v>63</v>
      </c>
      <c r="BD1509" t="n">
        <v>163</v>
      </c>
      <c r="BE1509" t="n">
        <v>3</v>
      </c>
      <c r="BF1509" t="n">
        <v>44</v>
      </c>
      <c r="BG1509" t="n">
        <v>2</v>
      </c>
      <c r="BH1509" t="n">
        <v>14</v>
      </c>
      <c r="BI1509" t="n">
        <v>9</v>
      </c>
      <c r="BJ1509" t="n">
        <v>13</v>
      </c>
      <c r="BK1509" t="n">
        <v>3</v>
      </c>
      <c r="BL1509" t="n">
        <v>44</v>
      </c>
      <c r="BM1509" t="n">
        <v>33</v>
      </c>
      <c r="BN1509" t="n">
        <v>3</v>
      </c>
      <c r="BO1509" t="n">
        <v>105</v>
      </c>
    </row>
    <row r="1510">
      <c r="A1510" t="n">
        <v>1</v>
      </c>
      <c r="B1510" t="n">
        <v>0</v>
      </c>
      <c r="C1510" t="n">
        <v>0</v>
      </c>
      <c r="D1510" t="n">
        <v>2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2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201</v>
      </c>
      <c r="Z1510" t="n">
        <v>169</v>
      </c>
      <c r="AA1510" t="n">
        <v>24</v>
      </c>
      <c r="AB1510" t="n">
        <v>5</v>
      </c>
      <c r="AC1510" t="n">
        <v>0</v>
      </c>
      <c r="AD1510" t="n">
        <v>2</v>
      </c>
      <c r="AE1510" t="n">
        <v>4</v>
      </c>
      <c r="AF1510" t="n">
        <v>4</v>
      </c>
      <c r="AG1510" t="n">
        <v>8</v>
      </c>
      <c r="AH1510" t="n">
        <v>39</v>
      </c>
      <c r="AI1510" t="n">
        <v>55</v>
      </c>
      <c r="AJ1510" t="n">
        <v>71</v>
      </c>
      <c r="AK1510" t="n">
        <v>44</v>
      </c>
      <c r="AL1510" t="n">
        <v>6</v>
      </c>
      <c r="AM1510" t="n">
        <v>44</v>
      </c>
      <c r="AN1510" t="n">
        <v>0</v>
      </c>
      <c r="AO1510" t="n">
        <v>1</v>
      </c>
      <c r="AP1510" t="n">
        <v>5</v>
      </c>
      <c r="AQ1510" t="n">
        <v>52</v>
      </c>
      <c r="AR1510" t="n">
        <v>84</v>
      </c>
      <c r="AS1510" t="n">
        <v>41</v>
      </c>
      <c r="AT1510" t="n">
        <v>0</v>
      </c>
      <c r="AU1510" t="n">
        <v>0</v>
      </c>
      <c r="AV1510" t="n">
        <v>22</v>
      </c>
      <c r="AW1510" t="n">
        <v>7</v>
      </c>
      <c r="AX1510" t="n">
        <v>7</v>
      </c>
      <c r="AY1510" t="n">
        <v>15</v>
      </c>
      <c r="AZ1510" t="n">
        <v>0</v>
      </c>
      <c r="BA1510" t="n">
        <v>8</v>
      </c>
      <c r="BB1510" t="n">
        <v>29</v>
      </c>
      <c r="BC1510" t="n">
        <v>37</v>
      </c>
      <c r="BD1510" t="n">
        <v>48</v>
      </c>
      <c r="BE1510" t="n">
        <v>6</v>
      </c>
      <c r="BF1510" t="n">
        <v>57</v>
      </c>
      <c r="BG1510" t="n">
        <v>0</v>
      </c>
      <c r="BH1510" t="n">
        <v>6</v>
      </c>
      <c r="BI1510" t="n">
        <v>4</v>
      </c>
      <c r="BJ1510" t="n">
        <v>2</v>
      </c>
      <c r="BK1510" t="n">
        <v>2</v>
      </c>
      <c r="BL1510" t="n">
        <v>1</v>
      </c>
      <c r="BM1510" t="n">
        <v>1</v>
      </c>
      <c r="BN1510" t="n">
        <v>0</v>
      </c>
      <c r="BO1510" t="n">
        <v>2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2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240</v>
      </c>
      <c r="Z1511" t="n">
        <v>184</v>
      </c>
      <c r="AA1511" t="n">
        <v>103</v>
      </c>
      <c r="AB1511" t="n">
        <v>0</v>
      </c>
      <c r="AC1511" t="n">
        <v>0</v>
      </c>
      <c r="AD1511" t="n">
        <v>3</v>
      </c>
      <c r="AE1511" t="n">
        <v>2</v>
      </c>
      <c r="AF1511" t="n">
        <v>3</v>
      </c>
      <c r="AG1511" t="n">
        <v>0</v>
      </c>
      <c r="AH1511" t="n">
        <v>47</v>
      </c>
      <c r="AI1511" t="n">
        <v>8</v>
      </c>
      <c r="AJ1511" t="n">
        <v>27</v>
      </c>
      <c r="AK1511" t="n">
        <v>1</v>
      </c>
      <c r="AL1511" t="n">
        <v>0</v>
      </c>
      <c r="AM1511" t="n">
        <v>2</v>
      </c>
      <c r="AN1511" t="n">
        <v>0</v>
      </c>
      <c r="AO1511" t="n">
        <v>0</v>
      </c>
      <c r="AP1511" t="n">
        <v>1</v>
      </c>
      <c r="AQ1511" t="n">
        <v>1</v>
      </c>
      <c r="AR1511" t="n">
        <v>229</v>
      </c>
      <c r="AS1511" t="n">
        <v>217</v>
      </c>
      <c r="AT1511" t="n">
        <v>1</v>
      </c>
      <c r="AU1511" t="n">
        <v>0</v>
      </c>
      <c r="AV1511" t="n">
        <v>46</v>
      </c>
      <c r="AW1511" t="n">
        <v>35</v>
      </c>
      <c r="AX1511" t="n">
        <v>6</v>
      </c>
      <c r="AY1511" t="n">
        <v>58</v>
      </c>
      <c r="AZ1511" t="n">
        <v>2</v>
      </c>
      <c r="BA1511" t="n">
        <v>15</v>
      </c>
      <c r="BB1511" t="n">
        <v>112</v>
      </c>
      <c r="BC1511" t="n">
        <v>2</v>
      </c>
      <c r="BD1511" t="n">
        <v>40</v>
      </c>
      <c r="BE1511" t="n">
        <v>37</v>
      </c>
      <c r="BF1511" t="n">
        <v>21</v>
      </c>
      <c r="BG1511" t="n">
        <v>0</v>
      </c>
      <c r="BH1511" t="n">
        <v>2</v>
      </c>
      <c r="BI1511" t="n">
        <v>27</v>
      </c>
      <c r="BJ1511" t="n">
        <v>25</v>
      </c>
      <c r="BK1511" t="n">
        <v>0</v>
      </c>
      <c r="BL1511" t="n">
        <v>55</v>
      </c>
      <c r="BM1511" t="n">
        <v>40</v>
      </c>
      <c r="BN1511" t="n">
        <v>2</v>
      </c>
      <c r="BO1511" t="n">
        <v>2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4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1</v>
      </c>
      <c r="V1512" t="n">
        <v>0</v>
      </c>
      <c r="W1512" t="n">
        <v>3</v>
      </c>
      <c r="X1512" t="n">
        <v>0</v>
      </c>
      <c r="Y1512" t="n">
        <v>251</v>
      </c>
      <c r="Z1512" t="n">
        <v>196</v>
      </c>
      <c r="AA1512" t="n">
        <v>75</v>
      </c>
      <c r="AB1512" t="n">
        <v>2</v>
      </c>
      <c r="AC1512" t="n">
        <v>3</v>
      </c>
      <c r="AD1512" t="n">
        <v>3</v>
      </c>
      <c r="AE1512" t="n">
        <v>5</v>
      </c>
      <c r="AF1512" t="n">
        <v>5</v>
      </c>
      <c r="AG1512" t="n">
        <v>0</v>
      </c>
      <c r="AH1512" t="n">
        <v>62</v>
      </c>
      <c r="AI1512" t="n">
        <v>86</v>
      </c>
      <c r="AJ1512" t="n">
        <v>62</v>
      </c>
      <c r="AK1512" t="n">
        <v>48</v>
      </c>
      <c r="AL1512" t="n">
        <v>4</v>
      </c>
      <c r="AM1512" t="n">
        <v>69</v>
      </c>
      <c r="AN1512" t="n">
        <v>0</v>
      </c>
      <c r="AO1512" t="n">
        <v>0</v>
      </c>
      <c r="AP1512" t="n">
        <v>1</v>
      </c>
      <c r="AQ1512" t="n">
        <v>7</v>
      </c>
      <c r="AR1512" t="n">
        <v>63</v>
      </c>
      <c r="AS1512" t="n">
        <v>57</v>
      </c>
      <c r="AT1512" t="n">
        <v>1</v>
      </c>
      <c r="AU1512" t="n">
        <v>0</v>
      </c>
      <c r="AV1512" t="n">
        <v>1</v>
      </c>
      <c r="AW1512" t="n">
        <v>1</v>
      </c>
      <c r="AX1512" t="n">
        <v>4</v>
      </c>
      <c r="AY1512" t="n">
        <v>52</v>
      </c>
      <c r="AZ1512" t="n">
        <v>0</v>
      </c>
      <c r="BA1512" t="n">
        <v>2</v>
      </c>
      <c r="BB1512" t="n">
        <v>73</v>
      </c>
      <c r="BC1512" t="n">
        <v>78</v>
      </c>
      <c r="BD1512" t="n">
        <v>56</v>
      </c>
      <c r="BE1512" t="n">
        <v>3</v>
      </c>
      <c r="BF1512" t="n">
        <v>55</v>
      </c>
      <c r="BG1512" t="n">
        <v>2</v>
      </c>
      <c r="BH1512" t="n">
        <v>11</v>
      </c>
      <c r="BI1512" t="n">
        <v>45</v>
      </c>
      <c r="BJ1512" t="n">
        <v>41</v>
      </c>
      <c r="BK1512" t="n">
        <v>3</v>
      </c>
      <c r="BL1512" t="n">
        <v>25</v>
      </c>
      <c r="BM1512" t="n">
        <v>43</v>
      </c>
      <c r="BN1512" t="n">
        <v>18</v>
      </c>
      <c r="BO1512" t="n">
        <v>16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3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296</v>
      </c>
      <c r="Z1513" t="n">
        <v>244</v>
      </c>
      <c r="AA1513" t="n">
        <v>44</v>
      </c>
      <c r="AB1513" t="n">
        <v>1</v>
      </c>
      <c r="AC1513" t="n">
        <v>3</v>
      </c>
      <c r="AD1513" t="n">
        <v>7</v>
      </c>
      <c r="AE1513" t="n">
        <v>7</v>
      </c>
      <c r="AF1513" t="n">
        <v>0</v>
      </c>
      <c r="AG1513" t="n">
        <v>2</v>
      </c>
      <c r="AH1513" t="n">
        <v>132</v>
      </c>
      <c r="AI1513" t="n">
        <v>116</v>
      </c>
      <c r="AJ1513" t="n">
        <v>10</v>
      </c>
      <c r="AK1513" t="n">
        <v>16</v>
      </c>
      <c r="AL1513" t="n">
        <v>4</v>
      </c>
      <c r="AM1513" t="n">
        <v>53</v>
      </c>
      <c r="AN1513" t="n">
        <v>0</v>
      </c>
      <c r="AO1513" t="n">
        <v>0</v>
      </c>
      <c r="AP1513" t="n">
        <v>3</v>
      </c>
      <c r="AQ1513" t="n">
        <v>1</v>
      </c>
      <c r="AR1513" t="n">
        <v>43</v>
      </c>
      <c r="AS1513" t="n">
        <v>37</v>
      </c>
      <c r="AT1513" t="n">
        <v>8</v>
      </c>
      <c r="AU1513" t="n">
        <v>0</v>
      </c>
      <c r="AV1513" t="n">
        <v>74</v>
      </c>
      <c r="AW1513" t="n">
        <v>18</v>
      </c>
      <c r="AX1513" t="n">
        <v>6</v>
      </c>
      <c r="AY1513" t="n">
        <v>39</v>
      </c>
      <c r="AZ1513" t="n">
        <v>1</v>
      </c>
      <c r="BA1513" t="n">
        <v>17</v>
      </c>
      <c r="BB1513" t="n">
        <v>59</v>
      </c>
      <c r="BC1513" t="n">
        <v>55</v>
      </c>
      <c r="BD1513" t="n">
        <v>125</v>
      </c>
      <c r="BE1513" t="n">
        <v>18</v>
      </c>
      <c r="BF1513" t="n">
        <v>7</v>
      </c>
      <c r="BG1513" t="n">
        <v>0</v>
      </c>
      <c r="BH1513" t="n">
        <v>11</v>
      </c>
      <c r="BI1513" t="n">
        <v>1</v>
      </c>
      <c r="BJ1513" t="n">
        <v>42</v>
      </c>
      <c r="BK1513" t="n">
        <v>0</v>
      </c>
      <c r="BL1513" t="n">
        <v>10</v>
      </c>
      <c r="BM1513" t="n">
        <v>9</v>
      </c>
      <c r="BN1513" t="n">
        <v>2</v>
      </c>
      <c r="BO1513" t="n">
        <v>159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3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124</v>
      </c>
      <c r="Z1514" t="n">
        <v>112</v>
      </c>
      <c r="AA1514" t="n">
        <v>33</v>
      </c>
      <c r="AB1514" t="n">
        <v>0</v>
      </c>
      <c r="AC1514" t="n">
        <v>2</v>
      </c>
      <c r="AD1514" t="n">
        <v>6</v>
      </c>
      <c r="AE1514" t="n">
        <v>10</v>
      </c>
      <c r="AF1514" t="n">
        <v>4</v>
      </c>
      <c r="AG1514" t="n">
        <v>2</v>
      </c>
      <c r="AH1514" t="n">
        <v>48</v>
      </c>
      <c r="AI1514" t="n">
        <v>32</v>
      </c>
      <c r="AJ1514" t="n">
        <v>10</v>
      </c>
      <c r="AK1514" t="n">
        <v>6</v>
      </c>
      <c r="AL1514" t="n">
        <v>0</v>
      </c>
      <c r="AM1514" t="n">
        <v>13</v>
      </c>
      <c r="AN1514" t="n">
        <v>1</v>
      </c>
      <c r="AO1514" t="n">
        <v>0</v>
      </c>
      <c r="AP1514" t="n">
        <v>5</v>
      </c>
      <c r="AQ1514" t="n">
        <v>9</v>
      </c>
      <c r="AR1514" t="n">
        <v>75</v>
      </c>
      <c r="AS1514" t="n">
        <v>67</v>
      </c>
      <c r="AT1514" t="n">
        <v>0</v>
      </c>
      <c r="AU1514" t="n">
        <v>1</v>
      </c>
      <c r="AV1514" t="n">
        <v>1</v>
      </c>
      <c r="AW1514" t="n">
        <v>5</v>
      </c>
      <c r="AX1514" t="n">
        <v>21</v>
      </c>
      <c r="AY1514" t="n">
        <v>77</v>
      </c>
      <c r="AZ1514" t="n">
        <v>4</v>
      </c>
      <c r="BA1514" t="n">
        <v>8</v>
      </c>
      <c r="BB1514" t="n">
        <v>39</v>
      </c>
      <c r="BC1514" t="n">
        <v>20</v>
      </c>
      <c r="BD1514" t="n">
        <v>51</v>
      </c>
      <c r="BE1514" t="n">
        <v>5</v>
      </c>
      <c r="BF1514" t="n">
        <v>11</v>
      </c>
      <c r="BG1514" t="n">
        <v>3</v>
      </c>
      <c r="BH1514" t="n">
        <v>16</v>
      </c>
      <c r="BI1514" t="n">
        <v>20</v>
      </c>
      <c r="BJ1514" t="n">
        <v>24</v>
      </c>
      <c r="BK1514" t="n">
        <v>3</v>
      </c>
      <c r="BL1514" t="n">
        <v>18</v>
      </c>
      <c r="BM1514" t="n">
        <v>17</v>
      </c>
      <c r="BN1514" t="n">
        <v>4</v>
      </c>
      <c r="BO1514" t="n">
        <v>30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223</v>
      </c>
      <c r="Z1515" t="n">
        <v>217</v>
      </c>
      <c r="AA1515" t="n">
        <v>34</v>
      </c>
      <c r="AB1515" t="n">
        <v>1</v>
      </c>
      <c r="AC1515" t="n">
        <v>0</v>
      </c>
      <c r="AD1515" t="n">
        <v>4</v>
      </c>
      <c r="AE1515" t="n">
        <v>8</v>
      </c>
      <c r="AF1515" t="n">
        <v>1</v>
      </c>
      <c r="AG1515" t="n">
        <v>5</v>
      </c>
      <c r="AH1515" t="n">
        <v>45</v>
      </c>
      <c r="AI1515" t="n">
        <v>131</v>
      </c>
      <c r="AJ1515" t="n">
        <v>12</v>
      </c>
      <c r="AK1515" t="n">
        <v>33</v>
      </c>
      <c r="AL1515" t="n">
        <v>1</v>
      </c>
      <c r="AM1515" t="n">
        <v>2</v>
      </c>
      <c r="AN1515" t="n">
        <v>0</v>
      </c>
      <c r="AO1515" t="n">
        <v>0</v>
      </c>
      <c r="AP1515" t="n">
        <v>6</v>
      </c>
      <c r="AQ1515" t="n">
        <v>30</v>
      </c>
      <c r="AR1515" t="n">
        <v>119</v>
      </c>
      <c r="AS1515" t="n">
        <v>92</v>
      </c>
      <c r="AT1515" t="n">
        <v>4</v>
      </c>
      <c r="AU1515" t="n">
        <v>1</v>
      </c>
      <c r="AV1515" t="n">
        <v>28</v>
      </c>
      <c r="AW1515" t="n">
        <v>1</v>
      </c>
      <c r="AX1515" t="n">
        <v>17</v>
      </c>
      <c r="AY1515" t="n">
        <v>23</v>
      </c>
      <c r="AZ1515" t="n">
        <v>2</v>
      </c>
      <c r="BA1515" t="n">
        <v>40</v>
      </c>
      <c r="BB1515" t="n">
        <v>75</v>
      </c>
      <c r="BC1515" t="n">
        <v>29</v>
      </c>
      <c r="BD1515" t="n">
        <v>40</v>
      </c>
      <c r="BE1515" t="n">
        <v>0</v>
      </c>
      <c r="BF1515" t="n">
        <v>76</v>
      </c>
      <c r="BG1515" t="n">
        <v>5</v>
      </c>
      <c r="BH1515" t="n">
        <v>20</v>
      </c>
      <c r="BI1515" t="n">
        <v>54</v>
      </c>
      <c r="BJ1515" t="n">
        <v>55</v>
      </c>
      <c r="BK1515" t="n">
        <v>0</v>
      </c>
      <c r="BL1515" t="n">
        <v>1</v>
      </c>
      <c r="BM1515" t="n">
        <v>10</v>
      </c>
      <c r="BN1515" t="n">
        <v>5</v>
      </c>
      <c r="BO1515" t="n">
        <v>40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229</v>
      </c>
      <c r="Z1516" t="n">
        <v>166</v>
      </c>
      <c r="AA1516" t="n">
        <v>109</v>
      </c>
      <c r="AB1516" t="n">
        <v>1</v>
      </c>
      <c r="AC1516" t="n">
        <v>2</v>
      </c>
      <c r="AD1516" t="n">
        <v>5</v>
      </c>
      <c r="AE1516" t="n">
        <v>7</v>
      </c>
      <c r="AF1516" t="n">
        <v>3</v>
      </c>
      <c r="AG1516" t="n">
        <v>6</v>
      </c>
      <c r="AH1516" t="n">
        <v>67</v>
      </c>
      <c r="AI1516" t="n">
        <v>54</v>
      </c>
      <c r="AJ1516" t="n">
        <v>71</v>
      </c>
      <c r="AK1516" t="n">
        <v>18</v>
      </c>
      <c r="AL1516" t="n">
        <v>2</v>
      </c>
      <c r="AM1516" t="n">
        <v>54</v>
      </c>
      <c r="AN1516" t="n">
        <v>0</v>
      </c>
      <c r="AO1516" t="n">
        <v>0</v>
      </c>
      <c r="AP1516" t="n">
        <v>0</v>
      </c>
      <c r="AQ1516" t="n">
        <v>7</v>
      </c>
      <c r="AR1516" t="n">
        <v>71</v>
      </c>
      <c r="AS1516" t="n">
        <v>65</v>
      </c>
      <c r="AT1516" t="n">
        <v>2</v>
      </c>
      <c r="AU1516" t="n">
        <v>2</v>
      </c>
      <c r="AV1516" t="n">
        <v>6</v>
      </c>
      <c r="AW1516" t="n">
        <v>16</v>
      </c>
      <c r="AX1516" t="n">
        <v>0</v>
      </c>
      <c r="AY1516" t="n">
        <v>19</v>
      </c>
      <c r="AZ1516" t="n">
        <v>3</v>
      </c>
      <c r="BA1516" t="n">
        <v>15</v>
      </c>
      <c r="BB1516" t="n">
        <v>117</v>
      </c>
      <c r="BC1516" t="n">
        <v>50</v>
      </c>
      <c r="BD1516" t="n">
        <v>61</v>
      </c>
      <c r="BE1516" t="n">
        <v>16</v>
      </c>
      <c r="BF1516" t="n">
        <v>57</v>
      </c>
      <c r="BG1516" t="n">
        <v>2</v>
      </c>
      <c r="BH1516" t="n">
        <v>9</v>
      </c>
      <c r="BI1516" t="n">
        <v>41</v>
      </c>
      <c r="BJ1516" t="n">
        <v>37</v>
      </c>
      <c r="BK1516" t="n">
        <v>0</v>
      </c>
      <c r="BL1516" t="n">
        <v>1</v>
      </c>
      <c r="BM1516" t="n">
        <v>18</v>
      </c>
      <c r="BN1516" t="n">
        <v>10</v>
      </c>
      <c r="BO1516" t="n">
        <v>28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2</v>
      </c>
      <c r="U1517" t="n">
        <v>0</v>
      </c>
      <c r="V1517" t="n">
        <v>0</v>
      </c>
      <c r="W1517" t="n">
        <v>1</v>
      </c>
      <c r="X1517" t="n">
        <v>0</v>
      </c>
      <c r="Y1517" t="n">
        <v>268</v>
      </c>
      <c r="Z1517" t="n">
        <v>139</v>
      </c>
      <c r="AA1517" t="n">
        <v>81</v>
      </c>
      <c r="AB1517" t="n">
        <v>1</v>
      </c>
      <c r="AC1517" t="n">
        <v>2</v>
      </c>
      <c r="AD1517" t="n">
        <v>3</v>
      </c>
      <c r="AE1517" t="n">
        <v>3</v>
      </c>
      <c r="AF1517" t="n">
        <v>4</v>
      </c>
      <c r="AG1517" t="n">
        <v>8</v>
      </c>
      <c r="AH1517" t="n">
        <v>66</v>
      </c>
      <c r="AI1517" t="n">
        <v>10</v>
      </c>
      <c r="AJ1517" t="n">
        <v>27</v>
      </c>
      <c r="AK1517" t="n">
        <v>117</v>
      </c>
      <c r="AL1517" t="n">
        <v>2</v>
      </c>
      <c r="AM1517" t="n">
        <v>69</v>
      </c>
      <c r="AN1517" t="n">
        <v>1</v>
      </c>
      <c r="AO1517" t="n">
        <v>0</v>
      </c>
      <c r="AP1517" t="n">
        <v>1</v>
      </c>
      <c r="AQ1517" t="n">
        <v>13</v>
      </c>
      <c r="AR1517" t="n">
        <v>84</v>
      </c>
      <c r="AS1517" t="n">
        <v>71</v>
      </c>
      <c r="AT1517" t="n">
        <v>2</v>
      </c>
      <c r="AU1517" t="n">
        <v>0</v>
      </c>
      <c r="AV1517" t="n">
        <v>15</v>
      </c>
      <c r="AW1517" t="n">
        <v>3</v>
      </c>
      <c r="AX1517" t="n">
        <v>4</v>
      </c>
      <c r="AY1517" t="n">
        <v>36</v>
      </c>
      <c r="AZ1517" t="n">
        <v>1</v>
      </c>
      <c r="BA1517" t="n">
        <v>16</v>
      </c>
      <c r="BB1517" t="n">
        <v>93</v>
      </c>
      <c r="BC1517" t="n">
        <v>71</v>
      </c>
      <c r="BD1517" t="n">
        <v>58</v>
      </c>
      <c r="BE1517" t="n">
        <v>5</v>
      </c>
      <c r="BF1517" t="n">
        <v>35</v>
      </c>
      <c r="BG1517" t="n">
        <v>2</v>
      </c>
      <c r="BH1517" t="n">
        <v>13</v>
      </c>
      <c r="BI1517" t="n">
        <v>29</v>
      </c>
      <c r="BJ1517" t="n">
        <v>27</v>
      </c>
      <c r="BK1517" t="n">
        <v>0</v>
      </c>
      <c r="BL1517" t="n">
        <v>1</v>
      </c>
      <c r="BM1517" t="n">
        <v>6</v>
      </c>
      <c r="BN1517" t="n">
        <v>3</v>
      </c>
      <c r="BO1517" t="n">
        <v>7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2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249</v>
      </c>
      <c r="Z1518" t="n">
        <v>344</v>
      </c>
      <c r="AA1518" t="n">
        <v>17</v>
      </c>
      <c r="AB1518" t="n">
        <v>0</v>
      </c>
      <c r="AC1518" t="n">
        <v>0</v>
      </c>
      <c r="AD1518" t="n">
        <v>4</v>
      </c>
      <c r="AE1518" t="n">
        <v>3</v>
      </c>
      <c r="AF1518" t="n">
        <v>2</v>
      </c>
      <c r="AG1518" t="n">
        <v>6</v>
      </c>
      <c r="AH1518" t="n">
        <v>28</v>
      </c>
      <c r="AI1518" t="n">
        <v>65</v>
      </c>
      <c r="AJ1518" t="n">
        <v>90</v>
      </c>
      <c r="AK1518" t="n">
        <v>48</v>
      </c>
      <c r="AL1518" t="n">
        <v>8</v>
      </c>
      <c r="AM1518" t="n">
        <v>158</v>
      </c>
      <c r="AN1518" t="n">
        <v>0</v>
      </c>
      <c r="AO1518" t="n">
        <v>0</v>
      </c>
      <c r="AP1518" t="n">
        <v>6</v>
      </c>
      <c r="AQ1518" t="n">
        <v>29</v>
      </c>
      <c r="AR1518" t="n">
        <v>108</v>
      </c>
      <c r="AS1518" t="n">
        <v>82</v>
      </c>
      <c r="AT1518" t="n">
        <v>6</v>
      </c>
      <c r="AU1518" t="n">
        <v>1</v>
      </c>
      <c r="AV1518" t="n">
        <v>50</v>
      </c>
      <c r="AW1518" t="n">
        <v>25</v>
      </c>
      <c r="AX1518" t="n">
        <v>8</v>
      </c>
      <c r="AY1518" t="n">
        <v>39</v>
      </c>
      <c r="AZ1518" t="n">
        <v>5</v>
      </c>
      <c r="BA1518" t="n">
        <v>54</v>
      </c>
      <c r="BB1518" t="n">
        <v>80</v>
      </c>
      <c r="BC1518" t="n">
        <v>136</v>
      </c>
      <c r="BD1518" t="n">
        <v>28</v>
      </c>
      <c r="BE1518" t="n">
        <v>25</v>
      </c>
      <c r="BF1518" t="n">
        <v>71</v>
      </c>
      <c r="BG1518" t="n">
        <v>0</v>
      </c>
      <c r="BH1518" t="n">
        <v>14</v>
      </c>
      <c r="BI1518" t="n">
        <v>20</v>
      </c>
      <c r="BJ1518" t="n">
        <v>36</v>
      </c>
      <c r="BK1518" t="n">
        <v>0</v>
      </c>
      <c r="BL1518" t="n">
        <v>19</v>
      </c>
      <c r="BM1518" t="n">
        <v>32</v>
      </c>
      <c r="BN1518" t="n">
        <v>14</v>
      </c>
      <c r="BO1518" t="n">
        <v>56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2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</v>
      </c>
      <c r="X1519" t="n">
        <v>0</v>
      </c>
      <c r="Y1519" t="n">
        <v>191</v>
      </c>
      <c r="Z1519" t="n">
        <v>228</v>
      </c>
      <c r="AA1519" t="n">
        <v>48</v>
      </c>
      <c r="AB1519" t="n">
        <v>3</v>
      </c>
      <c r="AC1519" t="n">
        <v>2</v>
      </c>
      <c r="AD1519" t="n">
        <v>1</v>
      </c>
      <c r="AE1519" t="n">
        <v>7</v>
      </c>
      <c r="AF1519" t="n">
        <v>3</v>
      </c>
      <c r="AG1519" t="n">
        <v>0</v>
      </c>
      <c r="AH1519" t="n">
        <v>23</v>
      </c>
      <c r="AI1519" t="n">
        <v>33</v>
      </c>
      <c r="AJ1519" t="n">
        <v>13</v>
      </c>
      <c r="AK1519" t="n">
        <v>1</v>
      </c>
      <c r="AL1519" t="n">
        <v>6</v>
      </c>
      <c r="AM1519" t="n">
        <v>74</v>
      </c>
      <c r="AN1519" t="n">
        <v>0</v>
      </c>
      <c r="AO1519" t="n">
        <v>0</v>
      </c>
      <c r="AP1519" t="n">
        <v>2</v>
      </c>
      <c r="AQ1519" t="n">
        <v>15</v>
      </c>
      <c r="AR1519" t="n">
        <v>162</v>
      </c>
      <c r="AS1519" t="n">
        <v>142</v>
      </c>
      <c r="AT1519" t="n">
        <v>3</v>
      </c>
      <c r="AU1519" t="n">
        <v>3</v>
      </c>
      <c r="AV1519" t="n">
        <v>62</v>
      </c>
      <c r="AW1519" t="n">
        <v>19</v>
      </c>
      <c r="AX1519" t="n">
        <v>2</v>
      </c>
      <c r="AY1519" t="n">
        <v>40</v>
      </c>
      <c r="AZ1519" t="n">
        <v>3</v>
      </c>
      <c r="BA1519" t="n">
        <v>8</v>
      </c>
      <c r="BB1519" t="n">
        <v>53</v>
      </c>
      <c r="BC1519" t="n">
        <v>68</v>
      </c>
      <c r="BD1519" t="n">
        <v>20</v>
      </c>
      <c r="BE1519" t="n">
        <v>28</v>
      </c>
      <c r="BF1519" t="n">
        <v>14</v>
      </c>
      <c r="BG1519" t="n">
        <v>2</v>
      </c>
      <c r="BH1519" t="n">
        <v>11</v>
      </c>
      <c r="BI1519" t="n">
        <v>33</v>
      </c>
      <c r="BJ1519" t="n">
        <v>38</v>
      </c>
      <c r="BK1519" t="n">
        <v>5</v>
      </c>
      <c r="BL1519" t="n">
        <v>36</v>
      </c>
      <c r="BM1519" t="n">
        <v>32</v>
      </c>
      <c r="BN1519" t="n">
        <v>7</v>
      </c>
      <c r="BO1519" t="n">
        <v>4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2</v>
      </c>
      <c r="G1520" t="n">
        <v>0</v>
      </c>
      <c r="H1520" t="n">
        <v>0</v>
      </c>
      <c r="I1520" t="n">
        <v>0</v>
      </c>
      <c r="J1520" t="n">
        <v>2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2</v>
      </c>
      <c r="R1520" t="n">
        <v>2</v>
      </c>
      <c r="S1520" t="n">
        <v>2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249</v>
      </c>
      <c r="Z1520" t="n">
        <v>139</v>
      </c>
      <c r="AA1520" t="n">
        <v>50</v>
      </c>
      <c r="AB1520" t="n">
        <v>3</v>
      </c>
      <c r="AC1520" t="n">
        <v>2</v>
      </c>
      <c r="AD1520" t="n">
        <v>5</v>
      </c>
      <c r="AE1520" t="n">
        <v>4</v>
      </c>
      <c r="AF1520" t="n">
        <v>8</v>
      </c>
      <c r="AG1520" t="n">
        <v>11</v>
      </c>
      <c r="AH1520" t="n">
        <v>73</v>
      </c>
      <c r="AI1520" t="n">
        <v>44</v>
      </c>
      <c r="AJ1520" t="n">
        <v>65</v>
      </c>
      <c r="AK1520" t="n">
        <v>84</v>
      </c>
      <c r="AL1520" t="n">
        <v>5</v>
      </c>
      <c r="AM1520" t="n">
        <v>51</v>
      </c>
      <c r="AN1520" t="n">
        <v>0</v>
      </c>
      <c r="AO1520" t="n">
        <v>0</v>
      </c>
      <c r="AP1520" t="n">
        <v>4</v>
      </c>
      <c r="AQ1520" t="n">
        <v>39</v>
      </c>
      <c r="AR1520" t="n">
        <v>127</v>
      </c>
      <c r="AS1520" t="n">
        <v>93</v>
      </c>
      <c r="AT1520" t="n">
        <v>2</v>
      </c>
      <c r="AU1520" t="n">
        <v>1</v>
      </c>
      <c r="AV1520" t="n">
        <v>31</v>
      </c>
      <c r="AW1520" t="n">
        <v>1</v>
      </c>
      <c r="AX1520" t="n">
        <v>1</v>
      </c>
      <c r="AY1520" t="n">
        <v>36</v>
      </c>
      <c r="AZ1520" t="n">
        <v>2</v>
      </c>
      <c r="BA1520" t="n">
        <v>-2</v>
      </c>
      <c r="BB1520" t="n">
        <v>48</v>
      </c>
      <c r="BC1520" t="n">
        <v>42</v>
      </c>
      <c r="BD1520" t="n">
        <v>66</v>
      </c>
      <c r="BE1520" t="n">
        <v>1</v>
      </c>
      <c r="BF1520" t="n">
        <v>54</v>
      </c>
      <c r="BG1520" t="n">
        <v>2</v>
      </c>
      <c r="BH1520" t="n">
        <v>5</v>
      </c>
      <c r="BI1520" t="n">
        <v>18</v>
      </c>
      <c r="BJ1520" t="n">
        <v>49</v>
      </c>
      <c r="BK1520" t="n">
        <v>4</v>
      </c>
      <c r="BL1520" t="n">
        <v>54</v>
      </c>
      <c r="BM1520" t="n">
        <v>39</v>
      </c>
      <c r="BN1520" t="n">
        <v>3</v>
      </c>
      <c r="BO1520" t="n">
        <v>14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160</v>
      </c>
      <c r="Z1521" t="n">
        <v>249</v>
      </c>
      <c r="AA1521" t="n">
        <v>34</v>
      </c>
      <c r="AB1521" t="n">
        <v>1</v>
      </c>
      <c r="AC1521" t="n">
        <v>3</v>
      </c>
      <c r="AD1521" t="n">
        <v>4</v>
      </c>
      <c r="AE1521" t="n">
        <v>5</v>
      </c>
      <c r="AF1521" t="n">
        <v>5</v>
      </c>
      <c r="AG1521" t="n">
        <v>3</v>
      </c>
      <c r="AH1521" t="n">
        <v>19</v>
      </c>
      <c r="AI1521" t="n">
        <v>72</v>
      </c>
      <c r="AJ1521" t="n">
        <v>89</v>
      </c>
      <c r="AK1521" t="n">
        <v>21</v>
      </c>
      <c r="AL1521" t="n">
        <v>3</v>
      </c>
      <c r="AM1521" t="n">
        <v>13</v>
      </c>
      <c r="AN1521" t="n">
        <v>0</v>
      </c>
      <c r="AO1521" t="n">
        <v>0</v>
      </c>
      <c r="AP1521" t="n">
        <v>4</v>
      </c>
      <c r="AQ1521" t="n">
        <v>16</v>
      </c>
      <c r="AR1521" t="n">
        <v>61</v>
      </c>
      <c r="AS1521" t="n">
        <v>47</v>
      </c>
      <c r="AT1521" t="n">
        <v>1</v>
      </c>
      <c r="AU1521" t="n">
        <v>2</v>
      </c>
      <c r="AV1521" t="n">
        <v>21</v>
      </c>
      <c r="AW1521" t="n">
        <v>25</v>
      </c>
      <c r="AX1521" t="n">
        <v>3</v>
      </c>
      <c r="AY1521" t="n">
        <v>20</v>
      </c>
      <c r="AZ1521" t="n">
        <v>1</v>
      </c>
      <c r="BA1521" t="n">
        <v>10</v>
      </c>
      <c r="BB1521" t="n">
        <v>42</v>
      </c>
      <c r="BC1521" t="n">
        <v>10</v>
      </c>
      <c r="BD1521" t="n">
        <v>22</v>
      </c>
      <c r="BE1521" t="n">
        <v>26</v>
      </c>
      <c r="BF1521" t="n">
        <v>78</v>
      </c>
      <c r="BG1521" t="n">
        <v>0</v>
      </c>
      <c r="BH1521" t="n">
        <v>3</v>
      </c>
      <c r="BI1521" t="n">
        <v>1</v>
      </c>
      <c r="BJ1521" t="n">
        <v>1</v>
      </c>
      <c r="BK1521" t="n">
        <v>0</v>
      </c>
      <c r="BL1521" t="n">
        <v>1</v>
      </c>
      <c r="BM1521" t="n">
        <v>1</v>
      </c>
      <c r="BN1521" t="n">
        <v>0</v>
      </c>
      <c r="BO1521" t="n">
        <v>9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3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183</v>
      </c>
      <c r="Z1522" t="n">
        <v>130</v>
      </c>
      <c r="AA1522" t="n">
        <v>149</v>
      </c>
      <c r="AB1522" t="n">
        <v>1</v>
      </c>
      <c r="AC1522" t="n">
        <v>1</v>
      </c>
      <c r="AD1522" t="n">
        <v>4</v>
      </c>
      <c r="AE1522" t="n">
        <v>1</v>
      </c>
      <c r="AF1522" t="n">
        <v>1</v>
      </c>
      <c r="AG1522" t="n">
        <v>3</v>
      </c>
      <c r="AH1522" t="n">
        <v>77</v>
      </c>
      <c r="AI1522" t="n">
        <v>13</v>
      </c>
      <c r="AJ1522" t="n">
        <v>65</v>
      </c>
      <c r="AK1522" t="n">
        <v>19</v>
      </c>
      <c r="AL1522" t="n">
        <v>1</v>
      </c>
      <c r="AM1522" t="n">
        <v>5</v>
      </c>
      <c r="AN1522" t="n">
        <v>3</v>
      </c>
      <c r="AO1522" t="n">
        <v>0</v>
      </c>
      <c r="AP1522" t="n">
        <v>3</v>
      </c>
      <c r="AQ1522" t="n">
        <v>18</v>
      </c>
      <c r="AR1522" t="n">
        <v>173</v>
      </c>
      <c r="AS1522" t="n">
        <v>152</v>
      </c>
      <c r="AT1522" t="n">
        <v>0</v>
      </c>
      <c r="AU1522" t="n">
        <v>0</v>
      </c>
      <c r="AV1522" t="n">
        <v>1</v>
      </c>
      <c r="AW1522" t="n">
        <v>13</v>
      </c>
      <c r="AX1522" t="n">
        <v>0</v>
      </c>
      <c r="AY1522" t="n">
        <v>86</v>
      </c>
      <c r="AZ1522" t="n">
        <v>2</v>
      </c>
      <c r="BA1522" t="n">
        <v>29</v>
      </c>
      <c r="BB1522" t="n">
        <v>165</v>
      </c>
      <c r="BC1522" t="n">
        <v>4</v>
      </c>
      <c r="BD1522" t="n">
        <v>69</v>
      </c>
      <c r="BE1522" t="n">
        <v>13</v>
      </c>
      <c r="BF1522" t="n">
        <v>53</v>
      </c>
      <c r="BG1522" t="n">
        <v>1</v>
      </c>
      <c r="BH1522" t="n">
        <v>1</v>
      </c>
      <c r="BI1522" t="n">
        <v>7</v>
      </c>
      <c r="BJ1522" t="n">
        <v>6</v>
      </c>
      <c r="BK1522" t="n">
        <v>2</v>
      </c>
      <c r="BL1522" t="n">
        <v>13</v>
      </c>
      <c r="BM1522" t="n">
        <v>9</v>
      </c>
      <c r="BN1522" t="n">
        <v>1</v>
      </c>
      <c r="BO1522" t="n">
        <v>2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129</v>
      </c>
      <c r="Z1523" t="n">
        <v>348</v>
      </c>
      <c r="AA1523" t="n">
        <v>47</v>
      </c>
      <c r="AB1523" t="n">
        <v>1</v>
      </c>
      <c r="AC1523" t="n">
        <v>0</v>
      </c>
      <c r="AD1523" t="n">
        <v>0</v>
      </c>
      <c r="AE1523" t="n">
        <v>8</v>
      </c>
      <c r="AF1523" t="n">
        <v>3</v>
      </c>
      <c r="AG1523" t="n">
        <v>3</v>
      </c>
      <c r="AH1523" t="n">
        <v>2</v>
      </c>
      <c r="AI1523" t="n">
        <v>39</v>
      </c>
      <c r="AJ1523" t="n">
        <v>21</v>
      </c>
      <c r="AK1523" t="n">
        <v>15</v>
      </c>
      <c r="AL1523" t="n">
        <v>9</v>
      </c>
      <c r="AM1523" t="n">
        <v>140</v>
      </c>
      <c r="AN1523" t="n">
        <v>0</v>
      </c>
      <c r="AO1523" t="n">
        <v>0</v>
      </c>
      <c r="AP1523" t="n">
        <v>0</v>
      </c>
      <c r="AQ1523" t="n">
        <v>3</v>
      </c>
      <c r="AR1523" t="n">
        <v>192</v>
      </c>
      <c r="AS1523" t="n">
        <v>181</v>
      </c>
      <c r="AT1523" t="n">
        <v>5</v>
      </c>
      <c r="AU1523" t="n">
        <v>3</v>
      </c>
      <c r="AV1523" t="n">
        <v>20</v>
      </c>
      <c r="AW1523" t="n">
        <v>47</v>
      </c>
      <c r="AX1523" t="n">
        <v>2</v>
      </c>
      <c r="AY1523" t="n">
        <v>24</v>
      </c>
      <c r="AZ1523" t="n">
        <v>3</v>
      </c>
      <c r="BA1523" t="n">
        <v>20</v>
      </c>
      <c r="BB1523" t="n">
        <v>65</v>
      </c>
      <c r="BC1523" t="n">
        <v>123</v>
      </c>
      <c r="BD1523" t="n">
        <v>3</v>
      </c>
      <c r="BE1523" t="n">
        <v>53</v>
      </c>
      <c r="BF1523" t="n">
        <v>22</v>
      </c>
      <c r="BG1523" t="n">
        <v>2</v>
      </c>
      <c r="BH1523" t="n">
        <v>4</v>
      </c>
      <c r="BI1523" t="n">
        <v>42</v>
      </c>
      <c r="BJ1523" t="n">
        <v>37</v>
      </c>
      <c r="BK1523" t="n">
        <v>0</v>
      </c>
      <c r="BL1523" t="n">
        <v>37</v>
      </c>
      <c r="BM1523" t="n">
        <v>44</v>
      </c>
      <c r="BN1523" t="n">
        <v>14</v>
      </c>
      <c r="BO1523" t="n">
        <v>11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187</v>
      </c>
      <c r="Z1524" t="n">
        <v>241</v>
      </c>
      <c r="AA1524" t="n">
        <v>59</v>
      </c>
      <c r="AB1524" t="n">
        <v>1</v>
      </c>
      <c r="AC1524" t="n">
        <v>1</v>
      </c>
      <c r="AD1524" t="n">
        <v>6</v>
      </c>
      <c r="AE1524" t="n">
        <v>3</v>
      </c>
      <c r="AF1524" t="n">
        <v>8</v>
      </c>
      <c r="AG1524" t="n">
        <v>3</v>
      </c>
      <c r="AH1524" t="n">
        <v>24</v>
      </c>
      <c r="AI1524" t="n">
        <v>20</v>
      </c>
      <c r="AJ1524" t="n">
        <v>83</v>
      </c>
      <c r="AK1524" t="n">
        <v>27</v>
      </c>
      <c r="AL1524" t="n">
        <v>4</v>
      </c>
      <c r="AM1524" t="n">
        <v>43</v>
      </c>
      <c r="AN1524" t="n">
        <v>0</v>
      </c>
      <c r="AO1524" t="n">
        <v>0</v>
      </c>
      <c r="AP1524" t="n">
        <v>0</v>
      </c>
      <c r="AQ1524" t="n">
        <v>19</v>
      </c>
      <c r="AR1524" t="n">
        <v>71</v>
      </c>
      <c r="AS1524" t="n">
        <v>55</v>
      </c>
      <c r="AT1524" t="n">
        <v>3</v>
      </c>
      <c r="AU1524" t="n">
        <v>1</v>
      </c>
      <c r="AV1524" t="n">
        <v>27</v>
      </c>
      <c r="AW1524" t="n">
        <v>15</v>
      </c>
      <c r="AX1524" t="n">
        <v>-3</v>
      </c>
      <c r="AY1524" t="n">
        <v>65</v>
      </c>
      <c r="AZ1524" t="n">
        <v>2</v>
      </c>
      <c r="BA1524" t="n">
        <v>21</v>
      </c>
      <c r="BB1524" t="n">
        <v>76</v>
      </c>
      <c r="BC1524" t="n">
        <v>38</v>
      </c>
      <c r="BD1524" t="n">
        <v>43</v>
      </c>
      <c r="BE1524" t="n">
        <v>24</v>
      </c>
      <c r="BF1524" t="n">
        <v>66</v>
      </c>
      <c r="BG1524" t="n">
        <v>4</v>
      </c>
      <c r="BH1524" t="n">
        <v>4</v>
      </c>
      <c r="BI1524" t="n">
        <v>51</v>
      </c>
      <c r="BJ1524" t="n">
        <v>64</v>
      </c>
      <c r="BK1524" t="n">
        <v>2</v>
      </c>
      <c r="BL1524" t="n">
        <v>37</v>
      </c>
      <c r="BM1524" t="n">
        <v>36</v>
      </c>
      <c r="BN1524" t="n">
        <v>9</v>
      </c>
      <c r="BO1524" t="n">
        <v>40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2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203</v>
      </c>
      <c r="Z1525" t="n">
        <v>302</v>
      </c>
      <c r="AA1525" t="n">
        <v>105</v>
      </c>
      <c r="AB1525" t="n">
        <v>0</v>
      </c>
      <c r="AC1525" t="n">
        <v>2</v>
      </c>
      <c r="AD1525" t="n">
        <v>4</v>
      </c>
      <c r="AE1525" t="n">
        <v>7</v>
      </c>
      <c r="AF1525" t="n">
        <v>3</v>
      </c>
      <c r="AG1525" t="n">
        <v>2</v>
      </c>
      <c r="AH1525" t="n">
        <v>29</v>
      </c>
      <c r="AI1525" t="n">
        <v>60</v>
      </c>
      <c r="AJ1525" t="n">
        <v>62</v>
      </c>
      <c r="AK1525" t="n">
        <v>32</v>
      </c>
      <c r="AL1525" t="n">
        <v>5</v>
      </c>
      <c r="AM1525" t="n">
        <v>61</v>
      </c>
      <c r="AN1525" t="n">
        <v>0</v>
      </c>
      <c r="AO1525" t="n">
        <v>0</v>
      </c>
      <c r="AP1525" t="n">
        <v>5</v>
      </c>
      <c r="AQ1525" t="n">
        <v>21</v>
      </c>
      <c r="AR1525" t="n">
        <v>159</v>
      </c>
      <c r="AS1525" t="n">
        <v>137</v>
      </c>
      <c r="AT1525" t="n">
        <v>3</v>
      </c>
      <c r="AU1525" t="n">
        <v>1</v>
      </c>
      <c r="AV1525" t="n">
        <v>17</v>
      </c>
      <c r="AW1525" t="n">
        <v>57</v>
      </c>
      <c r="AX1525" t="n">
        <v>0</v>
      </c>
      <c r="AY1525" t="n">
        <v>21</v>
      </c>
      <c r="AZ1525" t="n">
        <v>2</v>
      </c>
      <c r="BA1525" t="n">
        <v>2</v>
      </c>
      <c r="BB1525" t="n">
        <v>102</v>
      </c>
      <c r="BC1525" t="n">
        <v>59</v>
      </c>
      <c r="BD1525" t="n">
        <v>26</v>
      </c>
      <c r="BE1525" t="n">
        <v>59</v>
      </c>
      <c r="BF1525" t="n">
        <v>57</v>
      </c>
      <c r="BG1525" t="n">
        <v>4</v>
      </c>
      <c r="BH1525" t="n">
        <v>3</v>
      </c>
      <c r="BI1525" t="n">
        <v>57</v>
      </c>
      <c r="BJ1525" t="n">
        <v>57</v>
      </c>
      <c r="BK1525" t="n">
        <v>2</v>
      </c>
      <c r="BL1525" t="n">
        <v>1</v>
      </c>
      <c r="BM1525" t="n">
        <v>26</v>
      </c>
      <c r="BN1525" t="n">
        <v>15</v>
      </c>
      <c r="BO1525" t="n">
        <v>32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192</v>
      </c>
      <c r="Z1526" t="n">
        <v>122</v>
      </c>
      <c r="AA1526" t="n">
        <v>64</v>
      </c>
      <c r="AB1526" t="n">
        <v>3</v>
      </c>
      <c r="AC1526" t="n">
        <v>1</v>
      </c>
      <c r="AD1526" t="n">
        <v>5</v>
      </c>
      <c r="AE1526" t="n">
        <v>2</v>
      </c>
      <c r="AF1526" t="n">
        <v>5</v>
      </c>
      <c r="AG1526" t="n">
        <v>0</v>
      </c>
      <c r="AH1526" t="n">
        <v>32</v>
      </c>
      <c r="AI1526" t="n">
        <v>8</v>
      </c>
      <c r="AJ1526" t="n">
        <v>63</v>
      </c>
      <c r="AK1526" t="n">
        <v>1</v>
      </c>
      <c r="AL1526" t="n">
        <v>3</v>
      </c>
      <c r="AM1526" t="n">
        <v>44</v>
      </c>
      <c r="AN1526" t="n">
        <v>0</v>
      </c>
      <c r="AO1526" t="n">
        <v>0</v>
      </c>
      <c r="AP1526" t="n">
        <v>2</v>
      </c>
      <c r="AQ1526" t="n">
        <v>9</v>
      </c>
      <c r="AR1526" t="n">
        <v>183</v>
      </c>
      <c r="AS1526" t="n">
        <v>170</v>
      </c>
      <c r="AT1526" t="n">
        <v>3</v>
      </c>
      <c r="AU1526" t="n">
        <v>1</v>
      </c>
      <c r="AV1526" t="n">
        <v>22</v>
      </c>
      <c r="AW1526" t="n">
        <v>9</v>
      </c>
      <c r="AX1526" t="n">
        <v>11</v>
      </c>
      <c r="AY1526" t="n">
        <v>33</v>
      </c>
      <c r="AZ1526" t="n">
        <v>3</v>
      </c>
      <c r="BA1526" t="n">
        <v>9</v>
      </c>
      <c r="BB1526" t="n">
        <v>69</v>
      </c>
      <c r="BC1526" t="n">
        <v>36</v>
      </c>
      <c r="BD1526" t="n">
        <v>28</v>
      </c>
      <c r="BE1526" t="n">
        <v>8</v>
      </c>
      <c r="BF1526" t="n">
        <v>50</v>
      </c>
      <c r="BG1526" t="n">
        <v>3</v>
      </c>
      <c r="BH1526" t="n">
        <v>0</v>
      </c>
      <c r="BI1526" t="n">
        <v>42</v>
      </c>
      <c r="BJ1526" t="n">
        <v>38</v>
      </c>
      <c r="BK1526" t="n">
        <v>6</v>
      </c>
      <c r="BL1526" t="n">
        <v>19</v>
      </c>
      <c r="BM1526" t="n">
        <v>25</v>
      </c>
      <c r="BN1526" t="n">
        <v>10</v>
      </c>
      <c r="BO1526" t="n">
        <v>58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231</v>
      </c>
      <c r="Z1527" t="n">
        <v>117</v>
      </c>
      <c r="AA1527" t="n">
        <v>71</v>
      </c>
      <c r="AB1527" t="n">
        <v>0</v>
      </c>
      <c r="AC1527" t="n">
        <v>0</v>
      </c>
      <c r="AD1527" t="n">
        <v>4</v>
      </c>
      <c r="AE1527" t="n">
        <v>1</v>
      </c>
      <c r="AF1527" t="n">
        <v>3</v>
      </c>
      <c r="AG1527" t="n">
        <v>4</v>
      </c>
      <c r="AH1527" t="n">
        <v>23</v>
      </c>
      <c r="AI1527" t="n">
        <v>16</v>
      </c>
      <c r="AJ1527" t="n">
        <v>70</v>
      </c>
      <c r="AK1527" t="n">
        <v>45</v>
      </c>
      <c r="AL1527" t="n">
        <v>2</v>
      </c>
      <c r="AM1527" t="n">
        <v>54</v>
      </c>
      <c r="AN1527" t="n">
        <v>0</v>
      </c>
      <c r="AO1527" t="n">
        <v>0</v>
      </c>
      <c r="AP1527" t="n">
        <v>7</v>
      </c>
      <c r="AQ1527" t="n">
        <v>35</v>
      </c>
      <c r="AR1527" t="n">
        <v>111</v>
      </c>
      <c r="AS1527" t="n">
        <v>81</v>
      </c>
      <c r="AT1527" t="n">
        <v>4</v>
      </c>
      <c r="AU1527" t="n">
        <v>1</v>
      </c>
      <c r="AV1527" t="n">
        <v>36</v>
      </c>
      <c r="AW1527" t="n">
        <v>3</v>
      </c>
      <c r="AX1527" t="n">
        <v>0</v>
      </c>
      <c r="AY1527" t="n">
        <v>23</v>
      </c>
      <c r="AZ1527" t="n">
        <v>1</v>
      </c>
      <c r="BA1527" t="n">
        <v>17</v>
      </c>
      <c r="BB1527" t="n">
        <v>85</v>
      </c>
      <c r="BC1527" t="n">
        <v>44</v>
      </c>
      <c r="BD1527" t="n">
        <v>20</v>
      </c>
      <c r="BE1527" t="n">
        <v>2</v>
      </c>
      <c r="BF1527" t="n">
        <v>55</v>
      </c>
      <c r="BG1527" t="n">
        <v>3</v>
      </c>
      <c r="BH1527" t="n">
        <v>0</v>
      </c>
      <c r="BI1527" t="n">
        <v>21</v>
      </c>
      <c r="BJ1527" t="n">
        <v>20</v>
      </c>
      <c r="BK1527" t="n">
        <v>0</v>
      </c>
      <c r="BL1527" t="n">
        <v>1</v>
      </c>
      <c r="BM1527" t="n">
        <v>33</v>
      </c>
      <c r="BN1527" t="n">
        <v>20</v>
      </c>
      <c r="BO1527" t="n">
        <v>2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3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163</v>
      </c>
      <c r="Z1528" t="n">
        <v>233</v>
      </c>
      <c r="AA1528" t="n">
        <v>91</v>
      </c>
      <c r="AB1528" t="n">
        <v>0</v>
      </c>
      <c r="AC1528" t="n">
        <v>1</v>
      </c>
      <c r="AD1528" t="n">
        <v>3</v>
      </c>
      <c r="AE1528" t="n">
        <v>4</v>
      </c>
      <c r="AF1528" t="n">
        <v>2</v>
      </c>
      <c r="AG1528" t="n">
        <v>6</v>
      </c>
      <c r="AH1528" t="n">
        <v>50</v>
      </c>
      <c r="AI1528" t="n">
        <v>37</v>
      </c>
      <c r="AJ1528" t="n">
        <v>10</v>
      </c>
      <c r="AK1528" t="n">
        <v>51</v>
      </c>
      <c r="AL1528" t="n">
        <v>3</v>
      </c>
      <c r="AM1528" t="n">
        <v>11</v>
      </c>
      <c r="AN1528" t="n">
        <v>0</v>
      </c>
      <c r="AO1528" t="n">
        <v>0</v>
      </c>
      <c r="AP1528" t="n">
        <v>4</v>
      </c>
      <c r="AQ1528" t="n">
        <v>56</v>
      </c>
      <c r="AR1528" t="n">
        <v>101</v>
      </c>
      <c r="AS1528" t="n">
        <v>54</v>
      </c>
      <c r="AT1528" t="n">
        <v>4</v>
      </c>
      <c r="AU1528" t="n">
        <v>0</v>
      </c>
      <c r="AV1528" t="n">
        <v>31</v>
      </c>
      <c r="AW1528" t="n">
        <v>4</v>
      </c>
      <c r="AX1528" t="n">
        <v>0</v>
      </c>
      <c r="AY1528" t="n">
        <v>39</v>
      </c>
      <c r="AZ1528" t="n">
        <v>2</v>
      </c>
      <c r="BA1528" t="n">
        <v>56</v>
      </c>
      <c r="BB1528" t="n">
        <v>148</v>
      </c>
      <c r="BC1528" t="n">
        <v>17</v>
      </c>
      <c r="BD1528" t="n">
        <v>44</v>
      </c>
      <c r="BE1528" t="n">
        <v>12</v>
      </c>
      <c r="BF1528" t="n">
        <v>7</v>
      </c>
      <c r="BG1528" t="n">
        <v>0</v>
      </c>
      <c r="BH1528" t="n">
        <v>8</v>
      </c>
      <c r="BI1528" t="n">
        <v>6</v>
      </c>
      <c r="BJ1528" t="n">
        <v>1</v>
      </c>
      <c r="BK1528" t="n">
        <v>3</v>
      </c>
      <c r="BL1528" t="n">
        <v>65</v>
      </c>
      <c r="BM1528" t="n">
        <v>48</v>
      </c>
      <c r="BN1528" t="n">
        <v>4</v>
      </c>
      <c r="BO1528" t="n">
        <v>9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3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313</v>
      </c>
      <c r="Z1529" t="n">
        <v>167</v>
      </c>
      <c r="AA1529" t="n">
        <v>47</v>
      </c>
      <c r="AB1529" t="n">
        <v>0</v>
      </c>
      <c r="AC1529" t="n">
        <v>5</v>
      </c>
      <c r="AD1529" t="n">
        <v>7</v>
      </c>
      <c r="AE1529" t="n">
        <v>3</v>
      </c>
      <c r="AF1529" t="n">
        <v>7</v>
      </c>
      <c r="AG1529" t="n">
        <v>0</v>
      </c>
      <c r="AH1529" t="n">
        <v>72</v>
      </c>
      <c r="AI1529" t="n">
        <v>31</v>
      </c>
      <c r="AJ1529" t="n">
        <v>86</v>
      </c>
      <c r="AK1529" t="n">
        <v>6</v>
      </c>
      <c r="AL1529" t="n">
        <v>4</v>
      </c>
      <c r="AM1529" t="n">
        <v>18</v>
      </c>
      <c r="AN1529" t="n">
        <v>1</v>
      </c>
      <c r="AO1529" t="n">
        <v>0</v>
      </c>
      <c r="AP1529" t="n">
        <v>9</v>
      </c>
      <c r="AQ1529" t="n">
        <v>88</v>
      </c>
      <c r="AR1529" t="n">
        <v>186</v>
      </c>
      <c r="AS1529" t="n">
        <v>110</v>
      </c>
      <c r="AT1529" t="n">
        <v>5</v>
      </c>
      <c r="AU1529" t="n">
        <v>2</v>
      </c>
      <c r="AV1529" t="n">
        <v>47</v>
      </c>
      <c r="AW1529" t="n">
        <v>21</v>
      </c>
      <c r="AX1529" t="n">
        <v>4</v>
      </c>
      <c r="AY1529" t="n">
        <v>173</v>
      </c>
      <c r="AZ1529" t="n">
        <v>4</v>
      </c>
      <c r="BA1529" t="n">
        <v>24</v>
      </c>
      <c r="BB1529" t="n">
        <v>69</v>
      </c>
      <c r="BC1529" t="n">
        <v>42</v>
      </c>
      <c r="BD1529" t="n">
        <v>68</v>
      </c>
      <c r="BE1529" t="n">
        <v>28</v>
      </c>
      <c r="BF1529" t="n">
        <v>75</v>
      </c>
      <c r="BG1529" t="n">
        <v>3</v>
      </c>
      <c r="BH1529" t="n">
        <v>6</v>
      </c>
      <c r="BI1529" t="n">
        <v>22</v>
      </c>
      <c r="BJ1529" t="n">
        <v>36</v>
      </c>
      <c r="BK1529" t="n">
        <v>0</v>
      </c>
      <c r="BL1529" t="n">
        <v>27</v>
      </c>
      <c r="BM1529" t="n">
        <v>58</v>
      </c>
      <c r="BN1529" t="n">
        <v>28</v>
      </c>
      <c r="BO1529" t="n">
        <v>2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2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104</v>
      </c>
      <c r="Z1530" t="n">
        <v>186</v>
      </c>
      <c r="AA1530" t="n">
        <v>91</v>
      </c>
      <c r="AB1530" t="n">
        <v>5</v>
      </c>
      <c r="AC1530" t="n">
        <v>0</v>
      </c>
      <c r="AD1530" t="n">
        <v>5</v>
      </c>
      <c r="AE1530" t="n">
        <v>3</v>
      </c>
      <c r="AF1530" t="n">
        <v>4</v>
      </c>
      <c r="AG1530" t="n">
        <v>2</v>
      </c>
      <c r="AH1530" t="n">
        <v>55</v>
      </c>
      <c r="AI1530" t="n">
        <v>18</v>
      </c>
      <c r="AJ1530" t="n">
        <v>16</v>
      </c>
      <c r="AK1530" t="n">
        <v>1</v>
      </c>
      <c r="AL1530" t="n">
        <v>3</v>
      </c>
      <c r="AM1530" t="n">
        <v>55</v>
      </c>
      <c r="AN1530" t="n">
        <v>0</v>
      </c>
      <c r="AO1530" t="n">
        <v>0</v>
      </c>
      <c r="AP1530" t="n">
        <v>8</v>
      </c>
      <c r="AQ1530" t="n">
        <v>29</v>
      </c>
      <c r="AR1530" t="n">
        <v>178</v>
      </c>
      <c r="AS1530" t="n">
        <v>147</v>
      </c>
      <c r="AT1530" t="n">
        <v>1</v>
      </c>
      <c r="AU1530" t="n">
        <v>3</v>
      </c>
      <c r="AV1530" t="n">
        <v>4</v>
      </c>
      <c r="AW1530" t="n">
        <v>23</v>
      </c>
      <c r="AX1530" t="n">
        <v>2</v>
      </c>
      <c r="AY1530" t="n">
        <v>27</v>
      </c>
      <c r="AZ1530" t="n">
        <v>3</v>
      </c>
      <c r="BA1530" t="n">
        <v>1</v>
      </c>
      <c r="BB1530" t="n">
        <v>89</v>
      </c>
      <c r="BC1530" t="n">
        <v>46</v>
      </c>
      <c r="BD1530" t="n">
        <v>52</v>
      </c>
      <c r="BE1530" t="n">
        <v>27</v>
      </c>
      <c r="BF1530" t="n">
        <v>13</v>
      </c>
      <c r="BG1530" t="n">
        <v>1</v>
      </c>
      <c r="BH1530" t="n">
        <v>4</v>
      </c>
      <c r="BI1530" t="n">
        <v>5</v>
      </c>
      <c r="BJ1530" t="n">
        <v>1</v>
      </c>
      <c r="BK1530" t="n">
        <v>3</v>
      </c>
      <c r="BL1530" t="n">
        <v>27</v>
      </c>
      <c r="BM1530" t="n">
        <v>18</v>
      </c>
      <c r="BN1530" t="n">
        <v>0</v>
      </c>
      <c r="BO1530" t="n">
        <v>16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2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253</v>
      </c>
      <c r="Z1531" t="n">
        <v>224</v>
      </c>
      <c r="AA1531" t="n">
        <v>67</v>
      </c>
      <c r="AB1531" t="n">
        <v>4</v>
      </c>
      <c r="AC1531" t="n">
        <v>0</v>
      </c>
      <c r="AD1531" t="n">
        <v>2</v>
      </c>
      <c r="AE1531" t="n">
        <v>4</v>
      </c>
      <c r="AF1531" t="n">
        <v>2</v>
      </c>
      <c r="AG1531" t="n">
        <v>1</v>
      </c>
      <c r="AH1531" t="n">
        <v>13</v>
      </c>
      <c r="AI1531" t="n">
        <v>39</v>
      </c>
      <c r="AJ1531" t="n">
        <v>27</v>
      </c>
      <c r="AK1531" t="n">
        <v>19</v>
      </c>
      <c r="AL1531" t="n">
        <v>3</v>
      </c>
      <c r="AM1531" t="n">
        <v>83</v>
      </c>
      <c r="AN1531" t="n">
        <v>0</v>
      </c>
      <c r="AO1531" t="n">
        <v>0</v>
      </c>
      <c r="AP1531" t="n">
        <v>4</v>
      </c>
      <c r="AQ1531" t="n">
        <v>26</v>
      </c>
      <c r="AR1531" t="n">
        <v>52</v>
      </c>
      <c r="AS1531" t="n">
        <v>31</v>
      </c>
      <c r="AT1531" t="n">
        <v>2</v>
      </c>
      <c r="AU1531" t="n">
        <v>0</v>
      </c>
      <c r="AV1531" t="n">
        <v>52</v>
      </c>
      <c r="AW1531" t="n">
        <v>17</v>
      </c>
      <c r="AX1531" t="n">
        <v>4</v>
      </c>
      <c r="AY1531" t="n">
        <v>11</v>
      </c>
      <c r="AZ1531" t="n">
        <v>1</v>
      </c>
      <c r="BA1531" t="n">
        <v>24</v>
      </c>
      <c r="BB1531" t="n">
        <v>88</v>
      </c>
      <c r="BC1531" t="n">
        <v>71</v>
      </c>
      <c r="BD1531" t="n">
        <v>30</v>
      </c>
      <c r="BE1531" t="n">
        <v>23</v>
      </c>
      <c r="BF1531" t="n">
        <v>35</v>
      </c>
      <c r="BG1531" t="n">
        <v>3</v>
      </c>
      <c r="BH1531" t="n">
        <v>16</v>
      </c>
      <c r="BI1531" t="n">
        <v>28</v>
      </c>
      <c r="BJ1531" t="n">
        <v>25</v>
      </c>
      <c r="BK1531" t="n">
        <v>3</v>
      </c>
      <c r="BL1531" t="n">
        <v>9</v>
      </c>
      <c r="BM1531" t="n">
        <v>12</v>
      </c>
      <c r="BN1531" t="n">
        <v>4</v>
      </c>
      <c r="BO1531" t="n">
        <v>2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169</v>
      </c>
      <c r="Z1532" t="n">
        <v>150</v>
      </c>
      <c r="AA1532" t="n">
        <v>183</v>
      </c>
      <c r="AB1532" t="n">
        <v>1</v>
      </c>
      <c r="AC1532" t="n">
        <v>1</v>
      </c>
      <c r="AD1532" t="n">
        <v>3</v>
      </c>
      <c r="AE1532" t="n">
        <v>1</v>
      </c>
      <c r="AF1532" t="n">
        <v>3</v>
      </c>
      <c r="AG1532" t="n">
        <v>3</v>
      </c>
      <c r="AH1532" t="n">
        <v>89</v>
      </c>
      <c r="AI1532" t="n">
        <v>2</v>
      </c>
      <c r="AJ1532" t="n">
        <v>27</v>
      </c>
      <c r="AK1532" t="n">
        <v>24</v>
      </c>
      <c r="AL1532" t="n">
        <v>5</v>
      </c>
      <c r="AM1532" t="n">
        <v>53</v>
      </c>
      <c r="AN1532" t="n">
        <v>0</v>
      </c>
      <c r="AO1532" t="n">
        <v>1</v>
      </c>
      <c r="AP1532" t="n">
        <v>0</v>
      </c>
      <c r="AQ1532" t="n">
        <v>1</v>
      </c>
      <c r="AR1532" t="n">
        <v>145</v>
      </c>
      <c r="AS1532" t="n">
        <v>134</v>
      </c>
      <c r="AT1532" t="n">
        <v>4</v>
      </c>
      <c r="AU1532" t="n">
        <v>2</v>
      </c>
      <c r="AV1532" t="n">
        <v>12</v>
      </c>
      <c r="AW1532" t="n">
        <v>20</v>
      </c>
      <c r="AX1532" t="n">
        <v>13</v>
      </c>
      <c r="AY1532" t="n">
        <v>39</v>
      </c>
      <c r="AZ1532" t="n">
        <v>0</v>
      </c>
      <c r="BA1532" t="n">
        <v>1</v>
      </c>
      <c r="BB1532" t="n">
        <v>176</v>
      </c>
      <c r="BC1532" t="n">
        <v>44</v>
      </c>
      <c r="BD1532" t="n">
        <v>80</v>
      </c>
      <c r="BE1532" t="n">
        <v>26</v>
      </c>
      <c r="BF1532" t="n">
        <v>32</v>
      </c>
      <c r="BG1532" t="n">
        <v>0</v>
      </c>
      <c r="BH1532" t="n">
        <v>4</v>
      </c>
      <c r="BI1532" t="n">
        <v>1</v>
      </c>
      <c r="BJ1532" t="n">
        <v>4</v>
      </c>
      <c r="BK1532" t="n">
        <v>1</v>
      </c>
      <c r="BL1532" t="n">
        <v>13</v>
      </c>
      <c r="BM1532" t="n">
        <v>12</v>
      </c>
      <c r="BN1532" t="n">
        <v>3</v>
      </c>
      <c r="BO1532" t="n">
        <v>2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177</v>
      </c>
      <c r="Z1533" t="n">
        <v>273</v>
      </c>
      <c r="AA1533" t="n">
        <v>75</v>
      </c>
      <c r="AB1533" t="n">
        <v>0</v>
      </c>
      <c r="AC1533" t="n">
        <v>0</v>
      </c>
      <c r="AD1533" t="n">
        <v>4</v>
      </c>
      <c r="AE1533" t="n">
        <v>7</v>
      </c>
      <c r="AF1533" t="n">
        <v>5</v>
      </c>
      <c r="AG1533" t="n">
        <v>2</v>
      </c>
      <c r="AH1533" t="n">
        <v>28</v>
      </c>
      <c r="AI1533" t="n">
        <v>97</v>
      </c>
      <c r="AJ1533" t="n">
        <v>39</v>
      </c>
      <c r="AK1533" t="n">
        <v>1</v>
      </c>
      <c r="AL1533" t="n">
        <v>2</v>
      </c>
      <c r="AM1533" t="n">
        <v>22</v>
      </c>
      <c r="AN1533" t="n">
        <v>0</v>
      </c>
      <c r="AO1533" t="n">
        <v>0</v>
      </c>
      <c r="AP1533" t="n">
        <v>9</v>
      </c>
      <c r="AQ1533" t="n">
        <v>81</v>
      </c>
      <c r="AR1533" t="n">
        <v>143</v>
      </c>
      <c r="AS1533" t="n">
        <v>76</v>
      </c>
      <c r="AT1533" t="n">
        <v>1</v>
      </c>
      <c r="AU1533" t="n">
        <v>4</v>
      </c>
      <c r="AV1533" t="n">
        <v>14</v>
      </c>
      <c r="AW1533" t="n">
        <v>43</v>
      </c>
      <c r="AX1533" t="n">
        <v>0</v>
      </c>
      <c r="AY1533" t="n">
        <v>53</v>
      </c>
      <c r="AZ1533" t="n">
        <v>0</v>
      </c>
      <c r="BA1533" t="n">
        <v>4</v>
      </c>
      <c r="BB1533" t="n">
        <v>73</v>
      </c>
      <c r="BC1533" t="n">
        <v>23</v>
      </c>
      <c r="BD1533" t="n">
        <v>30</v>
      </c>
      <c r="BE1533" t="n">
        <v>42</v>
      </c>
      <c r="BF1533" t="n">
        <v>31</v>
      </c>
      <c r="BG1533" t="n">
        <v>1</v>
      </c>
      <c r="BH1533" t="n">
        <v>2</v>
      </c>
      <c r="BI1533" t="n">
        <v>34</v>
      </c>
      <c r="BJ1533" t="n">
        <v>31</v>
      </c>
      <c r="BK1533" t="n">
        <v>2</v>
      </c>
      <c r="BL1533" t="n">
        <v>26</v>
      </c>
      <c r="BM1533" t="n">
        <v>49</v>
      </c>
      <c r="BN1533" t="n">
        <v>22</v>
      </c>
      <c r="BO1533" t="n">
        <v>14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313</v>
      </c>
      <c r="Z1534" t="n">
        <v>152</v>
      </c>
      <c r="AA1534" t="n">
        <v>130</v>
      </c>
      <c r="AB1534" t="n">
        <v>2</v>
      </c>
      <c r="AC1534" t="n">
        <v>1</v>
      </c>
      <c r="AD1534" t="n">
        <v>2</v>
      </c>
      <c r="AE1534" t="n">
        <v>6</v>
      </c>
      <c r="AF1534" t="n">
        <v>5</v>
      </c>
      <c r="AG1534" t="n">
        <v>3</v>
      </c>
      <c r="AH1534" t="n">
        <v>30</v>
      </c>
      <c r="AI1534" t="n">
        <v>73</v>
      </c>
      <c r="AJ1534" t="n">
        <v>100</v>
      </c>
      <c r="AK1534" t="n">
        <v>12</v>
      </c>
      <c r="AL1534" t="n">
        <v>1</v>
      </c>
      <c r="AM1534" t="n">
        <v>2</v>
      </c>
      <c r="AN1534" t="n">
        <v>0</v>
      </c>
      <c r="AO1534" t="n">
        <v>0</v>
      </c>
      <c r="AP1534" t="n">
        <v>3</v>
      </c>
      <c r="AQ1534" t="n">
        <v>32</v>
      </c>
      <c r="AR1534" t="n">
        <v>140</v>
      </c>
      <c r="AS1534" t="n">
        <v>111</v>
      </c>
      <c r="AT1534" t="n">
        <v>4</v>
      </c>
      <c r="AU1534" t="n">
        <v>0</v>
      </c>
      <c r="AV1534" t="n">
        <v>42</v>
      </c>
      <c r="AW1534" t="n">
        <v>1</v>
      </c>
      <c r="AX1534" t="n">
        <v>6</v>
      </c>
      <c r="AY1534" t="n">
        <v>26</v>
      </c>
      <c r="AZ1534" t="n">
        <v>0</v>
      </c>
      <c r="BA1534" t="n">
        <v>1</v>
      </c>
      <c r="BB1534" t="n">
        <v>124</v>
      </c>
      <c r="BC1534" t="n">
        <v>5</v>
      </c>
      <c r="BD1534" t="n">
        <v>31</v>
      </c>
      <c r="BE1534" t="n">
        <v>1</v>
      </c>
      <c r="BF1534" t="n">
        <v>80</v>
      </c>
      <c r="BG1534" t="n">
        <v>0</v>
      </c>
      <c r="BH1534" t="n">
        <v>17</v>
      </c>
      <c r="BI1534" t="n">
        <v>6</v>
      </c>
      <c r="BJ1534" t="n">
        <v>1</v>
      </c>
      <c r="BK1534" t="n">
        <v>2</v>
      </c>
      <c r="BL1534" t="n">
        <v>1</v>
      </c>
      <c r="BM1534" t="n">
        <v>10</v>
      </c>
      <c r="BN1534" t="n">
        <v>5</v>
      </c>
      <c r="BO1534" t="n">
        <v>2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229</v>
      </c>
      <c r="Z1535" t="n">
        <v>175</v>
      </c>
      <c r="AA1535" t="n">
        <v>15</v>
      </c>
      <c r="AB1535" t="n">
        <v>2</v>
      </c>
      <c r="AC1535" t="n">
        <v>1</v>
      </c>
      <c r="AD1535" t="n">
        <v>4</v>
      </c>
      <c r="AE1535" t="n">
        <v>0</v>
      </c>
      <c r="AF1535" t="n">
        <v>3</v>
      </c>
      <c r="AG1535" t="n">
        <v>2</v>
      </c>
      <c r="AH1535" t="n">
        <v>43</v>
      </c>
      <c r="AI1535" t="n">
        <v>22</v>
      </c>
      <c r="AJ1535" t="n">
        <v>44</v>
      </c>
      <c r="AK1535" t="n">
        <v>10</v>
      </c>
      <c r="AL1535" t="n">
        <v>5</v>
      </c>
      <c r="AM1535" t="n">
        <v>33</v>
      </c>
      <c r="AN1535" t="n">
        <v>0</v>
      </c>
      <c r="AO1535" t="n">
        <v>0</v>
      </c>
      <c r="AP1535" t="n">
        <v>6</v>
      </c>
      <c r="AQ1535" t="n">
        <v>39</v>
      </c>
      <c r="AR1535" t="n">
        <v>134</v>
      </c>
      <c r="AS1535" t="n">
        <v>99</v>
      </c>
      <c r="AT1535" t="n">
        <v>0</v>
      </c>
      <c r="AU1535" t="n">
        <v>1</v>
      </c>
      <c r="AV1535" t="n">
        <v>1</v>
      </c>
      <c r="AW1535" t="n">
        <v>9</v>
      </c>
      <c r="AX1535" t="n">
        <v>15</v>
      </c>
      <c r="AY1535" t="n">
        <v>23</v>
      </c>
      <c r="AZ1535" t="n">
        <v>0</v>
      </c>
      <c r="BA1535" t="n">
        <v>1</v>
      </c>
      <c r="BB1535" t="n">
        <v>15</v>
      </c>
      <c r="BC1535" t="n">
        <v>28</v>
      </c>
      <c r="BD1535" t="n">
        <v>47</v>
      </c>
      <c r="BE1535" t="n">
        <v>9</v>
      </c>
      <c r="BF1535" t="n">
        <v>34</v>
      </c>
      <c r="BG1535" t="n">
        <v>3</v>
      </c>
      <c r="BH1535" t="n">
        <v>6</v>
      </c>
      <c r="BI1535" t="n">
        <v>37</v>
      </c>
      <c r="BJ1535" t="n">
        <v>33</v>
      </c>
      <c r="BK1535" t="n">
        <v>1</v>
      </c>
      <c r="BL1535" t="n">
        <v>1</v>
      </c>
      <c r="BM1535" t="n">
        <v>51</v>
      </c>
      <c r="BN1535" t="n">
        <v>32</v>
      </c>
      <c r="BO1535" t="n">
        <v>18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202</v>
      </c>
      <c r="Z1536" t="n">
        <v>172</v>
      </c>
      <c r="AA1536" t="n">
        <v>21</v>
      </c>
      <c r="AB1536" t="n">
        <v>1</v>
      </c>
      <c r="AC1536" t="n">
        <v>1</v>
      </c>
      <c r="AD1536" t="n">
        <v>5</v>
      </c>
      <c r="AE1536" t="n">
        <v>0</v>
      </c>
      <c r="AF1536" t="n">
        <v>1</v>
      </c>
      <c r="AG1536" t="n">
        <v>9</v>
      </c>
      <c r="AH1536" t="n">
        <v>33</v>
      </c>
      <c r="AI1536" t="n">
        <v>27</v>
      </c>
      <c r="AJ1536" t="n">
        <v>64</v>
      </c>
      <c r="AK1536" t="n">
        <v>84</v>
      </c>
      <c r="AL1536" t="n">
        <v>1</v>
      </c>
      <c r="AM1536" t="n">
        <v>24</v>
      </c>
      <c r="AN1536" t="n">
        <v>0</v>
      </c>
      <c r="AO1536" t="n">
        <v>0</v>
      </c>
      <c r="AP1536" t="n">
        <v>4</v>
      </c>
      <c r="AQ1536" t="n">
        <v>48</v>
      </c>
      <c r="AR1536" t="n">
        <v>95</v>
      </c>
      <c r="AS1536" t="n">
        <v>55</v>
      </c>
      <c r="AT1536" t="n">
        <v>1</v>
      </c>
      <c r="AU1536" t="n">
        <v>1</v>
      </c>
      <c r="AV1536" t="n">
        <v>13</v>
      </c>
      <c r="AW1536" t="n">
        <v>37</v>
      </c>
      <c r="AX1536" t="n">
        <v>0</v>
      </c>
      <c r="AY1536" t="n">
        <v>11</v>
      </c>
      <c r="AZ1536" t="n">
        <v>2</v>
      </c>
      <c r="BA1536" t="n">
        <v>9</v>
      </c>
      <c r="BB1536" t="n">
        <v>27</v>
      </c>
      <c r="BC1536" t="n">
        <v>26</v>
      </c>
      <c r="BD1536" t="n">
        <v>40</v>
      </c>
      <c r="BE1536" t="n">
        <v>36</v>
      </c>
      <c r="BF1536" t="n">
        <v>61</v>
      </c>
      <c r="BG1536" t="n">
        <v>0</v>
      </c>
      <c r="BH1536" t="n">
        <v>6</v>
      </c>
      <c r="BI1536" t="n">
        <v>1</v>
      </c>
      <c r="BJ1536" t="n">
        <v>46</v>
      </c>
      <c r="BK1536" t="n">
        <v>1</v>
      </c>
      <c r="BL1536" t="n">
        <v>1</v>
      </c>
      <c r="BM1536" t="n">
        <v>6</v>
      </c>
      <c r="BN1536" t="n">
        <v>3</v>
      </c>
      <c r="BO1536" t="n">
        <v>2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3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175</v>
      </c>
      <c r="Z1537" t="n">
        <v>149</v>
      </c>
      <c r="AA1537" t="n">
        <v>53</v>
      </c>
      <c r="AB1537" t="n">
        <v>0</v>
      </c>
      <c r="AC1537" t="n">
        <v>1</v>
      </c>
      <c r="AD1537" t="n">
        <v>3</v>
      </c>
      <c r="AE1537" t="n">
        <v>6</v>
      </c>
      <c r="AF1537" t="n">
        <v>2</v>
      </c>
      <c r="AG1537" t="n">
        <v>4</v>
      </c>
      <c r="AH1537" t="n">
        <v>24</v>
      </c>
      <c r="AI1537" t="n">
        <v>53</v>
      </c>
      <c r="AJ1537" t="n">
        <v>7</v>
      </c>
      <c r="AK1537" t="n">
        <v>21</v>
      </c>
      <c r="AL1537" t="n">
        <v>2</v>
      </c>
      <c r="AM1537" t="n">
        <v>11</v>
      </c>
      <c r="AN1537" t="n">
        <v>0</v>
      </c>
      <c r="AO1537" t="n">
        <v>0</v>
      </c>
      <c r="AP1537" t="n">
        <v>2</v>
      </c>
      <c r="AQ1537" t="n">
        <v>39</v>
      </c>
      <c r="AR1537" t="n">
        <v>70</v>
      </c>
      <c r="AS1537" t="n">
        <v>36</v>
      </c>
      <c r="AT1537" t="n">
        <v>2</v>
      </c>
      <c r="AU1537" t="n">
        <v>2</v>
      </c>
      <c r="AV1537" t="n">
        <v>13</v>
      </c>
      <c r="AW1537" t="n">
        <v>14</v>
      </c>
      <c r="AX1537" t="n">
        <v>6</v>
      </c>
      <c r="AY1537" t="n">
        <v>46</v>
      </c>
      <c r="AZ1537" t="n">
        <v>3</v>
      </c>
      <c r="BA1537" t="n">
        <v>21</v>
      </c>
      <c r="BB1537" t="n">
        <v>73</v>
      </c>
      <c r="BC1537" t="n">
        <v>15</v>
      </c>
      <c r="BD1537" t="n">
        <v>21</v>
      </c>
      <c r="BE1537" t="n">
        <v>19</v>
      </c>
      <c r="BF1537" t="n">
        <v>2</v>
      </c>
      <c r="BG1537" t="n">
        <v>5</v>
      </c>
      <c r="BH1537" t="n">
        <v>8</v>
      </c>
      <c r="BI1537" t="n">
        <v>25</v>
      </c>
      <c r="BJ1537" t="n">
        <v>22</v>
      </c>
      <c r="BK1537" t="n">
        <v>3</v>
      </c>
      <c r="BL1537" t="n">
        <v>43</v>
      </c>
      <c r="BM1537" t="n">
        <v>43</v>
      </c>
      <c r="BN1537" t="n">
        <v>10</v>
      </c>
      <c r="BO1537" t="n">
        <v>2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281</v>
      </c>
      <c r="Z1538" t="n">
        <v>132</v>
      </c>
      <c r="AA1538" t="n">
        <v>136</v>
      </c>
      <c r="AB1538" t="n">
        <v>0</v>
      </c>
      <c r="AC1538" t="n">
        <v>1</v>
      </c>
      <c r="AD1538" t="n">
        <v>12</v>
      </c>
      <c r="AE1538" t="n">
        <v>1</v>
      </c>
      <c r="AF1538" t="n">
        <v>3</v>
      </c>
      <c r="AG1538" t="n">
        <v>6</v>
      </c>
      <c r="AH1538" t="n">
        <v>119</v>
      </c>
      <c r="AI1538" t="n">
        <v>16</v>
      </c>
      <c r="AJ1538" t="n">
        <v>38</v>
      </c>
      <c r="AK1538" t="n">
        <v>18</v>
      </c>
      <c r="AL1538" t="n">
        <v>3</v>
      </c>
      <c r="AM1538" t="n">
        <v>20</v>
      </c>
      <c r="AN1538" t="n">
        <v>0</v>
      </c>
      <c r="AO1538" t="n">
        <v>0</v>
      </c>
      <c r="AP1538" t="n">
        <v>4</v>
      </c>
      <c r="AQ1538" t="n">
        <v>35</v>
      </c>
      <c r="AR1538" t="n">
        <v>87</v>
      </c>
      <c r="AS1538" t="n">
        <v>57</v>
      </c>
      <c r="AT1538" t="n">
        <v>2</v>
      </c>
      <c r="AU1538" t="n">
        <v>2</v>
      </c>
      <c r="AV1538" t="n">
        <v>44</v>
      </c>
      <c r="AW1538" t="n">
        <v>15</v>
      </c>
      <c r="AX1538" t="n">
        <v>0</v>
      </c>
      <c r="AY1538" t="n">
        <v>47</v>
      </c>
      <c r="AZ1538" t="n">
        <v>1</v>
      </c>
      <c r="BA1538" t="n">
        <v>16</v>
      </c>
      <c r="BB1538" t="n">
        <v>142</v>
      </c>
      <c r="BC1538" t="n">
        <v>21</v>
      </c>
      <c r="BD1538" t="n">
        <v>113</v>
      </c>
      <c r="BE1538" t="n">
        <v>27</v>
      </c>
      <c r="BF1538" t="n">
        <v>30</v>
      </c>
      <c r="BG1538" t="n">
        <v>3</v>
      </c>
      <c r="BH1538" t="n">
        <v>2</v>
      </c>
      <c r="BI1538" t="n">
        <v>21</v>
      </c>
      <c r="BJ1538" t="n">
        <v>19</v>
      </c>
      <c r="BK1538" t="n">
        <v>1</v>
      </c>
      <c r="BL1538" t="n">
        <v>24</v>
      </c>
      <c r="BM1538" t="n">
        <v>23</v>
      </c>
      <c r="BN1538" t="n">
        <v>5</v>
      </c>
      <c r="BO1538" t="n">
        <v>14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138</v>
      </c>
      <c r="Z1539" t="n">
        <v>209</v>
      </c>
      <c r="AA1539" t="n">
        <v>53</v>
      </c>
      <c r="AB1539" t="n">
        <v>1</v>
      </c>
      <c r="AC1539" t="n">
        <v>2</v>
      </c>
      <c r="AD1539" t="n">
        <v>7</v>
      </c>
      <c r="AE1539" t="n">
        <v>2</v>
      </c>
      <c r="AF1539" t="n">
        <v>4</v>
      </c>
      <c r="AG1539" t="n">
        <v>2</v>
      </c>
      <c r="AH1539" t="n">
        <v>29</v>
      </c>
      <c r="AI1539" t="n">
        <v>50</v>
      </c>
      <c r="AJ1539" t="n">
        <v>32</v>
      </c>
      <c r="AK1539" t="n">
        <v>19</v>
      </c>
      <c r="AL1539" t="n">
        <v>7</v>
      </c>
      <c r="AM1539" t="n">
        <v>44</v>
      </c>
      <c r="AN1539" t="n">
        <v>0</v>
      </c>
      <c r="AO1539" t="n">
        <v>0</v>
      </c>
      <c r="AP1539" t="n">
        <v>2</v>
      </c>
      <c r="AQ1539" t="n">
        <v>26</v>
      </c>
      <c r="AR1539" t="n">
        <v>38</v>
      </c>
      <c r="AS1539" t="n">
        <v>17</v>
      </c>
      <c r="AT1539" t="n">
        <v>0</v>
      </c>
      <c r="AU1539" t="n">
        <v>1</v>
      </c>
      <c r="AV1539" t="n">
        <v>1</v>
      </c>
      <c r="AW1539" t="n">
        <v>23</v>
      </c>
      <c r="AX1539" t="n">
        <v>0</v>
      </c>
      <c r="AY1539" t="n">
        <v>19</v>
      </c>
      <c r="AZ1539" t="n">
        <v>0</v>
      </c>
      <c r="BA1539" t="n">
        <v>3</v>
      </c>
      <c r="BB1539" t="n">
        <v>52</v>
      </c>
      <c r="BC1539" t="n">
        <v>37</v>
      </c>
      <c r="BD1539" t="n">
        <v>23</v>
      </c>
      <c r="BE1539" t="n">
        <v>26</v>
      </c>
      <c r="BF1539" t="n">
        <v>38</v>
      </c>
      <c r="BG1539" t="n">
        <v>1</v>
      </c>
      <c r="BH1539" t="n">
        <v>14</v>
      </c>
      <c r="BI1539" t="n">
        <v>17</v>
      </c>
      <c r="BJ1539" t="n">
        <v>20</v>
      </c>
      <c r="BK1539" t="n">
        <v>6</v>
      </c>
      <c r="BL1539" t="n">
        <v>44</v>
      </c>
      <c r="BM1539" t="n">
        <v>51</v>
      </c>
      <c r="BN1539" t="n">
        <v>15</v>
      </c>
      <c r="BO1539" t="n">
        <v>2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2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200</v>
      </c>
      <c r="Z1540" t="n">
        <v>116</v>
      </c>
      <c r="AA1540" t="n">
        <v>53</v>
      </c>
      <c r="AB1540" t="n">
        <v>2</v>
      </c>
      <c r="AC1540" t="n">
        <v>1</v>
      </c>
      <c r="AD1540" t="n">
        <v>3</v>
      </c>
      <c r="AE1540" t="n">
        <v>8</v>
      </c>
      <c r="AF1540" t="n">
        <v>7</v>
      </c>
      <c r="AG1540" t="n">
        <v>2</v>
      </c>
      <c r="AH1540" t="n">
        <v>21</v>
      </c>
      <c r="AI1540" t="n">
        <v>61</v>
      </c>
      <c r="AJ1540" t="n">
        <v>72</v>
      </c>
      <c r="AK1540" t="n">
        <v>1</v>
      </c>
      <c r="AL1540" t="n">
        <v>6</v>
      </c>
      <c r="AM1540" t="n">
        <v>21</v>
      </c>
      <c r="AN1540" t="n">
        <v>0</v>
      </c>
      <c r="AO1540" t="n">
        <v>0</v>
      </c>
      <c r="AP1540" t="n">
        <v>8</v>
      </c>
      <c r="AQ1540" t="n">
        <v>82</v>
      </c>
      <c r="AR1540" t="n">
        <v>264</v>
      </c>
      <c r="AS1540" t="n">
        <v>201</v>
      </c>
      <c r="AT1540" t="n">
        <v>0</v>
      </c>
      <c r="AU1540" t="n">
        <v>1</v>
      </c>
      <c r="AV1540" t="n">
        <v>1</v>
      </c>
      <c r="AW1540" t="n">
        <v>6</v>
      </c>
      <c r="AX1540" t="n">
        <v>0</v>
      </c>
      <c r="AY1540" t="n">
        <v>11</v>
      </c>
      <c r="AZ1540" t="n">
        <v>2</v>
      </c>
      <c r="BA1540" t="n">
        <v>27</v>
      </c>
      <c r="BB1540" t="n">
        <v>78</v>
      </c>
      <c r="BC1540" t="n">
        <v>22</v>
      </c>
      <c r="BD1540" t="n">
        <v>31</v>
      </c>
      <c r="BE1540" t="n">
        <v>8</v>
      </c>
      <c r="BF1540" t="n">
        <v>73</v>
      </c>
      <c r="BG1540" t="n">
        <v>3</v>
      </c>
      <c r="BH1540" t="n">
        <v>9</v>
      </c>
      <c r="BI1540" t="n">
        <v>22</v>
      </c>
      <c r="BJ1540" t="n">
        <v>20</v>
      </c>
      <c r="BK1540" t="n">
        <v>2</v>
      </c>
      <c r="BL1540" t="n">
        <v>1</v>
      </c>
      <c r="BM1540" t="n">
        <v>1</v>
      </c>
      <c r="BN1540" t="n">
        <v>0</v>
      </c>
      <c r="BO1540" t="n">
        <v>4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</v>
      </c>
      <c r="V1541" t="n">
        <v>0</v>
      </c>
      <c r="W1541" t="n">
        <v>0</v>
      </c>
      <c r="X1541" t="n">
        <v>0</v>
      </c>
      <c r="Y1541" t="n">
        <v>255</v>
      </c>
      <c r="Z1541" t="n">
        <v>68</v>
      </c>
      <c r="AA1541" t="n">
        <v>56</v>
      </c>
      <c r="AB1541" t="n">
        <v>1</v>
      </c>
      <c r="AC1541" t="n">
        <v>1</v>
      </c>
      <c r="AD1541" t="n">
        <v>3</v>
      </c>
      <c r="AE1541" t="n">
        <v>4</v>
      </c>
      <c r="AF1541" t="n">
        <v>1</v>
      </c>
      <c r="AG1541" t="n">
        <v>4</v>
      </c>
      <c r="AH1541" t="n">
        <v>64</v>
      </c>
      <c r="AI1541" t="n">
        <v>56</v>
      </c>
      <c r="AJ1541" t="n">
        <v>20</v>
      </c>
      <c r="AK1541" t="n">
        <v>71</v>
      </c>
      <c r="AL1541" t="n">
        <v>1</v>
      </c>
      <c r="AM1541" t="n">
        <v>2</v>
      </c>
      <c r="AN1541" t="n">
        <v>0</v>
      </c>
      <c r="AO1541" t="n">
        <v>0</v>
      </c>
      <c r="AP1541" t="n">
        <v>6</v>
      </c>
      <c r="AQ1541" t="n">
        <v>47</v>
      </c>
      <c r="AR1541" t="n">
        <v>68</v>
      </c>
      <c r="AS1541" t="n">
        <v>29</v>
      </c>
      <c r="AT1541" t="n">
        <v>8</v>
      </c>
      <c r="AU1541" t="n">
        <v>2</v>
      </c>
      <c r="AV1541" t="n">
        <v>46</v>
      </c>
      <c r="AW1541" t="n">
        <v>6</v>
      </c>
      <c r="AX1541" t="n">
        <v>0</v>
      </c>
      <c r="AY1541" t="n">
        <v>44</v>
      </c>
      <c r="AZ1541" t="n">
        <v>1</v>
      </c>
      <c r="BA1541" t="n">
        <v>9</v>
      </c>
      <c r="BB1541" t="n">
        <v>60</v>
      </c>
      <c r="BC1541" t="n">
        <v>18</v>
      </c>
      <c r="BD1541" t="n">
        <v>60</v>
      </c>
      <c r="BE1541" t="n">
        <v>11</v>
      </c>
      <c r="BF1541" t="n">
        <v>16</v>
      </c>
      <c r="BG1541" t="n">
        <v>0</v>
      </c>
      <c r="BH1541" t="n">
        <v>9</v>
      </c>
      <c r="BI1541" t="n">
        <v>11</v>
      </c>
      <c r="BJ1541" t="n">
        <v>10</v>
      </c>
      <c r="BK1541" t="n">
        <v>0</v>
      </c>
      <c r="BL1541" t="n">
        <v>1</v>
      </c>
      <c r="BM1541" t="n">
        <v>36</v>
      </c>
      <c r="BN1541" t="n">
        <v>22</v>
      </c>
      <c r="BO1541" t="n">
        <v>18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75</v>
      </c>
      <c r="Z1542" t="n">
        <v>250</v>
      </c>
      <c r="AA1542" t="n">
        <v>17</v>
      </c>
      <c r="AB1542" t="n">
        <v>2</v>
      </c>
      <c r="AC1542" t="n">
        <v>0</v>
      </c>
      <c r="AD1542" t="n">
        <v>2</v>
      </c>
      <c r="AE1542" t="n">
        <v>4</v>
      </c>
      <c r="AF1542" t="n">
        <v>2</v>
      </c>
      <c r="AG1542" t="n">
        <v>3</v>
      </c>
      <c r="AH1542" t="n">
        <v>26</v>
      </c>
      <c r="AI1542" t="n">
        <v>98</v>
      </c>
      <c r="AJ1542" t="n">
        <v>29</v>
      </c>
      <c r="AK1542" t="n">
        <v>10</v>
      </c>
      <c r="AL1542" t="n">
        <v>2</v>
      </c>
      <c r="AM1542" t="n">
        <v>54</v>
      </c>
      <c r="AN1542" t="n">
        <v>0</v>
      </c>
      <c r="AO1542" t="n">
        <v>0</v>
      </c>
      <c r="AP1542" t="n">
        <v>0</v>
      </c>
      <c r="AQ1542" t="n">
        <v>4</v>
      </c>
      <c r="AR1542" t="n">
        <v>35</v>
      </c>
      <c r="AS1542" t="n">
        <v>31</v>
      </c>
      <c r="AT1542" t="n">
        <v>0</v>
      </c>
      <c r="AU1542" t="n">
        <v>2</v>
      </c>
      <c r="AV1542" t="n">
        <v>1</v>
      </c>
      <c r="AW1542" t="n">
        <v>26</v>
      </c>
      <c r="AX1542" t="n">
        <v>7</v>
      </c>
      <c r="AY1542" t="n">
        <v>18</v>
      </c>
      <c r="AZ1542" t="n">
        <v>3</v>
      </c>
      <c r="BA1542" t="n">
        <v>45</v>
      </c>
      <c r="BB1542" t="n">
        <v>65</v>
      </c>
      <c r="BC1542" t="n">
        <v>44</v>
      </c>
      <c r="BD1542" t="n">
        <v>24</v>
      </c>
      <c r="BE1542" t="n">
        <v>26</v>
      </c>
      <c r="BF1542" t="n">
        <v>23</v>
      </c>
      <c r="BG1542" t="n">
        <v>1</v>
      </c>
      <c r="BH1542" t="n">
        <v>0</v>
      </c>
      <c r="BI1542" t="n">
        <v>10</v>
      </c>
      <c r="BJ1542" t="n">
        <v>14</v>
      </c>
      <c r="BK1542" t="n">
        <v>1</v>
      </c>
      <c r="BL1542" t="n">
        <v>1</v>
      </c>
      <c r="BM1542" t="n">
        <v>2</v>
      </c>
      <c r="BN1542" t="n">
        <v>0</v>
      </c>
      <c r="BO1542" t="n">
        <v>54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2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194</v>
      </c>
      <c r="Z1543" t="n">
        <v>136</v>
      </c>
      <c r="AA1543" t="n">
        <v>30</v>
      </c>
      <c r="AB1543" t="n">
        <v>0</v>
      </c>
      <c r="AC1543" t="n">
        <v>1</v>
      </c>
      <c r="AD1543" t="n">
        <v>2</v>
      </c>
      <c r="AE1543" t="n">
        <v>2</v>
      </c>
      <c r="AF1543" t="n">
        <v>4</v>
      </c>
      <c r="AG1543" t="n">
        <v>1</v>
      </c>
      <c r="AH1543" t="n">
        <v>48</v>
      </c>
      <c r="AI1543" t="n">
        <v>18</v>
      </c>
      <c r="AJ1543" t="n">
        <v>48</v>
      </c>
      <c r="AK1543" t="n">
        <v>30</v>
      </c>
      <c r="AL1543" t="n">
        <v>3</v>
      </c>
      <c r="AM1543" t="n">
        <v>48</v>
      </c>
      <c r="AN1543" t="n">
        <v>0</v>
      </c>
      <c r="AO1543" t="n">
        <v>0</v>
      </c>
      <c r="AP1543" t="n">
        <v>6</v>
      </c>
      <c r="AQ1543" t="n">
        <v>52</v>
      </c>
      <c r="AR1543" t="n">
        <v>60</v>
      </c>
      <c r="AS1543" t="n">
        <v>17</v>
      </c>
      <c r="AT1543" t="n">
        <v>2</v>
      </c>
      <c r="AU1543" t="n">
        <v>1</v>
      </c>
      <c r="AV1543" t="n">
        <v>23</v>
      </c>
      <c r="AW1543" t="n">
        <v>3</v>
      </c>
      <c r="AX1543" t="n">
        <v>2</v>
      </c>
      <c r="AY1543" t="n">
        <v>1</v>
      </c>
      <c r="AZ1543" t="n">
        <v>2</v>
      </c>
      <c r="BA1543" t="n">
        <v>24</v>
      </c>
      <c r="BB1543" t="n">
        <v>54</v>
      </c>
      <c r="BC1543" t="n">
        <v>65</v>
      </c>
      <c r="BD1543" t="n">
        <v>43</v>
      </c>
      <c r="BE1543" t="n">
        <v>1</v>
      </c>
      <c r="BF1543" t="n">
        <v>39</v>
      </c>
      <c r="BG1543" t="n">
        <v>0</v>
      </c>
      <c r="BH1543" t="n">
        <v>3</v>
      </c>
      <c r="BI1543" t="n">
        <v>1</v>
      </c>
      <c r="BJ1543" t="n">
        <v>4</v>
      </c>
      <c r="BK1543" t="n">
        <v>4</v>
      </c>
      <c r="BL1543" t="n">
        <v>9</v>
      </c>
      <c r="BM1543" t="n">
        <v>23</v>
      </c>
      <c r="BN1543" t="n">
        <v>11</v>
      </c>
      <c r="BO1543" t="n">
        <v>-5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n">
        <v>228</v>
      </c>
      <c r="Z1544" t="n">
        <v>152</v>
      </c>
      <c r="AA1544" t="n">
        <v>133</v>
      </c>
      <c r="AB1544" t="n">
        <v>0</v>
      </c>
      <c r="AC1544" t="n">
        <v>1</v>
      </c>
      <c r="AD1544" t="n">
        <v>5</v>
      </c>
      <c r="AE1544" t="n">
        <v>5</v>
      </c>
      <c r="AF1544" t="n">
        <v>2</v>
      </c>
      <c r="AG1544" t="n">
        <v>3</v>
      </c>
      <c r="AH1544" t="n">
        <v>80</v>
      </c>
      <c r="AI1544" t="n">
        <v>47</v>
      </c>
      <c r="AJ1544" t="n">
        <v>40</v>
      </c>
      <c r="AK1544" t="n">
        <v>36</v>
      </c>
      <c r="AL1544" t="n">
        <v>3</v>
      </c>
      <c r="AM1544" t="n">
        <v>58</v>
      </c>
      <c r="AN1544" t="n">
        <v>0</v>
      </c>
      <c r="AO1544" t="n">
        <v>0</v>
      </c>
      <c r="AP1544" t="n">
        <v>3</v>
      </c>
      <c r="AQ1544" t="n">
        <v>-2</v>
      </c>
      <c r="AR1544" t="n">
        <v>82</v>
      </c>
      <c r="AS1544" t="n">
        <v>78</v>
      </c>
      <c r="AT1544" t="n">
        <v>0</v>
      </c>
      <c r="AU1544" t="n">
        <v>1</v>
      </c>
      <c r="AV1544" t="n">
        <v>0</v>
      </c>
      <c r="AW1544" t="n">
        <v>13</v>
      </c>
      <c r="AX1544" t="n">
        <v>2</v>
      </c>
      <c r="AY1544" t="n">
        <v>55</v>
      </c>
      <c r="AZ1544" t="n">
        <v>1</v>
      </c>
      <c r="BA1544" t="n">
        <v>9</v>
      </c>
      <c r="BB1544" t="n">
        <v>132</v>
      </c>
      <c r="BC1544" t="n">
        <v>65</v>
      </c>
      <c r="BD1544" t="n">
        <v>71</v>
      </c>
      <c r="BE1544" t="n">
        <v>12</v>
      </c>
      <c r="BF1544" t="n">
        <v>46</v>
      </c>
      <c r="BG1544" t="n">
        <v>0</v>
      </c>
      <c r="BH1544" t="n">
        <v>0</v>
      </c>
      <c r="BI1544" t="n">
        <v>1</v>
      </c>
      <c r="BJ1544" t="n">
        <v>23</v>
      </c>
      <c r="BK1544" t="n">
        <v>3</v>
      </c>
      <c r="BL1544" t="n">
        <v>9</v>
      </c>
      <c r="BM1544" t="n">
        <v>43</v>
      </c>
      <c r="BN1544" t="n">
        <v>25</v>
      </c>
      <c r="BO1544" t="n">
        <v>2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224</v>
      </c>
      <c r="Z1545" t="n">
        <v>159</v>
      </c>
      <c r="AA1545" t="n">
        <v>53</v>
      </c>
      <c r="AB1545" t="n">
        <v>1</v>
      </c>
      <c r="AC1545" t="n">
        <v>1</v>
      </c>
      <c r="AD1545" t="n">
        <v>4</v>
      </c>
      <c r="AE1545" t="n">
        <v>2</v>
      </c>
      <c r="AF1545" t="n">
        <v>5</v>
      </c>
      <c r="AG1545" t="n">
        <v>6</v>
      </c>
      <c r="AH1545" t="n">
        <v>57</v>
      </c>
      <c r="AI1545" t="n">
        <v>21</v>
      </c>
      <c r="AJ1545" t="n">
        <v>31</v>
      </c>
      <c r="AK1545" t="n">
        <v>83</v>
      </c>
      <c r="AL1545" t="n">
        <v>2</v>
      </c>
      <c r="AM1545" t="n">
        <v>57</v>
      </c>
      <c r="AN1545" t="n">
        <v>0</v>
      </c>
      <c r="AO1545" t="n">
        <v>0</v>
      </c>
      <c r="AP1545" t="n">
        <v>3</v>
      </c>
      <c r="AQ1545" t="n">
        <v>4</v>
      </c>
      <c r="AR1545" t="n">
        <v>100</v>
      </c>
      <c r="AS1545" t="n">
        <v>92</v>
      </c>
      <c r="AT1545" t="n">
        <v>2</v>
      </c>
      <c r="AU1545" t="n">
        <v>1</v>
      </c>
      <c r="AV1545" t="n">
        <v>5</v>
      </c>
      <c r="AW1545" t="n">
        <v>1</v>
      </c>
      <c r="AX1545" t="n">
        <v>2</v>
      </c>
      <c r="AY1545" t="n">
        <v>26</v>
      </c>
      <c r="AZ1545" t="n">
        <v>1</v>
      </c>
      <c r="BA1545" t="n">
        <v>20</v>
      </c>
      <c r="BB1545" t="n">
        <v>70</v>
      </c>
      <c r="BC1545" t="n">
        <v>53</v>
      </c>
      <c r="BD1545" t="n">
        <v>60</v>
      </c>
      <c r="BE1545" t="n">
        <v>1</v>
      </c>
      <c r="BF1545" t="n">
        <v>34</v>
      </c>
      <c r="BG1545" t="n">
        <v>1</v>
      </c>
      <c r="BH1545" t="n">
        <v>13</v>
      </c>
      <c r="BI1545" t="n">
        <v>40</v>
      </c>
      <c r="BJ1545" t="n">
        <v>37</v>
      </c>
      <c r="BK1545" t="n">
        <v>1</v>
      </c>
      <c r="BL1545" t="n">
        <v>1</v>
      </c>
      <c r="BM1545" t="n">
        <v>5</v>
      </c>
      <c r="BN1545" t="n">
        <v>3</v>
      </c>
      <c r="BO1545" t="n">
        <v>54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249</v>
      </c>
      <c r="Z1546" t="n">
        <v>208</v>
      </c>
      <c r="AA1546" t="n">
        <v>44</v>
      </c>
      <c r="AB1546" t="n">
        <v>0</v>
      </c>
      <c r="AC1546" t="n">
        <v>1</v>
      </c>
      <c r="AD1546" t="n">
        <v>1</v>
      </c>
      <c r="AE1546" t="n">
        <v>3</v>
      </c>
      <c r="AF1546" t="n">
        <v>5</v>
      </c>
      <c r="AG1546" t="n">
        <v>6</v>
      </c>
      <c r="AH1546" t="n">
        <v>34</v>
      </c>
      <c r="AI1546" t="n">
        <v>2</v>
      </c>
      <c r="AJ1546" t="n">
        <v>40</v>
      </c>
      <c r="AK1546" t="n">
        <v>54</v>
      </c>
      <c r="AL1546" t="n">
        <v>3</v>
      </c>
      <c r="AM1546" t="n">
        <v>57</v>
      </c>
      <c r="AN1546" t="n">
        <v>0</v>
      </c>
      <c r="AO1546" t="n">
        <v>0</v>
      </c>
      <c r="AP1546" t="n">
        <v>3</v>
      </c>
      <c r="AQ1546" t="n">
        <v>30</v>
      </c>
      <c r="AR1546" t="n">
        <v>128</v>
      </c>
      <c r="AS1546" t="n">
        <v>99</v>
      </c>
      <c r="AT1546" t="n">
        <v>4</v>
      </c>
      <c r="AU1546" t="n">
        <v>0</v>
      </c>
      <c r="AV1546" t="n">
        <v>62</v>
      </c>
      <c r="AW1546" t="n">
        <v>19</v>
      </c>
      <c r="AX1546" t="n">
        <v>0</v>
      </c>
      <c r="AY1546" t="n">
        <v>18</v>
      </c>
      <c r="AZ1546" t="n">
        <v>2</v>
      </c>
      <c r="BA1546" t="n">
        <v>55</v>
      </c>
      <c r="BB1546" t="n">
        <v>106</v>
      </c>
      <c r="BC1546" t="n">
        <v>52</v>
      </c>
      <c r="BD1546" t="n">
        <v>36</v>
      </c>
      <c r="BE1546" t="n">
        <v>19</v>
      </c>
      <c r="BF1546" t="n">
        <v>45</v>
      </c>
      <c r="BG1546" t="n">
        <v>0</v>
      </c>
      <c r="BH1546" t="n">
        <v>4</v>
      </c>
      <c r="BI1546" t="n">
        <v>1</v>
      </c>
      <c r="BJ1546" t="n">
        <v>1</v>
      </c>
      <c r="BK1546" t="n">
        <v>1</v>
      </c>
      <c r="BL1546" t="n">
        <v>25</v>
      </c>
      <c r="BM1546" t="n">
        <v>61</v>
      </c>
      <c r="BN1546" t="n">
        <v>30</v>
      </c>
      <c r="BO1546" t="n">
        <v>2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3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154</v>
      </c>
      <c r="Z1547" t="n">
        <v>136</v>
      </c>
      <c r="AA1547" t="n">
        <v>128</v>
      </c>
      <c r="AB1547" t="n">
        <v>0</v>
      </c>
      <c r="AC1547" t="n">
        <v>1</v>
      </c>
      <c r="AD1547" t="n">
        <v>5</v>
      </c>
      <c r="AE1547" t="n">
        <v>1</v>
      </c>
      <c r="AF1547" t="n">
        <v>4</v>
      </c>
      <c r="AG1547" t="n">
        <v>0</v>
      </c>
      <c r="AH1547" t="n">
        <v>56</v>
      </c>
      <c r="AI1547" t="n">
        <v>1</v>
      </c>
      <c r="AJ1547" t="n">
        <v>34</v>
      </c>
      <c r="AK1547" t="n">
        <v>16</v>
      </c>
      <c r="AL1547" t="n">
        <v>5</v>
      </c>
      <c r="AM1547" t="n">
        <v>101</v>
      </c>
      <c r="AN1547" t="n">
        <v>0</v>
      </c>
      <c r="AO1547" t="n">
        <v>0</v>
      </c>
      <c r="AP1547" t="n">
        <v>3</v>
      </c>
      <c r="AQ1547" t="n">
        <v>-3</v>
      </c>
      <c r="AR1547" t="n">
        <v>58</v>
      </c>
      <c r="AS1547" t="n">
        <v>56</v>
      </c>
      <c r="AT1547" t="n">
        <v>0</v>
      </c>
      <c r="AU1547" t="n">
        <v>1</v>
      </c>
      <c r="AV1547" t="n">
        <v>1</v>
      </c>
      <c r="AW1547" t="n">
        <v>4</v>
      </c>
      <c r="AX1547" t="n">
        <v>0</v>
      </c>
      <c r="AY1547" t="n">
        <v>10</v>
      </c>
      <c r="AZ1547" t="n">
        <v>2</v>
      </c>
      <c r="BA1547" t="n">
        <v>10</v>
      </c>
      <c r="BB1547" t="n">
        <v>129</v>
      </c>
      <c r="BC1547" t="n">
        <v>86</v>
      </c>
      <c r="BD1547" t="n">
        <v>49</v>
      </c>
      <c r="BE1547" t="n">
        <v>11</v>
      </c>
      <c r="BF1547" t="n">
        <v>29</v>
      </c>
      <c r="BG1547" t="n">
        <v>1</v>
      </c>
      <c r="BH1547" t="n">
        <v>2</v>
      </c>
      <c r="BI1547" t="n">
        <v>14</v>
      </c>
      <c r="BJ1547" t="n">
        <v>13</v>
      </c>
      <c r="BK1547" t="n">
        <v>0</v>
      </c>
      <c r="BL1547" t="n">
        <v>1</v>
      </c>
      <c r="BM1547" t="n">
        <v>10</v>
      </c>
      <c r="BN1547" t="n">
        <v>5</v>
      </c>
      <c r="BO1547" t="n">
        <v>4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145</v>
      </c>
      <c r="Z1548" t="n">
        <v>144</v>
      </c>
      <c r="AA1548" t="n">
        <v>54</v>
      </c>
      <c r="AB1548" t="n">
        <v>0</v>
      </c>
      <c r="AC1548" t="n">
        <v>2</v>
      </c>
      <c r="AD1548" t="n">
        <v>2</v>
      </c>
      <c r="AE1548" t="n">
        <v>8</v>
      </c>
      <c r="AF1548" t="n">
        <v>1</v>
      </c>
      <c r="AG1548" t="n">
        <v>5</v>
      </c>
      <c r="AH1548" t="n">
        <v>20</v>
      </c>
      <c r="AI1548" t="n">
        <v>53</v>
      </c>
      <c r="AJ1548" t="n">
        <v>39</v>
      </c>
      <c r="AK1548" t="n">
        <v>42</v>
      </c>
      <c r="AL1548" t="n">
        <v>3</v>
      </c>
      <c r="AM1548" t="n">
        <v>9</v>
      </c>
      <c r="AN1548" t="n">
        <v>0</v>
      </c>
      <c r="AO1548" t="n">
        <v>0</v>
      </c>
      <c r="AP1548" t="n">
        <v>1</v>
      </c>
      <c r="AQ1548" t="n">
        <v>12</v>
      </c>
      <c r="AR1548" t="n">
        <v>41</v>
      </c>
      <c r="AS1548" t="n">
        <v>32</v>
      </c>
      <c r="AT1548" t="n">
        <v>4</v>
      </c>
      <c r="AU1548" t="n">
        <v>0</v>
      </c>
      <c r="AV1548" t="n">
        <v>44</v>
      </c>
      <c r="AW1548" t="n">
        <v>5</v>
      </c>
      <c r="AX1548" t="n">
        <v>11</v>
      </c>
      <c r="AY1548" t="n">
        <v>19</v>
      </c>
      <c r="AZ1548" t="n">
        <v>2</v>
      </c>
      <c r="BA1548" t="n">
        <v>31</v>
      </c>
      <c r="BB1548" t="n">
        <v>84</v>
      </c>
      <c r="BC1548" t="n">
        <v>4</v>
      </c>
      <c r="BD1548" t="n">
        <v>17</v>
      </c>
      <c r="BE1548" t="n">
        <v>5</v>
      </c>
      <c r="BF1548" t="n">
        <v>31</v>
      </c>
      <c r="BG1548" t="n">
        <v>0</v>
      </c>
      <c r="BH1548" t="n">
        <v>7</v>
      </c>
      <c r="BI1548" t="n">
        <v>1</v>
      </c>
      <c r="BJ1548" t="n">
        <v>12</v>
      </c>
      <c r="BK1548" t="n">
        <v>0</v>
      </c>
      <c r="BL1548" t="n">
        <v>1</v>
      </c>
      <c r="BM1548" t="n">
        <v>8</v>
      </c>
      <c r="BN1548" t="n">
        <v>4</v>
      </c>
      <c r="BO1548" t="n">
        <v>9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162</v>
      </c>
      <c r="Z1549" t="n">
        <v>109</v>
      </c>
      <c r="AA1549" t="n">
        <v>71</v>
      </c>
      <c r="AB1549" t="n">
        <v>0</v>
      </c>
      <c r="AC1549" t="n">
        <v>1</v>
      </c>
      <c r="AD1549" t="n">
        <v>9</v>
      </c>
      <c r="AE1549" t="n">
        <v>3</v>
      </c>
      <c r="AF1549" t="n">
        <v>1</v>
      </c>
      <c r="AG1549" t="n">
        <v>2</v>
      </c>
      <c r="AH1549" t="n">
        <v>84</v>
      </c>
      <c r="AI1549" t="n">
        <v>18</v>
      </c>
      <c r="AJ1549" t="n">
        <v>16</v>
      </c>
      <c r="AK1549" t="n">
        <v>1</v>
      </c>
      <c r="AL1549" t="n">
        <v>3</v>
      </c>
      <c r="AM1549" t="n">
        <v>37</v>
      </c>
      <c r="AN1549" t="n">
        <v>0</v>
      </c>
      <c r="AO1549" t="n">
        <v>0</v>
      </c>
      <c r="AP1549" t="n">
        <v>3</v>
      </c>
      <c r="AQ1549" t="n">
        <v>26</v>
      </c>
      <c r="AR1549" t="n">
        <v>130</v>
      </c>
      <c r="AS1549" t="n">
        <v>107</v>
      </c>
      <c r="AT1549" t="n">
        <v>2</v>
      </c>
      <c r="AU1549" t="n">
        <v>1</v>
      </c>
      <c r="AV1549" t="n">
        <v>8</v>
      </c>
      <c r="AW1549" t="n">
        <v>1</v>
      </c>
      <c r="AX1549" t="n">
        <v>1</v>
      </c>
      <c r="AY1549" t="n">
        <v>96</v>
      </c>
      <c r="AZ1549" t="n">
        <v>4</v>
      </c>
      <c r="BA1549" t="n">
        <v>9</v>
      </c>
      <c r="BB1549" t="n">
        <v>78</v>
      </c>
      <c r="BC1549" t="n">
        <v>40</v>
      </c>
      <c r="BD1549" t="n">
        <v>76</v>
      </c>
      <c r="BE1549" t="n">
        <v>10</v>
      </c>
      <c r="BF1549" t="n">
        <v>15</v>
      </c>
      <c r="BG1549" t="n">
        <v>5</v>
      </c>
      <c r="BH1549" t="n">
        <v>0</v>
      </c>
      <c r="BI1549" t="n">
        <v>21</v>
      </c>
      <c r="BJ1549" t="n">
        <v>19</v>
      </c>
      <c r="BK1549" t="n">
        <v>0</v>
      </c>
      <c r="BL1549" t="n">
        <v>1</v>
      </c>
      <c r="BM1549" t="n">
        <v>23</v>
      </c>
      <c r="BN1549" t="n">
        <v>14</v>
      </c>
      <c r="BO1549" t="n">
        <v>89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218</v>
      </c>
      <c r="Z1550" t="n">
        <v>223</v>
      </c>
      <c r="AA1550" t="n">
        <v>50</v>
      </c>
      <c r="AB1550" t="n">
        <v>0</v>
      </c>
      <c r="AC1550" t="n">
        <v>0</v>
      </c>
      <c r="AD1550" t="n">
        <v>6</v>
      </c>
      <c r="AE1550" t="n">
        <v>8</v>
      </c>
      <c r="AF1550" t="n">
        <v>4</v>
      </c>
      <c r="AG1550" t="n">
        <v>3</v>
      </c>
      <c r="AH1550" t="n">
        <v>121</v>
      </c>
      <c r="AI1550" t="n">
        <v>55</v>
      </c>
      <c r="AJ1550" t="n">
        <v>34</v>
      </c>
      <c r="AK1550" t="n">
        <v>15</v>
      </c>
      <c r="AL1550" t="n">
        <v>8</v>
      </c>
      <c r="AM1550" t="n">
        <v>57</v>
      </c>
      <c r="AN1550" t="n">
        <v>0</v>
      </c>
      <c r="AO1550" t="n">
        <v>0</v>
      </c>
      <c r="AP1550" t="n">
        <v>3</v>
      </c>
      <c r="AQ1550" t="n">
        <v>26</v>
      </c>
      <c r="AR1550" t="n">
        <v>107</v>
      </c>
      <c r="AS1550" t="n">
        <v>84</v>
      </c>
      <c r="AT1550" t="n">
        <v>1</v>
      </c>
      <c r="AU1550" t="n">
        <v>1</v>
      </c>
      <c r="AV1550" t="n">
        <v>21</v>
      </c>
      <c r="AW1550" t="n">
        <v>24</v>
      </c>
      <c r="AX1550" t="n">
        <v>5</v>
      </c>
      <c r="AY1550" t="n">
        <v>27</v>
      </c>
      <c r="AZ1550" t="n">
        <v>2</v>
      </c>
      <c r="BA1550" t="n">
        <v>7</v>
      </c>
      <c r="BB1550" t="n">
        <v>53</v>
      </c>
      <c r="BC1550" t="n">
        <v>47</v>
      </c>
      <c r="BD1550" t="n">
        <v>109</v>
      </c>
      <c r="BE1550" t="n">
        <v>25</v>
      </c>
      <c r="BF1550" t="n">
        <v>36</v>
      </c>
      <c r="BG1550" t="n">
        <v>0</v>
      </c>
      <c r="BH1550" t="n">
        <v>0</v>
      </c>
      <c r="BI1550" t="n">
        <v>6</v>
      </c>
      <c r="BJ1550" t="n">
        <v>4</v>
      </c>
      <c r="BK1550" t="n">
        <v>0</v>
      </c>
      <c r="BL1550" t="n">
        <v>1</v>
      </c>
      <c r="BM1550" t="n">
        <v>25</v>
      </c>
      <c r="BN1550" t="n">
        <v>14</v>
      </c>
      <c r="BO1550" t="n">
        <v>9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</v>
      </c>
      <c r="V1551" t="n">
        <v>0</v>
      </c>
      <c r="W1551" t="n">
        <v>0</v>
      </c>
      <c r="X1551" t="n">
        <v>0</v>
      </c>
      <c r="Y1551" t="n">
        <v>249</v>
      </c>
      <c r="Z1551" t="n">
        <v>237</v>
      </c>
      <c r="AA1551" t="n">
        <v>59</v>
      </c>
      <c r="AB1551" t="n">
        <v>0</v>
      </c>
      <c r="AC1551" t="n">
        <v>0</v>
      </c>
      <c r="AD1551" t="n">
        <v>3</v>
      </c>
      <c r="AE1551" t="n">
        <v>7</v>
      </c>
      <c r="AF1551" t="n">
        <v>0</v>
      </c>
      <c r="AG1551" t="n">
        <v>3</v>
      </c>
      <c r="AH1551" t="n">
        <v>28</v>
      </c>
      <c r="AI1551" t="n">
        <v>68</v>
      </c>
      <c r="AJ1551" t="n">
        <v>2</v>
      </c>
      <c r="AK1551" t="n">
        <v>108</v>
      </c>
      <c r="AL1551" t="n">
        <v>1</v>
      </c>
      <c r="AM1551" t="n">
        <v>6</v>
      </c>
      <c r="AN1551" t="n">
        <v>1</v>
      </c>
      <c r="AO1551" t="n">
        <v>0</v>
      </c>
      <c r="AP1551" t="n">
        <v>3</v>
      </c>
      <c r="AQ1551" t="n">
        <v>41</v>
      </c>
      <c r="AR1551" t="n">
        <v>173</v>
      </c>
      <c r="AS1551" t="n">
        <v>134</v>
      </c>
      <c r="AT1551" t="n">
        <v>2</v>
      </c>
      <c r="AU1551" t="n">
        <v>2</v>
      </c>
      <c r="AV1551" t="n">
        <v>20</v>
      </c>
      <c r="AW1551" t="n">
        <v>28</v>
      </c>
      <c r="AX1551" t="n">
        <v>12</v>
      </c>
      <c r="AY1551" t="n">
        <v>4</v>
      </c>
      <c r="AZ1551" t="n">
        <v>3</v>
      </c>
      <c r="BA1551" t="n">
        <v>20</v>
      </c>
      <c r="BB1551" t="n">
        <v>76</v>
      </c>
      <c r="BC1551" t="n">
        <v>2</v>
      </c>
      <c r="BD1551" t="n">
        <v>37</v>
      </c>
      <c r="BE1551" t="n">
        <v>28</v>
      </c>
      <c r="BF1551" t="n">
        <v>18</v>
      </c>
      <c r="BG1551" t="n">
        <v>0</v>
      </c>
      <c r="BH1551" t="n">
        <v>1</v>
      </c>
      <c r="BI1551" t="n">
        <v>11</v>
      </c>
      <c r="BJ1551" t="n">
        <v>9</v>
      </c>
      <c r="BK1551" t="n">
        <v>0</v>
      </c>
      <c r="BL1551" t="n">
        <v>1</v>
      </c>
      <c r="BM1551" t="n">
        <v>46</v>
      </c>
      <c r="BN1551" t="n">
        <v>29</v>
      </c>
      <c r="BO1551" t="n">
        <v>35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2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n">
        <v>289</v>
      </c>
      <c r="Z1552" t="n">
        <v>74</v>
      </c>
      <c r="AA1552" t="n">
        <v>71</v>
      </c>
      <c r="AB1552" t="n">
        <v>0</v>
      </c>
      <c r="AC1552" t="n">
        <v>2</v>
      </c>
      <c r="AD1552" t="n">
        <v>2</v>
      </c>
      <c r="AE1552" t="n">
        <v>2</v>
      </c>
      <c r="AF1552" t="n">
        <v>5</v>
      </c>
      <c r="AG1552" t="n">
        <v>3</v>
      </c>
      <c r="AH1552" t="n">
        <v>54</v>
      </c>
      <c r="AI1552" t="n">
        <v>9</v>
      </c>
      <c r="AJ1552" t="n">
        <v>25</v>
      </c>
      <c r="AK1552" t="n">
        <v>19</v>
      </c>
      <c r="AL1552" t="n">
        <v>1</v>
      </c>
      <c r="AM1552" t="n">
        <v>14</v>
      </c>
      <c r="AN1552" t="n">
        <v>1</v>
      </c>
      <c r="AO1552" t="n">
        <v>0</v>
      </c>
      <c r="AP1552" t="n">
        <v>3</v>
      </c>
      <c r="AQ1552" t="n">
        <v>15</v>
      </c>
      <c r="AR1552" t="n">
        <v>122</v>
      </c>
      <c r="AS1552" t="n">
        <v>106</v>
      </c>
      <c r="AT1552" t="n">
        <v>2</v>
      </c>
      <c r="AU1552" t="n">
        <v>0</v>
      </c>
      <c r="AV1552" t="n">
        <v>13</v>
      </c>
      <c r="AW1552" t="n">
        <v>3</v>
      </c>
      <c r="AX1552" t="n">
        <v>0</v>
      </c>
      <c r="AY1552" t="n">
        <v>79</v>
      </c>
      <c r="AZ1552" t="n">
        <v>1</v>
      </c>
      <c r="BA1552" t="n">
        <v>4</v>
      </c>
      <c r="BB1552" t="n">
        <v>70</v>
      </c>
      <c r="BC1552" t="n">
        <v>38</v>
      </c>
      <c r="BD1552" t="n">
        <v>44</v>
      </c>
      <c r="BE1552" t="n">
        <v>1</v>
      </c>
      <c r="BF1552" t="n">
        <v>20</v>
      </c>
      <c r="BG1552" t="n">
        <v>3</v>
      </c>
      <c r="BH1552" t="n">
        <v>16</v>
      </c>
      <c r="BI1552" t="n">
        <v>39</v>
      </c>
      <c r="BJ1552" t="n">
        <v>48</v>
      </c>
      <c r="BK1552" t="n">
        <v>6</v>
      </c>
      <c r="BL1552" t="n">
        <v>49</v>
      </c>
      <c r="BM1552" t="n">
        <v>75</v>
      </c>
      <c r="BN1552" t="n">
        <v>30</v>
      </c>
      <c r="BO1552" t="n">
        <v>49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242</v>
      </c>
      <c r="Z1553" t="n">
        <v>167</v>
      </c>
      <c r="AA1553" t="n">
        <v>33</v>
      </c>
      <c r="AB1553" t="n">
        <v>1</v>
      </c>
      <c r="AC1553" t="n">
        <v>2</v>
      </c>
      <c r="AD1553" t="n">
        <v>1</v>
      </c>
      <c r="AE1553" t="n">
        <v>0</v>
      </c>
      <c r="AF1553" t="n">
        <v>4</v>
      </c>
      <c r="AG1553" t="n">
        <v>2</v>
      </c>
      <c r="AH1553" t="n">
        <v>50</v>
      </c>
      <c r="AI1553" t="n">
        <v>33</v>
      </c>
      <c r="AJ1553" t="n">
        <v>25</v>
      </c>
      <c r="AK1553" t="n">
        <v>4</v>
      </c>
      <c r="AL1553" t="n">
        <v>2</v>
      </c>
      <c r="AM1553" t="n">
        <v>21</v>
      </c>
      <c r="AN1553" t="n">
        <v>0</v>
      </c>
      <c r="AO1553" t="n">
        <v>0</v>
      </c>
      <c r="AP1553" t="n">
        <v>6</v>
      </c>
      <c r="AQ1553" t="n">
        <v>35</v>
      </c>
      <c r="AR1553" t="n">
        <v>159</v>
      </c>
      <c r="AS1553" t="n">
        <v>126</v>
      </c>
      <c r="AT1553" t="n">
        <v>2</v>
      </c>
      <c r="AU1553" t="n">
        <v>3</v>
      </c>
      <c r="AV1553" t="n">
        <v>20</v>
      </c>
      <c r="AW1553" t="n">
        <v>42</v>
      </c>
      <c r="AX1553" t="n">
        <v>6</v>
      </c>
      <c r="AY1553" t="n">
        <v>23</v>
      </c>
      <c r="AZ1553" t="n">
        <v>2</v>
      </c>
      <c r="BA1553" t="n">
        <v>36</v>
      </c>
      <c r="BB1553" t="n">
        <v>70</v>
      </c>
      <c r="BC1553" t="n">
        <v>16</v>
      </c>
      <c r="BD1553" t="n">
        <v>47</v>
      </c>
      <c r="BE1553" t="n">
        <v>42</v>
      </c>
      <c r="BF1553" t="n">
        <v>20</v>
      </c>
      <c r="BG1553" t="n">
        <v>2</v>
      </c>
      <c r="BH1553" t="n">
        <v>3</v>
      </c>
      <c r="BI1553" t="n">
        <v>33</v>
      </c>
      <c r="BJ1553" t="n">
        <v>30</v>
      </c>
      <c r="BK1553" t="n">
        <v>6</v>
      </c>
      <c r="BL1553" t="n">
        <v>20</v>
      </c>
      <c r="BM1553" t="n">
        <v>16</v>
      </c>
      <c r="BN1553" t="n">
        <v>3</v>
      </c>
      <c r="BO1553" t="n">
        <v>40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2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162</v>
      </c>
      <c r="Z1554" t="n">
        <v>287</v>
      </c>
      <c r="AA1554" t="n">
        <v>18</v>
      </c>
      <c r="AB1554" t="n">
        <v>2</v>
      </c>
      <c r="AC1554" t="n">
        <v>1</v>
      </c>
      <c r="AD1554" t="n">
        <v>5</v>
      </c>
      <c r="AE1554" t="n">
        <v>7</v>
      </c>
      <c r="AF1554" t="n">
        <v>6</v>
      </c>
      <c r="AG1554" t="n">
        <v>5</v>
      </c>
      <c r="AH1554" t="n">
        <v>52</v>
      </c>
      <c r="AI1554" t="n">
        <v>122</v>
      </c>
      <c r="AJ1554" t="n">
        <v>84</v>
      </c>
      <c r="AK1554" t="n">
        <v>28</v>
      </c>
      <c r="AL1554" t="n">
        <v>5</v>
      </c>
      <c r="AM1554" t="n">
        <v>22</v>
      </c>
      <c r="AN1554" t="n">
        <v>0</v>
      </c>
      <c r="AO1554" t="n">
        <v>0</v>
      </c>
      <c r="AP1554" t="n">
        <v>1</v>
      </c>
      <c r="AQ1554" t="n">
        <v>18</v>
      </c>
      <c r="AR1554" t="n">
        <v>112</v>
      </c>
      <c r="AS1554" t="n">
        <v>94</v>
      </c>
      <c r="AT1554" t="n">
        <v>1</v>
      </c>
      <c r="AU1554" t="n">
        <v>2</v>
      </c>
      <c r="AV1554" t="n">
        <v>17</v>
      </c>
      <c r="AW1554" t="n">
        <v>45</v>
      </c>
      <c r="AX1554" t="n">
        <v>0</v>
      </c>
      <c r="AY1554" t="n">
        <v>21</v>
      </c>
      <c r="AZ1554" t="n">
        <v>5</v>
      </c>
      <c r="BA1554" t="n">
        <v>8</v>
      </c>
      <c r="BB1554" t="n">
        <v>24</v>
      </c>
      <c r="BC1554" t="n">
        <v>24</v>
      </c>
      <c r="BD1554" t="n">
        <v>49</v>
      </c>
      <c r="BE1554" t="n">
        <v>44</v>
      </c>
      <c r="BF1554" t="n">
        <v>66</v>
      </c>
      <c r="BG1554" t="n">
        <v>1</v>
      </c>
      <c r="BH1554" t="n">
        <v>3</v>
      </c>
      <c r="BI1554" t="n">
        <v>7</v>
      </c>
      <c r="BJ1554" t="n">
        <v>1</v>
      </c>
      <c r="BK1554" t="n">
        <v>0</v>
      </c>
      <c r="BL1554" t="n">
        <v>1</v>
      </c>
      <c r="BM1554" t="n">
        <v>-2</v>
      </c>
      <c r="BN1554" t="n">
        <v>-1</v>
      </c>
      <c r="BO1554" t="n">
        <v>25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246</v>
      </c>
      <c r="Z1555" t="n">
        <v>236</v>
      </c>
      <c r="AA1555" t="n">
        <v>103</v>
      </c>
      <c r="AB1555" t="n">
        <v>0</v>
      </c>
      <c r="AC1555" t="n">
        <v>1</v>
      </c>
      <c r="AD1555" t="n">
        <v>2</v>
      </c>
      <c r="AE1555" t="n">
        <v>4</v>
      </c>
      <c r="AF1555" t="n">
        <v>3</v>
      </c>
      <c r="AG1555" t="n">
        <v>3</v>
      </c>
      <c r="AH1555" t="n">
        <v>49</v>
      </c>
      <c r="AI1555" t="n">
        <v>125</v>
      </c>
      <c r="AJ1555" t="n">
        <v>32</v>
      </c>
      <c r="AK1555" t="n">
        <v>51</v>
      </c>
      <c r="AL1555" t="n">
        <v>2</v>
      </c>
      <c r="AM1555" t="n">
        <v>27</v>
      </c>
      <c r="AN1555" t="n">
        <v>0</v>
      </c>
      <c r="AO1555" t="n">
        <v>0</v>
      </c>
      <c r="AP1555" t="n">
        <v>4</v>
      </c>
      <c r="AQ1555" t="n">
        <v>33</v>
      </c>
      <c r="AR1555" t="n">
        <v>49</v>
      </c>
      <c r="AS1555" t="n">
        <v>21</v>
      </c>
      <c r="AT1555" t="n">
        <v>3</v>
      </c>
      <c r="AU1555" t="n">
        <v>0</v>
      </c>
      <c r="AV1555" t="n">
        <v>34</v>
      </c>
      <c r="AW1555" t="n">
        <v>8</v>
      </c>
      <c r="AX1555" t="n">
        <v>1</v>
      </c>
      <c r="AY1555" t="n">
        <v>4</v>
      </c>
      <c r="AZ1555" t="n">
        <v>1</v>
      </c>
      <c r="BA1555" t="n">
        <v>-1</v>
      </c>
      <c r="BB1555" t="n">
        <v>100</v>
      </c>
      <c r="BC1555" t="n">
        <v>26</v>
      </c>
      <c r="BD1555" t="n">
        <v>50</v>
      </c>
      <c r="BE1555" t="n">
        <v>9</v>
      </c>
      <c r="BF1555" t="n">
        <v>45</v>
      </c>
      <c r="BG1555" t="n">
        <v>6</v>
      </c>
      <c r="BH1555" t="n">
        <v>14</v>
      </c>
      <c r="BI1555" t="n">
        <v>36</v>
      </c>
      <c r="BJ1555" t="n">
        <v>47</v>
      </c>
      <c r="BK1555" t="n">
        <v>3</v>
      </c>
      <c r="BL1555" t="n">
        <v>24</v>
      </c>
      <c r="BM1555" t="n">
        <v>28</v>
      </c>
      <c r="BN1555" t="n">
        <v>9</v>
      </c>
      <c r="BO1555" t="n">
        <v>4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2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0</v>
      </c>
      <c r="V1556" t="n">
        <v>0</v>
      </c>
      <c r="W1556" t="n">
        <v>0</v>
      </c>
      <c r="X1556" t="n">
        <v>2</v>
      </c>
      <c r="Y1556" t="n">
        <v>193</v>
      </c>
      <c r="Z1556" t="n">
        <v>180</v>
      </c>
      <c r="AA1556" t="n">
        <v>53</v>
      </c>
      <c r="AB1556" t="n">
        <v>0</v>
      </c>
      <c r="AC1556" t="n">
        <v>3</v>
      </c>
      <c r="AD1556" t="n">
        <v>5</v>
      </c>
      <c r="AE1556" t="n">
        <v>8</v>
      </c>
      <c r="AF1556" t="n">
        <v>1</v>
      </c>
      <c r="AG1556" t="n">
        <v>3</v>
      </c>
      <c r="AH1556" t="n">
        <v>41</v>
      </c>
      <c r="AI1556" t="n">
        <v>87</v>
      </c>
      <c r="AJ1556" t="n">
        <v>45</v>
      </c>
      <c r="AK1556" t="n">
        <v>10</v>
      </c>
      <c r="AL1556" t="n">
        <v>1</v>
      </c>
      <c r="AM1556" t="n">
        <v>32</v>
      </c>
      <c r="AN1556" t="n">
        <v>0</v>
      </c>
      <c r="AO1556" t="n">
        <v>0</v>
      </c>
      <c r="AP1556" t="n">
        <v>3</v>
      </c>
      <c r="AQ1556" t="n">
        <v>12</v>
      </c>
      <c r="AR1556" t="n">
        <v>72</v>
      </c>
      <c r="AS1556" t="n">
        <v>61</v>
      </c>
      <c r="AT1556" t="n">
        <v>0</v>
      </c>
      <c r="AU1556" t="n">
        <v>1</v>
      </c>
      <c r="AV1556" t="n">
        <v>1</v>
      </c>
      <c r="AW1556" t="n">
        <v>15</v>
      </c>
      <c r="AX1556" t="n">
        <v>0</v>
      </c>
      <c r="AY1556" t="n">
        <v>12</v>
      </c>
      <c r="AZ1556" t="n">
        <v>2</v>
      </c>
      <c r="BA1556" t="n">
        <v>36</v>
      </c>
      <c r="BB1556" t="n">
        <v>89</v>
      </c>
      <c r="BC1556" t="n">
        <v>26</v>
      </c>
      <c r="BD1556" t="n">
        <v>36</v>
      </c>
      <c r="BE1556" t="n">
        <v>15</v>
      </c>
      <c r="BF1556" t="n">
        <v>39</v>
      </c>
      <c r="BG1556" t="n">
        <v>1</v>
      </c>
      <c r="BH1556" t="n">
        <v>5</v>
      </c>
      <c r="BI1556" t="n">
        <v>37</v>
      </c>
      <c r="BJ1556" t="n">
        <v>34</v>
      </c>
      <c r="BK1556" t="n">
        <v>2</v>
      </c>
      <c r="BL1556" t="n">
        <v>1</v>
      </c>
      <c r="BM1556" t="n">
        <v>6</v>
      </c>
      <c r="BN1556" t="n">
        <v>3</v>
      </c>
      <c r="BO1556" t="n">
        <v>2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218</v>
      </c>
      <c r="Z1557" t="n">
        <v>160</v>
      </c>
      <c r="AA1557" t="n">
        <v>152</v>
      </c>
      <c r="AB1557" t="n">
        <v>0</v>
      </c>
      <c r="AC1557" t="n">
        <v>1</v>
      </c>
      <c r="AD1557" t="n">
        <v>6</v>
      </c>
      <c r="AE1557" t="n">
        <v>7</v>
      </c>
      <c r="AF1557" t="n">
        <v>2</v>
      </c>
      <c r="AG1557" t="n">
        <v>6</v>
      </c>
      <c r="AH1557" t="n">
        <v>35</v>
      </c>
      <c r="AI1557" t="n">
        <v>79</v>
      </c>
      <c r="AJ1557" t="n">
        <v>47</v>
      </c>
      <c r="AK1557" t="n">
        <v>47</v>
      </c>
      <c r="AL1557" t="n">
        <v>1</v>
      </c>
      <c r="AM1557" t="n">
        <v>25</v>
      </c>
      <c r="AN1557" t="n">
        <v>0</v>
      </c>
      <c r="AO1557" t="n">
        <v>0</v>
      </c>
      <c r="AP1557" t="n">
        <v>3</v>
      </c>
      <c r="AQ1557" t="n">
        <v>12</v>
      </c>
      <c r="AR1557" t="n">
        <v>85</v>
      </c>
      <c r="AS1557" t="n">
        <v>72</v>
      </c>
      <c r="AT1557" t="n">
        <v>1</v>
      </c>
      <c r="AU1557" t="n">
        <v>0</v>
      </c>
      <c r="AV1557" t="n">
        <v>1</v>
      </c>
      <c r="AW1557" t="n">
        <v>1</v>
      </c>
      <c r="AX1557" t="n">
        <v>5</v>
      </c>
      <c r="AY1557" t="n">
        <v>61</v>
      </c>
      <c r="AZ1557" t="n">
        <v>0</v>
      </c>
      <c r="BA1557" t="n">
        <v>1</v>
      </c>
      <c r="BB1557" t="n">
        <v>140</v>
      </c>
      <c r="BC1557" t="n">
        <v>33</v>
      </c>
      <c r="BD1557" t="n">
        <v>32</v>
      </c>
      <c r="BE1557" t="n">
        <v>10</v>
      </c>
      <c r="BF1557" t="n">
        <v>40</v>
      </c>
      <c r="BG1557" t="n">
        <v>1</v>
      </c>
      <c r="BH1557" t="n">
        <v>0</v>
      </c>
      <c r="BI1557" t="n">
        <v>21</v>
      </c>
      <c r="BJ1557" t="n">
        <v>27</v>
      </c>
      <c r="BK1557" t="n">
        <v>4</v>
      </c>
      <c r="BL1557" t="n">
        <v>32</v>
      </c>
      <c r="BM1557" t="n">
        <v>28</v>
      </c>
      <c r="BN1557" t="n">
        <v>6</v>
      </c>
      <c r="BO1557" t="n">
        <v>-5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n">
        <v>206</v>
      </c>
      <c r="Z1558" t="n">
        <v>194</v>
      </c>
      <c r="AA1558" t="n">
        <v>16</v>
      </c>
      <c r="AB1558" t="n">
        <v>2</v>
      </c>
      <c r="AC1558" t="n">
        <v>2</v>
      </c>
      <c r="AD1558" t="n">
        <v>7</v>
      </c>
      <c r="AE1558" t="n">
        <v>7</v>
      </c>
      <c r="AF1558" t="n">
        <v>5</v>
      </c>
      <c r="AG1558" t="n">
        <v>4</v>
      </c>
      <c r="AH1558" t="n">
        <v>73</v>
      </c>
      <c r="AI1558" t="n">
        <v>59</v>
      </c>
      <c r="AJ1558" t="n">
        <v>47</v>
      </c>
      <c r="AK1558" t="n">
        <v>3</v>
      </c>
      <c r="AL1558" t="n">
        <v>0</v>
      </c>
      <c r="AM1558" t="n">
        <v>2</v>
      </c>
      <c r="AN1558" t="n">
        <v>0</v>
      </c>
      <c r="AO1558" t="n">
        <v>0</v>
      </c>
      <c r="AP1558" t="n">
        <v>8</v>
      </c>
      <c r="AQ1558" t="n">
        <v>52</v>
      </c>
      <c r="AR1558" t="n">
        <v>93</v>
      </c>
      <c r="AS1558" t="n">
        <v>51</v>
      </c>
      <c r="AT1558" t="n">
        <v>3</v>
      </c>
      <c r="AU1558" t="n">
        <v>1</v>
      </c>
      <c r="AV1558" t="n">
        <v>3</v>
      </c>
      <c r="AW1558" t="n">
        <v>1</v>
      </c>
      <c r="AX1558" t="n">
        <v>1</v>
      </c>
      <c r="AY1558" t="n">
        <v>19</v>
      </c>
      <c r="AZ1558" t="n">
        <v>5</v>
      </c>
      <c r="BA1558" t="n">
        <v>35</v>
      </c>
      <c r="BB1558" t="n">
        <v>54</v>
      </c>
      <c r="BC1558" t="n">
        <v>5</v>
      </c>
      <c r="BD1558" t="n">
        <v>115</v>
      </c>
      <c r="BE1558" t="n">
        <v>18</v>
      </c>
      <c r="BF1558" t="n">
        <v>37</v>
      </c>
      <c r="BG1558" t="n">
        <v>0</v>
      </c>
      <c r="BH1558" t="n">
        <v>8</v>
      </c>
      <c r="BI1558" t="n">
        <v>5</v>
      </c>
      <c r="BJ1558" t="n">
        <v>2</v>
      </c>
      <c r="BK1558" t="n">
        <v>3</v>
      </c>
      <c r="BL1558" t="n">
        <v>19</v>
      </c>
      <c r="BM1558" t="n">
        <v>50</v>
      </c>
      <c r="BN1558" t="n">
        <v>25</v>
      </c>
      <c r="BO1558" t="n">
        <v>2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144</v>
      </c>
      <c r="Z1559" t="n">
        <v>51</v>
      </c>
      <c r="AA1559" t="n">
        <v>125</v>
      </c>
      <c r="AB1559" t="n">
        <v>3</v>
      </c>
      <c r="AC1559" t="n">
        <v>1</v>
      </c>
      <c r="AD1559" t="n">
        <v>0</v>
      </c>
      <c r="AE1559" t="n">
        <v>5</v>
      </c>
      <c r="AF1559" t="n">
        <v>0</v>
      </c>
      <c r="AG1559" t="n">
        <v>5</v>
      </c>
      <c r="AH1559" t="n">
        <v>19</v>
      </c>
      <c r="AI1559" t="n">
        <v>39</v>
      </c>
      <c r="AJ1559" t="n">
        <v>39</v>
      </c>
      <c r="AK1559" t="n">
        <v>56</v>
      </c>
      <c r="AL1559" t="n">
        <v>1</v>
      </c>
      <c r="AM1559" t="n">
        <v>2</v>
      </c>
      <c r="AN1559" t="n">
        <v>0</v>
      </c>
      <c r="AO1559" t="n">
        <v>0</v>
      </c>
      <c r="AP1559" t="n">
        <v>8</v>
      </c>
      <c r="AQ1559" t="n">
        <v>38</v>
      </c>
      <c r="AR1559" t="n">
        <v>109</v>
      </c>
      <c r="AS1559" t="n">
        <v>76</v>
      </c>
      <c r="AT1559" t="n">
        <v>0</v>
      </c>
      <c r="AU1559" t="n">
        <v>1</v>
      </c>
      <c r="AV1559" t="n">
        <v>1</v>
      </c>
      <c r="AW1559" t="n">
        <v>1</v>
      </c>
      <c r="AX1559" t="n">
        <v>11</v>
      </c>
      <c r="AY1559" t="n">
        <v>32</v>
      </c>
      <c r="AZ1559" t="n">
        <v>0</v>
      </c>
      <c r="BA1559" t="n">
        <v>1</v>
      </c>
      <c r="BB1559" t="n">
        <v>121</v>
      </c>
      <c r="BC1559" t="n">
        <v>6</v>
      </c>
      <c r="BD1559" t="n">
        <v>13</v>
      </c>
      <c r="BE1559" t="n">
        <v>13</v>
      </c>
      <c r="BF1559" t="n">
        <v>34</v>
      </c>
      <c r="BG1559" t="n">
        <v>5</v>
      </c>
      <c r="BH1559" t="n">
        <v>0</v>
      </c>
      <c r="BI1559" t="n">
        <v>45</v>
      </c>
      <c r="BJ1559" t="n">
        <v>47</v>
      </c>
      <c r="BK1559" t="n">
        <v>0</v>
      </c>
      <c r="BL1559" t="n">
        <v>1</v>
      </c>
      <c r="BM1559" t="n">
        <v>63</v>
      </c>
      <c r="BN1559" t="n">
        <v>43</v>
      </c>
      <c r="BO1559" t="n">
        <v>11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414</v>
      </c>
      <c r="Z1560" t="n">
        <v>267</v>
      </c>
      <c r="AA1560" t="n">
        <v>66</v>
      </c>
      <c r="AB1560" t="n">
        <v>2</v>
      </c>
      <c r="AC1560" t="n">
        <v>1</v>
      </c>
      <c r="AD1560" t="n">
        <v>8</v>
      </c>
      <c r="AE1560" t="n">
        <v>5</v>
      </c>
      <c r="AF1560" t="n">
        <v>7</v>
      </c>
      <c r="AG1560" t="n">
        <v>5</v>
      </c>
      <c r="AH1560" t="n">
        <v>188</v>
      </c>
      <c r="AI1560" t="n">
        <v>37</v>
      </c>
      <c r="AJ1560" t="n">
        <v>56</v>
      </c>
      <c r="AK1560" t="n">
        <v>42</v>
      </c>
      <c r="AL1560" t="n">
        <v>0</v>
      </c>
      <c r="AM1560" t="n">
        <v>43</v>
      </c>
      <c r="AN1560" t="n">
        <v>0</v>
      </c>
      <c r="AO1560" t="n">
        <v>0</v>
      </c>
      <c r="AP1560" t="n">
        <v>6</v>
      </c>
      <c r="AQ1560" t="n">
        <v>58</v>
      </c>
      <c r="AR1560" t="n">
        <v>131</v>
      </c>
      <c r="AS1560" t="n">
        <v>82</v>
      </c>
      <c r="AT1560" t="n">
        <v>5</v>
      </c>
      <c r="AU1560" t="n">
        <v>4</v>
      </c>
      <c r="AV1560" t="n">
        <v>47</v>
      </c>
      <c r="AW1560" t="n">
        <v>63</v>
      </c>
      <c r="AX1560" t="n">
        <v>1</v>
      </c>
      <c r="AY1560" t="n">
        <v>5</v>
      </c>
      <c r="AZ1560" t="n">
        <v>1</v>
      </c>
      <c r="BA1560" t="n">
        <v>1</v>
      </c>
      <c r="BB1560" t="n">
        <v>64</v>
      </c>
      <c r="BC1560" t="n">
        <v>42</v>
      </c>
      <c r="BD1560" t="n">
        <v>175</v>
      </c>
      <c r="BE1560" t="n">
        <v>65</v>
      </c>
      <c r="BF1560" t="n">
        <v>45</v>
      </c>
      <c r="BG1560" t="n">
        <v>3</v>
      </c>
      <c r="BH1560" t="n">
        <v>23</v>
      </c>
      <c r="BI1560" t="n">
        <v>9</v>
      </c>
      <c r="BJ1560" t="n">
        <v>7</v>
      </c>
      <c r="BK1560" t="n">
        <v>1</v>
      </c>
      <c r="BL1560" t="n">
        <v>13</v>
      </c>
      <c r="BM1560" t="n">
        <v>11</v>
      </c>
      <c r="BN1560" t="n">
        <v>2</v>
      </c>
      <c r="BO1560" t="n">
        <v>2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228</v>
      </c>
      <c r="Z1561" t="n">
        <v>146</v>
      </c>
      <c r="AA1561" t="n">
        <v>93</v>
      </c>
      <c r="AB1561" t="n">
        <v>1</v>
      </c>
      <c r="AC1561" t="n">
        <v>0</v>
      </c>
      <c r="AD1561" t="n">
        <v>4</v>
      </c>
      <c r="AE1561" t="n">
        <v>2</v>
      </c>
      <c r="AF1561" t="n">
        <v>4</v>
      </c>
      <c r="AG1561" t="n">
        <v>4</v>
      </c>
      <c r="AH1561" t="n">
        <v>26</v>
      </c>
      <c r="AI1561" t="n">
        <v>2</v>
      </c>
      <c r="AJ1561" t="n">
        <v>25</v>
      </c>
      <c r="AK1561" t="n">
        <v>57</v>
      </c>
      <c r="AL1561" t="n">
        <v>2</v>
      </c>
      <c r="AM1561" t="n">
        <v>13</v>
      </c>
      <c r="AN1561" t="n">
        <v>0</v>
      </c>
      <c r="AO1561" t="n">
        <v>0</v>
      </c>
      <c r="AP1561" t="n">
        <v>3</v>
      </c>
      <c r="AQ1561" t="n">
        <v>9</v>
      </c>
      <c r="AR1561" t="n">
        <v>83</v>
      </c>
      <c r="AS1561" t="n">
        <v>73</v>
      </c>
      <c r="AT1561" t="n">
        <v>1</v>
      </c>
      <c r="AU1561" t="n">
        <v>2</v>
      </c>
      <c r="AV1561" t="n">
        <v>33</v>
      </c>
      <c r="AW1561" t="n">
        <v>18</v>
      </c>
      <c r="AX1561" t="n">
        <v>0</v>
      </c>
      <c r="AY1561" t="n">
        <v>-6</v>
      </c>
      <c r="AZ1561" t="n">
        <v>0</v>
      </c>
      <c r="BA1561" t="n">
        <v>1</v>
      </c>
      <c r="BB1561" t="n">
        <v>90</v>
      </c>
      <c r="BC1561" t="n">
        <v>10</v>
      </c>
      <c r="BD1561" t="n">
        <v>23</v>
      </c>
      <c r="BE1561" t="n">
        <v>19</v>
      </c>
      <c r="BF1561" t="n">
        <v>19</v>
      </c>
      <c r="BG1561" t="n">
        <v>1</v>
      </c>
      <c r="BH1561" t="n">
        <v>3</v>
      </c>
      <c r="BI1561" t="n">
        <v>1</v>
      </c>
      <c r="BJ1561" t="n">
        <v>4</v>
      </c>
      <c r="BK1561" t="n">
        <v>1</v>
      </c>
      <c r="BL1561" t="n">
        <v>3</v>
      </c>
      <c r="BM1561" t="n">
        <v>31</v>
      </c>
      <c r="BN1561" t="n">
        <v>18</v>
      </c>
      <c r="BO1561" t="n">
        <v>16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271</v>
      </c>
      <c r="Z1562" t="n">
        <v>132</v>
      </c>
      <c r="AA1562" t="n">
        <v>53</v>
      </c>
      <c r="AB1562" t="n">
        <v>1</v>
      </c>
      <c r="AC1562" t="n">
        <v>2</v>
      </c>
      <c r="AD1562" t="n">
        <v>0</v>
      </c>
      <c r="AE1562" t="n">
        <v>7</v>
      </c>
      <c r="AF1562" t="n">
        <v>3</v>
      </c>
      <c r="AG1562" t="n">
        <v>7</v>
      </c>
      <c r="AH1562" t="n">
        <v>13</v>
      </c>
      <c r="AI1562" t="n">
        <v>48</v>
      </c>
      <c r="AJ1562" t="n">
        <v>45</v>
      </c>
      <c r="AK1562" t="n">
        <v>62</v>
      </c>
      <c r="AL1562" t="n">
        <v>5</v>
      </c>
      <c r="AM1562" t="n">
        <v>81</v>
      </c>
      <c r="AN1562" t="n">
        <v>1</v>
      </c>
      <c r="AO1562" t="n">
        <v>0</v>
      </c>
      <c r="AP1562" t="n">
        <v>3</v>
      </c>
      <c r="AQ1562" t="n">
        <v>45</v>
      </c>
      <c r="AR1562" t="n">
        <v>46</v>
      </c>
      <c r="AS1562" t="n">
        <v>7</v>
      </c>
      <c r="AT1562" t="n">
        <v>0</v>
      </c>
      <c r="AU1562" t="n">
        <v>2</v>
      </c>
      <c r="AV1562" t="n">
        <v>1</v>
      </c>
      <c r="AW1562" t="n">
        <v>4</v>
      </c>
      <c r="AX1562" t="n">
        <v>0</v>
      </c>
      <c r="AY1562" t="n">
        <v>28</v>
      </c>
      <c r="AZ1562" t="n">
        <v>0</v>
      </c>
      <c r="BA1562" t="n">
        <v>1</v>
      </c>
      <c r="BB1562" t="n">
        <v>52</v>
      </c>
      <c r="BC1562" t="n">
        <v>67</v>
      </c>
      <c r="BD1562" t="n">
        <v>11</v>
      </c>
      <c r="BE1562" t="n">
        <v>3</v>
      </c>
      <c r="BF1562" t="n">
        <v>39</v>
      </c>
      <c r="BG1562" t="n">
        <v>4</v>
      </c>
      <c r="BH1562" t="n">
        <v>14</v>
      </c>
      <c r="BI1562" t="n">
        <v>56</v>
      </c>
      <c r="BJ1562" t="n">
        <v>51</v>
      </c>
      <c r="BK1562" t="n">
        <v>6</v>
      </c>
      <c r="BL1562" t="n">
        <v>16</v>
      </c>
      <c r="BM1562" t="n">
        <v>22</v>
      </c>
      <c r="BN1562" t="n">
        <v>8</v>
      </c>
      <c r="BO1562" t="n">
        <v>44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2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276</v>
      </c>
      <c r="Z1563" t="n">
        <v>291</v>
      </c>
      <c r="AA1563" t="n">
        <v>21</v>
      </c>
      <c r="AB1563" t="n">
        <v>2</v>
      </c>
      <c r="AC1563" t="n">
        <v>3</v>
      </c>
      <c r="AD1563" t="n">
        <v>4</v>
      </c>
      <c r="AE1563" t="n">
        <v>7</v>
      </c>
      <c r="AF1563" t="n">
        <v>3</v>
      </c>
      <c r="AG1563" t="n">
        <v>8</v>
      </c>
      <c r="AH1563" t="n">
        <v>58</v>
      </c>
      <c r="AI1563" t="n">
        <v>33</v>
      </c>
      <c r="AJ1563" t="n">
        <v>48</v>
      </c>
      <c r="AK1563" t="n">
        <v>114</v>
      </c>
      <c r="AL1563" t="n">
        <v>3</v>
      </c>
      <c r="AM1563" t="n">
        <v>142</v>
      </c>
      <c r="AN1563" t="n">
        <v>0</v>
      </c>
      <c r="AO1563" t="n">
        <v>0</v>
      </c>
      <c r="AP1563" t="n">
        <v>7</v>
      </c>
      <c r="AQ1563" t="n">
        <v>62</v>
      </c>
      <c r="AR1563" t="n">
        <v>119</v>
      </c>
      <c r="AS1563" t="n">
        <v>65</v>
      </c>
      <c r="AT1563" t="n">
        <v>2</v>
      </c>
      <c r="AU1563" t="n">
        <v>1</v>
      </c>
      <c r="AV1563" t="n">
        <v>21</v>
      </c>
      <c r="AW1563" t="n">
        <v>41</v>
      </c>
      <c r="AX1563" t="n">
        <v>3</v>
      </c>
      <c r="AY1563" t="n">
        <v>13</v>
      </c>
      <c r="AZ1563" t="n">
        <v>0</v>
      </c>
      <c r="BA1563" t="n">
        <v>1</v>
      </c>
      <c r="BB1563" t="n">
        <v>20</v>
      </c>
      <c r="BC1563" t="n">
        <v>129</v>
      </c>
      <c r="BD1563" t="n">
        <v>70</v>
      </c>
      <c r="BE1563" t="n">
        <v>49</v>
      </c>
      <c r="BF1563" t="n">
        <v>38</v>
      </c>
      <c r="BG1563" t="n">
        <v>3</v>
      </c>
      <c r="BH1563" t="n">
        <v>6</v>
      </c>
      <c r="BI1563" t="n">
        <v>43</v>
      </c>
      <c r="BJ1563" t="n">
        <v>39</v>
      </c>
      <c r="BK1563" t="n">
        <v>1</v>
      </c>
      <c r="BL1563" t="n">
        <v>15</v>
      </c>
      <c r="BM1563" t="n">
        <v>24</v>
      </c>
      <c r="BN1563" t="n">
        <v>10</v>
      </c>
      <c r="BO1563" t="n">
        <v>2</v>
      </c>
    </row>
    <row r="1564">
      <c r="A1564" t="n">
        <v>0</v>
      </c>
      <c r="B1564" t="n">
        <v>0</v>
      </c>
      <c r="C1564" t="n">
        <v>0</v>
      </c>
      <c r="D1564" t="n">
        <v>2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2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224</v>
      </c>
      <c r="Z1564" t="n">
        <v>207</v>
      </c>
      <c r="AA1564" t="n">
        <v>24</v>
      </c>
      <c r="AB1564" t="n">
        <v>5</v>
      </c>
      <c r="AC1564" t="n">
        <v>2</v>
      </c>
      <c r="AD1564" t="n">
        <v>2</v>
      </c>
      <c r="AE1564" t="n">
        <v>3</v>
      </c>
      <c r="AF1564" t="n">
        <v>5</v>
      </c>
      <c r="AG1564" t="n">
        <v>13</v>
      </c>
      <c r="AH1564" t="n">
        <v>28</v>
      </c>
      <c r="AI1564" t="n">
        <v>71</v>
      </c>
      <c r="AJ1564" t="n">
        <v>34</v>
      </c>
      <c r="AK1564" t="n">
        <v>113</v>
      </c>
      <c r="AL1564" t="n">
        <v>2</v>
      </c>
      <c r="AM1564" t="n">
        <v>29</v>
      </c>
      <c r="AN1564" t="n">
        <v>0</v>
      </c>
      <c r="AO1564" t="n">
        <v>0</v>
      </c>
      <c r="AP1564" t="n">
        <v>0</v>
      </c>
      <c r="AQ1564" t="n">
        <v>1</v>
      </c>
      <c r="AR1564" t="n">
        <v>272</v>
      </c>
      <c r="AS1564" t="n">
        <v>245</v>
      </c>
      <c r="AT1564" t="n">
        <v>5</v>
      </c>
      <c r="AU1564" t="n">
        <v>5</v>
      </c>
      <c r="AV1564" t="n">
        <v>33</v>
      </c>
      <c r="AW1564" t="n">
        <v>49</v>
      </c>
      <c r="AX1564" t="n">
        <v>4</v>
      </c>
      <c r="AY1564" t="n">
        <v>8</v>
      </c>
      <c r="AZ1564" t="n">
        <v>1</v>
      </c>
      <c r="BA1564" t="n">
        <v>8</v>
      </c>
      <c r="BB1564" t="n">
        <v>30</v>
      </c>
      <c r="BC1564" t="n">
        <v>24</v>
      </c>
      <c r="BD1564" t="n">
        <v>83</v>
      </c>
      <c r="BE1564" t="n">
        <v>55</v>
      </c>
      <c r="BF1564" t="n">
        <v>33</v>
      </c>
      <c r="BG1564" t="n">
        <v>2</v>
      </c>
      <c r="BH1564" t="n">
        <v>11</v>
      </c>
      <c r="BI1564" t="n">
        <v>26</v>
      </c>
      <c r="BJ1564" t="n">
        <v>23</v>
      </c>
      <c r="BK1564" t="n">
        <v>3</v>
      </c>
      <c r="BL1564" t="n">
        <v>1</v>
      </c>
      <c r="BM1564" t="n">
        <v>51</v>
      </c>
      <c r="BN1564" t="n">
        <v>32</v>
      </c>
      <c r="BO1564" t="n">
        <v>40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2</v>
      </c>
      <c r="U1565" t="n">
        <v>0</v>
      </c>
      <c r="V1565" t="n">
        <v>0</v>
      </c>
      <c r="W1565" t="n">
        <v>0</v>
      </c>
      <c r="X1565" t="n">
        <v>0</v>
      </c>
      <c r="Y1565" t="n">
        <v>178</v>
      </c>
      <c r="Z1565" t="n">
        <v>230</v>
      </c>
      <c r="AA1565" t="n">
        <v>95</v>
      </c>
      <c r="AB1565" t="n">
        <v>1</v>
      </c>
      <c r="AC1565" t="n">
        <v>0</v>
      </c>
      <c r="AD1565" t="n">
        <v>5</v>
      </c>
      <c r="AE1565" t="n">
        <v>3</v>
      </c>
      <c r="AF1565" t="n">
        <v>5</v>
      </c>
      <c r="AG1565" t="n">
        <v>4</v>
      </c>
      <c r="AH1565" t="n">
        <v>2</v>
      </c>
      <c r="AI1565" t="n">
        <v>59</v>
      </c>
      <c r="AJ1565" t="n">
        <v>11</v>
      </c>
      <c r="AK1565" t="n">
        <v>30</v>
      </c>
      <c r="AL1565" t="n">
        <v>4</v>
      </c>
      <c r="AM1565" t="n">
        <v>129</v>
      </c>
      <c r="AN1565" t="n">
        <v>1</v>
      </c>
      <c r="AO1565" t="n">
        <v>0</v>
      </c>
      <c r="AP1565" t="n">
        <v>6</v>
      </c>
      <c r="AQ1565" t="n">
        <v>55</v>
      </c>
      <c r="AR1565" t="n">
        <v>129</v>
      </c>
      <c r="AS1565" t="n">
        <v>83</v>
      </c>
      <c r="AT1565" t="n">
        <v>5</v>
      </c>
      <c r="AU1565" t="n">
        <v>0</v>
      </c>
      <c r="AV1565" t="n">
        <v>32</v>
      </c>
      <c r="AW1565" t="n">
        <v>1</v>
      </c>
      <c r="AX1565" t="n">
        <v>2</v>
      </c>
      <c r="AY1565" t="n">
        <v>66</v>
      </c>
      <c r="AZ1565" t="n">
        <v>6</v>
      </c>
      <c r="BA1565" t="n">
        <v>60</v>
      </c>
      <c r="BB1565" t="n">
        <v>157</v>
      </c>
      <c r="BC1565" t="n">
        <v>108</v>
      </c>
      <c r="BD1565" t="n">
        <v>118</v>
      </c>
      <c r="BE1565" t="n">
        <v>3</v>
      </c>
      <c r="BF1565" t="n">
        <v>15</v>
      </c>
      <c r="BG1565" t="n">
        <v>3</v>
      </c>
      <c r="BH1565" t="n">
        <v>8</v>
      </c>
      <c r="BI1565" t="n">
        <v>43</v>
      </c>
      <c r="BJ1565" t="n">
        <v>39</v>
      </c>
      <c r="BK1565" t="n">
        <v>0</v>
      </c>
      <c r="BL1565" t="n">
        <v>1</v>
      </c>
      <c r="BM1565" t="n">
        <v>5</v>
      </c>
      <c r="BN1565" t="n">
        <v>2</v>
      </c>
      <c r="BO1565" t="n">
        <v>21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2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220</v>
      </c>
      <c r="Z1566" t="n">
        <v>206</v>
      </c>
      <c r="AA1566" t="n">
        <v>106</v>
      </c>
      <c r="AB1566" t="n">
        <v>1</v>
      </c>
      <c r="AC1566" t="n">
        <v>0</v>
      </c>
      <c r="AD1566" t="n">
        <v>8</v>
      </c>
      <c r="AE1566" t="n">
        <v>7</v>
      </c>
      <c r="AF1566" t="n">
        <v>4</v>
      </c>
      <c r="AG1566" t="n">
        <v>7</v>
      </c>
      <c r="AH1566" t="n">
        <v>118</v>
      </c>
      <c r="AI1566" t="n">
        <v>72</v>
      </c>
      <c r="AJ1566" t="n">
        <v>49</v>
      </c>
      <c r="AK1566" t="n">
        <v>25</v>
      </c>
      <c r="AL1566" t="n">
        <v>1</v>
      </c>
      <c r="AM1566" t="n">
        <v>11</v>
      </c>
      <c r="AN1566" t="n">
        <v>0</v>
      </c>
      <c r="AO1566" t="n">
        <v>0</v>
      </c>
      <c r="AP1566" t="n">
        <v>5</v>
      </c>
      <c r="AQ1566" t="n">
        <v>15</v>
      </c>
      <c r="AR1566" t="n">
        <v>54</v>
      </c>
      <c r="AS1566" t="n">
        <v>41</v>
      </c>
      <c r="AT1566" t="n">
        <v>3</v>
      </c>
      <c r="AU1566" t="n">
        <v>1</v>
      </c>
      <c r="AV1566" t="n">
        <v>32</v>
      </c>
      <c r="AW1566" t="n">
        <v>16</v>
      </c>
      <c r="AX1566" t="n">
        <v>0</v>
      </c>
      <c r="AY1566" t="n">
        <v>6</v>
      </c>
      <c r="AZ1566" t="n">
        <v>10</v>
      </c>
      <c r="BA1566" t="n">
        <v>84</v>
      </c>
      <c r="BB1566" t="n">
        <v>193</v>
      </c>
      <c r="BC1566" t="n">
        <v>44</v>
      </c>
      <c r="BD1566" t="n">
        <v>108</v>
      </c>
      <c r="BE1566" t="n">
        <v>17</v>
      </c>
      <c r="BF1566" t="n">
        <v>40</v>
      </c>
      <c r="BG1566" t="n">
        <v>1</v>
      </c>
      <c r="BH1566" t="n">
        <v>0</v>
      </c>
      <c r="BI1566" t="n">
        <v>1</v>
      </c>
      <c r="BJ1566" t="n">
        <v>1</v>
      </c>
      <c r="BK1566" t="n">
        <v>5</v>
      </c>
      <c r="BL1566" t="n">
        <v>22</v>
      </c>
      <c r="BM1566" t="n">
        <v>18</v>
      </c>
      <c r="BN1566" t="n">
        <v>3</v>
      </c>
      <c r="BO1566" t="n">
        <v>40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2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134</v>
      </c>
      <c r="Z1567" t="n">
        <v>267</v>
      </c>
      <c r="AA1567" t="n">
        <v>35</v>
      </c>
      <c r="AB1567" t="n">
        <v>1</v>
      </c>
      <c r="AC1567" t="n">
        <v>0</v>
      </c>
      <c r="AD1567" t="n">
        <v>1</v>
      </c>
      <c r="AE1567" t="n">
        <v>2</v>
      </c>
      <c r="AF1567" t="n">
        <v>3</v>
      </c>
      <c r="AG1567" t="n">
        <v>0</v>
      </c>
      <c r="AH1567" t="n">
        <v>57</v>
      </c>
      <c r="AI1567" t="n">
        <v>16</v>
      </c>
      <c r="AJ1567" t="n">
        <v>9</v>
      </c>
      <c r="AK1567" t="n">
        <v>1</v>
      </c>
      <c r="AL1567" t="n">
        <v>6</v>
      </c>
      <c r="AM1567" t="n">
        <v>106</v>
      </c>
      <c r="AN1567" t="n">
        <v>1</v>
      </c>
      <c r="AO1567" t="n">
        <v>0</v>
      </c>
      <c r="AP1567" t="n">
        <v>3</v>
      </c>
      <c r="AQ1567" t="n">
        <v>32</v>
      </c>
      <c r="AR1567" t="n">
        <v>127</v>
      </c>
      <c r="AS1567" t="n">
        <v>98</v>
      </c>
      <c r="AT1567" t="n">
        <v>2</v>
      </c>
      <c r="AU1567" t="n">
        <v>3</v>
      </c>
      <c r="AV1567" t="n">
        <v>23</v>
      </c>
      <c r="AW1567" t="n">
        <v>22</v>
      </c>
      <c r="AX1567" t="n">
        <v>1</v>
      </c>
      <c r="AY1567" t="n">
        <v>19</v>
      </c>
      <c r="AZ1567" t="n">
        <v>0</v>
      </c>
      <c r="BA1567" t="n">
        <v>1</v>
      </c>
      <c r="BB1567" t="n">
        <v>35</v>
      </c>
      <c r="BC1567" t="n">
        <v>87</v>
      </c>
      <c r="BD1567" t="n">
        <v>53</v>
      </c>
      <c r="BE1567" t="n">
        <v>32</v>
      </c>
      <c r="BF1567" t="n">
        <v>10</v>
      </c>
      <c r="BG1567" t="n">
        <v>2</v>
      </c>
      <c r="BH1567" t="n">
        <v>13</v>
      </c>
      <c r="BI1567" t="n">
        <v>1</v>
      </c>
      <c r="BJ1567" t="n">
        <v>5</v>
      </c>
      <c r="BK1567" t="n">
        <v>2</v>
      </c>
      <c r="BL1567" t="n">
        <v>1</v>
      </c>
      <c r="BM1567" t="n">
        <v>60</v>
      </c>
      <c r="BN1567" t="n">
        <v>40</v>
      </c>
      <c r="BO1567" t="n">
        <v>2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221</v>
      </c>
      <c r="Z1568" t="n">
        <v>226</v>
      </c>
      <c r="AA1568" t="n">
        <v>127</v>
      </c>
      <c r="AB1568" t="n">
        <v>2</v>
      </c>
      <c r="AC1568" t="n">
        <v>0</v>
      </c>
      <c r="AD1568" t="n">
        <v>7</v>
      </c>
      <c r="AE1568" t="n">
        <v>4</v>
      </c>
      <c r="AF1568" t="n">
        <v>1</v>
      </c>
      <c r="AG1568" t="n">
        <v>5</v>
      </c>
      <c r="AH1568" t="n">
        <v>51</v>
      </c>
      <c r="AI1568" t="n">
        <v>12</v>
      </c>
      <c r="AJ1568" t="n">
        <v>29</v>
      </c>
      <c r="AK1568" t="n">
        <v>1</v>
      </c>
      <c r="AL1568" t="n">
        <v>2</v>
      </c>
      <c r="AM1568" t="n">
        <v>29</v>
      </c>
      <c r="AN1568" t="n">
        <v>0</v>
      </c>
      <c r="AO1568" t="n">
        <v>0</v>
      </c>
      <c r="AP1568" t="n">
        <v>8</v>
      </c>
      <c r="AQ1568" t="n">
        <v>97</v>
      </c>
      <c r="AR1568" t="n">
        <v>160</v>
      </c>
      <c r="AS1568" t="n">
        <v>79</v>
      </c>
      <c r="AT1568" t="n">
        <v>2</v>
      </c>
      <c r="AU1568" t="n">
        <v>1</v>
      </c>
      <c r="AV1568" t="n">
        <v>30</v>
      </c>
      <c r="AW1568" t="n">
        <v>22</v>
      </c>
      <c r="AX1568" t="n">
        <v>0</v>
      </c>
      <c r="AY1568" t="n">
        <v>26</v>
      </c>
      <c r="AZ1568" t="n">
        <v>2</v>
      </c>
      <c r="BA1568" t="n">
        <v>1</v>
      </c>
      <c r="BB1568" t="n">
        <v>123</v>
      </c>
      <c r="BC1568" t="n">
        <v>24</v>
      </c>
      <c r="BD1568" t="n">
        <v>47</v>
      </c>
      <c r="BE1568" t="n">
        <v>21</v>
      </c>
      <c r="BF1568" t="n">
        <v>23</v>
      </c>
      <c r="BG1568" t="n">
        <v>2</v>
      </c>
      <c r="BH1568" t="n">
        <v>12</v>
      </c>
      <c r="BI1568" t="n">
        <v>22</v>
      </c>
      <c r="BJ1568" t="n">
        <v>23</v>
      </c>
      <c r="BK1568" t="n">
        <v>0</v>
      </c>
      <c r="BL1568" t="n">
        <v>1</v>
      </c>
      <c r="BM1568" t="n">
        <v>6</v>
      </c>
      <c r="BN1568" t="n">
        <v>3</v>
      </c>
      <c r="BO1568" t="n">
        <v>35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3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130</v>
      </c>
      <c r="Z1569" t="n">
        <v>204</v>
      </c>
      <c r="AA1569" t="n">
        <v>25</v>
      </c>
      <c r="AB1569" t="n">
        <v>2</v>
      </c>
      <c r="AC1569" t="n">
        <v>1</v>
      </c>
      <c r="AD1569" t="n">
        <v>4</v>
      </c>
      <c r="AE1569" t="n">
        <v>3</v>
      </c>
      <c r="AF1569" t="n">
        <v>1</v>
      </c>
      <c r="AG1569" t="n">
        <v>2</v>
      </c>
      <c r="AH1569" t="n">
        <v>35</v>
      </c>
      <c r="AI1569" t="n">
        <v>16</v>
      </c>
      <c r="AJ1569" t="n">
        <v>19</v>
      </c>
      <c r="AK1569" t="n">
        <v>22</v>
      </c>
      <c r="AL1569" t="n">
        <v>3</v>
      </c>
      <c r="AM1569" t="n">
        <v>113</v>
      </c>
      <c r="AN1569" t="n">
        <v>1</v>
      </c>
      <c r="AO1569" t="n">
        <v>0</v>
      </c>
      <c r="AP1569" t="n">
        <v>8</v>
      </c>
      <c r="AQ1569" t="n">
        <v>58</v>
      </c>
      <c r="AR1569" t="n">
        <v>183</v>
      </c>
      <c r="AS1569" t="n">
        <v>128</v>
      </c>
      <c r="AT1569" t="n">
        <v>2</v>
      </c>
      <c r="AU1569" t="n">
        <v>0</v>
      </c>
      <c r="AV1569" t="n">
        <v>1</v>
      </c>
      <c r="AW1569" t="n">
        <v>1</v>
      </c>
      <c r="AX1569" t="n">
        <v>1</v>
      </c>
      <c r="AY1569" t="n">
        <v>15</v>
      </c>
      <c r="AZ1569" t="n">
        <v>2</v>
      </c>
      <c r="BA1569" t="n">
        <v>1</v>
      </c>
      <c r="BB1569" t="n">
        <v>25</v>
      </c>
      <c r="BC1569" t="n">
        <v>93</v>
      </c>
      <c r="BD1569" t="n">
        <v>32</v>
      </c>
      <c r="BE1569" t="n">
        <v>1</v>
      </c>
      <c r="BF1569" t="n">
        <v>15</v>
      </c>
      <c r="BG1569" t="n">
        <v>3</v>
      </c>
      <c r="BH1569" t="n">
        <v>8</v>
      </c>
      <c r="BI1569" t="n">
        <v>19</v>
      </c>
      <c r="BJ1569" t="n">
        <v>16</v>
      </c>
      <c r="BK1569" t="n">
        <v>6</v>
      </c>
      <c r="BL1569" t="n">
        <v>44</v>
      </c>
      <c r="BM1569" t="n">
        <v>33</v>
      </c>
      <c r="BN1569" t="n">
        <v>3</v>
      </c>
      <c r="BO1569" t="n">
        <v>2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258</v>
      </c>
      <c r="Z1570" t="n">
        <v>214</v>
      </c>
      <c r="AA1570" t="n">
        <v>79</v>
      </c>
      <c r="AB1570" t="n">
        <v>1</v>
      </c>
      <c r="AC1570" t="n">
        <v>2</v>
      </c>
      <c r="AD1570" t="n">
        <v>4</v>
      </c>
      <c r="AE1570" t="n">
        <v>12</v>
      </c>
      <c r="AF1570" t="n">
        <v>3</v>
      </c>
      <c r="AG1570" t="n">
        <v>6</v>
      </c>
      <c r="AH1570" t="n">
        <v>71</v>
      </c>
      <c r="AI1570" t="n">
        <v>67</v>
      </c>
      <c r="AJ1570" t="n">
        <v>75</v>
      </c>
      <c r="AK1570" t="n">
        <v>38</v>
      </c>
      <c r="AL1570" t="n">
        <v>3</v>
      </c>
      <c r="AM1570" t="n">
        <v>73</v>
      </c>
      <c r="AN1570" t="n">
        <v>0</v>
      </c>
      <c r="AO1570" t="n">
        <v>0</v>
      </c>
      <c r="AP1570" t="n">
        <v>6</v>
      </c>
      <c r="AQ1570" t="n">
        <v>26</v>
      </c>
      <c r="AR1570" t="n">
        <v>72</v>
      </c>
      <c r="AS1570" t="n">
        <v>50</v>
      </c>
      <c r="AT1570" t="n">
        <v>1</v>
      </c>
      <c r="AU1570" t="n">
        <v>1</v>
      </c>
      <c r="AV1570" t="n">
        <v>46</v>
      </c>
      <c r="AW1570" t="n">
        <v>14</v>
      </c>
      <c r="AX1570" t="n">
        <v>22</v>
      </c>
      <c r="AY1570" t="n">
        <v>116</v>
      </c>
      <c r="AZ1570" t="n">
        <v>4</v>
      </c>
      <c r="BA1570" t="n">
        <v>30</v>
      </c>
      <c r="BB1570" t="n">
        <v>106</v>
      </c>
      <c r="BC1570" t="n">
        <v>58</v>
      </c>
      <c r="BD1570" t="n">
        <v>63</v>
      </c>
      <c r="BE1570" t="n">
        <v>15</v>
      </c>
      <c r="BF1570" t="n">
        <v>60</v>
      </c>
      <c r="BG1570" t="n">
        <v>3</v>
      </c>
      <c r="BH1570" t="n">
        <v>2</v>
      </c>
      <c r="BI1570" t="n">
        <v>45</v>
      </c>
      <c r="BJ1570" t="n">
        <v>41</v>
      </c>
      <c r="BK1570" t="n">
        <v>1</v>
      </c>
      <c r="BL1570" t="n">
        <v>14</v>
      </c>
      <c r="BM1570" t="n">
        <v>21</v>
      </c>
      <c r="BN1570" t="n">
        <v>8</v>
      </c>
      <c r="BO1570" t="n">
        <v>4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143</v>
      </c>
      <c r="Z1571" t="n">
        <v>288</v>
      </c>
      <c r="AA1571" t="n">
        <v>45</v>
      </c>
      <c r="AB1571" t="n">
        <v>1</v>
      </c>
      <c r="AC1571" t="n">
        <v>0</v>
      </c>
      <c r="AD1571" t="n">
        <v>1</v>
      </c>
      <c r="AE1571" t="n">
        <v>8</v>
      </c>
      <c r="AF1571" t="n">
        <v>3</v>
      </c>
      <c r="AG1571" t="n">
        <v>4</v>
      </c>
      <c r="AH1571" t="n">
        <v>51</v>
      </c>
      <c r="AI1571" t="n">
        <v>110</v>
      </c>
      <c r="AJ1571" t="n">
        <v>23</v>
      </c>
      <c r="AK1571" t="n">
        <v>13</v>
      </c>
      <c r="AL1571" t="n">
        <v>0</v>
      </c>
      <c r="AM1571" t="n">
        <v>44</v>
      </c>
      <c r="AN1571" t="n">
        <v>0</v>
      </c>
      <c r="AO1571" t="n">
        <v>0</v>
      </c>
      <c r="AP1571" t="n">
        <v>4</v>
      </c>
      <c r="AQ1571" t="n">
        <v>45</v>
      </c>
      <c r="AR1571" t="n">
        <v>121</v>
      </c>
      <c r="AS1571" t="n">
        <v>82</v>
      </c>
      <c r="AT1571" t="n">
        <v>1</v>
      </c>
      <c r="AU1571" t="n">
        <v>1</v>
      </c>
      <c r="AV1571" t="n">
        <v>1</v>
      </c>
      <c r="AW1571" t="n">
        <v>24</v>
      </c>
      <c r="AX1571" t="n">
        <v>0</v>
      </c>
      <c r="AY1571" t="n">
        <v>20</v>
      </c>
      <c r="AZ1571" t="n">
        <v>0</v>
      </c>
      <c r="BA1571" t="n">
        <v>1</v>
      </c>
      <c r="BB1571" t="n">
        <v>45</v>
      </c>
      <c r="BC1571" t="n">
        <v>42</v>
      </c>
      <c r="BD1571" t="n">
        <v>45</v>
      </c>
      <c r="BE1571" t="n">
        <v>24</v>
      </c>
      <c r="BF1571" t="n">
        <v>18</v>
      </c>
      <c r="BG1571" t="n">
        <v>0</v>
      </c>
      <c r="BH1571" t="n">
        <v>1</v>
      </c>
      <c r="BI1571" t="n">
        <v>1</v>
      </c>
      <c r="BJ1571" t="n">
        <v>11</v>
      </c>
      <c r="BK1571" t="n">
        <v>6</v>
      </c>
      <c r="BL1571" t="n">
        <v>101</v>
      </c>
      <c r="BM1571" t="n">
        <v>69</v>
      </c>
      <c r="BN1571" t="n">
        <v>0</v>
      </c>
      <c r="BO1571" t="n">
        <v>2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3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217</v>
      </c>
      <c r="Z1572" t="n">
        <v>251</v>
      </c>
      <c r="AA1572" t="n">
        <v>100</v>
      </c>
      <c r="AB1572" t="n">
        <v>3</v>
      </c>
      <c r="AC1572" t="n">
        <v>0</v>
      </c>
      <c r="AD1572" t="n">
        <v>2</v>
      </c>
      <c r="AE1572" t="n">
        <v>6</v>
      </c>
      <c r="AF1572" t="n">
        <v>3</v>
      </c>
      <c r="AG1572" t="n">
        <v>2</v>
      </c>
      <c r="AH1572" t="n">
        <v>13</v>
      </c>
      <c r="AI1572" t="n">
        <v>60</v>
      </c>
      <c r="AJ1572" t="n">
        <v>42</v>
      </c>
      <c r="AK1572" t="n">
        <v>1</v>
      </c>
      <c r="AL1572" t="n">
        <v>7</v>
      </c>
      <c r="AM1572" t="n">
        <v>48</v>
      </c>
      <c r="AN1572" t="n">
        <v>0</v>
      </c>
      <c r="AO1572" t="n">
        <v>0</v>
      </c>
      <c r="AP1572" t="n">
        <v>6</v>
      </c>
      <c r="AQ1572" t="n">
        <v>81</v>
      </c>
      <c r="AR1572" t="n">
        <v>154</v>
      </c>
      <c r="AS1572" t="n">
        <v>87</v>
      </c>
      <c r="AT1572" t="n">
        <v>2</v>
      </c>
      <c r="AU1572" t="n">
        <v>1</v>
      </c>
      <c r="AV1572" t="n">
        <v>6</v>
      </c>
      <c r="AW1572" t="n">
        <v>33</v>
      </c>
      <c r="AX1572" t="n">
        <v>0</v>
      </c>
      <c r="AY1572" t="n">
        <v>10</v>
      </c>
      <c r="AZ1572" t="n">
        <v>1</v>
      </c>
      <c r="BA1572" t="n">
        <v>11</v>
      </c>
      <c r="BB1572" t="n">
        <v>107</v>
      </c>
      <c r="BC1572" t="n">
        <v>40</v>
      </c>
      <c r="BD1572" t="n">
        <v>46</v>
      </c>
      <c r="BE1572" t="n">
        <v>33</v>
      </c>
      <c r="BF1572" t="n">
        <v>50</v>
      </c>
      <c r="BG1572" t="n">
        <v>0</v>
      </c>
      <c r="BH1572" t="n">
        <v>20</v>
      </c>
      <c r="BI1572" t="n">
        <v>5</v>
      </c>
      <c r="BJ1572" t="n">
        <v>8</v>
      </c>
      <c r="BK1572" t="n">
        <v>6</v>
      </c>
      <c r="BL1572" t="n">
        <v>44</v>
      </c>
      <c r="BM1572" t="n">
        <v>35</v>
      </c>
      <c r="BN1572" t="n">
        <v>4</v>
      </c>
      <c r="BO1572" t="n">
        <v>2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2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185</v>
      </c>
      <c r="Z1573" t="n">
        <v>160</v>
      </c>
      <c r="AA1573" t="n">
        <v>49</v>
      </c>
      <c r="AB1573" t="n">
        <v>0</v>
      </c>
      <c r="AC1573" t="n">
        <v>3</v>
      </c>
      <c r="AD1573" t="n">
        <v>6</v>
      </c>
      <c r="AE1573" t="n">
        <v>3</v>
      </c>
      <c r="AF1573" t="n">
        <v>5</v>
      </c>
      <c r="AG1573" t="n">
        <v>3</v>
      </c>
      <c r="AH1573" t="n">
        <v>48</v>
      </c>
      <c r="AI1573" t="n">
        <v>21</v>
      </c>
      <c r="AJ1573" t="n">
        <v>49</v>
      </c>
      <c r="AK1573" t="n">
        <v>18</v>
      </c>
      <c r="AL1573" t="n">
        <v>6</v>
      </c>
      <c r="AM1573" t="n">
        <v>58</v>
      </c>
      <c r="AN1573" t="n">
        <v>0</v>
      </c>
      <c r="AO1573" t="n">
        <v>1</v>
      </c>
      <c r="AP1573" t="n">
        <v>4</v>
      </c>
      <c r="AQ1573" t="n">
        <v>42</v>
      </c>
      <c r="AR1573" t="n">
        <v>79</v>
      </c>
      <c r="AS1573" t="n">
        <v>43</v>
      </c>
      <c r="AT1573" t="n">
        <v>1</v>
      </c>
      <c r="AU1573" t="n">
        <v>2</v>
      </c>
      <c r="AV1573" t="n">
        <v>12</v>
      </c>
      <c r="AW1573" t="n">
        <v>24</v>
      </c>
      <c r="AX1573" t="n">
        <v>1</v>
      </c>
      <c r="AY1573" t="n">
        <v>35</v>
      </c>
      <c r="AZ1573" t="n">
        <v>1</v>
      </c>
      <c r="BA1573" t="n">
        <v>10</v>
      </c>
      <c r="BB1573" t="n">
        <v>56</v>
      </c>
      <c r="BC1573" t="n">
        <v>69</v>
      </c>
      <c r="BD1573" t="n">
        <v>47</v>
      </c>
      <c r="BE1573" t="n">
        <v>25</v>
      </c>
      <c r="BF1573" t="n">
        <v>42</v>
      </c>
      <c r="BG1573" t="n">
        <v>2</v>
      </c>
      <c r="BH1573" t="n">
        <v>8</v>
      </c>
      <c r="BI1573" t="n">
        <v>25</v>
      </c>
      <c r="BJ1573" t="n">
        <v>30</v>
      </c>
      <c r="BK1573" t="n">
        <v>10</v>
      </c>
      <c r="BL1573" t="n">
        <v>31</v>
      </c>
      <c r="BM1573" t="n">
        <v>23</v>
      </c>
      <c r="BN1573" t="n">
        <v>3</v>
      </c>
      <c r="BO1573" t="n">
        <v>23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140</v>
      </c>
      <c r="Z1574" t="n">
        <v>218</v>
      </c>
      <c r="AA1574" t="n">
        <v>81</v>
      </c>
      <c r="AB1574" t="n">
        <v>1</v>
      </c>
      <c r="AC1574" t="n">
        <v>1</v>
      </c>
      <c r="AD1574" t="n">
        <v>2</v>
      </c>
      <c r="AE1574" t="n">
        <v>6</v>
      </c>
      <c r="AF1574" t="n">
        <v>1</v>
      </c>
      <c r="AG1574" t="n">
        <v>2</v>
      </c>
      <c r="AH1574" t="n">
        <v>33</v>
      </c>
      <c r="AI1574" t="n">
        <v>28</v>
      </c>
      <c r="AJ1574" t="n">
        <v>4</v>
      </c>
      <c r="AK1574" t="n">
        <v>1</v>
      </c>
      <c r="AL1574" t="n">
        <v>0</v>
      </c>
      <c r="AM1574" t="n">
        <v>2</v>
      </c>
      <c r="AN1574" t="n">
        <v>0</v>
      </c>
      <c r="AO1574" t="n">
        <v>0</v>
      </c>
      <c r="AP1574" t="n">
        <v>3</v>
      </c>
      <c r="AQ1574" t="n">
        <v>15</v>
      </c>
      <c r="AR1574" t="n">
        <v>128</v>
      </c>
      <c r="AS1574" t="n">
        <v>110</v>
      </c>
      <c r="AT1574" t="n">
        <v>1</v>
      </c>
      <c r="AU1574" t="n">
        <v>3</v>
      </c>
      <c r="AV1574" t="n">
        <v>1</v>
      </c>
      <c r="AW1574" t="n">
        <v>16</v>
      </c>
      <c r="AX1574" t="n">
        <v>6</v>
      </c>
      <c r="AY1574" t="n">
        <v>58</v>
      </c>
      <c r="AZ1574" t="n">
        <v>7</v>
      </c>
      <c r="BA1574" t="n">
        <v>50</v>
      </c>
      <c r="BB1574" t="n">
        <v>130</v>
      </c>
      <c r="BC1574" t="n">
        <v>5</v>
      </c>
      <c r="BD1574" t="n">
        <v>29</v>
      </c>
      <c r="BE1574" t="n">
        <v>15</v>
      </c>
      <c r="BF1574" t="n">
        <v>4</v>
      </c>
      <c r="BG1574" t="n">
        <v>3</v>
      </c>
      <c r="BH1574" t="n">
        <v>24</v>
      </c>
      <c r="BI1574" t="n">
        <v>7</v>
      </c>
      <c r="BJ1574" t="n">
        <v>5</v>
      </c>
      <c r="BK1574" t="n">
        <v>5</v>
      </c>
      <c r="BL1574" t="n">
        <v>44</v>
      </c>
      <c r="BM1574" t="n">
        <v>44</v>
      </c>
      <c r="BN1574" t="n">
        <v>11</v>
      </c>
      <c r="BO1574" t="n">
        <v>16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180</v>
      </c>
      <c r="Z1575" t="n">
        <v>83</v>
      </c>
      <c r="AA1575" t="n">
        <v>33</v>
      </c>
      <c r="AB1575" t="n">
        <v>1</v>
      </c>
      <c r="AC1575" t="n">
        <v>2</v>
      </c>
      <c r="AD1575" t="n">
        <v>2</v>
      </c>
      <c r="AE1575" t="n">
        <v>2</v>
      </c>
      <c r="AF1575" t="n">
        <v>6</v>
      </c>
      <c r="AG1575" t="n">
        <v>3</v>
      </c>
      <c r="AH1575" t="n">
        <v>44</v>
      </c>
      <c r="AI1575" t="n">
        <v>26</v>
      </c>
      <c r="AJ1575" t="n">
        <v>42</v>
      </c>
      <c r="AK1575" t="n">
        <v>16</v>
      </c>
      <c r="AL1575" t="n">
        <v>3</v>
      </c>
      <c r="AM1575" t="n">
        <v>7</v>
      </c>
      <c r="AN1575" t="n">
        <v>0</v>
      </c>
      <c r="AO1575" t="n">
        <v>0</v>
      </c>
      <c r="AP1575" t="n">
        <v>3</v>
      </c>
      <c r="AQ1575" t="n">
        <v>18</v>
      </c>
      <c r="AR1575" t="n">
        <v>93</v>
      </c>
      <c r="AS1575" t="n">
        <v>78</v>
      </c>
      <c r="AT1575" t="n">
        <v>2</v>
      </c>
      <c r="AU1575" t="n">
        <v>1</v>
      </c>
      <c r="AV1575" t="n">
        <v>10</v>
      </c>
      <c r="AW1575" t="n">
        <v>6</v>
      </c>
      <c r="AX1575" t="n">
        <v>5</v>
      </c>
      <c r="AY1575" t="n">
        <v>14</v>
      </c>
      <c r="AZ1575" t="n">
        <v>4</v>
      </c>
      <c r="BA1575" t="n">
        <v>10</v>
      </c>
      <c r="BB1575" t="n">
        <v>41</v>
      </c>
      <c r="BC1575" t="n">
        <v>41</v>
      </c>
      <c r="BD1575" t="n">
        <v>39</v>
      </c>
      <c r="BE1575" t="n">
        <v>6</v>
      </c>
      <c r="BF1575" t="n">
        <v>37</v>
      </c>
      <c r="BG1575" t="n">
        <v>1</v>
      </c>
      <c r="BH1575" t="n">
        <v>20</v>
      </c>
      <c r="BI1575" t="n">
        <v>1</v>
      </c>
      <c r="BJ1575" t="n">
        <v>3</v>
      </c>
      <c r="BK1575" t="n">
        <v>3</v>
      </c>
      <c r="BL1575" t="n">
        <v>8</v>
      </c>
      <c r="BM1575" t="n">
        <v>10</v>
      </c>
      <c r="BN1575" t="n">
        <v>4</v>
      </c>
      <c r="BO1575" t="n">
        <v>2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82</v>
      </c>
      <c r="Z1576" t="n">
        <v>90</v>
      </c>
      <c r="AA1576" t="n">
        <v>44</v>
      </c>
      <c r="AB1576" t="n">
        <v>0</v>
      </c>
      <c r="AC1576" t="n">
        <v>0</v>
      </c>
      <c r="AD1576" t="n">
        <v>0</v>
      </c>
      <c r="AE1576" t="n">
        <v>2</v>
      </c>
      <c r="AF1576" t="n">
        <v>2</v>
      </c>
      <c r="AG1576" t="n">
        <v>3</v>
      </c>
      <c r="AH1576" t="n">
        <v>2</v>
      </c>
      <c r="AI1576" t="n">
        <v>4</v>
      </c>
      <c r="AJ1576" t="n">
        <v>15</v>
      </c>
      <c r="AK1576" t="n">
        <v>25</v>
      </c>
      <c r="AL1576" t="n">
        <v>2</v>
      </c>
      <c r="AM1576" t="n">
        <v>28</v>
      </c>
      <c r="AN1576" t="n">
        <v>0</v>
      </c>
      <c r="AO1576" t="n">
        <v>0</v>
      </c>
      <c r="AP1576" t="n">
        <v>4</v>
      </c>
      <c r="AQ1576" t="n">
        <v>15</v>
      </c>
      <c r="AR1576" t="n">
        <v>91</v>
      </c>
      <c r="AS1576" t="n">
        <v>78</v>
      </c>
      <c r="AT1576" t="n">
        <v>1</v>
      </c>
      <c r="AU1576" t="n">
        <v>1</v>
      </c>
      <c r="AV1576" t="n">
        <v>6</v>
      </c>
      <c r="AW1576" t="n">
        <v>9</v>
      </c>
      <c r="AX1576" t="n">
        <v>11</v>
      </c>
      <c r="AY1576" t="n">
        <v>81</v>
      </c>
      <c r="AZ1576" t="n">
        <v>2</v>
      </c>
      <c r="BA1576" t="n">
        <v>16</v>
      </c>
      <c r="BB1576" t="n">
        <v>57</v>
      </c>
      <c r="BC1576" t="n">
        <v>37</v>
      </c>
      <c r="BD1576" t="n">
        <v>15</v>
      </c>
      <c r="BE1576" t="n">
        <v>9</v>
      </c>
      <c r="BF1576" t="n">
        <v>12</v>
      </c>
      <c r="BG1576" t="n">
        <v>1</v>
      </c>
      <c r="BH1576" t="n">
        <v>5</v>
      </c>
      <c r="BI1576" t="n">
        <v>1</v>
      </c>
      <c r="BJ1576" t="n">
        <v>7</v>
      </c>
      <c r="BK1576" t="n">
        <v>4</v>
      </c>
      <c r="BL1576" t="n">
        <v>10</v>
      </c>
      <c r="BM1576" t="n">
        <v>14</v>
      </c>
      <c r="BN1576" t="n">
        <v>5</v>
      </c>
      <c r="BO1576" t="n">
        <v>2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2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271</v>
      </c>
      <c r="Z1577" t="n">
        <v>218</v>
      </c>
      <c r="AA1577" t="n">
        <v>44</v>
      </c>
      <c r="AB1577" t="n">
        <v>2</v>
      </c>
      <c r="AC1577" t="n">
        <v>1</v>
      </c>
      <c r="AD1577" t="n">
        <v>4</v>
      </c>
      <c r="AE1577" t="n">
        <v>5</v>
      </c>
      <c r="AF1577" t="n">
        <v>4</v>
      </c>
      <c r="AG1577" t="n">
        <v>4</v>
      </c>
      <c r="AH1577" t="n">
        <v>133</v>
      </c>
      <c r="AI1577" t="n">
        <v>43</v>
      </c>
      <c r="AJ1577" t="n">
        <v>12</v>
      </c>
      <c r="AK1577" t="n">
        <v>30</v>
      </c>
      <c r="AL1577" t="n">
        <v>1</v>
      </c>
      <c r="AM1577" t="n">
        <v>17</v>
      </c>
      <c r="AN1577" t="n">
        <v>0</v>
      </c>
      <c r="AO1577" t="n">
        <v>0</v>
      </c>
      <c r="AP1577" t="n">
        <v>9</v>
      </c>
      <c r="AQ1577" t="n">
        <v>38</v>
      </c>
      <c r="AR1577" t="n">
        <v>98</v>
      </c>
      <c r="AS1577" t="n">
        <v>66</v>
      </c>
      <c r="AT1577" t="n">
        <v>1</v>
      </c>
      <c r="AU1577" t="n">
        <v>1</v>
      </c>
      <c r="AV1577" t="n">
        <v>0</v>
      </c>
      <c r="AW1577" t="n">
        <v>8</v>
      </c>
      <c r="AX1577" t="n">
        <v>1</v>
      </c>
      <c r="AY1577" t="n">
        <v>33</v>
      </c>
      <c r="AZ1577" t="n">
        <v>0</v>
      </c>
      <c r="BA1577" t="n">
        <v>1</v>
      </c>
      <c r="BB1577" t="n">
        <v>43</v>
      </c>
      <c r="BC1577" t="n">
        <v>13</v>
      </c>
      <c r="BD1577" t="n">
        <v>125</v>
      </c>
      <c r="BE1577" t="n">
        <v>8</v>
      </c>
      <c r="BF1577" t="n">
        <v>10</v>
      </c>
      <c r="BG1577" t="n">
        <v>2</v>
      </c>
      <c r="BH1577" t="n">
        <v>13</v>
      </c>
      <c r="BI1577" t="n">
        <v>44</v>
      </c>
      <c r="BJ1577" t="n">
        <v>40</v>
      </c>
      <c r="BK1577" t="n">
        <v>3</v>
      </c>
      <c r="BL1577" t="n">
        <v>20</v>
      </c>
      <c r="BM1577" t="n">
        <v>42</v>
      </c>
      <c r="BN1577" t="n">
        <v>19</v>
      </c>
      <c r="BO1577" t="n">
        <v>2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2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186</v>
      </c>
      <c r="Z1578" t="n">
        <v>190</v>
      </c>
      <c r="AA1578" t="n">
        <v>57</v>
      </c>
      <c r="AB1578" t="n">
        <v>0</v>
      </c>
      <c r="AC1578" t="n">
        <v>1</v>
      </c>
      <c r="AD1578" t="n">
        <v>2</v>
      </c>
      <c r="AE1578" t="n">
        <v>4</v>
      </c>
      <c r="AF1578" t="n">
        <v>4</v>
      </c>
      <c r="AG1578" t="n">
        <v>5</v>
      </c>
      <c r="AH1578" t="n">
        <v>27</v>
      </c>
      <c r="AI1578" t="n">
        <v>2</v>
      </c>
      <c r="AJ1578" t="n">
        <v>25</v>
      </c>
      <c r="AK1578" t="n">
        <v>86</v>
      </c>
      <c r="AL1578" t="n">
        <v>3</v>
      </c>
      <c r="AM1578" t="n">
        <v>57</v>
      </c>
      <c r="AN1578" t="n">
        <v>0</v>
      </c>
      <c r="AO1578" t="n">
        <v>0</v>
      </c>
      <c r="AP1578" t="n">
        <v>3</v>
      </c>
      <c r="AQ1578" t="n">
        <v>1</v>
      </c>
      <c r="AR1578" t="n">
        <v>74</v>
      </c>
      <c r="AS1578" t="n">
        <v>67</v>
      </c>
      <c r="AT1578" t="n">
        <v>1</v>
      </c>
      <c r="AU1578" t="n">
        <v>1</v>
      </c>
      <c r="AV1578" t="n">
        <v>13</v>
      </c>
      <c r="AW1578" t="n">
        <v>4</v>
      </c>
      <c r="AX1578" t="n">
        <v>4</v>
      </c>
      <c r="AY1578" t="n">
        <v>21</v>
      </c>
      <c r="AZ1578" t="n">
        <v>5</v>
      </c>
      <c r="BA1578" t="n">
        <v>22</v>
      </c>
      <c r="BB1578" t="n">
        <v>77</v>
      </c>
      <c r="BC1578" t="n">
        <v>51</v>
      </c>
      <c r="BD1578" t="n">
        <v>24</v>
      </c>
      <c r="BE1578" t="n">
        <v>4</v>
      </c>
      <c r="BF1578" t="n">
        <v>20</v>
      </c>
      <c r="BG1578" t="n">
        <v>1</v>
      </c>
      <c r="BH1578" t="n">
        <v>2</v>
      </c>
      <c r="BI1578" t="n">
        <v>28</v>
      </c>
      <c r="BJ1578" t="n">
        <v>27</v>
      </c>
      <c r="BK1578" t="n">
        <v>6</v>
      </c>
      <c r="BL1578" t="n">
        <v>31</v>
      </c>
      <c r="BM1578" t="n">
        <v>21</v>
      </c>
      <c r="BN1578" t="n">
        <v>0</v>
      </c>
      <c r="BO1578" t="n">
        <v>122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182</v>
      </c>
      <c r="Z1579" t="n">
        <v>182</v>
      </c>
      <c r="AA1579" t="n">
        <v>53</v>
      </c>
      <c r="AB1579" t="n">
        <v>0</v>
      </c>
      <c r="AC1579" t="n">
        <v>1</v>
      </c>
      <c r="AD1579" t="n">
        <v>4</v>
      </c>
      <c r="AE1579" t="n">
        <v>6</v>
      </c>
      <c r="AF1579" t="n">
        <v>3</v>
      </c>
      <c r="AG1579" t="n">
        <v>5</v>
      </c>
      <c r="AH1579" t="n">
        <v>82</v>
      </c>
      <c r="AI1579" t="n">
        <v>67</v>
      </c>
      <c r="AJ1579" t="n">
        <v>44</v>
      </c>
      <c r="AK1579" t="n">
        <v>22</v>
      </c>
      <c r="AL1579" t="n">
        <v>3</v>
      </c>
      <c r="AM1579" t="n">
        <v>28</v>
      </c>
      <c r="AN1579" t="n">
        <v>0</v>
      </c>
      <c r="AO1579" t="n">
        <v>0</v>
      </c>
      <c r="AP1579" t="n">
        <v>0</v>
      </c>
      <c r="AQ1579" t="n">
        <v>1</v>
      </c>
      <c r="AR1579" t="n">
        <v>158</v>
      </c>
      <c r="AS1579" t="n">
        <v>147</v>
      </c>
      <c r="AT1579" t="n">
        <v>0</v>
      </c>
      <c r="AU1579" t="n">
        <v>1</v>
      </c>
      <c r="AV1579" t="n">
        <v>1</v>
      </c>
      <c r="AW1579" t="n">
        <v>5</v>
      </c>
      <c r="AX1579" t="n">
        <v>7</v>
      </c>
      <c r="AY1579" t="n">
        <v>24</v>
      </c>
      <c r="AZ1579" t="n">
        <v>0</v>
      </c>
      <c r="BA1579" t="n">
        <v>1</v>
      </c>
      <c r="BB1579" t="n">
        <v>52</v>
      </c>
      <c r="BC1579" t="n">
        <v>33</v>
      </c>
      <c r="BD1579" t="n">
        <v>72</v>
      </c>
      <c r="BE1579" t="n">
        <v>13</v>
      </c>
      <c r="BF1579" t="n">
        <v>40</v>
      </c>
      <c r="BG1579" t="n">
        <v>1</v>
      </c>
      <c r="BH1579" t="n">
        <v>4</v>
      </c>
      <c r="BI1579" t="n">
        <v>13</v>
      </c>
      <c r="BJ1579" t="n">
        <v>21</v>
      </c>
      <c r="BK1579" t="n">
        <v>1</v>
      </c>
      <c r="BL1579" t="n">
        <v>31</v>
      </c>
      <c r="BM1579" t="n">
        <v>99</v>
      </c>
      <c r="BN1579" t="n">
        <v>52</v>
      </c>
      <c r="BO1579" t="n">
        <v>21</v>
      </c>
    </row>
    <row r="1580">
      <c r="A1580" t="n">
        <v>2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147</v>
      </c>
      <c r="Z1580" t="n">
        <v>225</v>
      </c>
      <c r="AA1580" t="n">
        <v>32</v>
      </c>
      <c r="AB1580" t="n">
        <v>0</v>
      </c>
      <c r="AC1580" t="n">
        <v>1</v>
      </c>
      <c r="AD1580" t="n">
        <v>3</v>
      </c>
      <c r="AE1580" t="n">
        <v>3</v>
      </c>
      <c r="AF1580" t="n">
        <v>3</v>
      </c>
      <c r="AG1580" t="n">
        <v>7</v>
      </c>
      <c r="AH1580" t="n">
        <v>27</v>
      </c>
      <c r="AI1580" t="n">
        <v>40</v>
      </c>
      <c r="AJ1580" t="n">
        <v>28</v>
      </c>
      <c r="AK1580" t="n">
        <v>54</v>
      </c>
      <c r="AL1580" t="n">
        <v>4</v>
      </c>
      <c r="AM1580" t="n">
        <v>53</v>
      </c>
      <c r="AN1580" t="n">
        <v>0</v>
      </c>
      <c r="AO1580" t="n">
        <v>2</v>
      </c>
      <c r="AP1580" t="n">
        <v>0</v>
      </c>
      <c r="AQ1580" t="n">
        <v>9</v>
      </c>
      <c r="AR1580" t="n">
        <v>155</v>
      </c>
      <c r="AS1580" t="n">
        <v>142</v>
      </c>
      <c r="AT1580" t="n">
        <v>2</v>
      </c>
      <c r="AU1580" t="n">
        <v>2</v>
      </c>
      <c r="AV1580" t="n">
        <v>19</v>
      </c>
      <c r="AW1580" t="n">
        <v>2</v>
      </c>
      <c r="AX1580" t="n">
        <v>30</v>
      </c>
      <c r="AY1580" t="n">
        <v>44</v>
      </c>
      <c r="AZ1580" t="n">
        <v>2</v>
      </c>
      <c r="BA1580" t="n">
        <v>-8</v>
      </c>
      <c r="BB1580" t="n">
        <v>25</v>
      </c>
      <c r="BC1580" t="n">
        <v>44</v>
      </c>
      <c r="BD1580" t="n">
        <v>38</v>
      </c>
      <c r="BE1580" t="n">
        <v>10</v>
      </c>
      <c r="BF1580" t="n">
        <v>22</v>
      </c>
      <c r="BG1580" t="n">
        <v>4</v>
      </c>
      <c r="BH1580" t="n">
        <v>0</v>
      </c>
      <c r="BI1580" t="n">
        <v>40</v>
      </c>
      <c r="BJ1580" t="n">
        <v>61</v>
      </c>
      <c r="BK1580" t="n">
        <v>2</v>
      </c>
      <c r="BL1580" t="n">
        <v>49</v>
      </c>
      <c r="BM1580" t="n">
        <v>56</v>
      </c>
      <c r="BN1580" t="n">
        <v>17</v>
      </c>
      <c r="BO1580" t="n">
        <v>16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325</v>
      </c>
      <c r="Z1581" t="n">
        <v>234</v>
      </c>
      <c r="AA1581" t="n">
        <v>40</v>
      </c>
      <c r="AB1581" t="n">
        <v>2</v>
      </c>
      <c r="AC1581" t="n">
        <v>2</v>
      </c>
      <c r="AD1581" t="n">
        <v>3</v>
      </c>
      <c r="AE1581" t="n">
        <v>5</v>
      </c>
      <c r="AF1581" t="n">
        <v>0</v>
      </c>
      <c r="AG1581" t="n">
        <v>7</v>
      </c>
      <c r="AH1581" t="n">
        <v>31</v>
      </c>
      <c r="AI1581" t="n">
        <v>7</v>
      </c>
      <c r="AJ1581" t="n">
        <v>7</v>
      </c>
      <c r="AK1581" t="n">
        <v>38</v>
      </c>
      <c r="AL1581" t="n">
        <v>5</v>
      </c>
      <c r="AM1581" t="n">
        <v>55</v>
      </c>
      <c r="AN1581" t="n">
        <v>0</v>
      </c>
      <c r="AO1581" t="n">
        <v>0</v>
      </c>
      <c r="AP1581" t="n">
        <v>3</v>
      </c>
      <c r="AQ1581" t="n">
        <v>18</v>
      </c>
      <c r="AR1581" t="n">
        <v>94</v>
      </c>
      <c r="AS1581" t="n">
        <v>79</v>
      </c>
      <c r="AT1581" t="n">
        <v>3</v>
      </c>
      <c r="AU1581" t="n">
        <v>3</v>
      </c>
      <c r="AV1581" t="n">
        <v>31</v>
      </c>
      <c r="AW1581" t="n">
        <v>40</v>
      </c>
      <c r="AX1581" t="n">
        <v>0</v>
      </c>
      <c r="AY1581" t="n">
        <v>5</v>
      </c>
      <c r="AZ1581" t="n">
        <v>0</v>
      </c>
      <c r="BA1581" t="n">
        <v>1</v>
      </c>
      <c r="BB1581" t="n">
        <v>39</v>
      </c>
      <c r="BC1581" t="n">
        <v>46</v>
      </c>
      <c r="BD1581" t="n">
        <v>28</v>
      </c>
      <c r="BE1581" t="n">
        <v>40</v>
      </c>
      <c r="BF1581" t="n">
        <v>52</v>
      </c>
      <c r="BG1581" t="n">
        <v>5</v>
      </c>
      <c r="BH1581" t="n">
        <v>9</v>
      </c>
      <c r="BI1581" t="n">
        <v>60</v>
      </c>
      <c r="BJ1581" t="n">
        <v>55</v>
      </c>
      <c r="BK1581" t="n">
        <v>2</v>
      </c>
      <c r="BL1581" t="n">
        <v>45</v>
      </c>
      <c r="BM1581" t="n">
        <v>31</v>
      </c>
      <c r="BN1581" t="n">
        <v>0</v>
      </c>
      <c r="BO1581" t="n">
        <v>25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292</v>
      </c>
      <c r="Z1582" t="n">
        <v>182</v>
      </c>
      <c r="AA1582" t="n">
        <v>44</v>
      </c>
      <c r="AB1582" t="n">
        <v>1</v>
      </c>
      <c r="AC1582" t="n">
        <v>0</v>
      </c>
      <c r="AD1582" t="n">
        <v>3</v>
      </c>
      <c r="AE1582" t="n">
        <v>3</v>
      </c>
      <c r="AF1582" t="n">
        <v>3</v>
      </c>
      <c r="AG1582" t="n">
        <v>2</v>
      </c>
      <c r="AH1582" t="n">
        <v>11</v>
      </c>
      <c r="AI1582" t="n">
        <v>25</v>
      </c>
      <c r="AJ1582" t="n">
        <v>96</v>
      </c>
      <c r="AK1582" t="n">
        <v>7</v>
      </c>
      <c r="AL1582" t="n">
        <v>4</v>
      </c>
      <c r="AM1582" t="n">
        <v>70</v>
      </c>
      <c r="AN1582" t="n">
        <v>0</v>
      </c>
      <c r="AO1582" t="n">
        <v>0</v>
      </c>
      <c r="AP1582" t="n">
        <v>3</v>
      </c>
      <c r="AQ1582" t="n">
        <v>9</v>
      </c>
      <c r="AR1582" t="n">
        <v>82</v>
      </c>
      <c r="AS1582" t="n">
        <v>72</v>
      </c>
      <c r="AT1582" t="n">
        <v>2</v>
      </c>
      <c r="AU1582" t="n">
        <v>2</v>
      </c>
      <c r="AV1582" t="n">
        <v>12</v>
      </c>
      <c r="AW1582" t="n">
        <v>4</v>
      </c>
      <c r="AX1582" t="n">
        <v>1</v>
      </c>
      <c r="AY1582" t="n">
        <v>58</v>
      </c>
      <c r="AZ1582" t="n">
        <v>2</v>
      </c>
      <c r="BA1582" t="n">
        <v>4</v>
      </c>
      <c r="BB1582" t="n">
        <v>45</v>
      </c>
      <c r="BC1582" t="n">
        <v>59</v>
      </c>
      <c r="BD1582" t="n">
        <v>9</v>
      </c>
      <c r="BE1582" t="n">
        <v>3</v>
      </c>
      <c r="BF1582" t="n">
        <v>75</v>
      </c>
      <c r="BG1582" t="n">
        <v>5</v>
      </c>
      <c r="BH1582" t="n">
        <v>8</v>
      </c>
      <c r="BI1582" t="n">
        <v>53</v>
      </c>
      <c r="BJ1582" t="n">
        <v>57</v>
      </c>
      <c r="BK1582" t="n">
        <v>6</v>
      </c>
      <c r="BL1582" t="n">
        <v>45</v>
      </c>
      <c r="BM1582" t="n">
        <v>31</v>
      </c>
      <c r="BN1582" t="n">
        <v>0</v>
      </c>
      <c r="BO1582" t="n">
        <v>2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194</v>
      </c>
      <c r="Z1583" t="n">
        <v>229</v>
      </c>
      <c r="AA1583" t="n">
        <v>12</v>
      </c>
      <c r="AB1583" t="n">
        <v>1</v>
      </c>
      <c r="AC1583" t="n">
        <v>2</v>
      </c>
      <c r="AD1583" t="n">
        <v>2</v>
      </c>
      <c r="AE1583" t="n">
        <v>4</v>
      </c>
      <c r="AF1583" t="n">
        <v>1</v>
      </c>
      <c r="AG1583" t="n">
        <v>0</v>
      </c>
      <c r="AH1583" t="n">
        <v>34</v>
      </c>
      <c r="AI1583" t="n">
        <v>34</v>
      </c>
      <c r="AJ1583" t="n">
        <v>31</v>
      </c>
      <c r="AK1583" t="n">
        <v>1</v>
      </c>
      <c r="AL1583" t="n">
        <v>3</v>
      </c>
      <c r="AM1583" t="n">
        <v>27</v>
      </c>
      <c r="AN1583" t="n">
        <v>0</v>
      </c>
      <c r="AO1583" t="n">
        <v>0</v>
      </c>
      <c r="AP1583" t="n">
        <v>2</v>
      </c>
      <c r="AQ1583" t="n">
        <v>24</v>
      </c>
      <c r="AR1583" t="n">
        <v>80</v>
      </c>
      <c r="AS1583" t="n">
        <v>60</v>
      </c>
      <c r="AT1583" t="n">
        <v>4</v>
      </c>
      <c r="AU1583" t="n">
        <v>2</v>
      </c>
      <c r="AV1583" t="n">
        <v>22</v>
      </c>
      <c r="AW1583" t="n">
        <v>33</v>
      </c>
      <c r="AX1583" t="n">
        <v>-1</v>
      </c>
      <c r="AY1583" t="n">
        <v>15</v>
      </c>
      <c r="AZ1583" t="n">
        <v>0</v>
      </c>
      <c r="BA1583" t="n">
        <v>1</v>
      </c>
      <c r="BB1583" t="n">
        <v>13</v>
      </c>
      <c r="BC1583" t="n">
        <v>21</v>
      </c>
      <c r="BD1583" t="n">
        <v>30</v>
      </c>
      <c r="BE1583" t="n">
        <v>32</v>
      </c>
      <c r="BF1583" t="n">
        <v>29</v>
      </c>
      <c r="BG1583" t="n">
        <v>4</v>
      </c>
      <c r="BH1583" t="n">
        <v>3</v>
      </c>
      <c r="BI1583" t="n">
        <v>41</v>
      </c>
      <c r="BJ1583" t="n">
        <v>37</v>
      </c>
      <c r="BK1583" t="n">
        <v>5</v>
      </c>
      <c r="BL1583" t="n">
        <v>35</v>
      </c>
      <c r="BM1583" t="n">
        <v>24</v>
      </c>
      <c r="BN1583" t="n">
        <v>2</v>
      </c>
      <c r="BO1583" t="n">
        <v>18</v>
      </c>
    </row>
    <row r="1584">
      <c r="A1584" t="n">
        <v>0</v>
      </c>
      <c r="B1584" t="n">
        <v>0</v>
      </c>
      <c r="C1584" t="n">
        <v>1</v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188</v>
      </c>
      <c r="Z1584" t="n">
        <v>259</v>
      </c>
      <c r="AA1584" t="n">
        <v>64</v>
      </c>
      <c r="AB1584" t="n">
        <v>1</v>
      </c>
      <c r="AC1584" t="n">
        <v>0</v>
      </c>
      <c r="AD1584" t="n">
        <v>4</v>
      </c>
      <c r="AE1584" t="n">
        <v>9</v>
      </c>
      <c r="AF1584" t="n">
        <v>5</v>
      </c>
      <c r="AG1584" t="n">
        <v>5</v>
      </c>
      <c r="AH1584" t="n">
        <v>26</v>
      </c>
      <c r="AI1584" t="n">
        <v>45</v>
      </c>
      <c r="AJ1584" t="n">
        <v>45</v>
      </c>
      <c r="AK1584" t="n">
        <v>15</v>
      </c>
      <c r="AL1584" t="n">
        <v>4</v>
      </c>
      <c r="AM1584" t="n">
        <v>84</v>
      </c>
      <c r="AN1584" t="n">
        <v>0</v>
      </c>
      <c r="AO1584" t="n">
        <v>0</v>
      </c>
      <c r="AP1584" t="n">
        <v>11</v>
      </c>
      <c r="AQ1584" t="n">
        <v>64</v>
      </c>
      <c r="AR1584" t="n">
        <v>151</v>
      </c>
      <c r="AS1584" t="n">
        <v>96</v>
      </c>
      <c r="AT1584" t="n">
        <v>4</v>
      </c>
      <c r="AU1584" t="n">
        <v>1</v>
      </c>
      <c r="AV1584" t="n">
        <v>32</v>
      </c>
      <c r="AW1584" t="n">
        <v>1</v>
      </c>
      <c r="AX1584" t="n">
        <v>-1</v>
      </c>
      <c r="AY1584" t="n">
        <v>37</v>
      </c>
      <c r="AZ1584" t="n">
        <v>3</v>
      </c>
      <c r="BA1584" t="n">
        <v>27</v>
      </c>
      <c r="BB1584" t="n">
        <v>90</v>
      </c>
      <c r="BC1584" t="n">
        <v>85</v>
      </c>
      <c r="BD1584" t="n">
        <v>26</v>
      </c>
      <c r="BE1584" t="n">
        <v>1</v>
      </c>
      <c r="BF1584" t="n">
        <v>35</v>
      </c>
      <c r="BG1584" t="n">
        <v>0</v>
      </c>
      <c r="BH1584" t="n">
        <v>13</v>
      </c>
      <c r="BI1584" t="n">
        <v>2</v>
      </c>
      <c r="BJ1584" t="n">
        <v>9</v>
      </c>
      <c r="BK1584" t="n">
        <v>0</v>
      </c>
      <c r="BL1584" t="n">
        <v>1</v>
      </c>
      <c r="BM1584" t="n">
        <v>32</v>
      </c>
      <c r="BN1584" t="n">
        <v>18</v>
      </c>
      <c r="BO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3</v>
      </c>
      <c r="I1585" t="n">
        <v>0</v>
      </c>
      <c r="J1585" t="n">
        <v>0</v>
      </c>
      <c r="K1585" t="n">
        <v>0</v>
      </c>
      <c r="L1585" t="n">
        <v>0</v>
      </c>
      <c r="M1585" t="n">
        <v>2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243</v>
      </c>
      <c r="Z1585" t="n">
        <v>110</v>
      </c>
      <c r="AA1585" t="n">
        <v>54</v>
      </c>
      <c r="AB1585" t="n">
        <v>1</v>
      </c>
      <c r="AC1585" t="n">
        <v>0</v>
      </c>
      <c r="AD1585" t="n">
        <v>3</v>
      </c>
      <c r="AE1585" t="n">
        <v>7</v>
      </c>
      <c r="AF1585" t="n">
        <v>4</v>
      </c>
      <c r="AG1585" t="n">
        <v>3</v>
      </c>
      <c r="AH1585" t="n">
        <v>50</v>
      </c>
      <c r="AI1585" t="n">
        <v>62</v>
      </c>
      <c r="AJ1585" t="n">
        <v>31</v>
      </c>
      <c r="AK1585" t="n">
        <v>15</v>
      </c>
      <c r="AL1585" t="n">
        <v>2</v>
      </c>
      <c r="AM1585" t="n">
        <v>13</v>
      </c>
      <c r="AN1585" t="n">
        <v>1</v>
      </c>
      <c r="AO1585" t="n">
        <v>0</v>
      </c>
      <c r="AP1585" t="n">
        <v>6</v>
      </c>
      <c r="AQ1585" t="n">
        <v>47</v>
      </c>
      <c r="AR1585" t="n">
        <v>84</v>
      </c>
      <c r="AS1585" t="n">
        <v>46</v>
      </c>
      <c r="AT1585" t="n">
        <v>1</v>
      </c>
      <c r="AU1585" t="n">
        <v>1</v>
      </c>
      <c r="AV1585" t="n">
        <v>14</v>
      </c>
      <c r="AW1585" t="n">
        <v>17</v>
      </c>
      <c r="AX1585" t="n">
        <v>2</v>
      </c>
      <c r="AY1585" t="n">
        <v>15</v>
      </c>
      <c r="AZ1585" t="n">
        <v>2</v>
      </c>
      <c r="BA1585" t="n">
        <v>-5</v>
      </c>
      <c r="BB1585" t="n">
        <v>50</v>
      </c>
      <c r="BC1585" t="n">
        <v>10</v>
      </c>
      <c r="BD1585" t="n">
        <v>47</v>
      </c>
      <c r="BE1585" t="n">
        <v>17</v>
      </c>
      <c r="BF1585" t="n">
        <v>28</v>
      </c>
      <c r="BG1585" t="n">
        <v>3</v>
      </c>
      <c r="BH1585" t="n">
        <v>18</v>
      </c>
      <c r="BI1585" t="n">
        <v>46</v>
      </c>
      <c r="BJ1585" t="n">
        <v>42</v>
      </c>
      <c r="BK1585" t="n">
        <v>3</v>
      </c>
      <c r="BL1585" t="n">
        <v>9</v>
      </c>
      <c r="BM1585" t="n">
        <v>6</v>
      </c>
      <c r="BN1585" t="n">
        <v>0</v>
      </c>
      <c r="BO1585" t="n">
        <v>77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309</v>
      </c>
      <c r="Z1586" t="n">
        <v>133</v>
      </c>
      <c r="AA1586" t="n">
        <v>40</v>
      </c>
      <c r="AB1586" t="n">
        <v>0</v>
      </c>
      <c r="AC1586" t="n">
        <v>1</v>
      </c>
      <c r="AD1586" t="n">
        <v>1</v>
      </c>
      <c r="AE1586" t="n">
        <v>8</v>
      </c>
      <c r="AF1586" t="n">
        <v>9</v>
      </c>
      <c r="AG1586" t="n">
        <v>6</v>
      </c>
      <c r="AH1586" t="n">
        <v>8</v>
      </c>
      <c r="AI1586" t="n">
        <v>43</v>
      </c>
      <c r="AJ1586" t="n">
        <v>82</v>
      </c>
      <c r="AK1586" t="n">
        <v>75</v>
      </c>
      <c r="AL1586" t="n">
        <v>3</v>
      </c>
      <c r="AM1586" t="n">
        <v>10</v>
      </c>
      <c r="AN1586" t="n">
        <v>0</v>
      </c>
      <c r="AO1586" t="n">
        <v>0</v>
      </c>
      <c r="AP1586" t="n">
        <v>3</v>
      </c>
      <c r="AQ1586" t="n">
        <v>32</v>
      </c>
      <c r="AR1586" t="n">
        <v>60</v>
      </c>
      <c r="AS1586" t="n">
        <v>34</v>
      </c>
      <c r="AT1586" t="n">
        <v>2</v>
      </c>
      <c r="AU1586" t="n">
        <v>1</v>
      </c>
      <c r="AV1586" t="n">
        <v>8</v>
      </c>
      <c r="AW1586" t="n">
        <v>19</v>
      </c>
      <c r="AX1586" t="n">
        <v>4</v>
      </c>
      <c r="AY1586" t="n">
        <v>42</v>
      </c>
      <c r="AZ1586" t="n">
        <v>3</v>
      </c>
      <c r="BA1586" t="n">
        <v>28</v>
      </c>
      <c r="BB1586" t="n">
        <v>66</v>
      </c>
      <c r="BC1586" t="n">
        <v>12</v>
      </c>
      <c r="BD1586" t="n">
        <v>4</v>
      </c>
      <c r="BE1586" t="n">
        <v>24</v>
      </c>
      <c r="BF1586" t="n">
        <v>65</v>
      </c>
      <c r="BG1586" t="n">
        <v>1</v>
      </c>
      <c r="BH1586" t="n">
        <v>21</v>
      </c>
      <c r="BI1586" t="n">
        <v>15</v>
      </c>
      <c r="BJ1586" t="n">
        <v>13</v>
      </c>
      <c r="BK1586" t="n">
        <v>1</v>
      </c>
      <c r="BL1586" t="n">
        <v>9</v>
      </c>
      <c r="BM1586" t="n">
        <v>15</v>
      </c>
      <c r="BN1586" t="n">
        <v>6</v>
      </c>
      <c r="BO1586" t="n">
        <v>2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223</v>
      </c>
      <c r="Z1587" t="n">
        <v>116</v>
      </c>
      <c r="AA1587" t="n">
        <v>26</v>
      </c>
      <c r="AB1587" t="n">
        <v>1</v>
      </c>
      <c r="AC1587" t="n">
        <v>0</v>
      </c>
      <c r="AD1587" t="n">
        <v>3</v>
      </c>
      <c r="AE1587" t="n">
        <v>0</v>
      </c>
      <c r="AF1587" t="n">
        <v>5</v>
      </c>
      <c r="AG1587" t="n">
        <v>4</v>
      </c>
      <c r="AH1587" t="n">
        <v>56</v>
      </c>
      <c r="AI1587" t="n">
        <v>27</v>
      </c>
      <c r="AJ1587" t="n">
        <v>53</v>
      </c>
      <c r="AK1587" t="n">
        <v>63</v>
      </c>
      <c r="AL1587" t="n">
        <v>0</v>
      </c>
      <c r="AM1587" t="n">
        <v>2</v>
      </c>
      <c r="AN1587" t="n">
        <v>0</v>
      </c>
      <c r="AO1587" t="n">
        <v>0</v>
      </c>
      <c r="AP1587" t="n">
        <v>3</v>
      </c>
      <c r="AQ1587" t="n">
        <v>12</v>
      </c>
      <c r="AR1587" t="n">
        <v>144</v>
      </c>
      <c r="AS1587" t="n">
        <v>128</v>
      </c>
      <c r="AT1587" t="n">
        <v>3</v>
      </c>
      <c r="AU1587" t="n">
        <v>0</v>
      </c>
      <c r="AV1587" t="n">
        <v>30</v>
      </c>
      <c r="AW1587" t="n">
        <v>19</v>
      </c>
      <c r="AX1587" t="n">
        <v>6</v>
      </c>
      <c r="AY1587" t="n">
        <v>29</v>
      </c>
      <c r="AZ1587" t="n">
        <v>3</v>
      </c>
      <c r="BA1587" t="n">
        <v>8</v>
      </c>
      <c r="BB1587" t="n">
        <v>33</v>
      </c>
      <c r="BC1587" t="n">
        <v>10</v>
      </c>
      <c r="BD1587" t="n">
        <v>61</v>
      </c>
      <c r="BE1587" t="n">
        <v>24</v>
      </c>
      <c r="BF1587" t="n">
        <v>52</v>
      </c>
      <c r="BG1587" t="n">
        <v>1</v>
      </c>
      <c r="BH1587" t="n">
        <v>0</v>
      </c>
      <c r="BI1587" t="n">
        <v>19</v>
      </c>
      <c r="BJ1587" t="n">
        <v>20</v>
      </c>
      <c r="BK1587" t="n">
        <v>1</v>
      </c>
      <c r="BL1587" t="n">
        <v>45</v>
      </c>
      <c r="BM1587" t="n">
        <v>38</v>
      </c>
      <c r="BN1587" t="n">
        <v>6</v>
      </c>
      <c r="BO1587" t="n">
        <v>11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56</v>
      </c>
      <c r="Z1588" t="n">
        <v>177</v>
      </c>
      <c r="AA1588" t="n">
        <v>23</v>
      </c>
      <c r="AB1588" t="n">
        <v>4</v>
      </c>
      <c r="AC1588" t="n">
        <v>0</v>
      </c>
      <c r="AD1588" t="n">
        <v>4</v>
      </c>
      <c r="AE1588" t="n">
        <v>5</v>
      </c>
      <c r="AF1588" t="n">
        <v>3</v>
      </c>
      <c r="AG1588" t="n">
        <v>0</v>
      </c>
      <c r="AH1588" t="n">
        <v>30</v>
      </c>
      <c r="AI1588" t="n">
        <v>36</v>
      </c>
      <c r="AJ1588" t="n">
        <v>6</v>
      </c>
      <c r="AK1588" t="n">
        <v>1</v>
      </c>
      <c r="AL1588" t="n">
        <v>4</v>
      </c>
      <c r="AM1588" t="n">
        <v>46</v>
      </c>
      <c r="AN1588" t="n">
        <v>0</v>
      </c>
      <c r="AO1588" t="n">
        <v>0</v>
      </c>
      <c r="AP1588" t="n">
        <v>2</v>
      </c>
      <c r="AQ1588" t="n">
        <v>6</v>
      </c>
      <c r="AR1588" t="n">
        <v>118</v>
      </c>
      <c r="AS1588" t="n">
        <v>109</v>
      </c>
      <c r="AT1588" t="n">
        <v>2</v>
      </c>
      <c r="AU1588" t="n">
        <v>1</v>
      </c>
      <c r="AV1588" t="n">
        <v>14</v>
      </c>
      <c r="AW1588" t="n">
        <v>4</v>
      </c>
      <c r="AX1588" t="n">
        <v>12</v>
      </c>
      <c r="AY1588" t="n">
        <v>41</v>
      </c>
      <c r="AZ1588" t="n">
        <v>0</v>
      </c>
      <c r="BA1588" t="n">
        <v>4</v>
      </c>
      <c r="BB1588" t="n">
        <v>24</v>
      </c>
      <c r="BC1588" t="n">
        <v>48</v>
      </c>
      <c r="BD1588" t="n">
        <v>29</v>
      </c>
      <c r="BE1588" t="n">
        <v>4</v>
      </c>
      <c r="BF1588" t="n">
        <v>26</v>
      </c>
      <c r="BG1588" t="n">
        <v>4</v>
      </c>
      <c r="BH1588" t="n">
        <v>3</v>
      </c>
      <c r="BI1588" t="n">
        <v>9</v>
      </c>
      <c r="BJ1588" t="n">
        <v>14</v>
      </c>
      <c r="BK1588" t="n">
        <v>2</v>
      </c>
      <c r="BL1588" t="n">
        <v>33</v>
      </c>
      <c r="BM1588" t="n">
        <v>50</v>
      </c>
      <c r="BN1588" t="n">
        <v>20</v>
      </c>
      <c r="BO1588" t="n">
        <v>47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2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251</v>
      </c>
      <c r="Z1589" t="n">
        <v>277</v>
      </c>
      <c r="AA1589" t="n">
        <v>61</v>
      </c>
      <c r="AB1589" t="n">
        <v>1</v>
      </c>
      <c r="AC1589" t="n">
        <v>1</v>
      </c>
      <c r="AD1589" t="n">
        <v>5</v>
      </c>
      <c r="AE1589" t="n">
        <v>3</v>
      </c>
      <c r="AF1589" t="n">
        <v>5</v>
      </c>
      <c r="AG1589" t="n">
        <v>4</v>
      </c>
      <c r="AH1589" t="n">
        <v>98</v>
      </c>
      <c r="AI1589" t="n">
        <v>31</v>
      </c>
      <c r="AJ1589" t="n">
        <v>42</v>
      </c>
      <c r="AK1589" t="n">
        <v>44</v>
      </c>
      <c r="AL1589" t="n">
        <v>11</v>
      </c>
      <c r="AM1589" t="n">
        <v>190</v>
      </c>
      <c r="AN1589" t="n">
        <v>0</v>
      </c>
      <c r="AO1589" t="n">
        <v>0</v>
      </c>
      <c r="AP1589" t="n">
        <v>6</v>
      </c>
      <c r="AQ1589" t="n">
        <v>33</v>
      </c>
      <c r="AR1589" t="n">
        <v>43</v>
      </c>
      <c r="AS1589" t="n">
        <v>17</v>
      </c>
      <c r="AT1589" t="n">
        <v>3</v>
      </c>
      <c r="AU1589" t="n">
        <v>0</v>
      </c>
      <c r="AV1589" t="n">
        <v>51</v>
      </c>
      <c r="AW1589" t="n">
        <v>1</v>
      </c>
      <c r="AX1589" t="n">
        <v>8</v>
      </c>
      <c r="AY1589" t="n">
        <v>3</v>
      </c>
      <c r="AZ1589" t="n">
        <v>1</v>
      </c>
      <c r="BA1589" t="n">
        <v>1</v>
      </c>
      <c r="BB1589" t="n">
        <v>60</v>
      </c>
      <c r="BC1589" t="n">
        <v>156</v>
      </c>
      <c r="BD1589" t="n">
        <v>89</v>
      </c>
      <c r="BE1589" t="n">
        <v>1</v>
      </c>
      <c r="BF1589" t="n">
        <v>33</v>
      </c>
      <c r="BG1589" t="n">
        <v>3</v>
      </c>
      <c r="BH1589" t="n">
        <v>1</v>
      </c>
      <c r="BI1589" t="n">
        <v>26</v>
      </c>
      <c r="BJ1589" t="n">
        <v>35</v>
      </c>
      <c r="BK1589" t="n">
        <v>0</v>
      </c>
      <c r="BL1589" t="n">
        <v>1</v>
      </c>
      <c r="BM1589" t="n">
        <v>7</v>
      </c>
      <c r="BN1589" t="n">
        <v>4</v>
      </c>
      <c r="BO1589" t="n">
        <v>2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150</v>
      </c>
      <c r="Z1590" t="n">
        <v>187</v>
      </c>
      <c r="AA1590" t="n">
        <v>70</v>
      </c>
      <c r="AB1590" t="n">
        <v>1</v>
      </c>
      <c r="AC1590" t="n">
        <v>0</v>
      </c>
      <c r="AD1590" t="n">
        <v>4</v>
      </c>
      <c r="AE1590" t="n">
        <v>5</v>
      </c>
      <c r="AF1590" t="n">
        <v>2</v>
      </c>
      <c r="AG1590" t="n">
        <v>1</v>
      </c>
      <c r="AH1590" t="n">
        <v>57</v>
      </c>
      <c r="AI1590" t="n">
        <v>91</v>
      </c>
      <c r="AJ1590" t="n">
        <v>48</v>
      </c>
      <c r="AK1590" t="n">
        <v>9</v>
      </c>
      <c r="AL1590" t="n">
        <v>3</v>
      </c>
      <c r="AM1590" t="n">
        <v>35</v>
      </c>
      <c r="AN1590" t="n">
        <v>0</v>
      </c>
      <c r="AO1590" t="n">
        <v>0</v>
      </c>
      <c r="AP1590" t="n">
        <v>3</v>
      </c>
      <c r="AQ1590" t="n">
        <v>39</v>
      </c>
      <c r="AR1590" t="n">
        <v>137</v>
      </c>
      <c r="AS1590" t="n">
        <v>103</v>
      </c>
      <c r="AT1590" t="n">
        <v>0</v>
      </c>
      <c r="AU1590" t="n">
        <v>1</v>
      </c>
      <c r="AV1590" t="n">
        <v>5</v>
      </c>
      <c r="AW1590" t="n">
        <v>8</v>
      </c>
      <c r="AX1590" t="n">
        <v>6</v>
      </c>
      <c r="AY1590" t="n">
        <v>15</v>
      </c>
      <c r="AZ1590" t="n">
        <v>0</v>
      </c>
      <c r="BA1590" t="n">
        <v>1</v>
      </c>
      <c r="BB1590" t="n">
        <v>69</v>
      </c>
      <c r="BC1590" t="n">
        <v>38</v>
      </c>
      <c r="BD1590" t="n">
        <v>50</v>
      </c>
      <c r="BE1590" t="n">
        <v>30</v>
      </c>
      <c r="BF1590" t="n">
        <v>40</v>
      </c>
      <c r="BG1590" t="n">
        <v>1</v>
      </c>
      <c r="BH1590" t="n">
        <v>1</v>
      </c>
      <c r="BI1590" t="n">
        <v>1</v>
      </c>
      <c r="BJ1590" t="n">
        <v>1</v>
      </c>
      <c r="BK1590" t="n">
        <v>3</v>
      </c>
      <c r="BL1590" t="n">
        <v>13</v>
      </c>
      <c r="BM1590" t="n">
        <v>9</v>
      </c>
      <c r="BN1590" t="n">
        <v>0</v>
      </c>
      <c r="BO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0</v>
      </c>
      <c r="W1591" t="n">
        <v>0</v>
      </c>
      <c r="X1591" t="n">
        <v>0</v>
      </c>
      <c r="Y1591" t="n">
        <v>203</v>
      </c>
      <c r="Z1591" t="n">
        <v>128</v>
      </c>
      <c r="AA1591" t="n">
        <v>114</v>
      </c>
      <c r="AB1591" t="n">
        <v>0</v>
      </c>
      <c r="AC1591" t="n">
        <v>3</v>
      </c>
      <c r="AD1591" t="n">
        <v>5</v>
      </c>
      <c r="AE1591" t="n">
        <v>3</v>
      </c>
      <c r="AF1591" t="n">
        <v>2</v>
      </c>
      <c r="AG1591" t="n">
        <v>3</v>
      </c>
      <c r="AH1591" t="n">
        <v>44</v>
      </c>
      <c r="AI1591" t="n">
        <v>19</v>
      </c>
      <c r="AJ1591" t="n">
        <v>39</v>
      </c>
      <c r="AK1591" t="n">
        <v>30</v>
      </c>
      <c r="AL1591" t="n">
        <v>2</v>
      </c>
      <c r="AM1591" t="n">
        <v>24</v>
      </c>
      <c r="AN1591" t="n">
        <v>0</v>
      </c>
      <c r="AO1591" t="n">
        <v>0</v>
      </c>
      <c r="AP1591" t="n">
        <v>7</v>
      </c>
      <c r="AQ1591" t="n">
        <v>45</v>
      </c>
      <c r="AR1591" t="n">
        <v>86</v>
      </c>
      <c r="AS1591" t="n">
        <v>49</v>
      </c>
      <c r="AT1591" t="n">
        <v>5</v>
      </c>
      <c r="AU1591" t="n">
        <v>1</v>
      </c>
      <c r="AV1591" t="n">
        <v>44</v>
      </c>
      <c r="AW1591" t="n">
        <v>12</v>
      </c>
      <c r="AX1591" t="n">
        <v>3</v>
      </c>
      <c r="AY1591" t="n">
        <v>38</v>
      </c>
      <c r="AZ1591" t="n">
        <v>5</v>
      </c>
      <c r="BA1591" t="n">
        <v>22</v>
      </c>
      <c r="BB1591" t="n">
        <v>128</v>
      </c>
      <c r="BC1591" t="n">
        <v>24</v>
      </c>
      <c r="BD1591" t="n">
        <v>44</v>
      </c>
      <c r="BE1591" t="n">
        <v>12</v>
      </c>
      <c r="BF1591" t="n">
        <v>36</v>
      </c>
      <c r="BG1591" t="n">
        <v>0</v>
      </c>
      <c r="BH1591" t="n">
        <v>11</v>
      </c>
      <c r="BI1591" t="n">
        <v>1</v>
      </c>
      <c r="BJ1591" t="n">
        <v>-1</v>
      </c>
      <c r="BK1591" t="n">
        <v>4</v>
      </c>
      <c r="BL1591" t="n">
        <v>13</v>
      </c>
      <c r="BM1591" t="n">
        <v>32</v>
      </c>
      <c r="BN1591" t="n">
        <v>15</v>
      </c>
      <c r="BO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234</v>
      </c>
      <c r="Z1592" t="n">
        <v>156</v>
      </c>
      <c r="AA1592" t="n">
        <v>13</v>
      </c>
      <c r="AB1592" t="n">
        <v>2</v>
      </c>
      <c r="AC1592" t="n">
        <v>0</v>
      </c>
      <c r="AD1592" t="n">
        <v>1</v>
      </c>
      <c r="AE1592" t="n">
        <v>5</v>
      </c>
      <c r="AF1592" t="n">
        <v>5</v>
      </c>
      <c r="AG1592" t="n">
        <v>8</v>
      </c>
      <c r="AH1592" t="n">
        <v>56</v>
      </c>
      <c r="AI1592" t="n">
        <v>44</v>
      </c>
      <c r="AJ1592" t="n">
        <v>59</v>
      </c>
      <c r="AK1592" t="n">
        <v>42</v>
      </c>
      <c r="AL1592" t="n">
        <v>2</v>
      </c>
      <c r="AM1592" t="n">
        <v>28</v>
      </c>
      <c r="AN1592" t="n">
        <v>0</v>
      </c>
      <c r="AO1592" t="n">
        <v>0</v>
      </c>
      <c r="AP1592" t="n">
        <v>0</v>
      </c>
      <c r="AQ1592" t="n">
        <v>4</v>
      </c>
      <c r="AR1592" t="n">
        <v>35</v>
      </c>
      <c r="AS1592" t="n">
        <v>31</v>
      </c>
      <c r="AT1592" t="n">
        <v>5</v>
      </c>
      <c r="AU1592" t="n">
        <v>0</v>
      </c>
      <c r="AV1592" t="n">
        <v>36</v>
      </c>
      <c r="AW1592" t="n">
        <v>9</v>
      </c>
      <c r="AX1592" t="n">
        <v>3</v>
      </c>
      <c r="AY1592" t="n">
        <v>24</v>
      </c>
      <c r="AZ1592" t="n">
        <v>3</v>
      </c>
      <c r="BA1592" t="n">
        <v>20</v>
      </c>
      <c r="BB1592" t="n">
        <v>34</v>
      </c>
      <c r="BC1592" t="n">
        <v>42</v>
      </c>
      <c r="BD1592" t="n">
        <v>64</v>
      </c>
      <c r="BE1592" t="n">
        <v>13</v>
      </c>
      <c r="BF1592" t="n">
        <v>55</v>
      </c>
      <c r="BG1592" t="n">
        <v>1</v>
      </c>
      <c r="BH1592" t="n">
        <v>2</v>
      </c>
      <c r="BI1592" t="n">
        <v>29</v>
      </c>
      <c r="BJ1592" t="n">
        <v>27</v>
      </c>
      <c r="BK1592" t="n">
        <v>3</v>
      </c>
      <c r="BL1592" t="n">
        <v>30</v>
      </c>
      <c r="BM1592" t="n">
        <v>47</v>
      </c>
      <c r="BN1592" t="n">
        <v>19</v>
      </c>
      <c r="BO1592" t="n">
        <v>2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297</v>
      </c>
      <c r="Z1593" t="n">
        <v>187</v>
      </c>
      <c r="AA1593" t="n">
        <v>26</v>
      </c>
      <c r="AB1593" t="n">
        <v>1</v>
      </c>
      <c r="AC1593" t="n">
        <v>0</v>
      </c>
      <c r="AD1593" t="n">
        <v>7</v>
      </c>
      <c r="AE1593" t="n">
        <v>7</v>
      </c>
      <c r="AF1593" t="n">
        <v>4</v>
      </c>
      <c r="AG1593" t="n">
        <v>5</v>
      </c>
      <c r="AH1593" t="n">
        <v>78</v>
      </c>
      <c r="AI1593" t="n">
        <v>77</v>
      </c>
      <c r="AJ1593" t="n">
        <v>76</v>
      </c>
      <c r="AK1593" t="n">
        <v>39</v>
      </c>
      <c r="AL1593" t="n">
        <v>4</v>
      </c>
      <c r="AM1593" t="n">
        <v>54</v>
      </c>
      <c r="AN1593" t="n">
        <v>0</v>
      </c>
      <c r="AO1593" t="n">
        <v>0</v>
      </c>
      <c r="AP1593" t="n">
        <v>5</v>
      </c>
      <c r="AQ1593" t="n">
        <v>24</v>
      </c>
      <c r="AR1593" t="n">
        <v>186</v>
      </c>
      <c r="AS1593" t="n">
        <v>162</v>
      </c>
      <c r="AT1593" t="n">
        <v>3</v>
      </c>
      <c r="AU1593" t="n">
        <v>0</v>
      </c>
      <c r="AV1593" t="n">
        <v>1</v>
      </c>
      <c r="AW1593" t="n">
        <v>1</v>
      </c>
      <c r="AX1593" t="n">
        <v>8</v>
      </c>
      <c r="AY1593" t="n">
        <v>19</v>
      </c>
      <c r="AZ1593" t="n">
        <v>4</v>
      </c>
      <c r="BA1593" t="n">
        <v>40</v>
      </c>
      <c r="BB1593" t="n">
        <v>67</v>
      </c>
      <c r="BC1593" t="n">
        <v>50</v>
      </c>
      <c r="BD1593" t="n">
        <v>70</v>
      </c>
      <c r="BE1593" t="n">
        <v>9</v>
      </c>
      <c r="BF1593" t="n">
        <v>70</v>
      </c>
      <c r="BG1593" t="n">
        <v>3</v>
      </c>
      <c r="BH1593" t="n">
        <v>10</v>
      </c>
      <c r="BI1593" t="n">
        <v>36</v>
      </c>
      <c r="BJ1593" t="n">
        <v>33</v>
      </c>
      <c r="BK1593" t="n">
        <v>2</v>
      </c>
      <c r="BL1593" t="n">
        <v>9</v>
      </c>
      <c r="BM1593" t="n">
        <v>6</v>
      </c>
      <c r="BN1593" t="n">
        <v>0</v>
      </c>
      <c r="BO1593" t="n">
        <v>2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2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258</v>
      </c>
      <c r="Z1594" t="n">
        <v>104</v>
      </c>
      <c r="AA1594" t="n">
        <v>79</v>
      </c>
      <c r="AB1594" t="n">
        <v>0</v>
      </c>
      <c r="AC1594" t="n">
        <v>0</v>
      </c>
      <c r="AD1594" t="n">
        <v>3</v>
      </c>
      <c r="AE1594" t="n">
        <v>1</v>
      </c>
      <c r="AF1594" t="n">
        <v>2</v>
      </c>
      <c r="AG1594" t="n">
        <v>3</v>
      </c>
      <c r="AH1594" t="n">
        <v>36</v>
      </c>
      <c r="AI1594" t="n">
        <v>13</v>
      </c>
      <c r="AJ1594" t="n">
        <v>24</v>
      </c>
      <c r="AK1594" t="n">
        <v>63</v>
      </c>
      <c r="AL1594" t="n">
        <v>3</v>
      </c>
      <c r="AM1594" t="n">
        <v>14</v>
      </c>
      <c r="AN1594" t="n">
        <v>0</v>
      </c>
      <c r="AO1594" t="n">
        <v>1</v>
      </c>
      <c r="AP1594" t="n">
        <v>3</v>
      </c>
      <c r="AQ1594" t="n">
        <v>45</v>
      </c>
      <c r="AR1594" t="n">
        <v>140</v>
      </c>
      <c r="AS1594" t="n">
        <v>103</v>
      </c>
      <c r="AT1594" t="n">
        <v>1</v>
      </c>
      <c r="AU1594" t="n">
        <v>0</v>
      </c>
      <c r="AV1594" t="n">
        <v>1</v>
      </c>
      <c r="AW1594" t="n">
        <v>1</v>
      </c>
      <c r="AX1594" t="n">
        <v>-2</v>
      </c>
      <c r="AY1594" t="n">
        <v>36</v>
      </c>
      <c r="AZ1594" t="n">
        <v>3</v>
      </c>
      <c r="BA1594" t="n">
        <v>27</v>
      </c>
      <c r="BB1594" t="n">
        <v>103</v>
      </c>
      <c r="BC1594" t="n">
        <v>11</v>
      </c>
      <c r="BD1594" t="n">
        <v>34</v>
      </c>
      <c r="BE1594" t="n">
        <v>1</v>
      </c>
      <c r="BF1594" t="n">
        <v>28</v>
      </c>
      <c r="BG1594" t="n">
        <v>6</v>
      </c>
      <c r="BH1594" t="n">
        <v>5</v>
      </c>
      <c r="BI1594" t="n">
        <v>89</v>
      </c>
      <c r="BJ1594" t="n">
        <v>85</v>
      </c>
      <c r="BK1594" t="n">
        <v>1</v>
      </c>
      <c r="BL1594" t="n">
        <v>14</v>
      </c>
      <c r="BM1594" t="n">
        <v>17</v>
      </c>
      <c r="BN1594" t="n">
        <v>5</v>
      </c>
      <c r="BO1594" t="n">
        <v>28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146</v>
      </c>
      <c r="Z1595" t="n">
        <v>209</v>
      </c>
      <c r="AA1595" t="n">
        <v>56</v>
      </c>
      <c r="AB1595" t="n">
        <v>1</v>
      </c>
      <c r="AC1595" t="n">
        <v>1</v>
      </c>
      <c r="AD1595" t="n">
        <v>5</v>
      </c>
      <c r="AE1595" t="n">
        <v>9</v>
      </c>
      <c r="AF1595" t="n">
        <v>4</v>
      </c>
      <c r="AG1595" t="n">
        <v>3</v>
      </c>
      <c r="AH1595" t="n">
        <v>67</v>
      </c>
      <c r="AI1595" t="n">
        <v>38</v>
      </c>
      <c r="AJ1595" t="n">
        <v>33</v>
      </c>
      <c r="AK1595" t="n">
        <v>15</v>
      </c>
      <c r="AL1595" t="n">
        <v>4</v>
      </c>
      <c r="AM1595" t="n">
        <v>47</v>
      </c>
      <c r="AN1595" t="n">
        <v>0</v>
      </c>
      <c r="AO1595" t="n">
        <v>0</v>
      </c>
      <c r="AP1595" t="n">
        <v>1</v>
      </c>
      <c r="AQ1595" t="n">
        <v>27</v>
      </c>
      <c r="AR1595" t="n">
        <v>97</v>
      </c>
      <c r="AS1595" t="n">
        <v>73</v>
      </c>
      <c r="AT1595" t="n">
        <v>3</v>
      </c>
      <c r="AU1595" t="n">
        <v>3</v>
      </c>
      <c r="AV1595" t="n">
        <v>9</v>
      </c>
      <c r="AW1595" t="n">
        <v>27</v>
      </c>
      <c r="AX1595" t="n">
        <v>20</v>
      </c>
      <c r="AY1595" t="n">
        <v>40</v>
      </c>
      <c r="AZ1595" t="n">
        <v>1</v>
      </c>
      <c r="BA1595" t="n">
        <v>43</v>
      </c>
      <c r="BB1595" t="n">
        <v>99</v>
      </c>
      <c r="BC1595" t="n">
        <v>39</v>
      </c>
      <c r="BD1595" t="n">
        <v>94</v>
      </c>
      <c r="BE1595" t="n">
        <v>28</v>
      </c>
      <c r="BF1595" t="n">
        <v>83</v>
      </c>
      <c r="BG1595" t="n">
        <v>1</v>
      </c>
      <c r="BH1595" t="n">
        <v>0</v>
      </c>
      <c r="BI1595" t="n">
        <v>7</v>
      </c>
      <c r="BJ1595" t="n">
        <v>4</v>
      </c>
      <c r="BK1595" t="n">
        <v>3</v>
      </c>
      <c r="BL1595" t="n">
        <v>1</v>
      </c>
      <c r="BM1595" t="n">
        <v>0</v>
      </c>
      <c r="BN1595" t="n">
        <v>0</v>
      </c>
      <c r="BO1595" t="n">
        <v>-5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3</v>
      </c>
      <c r="N1596" t="n">
        <v>0</v>
      </c>
      <c r="O1596" t="n">
        <v>0</v>
      </c>
      <c r="P1596" t="n">
        <v>2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2</v>
      </c>
      <c r="X1596" t="n">
        <v>0</v>
      </c>
      <c r="Y1596" t="n">
        <v>330</v>
      </c>
      <c r="Z1596" t="n">
        <v>175</v>
      </c>
      <c r="AA1596" t="n">
        <v>114</v>
      </c>
      <c r="AB1596" t="n">
        <v>2</v>
      </c>
      <c r="AC1596" t="n">
        <v>2</v>
      </c>
      <c r="AD1596" t="n">
        <v>1</v>
      </c>
      <c r="AE1596" t="n">
        <v>9</v>
      </c>
      <c r="AF1596" t="n">
        <v>6</v>
      </c>
      <c r="AG1596" t="n">
        <v>2</v>
      </c>
      <c r="AH1596" t="n">
        <v>2</v>
      </c>
      <c r="AI1596" t="n">
        <v>73</v>
      </c>
      <c r="AJ1596" t="n">
        <v>41</v>
      </c>
      <c r="AK1596" t="n">
        <v>51</v>
      </c>
      <c r="AL1596" t="n">
        <v>2</v>
      </c>
      <c r="AM1596" t="n">
        <v>17</v>
      </c>
      <c r="AN1596" t="n">
        <v>0</v>
      </c>
      <c r="AO1596" t="n">
        <v>0</v>
      </c>
      <c r="AP1596" t="n">
        <v>12</v>
      </c>
      <c r="AQ1596" t="n">
        <v>120</v>
      </c>
      <c r="AR1596" t="n">
        <v>171</v>
      </c>
      <c r="AS1596" t="n">
        <v>72</v>
      </c>
      <c r="AT1596" t="n">
        <v>3</v>
      </c>
      <c r="AU1596" t="n">
        <v>2</v>
      </c>
      <c r="AV1596" t="n">
        <v>19</v>
      </c>
      <c r="AW1596" t="n">
        <v>5</v>
      </c>
      <c r="AX1596" t="n">
        <v>-2</v>
      </c>
      <c r="AY1596" t="n">
        <v>46</v>
      </c>
      <c r="AZ1596" t="n">
        <v>3</v>
      </c>
      <c r="BA1596" t="n">
        <v>22</v>
      </c>
      <c r="BB1596" t="n">
        <v>129</v>
      </c>
      <c r="BC1596" t="n">
        <v>13</v>
      </c>
      <c r="BD1596" t="n">
        <v>6</v>
      </c>
      <c r="BE1596" t="n">
        <v>7</v>
      </c>
      <c r="BF1596" t="n">
        <v>35</v>
      </c>
      <c r="BG1596" t="n">
        <v>3</v>
      </c>
      <c r="BH1596" t="n">
        <v>11</v>
      </c>
      <c r="BI1596" t="n">
        <v>51</v>
      </c>
      <c r="BJ1596" t="n">
        <v>47</v>
      </c>
      <c r="BK1596" t="n">
        <v>6</v>
      </c>
      <c r="BL1596" t="n">
        <v>37</v>
      </c>
      <c r="BM1596" t="n">
        <v>23</v>
      </c>
      <c r="BN1596" t="n">
        <v>0</v>
      </c>
      <c r="BO1596" t="n">
        <v>2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2</v>
      </c>
      <c r="F1597" t="n">
        <v>1</v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308</v>
      </c>
      <c r="Z1597" t="n">
        <v>215</v>
      </c>
      <c r="AA1597" t="n">
        <v>86</v>
      </c>
      <c r="AB1597" t="n">
        <v>1</v>
      </c>
      <c r="AC1597" t="n">
        <v>2</v>
      </c>
      <c r="AD1597" t="n">
        <v>7</v>
      </c>
      <c r="AE1597" t="n">
        <v>2</v>
      </c>
      <c r="AF1597" t="n">
        <v>3</v>
      </c>
      <c r="AG1597" t="n">
        <v>5</v>
      </c>
      <c r="AH1597" t="n">
        <v>94</v>
      </c>
      <c r="AI1597" t="n">
        <v>8</v>
      </c>
      <c r="AJ1597" t="n">
        <v>30</v>
      </c>
      <c r="AK1597" t="n">
        <v>19</v>
      </c>
      <c r="AL1597" t="n">
        <v>4</v>
      </c>
      <c r="AM1597" t="n">
        <v>29</v>
      </c>
      <c r="AN1597" t="n">
        <v>0</v>
      </c>
      <c r="AO1597" t="n">
        <v>0</v>
      </c>
      <c r="AP1597" t="n">
        <v>3</v>
      </c>
      <c r="AQ1597" t="n">
        <v>32</v>
      </c>
      <c r="AR1597" t="n">
        <v>62</v>
      </c>
      <c r="AS1597" t="n">
        <v>35</v>
      </c>
      <c r="AT1597" t="n">
        <v>9</v>
      </c>
      <c r="AU1597" t="n">
        <v>3</v>
      </c>
      <c r="AV1597" t="n">
        <v>84</v>
      </c>
      <c r="AW1597" t="n">
        <v>44</v>
      </c>
      <c r="AX1597" t="n">
        <v>9</v>
      </c>
      <c r="AY1597" t="n">
        <v>72</v>
      </c>
      <c r="AZ1597" t="n">
        <v>4</v>
      </c>
      <c r="BA1597" t="n">
        <v>28</v>
      </c>
      <c r="BB1597" t="n">
        <v>109</v>
      </c>
      <c r="BC1597" t="n">
        <v>25</v>
      </c>
      <c r="BD1597" t="n">
        <v>85</v>
      </c>
      <c r="BE1597" t="n">
        <v>44</v>
      </c>
      <c r="BF1597" t="n">
        <v>36</v>
      </c>
      <c r="BG1597" t="n">
        <v>3</v>
      </c>
      <c r="BH1597" t="n">
        <v>17</v>
      </c>
      <c r="BI1597" t="n">
        <v>31</v>
      </c>
      <c r="BJ1597" t="n">
        <v>33</v>
      </c>
      <c r="BK1597" t="n">
        <v>0</v>
      </c>
      <c r="BL1597" t="n">
        <v>1</v>
      </c>
      <c r="BM1597" t="n">
        <v>2</v>
      </c>
      <c r="BN1597" t="n">
        <v>0</v>
      </c>
      <c r="BO1597" t="n">
        <v>2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239</v>
      </c>
      <c r="Z1598" t="n">
        <v>145</v>
      </c>
      <c r="AA1598" t="n">
        <v>62</v>
      </c>
      <c r="AB1598" t="n">
        <v>4</v>
      </c>
      <c r="AC1598" t="n">
        <v>1</v>
      </c>
      <c r="AD1598" t="n">
        <v>1</v>
      </c>
      <c r="AE1598" t="n">
        <v>2</v>
      </c>
      <c r="AF1598" t="n">
        <v>1</v>
      </c>
      <c r="AG1598" t="n">
        <v>0</v>
      </c>
      <c r="AH1598" t="n">
        <v>2</v>
      </c>
      <c r="AI1598" t="n">
        <v>2</v>
      </c>
      <c r="AJ1598" t="n">
        <v>13</v>
      </c>
      <c r="AK1598" t="n">
        <v>12</v>
      </c>
      <c r="AL1598" t="n">
        <v>4</v>
      </c>
      <c r="AM1598" t="n">
        <v>47</v>
      </c>
      <c r="AN1598" t="n">
        <v>0</v>
      </c>
      <c r="AO1598" t="n">
        <v>0</v>
      </c>
      <c r="AP1598" t="n">
        <v>9</v>
      </c>
      <c r="AQ1598" t="n">
        <v>18</v>
      </c>
      <c r="AR1598" t="n">
        <v>132</v>
      </c>
      <c r="AS1598" t="n">
        <v>113</v>
      </c>
      <c r="AT1598" t="n">
        <v>4</v>
      </c>
      <c r="AU1598" t="n">
        <v>1</v>
      </c>
      <c r="AV1598" t="n">
        <v>44</v>
      </c>
      <c r="AW1598" t="n">
        <v>5</v>
      </c>
      <c r="AX1598" t="n">
        <v>7</v>
      </c>
      <c r="AY1598" t="n">
        <v>44</v>
      </c>
      <c r="AZ1598" t="n">
        <v>3</v>
      </c>
      <c r="BA1598" t="n">
        <v>8</v>
      </c>
      <c r="BB1598" t="n">
        <v>66</v>
      </c>
      <c r="BC1598" t="n">
        <v>71</v>
      </c>
      <c r="BD1598" t="n">
        <v>24</v>
      </c>
      <c r="BE1598" t="n">
        <v>9</v>
      </c>
      <c r="BF1598" t="n">
        <v>10</v>
      </c>
      <c r="BG1598" t="n">
        <v>4</v>
      </c>
      <c r="BH1598" t="n">
        <v>15</v>
      </c>
      <c r="BI1598" t="n">
        <v>32</v>
      </c>
      <c r="BJ1598" t="n">
        <v>31</v>
      </c>
      <c r="BK1598" t="n">
        <v>3</v>
      </c>
      <c r="BL1598" t="n">
        <v>1</v>
      </c>
      <c r="BM1598" t="n">
        <v>12</v>
      </c>
      <c r="BN1598" t="n">
        <v>6</v>
      </c>
      <c r="BO1598" t="n">
        <v>2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152</v>
      </c>
      <c r="Z1599" t="n">
        <v>179</v>
      </c>
      <c r="AA1599" t="n">
        <v>112</v>
      </c>
      <c r="AB1599" t="n">
        <v>0</v>
      </c>
      <c r="AC1599" t="n">
        <v>2</v>
      </c>
      <c r="AD1599" t="n">
        <v>4</v>
      </c>
      <c r="AE1599" t="n">
        <v>7</v>
      </c>
      <c r="AF1599" t="n">
        <v>8</v>
      </c>
      <c r="AG1599" t="n">
        <v>2</v>
      </c>
      <c r="AH1599" t="n">
        <v>12</v>
      </c>
      <c r="AI1599" t="n">
        <v>37</v>
      </c>
      <c r="AJ1599" t="n">
        <v>66</v>
      </c>
      <c r="AK1599" t="n">
        <v>18</v>
      </c>
      <c r="AL1599" t="n">
        <v>5</v>
      </c>
      <c r="AM1599" t="n">
        <v>58</v>
      </c>
      <c r="AN1599" t="n">
        <v>0</v>
      </c>
      <c r="AO1599" t="n">
        <v>0</v>
      </c>
      <c r="AP1599" t="n">
        <v>5</v>
      </c>
      <c r="AQ1599" t="n">
        <v>9</v>
      </c>
      <c r="AR1599" t="n">
        <v>106</v>
      </c>
      <c r="AS1599" t="n">
        <v>96</v>
      </c>
      <c r="AT1599" t="n">
        <v>1</v>
      </c>
      <c r="AU1599" t="n">
        <v>2</v>
      </c>
      <c r="AV1599" t="n">
        <v>1</v>
      </c>
      <c r="AW1599" t="n">
        <v>24</v>
      </c>
      <c r="AX1599" t="n">
        <v>5</v>
      </c>
      <c r="AY1599" t="n">
        <v>15</v>
      </c>
      <c r="AZ1599" t="n">
        <v>1</v>
      </c>
      <c r="BA1599" t="n">
        <v>21</v>
      </c>
      <c r="BB1599" t="n">
        <v>126</v>
      </c>
      <c r="BC1599" t="n">
        <v>56</v>
      </c>
      <c r="BD1599" t="n">
        <v>10</v>
      </c>
      <c r="BE1599" t="n">
        <v>25</v>
      </c>
      <c r="BF1599" t="n">
        <v>59</v>
      </c>
      <c r="BG1599" t="n">
        <v>1</v>
      </c>
      <c r="BH1599" t="n">
        <v>9</v>
      </c>
      <c r="BI1599" t="n">
        <v>1</v>
      </c>
      <c r="BJ1599" t="n">
        <v>10</v>
      </c>
      <c r="BK1599" t="n">
        <v>0</v>
      </c>
      <c r="BL1599" t="n">
        <v>1</v>
      </c>
      <c r="BM1599" t="n">
        <v>8</v>
      </c>
      <c r="BN1599" t="n">
        <v>4</v>
      </c>
      <c r="BO1599" t="n">
        <v>23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2</v>
      </c>
      <c r="X1600" t="n">
        <v>0</v>
      </c>
      <c r="Y1600" t="n">
        <v>206</v>
      </c>
      <c r="Z1600" t="n">
        <v>86</v>
      </c>
      <c r="AA1600" t="n">
        <v>22</v>
      </c>
      <c r="AB1600" t="n">
        <v>1</v>
      </c>
      <c r="AC1600" t="n">
        <v>0</v>
      </c>
      <c r="AD1600" t="n">
        <v>6</v>
      </c>
      <c r="AE1600" t="n">
        <v>7</v>
      </c>
      <c r="AF1600" t="n">
        <v>2</v>
      </c>
      <c r="AG1600" t="n">
        <v>8</v>
      </c>
      <c r="AH1600" t="n">
        <v>62</v>
      </c>
      <c r="AI1600" t="n">
        <v>37</v>
      </c>
      <c r="AJ1600" t="n">
        <v>4</v>
      </c>
      <c r="AK1600" t="n">
        <v>75</v>
      </c>
      <c r="AL1600" t="n">
        <v>6</v>
      </c>
      <c r="AM1600" t="n">
        <v>32</v>
      </c>
      <c r="AN1600" t="n">
        <v>0</v>
      </c>
      <c r="AO1600" t="n">
        <v>0</v>
      </c>
      <c r="AP1600" t="n">
        <v>1</v>
      </c>
      <c r="AQ1600" t="n">
        <v>1</v>
      </c>
      <c r="AR1600" t="n">
        <v>159</v>
      </c>
      <c r="AS1600" t="n">
        <v>148</v>
      </c>
      <c r="AT1600" t="n">
        <v>1</v>
      </c>
      <c r="AU1600" t="n">
        <v>0</v>
      </c>
      <c r="AV1600" t="n">
        <v>20</v>
      </c>
      <c r="AW1600" t="n">
        <v>1</v>
      </c>
      <c r="AX1600" t="n">
        <v>4</v>
      </c>
      <c r="AY1600" t="n">
        <v>-1</v>
      </c>
      <c r="AZ1600" t="n">
        <v>2</v>
      </c>
      <c r="BA1600" t="n">
        <v>5</v>
      </c>
      <c r="BB1600" t="n">
        <v>25</v>
      </c>
      <c r="BC1600" t="n">
        <v>27</v>
      </c>
      <c r="BD1600" t="n">
        <v>56</v>
      </c>
      <c r="BE1600" t="n">
        <v>4</v>
      </c>
      <c r="BF1600" t="n">
        <v>5</v>
      </c>
      <c r="BG1600" t="n">
        <v>3</v>
      </c>
      <c r="BH1600" t="n">
        <v>5</v>
      </c>
      <c r="BI1600" t="n">
        <v>45</v>
      </c>
      <c r="BJ1600" t="n">
        <v>40</v>
      </c>
      <c r="BK1600" t="n">
        <v>3</v>
      </c>
      <c r="BL1600" t="n">
        <v>36</v>
      </c>
      <c r="BM1600" t="n">
        <v>34</v>
      </c>
      <c r="BN1600" t="n">
        <v>8</v>
      </c>
      <c r="BO1600" t="n">
        <v>14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3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214</v>
      </c>
      <c r="Z1601" t="n">
        <v>204</v>
      </c>
      <c r="AA1601" t="n">
        <v>105</v>
      </c>
      <c r="AB1601" t="n">
        <v>5</v>
      </c>
      <c r="AC1601" t="n">
        <v>0</v>
      </c>
      <c r="AD1601" t="n">
        <v>6</v>
      </c>
      <c r="AE1601" t="n">
        <v>7</v>
      </c>
      <c r="AF1601" t="n">
        <v>0</v>
      </c>
      <c r="AG1601" t="n">
        <v>5</v>
      </c>
      <c r="AH1601" t="n">
        <v>30</v>
      </c>
      <c r="AI1601" t="n">
        <v>98</v>
      </c>
      <c r="AJ1601" t="n">
        <v>34</v>
      </c>
      <c r="AK1601" t="n">
        <v>56</v>
      </c>
      <c r="AL1601" t="n">
        <v>0</v>
      </c>
      <c r="AM1601" t="n">
        <v>13</v>
      </c>
      <c r="AN1601" t="n">
        <v>0</v>
      </c>
      <c r="AO1601" t="n">
        <v>0</v>
      </c>
      <c r="AP1601" t="n">
        <v>0</v>
      </c>
      <c r="AQ1601" t="n">
        <v>4</v>
      </c>
      <c r="AR1601" t="n">
        <v>35</v>
      </c>
      <c r="AS1601" t="n">
        <v>31</v>
      </c>
      <c r="AT1601" t="n">
        <v>2</v>
      </c>
      <c r="AU1601" t="n">
        <v>4</v>
      </c>
      <c r="AV1601" t="n">
        <v>33</v>
      </c>
      <c r="AW1601" t="n">
        <v>19</v>
      </c>
      <c r="AX1601" t="n">
        <v>0</v>
      </c>
      <c r="AY1601" t="n">
        <v>18</v>
      </c>
      <c r="AZ1601" t="n">
        <v>5</v>
      </c>
      <c r="BA1601" t="n">
        <v>40</v>
      </c>
      <c r="BB1601" t="n">
        <v>139</v>
      </c>
      <c r="BC1601" t="n">
        <v>10</v>
      </c>
      <c r="BD1601" t="n">
        <v>27</v>
      </c>
      <c r="BE1601" t="n">
        <v>20</v>
      </c>
      <c r="BF1601" t="n">
        <v>27</v>
      </c>
      <c r="BG1601" t="n">
        <v>2</v>
      </c>
      <c r="BH1601" t="n">
        <v>10</v>
      </c>
      <c r="BI1601" t="n">
        <v>7</v>
      </c>
      <c r="BJ1601" t="n">
        <v>4</v>
      </c>
      <c r="BK1601" t="n">
        <v>2</v>
      </c>
      <c r="BL1601" t="n">
        <v>19</v>
      </c>
      <c r="BM1601" t="n">
        <v>17</v>
      </c>
      <c r="BN1601" t="n">
        <v>4</v>
      </c>
      <c r="BO1601" t="n">
        <v>2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3</v>
      </c>
      <c r="K1602" t="n">
        <v>1</v>
      </c>
      <c r="L1602" t="n">
        <v>0</v>
      </c>
      <c r="M1602" t="n">
        <v>4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192</v>
      </c>
      <c r="Z1602" t="n">
        <v>101</v>
      </c>
      <c r="AA1602" t="n">
        <v>107</v>
      </c>
      <c r="AB1602" t="n">
        <v>1</v>
      </c>
      <c r="AC1602" t="n">
        <v>3</v>
      </c>
      <c r="AD1602" t="n">
        <v>7</v>
      </c>
      <c r="AE1602" t="n">
        <v>9</v>
      </c>
      <c r="AF1602" t="n">
        <v>1</v>
      </c>
      <c r="AG1602" t="n">
        <v>3</v>
      </c>
      <c r="AH1602" t="n">
        <v>87</v>
      </c>
      <c r="AI1602" t="n">
        <v>72</v>
      </c>
      <c r="AJ1602" t="n">
        <v>22</v>
      </c>
      <c r="AK1602" t="n">
        <v>13</v>
      </c>
      <c r="AL1602" t="n">
        <v>0</v>
      </c>
      <c r="AM1602" t="n">
        <v>7</v>
      </c>
      <c r="AN1602" t="n">
        <v>0</v>
      </c>
      <c r="AO1602" t="n">
        <v>0</v>
      </c>
      <c r="AP1602" t="n">
        <v>3</v>
      </c>
      <c r="AQ1602" t="n">
        <v>24</v>
      </c>
      <c r="AR1602" t="n">
        <v>168</v>
      </c>
      <c r="AS1602" t="n">
        <v>140</v>
      </c>
      <c r="AT1602" t="n">
        <v>1</v>
      </c>
      <c r="AU1602" t="n">
        <v>1</v>
      </c>
      <c r="AV1602" t="n">
        <v>-4</v>
      </c>
      <c r="AW1602" t="n">
        <v>2</v>
      </c>
      <c r="AX1602" t="n">
        <v>4</v>
      </c>
      <c r="AY1602" t="n">
        <v>9</v>
      </c>
      <c r="AZ1602" t="n">
        <v>0</v>
      </c>
      <c r="BA1602" t="n">
        <v>1</v>
      </c>
      <c r="BB1602" t="n">
        <v>104</v>
      </c>
      <c r="BC1602" t="n">
        <v>2</v>
      </c>
      <c r="BD1602" t="n">
        <v>116</v>
      </c>
      <c r="BE1602" t="n">
        <v>5</v>
      </c>
      <c r="BF1602" t="n">
        <v>18</v>
      </c>
      <c r="BG1602" t="n">
        <v>4</v>
      </c>
      <c r="BH1602" t="n">
        <v>7</v>
      </c>
      <c r="BI1602" t="n">
        <v>37</v>
      </c>
      <c r="BJ1602" t="n">
        <v>38</v>
      </c>
      <c r="BK1602" t="n">
        <v>0</v>
      </c>
      <c r="BL1602" t="n">
        <v>1</v>
      </c>
      <c r="BM1602" t="n">
        <v>19</v>
      </c>
      <c r="BN1602" t="n">
        <v>11</v>
      </c>
      <c r="BO1602" t="n">
        <v>47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164</v>
      </c>
      <c r="Z1603" t="n">
        <v>192</v>
      </c>
      <c r="AA1603" t="n">
        <v>58</v>
      </c>
      <c r="AB1603" t="n">
        <v>0</v>
      </c>
      <c r="AC1603" t="n">
        <v>0</v>
      </c>
      <c r="AD1603" t="n">
        <v>1</v>
      </c>
      <c r="AE1603" t="n">
        <v>3</v>
      </c>
      <c r="AF1603" t="n">
        <v>3</v>
      </c>
      <c r="AG1603" t="n">
        <v>6</v>
      </c>
      <c r="AH1603" t="n">
        <v>18</v>
      </c>
      <c r="AI1603" t="n">
        <v>34</v>
      </c>
      <c r="AJ1603" t="n">
        <v>29</v>
      </c>
      <c r="AK1603" t="n">
        <v>66</v>
      </c>
      <c r="AL1603" t="n">
        <v>4</v>
      </c>
      <c r="AM1603" t="n">
        <v>35</v>
      </c>
      <c r="AN1603" t="n">
        <v>1</v>
      </c>
      <c r="AO1603" t="n">
        <v>0</v>
      </c>
      <c r="AP1603" t="n">
        <v>6</v>
      </c>
      <c r="AQ1603" t="n">
        <v>44</v>
      </c>
      <c r="AR1603" t="n">
        <v>113</v>
      </c>
      <c r="AS1603" t="n">
        <v>76</v>
      </c>
      <c r="AT1603" t="n">
        <v>0</v>
      </c>
      <c r="AU1603" t="n">
        <v>2</v>
      </c>
      <c r="AV1603" t="n">
        <v>1</v>
      </c>
      <c r="AW1603" t="n">
        <v>27</v>
      </c>
      <c r="AX1603" t="n">
        <v>15</v>
      </c>
      <c r="AY1603" t="n">
        <v>41</v>
      </c>
      <c r="AZ1603" t="n">
        <v>5</v>
      </c>
      <c r="BA1603" t="n">
        <v>47</v>
      </c>
      <c r="BB1603" t="n">
        <v>106</v>
      </c>
      <c r="BC1603" t="n">
        <v>32</v>
      </c>
      <c r="BD1603" t="n">
        <v>25</v>
      </c>
      <c r="BE1603" t="n">
        <v>32</v>
      </c>
      <c r="BF1603" t="n">
        <v>40</v>
      </c>
      <c r="BG1603" t="n">
        <v>1</v>
      </c>
      <c r="BH1603" t="n">
        <v>3</v>
      </c>
      <c r="BI1603" t="n">
        <v>1</v>
      </c>
      <c r="BJ1603" t="n">
        <v>15</v>
      </c>
      <c r="BK1603" t="n">
        <v>0</v>
      </c>
      <c r="BL1603" t="n">
        <v>11</v>
      </c>
      <c r="BM1603" t="n">
        <v>21</v>
      </c>
      <c r="BN1603" t="n">
        <v>9</v>
      </c>
      <c r="BO1603" t="n">
        <v>58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1</v>
      </c>
      <c r="V1604" t="n">
        <v>0</v>
      </c>
      <c r="W1604" t="n">
        <v>0</v>
      </c>
      <c r="X1604" t="n">
        <v>0</v>
      </c>
      <c r="Y1604" t="n">
        <v>320</v>
      </c>
      <c r="Z1604" t="n">
        <v>193</v>
      </c>
      <c r="AA1604" t="n">
        <v>71</v>
      </c>
      <c r="AB1604" t="n">
        <v>0</v>
      </c>
      <c r="AC1604" t="n">
        <v>1</v>
      </c>
      <c r="AD1604" t="n">
        <v>4</v>
      </c>
      <c r="AE1604" t="n">
        <v>9</v>
      </c>
      <c r="AF1604" t="n">
        <v>4</v>
      </c>
      <c r="AG1604" t="n">
        <v>1</v>
      </c>
      <c r="AH1604" t="n">
        <v>97</v>
      </c>
      <c r="AI1604" t="n">
        <v>111</v>
      </c>
      <c r="AJ1604" t="n">
        <v>83</v>
      </c>
      <c r="AK1604" t="n">
        <v>1</v>
      </c>
      <c r="AL1604" t="n">
        <v>3</v>
      </c>
      <c r="AM1604" t="n">
        <v>2</v>
      </c>
      <c r="AN1604" t="n">
        <v>0</v>
      </c>
      <c r="AO1604" t="n">
        <v>0</v>
      </c>
      <c r="AP1604" t="n">
        <v>4</v>
      </c>
      <c r="AQ1604" t="n">
        <v>24</v>
      </c>
      <c r="AR1604" t="n">
        <v>56</v>
      </c>
      <c r="AS1604" t="n">
        <v>36</v>
      </c>
      <c r="AT1604" t="n">
        <v>5</v>
      </c>
      <c r="AU1604" t="n">
        <v>1</v>
      </c>
      <c r="AV1604" t="n">
        <v>39</v>
      </c>
      <c r="AW1604" t="n">
        <v>12</v>
      </c>
      <c r="AX1604" t="n">
        <v>3</v>
      </c>
      <c r="AY1604" t="n">
        <v>14</v>
      </c>
      <c r="AZ1604" t="n">
        <v>3</v>
      </c>
      <c r="BA1604" t="n">
        <v>12</v>
      </c>
      <c r="BB1604" t="n">
        <v>80</v>
      </c>
      <c r="BC1604" t="n">
        <v>5</v>
      </c>
      <c r="BD1604" t="n">
        <v>116</v>
      </c>
      <c r="BE1604" t="n">
        <v>15</v>
      </c>
      <c r="BF1604" t="n">
        <v>75</v>
      </c>
      <c r="BG1604" t="n">
        <v>0</v>
      </c>
      <c r="BH1604" t="n">
        <v>9</v>
      </c>
      <c r="BI1604" t="n">
        <v>40</v>
      </c>
      <c r="BJ1604" t="n">
        <v>49</v>
      </c>
      <c r="BK1604" t="n">
        <v>6</v>
      </c>
      <c r="BL1604" t="n">
        <v>43</v>
      </c>
      <c r="BM1604" t="n">
        <v>32</v>
      </c>
      <c r="BN1604" t="n">
        <v>3</v>
      </c>
      <c r="BO1604" t="n">
        <v>32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2</v>
      </c>
      <c r="T1605" t="n">
        <v>0</v>
      </c>
      <c r="U1605" t="n">
        <v>0</v>
      </c>
      <c r="V1605" t="n">
        <v>1</v>
      </c>
      <c r="W1605" t="n">
        <v>0</v>
      </c>
      <c r="X1605" t="n">
        <v>2</v>
      </c>
      <c r="Y1605" t="n">
        <v>213</v>
      </c>
      <c r="Z1605" t="n">
        <v>282</v>
      </c>
      <c r="AA1605" t="n">
        <v>21</v>
      </c>
      <c r="AB1605" t="n">
        <v>3</v>
      </c>
      <c r="AC1605" t="n">
        <v>1</v>
      </c>
      <c r="AD1605" t="n">
        <v>3</v>
      </c>
      <c r="AE1605" t="n">
        <v>7</v>
      </c>
      <c r="AF1605" t="n">
        <v>10</v>
      </c>
      <c r="AG1605" t="n">
        <v>3</v>
      </c>
      <c r="AH1605" t="n">
        <v>17</v>
      </c>
      <c r="AI1605" t="n">
        <v>116</v>
      </c>
      <c r="AJ1605" t="n">
        <v>125</v>
      </c>
      <c r="AK1605" t="n">
        <v>47</v>
      </c>
      <c r="AL1605" t="n">
        <v>1</v>
      </c>
      <c r="AM1605" t="n">
        <v>54</v>
      </c>
      <c r="AN1605" t="n">
        <v>0</v>
      </c>
      <c r="AO1605" t="n">
        <v>0</v>
      </c>
      <c r="AP1605" t="n">
        <v>4</v>
      </c>
      <c r="AQ1605" t="n">
        <v>24</v>
      </c>
      <c r="AR1605" t="n">
        <v>61</v>
      </c>
      <c r="AS1605" t="n">
        <v>40</v>
      </c>
      <c r="AT1605" t="n">
        <v>5</v>
      </c>
      <c r="AU1605" t="n">
        <v>1</v>
      </c>
      <c r="AV1605" t="n">
        <v>38</v>
      </c>
      <c r="AW1605" t="n">
        <v>18</v>
      </c>
      <c r="AX1605" t="n">
        <v>1</v>
      </c>
      <c r="AY1605" t="n">
        <v>32</v>
      </c>
      <c r="AZ1605" t="n">
        <v>1</v>
      </c>
      <c r="BA1605" t="n">
        <v>1</v>
      </c>
      <c r="BB1605" t="n">
        <v>21</v>
      </c>
      <c r="BC1605" t="n">
        <v>71</v>
      </c>
      <c r="BD1605" t="n">
        <v>38</v>
      </c>
      <c r="BE1605" t="n">
        <v>18</v>
      </c>
      <c r="BF1605" t="n">
        <v>102</v>
      </c>
      <c r="BG1605" t="n">
        <v>0</v>
      </c>
      <c r="BH1605" t="n">
        <v>0</v>
      </c>
      <c r="BI1605" t="n">
        <v>1</v>
      </c>
      <c r="BJ1605" t="n">
        <v>4</v>
      </c>
      <c r="BK1605" t="n">
        <v>7</v>
      </c>
      <c r="BL1605" t="n">
        <v>37</v>
      </c>
      <c r="BM1605" t="n">
        <v>44</v>
      </c>
      <c r="BN1605" t="n">
        <v>14</v>
      </c>
      <c r="BO1605" t="n">
        <v>-5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3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147</v>
      </c>
      <c r="Z1606" t="n">
        <v>154</v>
      </c>
      <c r="AA1606" t="n">
        <v>95</v>
      </c>
      <c r="AB1606" t="n">
        <v>1</v>
      </c>
      <c r="AC1606" t="n">
        <v>0</v>
      </c>
      <c r="AD1606" t="n">
        <v>3</v>
      </c>
      <c r="AE1606" t="n">
        <v>5</v>
      </c>
      <c r="AF1606" t="n">
        <v>2</v>
      </c>
      <c r="AG1606" t="n">
        <v>1</v>
      </c>
      <c r="AH1606" t="n">
        <v>22</v>
      </c>
      <c r="AI1606" t="n">
        <v>21</v>
      </c>
      <c r="AJ1606" t="n">
        <v>12</v>
      </c>
      <c r="AK1606" t="n">
        <v>1</v>
      </c>
      <c r="AL1606" t="n">
        <v>7</v>
      </c>
      <c r="AM1606" t="n">
        <v>48</v>
      </c>
      <c r="AN1606" t="n">
        <v>0</v>
      </c>
      <c r="AO1606" t="n">
        <v>0</v>
      </c>
      <c r="AP1606" t="n">
        <v>3</v>
      </c>
      <c r="AQ1606" t="n">
        <v>27</v>
      </c>
      <c r="AR1606" t="n">
        <v>61</v>
      </c>
      <c r="AS1606" t="n">
        <v>38</v>
      </c>
      <c r="AT1606" t="n">
        <v>2</v>
      </c>
      <c r="AU1606" t="n">
        <v>3</v>
      </c>
      <c r="AV1606" t="n">
        <v>1</v>
      </c>
      <c r="AW1606" t="n">
        <v>23</v>
      </c>
      <c r="AX1606" t="n">
        <v>13</v>
      </c>
      <c r="AY1606" t="n">
        <v>50</v>
      </c>
      <c r="AZ1606" t="n">
        <v>2</v>
      </c>
      <c r="BA1606" t="n">
        <v>9</v>
      </c>
      <c r="BB1606" t="n">
        <v>99</v>
      </c>
      <c r="BC1606" t="n">
        <v>59</v>
      </c>
      <c r="BD1606" t="n">
        <v>19</v>
      </c>
      <c r="BE1606" t="n">
        <v>26</v>
      </c>
      <c r="BF1606" t="n">
        <v>9</v>
      </c>
      <c r="BG1606" t="n">
        <v>0</v>
      </c>
      <c r="BH1606" t="n">
        <v>3</v>
      </c>
      <c r="BI1606" t="n">
        <v>17</v>
      </c>
      <c r="BJ1606" t="n">
        <v>14</v>
      </c>
      <c r="BK1606" t="n">
        <v>1</v>
      </c>
      <c r="BL1606" t="n">
        <v>9</v>
      </c>
      <c r="BM1606" t="n">
        <v>6</v>
      </c>
      <c r="BN1606" t="n">
        <v>1</v>
      </c>
      <c r="BO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1</v>
      </c>
      <c r="J1607" t="n">
        <v>0</v>
      </c>
      <c r="K1607" t="n">
        <v>0</v>
      </c>
      <c r="L1607" t="n">
        <v>2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242</v>
      </c>
      <c r="Z1607" t="n">
        <v>175</v>
      </c>
      <c r="AA1607" t="n">
        <v>16</v>
      </c>
      <c r="AB1607" t="n">
        <v>2</v>
      </c>
      <c r="AC1607" t="n">
        <v>2</v>
      </c>
      <c r="AD1607" t="n">
        <v>3</v>
      </c>
      <c r="AE1607" t="n">
        <v>1</v>
      </c>
      <c r="AF1607" t="n">
        <v>2</v>
      </c>
      <c r="AG1607" t="n">
        <v>6</v>
      </c>
      <c r="AH1607" t="n">
        <v>44</v>
      </c>
      <c r="AI1607" t="n">
        <v>24</v>
      </c>
      <c r="AJ1607" t="n">
        <v>9</v>
      </c>
      <c r="AK1607" t="n">
        <v>24</v>
      </c>
      <c r="AL1607" t="n">
        <v>5</v>
      </c>
      <c r="AM1607" t="n">
        <v>16</v>
      </c>
      <c r="AN1607" t="n">
        <v>0</v>
      </c>
      <c r="AO1607" t="n">
        <v>0</v>
      </c>
      <c r="AP1607" t="n">
        <v>6</v>
      </c>
      <c r="AQ1607" t="n">
        <v>96</v>
      </c>
      <c r="AR1607" t="n">
        <v>146</v>
      </c>
      <c r="AS1607" t="n">
        <v>67</v>
      </c>
      <c r="AT1607" t="n">
        <v>1</v>
      </c>
      <c r="AU1607" t="n">
        <v>3</v>
      </c>
      <c r="AV1607" t="n">
        <v>25</v>
      </c>
      <c r="AW1607" t="n">
        <v>38</v>
      </c>
      <c r="AX1607" t="n">
        <v>0</v>
      </c>
      <c r="AY1607" t="n">
        <v>8</v>
      </c>
      <c r="AZ1607" t="n">
        <v>1</v>
      </c>
      <c r="BA1607" t="n">
        <v>1</v>
      </c>
      <c r="BB1607" t="n">
        <v>16</v>
      </c>
      <c r="BC1607" t="n">
        <v>13</v>
      </c>
      <c r="BD1607" t="n">
        <v>39</v>
      </c>
      <c r="BE1607" t="n">
        <v>40</v>
      </c>
      <c r="BF1607" t="n">
        <v>8</v>
      </c>
      <c r="BG1607" t="n">
        <v>3</v>
      </c>
      <c r="BH1607" t="n">
        <v>9</v>
      </c>
      <c r="BI1607" t="n">
        <v>76</v>
      </c>
      <c r="BJ1607" t="n">
        <v>69</v>
      </c>
      <c r="BK1607" t="n">
        <v>0</v>
      </c>
      <c r="BL1607" t="n">
        <v>1</v>
      </c>
      <c r="BM1607" t="n">
        <v>6</v>
      </c>
      <c r="BN1607" t="n">
        <v>3</v>
      </c>
      <c r="BO1607" t="n">
        <v>2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382</v>
      </c>
      <c r="Z1608" t="n">
        <v>198</v>
      </c>
      <c r="AA1608" t="n">
        <v>45</v>
      </c>
      <c r="AB1608" t="n">
        <v>0</v>
      </c>
      <c r="AC1608" t="n">
        <v>0</v>
      </c>
      <c r="AD1608" t="n">
        <v>6</v>
      </c>
      <c r="AE1608" t="n">
        <v>1</v>
      </c>
      <c r="AF1608" t="n">
        <v>8</v>
      </c>
      <c r="AG1608" t="n">
        <v>1</v>
      </c>
      <c r="AH1608" t="n">
        <v>156</v>
      </c>
      <c r="AI1608" t="n">
        <v>33</v>
      </c>
      <c r="AJ1608" t="n">
        <v>73</v>
      </c>
      <c r="AK1608" t="n">
        <v>18</v>
      </c>
      <c r="AL1608" t="n">
        <v>3</v>
      </c>
      <c r="AM1608" t="n">
        <v>57</v>
      </c>
      <c r="AN1608" t="n">
        <v>0</v>
      </c>
      <c r="AO1608" t="n">
        <v>0</v>
      </c>
      <c r="AP1608" t="n">
        <v>1</v>
      </c>
      <c r="AQ1608" t="n">
        <v>-3</v>
      </c>
      <c r="AR1608" t="n">
        <v>94</v>
      </c>
      <c r="AS1608" t="n">
        <v>90</v>
      </c>
      <c r="AT1608" t="n">
        <v>1</v>
      </c>
      <c r="AU1608" t="n">
        <v>0</v>
      </c>
      <c r="AV1608" t="n">
        <v>37</v>
      </c>
      <c r="AW1608" t="n">
        <v>1</v>
      </c>
      <c r="AX1608" t="n">
        <v>3</v>
      </c>
      <c r="AY1608" t="n">
        <v>1</v>
      </c>
      <c r="AZ1608" t="n">
        <v>3</v>
      </c>
      <c r="BA1608" t="n">
        <v>33</v>
      </c>
      <c r="BB1608" t="n">
        <v>77</v>
      </c>
      <c r="BC1608" t="n">
        <v>47</v>
      </c>
      <c r="BD1608" t="n">
        <v>136</v>
      </c>
      <c r="BE1608" t="n">
        <v>1</v>
      </c>
      <c r="BF1608" t="n">
        <v>58</v>
      </c>
      <c r="BG1608" t="n">
        <v>3</v>
      </c>
      <c r="BH1608" t="n">
        <v>10</v>
      </c>
      <c r="BI1608" t="n">
        <v>54</v>
      </c>
      <c r="BJ1608" t="n">
        <v>54</v>
      </c>
      <c r="BK1608" t="n">
        <v>3</v>
      </c>
      <c r="BL1608" t="n">
        <v>14</v>
      </c>
      <c r="BM1608" t="n">
        <v>9</v>
      </c>
      <c r="BN1608" t="n">
        <v>1</v>
      </c>
      <c r="BO1608" t="n">
        <v>21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2</v>
      </c>
      <c r="U1609" t="n">
        <v>0</v>
      </c>
      <c r="V1609" t="n">
        <v>0</v>
      </c>
      <c r="W1609" t="n">
        <v>0</v>
      </c>
      <c r="X1609" t="n">
        <v>0</v>
      </c>
      <c r="Y1609" t="n">
        <v>233</v>
      </c>
      <c r="Z1609" t="n">
        <v>172</v>
      </c>
      <c r="AA1609" t="n">
        <v>67</v>
      </c>
      <c r="AB1609" t="n">
        <v>1</v>
      </c>
      <c r="AC1609" t="n">
        <v>2</v>
      </c>
      <c r="AD1609" t="n">
        <v>3</v>
      </c>
      <c r="AE1609" t="n">
        <v>5</v>
      </c>
      <c r="AF1609" t="n">
        <v>3</v>
      </c>
      <c r="AG1609" t="n">
        <v>12</v>
      </c>
      <c r="AH1609" t="n">
        <v>11</v>
      </c>
      <c r="AI1609" t="n">
        <v>16</v>
      </c>
      <c r="AJ1609" t="n">
        <v>9</v>
      </c>
      <c r="AK1609" t="n">
        <v>149</v>
      </c>
      <c r="AL1609" t="n">
        <v>3</v>
      </c>
      <c r="AM1609" t="n">
        <v>40</v>
      </c>
      <c r="AN1609" t="n">
        <v>1</v>
      </c>
      <c r="AO1609" t="n">
        <v>0</v>
      </c>
      <c r="AP1609" t="n">
        <v>4</v>
      </c>
      <c r="AQ1609" t="n">
        <v>62</v>
      </c>
      <c r="AR1609" t="n">
        <v>87</v>
      </c>
      <c r="AS1609" t="n">
        <v>33</v>
      </c>
      <c r="AT1609" t="n">
        <v>1</v>
      </c>
      <c r="AU1609" t="n">
        <v>0</v>
      </c>
      <c r="AV1609" t="n">
        <v>5</v>
      </c>
      <c r="AW1609" t="n">
        <v>13</v>
      </c>
      <c r="AX1609" t="n">
        <v>0</v>
      </c>
      <c r="AY1609" t="n">
        <v>36</v>
      </c>
      <c r="AZ1609" t="n">
        <v>2</v>
      </c>
      <c r="BA1609" t="n">
        <v>30</v>
      </c>
      <c r="BB1609" t="n">
        <v>95</v>
      </c>
      <c r="BC1609" t="n">
        <v>50</v>
      </c>
      <c r="BD1609" t="n">
        <v>8</v>
      </c>
      <c r="BE1609" t="n">
        <v>14</v>
      </c>
      <c r="BF1609" t="n">
        <v>6</v>
      </c>
      <c r="BG1609" t="n">
        <v>2</v>
      </c>
      <c r="BH1609" t="n">
        <v>13</v>
      </c>
      <c r="BI1609" t="n">
        <v>32</v>
      </c>
      <c r="BJ1609" t="n">
        <v>28</v>
      </c>
      <c r="BK1609" t="n">
        <v>3</v>
      </c>
      <c r="BL1609" t="n">
        <v>8</v>
      </c>
      <c r="BM1609" t="n">
        <v>33</v>
      </c>
      <c r="BN1609" t="n">
        <v>18</v>
      </c>
      <c r="BO1609" t="n">
        <v>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1</v>
      </c>
      <c r="V1610" t="n">
        <v>0</v>
      </c>
      <c r="W1610" t="n">
        <v>2</v>
      </c>
      <c r="X1610" t="n">
        <v>0</v>
      </c>
      <c r="Y1610" t="n">
        <v>87</v>
      </c>
      <c r="Z1610" t="n">
        <v>180</v>
      </c>
      <c r="AA1610" t="n">
        <v>7</v>
      </c>
      <c r="AB1610" t="n">
        <v>3</v>
      </c>
      <c r="AC1610" t="n">
        <v>0</v>
      </c>
      <c r="AD1610" t="n">
        <v>1</v>
      </c>
      <c r="AE1610" t="n">
        <v>8</v>
      </c>
      <c r="AF1610" t="n">
        <v>2</v>
      </c>
      <c r="AG1610" t="n">
        <v>3</v>
      </c>
      <c r="AH1610" t="n">
        <v>2</v>
      </c>
      <c r="AI1610" t="n">
        <v>91</v>
      </c>
      <c r="AJ1610" t="n">
        <v>21</v>
      </c>
      <c r="AK1610" t="n">
        <v>57</v>
      </c>
      <c r="AL1610" t="n">
        <v>2</v>
      </c>
      <c r="AM1610" t="n">
        <v>10</v>
      </c>
      <c r="AN1610" t="n">
        <v>0</v>
      </c>
      <c r="AO1610" t="n">
        <v>0</v>
      </c>
      <c r="AP1610" t="n">
        <v>3</v>
      </c>
      <c r="AQ1610" t="n">
        <v>1</v>
      </c>
      <c r="AR1610" t="n">
        <v>57</v>
      </c>
      <c r="AS1610" t="n">
        <v>51</v>
      </c>
      <c r="AT1610" t="n">
        <v>0</v>
      </c>
      <c r="AU1610" t="n">
        <v>1</v>
      </c>
      <c r="AV1610" t="n">
        <v>1</v>
      </c>
      <c r="AW1610" t="n">
        <v>3</v>
      </c>
      <c r="AX1610" t="n">
        <v>0</v>
      </c>
      <c r="AY1610" t="n">
        <v>7</v>
      </c>
      <c r="AZ1610" t="n">
        <v>1</v>
      </c>
      <c r="BA1610" t="n">
        <v>3</v>
      </c>
      <c r="BB1610" t="n">
        <v>8</v>
      </c>
      <c r="BC1610" t="n">
        <v>7</v>
      </c>
      <c r="BD1610" t="n">
        <v>5</v>
      </c>
      <c r="BE1610" t="n">
        <v>0</v>
      </c>
      <c r="BF1610" t="n">
        <v>17</v>
      </c>
      <c r="BG1610" t="n">
        <v>1</v>
      </c>
      <c r="BH1610" t="n">
        <v>5</v>
      </c>
      <c r="BI1610" t="n">
        <v>20</v>
      </c>
      <c r="BJ1610" t="n">
        <v>41</v>
      </c>
      <c r="BK1610" t="n">
        <v>0</v>
      </c>
      <c r="BL1610" t="n">
        <v>1</v>
      </c>
      <c r="BM1610" t="n">
        <v>42</v>
      </c>
      <c r="BN1610" t="n">
        <v>26</v>
      </c>
      <c r="BO1610" t="n">
        <v>9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2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162</v>
      </c>
      <c r="Z1611" t="n">
        <v>173</v>
      </c>
      <c r="AA1611" t="n">
        <v>43</v>
      </c>
      <c r="AB1611" t="n">
        <v>3</v>
      </c>
      <c r="AC1611" t="n">
        <v>1</v>
      </c>
      <c r="AD1611" t="n">
        <v>3</v>
      </c>
      <c r="AE1611" t="n">
        <v>1</v>
      </c>
      <c r="AF1611" t="n">
        <v>0</v>
      </c>
      <c r="AG1611" t="n">
        <v>5</v>
      </c>
      <c r="AH1611" t="n">
        <v>68</v>
      </c>
      <c r="AI1611" t="n">
        <v>27</v>
      </c>
      <c r="AJ1611" t="n">
        <v>15</v>
      </c>
      <c r="AK1611" t="n">
        <v>45</v>
      </c>
      <c r="AL1611" t="n">
        <v>1</v>
      </c>
      <c r="AM1611" t="n">
        <v>18</v>
      </c>
      <c r="AN1611" t="n">
        <v>1</v>
      </c>
      <c r="AO1611" t="n">
        <v>0</v>
      </c>
      <c r="AP1611" t="n">
        <v>3</v>
      </c>
      <c r="AQ1611" t="n">
        <v>27</v>
      </c>
      <c r="AR1611" t="n">
        <v>109</v>
      </c>
      <c r="AS1611" t="n">
        <v>85</v>
      </c>
      <c r="AT1611" t="n">
        <v>1</v>
      </c>
      <c r="AU1611" t="n">
        <v>0</v>
      </c>
      <c r="AV1611" t="n">
        <v>1</v>
      </c>
      <c r="AW1611" t="n">
        <v>31</v>
      </c>
      <c r="AX1611" t="n">
        <v>1</v>
      </c>
      <c r="AY1611" t="n">
        <v>23</v>
      </c>
      <c r="AZ1611" t="n">
        <v>1</v>
      </c>
      <c r="BA1611" t="n">
        <v>10</v>
      </c>
      <c r="BB1611" t="n">
        <v>51</v>
      </c>
      <c r="BC1611" t="n">
        <v>45</v>
      </c>
      <c r="BD1611" t="n">
        <v>62</v>
      </c>
      <c r="BE1611" t="n">
        <v>45</v>
      </c>
      <c r="BF1611" t="n">
        <v>18</v>
      </c>
      <c r="BG1611" t="n">
        <v>4</v>
      </c>
      <c r="BH1611" t="n">
        <v>2</v>
      </c>
      <c r="BI1611" t="n">
        <v>47</v>
      </c>
      <c r="BJ1611" t="n">
        <v>43</v>
      </c>
      <c r="BK1611" t="n">
        <v>1</v>
      </c>
      <c r="BL1611" t="n">
        <v>14</v>
      </c>
      <c r="BM1611" t="n">
        <v>10</v>
      </c>
      <c r="BN1611" t="n">
        <v>0</v>
      </c>
      <c r="BO1611" t="n">
        <v>86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3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241</v>
      </c>
      <c r="Z1612" t="n">
        <v>197</v>
      </c>
      <c r="AA1612" t="n">
        <v>119</v>
      </c>
      <c r="AB1612" t="n">
        <v>2</v>
      </c>
      <c r="AC1612" t="n">
        <v>0</v>
      </c>
      <c r="AD1612" t="n">
        <v>4</v>
      </c>
      <c r="AE1612" t="n">
        <v>5</v>
      </c>
      <c r="AF1612" t="n">
        <v>9</v>
      </c>
      <c r="AG1612" t="n">
        <v>3</v>
      </c>
      <c r="AH1612" t="n">
        <v>14</v>
      </c>
      <c r="AI1612" t="n">
        <v>45</v>
      </c>
      <c r="AJ1612" t="n">
        <v>97</v>
      </c>
      <c r="AK1612" t="n">
        <v>53</v>
      </c>
      <c r="AL1612" t="n">
        <v>2</v>
      </c>
      <c r="AM1612" t="n">
        <v>24</v>
      </c>
      <c r="AN1612" t="n">
        <v>0</v>
      </c>
      <c r="AO1612" t="n">
        <v>0</v>
      </c>
      <c r="AP1612" t="n">
        <v>4</v>
      </c>
      <c r="AQ1612" t="n">
        <v>53</v>
      </c>
      <c r="AR1612" t="n">
        <v>63</v>
      </c>
      <c r="AS1612" t="n">
        <v>19</v>
      </c>
      <c r="AT1612" t="n">
        <v>4</v>
      </c>
      <c r="AU1612" t="n">
        <v>1</v>
      </c>
      <c r="AV1612" t="n">
        <v>33</v>
      </c>
      <c r="AW1612" t="n">
        <v>-1</v>
      </c>
      <c r="AX1612" t="n">
        <v>0</v>
      </c>
      <c r="AY1612" t="n">
        <v>20</v>
      </c>
      <c r="AZ1612" t="n">
        <v>5</v>
      </c>
      <c r="BA1612" t="n">
        <v>50</v>
      </c>
      <c r="BB1612" t="n">
        <v>169</v>
      </c>
      <c r="BC1612" t="n">
        <v>20</v>
      </c>
      <c r="BD1612" t="n">
        <v>52</v>
      </c>
      <c r="BE1612" t="n">
        <v>-1</v>
      </c>
      <c r="BF1612" t="n">
        <v>80</v>
      </c>
      <c r="BG1612" t="n">
        <v>2</v>
      </c>
      <c r="BH1612" t="n">
        <v>6</v>
      </c>
      <c r="BI1612" t="n">
        <v>14</v>
      </c>
      <c r="BJ1612" t="n">
        <v>12</v>
      </c>
      <c r="BK1612" t="n">
        <v>3</v>
      </c>
      <c r="BL1612" t="n">
        <v>13</v>
      </c>
      <c r="BM1612" t="n">
        <v>12</v>
      </c>
      <c r="BN1612" t="n">
        <v>3</v>
      </c>
      <c r="BO1612" t="n">
        <v>16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209</v>
      </c>
      <c r="Z1613" t="n">
        <v>192</v>
      </c>
      <c r="AA1613" t="n">
        <v>25</v>
      </c>
      <c r="AB1613" t="n">
        <v>2</v>
      </c>
      <c r="AC1613" t="n">
        <v>0</v>
      </c>
      <c r="AD1613" t="n">
        <v>1</v>
      </c>
      <c r="AE1613" t="n">
        <v>5</v>
      </c>
      <c r="AF1613" t="n">
        <v>1</v>
      </c>
      <c r="AG1613" t="n">
        <v>9</v>
      </c>
      <c r="AH1613" t="n">
        <v>59</v>
      </c>
      <c r="AI1613" t="n">
        <v>21</v>
      </c>
      <c r="AJ1613" t="n">
        <v>2</v>
      </c>
      <c r="AK1613" t="n">
        <v>81</v>
      </c>
      <c r="AL1613" t="n">
        <v>2</v>
      </c>
      <c r="AM1613" t="n">
        <v>18</v>
      </c>
      <c r="AN1613" t="n">
        <v>0</v>
      </c>
      <c r="AO1613" t="n">
        <v>0</v>
      </c>
      <c r="AP1613" t="n">
        <v>1</v>
      </c>
      <c r="AQ1613" t="n">
        <v>19</v>
      </c>
      <c r="AR1613" t="n">
        <v>129</v>
      </c>
      <c r="AS1613" t="n">
        <v>109</v>
      </c>
      <c r="AT1613" t="n">
        <v>2</v>
      </c>
      <c r="AU1613" t="n">
        <v>3</v>
      </c>
      <c r="AV1613" t="n">
        <v>6</v>
      </c>
      <c r="AW1613" t="n">
        <v>10</v>
      </c>
      <c r="AX1613" t="n">
        <v>6</v>
      </c>
      <c r="AY1613" t="n">
        <v>5</v>
      </c>
      <c r="AZ1613" t="n">
        <v>6</v>
      </c>
      <c r="BA1613" t="n">
        <v>64</v>
      </c>
      <c r="BB1613" t="n">
        <v>99</v>
      </c>
      <c r="BC1613" t="n">
        <v>15</v>
      </c>
      <c r="BD1613" t="n">
        <v>52</v>
      </c>
      <c r="BE1613" t="n">
        <v>9</v>
      </c>
      <c r="BF1613" t="n">
        <v>4</v>
      </c>
      <c r="BG1613" t="n">
        <v>1</v>
      </c>
      <c r="BH1613" t="n">
        <v>9</v>
      </c>
      <c r="BI1613" t="n">
        <v>28</v>
      </c>
      <c r="BJ1613" t="n">
        <v>26</v>
      </c>
      <c r="BK1613" t="n">
        <v>6</v>
      </c>
      <c r="BL1613" t="n">
        <v>88</v>
      </c>
      <c r="BM1613" t="n">
        <v>64</v>
      </c>
      <c r="BN1613" t="n">
        <v>4</v>
      </c>
      <c r="BO1613" t="n">
        <v>2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204</v>
      </c>
      <c r="Z1614" t="n">
        <v>124</v>
      </c>
      <c r="AA1614" t="n">
        <v>69</v>
      </c>
      <c r="AB1614" t="n">
        <v>2</v>
      </c>
      <c r="AC1614" t="n">
        <v>1</v>
      </c>
      <c r="AD1614" t="n">
        <v>3</v>
      </c>
      <c r="AE1614" t="n">
        <v>3</v>
      </c>
      <c r="AF1614" t="n">
        <v>3</v>
      </c>
      <c r="AG1614" t="n">
        <v>8</v>
      </c>
      <c r="AH1614" t="n">
        <v>57</v>
      </c>
      <c r="AI1614" t="n">
        <v>27</v>
      </c>
      <c r="AJ1614" t="n">
        <v>21</v>
      </c>
      <c r="AK1614" t="n">
        <v>50</v>
      </c>
      <c r="AL1614" t="n">
        <v>2</v>
      </c>
      <c r="AM1614" t="n">
        <v>39</v>
      </c>
      <c r="AN1614" t="n">
        <v>0</v>
      </c>
      <c r="AO1614" t="n">
        <v>0</v>
      </c>
      <c r="AP1614" t="n">
        <v>3</v>
      </c>
      <c r="AQ1614" t="n">
        <v>1</v>
      </c>
      <c r="AR1614" t="n">
        <v>55</v>
      </c>
      <c r="AS1614" t="n">
        <v>50</v>
      </c>
      <c r="AT1614" t="n">
        <v>4</v>
      </c>
      <c r="AU1614" t="n">
        <v>0</v>
      </c>
      <c r="AV1614" t="n">
        <v>52</v>
      </c>
      <c r="AW1614" t="n">
        <v>1</v>
      </c>
      <c r="AX1614" t="n">
        <v>1</v>
      </c>
      <c r="AY1614" t="n">
        <v>118</v>
      </c>
      <c r="AZ1614" t="n">
        <v>6</v>
      </c>
      <c r="BA1614" t="n">
        <v>53</v>
      </c>
      <c r="BB1614" t="n">
        <v>124</v>
      </c>
      <c r="BC1614" t="n">
        <v>34</v>
      </c>
      <c r="BD1614" t="n">
        <v>55</v>
      </c>
      <c r="BE1614" t="n">
        <v>5</v>
      </c>
      <c r="BF1614" t="n">
        <v>20</v>
      </c>
      <c r="BG1614" t="n">
        <v>1</v>
      </c>
      <c r="BH1614" t="n">
        <v>9</v>
      </c>
      <c r="BI1614" t="n">
        <v>29</v>
      </c>
      <c r="BJ1614" t="n">
        <v>45</v>
      </c>
      <c r="BK1614" t="n">
        <v>1</v>
      </c>
      <c r="BL1614" t="n">
        <v>7</v>
      </c>
      <c r="BM1614" t="n">
        <v>1</v>
      </c>
      <c r="BN1614" t="n">
        <v>0</v>
      </c>
      <c r="BO1614" t="n">
        <v>2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314</v>
      </c>
      <c r="Z1615" t="n">
        <v>272</v>
      </c>
      <c r="AA1615" t="n">
        <v>43</v>
      </c>
      <c r="AB1615" t="n">
        <v>1</v>
      </c>
      <c r="AC1615" t="n">
        <v>0</v>
      </c>
      <c r="AD1615" t="n">
        <v>2</v>
      </c>
      <c r="AE1615" t="n">
        <v>13</v>
      </c>
      <c r="AF1615" t="n">
        <v>2</v>
      </c>
      <c r="AG1615" t="n">
        <v>6</v>
      </c>
      <c r="AH1615" t="n">
        <v>33</v>
      </c>
      <c r="AI1615" t="n">
        <v>95</v>
      </c>
      <c r="AJ1615" t="n">
        <v>40</v>
      </c>
      <c r="AK1615" t="n">
        <v>105</v>
      </c>
      <c r="AL1615" t="n">
        <v>1</v>
      </c>
      <c r="AM1615" t="n">
        <v>29</v>
      </c>
      <c r="AN1615" t="n">
        <v>1</v>
      </c>
      <c r="AO1615" t="n">
        <v>0</v>
      </c>
      <c r="AP1615" t="n">
        <v>6</v>
      </c>
      <c r="AQ1615" t="n">
        <v>70</v>
      </c>
      <c r="AR1615" t="n">
        <v>77</v>
      </c>
      <c r="AS1615" t="n">
        <v>15</v>
      </c>
      <c r="AT1615" t="n">
        <v>4</v>
      </c>
      <c r="AU1615" t="n">
        <v>2</v>
      </c>
      <c r="AV1615" t="n">
        <v>23</v>
      </c>
      <c r="AW1615" t="n">
        <v>16</v>
      </c>
      <c r="AX1615" t="n">
        <v>3</v>
      </c>
      <c r="AY1615" t="n">
        <v>58</v>
      </c>
      <c r="AZ1615" t="n">
        <v>5</v>
      </c>
      <c r="BA1615" t="n">
        <v>27</v>
      </c>
      <c r="BB1615" t="n">
        <v>69</v>
      </c>
      <c r="BC1615" t="n">
        <v>24</v>
      </c>
      <c r="BD1615" t="n">
        <v>29</v>
      </c>
      <c r="BE1615" t="n">
        <v>20</v>
      </c>
      <c r="BF1615" t="n">
        <v>32</v>
      </c>
      <c r="BG1615" t="n">
        <v>5</v>
      </c>
      <c r="BH1615" t="n">
        <v>8</v>
      </c>
      <c r="BI1615" t="n">
        <v>62</v>
      </c>
      <c r="BJ1615" t="n">
        <v>57</v>
      </c>
      <c r="BK1615" t="n">
        <v>6</v>
      </c>
      <c r="BL1615" t="n">
        <v>64</v>
      </c>
      <c r="BM1615" t="n">
        <v>60</v>
      </c>
      <c r="BN1615" t="n">
        <v>12</v>
      </c>
      <c r="BO1615" t="n">
        <v>2</v>
      </c>
    </row>
    <row r="1616">
      <c r="A1616" t="n">
        <v>0</v>
      </c>
      <c r="B1616" t="n">
        <v>3</v>
      </c>
      <c r="C1616" t="n">
        <v>0</v>
      </c>
      <c r="D1616" t="n">
        <v>0</v>
      </c>
      <c r="E1616" t="n">
        <v>1</v>
      </c>
      <c r="F1616" t="n">
        <v>1</v>
      </c>
      <c r="G1616" t="n">
        <v>0</v>
      </c>
      <c r="H1616" t="n">
        <v>3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203</v>
      </c>
      <c r="Z1616" t="n">
        <v>219</v>
      </c>
      <c r="AA1616" t="n">
        <v>41</v>
      </c>
      <c r="AB1616" t="n">
        <v>2</v>
      </c>
      <c r="AC1616" t="n">
        <v>1</v>
      </c>
      <c r="AD1616" t="n">
        <v>3</v>
      </c>
      <c r="AE1616" t="n">
        <v>6</v>
      </c>
      <c r="AF1616" t="n">
        <v>7</v>
      </c>
      <c r="AG1616" t="n">
        <v>3</v>
      </c>
      <c r="AH1616" t="n">
        <v>44</v>
      </c>
      <c r="AI1616" t="n">
        <v>53</v>
      </c>
      <c r="AJ1616" t="n">
        <v>50</v>
      </c>
      <c r="AK1616" t="n">
        <v>13</v>
      </c>
      <c r="AL1616" t="n">
        <v>5</v>
      </c>
      <c r="AM1616" t="n">
        <v>57</v>
      </c>
      <c r="AN1616" t="n">
        <v>0</v>
      </c>
      <c r="AO1616" t="n">
        <v>0</v>
      </c>
      <c r="AP1616" t="n">
        <v>3</v>
      </c>
      <c r="AQ1616" t="n">
        <v>41</v>
      </c>
      <c r="AR1616" t="n">
        <v>96</v>
      </c>
      <c r="AS1616" t="n">
        <v>61</v>
      </c>
      <c r="AT1616" t="n">
        <v>0</v>
      </c>
      <c r="AU1616" t="n">
        <v>1</v>
      </c>
      <c r="AV1616" t="n">
        <v>5</v>
      </c>
      <c r="AW1616" t="n">
        <v>35</v>
      </c>
      <c r="AX1616" t="n">
        <v>5</v>
      </c>
      <c r="AY1616" t="n">
        <v>227</v>
      </c>
      <c r="AZ1616" t="n">
        <v>1</v>
      </c>
      <c r="BA1616" t="n">
        <v>12</v>
      </c>
      <c r="BB1616" t="n">
        <v>52</v>
      </c>
      <c r="BC1616" t="n">
        <v>56</v>
      </c>
      <c r="BD1616" t="n">
        <v>56</v>
      </c>
      <c r="BE1616" t="n">
        <v>34</v>
      </c>
      <c r="BF1616" t="n">
        <v>52</v>
      </c>
      <c r="BG1616" t="n">
        <v>3</v>
      </c>
      <c r="BH1616" t="n">
        <v>0</v>
      </c>
      <c r="BI1616" t="n">
        <v>42</v>
      </c>
      <c r="BJ1616" t="n">
        <v>53</v>
      </c>
      <c r="BK1616" t="n">
        <v>0</v>
      </c>
      <c r="BL1616" t="n">
        <v>1</v>
      </c>
      <c r="BM1616" t="n">
        <v>18</v>
      </c>
      <c r="BN1616" t="n">
        <v>10</v>
      </c>
      <c r="BO1616" t="n">
        <v>2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233</v>
      </c>
      <c r="Z1617" t="n">
        <v>248</v>
      </c>
      <c r="AA1617" t="n">
        <v>29</v>
      </c>
      <c r="AB1617" t="n">
        <v>0</v>
      </c>
      <c r="AC1617" t="n">
        <v>1</v>
      </c>
      <c r="AD1617" t="n">
        <v>1</v>
      </c>
      <c r="AE1617" t="n">
        <v>4</v>
      </c>
      <c r="AF1617" t="n">
        <v>5</v>
      </c>
      <c r="AG1617" t="n">
        <v>3</v>
      </c>
      <c r="AH1617" t="n">
        <v>26</v>
      </c>
      <c r="AI1617" t="n">
        <v>25</v>
      </c>
      <c r="AJ1617" t="n">
        <v>72</v>
      </c>
      <c r="AK1617" t="n">
        <v>22</v>
      </c>
      <c r="AL1617" t="n">
        <v>9</v>
      </c>
      <c r="AM1617" t="n">
        <v>114</v>
      </c>
      <c r="AN1617" t="n">
        <v>2</v>
      </c>
      <c r="AO1617" t="n">
        <v>0</v>
      </c>
      <c r="AP1617" t="n">
        <v>1</v>
      </c>
      <c r="AQ1617" t="n">
        <v>18</v>
      </c>
      <c r="AR1617" t="n">
        <v>119</v>
      </c>
      <c r="AS1617" t="n">
        <v>100</v>
      </c>
      <c r="AT1617" t="n">
        <v>10</v>
      </c>
      <c r="AU1617" t="n">
        <v>4</v>
      </c>
      <c r="AV1617" t="n">
        <v>76</v>
      </c>
      <c r="AW1617" t="n">
        <v>39</v>
      </c>
      <c r="AX1617" t="n">
        <v>4</v>
      </c>
      <c r="AY1617" t="n">
        <v>52</v>
      </c>
      <c r="AZ1617" t="n">
        <v>4</v>
      </c>
      <c r="BA1617" t="n">
        <v>5</v>
      </c>
      <c r="BB1617" t="n">
        <v>31</v>
      </c>
      <c r="BC1617" t="n">
        <v>94</v>
      </c>
      <c r="BD1617" t="n">
        <v>23</v>
      </c>
      <c r="BE1617" t="n">
        <v>39</v>
      </c>
      <c r="BF1617" t="n">
        <v>57</v>
      </c>
      <c r="BG1617" t="n">
        <v>2</v>
      </c>
      <c r="BH1617" t="n">
        <v>4</v>
      </c>
      <c r="BI1617" t="n">
        <v>41</v>
      </c>
      <c r="BJ1617" t="n">
        <v>44</v>
      </c>
      <c r="BK1617" t="n">
        <v>1</v>
      </c>
      <c r="BL1617" t="n">
        <v>31</v>
      </c>
      <c r="BM1617" t="n">
        <v>27</v>
      </c>
      <c r="BN1617" t="n">
        <v>5</v>
      </c>
      <c r="BO1617" t="n">
        <v>-7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2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3</v>
      </c>
      <c r="U1618" t="n">
        <v>0</v>
      </c>
      <c r="V1618" t="n">
        <v>0</v>
      </c>
      <c r="W1618" t="n">
        <v>0</v>
      </c>
      <c r="X1618" t="n">
        <v>0</v>
      </c>
      <c r="Y1618" t="n">
        <v>138</v>
      </c>
      <c r="Z1618" t="n">
        <v>185</v>
      </c>
      <c r="AA1618" t="n">
        <v>31</v>
      </c>
      <c r="AB1618" t="n">
        <v>0</v>
      </c>
      <c r="AC1618" t="n">
        <v>2</v>
      </c>
      <c r="AD1618" t="n">
        <v>1</v>
      </c>
      <c r="AE1618" t="n">
        <v>6</v>
      </c>
      <c r="AF1618" t="n">
        <v>3</v>
      </c>
      <c r="AG1618" t="n">
        <v>2</v>
      </c>
      <c r="AH1618" t="n">
        <v>38</v>
      </c>
      <c r="AI1618" t="n">
        <v>32</v>
      </c>
      <c r="AJ1618" t="n">
        <v>30</v>
      </c>
      <c r="AK1618" t="n">
        <v>9</v>
      </c>
      <c r="AL1618" t="n">
        <v>3</v>
      </c>
      <c r="AM1618" t="n">
        <v>80</v>
      </c>
      <c r="AN1618" t="n">
        <v>0</v>
      </c>
      <c r="AO1618" t="n">
        <v>0</v>
      </c>
      <c r="AP1618" t="n">
        <v>3</v>
      </c>
      <c r="AQ1618" t="n">
        <v>36</v>
      </c>
      <c r="AR1618" t="n">
        <v>40</v>
      </c>
      <c r="AS1618" t="n">
        <v>9</v>
      </c>
      <c r="AT1618" t="n">
        <v>0</v>
      </c>
      <c r="AU1618" t="n">
        <v>0</v>
      </c>
      <c r="AV1618" t="n">
        <v>1</v>
      </c>
      <c r="AW1618" t="n">
        <v>7</v>
      </c>
      <c r="AX1618" t="n">
        <v>1</v>
      </c>
      <c r="AY1618" t="n">
        <v>17</v>
      </c>
      <c r="AZ1618" t="n">
        <v>1</v>
      </c>
      <c r="BA1618" t="n">
        <v>1</v>
      </c>
      <c r="BB1618" t="n">
        <v>30</v>
      </c>
      <c r="BC1618" t="n">
        <v>66</v>
      </c>
      <c r="BD1618" t="n">
        <v>35</v>
      </c>
      <c r="BE1618" t="n">
        <v>7</v>
      </c>
      <c r="BF1618" t="n">
        <v>24</v>
      </c>
      <c r="BG1618" t="n">
        <v>1</v>
      </c>
      <c r="BH1618" t="n">
        <v>5</v>
      </c>
      <c r="BI1618" t="n">
        <v>7</v>
      </c>
      <c r="BJ1618" t="n">
        <v>5</v>
      </c>
      <c r="BK1618" t="n">
        <v>5</v>
      </c>
      <c r="BL1618" t="n">
        <v>33</v>
      </c>
      <c r="BM1618" t="n">
        <v>22</v>
      </c>
      <c r="BN1618" t="n">
        <v>0</v>
      </c>
      <c r="BO1618" t="n">
        <v>18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4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243</v>
      </c>
      <c r="Z1619" t="n">
        <v>181</v>
      </c>
      <c r="AA1619" t="n">
        <v>98</v>
      </c>
      <c r="AB1619" t="n">
        <v>1</v>
      </c>
      <c r="AC1619" t="n">
        <v>1</v>
      </c>
      <c r="AD1619" t="n">
        <v>6</v>
      </c>
      <c r="AE1619" t="n">
        <v>6</v>
      </c>
      <c r="AF1619" t="n">
        <v>6</v>
      </c>
      <c r="AG1619" t="n">
        <v>3</v>
      </c>
      <c r="AH1619" t="n">
        <v>44</v>
      </c>
      <c r="AI1619" t="n">
        <v>48</v>
      </c>
      <c r="AJ1619" t="n">
        <v>30</v>
      </c>
      <c r="AK1619" t="n">
        <v>84</v>
      </c>
      <c r="AL1619" t="n">
        <v>2</v>
      </c>
      <c r="AM1619" t="n">
        <v>43</v>
      </c>
      <c r="AN1619" t="n">
        <v>0</v>
      </c>
      <c r="AO1619" t="n">
        <v>0</v>
      </c>
      <c r="AP1619" t="n">
        <v>2</v>
      </c>
      <c r="AQ1619" t="n">
        <v>13</v>
      </c>
      <c r="AR1619" t="n">
        <v>114</v>
      </c>
      <c r="AS1619" t="n">
        <v>99</v>
      </c>
      <c r="AT1619" t="n">
        <v>0</v>
      </c>
      <c r="AU1619" t="n">
        <v>1</v>
      </c>
      <c r="AV1619" t="n">
        <v>8</v>
      </c>
      <c r="AW1619" t="n">
        <v>5</v>
      </c>
      <c r="AX1619" t="n">
        <v>1</v>
      </c>
      <c r="AY1619" t="n">
        <v>41</v>
      </c>
      <c r="AZ1619" t="n">
        <v>1</v>
      </c>
      <c r="BA1619" t="n">
        <v>1</v>
      </c>
      <c r="BB1619" t="n">
        <v>96</v>
      </c>
      <c r="BC1619" t="n">
        <v>36</v>
      </c>
      <c r="BD1619" t="n">
        <v>38</v>
      </c>
      <c r="BE1619" t="n">
        <v>5</v>
      </c>
      <c r="BF1619" t="n">
        <v>36</v>
      </c>
      <c r="BG1619" t="n">
        <v>2</v>
      </c>
      <c r="BH1619" t="n">
        <v>14</v>
      </c>
      <c r="BI1619" t="n">
        <v>21</v>
      </c>
      <c r="BJ1619" t="n">
        <v>19</v>
      </c>
      <c r="BK1619" t="n">
        <v>3</v>
      </c>
      <c r="BL1619" t="n">
        <v>8</v>
      </c>
      <c r="BM1619" t="n">
        <v>6</v>
      </c>
      <c r="BN1619" t="n">
        <v>1</v>
      </c>
      <c r="BO1619" t="n">
        <v>11</v>
      </c>
    </row>
    <row r="1620">
      <c r="A1620" t="n">
        <v>0</v>
      </c>
      <c r="B1620" t="n">
        <v>0</v>
      </c>
      <c r="C1620" t="n">
        <v>2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187</v>
      </c>
      <c r="Z1620" t="n">
        <v>58</v>
      </c>
      <c r="AA1620" t="n">
        <v>38</v>
      </c>
      <c r="AB1620" t="n">
        <v>2</v>
      </c>
      <c r="AC1620" t="n">
        <v>0</v>
      </c>
      <c r="AD1620" t="n">
        <v>1</v>
      </c>
      <c r="AE1620" t="n">
        <v>4</v>
      </c>
      <c r="AF1620" t="n">
        <v>6</v>
      </c>
      <c r="AG1620" t="n">
        <v>0</v>
      </c>
      <c r="AH1620" t="n">
        <v>9</v>
      </c>
      <c r="AI1620" t="n">
        <v>19</v>
      </c>
      <c r="AJ1620" t="n">
        <v>58</v>
      </c>
      <c r="AK1620" t="n">
        <v>3</v>
      </c>
      <c r="AL1620" t="n">
        <v>1</v>
      </c>
      <c r="AM1620" t="n">
        <v>2</v>
      </c>
      <c r="AN1620" t="n">
        <v>0</v>
      </c>
      <c r="AO1620" t="n">
        <v>0</v>
      </c>
      <c r="AP1620" t="n">
        <v>4</v>
      </c>
      <c r="AQ1620" t="n">
        <v>33</v>
      </c>
      <c r="AR1620" t="n">
        <v>117</v>
      </c>
      <c r="AS1620" t="n">
        <v>87</v>
      </c>
      <c r="AT1620" t="n">
        <v>1</v>
      </c>
      <c r="AU1620" t="n">
        <v>3</v>
      </c>
      <c r="AV1620" t="n">
        <v>13</v>
      </c>
      <c r="AW1620" t="n">
        <v>6</v>
      </c>
      <c r="AX1620" t="n">
        <v>0</v>
      </c>
      <c r="AY1620" t="n">
        <v>28</v>
      </c>
      <c r="AZ1620" t="n">
        <v>0</v>
      </c>
      <c r="BA1620" t="n">
        <v>2</v>
      </c>
      <c r="BB1620" t="n">
        <v>37</v>
      </c>
      <c r="BC1620" t="n">
        <v>30</v>
      </c>
      <c r="BD1620" t="n">
        <v>5</v>
      </c>
      <c r="BE1620" t="n">
        <v>6</v>
      </c>
      <c r="BF1620" t="n">
        <v>57</v>
      </c>
      <c r="BG1620" t="n">
        <v>5</v>
      </c>
      <c r="BH1620" t="n">
        <v>6</v>
      </c>
      <c r="BI1620" t="n">
        <v>72</v>
      </c>
      <c r="BJ1620" t="n">
        <v>65</v>
      </c>
      <c r="BK1620" t="n">
        <v>0</v>
      </c>
      <c r="BL1620" t="n">
        <v>10</v>
      </c>
      <c r="BM1620" t="n">
        <v>27</v>
      </c>
      <c r="BN1620" t="n">
        <v>12</v>
      </c>
      <c r="BO1620" t="n">
        <v>2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4</v>
      </c>
      <c r="U1621" t="n">
        <v>0</v>
      </c>
      <c r="V1621" t="n">
        <v>0</v>
      </c>
      <c r="W1621" t="n">
        <v>0</v>
      </c>
      <c r="X1621" t="n">
        <v>0</v>
      </c>
      <c r="Y1621" t="n">
        <v>220</v>
      </c>
      <c r="Z1621" t="n">
        <v>139</v>
      </c>
      <c r="AA1621" t="n">
        <v>115</v>
      </c>
      <c r="AB1621" t="n">
        <v>1</v>
      </c>
      <c r="AC1621" t="n">
        <v>0</v>
      </c>
      <c r="AD1621" t="n">
        <v>0</v>
      </c>
      <c r="AE1621" t="n">
        <v>2</v>
      </c>
      <c r="AF1621" t="n">
        <v>7</v>
      </c>
      <c r="AG1621" t="n">
        <v>3</v>
      </c>
      <c r="AH1621" t="n">
        <v>9</v>
      </c>
      <c r="AI1621" t="n">
        <v>20</v>
      </c>
      <c r="AJ1621" t="n">
        <v>63</v>
      </c>
      <c r="AK1621" t="n">
        <v>22</v>
      </c>
      <c r="AL1621" t="n">
        <v>6</v>
      </c>
      <c r="AM1621" t="n">
        <v>43</v>
      </c>
      <c r="AN1621" t="n">
        <v>0</v>
      </c>
      <c r="AO1621" t="n">
        <v>0</v>
      </c>
      <c r="AP1621" t="n">
        <v>3</v>
      </c>
      <c r="AQ1621" t="n">
        <v>9</v>
      </c>
      <c r="AR1621" t="n">
        <v>70</v>
      </c>
      <c r="AS1621" t="n">
        <v>61</v>
      </c>
      <c r="AT1621" t="n">
        <v>0</v>
      </c>
      <c r="AU1621" t="n">
        <v>2</v>
      </c>
      <c r="AV1621" t="n">
        <v>1</v>
      </c>
      <c r="AW1621" t="n">
        <v>5</v>
      </c>
      <c r="AX1621" t="n">
        <v>10</v>
      </c>
      <c r="AY1621" t="n">
        <v>18</v>
      </c>
      <c r="AZ1621" t="n">
        <v>0</v>
      </c>
      <c r="BA1621" t="n">
        <v>1</v>
      </c>
      <c r="BB1621" t="n">
        <v>111</v>
      </c>
      <c r="BC1621" t="n">
        <v>36</v>
      </c>
      <c r="BD1621" t="n">
        <v>11</v>
      </c>
      <c r="BE1621" t="n">
        <v>5</v>
      </c>
      <c r="BF1621" t="n">
        <v>49</v>
      </c>
      <c r="BG1621" t="n">
        <v>5</v>
      </c>
      <c r="BH1621" t="n">
        <v>13</v>
      </c>
      <c r="BI1621" t="n">
        <v>64</v>
      </c>
      <c r="BJ1621" t="n">
        <v>65</v>
      </c>
      <c r="BK1621" t="n">
        <v>6</v>
      </c>
      <c r="BL1621" t="n">
        <v>101</v>
      </c>
      <c r="BM1621" t="n">
        <v>78</v>
      </c>
      <c r="BN1621" t="n">
        <v>7</v>
      </c>
      <c r="BO1621" t="n">
        <v>9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2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332</v>
      </c>
      <c r="Z1622" t="n">
        <v>190</v>
      </c>
      <c r="AA1622" t="n">
        <v>64</v>
      </c>
      <c r="AB1622" t="n">
        <v>2</v>
      </c>
      <c r="AC1622" t="n">
        <v>3</v>
      </c>
      <c r="AD1622" t="n">
        <v>2</v>
      </c>
      <c r="AE1622" t="n">
        <v>4</v>
      </c>
      <c r="AF1622" t="n">
        <v>8</v>
      </c>
      <c r="AG1622" t="n">
        <v>5</v>
      </c>
      <c r="AH1622" t="n">
        <v>45</v>
      </c>
      <c r="AI1622" t="n">
        <v>45</v>
      </c>
      <c r="AJ1622" t="n">
        <v>158</v>
      </c>
      <c r="AK1622" t="n">
        <v>12</v>
      </c>
      <c r="AL1622" t="n">
        <v>1</v>
      </c>
      <c r="AM1622" t="n">
        <v>72</v>
      </c>
      <c r="AN1622" t="n">
        <v>0</v>
      </c>
      <c r="AO1622" t="n">
        <v>0</v>
      </c>
      <c r="AP1622" t="n">
        <v>3</v>
      </c>
      <c r="AQ1622" t="n">
        <v>30</v>
      </c>
      <c r="AR1622" t="n">
        <v>75</v>
      </c>
      <c r="AS1622" t="n">
        <v>50</v>
      </c>
      <c r="AT1622" t="n">
        <v>3</v>
      </c>
      <c r="AU1622" t="n">
        <v>0</v>
      </c>
      <c r="AV1622" t="n">
        <v>28</v>
      </c>
      <c r="AW1622" t="n">
        <v>8</v>
      </c>
      <c r="AX1622" t="n">
        <v>2</v>
      </c>
      <c r="AY1622" t="n">
        <v>51</v>
      </c>
      <c r="AZ1622" t="n">
        <v>1</v>
      </c>
      <c r="BA1622" t="n">
        <v>29</v>
      </c>
      <c r="BB1622" t="n">
        <v>92</v>
      </c>
      <c r="BC1622" t="n">
        <v>69</v>
      </c>
      <c r="BD1622" t="n">
        <v>40</v>
      </c>
      <c r="BE1622" t="n">
        <v>7</v>
      </c>
      <c r="BF1622" t="n">
        <v>129</v>
      </c>
      <c r="BG1622" t="n">
        <v>4</v>
      </c>
      <c r="BH1622" t="n">
        <v>17</v>
      </c>
      <c r="BI1622" t="n">
        <v>43</v>
      </c>
      <c r="BJ1622" t="n">
        <v>42</v>
      </c>
      <c r="BK1622" t="n">
        <v>0</v>
      </c>
      <c r="BL1622" t="n">
        <v>1</v>
      </c>
      <c r="BM1622" t="n">
        <v>1</v>
      </c>
      <c r="BN1622" t="n">
        <v>0</v>
      </c>
      <c r="BO1622" t="n">
        <v>40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128</v>
      </c>
      <c r="Z1623" t="n">
        <v>112</v>
      </c>
      <c r="AA1623" t="n">
        <v>18</v>
      </c>
      <c r="AB1623" t="n">
        <v>1</v>
      </c>
      <c r="AC1623" t="n">
        <v>0</v>
      </c>
      <c r="AD1623" t="n">
        <v>1</v>
      </c>
      <c r="AE1623" t="n">
        <v>2</v>
      </c>
      <c r="AF1623" t="n">
        <v>4</v>
      </c>
      <c r="AG1623" t="n">
        <v>3</v>
      </c>
      <c r="AH1623" t="n">
        <v>11</v>
      </c>
      <c r="AI1623" t="n">
        <v>2</v>
      </c>
      <c r="AJ1623" t="n">
        <v>27</v>
      </c>
      <c r="AK1623" t="n">
        <v>47</v>
      </c>
      <c r="AL1623" t="n">
        <v>4</v>
      </c>
      <c r="AM1623" t="n">
        <v>32</v>
      </c>
      <c r="AN1623" t="n">
        <v>0</v>
      </c>
      <c r="AO1623" t="n">
        <v>0</v>
      </c>
      <c r="AP1623" t="n">
        <v>5</v>
      </c>
      <c r="AQ1623" t="n">
        <v>23</v>
      </c>
      <c r="AR1623" t="n">
        <v>68</v>
      </c>
      <c r="AS1623" t="n">
        <v>49</v>
      </c>
      <c r="AT1623" t="n">
        <v>3</v>
      </c>
      <c r="AU1623" t="n">
        <v>1</v>
      </c>
      <c r="AV1623" t="n">
        <v>13</v>
      </c>
      <c r="AW1623" t="n">
        <v>7</v>
      </c>
      <c r="AX1623" t="n">
        <v>5</v>
      </c>
      <c r="AY1623" t="n">
        <v>107</v>
      </c>
      <c r="AZ1623" t="n">
        <v>2</v>
      </c>
      <c r="BA1623" t="n">
        <v>5</v>
      </c>
      <c r="BB1623" t="n">
        <v>22</v>
      </c>
      <c r="BC1623" t="n">
        <v>26</v>
      </c>
      <c r="BD1623" t="n">
        <v>28</v>
      </c>
      <c r="BE1623" t="n">
        <v>10</v>
      </c>
      <c r="BF1623" t="n">
        <v>33</v>
      </c>
      <c r="BG1623" t="n">
        <v>5</v>
      </c>
      <c r="BH1623" t="n">
        <v>2</v>
      </c>
      <c r="BI1623" t="n">
        <v>45</v>
      </c>
      <c r="BJ1623" t="n">
        <v>46</v>
      </c>
      <c r="BK1623" t="n">
        <v>5</v>
      </c>
      <c r="BL1623" t="n">
        <v>37</v>
      </c>
      <c r="BM1623" t="n">
        <v>25</v>
      </c>
      <c r="BN1623" t="n">
        <v>0</v>
      </c>
      <c r="BO1623" t="n">
        <v>11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2</v>
      </c>
      <c r="U1624" t="n">
        <v>0</v>
      </c>
      <c r="V1624" t="n">
        <v>0</v>
      </c>
      <c r="W1624" t="n">
        <v>1</v>
      </c>
      <c r="X1624" t="n">
        <v>0</v>
      </c>
      <c r="Y1624" t="n">
        <v>200</v>
      </c>
      <c r="Z1624" t="n">
        <v>309</v>
      </c>
      <c r="AA1624" t="n">
        <v>8</v>
      </c>
      <c r="AB1624" t="n">
        <v>1</v>
      </c>
      <c r="AC1624" t="n">
        <v>2</v>
      </c>
      <c r="AD1624" t="n">
        <v>2</v>
      </c>
      <c r="AE1624" t="n">
        <v>6</v>
      </c>
      <c r="AF1624" t="n">
        <v>7</v>
      </c>
      <c r="AG1624" t="n">
        <v>10</v>
      </c>
      <c r="AH1624" t="n">
        <v>34</v>
      </c>
      <c r="AI1624" t="n">
        <v>123</v>
      </c>
      <c r="AJ1624" t="n">
        <v>91</v>
      </c>
      <c r="AK1624" t="n">
        <v>57</v>
      </c>
      <c r="AL1624" t="n">
        <v>3</v>
      </c>
      <c r="AM1624" t="n">
        <v>11</v>
      </c>
      <c r="AN1624" t="n">
        <v>0</v>
      </c>
      <c r="AO1624" t="n">
        <v>1</v>
      </c>
      <c r="AP1624" t="n">
        <v>2</v>
      </c>
      <c r="AQ1624" t="n">
        <v>10</v>
      </c>
      <c r="AR1624" t="n">
        <v>81</v>
      </c>
      <c r="AS1624" t="n">
        <v>71</v>
      </c>
      <c r="AT1624" t="n">
        <v>4</v>
      </c>
      <c r="AU1624" t="n">
        <v>3</v>
      </c>
      <c r="AV1624" t="n">
        <v>8</v>
      </c>
      <c r="AW1624" t="n">
        <v>46</v>
      </c>
      <c r="AX1624" t="n">
        <v>0</v>
      </c>
      <c r="AY1624" t="n">
        <v>-1</v>
      </c>
      <c r="AZ1624" t="n">
        <v>4</v>
      </c>
      <c r="BA1624" t="n">
        <v>75</v>
      </c>
      <c r="BB1624" t="n">
        <v>100</v>
      </c>
      <c r="BC1624" t="n">
        <v>7</v>
      </c>
      <c r="BD1624" t="n">
        <v>30</v>
      </c>
      <c r="BE1624" t="n">
        <v>47</v>
      </c>
      <c r="BF1624" t="n">
        <v>72</v>
      </c>
      <c r="BG1624" t="n">
        <v>4</v>
      </c>
      <c r="BH1624" t="n">
        <v>2</v>
      </c>
      <c r="BI1624" t="n">
        <v>27</v>
      </c>
      <c r="BJ1624" t="n">
        <v>32</v>
      </c>
      <c r="BK1624" t="n">
        <v>2</v>
      </c>
      <c r="BL1624" t="n">
        <v>7</v>
      </c>
      <c r="BM1624" t="n">
        <v>18</v>
      </c>
      <c r="BN1624" t="n">
        <v>9</v>
      </c>
      <c r="BO1624" t="n">
        <v>21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2</v>
      </c>
      <c r="J1625" t="n">
        <v>1</v>
      </c>
      <c r="K1625" t="n">
        <v>0</v>
      </c>
      <c r="L1625" t="n">
        <v>0</v>
      </c>
      <c r="M1625" t="n">
        <v>2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172</v>
      </c>
      <c r="Z1625" t="n">
        <v>228</v>
      </c>
      <c r="AA1625" t="n">
        <v>61</v>
      </c>
      <c r="AB1625" t="n">
        <v>5</v>
      </c>
      <c r="AC1625" t="n">
        <v>2</v>
      </c>
      <c r="AD1625" t="n">
        <v>4</v>
      </c>
      <c r="AE1625" t="n">
        <v>9</v>
      </c>
      <c r="AF1625" t="n">
        <v>2</v>
      </c>
      <c r="AG1625" t="n">
        <v>2</v>
      </c>
      <c r="AH1625" t="n">
        <v>33</v>
      </c>
      <c r="AI1625" t="n">
        <v>103</v>
      </c>
      <c r="AJ1625" t="n">
        <v>-1</v>
      </c>
      <c r="AK1625" t="n">
        <v>9</v>
      </c>
      <c r="AL1625" t="n">
        <v>3</v>
      </c>
      <c r="AM1625" t="n">
        <v>33</v>
      </c>
      <c r="AN1625" t="n">
        <v>0</v>
      </c>
      <c r="AO1625" t="n">
        <v>0</v>
      </c>
      <c r="AP1625" t="n">
        <v>8</v>
      </c>
      <c r="AQ1625" t="n">
        <v>58</v>
      </c>
      <c r="AR1625" t="n">
        <v>184</v>
      </c>
      <c r="AS1625" t="n">
        <v>128</v>
      </c>
      <c r="AT1625" t="n">
        <v>3</v>
      </c>
      <c r="AU1625" t="n">
        <v>1</v>
      </c>
      <c r="AV1625" t="n">
        <v>25</v>
      </c>
      <c r="AW1625" t="n">
        <v>25</v>
      </c>
      <c r="AX1625" t="n">
        <v>1</v>
      </c>
      <c r="AY1625" t="n">
        <v>6</v>
      </c>
      <c r="AZ1625" t="n">
        <v>1</v>
      </c>
      <c r="BA1625" t="n">
        <v>16</v>
      </c>
      <c r="BB1625" t="n">
        <v>74</v>
      </c>
      <c r="BC1625" t="n">
        <v>28</v>
      </c>
      <c r="BD1625" t="n">
        <v>31</v>
      </c>
      <c r="BE1625" t="n">
        <v>24</v>
      </c>
      <c r="BF1625" t="n">
        <v>1</v>
      </c>
      <c r="BG1625" t="n">
        <v>2</v>
      </c>
      <c r="BH1625" t="n">
        <v>14</v>
      </c>
      <c r="BI1625" t="n">
        <v>31</v>
      </c>
      <c r="BJ1625" t="n">
        <v>28</v>
      </c>
      <c r="BK1625" t="n">
        <v>0</v>
      </c>
      <c r="BL1625" t="n">
        <v>1</v>
      </c>
      <c r="BM1625" t="n">
        <v>1</v>
      </c>
      <c r="BN1625" t="n">
        <v>0</v>
      </c>
      <c r="BO1625" t="n">
        <v>7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411</v>
      </c>
      <c r="Z1626" t="n">
        <v>193</v>
      </c>
      <c r="AA1626" t="n">
        <v>17</v>
      </c>
      <c r="AB1626" t="n">
        <v>1</v>
      </c>
      <c r="AC1626" t="n">
        <v>1</v>
      </c>
      <c r="AD1626" t="n">
        <v>8</v>
      </c>
      <c r="AE1626" t="n">
        <v>7</v>
      </c>
      <c r="AF1626" t="n">
        <v>7</v>
      </c>
      <c r="AG1626" t="n">
        <v>7</v>
      </c>
      <c r="AH1626" t="n">
        <v>92</v>
      </c>
      <c r="AI1626" t="n">
        <v>68</v>
      </c>
      <c r="AJ1626" t="n">
        <v>102</v>
      </c>
      <c r="AK1626" t="n">
        <v>53</v>
      </c>
      <c r="AL1626" t="n">
        <v>6</v>
      </c>
      <c r="AM1626" t="n">
        <v>77</v>
      </c>
      <c r="AN1626" t="n">
        <v>1</v>
      </c>
      <c r="AO1626" t="n">
        <v>0</v>
      </c>
      <c r="AP1626" t="n">
        <v>6</v>
      </c>
      <c r="AQ1626" t="n">
        <v>0</v>
      </c>
      <c r="AR1626" t="n">
        <v>39</v>
      </c>
      <c r="AS1626" t="n">
        <v>35</v>
      </c>
      <c r="AT1626" t="n">
        <v>1</v>
      </c>
      <c r="AU1626" t="n">
        <v>2</v>
      </c>
      <c r="AV1626" t="n">
        <v>1</v>
      </c>
      <c r="AW1626" t="n">
        <v>8</v>
      </c>
      <c r="AX1626" t="n">
        <v>0</v>
      </c>
      <c r="AY1626" t="n">
        <v>29</v>
      </c>
      <c r="AZ1626" t="n">
        <v>0</v>
      </c>
      <c r="BA1626" t="n">
        <v>1</v>
      </c>
      <c r="BB1626" t="n">
        <v>17</v>
      </c>
      <c r="BC1626" t="n">
        <v>64</v>
      </c>
      <c r="BD1626" t="n">
        <v>90</v>
      </c>
      <c r="BE1626" t="n">
        <v>13</v>
      </c>
      <c r="BF1626" t="n">
        <v>92</v>
      </c>
      <c r="BG1626" t="n">
        <v>3</v>
      </c>
      <c r="BH1626" t="n">
        <v>35</v>
      </c>
      <c r="BI1626" t="n">
        <v>61</v>
      </c>
      <c r="BJ1626" t="n">
        <v>56</v>
      </c>
      <c r="BK1626" t="n">
        <v>2</v>
      </c>
      <c r="BL1626" t="n">
        <v>1</v>
      </c>
      <c r="BM1626" t="n">
        <v>23</v>
      </c>
      <c r="BN1626" t="n">
        <v>14</v>
      </c>
      <c r="BO1626" t="n">
        <v>16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t="n">
        <v>2</v>
      </c>
      <c r="N1627" t="n">
        <v>0</v>
      </c>
      <c r="O1627" t="n">
        <v>0</v>
      </c>
      <c r="P1627" t="n">
        <v>0</v>
      </c>
      <c r="Q1627" t="n">
        <v>0</v>
      </c>
      <c r="R1627" t="n">
        <v>2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279</v>
      </c>
      <c r="Z1627" t="n">
        <v>249</v>
      </c>
      <c r="AA1627" t="n">
        <v>25</v>
      </c>
      <c r="AB1627" t="n">
        <v>3</v>
      </c>
      <c r="AC1627" t="n">
        <v>0</v>
      </c>
      <c r="AD1627" t="n">
        <v>3</v>
      </c>
      <c r="AE1627" t="n">
        <v>5</v>
      </c>
      <c r="AF1627" t="n">
        <v>6</v>
      </c>
      <c r="AG1627" t="n">
        <v>4</v>
      </c>
      <c r="AH1627" t="n">
        <v>64</v>
      </c>
      <c r="AI1627" t="n">
        <v>60</v>
      </c>
      <c r="AJ1627" t="n">
        <v>102</v>
      </c>
      <c r="AK1627" t="n">
        <v>117</v>
      </c>
      <c r="AL1627" t="n">
        <v>4</v>
      </c>
      <c r="AM1627" t="n">
        <v>118</v>
      </c>
      <c r="AN1627" t="n">
        <v>0</v>
      </c>
      <c r="AO1627" t="n">
        <v>0</v>
      </c>
      <c r="AP1627" t="n">
        <v>3</v>
      </c>
      <c r="AQ1627" t="n">
        <v>27</v>
      </c>
      <c r="AR1627" t="n">
        <v>68</v>
      </c>
      <c r="AS1627" t="n">
        <v>44</v>
      </c>
      <c r="AT1627" t="n">
        <v>2</v>
      </c>
      <c r="AU1627" t="n">
        <v>2</v>
      </c>
      <c r="AV1627" t="n">
        <v>12</v>
      </c>
      <c r="AW1627" t="n">
        <v>11</v>
      </c>
      <c r="AX1627" t="n">
        <v>0</v>
      </c>
      <c r="AY1627" t="n">
        <v>36</v>
      </c>
      <c r="AZ1627" t="n">
        <v>3</v>
      </c>
      <c r="BA1627" t="n">
        <v>10</v>
      </c>
      <c r="BB1627" t="n">
        <v>34</v>
      </c>
      <c r="BC1627" t="n">
        <v>97</v>
      </c>
      <c r="BD1627" t="n">
        <v>68</v>
      </c>
      <c r="BE1627" t="n">
        <v>21</v>
      </c>
      <c r="BF1627" t="n">
        <v>82</v>
      </c>
      <c r="BG1627" t="n">
        <v>1</v>
      </c>
      <c r="BH1627" t="n">
        <v>2</v>
      </c>
      <c r="BI1627" t="n">
        <v>1</v>
      </c>
      <c r="BJ1627" t="n">
        <v>5</v>
      </c>
      <c r="BK1627" t="n">
        <v>0</v>
      </c>
      <c r="BL1627" t="n">
        <v>1</v>
      </c>
      <c r="BM1627" t="n">
        <v>18</v>
      </c>
      <c r="BN1627" t="n">
        <v>10</v>
      </c>
      <c r="BO1627" t="n">
        <v>9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124</v>
      </c>
      <c r="Z1628" t="n">
        <v>119</v>
      </c>
      <c r="AA1628" t="n">
        <v>77</v>
      </c>
      <c r="AB1628" t="n">
        <v>0</v>
      </c>
      <c r="AC1628" t="n">
        <v>0</v>
      </c>
      <c r="AD1628" t="n">
        <v>3</v>
      </c>
      <c r="AE1628" t="n">
        <v>6</v>
      </c>
      <c r="AF1628" t="n">
        <v>4</v>
      </c>
      <c r="AG1628" t="n">
        <v>3</v>
      </c>
      <c r="AH1628" t="n">
        <v>9</v>
      </c>
      <c r="AI1628" t="n">
        <v>38</v>
      </c>
      <c r="AJ1628" t="n">
        <v>41</v>
      </c>
      <c r="AK1628" t="n">
        <v>33</v>
      </c>
      <c r="AL1628" t="n">
        <v>3</v>
      </c>
      <c r="AM1628" t="n">
        <v>29</v>
      </c>
      <c r="AN1628" t="n">
        <v>0</v>
      </c>
      <c r="AO1628" t="n">
        <v>0</v>
      </c>
      <c r="AP1628" t="n">
        <v>3</v>
      </c>
      <c r="AQ1628" t="n">
        <v>9</v>
      </c>
      <c r="AR1628" t="n">
        <v>61</v>
      </c>
      <c r="AS1628" t="n">
        <v>52</v>
      </c>
      <c r="AT1628" t="n">
        <v>1</v>
      </c>
      <c r="AU1628" t="n">
        <v>4</v>
      </c>
      <c r="AV1628" t="n">
        <v>1</v>
      </c>
      <c r="AW1628" t="n">
        <v>7</v>
      </c>
      <c r="AX1628" t="n">
        <v>4</v>
      </c>
      <c r="AY1628" t="n">
        <v>11</v>
      </c>
      <c r="AZ1628" t="n">
        <v>1</v>
      </c>
      <c r="BA1628" t="n">
        <v>1</v>
      </c>
      <c r="BB1628" t="n">
        <v>74</v>
      </c>
      <c r="BC1628" t="n">
        <v>41</v>
      </c>
      <c r="BD1628" t="n">
        <v>27</v>
      </c>
      <c r="BE1628" t="n">
        <v>7</v>
      </c>
      <c r="BF1628" t="n">
        <v>36</v>
      </c>
      <c r="BG1628" t="n">
        <v>4</v>
      </c>
      <c r="BH1628" t="n">
        <v>6</v>
      </c>
      <c r="BI1628" t="n">
        <v>14</v>
      </c>
      <c r="BJ1628" t="n">
        <v>12</v>
      </c>
      <c r="BK1628" t="n">
        <v>3</v>
      </c>
      <c r="BL1628" t="n">
        <v>1</v>
      </c>
      <c r="BM1628" t="n">
        <v>6</v>
      </c>
      <c r="BN1628" t="n">
        <v>4</v>
      </c>
      <c r="BO1628" t="n">
        <v>2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2</v>
      </c>
      <c r="V1629" t="n">
        <v>0</v>
      </c>
      <c r="W1629" t="n">
        <v>0</v>
      </c>
      <c r="X1629" t="n">
        <v>0</v>
      </c>
      <c r="Y1629" t="n">
        <v>235</v>
      </c>
      <c r="Z1629" t="n">
        <v>289</v>
      </c>
      <c r="AA1629" t="n">
        <v>75</v>
      </c>
      <c r="AB1629" t="n">
        <v>0</v>
      </c>
      <c r="AC1629" t="n">
        <v>1</v>
      </c>
      <c r="AD1629" t="n">
        <v>6</v>
      </c>
      <c r="AE1629" t="n">
        <v>3</v>
      </c>
      <c r="AF1629" t="n">
        <v>2</v>
      </c>
      <c r="AG1629" t="n">
        <v>0</v>
      </c>
      <c r="AH1629" t="n">
        <v>57</v>
      </c>
      <c r="AI1629" t="n">
        <v>21</v>
      </c>
      <c r="AJ1629" t="n">
        <v>65</v>
      </c>
      <c r="AK1629" t="n">
        <v>6</v>
      </c>
      <c r="AL1629" t="n">
        <v>4</v>
      </c>
      <c r="AM1629" t="n">
        <v>73</v>
      </c>
      <c r="AN1629" t="n">
        <v>0</v>
      </c>
      <c r="AO1629" t="n">
        <v>1</v>
      </c>
      <c r="AP1629" t="n">
        <v>9</v>
      </c>
      <c r="AQ1629" t="n">
        <v>59</v>
      </c>
      <c r="AR1629" t="n">
        <v>75</v>
      </c>
      <c r="AS1629" t="n">
        <v>23</v>
      </c>
      <c r="AT1629" t="n">
        <v>3</v>
      </c>
      <c r="AU1629" t="n">
        <v>1</v>
      </c>
      <c r="AV1629" t="n">
        <v>14</v>
      </c>
      <c r="AW1629" t="n">
        <v>12</v>
      </c>
      <c r="AX1629" t="n">
        <v>11</v>
      </c>
      <c r="AY1629" t="n">
        <v>33</v>
      </c>
      <c r="AZ1629" t="n">
        <v>2</v>
      </c>
      <c r="BA1629" t="n">
        <v>11</v>
      </c>
      <c r="BB1629" t="n">
        <v>83</v>
      </c>
      <c r="BC1629" t="n">
        <v>80</v>
      </c>
      <c r="BD1629" t="n">
        <v>50</v>
      </c>
      <c r="BE1629" t="n">
        <v>8</v>
      </c>
      <c r="BF1629" t="n">
        <v>51</v>
      </c>
      <c r="BG1629" t="n">
        <v>4</v>
      </c>
      <c r="BH1629" t="n">
        <v>19</v>
      </c>
      <c r="BI1629" t="n">
        <v>8</v>
      </c>
      <c r="BJ1629" t="n">
        <v>7</v>
      </c>
      <c r="BK1629" t="n">
        <v>7</v>
      </c>
      <c r="BL1629" t="n">
        <v>121</v>
      </c>
      <c r="BM1629" t="n">
        <v>88</v>
      </c>
      <c r="BN1629" t="n">
        <v>0</v>
      </c>
      <c r="BO1629" t="n">
        <v>47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3</v>
      </c>
      <c r="X1630" t="n">
        <v>0</v>
      </c>
      <c r="Y1630" t="n">
        <v>205</v>
      </c>
      <c r="Z1630" t="n">
        <v>134</v>
      </c>
      <c r="AA1630" t="n">
        <v>10</v>
      </c>
      <c r="AB1630" t="n">
        <v>2</v>
      </c>
      <c r="AC1630" t="n">
        <v>0</v>
      </c>
      <c r="AD1630" t="n">
        <v>4</v>
      </c>
      <c r="AE1630" t="n">
        <v>4</v>
      </c>
      <c r="AF1630" t="n">
        <v>5</v>
      </c>
      <c r="AG1630" t="n">
        <v>1</v>
      </c>
      <c r="AH1630" t="n">
        <v>59</v>
      </c>
      <c r="AI1630" t="n">
        <v>28</v>
      </c>
      <c r="AJ1630" t="n">
        <v>56</v>
      </c>
      <c r="AK1630" t="n">
        <v>1</v>
      </c>
      <c r="AL1630" t="n">
        <v>1</v>
      </c>
      <c r="AM1630" t="n">
        <v>21</v>
      </c>
      <c r="AN1630" t="n">
        <v>0</v>
      </c>
      <c r="AO1630" t="n">
        <v>1</v>
      </c>
      <c r="AP1630" t="n">
        <v>1</v>
      </c>
      <c r="AQ1630" t="n">
        <v>39</v>
      </c>
      <c r="AR1630" t="n">
        <v>70</v>
      </c>
      <c r="AS1630" t="n">
        <v>37</v>
      </c>
      <c r="AT1630" t="n">
        <v>5</v>
      </c>
      <c r="AU1630" t="n">
        <v>1</v>
      </c>
      <c r="AV1630" t="n">
        <v>31</v>
      </c>
      <c r="AW1630" t="n">
        <v>19</v>
      </c>
      <c r="AX1630" t="n">
        <v>6</v>
      </c>
      <c r="AY1630" t="n">
        <v>28</v>
      </c>
      <c r="AZ1630" t="n">
        <v>2</v>
      </c>
      <c r="BA1630" t="n">
        <v>31</v>
      </c>
      <c r="BB1630" t="n">
        <v>45</v>
      </c>
      <c r="BC1630" t="n">
        <v>17</v>
      </c>
      <c r="BD1630" t="n">
        <v>61</v>
      </c>
      <c r="BE1630" t="n">
        <v>24</v>
      </c>
      <c r="BF1630" t="n">
        <v>44</v>
      </c>
      <c r="BG1630" t="n">
        <v>1</v>
      </c>
      <c r="BH1630" t="n">
        <v>0</v>
      </c>
      <c r="BI1630" t="n">
        <v>30</v>
      </c>
      <c r="BJ1630" t="n">
        <v>47</v>
      </c>
      <c r="BK1630" t="n">
        <v>1</v>
      </c>
      <c r="BL1630" t="n">
        <v>16</v>
      </c>
      <c r="BM1630" t="n">
        <v>27</v>
      </c>
      <c r="BN1630" t="n">
        <v>11</v>
      </c>
      <c r="BO1630" t="n">
        <v>14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4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162</v>
      </c>
      <c r="Z1631" t="n">
        <v>170</v>
      </c>
      <c r="AA1631" t="n">
        <v>101</v>
      </c>
      <c r="AB1631" t="n">
        <v>6</v>
      </c>
      <c r="AC1631" t="n">
        <v>0</v>
      </c>
      <c r="AD1631" t="n">
        <v>6</v>
      </c>
      <c r="AE1631" t="n">
        <v>5</v>
      </c>
      <c r="AF1631" t="n">
        <v>3</v>
      </c>
      <c r="AG1631" t="n">
        <v>0</v>
      </c>
      <c r="AH1631" t="n">
        <v>107</v>
      </c>
      <c r="AI1631" t="n">
        <v>40</v>
      </c>
      <c r="AJ1631" t="n">
        <v>5</v>
      </c>
      <c r="AK1631" t="n">
        <v>12</v>
      </c>
      <c r="AL1631" t="n">
        <v>4</v>
      </c>
      <c r="AM1631" t="n">
        <v>72</v>
      </c>
      <c r="AN1631" t="n">
        <v>0</v>
      </c>
      <c r="AO1631" t="n">
        <v>0</v>
      </c>
      <c r="AP1631" t="n">
        <v>0</v>
      </c>
      <c r="AQ1631" t="n">
        <v>3</v>
      </c>
      <c r="AR1631" t="n">
        <v>30</v>
      </c>
      <c r="AS1631" t="n">
        <v>25</v>
      </c>
      <c r="AT1631" t="n">
        <v>2</v>
      </c>
      <c r="AU1631" t="n">
        <v>2</v>
      </c>
      <c r="AV1631" t="n">
        <v>1</v>
      </c>
      <c r="AW1631" t="n">
        <v>19</v>
      </c>
      <c r="AX1631" t="n">
        <v>5</v>
      </c>
      <c r="AY1631" t="n">
        <v>41</v>
      </c>
      <c r="AZ1631" t="n">
        <v>1</v>
      </c>
      <c r="BA1631" t="n">
        <v>-3</v>
      </c>
      <c r="BB1631" t="n">
        <v>97</v>
      </c>
      <c r="BC1631" t="n">
        <v>59</v>
      </c>
      <c r="BD1631" t="n">
        <v>96</v>
      </c>
      <c r="BE1631" t="n">
        <v>27</v>
      </c>
      <c r="BF1631" t="n">
        <v>12</v>
      </c>
      <c r="BG1631" t="n">
        <v>4</v>
      </c>
      <c r="BH1631" t="n">
        <v>6</v>
      </c>
      <c r="BI1631" t="n">
        <v>14</v>
      </c>
      <c r="BJ1631" t="n">
        <v>27</v>
      </c>
      <c r="BK1631" t="n">
        <v>0</v>
      </c>
      <c r="BL1631" t="n">
        <v>1</v>
      </c>
      <c r="BM1631" t="n">
        <v>48</v>
      </c>
      <c r="BN1631" t="n">
        <v>30</v>
      </c>
      <c r="BO1631" t="n">
        <v>2</v>
      </c>
    </row>
    <row r="1632">
      <c r="A1632" t="n">
        <v>1</v>
      </c>
      <c r="B1632" t="n">
        <v>0</v>
      </c>
      <c r="C1632" t="n">
        <v>1</v>
      </c>
      <c r="D1632" t="n">
        <v>0</v>
      </c>
      <c r="E1632" t="n">
        <v>2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2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2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276</v>
      </c>
      <c r="Z1632" t="n">
        <v>261</v>
      </c>
      <c r="AA1632" t="n">
        <v>48</v>
      </c>
      <c r="AB1632" t="n">
        <v>3</v>
      </c>
      <c r="AC1632" t="n">
        <v>1</v>
      </c>
      <c r="AD1632" t="n">
        <v>0</v>
      </c>
      <c r="AE1632" t="n">
        <v>4</v>
      </c>
      <c r="AF1632" t="n">
        <v>1</v>
      </c>
      <c r="AG1632" t="n">
        <v>8</v>
      </c>
      <c r="AH1632" t="n">
        <v>7</v>
      </c>
      <c r="AI1632" t="n">
        <v>59</v>
      </c>
      <c r="AJ1632" t="n">
        <v>41</v>
      </c>
      <c r="AK1632" t="n">
        <v>71</v>
      </c>
      <c r="AL1632" t="n">
        <v>2</v>
      </c>
      <c r="AM1632" t="n">
        <v>47</v>
      </c>
      <c r="AN1632" t="n">
        <v>0</v>
      </c>
      <c r="AO1632" t="n">
        <v>0</v>
      </c>
      <c r="AP1632" t="n">
        <v>3</v>
      </c>
      <c r="AQ1632" t="n">
        <v>24</v>
      </c>
      <c r="AR1632" t="n">
        <v>188</v>
      </c>
      <c r="AS1632" t="n">
        <v>164</v>
      </c>
      <c r="AT1632" t="n">
        <v>1</v>
      </c>
      <c r="AU1632" t="n">
        <v>1</v>
      </c>
      <c r="AV1632" t="n">
        <v>5</v>
      </c>
      <c r="AW1632" t="n">
        <v>21</v>
      </c>
      <c r="AX1632" t="n">
        <v>32</v>
      </c>
      <c r="AY1632" t="n">
        <v>3</v>
      </c>
      <c r="AZ1632" t="n">
        <v>3</v>
      </c>
      <c r="BA1632" t="n">
        <v>33</v>
      </c>
      <c r="BB1632" t="n">
        <v>80</v>
      </c>
      <c r="BC1632" t="n">
        <v>46</v>
      </c>
      <c r="BD1632" t="n">
        <v>21</v>
      </c>
      <c r="BE1632" t="n">
        <v>22</v>
      </c>
      <c r="BF1632" t="n">
        <v>47</v>
      </c>
      <c r="BG1632" t="n">
        <v>5</v>
      </c>
      <c r="BH1632" t="n">
        <v>26</v>
      </c>
      <c r="BI1632" t="n">
        <v>68</v>
      </c>
      <c r="BJ1632" t="n">
        <v>69</v>
      </c>
      <c r="BK1632" t="n">
        <v>3</v>
      </c>
      <c r="BL1632" t="n">
        <v>4</v>
      </c>
      <c r="BM1632" t="n">
        <v>1</v>
      </c>
      <c r="BN1632" t="n">
        <v>0</v>
      </c>
      <c r="BO1632" t="n">
        <v>2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2</v>
      </c>
      <c r="K1633" t="n">
        <v>0</v>
      </c>
      <c r="L1633" t="n">
        <v>0</v>
      </c>
      <c r="M1633" t="n">
        <v>2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316</v>
      </c>
      <c r="Z1633" t="n">
        <v>216</v>
      </c>
      <c r="AA1633" t="n">
        <v>24</v>
      </c>
      <c r="AB1633" t="n">
        <v>0</v>
      </c>
      <c r="AC1633" t="n">
        <v>2</v>
      </c>
      <c r="AD1633" t="n">
        <v>5</v>
      </c>
      <c r="AE1633" t="n">
        <v>6</v>
      </c>
      <c r="AF1633" t="n">
        <v>0</v>
      </c>
      <c r="AG1633" t="n">
        <v>1</v>
      </c>
      <c r="AH1633" t="n">
        <v>112</v>
      </c>
      <c r="AI1633" t="n">
        <v>72</v>
      </c>
      <c r="AJ1633" t="n">
        <v>11</v>
      </c>
      <c r="AK1633" t="n">
        <v>51</v>
      </c>
      <c r="AL1633" t="n">
        <v>3</v>
      </c>
      <c r="AM1633" t="n">
        <v>102</v>
      </c>
      <c r="AN1633" t="n">
        <v>0</v>
      </c>
      <c r="AO1633" t="n">
        <v>0</v>
      </c>
      <c r="AP1633" t="n">
        <v>10</v>
      </c>
      <c r="AQ1633" t="n">
        <v>131</v>
      </c>
      <c r="AR1633" t="n">
        <v>216</v>
      </c>
      <c r="AS1633" t="n">
        <v>110</v>
      </c>
      <c r="AT1633" t="n">
        <v>1</v>
      </c>
      <c r="AU1633" t="n">
        <v>1</v>
      </c>
      <c r="AV1633" t="n">
        <v>19</v>
      </c>
      <c r="AW1633" t="n">
        <v>7</v>
      </c>
      <c r="AX1633" t="n">
        <v>5</v>
      </c>
      <c r="AY1633" t="n">
        <v>17</v>
      </c>
      <c r="AZ1633" t="n">
        <v>3</v>
      </c>
      <c r="BA1633" t="n">
        <v>22</v>
      </c>
      <c r="BB1633" t="n">
        <v>47</v>
      </c>
      <c r="BC1633" t="n">
        <v>85</v>
      </c>
      <c r="BD1633" t="n">
        <v>100</v>
      </c>
      <c r="BE1633" t="n">
        <v>7</v>
      </c>
      <c r="BF1633" t="n">
        <v>8</v>
      </c>
      <c r="BG1633" t="n">
        <v>0</v>
      </c>
      <c r="BH1633" t="n">
        <v>5</v>
      </c>
      <c r="BI1633" t="n">
        <v>15</v>
      </c>
      <c r="BJ1633" t="n">
        <v>13</v>
      </c>
      <c r="BK1633" t="n">
        <v>4</v>
      </c>
      <c r="BL1633" t="n">
        <v>10</v>
      </c>
      <c r="BM1633" t="n">
        <v>7</v>
      </c>
      <c r="BN1633" t="n">
        <v>0</v>
      </c>
      <c r="BO1633" t="n">
        <v>14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200</v>
      </c>
      <c r="Z1634" t="n">
        <v>286</v>
      </c>
      <c r="AA1634" t="n">
        <v>96</v>
      </c>
      <c r="AB1634" t="n">
        <v>0</v>
      </c>
      <c r="AC1634" t="n">
        <v>0</v>
      </c>
      <c r="AD1634" t="n">
        <v>4</v>
      </c>
      <c r="AE1634" t="n">
        <v>9</v>
      </c>
      <c r="AF1634" t="n">
        <v>4</v>
      </c>
      <c r="AG1634" t="n">
        <v>3</v>
      </c>
      <c r="AH1634" t="n">
        <v>68</v>
      </c>
      <c r="AI1634" t="n">
        <v>43</v>
      </c>
      <c r="AJ1634" t="n">
        <v>39</v>
      </c>
      <c r="AK1634" t="n">
        <v>21</v>
      </c>
      <c r="AL1634" t="n">
        <v>1</v>
      </c>
      <c r="AM1634" t="n">
        <v>44</v>
      </c>
      <c r="AN1634" t="n">
        <v>0</v>
      </c>
      <c r="AO1634" t="n">
        <v>0</v>
      </c>
      <c r="AP1634" t="n">
        <v>2</v>
      </c>
      <c r="AQ1634" t="n">
        <v>7</v>
      </c>
      <c r="AR1634" t="n">
        <v>114</v>
      </c>
      <c r="AS1634" t="n">
        <v>105</v>
      </c>
      <c r="AT1634" t="n">
        <v>0</v>
      </c>
      <c r="AU1634" t="n">
        <v>1</v>
      </c>
      <c r="AV1634" t="n">
        <v>1</v>
      </c>
      <c r="AW1634" t="n">
        <v>33</v>
      </c>
      <c r="AX1634" t="n">
        <v>1</v>
      </c>
      <c r="AY1634" t="n">
        <v>19</v>
      </c>
      <c r="AZ1634" t="n">
        <v>1</v>
      </c>
      <c r="BA1634" t="n">
        <v>1</v>
      </c>
      <c r="BB1634" t="n">
        <v>93</v>
      </c>
      <c r="BC1634" t="n">
        <v>81</v>
      </c>
      <c r="BD1634" t="n">
        <v>64</v>
      </c>
      <c r="BE1634" t="n">
        <v>40</v>
      </c>
      <c r="BF1634" t="n">
        <v>35</v>
      </c>
      <c r="BG1634" t="n">
        <v>5</v>
      </c>
      <c r="BH1634" t="n">
        <v>4</v>
      </c>
      <c r="BI1634" t="n">
        <v>53</v>
      </c>
      <c r="BJ1634" t="n">
        <v>53</v>
      </c>
      <c r="BK1634" t="n">
        <v>6</v>
      </c>
      <c r="BL1634" t="n">
        <v>83</v>
      </c>
      <c r="BM1634" t="n">
        <v>76</v>
      </c>
      <c r="BN1634" t="n">
        <v>15</v>
      </c>
      <c r="BO1634" t="n">
        <v>61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2</v>
      </c>
      <c r="V1635" t="n">
        <v>1</v>
      </c>
      <c r="W1635" t="n">
        <v>1</v>
      </c>
      <c r="X1635" t="n">
        <v>0</v>
      </c>
      <c r="Y1635" t="n">
        <v>145</v>
      </c>
      <c r="Z1635" t="n">
        <v>258</v>
      </c>
      <c r="AA1635" t="n">
        <v>52</v>
      </c>
      <c r="AB1635" t="n">
        <v>2</v>
      </c>
      <c r="AC1635" t="n">
        <v>1</v>
      </c>
      <c r="AD1635" t="n">
        <v>2</v>
      </c>
      <c r="AE1635" t="n">
        <v>6</v>
      </c>
      <c r="AF1635" t="n">
        <v>5</v>
      </c>
      <c r="AG1635" t="n">
        <v>3</v>
      </c>
      <c r="AH1635" t="n">
        <v>21</v>
      </c>
      <c r="AI1635" t="n">
        <v>40</v>
      </c>
      <c r="AJ1635" t="n">
        <v>22</v>
      </c>
      <c r="AK1635" t="n">
        <v>22</v>
      </c>
      <c r="AL1635" t="n">
        <v>5</v>
      </c>
      <c r="AM1635" t="n">
        <v>81</v>
      </c>
      <c r="AN1635" t="n">
        <v>0</v>
      </c>
      <c r="AO1635" t="n">
        <v>0</v>
      </c>
      <c r="AP1635" t="n">
        <v>5</v>
      </c>
      <c r="AQ1635" t="n">
        <v>39</v>
      </c>
      <c r="AR1635" t="n">
        <v>106</v>
      </c>
      <c r="AS1635" t="n">
        <v>72</v>
      </c>
      <c r="AT1635" t="n">
        <v>1</v>
      </c>
      <c r="AU1635" t="n">
        <v>1</v>
      </c>
      <c r="AV1635" t="n">
        <v>1</v>
      </c>
      <c r="AW1635" t="n">
        <v>15</v>
      </c>
      <c r="AX1635" t="n">
        <v>32</v>
      </c>
      <c r="AY1635" t="n">
        <v>35</v>
      </c>
      <c r="AZ1635" t="n">
        <v>4</v>
      </c>
      <c r="BA1635" t="n">
        <v>2</v>
      </c>
      <c r="BB1635" t="n">
        <v>52</v>
      </c>
      <c r="BC1635" t="n">
        <v>67</v>
      </c>
      <c r="BD1635" t="n">
        <v>30</v>
      </c>
      <c r="BE1635" t="n">
        <v>25</v>
      </c>
      <c r="BF1635" t="n">
        <v>19</v>
      </c>
      <c r="BG1635" t="n">
        <v>3</v>
      </c>
      <c r="BH1635" t="n">
        <v>15</v>
      </c>
      <c r="BI1635" t="n">
        <v>20</v>
      </c>
      <c r="BJ1635" t="n">
        <v>19</v>
      </c>
      <c r="BK1635" t="n">
        <v>9</v>
      </c>
      <c r="BL1635" t="n">
        <v>104</v>
      </c>
      <c r="BM1635" t="n">
        <v>99</v>
      </c>
      <c r="BN1635" t="n">
        <v>19</v>
      </c>
      <c r="BO1635" t="n">
        <v>2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215</v>
      </c>
      <c r="Z1636" t="n">
        <v>296</v>
      </c>
      <c r="AA1636" t="n">
        <v>147</v>
      </c>
      <c r="AB1636" t="n">
        <v>1</v>
      </c>
      <c r="AC1636" t="n">
        <v>3</v>
      </c>
      <c r="AD1636" t="n">
        <v>3</v>
      </c>
      <c r="AE1636" t="n">
        <v>10</v>
      </c>
      <c r="AF1636" t="n">
        <v>1</v>
      </c>
      <c r="AG1636" t="n">
        <v>2</v>
      </c>
      <c r="AH1636" t="n">
        <v>8</v>
      </c>
      <c r="AI1636" t="n">
        <v>73</v>
      </c>
      <c r="AJ1636" t="n">
        <v>31</v>
      </c>
      <c r="AK1636" t="n">
        <v>32</v>
      </c>
      <c r="AL1636" t="n">
        <v>3</v>
      </c>
      <c r="AM1636" t="n">
        <v>96</v>
      </c>
      <c r="AN1636" t="n">
        <v>0</v>
      </c>
      <c r="AO1636" t="n">
        <v>0</v>
      </c>
      <c r="AP1636" t="n">
        <v>2</v>
      </c>
      <c r="AQ1636" t="n">
        <v>-7</v>
      </c>
      <c r="AR1636" t="n">
        <v>139</v>
      </c>
      <c r="AS1636" t="n">
        <v>133</v>
      </c>
      <c r="AT1636" t="n">
        <v>5</v>
      </c>
      <c r="AU1636" t="n">
        <v>3</v>
      </c>
      <c r="AV1636" t="n">
        <v>27</v>
      </c>
      <c r="AW1636" t="n">
        <v>57</v>
      </c>
      <c r="AX1636" t="n">
        <v>1</v>
      </c>
      <c r="AY1636" t="n">
        <v>31</v>
      </c>
      <c r="AZ1636" t="n">
        <v>0</v>
      </c>
      <c r="BA1636" t="n">
        <v>1</v>
      </c>
      <c r="BB1636" t="n">
        <v>136</v>
      </c>
      <c r="BC1636" t="n">
        <v>81</v>
      </c>
      <c r="BD1636" t="n">
        <v>10</v>
      </c>
      <c r="BE1636" t="n">
        <v>57</v>
      </c>
      <c r="BF1636" t="n">
        <v>25</v>
      </c>
      <c r="BG1636" t="n">
        <v>4</v>
      </c>
      <c r="BH1636" t="n">
        <v>19</v>
      </c>
      <c r="BI1636" t="n">
        <v>53</v>
      </c>
      <c r="BJ1636" t="n">
        <v>51</v>
      </c>
      <c r="BK1636" t="n">
        <v>0</v>
      </c>
      <c r="BL1636" t="n">
        <v>4</v>
      </c>
      <c r="BM1636" t="n">
        <v>14</v>
      </c>
      <c r="BN1636" t="n">
        <v>8</v>
      </c>
      <c r="BO1636" t="n">
        <v>21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180</v>
      </c>
      <c r="Z1637" t="n">
        <v>261</v>
      </c>
      <c r="AA1637" t="n">
        <v>82</v>
      </c>
      <c r="AB1637" t="n">
        <v>1</v>
      </c>
      <c r="AC1637" t="n">
        <v>0</v>
      </c>
      <c r="AD1637" t="n">
        <v>1</v>
      </c>
      <c r="AE1637" t="n">
        <v>1</v>
      </c>
      <c r="AF1637" t="n">
        <v>2</v>
      </c>
      <c r="AG1637" t="n">
        <v>4</v>
      </c>
      <c r="AH1637" t="n">
        <v>2</v>
      </c>
      <c r="AI1637" t="n">
        <v>15</v>
      </c>
      <c r="AJ1637" t="n">
        <v>24</v>
      </c>
      <c r="AK1637" t="n">
        <v>68</v>
      </c>
      <c r="AL1637" t="n">
        <v>5</v>
      </c>
      <c r="AM1637" t="n">
        <v>39</v>
      </c>
      <c r="AN1637" t="n">
        <v>0</v>
      </c>
      <c r="AO1637" t="n">
        <v>0</v>
      </c>
      <c r="AP1637" t="n">
        <v>4</v>
      </c>
      <c r="AQ1637" t="n">
        <v>16</v>
      </c>
      <c r="AR1637" t="n">
        <v>88</v>
      </c>
      <c r="AS1637" t="n">
        <v>73</v>
      </c>
      <c r="AT1637" t="n">
        <v>2</v>
      </c>
      <c r="AU1637" t="n">
        <v>4</v>
      </c>
      <c r="AV1637" t="n">
        <v>24</v>
      </c>
      <c r="AW1637" t="n">
        <v>56</v>
      </c>
      <c r="AX1637" t="n">
        <v>8</v>
      </c>
      <c r="AY1637" t="n">
        <v>38</v>
      </c>
      <c r="AZ1637" t="n">
        <v>2</v>
      </c>
      <c r="BA1637" t="n">
        <v>17</v>
      </c>
      <c r="BB1637" t="n">
        <v>95</v>
      </c>
      <c r="BC1637" t="n">
        <v>35</v>
      </c>
      <c r="BD1637" t="n">
        <v>8</v>
      </c>
      <c r="BE1637" t="n">
        <v>57</v>
      </c>
      <c r="BF1637" t="n">
        <v>61</v>
      </c>
      <c r="BG1637" t="n">
        <v>1</v>
      </c>
      <c r="BH1637" t="n">
        <v>14</v>
      </c>
      <c r="BI1637" t="n">
        <v>10</v>
      </c>
      <c r="BJ1637" t="n">
        <v>20</v>
      </c>
      <c r="BK1637" t="n">
        <v>3</v>
      </c>
      <c r="BL1637" t="n">
        <v>31</v>
      </c>
      <c r="BM1637" t="n">
        <v>24</v>
      </c>
      <c r="BN1637" t="n">
        <v>3</v>
      </c>
      <c r="BO1637" t="n">
        <v>110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223</v>
      </c>
      <c r="Z1638" t="n">
        <v>217</v>
      </c>
      <c r="AA1638" t="n">
        <v>41</v>
      </c>
      <c r="AB1638" t="n">
        <v>0</v>
      </c>
      <c r="AC1638" t="n">
        <v>2</v>
      </c>
      <c r="AD1638" t="n">
        <v>6</v>
      </c>
      <c r="AE1638" t="n">
        <v>6</v>
      </c>
      <c r="AF1638" t="n">
        <v>2</v>
      </c>
      <c r="AG1638" t="n">
        <v>3</v>
      </c>
      <c r="AH1638" t="n">
        <v>122</v>
      </c>
      <c r="AI1638" t="n">
        <v>45</v>
      </c>
      <c r="AJ1638" t="n">
        <v>16</v>
      </c>
      <c r="AK1638" t="n">
        <v>39</v>
      </c>
      <c r="AL1638" t="n">
        <v>5</v>
      </c>
      <c r="AM1638" t="n">
        <v>31</v>
      </c>
      <c r="AN1638" t="n">
        <v>1</v>
      </c>
      <c r="AO1638" t="n">
        <v>0</v>
      </c>
      <c r="AP1638" t="n">
        <v>3</v>
      </c>
      <c r="AQ1638" t="n">
        <v>12</v>
      </c>
      <c r="AR1638" t="n">
        <v>84</v>
      </c>
      <c r="AS1638" t="n">
        <v>72</v>
      </c>
      <c r="AT1638" t="n">
        <v>0</v>
      </c>
      <c r="AU1638" t="n">
        <v>2</v>
      </c>
      <c r="AV1638" t="n">
        <v>1</v>
      </c>
      <c r="AW1638" t="n">
        <v>19</v>
      </c>
      <c r="AX1638" t="n">
        <v>0</v>
      </c>
      <c r="AY1638" t="n">
        <v>36</v>
      </c>
      <c r="AZ1638" t="n">
        <v>7</v>
      </c>
      <c r="BA1638" t="n">
        <v>16</v>
      </c>
      <c r="BB1638" t="n">
        <v>55</v>
      </c>
      <c r="BC1638" t="n">
        <v>25</v>
      </c>
      <c r="BD1638" t="n">
        <v>117</v>
      </c>
      <c r="BE1638" t="n">
        <v>19</v>
      </c>
      <c r="BF1638" t="n">
        <v>25</v>
      </c>
      <c r="BG1638" t="n">
        <v>1</v>
      </c>
      <c r="BH1638" t="n">
        <v>14</v>
      </c>
      <c r="BI1638" t="n">
        <v>12</v>
      </c>
      <c r="BJ1638" t="n">
        <v>14</v>
      </c>
      <c r="BK1638" t="n">
        <v>6</v>
      </c>
      <c r="BL1638" t="n">
        <v>59</v>
      </c>
      <c r="BM1638" t="n">
        <v>40</v>
      </c>
      <c r="BN1638" t="n">
        <v>0</v>
      </c>
      <c r="BO1638" t="n">
        <v>40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220</v>
      </c>
      <c r="Z1639" t="n">
        <v>213</v>
      </c>
      <c r="AA1639" t="n">
        <v>53</v>
      </c>
      <c r="AB1639" t="n">
        <v>0</v>
      </c>
      <c r="AC1639" t="n">
        <v>2</v>
      </c>
      <c r="AD1639" t="n">
        <v>2</v>
      </c>
      <c r="AE1639" t="n">
        <v>5</v>
      </c>
      <c r="AF1639" t="n">
        <v>3</v>
      </c>
      <c r="AG1639" t="n">
        <v>5</v>
      </c>
      <c r="AH1639" t="n">
        <v>26</v>
      </c>
      <c r="AI1639" t="n">
        <v>37</v>
      </c>
      <c r="AJ1639" t="n">
        <v>77</v>
      </c>
      <c r="AK1639" t="n">
        <v>21</v>
      </c>
      <c r="AL1639" t="n">
        <v>2</v>
      </c>
      <c r="AM1639" t="n">
        <v>27</v>
      </c>
      <c r="AN1639" t="n">
        <v>0</v>
      </c>
      <c r="AO1639" t="n">
        <v>0</v>
      </c>
      <c r="AP1639" t="n">
        <v>2</v>
      </c>
      <c r="AQ1639" t="n">
        <v>24</v>
      </c>
      <c r="AR1639" t="n">
        <v>89</v>
      </c>
      <c r="AS1639" t="n">
        <v>68</v>
      </c>
      <c r="AT1639" t="n">
        <v>4</v>
      </c>
      <c r="AU1639" t="n">
        <v>3</v>
      </c>
      <c r="AV1639" t="n">
        <v>17</v>
      </c>
      <c r="AW1639" t="n">
        <v>25</v>
      </c>
      <c r="AX1639" t="n">
        <v>6</v>
      </c>
      <c r="AY1639" t="n">
        <v>8</v>
      </c>
      <c r="AZ1639" t="n">
        <v>3</v>
      </c>
      <c r="BA1639" t="n">
        <v>1</v>
      </c>
      <c r="BB1639" t="n">
        <v>53</v>
      </c>
      <c r="BC1639" t="n">
        <v>22</v>
      </c>
      <c r="BD1639" t="n">
        <v>23</v>
      </c>
      <c r="BE1639" t="n">
        <v>25</v>
      </c>
      <c r="BF1639" t="n">
        <v>62</v>
      </c>
      <c r="BG1639" t="n">
        <v>1</v>
      </c>
      <c r="BH1639" t="n">
        <v>6</v>
      </c>
      <c r="BI1639" t="n">
        <v>44</v>
      </c>
      <c r="BJ1639" t="n">
        <v>39</v>
      </c>
      <c r="BK1639" t="n">
        <v>8</v>
      </c>
      <c r="BL1639" t="n">
        <v>96</v>
      </c>
      <c r="BM1639" t="n">
        <v>79</v>
      </c>
      <c r="BN1639" t="n">
        <v>11</v>
      </c>
      <c r="BO1639" t="n">
        <v>2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236</v>
      </c>
      <c r="Z1640" t="n">
        <v>177</v>
      </c>
      <c r="AA1640" t="n">
        <v>113</v>
      </c>
      <c r="AB1640" t="n">
        <v>0</v>
      </c>
      <c r="AC1640" t="n">
        <v>0</v>
      </c>
      <c r="AD1640" t="n">
        <v>7</v>
      </c>
      <c r="AE1640" t="n">
        <v>4</v>
      </c>
      <c r="AF1640" t="n">
        <v>2</v>
      </c>
      <c r="AG1640" t="n">
        <v>1</v>
      </c>
      <c r="AH1640" t="n">
        <v>69</v>
      </c>
      <c r="AI1640" t="n">
        <v>26</v>
      </c>
      <c r="AJ1640" t="n">
        <v>45</v>
      </c>
      <c r="AK1640" t="n">
        <v>1</v>
      </c>
      <c r="AL1640" t="n">
        <v>5</v>
      </c>
      <c r="AM1640" t="n">
        <v>51</v>
      </c>
      <c r="AN1640" t="n">
        <v>0</v>
      </c>
      <c r="AO1640" t="n">
        <v>0</v>
      </c>
      <c r="AP1640" t="n">
        <v>3</v>
      </c>
      <c r="AQ1640" t="n">
        <v>21</v>
      </c>
      <c r="AR1640" t="n">
        <v>58</v>
      </c>
      <c r="AS1640" t="n">
        <v>40</v>
      </c>
      <c r="AT1640" t="n">
        <v>1</v>
      </c>
      <c r="AU1640" t="n">
        <v>2</v>
      </c>
      <c r="AV1640" t="n">
        <v>22</v>
      </c>
      <c r="AW1640" t="n">
        <v>30</v>
      </c>
      <c r="AX1640" t="n">
        <v>6</v>
      </c>
      <c r="AY1640" t="n">
        <v>22</v>
      </c>
      <c r="AZ1640" t="n">
        <v>0</v>
      </c>
      <c r="BA1640" t="n">
        <v>1</v>
      </c>
      <c r="BB1640" t="n">
        <v>110</v>
      </c>
      <c r="BC1640" t="n">
        <v>43</v>
      </c>
      <c r="BD1640" t="n">
        <v>61</v>
      </c>
      <c r="BE1640" t="n">
        <v>30</v>
      </c>
      <c r="BF1640" t="n">
        <v>35</v>
      </c>
      <c r="BG1640" t="n">
        <v>3</v>
      </c>
      <c r="BH1640" t="n">
        <v>0</v>
      </c>
      <c r="BI1640" t="n">
        <v>55</v>
      </c>
      <c r="BJ1640" t="n">
        <v>52</v>
      </c>
      <c r="BK1640" t="n">
        <v>3</v>
      </c>
      <c r="BL1640" t="n">
        <v>10</v>
      </c>
      <c r="BM1640" t="n">
        <v>19</v>
      </c>
      <c r="BN1640" t="n">
        <v>8</v>
      </c>
      <c r="BO1640" t="n">
        <v>2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271</v>
      </c>
      <c r="Z1641" t="n">
        <v>298</v>
      </c>
      <c r="AA1641" t="n">
        <v>32</v>
      </c>
      <c r="AB1641" t="n">
        <v>2</v>
      </c>
      <c r="AC1641" t="n">
        <v>0</v>
      </c>
      <c r="AD1641" t="n">
        <v>5</v>
      </c>
      <c r="AE1641" t="n">
        <v>7</v>
      </c>
      <c r="AF1641" t="n">
        <v>2</v>
      </c>
      <c r="AG1641" t="n">
        <v>4</v>
      </c>
      <c r="AH1641" t="n">
        <v>29</v>
      </c>
      <c r="AI1641" t="n">
        <v>116</v>
      </c>
      <c r="AJ1641" t="n">
        <v>48</v>
      </c>
      <c r="AK1641" t="n">
        <v>33</v>
      </c>
      <c r="AL1641" t="n">
        <v>2</v>
      </c>
      <c r="AM1641" t="n">
        <v>59</v>
      </c>
      <c r="AN1641" t="n">
        <v>0</v>
      </c>
      <c r="AO1641" t="n">
        <v>0</v>
      </c>
      <c r="AP1641" t="n">
        <v>3</v>
      </c>
      <c r="AQ1641" t="n">
        <v>9</v>
      </c>
      <c r="AR1641" t="n">
        <v>49</v>
      </c>
      <c r="AS1641" t="n">
        <v>41</v>
      </c>
      <c r="AT1641" t="n">
        <v>3</v>
      </c>
      <c r="AU1641" t="n">
        <v>0</v>
      </c>
      <c r="AV1641" t="n">
        <v>29</v>
      </c>
      <c r="AW1641" t="n">
        <v>1</v>
      </c>
      <c r="AX1641" t="n">
        <v>-1</v>
      </c>
      <c r="AY1641" t="n">
        <v>32</v>
      </c>
      <c r="AZ1641" t="n">
        <v>3</v>
      </c>
      <c r="BA1641" t="n">
        <v>22</v>
      </c>
      <c r="BB1641" t="n">
        <v>54</v>
      </c>
      <c r="BC1641" t="n">
        <v>50</v>
      </c>
      <c r="BD1641" t="n">
        <v>27</v>
      </c>
      <c r="BE1641" t="n">
        <v>1</v>
      </c>
      <c r="BF1641" t="n">
        <v>34</v>
      </c>
      <c r="BG1641" t="n">
        <v>1</v>
      </c>
      <c r="BH1641" t="n">
        <v>35</v>
      </c>
      <c r="BI1641" t="n">
        <v>30</v>
      </c>
      <c r="BJ1641" t="n">
        <v>27</v>
      </c>
      <c r="BK1641" t="n">
        <v>3</v>
      </c>
      <c r="BL1641" t="n">
        <v>35</v>
      </c>
      <c r="BM1641" t="n">
        <v>25</v>
      </c>
      <c r="BN1641" t="n">
        <v>3</v>
      </c>
      <c r="BO1641" t="n">
        <v>-5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2</v>
      </c>
      <c r="U1642" t="n">
        <v>0</v>
      </c>
      <c r="V1642" t="n">
        <v>0</v>
      </c>
      <c r="W1642" t="n">
        <v>0</v>
      </c>
      <c r="X1642" t="n">
        <v>0</v>
      </c>
      <c r="Y1642" t="n">
        <v>246</v>
      </c>
      <c r="Z1642" t="n">
        <v>145</v>
      </c>
      <c r="AA1642" t="n">
        <v>52</v>
      </c>
      <c r="AB1642" t="n">
        <v>0</v>
      </c>
      <c r="AC1642" t="n">
        <v>1</v>
      </c>
      <c r="AD1642" t="n">
        <v>5</v>
      </c>
      <c r="AE1642" t="n">
        <v>5</v>
      </c>
      <c r="AF1642" t="n">
        <v>6</v>
      </c>
      <c r="AG1642" t="n">
        <v>3</v>
      </c>
      <c r="AH1642" t="n">
        <v>47</v>
      </c>
      <c r="AI1642" t="n">
        <v>21</v>
      </c>
      <c r="AJ1642" t="n">
        <v>81</v>
      </c>
      <c r="AK1642" t="n">
        <v>32</v>
      </c>
      <c r="AL1642" t="n">
        <v>1</v>
      </c>
      <c r="AM1642" t="n">
        <v>17</v>
      </c>
      <c r="AN1642" t="n">
        <v>0</v>
      </c>
      <c r="AO1642" t="n">
        <v>0</v>
      </c>
      <c r="AP1642" t="n">
        <v>1</v>
      </c>
      <c r="AQ1642" t="n">
        <v>21</v>
      </c>
      <c r="AR1642" t="n">
        <v>42</v>
      </c>
      <c r="AS1642" t="n">
        <v>25</v>
      </c>
      <c r="AT1642" t="n">
        <v>0</v>
      </c>
      <c r="AU1642" t="n">
        <v>1</v>
      </c>
      <c r="AV1642" t="n">
        <v>1</v>
      </c>
      <c r="AW1642" t="n">
        <v>20</v>
      </c>
      <c r="AX1642" t="n">
        <v>0</v>
      </c>
      <c r="AY1642" t="n">
        <v>45</v>
      </c>
      <c r="AZ1642" t="n">
        <v>2</v>
      </c>
      <c r="BA1642" t="n">
        <v>34</v>
      </c>
      <c r="BB1642" t="n">
        <v>84</v>
      </c>
      <c r="BC1642" t="n">
        <v>14</v>
      </c>
      <c r="BD1642" t="n">
        <v>48</v>
      </c>
      <c r="BE1642" t="n">
        <v>20</v>
      </c>
      <c r="BF1642" t="n">
        <v>67</v>
      </c>
      <c r="BG1642" t="n">
        <v>0</v>
      </c>
      <c r="BH1642" t="n">
        <v>28</v>
      </c>
      <c r="BI1642" t="n">
        <v>1</v>
      </c>
      <c r="BJ1642" t="n">
        <v>1</v>
      </c>
      <c r="BK1642" t="n">
        <v>1</v>
      </c>
      <c r="BL1642" t="n">
        <v>35</v>
      </c>
      <c r="BM1642" t="n">
        <v>35</v>
      </c>
      <c r="BN1642" t="n">
        <v>10</v>
      </c>
      <c r="BO1642" t="n">
        <v>2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2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216</v>
      </c>
      <c r="Z1643" t="n">
        <v>136</v>
      </c>
      <c r="AA1643" t="n">
        <v>42</v>
      </c>
      <c r="AB1643" t="n">
        <v>1</v>
      </c>
      <c r="AC1643" t="n">
        <v>0</v>
      </c>
      <c r="AD1643" t="n">
        <v>3</v>
      </c>
      <c r="AE1643" t="n">
        <v>3</v>
      </c>
      <c r="AF1643" t="n">
        <v>6</v>
      </c>
      <c r="AG1643" t="n">
        <v>6</v>
      </c>
      <c r="AH1643" t="n">
        <v>46</v>
      </c>
      <c r="AI1643" t="n">
        <v>32</v>
      </c>
      <c r="AJ1643" t="n">
        <v>62</v>
      </c>
      <c r="AK1643" t="n">
        <v>44</v>
      </c>
      <c r="AL1643" t="n">
        <v>3</v>
      </c>
      <c r="AM1643" t="n">
        <v>68</v>
      </c>
      <c r="AN1643" t="n">
        <v>0</v>
      </c>
      <c r="AO1643" t="n">
        <v>0</v>
      </c>
      <c r="AP1643" t="n">
        <v>1</v>
      </c>
      <c r="AQ1643" t="n">
        <v>23</v>
      </c>
      <c r="AR1643" t="n">
        <v>38</v>
      </c>
      <c r="AS1643" t="n">
        <v>21</v>
      </c>
      <c r="AT1643" t="n">
        <v>4</v>
      </c>
      <c r="AU1643" t="n">
        <v>0</v>
      </c>
      <c r="AV1643" t="n">
        <v>32</v>
      </c>
      <c r="AW1643" t="n">
        <v>3</v>
      </c>
      <c r="AX1643" t="n">
        <v>0</v>
      </c>
      <c r="AY1643" t="n">
        <v>20</v>
      </c>
      <c r="AZ1643" t="n">
        <v>0</v>
      </c>
      <c r="BA1643" t="n">
        <v>1</v>
      </c>
      <c r="BB1643" t="n">
        <v>41</v>
      </c>
      <c r="BC1643" t="n">
        <v>55</v>
      </c>
      <c r="BD1643" t="n">
        <v>42</v>
      </c>
      <c r="BE1643" t="n">
        <v>1</v>
      </c>
      <c r="BF1643" t="n">
        <v>48</v>
      </c>
      <c r="BG1643" t="n">
        <v>6</v>
      </c>
      <c r="BH1643" t="n">
        <v>0</v>
      </c>
      <c r="BI1643" t="n">
        <v>31</v>
      </c>
      <c r="BJ1643" t="n">
        <v>28</v>
      </c>
      <c r="BK1643" t="n">
        <v>0</v>
      </c>
      <c r="BL1643" t="n">
        <v>1</v>
      </c>
      <c r="BM1643" t="n">
        <v>9</v>
      </c>
      <c r="BN1643" t="n">
        <v>5</v>
      </c>
      <c r="BO1643" t="n">
        <v>2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4</v>
      </c>
      <c r="U1644" t="n">
        <v>0</v>
      </c>
      <c r="V1644" t="n">
        <v>0</v>
      </c>
      <c r="W1644" t="n">
        <v>0</v>
      </c>
      <c r="X1644" t="n">
        <v>0</v>
      </c>
      <c r="Y1644" t="n">
        <v>238</v>
      </c>
      <c r="Z1644" t="n">
        <v>214</v>
      </c>
      <c r="AA1644" t="n">
        <v>70</v>
      </c>
      <c r="AB1644" t="n">
        <v>0</v>
      </c>
      <c r="AC1644" t="n">
        <v>3</v>
      </c>
      <c r="AD1644" t="n">
        <v>2</v>
      </c>
      <c r="AE1644" t="n">
        <v>4</v>
      </c>
      <c r="AF1644" t="n">
        <v>2</v>
      </c>
      <c r="AG1644" t="n">
        <v>4</v>
      </c>
      <c r="AH1644" t="n">
        <v>17</v>
      </c>
      <c r="AI1644" t="n">
        <v>54</v>
      </c>
      <c r="AJ1644" t="n">
        <v>21</v>
      </c>
      <c r="AK1644" t="n">
        <v>41</v>
      </c>
      <c r="AL1644" t="n">
        <v>4</v>
      </c>
      <c r="AM1644" t="n">
        <v>46</v>
      </c>
      <c r="AN1644" t="n">
        <v>0</v>
      </c>
      <c r="AO1644" t="n">
        <v>0</v>
      </c>
      <c r="AP1644" t="n">
        <v>9</v>
      </c>
      <c r="AQ1644" t="n">
        <v>29</v>
      </c>
      <c r="AR1644" t="n">
        <v>53</v>
      </c>
      <c r="AS1644" t="n">
        <v>28</v>
      </c>
      <c r="AT1644" t="n">
        <v>1</v>
      </c>
      <c r="AU1644" t="n">
        <v>2</v>
      </c>
      <c r="AV1644" t="n">
        <v>18</v>
      </c>
      <c r="AW1644" t="n">
        <v>34</v>
      </c>
      <c r="AX1644" t="n">
        <v>4</v>
      </c>
      <c r="AY1644" t="n">
        <v>79</v>
      </c>
      <c r="AZ1644" t="n">
        <v>2</v>
      </c>
      <c r="BA1644" t="n">
        <v>15</v>
      </c>
      <c r="BB1644" t="n">
        <v>83</v>
      </c>
      <c r="BC1644" t="n">
        <v>46</v>
      </c>
      <c r="BD1644" t="n">
        <v>19</v>
      </c>
      <c r="BE1644" t="n">
        <v>36</v>
      </c>
      <c r="BF1644" t="n">
        <v>17</v>
      </c>
      <c r="BG1644" t="n">
        <v>3</v>
      </c>
      <c r="BH1644" t="n">
        <v>7</v>
      </c>
      <c r="BI1644" t="n">
        <v>122</v>
      </c>
      <c r="BJ1644" t="n">
        <v>112</v>
      </c>
      <c r="BK1644" t="n">
        <v>1</v>
      </c>
      <c r="BL1644" t="n">
        <v>30</v>
      </c>
      <c r="BM1644" t="n">
        <v>36</v>
      </c>
      <c r="BN1644" t="n">
        <v>12</v>
      </c>
      <c r="BO1644" t="n">
        <v>2</v>
      </c>
    </row>
    <row r="1645">
      <c r="A1645" t="n">
        <v>0</v>
      </c>
      <c r="B1645" t="n">
        <v>1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2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338</v>
      </c>
      <c r="Z1645" t="n">
        <v>290</v>
      </c>
      <c r="AA1645" t="n">
        <v>38</v>
      </c>
      <c r="AB1645" t="n">
        <v>3</v>
      </c>
      <c r="AC1645" t="n">
        <v>2</v>
      </c>
      <c r="AD1645" t="n">
        <v>3</v>
      </c>
      <c r="AE1645" t="n">
        <v>3</v>
      </c>
      <c r="AF1645" t="n">
        <v>1</v>
      </c>
      <c r="AG1645" t="n">
        <v>8</v>
      </c>
      <c r="AH1645" t="n">
        <v>88</v>
      </c>
      <c r="AI1645" t="n">
        <v>77</v>
      </c>
      <c r="AJ1645" t="n">
        <v>36</v>
      </c>
      <c r="AK1645" t="n">
        <v>96</v>
      </c>
      <c r="AL1645" t="n">
        <v>5</v>
      </c>
      <c r="AM1645" t="n">
        <v>2</v>
      </c>
      <c r="AN1645" t="n">
        <v>0</v>
      </c>
      <c r="AO1645" t="n">
        <v>0</v>
      </c>
      <c r="AP1645" t="n">
        <v>5</v>
      </c>
      <c r="AQ1645" t="n">
        <v>30</v>
      </c>
      <c r="AR1645" t="n">
        <v>67</v>
      </c>
      <c r="AS1645" t="n">
        <v>41</v>
      </c>
      <c r="AT1645" t="n">
        <v>0</v>
      </c>
      <c r="AU1645" t="n">
        <v>5</v>
      </c>
      <c r="AV1645" t="n">
        <v>6</v>
      </c>
      <c r="AW1645" t="n">
        <v>47</v>
      </c>
      <c r="AX1645" t="n">
        <v>0</v>
      </c>
      <c r="AY1645" t="n">
        <v>27</v>
      </c>
      <c r="AZ1645" t="n">
        <v>2</v>
      </c>
      <c r="BA1645" t="n">
        <v>5</v>
      </c>
      <c r="BB1645" t="n">
        <v>40</v>
      </c>
      <c r="BC1645" t="n">
        <v>4</v>
      </c>
      <c r="BD1645" t="n">
        <v>97</v>
      </c>
      <c r="BE1645" t="n">
        <v>50</v>
      </c>
      <c r="BF1645" t="n">
        <v>28</v>
      </c>
      <c r="BG1645" t="n">
        <v>0</v>
      </c>
      <c r="BH1645" t="n">
        <v>0</v>
      </c>
      <c r="BI1645" t="n">
        <v>21</v>
      </c>
      <c r="BJ1645" t="n">
        <v>26</v>
      </c>
      <c r="BK1645" t="n">
        <v>3</v>
      </c>
      <c r="BL1645" t="n">
        <v>8</v>
      </c>
      <c r="BM1645" t="n">
        <v>11</v>
      </c>
      <c r="BN1645" t="n">
        <v>4</v>
      </c>
      <c r="BO1645" t="n">
        <v>-12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2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270</v>
      </c>
      <c r="Z1646" t="n">
        <v>96</v>
      </c>
      <c r="AA1646" t="n">
        <v>64</v>
      </c>
      <c r="AB1646" t="n">
        <v>1</v>
      </c>
      <c r="AC1646" t="n">
        <v>0</v>
      </c>
      <c r="AD1646" t="n">
        <v>2</v>
      </c>
      <c r="AE1646" t="n">
        <v>3</v>
      </c>
      <c r="AF1646" t="n">
        <v>0</v>
      </c>
      <c r="AG1646" t="n">
        <v>5</v>
      </c>
      <c r="AH1646" t="n">
        <v>18</v>
      </c>
      <c r="AI1646" t="n">
        <v>28</v>
      </c>
      <c r="AJ1646" t="n">
        <v>2</v>
      </c>
      <c r="AK1646" t="n">
        <v>36</v>
      </c>
      <c r="AL1646" t="n">
        <v>2</v>
      </c>
      <c r="AM1646" t="n">
        <v>11</v>
      </c>
      <c r="AN1646" t="n">
        <v>0</v>
      </c>
      <c r="AO1646" t="n">
        <v>0</v>
      </c>
      <c r="AP1646" t="n">
        <v>9</v>
      </c>
      <c r="AQ1646" t="n">
        <v>68</v>
      </c>
      <c r="AR1646" t="n">
        <v>146</v>
      </c>
      <c r="AS1646" t="n">
        <v>89</v>
      </c>
      <c r="AT1646" t="n">
        <v>5</v>
      </c>
      <c r="AU1646" t="n">
        <v>0</v>
      </c>
      <c r="AV1646" t="n">
        <v>55</v>
      </c>
      <c r="AW1646" t="n">
        <v>1</v>
      </c>
      <c r="AX1646" t="n">
        <v>0</v>
      </c>
      <c r="AY1646" t="n">
        <v>51</v>
      </c>
      <c r="AZ1646" t="n">
        <v>2</v>
      </c>
      <c r="BA1646" t="n">
        <v>5</v>
      </c>
      <c r="BB1646" t="n">
        <v>66</v>
      </c>
      <c r="BC1646" t="n">
        <v>16</v>
      </c>
      <c r="BD1646" t="n">
        <v>15</v>
      </c>
      <c r="BE1646" t="n">
        <v>1</v>
      </c>
      <c r="BF1646" t="n">
        <v>3</v>
      </c>
      <c r="BG1646" t="n">
        <v>3</v>
      </c>
      <c r="BH1646" t="n">
        <v>10</v>
      </c>
      <c r="BI1646" t="n">
        <v>12</v>
      </c>
      <c r="BJ1646" t="n">
        <v>13</v>
      </c>
      <c r="BK1646" t="n">
        <v>0</v>
      </c>
      <c r="BL1646" t="n">
        <v>1</v>
      </c>
      <c r="BM1646" t="n">
        <v>18</v>
      </c>
      <c r="BN1646" t="n">
        <v>10</v>
      </c>
      <c r="BO1646" t="n">
        <v>2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235</v>
      </c>
      <c r="Z1647" t="n">
        <v>195</v>
      </c>
      <c r="AA1647" t="n">
        <v>16</v>
      </c>
      <c r="AB1647" t="n">
        <v>0</v>
      </c>
      <c r="AC1647" t="n">
        <v>0</v>
      </c>
      <c r="AD1647" t="n">
        <v>7</v>
      </c>
      <c r="AE1647" t="n">
        <v>6</v>
      </c>
      <c r="AF1647" t="n">
        <v>2</v>
      </c>
      <c r="AG1647" t="n">
        <v>0</v>
      </c>
      <c r="AH1647" t="n">
        <v>78</v>
      </c>
      <c r="AI1647" t="n">
        <v>21</v>
      </c>
      <c r="AJ1647" t="n">
        <v>30</v>
      </c>
      <c r="AK1647" t="n">
        <v>4</v>
      </c>
      <c r="AL1647" t="n">
        <v>1</v>
      </c>
      <c r="AM1647" t="n">
        <v>32</v>
      </c>
      <c r="AN1647" t="n">
        <v>0</v>
      </c>
      <c r="AO1647" t="n">
        <v>0</v>
      </c>
      <c r="AP1647" t="n">
        <v>0</v>
      </c>
      <c r="AQ1647" t="n">
        <v>1</v>
      </c>
      <c r="AR1647" t="n">
        <v>171</v>
      </c>
      <c r="AS1647" t="n">
        <v>159</v>
      </c>
      <c r="AT1647" t="n">
        <v>5</v>
      </c>
      <c r="AU1647" t="n">
        <v>2</v>
      </c>
      <c r="AV1647" t="n">
        <v>66</v>
      </c>
      <c r="AW1647" t="n">
        <v>42</v>
      </c>
      <c r="AX1647" t="n">
        <v>2</v>
      </c>
      <c r="AY1647" t="n">
        <v>40</v>
      </c>
      <c r="AZ1647" t="n">
        <v>0</v>
      </c>
      <c r="BA1647" t="n">
        <v>1</v>
      </c>
      <c r="BB1647" t="n">
        <v>17</v>
      </c>
      <c r="BC1647" t="n">
        <v>32</v>
      </c>
      <c r="BD1647" t="n">
        <v>83</v>
      </c>
      <c r="BE1647" t="n">
        <v>42</v>
      </c>
      <c r="BF1647" t="n">
        <v>24</v>
      </c>
      <c r="BG1647" t="n">
        <v>2</v>
      </c>
      <c r="BH1647" t="n">
        <v>9</v>
      </c>
      <c r="BI1647" t="n">
        <v>15</v>
      </c>
      <c r="BJ1647" t="n">
        <v>15</v>
      </c>
      <c r="BK1647" t="n">
        <v>2</v>
      </c>
      <c r="BL1647" t="n">
        <v>3</v>
      </c>
      <c r="BM1647" t="n">
        <v>22</v>
      </c>
      <c r="BN1647" t="n">
        <v>12</v>
      </c>
      <c r="BO1647" t="n">
        <v>28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2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131</v>
      </c>
      <c r="Z1648" t="n">
        <v>173</v>
      </c>
      <c r="AA1648" t="n">
        <v>128</v>
      </c>
      <c r="AB1648" t="n">
        <v>1</v>
      </c>
      <c r="AC1648" t="n">
        <v>2</v>
      </c>
      <c r="AD1648" t="n">
        <v>3</v>
      </c>
      <c r="AE1648" t="n">
        <v>3</v>
      </c>
      <c r="AF1648" t="n">
        <v>4</v>
      </c>
      <c r="AG1648" t="n">
        <v>3</v>
      </c>
      <c r="AH1648" t="n">
        <v>34</v>
      </c>
      <c r="AI1648" t="n">
        <v>2</v>
      </c>
      <c r="AJ1648" t="n">
        <v>18</v>
      </c>
      <c r="AK1648" t="n">
        <v>47</v>
      </c>
      <c r="AL1648" t="n">
        <v>4</v>
      </c>
      <c r="AM1648" t="n">
        <v>47</v>
      </c>
      <c r="AN1648" t="n">
        <v>0</v>
      </c>
      <c r="AO1648" t="n">
        <v>0</v>
      </c>
      <c r="AP1648" t="n">
        <v>3</v>
      </c>
      <c r="AQ1648" t="n">
        <v>13</v>
      </c>
      <c r="AR1648" t="n">
        <v>67</v>
      </c>
      <c r="AS1648" t="n">
        <v>54</v>
      </c>
      <c r="AT1648" t="n">
        <v>2</v>
      </c>
      <c r="AU1648" t="n">
        <v>1</v>
      </c>
      <c r="AV1648" t="n">
        <v>12</v>
      </c>
      <c r="AW1648" t="n">
        <v>7</v>
      </c>
      <c r="AX1648" t="n">
        <v>0</v>
      </c>
      <c r="AY1648" t="n">
        <v>39</v>
      </c>
      <c r="AZ1648" t="n">
        <v>0</v>
      </c>
      <c r="BA1648" t="n">
        <v>1</v>
      </c>
      <c r="BB1648" t="n">
        <v>124</v>
      </c>
      <c r="BC1648" t="n">
        <v>42</v>
      </c>
      <c r="BD1648" t="n">
        <v>30</v>
      </c>
      <c r="BE1648" t="n">
        <v>16</v>
      </c>
      <c r="BF1648" t="n">
        <v>13</v>
      </c>
      <c r="BG1648" t="n">
        <v>6</v>
      </c>
      <c r="BH1648" t="n">
        <v>2</v>
      </c>
      <c r="BI1648" t="n">
        <v>33</v>
      </c>
      <c r="BJ1648" t="n">
        <v>30</v>
      </c>
      <c r="BK1648" t="n">
        <v>3</v>
      </c>
      <c r="BL1648" t="n">
        <v>27</v>
      </c>
      <c r="BM1648" t="n">
        <v>18</v>
      </c>
      <c r="BN1648" t="n">
        <v>0</v>
      </c>
      <c r="BO1648" t="n">
        <v>2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170</v>
      </c>
      <c r="Z1649" t="n">
        <v>137</v>
      </c>
      <c r="AA1649" t="n">
        <v>132</v>
      </c>
      <c r="AB1649" t="n">
        <v>0</v>
      </c>
      <c r="AC1649" t="n">
        <v>0</v>
      </c>
      <c r="AD1649" t="n">
        <v>3</v>
      </c>
      <c r="AE1649" t="n">
        <v>0</v>
      </c>
      <c r="AF1649" t="n">
        <v>2</v>
      </c>
      <c r="AG1649" t="n">
        <v>5</v>
      </c>
      <c r="AH1649" t="n">
        <v>41</v>
      </c>
      <c r="AI1649" t="n">
        <v>26</v>
      </c>
      <c r="AJ1649" t="n">
        <v>7</v>
      </c>
      <c r="AK1649" t="n">
        <v>87</v>
      </c>
      <c r="AL1649" t="n">
        <v>4</v>
      </c>
      <c r="AM1649" t="n">
        <v>28</v>
      </c>
      <c r="AN1649" t="n">
        <v>0</v>
      </c>
      <c r="AO1649" t="n">
        <v>0</v>
      </c>
      <c r="AP1649" t="n">
        <v>12</v>
      </c>
      <c r="AQ1649" t="n">
        <v>48</v>
      </c>
      <c r="AR1649" t="n">
        <v>129</v>
      </c>
      <c r="AS1649" t="n">
        <v>87</v>
      </c>
      <c r="AT1649" t="n">
        <v>1</v>
      </c>
      <c r="AU1649" t="n">
        <v>2</v>
      </c>
      <c r="AV1649" t="n">
        <v>17</v>
      </c>
      <c r="AW1649" t="n">
        <v>24</v>
      </c>
      <c r="AX1649" t="n">
        <v>4</v>
      </c>
      <c r="AY1649" t="n">
        <v>69</v>
      </c>
      <c r="AZ1649" t="n">
        <v>3</v>
      </c>
      <c r="BA1649" t="n">
        <v>18</v>
      </c>
      <c r="BB1649" t="n">
        <v>140</v>
      </c>
      <c r="BC1649" t="n">
        <v>23</v>
      </c>
      <c r="BD1649" t="n">
        <v>41</v>
      </c>
      <c r="BE1649" t="n">
        <v>36</v>
      </c>
      <c r="BF1649" t="n">
        <v>6</v>
      </c>
      <c r="BG1649" t="n">
        <v>1</v>
      </c>
      <c r="BH1649" t="n">
        <v>0</v>
      </c>
      <c r="BI1649" t="n">
        <v>6</v>
      </c>
      <c r="BJ1649" t="n">
        <v>6</v>
      </c>
      <c r="BK1649" t="n">
        <v>3</v>
      </c>
      <c r="BL1649" t="n">
        <v>10</v>
      </c>
      <c r="BM1649" t="n">
        <v>17</v>
      </c>
      <c r="BN1649" t="n">
        <v>7</v>
      </c>
      <c r="BO1649" t="n">
        <v>75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233</v>
      </c>
      <c r="Z1650" t="n">
        <v>268</v>
      </c>
      <c r="AA1650" t="n">
        <v>72</v>
      </c>
      <c r="AB1650" t="n">
        <v>0</v>
      </c>
      <c r="AC1650" t="n">
        <v>1</v>
      </c>
      <c r="AD1650" t="n">
        <v>4</v>
      </c>
      <c r="AE1650" t="n">
        <v>3</v>
      </c>
      <c r="AF1650" t="n">
        <v>5</v>
      </c>
      <c r="AG1650" t="n">
        <v>0</v>
      </c>
      <c r="AH1650" t="n">
        <v>76</v>
      </c>
      <c r="AI1650" t="n">
        <v>20</v>
      </c>
      <c r="AJ1650" t="n">
        <v>40</v>
      </c>
      <c r="AK1650" t="n">
        <v>19</v>
      </c>
      <c r="AL1650" t="n">
        <v>2</v>
      </c>
      <c r="AM1650" t="n">
        <v>81</v>
      </c>
      <c r="AN1650" t="n">
        <v>0</v>
      </c>
      <c r="AO1650" t="n">
        <v>0</v>
      </c>
      <c r="AP1650" t="n">
        <v>7</v>
      </c>
      <c r="AQ1650" t="n">
        <v>26</v>
      </c>
      <c r="AR1650" t="n">
        <v>119</v>
      </c>
      <c r="AS1650" t="n">
        <v>95</v>
      </c>
      <c r="AT1650" t="n">
        <v>3</v>
      </c>
      <c r="AU1650" t="n">
        <v>2</v>
      </c>
      <c r="AV1650" t="n">
        <v>28</v>
      </c>
      <c r="AW1650" t="n">
        <v>37</v>
      </c>
      <c r="AX1650" t="n">
        <v>0</v>
      </c>
      <c r="AY1650" t="n">
        <v>15</v>
      </c>
      <c r="AZ1650" t="n">
        <v>2</v>
      </c>
      <c r="BA1650" t="n">
        <v>21</v>
      </c>
      <c r="BB1650" t="n">
        <v>90</v>
      </c>
      <c r="BC1650" t="n">
        <v>67</v>
      </c>
      <c r="BD1650" t="n">
        <v>70</v>
      </c>
      <c r="BE1650" t="n">
        <v>39</v>
      </c>
      <c r="BF1650" t="n">
        <v>32</v>
      </c>
      <c r="BG1650" t="n">
        <v>2</v>
      </c>
      <c r="BH1650" t="n">
        <v>10</v>
      </c>
      <c r="BI1650" t="n">
        <v>48</v>
      </c>
      <c r="BJ1650" t="n">
        <v>45</v>
      </c>
      <c r="BK1650" t="n">
        <v>3</v>
      </c>
      <c r="BL1650" t="n">
        <v>22</v>
      </c>
      <c r="BM1650" t="n">
        <v>31</v>
      </c>
      <c r="BN1650" t="n">
        <v>11</v>
      </c>
      <c r="BO1650" t="n">
        <v>2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2</v>
      </c>
      <c r="U1651" t="n">
        <v>0</v>
      </c>
      <c r="V1651" t="n">
        <v>0</v>
      </c>
      <c r="W1651" t="n">
        <v>0</v>
      </c>
      <c r="X1651" t="n">
        <v>0</v>
      </c>
      <c r="Y1651" t="n">
        <v>250</v>
      </c>
      <c r="Z1651" t="n">
        <v>307</v>
      </c>
      <c r="AA1651" t="n">
        <v>53</v>
      </c>
      <c r="AB1651" t="n">
        <v>1</v>
      </c>
      <c r="AC1651" t="n">
        <v>1</v>
      </c>
      <c r="AD1651" t="n">
        <v>4</v>
      </c>
      <c r="AE1651" t="n">
        <v>0</v>
      </c>
      <c r="AF1651" t="n">
        <v>4</v>
      </c>
      <c r="AG1651" t="n">
        <v>7</v>
      </c>
      <c r="AH1651" t="n">
        <v>36</v>
      </c>
      <c r="AI1651" t="n">
        <v>2</v>
      </c>
      <c r="AJ1651" t="n">
        <v>73</v>
      </c>
      <c r="AK1651" t="n">
        <v>42</v>
      </c>
      <c r="AL1651" t="n">
        <v>3</v>
      </c>
      <c r="AM1651" t="n">
        <v>25</v>
      </c>
      <c r="AN1651" t="n">
        <v>0</v>
      </c>
      <c r="AO1651" t="n">
        <v>0</v>
      </c>
      <c r="AP1651" t="n">
        <v>6</v>
      </c>
      <c r="AQ1651" t="n">
        <v>23</v>
      </c>
      <c r="AR1651" t="n">
        <v>63</v>
      </c>
      <c r="AS1651" t="n">
        <v>46</v>
      </c>
      <c r="AT1651" t="n">
        <v>4</v>
      </c>
      <c r="AU1651" t="n">
        <v>2</v>
      </c>
      <c r="AV1651" t="n">
        <v>20</v>
      </c>
      <c r="AW1651" t="n">
        <v>74</v>
      </c>
      <c r="AX1651" t="n">
        <v>0</v>
      </c>
      <c r="AY1651" t="n">
        <v>10</v>
      </c>
      <c r="AZ1651" t="n">
        <v>6</v>
      </c>
      <c r="BA1651" t="n">
        <v>50</v>
      </c>
      <c r="BB1651" t="n">
        <v>108</v>
      </c>
      <c r="BC1651" t="n">
        <v>21</v>
      </c>
      <c r="BD1651" t="n">
        <v>69</v>
      </c>
      <c r="BE1651" t="n">
        <v>74</v>
      </c>
      <c r="BF1651" t="n">
        <v>58</v>
      </c>
      <c r="BG1651" t="n">
        <v>3</v>
      </c>
      <c r="BH1651" t="n">
        <v>13</v>
      </c>
      <c r="BI1651" t="n">
        <v>14</v>
      </c>
      <c r="BJ1651" t="n">
        <v>34</v>
      </c>
      <c r="BK1651" t="n">
        <v>3</v>
      </c>
      <c r="BL1651" t="n">
        <v>5</v>
      </c>
      <c r="BM1651" t="n">
        <v>1</v>
      </c>
      <c r="BN1651" t="n">
        <v>1</v>
      </c>
      <c r="BO1651" t="n">
        <v>2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146</v>
      </c>
      <c r="Z1652" t="n">
        <v>152</v>
      </c>
      <c r="AA1652" t="n">
        <v>50</v>
      </c>
      <c r="AB1652" t="n">
        <v>2</v>
      </c>
      <c r="AC1652" t="n">
        <v>0</v>
      </c>
      <c r="AD1652" t="n">
        <v>6</v>
      </c>
      <c r="AE1652" t="n">
        <v>7</v>
      </c>
      <c r="AF1652" t="n">
        <v>5</v>
      </c>
      <c r="AG1652" t="n">
        <v>2</v>
      </c>
      <c r="AH1652" t="n">
        <v>19</v>
      </c>
      <c r="AI1652" t="n">
        <v>78</v>
      </c>
      <c r="AJ1652" t="n">
        <v>33</v>
      </c>
      <c r="AK1652" t="n">
        <v>1</v>
      </c>
      <c r="AL1652" t="n">
        <v>3</v>
      </c>
      <c r="AM1652" t="n">
        <v>35</v>
      </c>
      <c r="AN1652" t="n">
        <v>0</v>
      </c>
      <c r="AO1652" t="n">
        <v>0</v>
      </c>
      <c r="AP1652" t="n">
        <v>3</v>
      </c>
      <c r="AQ1652" t="n">
        <v>12</v>
      </c>
      <c r="AR1652" t="n">
        <v>56</v>
      </c>
      <c r="AS1652" t="n">
        <v>46</v>
      </c>
      <c r="AT1652" t="n">
        <v>0</v>
      </c>
      <c r="AU1652" t="n">
        <v>1</v>
      </c>
      <c r="AV1652" t="n">
        <v>5</v>
      </c>
      <c r="AW1652" t="n">
        <v>1</v>
      </c>
      <c r="AX1652" t="n">
        <v>0</v>
      </c>
      <c r="AY1652" t="n">
        <v>7</v>
      </c>
      <c r="AZ1652" t="n">
        <v>5</v>
      </c>
      <c r="BA1652" t="n">
        <v>24</v>
      </c>
      <c r="BB1652" t="n">
        <v>73</v>
      </c>
      <c r="BC1652" t="n">
        <v>34</v>
      </c>
      <c r="BD1652" t="n">
        <v>16</v>
      </c>
      <c r="BE1652" t="n">
        <v>4</v>
      </c>
      <c r="BF1652" t="n">
        <v>31</v>
      </c>
      <c r="BG1652" t="n">
        <v>3</v>
      </c>
      <c r="BH1652" t="n">
        <v>1</v>
      </c>
      <c r="BI1652" t="n">
        <v>6</v>
      </c>
      <c r="BJ1652" t="n">
        <v>3</v>
      </c>
      <c r="BK1652" t="n">
        <v>3</v>
      </c>
      <c r="BL1652" t="n">
        <v>11</v>
      </c>
      <c r="BM1652" t="n">
        <v>17</v>
      </c>
      <c r="BN1652" t="n">
        <v>6</v>
      </c>
      <c r="BO1652" t="n">
        <v>35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2</v>
      </c>
      <c r="H1653" t="n">
        <v>2</v>
      </c>
      <c r="I1653" t="n">
        <v>0</v>
      </c>
      <c r="J1653" t="n">
        <v>0</v>
      </c>
      <c r="K1653" t="n">
        <v>0</v>
      </c>
      <c r="L1653" t="n">
        <v>0</v>
      </c>
      <c r="M1653" t="n">
        <v>2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287</v>
      </c>
      <c r="Z1653" t="n">
        <v>256</v>
      </c>
      <c r="AA1653" t="n">
        <v>31</v>
      </c>
      <c r="AB1653" t="n">
        <v>2</v>
      </c>
      <c r="AC1653" t="n">
        <v>0</v>
      </c>
      <c r="AD1653" t="n">
        <v>7</v>
      </c>
      <c r="AE1653" t="n">
        <v>3</v>
      </c>
      <c r="AF1653" t="n">
        <v>1</v>
      </c>
      <c r="AG1653" t="n">
        <v>5</v>
      </c>
      <c r="AH1653" t="n">
        <v>115</v>
      </c>
      <c r="AI1653" t="n">
        <v>31</v>
      </c>
      <c r="AJ1653" t="n">
        <v>38</v>
      </c>
      <c r="AK1653" t="n">
        <v>65</v>
      </c>
      <c r="AL1653" t="n">
        <v>5</v>
      </c>
      <c r="AM1653" t="n">
        <v>83</v>
      </c>
      <c r="AN1653" t="n">
        <v>0</v>
      </c>
      <c r="AO1653" t="n">
        <v>0</v>
      </c>
      <c r="AP1653" t="n">
        <v>5</v>
      </c>
      <c r="AQ1653" t="n">
        <v>81</v>
      </c>
      <c r="AR1653" t="n">
        <v>104</v>
      </c>
      <c r="AS1653" t="n">
        <v>36</v>
      </c>
      <c r="AT1653" t="n">
        <v>1</v>
      </c>
      <c r="AU1653" t="n">
        <v>1</v>
      </c>
      <c r="AV1653" t="n">
        <v>38</v>
      </c>
      <c r="AW1653" t="n">
        <v>12</v>
      </c>
      <c r="AX1653" t="n">
        <v>6</v>
      </c>
      <c r="AY1653" t="n">
        <v>12</v>
      </c>
      <c r="AZ1653" t="n">
        <v>6</v>
      </c>
      <c r="BA1653" t="n">
        <v>56</v>
      </c>
      <c r="BB1653" t="n">
        <v>95</v>
      </c>
      <c r="BC1653" t="n">
        <v>80</v>
      </c>
      <c r="BD1653" t="n">
        <v>103</v>
      </c>
      <c r="BE1653" t="n">
        <v>11</v>
      </c>
      <c r="BF1653" t="n">
        <v>30</v>
      </c>
      <c r="BG1653" t="n">
        <v>0</v>
      </c>
      <c r="BH1653" t="n">
        <v>0</v>
      </c>
      <c r="BI1653" t="n">
        <v>1</v>
      </c>
      <c r="BJ1653" t="n">
        <v>11</v>
      </c>
      <c r="BK1653" t="n">
        <v>0</v>
      </c>
      <c r="BL1653" t="n">
        <v>5</v>
      </c>
      <c r="BM1653" t="n">
        <v>58</v>
      </c>
      <c r="BN1653" t="n">
        <v>39</v>
      </c>
      <c r="BO1653" t="n">
        <v>2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2</v>
      </c>
      <c r="S1654" t="n">
        <v>0</v>
      </c>
      <c r="T1654" t="n">
        <v>2</v>
      </c>
      <c r="U1654" t="n">
        <v>0</v>
      </c>
      <c r="V1654" t="n">
        <v>0</v>
      </c>
      <c r="W1654" t="n">
        <v>0</v>
      </c>
      <c r="X1654" t="n">
        <v>0</v>
      </c>
      <c r="Y1654" t="n">
        <v>289</v>
      </c>
      <c r="Z1654" t="n">
        <v>126</v>
      </c>
      <c r="AA1654" t="n">
        <v>88</v>
      </c>
      <c r="AB1654" t="n">
        <v>0</v>
      </c>
      <c r="AC1654" t="n">
        <v>0</v>
      </c>
      <c r="AD1654" t="n">
        <v>8</v>
      </c>
      <c r="AE1654" t="n">
        <v>7</v>
      </c>
      <c r="AF1654" t="n">
        <v>4</v>
      </c>
      <c r="AG1654" t="n">
        <v>6</v>
      </c>
      <c r="AH1654" t="n">
        <v>65</v>
      </c>
      <c r="AI1654" t="n">
        <v>43</v>
      </c>
      <c r="AJ1654" t="n">
        <v>92</v>
      </c>
      <c r="AK1654" t="n">
        <v>54</v>
      </c>
      <c r="AL1654" t="n">
        <v>2</v>
      </c>
      <c r="AM1654" t="n">
        <v>16</v>
      </c>
      <c r="AN1654" t="n">
        <v>0</v>
      </c>
      <c r="AO1654" t="n">
        <v>0</v>
      </c>
      <c r="AP1654" t="n">
        <v>1</v>
      </c>
      <c r="AQ1654" t="n">
        <v>1</v>
      </c>
      <c r="AR1654" t="n">
        <v>139</v>
      </c>
      <c r="AS1654" t="n">
        <v>128</v>
      </c>
      <c r="AT1654" t="n">
        <v>0</v>
      </c>
      <c r="AU1654" t="n">
        <v>0</v>
      </c>
      <c r="AV1654" t="n">
        <v>1</v>
      </c>
      <c r="AW1654" t="n">
        <v>8</v>
      </c>
      <c r="AX1654" t="n">
        <v>0</v>
      </c>
      <c r="AY1654" t="n">
        <v>15</v>
      </c>
      <c r="AZ1654" t="n">
        <v>1</v>
      </c>
      <c r="BA1654" t="n">
        <v>31</v>
      </c>
      <c r="BB1654" t="n">
        <v>115</v>
      </c>
      <c r="BC1654" t="n">
        <v>13</v>
      </c>
      <c r="BD1654" t="n">
        <v>57</v>
      </c>
      <c r="BE1654" t="n">
        <v>23</v>
      </c>
      <c r="BF1654" t="n">
        <v>73</v>
      </c>
      <c r="BG1654" t="n">
        <v>1</v>
      </c>
      <c r="BH1654" t="n">
        <v>10</v>
      </c>
      <c r="BI1654" t="n">
        <v>1</v>
      </c>
      <c r="BJ1654" t="n">
        <v>6</v>
      </c>
      <c r="BK1654" t="n">
        <v>3</v>
      </c>
      <c r="BL1654" t="n">
        <v>13</v>
      </c>
      <c r="BM1654" t="n">
        <v>9</v>
      </c>
      <c r="BN1654" t="n">
        <v>1</v>
      </c>
      <c r="BO1654" t="n">
        <v>2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157</v>
      </c>
      <c r="Z1655" t="n">
        <v>167</v>
      </c>
      <c r="AA1655" t="n">
        <v>38</v>
      </c>
      <c r="AB1655" t="n">
        <v>2</v>
      </c>
      <c r="AC1655" t="n">
        <v>0</v>
      </c>
      <c r="AD1655" t="n">
        <v>7</v>
      </c>
      <c r="AE1655" t="n">
        <v>5</v>
      </c>
      <c r="AF1655" t="n">
        <v>4</v>
      </c>
      <c r="AG1655" t="n">
        <v>2</v>
      </c>
      <c r="AH1655" t="n">
        <v>54</v>
      </c>
      <c r="AI1655" t="n">
        <v>21</v>
      </c>
      <c r="AJ1655" t="n">
        <v>18</v>
      </c>
      <c r="AK1655" t="n">
        <v>1</v>
      </c>
      <c r="AL1655" t="n">
        <v>3</v>
      </c>
      <c r="AM1655" t="n">
        <v>27</v>
      </c>
      <c r="AN1655" t="n">
        <v>0</v>
      </c>
      <c r="AO1655" t="n">
        <v>0</v>
      </c>
      <c r="AP1655" t="n">
        <v>3</v>
      </c>
      <c r="AQ1655" t="n">
        <v>23</v>
      </c>
      <c r="AR1655" t="n">
        <v>141</v>
      </c>
      <c r="AS1655" t="n">
        <v>120</v>
      </c>
      <c r="AT1655" t="n">
        <v>3</v>
      </c>
      <c r="AU1655" t="n">
        <v>2</v>
      </c>
      <c r="AV1655" t="n">
        <v>23</v>
      </c>
      <c r="AW1655" t="n">
        <v>14</v>
      </c>
      <c r="AX1655" t="n">
        <v>1</v>
      </c>
      <c r="AY1655" t="n">
        <v>25</v>
      </c>
      <c r="AZ1655" t="n">
        <v>0</v>
      </c>
      <c r="BA1655" t="n">
        <v>1</v>
      </c>
      <c r="BB1655" t="n">
        <v>36</v>
      </c>
      <c r="BC1655" t="n">
        <v>27</v>
      </c>
      <c r="BD1655" t="n">
        <v>47</v>
      </c>
      <c r="BE1655" t="n">
        <v>22</v>
      </c>
      <c r="BF1655" t="n">
        <v>20</v>
      </c>
      <c r="BG1655" t="n">
        <v>4</v>
      </c>
      <c r="BH1655" t="n">
        <v>1</v>
      </c>
      <c r="BI1655" t="n">
        <v>27</v>
      </c>
      <c r="BJ1655" t="n">
        <v>29</v>
      </c>
      <c r="BK1655" t="n">
        <v>5</v>
      </c>
      <c r="BL1655" t="n">
        <v>26</v>
      </c>
      <c r="BM1655" t="n">
        <v>25</v>
      </c>
      <c r="BN1655" t="n">
        <v>6</v>
      </c>
      <c r="BO1655" t="n">
        <v>9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4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336</v>
      </c>
      <c r="Z1656" t="n">
        <v>459</v>
      </c>
      <c r="AA1656" t="n">
        <v>21</v>
      </c>
      <c r="AB1656" t="n">
        <v>4</v>
      </c>
      <c r="AC1656" t="n">
        <v>0</v>
      </c>
      <c r="AD1656" t="n">
        <v>4</v>
      </c>
      <c r="AE1656" t="n">
        <v>3</v>
      </c>
      <c r="AF1656" t="n">
        <v>5</v>
      </c>
      <c r="AG1656" t="n">
        <v>5</v>
      </c>
      <c r="AH1656" t="n">
        <v>63</v>
      </c>
      <c r="AI1656" t="n">
        <v>54</v>
      </c>
      <c r="AJ1656" t="n">
        <v>94</v>
      </c>
      <c r="AK1656" t="n">
        <v>41</v>
      </c>
      <c r="AL1656" t="n">
        <v>2</v>
      </c>
      <c r="AM1656" t="n">
        <v>27</v>
      </c>
      <c r="AN1656" t="n">
        <v>0</v>
      </c>
      <c r="AO1656" t="n">
        <v>0</v>
      </c>
      <c r="AP1656" t="n">
        <v>5</v>
      </c>
      <c r="AQ1656" t="n">
        <v>65</v>
      </c>
      <c r="AR1656" t="n">
        <v>202</v>
      </c>
      <c r="AS1656" t="n">
        <v>141</v>
      </c>
      <c r="AT1656" t="n">
        <v>1</v>
      </c>
      <c r="AU1656" t="n">
        <v>2</v>
      </c>
      <c r="AV1656" t="n">
        <v>33</v>
      </c>
      <c r="AW1656" t="n">
        <v>25</v>
      </c>
      <c r="AX1656" t="n">
        <v>14</v>
      </c>
      <c r="AY1656" t="n">
        <v>1</v>
      </c>
      <c r="AZ1656" t="n">
        <v>2</v>
      </c>
      <c r="BA1656" t="n">
        <v>22</v>
      </c>
      <c r="BB1656" t="n">
        <v>43</v>
      </c>
      <c r="BC1656" t="n">
        <v>24</v>
      </c>
      <c r="BD1656" t="n">
        <v>59</v>
      </c>
      <c r="BE1656" t="n">
        <v>25</v>
      </c>
      <c r="BF1656" t="n">
        <v>75</v>
      </c>
      <c r="BG1656" t="n">
        <v>2</v>
      </c>
      <c r="BH1656" t="n">
        <v>12</v>
      </c>
      <c r="BI1656" t="n">
        <v>32</v>
      </c>
      <c r="BJ1656" t="n">
        <v>28</v>
      </c>
      <c r="BK1656" t="n">
        <v>2</v>
      </c>
      <c r="BL1656" t="n">
        <v>16</v>
      </c>
      <c r="BM1656" t="n">
        <v>29</v>
      </c>
      <c r="BN1656" t="n">
        <v>12</v>
      </c>
      <c r="BO1656" t="n">
        <v>16</v>
      </c>
    </row>
    <row r="1657">
      <c r="A1657" t="n">
        <v>0</v>
      </c>
      <c r="B1657" t="n">
        <v>0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2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2</v>
      </c>
      <c r="U1657" t="n">
        <v>0</v>
      </c>
      <c r="V1657" t="n">
        <v>0</v>
      </c>
      <c r="W1657" t="n">
        <v>1</v>
      </c>
      <c r="X1657" t="n">
        <v>0</v>
      </c>
      <c r="Y1657" t="n">
        <v>119</v>
      </c>
      <c r="Z1657" t="n">
        <v>202</v>
      </c>
      <c r="AA1657" t="n">
        <v>56</v>
      </c>
      <c r="AB1657" t="n">
        <v>1</v>
      </c>
      <c r="AC1657" t="n">
        <v>1</v>
      </c>
      <c r="AD1657" t="n">
        <v>2</v>
      </c>
      <c r="AE1657" t="n">
        <v>8</v>
      </c>
      <c r="AF1657" t="n">
        <v>1</v>
      </c>
      <c r="AG1657" t="n">
        <v>4</v>
      </c>
      <c r="AH1657" t="n">
        <v>15</v>
      </c>
      <c r="AI1657" t="n">
        <v>79</v>
      </c>
      <c r="AJ1657" t="n">
        <v>25</v>
      </c>
      <c r="AK1657" t="n">
        <v>7</v>
      </c>
      <c r="AL1657" t="n">
        <v>8</v>
      </c>
      <c r="AM1657" t="n">
        <v>81</v>
      </c>
      <c r="AN1657" t="n">
        <v>1</v>
      </c>
      <c r="AO1657" t="n">
        <v>1</v>
      </c>
      <c r="AP1657" t="n">
        <v>1</v>
      </c>
      <c r="AQ1657" t="n">
        <v>13</v>
      </c>
      <c r="AR1657" t="n">
        <v>54</v>
      </c>
      <c r="AS1657" t="n">
        <v>42</v>
      </c>
      <c r="AT1657" t="n">
        <v>2</v>
      </c>
      <c r="AU1657" t="n">
        <v>1</v>
      </c>
      <c r="AV1657" t="n">
        <v>21</v>
      </c>
      <c r="AW1657" t="n">
        <v>1</v>
      </c>
      <c r="AX1657" t="n">
        <v>2</v>
      </c>
      <c r="AY1657" t="n">
        <v>27</v>
      </c>
      <c r="AZ1657" t="n">
        <v>2</v>
      </c>
      <c r="BA1657" t="n">
        <v>15</v>
      </c>
      <c r="BB1657" t="n">
        <v>67</v>
      </c>
      <c r="BC1657" t="n">
        <v>67</v>
      </c>
      <c r="BD1657" t="n">
        <v>50</v>
      </c>
      <c r="BE1657" t="n">
        <v>3</v>
      </c>
      <c r="BF1657" t="n">
        <v>19</v>
      </c>
      <c r="BG1657" t="n">
        <v>4</v>
      </c>
      <c r="BH1657" t="n">
        <v>5</v>
      </c>
      <c r="BI1657" t="n">
        <v>43</v>
      </c>
      <c r="BJ1657" t="n">
        <v>41</v>
      </c>
      <c r="BK1657" t="n">
        <v>0</v>
      </c>
      <c r="BL1657" t="n">
        <v>1</v>
      </c>
      <c r="BM1657" t="n">
        <v>5</v>
      </c>
      <c r="BN1657" t="n">
        <v>3</v>
      </c>
      <c r="BO1657" t="n">
        <v>86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2</v>
      </c>
      <c r="U1658" t="n">
        <v>0</v>
      </c>
      <c r="V1658" t="n">
        <v>0</v>
      </c>
      <c r="W1658" t="n">
        <v>0</v>
      </c>
      <c r="X1658" t="n">
        <v>0</v>
      </c>
      <c r="Y1658" t="n">
        <v>179</v>
      </c>
      <c r="Z1658" t="n">
        <v>137</v>
      </c>
      <c r="AA1658" t="n">
        <v>73</v>
      </c>
      <c r="AB1658" t="n">
        <v>0</v>
      </c>
      <c r="AC1658" t="n">
        <v>0</v>
      </c>
      <c r="AD1658" t="n">
        <v>2</v>
      </c>
      <c r="AE1658" t="n">
        <v>7</v>
      </c>
      <c r="AF1658" t="n">
        <v>6</v>
      </c>
      <c r="AG1658" t="n">
        <v>3</v>
      </c>
      <c r="AH1658" t="n">
        <v>18</v>
      </c>
      <c r="AI1658" t="n">
        <v>34</v>
      </c>
      <c r="AJ1658" t="n">
        <v>59</v>
      </c>
      <c r="AK1658" t="n">
        <v>15</v>
      </c>
      <c r="AL1658" t="n">
        <v>3</v>
      </c>
      <c r="AM1658" t="n">
        <v>70</v>
      </c>
      <c r="AN1658" t="n">
        <v>0</v>
      </c>
      <c r="AO1658" t="n">
        <v>0</v>
      </c>
      <c r="AP1658" t="n">
        <v>1</v>
      </c>
      <c r="AQ1658" t="n">
        <v>1</v>
      </c>
      <c r="AR1658" t="n">
        <v>128</v>
      </c>
      <c r="AS1658" t="n">
        <v>118</v>
      </c>
      <c r="AT1658" t="n">
        <v>2</v>
      </c>
      <c r="AU1658" t="n">
        <v>0</v>
      </c>
      <c r="AV1658" t="n">
        <v>38</v>
      </c>
      <c r="AW1658" t="n">
        <v>1</v>
      </c>
      <c r="AX1658" t="n">
        <v>3</v>
      </c>
      <c r="AY1658" t="n">
        <v>14</v>
      </c>
      <c r="AZ1658" t="n">
        <v>2</v>
      </c>
      <c r="BA1658" t="n">
        <v>4</v>
      </c>
      <c r="BB1658" t="n">
        <v>73</v>
      </c>
      <c r="BC1658" t="n">
        <v>61</v>
      </c>
      <c r="BD1658" t="n">
        <v>16</v>
      </c>
      <c r="BE1658" t="n">
        <v>1</v>
      </c>
      <c r="BF1658" t="n">
        <v>60</v>
      </c>
      <c r="BG1658" t="n">
        <v>5</v>
      </c>
      <c r="BH1658" t="n">
        <v>4</v>
      </c>
      <c r="BI1658" t="n">
        <v>39</v>
      </c>
      <c r="BJ1658" t="n">
        <v>45</v>
      </c>
      <c r="BK1658" t="n">
        <v>3</v>
      </c>
      <c r="BL1658" t="n">
        <v>16</v>
      </c>
      <c r="BM1658" t="n">
        <v>12</v>
      </c>
      <c r="BN1658" t="n">
        <v>2</v>
      </c>
      <c r="BO1658" t="n">
        <v>25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175</v>
      </c>
      <c r="Z1659" t="n">
        <v>216</v>
      </c>
      <c r="AA1659" t="n">
        <v>51</v>
      </c>
      <c r="AB1659" t="n">
        <v>2</v>
      </c>
      <c r="AC1659" t="n">
        <v>1</v>
      </c>
      <c r="AD1659" t="n">
        <v>10</v>
      </c>
      <c r="AE1659" t="n">
        <v>4</v>
      </c>
      <c r="AF1659" t="n">
        <v>3</v>
      </c>
      <c r="AG1659" t="n">
        <v>2</v>
      </c>
      <c r="AH1659" t="n">
        <v>71</v>
      </c>
      <c r="AI1659" t="n">
        <v>2</v>
      </c>
      <c r="AJ1659" t="n">
        <v>22</v>
      </c>
      <c r="AK1659" t="n">
        <v>22</v>
      </c>
      <c r="AL1659" t="n">
        <v>5</v>
      </c>
      <c r="AM1659" t="n">
        <v>43</v>
      </c>
      <c r="AN1659" t="n">
        <v>0</v>
      </c>
      <c r="AO1659" t="n">
        <v>1</v>
      </c>
      <c r="AP1659" t="n">
        <v>5</v>
      </c>
      <c r="AQ1659" t="n">
        <v>13</v>
      </c>
      <c r="AR1659" t="n">
        <v>83</v>
      </c>
      <c r="AS1659" t="n">
        <v>70</v>
      </c>
      <c r="AT1659" t="n">
        <v>1</v>
      </c>
      <c r="AU1659" t="n">
        <v>2</v>
      </c>
      <c r="AV1659" t="n">
        <v>1</v>
      </c>
      <c r="AW1659" t="n">
        <v>21</v>
      </c>
      <c r="AX1659" t="n">
        <v>11</v>
      </c>
      <c r="AY1659" t="n">
        <v>23</v>
      </c>
      <c r="AZ1659" t="n">
        <v>5</v>
      </c>
      <c r="BA1659" t="n">
        <v>75</v>
      </c>
      <c r="BB1659" t="n">
        <v>132</v>
      </c>
      <c r="BC1659" t="n">
        <v>62</v>
      </c>
      <c r="BD1659" t="n">
        <v>64</v>
      </c>
      <c r="BE1659" t="n">
        <v>21</v>
      </c>
      <c r="BF1659" t="n">
        <v>22</v>
      </c>
      <c r="BG1659" t="n">
        <v>1</v>
      </c>
      <c r="BH1659" t="n">
        <v>14</v>
      </c>
      <c r="BI1659" t="n">
        <v>28</v>
      </c>
      <c r="BJ1659" t="n">
        <v>27</v>
      </c>
      <c r="BK1659" t="n">
        <v>6</v>
      </c>
      <c r="BL1659" t="n">
        <v>50</v>
      </c>
      <c r="BM1659" t="n">
        <v>49</v>
      </c>
      <c r="BN1659" t="n">
        <v>11</v>
      </c>
      <c r="BO1659" t="n">
        <v>30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352</v>
      </c>
      <c r="Z1660" t="n">
        <v>321</v>
      </c>
      <c r="AA1660" t="n">
        <v>49</v>
      </c>
      <c r="AB1660" t="n">
        <v>3</v>
      </c>
      <c r="AC1660" t="n">
        <v>2</v>
      </c>
      <c r="AD1660" t="n">
        <v>3</v>
      </c>
      <c r="AE1660" t="n">
        <v>11</v>
      </c>
      <c r="AF1660" t="n">
        <v>2</v>
      </c>
      <c r="AG1660" t="n">
        <v>3</v>
      </c>
      <c r="AH1660" t="n">
        <v>35</v>
      </c>
      <c r="AI1660" t="n">
        <v>132</v>
      </c>
      <c r="AJ1660" t="n">
        <v>10</v>
      </c>
      <c r="AK1660" t="n">
        <v>63</v>
      </c>
      <c r="AL1660" t="n">
        <v>6</v>
      </c>
      <c r="AM1660" t="n">
        <v>136</v>
      </c>
      <c r="AN1660" t="n">
        <v>0</v>
      </c>
      <c r="AO1660" t="n">
        <v>0</v>
      </c>
      <c r="AP1660" t="n">
        <v>9</v>
      </c>
      <c r="AQ1660" t="n">
        <v>116</v>
      </c>
      <c r="AR1660" t="n">
        <v>277</v>
      </c>
      <c r="AS1660" t="n">
        <v>191</v>
      </c>
      <c r="AT1660" t="n">
        <v>4</v>
      </c>
      <c r="AU1660" t="n">
        <v>1</v>
      </c>
      <c r="AV1660" t="n">
        <v>31</v>
      </c>
      <c r="AW1660" t="n">
        <v>1</v>
      </c>
      <c r="AX1660" t="n">
        <v>6</v>
      </c>
      <c r="AY1660" t="n">
        <v>22</v>
      </c>
      <c r="AZ1660" t="n">
        <v>4</v>
      </c>
      <c r="BA1660" t="n">
        <v>46</v>
      </c>
      <c r="BB1660" t="n">
        <v>97</v>
      </c>
      <c r="BC1660" t="n">
        <v>127</v>
      </c>
      <c r="BD1660" t="n">
        <v>39</v>
      </c>
      <c r="BE1660" t="n">
        <v>2</v>
      </c>
      <c r="BF1660" t="n">
        <v>7</v>
      </c>
      <c r="BG1660" t="n">
        <v>1</v>
      </c>
      <c r="BH1660" t="n">
        <v>37</v>
      </c>
      <c r="BI1660" t="n">
        <v>31</v>
      </c>
      <c r="BJ1660" t="n">
        <v>31</v>
      </c>
      <c r="BK1660" t="n">
        <v>3</v>
      </c>
      <c r="BL1660" t="n">
        <v>1</v>
      </c>
      <c r="BM1660" t="n">
        <v>4</v>
      </c>
      <c r="BN1660" t="n">
        <v>2</v>
      </c>
      <c r="BO1660" t="n">
        <v>2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2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278</v>
      </c>
      <c r="Z1661" t="n">
        <v>174</v>
      </c>
      <c r="AA1661" t="n">
        <v>23</v>
      </c>
      <c r="AB1661" t="n">
        <v>1</v>
      </c>
      <c r="AC1661" t="n">
        <v>1</v>
      </c>
      <c r="AD1661" t="n">
        <v>6</v>
      </c>
      <c r="AE1661" t="n">
        <v>7</v>
      </c>
      <c r="AF1661" t="n">
        <v>2</v>
      </c>
      <c r="AG1661" t="n">
        <v>1</v>
      </c>
      <c r="AH1661" t="n">
        <v>102</v>
      </c>
      <c r="AI1661" t="n">
        <v>80</v>
      </c>
      <c r="AJ1661" t="n">
        <v>9</v>
      </c>
      <c r="AK1661" t="n">
        <v>9</v>
      </c>
      <c r="AL1661" t="n">
        <v>1</v>
      </c>
      <c r="AM1661" t="n">
        <v>21</v>
      </c>
      <c r="AN1661" t="n">
        <v>1</v>
      </c>
      <c r="AO1661" t="n">
        <v>0</v>
      </c>
      <c r="AP1661" t="n">
        <v>3</v>
      </c>
      <c r="AQ1661" t="n">
        <v>68</v>
      </c>
      <c r="AR1661" t="n">
        <v>125</v>
      </c>
      <c r="AS1661" t="n">
        <v>65</v>
      </c>
      <c r="AT1661" t="n">
        <v>2</v>
      </c>
      <c r="AU1661" t="n">
        <v>0</v>
      </c>
      <c r="AV1661" t="n">
        <v>44</v>
      </c>
      <c r="AW1661" t="n">
        <v>12</v>
      </c>
      <c r="AX1661" t="n">
        <v>0</v>
      </c>
      <c r="AY1661" t="n">
        <v>28</v>
      </c>
      <c r="AZ1661" t="n">
        <v>3</v>
      </c>
      <c r="BA1661" t="n">
        <v>18</v>
      </c>
      <c r="BB1661" t="n">
        <v>42</v>
      </c>
      <c r="BC1661" t="n">
        <v>17</v>
      </c>
      <c r="BD1661" t="n">
        <v>92</v>
      </c>
      <c r="BE1661" t="n">
        <v>11</v>
      </c>
      <c r="BF1661" t="n">
        <v>4</v>
      </c>
      <c r="BG1661" t="n">
        <v>2</v>
      </c>
      <c r="BH1661" t="n">
        <v>0</v>
      </c>
      <c r="BI1661" t="n">
        <v>6</v>
      </c>
      <c r="BJ1661" t="n">
        <v>19</v>
      </c>
      <c r="BK1661" t="n">
        <v>1</v>
      </c>
      <c r="BL1661" t="n">
        <v>11</v>
      </c>
      <c r="BM1661" t="n">
        <v>8</v>
      </c>
      <c r="BN1661" t="n">
        <v>0</v>
      </c>
      <c r="BO1661" t="n">
        <v>2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254</v>
      </c>
      <c r="Z1662" t="n">
        <v>204</v>
      </c>
      <c r="AA1662" t="n">
        <v>135</v>
      </c>
      <c r="AB1662" t="n">
        <v>1</v>
      </c>
      <c r="AC1662" t="n">
        <v>0</v>
      </c>
      <c r="AD1662" t="n">
        <v>4</v>
      </c>
      <c r="AE1662" t="n">
        <v>1</v>
      </c>
      <c r="AF1662" t="n">
        <v>5</v>
      </c>
      <c r="AG1662" t="n">
        <v>4</v>
      </c>
      <c r="AH1662" t="n">
        <v>56</v>
      </c>
      <c r="AI1662" t="n">
        <v>81</v>
      </c>
      <c r="AJ1662" t="n">
        <v>57</v>
      </c>
      <c r="AK1662" t="n">
        <v>21</v>
      </c>
      <c r="AL1662" t="n">
        <v>1</v>
      </c>
      <c r="AM1662" t="n">
        <v>43</v>
      </c>
      <c r="AN1662" t="n">
        <v>0</v>
      </c>
      <c r="AO1662" t="n">
        <v>0</v>
      </c>
      <c r="AP1662" t="n">
        <v>7</v>
      </c>
      <c r="AQ1662" t="n">
        <v>23</v>
      </c>
      <c r="AR1662" t="n">
        <v>65</v>
      </c>
      <c r="AS1662" t="n">
        <v>47</v>
      </c>
      <c r="AT1662" t="n">
        <v>1</v>
      </c>
      <c r="AU1662" t="n">
        <v>1</v>
      </c>
      <c r="AV1662" t="n">
        <v>17</v>
      </c>
      <c r="AW1662" t="n">
        <v>24</v>
      </c>
      <c r="AX1662" t="n">
        <v>-1</v>
      </c>
      <c r="AY1662" t="n">
        <v>39</v>
      </c>
      <c r="AZ1662" t="n">
        <v>0</v>
      </c>
      <c r="BA1662" t="n">
        <v>1</v>
      </c>
      <c r="BB1662" t="n">
        <v>129</v>
      </c>
      <c r="BC1662" t="n">
        <v>36</v>
      </c>
      <c r="BD1662" t="n">
        <v>59</v>
      </c>
      <c r="BE1662" t="n">
        <v>23</v>
      </c>
      <c r="BF1662" t="n">
        <v>45</v>
      </c>
      <c r="BG1662" t="n">
        <v>3</v>
      </c>
      <c r="BH1662" t="n">
        <v>1</v>
      </c>
      <c r="BI1662" t="n">
        <v>70</v>
      </c>
      <c r="BJ1662" t="n">
        <v>76</v>
      </c>
      <c r="BK1662" t="n">
        <v>3</v>
      </c>
      <c r="BL1662" t="n">
        <v>9</v>
      </c>
      <c r="BM1662" t="n">
        <v>42</v>
      </c>
      <c r="BN1662" t="n">
        <v>23</v>
      </c>
      <c r="BO1662" t="n">
        <v>2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298</v>
      </c>
      <c r="Z1663" t="n">
        <v>231</v>
      </c>
      <c r="AA1663" t="n">
        <v>167</v>
      </c>
      <c r="AB1663" t="n">
        <v>0</v>
      </c>
      <c r="AC1663" t="n">
        <v>1</v>
      </c>
      <c r="AD1663" t="n">
        <v>4</v>
      </c>
      <c r="AE1663" t="n">
        <v>10</v>
      </c>
      <c r="AF1663" t="n">
        <v>2</v>
      </c>
      <c r="AG1663" t="n">
        <v>6</v>
      </c>
      <c r="AH1663" t="n">
        <v>62</v>
      </c>
      <c r="AI1663" t="n">
        <v>139</v>
      </c>
      <c r="AJ1663" t="n">
        <v>2</v>
      </c>
      <c r="AK1663" t="n">
        <v>81</v>
      </c>
      <c r="AL1663" t="n">
        <v>3</v>
      </c>
      <c r="AM1663" t="n">
        <v>39</v>
      </c>
      <c r="AN1663" t="n">
        <v>0</v>
      </c>
      <c r="AO1663" t="n">
        <v>0</v>
      </c>
      <c r="AP1663" t="n">
        <v>6</v>
      </c>
      <c r="AQ1663" t="n">
        <v>18</v>
      </c>
      <c r="AR1663" t="n">
        <v>64</v>
      </c>
      <c r="AS1663" t="n">
        <v>49</v>
      </c>
      <c r="AT1663" t="n">
        <v>4</v>
      </c>
      <c r="AU1663" t="n">
        <v>0</v>
      </c>
      <c r="AV1663" t="n">
        <v>52</v>
      </c>
      <c r="AW1663" t="n">
        <v>12</v>
      </c>
      <c r="AX1663" t="n">
        <v>0</v>
      </c>
      <c r="AY1663" t="n">
        <v>81</v>
      </c>
      <c r="AZ1663" t="n">
        <v>7</v>
      </c>
      <c r="BA1663" t="n">
        <v>36</v>
      </c>
      <c r="BB1663" t="n">
        <v>187</v>
      </c>
      <c r="BC1663" t="n">
        <v>39</v>
      </c>
      <c r="BD1663" t="n">
        <v>66</v>
      </c>
      <c r="BE1663" t="n">
        <v>13</v>
      </c>
      <c r="BF1663" t="n">
        <v>15</v>
      </c>
      <c r="BG1663" t="n">
        <v>2</v>
      </c>
      <c r="BH1663" t="n">
        <v>15</v>
      </c>
      <c r="BI1663" t="n">
        <v>24</v>
      </c>
      <c r="BJ1663" t="n">
        <v>22</v>
      </c>
      <c r="BK1663" t="n">
        <v>1</v>
      </c>
      <c r="BL1663" t="n">
        <v>25</v>
      </c>
      <c r="BM1663" t="n">
        <v>21</v>
      </c>
      <c r="BN1663" t="n">
        <v>4</v>
      </c>
      <c r="BO1663" t="n">
        <v>126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</v>
      </c>
      <c r="U1664" t="n">
        <v>0</v>
      </c>
      <c r="V1664" t="n">
        <v>0</v>
      </c>
      <c r="W1664" t="n">
        <v>0</v>
      </c>
      <c r="X1664" t="n">
        <v>0</v>
      </c>
      <c r="Y1664" t="n">
        <v>142</v>
      </c>
      <c r="Z1664" t="n">
        <v>143</v>
      </c>
      <c r="AA1664" t="n">
        <v>21</v>
      </c>
      <c r="AB1664" t="n">
        <v>3</v>
      </c>
      <c r="AC1664" t="n">
        <v>2</v>
      </c>
      <c r="AD1664" t="n">
        <v>0</v>
      </c>
      <c r="AE1664" t="n">
        <v>6</v>
      </c>
      <c r="AF1664" t="n">
        <v>4</v>
      </c>
      <c r="AG1664" t="n">
        <v>5</v>
      </c>
      <c r="AH1664" t="n">
        <v>19</v>
      </c>
      <c r="AI1664" t="n">
        <v>40</v>
      </c>
      <c r="AJ1664" t="n">
        <v>12</v>
      </c>
      <c r="AK1664" t="n">
        <v>39</v>
      </c>
      <c r="AL1664" t="n">
        <v>3</v>
      </c>
      <c r="AM1664" t="n">
        <v>51</v>
      </c>
      <c r="AN1664" t="n">
        <v>0</v>
      </c>
      <c r="AO1664" t="n">
        <v>0</v>
      </c>
      <c r="AP1664" t="n">
        <v>2</v>
      </c>
      <c r="AQ1664" t="n">
        <v>1</v>
      </c>
      <c r="AR1664" t="n">
        <v>38</v>
      </c>
      <c r="AS1664" t="n">
        <v>35</v>
      </c>
      <c r="AT1664" t="n">
        <v>2</v>
      </c>
      <c r="AU1664" t="n">
        <v>1</v>
      </c>
      <c r="AV1664" t="n">
        <v>6</v>
      </c>
      <c r="AW1664" t="n">
        <v>21</v>
      </c>
      <c r="AX1664" t="n">
        <v>7</v>
      </c>
      <c r="AY1664" t="n">
        <v>34</v>
      </c>
      <c r="AZ1664" t="n">
        <v>0</v>
      </c>
      <c r="BA1664" t="n">
        <v>1</v>
      </c>
      <c r="BB1664" t="n">
        <v>20</v>
      </c>
      <c r="BC1664" t="n">
        <v>43</v>
      </c>
      <c r="BD1664" t="n">
        <v>15</v>
      </c>
      <c r="BE1664" t="n">
        <v>20</v>
      </c>
      <c r="BF1664" t="n">
        <v>10</v>
      </c>
      <c r="BG1664" t="n">
        <v>3</v>
      </c>
      <c r="BH1664" t="n">
        <v>6</v>
      </c>
      <c r="BI1664" t="n">
        <v>26</v>
      </c>
      <c r="BJ1664" t="n">
        <v>23</v>
      </c>
      <c r="BK1664" t="n">
        <v>2</v>
      </c>
      <c r="BL1664" t="n">
        <v>7</v>
      </c>
      <c r="BM1664" t="n">
        <v>7</v>
      </c>
      <c r="BN1664" t="n">
        <v>3</v>
      </c>
      <c r="BO1664" t="n">
        <v>2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213</v>
      </c>
      <c r="Z1665" t="n">
        <v>205</v>
      </c>
      <c r="AA1665" t="n">
        <v>117</v>
      </c>
      <c r="AB1665" t="n">
        <v>2</v>
      </c>
      <c r="AC1665" t="n">
        <v>1</v>
      </c>
      <c r="AD1665" t="n">
        <v>6</v>
      </c>
      <c r="AE1665" t="n">
        <v>6</v>
      </c>
      <c r="AF1665" t="n">
        <v>3</v>
      </c>
      <c r="AG1665" t="n">
        <v>2</v>
      </c>
      <c r="AH1665" t="n">
        <v>142</v>
      </c>
      <c r="AI1665" t="n">
        <v>42</v>
      </c>
      <c r="AJ1665" t="n">
        <v>47</v>
      </c>
      <c r="AK1665" t="n">
        <v>1</v>
      </c>
      <c r="AL1665" t="n">
        <v>0</v>
      </c>
      <c r="AM1665" t="n">
        <v>2</v>
      </c>
      <c r="AN1665" t="n">
        <v>0</v>
      </c>
      <c r="AO1665" t="n">
        <v>0</v>
      </c>
      <c r="AP1665" t="n">
        <v>3</v>
      </c>
      <c r="AQ1665" t="n">
        <v>23</v>
      </c>
      <c r="AR1665" t="n">
        <v>87</v>
      </c>
      <c r="AS1665" t="n">
        <v>67</v>
      </c>
      <c r="AT1665" t="n">
        <v>1</v>
      </c>
      <c r="AU1665" t="n">
        <v>3</v>
      </c>
      <c r="AV1665" t="n">
        <v>1</v>
      </c>
      <c r="AW1665" t="n">
        <v>11</v>
      </c>
      <c r="AX1665" t="n">
        <v>0</v>
      </c>
      <c r="AY1665" t="n">
        <v>36</v>
      </c>
      <c r="AZ1665" t="n">
        <v>2</v>
      </c>
      <c r="BA1665" t="n">
        <v>12</v>
      </c>
      <c r="BB1665" t="n">
        <v>124</v>
      </c>
      <c r="BC1665" t="n">
        <v>19</v>
      </c>
      <c r="BD1665" t="n">
        <v>129</v>
      </c>
      <c r="BE1665" t="n">
        <v>11</v>
      </c>
      <c r="BF1665" t="n">
        <v>40</v>
      </c>
      <c r="BG1665" t="n">
        <v>1</v>
      </c>
      <c r="BH1665" t="n">
        <v>4</v>
      </c>
      <c r="BI1665" t="n">
        <v>7</v>
      </c>
      <c r="BJ1665" t="n">
        <v>19</v>
      </c>
      <c r="BK1665" t="n">
        <v>3</v>
      </c>
      <c r="BL1665" t="n">
        <v>86</v>
      </c>
      <c r="BM1665" t="n">
        <v>63</v>
      </c>
      <c r="BN1665" t="n">
        <v>5</v>
      </c>
      <c r="BO1665" t="n">
        <v>54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2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2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392</v>
      </c>
      <c r="Z1666" t="n">
        <v>116</v>
      </c>
      <c r="AA1666" t="n">
        <v>85</v>
      </c>
      <c r="AB1666" t="n">
        <v>1</v>
      </c>
      <c r="AC1666" t="n">
        <v>1</v>
      </c>
      <c r="AD1666" t="n">
        <v>6</v>
      </c>
      <c r="AE1666" t="n">
        <v>4</v>
      </c>
      <c r="AF1666" t="n">
        <v>3</v>
      </c>
      <c r="AG1666" t="n">
        <v>9</v>
      </c>
      <c r="AH1666" t="n">
        <v>92</v>
      </c>
      <c r="AI1666" t="n">
        <v>19</v>
      </c>
      <c r="AJ1666" t="n">
        <v>68</v>
      </c>
      <c r="AK1666" t="n">
        <v>107</v>
      </c>
      <c r="AL1666" t="n">
        <v>0</v>
      </c>
      <c r="AM1666" t="n">
        <v>14</v>
      </c>
      <c r="AN1666" t="n">
        <v>0</v>
      </c>
      <c r="AO1666" t="n">
        <v>0</v>
      </c>
      <c r="AP1666" t="n">
        <v>1</v>
      </c>
      <c r="AQ1666" t="n">
        <v>4</v>
      </c>
      <c r="AR1666" t="n">
        <v>77</v>
      </c>
      <c r="AS1666" t="n">
        <v>69</v>
      </c>
      <c r="AT1666" t="n">
        <v>1</v>
      </c>
      <c r="AU1666" t="n">
        <v>0</v>
      </c>
      <c r="AV1666" t="n">
        <v>21</v>
      </c>
      <c r="AW1666" t="n">
        <v>1</v>
      </c>
      <c r="AX1666" t="n">
        <v>8</v>
      </c>
      <c r="AY1666" t="n">
        <v>121</v>
      </c>
      <c r="AZ1666" t="n">
        <v>0</v>
      </c>
      <c r="BA1666" t="n">
        <v>12</v>
      </c>
      <c r="BB1666" t="n">
        <v>92</v>
      </c>
      <c r="BC1666" t="n">
        <v>11</v>
      </c>
      <c r="BD1666" t="n">
        <v>83</v>
      </c>
      <c r="BE1666" t="n">
        <v>18</v>
      </c>
      <c r="BF1666" t="n">
        <v>55</v>
      </c>
      <c r="BG1666" t="n">
        <v>2</v>
      </c>
      <c r="BH1666" t="n">
        <v>0</v>
      </c>
      <c r="BI1666" t="n">
        <v>1</v>
      </c>
      <c r="BJ1666" t="n">
        <v>5</v>
      </c>
      <c r="BK1666" t="n">
        <v>1</v>
      </c>
      <c r="BL1666" t="n">
        <v>1</v>
      </c>
      <c r="BM1666" t="n">
        <v>67</v>
      </c>
      <c r="BN1666" t="n">
        <v>46</v>
      </c>
      <c r="BO1666" t="n">
        <v>2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263</v>
      </c>
      <c r="Z1667" t="n">
        <v>179</v>
      </c>
      <c r="AA1667" t="n">
        <v>15</v>
      </c>
      <c r="AB1667" t="n">
        <v>0</v>
      </c>
      <c r="AC1667" t="n">
        <v>0</v>
      </c>
      <c r="AD1667" t="n">
        <v>3</v>
      </c>
      <c r="AE1667" t="n">
        <v>6</v>
      </c>
      <c r="AF1667" t="n">
        <v>2</v>
      </c>
      <c r="AG1667" t="n">
        <v>13</v>
      </c>
      <c r="AH1667" t="n">
        <v>64</v>
      </c>
      <c r="AI1667" t="n">
        <v>20</v>
      </c>
      <c r="AJ1667" t="n">
        <v>14</v>
      </c>
      <c r="AK1667" t="n">
        <v>168</v>
      </c>
      <c r="AL1667" t="n">
        <v>6</v>
      </c>
      <c r="AM1667" t="n">
        <v>65</v>
      </c>
      <c r="AN1667" t="n">
        <v>0</v>
      </c>
      <c r="AO1667" t="n">
        <v>0</v>
      </c>
      <c r="AP1667" t="n">
        <v>0</v>
      </c>
      <c r="AQ1667" t="n">
        <v>4</v>
      </c>
      <c r="AR1667" t="n">
        <v>88</v>
      </c>
      <c r="AS1667" t="n">
        <v>81</v>
      </c>
      <c r="AT1667" t="n">
        <v>2</v>
      </c>
      <c r="AU1667" t="n">
        <v>0</v>
      </c>
      <c r="AV1667" t="n">
        <v>28</v>
      </c>
      <c r="AW1667" t="n">
        <v>1</v>
      </c>
      <c r="AX1667" t="n">
        <v>0</v>
      </c>
      <c r="AY1667" t="n">
        <v>9</v>
      </c>
      <c r="AZ1667" t="n">
        <v>0</v>
      </c>
      <c r="BA1667" t="n">
        <v>1</v>
      </c>
      <c r="BB1667" t="n">
        <v>15</v>
      </c>
      <c r="BC1667" t="n">
        <v>64</v>
      </c>
      <c r="BD1667" t="n">
        <v>62</v>
      </c>
      <c r="BE1667" t="n">
        <v>3</v>
      </c>
      <c r="BF1667" t="n">
        <v>17</v>
      </c>
      <c r="BG1667" t="n">
        <v>2</v>
      </c>
      <c r="BH1667" t="n">
        <v>4</v>
      </c>
      <c r="BI1667" t="n">
        <v>29</v>
      </c>
      <c r="BJ1667" t="n">
        <v>26</v>
      </c>
      <c r="BK1667" t="n">
        <v>6</v>
      </c>
      <c r="BL1667" t="n">
        <v>7</v>
      </c>
      <c r="BM1667" t="n">
        <v>13</v>
      </c>
      <c r="BN1667" t="n">
        <v>7</v>
      </c>
      <c r="BO1667" t="n">
        <v>18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118</v>
      </c>
      <c r="Z1668" t="n">
        <v>300</v>
      </c>
      <c r="AA1668" t="n">
        <v>22</v>
      </c>
      <c r="AB1668" t="n">
        <v>1</v>
      </c>
      <c r="AC1668" t="n">
        <v>1</v>
      </c>
      <c r="AD1668" t="n">
        <v>5</v>
      </c>
      <c r="AE1668" t="n">
        <v>8</v>
      </c>
      <c r="AF1668" t="n">
        <v>0</v>
      </c>
      <c r="AG1668" t="n">
        <v>1</v>
      </c>
      <c r="AH1668" t="n">
        <v>41</v>
      </c>
      <c r="AI1668" t="n">
        <v>53</v>
      </c>
      <c r="AJ1668" t="n">
        <v>7</v>
      </c>
      <c r="AK1668" t="n">
        <v>7</v>
      </c>
      <c r="AL1668" t="n">
        <v>4</v>
      </c>
      <c r="AM1668" t="n">
        <v>48</v>
      </c>
      <c r="AN1668" t="n">
        <v>0</v>
      </c>
      <c r="AO1668" t="n">
        <v>0</v>
      </c>
      <c r="AP1668" t="n">
        <v>4</v>
      </c>
      <c r="AQ1668" t="n">
        <v>29</v>
      </c>
      <c r="AR1668" t="n">
        <v>101</v>
      </c>
      <c r="AS1668" t="n">
        <v>76</v>
      </c>
      <c r="AT1668" t="n">
        <v>1</v>
      </c>
      <c r="AU1668" t="n">
        <v>2</v>
      </c>
      <c r="AV1668" t="n">
        <v>19</v>
      </c>
      <c r="AW1668" t="n">
        <v>42</v>
      </c>
      <c r="AX1668" t="n">
        <v>0</v>
      </c>
      <c r="AY1668" t="n">
        <v>13</v>
      </c>
      <c r="AZ1668" t="n">
        <v>1</v>
      </c>
      <c r="BA1668" t="n">
        <v>21</v>
      </c>
      <c r="BB1668" t="n">
        <v>43</v>
      </c>
      <c r="BC1668" t="n">
        <v>46</v>
      </c>
      <c r="BD1668" t="n">
        <v>45</v>
      </c>
      <c r="BE1668" t="n">
        <v>41</v>
      </c>
      <c r="BF1668" t="n">
        <v>10</v>
      </c>
      <c r="BG1668" t="n">
        <v>0</v>
      </c>
      <c r="BH1668" t="n">
        <v>7</v>
      </c>
      <c r="BI1668" t="n">
        <v>5</v>
      </c>
      <c r="BJ1668" t="n">
        <v>0</v>
      </c>
      <c r="BK1668" t="n">
        <v>7</v>
      </c>
      <c r="BL1668" t="n">
        <v>76</v>
      </c>
      <c r="BM1668" t="n">
        <v>51</v>
      </c>
      <c r="BN1668" t="n">
        <v>0</v>
      </c>
      <c r="BO1668" t="n">
        <v>28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3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3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222</v>
      </c>
      <c r="Z1669" t="n">
        <v>329</v>
      </c>
      <c r="AA1669" t="n">
        <v>84</v>
      </c>
      <c r="AB1669" t="n">
        <v>3</v>
      </c>
      <c r="AC1669" t="n">
        <v>0</v>
      </c>
      <c r="AD1669" t="n">
        <v>2</v>
      </c>
      <c r="AE1669" t="n">
        <v>18</v>
      </c>
      <c r="AF1669" t="n">
        <v>1</v>
      </c>
      <c r="AG1669" t="n">
        <v>7</v>
      </c>
      <c r="AH1669" t="n">
        <v>26</v>
      </c>
      <c r="AI1669" t="n">
        <v>178</v>
      </c>
      <c r="AJ1669" t="n">
        <v>9</v>
      </c>
      <c r="AK1669" t="n">
        <v>78</v>
      </c>
      <c r="AL1669" t="n">
        <v>4</v>
      </c>
      <c r="AM1669" t="n">
        <v>81</v>
      </c>
      <c r="AN1669" t="n">
        <v>0</v>
      </c>
      <c r="AO1669" t="n">
        <v>0</v>
      </c>
      <c r="AP1669" t="n">
        <v>10</v>
      </c>
      <c r="AQ1669" t="n">
        <v>152</v>
      </c>
      <c r="AR1669" t="n">
        <v>219</v>
      </c>
      <c r="AS1669" t="n">
        <v>100</v>
      </c>
      <c r="AT1669" t="n">
        <v>2</v>
      </c>
      <c r="AU1669" t="n">
        <v>2</v>
      </c>
      <c r="AV1669" t="n">
        <v>10</v>
      </c>
      <c r="AW1669" t="n">
        <v>27</v>
      </c>
      <c r="AX1669" t="n">
        <v>6</v>
      </c>
      <c r="AY1669" t="n">
        <v>24</v>
      </c>
      <c r="AZ1669" t="n">
        <v>3</v>
      </c>
      <c r="BA1669" t="n">
        <v>35</v>
      </c>
      <c r="BB1669" t="n">
        <v>115</v>
      </c>
      <c r="BC1669" t="n">
        <v>67</v>
      </c>
      <c r="BD1669" t="n">
        <v>48</v>
      </c>
      <c r="BE1669" t="n">
        <v>27</v>
      </c>
      <c r="BF1669" t="n">
        <v>-3</v>
      </c>
      <c r="BG1669" t="n">
        <v>2</v>
      </c>
      <c r="BH1669" t="n">
        <v>3</v>
      </c>
      <c r="BI1669" t="n">
        <v>10</v>
      </c>
      <c r="BJ1669" t="n">
        <v>19</v>
      </c>
      <c r="BK1669" t="n">
        <v>0</v>
      </c>
      <c r="BL1669" t="n">
        <v>5</v>
      </c>
      <c r="BM1669" t="n">
        <v>20</v>
      </c>
      <c r="BN1669" t="n">
        <v>11</v>
      </c>
      <c r="BO1669" t="n">
        <v>2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262</v>
      </c>
      <c r="Z1670" t="n">
        <v>148</v>
      </c>
      <c r="AA1670" t="n">
        <v>43</v>
      </c>
      <c r="AB1670" t="n">
        <v>1</v>
      </c>
      <c r="AC1670" t="n">
        <v>1</v>
      </c>
      <c r="AD1670" t="n">
        <v>4</v>
      </c>
      <c r="AE1670" t="n">
        <v>5</v>
      </c>
      <c r="AF1670" t="n">
        <v>3</v>
      </c>
      <c r="AG1670" t="n">
        <v>5</v>
      </c>
      <c r="AH1670" t="n">
        <v>47</v>
      </c>
      <c r="AI1670" t="n">
        <v>19</v>
      </c>
      <c r="AJ1670" t="n">
        <v>27</v>
      </c>
      <c r="AK1670" t="n">
        <v>45</v>
      </c>
      <c r="AL1670" t="n">
        <v>0</v>
      </c>
      <c r="AM1670" t="n">
        <v>2</v>
      </c>
      <c r="AN1670" t="n">
        <v>1</v>
      </c>
      <c r="AO1670" t="n">
        <v>0</v>
      </c>
      <c r="AP1670" t="n">
        <v>2</v>
      </c>
      <c r="AQ1670" t="n">
        <v>1</v>
      </c>
      <c r="AR1670" t="n">
        <v>109</v>
      </c>
      <c r="AS1670" t="n">
        <v>100</v>
      </c>
      <c r="AT1670" t="n">
        <v>4</v>
      </c>
      <c r="AU1670" t="n">
        <v>4</v>
      </c>
      <c r="AV1670" t="n">
        <v>37</v>
      </c>
      <c r="AW1670" t="n">
        <v>26</v>
      </c>
      <c r="AX1670" t="n">
        <v>8</v>
      </c>
      <c r="AY1670" t="n">
        <v>37</v>
      </c>
      <c r="AZ1670" t="n">
        <v>4</v>
      </c>
      <c r="BA1670" t="n">
        <v>18</v>
      </c>
      <c r="BB1670" t="n">
        <v>59</v>
      </c>
      <c r="BC1670" t="n">
        <v>6</v>
      </c>
      <c r="BD1670" t="n">
        <v>52</v>
      </c>
      <c r="BE1670" t="n">
        <v>26</v>
      </c>
      <c r="BF1670" t="n">
        <v>27</v>
      </c>
      <c r="BG1670" t="n">
        <v>7</v>
      </c>
      <c r="BH1670" t="n">
        <v>0</v>
      </c>
      <c r="BI1670" t="n">
        <v>61</v>
      </c>
      <c r="BJ1670" t="n">
        <v>54</v>
      </c>
      <c r="BK1670" t="n">
        <v>2</v>
      </c>
      <c r="BL1670" t="n">
        <v>1</v>
      </c>
      <c r="BM1670" t="n">
        <v>11</v>
      </c>
      <c r="BN1670" t="n">
        <v>6</v>
      </c>
      <c r="BO1670" t="n">
        <v>18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140</v>
      </c>
      <c r="Z1671" t="n">
        <v>180</v>
      </c>
      <c r="AA1671" t="n">
        <v>39</v>
      </c>
      <c r="AB1671" t="n">
        <v>2</v>
      </c>
      <c r="AC1671" t="n">
        <v>1</v>
      </c>
      <c r="AD1671" t="n">
        <v>3</v>
      </c>
      <c r="AE1671" t="n">
        <v>3</v>
      </c>
      <c r="AF1671" t="n">
        <v>2</v>
      </c>
      <c r="AG1671" t="n">
        <v>1</v>
      </c>
      <c r="AH1671" t="n">
        <v>32</v>
      </c>
      <c r="AI1671" t="n">
        <v>27</v>
      </c>
      <c r="AJ1671" t="n">
        <v>23</v>
      </c>
      <c r="AK1671" t="n">
        <v>24</v>
      </c>
      <c r="AL1671" t="n">
        <v>9</v>
      </c>
      <c r="AM1671" t="n">
        <v>111</v>
      </c>
      <c r="AN1671" t="n">
        <v>1</v>
      </c>
      <c r="AO1671" t="n">
        <v>0</v>
      </c>
      <c r="AP1671" t="n">
        <v>7</v>
      </c>
      <c r="AQ1671" t="n">
        <v>45</v>
      </c>
      <c r="AR1671" t="n">
        <v>138</v>
      </c>
      <c r="AS1671" t="n">
        <v>100</v>
      </c>
      <c r="AT1671" t="n">
        <v>1</v>
      </c>
      <c r="AU1671" t="n">
        <v>0</v>
      </c>
      <c r="AV1671" t="n">
        <v>18</v>
      </c>
      <c r="AW1671" t="n">
        <v>8</v>
      </c>
      <c r="AX1671" t="n">
        <v>4</v>
      </c>
      <c r="AY1671" t="n">
        <v>41</v>
      </c>
      <c r="AZ1671" t="n">
        <v>1</v>
      </c>
      <c r="BA1671" t="n">
        <v>-6</v>
      </c>
      <c r="BB1671" t="n">
        <v>32</v>
      </c>
      <c r="BC1671" t="n">
        <v>99</v>
      </c>
      <c r="BD1671" t="n">
        <v>61</v>
      </c>
      <c r="BE1671" t="n">
        <v>7</v>
      </c>
      <c r="BF1671" t="n">
        <v>23</v>
      </c>
      <c r="BG1671" t="n">
        <v>4</v>
      </c>
      <c r="BH1671" t="n">
        <v>0</v>
      </c>
      <c r="BI1671" t="n">
        <v>41</v>
      </c>
      <c r="BJ1671" t="n">
        <v>46</v>
      </c>
      <c r="BK1671" t="n">
        <v>0</v>
      </c>
      <c r="BL1671" t="n">
        <v>1</v>
      </c>
      <c r="BM1671" t="n">
        <v>20</v>
      </c>
      <c r="BN1671" t="n">
        <v>11</v>
      </c>
      <c r="BO1671" t="n">
        <v>7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2</v>
      </c>
      <c r="U1672" t="n">
        <v>0</v>
      </c>
      <c r="V1672" t="n">
        <v>0</v>
      </c>
      <c r="W1672" t="n">
        <v>0</v>
      </c>
      <c r="X1672" t="n">
        <v>0</v>
      </c>
      <c r="Y1672" t="n">
        <v>276</v>
      </c>
      <c r="Z1672" t="n">
        <v>254</v>
      </c>
      <c r="AA1672" t="n">
        <v>113</v>
      </c>
      <c r="AB1672" t="n">
        <v>0</v>
      </c>
      <c r="AC1672" t="n">
        <v>2</v>
      </c>
      <c r="AD1672" t="n">
        <v>5</v>
      </c>
      <c r="AE1672" t="n">
        <v>8</v>
      </c>
      <c r="AF1672" t="n">
        <v>2</v>
      </c>
      <c r="AG1672" t="n">
        <v>6</v>
      </c>
      <c r="AH1672" t="n">
        <v>50</v>
      </c>
      <c r="AI1672" t="n">
        <v>75</v>
      </c>
      <c r="AJ1672" t="n">
        <v>13</v>
      </c>
      <c r="AK1672" t="n">
        <v>59</v>
      </c>
      <c r="AL1672" t="n">
        <v>2</v>
      </c>
      <c r="AM1672" t="n">
        <v>54</v>
      </c>
      <c r="AN1672" t="n">
        <v>1</v>
      </c>
      <c r="AO1672" t="n">
        <v>0</v>
      </c>
      <c r="AP1672" t="n">
        <v>3</v>
      </c>
      <c r="AQ1672" t="n">
        <v>9</v>
      </c>
      <c r="AR1672" t="n">
        <v>78</v>
      </c>
      <c r="AS1672" t="n">
        <v>70</v>
      </c>
      <c r="AT1672" t="n">
        <v>5</v>
      </c>
      <c r="AU1672" t="n">
        <v>1</v>
      </c>
      <c r="AV1672" t="n">
        <v>86</v>
      </c>
      <c r="AW1672" t="n">
        <v>7</v>
      </c>
      <c r="AX1672" t="n">
        <v>1</v>
      </c>
      <c r="AY1672" t="n">
        <v>38</v>
      </c>
      <c r="AZ1672" t="n">
        <v>4</v>
      </c>
      <c r="BA1672" t="n">
        <v>54</v>
      </c>
      <c r="BB1672" t="n">
        <v>167</v>
      </c>
      <c r="BC1672" t="n">
        <v>55</v>
      </c>
      <c r="BD1672" t="n">
        <v>48</v>
      </c>
      <c r="BE1672" t="n">
        <v>6</v>
      </c>
      <c r="BF1672" t="n">
        <v>10</v>
      </c>
      <c r="BG1672" t="n">
        <v>1</v>
      </c>
      <c r="BH1672" t="n">
        <v>0</v>
      </c>
      <c r="BI1672" t="n">
        <v>19</v>
      </c>
      <c r="BJ1672" t="n">
        <v>17</v>
      </c>
      <c r="BK1672" t="n">
        <v>0</v>
      </c>
      <c r="BL1672" t="n">
        <v>5</v>
      </c>
      <c r="BM1672" t="n">
        <v>10</v>
      </c>
      <c r="BN1672" t="n">
        <v>5</v>
      </c>
      <c r="BO1672" t="n">
        <v>2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3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2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183</v>
      </c>
      <c r="Z1673" t="n">
        <v>234</v>
      </c>
      <c r="AA1673" t="n">
        <v>24</v>
      </c>
      <c r="AB1673" t="n">
        <v>1</v>
      </c>
      <c r="AC1673" t="n">
        <v>3</v>
      </c>
      <c r="AD1673" t="n">
        <v>4</v>
      </c>
      <c r="AE1673" t="n">
        <v>1</v>
      </c>
      <c r="AF1673" t="n">
        <v>3</v>
      </c>
      <c r="AG1673" t="n">
        <v>3</v>
      </c>
      <c r="AH1673" t="n">
        <v>53</v>
      </c>
      <c r="AI1673" t="n">
        <v>12</v>
      </c>
      <c r="AJ1673" t="n">
        <v>15</v>
      </c>
      <c r="AK1673" t="n">
        <v>33</v>
      </c>
      <c r="AL1673" t="n">
        <v>6</v>
      </c>
      <c r="AM1673" t="n">
        <v>88</v>
      </c>
      <c r="AN1673" t="n">
        <v>0</v>
      </c>
      <c r="AO1673" t="n">
        <v>0</v>
      </c>
      <c r="AP1673" t="n">
        <v>6</v>
      </c>
      <c r="AQ1673" t="n">
        <v>65</v>
      </c>
      <c r="AR1673" t="n">
        <v>176</v>
      </c>
      <c r="AS1673" t="n">
        <v>115</v>
      </c>
      <c r="AT1673" t="n">
        <v>1</v>
      </c>
      <c r="AU1673" t="n">
        <v>1</v>
      </c>
      <c r="AV1673" t="n">
        <v>6</v>
      </c>
      <c r="AW1673" t="n">
        <v>10</v>
      </c>
      <c r="AX1673" t="n">
        <v>0</v>
      </c>
      <c r="AY1673" t="n">
        <v>22</v>
      </c>
      <c r="AZ1673" t="n">
        <v>1</v>
      </c>
      <c r="BA1673" t="n">
        <v>12</v>
      </c>
      <c r="BB1673" t="n">
        <v>36</v>
      </c>
      <c r="BC1673" t="n">
        <v>81</v>
      </c>
      <c r="BD1673" t="n">
        <v>49</v>
      </c>
      <c r="BE1673" t="n">
        <v>10</v>
      </c>
      <c r="BF1673" t="n">
        <v>11</v>
      </c>
      <c r="BG1673" t="n">
        <v>0</v>
      </c>
      <c r="BH1673" t="n">
        <v>2</v>
      </c>
      <c r="BI1673" t="n">
        <v>1</v>
      </c>
      <c r="BJ1673" t="n">
        <v>1</v>
      </c>
      <c r="BK1673" t="n">
        <v>1</v>
      </c>
      <c r="BL1673" t="n">
        <v>5</v>
      </c>
      <c r="BM1673" t="n">
        <v>18</v>
      </c>
      <c r="BN1673" t="n">
        <v>10</v>
      </c>
      <c r="BO1673" t="n">
        <v>18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299</v>
      </c>
      <c r="Z1674" t="n">
        <v>80</v>
      </c>
      <c r="AA1674" t="n">
        <v>158</v>
      </c>
      <c r="AB1674" t="n">
        <v>0</v>
      </c>
      <c r="AC1674" t="n">
        <v>0</v>
      </c>
      <c r="AD1674" t="n">
        <v>1</v>
      </c>
      <c r="AE1674" t="n">
        <v>2</v>
      </c>
      <c r="AF1674" t="n">
        <v>3</v>
      </c>
      <c r="AG1674" t="n">
        <v>4</v>
      </c>
      <c r="AH1674" t="n">
        <v>14</v>
      </c>
      <c r="AI1674" t="n">
        <v>36</v>
      </c>
      <c r="AJ1674" t="n">
        <v>73</v>
      </c>
      <c r="AK1674" t="n">
        <v>62</v>
      </c>
      <c r="AL1674" t="n">
        <v>0</v>
      </c>
      <c r="AM1674" t="n">
        <v>21</v>
      </c>
      <c r="AN1674" t="n">
        <v>0</v>
      </c>
      <c r="AO1674" t="n">
        <v>0</v>
      </c>
      <c r="AP1674" t="n">
        <v>10</v>
      </c>
      <c r="AQ1674" t="n">
        <v>120</v>
      </c>
      <c r="AR1674" t="n">
        <v>195</v>
      </c>
      <c r="AS1674" t="n">
        <v>98</v>
      </c>
      <c r="AT1674" t="n">
        <v>2</v>
      </c>
      <c r="AU1674" t="n">
        <v>0</v>
      </c>
      <c r="AV1674" t="n">
        <v>8</v>
      </c>
      <c r="AW1674" t="n">
        <v>1</v>
      </c>
      <c r="AX1674" t="n">
        <v>0</v>
      </c>
      <c r="AY1674" t="n">
        <v>34</v>
      </c>
      <c r="AZ1674" t="n">
        <v>1</v>
      </c>
      <c r="BA1674" t="n">
        <v>4</v>
      </c>
      <c r="BB1674" t="n">
        <v>145</v>
      </c>
      <c r="BC1674" t="n">
        <v>20</v>
      </c>
      <c r="BD1674" t="n">
        <v>12</v>
      </c>
      <c r="BE1674" t="n">
        <v>1</v>
      </c>
      <c r="BF1674" t="n">
        <v>64</v>
      </c>
      <c r="BG1674" t="n">
        <v>1</v>
      </c>
      <c r="BH1674" t="n">
        <v>11</v>
      </c>
      <c r="BI1674" t="n">
        <v>23</v>
      </c>
      <c r="BJ1674" t="n">
        <v>21</v>
      </c>
      <c r="BK1674" t="n">
        <v>1</v>
      </c>
      <c r="BL1674" t="n">
        <v>8</v>
      </c>
      <c r="BM1674" t="n">
        <v>18</v>
      </c>
      <c r="BN1674" t="n">
        <v>8</v>
      </c>
      <c r="BO1674" t="n">
        <v>23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319</v>
      </c>
      <c r="Z1675" t="n">
        <v>225</v>
      </c>
      <c r="AA1675" t="n">
        <v>93</v>
      </c>
      <c r="AB1675" t="n">
        <v>0</v>
      </c>
      <c r="AC1675" t="n">
        <v>3</v>
      </c>
      <c r="AD1675" t="n">
        <v>7</v>
      </c>
      <c r="AE1675" t="n">
        <v>3</v>
      </c>
      <c r="AF1675" t="n">
        <v>2</v>
      </c>
      <c r="AG1675" t="n">
        <v>5</v>
      </c>
      <c r="AH1675" t="n">
        <v>82</v>
      </c>
      <c r="AI1675" t="n">
        <v>31</v>
      </c>
      <c r="AJ1675" t="n">
        <v>23</v>
      </c>
      <c r="AK1675" t="n">
        <v>47</v>
      </c>
      <c r="AL1675" t="n">
        <v>3</v>
      </c>
      <c r="AM1675" t="n">
        <v>42</v>
      </c>
      <c r="AN1675" t="n">
        <v>0</v>
      </c>
      <c r="AO1675" t="n">
        <v>0</v>
      </c>
      <c r="AP1675" t="n">
        <v>8</v>
      </c>
      <c r="AQ1675" t="n">
        <v>36</v>
      </c>
      <c r="AR1675" t="n">
        <v>139</v>
      </c>
      <c r="AS1675" t="n">
        <v>108</v>
      </c>
      <c r="AT1675" t="n">
        <v>5</v>
      </c>
      <c r="AU1675" t="n">
        <v>2</v>
      </c>
      <c r="AV1675" t="n">
        <v>69</v>
      </c>
      <c r="AW1675" t="n">
        <v>1</v>
      </c>
      <c r="AX1675" t="n">
        <v>0</v>
      </c>
      <c r="AY1675" t="n">
        <v>10</v>
      </c>
      <c r="AZ1675" t="n">
        <v>4</v>
      </c>
      <c r="BA1675" t="n">
        <v>16</v>
      </c>
      <c r="BB1675" t="n">
        <v>104</v>
      </c>
      <c r="BC1675" t="n">
        <v>35</v>
      </c>
      <c r="BD1675" t="n">
        <v>85</v>
      </c>
      <c r="BE1675" t="n">
        <v>1</v>
      </c>
      <c r="BF1675" t="n">
        <v>18</v>
      </c>
      <c r="BG1675" t="n">
        <v>3</v>
      </c>
      <c r="BH1675" t="n">
        <v>12</v>
      </c>
      <c r="BI1675" t="n">
        <v>39</v>
      </c>
      <c r="BJ1675" t="n">
        <v>36</v>
      </c>
      <c r="BK1675" t="n">
        <v>0</v>
      </c>
      <c r="BL1675" t="n">
        <v>1</v>
      </c>
      <c r="BM1675" t="n">
        <v>3</v>
      </c>
      <c r="BN1675" t="n">
        <v>1</v>
      </c>
      <c r="BO1675" t="n">
        <v>2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222</v>
      </c>
      <c r="Z1676" t="n">
        <v>126</v>
      </c>
      <c r="AA1676" t="n">
        <v>41</v>
      </c>
      <c r="AB1676" t="n">
        <v>1</v>
      </c>
      <c r="AC1676" t="n">
        <v>0</v>
      </c>
      <c r="AD1676" t="n">
        <v>3</v>
      </c>
      <c r="AE1676" t="n">
        <v>0</v>
      </c>
      <c r="AF1676" t="n">
        <v>5</v>
      </c>
      <c r="AG1676" t="n">
        <v>4</v>
      </c>
      <c r="AH1676" t="n">
        <v>15</v>
      </c>
      <c r="AI1676" t="n">
        <v>2</v>
      </c>
      <c r="AJ1676" t="n">
        <v>38</v>
      </c>
      <c r="AK1676" t="n">
        <v>1</v>
      </c>
      <c r="AL1676" t="n">
        <v>3</v>
      </c>
      <c r="AM1676" t="n">
        <v>31</v>
      </c>
      <c r="AN1676" t="n">
        <v>0</v>
      </c>
      <c r="AO1676" t="n">
        <v>0</v>
      </c>
      <c r="AP1676" t="n">
        <v>3</v>
      </c>
      <c r="AQ1676" t="n">
        <v>13</v>
      </c>
      <c r="AR1676" t="n">
        <v>113</v>
      </c>
      <c r="AS1676" t="n">
        <v>98</v>
      </c>
      <c r="AT1676" t="n">
        <v>4</v>
      </c>
      <c r="AU1676" t="n">
        <v>3</v>
      </c>
      <c r="AV1676" t="n">
        <v>38</v>
      </c>
      <c r="AW1676" t="n">
        <v>17</v>
      </c>
      <c r="AX1676" t="n">
        <v>15</v>
      </c>
      <c r="AY1676" t="n">
        <v>1</v>
      </c>
      <c r="AZ1676" t="n">
        <v>3</v>
      </c>
      <c r="BA1676" t="n">
        <v>7</v>
      </c>
      <c r="BB1676" t="n">
        <v>45</v>
      </c>
      <c r="BC1676" t="n">
        <v>25</v>
      </c>
      <c r="BD1676" t="n">
        <v>17</v>
      </c>
      <c r="BE1676" t="n">
        <v>17</v>
      </c>
      <c r="BF1676" t="n">
        <v>61</v>
      </c>
      <c r="BG1676" t="n">
        <v>6</v>
      </c>
      <c r="BH1676" t="n">
        <v>12</v>
      </c>
      <c r="BI1676" t="n">
        <v>70</v>
      </c>
      <c r="BJ1676" t="n">
        <v>64</v>
      </c>
      <c r="BK1676" t="n">
        <v>0</v>
      </c>
      <c r="BL1676" t="n">
        <v>1</v>
      </c>
      <c r="BM1676" t="n">
        <v>10</v>
      </c>
      <c r="BN1676" t="n">
        <v>5</v>
      </c>
      <c r="BO1676" t="n">
        <v>-3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245</v>
      </c>
      <c r="Z1677" t="n">
        <v>228</v>
      </c>
      <c r="AA1677" t="n">
        <v>73</v>
      </c>
      <c r="AB1677" t="n">
        <v>1</v>
      </c>
      <c r="AC1677" t="n">
        <v>1</v>
      </c>
      <c r="AD1677" t="n">
        <v>1</v>
      </c>
      <c r="AE1677" t="n">
        <v>4</v>
      </c>
      <c r="AF1677" t="n">
        <v>5</v>
      </c>
      <c r="AG1677" t="n">
        <v>1</v>
      </c>
      <c r="AH1677" t="n">
        <v>16</v>
      </c>
      <c r="AI1677" t="n">
        <v>73</v>
      </c>
      <c r="AJ1677" t="n">
        <v>73</v>
      </c>
      <c r="AK1677" t="n">
        <v>1</v>
      </c>
      <c r="AL1677" t="n">
        <v>1</v>
      </c>
      <c r="AM1677" t="n">
        <v>5</v>
      </c>
      <c r="AN1677" t="n">
        <v>0</v>
      </c>
      <c r="AO1677" t="n">
        <v>0</v>
      </c>
      <c r="AP1677" t="n">
        <v>3</v>
      </c>
      <c r="AQ1677" t="n">
        <v>68</v>
      </c>
      <c r="AR1677" t="n">
        <v>122</v>
      </c>
      <c r="AS1677" t="n">
        <v>62</v>
      </c>
      <c r="AT1677" t="n">
        <v>2</v>
      </c>
      <c r="AU1677" t="n">
        <v>1</v>
      </c>
      <c r="AV1677" t="n">
        <v>11</v>
      </c>
      <c r="AW1677" t="n">
        <v>13</v>
      </c>
      <c r="AX1677" t="n">
        <v>5</v>
      </c>
      <c r="AY1677" t="n">
        <v>36</v>
      </c>
      <c r="AZ1677" t="n">
        <v>4</v>
      </c>
      <c r="BA1677" t="n">
        <v>10</v>
      </c>
      <c r="BB1677" t="n">
        <v>80</v>
      </c>
      <c r="BC1677" t="n">
        <v>6</v>
      </c>
      <c r="BD1677" t="n">
        <v>32</v>
      </c>
      <c r="BE1677" t="n">
        <v>13</v>
      </c>
      <c r="BF1677" t="n">
        <v>67</v>
      </c>
      <c r="BG1677" t="n">
        <v>2</v>
      </c>
      <c r="BH1677" t="n">
        <v>16</v>
      </c>
      <c r="BI1677" t="n">
        <v>7</v>
      </c>
      <c r="BJ1677" t="n">
        <v>3</v>
      </c>
      <c r="BK1677" t="n">
        <v>1</v>
      </c>
      <c r="BL1677" t="n">
        <v>1</v>
      </c>
      <c r="BM1677" t="n">
        <v>3</v>
      </c>
      <c r="BN1677" t="n">
        <v>0</v>
      </c>
      <c r="BO1677" t="n">
        <v>32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265</v>
      </c>
      <c r="Z1678" t="n">
        <v>201</v>
      </c>
      <c r="AA1678" t="n">
        <v>36</v>
      </c>
      <c r="AB1678" t="n">
        <v>3</v>
      </c>
      <c r="AC1678" t="n">
        <v>2</v>
      </c>
      <c r="AD1678" t="n">
        <v>1</v>
      </c>
      <c r="AE1678" t="n">
        <v>1</v>
      </c>
      <c r="AF1678" t="n">
        <v>1</v>
      </c>
      <c r="AG1678" t="n">
        <v>1</v>
      </c>
      <c r="AH1678" t="n">
        <v>5</v>
      </c>
      <c r="AI1678" t="n">
        <v>62</v>
      </c>
      <c r="AJ1678" t="n">
        <v>6</v>
      </c>
      <c r="AK1678" t="n">
        <v>1</v>
      </c>
      <c r="AL1678" t="n">
        <v>1</v>
      </c>
      <c r="AM1678" t="n">
        <v>96</v>
      </c>
      <c r="AN1678" t="n">
        <v>1</v>
      </c>
      <c r="AO1678" t="n">
        <v>0</v>
      </c>
      <c r="AP1678" t="n">
        <v>3</v>
      </c>
      <c r="AQ1678" t="n">
        <v>7</v>
      </c>
      <c r="AR1678" t="n">
        <v>54</v>
      </c>
      <c r="AS1678" t="n">
        <v>48</v>
      </c>
      <c r="AT1678" t="n">
        <v>4</v>
      </c>
      <c r="AU1678" t="n">
        <v>2</v>
      </c>
      <c r="AV1678" t="n">
        <v>40</v>
      </c>
      <c r="AW1678" t="n">
        <v>7</v>
      </c>
      <c r="AX1678" t="n">
        <v>2</v>
      </c>
      <c r="AY1678" t="n">
        <v>41</v>
      </c>
      <c r="AZ1678" t="n">
        <v>0</v>
      </c>
      <c r="BA1678" t="n">
        <v>1</v>
      </c>
      <c r="BB1678" t="n">
        <v>36</v>
      </c>
      <c r="BC1678" t="n">
        <v>97</v>
      </c>
      <c r="BD1678" t="n">
        <v>2</v>
      </c>
      <c r="BE1678" t="n">
        <v>7</v>
      </c>
      <c r="BF1678" t="n">
        <v>3</v>
      </c>
      <c r="BG1678" t="n">
        <v>2</v>
      </c>
      <c r="BH1678" t="n">
        <v>17</v>
      </c>
      <c r="BI1678" t="n">
        <v>42</v>
      </c>
      <c r="BJ1678" t="n">
        <v>37</v>
      </c>
      <c r="BK1678" t="n">
        <v>4</v>
      </c>
      <c r="BL1678" t="n">
        <v>41</v>
      </c>
      <c r="BM1678" t="n">
        <v>31</v>
      </c>
      <c r="BN1678" t="n">
        <v>3</v>
      </c>
      <c r="BO1678" t="n">
        <v>2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2</v>
      </c>
      <c r="T1679" t="n">
        <v>4</v>
      </c>
      <c r="U1679" t="n">
        <v>0</v>
      </c>
      <c r="V1679" t="n">
        <v>0</v>
      </c>
      <c r="W1679" t="n">
        <v>1</v>
      </c>
      <c r="X1679" t="n">
        <v>0</v>
      </c>
      <c r="Y1679" t="n">
        <v>264</v>
      </c>
      <c r="Z1679" t="n">
        <v>181</v>
      </c>
      <c r="AA1679" t="n">
        <v>81</v>
      </c>
      <c r="AB1679" t="n">
        <v>3</v>
      </c>
      <c r="AC1679" t="n">
        <v>3</v>
      </c>
      <c r="AD1679" t="n">
        <v>6</v>
      </c>
      <c r="AE1679" t="n">
        <v>7</v>
      </c>
      <c r="AF1679" t="n">
        <v>3</v>
      </c>
      <c r="AG1679" t="n">
        <v>9</v>
      </c>
      <c r="AH1679" t="n">
        <v>110</v>
      </c>
      <c r="AI1679" t="n">
        <v>66</v>
      </c>
      <c r="AJ1679" t="n">
        <v>25</v>
      </c>
      <c r="AK1679" t="n">
        <v>81</v>
      </c>
      <c r="AL1679" t="n">
        <v>1</v>
      </c>
      <c r="AM1679" t="n">
        <v>2</v>
      </c>
      <c r="AN1679" t="n">
        <v>0</v>
      </c>
      <c r="AO1679" t="n">
        <v>0</v>
      </c>
      <c r="AP1679" t="n">
        <v>4</v>
      </c>
      <c r="AQ1679" t="n">
        <v>21</v>
      </c>
      <c r="AR1679" t="n">
        <v>181</v>
      </c>
      <c r="AS1679" t="n">
        <v>158</v>
      </c>
      <c r="AT1679" t="n">
        <v>4</v>
      </c>
      <c r="AU1679" t="n">
        <v>0</v>
      </c>
      <c r="AV1679" t="n">
        <v>37</v>
      </c>
      <c r="AW1679" t="n">
        <v>25</v>
      </c>
      <c r="AX1679" t="n">
        <v>12</v>
      </c>
      <c r="AY1679" t="n">
        <v>1</v>
      </c>
      <c r="AZ1679" t="n">
        <v>2</v>
      </c>
      <c r="BA1679" t="n">
        <v>18</v>
      </c>
      <c r="BB1679" t="n">
        <v>96</v>
      </c>
      <c r="BC1679" t="n">
        <v>6</v>
      </c>
      <c r="BD1679" t="n">
        <v>99</v>
      </c>
      <c r="BE1679" t="n">
        <v>25</v>
      </c>
      <c r="BF1679" t="n">
        <v>20</v>
      </c>
      <c r="BG1679" t="n">
        <v>4</v>
      </c>
      <c r="BH1679" t="n">
        <v>2</v>
      </c>
      <c r="BI1679" t="n">
        <v>36</v>
      </c>
      <c r="BJ1679" t="n">
        <v>51</v>
      </c>
      <c r="BK1679" t="n">
        <v>1</v>
      </c>
      <c r="BL1679" t="n">
        <v>1</v>
      </c>
      <c r="BM1679" t="n">
        <v>13</v>
      </c>
      <c r="BN1679" t="n">
        <v>7</v>
      </c>
      <c r="BO1679" t="n">
        <v>25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181</v>
      </c>
      <c r="Z1680" t="n">
        <v>134</v>
      </c>
      <c r="AA1680" t="n">
        <v>1</v>
      </c>
      <c r="AB1680" t="n">
        <v>0</v>
      </c>
      <c r="AC1680" t="n">
        <v>0</v>
      </c>
      <c r="AD1680" t="n">
        <v>5</v>
      </c>
      <c r="AE1680" t="n">
        <v>4</v>
      </c>
      <c r="AF1680" t="n">
        <v>0</v>
      </c>
      <c r="AG1680" t="n">
        <v>3</v>
      </c>
      <c r="AH1680" t="n">
        <v>46</v>
      </c>
      <c r="AI1680" t="n">
        <v>25</v>
      </c>
      <c r="AJ1680" t="n">
        <v>2</v>
      </c>
      <c r="AK1680" t="n">
        <v>28</v>
      </c>
      <c r="AL1680" t="n">
        <v>6</v>
      </c>
      <c r="AM1680" t="n">
        <v>96</v>
      </c>
      <c r="AN1680" t="n">
        <v>0</v>
      </c>
      <c r="AO1680" t="n">
        <v>0</v>
      </c>
      <c r="AP1680" t="n">
        <v>3</v>
      </c>
      <c r="AQ1680" t="n">
        <v>38</v>
      </c>
      <c r="AR1680" t="n">
        <v>128</v>
      </c>
      <c r="AS1680" t="n">
        <v>95</v>
      </c>
      <c r="AT1680" t="n">
        <v>2</v>
      </c>
      <c r="AU1680" t="n">
        <v>0</v>
      </c>
      <c r="AV1680" t="n">
        <v>6</v>
      </c>
      <c r="AW1680" t="n">
        <v>4</v>
      </c>
      <c r="AX1680" t="n">
        <v>26</v>
      </c>
      <c r="AY1680" t="n">
        <v>1</v>
      </c>
      <c r="AZ1680" t="n">
        <v>1</v>
      </c>
      <c r="BA1680" t="n">
        <v>8</v>
      </c>
      <c r="BB1680" t="n">
        <v>8</v>
      </c>
      <c r="BC1680" t="n">
        <v>80</v>
      </c>
      <c r="BD1680" t="n">
        <v>52</v>
      </c>
      <c r="BE1680" t="n">
        <v>11</v>
      </c>
      <c r="BF1680" t="n">
        <v>2</v>
      </c>
      <c r="BG1680" t="n">
        <v>1</v>
      </c>
      <c r="BH1680" t="n">
        <v>15</v>
      </c>
      <c r="BI1680" t="n">
        <v>20</v>
      </c>
      <c r="BJ1680" t="n">
        <v>18</v>
      </c>
      <c r="BK1680" t="n">
        <v>1</v>
      </c>
      <c r="BL1680" t="n">
        <v>1</v>
      </c>
      <c r="BM1680" t="n">
        <v>6</v>
      </c>
      <c r="BN1680" t="n">
        <v>3</v>
      </c>
      <c r="BO1680" t="n">
        <v>21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2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286</v>
      </c>
      <c r="Z1681" t="n">
        <v>188</v>
      </c>
      <c r="AA1681" t="n">
        <v>63</v>
      </c>
      <c r="AB1681" t="n">
        <v>1</v>
      </c>
      <c r="AC1681" t="n">
        <v>1</v>
      </c>
      <c r="AD1681" t="n">
        <v>5</v>
      </c>
      <c r="AE1681" t="n">
        <v>3</v>
      </c>
      <c r="AF1681" t="n">
        <v>7</v>
      </c>
      <c r="AG1681" t="n">
        <v>8</v>
      </c>
      <c r="AH1681" t="n">
        <v>80</v>
      </c>
      <c r="AI1681" t="n">
        <v>56</v>
      </c>
      <c r="AJ1681" t="n">
        <v>94</v>
      </c>
      <c r="AK1681" t="n">
        <v>57</v>
      </c>
      <c r="AL1681" t="n">
        <v>4</v>
      </c>
      <c r="AM1681" t="n">
        <v>31</v>
      </c>
      <c r="AN1681" t="n">
        <v>0</v>
      </c>
      <c r="AO1681" t="n">
        <v>0</v>
      </c>
      <c r="AP1681" t="n">
        <v>9</v>
      </c>
      <c r="AQ1681" t="n">
        <v>68</v>
      </c>
      <c r="AR1681" t="n">
        <v>89</v>
      </c>
      <c r="AS1681" t="n">
        <v>31</v>
      </c>
      <c r="AT1681" t="n">
        <v>1</v>
      </c>
      <c r="AU1681" t="n">
        <v>2</v>
      </c>
      <c r="AV1681" t="n">
        <v>33</v>
      </c>
      <c r="AW1681" t="n">
        <v>31</v>
      </c>
      <c r="AX1681" t="n">
        <v>0</v>
      </c>
      <c r="AY1681" t="n">
        <v>20</v>
      </c>
      <c r="AZ1681" t="n">
        <v>1</v>
      </c>
      <c r="BA1681" t="n">
        <v>1</v>
      </c>
      <c r="BB1681" t="n">
        <v>61</v>
      </c>
      <c r="BC1681" t="n">
        <v>25</v>
      </c>
      <c r="BD1681" t="n">
        <v>75</v>
      </c>
      <c r="BE1681" t="n">
        <v>30</v>
      </c>
      <c r="BF1681" t="n">
        <v>83</v>
      </c>
      <c r="BG1681" t="n">
        <v>0</v>
      </c>
      <c r="BH1681" t="n">
        <v>9</v>
      </c>
      <c r="BI1681" t="n">
        <v>1</v>
      </c>
      <c r="BJ1681" t="n">
        <v>4</v>
      </c>
      <c r="BK1681" t="n">
        <v>5</v>
      </c>
      <c r="BL1681" t="n">
        <v>20</v>
      </c>
      <c r="BM1681" t="n">
        <v>13</v>
      </c>
      <c r="BN1681" t="n">
        <v>0</v>
      </c>
      <c r="BO1681" t="n">
        <v>7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2</v>
      </c>
      <c r="F1682" t="n">
        <v>2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299</v>
      </c>
      <c r="Z1682" t="n">
        <v>167</v>
      </c>
      <c r="AA1682" t="n">
        <v>113</v>
      </c>
      <c r="AB1682" t="n">
        <v>0</v>
      </c>
      <c r="AC1682" t="n">
        <v>3</v>
      </c>
      <c r="AD1682" t="n">
        <v>0</v>
      </c>
      <c r="AE1682" t="n">
        <v>2</v>
      </c>
      <c r="AF1682" t="n">
        <v>5</v>
      </c>
      <c r="AG1682" t="n">
        <v>16</v>
      </c>
      <c r="AH1682" t="n">
        <v>19</v>
      </c>
      <c r="AI1682" t="n">
        <v>4</v>
      </c>
      <c r="AJ1682" t="n">
        <v>47</v>
      </c>
      <c r="AK1682" t="n">
        <v>119</v>
      </c>
      <c r="AL1682" t="n">
        <v>6</v>
      </c>
      <c r="AM1682" t="n">
        <v>114</v>
      </c>
      <c r="AN1682" t="n">
        <v>0</v>
      </c>
      <c r="AO1682" t="n">
        <v>0</v>
      </c>
      <c r="AP1682" t="n">
        <v>6</v>
      </c>
      <c r="AQ1682" t="n">
        <v>91</v>
      </c>
      <c r="AR1682" t="n">
        <v>113</v>
      </c>
      <c r="AS1682" t="n">
        <v>35</v>
      </c>
      <c r="AT1682" t="n">
        <v>2</v>
      </c>
      <c r="AU1682" t="n">
        <v>0</v>
      </c>
      <c r="AV1682" t="n">
        <v>12</v>
      </c>
      <c r="AW1682" t="n">
        <v>1</v>
      </c>
      <c r="AX1682" t="n">
        <v>0</v>
      </c>
      <c r="AY1682" t="n">
        <v>19</v>
      </c>
      <c r="AZ1682" t="n">
        <v>4</v>
      </c>
      <c r="BA1682" t="n">
        <v>17</v>
      </c>
      <c r="BB1682" t="n">
        <v>123</v>
      </c>
      <c r="BC1682" t="n">
        <v>112</v>
      </c>
      <c r="BD1682" t="n">
        <v>33</v>
      </c>
      <c r="BE1682" t="n">
        <v>1</v>
      </c>
      <c r="BF1682" t="n">
        <v>41</v>
      </c>
      <c r="BG1682" t="n">
        <v>5</v>
      </c>
      <c r="BH1682" t="n">
        <v>19</v>
      </c>
      <c r="BI1682" t="n">
        <v>13</v>
      </c>
      <c r="BJ1682" t="n">
        <v>19</v>
      </c>
      <c r="BK1682" t="n">
        <v>0</v>
      </c>
      <c r="BL1682" t="n">
        <v>1</v>
      </c>
      <c r="BM1682" t="n">
        <v>9</v>
      </c>
      <c r="BN1682" t="n">
        <v>5</v>
      </c>
      <c r="BO1682" t="n">
        <v>2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230</v>
      </c>
      <c r="Z1683" t="n">
        <v>132</v>
      </c>
      <c r="AA1683" t="n">
        <v>90</v>
      </c>
      <c r="AB1683" t="n">
        <v>1</v>
      </c>
      <c r="AC1683" t="n">
        <v>1</v>
      </c>
      <c r="AD1683" t="n">
        <v>4</v>
      </c>
      <c r="AE1683" t="n">
        <v>0</v>
      </c>
      <c r="AF1683" t="n">
        <v>5</v>
      </c>
      <c r="AG1683" t="n">
        <v>10</v>
      </c>
      <c r="AH1683" t="n">
        <v>36</v>
      </c>
      <c r="AI1683" t="n">
        <v>2</v>
      </c>
      <c r="AJ1683" t="n">
        <v>22</v>
      </c>
      <c r="AK1683" t="n">
        <v>86</v>
      </c>
      <c r="AL1683" t="n">
        <v>1</v>
      </c>
      <c r="AM1683" t="n">
        <v>37</v>
      </c>
      <c r="AN1683" t="n">
        <v>1</v>
      </c>
      <c r="AO1683" t="n">
        <v>0</v>
      </c>
      <c r="AP1683" t="n">
        <v>0</v>
      </c>
      <c r="AQ1683" t="n">
        <v>1</v>
      </c>
      <c r="AR1683" t="n">
        <v>92</v>
      </c>
      <c r="AS1683" t="n">
        <v>84</v>
      </c>
      <c r="AT1683" t="n">
        <v>0</v>
      </c>
      <c r="AU1683" t="n">
        <v>4</v>
      </c>
      <c r="AV1683" t="n">
        <v>8</v>
      </c>
      <c r="AW1683" t="n">
        <v>26</v>
      </c>
      <c r="AX1683" t="n">
        <v>2</v>
      </c>
      <c r="AY1683" t="n">
        <v>7</v>
      </c>
      <c r="AZ1683" t="n">
        <v>1</v>
      </c>
      <c r="BA1683" t="n">
        <v>9</v>
      </c>
      <c r="BB1683" t="n">
        <v>94</v>
      </c>
      <c r="BC1683" t="n">
        <v>31</v>
      </c>
      <c r="BD1683" t="n">
        <v>32</v>
      </c>
      <c r="BE1683" t="n">
        <v>26</v>
      </c>
      <c r="BF1683" t="n">
        <v>18</v>
      </c>
      <c r="BG1683" t="n">
        <v>5</v>
      </c>
      <c r="BH1683" t="n">
        <v>14</v>
      </c>
      <c r="BI1683" t="n">
        <v>53</v>
      </c>
      <c r="BJ1683" t="n">
        <v>48</v>
      </c>
      <c r="BK1683" t="n">
        <v>2</v>
      </c>
      <c r="BL1683" t="n">
        <v>26</v>
      </c>
      <c r="BM1683" t="n">
        <v>18</v>
      </c>
      <c r="BN1683" t="n">
        <v>0</v>
      </c>
      <c r="BO1683" t="n">
        <v>2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168</v>
      </c>
      <c r="Z1684" t="n">
        <v>156</v>
      </c>
      <c r="AA1684" t="n">
        <v>66</v>
      </c>
      <c r="AB1684" t="n">
        <v>1</v>
      </c>
      <c r="AC1684" t="n">
        <v>0</v>
      </c>
      <c r="AD1684" t="n">
        <v>3</v>
      </c>
      <c r="AE1684" t="n">
        <v>3</v>
      </c>
      <c r="AF1684" t="n">
        <v>8</v>
      </c>
      <c r="AG1684" t="n">
        <v>2</v>
      </c>
      <c r="AH1684" t="n">
        <v>44</v>
      </c>
      <c r="AI1684" t="n">
        <v>8</v>
      </c>
      <c r="AJ1684" t="n">
        <v>71</v>
      </c>
      <c r="AK1684" t="n">
        <v>1</v>
      </c>
      <c r="AL1684" t="n">
        <v>4</v>
      </c>
      <c r="AM1684" t="n">
        <v>42</v>
      </c>
      <c r="AN1684" t="n">
        <v>0</v>
      </c>
      <c r="AO1684" t="n">
        <v>0</v>
      </c>
      <c r="AP1684" t="n">
        <v>6</v>
      </c>
      <c r="AQ1684" t="n">
        <v>56</v>
      </c>
      <c r="AR1684" t="n">
        <v>66</v>
      </c>
      <c r="AS1684" t="n">
        <v>18</v>
      </c>
      <c r="AT1684" t="n">
        <v>3</v>
      </c>
      <c r="AU1684" t="n">
        <v>1</v>
      </c>
      <c r="AV1684" t="n">
        <v>11</v>
      </c>
      <c r="AW1684" t="n">
        <v>7</v>
      </c>
      <c r="AX1684" t="n">
        <v>14</v>
      </c>
      <c r="AY1684" t="n">
        <v>10</v>
      </c>
      <c r="AZ1684" t="n">
        <v>3</v>
      </c>
      <c r="BA1684" t="n">
        <v>15</v>
      </c>
      <c r="BB1684" t="n">
        <v>77</v>
      </c>
      <c r="BC1684" t="n">
        <v>36</v>
      </c>
      <c r="BD1684" t="n">
        <v>54</v>
      </c>
      <c r="BE1684" t="n">
        <v>8</v>
      </c>
      <c r="BF1684" t="n">
        <v>56</v>
      </c>
      <c r="BG1684" t="n">
        <v>2</v>
      </c>
      <c r="BH1684" t="n">
        <v>2</v>
      </c>
      <c r="BI1684" t="n">
        <v>13</v>
      </c>
      <c r="BJ1684" t="n">
        <v>11</v>
      </c>
      <c r="BK1684" t="n">
        <v>2</v>
      </c>
      <c r="BL1684" t="n">
        <v>22</v>
      </c>
      <c r="BM1684" t="n">
        <v>21</v>
      </c>
      <c r="BN1684" t="n">
        <v>5</v>
      </c>
      <c r="BO1684" t="n">
        <v>2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2</v>
      </c>
      <c r="U1685" t="n">
        <v>0</v>
      </c>
      <c r="V1685" t="n">
        <v>0</v>
      </c>
      <c r="W1685" t="n">
        <v>0</v>
      </c>
      <c r="X1685" t="n">
        <v>0</v>
      </c>
      <c r="Y1685" t="n">
        <v>215</v>
      </c>
      <c r="Z1685" t="n">
        <v>148</v>
      </c>
      <c r="AA1685" t="n">
        <v>49</v>
      </c>
      <c r="AB1685" t="n">
        <v>0</v>
      </c>
      <c r="AC1685" t="n">
        <v>0</v>
      </c>
      <c r="AD1685" t="n">
        <v>2</v>
      </c>
      <c r="AE1685" t="n">
        <v>2</v>
      </c>
      <c r="AF1685" t="n">
        <v>3</v>
      </c>
      <c r="AG1685" t="n">
        <v>0</v>
      </c>
      <c r="AH1685" t="n">
        <v>40</v>
      </c>
      <c r="AI1685" t="n">
        <v>54</v>
      </c>
      <c r="AJ1685" t="n">
        <v>24</v>
      </c>
      <c r="AK1685" t="n">
        <v>1</v>
      </c>
      <c r="AL1685" t="n">
        <v>2</v>
      </c>
      <c r="AM1685" t="n">
        <v>20</v>
      </c>
      <c r="AN1685" t="n">
        <v>0</v>
      </c>
      <c r="AO1685" t="n">
        <v>0</v>
      </c>
      <c r="AP1685" t="n">
        <v>6</v>
      </c>
      <c r="AQ1685" t="n">
        <v>56</v>
      </c>
      <c r="AR1685" t="n">
        <v>186</v>
      </c>
      <c r="AS1685" t="n">
        <v>135</v>
      </c>
      <c r="AT1685" t="n">
        <v>4</v>
      </c>
      <c r="AU1685" t="n">
        <v>0</v>
      </c>
      <c r="AV1685" t="n">
        <v>39</v>
      </c>
      <c r="AW1685" t="n">
        <v>21</v>
      </c>
      <c r="AX1685" t="n">
        <v>1</v>
      </c>
      <c r="AY1685" t="n">
        <v>14</v>
      </c>
      <c r="AZ1685" t="n">
        <v>1</v>
      </c>
      <c r="BA1685" t="n">
        <v>2</v>
      </c>
      <c r="BB1685" t="n">
        <v>48</v>
      </c>
      <c r="BC1685" t="n">
        <v>25</v>
      </c>
      <c r="BD1685" t="n">
        <v>35</v>
      </c>
      <c r="BE1685" t="n">
        <v>21</v>
      </c>
      <c r="BF1685" t="n">
        <v>18</v>
      </c>
      <c r="BG1685" t="n">
        <v>1</v>
      </c>
      <c r="BH1685" t="n">
        <v>12</v>
      </c>
      <c r="BI1685" t="n">
        <v>36</v>
      </c>
      <c r="BJ1685" t="n">
        <v>33</v>
      </c>
      <c r="BK1685" t="n">
        <v>0</v>
      </c>
      <c r="BL1685" t="n">
        <v>1</v>
      </c>
      <c r="BM1685" t="n">
        <v>9</v>
      </c>
      <c r="BN1685" t="n">
        <v>5</v>
      </c>
      <c r="BO1685" t="n">
        <v>2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212</v>
      </c>
      <c r="Z1686" t="n">
        <v>134</v>
      </c>
      <c r="AA1686" t="n">
        <v>48</v>
      </c>
      <c r="AB1686" t="n">
        <v>1</v>
      </c>
      <c r="AC1686" t="n">
        <v>0</v>
      </c>
      <c r="AD1686" t="n">
        <v>5</v>
      </c>
      <c r="AE1686" t="n">
        <v>3</v>
      </c>
      <c r="AF1686" t="n">
        <v>6</v>
      </c>
      <c r="AG1686" t="n">
        <v>4</v>
      </c>
      <c r="AH1686" t="n">
        <v>62</v>
      </c>
      <c r="AI1686" t="n">
        <v>24</v>
      </c>
      <c r="AJ1686" t="n">
        <v>66</v>
      </c>
      <c r="AK1686" t="n">
        <v>9</v>
      </c>
      <c r="AL1686" t="n">
        <v>2</v>
      </c>
      <c r="AM1686" t="n">
        <v>13</v>
      </c>
      <c r="AN1686" t="n">
        <v>0</v>
      </c>
      <c r="AO1686" t="n">
        <v>0</v>
      </c>
      <c r="AP1686" t="n">
        <v>1</v>
      </c>
      <c r="AQ1686" t="n">
        <v>7</v>
      </c>
      <c r="AR1686" t="n">
        <v>99</v>
      </c>
      <c r="AS1686" t="n">
        <v>90</v>
      </c>
      <c r="AT1686" t="n">
        <v>5</v>
      </c>
      <c r="AU1686" t="n">
        <v>1</v>
      </c>
      <c r="AV1686" t="n">
        <v>57</v>
      </c>
      <c r="AW1686" t="n">
        <v>7</v>
      </c>
      <c r="AX1686" t="n">
        <v>7</v>
      </c>
      <c r="AY1686" t="n">
        <v>4</v>
      </c>
      <c r="AZ1686" t="n">
        <v>1</v>
      </c>
      <c r="BA1686" t="n">
        <v>5</v>
      </c>
      <c r="BB1686" t="n">
        <v>50</v>
      </c>
      <c r="BC1686" t="n">
        <v>21</v>
      </c>
      <c r="BD1686" t="n">
        <v>55</v>
      </c>
      <c r="BE1686" t="n">
        <v>13</v>
      </c>
      <c r="BF1686" t="n">
        <v>53</v>
      </c>
      <c r="BG1686" t="n">
        <v>1</v>
      </c>
      <c r="BH1686" t="n">
        <v>8</v>
      </c>
      <c r="BI1686" t="n">
        <v>36</v>
      </c>
      <c r="BJ1686" t="n">
        <v>48</v>
      </c>
      <c r="BK1686" t="n">
        <v>6</v>
      </c>
      <c r="BL1686" t="n">
        <v>86</v>
      </c>
      <c r="BM1686" t="n">
        <v>84</v>
      </c>
      <c r="BN1686" t="n">
        <v>19</v>
      </c>
      <c r="BO1686" t="n">
        <v>18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293</v>
      </c>
      <c r="Z1687" t="n">
        <v>250</v>
      </c>
      <c r="AA1687" t="n">
        <v>52</v>
      </c>
      <c r="AB1687" t="n">
        <v>0</v>
      </c>
      <c r="AC1687" t="n">
        <v>1</v>
      </c>
      <c r="AD1687" t="n">
        <v>3</v>
      </c>
      <c r="AE1687" t="n">
        <v>10</v>
      </c>
      <c r="AF1687" t="n">
        <v>4</v>
      </c>
      <c r="AG1687" t="n">
        <v>5</v>
      </c>
      <c r="AH1687" t="n">
        <v>32</v>
      </c>
      <c r="AI1687" t="n">
        <v>61</v>
      </c>
      <c r="AJ1687" t="n">
        <v>76</v>
      </c>
      <c r="AK1687" t="n">
        <v>24</v>
      </c>
      <c r="AL1687" t="n">
        <v>2</v>
      </c>
      <c r="AM1687" t="n">
        <v>32</v>
      </c>
      <c r="AN1687" t="n">
        <v>0</v>
      </c>
      <c r="AO1687" t="n">
        <v>0</v>
      </c>
      <c r="AP1687" t="n">
        <v>0</v>
      </c>
      <c r="AQ1687" t="n">
        <v>1</v>
      </c>
      <c r="AR1687" t="n">
        <v>152</v>
      </c>
      <c r="AS1687" t="n">
        <v>140</v>
      </c>
      <c r="AT1687" t="n">
        <v>2</v>
      </c>
      <c r="AU1687" t="n">
        <v>1</v>
      </c>
      <c r="AV1687" t="n">
        <v>50</v>
      </c>
      <c r="AW1687" t="n">
        <v>52</v>
      </c>
      <c r="AX1687" t="n">
        <v>3</v>
      </c>
      <c r="AY1687" t="n">
        <v>36</v>
      </c>
      <c r="AZ1687" t="n">
        <v>4</v>
      </c>
      <c r="BA1687" t="n">
        <v>29</v>
      </c>
      <c r="BB1687" t="n">
        <v>78</v>
      </c>
      <c r="BC1687" t="n">
        <v>26</v>
      </c>
      <c r="BD1687" t="n">
        <v>33</v>
      </c>
      <c r="BE1687" t="n">
        <v>57</v>
      </c>
      <c r="BF1687" t="n">
        <v>74</v>
      </c>
      <c r="BG1687" t="n">
        <v>2</v>
      </c>
      <c r="BH1687" t="n">
        <v>12</v>
      </c>
      <c r="BI1687" t="n">
        <v>37</v>
      </c>
      <c r="BJ1687" t="n">
        <v>34</v>
      </c>
      <c r="BK1687" t="n">
        <v>4</v>
      </c>
      <c r="BL1687" t="n">
        <v>7</v>
      </c>
      <c r="BM1687" t="n">
        <v>14</v>
      </c>
      <c r="BN1687" t="n">
        <v>7</v>
      </c>
      <c r="BO1687" t="n">
        <v>7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2</v>
      </c>
      <c r="N1688" t="n">
        <v>0</v>
      </c>
      <c r="O1688" t="n">
        <v>2</v>
      </c>
      <c r="P1688" t="n">
        <v>0</v>
      </c>
      <c r="Q1688" t="n">
        <v>0</v>
      </c>
      <c r="R1688" t="n">
        <v>0</v>
      </c>
      <c r="S1688" t="n">
        <v>1</v>
      </c>
      <c r="T1688" t="n">
        <v>1</v>
      </c>
      <c r="U1688" t="n">
        <v>0</v>
      </c>
      <c r="V1688" t="n">
        <v>0</v>
      </c>
      <c r="W1688" t="n">
        <v>0</v>
      </c>
      <c r="X1688" t="n">
        <v>2</v>
      </c>
      <c r="Y1688" t="n">
        <v>181</v>
      </c>
      <c r="Z1688" t="n">
        <v>117</v>
      </c>
      <c r="AA1688" t="n">
        <v>48</v>
      </c>
      <c r="AB1688" t="n">
        <v>3</v>
      </c>
      <c r="AC1688" t="n">
        <v>3</v>
      </c>
      <c r="AD1688" t="n">
        <v>5</v>
      </c>
      <c r="AE1688" t="n">
        <v>6</v>
      </c>
      <c r="AF1688" t="n">
        <v>7</v>
      </c>
      <c r="AG1688" t="n">
        <v>3</v>
      </c>
      <c r="AH1688" t="n">
        <v>33</v>
      </c>
      <c r="AI1688" t="n">
        <v>10</v>
      </c>
      <c r="AJ1688" t="n">
        <v>51</v>
      </c>
      <c r="AK1688" t="n">
        <v>18</v>
      </c>
      <c r="AL1688" t="n">
        <v>1</v>
      </c>
      <c r="AM1688" t="n">
        <v>7</v>
      </c>
      <c r="AN1688" t="n">
        <v>0</v>
      </c>
      <c r="AO1688" t="n">
        <v>0</v>
      </c>
      <c r="AP1688" t="n">
        <v>5</v>
      </c>
      <c r="AQ1688" t="n">
        <v>52</v>
      </c>
      <c r="AR1688" t="n">
        <v>90</v>
      </c>
      <c r="AS1688" t="n">
        <v>49</v>
      </c>
      <c r="AT1688" t="n">
        <v>1</v>
      </c>
      <c r="AU1688" t="n">
        <v>0</v>
      </c>
      <c r="AV1688" t="n">
        <v>21</v>
      </c>
      <c r="AW1688" t="n">
        <v>1</v>
      </c>
      <c r="AX1688" t="n">
        <v>2</v>
      </c>
      <c r="AY1688" t="n">
        <v>32</v>
      </c>
      <c r="AZ1688" t="n">
        <v>1</v>
      </c>
      <c r="BA1688" t="n">
        <v>7</v>
      </c>
      <c r="BB1688" t="n">
        <v>52</v>
      </c>
      <c r="BC1688" t="n">
        <v>4</v>
      </c>
      <c r="BD1688" t="n">
        <v>27</v>
      </c>
      <c r="BE1688" t="n">
        <v>1</v>
      </c>
      <c r="BF1688" t="n">
        <v>43</v>
      </c>
      <c r="BG1688" t="n">
        <v>1</v>
      </c>
      <c r="BH1688" t="n">
        <v>5</v>
      </c>
      <c r="BI1688" t="n">
        <v>42</v>
      </c>
      <c r="BJ1688" t="n">
        <v>36</v>
      </c>
      <c r="BK1688" t="n">
        <v>3</v>
      </c>
      <c r="BL1688" t="n">
        <v>8</v>
      </c>
      <c r="BM1688" t="n">
        <v>11</v>
      </c>
      <c r="BN1688" t="n">
        <v>4</v>
      </c>
      <c r="BO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177</v>
      </c>
      <c r="Z1689" t="n">
        <v>66</v>
      </c>
      <c r="AA1689" t="n">
        <v>70</v>
      </c>
      <c r="AB1689" t="n">
        <v>1</v>
      </c>
      <c r="AC1689" t="n">
        <v>1</v>
      </c>
      <c r="AD1689" t="n">
        <v>2</v>
      </c>
      <c r="AE1689" t="n">
        <v>3</v>
      </c>
      <c r="AF1689" t="n">
        <v>8</v>
      </c>
      <c r="AG1689" t="n">
        <v>1</v>
      </c>
      <c r="AH1689" t="n">
        <v>26</v>
      </c>
      <c r="AI1689" t="n">
        <v>25</v>
      </c>
      <c r="AJ1689" t="n">
        <v>99</v>
      </c>
      <c r="AK1689" t="n">
        <v>30</v>
      </c>
      <c r="AL1689" t="n">
        <v>3</v>
      </c>
      <c r="AM1689" t="n">
        <v>13</v>
      </c>
      <c r="AN1689" t="n">
        <v>0</v>
      </c>
      <c r="AO1689" t="n">
        <v>0</v>
      </c>
      <c r="AP1689" t="n">
        <v>4</v>
      </c>
      <c r="AQ1689" t="n">
        <v>39</v>
      </c>
      <c r="AR1689" t="n">
        <v>76</v>
      </c>
      <c r="AS1689" t="n">
        <v>43</v>
      </c>
      <c r="AT1689" t="n">
        <v>2</v>
      </c>
      <c r="AU1689" t="n">
        <v>0</v>
      </c>
      <c r="AV1689" t="n">
        <v>8</v>
      </c>
      <c r="AW1689" t="n">
        <v>1</v>
      </c>
      <c r="AX1689" t="n">
        <v>13</v>
      </c>
      <c r="AY1689" t="n">
        <v>38</v>
      </c>
      <c r="AZ1689" t="n">
        <v>1</v>
      </c>
      <c r="BA1689" t="n">
        <v>2</v>
      </c>
      <c r="BB1689" t="n">
        <v>67</v>
      </c>
      <c r="BC1689" t="n">
        <v>9</v>
      </c>
      <c r="BD1689" t="n">
        <v>23</v>
      </c>
      <c r="BE1689" t="n">
        <v>5</v>
      </c>
      <c r="BF1689" t="n">
        <v>84</v>
      </c>
      <c r="BG1689" t="n">
        <v>1</v>
      </c>
      <c r="BH1689" t="n">
        <v>6</v>
      </c>
      <c r="BI1689" t="n">
        <v>7</v>
      </c>
      <c r="BJ1689" t="n">
        <v>5</v>
      </c>
      <c r="BK1689" t="n">
        <v>0</v>
      </c>
      <c r="BL1689" t="n">
        <v>1</v>
      </c>
      <c r="BM1689" t="n">
        <v>5</v>
      </c>
      <c r="BN1689" t="n">
        <v>2</v>
      </c>
      <c r="BO1689" t="n">
        <v>2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229</v>
      </c>
      <c r="Z1690" t="n">
        <v>55</v>
      </c>
      <c r="AA1690" t="n">
        <v>11</v>
      </c>
      <c r="AB1690" t="n">
        <v>0</v>
      </c>
      <c r="AC1690" t="n">
        <v>1</v>
      </c>
      <c r="AD1690" t="n">
        <v>5</v>
      </c>
      <c r="AE1690" t="n">
        <v>4</v>
      </c>
      <c r="AF1690" t="n">
        <v>2</v>
      </c>
      <c r="AG1690" t="n">
        <v>0</v>
      </c>
      <c r="AH1690" t="n">
        <v>76</v>
      </c>
      <c r="AI1690" t="n">
        <v>34</v>
      </c>
      <c r="AJ1690" t="n">
        <v>91</v>
      </c>
      <c r="AK1690" t="n">
        <v>22</v>
      </c>
      <c r="AL1690" t="n">
        <v>0</v>
      </c>
      <c r="AM1690" t="n">
        <v>2</v>
      </c>
      <c r="AN1690" t="n">
        <v>0</v>
      </c>
      <c r="AO1690" t="n">
        <v>0</v>
      </c>
      <c r="AP1690" t="n">
        <v>1</v>
      </c>
      <c r="AQ1690" t="n">
        <v>27</v>
      </c>
      <c r="AR1690" t="n">
        <v>85</v>
      </c>
      <c r="AS1690" t="n">
        <v>61</v>
      </c>
      <c r="AT1690" t="n">
        <v>4</v>
      </c>
      <c r="AU1690" t="n">
        <v>2</v>
      </c>
      <c r="AV1690" t="n">
        <v>31</v>
      </c>
      <c r="AW1690" t="n">
        <v>6</v>
      </c>
      <c r="AX1690" t="n">
        <v>16</v>
      </c>
      <c r="AY1690" t="n">
        <v>10</v>
      </c>
      <c r="AZ1690" t="n">
        <v>0</v>
      </c>
      <c r="BA1690" t="n">
        <v>1</v>
      </c>
      <c r="BB1690" t="n">
        <v>12</v>
      </c>
      <c r="BC1690" t="n">
        <v>24</v>
      </c>
      <c r="BD1690" t="n">
        <v>69</v>
      </c>
      <c r="BE1690" t="n">
        <v>6</v>
      </c>
      <c r="BF1690" t="n">
        <v>75</v>
      </c>
      <c r="BG1690" t="n">
        <v>1</v>
      </c>
      <c r="BH1690" t="n">
        <v>2</v>
      </c>
      <c r="BI1690" t="n">
        <v>-4</v>
      </c>
      <c r="BJ1690" t="n">
        <v>-2</v>
      </c>
      <c r="BK1690" t="n">
        <v>3</v>
      </c>
      <c r="BL1690" t="n">
        <v>26</v>
      </c>
      <c r="BM1690" t="n">
        <v>20</v>
      </c>
      <c r="BN1690" t="n">
        <v>3</v>
      </c>
      <c r="BO1690" t="n">
        <v>2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271</v>
      </c>
      <c r="Z1691" t="n">
        <v>249</v>
      </c>
      <c r="AA1691" t="n">
        <v>2</v>
      </c>
      <c r="AB1691" t="n">
        <v>1</v>
      </c>
      <c r="AC1691" t="n">
        <v>0</v>
      </c>
      <c r="AD1691" t="n">
        <v>2</v>
      </c>
      <c r="AE1691" t="n">
        <v>7</v>
      </c>
      <c r="AF1691" t="n">
        <v>5</v>
      </c>
      <c r="AG1691" t="n">
        <v>3</v>
      </c>
      <c r="AH1691" t="n">
        <v>13</v>
      </c>
      <c r="AI1691" t="n">
        <v>10</v>
      </c>
      <c r="AJ1691" t="n">
        <v>77</v>
      </c>
      <c r="AK1691" t="n">
        <v>25</v>
      </c>
      <c r="AL1691" t="n">
        <v>4</v>
      </c>
      <c r="AM1691" t="n">
        <v>59</v>
      </c>
      <c r="AN1691" t="n">
        <v>0</v>
      </c>
      <c r="AO1691" t="n">
        <v>0</v>
      </c>
      <c r="AP1691" t="n">
        <v>5</v>
      </c>
      <c r="AQ1691" t="n">
        <v>32</v>
      </c>
      <c r="AR1691" t="n">
        <v>88</v>
      </c>
      <c r="AS1691" t="n">
        <v>61</v>
      </c>
      <c r="AT1691" t="n">
        <v>5</v>
      </c>
      <c r="AU1691" t="n">
        <v>4</v>
      </c>
      <c r="AV1691" t="n">
        <v>67</v>
      </c>
      <c r="AW1691" t="n">
        <v>29</v>
      </c>
      <c r="AX1691" t="n">
        <v>3</v>
      </c>
      <c r="AY1691" t="n">
        <v>25</v>
      </c>
      <c r="AZ1691" t="n">
        <v>0</v>
      </c>
      <c r="BA1691" t="n">
        <v>1</v>
      </c>
      <c r="BB1691" t="n">
        <v>4</v>
      </c>
      <c r="BC1691" t="n">
        <v>50</v>
      </c>
      <c r="BD1691" t="n">
        <v>28</v>
      </c>
      <c r="BE1691" t="n">
        <v>28</v>
      </c>
      <c r="BF1691" t="n">
        <v>62</v>
      </c>
      <c r="BG1691" t="n">
        <v>1</v>
      </c>
      <c r="BH1691" t="n">
        <v>15</v>
      </c>
      <c r="BI1691" t="n">
        <v>32</v>
      </c>
      <c r="BJ1691" t="n">
        <v>29</v>
      </c>
      <c r="BK1691" t="n">
        <v>3</v>
      </c>
      <c r="BL1691" t="n">
        <v>10</v>
      </c>
      <c r="BM1691" t="n">
        <v>5</v>
      </c>
      <c r="BN1691" t="n">
        <v>-1</v>
      </c>
      <c r="BO1691" t="n">
        <v>91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1</v>
      </c>
      <c r="V1692" t="n">
        <v>0</v>
      </c>
      <c r="W1692" t="n">
        <v>0</v>
      </c>
      <c r="X1692" t="n">
        <v>0</v>
      </c>
      <c r="Y1692" t="n">
        <v>113</v>
      </c>
      <c r="Z1692" t="n">
        <v>267</v>
      </c>
      <c r="AA1692" t="n">
        <v>80</v>
      </c>
      <c r="AB1692" t="n">
        <v>0</v>
      </c>
      <c r="AC1692" t="n">
        <v>1</v>
      </c>
      <c r="AD1692" t="n">
        <v>1</v>
      </c>
      <c r="AE1692" t="n">
        <v>6</v>
      </c>
      <c r="AF1692" t="n">
        <v>2</v>
      </c>
      <c r="AG1692" t="n">
        <v>0</v>
      </c>
      <c r="AH1692" t="n">
        <v>11</v>
      </c>
      <c r="AI1692" t="n">
        <v>61</v>
      </c>
      <c r="AJ1692" t="n">
        <v>20</v>
      </c>
      <c r="AK1692" t="n">
        <v>1</v>
      </c>
      <c r="AL1692" t="n">
        <v>3</v>
      </c>
      <c r="AM1692" t="n">
        <v>36</v>
      </c>
      <c r="AN1692" t="n">
        <v>0</v>
      </c>
      <c r="AO1692" t="n">
        <v>0</v>
      </c>
      <c r="AP1692" t="n">
        <v>1</v>
      </c>
      <c r="AQ1692" t="n">
        <v>13</v>
      </c>
      <c r="AR1692" t="n">
        <v>45</v>
      </c>
      <c r="AS1692" t="n">
        <v>35</v>
      </c>
      <c r="AT1692" t="n">
        <v>0</v>
      </c>
      <c r="AU1692" t="n">
        <v>1</v>
      </c>
      <c r="AV1692" t="n">
        <v>1</v>
      </c>
      <c r="AW1692" t="n">
        <v>36</v>
      </c>
      <c r="AX1692" t="n">
        <v>3</v>
      </c>
      <c r="AY1692" t="n">
        <v>64</v>
      </c>
      <c r="AZ1692" t="n">
        <v>2</v>
      </c>
      <c r="BA1692" t="n">
        <v>39</v>
      </c>
      <c r="BB1692" t="n">
        <v>116</v>
      </c>
      <c r="BC1692" t="n">
        <v>44</v>
      </c>
      <c r="BD1692" t="n">
        <v>10</v>
      </c>
      <c r="BE1692" t="n">
        <v>37</v>
      </c>
      <c r="BF1692" t="n">
        <v>20</v>
      </c>
      <c r="BG1692" t="n">
        <v>2</v>
      </c>
      <c r="BH1692" t="n">
        <v>3</v>
      </c>
      <c r="BI1692" t="n">
        <v>9</v>
      </c>
      <c r="BJ1692" t="n">
        <v>8</v>
      </c>
      <c r="BK1692" t="n">
        <v>1</v>
      </c>
      <c r="BL1692" t="n">
        <v>5</v>
      </c>
      <c r="BM1692" t="n">
        <v>11</v>
      </c>
      <c r="BN1692" t="n">
        <v>6</v>
      </c>
      <c r="BO1692" t="n">
        <v>14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225</v>
      </c>
      <c r="Z1693" t="n">
        <v>106</v>
      </c>
      <c r="AA1693" t="n">
        <v>45</v>
      </c>
      <c r="AB1693" t="n">
        <v>0</v>
      </c>
      <c r="AC1693" t="n">
        <v>1</v>
      </c>
      <c r="AD1693" t="n">
        <v>6</v>
      </c>
      <c r="AE1693" t="n">
        <v>1</v>
      </c>
      <c r="AF1693" t="n">
        <v>3</v>
      </c>
      <c r="AG1693" t="n">
        <v>12</v>
      </c>
      <c r="AH1693" t="n">
        <v>94</v>
      </c>
      <c r="AI1693" t="n">
        <v>36</v>
      </c>
      <c r="AJ1693" t="n">
        <v>40</v>
      </c>
      <c r="AK1693" t="n">
        <v>69</v>
      </c>
      <c r="AL1693" t="n">
        <v>0</v>
      </c>
      <c r="AM1693" t="n">
        <v>2</v>
      </c>
      <c r="AN1693" t="n">
        <v>0</v>
      </c>
      <c r="AO1693" t="n">
        <v>0</v>
      </c>
      <c r="AP1693" t="n">
        <v>3</v>
      </c>
      <c r="AQ1693" t="n">
        <v>21</v>
      </c>
      <c r="AR1693" t="n">
        <v>37</v>
      </c>
      <c r="AS1693" t="n">
        <v>21</v>
      </c>
      <c r="AT1693" t="n">
        <v>2</v>
      </c>
      <c r="AU1693" t="n">
        <v>1</v>
      </c>
      <c r="AV1693" t="n">
        <v>12</v>
      </c>
      <c r="AW1693" t="n">
        <v>14</v>
      </c>
      <c r="AX1693" t="n">
        <v>0</v>
      </c>
      <c r="AY1693" t="n">
        <v>78</v>
      </c>
      <c r="AZ1693" t="n">
        <v>0</v>
      </c>
      <c r="BA1693" t="n">
        <v>1</v>
      </c>
      <c r="BB1693" t="n">
        <v>44</v>
      </c>
      <c r="BC1693" t="n">
        <v>16</v>
      </c>
      <c r="BD1693" t="n">
        <v>85</v>
      </c>
      <c r="BE1693" t="n">
        <v>23</v>
      </c>
      <c r="BF1693" t="n">
        <v>38</v>
      </c>
      <c r="BG1693" t="n">
        <v>0</v>
      </c>
      <c r="BH1693" t="n">
        <v>3</v>
      </c>
      <c r="BI1693" t="n">
        <v>32</v>
      </c>
      <c r="BJ1693" t="n">
        <v>32</v>
      </c>
      <c r="BK1693" t="n">
        <v>4</v>
      </c>
      <c r="BL1693" t="n">
        <v>21</v>
      </c>
      <c r="BM1693" t="n">
        <v>43</v>
      </c>
      <c r="BN1693" t="n">
        <v>19</v>
      </c>
      <c r="BO1693" t="n">
        <v>9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2</v>
      </c>
      <c r="P1694" t="n">
        <v>0</v>
      </c>
      <c r="Q1694" t="n">
        <v>1</v>
      </c>
      <c r="R1694" t="n">
        <v>0</v>
      </c>
      <c r="S1694" t="n">
        <v>1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261</v>
      </c>
      <c r="Z1694" t="n">
        <v>209</v>
      </c>
      <c r="AA1694" t="n">
        <v>38</v>
      </c>
      <c r="AB1694" t="n">
        <v>3</v>
      </c>
      <c r="AC1694" t="n">
        <v>2</v>
      </c>
      <c r="AD1694" t="n">
        <v>2</v>
      </c>
      <c r="AE1694" t="n">
        <v>7</v>
      </c>
      <c r="AF1694" t="n">
        <v>4</v>
      </c>
      <c r="AG1694" t="n">
        <v>11</v>
      </c>
      <c r="AH1694" t="n">
        <v>6</v>
      </c>
      <c r="AI1694" t="n">
        <v>83</v>
      </c>
      <c r="AJ1694" t="n">
        <v>49</v>
      </c>
      <c r="AK1694" t="n">
        <v>153</v>
      </c>
      <c r="AL1694" t="n">
        <v>1</v>
      </c>
      <c r="AM1694" t="n">
        <v>2</v>
      </c>
      <c r="AN1694" t="n">
        <v>0</v>
      </c>
      <c r="AO1694" t="n">
        <v>0</v>
      </c>
      <c r="AP1694" t="n">
        <v>1</v>
      </c>
      <c r="AQ1694" t="n">
        <v>1</v>
      </c>
      <c r="AR1694" t="n">
        <v>28</v>
      </c>
      <c r="AS1694" t="n">
        <v>23</v>
      </c>
      <c r="AT1694" t="n">
        <v>2</v>
      </c>
      <c r="AU1694" t="n">
        <v>2</v>
      </c>
      <c r="AV1694" t="n">
        <v>18</v>
      </c>
      <c r="AW1694" t="n">
        <v>18</v>
      </c>
      <c r="AX1694" t="n">
        <v>0</v>
      </c>
      <c r="AY1694" t="n">
        <v>26</v>
      </c>
      <c r="AZ1694" t="n">
        <v>7</v>
      </c>
      <c r="BA1694" t="n">
        <v>102</v>
      </c>
      <c r="BB1694" t="n">
        <v>159</v>
      </c>
      <c r="BC1694" t="n">
        <v>6</v>
      </c>
      <c r="BD1694" t="n">
        <v>6</v>
      </c>
      <c r="BE1694" t="n">
        <v>22</v>
      </c>
      <c r="BF1694" t="n">
        <v>39</v>
      </c>
      <c r="BG1694" t="n">
        <v>2</v>
      </c>
      <c r="BH1694" t="n">
        <v>5</v>
      </c>
      <c r="BI1694" t="n">
        <v>28</v>
      </c>
      <c r="BJ1694" t="n">
        <v>28</v>
      </c>
      <c r="BK1694" t="n">
        <v>1</v>
      </c>
      <c r="BL1694" t="n">
        <v>1</v>
      </c>
      <c r="BM1694" t="n">
        <v>10</v>
      </c>
      <c r="BN1694" t="n">
        <v>5</v>
      </c>
      <c r="BO1694" t="n">
        <v>2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367</v>
      </c>
      <c r="Z1695" t="n">
        <v>262</v>
      </c>
      <c r="AA1695" t="n">
        <v>30</v>
      </c>
      <c r="AB1695" t="n">
        <v>1</v>
      </c>
      <c r="AC1695" t="n">
        <v>2</v>
      </c>
      <c r="AD1695" t="n">
        <v>7</v>
      </c>
      <c r="AE1695" t="n">
        <v>7</v>
      </c>
      <c r="AF1695" t="n">
        <v>3</v>
      </c>
      <c r="AG1695" t="n">
        <v>2</v>
      </c>
      <c r="AH1695" t="n">
        <v>63</v>
      </c>
      <c r="AI1695" t="n">
        <v>63</v>
      </c>
      <c r="AJ1695" t="n">
        <v>22</v>
      </c>
      <c r="AK1695" t="n">
        <v>1</v>
      </c>
      <c r="AL1695" t="n">
        <v>0</v>
      </c>
      <c r="AM1695" t="n">
        <v>3</v>
      </c>
      <c r="AN1695" t="n">
        <v>0</v>
      </c>
      <c r="AO1695" t="n">
        <v>0</v>
      </c>
      <c r="AP1695" t="n">
        <v>11</v>
      </c>
      <c r="AQ1695" t="n">
        <v>97</v>
      </c>
      <c r="AR1695" t="n">
        <v>177</v>
      </c>
      <c r="AS1695" t="n">
        <v>92</v>
      </c>
      <c r="AT1695" t="n">
        <v>7</v>
      </c>
      <c r="AU1695" t="n">
        <v>0</v>
      </c>
      <c r="AV1695" t="n">
        <v>78</v>
      </c>
      <c r="AW1695" t="n">
        <v>1</v>
      </c>
      <c r="AX1695" t="n">
        <v>8</v>
      </c>
      <c r="AY1695" t="n">
        <v>31</v>
      </c>
      <c r="AZ1695" t="n">
        <v>2</v>
      </c>
      <c r="BA1695" t="n">
        <v>60</v>
      </c>
      <c r="BB1695" t="n">
        <v>99</v>
      </c>
      <c r="BC1695" t="n">
        <v>2</v>
      </c>
      <c r="BD1695" t="n">
        <v>62</v>
      </c>
      <c r="BE1695" t="n">
        <v>3</v>
      </c>
      <c r="BF1695" t="n">
        <v>18</v>
      </c>
      <c r="BG1695" t="n">
        <v>3</v>
      </c>
      <c r="BH1695" t="n">
        <v>21</v>
      </c>
      <c r="BI1695" t="n">
        <v>13</v>
      </c>
      <c r="BJ1695" t="n">
        <v>19</v>
      </c>
      <c r="BK1695" t="n">
        <v>3</v>
      </c>
      <c r="BL1695" t="n">
        <v>21</v>
      </c>
      <c r="BM1695" t="n">
        <v>17</v>
      </c>
      <c r="BN1695" t="n">
        <v>3</v>
      </c>
      <c r="BO1695" t="n">
        <v>2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2</v>
      </c>
      <c r="G1696" t="n">
        <v>3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238</v>
      </c>
      <c r="Z1696" t="n">
        <v>335</v>
      </c>
      <c r="AA1696" t="n">
        <v>24</v>
      </c>
      <c r="AB1696" t="n">
        <v>1</v>
      </c>
      <c r="AC1696" t="n">
        <v>1</v>
      </c>
      <c r="AD1696" t="n">
        <v>6</v>
      </c>
      <c r="AE1696" t="n">
        <v>7</v>
      </c>
      <c r="AF1696" t="n">
        <v>3</v>
      </c>
      <c r="AG1696" t="n">
        <v>0</v>
      </c>
      <c r="AH1696" t="n">
        <v>107</v>
      </c>
      <c r="AI1696" t="n">
        <v>129</v>
      </c>
      <c r="AJ1696" t="n">
        <v>39</v>
      </c>
      <c r="AK1696" t="n">
        <v>13</v>
      </c>
      <c r="AL1696" t="n">
        <v>6</v>
      </c>
      <c r="AM1696" t="n">
        <v>66</v>
      </c>
      <c r="AN1696" t="n">
        <v>0</v>
      </c>
      <c r="AO1696" t="n">
        <v>1</v>
      </c>
      <c r="AP1696" t="n">
        <v>3</v>
      </c>
      <c r="AQ1696" t="n">
        <v>50</v>
      </c>
      <c r="AR1696" t="n">
        <v>93</v>
      </c>
      <c r="AS1696" t="n">
        <v>52</v>
      </c>
      <c r="AT1696" t="n">
        <v>1</v>
      </c>
      <c r="AU1696" t="n">
        <v>2</v>
      </c>
      <c r="AV1696" t="n">
        <v>1</v>
      </c>
      <c r="AW1696" t="n">
        <v>13</v>
      </c>
      <c r="AX1696" t="n">
        <v>7</v>
      </c>
      <c r="AY1696" t="n">
        <v>32</v>
      </c>
      <c r="AZ1696" t="n">
        <v>2</v>
      </c>
      <c r="BA1696" t="n">
        <v>28</v>
      </c>
      <c r="BB1696" t="n">
        <v>54</v>
      </c>
      <c r="BC1696" t="n">
        <v>64</v>
      </c>
      <c r="BD1696" t="n">
        <v>109</v>
      </c>
      <c r="BE1696" t="n">
        <v>22</v>
      </c>
      <c r="BF1696" t="n">
        <v>45</v>
      </c>
      <c r="BG1696" t="n">
        <v>2</v>
      </c>
      <c r="BH1696" t="n">
        <v>6</v>
      </c>
      <c r="BI1696" t="n">
        <v>9</v>
      </c>
      <c r="BJ1696" t="n">
        <v>22</v>
      </c>
      <c r="BK1696" t="n">
        <v>0</v>
      </c>
      <c r="BL1696" t="n">
        <v>21</v>
      </c>
      <c r="BM1696" t="n">
        <v>14</v>
      </c>
      <c r="BN1696" t="n">
        <v>0</v>
      </c>
      <c r="BO1696" t="n">
        <v>30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2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247</v>
      </c>
      <c r="Z1697" t="n">
        <v>188</v>
      </c>
      <c r="AA1697" t="n">
        <v>3</v>
      </c>
      <c r="AB1697" t="n">
        <v>0</v>
      </c>
      <c r="AC1697" t="n">
        <v>2</v>
      </c>
      <c r="AD1697" t="n">
        <v>1</v>
      </c>
      <c r="AE1697" t="n">
        <v>0</v>
      </c>
      <c r="AF1697" t="n">
        <v>5</v>
      </c>
      <c r="AG1697" t="n">
        <v>6</v>
      </c>
      <c r="AH1697" t="n">
        <v>64</v>
      </c>
      <c r="AI1697" t="n">
        <v>6</v>
      </c>
      <c r="AJ1697" t="n">
        <v>51</v>
      </c>
      <c r="AK1697" t="n">
        <v>36</v>
      </c>
      <c r="AL1697" t="n">
        <v>7</v>
      </c>
      <c r="AM1697" t="n">
        <v>116</v>
      </c>
      <c r="AN1697" t="n">
        <v>0</v>
      </c>
      <c r="AO1697" t="n">
        <v>0</v>
      </c>
      <c r="AP1697" t="n">
        <v>7</v>
      </c>
      <c r="AQ1697" t="n">
        <v>93</v>
      </c>
      <c r="AR1697" t="n">
        <v>97</v>
      </c>
      <c r="AS1697" t="n">
        <v>17</v>
      </c>
      <c r="AT1697" t="n">
        <v>2</v>
      </c>
      <c r="AU1697" t="n">
        <v>0</v>
      </c>
      <c r="AV1697" t="n">
        <v>9</v>
      </c>
      <c r="AW1697" t="n">
        <v>7</v>
      </c>
      <c r="AX1697" t="n">
        <v>1</v>
      </c>
      <c r="AY1697" t="n">
        <v>13</v>
      </c>
      <c r="AZ1697" t="n">
        <v>3</v>
      </c>
      <c r="BA1697" t="n">
        <v>43</v>
      </c>
      <c r="BB1697" t="n">
        <v>55</v>
      </c>
      <c r="BC1697" t="n">
        <v>94</v>
      </c>
      <c r="BD1697" t="n">
        <v>64</v>
      </c>
      <c r="BE1697" t="n">
        <v>7</v>
      </c>
      <c r="BF1697" t="n">
        <v>42</v>
      </c>
      <c r="BG1697" t="n">
        <v>0</v>
      </c>
      <c r="BH1697" t="n">
        <v>3</v>
      </c>
      <c r="BI1697" t="n">
        <v>17</v>
      </c>
      <c r="BJ1697" t="n">
        <v>14</v>
      </c>
      <c r="BK1697" t="n">
        <v>3</v>
      </c>
      <c r="BL1697" t="n">
        <v>9</v>
      </c>
      <c r="BM1697" t="n">
        <v>17</v>
      </c>
      <c r="BN1697" t="n">
        <v>7</v>
      </c>
      <c r="BO1697" t="n">
        <v>11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3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236</v>
      </c>
      <c r="Z1698" t="n">
        <v>137</v>
      </c>
      <c r="AA1698" t="n">
        <v>54</v>
      </c>
      <c r="AB1698" t="n">
        <v>2</v>
      </c>
      <c r="AC1698" t="n">
        <v>1</v>
      </c>
      <c r="AD1698" t="n">
        <v>2</v>
      </c>
      <c r="AE1698" t="n">
        <v>5</v>
      </c>
      <c r="AF1698" t="n">
        <v>2</v>
      </c>
      <c r="AG1698" t="n">
        <v>8</v>
      </c>
      <c r="AH1698" t="n">
        <v>16</v>
      </c>
      <c r="AI1698" t="n">
        <v>44</v>
      </c>
      <c r="AJ1698" t="n">
        <v>28</v>
      </c>
      <c r="AK1698" t="n">
        <v>22</v>
      </c>
      <c r="AL1698" t="n">
        <v>1</v>
      </c>
      <c r="AM1698" t="n">
        <v>44</v>
      </c>
      <c r="AN1698" t="n">
        <v>0</v>
      </c>
      <c r="AO1698" t="n">
        <v>0</v>
      </c>
      <c r="AP1698" t="n">
        <v>4</v>
      </c>
      <c r="AQ1698" t="n">
        <v>18</v>
      </c>
      <c r="AR1698" t="n">
        <v>142</v>
      </c>
      <c r="AS1698" t="n">
        <v>123</v>
      </c>
      <c r="AT1698" t="n">
        <v>7</v>
      </c>
      <c r="AU1698" t="n">
        <v>2</v>
      </c>
      <c r="AV1698" t="n">
        <v>78</v>
      </c>
      <c r="AW1698" t="n">
        <v>13</v>
      </c>
      <c r="AX1698" t="n">
        <v>4</v>
      </c>
      <c r="AY1698" t="n">
        <v>28</v>
      </c>
      <c r="AZ1698" t="n">
        <v>2</v>
      </c>
      <c r="BA1698" t="n">
        <v>22</v>
      </c>
      <c r="BB1698" t="n">
        <v>74</v>
      </c>
      <c r="BC1698" t="n">
        <v>50</v>
      </c>
      <c r="BD1698" t="n">
        <v>16</v>
      </c>
      <c r="BE1698" t="n">
        <v>26</v>
      </c>
      <c r="BF1698" t="n">
        <v>32</v>
      </c>
      <c r="BG1698" t="n">
        <v>6</v>
      </c>
      <c r="BH1698" t="n">
        <v>8</v>
      </c>
      <c r="BI1698" t="n">
        <v>56</v>
      </c>
      <c r="BJ1698" t="n">
        <v>51</v>
      </c>
      <c r="BK1698" t="n">
        <v>0</v>
      </c>
      <c r="BL1698" t="n">
        <v>1</v>
      </c>
      <c r="BM1698" t="n">
        <v>16</v>
      </c>
      <c r="BN1698" t="n">
        <v>9</v>
      </c>
      <c r="BO1698" t="n">
        <v>2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2</v>
      </c>
      <c r="K1699" t="n">
        <v>0</v>
      </c>
      <c r="L1699" t="n">
        <v>0</v>
      </c>
      <c r="M1699" t="n">
        <v>2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179</v>
      </c>
      <c r="Z1699" t="n">
        <v>212</v>
      </c>
      <c r="AA1699" t="n">
        <v>12</v>
      </c>
      <c r="AB1699" t="n">
        <v>1</v>
      </c>
      <c r="AC1699" t="n">
        <v>0</v>
      </c>
      <c r="AD1699" t="n">
        <v>5</v>
      </c>
      <c r="AE1699" t="n">
        <v>6</v>
      </c>
      <c r="AF1699" t="n">
        <v>6</v>
      </c>
      <c r="AG1699" t="n">
        <v>6</v>
      </c>
      <c r="AH1699" t="n">
        <v>58</v>
      </c>
      <c r="AI1699" t="n">
        <v>75</v>
      </c>
      <c r="AJ1699" t="n">
        <v>34</v>
      </c>
      <c r="AK1699" t="n">
        <v>39</v>
      </c>
      <c r="AL1699" t="n">
        <v>0</v>
      </c>
      <c r="AM1699" t="n">
        <v>36</v>
      </c>
      <c r="AN1699" t="n">
        <v>0</v>
      </c>
      <c r="AO1699" t="n">
        <v>0</v>
      </c>
      <c r="AP1699" t="n">
        <v>8</v>
      </c>
      <c r="AQ1699" t="n">
        <v>61</v>
      </c>
      <c r="AR1699" t="n">
        <v>125</v>
      </c>
      <c r="AS1699" t="n">
        <v>71</v>
      </c>
      <c r="AT1699" t="n">
        <v>3</v>
      </c>
      <c r="AU1699" t="n">
        <v>1</v>
      </c>
      <c r="AV1699" t="n">
        <v>1</v>
      </c>
      <c r="AW1699" t="n">
        <v>17</v>
      </c>
      <c r="AX1699" t="n">
        <v>0</v>
      </c>
      <c r="AY1699" t="n">
        <v>14</v>
      </c>
      <c r="AZ1699" t="n">
        <v>3</v>
      </c>
      <c r="BA1699" t="n">
        <v>24</v>
      </c>
      <c r="BB1699" t="n">
        <v>39</v>
      </c>
      <c r="BC1699" t="n">
        <v>39</v>
      </c>
      <c r="BD1699" t="n">
        <v>52</v>
      </c>
      <c r="BE1699" t="n">
        <v>17</v>
      </c>
      <c r="BF1699" t="n">
        <v>28</v>
      </c>
      <c r="BG1699" t="n">
        <v>4</v>
      </c>
      <c r="BH1699" t="n">
        <v>5</v>
      </c>
      <c r="BI1699" t="n">
        <v>7</v>
      </c>
      <c r="BJ1699" t="n">
        <v>17</v>
      </c>
      <c r="BK1699" t="n">
        <v>2</v>
      </c>
      <c r="BL1699" t="n">
        <v>1</v>
      </c>
      <c r="BM1699" t="n">
        <v>11</v>
      </c>
      <c r="BN1699" t="n">
        <v>6</v>
      </c>
      <c r="BO1699" t="n">
        <v>2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138</v>
      </c>
      <c r="Z1700" t="n">
        <v>258</v>
      </c>
      <c r="AA1700" t="n">
        <v>17</v>
      </c>
      <c r="AB1700" t="n">
        <v>2</v>
      </c>
      <c r="AC1700" t="n">
        <v>1</v>
      </c>
      <c r="AD1700" t="n">
        <v>5</v>
      </c>
      <c r="AE1700" t="n">
        <v>4</v>
      </c>
      <c r="AF1700" t="n">
        <v>4</v>
      </c>
      <c r="AG1700" t="n">
        <v>1</v>
      </c>
      <c r="AH1700" t="n">
        <v>38</v>
      </c>
      <c r="AI1700" t="n">
        <v>48</v>
      </c>
      <c r="AJ1700" t="n">
        <v>73</v>
      </c>
      <c r="AK1700" t="n">
        <v>16</v>
      </c>
      <c r="AL1700" t="n">
        <v>3</v>
      </c>
      <c r="AM1700" t="n">
        <v>21</v>
      </c>
      <c r="AN1700" t="n">
        <v>0</v>
      </c>
      <c r="AO1700" t="n">
        <v>0</v>
      </c>
      <c r="AP1700" t="n">
        <v>0</v>
      </c>
      <c r="AQ1700" t="n">
        <v>1</v>
      </c>
      <c r="AR1700" t="n">
        <v>91</v>
      </c>
      <c r="AS1700" t="n">
        <v>84</v>
      </c>
      <c r="AT1700" t="n">
        <v>1</v>
      </c>
      <c r="AU1700" t="n">
        <v>1</v>
      </c>
      <c r="AV1700" t="n">
        <v>11</v>
      </c>
      <c r="AW1700" t="n">
        <v>45</v>
      </c>
      <c r="AX1700" t="n">
        <v>0</v>
      </c>
      <c r="AY1700" t="n">
        <v>8</v>
      </c>
      <c r="AZ1700" t="n">
        <v>1</v>
      </c>
      <c r="BA1700" t="n">
        <v>1</v>
      </c>
      <c r="BB1700" t="n">
        <v>17</v>
      </c>
      <c r="BC1700" t="n">
        <v>17</v>
      </c>
      <c r="BD1700" t="n">
        <v>33</v>
      </c>
      <c r="BE1700" t="n">
        <v>44</v>
      </c>
      <c r="BF1700" t="n">
        <v>69</v>
      </c>
      <c r="BG1700" t="n">
        <v>1</v>
      </c>
      <c r="BH1700" t="n">
        <v>4</v>
      </c>
      <c r="BI1700" t="n">
        <v>9</v>
      </c>
      <c r="BJ1700" t="n">
        <v>16</v>
      </c>
      <c r="BK1700" t="n">
        <v>1</v>
      </c>
      <c r="BL1700" t="n">
        <v>16</v>
      </c>
      <c r="BM1700" t="n">
        <v>30</v>
      </c>
      <c r="BN1700" t="n">
        <v>13</v>
      </c>
      <c r="BO1700" t="n">
        <v>18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318</v>
      </c>
      <c r="Z1701" t="n">
        <v>213</v>
      </c>
      <c r="AA1701" t="n">
        <v>29</v>
      </c>
      <c r="AB1701" t="n">
        <v>3</v>
      </c>
      <c r="AC1701" t="n">
        <v>1</v>
      </c>
      <c r="AD1701" t="n">
        <v>4</v>
      </c>
      <c r="AE1701" t="n">
        <v>3</v>
      </c>
      <c r="AF1701" t="n">
        <v>1</v>
      </c>
      <c r="AG1701" t="n">
        <v>7</v>
      </c>
      <c r="AH1701" t="n">
        <v>57</v>
      </c>
      <c r="AI1701" t="n">
        <v>15</v>
      </c>
      <c r="AJ1701" t="n">
        <v>2</v>
      </c>
      <c r="AK1701" t="n">
        <v>53</v>
      </c>
      <c r="AL1701" t="n">
        <v>5</v>
      </c>
      <c r="AM1701" t="n">
        <v>95</v>
      </c>
      <c r="AN1701" t="n">
        <v>1</v>
      </c>
      <c r="AO1701" t="n">
        <v>0</v>
      </c>
      <c r="AP1701" t="n">
        <v>6</v>
      </c>
      <c r="AQ1701" t="n">
        <v>35</v>
      </c>
      <c r="AR1701" t="n">
        <v>130</v>
      </c>
      <c r="AS1701" t="n">
        <v>98</v>
      </c>
      <c r="AT1701" t="n">
        <v>6</v>
      </c>
      <c r="AU1701" t="n">
        <v>1</v>
      </c>
      <c r="AV1701" t="n">
        <v>96</v>
      </c>
      <c r="AW1701" t="n">
        <v>10</v>
      </c>
      <c r="AX1701" t="n">
        <v>5</v>
      </c>
      <c r="AY1701" t="n">
        <v>32</v>
      </c>
      <c r="AZ1701" t="n">
        <v>7</v>
      </c>
      <c r="BA1701" t="n">
        <v>23</v>
      </c>
      <c r="BB1701" t="n">
        <v>52</v>
      </c>
      <c r="BC1701" t="n">
        <v>79</v>
      </c>
      <c r="BD1701" t="n">
        <v>51</v>
      </c>
      <c r="BE1701" t="n">
        <v>9</v>
      </c>
      <c r="BF1701" t="n">
        <v>2</v>
      </c>
      <c r="BG1701" t="n">
        <v>4</v>
      </c>
      <c r="BH1701" t="n">
        <v>9</v>
      </c>
      <c r="BI1701" t="n">
        <v>45</v>
      </c>
      <c r="BJ1701" t="n">
        <v>42</v>
      </c>
      <c r="BK1701" t="n">
        <v>3</v>
      </c>
      <c r="BL1701" t="n">
        <v>33</v>
      </c>
      <c r="BM1701" t="n">
        <v>22</v>
      </c>
      <c r="BN1701" t="n">
        <v>1</v>
      </c>
      <c r="BO1701" t="n">
        <v>42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245</v>
      </c>
      <c r="Z1702" t="n">
        <v>248</v>
      </c>
      <c r="AA1702" t="n">
        <v>144</v>
      </c>
      <c r="AB1702" t="n">
        <v>2</v>
      </c>
      <c r="AC1702" t="n">
        <v>0</v>
      </c>
      <c r="AD1702" t="n">
        <v>4</v>
      </c>
      <c r="AE1702" t="n">
        <v>7</v>
      </c>
      <c r="AF1702" t="n">
        <v>5</v>
      </c>
      <c r="AG1702" t="n">
        <v>3</v>
      </c>
      <c r="AH1702" t="n">
        <v>30</v>
      </c>
      <c r="AI1702" t="n">
        <v>55</v>
      </c>
      <c r="AJ1702" t="n">
        <v>92</v>
      </c>
      <c r="AK1702" t="n">
        <v>22</v>
      </c>
      <c r="AL1702" t="n">
        <v>3</v>
      </c>
      <c r="AM1702" t="n">
        <v>73</v>
      </c>
      <c r="AN1702" t="n">
        <v>0</v>
      </c>
      <c r="AO1702" t="n">
        <v>0</v>
      </c>
      <c r="AP1702" t="n">
        <v>4</v>
      </c>
      <c r="AQ1702" t="n">
        <v>13</v>
      </c>
      <c r="AR1702" t="n">
        <v>192</v>
      </c>
      <c r="AS1702" t="n">
        <v>177</v>
      </c>
      <c r="AT1702" t="n">
        <v>0</v>
      </c>
      <c r="AU1702" t="n">
        <v>2</v>
      </c>
      <c r="AV1702" t="n">
        <v>3</v>
      </c>
      <c r="AW1702" t="n">
        <v>30</v>
      </c>
      <c r="AX1702" t="n">
        <v>19</v>
      </c>
      <c r="AY1702" t="n">
        <v>91</v>
      </c>
      <c r="AZ1702" t="n">
        <v>4</v>
      </c>
      <c r="BA1702" t="n">
        <v>33</v>
      </c>
      <c r="BB1702" t="n">
        <v>167</v>
      </c>
      <c r="BC1702" t="n">
        <v>66</v>
      </c>
      <c r="BD1702" t="n">
        <v>28</v>
      </c>
      <c r="BE1702" t="n">
        <v>29</v>
      </c>
      <c r="BF1702" t="n">
        <v>85</v>
      </c>
      <c r="BG1702" t="n">
        <v>2</v>
      </c>
      <c r="BH1702" t="n">
        <v>3</v>
      </c>
      <c r="BI1702" t="n">
        <v>44</v>
      </c>
      <c r="BJ1702" t="n">
        <v>44</v>
      </c>
      <c r="BK1702" t="n">
        <v>1</v>
      </c>
      <c r="BL1702" t="n">
        <v>1</v>
      </c>
      <c r="BM1702" t="n">
        <v>19</v>
      </c>
      <c r="BN1702" t="n">
        <v>11</v>
      </c>
      <c r="BO1702" t="n">
        <v>84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212</v>
      </c>
      <c r="Z1703" t="n">
        <v>143</v>
      </c>
      <c r="AA1703" t="n">
        <v>24</v>
      </c>
      <c r="AB1703" t="n">
        <v>0</v>
      </c>
      <c r="AC1703" t="n">
        <v>0</v>
      </c>
      <c r="AD1703" t="n">
        <v>7</v>
      </c>
      <c r="AE1703" t="n">
        <v>4</v>
      </c>
      <c r="AF1703" t="n">
        <v>6</v>
      </c>
      <c r="AG1703" t="n">
        <v>2</v>
      </c>
      <c r="AH1703" t="n">
        <v>53</v>
      </c>
      <c r="AI1703" t="n">
        <v>18</v>
      </c>
      <c r="AJ1703" t="n">
        <v>55</v>
      </c>
      <c r="AK1703" t="n">
        <v>56</v>
      </c>
      <c r="AL1703" t="n">
        <v>1</v>
      </c>
      <c r="AM1703" t="n">
        <v>2</v>
      </c>
      <c r="AN1703" t="n">
        <v>0</v>
      </c>
      <c r="AO1703" t="n">
        <v>0</v>
      </c>
      <c r="AP1703" t="n">
        <v>3</v>
      </c>
      <c r="AQ1703" t="n">
        <v>32</v>
      </c>
      <c r="AR1703" t="n">
        <v>83</v>
      </c>
      <c r="AS1703" t="n">
        <v>56</v>
      </c>
      <c r="AT1703" t="n">
        <v>4</v>
      </c>
      <c r="AU1703" t="n">
        <v>1</v>
      </c>
      <c r="AV1703" t="n">
        <v>17</v>
      </c>
      <c r="AW1703" t="n">
        <v>5</v>
      </c>
      <c r="AX1703" t="n">
        <v>7</v>
      </c>
      <c r="AY1703" t="n">
        <v>17</v>
      </c>
      <c r="AZ1703" t="n">
        <v>1</v>
      </c>
      <c r="BA1703" t="n">
        <v>8</v>
      </c>
      <c r="BB1703" t="n">
        <v>30</v>
      </c>
      <c r="BC1703" t="n">
        <v>3</v>
      </c>
      <c r="BD1703" t="n">
        <v>47</v>
      </c>
      <c r="BE1703" t="n">
        <v>5</v>
      </c>
      <c r="BF1703" t="n">
        <v>62</v>
      </c>
      <c r="BG1703" t="n">
        <v>1</v>
      </c>
      <c r="BH1703" t="n">
        <v>8</v>
      </c>
      <c r="BI1703" t="n">
        <v>1</v>
      </c>
      <c r="BJ1703" t="n">
        <v>3</v>
      </c>
      <c r="BK1703" t="n">
        <v>2</v>
      </c>
      <c r="BL1703" t="n">
        <v>1</v>
      </c>
      <c r="BM1703" t="n">
        <v>46</v>
      </c>
      <c r="BN1703" t="n">
        <v>29</v>
      </c>
      <c r="BO1703" t="n">
        <v>56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226</v>
      </c>
      <c r="Z1704" t="n">
        <v>375</v>
      </c>
      <c r="AA1704" t="n">
        <v>61</v>
      </c>
      <c r="AB1704" t="n">
        <v>0</v>
      </c>
      <c r="AC1704" t="n">
        <v>1</v>
      </c>
      <c r="AD1704" t="n">
        <v>4</v>
      </c>
      <c r="AE1704" t="n">
        <v>12</v>
      </c>
      <c r="AF1704" t="n">
        <v>2</v>
      </c>
      <c r="AG1704" t="n">
        <v>3</v>
      </c>
      <c r="AH1704" t="n">
        <v>94</v>
      </c>
      <c r="AI1704" t="n">
        <v>200</v>
      </c>
      <c r="AJ1704" t="n">
        <v>38</v>
      </c>
      <c r="AK1704" t="n">
        <v>27</v>
      </c>
      <c r="AL1704" t="n">
        <v>1</v>
      </c>
      <c r="AM1704" t="n">
        <v>9</v>
      </c>
      <c r="AN1704" t="n">
        <v>0</v>
      </c>
      <c r="AO1704" t="n">
        <v>1</v>
      </c>
      <c r="AP1704" t="n">
        <v>1</v>
      </c>
      <c r="AQ1704" t="n">
        <v>13</v>
      </c>
      <c r="AR1704" t="n">
        <v>71</v>
      </c>
      <c r="AS1704" t="n">
        <v>58</v>
      </c>
      <c r="AT1704" t="n">
        <v>1</v>
      </c>
      <c r="AU1704" t="n">
        <v>4</v>
      </c>
      <c r="AV1704" t="n">
        <v>1</v>
      </c>
      <c r="AW1704" t="n">
        <v>55</v>
      </c>
      <c r="AX1704" t="n">
        <v>2</v>
      </c>
      <c r="AY1704" t="n">
        <v>49</v>
      </c>
      <c r="AZ1704" t="n">
        <v>4</v>
      </c>
      <c r="BA1704" t="n">
        <v>11</v>
      </c>
      <c r="BB1704" t="n">
        <v>70</v>
      </c>
      <c r="BC1704" t="n">
        <v>15</v>
      </c>
      <c r="BD1704" t="n">
        <v>85</v>
      </c>
      <c r="BE1704" t="n">
        <v>57</v>
      </c>
      <c r="BF1704" t="n">
        <v>30</v>
      </c>
      <c r="BG1704" t="n">
        <v>5</v>
      </c>
      <c r="BH1704" t="n">
        <v>0</v>
      </c>
      <c r="BI1704" t="n">
        <v>35</v>
      </c>
      <c r="BJ1704" t="n">
        <v>52</v>
      </c>
      <c r="BK1704" t="n">
        <v>1</v>
      </c>
      <c r="BL1704" t="n">
        <v>39</v>
      </c>
      <c r="BM1704" t="n">
        <v>27</v>
      </c>
      <c r="BN1704" t="n">
        <v>0</v>
      </c>
      <c r="BO1704" t="n">
        <v>79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2</v>
      </c>
      <c r="I1705" t="n">
        <v>0</v>
      </c>
      <c r="J1705" t="n">
        <v>1</v>
      </c>
      <c r="K1705" t="n">
        <v>0</v>
      </c>
      <c r="L1705" t="n">
        <v>0</v>
      </c>
      <c r="M1705" t="n">
        <v>2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306</v>
      </c>
      <c r="Z1705" t="n">
        <v>157</v>
      </c>
      <c r="AA1705" t="n">
        <v>44</v>
      </c>
      <c r="AB1705" t="n">
        <v>1</v>
      </c>
      <c r="AC1705" t="n">
        <v>1</v>
      </c>
      <c r="AD1705" t="n">
        <v>7</v>
      </c>
      <c r="AE1705" t="n">
        <v>0</v>
      </c>
      <c r="AF1705" t="n">
        <v>4</v>
      </c>
      <c r="AG1705" t="n">
        <v>4</v>
      </c>
      <c r="AH1705" t="n">
        <v>118</v>
      </c>
      <c r="AI1705" t="n">
        <v>2</v>
      </c>
      <c r="AJ1705" t="n">
        <v>70</v>
      </c>
      <c r="AK1705" t="n">
        <v>45</v>
      </c>
      <c r="AL1705" t="n">
        <v>4</v>
      </c>
      <c r="AM1705" t="n">
        <v>51</v>
      </c>
      <c r="AN1705" t="n">
        <v>0</v>
      </c>
      <c r="AO1705" t="n">
        <v>0</v>
      </c>
      <c r="AP1705" t="n">
        <v>0</v>
      </c>
      <c r="AQ1705" t="n">
        <v>1</v>
      </c>
      <c r="AR1705" t="n">
        <v>64</v>
      </c>
      <c r="AS1705" t="n">
        <v>57</v>
      </c>
      <c r="AT1705" t="n">
        <v>2</v>
      </c>
      <c r="AU1705" t="n">
        <v>3</v>
      </c>
      <c r="AV1705" t="n">
        <v>12</v>
      </c>
      <c r="AW1705" t="n">
        <v>27</v>
      </c>
      <c r="AX1705" t="n">
        <v>3</v>
      </c>
      <c r="AY1705" t="n">
        <v>18</v>
      </c>
      <c r="AZ1705" t="n">
        <v>0</v>
      </c>
      <c r="BA1705" t="n">
        <v>8</v>
      </c>
      <c r="BB1705" t="n">
        <v>50</v>
      </c>
      <c r="BC1705" t="n">
        <v>46</v>
      </c>
      <c r="BD1705" t="n">
        <v>102</v>
      </c>
      <c r="BE1705" t="n">
        <v>27</v>
      </c>
      <c r="BF1705" t="n">
        <v>59</v>
      </c>
      <c r="BG1705" t="n">
        <v>5</v>
      </c>
      <c r="BH1705" t="n">
        <v>11</v>
      </c>
      <c r="BI1705" t="n">
        <v>38</v>
      </c>
      <c r="BJ1705" t="n">
        <v>86</v>
      </c>
      <c r="BK1705" t="n">
        <v>3</v>
      </c>
      <c r="BL1705" t="n">
        <v>15</v>
      </c>
      <c r="BM1705" t="n">
        <v>10</v>
      </c>
      <c r="BN1705" t="n">
        <v>0</v>
      </c>
      <c r="BO1705" t="n">
        <v>9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214</v>
      </c>
      <c r="Z1706" t="n">
        <v>173</v>
      </c>
      <c r="AA1706" t="n">
        <v>76</v>
      </c>
      <c r="AB1706" t="n">
        <v>2</v>
      </c>
      <c r="AC1706" t="n">
        <v>0</v>
      </c>
      <c r="AD1706" t="n">
        <v>1</v>
      </c>
      <c r="AE1706" t="n">
        <v>7</v>
      </c>
      <c r="AF1706" t="n">
        <v>5</v>
      </c>
      <c r="AG1706" t="n">
        <v>4</v>
      </c>
      <c r="AH1706" t="n">
        <v>46</v>
      </c>
      <c r="AI1706" t="n">
        <v>47</v>
      </c>
      <c r="AJ1706" t="n">
        <v>40</v>
      </c>
      <c r="AK1706" t="n">
        <v>50</v>
      </c>
      <c r="AL1706" t="n">
        <v>2</v>
      </c>
      <c r="AM1706" t="n">
        <v>2</v>
      </c>
      <c r="AN1706" t="n">
        <v>0</v>
      </c>
      <c r="AO1706" t="n">
        <v>0</v>
      </c>
      <c r="AP1706" t="n">
        <v>6</v>
      </c>
      <c r="AQ1706" t="n">
        <v>93</v>
      </c>
      <c r="AR1706" t="n">
        <v>119</v>
      </c>
      <c r="AS1706" t="n">
        <v>39</v>
      </c>
      <c r="AT1706" t="n">
        <v>2</v>
      </c>
      <c r="AU1706" t="n">
        <v>1</v>
      </c>
      <c r="AV1706" t="n">
        <v>19</v>
      </c>
      <c r="AW1706" t="n">
        <v>23</v>
      </c>
      <c r="AX1706" t="n">
        <v>9</v>
      </c>
      <c r="AY1706" t="n">
        <v>98</v>
      </c>
      <c r="AZ1706" t="n">
        <v>2</v>
      </c>
      <c r="BA1706" t="n">
        <v>14</v>
      </c>
      <c r="BB1706" t="n">
        <v>85</v>
      </c>
      <c r="BC1706" t="n">
        <v>16</v>
      </c>
      <c r="BD1706" t="n">
        <v>42</v>
      </c>
      <c r="BE1706" t="n">
        <v>22</v>
      </c>
      <c r="BF1706" t="n">
        <v>32</v>
      </c>
      <c r="BG1706" t="n">
        <v>2</v>
      </c>
      <c r="BH1706" t="n">
        <v>1</v>
      </c>
      <c r="BI1706" t="n">
        <v>11</v>
      </c>
      <c r="BJ1706" t="n">
        <v>13</v>
      </c>
      <c r="BK1706" t="n">
        <v>3</v>
      </c>
      <c r="BL1706" t="n">
        <v>14</v>
      </c>
      <c r="BM1706" t="n">
        <v>33</v>
      </c>
      <c r="BN1706" t="n">
        <v>16</v>
      </c>
      <c r="BO1706" t="n">
        <v>37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2</v>
      </c>
      <c r="V1707" t="n">
        <v>0</v>
      </c>
      <c r="W1707" t="n">
        <v>0</v>
      </c>
      <c r="X1707" t="n">
        <v>0</v>
      </c>
      <c r="Y1707" t="n">
        <v>177</v>
      </c>
      <c r="Z1707" t="n">
        <v>117</v>
      </c>
      <c r="AA1707" t="n">
        <v>54</v>
      </c>
      <c r="AB1707" t="n">
        <v>2</v>
      </c>
      <c r="AC1707" t="n">
        <v>0</v>
      </c>
      <c r="AD1707" t="n">
        <v>4</v>
      </c>
      <c r="AE1707" t="n">
        <v>6</v>
      </c>
      <c r="AF1707" t="n">
        <v>6</v>
      </c>
      <c r="AG1707" t="n">
        <v>2</v>
      </c>
      <c r="AH1707" t="n">
        <v>47</v>
      </c>
      <c r="AI1707" t="n">
        <v>43</v>
      </c>
      <c r="AJ1707" t="n">
        <v>48</v>
      </c>
      <c r="AK1707" t="n">
        <v>1</v>
      </c>
      <c r="AL1707" t="n">
        <v>4</v>
      </c>
      <c r="AM1707" t="n">
        <v>53</v>
      </c>
      <c r="AN1707" t="n">
        <v>0</v>
      </c>
      <c r="AO1707" t="n">
        <v>0</v>
      </c>
      <c r="AP1707" t="n">
        <v>5</v>
      </c>
      <c r="AQ1707" t="n">
        <v>13</v>
      </c>
      <c r="AR1707" t="n">
        <v>61</v>
      </c>
      <c r="AS1707" t="n">
        <v>48</v>
      </c>
      <c r="AT1707" t="n">
        <v>0</v>
      </c>
      <c r="AU1707" t="n">
        <v>1</v>
      </c>
      <c r="AV1707" t="n">
        <v>2</v>
      </c>
      <c r="AW1707" t="n">
        <v>6</v>
      </c>
      <c r="AX1707" t="n">
        <v>5</v>
      </c>
      <c r="AY1707" t="n">
        <v>46</v>
      </c>
      <c r="AZ1707" t="n">
        <v>0</v>
      </c>
      <c r="BA1707" t="n">
        <v>4</v>
      </c>
      <c r="BB1707" t="n">
        <v>53</v>
      </c>
      <c r="BC1707" t="n">
        <v>43</v>
      </c>
      <c r="BD1707" t="n">
        <v>50</v>
      </c>
      <c r="BE1707" t="n">
        <v>7</v>
      </c>
      <c r="BF1707" t="n">
        <v>39</v>
      </c>
      <c r="BG1707" t="n">
        <v>3</v>
      </c>
      <c r="BH1707" t="n">
        <v>1</v>
      </c>
      <c r="BI1707" t="n">
        <v>32</v>
      </c>
      <c r="BJ1707" t="n">
        <v>29</v>
      </c>
      <c r="BK1707" t="n">
        <v>3</v>
      </c>
      <c r="BL1707" t="n">
        <v>39</v>
      </c>
      <c r="BM1707" t="n">
        <v>40</v>
      </c>
      <c r="BN1707" t="n">
        <v>10</v>
      </c>
      <c r="BO1707" t="n">
        <v>32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0</v>
      </c>
      <c r="W1708" t="n">
        <v>0</v>
      </c>
      <c r="X1708" t="n">
        <v>0</v>
      </c>
      <c r="Y1708" t="n">
        <v>288</v>
      </c>
      <c r="Z1708" t="n">
        <v>343</v>
      </c>
      <c r="AA1708" t="n">
        <v>62</v>
      </c>
      <c r="AB1708" t="n">
        <v>2</v>
      </c>
      <c r="AC1708" t="n">
        <v>3</v>
      </c>
      <c r="AD1708" t="n">
        <v>0</v>
      </c>
      <c r="AE1708" t="n">
        <v>6</v>
      </c>
      <c r="AF1708" t="n">
        <v>4</v>
      </c>
      <c r="AG1708" t="n">
        <v>3</v>
      </c>
      <c r="AH1708" t="n">
        <v>2</v>
      </c>
      <c r="AI1708" t="n">
        <v>104</v>
      </c>
      <c r="AJ1708" t="n">
        <v>70</v>
      </c>
      <c r="AK1708" t="n">
        <v>32</v>
      </c>
      <c r="AL1708" t="n">
        <v>2</v>
      </c>
      <c r="AM1708" t="n">
        <v>44</v>
      </c>
      <c r="AN1708" t="n">
        <v>0</v>
      </c>
      <c r="AO1708" t="n">
        <v>0</v>
      </c>
      <c r="AP1708" t="n">
        <v>3</v>
      </c>
      <c r="AQ1708" t="n">
        <v>27</v>
      </c>
      <c r="AR1708" t="n">
        <v>58</v>
      </c>
      <c r="AS1708" t="n">
        <v>36</v>
      </c>
      <c r="AT1708" t="n">
        <v>4</v>
      </c>
      <c r="AU1708" t="n">
        <v>1</v>
      </c>
      <c r="AV1708" t="n">
        <v>33</v>
      </c>
      <c r="AW1708" t="n">
        <v>8</v>
      </c>
      <c r="AX1708" t="n">
        <v>23</v>
      </c>
      <c r="AY1708" t="n">
        <v>7</v>
      </c>
      <c r="AZ1708" t="n">
        <v>5</v>
      </c>
      <c r="BA1708" t="n">
        <v>47</v>
      </c>
      <c r="BB1708" t="n">
        <v>111</v>
      </c>
      <c r="BC1708" t="n">
        <v>37</v>
      </c>
      <c r="BD1708" t="n">
        <v>33</v>
      </c>
      <c r="BE1708" t="n">
        <v>7</v>
      </c>
      <c r="BF1708" t="n">
        <v>77</v>
      </c>
      <c r="BG1708" t="n">
        <v>3</v>
      </c>
      <c r="BH1708" t="n">
        <v>20</v>
      </c>
      <c r="BI1708" t="n">
        <v>7</v>
      </c>
      <c r="BJ1708" t="n">
        <v>5</v>
      </c>
      <c r="BK1708" t="n">
        <v>2</v>
      </c>
      <c r="BL1708" t="n">
        <v>1</v>
      </c>
      <c r="BM1708" t="n">
        <v>28</v>
      </c>
      <c r="BN1708" t="n">
        <v>16</v>
      </c>
      <c r="BO1708" t="n">
        <v>21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292</v>
      </c>
      <c r="Z1709" t="n">
        <v>123</v>
      </c>
      <c r="AA1709" t="n">
        <v>90</v>
      </c>
      <c r="AB1709" t="n">
        <v>0</v>
      </c>
      <c r="AC1709" t="n">
        <v>1</v>
      </c>
      <c r="AD1709" t="n">
        <v>5</v>
      </c>
      <c r="AE1709" t="n">
        <v>7</v>
      </c>
      <c r="AF1709" t="n">
        <v>0</v>
      </c>
      <c r="AG1709" t="n">
        <v>1</v>
      </c>
      <c r="AH1709" t="n">
        <v>118</v>
      </c>
      <c r="AI1709" t="n">
        <v>72</v>
      </c>
      <c r="AJ1709" t="n">
        <v>12</v>
      </c>
      <c r="AK1709" t="n">
        <v>28</v>
      </c>
      <c r="AL1709" t="n">
        <v>3</v>
      </c>
      <c r="AM1709" t="n">
        <v>11</v>
      </c>
      <c r="AN1709" t="n">
        <v>0</v>
      </c>
      <c r="AO1709" t="n">
        <v>0</v>
      </c>
      <c r="AP1709" t="n">
        <v>4</v>
      </c>
      <c r="AQ1709" t="n">
        <v>47</v>
      </c>
      <c r="AR1709" t="n">
        <v>122</v>
      </c>
      <c r="AS1709" t="n">
        <v>83</v>
      </c>
      <c r="AT1709" t="n">
        <v>0</v>
      </c>
      <c r="AU1709" t="n">
        <v>0</v>
      </c>
      <c r="AV1709" t="n">
        <v>1</v>
      </c>
      <c r="AW1709" t="n">
        <v>1</v>
      </c>
      <c r="AX1709" t="n">
        <v>4</v>
      </c>
      <c r="AY1709" t="n">
        <v>72</v>
      </c>
      <c r="AZ1709" t="n">
        <v>1</v>
      </c>
      <c r="BA1709" t="n">
        <v>1</v>
      </c>
      <c r="BB1709" t="n">
        <v>88</v>
      </c>
      <c r="BC1709" t="n">
        <v>33</v>
      </c>
      <c r="BD1709" t="n">
        <v>111</v>
      </c>
      <c r="BE1709" t="n">
        <v>1</v>
      </c>
      <c r="BF1709" t="n">
        <v>10</v>
      </c>
      <c r="BG1709" t="n">
        <v>1</v>
      </c>
      <c r="BH1709" t="n">
        <v>26</v>
      </c>
      <c r="BI1709" t="n">
        <v>17</v>
      </c>
      <c r="BJ1709" t="n">
        <v>18</v>
      </c>
      <c r="BK1709" t="n">
        <v>4</v>
      </c>
      <c r="BL1709" t="n">
        <v>20</v>
      </c>
      <c r="BM1709" t="n">
        <v>19</v>
      </c>
      <c r="BN1709" t="n">
        <v>5</v>
      </c>
      <c r="BO1709" t="n">
        <v>2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3</v>
      </c>
      <c r="S1710" t="n">
        <v>0</v>
      </c>
      <c r="T1710" t="n">
        <v>2</v>
      </c>
      <c r="U1710" t="n">
        <v>0</v>
      </c>
      <c r="V1710" t="n">
        <v>0</v>
      </c>
      <c r="W1710" t="n">
        <v>0</v>
      </c>
      <c r="X1710" t="n">
        <v>1</v>
      </c>
      <c r="Y1710" t="n">
        <v>184</v>
      </c>
      <c r="Z1710" t="n">
        <v>215</v>
      </c>
      <c r="AA1710" t="n">
        <v>43</v>
      </c>
      <c r="AB1710" t="n">
        <v>2</v>
      </c>
      <c r="AC1710" t="n">
        <v>0</v>
      </c>
      <c r="AD1710" t="n">
        <v>4</v>
      </c>
      <c r="AE1710" t="n">
        <v>2</v>
      </c>
      <c r="AF1710" t="n">
        <v>7</v>
      </c>
      <c r="AG1710" t="n">
        <v>4</v>
      </c>
      <c r="AH1710" t="n">
        <v>49</v>
      </c>
      <c r="AI1710" t="n">
        <v>55</v>
      </c>
      <c r="AJ1710" t="n">
        <v>76</v>
      </c>
      <c r="AK1710" t="n">
        <v>12</v>
      </c>
      <c r="AL1710" t="n">
        <v>4</v>
      </c>
      <c r="AM1710" t="n">
        <v>68</v>
      </c>
      <c r="AN1710" t="n">
        <v>2</v>
      </c>
      <c r="AO1710" t="n">
        <v>0</v>
      </c>
      <c r="AP1710" t="n">
        <v>6</v>
      </c>
      <c r="AQ1710" t="n">
        <v>33</v>
      </c>
      <c r="AR1710" t="n">
        <v>67</v>
      </c>
      <c r="AS1710" t="n">
        <v>39</v>
      </c>
      <c r="AT1710" t="n">
        <v>1</v>
      </c>
      <c r="AU1710" t="n">
        <v>2</v>
      </c>
      <c r="AV1710" t="n">
        <v>10</v>
      </c>
      <c r="AW1710" t="n">
        <v>25</v>
      </c>
      <c r="AX1710" t="n">
        <v>0</v>
      </c>
      <c r="AY1710" t="n">
        <v>13</v>
      </c>
      <c r="AZ1710" t="n">
        <v>1</v>
      </c>
      <c r="BA1710" t="n">
        <v>15</v>
      </c>
      <c r="BB1710" t="n">
        <v>55</v>
      </c>
      <c r="BC1710" t="n">
        <v>56</v>
      </c>
      <c r="BD1710" t="n">
        <v>46</v>
      </c>
      <c r="BE1710" t="n">
        <v>25</v>
      </c>
      <c r="BF1710" t="n">
        <v>70</v>
      </c>
      <c r="BG1710" t="n">
        <v>2</v>
      </c>
      <c r="BH1710" t="n">
        <v>0</v>
      </c>
      <c r="BI1710" t="n">
        <v>25</v>
      </c>
      <c r="BJ1710" t="n">
        <v>24</v>
      </c>
      <c r="BK1710" t="n">
        <v>3</v>
      </c>
      <c r="BL1710" t="n">
        <v>13</v>
      </c>
      <c r="BM1710" t="n">
        <v>32</v>
      </c>
      <c r="BN1710" t="n">
        <v>15</v>
      </c>
      <c r="BO1710" t="n">
        <v>2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2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2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172</v>
      </c>
      <c r="Z1711" t="n">
        <v>130</v>
      </c>
      <c r="AA1711" t="n">
        <v>16</v>
      </c>
      <c r="AB1711" t="n">
        <v>2</v>
      </c>
      <c r="AC1711" t="n">
        <v>2</v>
      </c>
      <c r="AD1711" t="n">
        <v>4</v>
      </c>
      <c r="AE1711" t="n">
        <v>7</v>
      </c>
      <c r="AF1711" t="n">
        <v>1</v>
      </c>
      <c r="AG1711" t="n">
        <v>5</v>
      </c>
      <c r="AH1711" t="n">
        <v>67</v>
      </c>
      <c r="AI1711" t="n">
        <v>67</v>
      </c>
      <c r="AJ1711" t="n">
        <v>2</v>
      </c>
      <c r="AK1711" t="n">
        <v>63</v>
      </c>
      <c r="AL1711" t="n">
        <v>2</v>
      </c>
      <c r="AM1711" t="n">
        <v>24</v>
      </c>
      <c r="AN1711" t="n">
        <v>0</v>
      </c>
      <c r="AO1711" t="n">
        <v>0</v>
      </c>
      <c r="AP1711" t="n">
        <v>2</v>
      </c>
      <c r="AQ1711" t="n">
        <v>15</v>
      </c>
      <c r="AR1711" t="n">
        <v>142</v>
      </c>
      <c r="AS1711" t="n">
        <v>125</v>
      </c>
      <c r="AT1711" t="n">
        <v>7</v>
      </c>
      <c r="AU1711" t="n">
        <v>1</v>
      </c>
      <c r="AV1711" t="n">
        <v>27</v>
      </c>
      <c r="AW1711" t="n">
        <v>-1</v>
      </c>
      <c r="AX1711" t="n">
        <v>0</v>
      </c>
      <c r="AY1711" t="n">
        <v>12</v>
      </c>
      <c r="AZ1711" t="n">
        <v>6</v>
      </c>
      <c r="BA1711" t="n">
        <v>26</v>
      </c>
      <c r="BB1711" t="n">
        <v>43</v>
      </c>
      <c r="BC1711" t="n">
        <v>25</v>
      </c>
      <c r="BD1711" t="n">
        <v>64</v>
      </c>
      <c r="BE1711" t="n">
        <v>3</v>
      </c>
      <c r="BF1711" t="n">
        <v>11</v>
      </c>
      <c r="BG1711" t="n">
        <v>1</v>
      </c>
      <c r="BH1711" t="n">
        <v>3</v>
      </c>
      <c r="BI1711" t="n">
        <v>20</v>
      </c>
      <c r="BJ1711" t="n">
        <v>18</v>
      </c>
      <c r="BK1711" t="n">
        <v>6</v>
      </c>
      <c r="BL1711" t="n">
        <v>35</v>
      </c>
      <c r="BM1711" t="n">
        <v>29</v>
      </c>
      <c r="BN1711" t="n">
        <v>5</v>
      </c>
      <c r="BO1711" t="n">
        <v>4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2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1</v>
      </c>
      <c r="V1712" t="n">
        <v>0</v>
      </c>
      <c r="W1712" t="n">
        <v>0</v>
      </c>
      <c r="X1712" t="n">
        <v>0</v>
      </c>
      <c r="Y1712" t="n">
        <v>264</v>
      </c>
      <c r="Z1712" t="n">
        <v>195</v>
      </c>
      <c r="AA1712" t="n">
        <v>54</v>
      </c>
      <c r="AB1712" t="n">
        <v>0</v>
      </c>
      <c r="AC1712" t="n">
        <v>4</v>
      </c>
      <c r="AD1712" t="n">
        <v>10</v>
      </c>
      <c r="AE1712" t="n">
        <v>3</v>
      </c>
      <c r="AF1712" t="n">
        <v>4</v>
      </c>
      <c r="AG1712" t="n">
        <v>3</v>
      </c>
      <c r="AH1712" t="n">
        <v>122</v>
      </c>
      <c r="AI1712" t="n">
        <v>33</v>
      </c>
      <c r="AJ1712" t="n">
        <v>20</v>
      </c>
      <c r="AK1712" t="n">
        <v>21</v>
      </c>
      <c r="AL1712" t="n">
        <v>5</v>
      </c>
      <c r="AM1712" t="n">
        <v>51</v>
      </c>
      <c r="AN1712" t="n">
        <v>0</v>
      </c>
      <c r="AO1712" t="n">
        <v>0</v>
      </c>
      <c r="AP1712" t="n">
        <v>9</v>
      </c>
      <c r="AQ1712" t="n">
        <v>53</v>
      </c>
      <c r="AR1712" t="n">
        <v>64</v>
      </c>
      <c r="AS1712" t="n">
        <v>20</v>
      </c>
      <c r="AT1712" t="n">
        <v>2</v>
      </c>
      <c r="AU1712" t="n">
        <v>1</v>
      </c>
      <c r="AV1712" t="n">
        <v>22</v>
      </c>
      <c r="AW1712" t="n">
        <v>24</v>
      </c>
      <c r="AX1712" t="n">
        <v>0</v>
      </c>
      <c r="AY1712" t="n">
        <v>46</v>
      </c>
      <c r="AZ1712" t="n">
        <v>5</v>
      </c>
      <c r="BA1712" t="n">
        <v>58</v>
      </c>
      <c r="BB1712" t="n">
        <v>117</v>
      </c>
      <c r="BC1712" t="n">
        <v>42</v>
      </c>
      <c r="BD1712" t="n">
        <v>117</v>
      </c>
      <c r="BE1712" t="n">
        <v>29</v>
      </c>
      <c r="BF1712" t="n">
        <v>16</v>
      </c>
      <c r="BG1712" t="n">
        <v>1</v>
      </c>
      <c r="BH1712" t="n">
        <v>0</v>
      </c>
      <c r="BI1712" t="n">
        <v>35</v>
      </c>
      <c r="BJ1712" t="n">
        <v>33</v>
      </c>
      <c r="BK1712" t="n">
        <v>1</v>
      </c>
      <c r="BL1712" t="n">
        <v>1</v>
      </c>
      <c r="BM1712" t="n">
        <v>20</v>
      </c>
      <c r="BN1712" t="n">
        <v>12</v>
      </c>
      <c r="BO1712" t="n">
        <v>44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223</v>
      </c>
      <c r="Z1713" t="n">
        <v>210</v>
      </c>
      <c r="AA1713" t="n">
        <v>39</v>
      </c>
      <c r="AB1713" t="n">
        <v>3</v>
      </c>
      <c r="AC1713" t="n">
        <v>1</v>
      </c>
      <c r="AD1713" t="n">
        <v>4</v>
      </c>
      <c r="AE1713" t="n">
        <v>8</v>
      </c>
      <c r="AF1713" t="n">
        <v>2</v>
      </c>
      <c r="AG1713" t="n">
        <v>8</v>
      </c>
      <c r="AH1713" t="n">
        <v>63</v>
      </c>
      <c r="AI1713" t="n">
        <v>49</v>
      </c>
      <c r="AJ1713" t="n">
        <v>83</v>
      </c>
      <c r="AK1713" t="n">
        <v>36</v>
      </c>
      <c r="AL1713" t="n">
        <v>6</v>
      </c>
      <c r="AM1713" t="n">
        <v>96</v>
      </c>
      <c r="AN1713" t="n">
        <v>0</v>
      </c>
      <c r="AO1713" t="n">
        <v>0</v>
      </c>
      <c r="AP1713" t="n">
        <v>4</v>
      </c>
      <c r="AQ1713" t="n">
        <v>13</v>
      </c>
      <c r="AR1713" t="n">
        <v>164</v>
      </c>
      <c r="AS1713" t="n">
        <v>145</v>
      </c>
      <c r="AT1713" t="n">
        <v>2</v>
      </c>
      <c r="AU1713" t="n">
        <v>2</v>
      </c>
      <c r="AV1713" t="n">
        <v>25</v>
      </c>
      <c r="AW1713" t="n">
        <v>11</v>
      </c>
      <c r="AX1713" t="n">
        <v>0</v>
      </c>
      <c r="AY1713" t="n">
        <v>75</v>
      </c>
      <c r="AZ1713" t="n">
        <v>1</v>
      </c>
      <c r="BA1713" t="n">
        <v>1</v>
      </c>
      <c r="BB1713" t="n">
        <v>38</v>
      </c>
      <c r="BC1713" t="n">
        <v>79</v>
      </c>
      <c r="BD1713" t="n">
        <v>67</v>
      </c>
      <c r="BE1713" t="n">
        <v>12</v>
      </c>
      <c r="BF1713" t="n">
        <v>67</v>
      </c>
      <c r="BG1713" t="n">
        <v>0</v>
      </c>
      <c r="BH1713" t="n">
        <v>14</v>
      </c>
      <c r="BI1713" t="n">
        <v>1</v>
      </c>
      <c r="BJ1713" t="n">
        <v>-2</v>
      </c>
      <c r="BK1713" t="n">
        <v>3</v>
      </c>
      <c r="BL1713" t="n">
        <v>15</v>
      </c>
      <c r="BM1713" t="n">
        <v>19</v>
      </c>
      <c r="BN1713" t="n">
        <v>7</v>
      </c>
      <c r="BO1713" t="n">
        <v>2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221</v>
      </c>
      <c r="Z1714" t="n">
        <v>243</v>
      </c>
      <c r="AA1714" t="n">
        <v>45</v>
      </c>
      <c r="AB1714" t="n">
        <v>1</v>
      </c>
      <c r="AC1714" t="n">
        <v>2</v>
      </c>
      <c r="AD1714" t="n">
        <v>3</v>
      </c>
      <c r="AE1714" t="n">
        <v>9</v>
      </c>
      <c r="AF1714" t="n">
        <v>8</v>
      </c>
      <c r="AG1714" t="n">
        <v>8</v>
      </c>
      <c r="AH1714" t="n">
        <v>82</v>
      </c>
      <c r="AI1714" t="n">
        <v>108</v>
      </c>
      <c r="AJ1714" t="n">
        <v>92</v>
      </c>
      <c r="AK1714" t="n">
        <v>44</v>
      </c>
      <c r="AL1714" t="n">
        <v>8</v>
      </c>
      <c r="AM1714" t="n">
        <v>99</v>
      </c>
      <c r="AN1714" t="n">
        <v>0</v>
      </c>
      <c r="AO1714" t="n">
        <v>0</v>
      </c>
      <c r="AP1714" t="n">
        <v>2</v>
      </c>
      <c r="AQ1714" t="n">
        <v>1</v>
      </c>
      <c r="AR1714" t="n">
        <v>19</v>
      </c>
      <c r="AS1714" t="n">
        <v>15</v>
      </c>
      <c r="AT1714" t="n">
        <v>4</v>
      </c>
      <c r="AU1714" t="n">
        <v>1</v>
      </c>
      <c r="AV1714" t="n">
        <v>28</v>
      </c>
      <c r="AW1714" t="n">
        <v>3</v>
      </c>
      <c r="AX1714" t="n">
        <v>10</v>
      </c>
      <c r="AY1714" t="n">
        <v>107</v>
      </c>
      <c r="AZ1714" t="n">
        <v>3</v>
      </c>
      <c r="BA1714" t="n">
        <v>9</v>
      </c>
      <c r="BB1714" t="n">
        <v>51</v>
      </c>
      <c r="BC1714" t="n">
        <v>111</v>
      </c>
      <c r="BD1714" t="n">
        <v>73</v>
      </c>
      <c r="BE1714" t="n">
        <v>3</v>
      </c>
      <c r="BF1714" t="n">
        <v>84</v>
      </c>
      <c r="BG1714" t="n">
        <v>1</v>
      </c>
      <c r="BH1714" t="n">
        <v>1</v>
      </c>
      <c r="BI1714" t="n">
        <v>13</v>
      </c>
      <c r="BJ1714" t="n">
        <v>11</v>
      </c>
      <c r="BK1714" t="n">
        <v>3</v>
      </c>
      <c r="BL1714" t="n">
        <v>18</v>
      </c>
      <c r="BM1714" t="n">
        <v>15</v>
      </c>
      <c r="BN1714" t="n">
        <v>3</v>
      </c>
      <c r="BO1714" t="n">
        <v>2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240</v>
      </c>
      <c r="Z1715" t="n">
        <v>179</v>
      </c>
      <c r="AA1715" t="n">
        <v>126</v>
      </c>
      <c r="AB1715" t="n">
        <v>1</v>
      </c>
      <c r="AC1715" t="n">
        <v>2</v>
      </c>
      <c r="AD1715" t="n">
        <v>3</v>
      </c>
      <c r="AE1715" t="n">
        <v>4</v>
      </c>
      <c r="AF1715" t="n">
        <v>4</v>
      </c>
      <c r="AG1715" t="n">
        <v>5</v>
      </c>
      <c r="AH1715" t="n">
        <v>65</v>
      </c>
      <c r="AI1715" t="n">
        <v>25</v>
      </c>
      <c r="AJ1715" t="n">
        <v>23</v>
      </c>
      <c r="AK1715" t="n">
        <v>38</v>
      </c>
      <c r="AL1715" t="n">
        <v>0</v>
      </c>
      <c r="AM1715" t="n">
        <v>2</v>
      </c>
      <c r="AN1715" t="n">
        <v>0</v>
      </c>
      <c r="AO1715" t="n">
        <v>0</v>
      </c>
      <c r="AP1715" t="n">
        <v>6</v>
      </c>
      <c r="AQ1715" t="n">
        <v>36</v>
      </c>
      <c r="AR1715" t="n">
        <v>78</v>
      </c>
      <c r="AS1715" t="n">
        <v>47</v>
      </c>
      <c r="AT1715" t="n">
        <v>1</v>
      </c>
      <c r="AU1715" t="n">
        <v>2</v>
      </c>
      <c r="AV1715" t="n">
        <v>10</v>
      </c>
      <c r="AW1715" t="n">
        <v>26</v>
      </c>
      <c r="AX1715" t="n">
        <v>2</v>
      </c>
      <c r="AY1715" t="n">
        <v>40</v>
      </c>
      <c r="AZ1715" t="n">
        <v>1</v>
      </c>
      <c r="BA1715" t="n">
        <v>1</v>
      </c>
      <c r="BB1715" t="n">
        <v>122</v>
      </c>
      <c r="BC1715" t="n">
        <v>4</v>
      </c>
      <c r="BD1715" t="n">
        <v>61</v>
      </c>
      <c r="BE1715" t="n">
        <v>27</v>
      </c>
      <c r="BF1715" t="n">
        <v>18</v>
      </c>
      <c r="BG1715" t="n">
        <v>5</v>
      </c>
      <c r="BH1715" t="n">
        <v>0</v>
      </c>
      <c r="BI1715" t="n">
        <v>17</v>
      </c>
      <c r="BJ1715" t="n">
        <v>27</v>
      </c>
      <c r="BK1715" t="n">
        <v>0</v>
      </c>
      <c r="BL1715" t="n">
        <v>1</v>
      </c>
      <c r="BM1715" t="n">
        <v>12</v>
      </c>
      <c r="BN1715" t="n">
        <v>7</v>
      </c>
      <c r="BO1715" t="n">
        <v>93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160</v>
      </c>
      <c r="Z1716" t="n">
        <v>298</v>
      </c>
      <c r="AA1716" t="n">
        <v>56</v>
      </c>
      <c r="AB1716" t="n">
        <v>2</v>
      </c>
      <c r="AC1716" t="n">
        <v>1</v>
      </c>
      <c r="AD1716" t="n">
        <v>5</v>
      </c>
      <c r="AE1716" t="n">
        <v>4</v>
      </c>
      <c r="AF1716" t="n">
        <v>1</v>
      </c>
      <c r="AG1716" t="n">
        <v>8</v>
      </c>
      <c r="AH1716" t="n">
        <v>36</v>
      </c>
      <c r="AI1716" t="n">
        <v>63</v>
      </c>
      <c r="AJ1716" t="n">
        <v>20</v>
      </c>
      <c r="AK1716" t="n">
        <v>54</v>
      </c>
      <c r="AL1716" t="n">
        <v>2</v>
      </c>
      <c r="AM1716" t="n">
        <v>55</v>
      </c>
      <c r="AN1716" t="n">
        <v>0</v>
      </c>
      <c r="AO1716" t="n">
        <v>0</v>
      </c>
      <c r="AP1716" t="n">
        <v>2</v>
      </c>
      <c r="AQ1716" t="n">
        <v>6</v>
      </c>
      <c r="AR1716" t="n">
        <v>94</v>
      </c>
      <c r="AS1716" t="n">
        <v>86</v>
      </c>
      <c r="AT1716" t="n">
        <v>2</v>
      </c>
      <c r="AU1716" t="n">
        <v>4</v>
      </c>
      <c r="AV1716" t="n">
        <v>18</v>
      </c>
      <c r="AW1716" t="n">
        <v>48</v>
      </c>
      <c r="AX1716" t="n">
        <v>0</v>
      </c>
      <c r="AY1716" t="n">
        <v>18</v>
      </c>
      <c r="AZ1716" t="n">
        <v>4</v>
      </c>
      <c r="BA1716" t="n">
        <v>27</v>
      </c>
      <c r="BB1716" t="n">
        <v>81</v>
      </c>
      <c r="BC1716" t="n">
        <v>55</v>
      </c>
      <c r="BD1716" t="n">
        <v>32</v>
      </c>
      <c r="BE1716" t="n">
        <v>49</v>
      </c>
      <c r="BF1716" t="n">
        <v>18</v>
      </c>
      <c r="BG1716" t="n">
        <v>1</v>
      </c>
      <c r="BH1716" t="n">
        <v>13</v>
      </c>
      <c r="BI1716" t="n">
        <v>1</v>
      </c>
      <c r="BJ1716" t="n">
        <v>1</v>
      </c>
      <c r="BK1716" t="n">
        <v>4</v>
      </c>
      <c r="BL1716" t="n">
        <v>16</v>
      </c>
      <c r="BM1716" t="n">
        <v>22</v>
      </c>
      <c r="BN1716" t="n">
        <v>8</v>
      </c>
      <c r="BO1716" t="n">
        <v>2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3</v>
      </c>
      <c r="Q1717" t="n">
        <v>0</v>
      </c>
      <c r="R1717" t="n">
        <v>0</v>
      </c>
      <c r="S1717" t="n">
        <v>0</v>
      </c>
      <c r="T1717" t="n">
        <v>2</v>
      </c>
      <c r="U1717" t="n">
        <v>0</v>
      </c>
      <c r="V1717" t="n">
        <v>0</v>
      </c>
      <c r="W1717" t="n">
        <v>0</v>
      </c>
      <c r="X1717" t="n">
        <v>0</v>
      </c>
      <c r="Y1717" t="n">
        <v>419</v>
      </c>
      <c r="Z1717" t="n">
        <v>244</v>
      </c>
      <c r="AA1717" t="n">
        <v>8</v>
      </c>
      <c r="AB1717" t="n">
        <v>0</v>
      </c>
      <c r="AC1717" t="n">
        <v>6</v>
      </c>
      <c r="AD1717" t="n">
        <v>0</v>
      </c>
      <c r="AE1717" t="n">
        <v>4</v>
      </c>
      <c r="AF1717" t="n">
        <v>3</v>
      </c>
      <c r="AG1717" t="n">
        <v>5</v>
      </c>
      <c r="AH1717" t="n">
        <v>8</v>
      </c>
      <c r="AI1717" t="n">
        <v>44</v>
      </c>
      <c r="AJ1717" t="n">
        <v>98</v>
      </c>
      <c r="AK1717" t="n">
        <v>72</v>
      </c>
      <c r="AL1717" t="n">
        <v>4</v>
      </c>
      <c r="AM1717" t="n">
        <v>57</v>
      </c>
      <c r="AN1717" t="n">
        <v>0</v>
      </c>
      <c r="AO1717" t="n">
        <v>1</v>
      </c>
      <c r="AP1717" t="n">
        <v>6</v>
      </c>
      <c r="AQ1717" t="n">
        <v>26</v>
      </c>
      <c r="AR1717" t="n">
        <v>99</v>
      </c>
      <c r="AS1717" t="n">
        <v>77</v>
      </c>
      <c r="AT1717" t="n">
        <v>1</v>
      </c>
      <c r="AU1717" t="n">
        <v>1</v>
      </c>
      <c r="AV1717" t="n">
        <v>14</v>
      </c>
      <c r="AW1717" t="n">
        <v>20</v>
      </c>
      <c r="AX1717" t="n">
        <v>0</v>
      </c>
      <c r="AY1717" t="n">
        <v>53</v>
      </c>
      <c r="AZ1717" t="n">
        <v>4</v>
      </c>
      <c r="BA1717" t="n">
        <v>35</v>
      </c>
      <c r="BB1717" t="n">
        <v>50</v>
      </c>
      <c r="BC1717" t="n">
        <v>50</v>
      </c>
      <c r="BD1717" t="n">
        <v>2</v>
      </c>
      <c r="BE1717" t="n">
        <v>20</v>
      </c>
      <c r="BF1717" t="n">
        <v>85</v>
      </c>
      <c r="BG1717" t="n">
        <v>7</v>
      </c>
      <c r="BH1717" t="n">
        <v>23</v>
      </c>
      <c r="BI1717" t="n">
        <v>146</v>
      </c>
      <c r="BJ1717" t="n">
        <v>128</v>
      </c>
      <c r="BK1717" t="n">
        <v>12</v>
      </c>
      <c r="BL1717" t="n">
        <v>79</v>
      </c>
      <c r="BM1717" t="n">
        <v>62</v>
      </c>
      <c r="BN1717" t="n">
        <v>7</v>
      </c>
      <c r="BO1717" t="n">
        <v>32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2</v>
      </c>
      <c r="G1718" t="n">
        <v>1</v>
      </c>
      <c r="H1718" t="n">
        <v>2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164</v>
      </c>
      <c r="Z1718" t="n">
        <v>142</v>
      </c>
      <c r="AA1718" t="n">
        <v>24</v>
      </c>
      <c r="AB1718" t="n">
        <v>2</v>
      </c>
      <c r="AC1718" t="n">
        <v>0</v>
      </c>
      <c r="AD1718" t="n">
        <v>5</v>
      </c>
      <c r="AE1718" t="n">
        <v>10</v>
      </c>
      <c r="AF1718" t="n">
        <v>4</v>
      </c>
      <c r="AG1718" t="n">
        <v>2</v>
      </c>
      <c r="AH1718" t="n">
        <v>72</v>
      </c>
      <c r="AI1718" t="n">
        <v>97</v>
      </c>
      <c r="AJ1718" t="n">
        <v>41</v>
      </c>
      <c r="AK1718" t="n">
        <v>15</v>
      </c>
      <c r="AL1718" t="n">
        <v>1</v>
      </c>
      <c r="AM1718" t="n">
        <v>2</v>
      </c>
      <c r="AN1718" t="n">
        <v>0</v>
      </c>
      <c r="AO1718" t="n">
        <v>0</v>
      </c>
      <c r="AP1718" t="n">
        <v>10</v>
      </c>
      <c r="AQ1718" t="n">
        <v>64</v>
      </c>
      <c r="AR1718" t="n">
        <v>153</v>
      </c>
      <c r="AS1718" t="n">
        <v>97</v>
      </c>
      <c r="AT1718" t="n">
        <v>2</v>
      </c>
      <c r="AU1718" t="n">
        <v>0</v>
      </c>
      <c r="AV1718" t="n">
        <v>11</v>
      </c>
      <c r="AW1718" t="n">
        <v>1</v>
      </c>
      <c r="AX1718" t="n">
        <v>2</v>
      </c>
      <c r="AY1718" t="n">
        <v>59</v>
      </c>
      <c r="AZ1718" t="n">
        <v>4</v>
      </c>
      <c r="BA1718" t="n">
        <v>16</v>
      </c>
      <c r="BB1718" t="n">
        <v>39</v>
      </c>
      <c r="BC1718" t="n">
        <v>5</v>
      </c>
      <c r="BD1718" t="n">
        <v>64</v>
      </c>
      <c r="BE1718" t="n">
        <v>1</v>
      </c>
      <c r="BF1718" t="n">
        <v>32</v>
      </c>
      <c r="BG1718" t="n">
        <v>1</v>
      </c>
      <c r="BH1718" t="n">
        <v>0</v>
      </c>
      <c r="BI1718" t="n">
        <v>1</v>
      </c>
      <c r="BJ1718" t="n">
        <v>8</v>
      </c>
      <c r="BK1718" t="n">
        <v>4</v>
      </c>
      <c r="BL1718" t="n">
        <v>28</v>
      </c>
      <c r="BM1718" t="n">
        <v>19</v>
      </c>
      <c r="BN1718" t="n">
        <v>1</v>
      </c>
      <c r="BO1718" t="n">
        <v>18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140</v>
      </c>
      <c r="Z1719" t="n">
        <v>237</v>
      </c>
      <c r="AA1719" t="n">
        <v>68</v>
      </c>
      <c r="AB1719" t="n">
        <v>2</v>
      </c>
      <c r="AC1719" t="n">
        <v>2</v>
      </c>
      <c r="AD1719" t="n">
        <v>1</v>
      </c>
      <c r="AE1719" t="n">
        <v>5</v>
      </c>
      <c r="AF1719" t="n">
        <v>7</v>
      </c>
      <c r="AG1719" t="n">
        <v>6</v>
      </c>
      <c r="AH1719" t="n">
        <v>25</v>
      </c>
      <c r="AI1719" t="n">
        <v>42</v>
      </c>
      <c r="AJ1719" t="n">
        <v>45</v>
      </c>
      <c r="AK1719" t="n">
        <v>53</v>
      </c>
      <c r="AL1719" t="n">
        <v>1</v>
      </c>
      <c r="AM1719" t="n">
        <v>2</v>
      </c>
      <c r="AN1719" t="n">
        <v>0</v>
      </c>
      <c r="AO1719" t="n">
        <v>0</v>
      </c>
      <c r="AP1719" t="n">
        <v>6</v>
      </c>
      <c r="AQ1719" t="n">
        <v>29</v>
      </c>
      <c r="AR1719" t="n">
        <v>105</v>
      </c>
      <c r="AS1719" t="n">
        <v>81</v>
      </c>
      <c r="AT1719" t="n">
        <v>0</v>
      </c>
      <c r="AU1719" t="n">
        <v>2</v>
      </c>
      <c r="AV1719" t="n">
        <v>5</v>
      </c>
      <c r="AW1719" t="n">
        <v>12</v>
      </c>
      <c r="AX1719" t="n">
        <v>1</v>
      </c>
      <c r="AY1719" t="n">
        <v>48</v>
      </c>
      <c r="AZ1719" t="n">
        <v>0</v>
      </c>
      <c r="BA1719" t="n">
        <v>1</v>
      </c>
      <c r="BB1719" t="n">
        <v>66</v>
      </c>
      <c r="BC1719" t="n">
        <v>2</v>
      </c>
      <c r="BD1719" t="n">
        <v>22</v>
      </c>
      <c r="BE1719" t="n">
        <v>11</v>
      </c>
      <c r="BF1719" t="n">
        <v>37</v>
      </c>
      <c r="BG1719" t="n">
        <v>1</v>
      </c>
      <c r="BH1719" t="n">
        <v>6</v>
      </c>
      <c r="BI1719" t="n">
        <v>1</v>
      </c>
      <c r="BJ1719" t="n">
        <v>9</v>
      </c>
      <c r="BK1719" t="n">
        <v>4</v>
      </c>
      <c r="BL1719" t="n">
        <v>43</v>
      </c>
      <c r="BM1719" t="n">
        <v>37</v>
      </c>
      <c r="BN1719" t="n">
        <v>7</v>
      </c>
      <c r="BO1719" t="n">
        <v>16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182</v>
      </c>
      <c r="Z1720" t="n">
        <v>133</v>
      </c>
      <c r="AA1720" t="n">
        <v>30</v>
      </c>
      <c r="AB1720" t="n">
        <v>2</v>
      </c>
      <c r="AC1720" t="n">
        <v>1</v>
      </c>
      <c r="AD1720" t="n">
        <v>4</v>
      </c>
      <c r="AE1720" t="n">
        <v>0</v>
      </c>
      <c r="AF1720" t="n">
        <v>4</v>
      </c>
      <c r="AG1720" t="n">
        <v>3</v>
      </c>
      <c r="AH1720" t="n">
        <v>48</v>
      </c>
      <c r="AI1720" t="n">
        <v>2</v>
      </c>
      <c r="AJ1720" t="n">
        <v>25</v>
      </c>
      <c r="AK1720" t="n">
        <v>13</v>
      </c>
      <c r="AL1720" t="n">
        <v>3</v>
      </c>
      <c r="AM1720" t="n">
        <v>28</v>
      </c>
      <c r="AN1720" t="n">
        <v>0</v>
      </c>
      <c r="AO1720" t="n">
        <v>0</v>
      </c>
      <c r="AP1720" t="n">
        <v>6</v>
      </c>
      <c r="AQ1720" t="n">
        <v>44</v>
      </c>
      <c r="AR1720" t="n">
        <v>89</v>
      </c>
      <c r="AS1720" t="n">
        <v>52</v>
      </c>
      <c r="AT1720" t="n">
        <v>1</v>
      </c>
      <c r="AU1720" t="n">
        <v>1</v>
      </c>
      <c r="AV1720" t="n">
        <v>46</v>
      </c>
      <c r="AW1720" t="n">
        <v>19</v>
      </c>
      <c r="AX1720" t="n">
        <v>4</v>
      </c>
      <c r="AY1720" t="n">
        <v>8</v>
      </c>
      <c r="AZ1720" t="n">
        <v>0</v>
      </c>
      <c r="BA1720" t="n">
        <v>5</v>
      </c>
      <c r="BB1720" t="n">
        <v>33</v>
      </c>
      <c r="BC1720" t="n">
        <v>27</v>
      </c>
      <c r="BD1720" t="n">
        <v>76</v>
      </c>
      <c r="BE1720" t="n">
        <v>24</v>
      </c>
      <c r="BF1720" t="n">
        <v>25</v>
      </c>
      <c r="BG1720" t="n">
        <v>2</v>
      </c>
      <c r="BH1720" t="n">
        <v>6</v>
      </c>
      <c r="BI1720" t="n">
        <v>20</v>
      </c>
      <c r="BJ1720" t="n">
        <v>22</v>
      </c>
      <c r="BK1720" t="n">
        <v>3</v>
      </c>
      <c r="BL1720" t="n">
        <v>15</v>
      </c>
      <c r="BM1720" t="n">
        <v>37</v>
      </c>
      <c r="BN1720" t="n">
        <v>17</v>
      </c>
      <c r="BO1720" t="n">
        <v>14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2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310</v>
      </c>
      <c r="Z1721" t="n">
        <v>209</v>
      </c>
      <c r="AA1721" t="n">
        <v>75</v>
      </c>
      <c r="AB1721" t="n">
        <v>1</v>
      </c>
      <c r="AC1721" t="n">
        <v>1</v>
      </c>
      <c r="AD1721" t="n">
        <v>4</v>
      </c>
      <c r="AE1721" t="n">
        <v>1</v>
      </c>
      <c r="AF1721" t="n">
        <v>4</v>
      </c>
      <c r="AG1721" t="n">
        <v>8</v>
      </c>
      <c r="AH1721" t="n">
        <v>100</v>
      </c>
      <c r="AI1721" t="n">
        <v>26</v>
      </c>
      <c r="AJ1721" t="n">
        <v>37</v>
      </c>
      <c r="AK1721" t="n">
        <v>47</v>
      </c>
      <c r="AL1721" t="n">
        <v>4</v>
      </c>
      <c r="AM1721" t="n">
        <v>55</v>
      </c>
      <c r="AN1721" t="n">
        <v>1</v>
      </c>
      <c r="AO1721" t="n">
        <v>0</v>
      </c>
      <c r="AP1721" t="n">
        <v>1</v>
      </c>
      <c r="AQ1721" t="n">
        <v>42</v>
      </c>
      <c r="AR1721" t="n">
        <v>115</v>
      </c>
      <c r="AS1721" t="n">
        <v>80</v>
      </c>
      <c r="AT1721" t="n">
        <v>5</v>
      </c>
      <c r="AU1721" t="n">
        <v>1</v>
      </c>
      <c r="AV1721" t="n">
        <v>67</v>
      </c>
      <c r="AW1721" t="n">
        <v>15</v>
      </c>
      <c r="AX1721" t="n">
        <v>0</v>
      </c>
      <c r="AY1721" t="n">
        <v>7</v>
      </c>
      <c r="AZ1721" t="n">
        <v>2</v>
      </c>
      <c r="BA1721" t="n">
        <v>15</v>
      </c>
      <c r="BB1721" t="n">
        <v>84</v>
      </c>
      <c r="BC1721" t="n">
        <v>51</v>
      </c>
      <c r="BD1721" t="n">
        <v>105</v>
      </c>
      <c r="BE1721" t="n">
        <v>15</v>
      </c>
      <c r="BF1721" t="n">
        <v>31</v>
      </c>
      <c r="BG1721" t="n">
        <v>1</v>
      </c>
      <c r="BH1721" t="n">
        <v>22</v>
      </c>
      <c r="BI1721" t="n">
        <v>1</v>
      </c>
      <c r="BJ1721" t="n">
        <v>1</v>
      </c>
      <c r="BK1721" t="n">
        <v>3</v>
      </c>
      <c r="BL1721" t="n">
        <v>16</v>
      </c>
      <c r="BM1721" t="n">
        <v>11</v>
      </c>
      <c r="BN1721" t="n">
        <v>1</v>
      </c>
      <c r="BO1721" t="n">
        <v>2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2</v>
      </c>
      <c r="U1722" t="n">
        <v>0</v>
      </c>
      <c r="V1722" t="n">
        <v>0</v>
      </c>
      <c r="W1722" t="n">
        <v>1</v>
      </c>
      <c r="X1722" t="n">
        <v>0</v>
      </c>
      <c r="Y1722" t="n">
        <v>310</v>
      </c>
      <c r="Z1722" t="n">
        <v>253</v>
      </c>
      <c r="AA1722" t="n">
        <v>115</v>
      </c>
      <c r="AB1722" t="n">
        <v>2</v>
      </c>
      <c r="AC1722" t="n">
        <v>1</v>
      </c>
      <c r="AD1722" t="n">
        <v>6</v>
      </c>
      <c r="AE1722" t="n">
        <v>1</v>
      </c>
      <c r="AF1722" t="n">
        <v>3</v>
      </c>
      <c r="AG1722" t="n">
        <v>4</v>
      </c>
      <c r="AH1722" t="n">
        <v>99</v>
      </c>
      <c r="AI1722" t="n">
        <v>59</v>
      </c>
      <c r="AJ1722" t="n">
        <v>37</v>
      </c>
      <c r="AK1722" t="n">
        <v>35</v>
      </c>
      <c r="AL1722" t="n">
        <v>4</v>
      </c>
      <c r="AM1722" t="n">
        <v>33</v>
      </c>
      <c r="AN1722" t="n">
        <v>0</v>
      </c>
      <c r="AO1722" t="n">
        <v>1</v>
      </c>
      <c r="AP1722" t="n">
        <v>3</v>
      </c>
      <c r="AQ1722" t="n">
        <v>36</v>
      </c>
      <c r="AR1722" t="n">
        <v>96</v>
      </c>
      <c r="AS1722" t="n">
        <v>65</v>
      </c>
      <c r="AT1722" t="n">
        <v>3</v>
      </c>
      <c r="AU1722" t="n">
        <v>2</v>
      </c>
      <c r="AV1722" t="n">
        <v>17</v>
      </c>
      <c r="AW1722" t="n">
        <v>23</v>
      </c>
      <c r="AX1722" t="n">
        <v>0</v>
      </c>
      <c r="AY1722" t="n">
        <v>48</v>
      </c>
      <c r="AZ1722" t="n">
        <v>9</v>
      </c>
      <c r="BA1722" t="n">
        <v>77</v>
      </c>
      <c r="BB1722" t="n">
        <v>195</v>
      </c>
      <c r="BC1722" t="n">
        <v>28</v>
      </c>
      <c r="BD1722" t="n">
        <v>90</v>
      </c>
      <c r="BE1722" t="n">
        <v>23</v>
      </c>
      <c r="BF1722" t="n">
        <v>29</v>
      </c>
      <c r="BG1722" t="n">
        <v>6</v>
      </c>
      <c r="BH1722" t="n">
        <v>8</v>
      </c>
      <c r="BI1722" t="n">
        <v>34</v>
      </c>
      <c r="BJ1722" t="n">
        <v>36</v>
      </c>
      <c r="BK1722" t="n">
        <v>1</v>
      </c>
      <c r="BL1722" t="n">
        <v>20</v>
      </c>
      <c r="BM1722" t="n">
        <v>16</v>
      </c>
      <c r="BN1722" t="n">
        <v>3</v>
      </c>
      <c r="BO1722" t="n">
        <v>21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283</v>
      </c>
      <c r="Z1723" t="n">
        <v>262</v>
      </c>
      <c r="AA1723" t="n">
        <v>48</v>
      </c>
      <c r="AB1723" t="n">
        <v>1</v>
      </c>
      <c r="AC1723" t="n">
        <v>1</v>
      </c>
      <c r="AD1723" t="n">
        <v>4</v>
      </c>
      <c r="AE1723" t="n">
        <v>7</v>
      </c>
      <c r="AF1723" t="n">
        <v>0</v>
      </c>
      <c r="AG1723" t="n">
        <v>3</v>
      </c>
      <c r="AH1723" t="n">
        <v>43</v>
      </c>
      <c r="AI1723" t="n">
        <v>39</v>
      </c>
      <c r="AJ1723" t="n">
        <v>2</v>
      </c>
      <c r="AK1723" t="n">
        <v>18</v>
      </c>
      <c r="AL1723" t="n">
        <v>1</v>
      </c>
      <c r="AM1723" t="n">
        <v>10</v>
      </c>
      <c r="AN1723" t="n">
        <v>0</v>
      </c>
      <c r="AO1723" t="n">
        <v>0</v>
      </c>
      <c r="AP1723" t="n">
        <v>1</v>
      </c>
      <c r="AQ1723" t="n">
        <v>10</v>
      </c>
      <c r="AR1723" t="n">
        <v>79</v>
      </c>
      <c r="AS1723" t="n">
        <v>68</v>
      </c>
      <c r="AT1723" t="n">
        <v>2</v>
      </c>
      <c r="AU1723" t="n">
        <v>4</v>
      </c>
      <c r="AV1723" t="n">
        <v>74</v>
      </c>
      <c r="AW1723" t="n">
        <v>50</v>
      </c>
      <c r="AX1723" t="n">
        <v>8</v>
      </c>
      <c r="AY1723" t="n">
        <v>32</v>
      </c>
      <c r="AZ1723" t="n">
        <v>0</v>
      </c>
      <c r="BA1723" t="n">
        <v>1</v>
      </c>
      <c r="BB1723" t="n">
        <v>47</v>
      </c>
      <c r="BC1723" t="n">
        <v>8</v>
      </c>
      <c r="BD1723" t="n">
        <v>38</v>
      </c>
      <c r="BE1723" t="n">
        <v>50</v>
      </c>
      <c r="BF1723" t="n">
        <v>6</v>
      </c>
      <c r="BG1723" t="n">
        <v>0</v>
      </c>
      <c r="BH1723" t="n">
        <v>9</v>
      </c>
      <c r="BI1723" t="n">
        <v>5</v>
      </c>
      <c r="BJ1723" t="n">
        <v>8</v>
      </c>
      <c r="BK1723" t="n">
        <v>3</v>
      </c>
      <c r="BL1723" t="n">
        <v>36</v>
      </c>
      <c r="BM1723" t="n">
        <v>25</v>
      </c>
      <c r="BN1723" t="n">
        <v>2</v>
      </c>
      <c r="BO1723" t="n">
        <v>2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245</v>
      </c>
      <c r="Z1724" t="n">
        <v>182</v>
      </c>
      <c r="AA1724" t="n">
        <v>79</v>
      </c>
      <c r="AB1724" t="n">
        <v>1</v>
      </c>
      <c r="AC1724" t="n">
        <v>0</v>
      </c>
      <c r="AD1724" t="n">
        <v>6</v>
      </c>
      <c r="AE1724" t="n">
        <v>3</v>
      </c>
      <c r="AF1724" t="n">
        <v>0</v>
      </c>
      <c r="AG1724" t="n">
        <v>5</v>
      </c>
      <c r="AH1724" t="n">
        <v>103</v>
      </c>
      <c r="AI1724" t="n">
        <v>4</v>
      </c>
      <c r="AJ1724" t="n">
        <v>2</v>
      </c>
      <c r="AK1724" t="n">
        <v>116</v>
      </c>
      <c r="AL1724" t="n">
        <v>1</v>
      </c>
      <c r="AM1724" t="n">
        <v>2</v>
      </c>
      <c r="AN1724" t="n">
        <v>0</v>
      </c>
      <c r="AO1724" t="n">
        <v>0</v>
      </c>
      <c r="AP1724" t="n">
        <v>2</v>
      </c>
      <c r="AQ1724" t="n">
        <v>1</v>
      </c>
      <c r="AR1724" t="n">
        <v>36</v>
      </c>
      <c r="AS1724" t="n">
        <v>32</v>
      </c>
      <c r="AT1724" t="n">
        <v>0</v>
      </c>
      <c r="AU1724" t="n">
        <v>3</v>
      </c>
      <c r="AV1724" t="n">
        <v>1</v>
      </c>
      <c r="AW1724" t="n">
        <v>35</v>
      </c>
      <c r="AX1724" t="n">
        <v>0</v>
      </c>
      <c r="AY1724" t="n">
        <v>4</v>
      </c>
      <c r="AZ1724" t="n">
        <v>1</v>
      </c>
      <c r="BA1724" t="n">
        <v>16</v>
      </c>
      <c r="BB1724" t="n">
        <v>91</v>
      </c>
      <c r="BC1724" t="n">
        <v>61</v>
      </c>
      <c r="BD1724" t="n">
        <v>93</v>
      </c>
      <c r="BE1724" t="n">
        <v>51</v>
      </c>
      <c r="BF1724" t="n">
        <v>7</v>
      </c>
      <c r="BG1724" t="n">
        <v>6</v>
      </c>
      <c r="BH1724" t="n">
        <v>1</v>
      </c>
      <c r="BI1724" t="n">
        <v>24</v>
      </c>
      <c r="BJ1724" t="n">
        <v>21</v>
      </c>
      <c r="BK1724" t="n">
        <v>3</v>
      </c>
      <c r="BL1724" t="n">
        <v>36</v>
      </c>
      <c r="BM1724" t="n">
        <v>26</v>
      </c>
      <c r="BN1724" t="n">
        <v>3</v>
      </c>
      <c r="BO1724" t="n">
        <v>2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343</v>
      </c>
      <c r="Z1725" t="n">
        <v>170</v>
      </c>
      <c r="AA1725" t="n">
        <v>78</v>
      </c>
      <c r="AB1725" t="n">
        <v>0</v>
      </c>
      <c r="AC1725" t="n">
        <v>0</v>
      </c>
      <c r="AD1725" t="n">
        <v>4</v>
      </c>
      <c r="AE1725" t="n">
        <v>4</v>
      </c>
      <c r="AF1725" t="n">
        <v>3</v>
      </c>
      <c r="AG1725" t="n">
        <v>3</v>
      </c>
      <c r="AH1725" t="n">
        <v>90</v>
      </c>
      <c r="AI1725" t="n">
        <v>28</v>
      </c>
      <c r="AJ1725" t="n">
        <v>74</v>
      </c>
      <c r="AK1725" t="n">
        <v>47</v>
      </c>
      <c r="AL1725" t="n">
        <v>1</v>
      </c>
      <c r="AM1725" t="n">
        <v>68</v>
      </c>
      <c r="AN1725" t="n">
        <v>1</v>
      </c>
      <c r="AO1725" t="n">
        <v>0</v>
      </c>
      <c r="AP1725" t="n">
        <v>12</v>
      </c>
      <c r="AQ1725" t="n">
        <v>128</v>
      </c>
      <c r="AR1725" t="n">
        <v>171</v>
      </c>
      <c r="AS1725" t="n">
        <v>66</v>
      </c>
      <c r="AT1725" t="n">
        <v>1</v>
      </c>
      <c r="AU1725" t="n">
        <v>0</v>
      </c>
      <c r="AV1725" t="n">
        <v>11</v>
      </c>
      <c r="AW1725" t="n">
        <v>2</v>
      </c>
      <c r="AX1725" t="n">
        <v>11</v>
      </c>
      <c r="AY1725" t="n">
        <v>110</v>
      </c>
      <c r="AZ1725" t="n">
        <v>1</v>
      </c>
      <c r="BA1725" t="n">
        <v>10</v>
      </c>
      <c r="BB1725" t="n">
        <v>84</v>
      </c>
      <c r="BC1725" t="n">
        <v>61</v>
      </c>
      <c r="BD1725" t="n">
        <v>81</v>
      </c>
      <c r="BE1725" t="n">
        <v>-1</v>
      </c>
      <c r="BF1725" t="n">
        <v>59</v>
      </c>
      <c r="BG1725" t="n">
        <v>2</v>
      </c>
      <c r="BH1725" t="n">
        <v>10</v>
      </c>
      <c r="BI1725" t="n">
        <v>36</v>
      </c>
      <c r="BJ1725" t="n">
        <v>32</v>
      </c>
      <c r="BK1725" t="n">
        <v>4</v>
      </c>
      <c r="BL1725" t="n">
        <v>43</v>
      </c>
      <c r="BM1725" t="n">
        <v>46</v>
      </c>
      <c r="BN1725" t="n">
        <v>12</v>
      </c>
      <c r="BO1725" t="n">
        <v>35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2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2</v>
      </c>
      <c r="V1726" t="n">
        <v>0</v>
      </c>
      <c r="W1726" t="n">
        <v>0</v>
      </c>
      <c r="X1726" t="n">
        <v>0</v>
      </c>
      <c r="Y1726" t="n">
        <v>222</v>
      </c>
      <c r="Z1726" t="n">
        <v>220</v>
      </c>
      <c r="AA1726" t="n">
        <v>72</v>
      </c>
      <c r="AB1726" t="n">
        <v>2</v>
      </c>
      <c r="AC1726" t="n">
        <v>1</v>
      </c>
      <c r="AD1726" t="n">
        <v>8</v>
      </c>
      <c r="AE1726" t="n">
        <v>1</v>
      </c>
      <c r="AF1726" t="n">
        <v>1</v>
      </c>
      <c r="AG1726" t="n">
        <v>3</v>
      </c>
      <c r="AH1726" t="n">
        <v>97</v>
      </c>
      <c r="AI1726" t="n">
        <v>10</v>
      </c>
      <c r="AJ1726" t="n">
        <v>15</v>
      </c>
      <c r="AK1726" t="n">
        <v>1</v>
      </c>
      <c r="AL1726" t="n">
        <v>1</v>
      </c>
      <c r="AM1726" t="n">
        <v>72</v>
      </c>
      <c r="AN1726" t="n">
        <v>0</v>
      </c>
      <c r="AO1726" t="n">
        <v>1</v>
      </c>
      <c r="AP1726" t="n">
        <v>1</v>
      </c>
      <c r="AQ1726" t="n">
        <v>33</v>
      </c>
      <c r="AR1726" t="n">
        <v>93</v>
      </c>
      <c r="AS1726" t="n">
        <v>65</v>
      </c>
      <c r="AT1726" t="n">
        <v>2</v>
      </c>
      <c r="AU1726" t="n">
        <v>1</v>
      </c>
      <c r="AV1726" t="n">
        <v>41</v>
      </c>
      <c r="AW1726" t="n">
        <v>20</v>
      </c>
      <c r="AX1726" t="n">
        <v>0</v>
      </c>
      <c r="AY1726" t="n">
        <v>17</v>
      </c>
      <c r="AZ1726" t="n">
        <v>2</v>
      </c>
      <c r="BA1726" t="n">
        <v>1</v>
      </c>
      <c r="BB1726" t="n">
        <v>71</v>
      </c>
      <c r="BC1726" t="n">
        <v>68</v>
      </c>
      <c r="BD1726" t="n">
        <v>104</v>
      </c>
      <c r="BE1726" t="n">
        <v>20</v>
      </c>
      <c r="BF1726" t="n">
        <v>13</v>
      </c>
      <c r="BG1726" t="n">
        <v>2</v>
      </c>
      <c r="BH1726" t="n">
        <v>0</v>
      </c>
      <c r="BI1726" t="n">
        <v>28</v>
      </c>
      <c r="BJ1726" t="n">
        <v>25</v>
      </c>
      <c r="BK1726" t="n">
        <v>9</v>
      </c>
      <c r="BL1726" t="n">
        <v>67</v>
      </c>
      <c r="BM1726" t="n">
        <v>48</v>
      </c>
      <c r="BN1726" t="n">
        <v>3</v>
      </c>
      <c r="BO1726" t="n">
        <v>54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2</v>
      </c>
      <c r="K1727" t="n">
        <v>0</v>
      </c>
      <c r="L1727" t="n">
        <v>0</v>
      </c>
      <c r="M1727" t="n">
        <v>2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187</v>
      </c>
      <c r="Z1727" t="n">
        <v>159</v>
      </c>
      <c r="AA1727" t="n">
        <v>64</v>
      </c>
      <c r="AB1727" t="n">
        <v>0</v>
      </c>
      <c r="AC1727" t="n">
        <v>1</v>
      </c>
      <c r="AD1727" t="n">
        <v>5</v>
      </c>
      <c r="AE1727" t="n">
        <v>4</v>
      </c>
      <c r="AF1727" t="n">
        <v>1</v>
      </c>
      <c r="AG1727" t="n">
        <v>2</v>
      </c>
      <c r="AH1727" t="n">
        <v>40</v>
      </c>
      <c r="AI1727" t="n">
        <v>36</v>
      </c>
      <c r="AJ1727" t="n">
        <v>15</v>
      </c>
      <c r="AK1727" t="n">
        <v>12</v>
      </c>
      <c r="AL1727" t="n">
        <v>6</v>
      </c>
      <c r="AM1727" t="n">
        <v>53</v>
      </c>
      <c r="AN1727" t="n">
        <v>0</v>
      </c>
      <c r="AO1727" t="n">
        <v>0</v>
      </c>
      <c r="AP1727" t="n">
        <v>5</v>
      </c>
      <c r="AQ1727" t="n">
        <v>35</v>
      </c>
      <c r="AR1727" t="n">
        <v>112</v>
      </c>
      <c r="AS1727" t="n">
        <v>81</v>
      </c>
      <c r="AT1727" t="n">
        <v>1</v>
      </c>
      <c r="AU1727" t="n">
        <v>3</v>
      </c>
      <c r="AV1727" t="n">
        <v>19</v>
      </c>
      <c r="AW1727" t="n">
        <v>20</v>
      </c>
      <c r="AX1727" t="n">
        <v>0</v>
      </c>
      <c r="AY1727" t="n">
        <v>29</v>
      </c>
      <c r="AZ1727" t="n">
        <v>1</v>
      </c>
      <c r="BA1727" t="n">
        <v>21</v>
      </c>
      <c r="BB1727" t="n">
        <v>83</v>
      </c>
      <c r="BC1727" t="n">
        <v>65</v>
      </c>
      <c r="BD1727" t="n">
        <v>35</v>
      </c>
      <c r="BE1727" t="n">
        <v>26</v>
      </c>
      <c r="BF1727" t="n">
        <v>11</v>
      </c>
      <c r="BG1727" t="n">
        <v>2</v>
      </c>
      <c r="BH1727" t="n">
        <v>15</v>
      </c>
      <c r="BI1727" t="n">
        <v>16</v>
      </c>
      <c r="BJ1727" t="n">
        <v>14</v>
      </c>
      <c r="BK1727" t="n">
        <v>2</v>
      </c>
      <c r="BL1727" t="n">
        <v>1</v>
      </c>
      <c r="BM1727" t="n">
        <v>5</v>
      </c>
      <c r="BN1727" t="n">
        <v>3</v>
      </c>
      <c r="BO1727" t="n">
        <v>7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2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2</v>
      </c>
      <c r="U1728" t="n">
        <v>1</v>
      </c>
      <c r="V1728" t="n">
        <v>0</v>
      </c>
      <c r="W1728" t="n">
        <v>0</v>
      </c>
      <c r="X1728" t="n">
        <v>0</v>
      </c>
      <c r="Y1728" t="n">
        <v>446</v>
      </c>
      <c r="Z1728" t="n">
        <v>202</v>
      </c>
      <c r="AA1728" t="n">
        <v>153</v>
      </c>
      <c r="AB1728" t="n">
        <v>5</v>
      </c>
      <c r="AC1728" t="n">
        <v>4</v>
      </c>
      <c r="AD1728" t="n">
        <v>5</v>
      </c>
      <c r="AE1728" t="n">
        <v>3</v>
      </c>
      <c r="AF1728" t="n">
        <v>8</v>
      </c>
      <c r="AG1728" t="n">
        <v>5</v>
      </c>
      <c r="AH1728" t="n">
        <v>88</v>
      </c>
      <c r="AI1728" t="n">
        <v>-6</v>
      </c>
      <c r="AJ1728" t="n">
        <v>106</v>
      </c>
      <c r="AK1728" t="n">
        <v>65</v>
      </c>
      <c r="AL1728" t="n">
        <v>2</v>
      </c>
      <c r="AM1728" t="n">
        <v>18</v>
      </c>
      <c r="AN1728" t="n">
        <v>0</v>
      </c>
      <c r="AO1728" t="n">
        <v>0</v>
      </c>
      <c r="AP1728" t="n">
        <v>10</v>
      </c>
      <c r="AQ1728" t="n">
        <v>110</v>
      </c>
      <c r="AR1728" t="n">
        <v>164</v>
      </c>
      <c r="AS1728" t="n">
        <v>70</v>
      </c>
      <c r="AT1728" t="n">
        <v>4</v>
      </c>
      <c r="AU1728" t="n">
        <v>3</v>
      </c>
      <c r="AV1728" t="n">
        <v>40</v>
      </c>
      <c r="AW1728" t="n">
        <v>35</v>
      </c>
      <c r="AX1728" t="n">
        <v>3</v>
      </c>
      <c r="AY1728" t="n">
        <v>48</v>
      </c>
      <c r="AZ1728" t="n">
        <v>5</v>
      </c>
      <c r="BA1728" t="n">
        <v>46</v>
      </c>
      <c r="BB1728" t="n">
        <v>186</v>
      </c>
      <c r="BC1728" t="n">
        <v>19</v>
      </c>
      <c r="BD1728" t="n">
        <v>80</v>
      </c>
      <c r="BE1728" t="n">
        <v>35</v>
      </c>
      <c r="BF1728" t="n">
        <v>98</v>
      </c>
      <c r="BG1728" t="n">
        <v>1</v>
      </c>
      <c r="BH1728" t="n">
        <v>9</v>
      </c>
      <c r="BI1728" t="n">
        <v>1</v>
      </c>
      <c r="BJ1728" t="n">
        <v>1</v>
      </c>
      <c r="BK1728" t="n">
        <v>3</v>
      </c>
      <c r="BL1728" t="n">
        <v>28</v>
      </c>
      <c r="BM1728" t="n">
        <v>25</v>
      </c>
      <c r="BN1728" t="n">
        <v>5</v>
      </c>
      <c r="BO1728" t="n">
        <v>126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142</v>
      </c>
      <c r="Z1729" t="n">
        <v>166</v>
      </c>
      <c r="AA1729" t="n">
        <v>31</v>
      </c>
      <c r="AB1729" t="n">
        <v>3</v>
      </c>
      <c r="AC1729" t="n">
        <v>0</v>
      </c>
      <c r="AD1729" t="n">
        <v>3</v>
      </c>
      <c r="AE1729" t="n">
        <v>8</v>
      </c>
      <c r="AF1729" t="n">
        <v>1</v>
      </c>
      <c r="AG1729" t="n">
        <v>0</v>
      </c>
      <c r="AH1729" t="n">
        <v>20</v>
      </c>
      <c r="AI1729" t="n">
        <v>39</v>
      </c>
      <c r="AJ1729" t="n">
        <v>15</v>
      </c>
      <c r="AK1729" t="n">
        <v>1</v>
      </c>
      <c r="AL1729" t="n">
        <v>0</v>
      </c>
      <c r="AM1729" t="n">
        <v>13</v>
      </c>
      <c r="AN1729" t="n">
        <v>0</v>
      </c>
      <c r="AO1729" t="n">
        <v>0</v>
      </c>
      <c r="AP1729" t="n">
        <v>1</v>
      </c>
      <c r="AQ1729" t="n">
        <v>1</v>
      </c>
      <c r="AR1729" t="n">
        <v>135</v>
      </c>
      <c r="AS1729" t="n">
        <v>124</v>
      </c>
      <c r="AT1729" t="n">
        <v>0</v>
      </c>
      <c r="AU1729" t="n">
        <v>1</v>
      </c>
      <c r="AV1729" t="n">
        <v>1</v>
      </c>
      <c r="AW1729" t="n">
        <v>26</v>
      </c>
      <c r="AX1729" t="n">
        <v>3</v>
      </c>
      <c r="AY1729" t="n">
        <v>15</v>
      </c>
      <c r="AZ1729" t="n">
        <v>1</v>
      </c>
      <c r="BA1729" t="n">
        <v>11</v>
      </c>
      <c r="BB1729" t="n">
        <v>40</v>
      </c>
      <c r="BC1729" t="n">
        <v>10</v>
      </c>
      <c r="BD1729" t="n">
        <v>33</v>
      </c>
      <c r="BE1729" t="n">
        <v>27</v>
      </c>
      <c r="BF1729" t="n">
        <v>12</v>
      </c>
      <c r="BG1729" t="n">
        <v>2</v>
      </c>
      <c r="BH1729" t="n">
        <v>13</v>
      </c>
      <c r="BI1729" t="n">
        <v>44</v>
      </c>
      <c r="BJ1729" t="n">
        <v>40</v>
      </c>
      <c r="BK1729" t="n">
        <v>6</v>
      </c>
      <c r="BL1729" t="n">
        <v>35</v>
      </c>
      <c r="BM1729" t="n">
        <v>28</v>
      </c>
      <c r="BN1729" t="n">
        <v>4</v>
      </c>
      <c r="BO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5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115</v>
      </c>
      <c r="Z1730" t="n">
        <v>261</v>
      </c>
      <c r="AA1730" t="n">
        <v>14</v>
      </c>
      <c r="AB1730" t="n">
        <v>5</v>
      </c>
      <c r="AC1730" t="n">
        <v>0</v>
      </c>
      <c r="AD1730" t="n">
        <v>2</v>
      </c>
      <c r="AE1730" t="n">
        <v>1</v>
      </c>
      <c r="AF1730" t="n">
        <v>2</v>
      </c>
      <c r="AG1730" t="n">
        <v>8</v>
      </c>
      <c r="AH1730" t="n">
        <v>13</v>
      </c>
      <c r="AI1730" t="n">
        <v>19</v>
      </c>
      <c r="AJ1730" t="n">
        <v>23</v>
      </c>
      <c r="AK1730" t="n">
        <v>87</v>
      </c>
      <c r="AL1730" t="n">
        <v>7</v>
      </c>
      <c r="AM1730" t="n">
        <v>144</v>
      </c>
      <c r="AN1730" t="n">
        <v>0</v>
      </c>
      <c r="AO1730" t="n">
        <v>0</v>
      </c>
      <c r="AP1730" t="n">
        <v>3</v>
      </c>
      <c r="AQ1730" t="n">
        <v>9</v>
      </c>
      <c r="AR1730" t="n">
        <v>84</v>
      </c>
      <c r="AS1730" t="n">
        <v>75</v>
      </c>
      <c r="AT1730" t="n">
        <v>0</v>
      </c>
      <c r="AU1730" t="n">
        <v>2</v>
      </c>
      <c r="AV1730" t="n">
        <v>3</v>
      </c>
      <c r="AW1730" t="n">
        <v>17</v>
      </c>
      <c r="AX1730" t="n">
        <v>0</v>
      </c>
      <c r="AY1730" t="n">
        <v>1</v>
      </c>
      <c r="AZ1730" t="n">
        <v>1</v>
      </c>
      <c r="BA1730" t="n">
        <v>20</v>
      </c>
      <c r="BB1730" t="n">
        <v>35</v>
      </c>
      <c r="BC1730" t="n">
        <v>120</v>
      </c>
      <c r="BD1730" t="n">
        <v>22</v>
      </c>
      <c r="BE1730" t="n">
        <v>17</v>
      </c>
      <c r="BF1730" t="n">
        <v>18</v>
      </c>
      <c r="BG1730" t="n">
        <v>2</v>
      </c>
      <c r="BH1730" t="n">
        <v>2</v>
      </c>
      <c r="BI1730" t="n">
        <v>23</v>
      </c>
      <c r="BJ1730" t="n">
        <v>37</v>
      </c>
      <c r="BK1730" t="n">
        <v>4</v>
      </c>
      <c r="BL1730" t="n">
        <v>41</v>
      </c>
      <c r="BM1730" t="n">
        <v>35</v>
      </c>
      <c r="BN1730" t="n">
        <v>6</v>
      </c>
      <c r="BO1730" t="n">
        <v>93</v>
      </c>
    </row>
    <row r="1731">
      <c r="A1731" t="n">
        <v>0</v>
      </c>
      <c r="B1731" t="n">
        <v>0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123</v>
      </c>
      <c r="Z1731" t="n">
        <v>54</v>
      </c>
      <c r="AA1731" t="n">
        <v>72</v>
      </c>
      <c r="AB1731" t="n">
        <v>0</v>
      </c>
      <c r="AC1731" t="n">
        <v>2</v>
      </c>
      <c r="AD1731" t="n">
        <v>3</v>
      </c>
      <c r="AE1731" t="n">
        <v>0</v>
      </c>
      <c r="AF1731" t="n">
        <v>3</v>
      </c>
      <c r="AG1731" t="n">
        <v>2</v>
      </c>
      <c r="AH1731" t="n">
        <v>29</v>
      </c>
      <c r="AI1731" t="n">
        <v>4</v>
      </c>
      <c r="AJ1731" t="n">
        <v>40</v>
      </c>
      <c r="AK1731" t="n">
        <v>13</v>
      </c>
      <c r="AL1731" t="n">
        <v>0</v>
      </c>
      <c r="AM1731" t="n">
        <v>2</v>
      </c>
      <c r="AN1731" t="n">
        <v>0</v>
      </c>
      <c r="AO1731" t="n">
        <v>0</v>
      </c>
      <c r="AP1731" t="n">
        <v>9</v>
      </c>
      <c r="AQ1731" t="n">
        <v>29</v>
      </c>
      <c r="AR1731" t="n">
        <v>102</v>
      </c>
      <c r="AS1731" t="n">
        <v>78</v>
      </c>
      <c r="AT1731" t="n">
        <v>0</v>
      </c>
      <c r="AU1731" t="n">
        <v>1</v>
      </c>
      <c r="AV1731" t="n">
        <v>9</v>
      </c>
      <c r="AW1731" t="n">
        <v>3</v>
      </c>
      <c r="AX1731" t="n">
        <v>0</v>
      </c>
      <c r="AY1731" t="n">
        <v>67</v>
      </c>
      <c r="AZ1731" t="n">
        <v>0</v>
      </c>
      <c r="BA1731" t="n">
        <v>1</v>
      </c>
      <c r="BB1731" t="n">
        <v>71</v>
      </c>
      <c r="BC1731" t="n">
        <v>8</v>
      </c>
      <c r="BD1731" t="n">
        <v>26</v>
      </c>
      <c r="BE1731" t="n">
        <v>4</v>
      </c>
      <c r="BF1731" t="n">
        <v>44</v>
      </c>
      <c r="BG1731" t="n">
        <v>0</v>
      </c>
      <c r="BH1731" t="n">
        <v>8</v>
      </c>
      <c r="BI1731" t="n">
        <v>1</v>
      </c>
      <c r="BJ1731" t="n">
        <v>5</v>
      </c>
      <c r="BK1731" t="n">
        <v>1</v>
      </c>
      <c r="BL1731" t="n">
        <v>5</v>
      </c>
      <c r="BM1731" t="n">
        <v>26</v>
      </c>
      <c r="BN1731" t="n">
        <v>15</v>
      </c>
      <c r="BO1731" t="n">
        <v>2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2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282</v>
      </c>
      <c r="Z1732" t="n">
        <v>251</v>
      </c>
      <c r="AA1732" t="n">
        <v>162</v>
      </c>
      <c r="AB1732" t="n">
        <v>4</v>
      </c>
      <c r="AC1732" t="n">
        <v>1</v>
      </c>
      <c r="AD1732" t="n">
        <v>7</v>
      </c>
      <c r="AE1732" t="n">
        <v>4</v>
      </c>
      <c r="AF1732" t="n">
        <v>4</v>
      </c>
      <c r="AG1732" t="n">
        <v>8</v>
      </c>
      <c r="AH1732" t="n">
        <v>90</v>
      </c>
      <c r="AI1732" t="n">
        <v>78</v>
      </c>
      <c r="AJ1732" t="n">
        <v>110</v>
      </c>
      <c r="AK1732" t="n">
        <v>87</v>
      </c>
      <c r="AL1732" t="n">
        <v>6</v>
      </c>
      <c r="AM1732" t="n">
        <v>66</v>
      </c>
      <c r="AN1732" t="n">
        <v>0</v>
      </c>
      <c r="AO1732" t="n">
        <v>0</v>
      </c>
      <c r="AP1732" t="n">
        <v>2</v>
      </c>
      <c r="AQ1732" t="n">
        <v>1</v>
      </c>
      <c r="AR1732" t="n">
        <v>97</v>
      </c>
      <c r="AS1732" t="n">
        <v>89</v>
      </c>
      <c r="AT1732" t="n">
        <v>5</v>
      </c>
      <c r="AU1732" t="n">
        <v>3</v>
      </c>
      <c r="AV1732" t="n">
        <v>24</v>
      </c>
      <c r="AW1732" t="n">
        <v>34</v>
      </c>
      <c r="AX1732" t="n">
        <v>6</v>
      </c>
      <c r="AY1732" t="n">
        <v>96</v>
      </c>
      <c r="AZ1732" t="n">
        <v>1</v>
      </c>
      <c r="BA1732" t="n">
        <v>9</v>
      </c>
      <c r="BB1732" t="n">
        <v>156</v>
      </c>
      <c r="BC1732" t="n">
        <v>55</v>
      </c>
      <c r="BD1732" t="n">
        <v>95</v>
      </c>
      <c r="BE1732" t="n">
        <v>37</v>
      </c>
      <c r="BF1732" t="n">
        <v>95</v>
      </c>
      <c r="BG1732" t="n">
        <v>0</v>
      </c>
      <c r="BH1732" t="n">
        <v>0</v>
      </c>
      <c r="BI1732" t="n">
        <v>1</v>
      </c>
      <c r="BJ1732" t="n">
        <v>2</v>
      </c>
      <c r="BK1732" t="n">
        <v>0</v>
      </c>
      <c r="BL1732" t="n">
        <v>1</v>
      </c>
      <c r="BM1732" t="n">
        <v>7</v>
      </c>
      <c r="BN1732" t="n">
        <v>4</v>
      </c>
      <c r="BO1732" t="n">
        <v>18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259</v>
      </c>
      <c r="Z1733" t="n">
        <v>190</v>
      </c>
      <c r="AA1733" t="n">
        <v>85</v>
      </c>
      <c r="AB1733" t="n">
        <v>0</v>
      </c>
      <c r="AC1733" t="n">
        <v>1</v>
      </c>
      <c r="AD1733" t="n">
        <v>6</v>
      </c>
      <c r="AE1733" t="n">
        <v>10</v>
      </c>
      <c r="AF1733" t="n">
        <v>4</v>
      </c>
      <c r="AG1733" t="n">
        <v>10</v>
      </c>
      <c r="AH1733" t="n">
        <v>25</v>
      </c>
      <c r="AI1733" t="n">
        <v>72</v>
      </c>
      <c r="AJ1733" t="n">
        <v>34</v>
      </c>
      <c r="AK1733" t="n">
        <v>32</v>
      </c>
      <c r="AL1733" t="n">
        <v>5</v>
      </c>
      <c r="AM1733" t="n">
        <v>31</v>
      </c>
      <c r="AN1733" t="n">
        <v>0</v>
      </c>
      <c r="AO1733" t="n">
        <v>0</v>
      </c>
      <c r="AP1733" t="n">
        <v>6</v>
      </c>
      <c r="AQ1733" t="n">
        <v>35</v>
      </c>
      <c r="AR1733" t="n">
        <v>228</v>
      </c>
      <c r="AS1733" t="n">
        <v>196</v>
      </c>
      <c r="AT1733" t="n">
        <v>2</v>
      </c>
      <c r="AU1733" t="n">
        <v>1</v>
      </c>
      <c r="AV1733" t="n">
        <v>13</v>
      </c>
      <c r="AW1733" t="n">
        <v>2</v>
      </c>
      <c r="AX1733" t="n">
        <v>22</v>
      </c>
      <c r="AY1733" t="n">
        <v>27</v>
      </c>
      <c r="AZ1733" t="n">
        <v>0</v>
      </c>
      <c r="BA1733" t="n">
        <v>1</v>
      </c>
      <c r="BB1733" t="n">
        <v>82</v>
      </c>
      <c r="BC1733" t="n">
        <v>26</v>
      </c>
      <c r="BD1733" t="n">
        <v>20</v>
      </c>
      <c r="BE1733" t="n">
        <v>14</v>
      </c>
      <c r="BF1733" t="n">
        <v>27</v>
      </c>
      <c r="BG1733" t="n">
        <v>3</v>
      </c>
      <c r="BH1733" t="n">
        <v>9</v>
      </c>
      <c r="BI1733" t="n">
        <v>19</v>
      </c>
      <c r="BJ1733" t="n">
        <v>18</v>
      </c>
      <c r="BK1733" t="n">
        <v>2</v>
      </c>
      <c r="BL1733" t="n">
        <v>11</v>
      </c>
      <c r="BM1733" t="n">
        <v>8</v>
      </c>
      <c r="BN1733" t="n">
        <v>1</v>
      </c>
      <c r="BO1733" t="n">
        <v>16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2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255</v>
      </c>
      <c r="Z1734" t="n">
        <v>176</v>
      </c>
      <c r="AA1734" t="n">
        <v>21</v>
      </c>
      <c r="AB1734" t="n">
        <v>2</v>
      </c>
      <c r="AC1734" t="n">
        <v>0</v>
      </c>
      <c r="AD1734" t="n">
        <v>2</v>
      </c>
      <c r="AE1734" t="n">
        <v>5</v>
      </c>
      <c r="AF1734" t="n">
        <v>3</v>
      </c>
      <c r="AG1734" t="n">
        <v>0</v>
      </c>
      <c r="AH1734" t="n">
        <v>11</v>
      </c>
      <c r="AI1734" t="n">
        <v>43</v>
      </c>
      <c r="AJ1734" t="n">
        <v>9</v>
      </c>
      <c r="AK1734" t="n">
        <v>22</v>
      </c>
      <c r="AL1734" t="n">
        <v>4</v>
      </c>
      <c r="AM1734" t="n">
        <v>92</v>
      </c>
      <c r="AN1734" t="n">
        <v>1</v>
      </c>
      <c r="AO1734" t="n">
        <v>0</v>
      </c>
      <c r="AP1734" t="n">
        <v>5</v>
      </c>
      <c r="AQ1734" t="n">
        <v>29</v>
      </c>
      <c r="AR1734" t="n">
        <v>171</v>
      </c>
      <c r="AS1734" t="n">
        <v>140</v>
      </c>
      <c r="AT1734" t="n">
        <v>3</v>
      </c>
      <c r="AU1734" t="n">
        <v>2</v>
      </c>
      <c r="AV1734" t="n">
        <v>12</v>
      </c>
      <c r="AW1734" t="n">
        <v>8</v>
      </c>
      <c r="AX1734" t="n">
        <v>8</v>
      </c>
      <c r="AY1734" t="n">
        <v>5</v>
      </c>
      <c r="AZ1734" t="n">
        <v>2</v>
      </c>
      <c r="BA1734" t="n">
        <v>11</v>
      </c>
      <c r="BB1734" t="n">
        <v>32</v>
      </c>
      <c r="BC1734" t="n">
        <v>78</v>
      </c>
      <c r="BD1734" t="n">
        <v>26</v>
      </c>
      <c r="BE1734" t="n">
        <v>8</v>
      </c>
      <c r="BF1734" t="n">
        <v>17</v>
      </c>
      <c r="BG1734" t="n">
        <v>2</v>
      </c>
      <c r="BH1734" t="n">
        <v>15</v>
      </c>
      <c r="BI1734" t="n">
        <v>93</v>
      </c>
      <c r="BJ1734" t="n">
        <v>84</v>
      </c>
      <c r="BK1734" t="n">
        <v>0</v>
      </c>
      <c r="BL1734" t="n">
        <v>1</v>
      </c>
      <c r="BM1734" t="n">
        <v>5</v>
      </c>
      <c r="BN1734" t="n">
        <v>2</v>
      </c>
      <c r="BO1734" t="n">
        <v>2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6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162</v>
      </c>
      <c r="Z1735" t="n">
        <v>300</v>
      </c>
      <c r="AA1735" t="n">
        <v>116</v>
      </c>
      <c r="AB1735" t="n">
        <v>6</v>
      </c>
      <c r="AC1735" t="n">
        <v>0</v>
      </c>
      <c r="AD1735" t="n">
        <v>1</v>
      </c>
      <c r="AE1735" t="n">
        <v>7</v>
      </c>
      <c r="AF1735" t="n">
        <v>3</v>
      </c>
      <c r="AG1735" t="n">
        <v>6</v>
      </c>
      <c r="AH1735" t="n">
        <v>11</v>
      </c>
      <c r="AI1735" t="n">
        <v>137</v>
      </c>
      <c r="AJ1735" t="n">
        <v>37</v>
      </c>
      <c r="AK1735" t="n">
        <v>132</v>
      </c>
      <c r="AL1735" t="n">
        <v>2</v>
      </c>
      <c r="AM1735" t="n">
        <v>72</v>
      </c>
      <c r="AN1735" t="n">
        <v>1</v>
      </c>
      <c r="AO1735" t="n">
        <v>0</v>
      </c>
      <c r="AP1735" t="n">
        <v>0</v>
      </c>
      <c r="AQ1735" t="n">
        <v>1</v>
      </c>
      <c r="AR1735" t="n">
        <v>142</v>
      </c>
      <c r="AS1735" t="n">
        <v>130</v>
      </c>
      <c r="AT1735" t="n">
        <v>2</v>
      </c>
      <c r="AU1735" t="n">
        <v>0</v>
      </c>
      <c r="AV1735" t="n">
        <v>8</v>
      </c>
      <c r="AW1735" t="n">
        <v>1</v>
      </c>
      <c r="AX1735" t="n">
        <v>0</v>
      </c>
      <c r="AY1735" t="n">
        <v>27</v>
      </c>
      <c r="AZ1735" t="n">
        <v>1</v>
      </c>
      <c r="BA1735" t="n">
        <v>48</v>
      </c>
      <c r="BB1735" t="n">
        <v>162</v>
      </c>
      <c r="BC1735" t="n">
        <v>60</v>
      </c>
      <c r="BD1735" t="n">
        <v>14</v>
      </c>
      <c r="BE1735" t="n">
        <v>1</v>
      </c>
      <c r="BF1735" t="n">
        <v>29</v>
      </c>
      <c r="BG1735" t="n">
        <v>1</v>
      </c>
      <c r="BH1735" t="n">
        <v>0</v>
      </c>
      <c r="BI1735" t="n">
        <v>1</v>
      </c>
      <c r="BJ1735" t="n">
        <v>17</v>
      </c>
      <c r="BK1735" t="n">
        <v>7</v>
      </c>
      <c r="BL1735" t="n">
        <v>52</v>
      </c>
      <c r="BM1735" t="n">
        <v>35</v>
      </c>
      <c r="BN1735" t="n">
        <v>2</v>
      </c>
      <c r="BO1735" t="n">
        <v>82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2</v>
      </c>
      <c r="U1736" t="n">
        <v>0</v>
      </c>
      <c r="V1736" t="n">
        <v>0</v>
      </c>
      <c r="W1736" t="n">
        <v>0</v>
      </c>
      <c r="X1736" t="n">
        <v>0</v>
      </c>
      <c r="Y1736" t="n">
        <v>272</v>
      </c>
      <c r="Z1736" t="n">
        <v>179</v>
      </c>
      <c r="AA1736" t="n">
        <v>54</v>
      </c>
      <c r="AB1736" t="n">
        <v>0</v>
      </c>
      <c r="AC1736" t="n">
        <v>0</v>
      </c>
      <c r="AD1736" t="n">
        <v>2</v>
      </c>
      <c r="AE1736" t="n">
        <v>3</v>
      </c>
      <c r="AF1736" t="n">
        <v>6</v>
      </c>
      <c r="AG1736" t="n">
        <v>13</v>
      </c>
      <c r="AH1736" t="n">
        <v>36</v>
      </c>
      <c r="AI1736" t="n">
        <v>16</v>
      </c>
      <c r="AJ1736" t="n">
        <v>59</v>
      </c>
      <c r="AK1736" t="n">
        <v>113</v>
      </c>
      <c r="AL1736" t="n">
        <v>2</v>
      </c>
      <c r="AM1736" t="n">
        <v>32</v>
      </c>
      <c r="AN1736" t="n">
        <v>0</v>
      </c>
      <c r="AO1736" t="n">
        <v>0</v>
      </c>
      <c r="AP1736" t="n">
        <v>1</v>
      </c>
      <c r="AQ1736" t="n">
        <v>38</v>
      </c>
      <c r="AR1736" t="n">
        <v>89</v>
      </c>
      <c r="AS1736" t="n">
        <v>56</v>
      </c>
      <c r="AT1736" t="n">
        <v>1</v>
      </c>
      <c r="AU1736" t="n">
        <v>0</v>
      </c>
      <c r="AV1736" t="n">
        <v>6</v>
      </c>
      <c r="AW1736" t="n">
        <v>1</v>
      </c>
      <c r="AX1736" t="n">
        <v>0</v>
      </c>
      <c r="AY1736" t="n">
        <v>48</v>
      </c>
      <c r="AZ1736" t="n">
        <v>0</v>
      </c>
      <c r="BA1736" t="n">
        <v>1</v>
      </c>
      <c r="BB1736" t="n">
        <v>54</v>
      </c>
      <c r="BC1736" t="n">
        <v>32</v>
      </c>
      <c r="BD1736" t="n">
        <v>37</v>
      </c>
      <c r="BE1736" t="n">
        <v>2</v>
      </c>
      <c r="BF1736" t="n">
        <v>45</v>
      </c>
      <c r="BG1736" t="n">
        <v>1</v>
      </c>
      <c r="BH1736" t="n">
        <v>29</v>
      </c>
      <c r="BI1736" t="n">
        <v>-2</v>
      </c>
      <c r="BJ1736" t="n">
        <v>-1</v>
      </c>
      <c r="BK1736" t="n">
        <v>0</v>
      </c>
      <c r="BL1736" t="n">
        <v>8</v>
      </c>
      <c r="BM1736" t="n">
        <v>11</v>
      </c>
      <c r="BN1736" t="n">
        <v>4</v>
      </c>
      <c r="BO1736" t="n">
        <v>18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46</v>
      </c>
      <c r="Z1737" t="n">
        <v>99</v>
      </c>
      <c r="AA1737" t="n">
        <v>73</v>
      </c>
      <c r="AB1737" t="n">
        <v>0</v>
      </c>
      <c r="AC1737" t="n">
        <v>1</v>
      </c>
      <c r="AD1737" t="n">
        <v>2</v>
      </c>
      <c r="AE1737" t="n">
        <v>7</v>
      </c>
      <c r="AF1737" t="n">
        <v>3</v>
      </c>
      <c r="AG1737" t="n">
        <v>3</v>
      </c>
      <c r="AH1737" t="n">
        <v>2</v>
      </c>
      <c r="AI1737" t="n">
        <v>39</v>
      </c>
      <c r="AJ1737" t="n">
        <v>13</v>
      </c>
      <c r="AK1737" t="n">
        <v>9</v>
      </c>
      <c r="AL1737" t="n">
        <v>0</v>
      </c>
      <c r="AM1737" t="n">
        <v>2</v>
      </c>
      <c r="AN1737" t="n">
        <v>0</v>
      </c>
      <c r="AO1737" t="n">
        <v>0</v>
      </c>
      <c r="AP1737" t="n">
        <v>3</v>
      </c>
      <c r="AQ1737" t="n">
        <v>12</v>
      </c>
      <c r="AR1737" t="n">
        <v>163</v>
      </c>
      <c r="AS1737" t="n">
        <v>147</v>
      </c>
      <c r="AT1737" t="n">
        <v>2</v>
      </c>
      <c r="AU1737" t="n">
        <v>2</v>
      </c>
      <c r="AV1737" t="n">
        <v>21</v>
      </c>
      <c r="AW1737" t="n">
        <v>10</v>
      </c>
      <c r="AX1737" t="n">
        <v>13</v>
      </c>
      <c r="AY1737" t="n">
        <v>24</v>
      </c>
      <c r="AZ1737" t="n">
        <v>3</v>
      </c>
      <c r="BA1737" t="n">
        <v>17</v>
      </c>
      <c r="BB1737" t="n">
        <v>86</v>
      </c>
      <c r="BC1737" t="n">
        <v>3</v>
      </c>
      <c r="BD1737" t="n">
        <v>16</v>
      </c>
      <c r="BE1737" t="n">
        <v>18</v>
      </c>
      <c r="BF1737" t="n">
        <v>19</v>
      </c>
      <c r="BG1737" t="n">
        <v>0</v>
      </c>
      <c r="BH1737" t="n">
        <v>4</v>
      </c>
      <c r="BI1737" t="n">
        <v>9</v>
      </c>
      <c r="BJ1737" t="n">
        <v>9</v>
      </c>
      <c r="BK1737" t="n">
        <v>3</v>
      </c>
      <c r="BL1737" t="n">
        <v>20</v>
      </c>
      <c r="BM1737" t="n">
        <v>13</v>
      </c>
      <c r="BN1737" t="n">
        <v>0</v>
      </c>
      <c r="BO1737" t="n">
        <v>2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113</v>
      </c>
      <c r="Z1738" t="n">
        <v>209</v>
      </c>
      <c r="AA1738" t="n">
        <v>16</v>
      </c>
      <c r="AB1738" t="n">
        <v>1</v>
      </c>
      <c r="AC1738" t="n">
        <v>1</v>
      </c>
      <c r="AD1738" t="n">
        <v>4</v>
      </c>
      <c r="AE1738" t="n">
        <v>9</v>
      </c>
      <c r="AF1738" t="n">
        <v>2</v>
      </c>
      <c r="AG1738" t="n">
        <v>4</v>
      </c>
      <c r="AH1738" t="n">
        <v>29</v>
      </c>
      <c r="AI1738" t="n">
        <v>83</v>
      </c>
      <c r="AJ1738" t="n">
        <v>28</v>
      </c>
      <c r="AK1738" t="n">
        <v>16</v>
      </c>
      <c r="AL1738" t="n">
        <v>2</v>
      </c>
      <c r="AM1738" t="n">
        <v>20</v>
      </c>
      <c r="AN1738" t="n">
        <v>0</v>
      </c>
      <c r="AO1738" t="n">
        <v>0</v>
      </c>
      <c r="AP1738" t="n">
        <v>3</v>
      </c>
      <c r="AQ1738" t="n">
        <v>6</v>
      </c>
      <c r="AR1738" t="n">
        <v>138</v>
      </c>
      <c r="AS1738" t="n">
        <v>126</v>
      </c>
      <c r="AT1738" t="n">
        <v>5</v>
      </c>
      <c r="AU1738" t="n">
        <v>5</v>
      </c>
      <c r="AV1738" t="n">
        <v>60</v>
      </c>
      <c r="AW1738" t="n">
        <v>35</v>
      </c>
      <c r="AX1738" t="n">
        <v>28</v>
      </c>
      <c r="AY1738" t="n">
        <v>3</v>
      </c>
      <c r="AZ1738" t="n">
        <v>1</v>
      </c>
      <c r="BA1738" t="n">
        <v>3</v>
      </c>
      <c r="BB1738" t="n">
        <v>16</v>
      </c>
      <c r="BC1738" t="n">
        <v>16</v>
      </c>
      <c r="BD1738" t="n">
        <v>25</v>
      </c>
      <c r="BE1738" t="n">
        <v>35</v>
      </c>
      <c r="BF1738" t="n">
        <v>22</v>
      </c>
      <c r="BG1738" t="n">
        <v>0</v>
      </c>
      <c r="BH1738" t="n">
        <v>0</v>
      </c>
      <c r="BI1738" t="n">
        <v>5</v>
      </c>
      <c r="BJ1738" t="n">
        <v>7</v>
      </c>
      <c r="BK1738" t="n">
        <v>1</v>
      </c>
      <c r="BL1738" t="n">
        <v>1</v>
      </c>
      <c r="BM1738" t="n">
        <v>1</v>
      </c>
      <c r="BN1738" t="n">
        <v>0</v>
      </c>
      <c r="BO1738" t="n">
        <v>47</v>
      </c>
    </row>
    <row r="1739">
      <c r="A1739" t="n">
        <v>2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199</v>
      </c>
      <c r="Z1739" t="n">
        <v>196</v>
      </c>
      <c r="AA1739" t="n">
        <v>62</v>
      </c>
      <c r="AB1739" t="n">
        <v>2</v>
      </c>
      <c r="AC1739" t="n">
        <v>0</v>
      </c>
      <c r="AD1739" t="n">
        <v>4</v>
      </c>
      <c r="AE1739" t="n">
        <v>14</v>
      </c>
      <c r="AF1739" t="n">
        <v>4</v>
      </c>
      <c r="AG1739" t="n">
        <v>10</v>
      </c>
      <c r="AH1739" t="n">
        <v>38</v>
      </c>
      <c r="AI1739" t="n">
        <v>92</v>
      </c>
      <c r="AJ1739" t="n">
        <v>13</v>
      </c>
      <c r="AK1739" t="n">
        <v>129</v>
      </c>
      <c r="AL1739" t="n">
        <v>3</v>
      </c>
      <c r="AM1739" t="n">
        <v>27</v>
      </c>
      <c r="AN1739" t="n">
        <v>0</v>
      </c>
      <c r="AO1739" t="n">
        <v>0</v>
      </c>
      <c r="AP1739" t="n">
        <v>3</v>
      </c>
      <c r="AQ1739" t="n">
        <v>23</v>
      </c>
      <c r="AR1739" t="n">
        <v>56</v>
      </c>
      <c r="AS1739" t="n">
        <v>37</v>
      </c>
      <c r="AT1739" t="n">
        <v>0</v>
      </c>
      <c r="AU1739" t="n">
        <v>3</v>
      </c>
      <c r="AV1739" t="n">
        <v>-1</v>
      </c>
      <c r="AW1739" t="n">
        <v>15</v>
      </c>
      <c r="AX1739" t="n">
        <v>3</v>
      </c>
      <c r="AY1739" t="n">
        <v>27</v>
      </c>
      <c r="AZ1739" t="n">
        <v>2</v>
      </c>
      <c r="BA1739" t="n">
        <v>-3</v>
      </c>
      <c r="BB1739" t="n">
        <v>59</v>
      </c>
      <c r="BC1739" t="n">
        <v>24</v>
      </c>
      <c r="BD1739" t="n">
        <v>52</v>
      </c>
      <c r="BE1739" t="n">
        <v>15</v>
      </c>
      <c r="BF1739" t="n">
        <v>43</v>
      </c>
      <c r="BG1739" t="n">
        <v>4</v>
      </c>
      <c r="BH1739" t="n">
        <v>12</v>
      </c>
      <c r="BI1739" t="n">
        <v>18</v>
      </c>
      <c r="BJ1739" t="n">
        <v>15</v>
      </c>
      <c r="BK1739" t="n">
        <v>5</v>
      </c>
      <c r="BL1739" t="n">
        <v>37</v>
      </c>
      <c r="BM1739" t="n">
        <v>49</v>
      </c>
      <c r="BN1739" t="n">
        <v>17</v>
      </c>
      <c r="BO1739" t="n">
        <v>16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185</v>
      </c>
      <c r="Z1740" t="n">
        <v>76</v>
      </c>
      <c r="AA1740" t="n">
        <v>99</v>
      </c>
      <c r="AB1740" t="n">
        <v>0</v>
      </c>
      <c r="AC1740" t="n">
        <v>0</v>
      </c>
      <c r="AD1740" t="n">
        <v>2</v>
      </c>
      <c r="AE1740" t="n">
        <v>2</v>
      </c>
      <c r="AF1740" t="n">
        <v>2</v>
      </c>
      <c r="AG1740" t="n">
        <v>4</v>
      </c>
      <c r="AH1740" t="n">
        <v>38</v>
      </c>
      <c r="AI1740" t="n">
        <v>14</v>
      </c>
      <c r="AJ1740" t="n">
        <v>31</v>
      </c>
      <c r="AK1740" t="n">
        <v>1</v>
      </c>
      <c r="AL1740" t="n">
        <v>0</v>
      </c>
      <c r="AM1740" t="n">
        <v>18</v>
      </c>
      <c r="AN1740" t="n">
        <v>0</v>
      </c>
      <c r="AO1740" t="n">
        <v>0</v>
      </c>
      <c r="AP1740" t="n">
        <v>4</v>
      </c>
      <c r="AQ1740" t="n">
        <v>32</v>
      </c>
      <c r="AR1740" t="n">
        <v>70</v>
      </c>
      <c r="AS1740" t="n">
        <v>43</v>
      </c>
      <c r="AT1740" t="n">
        <v>0</v>
      </c>
      <c r="AU1740" t="n">
        <v>1</v>
      </c>
      <c r="AV1740" t="n">
        <v>1</v>
      </c>
      <c r="AW1740" t="n">
        <v>5</v>
      </c>
      <c r="AX1740" t="n">
        <v>7</v>
      </c>
      <c r="AY1740" t="n">
        <v>34</v>
      </c>
      <c r="AZ1740" t="n">
        <v>2</v>
      </c>
      <c r="BA1740" t="n">
        <v>12</v>
      </c>
      <c r="BB1740" t="n">
        <v>107</v>
      </c>
      <c r="BC1740" t="n">
        <v>31</v>
      </c>
      <c r="BD1740" t="n">
        <v>34</v>
      </c>
      <c r="BE1740" t="n">
        <v>9</v>
      </c>
      <c r="BF1740" t="n">
        <v>29</v>
      </c>
      <c r="BG1740" t="n">
        <v>1</v>
      </c>
      <c r="BH1740" t="n">
        <v>9</v>
      </c>
      <c r="BI1740" t="n">
        <v>16</v>
      </c>
      <c r="BJ1740" t="n">
        <v>36</v>
      </c>
      <c r="BK1740" t="n">
        <v>0</v>
      </c>
      <c r="BL1740" t="n">
        <v>1</v>
      </c>
      <c r="BM1740" t="n">
        <v>11</v>
      </c>
      <c r="BN1740" t="n">
        <v>6</v>
      </c>
      <c r="BO1740" t="n">
        <v>2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2</v>
      </c>
      <c r="U1741" t="n">
        <v>0</v>
      </c>
      <c r="V1741" t="n">
        <v>0</v>
      </c>
      <c r="W1741" t="n">
        <v>0</v>
      </c>
      <c r="X1741" t="n">
        <v>0</v>
      </c>
      <c r="Y1741" t="n">
        <v>109</v>
      </c>
      <c r="Z1741" t="n">
        <v>199</v>
      </c>
      <c r="AA1741" t="n">
        <v>147</v>
      </c>
      <c r="AB1741" t="n">
        <v>0</v>
      </c>
      <c r="AC1741" t="n">
        <v>1</v>
      </c>
      <c r="AD1741" t="n">
        <v>3</v>
      </c>
      <c r="AE1741" t="n">
        <v>1</v>
      </c>
      <c r="AF1741" t="n">
        <v>1</v>
      </c>
      <c r="AG1741" t="n">
        <v>1</v>
      </c>
      <c r="AH1741" t="n">
        <v>43</v>
      </c>
      <c r="AI1741" t="n">
        <v>2</v>
      </c>
      <c r="AJ1741" t="n">
        <v>11</v>
      </c>
      <c r="AK1741" t="n">
        <v>12</v>
      </c>
      <c r="AL1741" t="n">
        <v>3</v>
      </c>
      <c r="AM1741" t="n">
        <v>105</v>
      </c>
      <c r="AN1741" t="n">
        <v>0</v>
      </c>
      <c r="AO1741" t="n">
        <v>0</v>
      </c>
      <c r="AP1741" t="n">
        <v>3</v>
      </c>
      <c r="AQ1741" t="n">
        <v>26</v>
      </c>
      <c r="AR1741" t="n">
        <v>64</v>
      </c>
      <c r="AS1741" t="n">
        <v>42</v>
      </c>
      <c r="AT1741" t="n">
        <v>1</v>
      </c>
      <c r="AU1741" t="n">
        <v>0</v>
      </c>
      <c r="AV1741" t="n">
        <v>1</v>
      </c>
      <c r="AW1741" t="n">
        <v>11</v>
      </c>
      <c r="AX1741" t="n">
        <v>-1</v>
      </c>
      <c r="AY1741" t="n">
        <v>33</v>
      </c>
      <c r="AZ1741" t="n">
        <v>4</v>
      </c>
      <c r="BA1741" t="n">
        <v>24</v>
      </c>
      <c r="BB1741" t="n">
        <v>161</v>
      </c>
      <c r="BC1741" t="n">
        <v>88</v>
      </c>
      <c r="BD1741" t="n">
        <v>38</v>
      </c>
      <c r="BE1741" t="n">
        <v>33</v>
      </c>
      <c r="BF1741" t="n">
        <v>8</v>
      </c>
      <c r="BG1741" t="n">
        <v>2</v>
      </c>
      <c r="BH1741" t="n">
        <v>0</v>
      </c>
      <c r="BI1741" t="n">
        <v>10</v>
      </c>
      <c r="BJ1741" t="n">
        <v>9</v>
      </c>
      <c r="BK1741" t="n">
        <v>3</v>
      </c>
      <c r="BL1741" t="n">
        <v>16</v>
      </c>
      <c r="BM1741" t="n">
        <v>28</v>
      </c>
      <c r="BN1741" t="n">
        <v>12</v>
      </c>
      <c r="BO1741" t="n">
        <v>2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114</v>
      </c>
      <c r="Z1742" t="n">
        <v>259</v>
      </c>
      <c r="AA1742" t="n">
        <v>143</v>
      </c>
      <c r="AB1742" t="n">
        <v>2</v>
      </c>
      <c r="AC1742" t="n">
        <v>0</v>
      </c>
      <c r="AD1742" t="n">
        <v>1</v>
      </c>
      <c r="AE1742" t="n">
        <v>10</v>
      </c>
      <c r="AF1742" t="n">
        <v>1</v>
      </c>
      <c r="AG1742" t="n">
        <v>2</v>
      </c>
      <c r="AH1742" t="n">
        <v>25</v>
      </c>
      <c r="AI1742" t="n">
        <v>98</v>
      </c>
      <c r="AJ1742" t="n">
        <v>7</v>
      </c>
      <c r="AK1742" t="n">
        <v>32</v>
      </c>
      <c r="AL1742" t="n">
        <v>6</v>
      </c>
      <c r="AM1742" t="n">
        <v>51</v>
      </c>
      <c r="AN1742" t="n">
        <v>3</v>
      </c>
      <c r="AO1742" t="n">
        <v>0</v>
      </c>
      <c r="AP1742" t="n">
        <v>2</v>
      </c>
      <c r="AQ1742" t="n">
        <v>19</v>
      </c>
      <c r="AR1742" t="n">
        <v>97</v>
      </c>
      <c r="AS1742" t="n">
        <v>81</v>
      </c>
      <c r="AT1742" t="n">
        <v>3</v>
      </c>
      <c r="AU1742" t="n">
        <v>1</v>
      </c>
      <c r="AV1742" t="n">
        <v>15</v>
      </c>
      <c r="AW1742" t="n">
        <v>6</v>
      </c>
      <c r="AX1742" t="n">
        <v>3</v>
      </c>
      <c r="AY1742" t="n">
        <v>19</v>
      </c>
      <c r="AZ1742" t="n">
        <v>3</v>
      </c>
      <c r="BA1742" t="n">
        <v>14</v>
      </c>
      <c r="BB1742" t="n">
        <v>144</v>
      </c>
      <c r="BC1742" t="n">
        <v>77</v>
      </c>
      <c r="BD1742" t="n">
        <v>76</v>
      </c>
      <c r="BE1742" t="n">
        <v>6</v>
      </c>
      <c r="BF1742" t="n">
        <v>2</v>
      </c>
      <c r="BG1742" t="n">
        <v>0</v>
      </c>
      <c r="BH1742" t="n">
        <v>12</v>
      </c>
      <c r="BI1742" t="n">
        <v>6</v>
      </c>
      <c r="BJ1742" t="n">
        <v>14</v>
      </c>
      <c r="BK1742" t="n">
        <v>2</v>
      </c>
      <c r="BL1742" t="n">
        <v>19</v>
      </c>
      <c r="BM1742" t="n">
        <v>28</v>
      </c>
      <c r="BN1742" t="n">
        <v>11</v>
      </c>
      <c r="BO1742" t="n">
        <v>68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0</v>
      </c>
      <c r="V1743" t="n">
        <v>2</v>
      </c>
      <c r="W1743" t="n">
        <v>1</v>
      </c>
      <c r="X1743" t="n">
        <v>0</v>
      </c>
      <c r="Y1743" t="n">
        <v>277</v>
      </c>
      <c r="Z1743" t="n">
        <v>178</v>
      </c>
      <c r="AA1743" t="n">
        <v>60</v>
      </c>
      <c r="AB1743" t="n">
        <v>4</v>
      </c>
      <c r="AC1743" t="n">
        <v>2</v>
      </c>
      <c r="AD1743" t="n">
        <v>4</v>
      </c>
      <c r="AE1743" t="n">
        <v>4</v>
      </c>
      <c r="AF1743" t="n">
        <v>1</v>
      </c>
      <c r="AG1743" t="n">
        <v>6</v>
      </c>
      <c r="AH1743" t="n">
        <v>12</v>
      </c>
      <c r="AI1743" t="n">
        <v>22</v>
      </c>
      <c r="AJ1743" t="n">
        <v>31</v>
      </c>
      <c r="AK1743" t="n">
        <v>25</v>
      </c>
      <c r="AL1743" t="n">
        <v>7</v>
      </c>
      <c r="AM1743" t="n">
        <v>46</v>
      </c>
      <c r="AN1743" t="n">
        <v>0</v>
      </c>
      <c r="AO1743" t="n">
        <v>0</v>
      </c>
      <c r="AP1743" t="n">
        <v>3</v>
      </c>
      <c r="AQ1743" t="n">
        <v>59</v>
      </c>
      <c r="AR1743" t="n">
        <v>148</v>
      </c>
      <c r="AS1743" t="n">
        <v>97</v>
      </c>
      <c r="AT1743" t="n">
        <v>4</v>
      </c>
      <c r="AU1743" t="n">
        <v>2</v>
      </c>
      <c r="AV1743" t="n">
        <v>47</v>
      </c>
      <c r="AW1743" t="n">
        <v>23</v>
      </c>
      <c r="AX1743" t="n">
        <v>2</v>
      </c>
      <c r="AY1743" t="n">
        <v>23</v>
      </c>
      <c r="AZ1743" t="n">
        <v>1</v>
      </c>
      <c r="BA1743" t="n">
        <v>18</v>
      </c>
      <c r="BB1743" t="n">
        <v>75</v>
      </c>
      <c r="BC1743" t="n">
        <v>38</v>
      </c>
      <c r="BD1743" t="n">
        <v>14</v>
      </c>
      <c r="BE1743" t="n">
        <v>22</v>
      </c>
      <c r="BF1743" t="n">
        <v>37</v>
      </c>
      <c r="BG1743" t="n">
        <v>1</v>
      </c>
      <c r="BH1743" t="n">
        <v>18</v>
      </c>
      <c r="BI1743" t="n">
        <v>35</v>
      </c>
      <c r="BJ1743" t="n">
        <v>31</v>
      </c>
      <c r="BK1743" t="n">
        <v>5</v>
      </c>
      <c r="BL1743" t="n">
        <v>35</v>
      </c>
      <c r="BM1743" t="n">
        <v>37</v>
      </c>
      <c r="BN1743" t="n">
        <v>11</v>
      </c>
      <c r="BO1743" t="n">
        <v>9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0</v>
      </c>
      <c r="W1744" t="n">
        <v>0</v>
      </c>
      <c r="X1744" t="n">
        <v>0</v>
      </c>
      <c r="Y1744" t="n">
        <v>250</v>
      </c>
      <c r="Z1744" t="n">
        <v>243</v>
      </c>
      <c r="AA1744" t="n">
        <v>31</v>
      </c>
      <c r="AB1744" t="n">
        <v>1</v>
      </c>
      <c r="AC1744" t="n">
        <v>0</v>
      </c>
      <c r="AD1744" t="n">
        <v>4</v>
      </c>
      <c r="AE1744" t="n">
        <v>7</v>
      </c>
      <c r="AF1744" t="n">
        <v>2</v>
      </c>
      <c r="AG1744" t="n">
        <v>1</v>
      </c>
      <c r="AH1744" t="n">
        <v>63</v>
      </c>
      <c r="AI1744" t="n">
        <v>65</v>
      </c>
      <c r="AJ1744" t="n">
        <v>59</v>
      </c>
      <c r="AK1744" t="n">
        <v>15</v>
      </c>
      <c r="AL1744" t="n">
        <v>3</v>
      </c>
      <c r="AM1744" t="n">
        <v>69</v>
      </c>
      <c r="AN1744" t="n">
        <v>0</v>
      </c>
      <c r="AO1744" t="n">
        <v>0</v>
      </c>
      <c r="AP1744" t="n">
        <v>4</v>
      </c>
      <c r="AQ1744" t="n">
        <v>19</v>
      </c>
      <c r="AR1744" t="n">
        <v>53</v>
      </c>
      <c r="AS1744" t="n">
        <v>37</v>
      </c>
      <c r="AT1744" t="n">
        <v>8</v>
      </c>
      <c r="AU1744" t="n">
        <v>0</v>
      </c>
      <c r="AV1744" t="n">
        <v>43</v>
      </c>
      <c r="AW1744" t="n">
        <v>1</v>
      </c>
      <c r="AX1744" t="n">
        <v>0</v>
      </c>
      <c r="AY1744" t="n">
        <v>14</v>
      </c>
      <c r="AZ1744" t="n">
        <v>5</v>
      </c>
      <c r="BA1744" t="n">
        <v>85</v>
      </c>
      <c r="BB1744" t="n">
        <v>127</v>
      </c>
      <c r="BC1744" t="n">
        <v>50</v>
      </c>
      <c r="BD1744" t="n">
        <v>56</v>
      </c>
      <c r="BE1744" t="n">
        <v>3</v>
      </c>
      <c r="BF1744" t="n">
        <v>47</v>
      </c>
      <c r="BG1744" t="n">
        <v>1</v>
      </c>
      <c r="BH1744" t="n">
        <v>12</v>
      </c>
      <c r="BI1744" t="n">
        <v>10</v>
      </c>
      <c r="BJ1744" t="n">
        <v>9</v>
      </c>
      <c r="BK1744" t="n">
        <v>6</v>
      </c>
      <c r="BL1744" t="n">
        <v>30</v>
      </c>
      <c r="BM1744" t="n">
        <v>46</v>
      </c>
      <c r="BN1744" t="n">
        <v>18</v>
      </c>
      <c r="BO1744" t="n">
        <v>44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2</v>
      </c>
      <c r="X1745" t="n">
        <v>0</v>
      </c>
      <c r="Y1745" t="n">
        <v>204</v>
      </c>
      <c r="Z1745" t="n">
        <v>251</v>
      </c>
      <c r="AA1745" t="n">
        <v>49</v>
      </c>
      <c r="AB1745" t="n">
        <v>4</v>
      </c>
      <c r="AC1745" t="n">
        <v>0</v>
      </c>
      <c r="AD1745" t="n">
        <v>5</v>
      </c>
      <c r="AE1745" t="n">
        <v>7</v>
      </c>
      <c r="AF1745" t="n">
        <v>3</v>
      </c>
      <c r="AG1745" t="n">
        <v>2</v>
      </c>
      <c r="AH1745" t="n">
        <v>38</v>
      </c>
      <c r="AI1745" t="n">
        <v>55</v>
      </c>
      <c r="AJ1745" t="n">
        <v>23</v>
      </c>
      <c r="AK1745" t="n">
        <v>38</v>
      </c>
      <c r="AL1745" t="n">
        <v>2</v>
      </c>
      <c r="AM1745" t="n">
        <v>33</v>
      </c>
      <c r="AN1745" t="n">
        <v>0</v>
      </c>
      <c r="AO1745" t="n">
        <v>0</v>
      </c>
      <c r="AP1745" t="n">
        <v>8</v>
      </c>
      <c r="AQ1745" t="n">
        <v>30</v>
      </c>
      <c r="AR1745" t="n">
        <v>143</v>
      </c>
      <c r="AS1745" t="n">
        <v>116</v>
      </c>
      <c r="AT1745" t="n">
        <v>2</v>
      </c>
      <c r="AU1745" t="n">
        <v>0</v>
      </c>
      <c r="AV1745" t="n">
        <v>1</v>
      </c>
      <c r="AW1745" t="n">
        <v>11</v>
      </c>
      <c r="AX1745" t="n">
        <v>4</v>
      </c>
      <c r="AY1745" t="n">
        <v>13</v>
      </c>
      <c r="AZ1745" t="n">
        <v>3</v>
      </c>
      <c r="BA1745" t="n">
        <v>8</v>
      </c>
      <c r="BB1745" t="n">
        <v>54</v>
      </c>
      <c r="BC1745" t="n">
        <v>28</v>
      </c>
      <c r="BD1745" t="n">
        <v>33</v>
      </c>
      <c r="BE1745" t="n">
        <v>19</v>
      </c>
      <c r="BF1745" t="n">
        <v>18</v>
      </c>
      <c r="BG1745" t="n">
        <v>4</v>
      </c>
      <c r="BH1745" t="n">
        <v>12</v>
      </c>
      <c r="BI1745" t="n">
        <v>45</v>
      </c>
      <c r="BJ1745" t="n">
        <v>50</v>
      </c>
      <c r="BK1745" t="n">
        <v>5</v>
      </c>
      <c r="BL1745" t="n">
        <v>32</v>
      </c>
      <c r="BM1745" t="n">
        <v>52</v>
      </c>
      <c r="BN1745" t="n">
        <v>21</v>
      </c>
      <c r="BO1745" t="n">
        <v>23</v>
      </c>
    </row>
    <row r="1746">
      <c r="A1746" t="n">
        <v>0</v>
      </c>
      <c r="B1746" t="n">
        <v>0</v>
      </c>
      <c r="C1746" t="n">
        <v>2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201</v>
      </c>
      <c r="Z1746" t="n">
        <v>170</v>
      </c>
      <c r="AA1746" t="n">
        <v>70</v>
      </c>
      <c r="AB1746" t="n">
        <v>0</v>
      </c>
      <c r="AC1746" t="n">
        <v>2</v>
      </c>
      <c r="AD1746" t="n">
        <v>2</v>
      </c>
      <c r="AE1746" t="n">
        <v>4</v>
      </c>
      <c r="AF1746" t="n">
        <v>1</v>
      </c>
      <c r="AG1746" t="n">
        <v>3</v>
      </c>
      <c r="AH1746" t="n">
        <v>3</v>
      </c>
      <c r="AI1746" t="n">
        <v>28</v>
      </c>
      <c r="AJ1746" t="n">
        <v>7</v>
      </c>
      <c r="AK1746" t="n">
        <v>25</v>
      </c>
      <c r="AL1746" t="n">
        <v>3</v>
      </c>
      <c r="AM1746" t="n">
        <v>10</v>
      </c>
      <c r="AN1746" t="n">
        <v>0</v>
      </c>
      <c r="AO1746" t="n">
        <v>0</v>
      </c>
      <c r="AP1746" t="n">
        <v>6</v>
      </c>
      <c r="AQ1746" t="n">
        <v>33</v>
      </c>
      <c r="AR1746" t="n">
        <v>54</v>
      </c>
      <c r="AS1746" t="n">
        <v>27</v>
      </c>
      <c r="AT1746" t="n">
        <v>0</v>
      </c>
      <c r="AU1746" t="n">
        <v>3</v>
      </c>
      <c r="AV1746" t="n">
        <v>1</v>
      </c>
      <c r="AW1746" t="n">
        <v>27</v>
      </c>
      <c r="AX1746" t="n">
        <v>0</v>
      </c>
      <c r="AY1746" t="n">
        <v>33</v>
      </c>
      <c r="AZ1746" t="n">
        <v>2</v>
      </c>
      <c r="BA1746" t="n">
        <v>35</v>
      </c>
      <c r="BB1746" t="n">
        <v>104</v>
      </c>
      <c r="BC1746" t="n">
        <v>24</v>
      </c>
      <c r="BD1746" t="n">
        <v>6</v>
      </c>
      <c r="BE1746" t="n">
        <v>34</v>
      </c>
      <c r="BF1746" t="n">
        <v>3</v>
      </c>
      <c r="BG1746" t="n">
        <v>2</v>
      </c>
      <c r="BH1746" t="n">
        <v>5</v>
      </c>
      <c r="BI1746" t="n">
        <v>32</v>
      </c>
      <c r="BJ1746" t="n">
        <v>29</v>
      </c>
      <c r="BK1746" t="n">
        <v>3</v>
      </c>
      <c r="BL1746" t="n">
        <v>9</v>
      </c>
      <c r="BM1746" t="n">
        <v>17</v>
      </c>
      <c r="BN1746" t="n">
        <v>8</v>
      </c>
      <c r="BO1746" t="n">
        <v>4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2</v>
      </c>
      <c r="V1747" t="n">
        <v>0</v>
      </c>
      <c r="W1747" t="n">
        <v>0</v>
      </c>
      <c r="X1747" t="n">
        <v>0</v>
      </c>
      <c r="Y1747" t="n">
        <v>392</v>
      </c>
      <c r="Z1747" t="n">
        <v>277</v>
      </c>
      <c r="AA1747" t="n">
        <v>87</v>
      </c>
      <c r="AB1747" t="n">
        <v>2</v>
      </c>
      <c r="AC1747" t="n">
        <v>0</v>
      </c>
      <c r="AD1747" t="n">
        <v>7</v>
      </c>
      <c r="AE1747" t="n">
        <v>1</v>
      </c>
      <c r="AF1747" t="n">
        <v>0</v>
      </c>
      <c r="AG1747" t="n">
        <v>5</v>
      </c>
      <c r="AH1747" t="n">
        <v>163</v>
      </c>
      <c r="AI1747" t="n">
        <v>8</v>
      </c>
      <c r="AJ1747" t="n">
        <v>15</v>
      </c>
      <c r="AK1747" t="n">
        <v>83</v>
      </c>
      <c r="AL1747" t="n">
        <v>5</v>
      </c>
      <c r="AM1747" t="n">
        <v>151</v>
      </c>
      <c r="AN1747" t="n">
        <v>0</v>
      </c>
      <c r="AO1747" t="n">
        <v>0</v>
      </c>
      <c r="AP1747" t="n">
        <v>2</v>
      </c>
      <c r="AQ1747" t="n">
        <v>23</v>
      </c>
      <c r="AR1747" t="n">
        <v>71</v>
      </c>
      <c r="AS1747" t="n">
        <v>53</v>
      </c>
      <c r="AT1747" t="n">
        <v>5</v>
      </c>
      <c r="AU1747" t="n">
        <v>0</v>
      </c>
      <c r="AV1747" t="n">
        <v>47</v>
      </c>
      <c r="AW1747" t="n">
        <v>3</v>
      </c>
      <c r="AX1747" t="n">
        <v>-1</v>
      </c>
      <c r="AY1747" t="n">
        <v>63</v>
      </c>
      <c r="AZ1747" t="n">
        <v>1</v>
      </c>
      <c r="BA1747" t="n">
        <v>8</v>
      </c>
      <c r="BB1747" t="n">
        <v>91</v>
      </c>
      <c r="BC1747" t="n">
        <v>128</v>
      </c>
      <c r="BD1747" t="n">
        <v>149</v>
      </c>
      <c r="BE1747" t="n">
        <v>-1</v>
      </c>
      <c r="BF1747" t="n">
        <v>38</v>
      </c>
      <c r="BG1747" t="n">
        <v>2</v>
      </c>
      <c r="BH1747" t="n">
        <v>23</v>
      </c>
      <c r="BI1747" t="n">
        <v>32</v>
      </c>
      <c r="BJ1747" t="n">
        <v>28</v>
      </c>
      <c r="BK1747" t="n">
        <v>2</v>
      </c>
      <c r="BL1747" t="n">
        <v>1</v>
      </c>
      <c r="BM1747" t="n">
        <v>69</v>
      </c>
      <c r="BN1747" t="n">
        <v>47</v>
      </c>
      <c r="BO1747" t="n">
        <v>32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208</v>
      </c>
      <c r="Z1748" t="n">
        <v>99</v>
      </c>
      <c r="AA1748" t="n">
        <v>116</v>
      </c>
      <c r="AB1748" t="n">
        <v>1</v>
      </c>
      <c r="AC1748" t="n">
        <v>0</v>
      </c>
      <c r="AD1748" t="n">
        <v>3</v>
      </c>
      <c r="AE1748" t="n">
        <v>2</v>
      </c>
      <c r="AF1748" t="n">
        <v>3</v>
      </c>
      <c r="AG1748" t="n">
        <v>1</v>
      </c>
      <c r="AH1748" t="n">
        <v>49</v>
      </c>
      <c r="AI1748" t="n">
        <v>49</v>
      </c>
      <c r="AJ1748" t="n">
        <v>54</v>
      </c>
      <c r="AK1748" t="n">
        <v>9</v>
      </c>
      <c r="AL1748" t="n">
        <v>4</v>
      </c>
      <c r="AM1748" t="n">
        <v>42</v>
      </c>
      <c r="AN1748" t="n">
        <v>0</v>
      </c>
      <c r="AO1748" t="n">
        <v>1</v>
      </c>
      <c r="AP1748" t="n">
        <v>4</v>
      </c>
      <c r="AQ1748" t="n">
        <v>13</v>
      </c>
      <c r="AR1748" t="n">
        <v>117</v>
      </c>
      <c r="AS1748" t="n">
        <v>101</v>
      </c>
      <c r="AT1748" t="n">
        <v>3</v>
      </c>
      <c r="AU1748" t="n">
        <v>0</v>
      </c>
      <c r="AV1748" t="n">
        <v>44</v>
      </c>
      <c r="AW1748" t="n">
        <v>-4</v>
      </c>
      <c r="AX1748" t="n">
        <v>5</v>
      </c>
      <c r="AY1748" t="n">
        <v>35</v>
      </c>
      <c r="AZ1748" t="n">
        <v>0</v>
      </c>
      <c r="BA1748" t="n">
        <v>1</v>
      </c>
      <c r="BB1748" t="n">
        <v>113</v>
      </c>
      <c r="BC1748" t="n">
        <v>34</v>
      </c>
      <c r="BD1748" t="n">
        <v>45</v>
      </c>
      <c r="BE1748" t="n">
        <v>-1</v>
      </c>
      <c r="BF1748" t="n">
        <v>52</v>
      </c>
      <c r="BG1748" t="n">
        <v>3</v>
      </c>
      <c r="BH1748" t="n">
        <v>1</v>
      </c>
      <c r="BI1748" t="n">
        <v>57</v>
      </c>
      <c r="BJ1748" t="n">
        <v>52</v>
      </c>
      <c r="BK1748" t="n">
        <v>6</v>
      </c>
      <c r="BL1748" t="n">
        <v>13</v>
      </c>
      <c r="BM1748" t="n">
        <v>19</v>
      </c>
      <c r="BN1748" t="n">
        <v>7</v>
      </c>
      <c r="BO1748" t="n">
        <v>9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222</v>
      </c>
      <c r="Z1749" t="n">
        <v>209</v>
      </c>
      <c r="AA1749" t="n">
        <v>90</v>
      </c>
      <c r="AB1749" t="n">
        <v>3</v>
      </c>
      <c r="AC1749" t="n">
        <v>0</v>
      </c>
      <c r="AD1749" t="n">
        <v>4</v>
      </c>
      <c r="AE1749" t="n">
        <v>6</v>
      </c>
      <c r="AF1749" t="n">
        <v>5</v>
      </c>
      <c r="AG1749" t="n">
        <v>4</v>
      </c>
      <c r="AH1749" t="n">
        <v>18</v>
      </c>
      <c r="AI1749" t="n">
        <v>45</v>
      </c>
      <c r="AJ1749" t="n">
        <v>84</v>
      </c>
      <c r="AK1749" t="n">
        <v>27</v>
      </c>
      <c r="AL1749" t="n">
        <v>3</v>
      </c>
      <c r="AM1749" t="n">
        <v>44</v>
      </c>
      <c r="AN1749" t="n">
        <v>0</v>
      </c>
      <c r="AO1749" t="n">
        <v>0</v>
      </c>
      <c r="AP1749" t="n">
        <v>5</v>
      </c>
      <c r="AQ1749" t="n">
        <v>44</v>
      </c>
      <c r="AR1749" t="n">
        <v>69</v>
      </c>
      <c r="AS1749" t="n">
        <v>33</v>
      </c>
      <c r="AT1749" t="n">
        <v>0</v>
      </c>
      <c r="AU1749" t="n">
        <v>4</v>
      </c>
      <c r="AV1749" t="n">
        <v>31</v>
      </c>
      <c r="AW1749" t="n">
        <v>23</v>
      </c>
      <c r="AX1749" t="n">
        <v>0</v>
      </c>
      <c r="AY1749" t="n">
        <v>55</v>
      </c>
      <c r="AZ1749" t="n">
        <v>2</v>
      </c>
      <c r="BA1749" t="n">
        <v>11</v>
      </c>
      <c r="BB1749" t="n">
        <v>97</v>
      </c>
      <c r="BC1749" t="n">
        <v>68</v>
      </c>
      <c r="BD1749" t="n">
        <v>16</v>
      </c>
      <c r="BE1749" t="n">
        <v>23</v>
      </c>
      <c r="BF1749" t="n">
        <v>67</v>
      </c>
      <c r="BG1749" t="n">
        <v>5</v>
      </c>
      <c r="BH1749" t="n">
        <v>7</v>
      </c>
      <c r="BI1749" t="n">
        <v>36</v>
      </c>
      <c r="BJ1749" t="n">
        <v>45</v>
      </c>
      <c r="BK1749" t="n">
        <v>2</v>
      </c>
      <c r="BL1749" t="n">
        <v>1</v>
      </c>
      <c r="BM1749" t="n">
        <v>26</v>
      </c>
      <c r="BN1749" t="n">
        <v>15</v>
      </c>
      <c r="BO1749" t="n">
        <v>82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3</v>
      </c>
      <c r="H1750" t="n">
        <v>2</v>
      </c>
      <c r="I1750" t="n">
        <v>0</v>
      </c>
      <c r="J1750" t="n">
        <v>1</v>
      </c>
      <c r="K1750" t="n">
        <v>0</v>
      </c>
      <c r="L1750" t="n">
        <v>0</v>
      </c>
      <c r="M1750" t="n">
        <v>2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189</v>
      </c>
      <c r="Z1750" t="n">
        <v>128</v>
      </c>
      <c r="AA1750" t="n">
        <v>53</v>
      </c>
      <c r="AB1750" t="n">
        <v>2</v>
      </c>
      <c r="AC1750" t="n">
        <v>0</v>
      </c>
      <c r="AD1750" t="n">
        <v>4</v>
      </c>
      <c r="AE1750" t="n">
        <v>5</v>
      </c>
      <c r="AF1750" t="n">
        <v>2</v>
      </c>
      <c r="AG1750" t="n">
        <v>3</v>
      </c>
      <c r="AH1750" t="n">
        <v>79</v>
      </c>
      <c r="AI1750" t="n">
        <v>42</v>
      </c>
      <c r="AJ1750" t="n">
        <v>4</v>
      </c>
      <c r="AK1750" t="n">
        <v>22</v>
      </c>
      <c r="AL1750" t="n">
        <v>0</v>
      </c>
      <c r="AM1750" t="n">
        <v>2</v>
      </c>
      <c r="AN1750" t="n">
        <v>0</v>
      </c>
      <c r="AO1750" t="n">
        <v>0</v>
      </c>
      <c r="AP1750" t="n">
        <v>4</v>
      </c>
      <c r="AQ1750" t="n">
        <v>24</v>
      </c>
      <c r="AR1750" t="n">
        <v>97</v>
      </c>
      <c r="AS1750" t="n">
        <v>78</v>
      </c>
      <c r="AT1750" t="n">
        <v>2</v>
      </c>
      <c r="AU1750" t="n">
        <v>1</v>
      </c>
      <c r="AV1750" t="n">
        <v>22</v>
      </c>
      <c r="AW1750" t="n">
        <v>16</v>
      </c>
      <c r="AX1750" t="n">
        <v>4</v>
      </c>
      <c r="AY1750" t="n">
        <v>35</v>
      </c>
      <c r="AZ1750" t="n">
        <v>1</v>
      </c>
      <c r="BA1750" t="n">
        <v>9</v>
      </c>
      <c r="BB1750" t="n">
        <v>60</v>
      </c>
      <c r="BC1750" t="n">
        <v>12</v>
      </c>
      <c r="BD1750" t="n">
        <v>79</v>
      </c>
      <c r="BE1750" t="n">
        <v>15</v>
      </c>
      <c r="BF1750" t="n">
        <v>17</v>
      </c>
      <c r="BG1750" t="n">
        <v>1</v>
      </c>
      <c r="BH1750" t="n">
        <v>3</v>
      </c>
      <c r="BI1750" t="n">
        <v>-2</v>
      </c>
      <c r="BJ1750" t="n">
        <v>-1</v>
      </c>
      <c r="BK1750" t="n">
        <v>1</v>
      </c>
      <c r="BL1750" t="n">
        <v>4</v>
      </c>
      <c r="BM1750" t="n">
        <v>8</v>
      </c>
      <c r="BN1750" t="n">
        <v>4</v>
      </c>
      <c r="BO1750" t="n">
        <v>11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262</v>
      </c>
      <c r="Z1751" t="n">
        <v>311</v>
      </c>
      <c r="AA1751" t="n">
        <v>54</v>
      </c>
      <c r="AB1751" t="n">
        <v>1</v>
      </c>
      <c r="AC1751" t="n">
        <v>0</v>
      </c>
      <c r="AD1751" t="n">
        <v>2</v>
      </c>
      <c r="AE1751" t="n">
        <v>1</v>
      </c>
      <c r="AF1751" t="n">
        <v>4</v>
      </c>
      <c r="AG1751" t="n">
        <v>12</v>
      </c>
      <c r="AH1751" t="n">
        <v>21</v>
      </c>
      <c r="AI1751" t="n">
        <v>71</v>
      </c>
      <c r="AJ1751" t="n">
        <v>51</v>
      </c>
      <c r="AK1751" t="n">
        <v>170</v>
      </c>
      <c r="AL1751" t="n">
        <v>5</v>
      </c>
      <c r="AM1751" t="n">
        <v>113</v>
      </c>
      <c r="AN1751" t="n">
        <v>0</v>
      </c>
      <c r="AO1751" t="n">
        <v>0</v>
      </c>
      <c r="AP1751" t="n">
        <v>4</v>
      </c>
      <c r="AQ1751" t="n">
        <v>1</v>
      </c>
      <c r="AR1751" t="n">
        <v>100</v>
      </c>
      <c r="AS1751" t="n">
        <v>92</v>
      </c>
      <c r="AT1751" t="n">
        <v>2</v>
      </c>
      <c r="AU1751" t="n">
        <v>2</v>
      </c>
      <c r="AV1751" t="n">
        <v>6</v>
      </c>
      <c r="AW1751" t="n">
        <v>1</v>
      </c>
      <c r="AX1751" t="n">
        <v>0</v>
      </c>
      <c r="AY1751" t="n">
        <v>26</v>
      </c>
      <c r="AZ1751" t="n">
        <v>1</v>
      </c>
      <c r="BA1751" t="n">
        <v>1</v>
      </c>
      <c r="BB1751" t="n">
        <v>54</v>
      </c>
      <c r="BC1751" t="n">
        <v>94</v>
      </c>
      <c r="BD1751" t="n">
        <v>32</v>
      </c>
      <c r="BE1751" t="n">
        <v>8</v>
      </c>
      <c r="BF1751" t="n">
        <v>43</v>
      </c>
      <c r="BG1751" t="n">
        <v>0</v>
      </c>
      <c r="BH1751" t="n">
        <v>10</v>
      </c>
      <c r="BI1751" t="n">
        <v>6</v>
      </c>
      <c r="BJ1751" t="n">
        <v>4</v>
      </c>
      <c r="BK1751" t="n">
        <v>4</v>
      </c>
      <c r="BL1751" t="n">
        <v>27</v>
      </c>
      <c r="BM1751" t="n">
        <v>25</v>
      </c>
      <c r="BN1751" t="n">
        <v>5</v>
      </c>
      <c r="BO1751" t="n">
        <v>2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2</v>
      </c>
      <c r="U1752" t="n">
        <v>0</v>
      </c>
      <c r="V1752" t="n">
        <v>0</v>
      </c>
      <c r="W1752" t="n">
        <v>0</v>
      </c>
      <c r="X1752" t="n">
        <v>0</v>
      </c>
      <c r="Y1752" t="n">
        <v>236</v>
      </c>
      <c r="Z1752" t="n">
        <v>136</v>
      </c>
      <c r="AA1752" t="n">
        <v>58</v>
      </c>
      <c r="AB1752" t="n">
        <v>0</v>
      </c>
      <c r="AC1752" t="n">
        <v>4</v>
      </c>
      <c r="AD1752" t="n">
        <v>3</v>
      </c>
      <c r="AE1752" t="n">
        <v>2</v>
      </c>
      <c r="AF1752" t="n">
        <v>5</v>
      </c>
      <c r="AG1752" t="n">
        <v>5</v>
      </c>
      <c r="AH1752" t="n">
        <v>40</v>
      </c>
      <c r="AI1752" t="n">
        <v>2</v>
      </c>
      <c r="AJ1752" t="n">
        <v>49</v>
      </c>
      <c r="AK1752" t="n">
        <v>38</v>
      </c>
      <c r="AL1752" t="n">
        <v>2</v>
      </c>
      <c r="AM1752" t="n">
        <v>11</v>
      </c>
      <c r="AN1752" t="n">
        <v>0</v>
      </c>
      <c r="AO1752" t="n">
        <v>0</v>
      </c>
      <c r="AP1752" t="n">
        <v>0</v>
      </c>
      <c r="AQ1752" t="n">
        <v>1</v>
      </c>
      <c r="AR1752" t="n">
        <v>74</v>
      </c>
      <c r="AS1752" t="n">
        <v>67</v>
      </c>
      <c r="AT1752" t="n">
        <v>5</v>
      </c>
      <c r="AU1752" t="n">
        <v>1</v>
      </c>
      <c r="AV1752" t="n">
        <v>36</v>
      </c>
      <c r="AW1752" t="n">
        <v>1</v>
      </c>
      <c r="AX1752" t="n">
        <v>3</v>
      </c>
      <c r="AY1752" t="n">
        <v>59</v>
      </c>
      <c r="AZ1752" t="n">
        <v>2</v>
      </c>
      <c r="BA1752" t="n">
        <v>14</v>
      </c>
      <c r="BB1752" t="n">
        <v>69</v>
      </c>
      <c r="BC1752" t="n">
        <v>7</v>
      </c>
      <c r="BD1752" t="n">
        <v>29</v>
      </c>
      <c r="BE1752" t="n">
        <v>7</v>
      </c>
      <c r="BF1752" t="n">
        <v>40</v>
      </c>
      <c r="BG1752" t="n">
        <v>2</v>
      </c>
      <c r="BH1752" t="n">
        <v>7</v>
      </c>
      <c r="BI1752" t="n">
        <v>42</v>
      </c>
      <c r="BJ1752" t="n">
        <v>42</v>
      </c>
      <c r="BK1752" t="n">
        <v>0</v>
      </c>
      <c r="BL1752" t="n">
        <v>1</v>
      </c>
      <c r="BM1752" t="n">
        <v>1</v>
      </c>
      <c r="BN1752" t="n">
        <v>0</v>
      </c>
      <c r="BO1752" t="n">
        <v>2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2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214</v>
      </c>
      <c r="Z1753" t="n">
        <v>75</v>
      </c>
      <c r="AA1753" t="n">
        <v>6</v>
      </c>
      <c r="AB1753" t="n">
        <v>1</v>
      </c>
      <c r="AC1753" t="n">
        <v>0</v>
      </c>
      <c r="AD1753" t="n">
        <v>3</v>
      </c>
      <c r="AE1753" t="n">
        <v>5</v>
      </c>
      <c r="AF1753" t="n">
        <v>4</v>
      </c>
      <c r="AG1753" t="n">
        <v>0</v>
      </c>
      <c r="AH1753" t="n">
        <v>21</v>
      </c>
      <c r="AI1753" t="n">
        <v>32</v>
      </c>
      <c r="AJ1753" t="n">
        <v>24</v>
      </c>
      <c r="AK1753" t="n">
        <v>38</v>
      </c>
      <c r="AL1753" t="n">
        <v>5</v>
      </c>
      <c r="AM1753" t="n">
        <v>13</v>
      </c>
      <c r="AN1753" t="n">
        <v>0</v>
      </c>
      <c r="AO1753" t="n">
        <v>1</v>
      </c>
      <c r="AP1753" t="n">
        <v>6</v>
      </c>
      <c r="AQ1753" t="n">
        <v>91</v>
      </c>
      <c r="AR1753" t="n">
        <v>139</v>
      </c>
      <c r="AS1753" t="n">
        <v>63</v>
      </c>
      <c r="AT1753" t="n">
        <v>3</v>
      </c>
      <c r="AU1753" t="n">
        <v>1</v>
      </c>
      <c r="AV1753" t="n">
        <v>11</v>
      </c>
      <c r="AW1753" t="n">
        <v>1</v>
      </c>
      <c r="AX1753" t="n">
        <v>0</v>
      </c>
      <c r="AY1753" t="n">
        <v>53</v>
      </c>
      <c r="AZ1753" t="n">
        <v>0</v>
      </c>
      <c r="BA1753" t="n">
        <v>10</v>
      </c>
      <c r="BB1753" t="n">
        <v>18</v>
      </c>
      <c r="BC1753" t="n">
        <v>10</v>
      </c>
      <c r="BD1753" t="n">
        <v>18</v>
      </c>
      <c r="BE1753" t="n">
        <v>4</v>
      </c>
      <c r="BF1753" t="n">
        <v>18</v>
      </c>
      <c r="BG1753" t="n">
        <v>5</v>
      </c>
      <c r="BH1753" t="n">
        <v>2</v>
      </c>
      <c r="BI1753" t="n">
        <v>88</v>
      </c>
      <c r="BJ1753" t="n">
        <v>83</v>
      </c>
      <c r="BK1753" t="n">
        <v>3</v>
      </c>
      <c r="BL1753" t="n">
        <v>1</v>
      </c>
      <c r="BM1753" t="n">
        <v>10</v>
      </c>
      <c r="BN1753" t="n">
        <v>5</v>
      </c>
      <c r="BO1753" t="n">
        <v>49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1</v>
      </c>
      <c r="U1754" t="n">
        <v>1</v>
      </c>
      <c r="V1754" t="n">
        <v>0</v>
      </c>
      <c r="W1754" t="n">
        <v>0</v>
      </c>
      <c r="X1754" t="n">
        <v>0</v>
      </c>
      <c r="Y1754" t="n">
        <v>155</v>
      </c>
      <c r="Z1754" t="n">
        <v>99</v>
      </c>
      <c r="AA1754" t="n">
        <v>16</v>
      </c>
      <c r="AB1754" t="n">
        <v>2</v>
      </c>
      <c r="AC1754" t="n">
        <v>0</v>
      </c>
      <c r="AD1754" t="n">
        <v>5</v>
      </c>
      <c r="AE1754" t="n">
        <v>3</v>
      </c>
      <c r="AF1754" t="n">
        <v>7</v>
      </c>
      <c r="AG1754" t="n">
        <v>4</v>
      </c>
      <c r="AH1754" t="n">
        <v>43</v>
      </c>
      <c r="AI1754" t="n">
        <v>36</v>
      </c>
      <c r="AJ1754" t="n">
        <v>42</v>
      </c>
      <c r="AK1754" t="n">
        <v>10</v>
      </c>
      <c r="AL1754" t="n">
        <v>2</v>
      </c>
      <c r="AM1754" t="n">
        <v>7</v>
      </c>
      <c r="AN1754" t="n">
        <v>0</v>
      </c>
      <c r="AO1754" t="n">
        <v>0</v>
      </c>
      <c r="AP1754" t="n">
        <v>5</v>
      </c>
      <c r="AQ1754" t="n">
        <v>41</v>
      </c>
      <c r="AR1754" t="n">
        <v>75</v>
      </c>
      <c r="AS1754" t="n">
        <v>41</v>
      </c>
      <c r="AT1754" t="n">
        <v>0</v>
      </c>
      <c r="AU1754" t="n">
        <v>1</v>
      </c>
      <c r="AV1754" t="n">
        <v>17</v>
      </c>
      <c r="AW1754" t="n">
        <v>9</v>
      </c>
      <c r="AX1754" t="n">
        <v>0</v>
      </c>
      <c r="AY1754" t="n">
        <v>72</v>
      </c>
      <c r="AZ1754" t="n">
        <v>5</v>
      </c>
      <c r="BA1754" t="n">
        <v>10</v>
      </c>
      <c r="BB1754" t="n">
        <v>25</v>
      </c>
      <c r="BC1754" t="n">
        <v>66</v>
      </c>
      <c r="BD1754" t="n">
        <v>47</v>
      </c>
      <c r="BE1754" t="n">
        <v>20</v>
      </c>
      <c r="BF1754" t="n">
        <v>66</v>
      </c>
      <c r="BG1754" t="n">
        <v>2</v>
      </c>
      <c r="BH1754" t="n">
        <v>13</v>
      </c>
      <c r="BI1754" t="n">
        <v>12</v>
      </c>
      <c r="BJ1754" t="n">
        <v>18</v>
      </c>
      <c r="BK1754" t="n">
        <v>0</v>
      </c>
      <c r="BL1754" t="n">
        <v>1</v>
      </c>
      <c r="BM1754" t="n">
        <v>35</v>
      </c>
      <c r="BN1754" t="n">
        <v>21</v>
      </c>
      <c r="BO1754" t="n">
        <v>9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2</v>
      </c>
      <c r="U1755" t="n">
        <v>0</v>
      </c>
      <c r="V1755" t="n">
        <v>0</v>
      </c>
      <c r="W1755" t="n">
        <v>0</v>
      </c>
      <c r="X1755" t="n">
        <v>0</v>
      </c>
      <c r="Y1755" t="n">
        <v>121</v>
      </c>
      <c r="Z1755" t="n">
        <v>250</v>
      </c>
      <c r="AA1755" t="n">
        <v>60</v>
      </c>
      <c r="AB1755" t="n">
        <v>0</v>
      </c>
      <c r="AC1755" t="n">
        <v>2</v>
      </c>
      <c r="AD1755" t="n">
        <v>2</v>
      </c>
      <c r="AE1755" t="n">
        <v>3</v>
      </c>
      <c r="AF1755" t="n">
        <v>3</v>
      </c>
      <c r="AG1755" t="n">
        <v>3</v>
      </c>
      <c r="AH1755" t="n">
        <v>30</v>
      </c>
      <c r="AI1755" t="n">
        <v>30</v>
      </c>
      <c r="AJ1755" t="n">
        <v>28</v>
      </c>
      <c r="AK1755" t="n">
        <v>-2</v>
      </c>
      <c r="AL1755" t="n">
        <v>6</v>
      </c>
      <c r="AM1755" t="n">
        <v>54</v>
      </c>
      <c r="AN1755" t="n">
        <v>0</v>
      </c>
      <c r="AO1755" t="n">
        <v>0</v>
      </c>
      <c r="AP1755" t="n">
        <v>3</v>
      </c>
      <c r="AQ1755" t="n">
        <v>1</v>
      </c>
      <c r="AR1755" t="n">
        <v>43</v>
      </c>
      <c r="AS1755" t="n">
        <v>38</v>
      </c>
      <c r="AT1755" t="n">
        <v>0</v>
      </c>
      <c r="AU1755" t="n">
        <v>3</v>
      </c>
      <c r="AV1755" t="n">
        <v>1</v>
      </c>
      <c r="AW1755" t="n">
        <v>25</v>
      </c>
      <c r="AX1755" t="n">
        <v>6</v>
      </c>
      <c r="AY1755" t="n">
        <v>13</v>
      </c>
      <c r="AZ1755" t="n">
        <v>6</v>
      </c>
      <c r="BA1755" t="n">
        <v>58</v>
      </c>
      <c r="BB1755" t="n">
        <v>121</v>
      </c>
      <c r="BC1755" t="n">
        <v>46</v>
      </c>
      <c r="BD1755" t="n">
        <v>27</v>
      </c>
      <c r="BE1755" t="n">
        <v>25</v>
      </c>
      <c r="BF1755" t="n">
        <v>31</v>
      </c>
      <c r="BG1755" t="n">
        <v>3</v>
      </c>
      <c r="BH1755" t="n">
        <v>11</v>
      </c>
      <c r="BI1755" t="n">
        <v>20</v>
      </c>
      <c r="BJ1755" t="n">
        <v>17</v>
      </c>
      <c r="BK1755" t="n">
        <v>2</v>
      </c>
      <c r="BL1755" t="n">
        <v>9</v>
      </c>
      <c r="BM1755" t="n">
        <v>7</v>
      </c>
      <c r="BN1755" t="n">
        <v>0</v>
      </c>
      <c r="BO1755" t="n">
        <v>16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2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245</v>
      </c>
      <c r="Z1756" t="n">
        <v>180</v>
      </c>
      <c r="AA1756" t="n">
        <v>71</v>
      </c>
      <c r="AB1756" t="n">
        <v>0</v>
      </c>
      <c r="AC1756" t="n">
        <v>1</v>
      </c>
      <c r="AD1756" t="n">
        <v>5</v>
      </c>
      <c r="AE1756" t="n">
        <v>7</v>
      </c>
      <c r="AF1756" t="n">
        <v>4</v>
      </c>
      <c r="AG1756" t="n">
        <v>1</v>
      </c>
      <c r="AH1756" t="n">
        <v>93</v>
      </c>
      <c r="AI1756" t="n">
        <v>20</v>
      </c>
      <c r="AJ1756" t="n">
        <v>39</v>
      </c>
      <c r="AK1756" t="n">
        <v>1</v>
      </c>
      <c r="AL1756" t="n">
        <v>2</v>
      </c>
      <c r="AM1756" t="n">
        <v>18</v>
      </c>
      <c r="AN1756" t="n">
        <v>0</v>
      </c>
      <c r="AO1756" t="n">
        <v>0</v>
      </c>
      <c r="AP1756" t="n">
        <v>3</v>
      </c>
      <c r="AQ1756" t="n">
        <v>13</v>
      </c>
      <c r="AR1756" t="n">
        <v>18</v>
      </c>
      <c r="AS1756" t="n">
        <v>6</v>
      </c>
      <c r="AT1756" t="n">
        <v>0</v>
      </c>
      <c r="AU1756" t="n">
        <v>2</v>
      </c>
      <c r="AV1756" t="n">
        <v>1</v>
      </c>
      <c r="AW1756" t="n">
        <v>23</v>
      </c>
      <c r="AX1756" t="n">
        <v>0</v>
      </c>
      <c r="AY1756" t="n">
        <v>36</v>
      </c>
      <c r="AZ1756" t="n">
        <v>1</v>
      </c>
      <c r="BA1756" t="n">
        <v>12</v>
      </c>
      <c r="BB1756" t="n">
        <v>81</v>
      </c>
      <c r="BC1756" t="n">
        <v>22</v>
      </c>
      <c r="BD1756" t="n">
        <v>111</v>
      </c>
      <c r="BE1756" t="n">
        <v>26</v>
      </c>
      <c r="BF1756" t="n">
        <v>31</v>
      </c>
      <c r="BG1756" t="n">
        <v>3</v>
      </c>
      <c r="BH1756" t="n">
        <v>9</v>
      </c>
      <c r="BI1756" t="n">
        <v>26</v>
      </c>
      <c r="BJ1756" t="n">
        <v>26</v>
      </c>
      <c r="BK1756" t="n">
        <v>3</v>
      </c>
      <c r="BL1756" t="n">
        <v>14</v>
      </c>
      <c r="BM1756" t="n">
        <v>26</v>
      </c>
      <c r="BN1756" t="n">
        <v>11</v>
      </c>
      <c r="BO1756" t="n">
        <v>2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2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300</v>
      </c>
      <c r="Z1757" t="n">
        <v>172</v>
      </c>
      <c r="AA1757" t="n">
        <v>29</v>
      </c>
      <c r="AB1757" t="n">
        <v>2</v>
      </c>
      <c r="AC1757" t="n">
        <v>0</v>
      </c>
      <c r="AD1757" t="n">
        <v>6</v>
      </c>
      <c r="AE1757" t="n">
        <v>2</v>
      </c>
      <c r="AF1757" t="n">
        <v>0</v>
      </c>
      <c r="AG1757" t="n">
        <v>4</v>
      </c>
      <c r="AH1757" t="n">
        <v>102</v>
      </c>
      <c r="AI1757" t="n">
        <v>22</v>
      </c>
      <c r="AJ1757" t="n">
        <v>9</v>
      </c>
      <c r="AK1757" t="n">
        <v>71</v>
      </c>
      <c r="AL1757" t="n">
        <v>1</v>
      </c>
      <c r="AM1757" t="n">
        <v>2</v>
      </c>
      <c r="AN1757" t="n">
        <v>0</v>
      </c>
      <c r="AO1757" t="n">
        <v>0</v>
      </c>
      <c r="AP1757" t="n">
        <v>7</v>
      </c>
      <c r="AQ1757" t="n">
        <v>48</v>
      </c>
      <c r="AR1757" t="n">
        <v>101</v>
      </c>
      <c r="AS1757" t="n">
        <v>61</v>
      </c>
      <c r="AT1757" t="n">
        <v>2</v>
      </c>
      <c r="AU1757" t="n">
        <v>4</v>
      </c>
      <c r="AV1757" t="n">
        <v>23</v>
      </c>
      <c r="AW1757" t="n">
        <v>54</v>
      </c>
      <c r="AX1757" t="n">
        <v>8</v>
      </c>
      <c r="AY1757" t="n">
        <v>100</v>
      </c>
      <c r="AZ1757" t="n">
        <v>2</v>
      </c>
      <c r="BA1757" t="n">
        <v>16</v>
      </c>
      <c r="BB1757" t="n">
        <v>43</v>
      </c>
      <c r="BC1757" t="n">
        <v>5</v>
      </c>
      <c r="BD1757" t="n">
        <v>94</v>
      </c>
      <c r="BE1757" t="n">
        <v>60</v>
      </c>
      <c r="BF1757" t="n">
        <v>2</v>
      </c>
      <c r="BG1757" t="n">
        <v>2</v>
      </c>
      <c r="BH1757" t="n">
        <v>4</v>
      </c>
      <c r="BI1757" t="n">
        <v>58</v>
      </c>
      <c r="BJ1757" t="n">
        <v>53</v>
      </c>
      <c r="BK1757" t="n">
        <v>1</v>
      </c>
      <c r="BL1757" t="n">
        <v>21</v>
      </c>
      <c r="BM1757" t="n">
        <v>41</v>
      </c>
      <c r="BN1757" t="n">
        <v>18</v>
      </c>
      <c r="BO1757" t="n">
        <v>2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170</v>
      </c>
      <c r="Z1758" t="n">
        <v>211</v>
      </c>
      <c r="AA1758" t="n">
        <v>26</v>
      </c>
      <c r="AB1758" t="n">
        <v>1</v>
      </c>
      <c r="AC1758" t="n">
        <v>1</v>
      </c>
      <c r="AD1758" t="n">
        <v>2</v>
      </c>
      <c r="AE1758" t="n">
        <v>4</v>
      </c>
      <c r="AF1758" t="n">
        <v>3</v>
      </c>
      <c r="AG1758" t="n">
        <v>2</v>
      </c>
      <c r="AH1758" t="n">
        <v>40</v>
      </c>
      <c r="AI1758" t="n">
        <v>61</v>
      </c>
      <c r="AJ1758" t="n">
        <v>27</v>
      </c>
      <c r="AK1758" t="n">
        <v>22</v>
      </c>
      <c r="AL1758" t="n">
        <v>2</v>
      </c>
      <c r="AM1758" t="n">
        <v>36</v>
      </c>
      <c r="AN1758" t="n">
        <v>0</v>
      </c>
      <c r="AO1758" t="n">
        <v>0</v>
      </c>
      <c r="AP1758" t="n">
        <v>0</v>
      </c>
      <c r="AQ1758" t="n">
        <v>1</v>
      </c>
      <c r="AR1758" t="n">
        <v>97</v>
      </c>
      <c r="AS1758" t="n">
        <v>90</v>
      </c>
      <c r="AT1758" t="n">
        <v>4</v>
      </c>
      <c r="AU1758" t="n">
        <v>1</v>
      </c>
      <c r="AV1758" t="n">
        <v>19</v>
      </c>
      <c r="AW1758" t="n">
        <v>16</v>
      </c>
      <c r="AX1758" t="n">
        <v>1</v>
      </c>
      <c r="AY1758" t="n">
        <v>6</v>
      </c>
      <c r="AZ1758" t="n">
        <v>0</v>
      </c>
      <c r="BA1758" t="n">
        <v>1</v>
      </c>
      <c r="BB1758" t="n">
        <v>26</v>
      </c>
      <c r="BC1758" t="n">
        <v>34</v>
      </c>
      <c r="BD1758" t="n">
        <v>36</v>
      </c>
      <c r="BE1758" t="n">
        <v>15</v>
      </c>
      <c r="BF1758" t="n">
        <v>33</v>
      </c>
      <c r="BG1758" t="n">
        <v>0</v>
      </c>
      <c r="BH1758" t="n">
        <v>6</v>
      </c>
      <c r="BI1758" t="n">
        <v>1</v>
      </c>
      <c r="BJ1758" t="n">
        <v>3</v>
      </c>
      <c r="BK1758" t="n">
        <v>4</v>
      </c>
      <c r="BL1758" t="n">
        <v>1</v>
      </c>
      <c r="BM1758" t="n">
        <v>1</v>
      </c>
      <c r="BN1758" t="n">
        <v>1</v>
      </c>
      <c r="BO1758" t="n">
        <v>21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111</v>
      </c>
      <c r="Z1759" t="n">
        <v>259</v>
      </c>
      <c r="AA1759" t="n">
        <v>226</v>
      </c>
      <c r="AB1759" t="n">
        <v>3</v>
      </c>
      <c r="AC1759" t="n">
        <v>0</v>
      </c>
      <c r="AD1759" t="n">
        <v>2</v>
      </c>
      <c r="AE1759" t="n">
        <v>1</v>
      </c>
      <c r="AF1759" t="n">
        <v>2</v>
      </c>
      <c r="AG1759" t="n">
        <v>1</v>
      </c>
      <c r="AH1759" t="n">
        <v>17</v>
      </c>
      <c r="AI1759" t="n">
        <v>45</v>
      </c>
      <c r="AJ1759" t="n">
        <v>30</v>
      </c>
      <c r="AK1759" t="n">
        <v>7</v>
      </c>
      <c r="AL1759" t="n">
        <v>1</v>
      </c>
      <c r="AM1759" t="n">
        <v>6</v>
      </c>
      <c r="AN1759" t="n">
        <v>0</v>
      </c>
      <c r="AO1759" t="n">
        <v>0</v>
      </c>
      <c r="AP1759" t="n">
        <v>4</v>
      </c>
      <c r="AQ1759" t="n">
        <v>26</v>
      </c>
      <c r="AR1759" t="n">
        <v>112</v>
      </c>
      <c r="AS1759" t="n">
        <v>89</v>
      </c>
      <c r="AT1759" t="n">
        <v>1</v>
      </c>
      <c r="AU1759" t="n">
        <v>2</v>
      </c>
      <c r="AV1759" t="n">
        <v>1</v>
      </c>
      <c r="AW1759" t="n">
        <v>31</v>
      </c>
      <c r="AX1759" t="n">
        <v>0</v>
      </c>
      <c r="AY1759" t="n">
        <v>35</v>
      </c>
      <c r="AZ1759" t="n">
        <v>1</v>
      </c>
      <c r="BA1759" t="n">
        <v>1</v>
      </c>
      <c r="BB1759" t="n">
        <v>236</v>
      </c>
      <c r="BC1759" t="n">
        <v>2</v>
      </c>
      <c r="BD1759" t="n">
        <v>15</v>
      </c>
      <c r="BE1759" t="n">
        <v>32</v>
      </c>
      <c r="BF1759" t="n">
        <v>31</v>
      </c>
      <c r="BG1759" t="n">
        <v>3</v>
      </c>
      <c r="BH1759" t="n">
        <v>6</v>
      </c>
      <c r="BI1759" t="n">
        <v>26</v>
      </c>
      <c r="BJ1759" t="n">
        <v>23</v>
      </c>
      <c r="BK1759" t="n">
        <v>3</v>
      </c>
      <c r="BL1759" t="n">
        <v>9</v>
      </c>
      <c r="BM1759" t="n">
        <v>13</v>
      </c>
      <c r="BN1759" t="n">
        <v>5</v>
      </c>
      <c r="BO1759" t="n">
        <v>2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205</v>
      </c>
      <c r="Z1760" t="n">
        <v>185</v>
      </c>
      <c r="AA1760" t="n">
        <v>53</v>
      </c>
      <c r="AB1760" t="n">
        <v>1</v>
      </c>
      <c r="AC1760" t="n">
        <v>2</v>
      </c>
      <c r="AD1760" t="n">
        <v>5</v>
      </c>
      <c r="AE1760" t="n">
        <v>10</v>
      </c>
      <c r="AF1760" t="n">
        <v>2</v>
      </c>
      <c r="AG1760" t="n">
        <v>4</v>
      </c>
      <c r="AH1760" t="n">
        <v>35</v>
      </c>
      <c r="AI1760" t="n">
        <v>62</v>
      </c>
      <c r="AJ1760" t="n">
        <v>11</v>
      </c>
      <c r="AK1760" t="n">
        <v>60</v>
      </c>
      <c r="AL1760" t="n">
        <v>6</v>
      </c>
      <c r="AM1760" t="n">
        <v>83</v>
      </c>
      <c r="AN1760" t="n">
        <v>0</v>
      </c>
      <c r="AO1760" t="n">
        <v>0</v>
      </c>
      <c r="AP1760" t="n">
        <v>5</v>
      </c>
      <c r="AQ1760" t="n">
        <v>41</v>
      </c>
      <c r="AR1760" t="n">
        <v>47</v>
      </c>
      <c r="AS1760" t="n">
        <v>12</v>
      </c>
      <c r="AT1760" t="n">
        <v>3</v>
      </c>
      <c r="AU1760" t="n">
        <v>3</v>
      </c>
      <c r="AV1760" t="n">
        <v>8</v>
      </c>
      <c r="AW1760" t="n">
        <v>19</v>
      </c>
      <c r="AX1760" t="n">
        <v>0</v>
      </c>
      <c r="AY1760" t="n">
        <v>8</v>
      </c>
      <c r="AZ1760" t="n">
        <v>4</v>
      </c>
      <c r="BA1760" t="n">
        <v>9</v>
      </c>
      <c r="BB1760" t="n">
        <v>59</v>
      </c>
      <c r="BC1760" t="n">
        <v>68</v>
      </c>
      <c r="BD1760" t="n">
        <v>31</v>
      </c>
      <c r="BE1760" t="n">
        <v>19</v>
      </c>
      <c r="BF1760" t="n">
        <v>8</v>
      </c>
      <c r="BG1760" t="n">
        <v>0</v>
      </c>
      <c r="BH1760" t="n">
        <v>20</v>
      </c>
      <c r="BI1760" t="n">
        <v>39</v>
      </c>
      <c r="BJ1760" t="n">
        <v>36</v>
      </c>
      <c r="BK1760" t="n">
        <v>3</v>
      </c>
      <c r="BL1760" t="n">
        <v>45</v>
      </c>
      <c r="BM1760" t="n">
        <v>34</v>
      </c>
      <c r="BN1760" t="n">
        <v>4</v>
      </c>
      <c r="BO1760" t="n">
        <v>2</v>
      </c>
    </row>
    <row r="1761">
      <c r="A1761" t="n">
        <v>0</v>
      </c>
      <c r="B1761" t="n">
        <v>0</v>
      </c>
      <c r="C1761" t="n">
        <v>0</v>
      </c>
      <c r="D1761" t="n">
        <v>2</v>
      </c>
      <c r="E1761" t="n">
        <v>2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193</v>
      </c>
      <c r="Z1761" t="n">
        <v>289</v>
      </c>
      <c r="AA1761" t="n">
        <v>53</v>
      </c>
      <c r="AB1761" t="n">
        <v>1</v>
      </c>
      <c r="AC1761" t="n">
        <v>1</v>
      </c>
      <c r="AD1761" t="n">
        <v>3</v>
      </c>
      <c r="AE1761" t="n">
        <v>4</v>
      </c>
      <c r="AF1761" t="n">
        <v>1</v>
      </c>
      <c r="AG1761" t="n">
        <v>3</v>
      </c>
      <c r="AH1761" t="n">
        <v>26</v>
      </c>
      <c r="AI1761" t="n">
        <v>33</v>
      </c>
      <c r="AJ1761" t="n">
        <v>5</v>
      </c>
      <c r="AK1761" t="n">
        <v>15</v>
      </c>
      <c r="AL1761" t="n">
        <v>5</v>
      </c>
      <c r="AM1761" t="n">
        <v>57</v>
      </c>
      <c r="AN1761" t="n">
        <v>0</v>
      </c>
      <c r="AO1761" t="n">
        <v>2</v>
      </c>
      <c r="AP1761" t="n">
        <v>4</v>
      </c>
      <c r="AQ1761" t="n">
        <v>9</v>
      </c>
      <c r="AR1761" t="n">
        <v>82</v>
      </c>
      <c r="AS1761" t="n">
        <v>73</v>
      </c>
      <c r="AT1761" t="n">
        <v>3</v>
      </c>
      <c r="AU1761" t="n">
        <v>1</v>
      </c>
      <c r="AV1761" t="n">
        <v>37</v>
      </c>
      <c r="AW1761" t="n">
        <v>1</v>
      </c>
      <c r="AX1761" t="n">
        <v>9</v>
      </c>
      <c r="AY1761" t="n">
        <v>34</v>
      </c>
      <c r="AZ1761" t="n">
        <v>0</v>
      </c>
      <c r="BA1761" t="n">
        <v>10</v>
      </c>
      <c r="BB1761" t="n">
        <v>60</v>
      </c>
      <c r="BC1761" t="n">
        <v>53</v>
      </c>
      <c r="BD1761" t="n">
        <v>24</v>
      </c>
      <c r="BE1761" t="n">
        <v>1</v>
      </c>
      <c r="BF1761" t="n">
        <v>8</v>
      </c>
      <c r="BG1761" t="n">
        <v>2</v>
      </c>
      <c r="BH1761" t="n">
        <v>10</v>
      </c>
      <c r="BI1761" t="n">
        <v>57</v>
      </c>
      <c r="BJ1761" t="n">
        <v>53</v>
      </c>
      <c r="BK1761" t="n">
        <v>0</v>
      </c>
      <c r="BL1761" t="n">
        <v>1</v>
      </c>
      <c r="BM1761" t="n">
        <v>7</v>
      </c>
      <c r="BN1761" t="n">
        <v>4</v>
      </c>
      <c r="BO1761" t="n">
        <v>68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2</v>
      </c>
      <c r="K1762" t="n">
        <v>0</v>
      </c>
      <c r="L1762" t="n">
        <v>0</v>
      </c>
      <c r="M1762" t="n">
        <v>2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134</v>
      </c>
      <c r="Z1762" t="n">
        <v>164</v>
      </c>
      <c r="AA1762" t="n">
        <v>73</v>
      </c>
      <c r="AB1762" t="n">
        <v>2</v>
      </c>
      <c r="AC1762" t="n">
        <v>2</v>
      </c>
      <c r="AD1762" t="n">
        <v>4</v>
      </c>
      <c r="AE1762" t="n">
        <v>5</v>
      </c>
      <c r="AF1762" t="n">
        <v>2</v>
      </c>
      <c r="AG1762" t="n">
        <v>3</v>
      </c>
      <c r="AH1762" t="n">
        <v>24</v>
      </c>
      <c r="AI1762" t="n">
        <v>40</v>
      </c>
      <c r="AJ1762" t="n">
        <v>24</v>
      </c>
      <c r="AK1762" t="n">
        <v>9</v>
      </c>
      <c r="AL1762" t="n">
        <v>0</v>
      </c>
      <c r="AM1762" t="n">
        <v>24</v>
      </c>
      <c r="AN1762" t="n">
        <v>0</v>
      </c>
      <c r="AO1762" t="n">
        <v>0</v>
      </c>
      <c r="AP1762" t="n">
        <v>7</v>
      </c>
      <c r="AQ1762" t="n">
        <v>32</v>
      </c>
      <c r="AR1762" t="n">
        <v>93</v>
      </c>
      <c r="AS1762" t="n">
        <v>67</v>
      </c>
      <c r="AT1762" t="n">
        <v>5</v>
      </c>
      <c r="AU1762" t="n">
        <v>0</v>
      </c>
      <c r="AV1762" t="n">
        <v>36</v>
      </c>
      <c r="AW1762" t="n">
        <v>1</v>
      </c>
      <c r="AX1762" t="n">
        <v>3</v>
      </c>
      <c r="AY1762" t="n">
        <v>29</v>
      </c>
      <c r="AZ1762" t="n">
        <v>1</v>
      </c>
      <c r="BA1762" t="n">
        <v>9</v>
      </c>
      <c r="BB1762" t="n">
        <v>78</v>
      </c>
      <c r="BC1762" t="n">
        <v>37</v>
      </c>
      <c r="BD1762" t="n">
        <v>29</v>
      </c>
      <c r="BE1762" t="n">
        <v>3</v>
      </c>
      <c r="BF1762" t="n">
        <v>24</v>
      </c>
      <c r="BG1762" t="n">
        <v>0</v>
      </c>
      <c r="BH1762" t="n">
        <v>7</v>
      </c>
      <c r="BI1762" t="n">
        <v>1</v>
      </c>
      <c r="BJ1762" t="n">
        <v>10</v>
      </c>
      <c r="BK1762" t="n">
        <v>3</v>
      </c>
      <c r="BL1762" t="n">
        <v>22</v>
      </c>
      <c r="BM1762" t="n">
        <v>20</v>
      </c>
      <c r="BN1762" t="n">
        <v>4</v>
      </c>
      <c r="BO1762" t="n">
        <v>2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3</v>
      </c>
      <c r="U1763" t="n">
        <v>1</v>
      </c>
      <c r="V1763" t="n">
        <v>0</v>
      </c>
      <c r="W1763" t="n">
        <v>0</v>
      </c>
      <c r="X1763" t="n">
        <v>1</v>
      </c>
      <c r="Y1763" t="n">
        <v>254</v>
      </c>
      <c r="Z1763" t="n">
        <v>132</v>
      </c>
      <c r="AA1763" t="n">
        <v>179</v>
      </c>
      <c r="AB1763" t="n">
        <v>1</v>
      </c>
      <c r="AC1763" t="n">
        <v>1</v>
      </c>
      <c r="AD1763" t="n">
        <v>5</v>
      </c>
      <c r="AE1763" t="n">
        <v>4</v>
      </c>
      <c r="AF1763" t="n">
        <v>4</v>
      </c>
      <c r="AG1763" t="n">
        <v>1</v>
      </c>
      <c r="AH1763" t="n">
        <v>59</v>
      </c>
      <c r="AI1763" t="n">
        <v>28</v>
      </c>
      <c r="AJ1763" t="n">
        <v>58</v>
      </c>
      <c r="AK1763" t="n">
        <v>15</v>
      </c>
      <c r="AL1763" t="n">
        <v>7</v>
      </c>
      <c r="AM1763" t="n">
        <v>42</v>
      </c>
      <c r="AN1763" t="n">
        <v>0</v>
      </c>
      <c r="AO1763" t="n">
        <v>0</v>
      </c>
      <c r="AP1763" t="n">
        <v>4</v>
      </c>
      <c r="AQ1763" t="n">
        <v>19</v>
      </c>
      <c r="AR1763" t="n">
        <v>107</v>
      </c>
      <c r="AS1763" t="n">
        <v>89</v>
      </c>
      <c r="AT1763" t="n">
        <v>2</v>
      </c>
      <c r="AU1763" t="n">
        <v>0</v>
      </c>
      <c r="AV1763" t="n">
        <v>17</v>
      </c>
      <c r="AW1763" t="n">
        <v>3</v>
      </c>
      <c r="AX1763" t="n">
        <v>1</v>
      </c>
      <c r="AY1763" t="n">
        <v>31</v>
      </c>
      <c r="AZ1763" t="n">
        <v>1</v>
      </c>
      <c r="BA1763" t="n">
        <v>34</v>
      </c>
      <c r="BB1763" t="n">
        <v>200</v>
      </c>
      <c r="BC1763" t="n">
        <v>39</v>
      </c>
      <c r="BD1763" t="n">
        <v>58</v>
      </c>
      <c r="BE1763" t="n">
        <v>1</v>
      </c>
      <c r="BF1763" t="n">
        <v>50</v>
      </c>
      <c r="BG1763" t="n">
        <v>1</v>
      </c>
      <c r="BH1763" t="n">
        <v>13</v>
      </c>
      <c r="BI1763" t="n">
        <v>8</v>
      </c>
      <c r="BJ1763" t="n">
        <v>18</v>
      </c>
      <c r="BK1763" t="n">
        <v>1</v>
      </c>
      <c r="BL1763" t="n">
        <v>16</v>
      </c>
      <c r="BM1763" t="n">
        <v>11</v>
      </c>
      <c r="BN1763" t="n">
        <v>1</v>
      </c>
      <c r="BO1763" t="n">
        <v>2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77</v>
      </c>
      <c r="Z1764" t="n">
        <v>147</v>
      </c>
      <c r="AA1764" t="n">
        <v>35</v>
      </c>
      <c r="AB1764" t="n">
        <v>0</v>
      </c>
      <c r="AC1764" t="n">
        <v>0</v>
      </c>
      <c r="AD1764" t="n">
        <v>1</v>
      </c>
      <c r="AE1764" t="n">
        <v>4</v>
      </c>
      <c r="AF1764" t="n">
        <v>0</v>
      </c>
      <c r="AG1764" t="n">
        <v>1</v>
      </c>
      <c r="AH1764" t="n">
        <v>6</v>
      </c>
      <c r="AI1764" t="n">
        <v>31</v>
      </c>
      <c r="AJ1764" t="n">
        <v>7</v>
      </c>
      <c r="AK1764" t="n">
        <v>30</v>
      </c>
      <c r="AL1764" t="n">
        <v>3</v>
      </c>
      <c r="AM1764" t="n">
        <v>43</v>
      </c>
      <c r="AN1764" t="n">
        <v>0</v>
      </c>
      <c r="AO1764" t="n">
        <v>0</v>
      </c>
      <c r="AP1764" t="n">
        <v>3</v>
      </c>
      <c r="AQ1764" t="n">
        <v>26</v>
      </c>
      <c r="AR1764" t="n">
        <v>154</v>
      </c>
      <c r="AS1764" t="n">
        <v>128</v>
      </c>
      <c r="AT1764" t="n">
        <v>1</v>
      </c>
      <c r="AU1764" t="n">
        <v>2</v>
      </c>
      <c r="AV1764" t="n">
        <v>18</v>
      </c>
      <c r="AW1764" t="n">
        <v>26</v>
      </c>
      <c r="AX1764" t="n">
        <v>13</v>
      </c>
      <c r="AY1764" t="n">
        <v>63</v>
      </c>
      <c r="AZ1764" t="n">
        <v>2</v>
      </c>
      <c r="BA1764" t="n">
        <v>27</v>
      </c>
      <c r="BB1764" t="n">
        <v>60</v>
      </c>
      <c r="BC1764" t="n">
        <v>36</v>
      </c>
      <c r="BD1764" t="n">
        <v>11</v>
      </c>
      <c r="BE1764" t="n">
        <v>28</v>
      </c>
      <c r="BF1764" t="n">
        <v>10</v>
      </c>
      <c r="BG1764" t="n">
        <v>3</v>
      </c>
      <c r="BH1764" t="n">
        <v>4</v>
      </c>
      <c r="BI1764" t="n">
        <v>15</v>
      </c>
      <c r="BJ1764" t="n">
        <v>15</v>
      </c>
      <c r="BK1764" t="n">
        <v>1</v>
      </c>
      <c r="BL1764" t="n">
        <v>13</v>
      </c>
      <c r="BM1764" t="n">
        <v>9</v>
      </c>
      <c r="BN1764" t="n">
        <v>0</v>
      </c>
      <c r="BO1764" t="n">
        <v>14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272</v>
      </c>
      <c r="Z1765" t="n">
        <v>190</v>
      </c>
      <c r="AA1765" t="n">
        <v>29</v>
      </c>
      <c r="AB1765" t="n">
        <v>0</v>
      </c>
      <c r="AC1765" t="n">
        <v>1</v>
      </c>
      <c r="AD1765" t="n">
        <v>6</v>
      </c>
      <c r="AE1765" t="n">
        <v>3</v>
      </c>
      <c r="AF1765" t="n">
        <v>4</v>
      </c>
      <c r="AG1765" t="n">
        <v>3</v>
      </c>
      <c r="AH1765" t="n">
        <v>61</v>
      </c>
      <c r="AI1765" t="n">
        <v>27</v>
      </c>
      <c r="AJ1765" t="n">
        <v>30</v>
      </c>
      <c r="AK1765" t="n">
        <v>53</v>
      </c>
      <c r="AL1765" t="n">
        <v>2</v>
      </c>
      <c r="AM1765" t="n">
        <v>40</v>
      </c>
      <c r="AN1765" t="n">
        <v>0</v>
      </c>
      <c r="AO1765" t="n">
        <v>0</v>
      </c>
      <c r="AP1765" t="n">
        <v>8</v>
      </c>
      <c r="AQ1765" t="n">
        <v>52</v>
      </c>
      <c r="AR1765" t="n">
        <v>85</v>
      </c>
      <c r="AS1765" t="n">
        <v>42</v>
      </c>
      <c r="AT1765" t="n">
        <v>4</v>
      </c>
      <c r="AU1765" t="n">
        <v>1</v>
      </c>
      <c r="AV1765" t="n">
        <v>14</v>
      </c>
      <c r="AW1765" t="n">
        <v>8</v>
      </c>
      <c r="AX1765" t="n">
        <v>0</v>
      </c>
      <c r="AY1765" t="n">
        <v>1</v>
      </c>
      <c r="AZ1765" t="n">
        <v>0</v>
      </c>
      <c r="BA1765" t="n">
        <v>1</v>
      </c>
      <c r="BB1765" t="n">
        <v>29</v>
      </c>
      <c r="BC1765" t="n">
        <v>34</v>
      </c>
      <c r="BD1765" t="n">
        <v>55</v>
      </c>
      <c r="BE1765" t="n">
        <v>8</v>
      </c>
      <c r="BF1765" t="n">
        <v>44</v>
      </c>
      <c r="BG1765" t="n">
        <v>5</v>
      </c>
      <c r="BH1765" t="n">
        <v>8</v>
      </c>
      <c r="BI1765" t="n">
        <v>58</v>
      </c>
      <c r="BJ1765" t="n">
        <v>68</v>
      </c>
      <c r="BK1765" t="n">
        <v>1</v>
      </c>
      <c r="BL1765" t="n">
        <v>1</v>
      </c>
      <c r="BM1765" t="n">
        <v>21</v>
      </c>
      <c r="BN1765" t="n">
        <v>12</v>
      </c>
      <c r="BO1765" t="n">
        <v>2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264</v>
      </c>
      <c r="Z1766" t="n">
        <v>131</v>
      </c>
      <c r="AA1766" t="n">
        <v>121</v>
      </c>
      <c r="AB1766" t="n">
        <v>1</v>
      </c>
      <c r="AC1766" t="n">
        <v>0</v>
      </c>
      <c r="AD1766" t="n">
        <v>6</v>
      </c>
      <c r="AE1766" t="n">
        <v>5</v>
      </c>
      <c r="AF1766" t="n">
        <v>3</v>
      </c>
      <c r="AG1766" t="n">
        <v>4</v>
      </c>
      <c r="AH1766" t="n">
        <v>73</v>
      </c>
      <c r="AI1766" t="n">
        <v>31</v>
      </c>
      <c r="AJ1766" t="n">
        <v>76</v>
      </c>
      <c r="AK1766" t="n">
        <v>33</v>
      </c>
      <c r="AL1766" t="n">
        <v>1</v>
      </c>
      <c r="AM1766" t="n">
        <v>9</v>
      </c>
      <c r="AN1766" t="n">
        <v>0</v>
      </c>
      <c r="AO1766" t="n">
        <v>0</v>
      </c>
      <c r="AP1766" t="n">
        <v>4</v>
      </c>
      <c r="AQ1766" t="n">
        <v>18</v>
      </c>
      <c r="AR1766" t="n">
        <v>61</v>
      </c>
      <c r="AS1766" t="n">
        <v>46</v>
      </c>
      <c r="AT1766" t="n">
        <v>1</v>
      </c>
      <c r="AU1766" t="n">
        <v>0</v>
      </c>
      <c r="AV1766" t="n">
        <v>41</v>
      </c>
      <c r="AW1766" t="n">
        <v>1</v>
      </c>
      <c r="AX1766" t="n">
        <v>1</v>
      </c>
      <c r="AY1766" t="n">
        <v>17</v>
      </c>
      <c r="AZ1766" t="n">
        <v>7</v>
      </c>
      <c r="BA1766" t="n">
        <v>43</v>
      </c>
      <c r="BB1766" t="n">
        <v>160</v>
      </c>
      <c r="BC1766" t="n">
        <v>23</v>
      </c>
      <c r="BD1766" t="n">
        <v>70</v>
      </c>
      <c r="BE1766" t="n">
        <v>2</v>
      </c>
      <c r="BF1766" t="n">
        <v>61</v>
      </c>
      <c r="BG1766" t="n">
        <v>4</v>
      </c>
      <c r="BH1766" t="n">
        <v>7</v>
      </c>
      <c r="BI1766" t="n">
        <v>59</v>
      </c>
      <c r="BJ1766" t="n">
        <v>64</v>
      </c>
      <c r="BK1766" t="n">
        <v>0</v>
      </c>
      <c r="BL1766" t="n">
        <v>1</v>
      </c>
      <c r="BM1766" t="n">
        <v>21</v>
      </c>
      <c r="BN1766" t="n">
        <v>12</v>
      </c>
      <c r="BO1766" t="n">
        <v>30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276</v>
      </c>
      <c r="Z1767" t="n">
        <v>144</v>
      </c>
      <c r="AA1767" t="n">
        <v>39</v>
      </c>
      <c r="AB1767" t="n">
        <v>1</v>
      </c>
      <c r="AC1767" t="n">
        <v>2</v>
      </c>
      <c r="AD1767" t="n">
        <v>5</v>
      </c>
      <c r="AE1767" t="n">
        <v>9</v>
      </c>
      <c r="AF1767" t="n">
        <v>4</v>
      </c>
      <c r="AG1767" t="n">
        <v>10</v>
      </c>
      <c r="AH1767" t="n">
        <v>39</v>
      </c>
      <c r="AI1767" t="n">
        <v>48</v>
      </c>
      <c r="AJ1767" t="n">
        <v>42</v>
      </c>
      <c r="AK1767" t="n">
        <v>144</v>
      </c>
      <c r="AL1767" t="n">
        <v>3</v>
      </c>
      <c r="AM1767" t="n">
        <v>7</v>
      </c>
      <c r="AN1767" t="n">
        <v>0</v>
      </c>
      <c r="AO1767" t="n">
        <v>1</v>
      </c>
      <c r="AP1767" t="n">
        <v>3</v>
      </c>
      <c r="AQ1767" t="n">
        <v>18</v>
      </c>
      <c r="AR1767" t="n">
        <v>178</v>
      </c>
      <c r="AS1767" t="n">
        <v>158</v>
      </c>
      <c r="AT1767" t="n">
        <v>2</v>
      </c>
      <c r="AU1767" t="n">
        <v>2</v>
      </c>
      <c r="AV1767" t="n">
        <v>40</v>
      </c>
      <c r="AW1767" t="n">
        <v>1</v>
      </c>
      <c r="AX1767" t="n">
        <v>9</v>
      </c>
      <c r="AY1767" t="n">
        <v>15</v>
      </c>
      <c r="AZ1767" t="n">
        <v>4</v>
      </c>
      <c r="BA1767" t="n">
        <v>34</v>
      </c>
      <c r="BB1767" t="n">
        <v>73</v>
      </c>
      <c r="BC1767" t="n">
        <v>45</v>
      </c>
      <c r="BD1767" t="n">
        <v>38</v>
      </c>
      <c r="BE1767" t="n">
        <v>2</v>
      </c>
      <c r="BF1767" t="n">
        <v>34</v>
      </c>
      <c r="BG1767" t="n">
        <v>2</v>
      </c>
      <c r="BH1767" t="n">
        <v>18</v>
      </c>
      <c r="BI1767" t="n">
        <v>15</v>
      </c>
      <c r="BJ1767" t="n">
        <v>63</v>
      </c>
      <c r="BK1767" t="n">
        <v>2</v>
      </c>
      <c r="BL1767" t="n">
        <v>5</v>
      </c>
      <c r="BM1767" t="n">
        <v>97</v>
      </c>
      <c r="BN1767" t="n">
        <v>57</v>
      </c>
      <c r="BO1767" t="n">
        <v>51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3</v>
      </c>
      <c r="U1768" t="n">
        <v>0</v>
      </c>
      <c r="V1768" t="n">
        <v>0</v>
      </c>
      <c r="W1768" t="n">
        <v>1</v>
      </c>
      <c r="X1768" t="n">
        <v>0</v>
      </c>
      <c r="Y1768" t="n">
        <v>306</v>
      </c>
      <c r="Z1768" t="n">
        <v>227</v>
      </c>
      <c r="AA1768" t="n">
        <v>103</v>
      </c>
      <c r="AB1768" t="n">
        <v>1</v>
      </c>
      <c r="AC1768" t="n">
        <v>1</v>
      </c>
      <c r="AD1768" t="n">
        <v>1</v>
      </c>
      <c r="AE1768" t="n">
        <v>3</v>
      </c>
      <c r="AF1768" t="n">
        <v>4</v>
      </c>
      <c r="AG1768" t="n">
        <v>3</v>
      </c>
      <c r="AH1768" t="n">
        <v>2</v>
      </c>
      <c r="AI1768" t="n">
        <v>13</v>
      </c>
      <c r="AJ1768" t="n">
        <v>37</v>
      </c>
      <c r="AK1768" t="n">
        <v>35</v>
      </c>
      <c r="AL1768" t="n">
        <v>5</v>
      </c>
      <c r="AM1768" t="n">
        <v>59</v>
      </c>
      <c r="AN1768" t="n">
        <v>0</v>
      </c>
      <c r="AO1768" t="n">
        <v>0</v>
      </c>
      <c r="AP1768" t="n">
        <v>3</v>
      </c>
      <c r="AQ1768" t="n">
        <v>30</v>
      </c>
      <c r="AR1768" t="n">
        <v>129</v>
      </c>
      <c r="AS1768" t="n">
        <v>103</v>
      </c>
      <c r="AT1768" t="n">
        <v>0</v>
      </c>
      <c r="AU1768" t="n">
        <v>4</v>
      </c>
      <c r="AV1768" t="n">
        <v>1</v>
      </c>
      <c r="AW1768" t="n">
        <v>39</v>
      </c>
      <c r="AX1768" t="n">
        <v>0</v>
      </c>
      <c r="AY1768" t="n">
        <v>28</v>
      </c>
      <c r="AZ1768" t="n">
        <v>3</v>
      </c>
      <c r="BA1768" t="n">
        <v>9</v>
      </c>
      <c r="BB1768" t="n">
        <v>107</v>
      </c>
      <c r="BC1768" t="n">
        <v>49</v>
      </c>
      <c r="BD1768" t="n">
        <v>7</v>
      </c>
      <c r="BE1768" t="n">
        <v>39</v>
      </c>
      <c r="BF1768" t="n">
        <v>35</v>
      </c>
      <c r="BG1768" t="n">
        <v>5</v>
      </c>
      <c r="BH1768" t="n">
        <v>10</v>
      </c>
      <c r="BI1768" t="n">
        <v>119</v>
      </c>
      <c r="BJ1768" t="n">
        <v>106</v>
      </c>
      <c r="BK1768" t="n">
        <v>2</v>
      </c>
      <c r="BL1768" t="n">
        <v>1</v>
      </c>
      <c r="BM1768" t="n">
        <v>17</v>
      </c>
      <c r="BN1768" t="n">
        <v>10</v>
      </c>
      <c r="BO1768" t="n">
        <v>4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230</v>
      </c>
      <c r="Z1769" t="n">
        <v>142</v>
      </c>
      <c r="AA1769" t="n">
        <v>117</v>
      </c>
      <c r="AB1769" t="n">
        <v>1</v>
      </c>
      <c r="AC1769" t="n">
        <v>0</v>
      </c>
      <c r="AD1769" t="n">
        <v>1</v>
      </c>
      <c r="AE1769" t="n">
        <v>4</v>
      </c>
      <c r="AF1769" t="n">
        <v>3</v>
      </c>
      <c r="AG1769" t="n">
        <v>1</v>
      </c>
      <c r="AH1769" t="n">
        <v>2</v>
      </c>
      <c r="AI1769" t="n">
        <v>34</v>
      </c>
      <c r="AJ1769" t="n">
        <v>42</v>
      </c>
      <c r="AK1769" t="n">
        <v>16</v>
      </c>
      <c r="AL1769" t="n">
        <v>1</v>
      </c>
      <c r="AM1769" t="n">
        <v>37</v>
      </c>
      <c r="AN1769" t="n">
        <v>0</v>
      </c>
      <c r="AO1769" t="n">
        <v>0</v>
      </c>
      <c r="AP1769" t="n">
        <v>0</v>
      </c>
      <c r="AQ1769" t="n">
        <v>6</v>
      </c>
      <c r="AR1769" t="n">
        <v>60</v>
      </c>
      <c r="AS1769" t="n">
        <v>53</v>
      </c>
      <c r="AT1769" t="n">
        <v>1</v>
      </c>
      <c r="AU1769" t="n">
        <v>0</v>
      </c>
      <c r="AV1769" t="n">
        <v>1</v>
      </c>
      <c r="AW1769" t="n">
        <v>24</v>
      </c>
      <c r="AX1769" t="n">
        <v>2</v>
      </c>
      <c r="AY1769" t="n">
        <v>29</v>
      </c>
      <c r="AZ1769" t="n">
        <v>2</v>
      </c>
      <c r="BA1769" t="n">
        <v>7</v>
      </c>
      <c r="BB1769" t="n">
        <v>116</v>
      </c>
      <c r="BC1769" t="n">
        <v>41</v>
      </c>
      <c r="BD1769" t="n">
        <v>16</v>
      </c>
      <c r="BE1769" t="n">
        <v>25</v>
      </c>
      <c r="BF1769" t="n">
        <v>33</v>
      </c>
      <c r="BG1769" t="n">
        <v>1</v>
      </c>
      <c r="BH1769" t="n">
        <v>23</v>
      </c>
      <c r="BI1769" t="n">
        <v>12</v>
      </c>
      <c r="BJ1769" t="n">
        <v>10</v>
      </c>
      <c r="BK1769" t="n">
        <v>3</v>
      </c>
      <c r="BL1769" t="n">
        <v>11</v>
      </c>
      <c r="BM1769" t="n">
        <v>24</v>
      </c>
      <c r="BN1769" t="n">
        <v>11</v>
      </c>
      <c r="BO1769" t="n">
        <v>2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1</v>
      </c>
      <c r="F1770" t="n">
        <v>0</v>
      </c>
      <c r="G1770" t="n">
        <v>2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2</v>
      </c>
      <c r="X1770" t="n">
        <v>0</v>
      </c>
      <c r="Y1770" t="n">
        <v>246</v>
      </c>
      <c r="Z1770" t="n">
        <v>71</v>
      </c>
      <c r="AA1770" t="n">
        <v>48</v>
      </c>
      <c r="AB1770" t="n">
        <v>5</v>
      </c>
      <c r="AC1770" t="n">
        <v>1</v>
      </c>
      <c r="AD1770" t="n">
        <v>10</v>
      </c>
      <c r="AE1770" t="n">
        <v>2</v>
      </c>
      <c r="AF1770" t="n">
        <v>1</v>
      </c>
      <c r="AG1770" t="n">
        <v>0</v>
      </c>
      <c r="AH1770" t="n">
        <v>101</v>
      </c>
      <c r="AI1770" t="n">
        <v>2</v>
      </c>
      <c r="AJ1770" t="n">
        <v>32</v>
      </c>
      <c r="AK1770" t="n">
        <v>21</v>
      </c>
      <c r="AL1770" t="n">
        <v>3</v>
      </c>
      <c r="AM1770" t="n">
        <v>33</v>
      </c>
      <c r="AN1770" t="n">
        <v>1</v>
      </c>
      <c r="AO1770" t="n">
        <v>0</v>
      </c>
      <c r="AP1770" t="n">
        <v>3</v>
      </c>
      <c r="AQ1770" t="n">
        <v>10</v>
      </c>
      <c r="AR1770" t="n">
        <v>181</v>
      </c>
      <c r="AS1770" t="n">
        <v>165</v>
      </c>
      <c r="AT1770" t="n">
        <v>0</v>
      </c>
      <c r="AU1770" t="n">
        <v>1</v>
      </c>
      <c r="AV1770" t="n">
        <v>32</v>
      </c>
      <c r="AW1770" t="n">
        <v>10</v>
      </c>
      <c r="AX1770" t="n">
        <v>7</v>
      </c>
      <c r="AY1770" t="n">
        <v>22</v>
      </c>
      <c r="AZ1770" t="n">
        <v>2</v>
      </c>
      <c r="BA1770" t="n">
        <v>1</v>
      </c>
      <c r="BB1770" t="n">
        <v>48</v>
      </c>
      <c r="BC1770" t="n">
        <v>40</v>
      </c>
      <c r="BD1770" t="n">
        <v>93</v>
      </c>
      <c r="BE1770" t="n">
        <v>10</v>
      </c>
      <c r="BF1770" t="n">
        <v>25</v>
      </c>
      <c r="BG1770" t="n">
        <v>0</v>
      </c>
      <c r="BH1770" t="n">
        <v>16</v>
      </c>
      <c r="BI1770" t="n">
        <v>37</v>
      </c>
      <c r="BJ1770" t="n">
        <v>38</v>
      </c>
      <c r="BK1770" t="n">
        <v>3</v>
      </c>
      <c r="BL1770" t="n">
        <v>28</v>
      </c>
      <c r="BM1770" t="n">
        <v>19</v>
      </c>
      <c r="BN1770" t="n">
        <v>0</v>
      </c>
      <c r="BO1770" t="n">
        <v>131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3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128</v>
      </c>
      <c r="Z1771" t="n">
        <v>185</v>
      </c>
      <c r="AA1771" t="n">
        <v>61</v>
      </c>
      <c r="AB1771" t="n">
        <v>1</v>
      </c>
      <c r="AC1771" t="n">
        <v>3</v>
      </c>
      <c r="AD1771" t="n">
        <v>3</v>
      </c>
      <c r="AE1771" t="n">
        <v>3</v>
      </c>
      <c r="AF1771" t="n">
        <v>3</v>
      </c>
      <c r="AG1771" t="n">
        <v>3</v>
      </c>
      <c r="AH1771" t="n">
        <v>36</v>
      </c>
      <c r="AI1771" t="n">
        <v>15</v>
      </c>
      <c r="AJ1771" t="n">
        <v>24</v>
      </c>
      <c r="AK1771" t="n">
        <v>50</v>
      </c>
      <c r="AL1771" t="n">
        <v>5</v>
      </c>
      <c r="AM1771" t="n">
        <v>37</v>
      </c>
      <c r="AN1771" t="n">
        <v>1</v>
      </c>
      <c r="AO1771" t="n">
        <v>0</v>
      </c>
      <c r="AP1771" t="n">
        <v>0</v>
      </c>
      <c r="AQ1771" t="n">
        <v>6</v>
      </c>
      <c r="AR1771" t="n">
        <v>101</v>
      </c>
      <c r="AS1771" t="n">
        <v>92</v>
      </c>
      <c r="AT1771" t="n">
        <v>2</v>
      </c>
      <c r="AU1771" t="n">
        <v>1</v>
      </c>
      <c r="AV1771" t="n">
        <v>4</v>
      </c>
      <c r="AW1771" t="n">
        <v>7</v>
      </c>
      <c r="AX1771" t="n">
        <v>6</v>
      </c>
      <c r="AY1771" t="n">
        <v>0</v>
      </c>
      <c r="AZ1771" t="n">
        <v>0</v>
      </c>
      <c r="BA1771" t="n">
        <v>5</v>
      </c>
      <c r="BB1771" t="n">
        <v>63</v>
      </c>
      <c r="BC1771" t="n">
        <v>31</v>
      </c>
      <c r="BD1771" t="n">
        <v>38</v>
      </c>
      <c r="BE1771" t="n">
        <v>7</v>
      </c>
      <c r="BF1771" t="n">
        <v>16</v>
      </c>
      <c r="BG1771" t="n">
        <v>4</v>
      </c>
      <c r="BH1771" t="n">
        <v>0</v>
      </c>
      <c r="BI1771" t="n">
        <v>25</v>
      </c>
      <c r="BJ1771" t="n">
        <v>22</v>
      </c>
      <c r="BK1771" t="n">
        <v>2</v>
      </c>
      <c r="BL1771" t="n">
        <v>21</v>
      </c>
      <c r="BM1771" t="n">
        <v>30</v>
      </c>
      <c r="BN1771" t="n">
        <v>11</v>
      </c>
      <c r="BO1771" t="n">
        <v>32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246</v>
      </c>
      <c r="Z1772" t="n">
        <v>149</v>
      </c>
      <c r="AA1772" t="n">
        <v>88</v>
      </c>
      <c r="AB1772" t="n">
        <v>0</v>
      </c>
      <c r="AC1772" t="n">
        <v>0</v>
      </c>
      <c r="AD1772" t="n">
        <v>2</v>
      </c>
      <c r="AE1772" t="n">
        <v>0</v>
      </c>
      <c r="AF1772" t="n">
        <v>5</v>
      </c>
      <c r="AG1772" t="n">
        <v>5</v>
      </c>
      <c r="AH1772" t="n">
        <v>13</v>
      </c>
      <c r="AI1772" t="n">
        <v>2</v>
      </c>
      <c r="AJ1772" t="n">
        <v>48</v>
      </c>
      <c r="AK1772" t="n">
        <v>62</v>
      </c>
      <c r="AL1772" t="n">
        <v>1</v>
      </c>
      <c r="AM1772" t="n">
        <v>9</v>
      </c>
      <c r="AN1772" t="n">
        <v>1</v>
      </c>
      <c r="AO1772" t="n">
        <v>0</v>
      </c>
      <c r="AP1772" t="n">
        <v>3</v>
      </c>
      <c r="AQ1772" t="n">
        <v>4</v>
      </c>
      <c r="AR1772" t="n">
        <v>62</v>
      </c>
      <c r="AS1772" t="n">
        <v>56</v>
      </c>
      <c r="AT1772" t="n">
        <v>2</v>
      </c>
      <c r="AU1772" t="n">
        <v>1</v>
      </c>
      <c r="AV1772" t="n">
        <v>8</v>
      </c>
      <c r="AW1772" t="n">
        <v>10</v>
      </c>
      <c r="AX1772" t="n">
        <v>5</v>
      </c>
      <c r="AY1772" t="n">
        <v>131</v>
      </c>
      <c r="AZ1772" t="n">
        <v>0</v>
      </c>
      <c r="BA1772" t="n">
        <v>18</v>
      </c>
      <c r="BB1772" t="n">
        <v>103</v>
      </c>
      <c r="BC1772" t="n">
        <v>1</v>
      </c>
      <c r="BD1772" t="n">
        <v>38</v>
      </c>
      <c r="BE1772" t="n">
        <v>10</v>
      </c>
      <c r="BF1772" t="n">
        <v>38</v>
      </c>
      <c r="BG1772" t="n">
        <v>2</v>
      </c>
      <c r="BH1772" t="n">
        <v>11</v>
      </c>
      <c r="BI1772" t="n">
        <v>19</v>
      </c>
      <c r="BJ1772" t="n">
        <v>17</v>
      </c>
      <c r="BK1772" t="n">
        <v>0</v>
      </c>
      <c r="BL1772" t="n">
        <v>1</v>
      </c>
      <c r="BM1772" t="n">
        <v>71</v>
      </c>
      <c r="BN1772" t="n">
        <v>47</v>
      </c>
      <c r="BO1772" t="n">
        <v>7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2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3</v>
      </c>
      <c r="U1773" t="n">
        <v>0</v>
      </c>
      <c r="V1773" t="n">
        <v>0</v>
      </c>
      <c r="W1773" t="n">
        <v>0</v>
      </c>
      <c r="X1773" t="n">
        <v>0</v>
      </c>
      <c r="Y1773" t="n">
        <v>142</v>
      </c>
      <c r="Z1773" t="n">
        <v>286</v>
      </c>
      <c r="AA1773" t="n">
        <v>86</v>
      </c>
      <c r="AB1773" t="n">
        <v>2</v>
      </c>
      <c r="AC1773" t="n">
        <v>1</v>
      </c>
      <c r="AD1773" t="n">
        <v>1</v>
      </c>
      <c r="AE1773" t="n">
        <v>9</v>
      </c>
      <c r="AF1773" t="n">
        <v>3</v>
      </c>
      <c r="AG1773" t="n">
        <v>3</v>
      </c>
      <c r="AH1773" t="n">
        <v>15</v>
      </c>
      <c r="AI1773" t="n">
        <v>84</v>
      </c>
      <c r="AJ1773" t="n">
        <v>47</v>
      </c>
      <c r="AK1773" t="n">
        <v>62</v>
      </c>
      <c r="AL1773" t="n">
        <v>4</v>
      </c>
      <c r="AM1773" t="n">
        <v>65</v>
      </c>
      <c r="AN1773" t="n">
        <v>0</v>
      </c>
      <c r="AO1773" t="n">
        <v>0</v>
      </c>
      <c r="AP1773" t="n">
        <v>3</v>
      </c>
      <c r="AQ1773" t="n">
        <v>18</v>
      </c>
      <c r="AR1773" t="n">
        <v>139</v>
      </c>
      <c r="AS1773" t="n">
        <v>121</v>
      </c>
      <c r="AT1773" t="n">
        <v>2</v>
      </c>
      <c r="AU1773" t="n">
        <v>1</v>
      </c>
      <c r="AV1773" t="n">
        <v>1</v>
      </c>
      <c r="AW1773" t="n">
        <v>27</v>
      </c>
      <c r="AX1773" t="n">
        <v>2</v>
      </c>
      <c r="AY1773" t="n">
        <v>29</v>
      </c>
      <c r="AZ1773" t="n">
        <v>4</v>
      </c>
      <c r="BA1773" t="n">
        <v>58</v>
      </c>
      <c r="BB1773" t="n">
        <v>144</v>
      </c>
      <c r="BC1773" t="n">
        <v>54</v>
      </c>
      <c r="BD1773" t="n">
        <v>16</v>
      </c>
      <c r="BE1773" t="n">
        <v>27</v>
      </c>
      <c r="BF1773" t="n">
        <v>48</v>
      </c>
      <c r="BG1773" t="n">
        <v>2</v>
      </c>
      <c r="BH1773" t="n">
        <v>0</v>
      </c>
      <c r="BI1773" t="n">
        <v>1</v>
      </c>
      <c r="BJ1773" t="n">
        <v>10</v>
      </c>
      <c r="BK1773" t="n">
        <v>5</v>
      </c>
      <c r="BL1773" t="n">
        <v>44</v>
      </c>
      <c r="BM1773" t="n">
        <v>30</v>
      </c>
      <c r="BN1773" t="n">
        <v>0</v>
      </c>
      <c r="BO1773" t="n">
        <v>11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2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177</v>
      </c>
      <c r="Z1774" t="n">
        <v>185</v>
      </c>
      <c r="AA1774" t="n">
        <v>95</v>
      </c>
      <c r="AB1774" t="n">
        <v>2</v>
      </c>
      <c r="AC1774" t="n">
        <v>2</v>
      </c>
      <c r="AD1774" t="n">
        <v>9</v>
      </c>
      <c r="AE1774" t="n">
        <v>5</v>
      </c>
      <c r="AF1774" t="n">
        <v>2</v>
      </c>
      <c r="AG1774" t="n">
        <v>4</v>
      </c>
      <c r="AH1774" t="n">
        <v>53</v>
      </c>
      <c r="AI1774" t="n">
        <v>2</v>
      </c>
      <c r="AJ1774" t="n">
        <v>21</v>
      </c>
      <c r="AK1774" t="n">
        <v>30</v>
      </c>
      <c r="AL1774" t="n">
        <v>4</v>
      </c>
      <c r="AM1774" t="n">
        <v>47</v>
      </c>
      <c r="AN1774" t="n">
        <v>0</v>
      </c>
      <c r="AO1774" t="n">
        <v>0</v>
      </c>
      <c r="AP1774" t="n">
        <v>0</v>
      </c>
      <c r="AQ1774" t="n">
        <v>1</v>
      </c>
      <c r="AR1774" t="n">
        <v>142</v>
      </c>
      <c r="AS1774" t="n">
        <v>130</v>
      </c>
      <c r="AT1774" t="n">
        <v>0</v>
      </c>
      <c r="AU1774" t="n">
        <v>2</v>
      </c>
      <c r="AV1774" t="n">
        <v>3</v>
      </c>
      <c r="AW1774" t="n">
        <v>14</v>
      </c>
      <c r="AX1774" t="n">
        <v>1</v>
      </c>
      <c r="AY1774" t="n">
        <v>104</v>
      </c>
      <c r="AZ1774" t="n">
        <v>0</v>
      </c>
      <c r="BA1774" t="n">
        <v>12</v>
      </c>
      <c r="BB1774" t="n">
        <v>103</v>
      </c>
      <c r="BC1774" t="n">
        <v>41</v>
      </c>
      <c r="BD1774" t="n">
        <v>46</v>
      </c>
      <c r="BE1774" t="n">
        <v>14</v>
      </c>
      <c r="BF1774" t="n">
        <v>23</v>
      </c>
      <c r="BG1774" t="n">
        <v>3</v>
      </c>
      <c r="BH1774" t="n">
        <v>1</v>
      </c>
      <c r="BI1774" t="n">
        <v>45</v>
      </c>
      <c r="BJ1774" t="n">
        <v>40</v>
      </c>
      <c r="BK1774" t="n">
        <v>3</v>
      </c>
      <c r="BL1774" t="n">
        <v>8</v>
      </c>
      <c r="BM1774" t="n">
        <v>44</v>
      </c>
      <c r="BN1774" t="n">
        <v>25</v>
      </c>
      <c r="BO1774" t="n">
        <v>2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242</v>
      </c>
      <c r="Z1775" t="n">
        <v>210</v>
      </c>
      <c r="AA1775" t="n">
        <v>45</v>
      </c>
      <c r="AB1775" t="n">
        <v>2</v>
      </c>
      <c r="AC1775" t="n">
        <v>2</v>
      </c>
      <c r="AD1775" t="n">
        <v>1</v>
      </c>
      <c r="AE1775" t="n">
        <v>3</v>
      </c>
      <c r="AF1775" t="n">
        <v>2</v>
      </c>
      <c r="AG1775" t="n">
        <v>6</v>
      </c>
      <c r="AH1775" t="n">
        <v>2</v>
      </c>
      <c r="AI1775" t="n">
        <v>59</v>
      </c>
      <c r="AJ1775" t="n">
        <v>21</v>
      </c>
      <c r="AK1775" t="n">
        <v>108</v>
      </c>
      <c r="AL1775" t="n">
        <v>6</v>
      </c>
      <c r="AM1775" t="n">
        <v>55</v>
      </c>
      <c r="AN1775" t="n">
        <v>0</v>
      </c>
      <c r="AO1775" t="n">
        <v>2</v>
      </c>
      <c r="AP1775" t="n">
        <v>2</v>
      </c>
      <c r="AQ1775" t="n">
        <v>3</v>
      </c>
      <c r="AR1775" t="n">
        <v>159</v>
      </c>
      <c r="AS1775" t="n">
        <v>148</v>
      </c>
      <c r="AT1775" t="n">
        <v>6</v>
      </c>
      <c r="AU1775" t="n">
        <v>1</v>
      </c>
      <c r="AV1775" t="n">
        <v>34</v>
      </c>
      <c r="AW1775" t="n">
        <v>1</v>
      </c>
      <c r="AX1775" t="n">
        <v>4</v>
      </c>
      <c r="AY1775" t="n">
        <v>-3</v>
      </c>
      <c r="AZ1775" t="n">
        <v>2</v>
      </c>
      <c r="BA1775" t="n">
        <v>8</v>
      </c>
      <c r="BB1775" t="n">
        <v>50</v>
      </c>
      <c r="BC1775" t="n">
        <v>57</v>
      </c>
      <c r="BD1775" t="n">
        <v>2</v>
      </c>
      <c r="BE1775" t="n">
        <v>10</v>
      </c>
      <c r="BF1775" t="n">
        <v>17</v>
      </c>
      <c r="BG1775" t="n">
        <v>1</v>
      </c>
      <c r="BH1775" t="n">
        <v>6</v>
      </c>
      <c r="BI1775" t="n">
        <v>27</v>
      </c>
      <c r="BJ1775" t="n">
        <v>24</v>
      </c>
      <c r="BK1775" t="n">
        <v>5</v>
      </c>
      <c r="BL1775" t="n">
        <v>66</v>
      </c>
      <c r="BM1775" t="n">
        <v>72</v>
      </c>
      <c r="BN1775" t="n">
        <v>19</v>
      </c>
      <c r="BO1775" t="n">
        <v>96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2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194</v>
      </c>
      <c r="Z1776" t="n">
        <v>119</v>
      </c>
      <c r="AA1776" t="n">
        <v>38</v>
      </c>
      <c r="AB1776" t="n">
        <v>3</v>
      </c>
      <c r="AC1776" t="n">
        <v>1</v>
      </c>
      <c r="AD1776" t="n">
        <v>3</v>
      </c>
      <c r="AE1776" t="n">
        <v>5</v>
      </c>
      <c r="AF1776" t="n">
        <v>3</v>
      </c>
      <c r="AG1776" t="n">
        <v>5</v>
      </c>
      <c r="AH1776" t="n">
        <v>29</v>
      </c>
      <c r="AI1776" t="n">
        <v>49</v>
      </c>
      <c r="AJ1776" t="n">
        <v>13</v>
      </c>
      <c r="AK1776" t="n">
        <v>33</v>
      </c>
      <c r="AL1776" t="n">
        <v>6</v>
      </c>
      <c r="AM1776" t="n">
        <v>44</v>
      </c>
      <c r="AN1776" t="n">
        <v>0</v>
      </c>
      <c r="AO1776" t="n">
        <v>0</v>
      </c>
      <c r="AP1776" t="n">
        <v>0</v>
      </c>
      <c r="AQ1776" t="n">
        <v>4</v>
      </c>
      <c r="AR1776" t="n">
        <v>53</v>
      </c>
      <c r="AS1776" t="n">
        <v>48</v>
      </c>
      <c r="AT1776" t="n">
        <v>5</v>
      </c>
      <c r="AU1776" t="n">
        <v>0</v>
      </c>
      <c r="AV1776" t="n">
        <v>71</v>
      </c>
      <c r="AW1776" t="n">
        <v>4</v>
      </c>
      <c r="AX1776" t="n">
        <v>2</v>
      </c>
      <c r="AY1776" t="n">
        <v>44</v>
      </c>
      <c r="AZ1776" t="n">
        <v>0</v>
      </c>
      <c r="BA1776" t="n">
        <v>1</v>
      </c>
      <c r="BB1776" t="n">
        <v>36</v>
      </c>
      <c r="BC1776" t="n">
        <v>37</v>
      </c>
      <c r="BD1776" t="n">
        <v>27</v>
      </c>
      <c r="BE1776" t="n">
        <v>4</v>
      </c>
      <c r="BF1776" t="n">
        <v>14</v>
      </c>
      <c r="BG1776" t="n">
        <v>1</v>
      </c>
      <c r="BH1776" t="n">
        <v>10</v>
      </c>
      <c r="BI1776" t="n">
        <v>1</v>
      </c>
      <c r="BJ1776" t="n">
        <v>6</v>
      </c>
      <c r="BK1776" t="n">
        <v>1</v>
      </c>
      <c r="BL1776" t="n">
        <v>13</v>
      </c>
      <c r="BM1776" t="n">
        <v>14</v>
      </c>
      <c r="BN1776" t="n">
        <v>4</v>
      </c>
      <c r="BO1776" t="n">
        <v>21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3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115</v>
      </c>
      <c r="Z1777" t="n">
        <v>233</v>
      </c>
      <c r="AA1777" t="n">
        <v>79</v>
      </c>
      <c r="AB1777" t="n">
        <v>3</v>
      </c>
      <c r="AC1777" t="n">
        <v>2</v>
      </c>
      <c r="AD1777" t="n">
        <v>8</v>
      </c>
      <c r="AE1777" t="n">
        <v>6</v>
      </c>
      <c r="AF1777" t="n">
        <v>2</v>
      </c>
      <c r="AG1777" t="n">
        <v>2</v>
      </c>
      <c r="AH1777" t="n">
        <v>48</v>
      </c>
      <c r="AI1777" t="n">
        <v>36</v>
      </c>
      <c r="AJ1777" t="n">
        <v>2</v>
      </c>
      <c r="AK1777" t="n">
        <v>15</v>
      </c>
      <c r="AL1777" t="n">
        <v>5</v>
      </c>
      <c r="AM1777" t="n">
        <v>28</v>
      </c>
      <c r="AN1777" t="n">
        <v>0</v>
      </c>
      <c r="AO1777" t="n">
        <v>0</v>
      </c>
      <c r="AP1777" t="n">
        <v>6</v>
      </c>
      <c r="AQ1777" t="n">
        <v>50</v>
      </c>
      <c r="AR1777" t="n">
        <v>135</v>
      </c>
      <c r="AS1777" t="n">
        <v>93</v>
      </c>
      <c r="AT1777" t="n">
        <v>0</v>
      </c>
      <c r="AU1777" t="n">
        <v>2</v>
      </c>
      <c r="AV1777" t="n">
        <v>2</v>
      </c>
      <c r="AW1777" t="n">
        <v>20</v>
      </c>
      <c r="AX1777" t="n">
        <v>0</v>
      </c>
      <c r="AY1777" t="n">
        <v>15</v>
      </c>
      <c r="AZ1777" t="n">
        <v>5</v>
      </c>
      <c r="BA1777" t="n">
        <v>16</v>
      </c>
      <c r="BB1777" t="n">
        <v>91</v>
      </c>
      <c r="BC1777" t="n">
        <v>23</v>
      </c>
      <c r="BD1777" t="n">
        <v>57</v>
      </c>
      <c r="BE1777" t="n">
        <v>20</v>
      </c>
      <c r="BF1777" t="n">
        <v>2</v>
      </c>
      <c r="BG1777" t="n">
        <v>0</v>
      </c>
      <c r="BH1777" t="n">
        <v>4</v>
      </c>
      <c r="BI1777" t="n">
        <v>1</v>
      </c>
      <c r="BJ1777" t="n">
        <v>19</v>
      </c>
      <c r="BK1777" t="n">
        <v>3</v>
      </c>
      <c r="BL1777" t="n">
        <v>69</v>
      </c>
      <c r="BM1777" t="n">
        <v>61</v>
      </c>
      <c r="BN1777" t="n">
        <v>11</v>
      </c>
      <c r="BO1777" t="n">
        <v>47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2</v>
      </c>
      <c r="F1778" t="n">
        <v>1</v>
      </c>
      <c r="G1778" t="n">
        <v>1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3</v>
      </c>
      <c r="U1778" t="n">
        <v>0</v>
      </c>
      <c r="V1778" t="n">
        <v>0</v>
      </c>
      <c r="W1778" t="n">
        <v>0</v>
      </c>
      <c r="X1778" t="n">
        <v>0</v>
      </c>
      <c r="Y1778" t="n">
        <v>386</v>
      </c>
      <c r="Z1778" t="n">
        <v>184</v>
      </c>
      <c r="AA1778" t="n">
        <v>161</v>
      </c>
      <c r="AB1778" t="n">
        <v>1</v>
      </c>
      <c r="AC1778" t="n">
        <v>3</v>
      </c>
      <c r="AD1778" t="n">
        <v>11</v>
      </c>
      <c r="AE1778" t="n">
        <v>3</v>
      </c>
      <c r="AF1778" t="n">
        <v>5</v>
      </c>
      <c r="AG1778" t="n">
        <v>8</v>
      </c>
      <c r="AH1778" t="n">
        <v>181</v>
      </c>
      <c r="AI1778" t="n">
        <v>14</v>
      </c>
      <c r="AJ1778" t="n">
        <v>40</v>
      </c>
      <c r="AK1778" t="n">
        <v>165</v>
      </c>
      <c r="AL1778" t="n">
        <v>2</v>
      </c>
      <c r="AM1778" t="n">
        <v>59</v>
      </c>
      <c r="AN1778" t="n">
        <v>0</v>
      </c>
      <c r="AO1778" t="n">
        <v>0</v>
      </c>
      <c r="AP1778" t="n">
        <v>2</v>
      </c>
      <c r="AQ1778" t="n">
        <v>6</v>
      </c>
      <c r="AR1778" t="n">
        <v>56</v>
      </c>
      <c r="AS1778" t="n">
        <v>51</v>
      </c>
      <c r="AT1778" t="n">
        <v>0</v>
      </c>
      <c r="AU1778" t="n">
        <v>3</v>
      </c>
      <c r="AV1778" t="n">
        <v>1</v>
      </c>
      <c r="AW1778" t="n">
        <v>11</v>
      </c>
      <c r="AX1778" t="n">
        <v>5</v>
      </c>
      <c r="AY1778" t="n">
        <v>49</v>
      </c>
      <c r="AZ1778" t="n">
        <v>3</v>
      </c>
      <c r="BA1778" t="n">
        <v>12</v>
      </c>
      <c r="BB1778" t="n">
        <v>159</v>
      </c>
      <c r="BC1778" t="n">
        <v>49</v>
      </c>
      <c r="BD1778" t="n">
        <v>164</v>
      </c>
      <c r="BE1778" t="n">
        <v>11</v>
      </c>
      <c r="BF1778" t="n">
        <v>32</v>
      </c>
      <c r="BG1778" t="n">
        <v>0</v>
      </c>
      <c r="BH1778" t="n">
        <v>8</v>
      </c>
      <c r="BI1778" t="n">
        <v>1</v>
      </c>
      <c r="BJ1778" t="n">
        <v>9</v>
      </c>
      <c r="BK1778" t="n">
        <v>2</v>
      </c>
      <c r="BL1778" t="n">
        <v>5</v>
      </c>
      <c r="BM1778" t="n">
        <v>53</v>
      </c>
      <c r="BN1778" t="n">
        <v>34</v>
      </c>
      <c r="BO1778" t="n">
        <v>2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145</v>
      </c>
      <c r="Z1779" t="n">
        <v>135</v>
      </c>
      <c r="AA1779" t="n">
        <v>73</v>
      </c>
      <c r="AB1779" t="n">
        <v>1</v>
      </c>
      <c r="AC1779" t="n">
        <v>0</v>
      </c>
      <c r="AD1779" t="n">
        <v>0</v>
      </c>
      <c r="AE1779" t="n">
        <v>4</v>
      </c>
      <c r="AF1779" t="n">
        <v>1</v>
      </c>
      <c r="AG1779" t="n">
        <v>5</v>
      </c>
      <c r="AH1779" t="n">
        <v>38</v>
      </c>
      <c r="AI1779" t="n">
        <v>13</v>
      </c>
      <c r="AJ1779" t="n">
        <v>2</v>
      </c>
      <c r="AK1779" t="n">
        <v>32</v>
      </c>
      <c r="AL1779" t="n">
        <v>2</v>
      </c>
      <c r="AM1779" t="n">
        <v>11</v>
      </c>
      <c r="AN1779" t="n">
        <v>0</v>
      </c>
      <c r="AO1779" t="n">
        <v>0</v>
      </c>
      <c r="AP1779" t="n">
        <v>1</v>
      </c>
      <c r="AQ1779" t="n">
        <v>19</v>
      </c>
      <c r="AR1779" t="n">
        <v>40</v>
      </c>
      <c r="AS1779" t="n">
        <v>25</v>
      </c>
      <c r="AT1779" t="n">
        <v>1</v>
      </c>
      <c r="AU1779" t="n">
        <v>2</v>
      </c>
      <c r="AV1779" t="n">
        <v>6</v>
      </c>
      <c r="AW1779" t="n">
        <v>36</v>
      </c>
      <c r="AX1779" t="n">
        <v>0</v>
      </c>
      <c r="AY1779" t="n">
        <v>29</v>
      </c>
      <c r="AZ1779" t="n">
        <v>0</v>
      </c>
      <c r="BA1779" t="n">
        <v>1</v>
      </c>
      <c r="BB1779" t="n">
        <v>71</v>
      </c>
      <c r="BC1779" t="n">
        <v>50</v>
      </c>
      <c r="BD1779" t="n">
        <v>39</v>
      </c>
      <c r="BE1779" t="n">
        <v>43</v>
      </c>
      <c r="BF1779" t="n">
        <v>2</v>
      </c>
      <c r="BG1779" t="n">
        <v>1</v>
      </c>
      <c r="BH1779" t="n">
        <v>8</v>
      </c>
      <c r="BI1779" t="n">
        <v>15</v>
      </c>
      <c r="BJ1779" t="n">
        <v>13</v>
      </c>
      <c r="BK1779" t="n">
        <v>1</v>
      </c>
      <c r="BL1779" t="n">
        <v>26</v>
      </c>
      <c r="BM1779" t="n">
        <v>25</v>
      </c>
      <c r="BN1779" t="n">
        <v>6</v>
      </c>
      <c r="BO1779" t="n">
        <v>23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2</v>
      </c>
      <c r="U1780" t="n">
        <v>0</v>
      </c>
      <c r="V1780" t="n">
        <v>0</v>
      </c>
      <c r="W1780" t="n">
        <v>0</v>
      </c>
      <c r="X1780" t="n">
        <v>0</v>
      </c>
      <c r="Y1780" t="n">
        <v>237</v>
      </c>
      <c r="Z1780" t="n">
        <v>226</v>
      </c>
      <c r="AA1780" t="n">
        <v>145</v>
      </c>
      <c r="AB1780" t="n">
        <v>3</v>
      </c>
      <c r="AC1780" t="n">
        <v>0</v>
      </c>
      <c r="AD1780" t="n">
        <v>5</v>
      </c>
      <c r="AE1780" t="n">
        <v>2</v>
      </c>
      <c r="AF1780" t="n">
        <v>2</v>
      </c>
      <c r="AG1780" t="n">
        <v>3</v>
      </c>
      <c r="AH1780" t="n">
        <v>86</v>
      </c>
      <c r="AI1780" t="n">
        <v>43</v>
      </c>
      <c r="AJ1780" t="n">
        <v>11</v>
      </c>
      <c r="AK1780" t="n">
        <v>50</v>
      </c>
      <c r="AL1780" t="n">
        <v>4</v>
      </c>
      <c r="AM1780" t="n">
        <v>85</v>
      </c>
      <c r="AN1780" t="n">
        <v>0</v>
      </c>
      <c r="AO1780" t="n">
        <v>0</v>
      </c>
      <c r="AP1780" t="n">
        <v>7</v>
      </c>
      <c r="AQ1780" t="n">
        <v>36</v>
      </c>
      <c r="AR1780" t="n">
        <v>114</v>
      </c>
      <c r="AS1780" t="n">
        <v>83</v>
      </c>
      <c r="AT1780" t="n">
        <v>6</v>
      </c>
      <c r="AU1780" t="n">
        <v>2</v>
      </c>
      <c r="AV1780" t="n">
        <v>51</v>
      </c>
      <c r="AW1780" t="n">
        <v>26</v>
      </c>
      <c r="AX1780" t="n">
        <v>0</v>
      </c>
      <c r="AY1780" t="n">
        <v>12</v>
      </c>
      <c r="AZ1780" t="n">
        <v>2</v>
      </c>
      <c r="BA1780" t="n">
        <v>22</v>
      </c>
      <c r="BB1780" t="n">
        <v>154</v>
      </c>
      <c r="BC1780" t="n">
        <v>82</v>
      </c>
      <c r="BD1780" t="n">
        <v>83</v>
      </c>
      <c r="BE1780" t="n">
        <v>27</v>
      </c>
      <c r="BF1780" t="n">
        <v>25</v>
      </c>
      <c r="BG1780" t="n">
        <v>3</v>
      </c>
      <c r="BH1780" t="n">
        <v>6</v>
      </c>
      <c r="BI1780" t="n">
        <v>31</v>
      </c>
      <c r="BJ1780" t="n">
        <v>27</v>
      </c>
      <c r="BK1780" t="n">
        <v>1</v>
      </c>
      <c r="BL1780" t="n">
        <v>11</v>
      </c>
      <c r="BM1780" t="n">
        <v>8</v>
      </c>
      <c r="BN1780" t="n">
        <v>0</v>
      </c>
      <c r="BO1780" t="n">
        <v>2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3</v>
      </c>
      <c r="H1781" t="n">
        <v>0</v>
      </c>
      <c r="I1781" t="n">
        <v>0</v>
      </c>
      <c r="J1781" t="n">
        <v>2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359</v>
      </c>
      <c r="Z1781" t="n">
        <v>299</v>
      </c>
      <c r="AA1781" t="n">
        <v>64</v>
      </c>
      <c r="AB1781" t="n">
        <v>2</v>
      </c>
      <c r="AC1781" t="n">
        <v>1</v>
      </c>
      <c r="AD1781" t="n">
        <v>6</v>
      </c>
      <c r="AE1781" t="n">
        <v>10</v>
      </c>
      <c r="AF1781" t="n">
        <v>6</v>
      </c>
      <c r="AG1781" t="n">
        <v>7</v>
      </c>
      <c r="AH1781" t="n">
        <v>69</v>
      </c>
      <c r="AI1781" t="n">
        <v>151</v>
      </c>
      <c r="AJ1781" t="n">
        <v>82</v>
      </c>
      <c r="AK1781" t="n">
        <v>96</v>
      </c>
      <c r="AL1781" t="n">
        <v>5</v>
      </c>
      <c r="AM1781" t="n">
        <v>40</v>
      </c>
      <c r="AN1781" t="n">
        <v>0</v>
      </c>
      <c r="AO1781" t="n">
        <v>0</v>
      </c>
      <c r="AP1781" t="n">
        <v>0</v>
      </c>
      <c r="AQ1781" t="n">
        <v>1</v>
      </c>
      <c r="AR1781" t="n">
        <v>205</v>
      </c>
      <c r="AS1781" t="n">
        <v>195</v>
      </c>
      <c r="AT1781" t="n">
        <v>3</v>
      </c>
      <c r="AU1781" t="n">
        <v>2</v>
      </c>
      <c r="AV1781" t="n">
        <v>29</v>
      </c>
      <c r="AW1781" t="n">
        <v>1</v>
      </c>
      <c r="AX1781" t="n">
        <v>1</v>
      </c>
      <c r="AY1781" t="n">
        <v>8</v>
      </c>
      <c r="AZ1781" t="n">
        <v>3</v>
      </c>
      <c r="BA1781" t="n">
        <v>24</v>
      </c>
      <c r="BB1781" t="n">
        <v>86</v>
      </c>
      <c r="BC1781" t="n">
        <v>34</v>
      </c>
      <c r="BD1781" t="n">
        <v>61</v>
      </c>
      <c r="BE1781" t="n">
        <v>4</v>
      </c>
      <c r="BF1781" t="n">
        <v>65</v>
      </c>
      <c r="BG1781" t="n">
        <v>4</v>
      </c>
      <c r="BH1781" t="n">
        <v>2</v>
      </c>
      <c r="BI1781" t="n">
        <v>73</v>
      </c>
      <c r="BJ1781" t="n">
        <v>75</v>
      </c>
      <c r="BK1781" t="n">
        <v>3</v>
      </c>
      <c r="BL1781" t="n">
        <v>8</v>
      </c>
      <c r="BM1781" t="n">
        <v>6</v>
      </c>
      <c r="BN1781" t="n">
        <v>0</v>
      </c>
      <c r="BO1781" t="n">
        <v>2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2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132</v>
      </c>
      <c r="Z1782" t="n">
        <v>234</v>
      </c>
      <c r="AA1782" t="n">
        <v>25</v>
      </c>
      <c r="AB1782" t="n">
        <v>2</v>
      </c>
      <c r="AC1782" t="n">
        <v>0</v>
      </c>
      <c r="AD1782" t="n">
        <v>1</v>
      </c>
      <c r="AE1782" t="n">
        <v>10</v>
      </c>
      <c r="AF1782" t="n">
        <v>1</v>
      </c>
      <c r="AG1782" t="n">
        <v>0</v>
      </c>
      <c r="AH1782" t="n">
        <v>12</v>
      </c>
      <c r="AI1782" t="n">
        <v>71</v>
      </c>
      <c r="AJ1782" t="n">
        <v>9</v>
      </c>
      <c r="AK1782" t="n">
        <v>9</v>
      </c>
      <c r="AL1782" t="n">
        <v>0</v>
      </c>
      <c r="AM1782" t="n">
        <v>10</v>
      </c>
      <c r="AN1782" t="n">
        <v>0</v>
      </c>
      <c r="AO1782" t="n">
        <v>0</v>
      </c>
      <c r="AP1782" t="n">
        <v>5</v>
      </c>
      <c r="AQ1782" t="n">
        <v>38</v>
      </c>
      <c r="AR1782" t="n">
        <v>161</v>
      </c>
      <c r="AS1782" t="n">
        <v>125</v>
      </c>
      <c r="AT1782" t="n">
        <v>1</v>
      </c>
      <c r="AU1782" t="n">
        <v>0</v>
      </c>
      <c r="AV1782" t="n">
        <v>33</v>
      </c>
      <c r="AW1782" t="n">
        <v>1</v>
      </c>
      <c r="AX1782" t="n">
        <v>0</v>
      </c>
      <c r="AY1782" t="n">
        <v>36</v>
      </c>
      <c r="AZ1782" t="n">
        <v>4</v>
      </c>
      <c r="BA1782" t="n">
        <v>23</v>
      </c>
      <c r="BB1782" t="n">
        <v>50</v>
      </c>
      <c r="BC1782" t="n">
        <v>12</v>
      </c>
      <c r="BD1782" t="n">
        <v>21</v>
      </c>
      <c r="BE1782" t="n">
        <v>15</v>
      </c>
      <c r="BF1782" t="n">
        <v>2</v>
      </c>
      <c r="BG1782" t="n">
        <v>0</v>
      </c>
      <c r="BH1782" t="n">
        <v>5</v>
      </c>
      <c r="BI1782" t="n">
        <v>1</v>
      </c>
      <c r="BJ1782" t="n">
        <v>4</v>
      </c>
      <c r="BK1782" t="n">
        <v>0</v>
      </c>
      <c r="BL1782" t="n">
        <v>1</v>
      </c>
      <c r="BM1782" t="n">
        <v>6</v>
      </c>
      <c r="BN1782" t="n">
        <v>3</v>
      </c>
      <c r="BO1782" t="n">
        <v>2</v>
      </c>
    </row>
    <row r="1783">
      <c r="A1783" t="n">
        <v>2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2</v>
      </c>
      <c r="N1783" t="n">
        <v>0</v>
      </c>
      <c r="O1783" t="n">
        <v>0</v>
      </c>
      <c r="P1783" t="n">
        <v>0</v>
      </c>
      <c r="Q1783" t="n">
        <v>0</v>
      </c>
      <c r="R1783" t="n">
        <v>2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257</v>
      </c>
      <c r="Z1783" t="n">
        <v>182</v>
      </c>
      <c r="AA1783" t="n">
        <v>7</v>
      </c>
      <c r="AB1783" t="n">
        <v>1</v>
      </c>
      <c r="AC1783" t="n">
        <v>1</v>
      </c>
      <c r="AD1783" t="n">
        <v>5</v>
      </c>
      <c r="AE1783" t="n">
        <v>3</v>
      </c>
      <c r="AF1783" t="n">
        <v>4</v>
      </c>
      <c r="AG1783" t="n">
        <v>6</v>
      </c>
      <c r="AH1783" t="n">
        <v>70</v>
      </c>
      <c r="AI1783" t="n">
        <v>6</v>
      </c>
      <c r="AJ1783" t="n">
        <v>98</v>
      </c>
      <c r="AK1783" t="n">
        <v>78</v>
      </c>
      <c r="AL1783" t="n">
        <v>6</v>
      </c>
      <c r="AM1783" t="n">
        <v>66</v>
      </c>
      <c r="AN1783" t="n">
        <v>0</v>
      </c>
      <c r="AO1783" t="n">
        <v>0</v>
      </c>
      <c r="AP1783" t="n">
        <v>4</v>
      </c>
      <c r="AQ1783" t="n">
        <v>39</v>
      </c>
      <c r="AR1783" t="n">
        <v>228</v>
      </c>
      <c r="AS1783" t="n">
        <v>193</v>
      </c>
      <c r="AT1783" t="n">
        <v>3</v>
      </c>
      <c r="AU1783" t="n">
        <v>1</v>
      </c>
      <c r="AV1783" t="n">
        <v>13</v>
      </c>
      <c r="AW1783" t="n">
        <v>27</v>
      </c>
      <c r="AX1783" t="n">
        <v>10</v>
      </c>
      <c r="AY1783" t="n">
        <v>37</v>
      </c>
      <c r="AZ1783" t="n">
        <v>2</v>
      </c>
      <c r="BA1783" t="n">
        <v>26</v>
      </c>
      <c r="BB1783" t="n">
        <v>36</v>
      </c>
      <c r="BC1783" t="n">
        <v>55</v>
      </c>
      <c r="BD1783" t="n">
        <v>73</v>
      </c>
      <c r="BE1783" t="n">
        <v>27</v>
      </c>
      <c r="BF1783" t="n">
        <v>80</v>
      </c>
      <c r="BG1783" t="n">
        <v>4</v>
      </c>
      <c r="BH1783" t="n">
        <v>0</v>
      </c>
      <c r="BI1783" t="n">
        <v>26</v>
      </c>
      <c r="BJ1783" t="n">
        <v>24</v>
      </c>
      <c r="BK1783" t="n">
        <v>4</v>
      </c>
      <c r="BL1783" t="n">
        <v>33</v>
      </c>
      <c r="BM1783" t="n">
        <v>22</v>
      </c>
      <c r="BN1783" t="n">
        <v>1</v>
      </c>
      <c r="BO1783" t="n">
        <v>14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189</v>
      </c>
      <c r="Z1784" t="n">
        <v>121</v>
      </c>
      <c r="AA1784" t="n">
        <v>56</v>
      </c>
      <c r="AB1784" t="n">
        <v>1</v>
      </c>
      <c r="AC1784" t="n">
        <v>0</v>
      </c>
      <c r="AD1784" t="n">
        <v>4</v>
      </c>
      <c r="AE1784" t="n">
        <v>4</v>
      </c>
      <c r="AF1784" t="n">
        <v>5</v>
      </c>
      <c r="AG1784" t="n">
        <v>3</v>
      </c>
      <c r="AH1784" t="n">
        <v>82</v>
      </c>
      <c r="AI1784" t="n">
        <v>15</v>
      </c>
      <c r="AJ1784" t="n">
        <v>31</v>
      </c>
      <c r="AK1784" t="n">
        <v>10</v>
      </c>
      <c r="AL1784" t="n">
        <v>5</v>
      </c>
      <c r="AM1784" t="n">
        <v>62</v>
      </c>
      <c r="AN1784" t="n">
        <v>0</v>
      </c>
      <c r="AO1784" t="n">
        <v>0</v>
      </c>
      <c r="AP1784" t="n">
        <v>0</v>
      </c>
      <c r="AQ1784" t="n">
        <v>1</v>
      </c>
      <c r="AR1784" t="n">
        <v>109</v>
      </c>
      <c r="AS1784" t="n">
        <v>99</v>
      </c>
      <c r="AT1784" t="n">
        <v>1</v>
      </c>
      <c r="AU1784" t="n">
        <v>1</v>
      </c>
      <c r="AV1784" t="n">
        <v>34</v>
      </c>
      <c r="AW1784" t="n">
        <v>4</v>
      </c>
      <c r="AX1784" t="n">
        <v>0</v>
      </c>
      <c r="AY1784" t="n">
        <v>67</v>
      </c>
      <c r="AZ1784" t="n">
        <v>0</v>
      </c>
      <c r="BA1784" t="n">
        <v>1</v>
      </c>
      <c r="BB1784" t="n">
        <v>55</v>
      </c>
      <c r="BC1784" t="n">
        <v>57</v>
      </c>
      <c r="BD1784" t="n">
        <v>86</v>
      </c>
      <c r="BE1784" t="n">
        <v>3</v>
      </c>
      <c r="BF1784" t="n">
        <v>26</v>
      </c>
      <c r="BG1784" t="n">
        <v>2</v>
      </c>
      <c r="BH1784" t="n">
        <v>2</v>
      </c>
      <c r="BI1784" t="n">
        <v>42</v>
      </c>
      <c r="BJ1784" t="n">
        <v>38</v>
      </c>
      <c r="BK1784" t="n">
        <v>2</v>
      </c>
      <c r="BL1784" t="n">
        <v>9</v>
      </c>
      <c r="BM1784" t="n">
        <v>27</v>
      </c>
      <c r="BN1784" t="n">
        <v>13</v>
      </c>
      <c r="BO1784" t="n">
        <v>23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2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173</v>
      </c>
      <c r="Z1785" t="n">
        <v>177</v>
      </c>
      <c r="AA1785" t="n">
        <v>91</v>
      </c>
      <c r="AB1785" t="n">
        <v>2</v>
      </c>
      <c r="AC1785" t="n">
        <v>1</v>
      </c>
      <c r="AD1785" t="n">
        <v>4</v>
      </c>
      <c r="AE1785" t="n">
        <v>0</v>
      </c>
      <c r="AF1785" t="n">
        <v>3</v>
      </c>
      <c r="AG1785" t="n">
        <v>1</v>
      </c>
      <c r="AH1785" t="n">
        <v>44</v>
      </c>
      <c r="AI1785" t="n">
        <v>2</v>
      </c>
      <c r="AJ1785" t="n">
        <v>28</v>
      </c>
      <c r="AK1785" t="n">
        <v>19</v>
      </c>
      <c r="AL1785" t="n">
        <v>6</v>
      </c>
      <c r="AM1785" t="n">
        <v>50</v>
      </c>
      <c r="AN1785" t="n">
        <v>0</v>
      </c>
      <c r="AO1785" t="n">
        <v>0</v>
      </c>
      <c r="AP1785" t="n">
        <v>3</v>
      </c>
      <c r="AQ1785" t="n">
        <v>10</v>
      </c>
      <c r="AR1785" t="n">
        <v>53</v>
      </c>
      <c r="AS1785" t="n">
        <v>43</v>
      </c>
      <c r="AT1785" t="n">
        <v>1</v>
      </c>
      <c r="AU1785" t="n">
        <v>2</v>
      </c>
      <c r="AV1785" t="n">
        <v>31</v>
      </c>
      <c r="AW1785" t="n">
        <v>20</v>
      </c>
      <c r="AX1785" t="n">
        <v>11</v>
      </c>
      <c r="AY1785" t="n">
        <v>64</v>
      </c>
      <c r="AZ1785" t="n">
        <v>2</v>
      </c>
      <c r="BA1785" t="n">
        <v>22</v>
      </c>
      <c r="BB1785" t="n">
        <v>109</v>
      </c>
      <c r="BC1785" t="n">
        <v>48</v>
      </c>
      <c r="BD1785" t="n">
        <v>39</v>
      </c>
      <c r="BE1785" t="n">
        <v>20</v>
      </c>
      <c r="BF1785" t="n">
        <v>23</v>
      </c>
      <c r="BG1785" t="n">
        <v>2</v>
      </c>
      <c r="BH1785" t="n">
        <v>5</v>
      </c>
      <c r="BI1785" t="n">
        <v>16</v>
      </c>
      <c r="BJ1785" t="n">
        <v>36</v>
      </c>
      <c r="BK1785" t="n">
        <v>3</v>
      </c>
      <c r="BL1785" t="n">
        <v>15</v>
      </c>
      <c r="BM1785" t="n">
        <v>13</v>
      </c>
      <c r="BN1785" t="n">
        <v>3</v>
      </c>
      <c r="BO1785" t="n">
        <v>25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171</v>
      </c>
      <c r="Z1786" t="n">
        <v>125</v>
      </c>
      <c r="AA1786" t="n">
        <v>56</v>
      </c>
      <c r="AB1786" t="n">
        <v>1</v>
      </c>
      <c r="AC1786" t="n">
        <v>0</v>
      </c>
      <c r="AD1786" t="n">
        <v>6</v>
      </c>
      <c r="AE1786" t="n">
        <v>3</v>
      </c>
      <c r="AF1786" t="n">
        <v>2</v>
      </c>
      <c r="AG1786" t="n">
        <v>7</v>
      </c>
      <c r="AH1786" t="n">
        <v>43</v>
      </c>
      <c r="AI1786" t="n">
        <v>62</v>
      </c>
      <c r="AJ1786" t="n">
        <v>9</v>
      </c>
      <c r="AK1786" t="n">
        <v>45</v>
      </c>
      <c r="AL1786" t="n">
        <v>3</v>
      </c>
      <c r="AM1786" t="n">
        <v>39</v>
      </c>
      <c r="AN1786" t="n">
        <v>0</v>
      </c>
      <c r="AO1786" t="n">
        <v>0</v>
      </c>
      <c r="AP1786" t="n">
        <v>5</v>
      </c>
      <c r="AQ1786" t="n">
        <v>27</v>
      </c>
      <c r="AR1786" t="n">
        <v>237</v>
      </c>
      <c r="AS1786" t="n">
        <v>212</v>
      </c>
      <c r="AT1786" t="n">
        <v>2</v>
      </c>
      <c r="AU1786" t="n">
        <v>0</v>
      </c>
      <c r="AV1786" t="n">
        <v>28</v>
      </c>
      <c r="AW1786" t="n">
        <v>3</v>
      </c>
      <c r="AX1786" t="n">
        <v>0</v>
      </c>
      <c r="AY1786" t="n">
        <v>28</v>
      </c>
      <c r="AZ1786" t="n">
        <v>0</v>
      </c>
      <c r="BA1786" t="n">
        <v>1</v>
      </c>
      <c r="BB1786" t="n">
        <v>55</v>
      </c>
      <c r="BC1786" t="n">
        <v>35</v>
      </c>
      <c r="BD1786" t="n">
        <v>38</v>
      </c>
      <c r="BE1786" t="n">
        <v>4</v>
      </c>
      <c r="BF1786" t="n">
        <v>17</v>
      </c>
      <c r="BG1786" t="n">
        <v>4</v>
      </c>
      <c r="BH1786" t="n">
        <v>15</v>
      </c>
      <c r="BI1786" t="n">
        <v>23</v>
      </c>
      <c r="BJ1786" t="n">
        <v>24</v>
      </c>
      <c r="BK1786" t="n">
        <v>5</v>
      </c>
      <c r="BL1786" t="n">
        <v>27</v>
      </c>
      <c r="BM1786" t="n">
        <v>44</v>
      </c>
      <c r="BN1786" t="n">
        <v>18</v>
      </c>
      <c r="BO1786" t="n">
        <v>51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373</v>
      </c>
      <c r="Z1787" t="n">
        <v>190</v>
      </c>
      <c r="AA1787" t="n">
        <v>18</v>
      </c>
      <c r="AB1787" t="n">
        <v>1</v>
      </c>
      <c r="AC1787" t="n">
        <v>2</v>
      </c>
      <c r="AD1787" t="n">
        <v>6</v>
      </c>
      <c r="AE1787" t="n">
        <v>4</v>
      </c>
      <c r="AF1787" t="n">
        <v>5</v>
      </c>
      <c r="AG1787" t="n">
        <v>3</v>
      </c>
      <c r="AH1787" t="n">
        <v>133</v>
      </c>
      <c r="AI1787" t="n">
        <v>28</v>
      </c>
      <c r="AJ1787" t="n">
        <v>50</v>
      </c>
      <c r="AK1787" t="n">
        <v>80</v>
      </c>
      <c r="AL1787" t="n">
        <v>3</v>
      </c>
      <c r="AM1787" t="n">
        <v>88</v>
      </c>
      <c r="AN1787" t="n">
        <v>0</v>
      </c>
      <c r="AO1787" t="n">
        <v>0</v>
      </c>
      <c r="AP1787" t="n">
        <v>0</v>
      </c>
      <c r="AQ1787" t="n">
        <v>1</v>
      </c>
      <c r="AR1787" t="n">
        <v>54</v>
      </c>
      <c r="AS1787" t="n">
        <v>49</v>
      </c>
      <c r="AT1787" t="n">
        <v>1</v>
      </c>
      <c r="AU1787" t="n">
        <v>1</v>
      </c>
      <c r="AV1787" t="n">
        <v>12</v>
      </c>
      <c r="AW1787" t="n">
        <v>14</v>
      </c>
      <c r="AX1787" t="n">
        <v>5</v>
      </c>
      <c r="AY1787" t="n">
        <v>58</v>
      </c>
      <c r="AZ1787" t="n">
        <v>0</v>
      </c>
      <c r="BA1787" t="n">
        <v>2</v>
      </c>
      <c r="BB1787" t="n">
        <v>19</v>
      </c>
      <c r="BC1787" t="n">
        <v>83</v>
      </c>
      <c r="BD1787" t="n">
        <v>132</v>
      </c>
      <c r="BE1787" t="n">
        <v>13</v>
      </c>
      <c r="BF1787" t="n">
        <v>40</v>
      </c>
      <c r="BG1787" t="n">
        <v>2</v>
      </c>
      <c r="BH1787" t="n">
        <v>10</v>
      </c>
      <c r="BI1787" t="n">
        <v>67</v>
      </c>
      <c r="BJ1787" t="n">
        <v>61</v>
      </c>
      <c r="BK1787" t="n">
        <v>1</v>
      </c>
      <c r="BL1787" t="n">
        <v>8</v>
      </c>
      <c r="BM1787" t="n">
        <v>7</v>
      </c>
      <c r="BN1787" t="n">
        <v>3</v>
      </c>
      <c r="BO1787" t="n">
        <v>18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243</v>
      </c>
      <c r="Z1788" t="n">
        <v>461</v>
      </c>
      <c r="AA1788" t="n">
        <v>7</v>
      </c>
      <c r="AB1788" t="n">
        <v>0</v>
      </c>
      <c r="AC1788" t="n">
        <v>0</v>
      </c>
      <c r="AD1788" t="n">
        <v>1</v>
      </c>
      <c r="AE1788" t="n">
        <v>5</v>
      </c>
      <c r="AF1788" t="n">
        <v>1</v>
      </c>
      <c r="AG1788" t="n">
        <v>3</v>
      </c>
      <c r="AH1788" t="n">
        <v>27</v>
      </c>
      <c r="AI1788" t="n">
        <v>28</v>
      </c>
      <c r="AJ1788" t="n">
        <v>23</v>
      </c>
      <c r="AK1788" t="n">
        <v>16</v>
      </c>
      <c r="AL1788" t="n">
        <v>9</v>
      </c>
      <c r="AM1788" t="n">
        <v>184</v>
      </c>
      <c r="AN1788" t="n">
        <v>0</v>
      </c>
      <c r="AO1788" t="n">
        <v>0</v>
      </c>
      <c r="AP1788" t="n">
        <v>3</v>
      </c>
      <c r="AQ1788" t="n">
        <v>12</v>
      </c>
      <c r="AR1788" t="n">
        <v>102</v>
      </c>
      <c r="AS1788" t="n">
        <v>89</v>
      </c>
      <c r="AT1788" t="n">
        <v>1</v>
      </c>
      <c r="AU1788" t="n">
        <v>1</v>
      </c>
      <c r="AV1788" t="n">
        <v>58</v>
      </c>
      <c r="AW1788" t="n">
        <v>23</v>
      </c>
      <c r="AX1788" t="n">
        <v>3</v>
      </c>
      <c r="AY1788" t="n">
        <v>1</v>
      </c>
      <c r="AZ1788" t="n">
        <v>0</v>
      </c>
      <c r="BA1788" t="n">
        <v>1</v>
      </c>
      <c r="BB1788" t="n">
        <v>8</v>
      </c>
      <c r="BC1788" t="n">
        <v>150</v>
      </c>
      <c r="BD1788" t="n">
        <v>31</v>
      </c>
      <c r="BE1788" t="n">
        <v>22</v>
      </c>
      <c r="BF1788" t="n">
        <v>18</v>
      </c>
      <c r="BG1788" t="n">
        <v>3</v>
      </c>
      <c r="BH1788" t="n">
        <v>6</v>
      </c>
      <c r="BI1788" t="n">
        <v>40</v>
      </c>
      <c r="BJ1788" t="n">
        <v>81</v>
      </c>
      <c r="BK1788" t="n">
        <v>1</v>
      </c>
      <c r="BL1788" t="n">
        <v>1</v>
      </c>
      <c r="BM1788" t="n">
        <v>1</v>
      </c>
      <c r="BN1788" t="n">
        <v>1</v>
      </c>
      <c r="BO1788" t="n">
        <v>37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222</v>
      </c>
      <c r="Z1789" t="n">
        <v>182</v>
      </c>
      <c r="AA1789" t="n">
        <v>57</v>
      </c>
      <c r="AB1789" t="n">
        <v>5</v>
      </c>
      <c r="AC1789" t="n">
        <v>0</v>
      </c>
      <c r="AD1789" t="n">
        <v>3</v>
      </c>
      <c r="AE1789" t="n">
        <v>4</v>
      </c>
      <c r="AF1789" t="n">
        <v>2</v>
      </c>
      <c r="AG1789" t="n">
        <v>3</v>
      </c>
      <c r="AH1789" t="n">
        <v>68</v>
      </c>
      <c r="AI1789" t="n">
        <v>32</v>
      </c>
      <c r="AJ1789" t="n">
        <v>19</v>
      </c>
      <c r="AK1789" t="n">
        <v>48</v>
      </c>
      <c r="AL1789" t="n">
        <v>2</v>
      </c>
      <c r="AM1789" t="n">
        <v>61</v>
      </c>
      <c r="AN1789" t="n">
        <v>0</v>
      </c>
      <c r="AO1789" t="n">
        <v>0</v>
      </c>
      <c r="AP1789" t="n">
        <v>1</v>
      </c>
      <c r="AQ1789" t="n">
        <v>16</v>
      </c>
      <c r="AR1789" t="n">
        <v>123</v>
      </c>
      <c r="AS1789" t="n">
        <v>106</v>
      </c>
      <c r="AT1789" t="n">
        <v>1</v>
      </c>
      <c r="AU1789" t="n">
        <v>1</v>
      </c>
      <c r="AV1789" t="n">
        <v>27</v>
      </c>
      <c r="AW1789" t="n">
        <v>14</v>
      </c>
      <c r="AX1789" t="n">
        <v>-1</v>
      </c>
      <c r="AY1789" t="n">
        <v>3</v>
      </c>
      <c r="AZ1789" t="n">
        <v>3</v>
      </c>
      <c r="BA1789" t="n">
        <v>27</v>
      </c>
      <c r="BB1789" t="n">
        <v>82</v>
      </c>
      <c r="BC1789" t="n">
        <v>72</v>
      </c>
      <c r="BD1789" t="n">
        <v>60</v>
      </c>
      <c r="BE1789" t="n">
        <v>15</v>
      </c>
      <c r="BF1789" t="n">
        <v>16</v>
      </c>
      <c r="BG1789" t="n">
        <v>3</v>
      </c>
      <c r="BH1789" t="n">
        <v>7</v>
      </c>
      <c r="BI1789" t="n">
        <v>36</v>
      </c>
      <c r="BJ1789" t="n">
        <v>33</v>
      </c>
      <c r="BK1789" t="n">
        <v>0</v>
      </c>
      <c r="BL1789" t="n">
        <v>1</v>
      </c>
      <c r="BM1789" t="n">
        <v>5</v>
      </c>
      <c r="BN1789" t="n">
        <v>3</v>
      </c>
      <c r="BO1789" t="n">
        <v>11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2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2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250</v>
      </c>
      <c r="Z1790" t="n">
        <v>144</v>
      </c>
      <c r="AA1790" t="n">
        <v>25</v>
      </c>
      <c r="AB1790" t="n">
        <v>2</v>
      </c>
      <c r="AC1790" t="n">
        <v>2</v>
      </c>
      <c r="AD1790" t="n">
        <v>3</v>
      </c>
      <c r="AE1790" t="n">
        <v>3</v>
      </c>
      <c r="AF1790" t="n">
        <v>2</v>
      </c>
      <c r="AG1790" t="n">
        <v>1</v>
      </c>
      <c r="AH1790" t="n">
        <v>70</v>
      </c>
      <c r="AI1790" t="n">
        <v>9</v>
      </c>
      <c r="AJ1790" t="n">
        <v>32</v>
      </c>
      <c r="AK1790" t="n">
        <v>75</v>
      </c>
      <c r="AL1790" t="n">
        <v>5</v>
      </c>
      <c r="AM1790" t="n">
        <v>27</v>
      </c>
      <c r="AN1790" t="n">
        <v>0</v>
      </c>
      <c r="AO1790" t="n">
        <v>0</v>
      </c>
      <c r="AP1790" t="n">
        <v>3</v>
      </c>
      <c r="AQ1790" t="n">
        <v>18</v>
      </c>
      <c r="AR1790" t="n">
        <v>146</v>
      </c>
      <c r="AS1790" t="n">
        <v>127</v>
      </c>
      <c r="AT1790" t="n">
        <v>2</v>
      </c>
      <c r="AU1790" t="n">
        <v>1</v>
      </c>
      <c r="AV1790" t="n">
        <v>19</v>
      </c>
      <c r="AW1790" t="n">
        <v>18</v>
      </c>
      <c r="AX1790" t="n">
        <v>0</v>
      </c>
      <c r="AY1790" t="n">
        <v>59</v>
      </c>
      <c r="AZ1790" t="n">
        <v>1</v>
      </c>
      <c r="BA1790" t="n">
        <v>23</v>
      </c>
      <c r="BB1790" t="n">
        <v>48</v>
      </c>
      <c r="BC1790" t="n">
        <v>21</v>
      </c>
      <c r="BD1790" t="n">
        <v>68</v>
      </c>
      <c r="BE1790" t="n">
        <v>21</v>
      </c>
      <c r="BF1790" t="n">
        <v>24</v>
      </c>
      <c r="BG1790" t="n">
        <v>6</v>
      </c>
      <c r="BH1790" t="n">
        <v>12</v>
      </c>
      <c r="BI1790" t="n">
        <v>48</v>
      </c>
      <c r="BJ1790" t="n">
        <v>45</v>
      </c>
      <c r="BK1790" t="n">
        <v>3</v>
      </c>
      <c r="BL1790" t="n">
        <v>33</v>
      </c>
      <c r="BM1790" t="n">
        <v>22</v>
      </c>
      <c r="BN1790" t="n">
        <v>1</v>
      </c>
      <c r="BO1790" t="n">
        <v>2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205</v>
      </c>
      <c r="Z1791" t="n">
        <v>113</v>
      </c>
      <c r="AA1791" t="n">
        <v>112</v>
      </c>
      <c r="AB1791" t="n">
        <v>0</v>
      </c>
      <c r="AC1791" t="n">
        <v>1</v>
      </c>
      <c r="AD1791" t="n">
        <v>5</v>
      </c>
      <c r="AE1791" t="n">
        <v>3</v>
      </c>
      <c r="AF1791" t="n">
        <v>7</v>
      </c>
      <c r="AG1791" t="n">
        <v>4</v>
      </c>
      <c r="AH1791" t="n">
        <v>27</v>
      </c>
      <c r="AI1791" t="n">
        <v>47</v>
      </c>
      <c r="AJ1791" t="n">
        <v>41</v>
      </c>
      <c r="AK1791" t="n">
        <v>7</v>
      </c>
      <c r="AL1791" t="n">
        <v>2</v>
      </c>
      <c r="AM1791" t="n">
        <v>13</v>
      </c>
      <c r="AN1791" t="n">
        <v>1</v>
      </c>
      <c r="AO1791" t="n">
        <v>1</v>
      </c>
      <c r="AP1791" t="n">
        <v>3</v>
      </c>
      <c r="AQ1791" t="n">
        <v>1</v>
      </c>
      <c r="AR1791" t="n">
        <v>24</v>
      </c>
      <c r="AS1791" t="n">
        <v>20</v>
      </c>
      <c r="AT1791" t="n">
        <v>2</v>
      </c>
      <c r="AU1791" t="n">
        <v>2</v>
      </c>
      <c r="AV1791" t="n">
        <v>14</v>
      </c>
      <c r="AW1791" t="n">
        <v>24</v>
      </c>
      <c r="AX1791" t="n">
        <v>0</v>
      </c>
      <c r="AY1791" t="n">
        <v>15</v>
      </c>
      <c r="AZ1791" t="n">
        <v>2</v>
      </c>
      <c r="BA1791" t="n">
        <v>1</v>
      </c>
      <c r="BB1791" t="n">
        <v>108</v>
      </c>
      <c r="BC1791" t="n">
        <v>14</v>
      </c>
      <c r="BD1791" t="n">
        <v>42</v>
      </c>
      <c r="BE1791" t="n">
        <v>24</v>
      </c>
      <c r="BF1791" t="n">
        <v>33</v>
      </c>
      <c r="BG1791" t="n">
        <v>2</v>
      </c>
      <c r="BH1791" t="n">
        <v>26</v>
      </c>
      <c r="BI1791" t="n">
        <v>20</v>
      </c>
      <c r="BJ1791" t="n">
        <v>56</v>
      </c>
      <c r="BK1791" t="n">
        <v>0</v>
      </c>
      <c r="BL1791" t="n">
        <v>8</v>
      </c>
      <c r="BM1791" t="n">
        <v>30</v>
      </c>
      <c r="BN1791" t="n">
        <v>16</v>
      </c>
      <c r="BO1791" t="n">
        <v>138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306</v>
      </c>
      <c r="Z1792" t="n">
        <v>292</v>
      </c>
      <c r="AA1792" t="n">
        <v>5</v>
      </c>
      <c r="AB1792" t="n">
        <v>2</v>
      </c>
      <c r="AC1792" t="n">
        <v>1</v>
      </c>
      <c r="AD1792" t="n">
        <v>6</v>
      </c>
      <c r="AE1792" t="n">
        <v>8</v>
      </c>
      <c r="AF1792" t="n">
        <v>4</v>
      </c>
      <c r="AG1792" t="n">
        <v>4</v>
      </c>
      <c r="AH1792" t="n">
        <v>74</v>
      </c>
      <c r="AI1792" t="n">
        <v>114</v>
      </c>
      <c r="AJ1792" t="n">
        <v>20</v>
      </c>
      <c r="AK1792" t="n">
        <v>12</v>
      </c>
      <c r="AL1792" t="n">
        <v>2</v>
      </c>
      <c r="AM1792" t="n">
        <v>24</v>
      </c>
      <c r="AN1792" t="n">
        <v>0</v>
      </c>
      <c r="AO1792" t="n">
        <v>0</v>
      </c>
      <c r="AP1792" t="n">
        <v>4</v>
      </c>
      <c r="AQ1792" t="n">
        <v>21</v>
      </c>
      <c r="AR1792" t="n">
        <v>170</v>
      </c>
      <c r="AS1792" t="n">
        <v>145</v>
      </c>
      <c r="AT1792" t="n">
        <v>1</v>
      </c>
      <c r="AU1792" t="n">
        <v>0</v>
      </c>
      <c r="AV1792" t="n">
        <v>10</v>
      </c>
      <c r="AW1792" t="n">
        <v>12</v>
      </c>
      <c r="AX1792" t="n">
        <v>2</v>
      </c>
      <c r="AY1792" t="n">
        <v>9</v>
      </c>
      <c r="AZ1792" t="n">
        <v>2</v>
      </c>
      <c r="BA1792" t="n">
        <v>37</v>
      </c>
      <c r="BB1792" t="n">
        <v>48</v>
      </c>
      <c r="BC1792" t="n">
        <v>19</v>
      </c>
      <c r="BD1792" t="n">
        <v>71</v>
      </c>
      <c r="BE1792" t="n">
        <v>11</v>
      </c>
      <c r="BF1792" t="n">
        <v>20</v>
      </c>
      <c r="BG1792" t="n">
        <v>2</v>
      </c>
      <c r="BH1792" t="n">
        <v>3</v>
      </c>
      <c r="BI1792" t="n">
        <v>30</v>
      </c>
      <c r="BJ1792" t="n">
        <v>38</v>
      </c>
      <c r="BK1792" t="n">
        <v>4</v>
      </c>
      <c r="BL1792" t="n">
        <v>31</v>
      </c>
      <c r="BM1792" t="n">
        <v>21</v>
      </c>
      <c r="BN1792" t="n">
        <v>0</v>
      </c>
      <c r="BO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3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318</v>
      </c>
      <c r="Z1793" t="n">
        <v>246</v>
      </c>
      <c r="AA1793" t="n">
        <v>155</v>
      </c>
      <c r="AB1793" t="n">
        <v>2</v>
      </c>
      <c r="AC1793" t="n">
        <v>1</v>
      </c>
      <c r="AD1793" t="n">
        <v>9</v>
      </c>
      <c r="AE1793" t="n">
        <v>6</v>
      </c>
      <c r="AF1793" t="n">
        <v>6</v>
      </c>
      <c r="AG1793" t="n">
        <v>6</v>
      </c>
      <c r="AH1793" t="n">
        <v>79</v>
      </c>
      <c r="AI1793" t="n">
        <v>101</v>
      </c>
      <c r="AJ1793" t="n">
        <v>37</v>
      </c>
      <c r="AK1793" t="n">
        <v>102</v>
      </c>
      <c r="AL1793" t="n">
        <v>8</v>
      </c>
      <c r="AM1793" t="n">
        <v>66</v>
      </c>
      <c r="AN1793" t="n">
        <v>0</v>
      </c>
      <c r="AO1793" t="n">
        <v>1</v>
      </c>
      <c r="AP1793" t="n">
        <v>6</v>
      </c>
      <c r="AQ1793" t="n">
        <v>85</v>
      </c>
      <c r="AR1793" t="n">
        <v>211</v>
      </c>
      <c r="AS1793" t="n">
        <v>138</v>
      </c>
      <c r="AT1793" t="n">
        <v>0</v>
      </c>
      <c r="AU1793" t="n">
        <v>2</v>
      </c>
      <c r="AV1793" t="n">
        <v>1</v>
      </c>
      <c r="AW1793" t="n">
        <v>15</v>
      </c>
      <c r="AX1793" t="n">
        <v>0</v>
      </c>
      <c r="AY1793" t="n">
        <v>76</v>
      </c>
      <c r="AZ1793" t="n">
        <v>1</v>
      </c>
      <c r="BA1793" t="n">
        <v>10</v>
      </c>
      <c r="BB1793" t="n">
        <v>150</v>
      </c>
      <c r="BC1793" t="n">
        <v>55</v>
      </c>
      <c r="BD1793" t="n">
        <v>71</v>
      </c>
      <c r="BE1793" t="n">
        <v>14</v>
      </c>
      <c r="BF1793" t="n">
        <v>29</v>
      </c>
      <c r="BG1793" t="n">
        <v>2</v>
      </c>
      <c r="BH1793" t="n">
        <v>20</v>
      </c>
      <c r="BI1793" t="n">
        <v>16</v>
      </c>
      <c r="BJ1793" t="n">
        <v>14</v>
      </c>
      <c r="BK1793" t="n">
        <v>6</v>
      </c>
      <c r="BL1793" t="n">
        <v>18</v>
      </c>
      <c r="BM1793" t="n">
        <v>29</v>
      </c>
      <c r="BN1793" t="n">
        <v>12</v>
      </c>
      <c r="BO1793" t="n">
        <v>40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222</v>
      </c>
      <c r="Z1794" t="n">
        <v>176</v>
      </c>
      <c r="AA1794" t="n">
        <v>117</v>
      </c>
      <c r="AB1794" t="n">
        <v>2</v>
      </c>
      <c r="AC1794" t="n">
        <v>0</v>
      </c>
      <c r="AD1794" t="n">
        <v>6</v>
      </c>
      <c r="AE1794" t="n">
        <v>5</v>
      </c>
      <c r="AF1794" t="n">
        <v>5</v>
      </c>
      <c r="AG1794" t="n">
        <v>2</v>
      </c>
      <c r="AH1794" t="n">
        <v>75</v>
      </c>
      <c r="AI1794" t="n">
        <v>98</v>
      </c>
      <c r="AJ1794" t="n">
        <v>54</v>
      </c>
      <c r="AK1794" t="n">
        <v>1</v>
      </c>
      <c r="AL1794" t="n">
        <v>5</v>
      </c>
      <c r="AM1794" t="n">
        <v>18</v>
      </c>
      <c r="AN1794" t="n">
        <v>0</v>
      </c>
      <c r="AO1794" t="n">
        <v>0</v>
      </c>
      <c r="AP1794" t="n">
        <v>8</v>
      </c>
      <c r="AQ1794" t="n">
        <v>68</v>
      </c>
      <c r="AR1794" t="n">
        <v>196</v>
      </c>
      <c r="AS1794" t="n">
        <v>133</v>
      </c>
      <c r="AT1794" t="n">
        <v>2</v>
      </c>
      <c r="AU1794" t="n">
        <v>0</v>
      </c>
      <c r="AV1794" t="n">
        <v>12</v>
      </c>
      <c r="AW1794" t="n">
        <v>1</v>
      </c>
      <c r="AX1794" t="n">
        <v>5</v>
      </c>
      <c r="AY1794" t="n">
        <v>49</v>
      </c>
      <c r="AZ1794" t="n">
        <v>0</v>
      </c>
      <c r="BA1794" t="n">
        <v>1</v>
      </c>
      <c r="BB1794" t="n">
        <v>114</v>
      </c>
      <c r="BC1794" t="n">
        <v>15</v>
      </c>
      <c r="BD1794" t="n">
        <v>67</v>
      </c>
      <c r="BE1794" t="n">
        <v>4</v>
      </c>
      <c r="BF1794" t="n">
        <v>42</v>
      </c>
      <c r="BG1794" t="n">
        <v>0</v>
      </c>
      <c r="BH1794" t="n">
        <v>10</v>
      </c>
      <c r="BI1794" t="n">
        <v>1</v>
      </c>
      <c r="BJ1794" t="n">
        <v>12</v>
      </c>
      <c r="BK1794" t="n">
        <v>3</v>
      </c>
      <c r="BL1794" t="n">
        <v>21</v>
      </c>
      <c r="BM1794" t="n">
        <v>24</v>
      </c>
      <c r="BN1794" t="n">
        <v>8</v>
      </c>
      <c r="BO1794" t="n">
        <v>14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2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188</v>
      </c>
      <c r="Z1795" t="n">
        <v>190</v>
      </c>
      <c r="AA1795" t="n">
        <v>67</v>
      </c>
      <c r="AB1795" t="n">
        <v>1</v>
      </c>
      <c r="AC1795" t="n">
        <v>1</v>
      </c>
      <c r="AD1795" t="n">
        <v>5</v>
      </c>
      <c r="AE1795" t="n">
        <v>2</v>
      </c>
      <c r="AF1795" t="n">
        <v>4</v>
      </c>
      <c r="AG1795" t="n">
        <v>4</v>
      </c>
      <c r="AH1795" t="n">
        <v>61</v>
      </c>
      <c r="AI1795" t="n">
        <v>42</v>
      </c>
      <c r="AJ1795" t="n">
        <v>2</v>
      </c>
      <c r="AK1795" t="n">
        <v>63</v>
      </c>
      <c r="AL1795" t="n">
        <v>2</v>
      </c>
      <c r="AM1795" t="n">
        <v>22</v>
      </c>
      <c r="AN1795" t="n">
        <v>0</v>
      </c>
      <c r="AO1795" t="n">
        <v>0</v>
      </c>
      <c r="AP1795" t="n">
        <v>4</v>
      </c>
      <c r="AQ1795" t="n">
        <v>65</v>
      </c>
      <c r="AR1795" t="n">
        <v>129</v>
      </c>
      <c r="AS1795" t="n">
        <v>71</v>
      </c>
      <c r="AT1795" t="n">
        <v>1</v>
      </c>
      <c r="AU1795" t="n">
        <v>1</v>
      </c>
      <c r="AV1795" t="n">
        <v>21</v>
      </c>
      <c r="AW1795" t="n">
        <v>24</v>
      </c>
      <c r="AX1795" t="n">
        <v>0</v>
      </c>
      <c r="AY1795" t="n">
        <v>26</v>
      </c>
      <c r="AZ1795" t="n">
        <v>0</v>
      </c>
      <c r="BA1795" t="n">
        <v>3</v>
      </c>
      <c r="BB1795" t="n">
        <v>65</v>
      </c>
      <c r="BC1795" t="n">
        <v>29</v>
      </c>
      <c r="BD1795" t="n">
        <v>49</v>
      </c>
      <c r="BE1795" t="n">
        <v>24</v>
      </c>
      <c r="BF1795" t="n">
        <v>5</v>
      </c>
      <c r="BG1795" t="n">
        <v>2</v>
      </c>
      <c r="BH1795" t="n">
        <v>0</v>
      </c>
      <c r="BI1795" t="n">
        <v>1</v>
      </c>
      <c r="BJ1795" t="n">
        <v>1</v>
      </c>
      <c r="BK1795" t="n">
        <v>5</v>
      </c>
      <c r="BL1795" t="n">
        <v>28</v>
      </c>
      <c r="BM1795" t="n">
        <v>35</v>
      </c>
      <c r="BN1795" t="n">
        <v>11</v>
      </c>
      <c r="BO1795" t="n">
        <v>25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3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2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143</v>
      </c>
      <c r="Z1796" t="n">
        <v>177</v>
      </c>
      <c r="AA1796" t="n">
        <v>97</v>
      </c>
      <c r="AB1796" t="n">
        <v>4</v>
      </c>
      <c r="AC1796" t="n">
        <v>1</v>
      </c>
      <c r="AD1796" t="n">
        <v>7</v>
      </c>
      <c r="AE1796" t="n">
        <v>5</v>
      </c>
      <c r="AF1796" t="n">
        <v>1</v>
      </c>
      <c r="AG1796" t="n">
        <v>1</v>
      </c>
      <c r="AH1796" t="n">
        <v>46</v>
      </c>
      <c r="AI1796" t="n">
        <v>24</v>
      </c>
      <c r="AJ1796" t="n">
        <v>19</v>
      </c>
      <c r="AK1796" t="n">
        <v>9</v>
      </c>
      <c r="AL1796" t="n">
        <v>1</v>
      </c>
      <c r="AM1796" t="n">
        <v>28</v>
      </c>
      <c r="AN1796" t="n">
        <v>1</v>
      </c>
      <c r="AO1796" t="n">
        <v>0</v>
      </c>
      <c r="AP1796" t="n">
        <v>3</v>
      </c>
      <c r="AQ1796" t="n">
        <v>-5</v>
      </c>
      <c r="AR1796" t="n">
        <v>73</v>
      </c>
      <c r="AS1796" t="n">
        <v>72</v>
      </c>
      <c r="AT1796" t="n">
        <v>1</v>
      </c>
      <c r="AU1796" t="n">
        <v>1</v>
      </c>
      <c r="AV1796" t="n">
        <v>27</v>
      </c>
      <c r="AW1796" t="n">
        <v>7</v>
      </c>
      <c r="AX1796" t="n">
        <v>0</v>
      </c>
      <c r="AY1796" t="n">
        <v>26</v>
      </c>
      <c r="AZ1796" t="n">
        <v>1</v>
      </c>
      <c r="BA1796" t="n">
        <v>1</v>
      </c>
      <c r="BB1796" t="n">
        <v>96</v>
      </c>
      <c r="BC1796" t="n">
        <v>23</v>
      </c>
      <c r="BD1796" t="n">
        <v>41</v>
      </c>
      <c r="BE1796" t="n">
        <v>7</v>
      </c>
      <c r="BF1796" t="n">
        <v>21</v>
      </c>
      <c r="BG1796" t="n">
        <v>1</v>
      </c>
      <c r="BH1796" t="n">
        <v>6</v>
      </c>
      <c r="BI1796" t="n">
        <v>33</v>
      </c>
      <c r="BJ1796" t="n">
        <v>33</v>
      </c>
      <c r="BK1796" t="n">
        <v>4</v>
      </c>
      <c r="BL1796" t="n">
        <v>52</v>
      </c>
      <c r="BM1796" t="n">
        <v>36</v>
      </c>
      <c r="BN1796" t="n">
        <v>2</v>
      </c>
      <c r="BO1796" t="n">
        <v>28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247</v>
      </c>
      <c r="Z1797" t="n">
        <v>242</v>
      </c>
      <c r="AA1797" t="n">
        <v>118</v>
      </c>
      <c r="AB1797" t="n">
        <v>0</v>
      </c>
      <c r="AC1797" t="n">
        <v>1</v>
      </c>
      <c r="AD1797" t="n">
        <v>3</v>
      </c>
      <c r="AE1797" t="n">
        <v>7</v>
      </c>
      <c r="AF1797" t="n">
        <v>3</v>
      </c>
      <c r="AG1797" t="n">
        <v>3</v>
      </c>
      <c r="AH1797" t="n">
        <v>47</v>
      </c>
      <c r="AI1797" t="n">
        <v>81</v>
      </c>
      <c r="AJ1797" t="n">
        <v>21</v>
      </c>
      <c r="AK1797" t="n">
        <v>44</v>
      </c>
      <c r="AL1797" t="n">
        <v>5</v>
      </c>
      <c r="AM1797" t="n">
        <v>39</v>
      </c>
      <c r="AN1797" t="n">
        <v>0</v>
      </c>
      <c r="AO1797" t="n">
        <v>0</v>
      </c>
      <c r="AP1797" t="n">
        <v>0</v>
      </c>
      <c r="AQ1797" t="n">
        <v>27</v>
      </c>
      <c r="AR1797" t="n">
        <v>121</v>
      </c>
      <c r="AS1797" t="n">
        <v>96</v>
      </c>
      <c r="AT1797" t="n">
        <v>4</v>
      </c>
      <c r="AU1797" t="n">
        <v>1</v>
      </c>
      <c r="AV1797" t="n">
        <v>90</v>
      </c>
      <c r="AW1797" t="n">
        <v>13</v>
      </c>
      <c r="AX1797" t="n">
        <v>9</v>
      </c>
      <c r="AY1797" t="n">
        <v>62</v>
      </c>
      <c r="AZ1797" t="n">
        <v>4</v>
      </c>
      <c r="BA1797" t="n">
        <v>40</v>
      </c>
      <c r="BB1797" t="n">
        <v>152</v>
      </c>
      <c r="BC1797" t="n">
        <v>36</v>
      </c>
      <c r="BD1797" t="n">
        <v>44</v>
      </c>
      <c r="BE1797" t="n">
        <v>13</v>
      </c>
      <c r="BF1797" t="n">
        <v>32</v>
      </c>
      <c r="BG1797" t="n">
        <v>3</v>
      </c>
      <c r="BH1797" t="n">
        <v>3</v>
      </c>
      <c r="BI1797" t="n">
        <v>23</v>
      </c>
      <c r="BJ1797" t="n">
        <v>20</v>
      </c>
      <c r="BK1797" t="n">
        <v>5</v>
      </c>
      <c r="BL1797" t="n">
        <v>39</v>
      </c>
      <c r="BM1797" t="n">
        <v>32</v>
      </c>
      <c r="BN1797" t="n">
        <v>4</v>
      </c>
      <c r="BO1797" t="n">
        <v>51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2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297</v>
      </c>
      <c r="Z1798" t="n">
        <v>230</v>
      </c>
      <c r="AA1798" t="n">
        <v>25</v>
      </c>
      <c r="AB1798" t="n">
        <v>1</v>
      </c>
      <c r="AC1798" t="n">
        <v>1</v>
      </c>
      <c r="AD1798" t="n">
        <v>2</v>
      </c>
      <c r="AE1798" t="n">
        <v>1</v>
      </c>
      <c r="AF1798" t="n">
        <v>2</v>
      </c>
      <c r="AG1798" t="n">
        <v>6</v>
      </c>
      <c r="AH1798" t="n">
        <v>83</v>
      </c>
      <c r="AI1798" t="n">
        <v>9</v>
      </c>
      <c r="AJ1798" t="n">
        <v>50</v>
      </c>
      <c r="AK1798" t="n">
        <v>38</v>
      </c>
      <c r="AL1798" t="n">
        <v>2</v>
      </c>
      <c r="AM1798" t="n">
        <v>5</v>
      </c>
      <c r="AN1798" t="n">
        <v>0</v>
      </c>
      <c r="AO1798" t="n">
        <v>0</v>
      </c>
      <c r="AP1798" t="n">
        <v>3</v>
      </c>
      <c r="AQ1798" t="n">
        <v>1</v>
      </c>
      <c r="AR1798" t="n">
        <v>128</v>
      </c>
      <c r="AS1798" t="n">
        <v>118</v>
      </c>
      <c r="AT1798" t="n">
        <v>6</v>
      </c>
      <c r="AU1798" t="n">
        <v>1</v>
      </c>
      <c r="AV1798" t="n">
        <v>74</v>
      </c>
      <c r="AW1798" t="n">
        <v>19</v>
      </c>
      <c r="AX1798" t="n">
        <v>0</v>
      </c>
      <c r="AY1798" t="n">
        <v>8</v>
      </c>
      <c r="AZ1798" t="n">
        <v>2</v>
      </c>
      <c r="BA1798" t="n">
        <v>11</v>
      </c>
      <c r="BB1798" t="n">
        <v>36</v>
      </c>
      <c r="BC1798" t="n">
        <v>11</v>
      </c>
      <c r="BD1798" t="n">
        <v>75</v>
      </c>
      <c r="BE1798" t="n">
        <v>22</v>
      </c>
      <c r="BF1798" t="n">
        <v>46</v>
      </c>
      <c r="BG1798" t="n">
        <v>1</v>
      </c>
      <c r="BH1798" t="n">
        <v>19</v>
      </c>
      <c r="BI1798" t="n">
        <v>3</v>
      </c>
      <c r="BJ1798" t="n">
        <v>5</v>
      </c>
      <c r="BK1798" t="n">
        <v>1</v>
      </c>
      <c r="BL1798" t="n">
        <v>13</v>
      </c>
      <c r="BM1798" t="n">
        <v>9</v>
      </c>
      <c r="BN1798" t="n">
        <v>0</v>
      </c>
      <c r="BO1798" t="n">
        <v>4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2</v>
      </c>
      <c r="Y1799" t="n">
        <v>92</v>
      </c>
      <c r="Z1799" t="n">
        <v>224</v>
      </c>
      <c r="AA1799" t="n">
        <v>-4</v>
      </c>
      <c r="AB1799" t="n">
        <v>1</v>
      </c>
      <c r="AC1799" t="n">
        <v>6</v>
      </c>
      <c r="AD1799" t="n">
        <v>0</v>
      </c>
      <c r="AE1799" t="n">
        <v>10</v>
      </c>
      <c r="AF1799" t="n">
        <v>5</v>
      </c>
      <c r="AG1799" t="n">
        <v>5</v>
      </c>
      <c r="AH1799" t="n">
        <v>2</v>
      </c>
      <c r="AI1799" t="n">
        <v>71</v>
      </c>
      <c r="AJ1799" t="n">
        <v>46</v>
      </c>
      <c r="AK1799" t="n">
        <v>10</v>
      </c>
      <c r="AL1799" t="n">
        <v>3</v>
      </c>
      <c r="AM1799" t="n">
        <v>35</v>
      </c>
      <c r="AN1799" t="n">
        <v>0</v>
      </c>
      <c r="AO1799" t="n">
        <v>0</v>
      </c>
      <c r="AP1799" t="n">
        <v>2</v>
      </c>
      <c r="AQ1799" t="n">
        <v>12</v>
      </c>
      <c r="AR1799" t="n">
        <v>137</v>
      </c>
      <c r="AS1799" t="n">
        <v>122</v>
      </c>
      <c r="AT1799" t="n">
        <v>2</v>
      </c>
      <c r="AU1799" t="n">
        <v>2</v>
      </c>
      <c r="AV1799" t="n">
        <v>3</v>
      </c>
      <c r="AW1799" t="n">
        <v>24</v>
      </c>
      <c r="AX1799" t="n">
        <v>6</v>
      </c>
      <c r="AY1799" t="n">
        <v>12</v>
      </c>
      <c r="AZ1799" t="n">
        <v>2</v>
      </c>
      <c r="BA1799" t="n">
        <v>14</v>
      </c>
      <c r="BB1799" t="n">
        <v>2</v>
      </c>
      <c r="BC1799" t="n">
        <v>30</v>
      </c>
      <c r="BD1799" t="n">
        <v>2</v>
      </c>
      <c r="BE1799" t="n">
        <v>24</v>
      </c>
      <c r="BF1799" t="n">
        <v>36</v>
      </c>
      <c r="BG1799" t="n">
        <v>3</v>
      </c>
      <c r="BH1799" t="n">
        <v>9</v>
      </c>
      <c r="BI1799" t="n">
        <v>16</v>
      </c>
      <c r="BJ1799" t="n">
        <v>14</v>
      </c>
      <c r="BK1799" t="n">
        <v>3</v>
      </c>
      <c r="BL1799" t="n">
        <v>10</v>
      </c>
      <c r="BM1799" t="n">
        <v>7</v>
      </c>
      <c r="BN1799" t="n">
        <v>1</v>
      </c>
      <c r="BO1799" t="n">
        <v>2</v>
      </c>
    </row>
    <row r="1800">
      <c r="A1800" t="n">
        <v>0</v>
      </c>
      <c r="B1800" t="n">
        <v>0</v>
      </c>
      <c r="C1800" t="n">
        <v>0</v>
      </c>
      <c r="D1800" t="n">
        <v>4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2</v>
      </c>
      <c r="N1800" t="n">
        <v>0</v>
      </c>
      <c r="O1800" t="n">
        <v>0</v>
      </c>
      <c r="P1800" t="n">
        <v>0</v>
      </c>
      <c r="Q1800" t="n">
        <v>0</v>
      </c>
      <c r="R1800" t="n">
        <v>2</v>
      </c>
      <c r="S1800" t="n">
        <v>0</v>
      </c>
      <c r="T1800" t="n">
        <v>3</v>
      </c>
      <c r="U1800" t="n">
        <v>0</v>
      </c>
      <c r="V1800" t="n">
        <v>0</v>
      </c>
      <c r="W1800" t="n">
        <v>0</v>
      </c>
      <c r="X1800" t="n">
        <v>0</v>
      </c>
      <c r="Y1800" t="n">
        <v>185</v>
      </c>
      <c r="Z1800" t="n">
        <v>177</v>
      </c>
      <c r="AA1800" t="n">
        <v>99</v>
      </c>
      <c r="AB1800" t="n">
        <v>6</v>
      </c>
      <c r="AC1800" t="n">
        <v>1</v>
      </c>
      <c r="AD1800" t="n">
        <v>4</v>
      </c>
      <c r="AE1800" t="n">
        <v>7</v>
      </c>
      <c r="AF1800" t="n">
        <v>5</v>
      </c>
      <c r="AG1800" t="n">
        <v>0</v>
      </c>
      <c r="AH1800" t="n">
        <v>13</v>
      </c>
      <c r="AI1800" t="n">
        <v>65</v>
      </c>
      <c r="AJ1800" t="n">
        <v>98</v>
      </c>
      <c r="AK1800" t="n">
        <v>1</v>
      </c>
      <c r="AL1800" t="n">
        <v>2</v>
      </c>
      <c r="AM1800" t="n">
        <v>21</v>
      </c>
      <c r="AN1800" t="n">
        <v>0</v>
      </c>
      <c r="AO1800" t="n">
        <v>0</v>
      </c>
      <c r="AP1800" t="n">
        <v>3</v>
      </c>
      <c r="AQ1800" t="n">
        <v>36</v>
      </c>
      <c r="AR1800" t="n">
        <v>72</v>
      </c>
      <c r="AS1800" t="n">
        <v>41</v>
      </c>
      <c r="AT1800" t="n">
        <v>4</v>
      </c>
      <c r="AU1800" t="n">
        <v>1</v>
      </c>
      <c r="AV1800" t="n">
        <v>44</v>
      </c>
      <c r="AW1800" t="n">
        <v>9</v>
      </c>
      <c r="AX1800" t="n">
        <v>4</v>
      </c>
      <c r="AY1800" t="n">
        <v>34</v>
      </c>
      <c r="AZ1800" t="n">
        <v>4</v>
      </c>
      <c r="BA1800" t="n">
        <v>37</v>
      </c>
      <c r="BB1800" t="n">
        <v>132</v>
      </c>
      <c r="BC1800" t="n">
        <v>17</v>
      </c>
      <c r="BD1800" t="n">
        <v>31</v>
      </c>
      <c r="BE1800" t="n">
        <v>9</v>
      </c>
      <c r="BF1800" t="n">
        <v>79</v>
      </c>
      <c r="BG1800" t="n">
        <v>3</v>
      </c>
      <c r="BH1800" t="n">
        <v>0</v>
      </c>
      <c r="BI1800" t="n">
        <v>1</v>
      </c>
      <c r="BJ1800" t="n">
        <v>10</v>
      </c>
      <c r="BK1800" t="n">
        <v>6</v>
      </c>
      <c r="BL1800" t="n">
        <v>15</v>
      </c>
      <c r="BM1800" t="n">
        <v>11</v>
      </c>
      <c r="BN1800" t="n">
        <v>0</v>
      </c>
      <c r="BO1800" t="n">
        <v>14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2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2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292</v>
      </c>
      <c r="Z1801" t="n">
        <v>269</v>
      </c>
      <c r="AA1801" t="n">
        <v>29</v>
      </c>
      <c r="AB1801" t="n">
        <v>2</v>
      </c>
      <c r="AC1801" t="n">
        <v>0</v>
      </c>
      <c r="AD1801" t="n">
        <v>2</v>
      </c>
      <c r="AE1801" t="n">
        <v>1</v>
      </c>
      <c r="AF1801" t="n">
        <v>7</v>
      </c>
      <c r="AG1801" t="n">
        <v>4</v>
      </c>
      <c r="AH1801" t="n">
        <v>41</v>
      </c>
      <c r="AI1801" t="n">
        <v>21</v>
      </c>
      <c r="AJ1801" t="n">
        <v>116</v>
      </c>
      <c r="AK1801" t="n">
        <v>15</v>
      </c>
      <c r="AL1801" t="n">
        <v>4</v>
      </c>
      <c r="AM1801" t="n">
        <v>91</v>
      </c>
      <c r="AN1801" t="n">
        <v>0</v>
      </c>
      <c r="AO1801" t="n">
        <v>0</v>
      </c>
      <c r="AP1801" t="n">
        <v>4</v>
      </c>
      <c r="AQ1801" t="n">
        <v>9</v>
      </c>
      <c r="AR1801" t="n">
        <v>130</v>
      </c>
      <c r="AS1801" t="n">
        <v>118</v>
      </c>
      <c r="AT1801" t="n">
        <v>5</v>
      </c>
      <c r="AU1801" t="n">
        <v>0</v>
      </c>
      <c r="AV1801" t="n">
        <v>64</v>
      </c>
      <c r="AW1801" t="n">
        <v>14</v>
      </c>
      <c r="AX1801" t="n">
        <v>9</v>
      </c>
      <c r="AY1801" t="n">
        <v>52</v>
      </c>
      <c r="AZ1801" t="n">
        <v>2</v>
      </c>
      <c r="BA1801" t="n">
        <v>12</v>
      </c>
      <c r="BB1801" t="n">
        <v>40</v>
      </c>
      <c r="BC1801" t="n">
        <v>77</v>
      </c>
      <c r="BD1801" t="n">
        <v>42</v>
      </c>
      <c r="BE1801" t="n">
        <v>14</v>
      </c>
      <c r="BF1801" t="n">
        <v>95</v>
      </c>
      <c r="BG1801" t="n">
        <v>4</v>
      </c>
      <c r="BH1801" t="n">
        <v>4</v>
      </c>
      <c r="BI1801" t="n">
        <v>57</v>
      </c>
      <c r="BJ1801" t="n">
        <v>53</v>
      </c>
      <c r="BK1801" t="n">
        <v>1</v>
      </c>
      <c r="BL1801" t="n">
        <v>8</v>
      </c>
      <c r="BM1801" t="n">
        <v>15</v>
      </c>
      <c r="BN1801" t="n">
        <v>7</v>
      </c>
      <c r="BO1801" t="n">
        <v>28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2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211</v>
      </c>
      <c r="Z1802" t="n">
        <v>119</v>
      </c>
      <c r="AA1802" t="n">
        <v>30</v>
      </c>
      <c r="AB1802" t="n">
        <v>1</v>
      </c>
      <c r="AC1802" t="n">
        <v>1</v>
      </c>
      <c r="AD1802" t="n">
        <v>3</v>
      </c>
      <c r="AE1802" t="n">
        <v>3</v>
      </c>
      <c r="AF1802" t="n">
        <v>3</v>
      </c>
      <c r="AG1802" t="n">
        <v>6</v>
      </c>
      <c r="AH1802" t="n">
        <v>60</v>
      </c>
      <c r="AI1802" t="n">
        <v>12</v>
      </c>
      <c r="AJ1802" t="n">
        <v>7</v>
      </c>
      <c r="AK1802" t="n">
        <v>60</v>
      </c>
      <c r="AL1802" t="n">
        <v>1</v>
      </c>
      <c r="AM1802" t="n">
        <v>2</v>
      </c>
      <c r="AN1802" t="n">
        <v>0</v>
      </c>
      <c r="AO1802" t="n">
        <v>0</v>
      </c>
      <c r="AP1802" t="n">
        <v>5</v>
      </c>
      <c r="AQ1802" t="n">
        <v>24</v>
      </c>
      <c r="AR1802" t="n">
        <v>55</v>
      </c>
      <c r="AS1802" t="n">
        <v>36</v>
      </c>
      <c r="AT1802" t="n">
        <v>3</v>
      </c>
      <c r="AU1802" t="n">
        <v>1</v>
      </c>
      <c r="AV1802" t="n">
        <v>25</v>
      </c>
      <c r="AW1802" t="n">
        <v>2</v>
      </c>
      <c r="AX1802" t="n">
        <v>6</v>
      </c>
      <c r="AY1802" t="n">
        <v>51</v>
      </c>
      <c r="AZ1802" t="n">
        <v>2</v>
      </c>
      <c r="BA1802" t="n">
        <v>16</v>
      </c>
      <c r="BB1802" t="n">
        <v>44</v>
      </c>
      <c r="BC1802" t="n">
        <v>6</v>
      </c>
      <c r="BD1802" t="n">
        <v>53</v>
      </c>
      <c r="BE1802" t="n">
        <v>3</v>
      </c>
      <c r="BF1802" t="n">
        <v>2</v>
      </c>
      <c r="BG1802" t="n">
        <v>1</v>
      </c>
      <c r="BH1802" t="n">
        <v>12</v>
      </c>
      <c r="BI1802" t="n">
        <v>15</v>
      </c>
      <c r="BJ1802" t="n">
        <v>13</v>
      </c>
      <c r="BK1802" t="n">
        <v>0</v>
      </c>
      <c r="BL1802" t="n">
        <v>1</v>
      </c>
      <c r="BM1802" t="n">
        <v>2</v>
      </c>
      <c r="BN1802" t="n">
        <v>0</v>
      </c>
      <c r="BO1802" t="n">
        <v>21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2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222</v>
      </c>
      <c r="Z1803" t="n">
        <v>242</v>
      </c>
      <c r="AA1803" t="n">
        <v>63</v>
      </c>
      <c r="AB1803" t="n">
        <v>2</v>
      </c>
      <c r="AC1803" t="n">
        <v>0</v>
      </c>
      <c r="AD1803" t="n">
        <v>3</v>
      </c>
      <c r="AE1803" t="n">
        <v>7</v>
      </c>
      <c r="AF1803" t="n">
        <v>7</v>
      </c>
      <c r="AG1803" t="n">
        <v>2</v>
      </c>
      <c r="AH1803" t="n">
        <v>2</v>
      </c>
      <c r="AI1803" t="n">
        <v>45</v>
      </c>
      <c r="AJ1803" t="n">
        <v>84</v>
      </c>
      <c r="AK1803" t="n">
        <v>1</v>
      </c>
      <c r="AL1803" t="n">
        <v>5</v>
      </c>
      <c r="AM1803" t="n">
        <v>84</v>
      </c>
      <c r="AN1803" t="n">
        <v>0</v>
      </c>
      <c r="AO1803" t="n">
        <v>0</v>
      </c>
      <c r="AP1803" t="n">
        <v>3</v>
      </c>
      <c r="AQ1803" t="n">
        <v>19</v>
      </c>
      <c r="AR1803" t="n">
        <v>155</v>
      </c>
      <c r="AS1803" t="n">
        <v>135</v>
      </c>
      <c r="AT1803" t="n">
        <v>3</v>
      </c>
      <c r="AU1803" t="n">
        <v>1</v>
      </c>
      <c r="AV1803" t="n">
        <v>9</v>
      </c>
      <c r="AW1803" t="n">
        <v>8</v>
      </c>
      <c r="AX1803" t="n">
        <v>0</v>
      </c>
      <c r="AY1803" t="n">
        <v>44</v>
      </c>
      <c r="AZ1803" t="n">
        <v>5</v>
      </c>
      <c r="BA1803" t="n">
        <v>92</v>
      </c>
      <c r="BB1803" t="n">
        <v>171</v>
      </c>
      <c r="BC1803" t="n">
        <v>80</v>
      </c>
      <c r="BD1803" t="n">
        <v>10</v>
      </c>
      <c r="BE1803" t="n">
        <v>13</v>
      </c>
      <c r="BF1803" t="n">
        <v>69</v>
      </c>
      <c r="BG1803" t="n">
        <v>2</v>
      </c>
      <c r="BH1803" t="n">
        <v>33</v>
      </c>
      <c r="BI1803" t="n">
        <v>16</v>
      </c>
      <c r="BJ1803" t="n">
        <v>13</v>
      </c>
      <c r="BK1803" t="n">
        <v>5</v>
      </c>
      <c r="BL1803" t="n">
        <v>19</v>
      </c>
      <c r="BM1803" t="n">
        <v>13</v>
      </c>
      <c r="BN1803" t="n">
        <v>0</v>
      </c>
      <c r="BO1803" t="n">
        <v>-3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112</v>
      </c>
      <c r="Z1804" t="n">
        <v>173</v>
      </c>
      <c r="AA1804" t="n">
        <v>7</v>
      </c>
      <c r="AB1804" t="n">
        <v>0</v>
      </c>
      <c r="AC1804" t="n">
        <v>1</v>
      </c>
      <c r="AD1804" t="n">
        <v>5</v>
      </c>
      <c r="AE1804" t="n">
        <v>3</v>
      </c>
      <c r="AF1804" t="n">
        <v>1</v>
      </c>
      <c r="AG1804" t="n">
        <v>2</v>
      </c>
      <c r="AH1804" t="n">
        <v>47</v>
      </c>
      <c r="AI1804" t="n">
        <v>45</v>
      </c>
      <c r="AJ1804" t="n">
        <v>2</v>
      </c>
      <c r="AK1804" t="n">
        <v>1</v>
      </c>
      <c r="AL1804" t="n">
        <v>4</v>
      </c>
      <c r="AM1804" t="n">
        <v>28</v>
      </c>
      <c r="AN1804" t="n">
        <v>1</v>
      </c>
      <c r="AO1804" t="n">
        <v>0</v>
      </c>
      <c r="AP1804" t="n">
        <v>2</v>
      </c>
      <c r="AQ1804" t="n">
        <v>3</v>
      </c>
      <c r="AR1804" t="n">
        <v>80</v>
      </c>
      <c r="AS1804" t="n">
        <v>73</v>
      </c>
      <c r="AT1804" t="n">
        <v>3</v>
      </c>
      <c r="AU1804" t="n">
        <v>1</v>
      </c>
      <c r="AV1804" t="n">
        <v>22</v>
      </c>
      <c r="AW1804" t="n">
        <v>37</v>
      </c>
      <c r="AX1804" t="n">
        <v>0</v>
      </c>
      <c r="AY1804" t="n">
        <v>21</v>
      </c>
      <c r="AZ1804" t="n">
        <v>4</v>
      </c>
      <c r="BA1804" t="n">
        <v>22</v>
      </c>
      <c r="BB1804" t="n">
        <v>32</v>
      </c>
      <c r="BC1804" t="n">
        <v>23</v>
      </c>
      <c r="BD1804" t="n">
        <v>44</v>
      </c>
      <c r="BE1804" t="n">
        <v>37</v>
      </c>
      <c r="BF1804" t="n">
        <v>2</v>
      </c>
      <c r="BG1804" t="n">
        <v>1</v>
      </c>
      <c r="BH1804" t="n">
        <v>5</v>
      </c>
      <c r="BI1804" t="n">
        <v>6</v>
      </c>
      <c r="BJ1804" t="n">
        <v>1</v>
      </c>
      <c r="BK1804" t="n">
        <v>2</v>
      </c>
      <c r="BL1804" t="n">
        <v>9</v>
      </c>
      <c r="BM1804" t="n">
        <v>7</v>
      </c>
      <c r="BN1804" t="n">
        <v>1</v>
      </c>
      <c r="BO1804" t="n">
        <v>28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2</v>
      </c>
      <c r="T1805" t="n">
        <v>1</v>
      </c>
      <c r="U1805" t="n">
        <v>1</v>
      </c>
      <c r="V1805" t="n">
        <v>0</v>
      </c>
      <c r="W1805" t="n">
        <v>0</v>
      </c>
      <c r="X1805" t="n">
        <v>0</v>
      </c>
      <c r="Y1805" t="n">
        <v>79</v>
      </c>
      <c r="Z1805" t="n">
        <v>146</v>
      </c>
      <c r="AA1805" t="n">
        <v>14</v>
      </c>
      <c r="AB1805" t="n">
        <v>2</v>
      </c>
      <c r="AC1805" t="n">
        <v>2</v>
      </c>
      <c r="AD1805" t="n">
        <v>1</v>
      </c>
      <c r="AE1805" t="n">
        <v>1</v>
      </c>
      <c r="AF1805" t="n">
        <v>0</v>
      </c>
      <c r="AG1805" t="n">
        <v>5</v>
      </c>
      <c r="AH1805" t="n">
        <v>31</v>
      </c>
      <c r="AI1805" t="n">
        <v>9</v>
      </c>
      <c r="AJ1805" t="n">
        <v>21</v>
      </c>
      <c r="AK1805" t="n">
        <v>50</v>
      </c>
      <c r="AL1805" t="n">
        <v>1</v>
      </c>
      <c r="AM1805" t="n">
        <v>13</v>
      </c>
      <c r="AN1805" t="n">
        <v>0</v>
      </c>
      <c r="AO1805" t="n">
        <v>0</v>
      </c>
      <c r="AP1805" t="n">
        <v>1</v>
      </c>
      <c r="AQ1805" t="n">
        <v>1</v>
      </c>
      <c r="AR1805" t="n">
        <v>70</v>
      </c>
      <c r="AS1805" t="n">
        <v>63</v>
      </c>
      <c r="AT1805" t="n">
        <v>1</v>
      </c>
      <c r="AU1805" t="n">
        <v>1</v>
      </c>
      <c r="AV1805" t="n">
        <v>1</v>
      </c>
      <c r="AW1805" t="n">
        <v>28</v>
      </c>
      <c r="AX1805" t="n">
        <v>2</v>
      </c>
      <c r="AY1805" t="n">
        <v>20</v>
      </c>
      <c r="AZ1805" t="n">
        <v>0</v>
      </c>
      <c r="BA1805" t="n">
        <v>5</v>
      </c>
      <c r="BB1805" t="n">
        <v>18</v>
      </c>
      <c r="BC1805" t="n">
        <v>12</v>
      </c>
      <c r="BD1805" t="n">
        <v>28</v>
      </c>
      <c r="BE1805" t="n">
        <v>28</v>
      </c>
      <c r="BF1805" t="n">
        <v>19</v>
      </c>
      <c r="BG1805" t="n">
        <v>2</v>
      </c>
      <c r="BH1805" t="n">
        <v>3</v>
      </c>
      <c r="BI1805" t="n">
        <v>-1</v>
      </c>
      <c r="BJ1805" t="n">
        <v>5</v>
      </c>
      <c r="BK1805" t="n">
        <v>0</v>
      </c>
      <c r="BL1805" t="n">
        <v>1</v>
      </c>
      <c r="BM1805" t="n">
        <v>57</v>
      </c>
      <c r="BN1805" t="n">
        <v>39</v>
      </c>
      <c r="BO1805" t="n">
        <v>2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193</v>
      </c>
      <c r="Z1806" t="n">
        <v>231</v>
      </c>
      <c r="AA1806" t="n">
        <v>60</v>
      </c>
      <c r="AB1806" t="n">
        <v>1</v>
      </c>
      <c r="AC1806" t="n">
        <v>0</v>
      </c>
      <c r="AD1806" t="n">
        <v>2</v>
      </c>
      <c r="AE1806" t="n">
        <v>10</v>
      </c>
      <c r="AF1806" t="n">
        <v>3</v>
      </c>
      <c r="AG1806" t="n">
        <v>0</v>
      </c>
      <c r="AH1806" t="n">
        <v>32</v>
      </c>
      <c r="AI1806" t="n">
        <v>48</v>
      </c>
      <c r="AJ1806" t="n">
        <v>75</v>
      </c>
      <c r="AK1806" t="n">
        <v>1</v>
      </c>
      <c r="AL1806" t="n">
        <v>2</v>
      </c>
      <c r="AM1806" t="n">
        <v>96</v>
      </c>
      <c r="AN1806" t="n">
        <v>2</v>
      </c>
      <c r="AO1806" t="n">
        <v>0</v>
      </c>
      <c r="AP1806" t="n">
        <v>4</v>
      </c>
      <c r="AQ1806" t="n">
        <v>10</v>
      </c>
      <c r="AR1806" t="n">
        <v>135</v>
      </c>
      <c r="AS1806" t="n">
        <v>121</v>
      </c>
      <c r="AT1806" t="n">
        <v>2</v>
      </c>
      <c r="AU1806" t="n">
        <v>2</v>
      </c>
      <c r="AV1806" t="n">
        <v>18</v>
      </c>
      <c r="AW1806" t="n">
        <v>35</v>
      </c>
      <c r="AX1806" t="n">
        <v>1</v>
      </c>
      <c r="AY1806" t="n">
        <v>84</v>
      </c>
      <c r="AZ1806" t="n">
        <v>1</v>
      </c>
      <c r="BA1806" t="n">
        <v>3</v>
      </c>
      <c r="BB1806" t="n">
        <v>58</v>
      </c>
      <c r="BC1806" t="n">
        <v>86</v>
      </c>
      <c r="BD1806" t="n">
        <v>28</v>
      </c>
      <c r="BE1806" t="n">
        <v>36</v>
      </c>
      <c r="BF1806" t="n">
        <v>60</v>
      </c>
      <c r="BG1806" t="n">
        <v>1</v>
      </c>
      <c r="BH1806" t="n">
        <v>20</v>
      </c>
      <c r="BI1806" t="n">
        <v>14</v>
      </c>
      <c r="BJ1806" t="n">
        <v>12</v>
      </c>
      <c r="BK1806" t="n">
        <v>1</v>
      </c>
      <c r="BL1806" t="n">
        <v>1</v>
      </c>
      <c r="BM1806" t="n">
        <v>23</v>
      </c>
      <c r="BN1806" t="n">
        <v>14</v>
      </c>
      <c r="BO1806" t="n">
        <v>2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2</v>
      </c>
      <c r="U1807" t="n">
        <v>0</v>
      </c>
      <c r="V1807" t="n">
        <v>0</v>
      </c>
      <c r="W1807" t="n">
        <v>0</v>
      </c>
      <c r="X1807" t="n">
        <v>0</v>
      </c>
      <c r="Y1807" t="n">
        <v>178</v>
      </c>
      <c r="Z1807" t="n">
        <v>196</v>
      </c>
      <c r="AA1807" t="n">
        <v>51</v>
      </c>
      <c r="AB1807" t="n">
        <v>2</v>
      </c>
      <c r="AC1807" t="n">
        <v>2</v>
      </c>
      <c r="AD1807" t="n">
        <v>5</v>
      </c>
      <c r="AE1807" t="n">
        <v>9</v>
      </c>
      <c r="AF1807" t="n">
        <v>4</v>
      </c>
      <c r="AG1807" t="n">
        <v>3</v>
      </c>
      <c r="AH1807" t="n">
        <v>52</v>
      </c>
      <c r="AI1807" t="n">
        <v>71</v>
      </c>
      <c r="AJ1807" t="n">
        <v>46</v>
      </c>
      <c r="AK1807" t="n">
        <v>10</v>
      </c>
      <c r="AL1807" t="n">
        <v>3</v>
      </c>
      <c r="AM1807" t="n">
        <v>81</v>
      </c>
      <c r="AN1807" t="n">
        <v>0</v>
      </c>
      <c r="AO1807" t="n">
        <v>0</v>
      </c>
      <c r="AP1807" t="n">
        <v>4</v>
      </c>
      <c r="AQ1807" t="n">
        <v>29</v>
      </c>
      <c r="AR1807" t="n">
        <v>195</v>
      </c>
      <c r="AS1807" t="n">
        <v>169</v>
      </c>
      <c r="AT1807" t="n">
        <v>5</v>
      </c>
      <c r="AU1807" t="n">
        <v>0</v>
      </c>
      <c r="AV1807" t="n">
        <v>47</v>
      </c>
      <c r="AW1807" t="n">
        <v>1</v>
      </c>
      <c r="AX1807" t="n">
        <v>0</v>
      </c>
      <c r="AY1807" t="n">
        <v>45</v>
      </c>
      <c r="AZ1807" t="n">
        <v>1</v>
      </c>
      <c r="BA1807" t="n">
        <v>4</v>
      </c>
      <c r="BB1807" t="n">
        <v>50</v>
      </c>
      <c r="BC1807" t="n">
        <v>67</v>
      </c>
      <c r="BD1807" t="n">
        <v>46</v>
      </c>
      <c r="BE1807" t="n">
        <v>8</v>
      </c>
      <c r="BF1807" t="n">
        <v>36</v>
      </c>
      <c r="BG1807" t="n">
        <v>2</v>
      </c>
      <c r="BH1807" t="n">
        <v>8</v>
      </c>
      <c r="BI1807" t="n">
        <v>21</v>
      </c>
      <c r="BJ1807" t="n">
        <v>24</v>
      </c>
      <c r="BK1807" t="n">
        <v>0</v>
      </c>
      <c r="BL1807" t="n">
        <v>1</v>
      </c>
      <c r="BM1807" t="n">
        <v>9</v>
      </c>
      <c r="BN1807" t="n">
        <v>5</v>
      </c>
      <c r="BO1807" t="n">
        <v>14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215</v>
      </c>
      <c r="Z1808" t="n">
        <v>315</v>
      </c>
      <c r="AA1808" t="n">
        <v>32</v>
      </c>
      <c r="AB1808" t="n">
        <v>1</v>
      </c>
      <c r="AC1808" t="n">
        <v>0</v>
      </c>
      <c r="AD1808" t="n">
        <v>3</v>
      </c>
      <c r="AE1808" t="n">
        <v>8</v>
      </c>
      <c r="AF1808" t="n">
        <v>2</v>
      </c>
      <c r="AG1808" t="n">
        <v>1</v>
      </c>
      <c r="AH1808" t="n">
        <v>12</v>
      </c>
      <c r="AI1808" t="n">
        <v>69</v>
      </c>
      <c r="AJ1808" t="n">
        <v>32</v>
      </c>
      <c r="AK1808" t="n">
        <v>6</v>
      </c>
      <c r="AL1808" t="n">
        <v>10</v>
      </c>
      <c r="AM1808" t="n">
        <v>172</v>
      </c>
      <c r="AN1808" t="n">
        <v>2</v>
      </c>
      <c r="AO1808" t="n">
        <v>0</v>
      </c>
      <c r="AP1808" t="n">
        <v>7</v>
      </c>
      <c r="AQ1808" t="n">
        <v>35</v>
      </c>
      <c r="AR1808" t="n">
        <v>179</v>
      </c>
      <c r="AS1808" t="n">
        <v>143</v>
      </c>
      <c r="AT1808" t="n">
        <v>2</v>
      </c>
      <c r="AU1808" t="n">
        <v>0</v>
      </c>
      <c r="AV1808" t="n">
        <v>20</v>
      </c>
      <c r="AW1808" t="n">
        <v>6</v>
      </c>
      <c r="AX1808" t="n">
        <v>3</v>
      </c>
      <c r="AY1808" t="n">
        <v>54</v>
      </c>
      <c r="AZ1808" t="n">
        <v>5</v>
      </c>
      <c r="BA1808" t="n">
        <v>50</v>
      </c>
      <c r="BB1808" t="n">
        <v>88</v>
      </c>
      <c r="BC1808" t="n">
        <v>149</v>
      </c>
      <c r="BD1808" t="n">
        <v>7</v>
      </c>
      <c r="BE1808" t="n">
        <v>18</v>
      </c>
      <c r="BF1808" t="n">
        <v>36</v>
      </c>
      <c r="BG1808" t="n">
        <v>2</v>
      </c>
      <c r="BH1808" t="n">
        <v>0</v>
      </c>
      <c r="BI1808" t="n">
        <v>41</v>
      </c>
      <c r="BJ1808" t="n">
        <v>40</v>
      </c>
      <c r="BK1808" t="n">
        <v>3</v>
      </c>
      <c r="BL1808" t="n">
        <v>24</v>
      </c>
      <c r="BM1808" t="n">
        <v>19</v>
      </c>
      <c r="BN1808" t="n">
        <v>3</v>
      </c>
      <c r="BO1808" t="n">
        <v>18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214</v>
      </c>
      <c r="Z1809" t="n">
        <v>211</v>
      </c>
      <c r="AA1809" t="n">
        <v>60</v>
      </c>
      <c r="AB1809" t="n">
        <v>0</v>
      </c>
      <c r="AC1809" t="n">
        <v>1</v>
      </c>
      <c r="AD1809" t="n">
        <v>2</v>
      </c>
      <c r="AE1809" t="n">
        <v>5</v>
      </c>
      <c r="AF1809" t="n">
        <v>3</v>
      </c>
      <c r="AG1809" t="n">
        <v>1</v>
      </c>
      <c r="AH1809" t="n">
        <v>22</v>
      </c>
      <c r="AI1809" t="n">
        <v>15</v>
      </c>
      <c r="AJ1809" t="n">
        <v>48</v>
      </c>
      <c r="AK1809" t="n">
        <v>24</v>
      </c>
      <c r="AL1809" t="n">
        <v>1</v>
      </c>
      <c r="AM1809" t="n">
        <v>33</v>
      </c>
      <c r="AN1809" t="n">
        <v>0</v>
      </c>
      <c r="AO1809" t="n">
        <v>0</v>
      </c>
      <c r="AP1809" t="n">
        <v>7</v>
      </c>
      <c r="AQ1809" t="n">
        <v>50</v>
      </c>
      <c r="AR1809" t="n">
        <v>180</v>
      </c>
      <c r="AS1809" t="n">
        <v>133</v>
      </c>
      <c r="AT1809" t="n">
        <v>2</v>
      </c>
      <c r="AU1809" t="n">
        <v>0</v>
      </c>
      <c r="AV1809" t="n">
        <v>32</v>
      </c>
      <c r="AW1809" t="n">
        <v>13</v>
      </c>
      <c r="AX1809" t="n">
        <v>1</v>
      </c>
      <c r="AY1809" t="n">
        <v>53</v>
      </c>
      <c r="AZ1809" t="n">
        <v>1</v>
      </c>
      <c r="BA1809" t="n">
        <v>31</v>
      </c>
      <c r="BB1809" t="n">
        <v>90</v>
      </c>
      <c r="BC1809" t="n">
        <v>35</v>
      </c>
      <c r="BD1809" t="n">
        <v>19</v>
      </c>
      <c r="BE1809" t="n">
        <v>15</v>
      </c>
      <c r="BF1809" t="n">
        <v>38</v>
      </c>
      <c r="BG1809" t="n">
        <v>1</v>
      </c>
      <c r="BH1809" t="n">
        <v>10</v>
      </c>
      <c r="BI1809" t="n">
        <v>13</v>
      </c>
      <c r="BJ1809" t="n">
        <v>11</v>
      </c>
      <c r="BK1809" t="n">
        <v>3</v>
      </c>
      <c r="BL1809" t="n">
        <v>48</v>
      </c>
      <c r="BM1809" t="n">
        <v>32</v>
      </c>
      <c r="BN1809" t="n">
        <v>0</v>
      </c>
      <c r="BO1809" t="n">
        <v>37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</v>
      </c>
      <c r="U1810" t="n">
        <v>0</v>
      </c>
      <c r="V1810" t="n">
        <v>0</v>
      </c>
      <c r="W1810" t="n">
        <v>0</v>
      </c>
      <c r="X1810" t="n">
        <v>0</v>
      </c>
      <c r="Y1810" t="n">
        <v>163</v>
      </c>
      <c r="Z1810" t="n">
        <v>235</v>
      </c>
      <c r="AA1810" t="n">
        <v>26</v>
      </c>
      <c r="AB1810" t="n">
        <v>1</v>
      </c>
      <c r="AC1810" t="n">
        <v>4</v>
      </c>
      <c r="AD1810" t="n">
        <v>4</v>
      </c>
      <c r="AE1810" t="n">
        <v>5</v>
      </c>
      <c r="AF1810" t="n">
        <v>3</v>
      </c>
      <c r="AG1810" t="n">
        <v>5</v>
      </c>
      <c r="AH1810" t="n">
        <v>59</v>
      </c>
      <c r="AI1810" t="n">
        <v>44</v>
      </c>
      <c r="AJ1810" t="n">
        <v>15</v>
      </c>
      <c r="AK1810" t="n">
        <v>19</v>
      </c>
      <c r="AL1810" t="n">
        <v>2</v>
      </c>
      <c r="AM1810" t="n">
        <v>10</v>
      </c>
      <c r="AN1810" t="n">
        <v>0</v>
      </c>
      <c r="AO1810" t="n">
        <v>0</v>
      </c>
      <c r="AP1810" t="n">
        <v>11</v>
      </c>
      <c r="AQ1810" t="n">
        <v>53</v>
      </c>
      <c r="AR1810" t="n">
        <v>161</v>
      </c>
      <c r="AS1810" t="n">
        <v>114</v>
      </c>
      <c r="AT1810" t="n">
        <v>3</v>
      </c>
      <c r="AU1810" t="n">
        <v>2</v>
      </c>
      <c r="AV1810" t="n">
        <v>19</v>
      </c>
      <c r="AW1810" t="n">
        <v>24</v>
      </c>
      <c r="AX1810" t="n">
        <v>9</v>
      </c>
      <c r="AY1810" t="n">
        <v>44</v>
      </c>
      <c r="AZ1810" t="n">
        <v>8</v>
      </c>
      <c r="BA1810" t="n">
        <v>86</v>
      </c>
      <c r="BB1810" t="n">
        <v>126</v>
      </c>
      <c r="BC1810" t="n">
        <v>24</v>
      </c>
      <c r="BD1810" t="n">
        <v>59</v>
      </c>
      <c r="BE1810" t="n">
        <v>34</v>
      </c>
      <c r="BF1810" t="n">
        <v>12</v>
      </c>
      <c r="BG1810" t="n">
        <v>2</v>
      </c>
      <c r="BH1810" t="n">
        <v>0</v>
      </c>
      <c r="BI1810" t="n">
        <v>45</v>
      </c>
      <c r="BJ1810" t="n">
        <v>40</v>
      </c>
      <c r="BK1810" t="n">
        <v>2</v>
      </c>
      <c r="BL1810" t="n">
        <v>1</v>
      </c>
      <c r="BM1810" t="n">
        <v>7</v>
      </c>
      <c r="BN1810" t="n">
        <v>4</v>
      </c>
      <c r="BO1810" t="n">
        <v>37</v>
      </c>
    </row>
    <row r="1811">
      <c r="A1811" t="n">
        <v>0</v>
      </c>
      <c r="B1811" t="n">
        <v>0</v>
      </c>
      <c r="C1811" t="n">
        <v>0</v>
      </c>
      <c r="D1811" t="n">
        <v>2</v>
      </c>
      <c r="E1811" t="n">
        <v>0</v>
      </c>
      <c r="F1811" t="n">
        <v>0</v>
      </c>
      <c r="G1811" t="n">
        <v>2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2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334</v>
      </c>
      <c r="Z1811" t="n">
        <v>118</v>
      </c>
      <c r="AA1811" t="n">
        <v>59</v>
      </c>
      <c r="AB1811" t="n">
        <v>6</v>
      </c>
      <c r="AC1811" t="n">
        <v>1</v>
      </c>
      <c r="AD1811" t="n">
        <v>3</v>
      </c>
      <c r="AE1811" t="n">
        <v>2</v>
      </c>
      <c r="AF1811" t="n">
        <v>4</v>
      </c>
      <c r="AG1811" t="n">
        <v>5</v>
      </c>
      <c r="AH1811" t="n">
        <v>72</v>
      </c>
      <c r="AI1811" t="n">
        <v>19</v>
      </c>
      <c r="AJ1811" t="n">
        <v>37</v>
      </c>
      <c r="AK1811" t="n">
        <v>69</v>
      </c>
      <c r="AL1811" t="n">
        <v>0</v>
      </c>
      <c r="AM1811" t="n">
        <v>29</v>
      </c>
      <c r="AN1811" t="n">
        <v>0</v>
      </c>
      <c r="AO1811" t="n">
        <v>0</v>
      </c>
      <c r="AP1811" t="n">
        <v>3</v>
      </c>
      <c r="AQ1811" t="n">
        <v>102</v>
      </c>
      <c r="AR1811" t="n">
        <v>181</v>
      </c>
      <c r="AS1811" t="n">
        <v>91</v>
      </c>
      <c r="AT1811" t="n">
        <v>8</v>
      </c>
      <c r="AU1811" t="n">
        <v>1</v>
      </c>
      <c r="AV1811" t="n">
        <v>78</v>
      </c>
      <c r="AW1811" t="n">
        <v>12</v>
      </c>
      <c r="AX1811" t="n">
        <v>14</v>
      </c>
      <c r="AY1811" t="n">
        <v>73</v>
      </c>
      <c r="AZ1811" t="n">
        <v>4</v>
      </c>
      <c r="BA1811" t="n">
        <v>52</v>
      </c>
      <c r="BB1811" t="n">
        <v>114</v>
      </c>
      <c r="BC1811" t="n">
        <v>24</v>
      </c>
      <c r="BD1811" t="n">
        <v>70</v>
      </c>
      <c r="BE1811" t="n">
        <v>11</v>
      </c>
      <c r="BF1811" t="n">
        <v>40</v>
      </c>
      <c r="BG1811" t="n">
        <v>2</v>
      </c>
      <c r="BH1811" t="n">
        <v>12</v>
      </c>
      <c r="BI1811" t="n">
        <v>21</v>
      </c>
      <c r="BJ1811" t="n">
        <v>18</v>
      </c>
      <c r="BK1811" t="n">
        <v>0</v>
      </c>
      <c r="BL1811" t="n">
        <v>1</v>
      </c>
      <c r="BM1811" t="n">
        <v>38</v>
      </c>
      <c r="BN1811" t="n">
        <v>23</v>
      </c>
      <c r="BO1811" t="n">
        <v>18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77</v>
      </c>
      <c r="Z1812" t="n">
        <v>176</v>
      </c>
      <c r="AA1812" t="n">
        <v>108</v>
      </c>
      <c r="AB1812" t="n">
        <v>1</v>
      </c>
      <c r="AC1812" t="n">
        <v>1</v>
      </c>
      <c r="AD1812" t="n">
        <v>1</v>
      </c>
      <c r="AE1812" t="n">
        <v>4</v>
      </c>
      <c r="AF1812" t="n">
        <v>4</v>
      </c>
      <c r="AG1812" t="n">
        <v>1</v>
      </c>
      <c r="AH1812" t="n">
        <v>7</v>
      </c>
      <c r="AI1812" t="n">
        <v>21</v>
      </c>
      <c r="AJ1812" t="n">
        <v>36</v>
      </c>
      <c r="AK1812" t="n">
        <v>12</v>
      </c>
      <c r="AL1812" t="n">
        <v>1</v>
      </c>
      <c r="AM1812" t="n">
        <v>20</v>
      </c>
      <c r="AN1812" t="n">
        <v>0</v>
      </c>
      <c r="AO1812" t="n">
        <v>0</v>
      </c>
      <c r="AP1812" t="n">
        <v>1</v>
      </c>
      <c r="AQ1812" t="n">
        <v>18</v>
      </c>
      <c r="AR1812" t="n">
        <v>101</v>
      </c>
      <c r="AS1812" t="n">
        <v>84</v>
      </c>
      <c r="AT1812" t="n">
        <v>0</v>
      </c>
      <c r="AU1812" t="n">
        <v>2</v>
      </c>
      <c r="AV1812" t="n">
        <v>3</v>
      </c>
      <c r="AW1812" t="n">
        <v>26</v>
      </c>
      <c r="AX1812" t="n">
        <v>0</v>
      </c>
      <c r="AY1812" t="n">
        <v>10</v>
      </c>
      <c r="AZ1812" t="n">
        <v>0</v>
      </c>
      <c r="BA1812" t="n">
        <v>1</v>
      </c>
      <c r="BB1812" t="n">
        <v>106</v>
      </c>
      <c r="BC1812" t="n">
        <v>17</v>
      </c>
      <c r="BD1812" t="n">
        <v>6</v>
      </c>
      <c r="BE1812" t="n">
        <v>27</v>
      </c>
      <c r="BF1812" t="n">
        <v>33</v>
      </c>
      <c r="BG1812" t="n">
        <v>2</v>
      </c>
      <c r="BH1812" t="n">
        <v>1</v>
      </c>
      <c r="BI1812" t="n">
        <v>28</v>
      </c>
      <c r="BJ1812" t="n">
        <v>45</v>
      </c>
      <c r="BK1812" t="n">
        <v>6</v>
      </c>
      <c r="BL1812" t="n">
        <v>64</v>
      </c>
      <c r="BM1812" t="n">
        <v>42</v>
      </c>
      <c r="BN1812" t="n">
        <v>0</v>
      </c>
      <c r="BO1812" t="n">
        <v>54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2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2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126</v>
      </c>
      <c r="Z1813" t="n">
        <v>158</v>
      </c>
      <c r="AA1813" t="n">
        <v>44</v>
      </c>
      <c r="AB1813" t="n">
        <v>2</v>
      </c>
      <c r="AC1813" t="n">
        <v>2</v>
      </c>
      <c r="AD1813" t="n">
        <v>3</v>
      </c>
      <c r="AE1813" t="n">
        <v>6</v>
      </c>
      <c r="AF1813" t="n">
        <v>1</v>
      </c>
      <c r="AG1813" t="n">
        <v>6</v>
      </c>
      <c r="AH1813" t="n">
        <v>21</v>
      </c>
      <c r="AI1813" t="n">
        <v>10</v>
      </c>
      <c r="AJ1813" t="n">
        <v>10</v>
      </c>
      <c r="AK1813" t="n">
        <v>80</v>
      </c>
      <c r="AL1813" t="n">
        <v>3</v>
      </c>
      <c r="AM1813" t="n">
        <v>5</v>
      </c>
      <c r="AN1813" t="n">
        <v>0</v>
      </c>
      <c r="AO1813" t="n">
        <v>0</v>
      </c>
      <c r="AP1813" t="n">
        <v>2</v>
      </c>
      <c r="AQ1813" t="n">
        <v>9</v>
      </c>
      <c r="AR1813" t="n">
        <v>107</v>
      </c>
      <c r="AS1813" t="n">
        <v>96</v>
      </c>
      <c r="AT1813" t="n">
        <v>0</v>
      </c>
      <c r="AU1813" t="n">
        <v>1</v>
      </c>
      <c r="AV1813" t="n">
        <v>3</v>
      </c>
      <c r="AW1813" t="n">
        <v>4</v>
      </c>
      <c r="AX1813" t="n">
        <v>4</v>
      </c>
      <c r="AY1813" t="n">
        <v>46</v>
      </c>
      <c r="AZ1813" t="n">
        <v>4</v>
      </c>
      <c r="BA1813" t="n">
        <v>21</v>
      </c>
      <c r="BB1813" t="n">
        <v>63</v>
      </c>
      <c r="BC1813" t="n">
        <v>7</v>
      </c>
      <c r="BD1813" t="n">
        <v>18</v>
      </c>
      <c r="BE1813" t="n">
        <v>3</v>
      </c>
      <c r="BF1813" t="n">
        <v>6</v>
      </c>
      <c r="BG1813" t="n">
        <v>2</v>
      </c>
      <c r="BH1813" t="n">
        <v>0</v>
      </c>
      <c r="BI1813" t="n">
        <v>20</v>
      </c>
      <c r="BJ1813" t="n">
        <v>21</v>
      </c>
      <c r="BK1813" t="n">
        <v>0</v>
      </c>
      <c r="BL1813" t="n">
        <v>1</v>
      </c>
      <c r="BM1813" t="n">
        <v>8</v>
      </c>
      <c r="BN1813" t="n">
        <v>4</v>
      </c>
      <c r="BO1813" t="n">
        <v>2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4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224</v>
      </c>
      <c r="Z1814" t="n">
        <v>325</v>
      </c>
      <c r="AA1814" t="n">
        <v>21</v>
      </c>
      <c r="AB1814" t="n">
        <v>3</v>
      </c>
      <c r="AC1814" t="n">
        <v>0</v>
      </c>
      <c r="AD1814" t="n">
        <v>5</v>
      </c>
      <c r="AE1814" t="n">
        <v>4</v>
      </c>
      <c r="AF1814" t="n">
        <v>2</v>
      </c>
      <c r="AG1814" t="n">
        <v>3</v>
      </c>
      <c r="AH1814" t="n">
        <v>74</v>
      </c>
      <c r="AI1814" t="n">
        <v>30</v>
      </c>
      <c r="AJ1814" t="n">
        <v>9</v>
      </c>
      <c r="AK1814" t="n">
        <v>27</v>
      </c>
      <c r="AL1814" t="n">
        <v>4</v>
      </c>
      <c r="AM1814" t="n">
        <v>74</v>
      </c>
      <c r="AN1814" t="n">
        <v>0</v>
      </c>
      <c r="AO1814" t="n">
        <v>0</v>
      </c>
      <c r="AP1814" t="n">
        <v>8</v>
      </c>
      <c r="AQ1814" t="n">
        <v>87</v>
      </c>
      <c r="AR1814" t="n">
        <v>111</v>
      </c>
      <c r="AS1814" t="n">
        <v>36</v>
      </c>
      <c r="AT1814" t="n">
        <v>1</v>
      </c>
      <c r="AU1814" t="n">
        <v>1</v>
      </c>
      <c r="AV1814" t="n">
        <v>10</v>
      </c>
      <c r="AW1814" t="n">
        <v>47</v>
      </c>
      <c r="AX1814" t="n">
        <v>0</v>
      </c>
      <c r="AY1814" t="n">
        <v>35</v>
      </c>
      <c r="AZ1814" t="n">
        <v>0</v>
      </c>
      <c r="BA1814" t="n">
        <v>3</v>
      </c>
      <c r="BB1814" t="n">
        <v>21</v>
      </c>
      <c r="BC1814" t="n">
        <v>64</v>
      </c>
      <c r="BD1814" t="n">
        <v>72</v>
      </c>
      <c r="BE1814" t="n">
        <v>50</v>
      </c>
      <c r="BF1814" t="n">
        <v>11</v>
      </c>
      <c r="BG1814" t="n">
        <v>5</v>
      </c>
      <c r="BH1814" t="n">
        <v>2</v>
      </c>
      <c r="BI1814" t="n">
        <v>22</v>
      </c>
      <c r="BJ1814" t="n">
        <v>23</v>
      </c>
      <c r="BK1814" t="n">
        <v>4</v>
      </c>
      <c r="BL1814" t="n">
        <v>22</v>
      </c>
      <c r="BM1814" t="n">
        <v>18</v>
      </c>
      <c r="BN1814" t="n">
        <v>3</v>
      </c>
      <c r="BO1814" t="n">
        <v>75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156</v>
      </c>
      <c r="Z1815" t="n">
        <v>167</v>
      </c>
      <c r="AA1815" t="n">
        <v>108</v>
      </c>
      <c r="AB1815" t="n">
        <v>3</v>
      </c>
      <c r="AC1815" t="n">
        <v>1</v>
      </c>
      <c r="AD1815" t="n">
        <v>4</v>
      </c>
      <c r="AE1815" t="n">
        <v>5</v>
      </c>
      <c r="AF1815" t="n">
        <v>4</v>
      </c>
      <c r="AG1815" t="n">
        <v>5</v>
      </c>
      <c r="AH1815" t="n">
        <v>42</v>
      </c>
      <c r="AI1815" t="n">
        <v>27</v>
      </c>
      <c r="AJ1815" t="n">
        <v>22</v>
      </c>
      <c r="AK1815" t="n">
        <v>1</v>
      </c>
      <c r="AL1815" t="n">
        <v>2</v>
      </c>
      <c r="AM1815" t="n">
        <v>42</v>
      </c>
      <c r="AN1815" t="n">
        <v>0</v>
      </c>
      <c r="AO1815" t="n">
        <v>0</v>
      </c>
      <c r="AP1815" t="n">
        <v>4</v>
      </c>
      <c r="AQ1815" t="n">
        <v>10</v>
      </c>
      <c r="AR1815" t="n">
        <v>178</v>
      </c>
      <c r="AS1815" t="n">
        <v>162</v>
      </c>
      <c r="AT1815" t="n">
        <v>2</v>
      </c>
      <c r="AU1815" t="n">
        <v>0</v>
      </c>
      <c r="AV1815" t="n">
        <v>9</v>
      </c>
      <c r="AW1815" t="n">
        <v>24</v>
      </c>
      <c r="AX1815" t="n">
        <v>2</v>
      </c>
      <c r="AY1815" t="n">
        <v>0</v>
      </c>
      <c r="AZ1815" t="n">
        <v>2</v>
      </c>
      <c r="BA1815" t="n">
        <v>36</v>
      </c>
      <c r="BB1815" t="n">
        <v>139</v>
      </c>
      <c r="BC1815" t="n">
        <v>56</v>
      </c>
      <c r="BD1815" t="n">
        <v>35</v>
      </c>
      <c r="BE1815" t="n">
        <v>24</v>
      </c>
      <c r="BF1815" t="n">
        <v>25</v>
      </c>
      <c r="BG1815" t="n">
        <v>1</v>
      </c>
      <c r="BH1815" t="n">
        <v>19</v>
      </c>
      <c r="BI1815" t="n">
        <v>1</v>
      </c>
      <c r="BJ1815" t="n">
        <v>8</v>
      </c>
      <c r="BK1815" t="n">
        <v>1</v>
      </c>
      <c r="BL1815" t="n">
        <v>13</v>
      </c>
      <c r="BM1815" t="n">
        <v>57</v>
      </c>
      <c r="BN1815" t="n">
        <v>33</v>
      </c>
      <c r="BO1815" t="n">
        <v>2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401</v>
      </c>
      <c r="Z1816" t="n">
        <v>241</v>
      </c>
      <c r="AA1816" t="n">
        <v>57</v>
      </c>
      <c r="AB1816" t="n">
        <v>2</v>
      </c>
      <c r="AC1816" t="n">
        <v>1</v>
      </c>
      <c r="AD1816" t="n">
        <v>3</v>
      </c>
      <c r="AE1816" t="n">
        <v>5</v>
      </c>
      <c r="AF1816" t="n">
        <v>8</v>
      </c>
      <c r="AG1816" t="n">
        <v>8</v>
      </c>
      <c r="AH1816" t="n">
        <v>54</v>
      </c>
      <c r="AI1816" t="n">
        <v>47</v>
      </c>
      <c r="AJ1816" t="n">
        <v>111</v>
      </c>
      <c r="AK1816" t="n">
        <v>165</v>
      </c>
      <c r="AL1816" t="n">
        <v>5</v>
      </c>
      <c r="AM1816" t="n">
        <v>35</v>
      </c>
      <c r="AN1816" t="n">
        <v>0</v>
      </c>
      <c r="AO1816" t="n">
        <v>1</v>
      </c>
      <c r="AP1816" t="n">
        <v>4</v>
      </c>
      <c r="AQ1816" t="n">
        <v>18</v>
      </c>
      <c r="AR1816" t="n">
        <v>106</v>
      </c>
      <c r="AS1816" t="n">
        <v>90</v>
      </c>
      <c r="AT1816" t="n">
        <v>4</v>
      </c>
      <c r="AU1816" t="n">
        <v>3</v>
      </c>
      <c r="AV1816" t="n">
        <v>71</v>
      </c>
      <c r="AW1816" t="n">
        <v>33</v>
      </c>
      <c r="AX1816" t="n">
        <v>2</v>
      </c>
      <c r="AY1816" t="n">
        <v>62</v>
      </c>
      <c r="AZ1816" t="n">
        <v>1</v>
      </c>
      <c r="BA1816" t="n">
        <v>5</v>
      </c>
      <c r="BB1816" t="n">
        <v>58</v>
      </c>
      <c r="BC1816" t="n">
        <v>47</v>
      </c>
      <c r="BD1816" t="n">
        <v>52</v>
      </c>
      <c r="BE1816" t="n">
        <v>35</v>
      </c>
      <c r="BF1816" t="n">
        <v>87</v>
      </c>
      <c r="BG1816" t="n">
        <v>3</v>
      </c>
      <c r="BH1816" t="n">
        <v>5</v>
      </c>
      <c r="BI1816" t="n">
        <v>44</v>
      </c>
      <c r="BJ1816" t="n">
        <v>40</v>
      </c>
      <c r="BK1816" t="n">
        <v>0</v>
      </c>
      <c r="BL1816" t="n">
        <v>1</v>
      </c>
      <c r="BM1816" t="n">
        <v>42</v>
      </c>
      <c r="BN1816" t="n">
        <v>25</v>
      </c>
      <c r="BO1816" t="n">
        <v>14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126</v>
      </c>
      <c r="Z1817" t="n">
        <v>341</v>
      </c>
      <c r="AA1817" t="n">
        <v>35</v>
      </c>
      <c r="AB1817" t="n">
        <v>3</v>
      </c>
      <c r="AC1817" t="n">
        <v>1</v>
      </c>
      <c r="AD1817" t="n">
        <v>2</v>
      </c>
      <c r="AE1817" t="n">
        <v>12</v>
      </c>
      <c r="AF1817" t="n">
        <v>3</v>
      </c>
      <c r="AG1817" t="n">
        <v>5</v>
      </c>
      <c r="AH1817" t="n">
        <v>10</v>
      </c>
      <c r="AI1817" t="n">
        <v>114</v>
      </c>
      <c r="AJ1817" t="n">
        <v>19</v>
      </c>
      <c r="AK1817" t="n">
        <v>35</v>
      </c>
      <c r="AL1817" t="n">
        <v>6</v>
      </c>
      <c r="AM1817" t="n">
        <v>51</v>
      </c>
      <c r="AN1817" t="n">
        <v>0</v>
      </c>
      <c r="AO1817" t="n">
        <v>0</v>
      </c>
      <c r="AP1817" t="n">
        <v>3</v>
      </c>
      <c r="AQ1817" t="n">
        <v>35</v>
      </c>
      <c r="AR1817" t="n">
        <v>74</v>
      </c>
      <c r="AS1817" t="n">
        <v>46</v>
      </c>
      <c r="AT1817" t="n">
        <v>2</v>
      </c>
      <c r="AU1817" t="n">
        <v>3</v>
      </c>
      <c r="AV1817" t="n">
        <v>11</v>
      </c>
      <c r="AW1817" t="n">
        <v>26</v>
      </c>
      <c r="AX1817" t="n">
        <v>1</v>
      </c>
      <c r="AY1817" t="n">
        <v>93</v>
      </c>
      <c r="AZ1817" t="n">
        <v>4</v>
      </c>
      <c r="BA1817" t="n">
        <v>31</v>
      </c>
      <c r="BB1817" t="n">
        <v>67</v>
      </c>
      <c r="BC1817" t="n">
        <v>43</v>
      </c>
      <c r="BD1817" t="n">
        <v>15</v>
      </c>
      <c r="BE1817" t="n">
        <v>28</v>
      </c>
      <c r="BF1817" t="n">
        <v>20</v>
      </c>
      <c r="BG1817" t="n">
        <v>3</v>
      </c>
      <c r="BH1817" t="n">
        <v>0</v>
      </c>
      <c r="BI1817" t="n">
        <v>26</v>
      </c>
      <c r="BJ1817" t="n">
        <v>23</v>
      </c>
      <c r="BK1817" t="n">
        <v>0</v>
      </c>
      <c r="BL1817" t="n">
        <v>4</v>
      </c>
      <c r="BM1817" t="n">
        <v>7</v>
      </c>
      <c r="BN1817" t="n">
        <v>4</v>
      </c>
      <c r="BO1817" t="n">
        <v>7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3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2</v>
      </c>
      <c r="U1818" t="n">
        <v>0</v>
      </c>
      <c r="V1818" t="n">
        <v>0</v>
      </c>
      <c r="W1818" t="n">
        <v>0</v>
      </c>
      <c r="X1818" t="n">
        <v>0</v>
      </c>
      <c r="Y1818" t="n">
        <v>218</v>
      </c>
      <c r="Z1818" t="n">
        <v>222</v>
      </c>
      <c r="AA1818" t="n">
        <v>30</v>
      </c>
      <c r="AB1818" t="n">
        <v>4</v>
      </c>
      <c r="AC1818" t="n">
        <v>2</v>
      </c>
      <c r="AD1818" t="n">
        <v>4</v>
      </c>
      <c r="AE1818" t="n">
        <v>1</v>
      </c>
      <c r="AF1818" t="n">
        <v>3</v>
      </c>
      <c r="AG1818" t="n">
        <v>3</v>
      </c>
      <c r="AH1818" t="n">
        <v>64</v>
      </c>
      <c r="AI1818" t="n">
        <v>10</v>
      </c>
      <c r="AJ1818" t="n">
        <v>15</v>
      </c>
      <c r="AK1818" t="n">
        <v>95</v>
      </c>
      <c r="AL1818" t="n">
        <v>2</v>
      </c>
      <c r="AM1818" t="n">
        <v>44</v>
      </c>
      <c r="AN1818" t="n">
        <v>0</v>
      </c>
      <c r="AO1818" t="n">
        <v>0</v>
      </c>
      <c r="AP1818" t="n">
        <v>1</v>
      </c>
      <c r="AQ1818" t="n">
        <v>24</v>
      </c>
      <c r="AR1818" t="n">
        <v>58</v>
      </c>
      <c r="AS1818" t="n">
        <v>38</v>
      </c>
      <c r="AT1818" t="n">
        <v>1</v>
      </c>
      <c r="AU1818" t="n">
        <v>2</v>
      </c>
      <c r="AV1818" t="n">
        <v>1</v>
      </c>
      <c r="AW1818" t="n">
        <v>30</v>
      </c>
      <c r="AX1818" t="n">
        <v>8</v>
      </c>
      <c r="AY1818" t="n">
        <v>15</v>
      </c>
      <c r="AZ1818" t="n">
        <v>0</v>
      </c>
      <c r="BA1818" t="n">
        <v>3</v>
      </c>
      <c r="BB1818" t="n">
        <v>29</v>
      </c>
      <c r="BC1818" t="n">
        <v>37</v>
      </c>
      <c r="BD1818" t="n">
        <v>58</v>
      </c>
      <c r="BE1818" t="n">
        <v>29</v>
      </c>
      <c r="BF1818" t="n">
        <v>12</v>
      </c>
      <c r="BG1818" t="n">
        <v>4</v>
      </c>
      <c r="BH1818" t="n">
        <v>16</v>
      </c>
      <c r="BI1818" t="n">
        <v>30</v>
      </c>
      <c r="BJ1818" t="n">
        <v>27</v>
      </c>
      <c r="BK1818" t="n">
        <v>3</v>
      </c>
      <c r="BL1818" t="n">
        <v>11</v>
      </c>
      <c r="BM1818" t="n">
        <v>28</v>
      </c>
      <c r="BN1818" t="n">
        <v>13</v>
      </c>
      <c r="BO1818" t="n">
        <v>2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300</v>
      </c>
      <c r="Z1819" t="n">
        <v>245</v>
      </c>
      <c r="AA1819" t="n">
        <v>20</v>
      </c>
      <c r="AB1819" t="n">
        <v>1</v>
      </c>
      <c r="AC1819" t="n">
        <v>1</v>
      </c>
      <c r="AD1819" t="n">
        <v>3</v>
      </c>
      <c r="AE1819" t="n">
        <v>3</v>
      </c>
      <c r="AF1819" t="n">
        <v>2</v>
      </c>
      <c r="AG1819" t="n">
        <v>5</v>
      </c>
      <c r="AH1819" t="n">
        <v>45</v>
      </c>
      <c r="AI1819" t="n">
        <v>21</v>
      </c>
      <c r="AJ1819" t="n">
        <v>21</v>
      </c>
      <c r="AK1819" t="n">
        <v>72</v>
      </c>
      <c r="AL1819" t="n">
        <v>6</v>
      </c>
      <c r="AM1819" t="n">
        <v>80</v>
      </c>
      <c r="AN1819" t="n">
        <v>0</v>
      </c>
      <c r="AO1819" t="n">
        <v>1</v>
      </c>
      <c r="AP1819" t="n">
        <v>5</v>
      </c>
      <c r="AQ1819" t="n">
        <v>56</v>
      </c>
      <c r="AR1819" t="n">
        <v>250</v>
      </c>
      <c r="AS1819" t="n">
        <v>208</v>
      </c>
      <c r="AT1819" t="n">
        <v>3</v>
      </c>
      <c r="AU1819" t="n">
        <v>1</v>
      </c>
      <c r="AV1819" t="n">
        <v>64</v>
      </c>
      <c r="AW1819" t="n">
        <v>19</v>
      </c>
      <c r="AX1819" t="n">
        <v>1</v>
      </c>
      <c r="AY1819" t="n">
        <v>10</v>
      </c>
      <c r="AZ1819" t="n">
        <v>2</v>
      </c>
      <c r="BA1819" t="n">
        <v>40</v>
      </c>
      <c r="BB1819" t="n">
        <v>62</v>
      </c>
      <c r="BC1819" t="n">
        <v>72</v>
      </c>
      <c r="BD1819" t="n">
        <v>46</v>
      </c>
      <c r="BE1819" t="n">
        <v>22</v>
      </c>
      <c r="BF1819" t="n">
        <v>24</v>
      </c>
      <c r="BG1819" t="n">
        <v>0</v>
      </c>
      <c r="BH1819" t="n">
        <v>19</v>
      </c>
      <c r="BI1819" t="n">
        <v>1</v>
      </c>
      <c r="BJ1819" t="n">
        <v>7</v>
      </c>
      <c r="BK1819" t="n">
        <v>0</v>
      </c>
      <c r="BL1819" t="n">
        <v>1</v>
      </c>
      <c r="BM1819" t="n">
        <v>16</v>
      </c>
      <c r="BN1819" t="n">
        <v>9</v>
      </c>
      <c r="BO1819" t="n">
        <v>112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146</v>
      </c>
      <c r="Z1820" t="n">
        <v>163</v>
      </c>
      <c r="AA1820" t="n">
        <v>62</v>
      </c>
      <c r="AB1820" t="n">
        <v>0</v>
      </c>
      <c r="AC1820" t="n">
        <v>0</v>
      </c>
      <c r="AD1820" t="n">
        <v>4</v>
      </c>
      <c r="AE1820" t="n">
        <v>3</v>
      </c>
      <c r="AF1820" t="n">
        <v>0</v>
      </c>
      <c r="AG1820" t="n">
        <v>4</v>
      </c>
      <c r="AH1820" t="n">
        <v>51</v>
      </c>
      <c r="AI1820" t="n">
        <v>33</v>
      </c>
      <c r="AJ1820" t="n">
        <v>16</v>
      </c>
      <c r="AK1820" t="n">
        <v>28</v>
      </c>
      <c r="AL1820" t="n">
        <v>3</v>
      </c>
      <c r="AM1820" t="n">
        <v>29</v>
      </c>
      <c r="AN1820" t="n">
        <v>2</v>
      </c>
      <c r="AO1820" t="n">
        <v>0</v>
      </c>
      <c r="AP1820" t="n">
        <v>8</v>
      </c>
      <c r="AQ1820" t="n">
        <v>52</v>
      </c>
      <c r="AR1820" t="n">
        <v>54</v>
      </c>
      <c r="AS1820" t="n">
        <v>10</v>
      </c>
      <c r="AT1820" t="n">
        <v>2</v>
      </c>
      <c r="AU1820" t="n">
        <v>2</v>
      </c>
      <c r="AV1820" t="n">
        <v>1</v>
      </c>
      <c r="AW1820" t="n">
        <v>27</v>
      </c>
      <c r="AX1820" t="n">
        <v>0</v>
      </c>
      <c r="AY1820" t="n">
        <v>23</v>
      </c>
      <c r="AZ1820" t="n">
        <v>2</v>
      </c>
      <c r="BA1820" t="n">
        <v>11</v>
      </c>
      <c r="BB1820" t="n">
        <v>70</v>
      </c>
      <c r="BC1820" t="n">
        <v>27</v>
      </c>
      <c r="BD1820" t="n">
        <v>51</v>
      </c>
      <c r="BE1820" t="n">
        <v>31</v>
      </c>
      <c r="BF1820" t="n">
        <v>18</v>
      </c>
      <c r="BG1820" t="n">
        <v>2</v>
      </c>
      <c r="BH1820" t="n">
        <v>1</v>
      </c>
      <c r="BI1820" t="n">
        <v>1</v>
      </c>
      <c r="BJ1820" t="n">
        <v>5</v>
      </c>
      <c r="BK1820" t="n">
        <v>0</v>
      </c>
      <c r="BL1820" t="n">
        <v>1</v>
      </c>
      <c r="BM1820" t="n">
        <v>12</v>
      </c>
      <c r="BN1820" t="n">
        <v>7</v>
      </c>
      <c r="BO1820" t="n">
        <v>18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2</v>
      </c>
      <c r="U1821" t="n">
        <v>0</v>
      </c>
      <c r="V1821" t="n">
        <v>0</v>
      </c>
      <c r="W1821" t="n">
        <v>0</v>
      </c>
      <c r="X1821" t="n">
        <v>0</v>
      </c>
      <c r="Y1821" t="n">
        <v>183</v>
      </c>
      <c r="Z1821" t="n">
        <v>282</v>
      </c>
      <c r="AA1821" t="n">
        <v>180</v>
      </c>
      <c r="AB1821" t="n">
        <v>0</v>
      </c>
      <c r="AC1821" t="n">
        <v>1</v>
      </c>
      <c r="AD1821" t="n">
        <v>3</v>
      </c>
      <c r="AE1821" t="n">
        <v>4</v>
      </c>
      <c r="AF1821" t="n">
        <v>1</v>
      </c>
      <c r="AG1821" t="n">
        <v>0</v>
      </c>
      <c r="AH1821" t="n">
        <v>37</v>
      </c>
      <c r="AI1821" t="n">
        <v>71</v>
      </c>
      <c r="AJ1821" t="n">
        <v>12</v>
      </c>
      <c r="AK1821" t="n">
        <v>7</v>
      </c>
      <c r="AL1821" t="n">
        <v>12</v>
      </c>
      <c r="AM1821" t="n">
        <v>143</v>
      </c>
      <c r="AN1821" t="n">
        <v>0</v>
      </c>
      <c r="AO1821" t="n">
        <v>0</v>
      </c>
      <c r="AP1821" t="n">
        <v>6</v>
      </c>
      <c r="AQ1821" t="n">
        <v>58</v>
      </c>
      <c r="AR1821" t="n">
        <v>103</v>
      </c>
      <c r="AS1821" t="n">
        <v>54</v>
      </c>
      <c r="AT1821" t="n">
        <v>0</v>
      </c>
      <c r="AU1821" t="n">
        <v>0</v>
      </c>
      <c r="AV1821" t="n">
        <v>21</v>
      </c>
      <c r="AW1821" t="n">
        <v>1</v>
      </c>
      <c r="AX1821" t="n">
        <v>1</v>
      </c>
      <c r="AY1821" t="n">
        <v>56</v>
      </c>
      <c r="AZ1821" t="n">
        <v>0</v>
      </c>
      <c r="BA1821" t="n">
        <v>1</v>
      </c>
      <c r="BB1821" t="n">
        <v>173</v>
      </c>
      <c r="BC1821" t="n">
        <v>118</v>
      </c>
      <c r="BD1821" t="n">
        <v>35</v>
      </c>
      <c r="BE1821" t="n">
        <v>1</v>
      </c>
      <c r="BF1821" t="n">
        <v>19</v>
      </c>
      <c r="BG1821" t="n">
        <v>2</v>
      </c>
      <c r="BH1821" t="n">
        <v>6</v>
      </c>
      <c r="BI1821" t="n">
        <v>34</v>
      </c>
      <c r="BJ1821" t="n">
        <v>31</v>
      </c>
      <c r="BK1821" t="n">
        <v>4</v>
      </c>
      <c r="BL1821" t="n">
        <v>50</v>
      </c>
      <c r="BM1821" t="n">
        <v>41</v>
      </c>
      <c r="BN1821" t="n">
        <v>7</v>
      </c>
      <c r="BO1821" t="n">
        <v>4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191</v>
      </c>
      <c r="Z1822" t="n">
        <v>143</v>
      </c>
      <c r="AA1822" t="n">
        <v>153</v>
      </c>
      <c r="AB1822" t="n">
        <v>2</v>
      </c>
      <c r="AC1822" t="n">
        <v>1</v>
      </c>
      <c r="AD1822" t="n">
        <v>0</v>
      </c>
      <c r="AE1822" t="n">
        <v>2</v>
      </c>
      <c r="AF1822" t="n">
        <v>6</v>
      </c>
      <c r="AG1822" t="n">
        <v>2</v>
      </c>
      <c r="AH1822" t="n">
        <v>2</v>
      </c>
      <c r="AI1822" t="n">
        <v>19</v>
      </c>
      <c r="AJ1822" t="n">
        <v>42</v>
      </c>
      <c r="AK1822" t="n">
        <v>24</v>
      </c>
      <c r="AL1822" t="n">
        <v>4</v>
      </c>
      <c r="AM1822" t="n">
        <v>65</v>
      </c>
      <c r="AN1822" t="n">
        <v>0</v>
      </c>
      <c r="AO1822" t="n">
        <v>0</v>
      </c>
      <c r="AP1822" t="n">
        <v>2</v>
      </c>
      <c r="AQ1822" t="n">
        <v>1</v>
      </c>
      <c r="AR1822" t="n">
        <v>25</v>
      </c>
      <c r="AS1822" t="n">
        <v>22</v>
      </c>
      <c r="AT1822" t="n">
        <v>5</v>
      </c>
      <c r="AU1822" t="n">
        <v>1</v>
      </c>
      <c r="AV1822" t="n">
        <v>39</v>
      </c>
      <c r="AW1822" t="n">
        <v>10</v>
      </c>
      <c r="AX1822" t="n">
        <v>0</v>
      </c>
      <c r="AY1822" t="n">
        <v>27</v>
      </c>
      <c r="AZ1822" t="n">
        <v>1</v>
      </c>
      <c r="BA1822" t="n">
        <v>24</v>
      </c>
      <c r="BB1822" t="n">
        <v>165</v>
      </c>
      <c r="BC1822" t="n">
        <v>54</v>
      </c>
      <c r="BD1822" t="n">
        <v>2</v>
      </c>
      <c r="BE1822" t="n">
        <v>17</v>
      </c>
      <c r="BF1822" t="n">
        <v>33</v>
      </c>
      <c r="BG1822" t="n">
        <v>0</v>
      </c>
      <c r="BH1822" t="n">
        <v>9</v>
      </c>
      <c r="BI1822" t="n">
        <v>27</v>
      </c>
      <c r="BJ1822" t="n">
        <v>25</v>
      </c>
      <c r="BK1822" t="n">
        <v>2</v>
      </c>
      <c r="BL1822" t="n">
        <v>10</v>
      </c>
      <c r="BM1822" t="n">
        <v>54</v>
      </c>
      <c r="BN1822" t="n">
        <v>31</v>
      </c>
      <c r="BO1822" t="n">
        <v>63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2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2</v>
      </c>
      <c r="U1823" t="n">
        <v>0</v>
      </c>
      <c r="V1823" t="n">
        <v>0</v>
      </c>
      <c r="W1823" t="n">
        <v>0</v>
      </c>
      <c r="X1823" t="n">
        <v>0</v>
      </c>
      <c r="Y1823" t="n">
        <v>199</v>
      </c>
      <c r="Z1823" t="n">
        <v>176</v>
      </c>
      <c r="AA1823" t="n">
        <v>45</v>
      </c>
      <c r="AB1823" t="n">
        <v>1</v>
      </c>
      <c r="AC1823" t="n">
        <v>0</v>
      </c>
      <c r="AD1823" t="n">
        <v>6</v>
      </c>
      <c r="AE1823" t="n">
        <v>1</v>
      </c>
      <c r="AF1823" t="n">
        <v>4</v>
      </c>
      <c r="AG1823" t="n">
        <v>1</v>
      </c>
      <c r="AH1823" t="n">
        <v>88</v>
      </c>
      <c r="AI1823" t="n">
        <v>2</v>
      </c>
      <c r="AJ1823" t="n">
        <v>74</v>
      </c>
      <c r="AK1823" t="n">
        <v>1</v>
      </c>
      <c r="AL1823" t="n">
        <v>3</v>
      </c>
      <c r="AM1823" t="n">
        <v>37</v>
      </c>
      <c r="AN1823" t="n">
        <v>0</v>
      </c>
      <c r="AO1823" t="n">
        <v>0</v>
      </c>
      <c r="AP1823" t="n">
        <v>6</v>
      </c>
      <c r="AQ1823" t="n">
        <v>36</v>
      </c>
      <c r="AR1823" t="n">
        <v>201</v>
      </c>
      <c r="AS1823" t="n">
        <v>169</v>
      </c>
      <c r="AT1823" t="n">
        <v>2</v>
      </c>
      <c r="AU1823" t="n">
        <v>2</v>
      </c>
      <c r="AV1823" t="n">
        <v>8</v>
      </c>
      <c r="AW1823" t="n">
        <v>13</v>
      </c>
      <c r="AX1823" t="n">
        <v>1</v>
      </c>
      <c r="AY1823" t="n">
        <v>61</v>
      </c>
      <c r="AZ1823" t="n">
        <v>2</v>
      </c>
      <c r="BA1823" t="n">
        <v>43</v>
      </c>
      <c r="BB1823" t="n">
        <v>89</v>
      </c>
      <c r="BC1823" t="n">
        <v>32</v>
      </c>
      <c r="BD1823" t="n">
        <v>79</v>
      </c>
      <c r="BE1823" t="n">
        <v>12</v>
      </c>
      <c r="BF1823" t="n">
        <v>62</v>
      </c>
      <c r="BG1823" t="n">
        <v>1</v>
      </c>
      <c r="BH1823" t="n">
        <v>6</v>
      </c>
      <c r="BI1823" t="n">
        <v>14</v>
      </c>
      <c r="BJ1823" t="n">
        <v>14</v>
      </c>
      <c r="BK1823" t="n">
        <v>1</v>
      </c>
      <c r="BL1823" t="n">
        <v>5</v>
      </c>
      <c r="BM1823" t="n">
        <v>27</v>
      </c>
      <c r="BN1823" t="n">
        <v>16</v>
      </c>
      <c r="BO1823" t="n">
        <v>9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171</v>
      </c>
      <c r="Z1824" t="n">
        <v>181</v>
      </c>
      <c r="AA1824" t="n">
        <v>35</v>
      </c>
      <c r="AB1824" t="n">
        <v>0</v>
      </c>
      <c r="AC1824" t="n">
        <v>0</v>
      </c>
      <c r="AD1824" t="n">
        <v>2</v>
      </c>
      <c r="AE1824" t="n">
        <v>6</v>
      </c>
      <c r="AF1824" t="n">
        <v>0</v>
      </c>
      <c r="AG1824" t="n">
        <v>3</v>
      </c>
      <c r="AH1824" t="n">
        <v>42</v>
      </c>
      <c r="AI1824" t="n">
        <v>56</v>
      </c>
      <c r="AJ1824" t="n">
        <v>15</v>
      </c>
      <c r="AK1824" t="n">
        <v>44</v>
      </c>
      <c r="AL1824" t="n">
        <v>3</v>
      </c>
      <c r="AM1824" t="n">
        <v>35</v>
      </c>
      <c r="AN1824" t="n">
        <v>0</v>
      </c>
      <c r="AO1824" t="n">
        <v>1</v>
      </c>
      <c r="AP1824" t="n">
        <v>5</v>
      </c>
      <c r="AQ1824" t="n">
        <v>23</v>
      </c>
      <c r="AR1824" t="n">
        <v>119</v>
      </c>
      <c r="AS1824" t="n">
        <v>97</v>
      </c>
      <c r="AT1824" t="n">
        <v>0</v>
      </c>
      <c r="AU1824" t="n">
        <v>1</v>
      </c>
      <c r="AV1824" t="n">
        <v>9</v>
      </c>
      <c r="AW1824" t="n">
        <v>18</v>
      </c>
      <c r="AX1824" t="n">
        <v>0</v>
      </c>
      <c r="AY1824" t="n">
        <v>29</v>
      </c>
      <c r="AZ1824" t="n">
        <v>1</v>
      </c>
      <c r="BA1824" t="n">
        <v>1</v>
      </c>
      <c r="BB1824" t="n">
        <v>35</v>
      </c>
      <c r="BC1824" t="n">
        <v>36</v>
      </c>
      <c r="BD1824" t="n">
        <v>36</v>
      </c>
      <c r="BE1824" t="n">
        <v>18</v>
      </c>
      <c r="BF1824" t="n">
        <v>13</v>
      </c>
      <c r="BG1824" t="n">
        <v>1</v>
      </c>
      <c r="BH1824" t="n">
        <v>0</v>
      </c>
      <c r="BI1824" t="n">
        <v>8</v>
      </c>
      <c r="BJ1824" t="n">
        <v>15</v>
      </c>
      <c r="BK1824" t="n">
        <v>5</v>
      </c>
      <c r="BL1824" t="n">
        <v>64</v>
      </c>
      <c r="BM1824" t="n">
        <v>46</v>
      </c>
      <c r="BN1824" t="n">
        <v>3</v>
      </c>
      <c r="BO1824" t="n">
        <v>16</v>
      </c>
    </row>
    <row r="1825">
      <c r="A1825" t="n">
        <v>0</v>
      </c>
      <c r="B1825" t="n">
        <v>0</v>
      </c>
      <c r="C1825" t="n">
        <v>0</v>
      </c>
      <c r="D1825" t="n">
        <v>2</v>
      </c>
      <c r="E1825" t="n">
        <v>0</v>
      </c>
      <c r="F1825" t="n">
        <v>0</v>
      </c>
      <c r="G1825" t="n">
        <v>2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2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205</v>
      </c>
      <c r="Z1825" t="n">
        <v>211</v>
      </c>
      <c r="AA1825" t="n">
        <v>106</v>
      </c>
      <c r="AB1825" t="n">
        <v>5</v>
      </c>
      <c r="AC1825" t="n">
        <v>0</v>
      </c>
      <c r="AD1825" t="n">
        <v>10</v>
      </c>
      <c r="AE1825" t="n">
        <v>3</v>
      </c>
      <c r="AF1825" t="n">
        <v>1</v>
      </c>
      <c r="AG1825" t="n">
        <v>3</v>
      </c>
      <c r="AH1825" t="n">
        <v>94</v>
      </c>
      <c r="AI1825" t="n">
        <v>44</v>
      </c>
      <c r="AJ1825" t="n">
        <v>48</v>
      </c>
      <c r="AK1825" t="n">
        <v>33</v>
      </c>
      <c r="AL1825" t="n">
        <v>5</v>
      </c>
      <c r="AM1825" t="n">
        <v>57</v>
      </c>
      <c r="AN1825" t="n">
        <v>0</v>
      </c>
      <c r="AO1825" t="n">
        <v>0</v>
      </c>
      <c r="AP1825" t="n">
        <v>3</v>
      </c>
      <c r="AQ1825" t="n">
        <v>12</v>
      </c>
      <c r="AR1825" t="n">
        <v>102</v>
      </c>
      <c r="AS1825" t="n">
        <v>90</v>
      </c>
      <c r="AT1825" t="n">
        <v>3</v>
      </c>
      <c r="AU1825" t="n">
        <v>1</v>
      </c>
      <c r="AV1825" t="n">
        <v>20</v>
      </c>
      <c r="AW1825" t="n">
        <v>1</v>
      </c>
      <c r="AX1825" t="n">
        <v>17</v>
      </c>
      <c r="AY1825" t="n">
        <v>14</v>
      </c>
      <c r="AZ1825" t="n">
        <v>1</v>
      </c>
      <c r="BA1825" t="n">
        <v>7</v>
      </c>
      <c r="BB1825" t="n">
        <v>107</v>
      </c>
      <c r="BC1825" t="n">
        <v>47</v>
      </c>
      <c r="BD1825" t="n">
        <v>85</v>
      </c>
      <c r="BE1825" t="n">
        <v>1</v>
      </c>
      <c r="BF1825" t="n">
        <v>40</v>
      </c>
      <c r="BG1825" t="n">
        <v>3</v>
      </c>
      <c r="BH1825" t="n">
        <v>3</v>
      </c>
      <c r="BI1825" t="n">
        <v>7</v>
      </c>
      <c r="BJ1825" t="n">
        <v>13</v>
      </c>
      <c r="BK1825" t="n">
        <v>3</v>
      </c>
      <c r="BL1825" t="n">
        <v>45</v>
      </c>
      <c r="BM1825" t="n">
        <v>35</v>
      </c>
      <c r="BN1825" t="n">
        <v>4</v>
      </c>
      <c r="BO1825" t="n">
        <v>2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2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2</v>
      </c>
      <c r="U1826" t="n">
        <v>0</v>
      </c>
      <c r="V1826" t="n">
        <v>0</v>
      </c>
      <c r="W1826" t="n">
        <v>1</v>
      </c>
      <c r="X1826" t="n">
        <v>0</v>
      </c>
      <c r="Y1826" t="n">
        <v>207</v>
      </c>
      <c r="Z1826" t="n">
        <v>224</v>
      </c>
      <c r="AA1826" t="n">
        <v>16</v>
      </c>
      <c r="AB1826" t="n">
        <v>1</v>
      </c>
      <c r="AC1826" t="n">
        <v>2</v>
      </c>
      <c r="AD1826" t="n">
        <v>4</v>
      </c>
      <c r="AE1826" t="n">
        <v>5</v>
      </c>
      <c r="AF1826" t="n">
        <v>3</v>
      </c>
      <c r="AG1826" t="n">
        <v>7</v>
      </c>
      <c r="AH1826" t="n">
        <v>21</v>
      </c>
      <c r="AI1826" t="n">
        <v>14</v>
      </c>
      <c r="AJ1826" t="n">
        <v>16</v>
      </c>
      <c r="AK1826" t="n">
        <v>74</v>
      </c>
      <c r="AL1826" t="n">
        <v>3</v>
      </c>
      <c r="AM1826" t="n">
        <v>28</v>
      </c>
      <c r="AN1826" t="n">
        <v>0</v>
      </c>
      <c r="AO1826" t="n">
        <v>0</v>
      </c>
      <c r="AP1826" t="n">
        <v>6</v>
      </c>
      <c r="AQ1826" t="n">
        <v>27</v>
      </c>
      <c r="AR1826" t="n">
        <v>211</v>
      </c>
      <c r="AS1826" t="n">
        <v>186</v>
      </c>
      <c r="AT1826" t="n">
        <v>0</v>
      </c>
      <c r="AU1826" t="n">
        <v>3</v>
      </c>
      <c r="AV1826" t="n">
        <v>1</v>
      </c>
      <c r="AW1826" t="n">
        <v>30</v>
      </c>
      <c r="AX1826" t="n">
        <v>0</v>
      </c>
      <c r="AY1826" t="n">
        <v>13</v>
      </c>
      <c r="AZ1826" t="n">
        <v>3</v>
      </c>
      <c r="BA1826" t="n">
        <v>1</v>
      </c>
      <c r="BB1826" t="n">
        <v>16</v>
      </c>
      <c r="BC1826" t="n">
        <v>23</v>
      </c>
      <c r="BD1826" t="n">
        <v>23</v>
      </c>
      <c r="BE1826" t="n">
        <v>30</v>
      </c>
      <c r="BF1826" t="n">
        <v>13</v>
      </c>
      <c r="BG1826" t="n">
        <v>6</v>
      </c>
      <c r="BH1826" t="n">
        <v>3</v>
      </c>
      <c r="BI1826" t="n">
        <v>105</v>
      </c>
      <c r="BJ1826" t="n">
        <v>102</v>
      </c>
      <c r="BK1826" t="n">
        <v>3</v>
      </c>
      <c r="BL1826" t="n">
        <v>14</v>
      </c>
      <c r="BM1826" t="n">
        <v>12</v>
      </c>
      <c r="BN1826" t="n">
        <v>2</v>
      </c>
      <c r="BO1826" t="n">
        <v>7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n">
        <v>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227</v>
      </c>
      <c r="Z1827" t="n">
        <v>211</v>
      </c>
      <c r="AA1827" t="n">
        <v>88</v>
      </c>
      <c r="AB1827" t="n">
        <v>2</v>
      </c>
      <c r="AC1827" t="n">
        <v>1</v>
      </c>
      <c r="AD1827" t="n">
        <v>2</v>
      </c>
      <c r="AE1827" t="n">
        <v>9</v>
      </c>
      <c r="AF1827" t="n">
        <v>5</v>
      </c>
      <c r="AG1827" t="n">
        <v>2</v>
      </c>
      <c r="AH1827" t="n">
        <v>25</v>
      </c>
      <c r="AI1827" t="n">
        <v>75</v>
      </c>
      <c r="AJ1827" t="n">
        <v>66</v>
      </c>
      <c r="AK1827" t="n">
        <v>89</v>
      </c>
      <c r="AL1827" t="n">
        <v>4</v>
      </c>
      <c r="AM1827" t="n">
        <v>66</v>
      </c>
      <c r="AN1827" t="n">
        <v>0</v>
      </c>
      <c r="AO1827" t="n">
        <v>0</v>
      </c>
      <c r="AP1827" t="n">
        <v>5</v>
      </c>
      <c r="AQ1827" t="n">
        <v>36</v>
      </c>
      <c r="AR1827" t="n">
        <v>182</v>
      </c>
      <c r="AS1827" t="n">
        <v>145</v>
      </c>
      <c r="AT1827" t="n">
        <v>0</v>
      </c>
      <c r="AU1827" t="n">
        <v>3</v>
      </c>
      <c r="AV1827" t="n">
        <v>1</v>
      </c>
      <c r="AW1827" t="n">
        <v>16</v>
      </c>
      <c r="AX1827" t="n">
        <v>4</v>
      </c>
      <c r="AY1827" t="n">
        <v>42</v>
      </c>
      <c r="AZ1827" t="n">
        <v>4</v>
      </c>
      <c r="BA1827" t="n">
        <v>9</v>
      </c>
      <c r="BB1827" t="n">
        <v>93</v>
      </c>
      <c r="BC1827" t="n">
        <v>63</v>
      </c>
      <c r="BD1827" t="n">
        <v>22</v>
      </c>
      <c r="BE1827" t="n">
        <v>32</v>
      </c>
      <c r="BF1827" t="n">
        <v>63</v>
      </c>
      <c r="BG1827" t="n">
        <v>2</v>
      </c>
      <c r="BH1827" t="n">
        <v>6</v>
      </c>
      <c r="BI1827" t="n">
        <v>39</v>
      </c>
      <c r="BJ1827" t="n">
        <v>55</v>
      </c>
      <c r="BK1827" t="n">
        <v>0</v>
      </c>
      <c r="BL1827" t="n">
        <v>3</v>
      </c>
      <c r="BM1827" t="n">
        <v>12</v>
      </c>
      <c r="BN1827" t="n">
        <v>7</v>
      </c>
      <c r="BO1827" t="n">
        <v>42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288</v>
      </c>
      <c r="Z1828" t="n">
        <v>258</v>
      </c>
      <c r="AA1828" t="n">
        <v>93</v>
      </c>
      <c r="AB1828" t="n">
        <v>0</v>
      </c>
      <c r="AC1828" t="n">
        <v>1</v>
      </c>
      <c r="AD1828" t="n">
        <v>9</v>
      </c>
      <c r="AE1828" t="n">
        <v>3</v>
      </c>
      <c r="AF1828" t="n">
        <v>2</v>
      </c>
      <c r="AG1828" t="n">
        <v>2</v>
      </c>
      <c r="AH1828" t="n">
        <v>75</v>
      </c>
      <c r="AI1828" t="n">
        <v>102</v>
      </c>
      <c r="AJ1828" t="n">
        <v>10</v>
      </c>
      <c r="AK1828" t="n">
        <v>1</v>
      </c>
      <c r="AL1828" t="n">
        <v>6</v>
      </c>
      <c r="AM1828" t="n">
        <v>76</v>
      </c>
      <c r="AN1828" t="n">
        <v>0</v>
      </c>
      <c r="AO1828" t="n">
        <v>0</v>
      </c>
      <c r="AP1828" t="n">
        <v>5</v>
      </c>
      <c r="AQ1828" t="n">
        <v>70</v>
      </c>
      <c r="AR1828" t="n">
        <v>174</v>
      </c>
      <c r="AS1828" t="n">
        <v>111</v>
      </c>
      <c r="AT1828" t="n">
        <v>4</v>
      </c>
      <c r="AU1828" t="n">
        <v>1</v>
      </c>
      <c r="AV1828" t="n">
        <v>31</v>
      </c>
      <c r="AW1828" t="n">
        <v>7</v>
      </c>
      <c r="AX1828" t="n">
        <v>0</v>
      </c>
      <c r="AY1828" t="n">
        <v>29</v>
      </c>
      <c r="AZ1828" t="n">
        <v>0</v>
      </c>
      <c r="BA1828" t="n">
        <v>1</v>
      </c>
      <c r="BB1828" t="n">
        <v>90</v>
      </c>
      <c r="BC1828" t="n">
        <v>63</v>
      </c>
      <c r="BD1828" t="n">
        <v>95</v>
      </c>
      <c r="BE1828" t="n">
        <v>7</v>
      </c>
      <c r="BF1828" t="n">
        <v>18</v>
      </c>
      <c r="BG1828" t="n">
        <v>3</v>
      </c>
      <c r="BH1828" t="n">
        <v>4</v>
      </c>
      <c r="BI1828" t="n">
        <v>13</v>
      </c>
      <c r="BJ1828" t="n">
        <v>10</v>
      </c>
      <c r="BK1828" t="n">
        <v>2</v>
      </c>
      <c r="BL1828" t="n">
        <v>18</v>
      </c>
      <c r="BM1828" t="n">
        <v>12</v>
      </c>
      <c r="BN1828" t="n">
        <v>1</v>
      </c>
      <c r="BO1828" t="n">
        <v>2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2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189</v>
      </c>
      <c r="Z1829" t="n">
        <v>240</v>
      </c>
      <c r="AA1829" t="n">
        <v>85</v>
      </c>
      <c r="AB1829" t="n">
        <v>3</v>
      </c>
      <c r="AC1829" t="n">
        <v>2</v>
      </c>
      <c r="AD1829" t="n">
        <v>5</v>
      </c>
      <c r="AE1829" t="n">
        <v>3</v>
      </c>
      <c r="AF1829" t="n">
        <v>4</v>
      </c>
      <c r="AG1829" t="n">
        <v>4</v>
      </c>
      <c r="AH1829" t="n">
        <v>63</v>
      </c>
      <c r="AI1829" t="n">
        <v>38</v>
      </c>
      <c r="AJ1829" t="n">
        <v>65</v>
      </c>
      <c r="AK1829" t="n">
        <v>57</v>
      </c>
      <c r="AL1829" t="n">
        <v>5</v>
      </c>
      <c r="AM1829" t="n">
        <v>57</v>
      </c>
      <c r="AN1829" t="n">
        <v>0</v>
      </c>
      <c r="AO1829" t="n">
        <v>0</v>
      </c>
      <c r="AP1829" t="n">
        <v>2</v>
      </c>
      <c r="AQ1829" t="n">
        <v>48</v>
      </c>
      <c r="AR1829" t="n">
        <v>67</v>
      </c>
      <c r="AS1829" t="n">
        <v>26</v>
      </c>
      <c r="AT1829" t="n">
        <v>0</v>
      </c>
      <c r="AU1829" t="n">
        <v>2</v>
      </c>
      <c r="AV1829" t="n">
        <v>4</v>
      </c>
      <c r="AW1829" t="n">
        <v>13</v>
      </c>
      <c r="AX1829" t="n">
        <v>1</v>
      </c>
      <c r="AY1829" t="n">
        <v>38</v>
      </c>
      <c r="AZ1829" t="n">
        <v>2</v>
      </c>
      <c r="BA1829" t="n">
        <v>14</v>
      </c>
      <c r="BB1829" t="n">
        <v>94</v>
      </c>
      <c r="BC1829" t="n">
        <v>56</v>
      </c>
      <c r="BD1829" t="n">
        <v>61</v>
      </c>
      <c r="BE1829" t="n">
        <v>18</v>
      </c>
      <c r="BF1829" t="n">
        <v>52</v>
      </c>
      <c r="BG1829" t="n">
        <v>0</v>
      </c>
      <c r="BH1829" t="n">
        <v>2</v>
      </c>
      <c r="BI1829" t="n">
        <v>1</v>
      </c>
      <c r="BJ1829" t="n">
        <v>12</v>
      </c>
      <c r="BK1829" t="n">
        <v>3</v>
      </c>
      <c r="BL1829" t="n">
        <v>19</v>
      </c>
      <c r="BM1829" t="n">
        <v>54</v>
      </c>
      <c r="BN1829" t="n">
        <v>29</v>
      </c>
      <c r="BO1829" t="n">
        <v>2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3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2</v>
      </c>
      <c r="U1830" t="n">
        <v>0</v>
      </c>
      <c r="V1830" t="n">
        <v>0</v>
      </c>
      <c r="W1830" t="n">
        <v>0</v>
      </c>
      <c r="X1830" t="n">
        <v>0</v>
      </c>
      <c r="Y1830" t="n">
        <v>213</v>
      </c>
      <c r="Z1830" t="n">
        <v>292</v>
      </c>
      <c r="AA1830" t="n">
        <v>44</v>
      </c>
      <c r="AB1830" t="n">
        <v>3</v>
      </c>
      <c r="AC1830" t="n">
        <v>1</v>
      </c>
      <c r="AD1830" t="n">
        <v>6</v>
      </c>
      <c r="AE1830" t="n">
        <v>7</v>
      </c>
      <c r="AF1830" t="n">
        <v>2</v>
      </c>
      <c r="AG1830" t="n">
        <v>4</v>
      </c>
      <c r="AH1830" t="n">
        <v>84</v>
      </c>
      <c r="AI1830" t="n">
        <v>62</v>
      </c>
      <c r="AJ1830" t="n">
        <v>37</v>
      </c>
      <c r="AK1830" t="n">
        <v>62</v>
      </c>
      <c r="AL1830" t="n">
        <v>6</v>
      </c>
      <c r="AM1830" t="n">
        <v>146</v>
      </c>
      <c r="AN1830" t="n">
        <v>0</v>
      </c>
      <c r="AO1830" t="n">
        <v>0</v>
      </c>
      <c r="AP1830" t="n">
        <v>1</v>
      </c>
      <c r="AQ1830" t="n">
        <v>29</v>
      </c>
      <c r="AR1830" t="n">
        <v>112</v>
      </c>
      <c r="AS1830" t="n">
        <v>86</v>
      </c>
      <c r="AT1830" t="n">
        <v>1</v>
      </c>
      <c r="AU1830" t="n">
        <v>0</v>
      </c>
      <c r="AV1830" t="n">
        <v>38</v>
      </c>
      <c r="AW1830" t="n">
        <v>4</v>
      </c>
      <c r="AX1830" t="n">
        <v>0</v>
      </c>
      <c r="AY1830" t="n">
        <v>47</v>
      </c>
      <c r="AZ1830" t="n">
        <v>1</v>
      </c>
      <c r="BA1830" t="n">
        <v>12</v>
      </c>
      <c r="BB1830" t="n">
        <v>55</v>
      </c>
      <c r="BC1830" t="n">
        <v>145</v>
      </c>
      <c r="BD1830" t="n">
        <v>87</v>
      </c>
      <c r="BE1830" t="n">
        <v>5</v>
      </c>
      <c r="BF1830" t="n">
        <v>29</v>
      </c>
      <c r="BG1830" t="n">
        <v>1</v>
      </c>
      <c r="BH1830" t="n">
        <v>8</v>
      </c>
      <c r="BI1830" t="n">
        <v>1</v>
      </c>
      <c r="BJ1830" t="n">
        <v>3</v>
      </c>
      <c r="BK1830" t="n">
        <v>3</v>
      </c>
      <c r="BL1830" t="n">
        <v>49</v>
      </c>
      <c r="BM1830" t="n">
        <v>34</v>
      </c>
      <c r="BN1830" t="n">
        <v>2</v>
      </c>
      <c r="BO1830" t="n">
        <v>7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1</v>
      </c>
      <c r="V1831" t="n">
        <v>0</v>
      </c>
      <c r="W1831" t="n">
        <v>0</v>
      </c>
      <c r="X1831" t="n">
        <v>0</v>
      </c>
      <c r="Y1831" t="n">
        <v>244</v>
      </c>
      <c r="Z1831" t="n">
        <v>105</v>
      </c>
      <c r="AA1831" t="n">
        <v>44</v>
      </c>
      <c r="AB1831" t="n">
        <v>0</v>
      </c>
      <c r="AC1831" t="n">
        <v>1</v>
      </c>
      <c r="AD1831" t="n">
        <v>10</v>
      </c>
      <c r="AE1831" t="n">
        <v>1</v>
      </c>
      <c r="AF1831" t="n">
        <v>3</v>
      </c>
      <c r="AG1831" t="n">
        <v>5</v>
      </c>
      <c r="AH1831" t="n">
        <v>88</v>
      </c>
      <c r="AI1831" t="n">
        <v>2</v>
      </c>
      <c r="AJ1831" t="n">
        <v>44</v>
      </c>
      <c r="AK1831" t="n">
        <v>39</v>
      </c>
      <c r="AL1831" t="n">
        <v>5</v>
      </c>
      <c r="AM1831" t="n">
        <v>46</v>
      </c>
      <c r="AN1831" t="n">
        <v>0</v>
      </c>
      <c r="AO1831" t="n">
        <v>1</v>
      </c>
      <c r="AP1831" t="n">
        <v>2</v>
      </c>
      <c r="AQ1831" t="n">
        <v>1</v>
      </c>
      <c r="AR1831" t="n">
        <v>107</v>
      </c>
      <c r="AS1831" t="n">
        <v>98</v>
      </c>
      <c r="AT1831" t="n">
        <v>5</v>
      </c>
      <c r="AU1831" t="n">
        <v>0</v>
      </c>
      <c r="AV1831" t="n">
        <v>39</v>
      </c>
      <c r="AW1831" t="n">
        <v>7</v>
      </c>
      <c r="AX1831" t="n">
        <v>1</v>
      </c>
      <c r="AY1831" t="n">
        <v>12</v>
      </c>
      <c r="AZ1831" t="n">
        <v>2</v>
      </c>
      <c r="BA1831" t="n">
        <v>10</v>
      </c>
      <c r="BB1831" t="n">
        <v>52</v>
      </c>
      <c r="BC1831" t="n">
        <v>45</v>
      </c>
      <c r="BD1831" t="n">
        <v>94</v>
      </c>
      <c r="BE1831" t="n">
        <v>10</v>
      </c>
      <c r="BF1831" t="n">
        <v>35</v>
      </c>
      <c r="BG1831" t="n">
        <v>0</v>
      </c>
      <c r="BH1831" t="n">
        <v>2</v>
      </c>
      <c r="BI1831" t="n">
        <v>23</v>
      </c>
      <c r="BJ1831" t="n">
        <v>20</v>
      </c>
      <c r="BK1831" t="n">
        <v>0</v>
      </c>
      <c r="BL1831" t="n">
        <v>1</v>
      </c>
      <c r="BM1831" t="n">
        <v>29</v>
      </c>
      <c r="BN1831" t="n">
        <v>17</v>
      </c>
      <c r="BO1831" t="n">
        <v>100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100</v>
      </c>
      <c r="Z1832" t="n">
        <v>222</v>
      </c>
      <c r="AA1832" t="n">
        <v>22</v>
      </c>
      <c r="AB1832" t="n">
        <v>1</v>
      </c>
      <c r="AC1832" t="n">
        <v>0</v>
      </c>
      <c r="AD1832" t="n">
        <v>0</v>
      </c>
      <c r="AE1832" t="n">
        <v>4</v>
      </c>
      <c r="AF1832" t="n">
        <v>1</v>
      </c>
      <c r="AG1832" t="n">
        <v>1</v>
      </c>
      <c r="AH1832" t="n">
        <v>10</v>
      </c>
      <c r="AI1832" t="n">
        <v>36</v>
      </c>
      <c r="AJ1832" t="n">
        <v>28</v>
      </c>
      <c r="AK1832" t="n">
        <v>22</v>
      </c>
      <c r="AL1832" t="n">
        <v>10</v>
      </c>
      <c r="AM1832" t="n">
        <v>133</v>
      </c>
      <c r="AN1832" t="n">
        <v>0</v>
      </c>
      <c r="AO1832" t="n">
        <v>0</v>
      </c>
      <c r="AP1832" t="n">
        <v>3</v>
      </c>
      <c r="AQ1832" t="n">
        <v>10</v>
      </c>
      <c r="AR1832" t="n">
        <v>205</v>
      </c>
      <c r="AS1832" t="n">
        <v>193</v>
      </c>
      <c r="AT1832" t="n">
        <v>5</v>
      </c>
      <c r="AU1832" t="n">
        <v>2</v>
      </c>
      <c r="AV1832" t="n">
        <v>21</v>
      </c>
      <c r="AW1832" t="n">
        <v>6</v>
      </c>
      <c r="AX1832" t="n">
        <v>0</v>
      </c>
      <c r="AY1832" t="n">
        <v>84</v>
      </c>
      <c r="AZ1832" t="n">
        <v>1</v>
      </c>
      <c r="BA1832" t="n">
        <v>5</v>
      </c>
      <c r="BB1832" t="n">
        <v>26</v>
      </c>
      <c r="BC1832" t="n">
        <v>127</v>
      </c>
      <c r="BD1832" t="n">
        <v>2</v>
      </c>
      <c r="BE1832" t="n">
        <v>7</v>
      </c>
      <c r="BF1832" t="n">
        <v>22</v>
      </c>
      <c r="BG1832" t="n">
        <v>2</v>
      </c>
      <c r="BH1832" t="n">
        <v>0</v>
      </c>
      <c r="BI1832" t="n">
        <v>12</v>
      </c>
      <c r="BJ1832" t="n">
        <v>10</v>
      </c>
      <c r="BK1832" t="n">
        <v>4</v>
      </c>
      <c r="BL1832" t="n">
        <v>50</v>
      </c>
      <c r="BM1832" t="n">
        <v>44</v>
      </c>
      <c r="BN1832" t="n">
        <v>8</v>
      </c>
      <c r="BO1832" t="n">
        <v>58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2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195</v>
      </c>
      <c r="Z1833" t="n">
        <v>166</v>
      </c>
      <c r="AA1833" t="n">
        <v>18</v>
      </c>
      <c r="AB1833" t="n">
        <v>1</v>
      </c>
      <c r="AC1833" t="n">
        <v>2</v>
      </c>
      <c r="AD1833" t="n">
        <v>2</v>
      </c>
      <c r="AE1833" t="n">
        <v>4</v>
      </c>
      <c r="AF1833" t="n">
        <v>6</v>
      </c>
      <c r="AG1833" t="n">
        <v>1</v>
      </c>
      <c r="AH1833" t="n">
        <v>61</v>
      </c>
      <c r="AI1833" t="n">
        <v>18</v>
      </c>
      <c r="AJ1833" t="n">
        <v>37</v>
      </c>
      <c r="AK1833" t="n">
        <v>-3</v>
      </c>
      <c r="AL1833" t="n">
        <v>3</v>
      </c>
      <c r="AM1833" t="n">
        <v>69</v>
      </c>
      <c r="AN1833" t="n">
        <v>0</v>
      </c>
      <c r="AO1833" t="n">
        <v>0</v>
      </c>
      <c r="AP1833" t="n">
        <v>3</v>
      </c>
      <c r="AQ1833" t="n">
        <v>18</v>
      </c>
      <c r="AR1833" t="n">
        <v>116</v>
      </c>
      <c r="AS1833" t="n">
        <v>98</v>
      </c>
      <c r="AT1833" t="n">
        <v>1</v>
      </c>
      <c r="AU1833" t="n">
        <v>1</v>
      </c>
      <c r="AV1833" t="n">
        <v>1</v>
      </c>
      <c r="AW1833" t="n">
        <v>10</v>
      </c>
      <c r="AX1833" t="n">
        <v>5</v>
      </c>
      <c r="AY1833" t="n">
        <v>54</v>
      </c>
      <c r="AZ1833" t="n">
        <v>1</v>
      </c>
      <c r="BA1833" t="n">
        <v>1</v>
      </c>
      <c r="BB1833" t="n">
        <v>18</v>
      </c>
      <c r="BC1833" t="n">
        <v>60</v>
      </c>
      <c r="BD1833" t="n">
        <v>76</v>
      </c>
      <c r="BE1833" t="n">
        <v>11</v>
      </c>
      <c r="BF1833" t="n">
        <v>29</v>
      </c>
      <c r="BG1833" t="n">
        <v>3</v>
      </c>
      <c r="BH1833" t="n">
        <v>5</v>
      </c>
      <c r="BI1833" t="n">
        <v>18</v>
      </c>
      <c r="BJ1833" t="n">
        <v>23</v>
      </c>
      <c r="BK1833" t="n">
        <v>1</v>
      </c>
      <c r="BL1833" t="n">
        <v>18</v>
      </c>
      <c r="BM1833" t="n">
        <v>32</v>
      </c>
      <c r="BN1833" t="n">
        <v>14</v>
      </c>
      <c r="BO1833" t="n">
        <v>40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2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226</v>
      </c>
      <c r="Z1834" t="n">
        <v>123</v>
      </c>
      <c r="AA1834" t="n">
        <v>56</v>
      </c>
      <c r="AB1834" t="n">
        <v>3</v>
      </c>
      <c r="AC1834" t="n">
        <v>1</v>
      </c>
      <c r="AD1834" t="n">
        <v>6</v>
      </c>
      <c r="AE1834" t="n">
        <v>7</v>
      </c>
      <c r="AF1834" t="n">
        <v>1</v>
      </c>
      <c r="AG1834" t="n">
        <v>5</v>
      </c>
      <c r="AH1834" t="n">
        <v>96</v>
      </c>
      <c r="AI1834" t="n">
        <v>20</v>
      </c>
      <c r="AJ1834" t="n">
        <v>9</v>
      </c>
      <c r="AK1834" t="n">
        <v>83</v>
      </c>
      <c r="AL1834" t="n">
        <v>1</v>
      </c>
      <c r="AM1834" t="n">
        <v>6</v>
      </c>
      <c r="AN1834" t="n">
        <v>0</v>
      </c>
      <c r="AO1834" t="n">
        <v>0</v>
      </c>
      <c r="AP1834" t="n">
        <v>4</v>
      </c>
      <c r="AQ1834" t="n">
        <v>26</v>
      </c>
      <c r="AR1834" t="n">
        <v>167</v>
      </c>
      <c r="AS1834" t="n">
        <v>139</v>
      </c>
      <c r="AT1834" t="n">
        <v>2</v>
      </c>
      <c r="AU1834" t="n">
        <v>2</v>
      </c>
      <c r="AV1834" t="n">
        <v>11</v>
      </c>
      <c r="AW1834" t="n">
        <v>23</v>
      </c>
      <c r="AX1834" t="n">
        <v>2</v>
      </c>
      <c r="AY1834" t="n">
        <v>29</v>
      </c>
      <c r="AZ1834" t="n">
        <v>3</v>
      </c>
      <c r="BA1834" t="n">
        <v>11</v>
      </c>
      <c r="BB1834" t="n">
        <v>63</v>
      </c>
      <c r="BC1834" t="n">
        <v>3</v>
      </c>
      <c r="BD1834" t="n">
        <v>87</v>
      </c>
      <c r="BE1834" t="n">
        <v>31</v>
      </c>
      <c r="BF1834" t="n">
        <v>2</v>
      </c>
      <c r="BG1834" t="n">
        <v>0</v>
      </c>
      <c r="BH1834" t="n">
        <v>5</v>
      </c>
      <c r="BI1834" t="n">
        <v>1</v>
      </c>
      <c r="BJ1834" t="n">
        <v>1</v>
      </c>
      <c r="BK1834" t="n">
        <v>3</v>
      </c>
      <c r="BL1834" t="n">
        <v>26</v>
      </c>
      <c r="BM1834" t="n">
        <v>27</v>
      </c>
      <c r="BN1834" t="n">
        <v>7</v>
      </c>
      <c r="BO1834" t="n">
        <v>68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225</v>
      </c>
      <c r="Z1835" t="n">
        <v>301</v>
      </c>
      <c r="AA1835" t="n">
        <v>2</v>
      </c>
      <c r="AB1835" t="n">
        <v>3</v>
      </c>
      <c r="AC1835" t="n">
        <v>2</v>
      </c>
      <c r="AD1835" t="n">
        <v>4</v>
      </c>
      <c r="AE1835" t="n">
        <v>4</v>
      </c>
      <c r="AF1835" t="n">
        <v>1</v>
      </c>
      <c r="AG1835" t="n">
        <v>3</v>
      </c>
      <c r="AH1835" t="n">
        <v>77</v>
      </c>
      <c r="AI1835" t="n">
        <v>66</v>
      </c>
      <c r="AJ1835" t="n">
        <v>12</v>
      </c>
      <c r="AK1835" t="n">
        <v>48</v>
      </c>
      <c r="AL1835" t="n">
        <v>4</v>
      </c>
      <c r="AM1835" t="n">
        <v>31</v>
      </c>
      <c r="AN1835" t="n">
        <v>0</v>
      </c>
      <c r="AO1835" t="n">
        <v>0</v>
      </c>
      <c r="AP1835" t="n">
        <v>2</v>
      </c>
      <c r="AQ1835" t="n">
        <v>15</v>
      </c>
      <c r="AR1835" t="n">
        <v>94</v>
      </c>
      <c r="AS1835" t="n">
        <v>80</v>
      </c>
      <c r="AT1835" t="n">
        <v>1</v>
      </c>
      <c r="AU1835" t="n">
        <v>2</v>
      </c>
      <c r="AV1835" t="n">
        <v>8</v>
      </c>
      <c r="AW1835" t="n">
        <v>19</v>
      </c>
      <c r="AX1835" t="n">
        <v>0</v>
      </c>
      <c r="AY1835" t="n">
        <v>1</v>
      </c>
      <c r="AZ1835" t="n">
        <v>5</v>
      </c>
      <c r="BA1835" t="n">
        <v>81</v>
      </c>
      <c r="BB1835" t="n">
        <v>101</v>
      </c>
      <c r="BC1835" t="n">
        <v>36</v>
      </c>
      <c r="BD1835" t="n">
        <v>91</v>
      </c>
      <c r="BE1835" t="n">
        <v>19</v>
      </c>
      <c r="BF1835" t="n">
        <v>9</v>
      </c>
      <c r="BG1835" t="n">
        <v>3</v>
      </c>
      <c r="BH1835" t="n">
        <v>16</v>
      </c>
      <c r="BI1835" t="n">
        <v>40</v>
      </c>
      <c r="BJ1835" t="n">
        <v>36</v>
      </c>
      <c r="BK1835" t="n">
        <v>3</v>
      </c>
      <c r="BL1835" t="n">
        <v>45</v>
      </c>
      <c r="BM1835" t="n">
        <v>30</v>
      </c>
      <c r="BN1835" t="n">
        <v>1</v>
      </c>
      <c r="BO1835" t="n">
        <v>2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</v>
      </c>
      <c r="F1836" t="n">
        <v>2</v>
      </c>
      <c r="G1836" t="n">
        <v>0</v>
      </c>
      <c r="H1836" t="n">
        <v>0</v>
      </c>
      <c r="I1836" t="n">
        <v>0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2</v>
      </c>
      <c r="U1836" t="n">
        <v>0</v>
      </c>
      <c r="V1836" t="n">
        <v>0</v>
      </c>
      <c r="W1836" t="n">
        <v>0</v>
      </c>
      <c r="X1836" t="n">
        <v>0</v>
      </c>
      <c r="Y1836" t="n">
        <v>448</v>
      </c>
      <c r="Z1836" t="n">
        <v>207</v>
      </c>
      <c r="AA1836" t="n">
        <v>45</v>
      </c>
      <c r="AB1836" t="n">
        <v>0</v>
      </c>
      <c r="AC1836" t="n">
        <v>3</v>
      </c>
      <c r="AD1836" t="n">
        <v>2</v>
      </c>
      <c r="AE1836" t="n">
        <v>6</v>
      </c>
      <c r="AF1836" t="n">
        <v>4</v>
      </c>
      <c r="AG1836" t="n">
        <v>3</v>
      </c>
      <c r="AH1836" t="n">
        <v>55</v>
      </c>
      <c r="AI1836" t="n">
        <v>44</v>
      </c>
      <c r="AJ1836" t="n">
        <v>36</v>
      </c>
      <c r="AK1836" t="n">
        <v>28</v>
      </c>
      <c r="AL1836" t="n">
        <v>3</v>
      </c>
      <c r="AM1836" t="n">
        <v>33</v>
      </c>
      <c r="AN1836" t="n">
        <v>0</v>
      </c>
      <c r="AO1836" t="n">
        <v>0</v>
      </c>
      <c r="AP1836" t="n">
        <v>6</v>
      </c>
      <c r="AQ1836" t="n">
        <v>38</v>
      </c>
      <c r="AR1836" t="n">
        <v>61</v>
      </c>
      <c r="AS1836" t="n">
        <v>28</v>
      </c>
      <c r="AT1836" t="n">
        <v>5</v>
      </c>
      <c r="AU1836" t="n">
        <v>2</v>
      </c>
      <c r="AV1836" t="n">
        <v>67</v>
      </c>
      <c r="AW1836" t="n">
        <v>18</v>
      </c>
      <c r="AX1836" t="n">
        <v>0</v>
      </c>
      <c r="AY1836" t="n">
        <v>37</v>
      </c>
      <c r="AZ1836" t="n">
        <v>3</v>
      </c>
      <c r="BA1836" t="n">
        <v>20</v>
      </c>
      <c r="BB1836" t="n">
        <v>62</v>
      </c>
      <c r="BC1836" t="n">
        <v>27</v>
      </c>
      <c r="BD1836" t="n">
        <v>60</v>
      </c>
      <c r="BE1836" t="n">
        <v>18</v>
      </c>
      <c r="BF1836" t="n">
        <v>29</v>
      </c>
      <c r="BG1836" t="n">
        <v>5</v>
      </c>
      <c r="BH1836" t="n">
        <v>51</v>
      </c>
      <c r="BI1836" t="n">
        <v>59</v>
      </c>
      <c r="BJ1836" t="n">
        <v>54</v>
      </c>
      <c r="BK1836" t="n">
        <v>3</v>
      </c>
      <c r="BL1836" t="n">
        <v>14</v>
      </c>
      <c r="BM1836" t="n">
        <v>44</v>
      </c>
      <c r="BN1836" t="n">
        <v>23</v>
      </c>
      <c r="BO1836" t="n">
        <v>32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166</v>
      </c>
      <c r="Z1837" t="n">
        <v>151</v>
      </c>
      <c r="AA1837" t="n">
        <v>32</v>
      </c>
      <c r="AB1837" t="n">
        <v>0</v>
      </c>
      <c r="AC1837" t="n">
        <v>0</v>
      </c>
      <c r="AD1837" t="n">
        <v>6</v>
      </c>
      <c r="AE1837" t="n">
        <v>1</v>
      </c>
      <c r="AF1837" t="n">
        <v>3</v>
      </c>
      <c r="AG1837" t="n">
        <v>3</v>
      </c>
      <c r="AH1837" t="n">
        <v>47</v>
      </c>
      <c r="AI1837" t="n">
        <v>2</v>
      </c>
      <c r="AJ1837" t="n">
        <v>24</v>
      </c>
      <c r="AK1837" t="n">
        <v>28</v>
      </c>
      <c r="AL1837" t="n">
        <v>4</v>
      </c>
      <c r="AM1837" t="n">
        <v>94</v>
      </c>
      <c r="AN1837" t="n">
        <v>0</v>
      </c>
      <c r="AO1837" t="n">
        <v>0</v>
      </c>
      <c r="AP1837" t="n">
        <v>3</v>
      </c>
      <c r="AQ1837" t="n">
        <v>10</v>
      </c>
      <c r="AR1837" t="n">
        <v>93</v>
      </c>
      <c r="AS1837" t="n">
        <v>82</v>
      </c>
      <c r="AT1837" t="n">
        <v>3</v>
      </c>
      <c r="AU1837" t="n">
        <v>2</v>
      </c>
      <c r="AV1837" t="n">
        <v>8</v>
      </c>
      <c r="AW1837" t="n">
        <v>13</v>
      </c>
      <c r="AX1837" t="n">
        <v>1</v>
      </c>
      <c r="AY1837" t="n">
        <v>17</v>
      </c>
      <c r="AZ1837" t="n">
        <v>1</v>
      </c>
      <c r="BA1837" t="n">
        <v>1</v>
      </c>
      <c r="BB1837" t="n">
        <v>33</v>
      </c>
      <c r="BC1837" t="n">
        <v>96</v>
      </c>
      <c r="BD1837" t="n">
        <v>80</v>
      </c>
      <c r="BE1837" t="n">
        <v>12</v>
      </c>
      <c r="BF1837" t="n">
        <v>19</v>
      </c>
      <c r="BG1837" t="n">
        <v>3</v>
      </c>
      <c r="BH1837" t="n">
        <v>13</v>
      </c>
      <c r="BI1837" t="n">
        <v>26</v>
      </c>
      <c r="BJ1837" t="n">
        <v>23</v>
      </c>
      <c r="BK1837" t="n">
        <v>2</v>
      </c>
      <c r="BL1837" t="n">
        <v>1</v>
      </c>
      <c r="BM1837" t="n">
        <v>57</v>
      </c>
      <c r="BN1837" t="n">
        <v>37</v>
      </c>
      <c r="BO1837" t="n">
        <v>58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2</v>
      </c>
      <c r="S1838" t="n">
        <v>0</v>
      </c>
      <c r="T1838" t="n">
        <v>0</v>
      </c>
      <c r="U1838" t="n">
        <v>0</v>
      </c>
      <c r="V1838" t="n">
        <v>0</v>
      </c>
      <c r="W1838" t="n">
        <v>3</v>
      </c>
      <c r="X1838" t="n">
        <v>0</v>
      </c>
      <c r="Y1838" t="n">
        <v>184</v>
      </c>
      <c r="Z1838" t="n">
        <v>330</v>
      </c>
      <c r="AA1838" t="n">
        <v>10</v>
      </c>
      <c r="AB1838" t="n">
        <v>2</v>
      </c>
      <c r="AC1838" t="n">
        <v>1</v>
      </c>
      <c r="AD1838" t="n">
        <v>4</v>
      </c>
      <c r="AE1838" t="n">
        <v>6</v>
      </c>
      <c r="AF1838" t="n">
        <v>4</v>
      </c>
      <c r="AG1838" t="n">
        <v>2</v>
      </c>
      <c r="AH1838" t="n">
        <v>15</v>
      </c>
      <c r="AI1838" t="n">
        <v>103</v>
      </c>
      <c r="AJ1838" t="n">
        <v>64</v>
      </c>
      <c r="AK1838" t="n">
        <v>10</v>
      </c>
      <c r="AL1838" t="n">
        <v>2</v>
      </c>
      <c r="AM1838" t="n">
        <v>39</v>
      </c>
      <c r="AN1838" t="n">
        <v>0</v>
      </c>
      <c r="AO1838" t="n">
        <v>0</v>
      </c>
      <c r="AP1838" t="n">
        <v>8</v>
      </c>
      <c r="AQ1838" t="n">
        <v>42</v>
      </c>
      <c r="AR1838" t="n">
        <v>142</v>
      </c>
      <c r="AS1838" t="n">
        <v>107</v>
      </c>
      <c r="AT1838" t="n">
        <v>0</v>
      </c>
      <c r="AU1838" t="n">
        <v>2</v>
      </c>
      <c r="AV1838" t="n">
        <v>1</v>
      </c>
      <c r="AW1838" t="n">
        <v>47</v>
      </c>
      <c r="AX1838" t="n">
        <v>0</v>
      </c>
      <c r="AY1838" t="n">
        <v>60</v>
      </c>
      <c r="AZ1838" t="n">
        <v>4</v>
      </c>
      <c r="BA1838" t="n">
        <v>46</v>
      </c>
      <c r="BB1838" t="n">
        <v>63</v>
      </c>
      <c r="BC1838" t="n">
        <v>32</v>
      </c>
      <c r="BD1838" t="n">
        <v>23</v>
      </c>
      <c r="BE1838" t="n">
        <v>48</v>
      </c>
      <c r="BF1838" t="n">
        <v>50</v>
      </c>
      <c r="BG1838" t="n">
        <v>6</v>
      </c>
      <c r="BH1838" t="n">
        <v>14</v>
      </c>
      <c r="BI1838" t="n">
        <v>50</v>
      </c>
      <c r="BJ1838" t="n">
        <v>52</v>
      </c>
      <c r="BK1838" t="n">
        <v>0</v>
      </c>
      <c r="BL1838" t="n">
        <v>1</v>
      </c>
      <c r="BM1838" t="n">
        <v>17</v>
      </c>
      <c r="BN1838" t="n">
        <v>10</v>
      </c>
      <c r="BO1838" t="n">
        <v>2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2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256</v>
      </c>
      <c r="Z1839" t="n">
        <v>129</v>
      </c>
      <c r="AA1839" t="n">
        <v>124</v>
      </c>
      <c r="AB1839" t="n">
        <v>0</v>
      </c>
      <c r="AC1839" t="n">
        <v>1</v>
      </c>
      <c r="AD1839" t="n">
        <v>6</v>
      </c>
      <c r="AE1839" t="n">
        <v>3</v>
      </c>
      <c r="AF1839" t="n">
        <v>10</v>
      </c>
      <c r="AG1839" t="n">
        <v>3</v>
      </c>
      <c r="AH1839" t="n">
        <v>49</v>
      </c>
      <c r="AI1839" t="n">
        <v>47</v>
      </c>
      <c r="AJ1839" t="n">
        <v>96</v>
      </c>
      <c r="AK1839" t="n">
        <v>16</v>
      </c>
      <c r="AL1839" t="n">
        <v>2</v>
      </c>
      <c r="AM1839" t="n">
        <v>35</v>
      </c>
      <c r="AN1839" t="n">
        <v>0</v>
      </c>
      <c r="AO1839" t="n">
        <v>0</v>
      </c>
      <c r="AP1839" t="n">
        <v>4</v>
      </c>
      <c r="AQ1839" t="n">
        <v>47</v>
      </c>
      <c r="AR1839" t="n">
        <v>74</v>
      </c>
      <c r="AS1839" t="n">
        <v>36</v>
      </c>
      <c r="AT1839" t="n">
        <v>5</v>
      </c>
      <c r="AU1839" t="n">
        <v>1</v>
      </c>
      <c r="AV1839" t="n">
        <v>20</v>
      </c>
      <c r="AW1839" t="n">
        <v>14</v>
      </c>
      <c r="AX1839" t="n">
        <v>20</v>
      </c>
      <c r="AY1839" t="n">
        <v>14</v>
      </c>
      <c r="AZ1839" t="n">
        <v>1</v>
      </c>
      <c r="BA1839" t="n">
        <v>26</v>
      </c>
      <c r="BB1839" t="n">
        <v>142</v>
      </c>
      <c r="BC1839" t="n">
        <v>29</v>
      </c>
      <c r="BD1839" t="n">
        <v>43</v>
      </c>
      <c r="BE1839" t="n">
        <v>13</v>
      </c>
      <c r="BF1839" t="n">
        <v>77</v>
      </c>
      <c r="BG1839" t="n">
        <v>3</v>
      </c>
      <c r="BH1839" t="n">
        <v>5</v>
      </c>
      <c r="BI1839" t="n">
        <v>35</v>
      </c>
      <c r="BJ1839" t="n">
        <v>37</v>
      </c>
      <c r="BK1839" t="n">
        <v>6</v>
      </c>
      <c r="BL1839" t="n">
        <v>24</v>
      </c>
      <c r="BM1839" t="n">
        <v>23</v>
      </c>
      <c r="BN1839" t="n">
        <v>6</v>
      </c>
      <c r="BO1839" t="n">
        <v>7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199</v>
      </c>
      <c r="Z1840" t="n">
        <v>108</v>
      </c>
      <c r="AA1840" t="n">
        <v>21</v>
      </c>
      <c r="AB1840" t="n">
        <v>1</v>
      </c>
      <c r="AC1840" t="n">
        <v>0</v>
      </c>
      <c r="AD1840" t="n">
        <v>3</v>
      </c>
      <c r="AE1840" t="n">
        <v>4</v>
      </c>
      <c r="AF1840" t="n">
        <v>3</v>
      </c>
      <c r="AG1840" t="n">
        <v>8</v>
      </c>
      <c r="AH1840" t="n">
        <v>29</v>
      </c>
      <c r="AI1840" t="n">
        <v>27</v>
      </c>
      <c r="AJ1840" t="n">
        <v>27</v>
      </c>
      <c r="AK1840" t="n">
        <v>87</v>
      </c>
      <c r="AL1840" t="n">
        <v>2</v>
      </c>
      <c r="AM1840" t="n">
        <v>2</v>
      </c>
      <c r="AN1840" t="n">
        <v>0</v>
      </c>
      <c r="AO1840" t="n">
        <v>0</v>
      </c>
      <c r="AP1840" t="n">
        <v>7</v>
      </c>
      <c r="AQ1840" t="n">
        <v>48</v>
      </c>
      <c r="AR1840" t="n">
        <v>145</v>
      </c>
      <c r="AS1840" t="n">
        <v>105</v>
      </c>
      <c r="AT1840" t="n">
        <v>8</v>
      </c>
      <c r="AU1840" t="n">
        <v>1</v>
      </c>
      <c r="AV1840" t="n">
        <v>38</v>
      </c>
      <c r="AW1840" t="n">
        <v>15</v>
      </c>
      <c r="AX1840" t="n">
        <v>18</v>
      </c>
      <c r="AY1840" t="n">
        <v>17</v>
      </c>
      <c r="AZ1840" t="n">
        <v>5</v>
      </c>
      <c r="BA1840" t="n">
        <v>12</v>
      </c>
      <c r="BB1840" t="n">
        <v>34</v>
      </c>
      <c r="BC1840" t="n">
        <v>20</v>
      </c>
      <c r="BD1840" t="n">
        <v>30</v>
      </c>
      <c r="BE1840" t="n">
        <v>14</v>
      </c>
      <c r="BF1840" t="n">
        <v>29</v>
      </c>
      <c r="BG1840" t="n">
        <v>1</v>
      </c>
      <c r="BH1840" t="n">
        <v>10</v>
      </c>
      <c r="BI1840" t="n">
        <v>1</v>
      </c>
      <c r="BJ1840" t="n">
        <v>3</v>
      </c>
      <c r="BK1840" t="n">
        <v>1</v>
      </c>
      <c r="BL1840" t="n">
        <v>1</v>
      </c>
      <c r="BM1840" t="n">
        <v>20</v>
      </c>
      <c r="BN1840" t="n">
        <v>11</v>
      </c>
      <c r="BO1840" t="n">
        <v>49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1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114</v>
      </c>
      <c r="Z1841" t="n">
        <v>219</v>
      </c>
      <c r="AA1841" t="n">
        <v>29</v>
      </c>
      <c r="AB1841" t="n">
        <v>1</v>
      </c>
      <c r="AC1841" t="n">
        <v>2</v>
      </c>
      <c r="AD1841" t="n">
        <v>5</v>
      </c>
      <c r="AE1841" t="n">
        <v>9</v>
      </c>
      <c r="AF1841" t="n">
        <v>1</v>
      </c>
      <c r="AG1841" t="n">
        <v>7</v>
      </c>
      <c r="AH1841" t="n">
        <v>10</v>
      </c>
      <c r="AI1841" t="n">
        <v>57</v>
      </c>
      <c r="AJ1841" t="n">
        <v>22</v>
      </c>
      <c r="AK1841" t="n">
        <v>41</v>
      </c>
      <c r="AL1841" t="n">
        <v>6</v>
      </c>
      <c r="AM1841" t="n">
        <v>53</v>
      </c>
      <c r="AN1841" t="n">
        <v>0</v>
      </c>
      <c r="AO1841" t="n">
        <v>0</v>
      </c>
      <c r="AP1841" t="n">
        <v>6</v>
      </c>
      <c r="AQ1841" t="n">
        <v>26</v>
      </c>
      <c r="AR1841" t="n">
        <v>41</v>
      </c>
      <c r="AS1841" t="n">
        <v>21</v>
      </c>
      <c r="AT1841" t="n">
        <v>0</v>
      </c>
      <c r="AU1841" t="n">
        <v>2</v>
      </c>
      <c r="AV1841" t="n">
        <v>1</v>
      </c>
      <c r="AW1841" t="n">
        <v>13</v>
      </c>
      <c r="AX1841" t="n">
        <v>5</v>
      </c>
      <c r="AY1841" t="n">
        <v>34</v>
      </c>
      <c r="AZ1841" t="n">
        <v>5</v>
      </c>
      <c r="BA1841" t="n">
        <v>39</v>
      </c>
      <c r="BB1841" t="n">
        <v>69</v>
      </c>
      <c r="BC1841" t="n">
        <v>46</v>
      </c>
      <c r="BD1841" t="n">
        <v>9</v>
      </c>
      <c r="BE1841" t="n">
        <v>12</v>
      </c>
      <c r="BF1841" t="n">
        <v>19</v>
      </c>
      <c r="BG1841" t="n">
        <v>4</v>
      </c>
      <c r="BH1841" t="n">
        <v>4</v>
      </c>
      <c r="BI1841" t="n">
        <v>35</v>
      </c>
      <c r="BJ1841" t="n">
        <v>32</v>
      </c>
      <c r="BK1841" t="n">
        <v>2</v>
      </c>
      <c r="BL1841" t="n">
        <v>1</v>
      </c>
      <c r="BM1841" t="n">
        <v>5</v>
      </c>
      <c r="BN1841" t="n">
        <v>2</v>
      </c>
      <c r="BO1841" t="n">
        <v>25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307</v>
      </c>
      <c r="Z1842" t="n">
        <v>83</v>
      </c>
      <c r="AA1842" t="n">
        <v>71</v>
      </c>
      <c r="AB1842" t="n">
        <v>1</v>
      </c>
      <c r="AC1842" t="n">
        <v>1</v>
      </c>
      <c r="AD1842" t="n">
        <v>3</v>
      </c>
      <c r="AE1842" t="n">
        <v>3</v>
      </c>
      <c r="AF1842" t="n">
        <v>5</v>
      </c>
      <c r="AG1842" t="n">
        <v>7</v>
      </c>
      <c r="AH1842" t="n">
        <v>35</v>
      </c>
      <c r="AI1842" t="n">
        <v>25</v>
      </c>
      <c r="AJ1842" t="n">
        <v>50</v>
      </c>
      <c r="AK1842" t="n">
        <v>71</v>
      </c>
      <c r="AL1842" t="n">
        <v>3</v>
      </c>
      <c r="AM1842" t="n">
        <v>18</v>
      </c>
      <c r="AN1842" t="n">
        <v>0</v>
      </c>
      <c r="AO1842" t="n">
        <v>0</v>
      </c>
      <c r="AP1842" t="n">
        <v>5</v>
      </c>
      <c r="AQ1842" t="n">
        <v>50</v>
      </c>
      <c r="AR1842" t="n">
        <v>94</v>
      </c>
      <c r="AS1842" t="n">
        <v>53</v>
      </c>
      <c r="AT1842" t="n">
        <v>4</v>
      </c>
      <c r="AU1842" t="n">
        <v>1</v>
      </c>
      <c r="AV1842" t="n">
        <v>38</v>
      </c>
      <c r="AW1842" t="n">
        <v>9</v>
      </c>
      <c r="AX1842" t="n">
        <v>8</v>
      </c>
      <c r="AY1842" t="n">
        <v>63</v>
      </c>
      <c r="AZ1842" t="n">
        <v>2</v>
      </c>
      <c r="BA1842" t="n">
        <v>5</v>
      </c>
      <c r="BB1842" t="n">
        <v>72</v>
      </c>
      <c r="BC1842" t="n">
        <v>15</v>
      </c>
      <c r="BD1842" t="n">
        <v>31</v>
      </c>
      <c r="BE1842" t="n">
        <v>9</v>
      </c>
      <c r="BF1842" t="n">
        <v>40</v>
      </c>
      <c r="BG1842" t="n">
        <v>4</v>
      </c>
      <c r="BH1842" t="n">
        <v>9</v>
      </c>
      <c r="BI1842" t="n">
        <v>23</v>
      </c>
      <c r="BJ1842" t="n">
        <v>37</v>
      </c>
      <c r="BK1842" t="n">
        <v>0</v>
      </c>
      <c r="BL1842" t="n">
        <v>5</v>
      </c>
      <c r="BM1842" t="n">
        <v>20</v>
      </c>
      <c r="BN1842" t="n">
        <v>11</v>
      </c>
      <c r="BO1842" t="n">
        <v>2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151</v>
      </c>
      <c r="Z1843" t="n">
        <v>206</v>
      </c>
      <c r="AA1843" t="n">
        <v>61</v>
      </c>
      <c r="AB1843" t="n">
        <v>0</v>
      </c>
      <c r="AC1843" t="n">
        <v>0</v>
      </c>
      <c r="AD1843" t="n">
        <v>3</v>
      </c>
      <c r="AE1843" t="n">
        <v>7</v>
      </c>
      <c r="AF1843" t="n">
        <v>2</v>
      </c>
      <c r="AG1843" t="n">
        <v>11</v>
      </c>
      <c r="AH1843" t="n">
        <v>19</v>
      </c>
      <c r="AI1843" t="n">
        <v>110</v>
      </c>
      <c r="AJ1843" t="n">
        <v>27</v>
      </c>
      <c r="AK1843" t="n">
        <v>60</v>
      </c>
      <c r="AL1843" t="n">
        <v>4</v>
      </c>
      <c r="AM1843" t="n">
        <v>40</v>
      </c>
      <c r="AN1843" t="n">
        <v>0</v>
      </c>
      <c r="AO1843" t="n">
        <v>0</v>
      </c>
      <c r="AP1843" t="n">
        <v>5</v>
      </c>
      <c r="AQ1843" t="n">
        <v>13</v>
      </c>
      <c r="AR1843" t="n">
        <v>171</v>
      </c>
      <c r="AS1843" t="n">
        <v>153</v>
      </c>
      <c r="AT1843" t="n">
        <v>1</v>
      </c>
      <c r="AU1843" t="n">
        <v>0</v>
      </c>
      <c r="AV1843" t="n">
        <v>31</v>
      </c>
      <c r="AW1843" t="n">
        <v>9</v>
      </c>
      <c r="AX1843" t="n">
        <v>3</v>
      </c>
      <c r="AY1843" t="n">
        <v>36</v>
      </c>
      <c r="AZ1843" t="n">
        <v>3</v>
      </c>
      <c r="BA1843" t="n">
        <v>15</v>
      </c>
      <c r="BB1843" t="n">
        <v>73</v>
      </c>
      <c r="BC1843" t="n">
        <v>39</v>
      </c>
      <c r="BD1843" t="n">
        <v>18</v>
      </c>
      <c r="BE1843" t="n">
        <v>8</v>
      </c>
      <c r="BF1843" t="n">
        <v>21</v>
      </c>
      <c r="BG1843" t="n">
        <v>3</v>
      </c>
      <c r="BH1843" t="n">
        <v>0</v>
      </c>
      <c r="BI1843" t="n">
        <v>18</v>
      </c>
      <c r="BJ1843" t="n">
        <v>15</v>
      </c>
      <c r="BK1843" t="n">
        <v>2</v>
      </c>
      <c r="BL1843" t="n">
        <v>8</v>
      </c>
      <c r="BM1843" t="n">
        <v>11</v>
      </c>
      <c r="BN1843" t="n">
        <v>4</v>
      </c>
      <c r="BO1843" t="n">
        <v>14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235</v>
      </c>
      <c r="Z1844" t="n">
        <v>225</v>
      </c>
      <c r="AA1844" t="n">
        <v>87</v>
      </c>
      <c r="AB1844" t="n">
        <v>0</v>
      </c>
      <c r="AC1844" t="n">
        <v>0</v>
      </c>
      <c r="AD1844" t="n">
        <v>7</v>
      </c>
      <c r="AE1844" t="n">
        <v>1</v>
      </c>
      <c r="AF1844" t="n">
        <v>9</v>
      </c>
      <c r="AG1844" t="n">
        <v>3</v>
      </c>
      <c r="AH1844" t="n">
        <v>74</v>
      </c>
      <c r="AI1844" t="n">
        <v>6</v>
      </c>
      <c r="AJ1844" t="n">
        <v>112</v>
      </c>
      <c r="AK1844" t="n">
        <v>9</v>
      </c>
      <c r="AL1844" t="n">
        <v>5</v>
      </c>
      <c r="AM1844" t="n">
        <v>80</v>
      </c>
      <c r="AN1844" t="n">
        <v>0</v>
      </c>
      <c r="AO1844" t="n">
        <v>0</v>
      </c>
      <c r="AP1844" t="n">
        <v>6</v>
      </c>
      <c r="AQ1844" t="n">
        <v>24</v>
      </c>
      <c r="AR1844" t="n">
        <v>71</v>
      </c>
      <c r="AS1844" t="n">
        <v>51</v>
      </c>
      <c r="AT1844" t="n">
        <v>1</v>
      </c>
      <c r="AU1844" t="n">
        <v>2</v>
      </c>
      <c r="AV1844" t="n">
        <v>13</v>
      </c>
      <c r="AW1844" t="n">
        <v>28</v>
      </c>
      <c r="AX1844" t="n">
        <v>6</v>
      </c>
      <c r="AY1844" t="n">
        <v>37</v>
      </c>
      <c r="AZ1844" t="n">
        <v>3</v>
      </c>
      <c r="BA1844" t="n">
        <v>65</v>
      </c>
      <c r="BB1844" t="n">
        <v>154</v>
      </c>
      <c r="BC1844" t="n">
        <v>66</v>
      </c>
      <c r="BD1844" t="n">
        <v>71</v>
      </c>
      <c r="BE1844" t="n">
        <v>30</v>
      </c>
      <c r="BF1844" t="n">
        <v>89</v>
      </c>
      <c r="BG1844" t="n">
        <v>3</v>
      </c>
      <c r="BH1844" t="n">
        <v>3</v>
      </c>
      <c r="BI1844" t="n">
        <v>32</v>
      </c>
      <c r="BJ1844" t="n">
        <v>28</v>
      </c>
      <c r="BK1844" t="n">
        <v>0</v>
      </c>
      <c r="BL1844" t="n">
        <v>1</v>
      </c>
      <c r="BM1844" t="n">
        <v>5</v>
      </c>
      <c r="BN1844" t="n">
        <v>3</v>
      </c>
      <c r="BO1844" t="n">
        <v>2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226</v>
      </c>
      <c r="Z1845" t="n">
        <v>90</v>
      </c>
      <c r="AA1845" t="n">
        <v>17</v>
      </c>
      <c r="AB1845" t="n">
        <v>0</v>
      </c>
      <c r="AC1845" t="n">
        <v>3</v>
      </c>
      <c r="AD1845" t="n">
        <v>2</v>
      </c>
      <c r="AE1845" t="n">
        <v>0</v>
      </c>
      <c r="AF1845" t="n">
        <v>4</v>
      </c>
      <c r="AG1845" t="n">
        <v>3</v>
      </c>
      <c r="AH1845" t="n">
        <v>57</v>
      </c>
      <c r="AI1845" t="n">
        <v>42</v>
      </c>
      <c r="AJ1845" t="n">
        <v>25</v>
      </c>
      <c r="AK1845" t="n">
        <v>22</v>
      </c>
      <c r="AL1845" t="n">
        <v>2</v>
      </c>
      <c r="AM1845" t="n">
        <v>10</v>
      </c>
      <c r="AN1845" t="n">
        <v>0</v>
      </c>
      <c r="AO1845" t="n">
        <v>0</v>
      </c>
      <c r="AP1845" t="n">
        <v>6</v>
      </c>
      <c r="AQ1845" t="n">
        <v>59</v>
      </c>
      <c r="AR1845" t="n">
        <v>205</v>
      </c>
      <c r="AS1845" t="n">
        <v>154</v>
      </c>
      <c r="AT1845" t="n">
        <v>6</v>
      </c>
      <c r="AU1845" t="n">
        <v>2</v>
      </c>
      <c r="AV1845" t="n">
        <v>29</v>
      </c>
      <c r="AW1845" t="n">
        <v>17</v>
      </c>
      <c r="AX1845" t="n">
        <v>7</v>
      </c>
      <c r="AY1845" t="n">
        <v>15</v>
      </c>
      <c r="AZ1845" t="n">
        <v>1</v>
      </c>
      <c r="BA1845" t="n">
        <v>17</v>
      </c>
      <c r="BB1845" t="n">
        <v>34</v>
      </c>
      <c r="BC1845" t="n">
        <v>20</v>
      </c>
      <c r="BD1845" t="n">
        <v>56</v>
      </c>
      <c r="BE1845" t="n">
        <v>17</v>
      </c>
      <c r="BF1845" t="n">
        <v>26</v>
      </c>
      <c r="BG1845" t="n">
        <v>3</v>
      </c>
      <c r="BH1845" t="n">
        <v>8</v>
      </c>
      <c r="BI1845" t="n">
        <v>45</v>
      </c>
      <c r="BJ1845" t="n">
        <v>77</v>
      </c>
      <c r="BK1845" t="n">
        <v>1</v>
      </c>
      <c r="BL1845" t="n">
        <v>1</v>
      </c>
      <c r="BM1845" t="n">
        <v>2</v>
      </c>
      <c r="BN1845" t="n">
        <v>0</v>
      </c>
      <c r="BO1845" t="n">
        <v>4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4</v>
      </c>
      <c r="U1846" t="n">
        <v>0</v>
      </c>
      <c r="V1846" t="n">
        <v>0</v>
      </c>
      <c r="W1846" t="n">
        <v>0</v>
      </c>
      <c r="X1846" t="n">
        <v>1</v>
      </c>
      <c r="Y1846" t="n">
        <v>182</v>
      </c>
      <c r="Z1846" t="n">
        <v>140</v>
      </c>
      <c r="AA1846" t="n">
        <v>68</v>
      </c>
      <c r="AB1846" t="n">
        <v>1</v>
      </c>
      <c r="AC1846" t="n">
        <v>1</v>
      </c>
      <c r="AD1846" t="n">
        <v>6</v>
      </c>
      <c r="AE1846" t="n">
        <v>3</v>
      </c>
      <c r="AF1846" t="n">
        <v>9</v>
      </c>
      <c r="AG1846" t="n">
        <v>7</v>
      </c>
      <c r="AH1846" t="n">
        <v>42</v>
      </c>
      <c r="AI1846" t="n">
        <v>32</v>
      </c>
      <c r="AJ1846" t="n">
        <v>66</v>
      </c>
      <c r="AK1846" t="n">
        <v>38</v>
      </c>
      <c r="AL1846" t="n">
        <v>2</v>
      </c>
      <c r="AM1846" t="n">
        <v>21</v>
      </c>
      <c r="AN1846" t="n">
        <v>0</v>
      </c>
      <c r="AO1846" t="n">
        <v>0</v>
      </c>
      <c r="AP1846" t="n">
        <v>2</v>
      </c>
      <c r="AQ1846" t="n">
        <v>1</v>
      </c>
      <c r="AR1846" t="n">
        <v>36</v>
      </c>
      <c r="AS1846" t="n">
        <v>32</v>
      </c>
      <c r="AT1846" t="n">
        <v>5</v>
      </c>
      <c r="AU1846" t="n">
        <v>2</v>
      </c>
      <c r="AV1846" t="n">
        <v>29</v>
      </c>
      <c r="AW1846" t="n">
        <v>18</v>
      </c>
      <c r="AX1846" t="n">
        <v>4</v>
      </c>
      <c r="AY1846" t="n">
        <v>3</v>
      </c>
      <c r="AZ1846" t="n">
        <v>2</v>
      </c>
      <c r="BA1846" t="n">
        <v>7</v>
      </c>
      <c r="BB1846" t="n">
        <v>70</v>
      </c>
      <c r="BC1846" t="n">
        <v>17</v>
      </c>
      <c r="BD1846" t="n">
        <v>37</v>
      </c>
      <c r="BE1846" t="n">
        <v>18</v>
      </c>
      <c r="BF1846" t="n">
        <v>52</v>
      </c>
      <c r="BG1846" t="n">
        <v>1</v>
      </c>
      <c r="BH1846" t="n">
        <v>2</v>
      </c>
      <c r="BI1846" t="n">
        <v>32</v>
      </c>
      <c r="BJ1846" t="n">
        <v>33</v>
      </c>
      <c r="BK1846" t="n">
        <v>6</v>
      </c>
      <c r="BL1846" t="n">
        <v>42</v>
      </c>
      <c r="BM1846" t="n">
        <v>29</v>
      </c>
      <c r="BN1846" t="n">
        <v>1</v>
      </c>
      <c r="BO1846" t="n">
        <v>2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2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2</v>
      </c>
      <c r="X1847" t="n">
        <v>0</v>
      </c>
      <c r="Y1847" t="n">
        <v>291</v>
      </c>
      <c r="Z1847" t="n">
        <v>209</v>
      </c>
      <c r="AA1847" t="n">
        <v>32</v>
      </c>
      <c r="AB1847" t="n">
        <v>2</v>
      </c>
      <c r="AC1847" t="n">
        <v>2</v>
      </c>
      <c r="AD1847" t="n">
        <v>1</v>
      </c>
      <c r="AE1847" t="n">
        <v>10</v>
      </c>
      <c r="AF1847" t="n">
        <v>0</v>
      </c>
      <c r="AG1847" t="n">
        <v>3</v>
      </c>
      <c r="AH1847" t="n">
        <v>49</v>
      </c>
      <c r="AI1847" t="n">
        <v>102</v>
      </c>
      <c r="AJ1847" t="n">
        <v>2</v>
      </c>
      <c r="AK1847" t="n">
        <v>-5</v>
      </c>
      <c r="AL1847" t="n">
        <v>5</v>
      </c>
      <c r="AM1847" t="n">
        <v>72</v>
      </c>
      <c r="AN1847" t="n">
        <v>0</v>
      </c>
      <c r="AO1847" t="n">
        <v>0</v>
      </c>
      <c r="AP1847" t="n">
        <v>3</v>
      </c>
      <c r="AQ1847" t="n">
        <v>26</v>
      </c>
      <c r="AR1847" t="n">
        <v>143</v>
      </c>
      <c r="AS1847" t="n">
        <v>119</v>
      </c>
      <c r="AT1847" t="n">
        <v>6</v>
      </c>
      <c r="AU1847" t="n">
        <v>0</v>
      </c>
      <c r="AV1847" t="n">
        <v>15</v>
      </c>
      <c r="AW1847" t="n">
        <v>12</v>
      </c>
      <c r="AX1847" t="n">
        <v>0</v>
      </c>
      <c r="AY1847" t="n">
        <v>5</v>
      </c>
      <c r="AZ1847" t="n">
        <v>2</v>
      </c>
      <c r="BA1847" t="n">
        <v>20</v>
      </c>
      <c r="BB1847" t="n">
        <v>50</v>
      </c>
      <c r="BC1847" t="n">
        <v>60</v>
      </c>
      <c r="BD1847" t="n">
        <v>47</v>
      </c>
      <c r="BE1847" t="n">
        <v>12</v>
      </c>
      <c r="BF1847" t="n">
        <v>28</v>
      </c>
      <c r="BG1847" t="n">
        <v>4</v>
      </c>
      <c r="BH1847" t="n">
        <v>33</v>
      </c>
      <c r="BI1847" t="n">
        <v>73</v>
      </c>
      <c r="BJ1847" t="n">
        <v>73</v>
      </c>
      <c r="BK1847" t="n">
        <v>0</v>
      </c>
      <c r="BL1847" t="n">
        <v>26</v>
      </c>
      <c r="BM1847" t="n">
        <v>48</v>
      </c>
      <c r="BN1847" t="n">
        <v>21</v>
      </c>
      <c r="BO1847" t="n">
        <v>72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224</v>
      </c>
      <c r="Z1848" t="n">
        <v>334</v>
      </c>
      <c r="AA1848" t="n">
        <v>35</v>
      </c>
      <c r="AB1848" t="n">
        <v>1</v>
      </c>
      <c r="AC1848" t="n">
        <v>0</v>
      </c>
      <c r="AD1848" t="n">
        <v>5</v>
      </c>
      <c r="AE1848" t="n">
        <v>6</v>
      </c>
      <c r="AF1848" t="n">
        <v>4</v>
      </c>
      <c r="AG1848" t="n">
        <v>5</v>
      </c>
      <c r="AH1848" t="n">
        <v>69</v>
      </c>
      <c r="AI1848" t="n">
        <v>54</v>
      </c>
      <c r="AJ1848" t="n">
        <v>21</v>
      </c>
      <c r="AK1848" t="n">
        <v>68</v>
      </c>
      <c r="AL1848" t="n">
        <v>9</v>
      </c>
      <c r="AM1848" t="n">
        <v>216</v>
      </c>
      <c r="AN1848" t="n">
        <v>0</v>
      </c>
      <c r="AO1848" t="n">
        <v>0</v>
      </c>
      <c r="AP1848" t="n">
        <v>0</v>
      </c>
      <c r="AQ1848" t="n">
        <v>6</v>
      </c>
      <c r="AR1848" t="n">
        <v>60</v>
      </c>
      <c r="AS1848" t="n">
        <v>54</v>
      </c>
      <c r="AT1848" t="n">
        <v>3</v>
      </c>
      <c r="AU1848" t="n">
        <v>1</v>
      </c>
      <c r="AV1848" t="n">
        <v>37</v>
      </c>
      <c r="AW1848" t="n">
        <v>13</v>
      </c>
      <c r="AX1848" t="n">
        <v>5</v>
      </c>
      <c r="AY1848" t="n">
        <v>11</v>
      </c>
      <c r="AZ1848" t="n">
        <v>6</v>
      </c>
      <c r="BA1848" t="n">
        <v>62</v>
      </c>
      <c r="BB1848" t="n">
        <v>106</v>
      </c>
      <c r="BC1848" t="n">
        <v>187</v>
      </c>
      <c r="BD1848" t="n">
        <v>62</v>
      </c>
      <c r="BE1848" t="n">
        <v>13</v>
      </c>
      <c r="BF1848" t="n">
        <v>17</v>
      </c>
      <c r="BG1848" t="n">
        <v>0</v>
      </c>
      <c r="BH1848" t="n">
        <v>7</v>
      </c>
      <c r="BI1848" t="n">
        <v>23</v>
      </c>
      <c r="BJ1848" t="n">
        <v>22</v>
      </c>
      <c r="BK1848" t="n">
        <v>2</v>
      </c>
      <c r="BL1848" t="n">
        <v>8</v>
      </c>
      <c r="BM1848" t="n">
        <v>36</v>
      </c>
      <c r="BN1848" t="n">
        <v>20</v>
      </c>
      <c r="BO1848" t="n">
        <v>7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157</v>
      </c>
      <c r="Z1849" t="n">
        <v>112</v>
      </c>
      <c r="AA1849" t="n">
        <v>50</v>
      </c>
      <c r="AB1849" t="n">
        <v>1</v>
      </c>
      <c r="AC1849" t="n">
        <v>2</v>
      </c>
      <c r="AD1849" t="n">
        <v>7</v>
      </c>
      <c r="AE1849" t="n">
        <v>2</v>
      </c>
      <c r="AF1849" t="n">
        <v>5</v>
      </c>
      <c r="AG1849" t="n">
        <v>2</v>
      </c>
      <c r="AH1849" t="n">
        <v>38</v>
      </c>
      <c r="AI1849" t="n">
        <v>2</v>
      </c>
      <c r="AJ1849" t="n">
        <v>53</v>
      </c>
      <c r="AK1849" t="n">
        <v>19</v>
      </c>
      <c r="AL1849" t="n">
        <v>0</v>
      </c>
      <c r="AM1849" t="n">
        <v>13</v>
      </c>
      <c r="AN1849" t="n">
        <v>0</v>
      </c>
      <c r="AO1849" t="n">
        <v>0</v>
      </c>
      <c r="AP1849" t="n">
        <v>5</v>
      </c>
      <c r="AQ1849" t="n">
        <v>-2</v>
      </c>
      <c r="AR1849" t="n">
        <v>117</v>
      </c>
      <c r="AS1849" t="n">
        <v>109</v>
      </c>
      <c r="AT1849" t="n">
        <v>4</v>
      </c>
      <c r="AU1849" t="n">
        <v>1</v>
      </c>
      <c r="AV1849" t="n">
        <v>25</v>
      </c>
      <c r="AW1849" t="n">
        <v>7</v>
      </c>
      <c r="AX1849" t="n">
        <v>4</v>
      </c>
      <c r="AY1849" t="n">
        <v>44</v>
      </c>
      <c r="AZ1849" t="n">
        <v>0</v>
      </c>
      <c r="BA1849" t="n">
        <v>1</v>
      </c>
      <c r="BB1849" t="n">
        <v>50</v>
      </c>
      <c r="BC1849" t="n">
        <v>10</v>
      </c>
      <c r="BD1849" t="n">
        <v>38</v>
      </c>
      <c r="BE1849" t="n">
        <v>7</v>
      </c>
      <c r="BF1849" t="n">
        <v>45</v>
      </c>
      <c r="BG1849" t="n">
        <v>0</v>
      </c>
      <c r="BH1849" t="n">
        <v>17</v>
      </c>
      <c r="BI1849" t="n">
        <v>1</v>
      </c>
      <c r="BJ1849" t="n">
        <v>3</v>
      </c>
      <c r="BK1849" t="n">
        <v>5</v>
      </c>
      <c r="BL1849" t="n">
        <v>28</v>
      </c>
      <c r="BM1849" t="n">
        <v>28</v>
      </c>
      <c r="BN1849" t="n">
        <v>7</v>
      </c>
      <c r="BO1849" t="n">
        <v>11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185</v>
      </c>
      <c r="Z1850" t="n">
        <v>90</v>
      </c>
      <c r="AA1850" t="n">
        <v>6</v>
      </c>
      <c r="AB1850" t="n">
        <v>0</v>
      </c>
      <c r="AC1850" t="n">
        <v>0</v>
      </c>
      <c r="AD1850" t="n">
        <v>4</v>
      </c>
      <c r="AE1850" t="n">
        <v>4</v>
      </c>
      <c r="AF1850" t="n">
        <v>1</v>
      </c>
      <c r="AG1850" t="n">
        <v>5</v>
      </c>
      <c r="AH1850" t="n">
        <v>42</v>
      </c>
      <c r="AI1850" t="n">
        <v>49</v>
      </c>
      <c r="AJ1850" t="n">
        <v>15</v>
      </c>
      <c r="AK1850" t="n">
        <v>10</v>
      </c>
      <c r="AL1850" t="n">
        <v>1</v>
      </c>
      <c r="AM1850" t="n">
        <v>5</v>
      </c>
      <c r="AN1850" t="n">
        <v>0</v>
      </c>
      <c r="AO1850" t="n">
        <v>0</v>
      </c>
      <c r="AP1850" t="n">
        <v>1</v>
      </c>
      <c r="AQ1850" t="n">
        <v>1</v>
      </c>
      <c r="AR1850" t="n">
        <v>62</v>
      </c>
      <c r="AS1850" t="n">
        <v>55</v>
      </c>
      <c r="AT1850" t="n">
        <v>4</v>
      </c>
      <c r="AU1850" t="n">
        <v>1</v>
      </c>
      <c r="AV1850" t="n">
        <v>12</v>
      </c>
      <c r="AW1850" t="n">
        <v>8</v>
      </c>
      <c r="AX1850" t="n">
        <v>3</v>
      </c>
      <c r="AY1850" t="n">
        <v>5</v>
      </c>
      <c r="AZ1850" t="n">
        <v>0</v>
      </c>
      <c r="BA1850" t="n">
        <v>14</v>
      </c>
      <c r="BB1850" t="n">
        <v>20</v>
      </c>
      <c r="BC1850" t="n">
        <v>2</v>
      </c>
      <c r="BD1850" t="n">
        <v>49</v>
      </c>
      <c r="BE1850" t="n">
        <v>7</v>
      </c>
      <c r="BF1850" t="n">
        <v>17</v>
      </c>
      <c r="BG1850" t="n">
        <v>3</v>
      </c>
      <c r="BH1850" t="n">
        <v>16</v>
      </c>
      <c r="BI1850" t="n">
        <v>35</v>
      </c>
      <c r="BJ1850" t="n">
        <v>53</v>
      </c>
      <c r="BK1850" t="n">
        <v>7</v>
      </c>
      <c r="BL1850" t="n">
        <v>36</v>
      </c>
      <c r="BM1850" t="n">
        <v>24</v>
      </c>
      <c r="BN1850" t="n">
        <v>1</v>
      </c>
      <c r="BO1850" t="n">
        <v>7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3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207</v>
      </c>
      <c r="Z1851" t="n">
        <v>302</v>
      </c>
      <c r="AA1851" t="n">
        <v>56</v>
      </c>
      <c r="AB1851" t="n">
        <v>1</v>
      </c>
      <c r="AC1851" t="n">
        <v>3</v>
      </c>
      <c r="AD1851" t="n">
        <v>0</v>
      </c>
      <c r="AE1851" t="n">
        <v>5</v>
      </c>
      <c r="AF1851" t="n">
        <v>4</v>
      </c>
      <c r="AG1851" t="n">
        <v>4</v>
      </c>
      <c r="AH1851" t="n">
        <v>13</v>
      </c>
      <c r="AI1851" t="n">
        <v>56</v>
      </c>
      <c r="AJ1851" t="n">
        <v>38</v>
      </c>
      <c r="AK1851" t="n">
        <v>30</v>
      </c>
      <c r="AL1851" t="n">
        <v>5</v>
      </c>
      <c r="AM1851" t="n">
        <v>132</v>
      </c>
      <c r="AN1851" t="n">
        <v>0</v>
      </c>
      <c r="AO1851" t="n">
        <v>0</v>
      </c>
      <c r="AP1851" t="n">
        <v>2</v>
      </c>
      <c r="AQ1851" t="n">
        <v>1</v>
      </c>
      <c r="AR1851" t="n">
        <v>188</v>
      </c>
      <c r="AS1851" t="n">
        <v>178</v>
      </c>
      <c r="AT1851" t="n">
        <v>5</v>
      </c>
      <c r="AU1851" t="n">
        <v>3</v>
      </c>
      <c r="AV1851" t="n">
        <v>60</v>
      </c>
      <c r="AW1851" t="n">
        <v>23</v>
      </c>
      <c r="AX1851" t="n">
        <v>11</v>
      </c>
      <c r="AY1851" t="n">
        <v>48</v>
      </c>
      <c r="AZ1851" t="n">
        <v>9</v>
      </c>
      <c r="BA1851" t="n">
        <v>68</v>
      </c>
      <c r="BB1851" t="n">
        <v>131</v>
      </c>
      <c r="BC1851" t="n">
        <v>113</v>
      </c>
      <c r="BD1851" t="n">
        <v>17</v>
      </c>
      <c r="BE1851" t="n">
        <v>24</v>
      </c>
      <c r="BF1851" t="n">
        <v>62</v>
      </c>
      <c r="BG1851" t="n">
        <v>2</v>
      </c>
      <c r="BH1851" t="n">
        <v>23</v>
      </c>
      <c r="BI1851" t="n">
        <v>29</v>
      </c>
      <c r="BJ1851" t="n">
        <v>30</v>
      </c>
      <c r="BK1851" t="n">
        <v>3</v>
      </c>
      <c r="BL1851" t="n">
        <v>32</v>
      </c>
      <c r="BM1851" t="n">
        <v>23</v>
      </c>
      <c r="BN1851" t="n">
        <v>3</v>
      </c>
      <c r="BO1851" t="n">
        <v>16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174</v>
      </c>
      <c r="Z1852" t="n">
        <v>185</v>
      </c>
      <c r="AA1852" t="n">
        <v>84</v>
      </c>
      <c r="AB1852" t="n">
        <v>0</v>
      </c>
      <c r="AC1852" t="n">
        <v>1</v>
      </c>
      <c r="AD1852" t="n">
        <v>4</v>
      </c>
      <c r="AE1852" t="n">
        <v>11</v>
      </c>
      <c r="AF1852" t="n">
        <v>1</v>
      </c>
      <c r="AG1852" t="n">
        <v>1</v>
      </c>
      <c r="AH1852" t="n">
        <v>70</v>
      </c>
      <c r="AI1852" t="n">
        <v>110</v>
      </c>
      <c r="AJ1852" t="n">
        <v>13</v>
      </c>
      <c r="AK1852" t="n">
        <v>13</v>
      </c>
      <c r="AL1852" t="n">
        <v>5</v>
      </c>
      <c r="AM1852" t="n">
        <v>55</v>
      </c>
      <c r="AN1852" t="n">
        <v>0</v>
      </c>
      <c r="AO1852" t="n">
        <v>0</v>
      </c>
      <c r="AP1852" t="n">
        <v>4</v>
      </c>
      <c r="AQ1852" t="n">
        <v>9</v>
      </c>
      <c r="AR1852" t="n">
        <v>39</v>
      </c>
      <c r="AS1852" t="n">
        <v>33</v>
      </c>
      <c r="AT1852" t="n">
        <v>2</v>
      </c>
      <c r="AU1852" t="n">
        <v>1</v>
      </c>
      <c r="AV1852" t="n">
        <v>23</v>
      </c>
      <c r="AW1852" t="n">
        <v>15</v>
      </c>
      <c r="AX1852" t="n">
        <v>3</v>
      </c>
      <c r="AY1852" t="n">
        <v>27</v>
      </c>
      <c r="AZ1852" t="n">
        <v>1</v>
      </c>
      <c r="BA1852" t="n">
        <v>24</v>
      </c>
      <c r="BB1852" t="n">
        <v>105</v>
      </c>
      <c r="BC1852" t="n">
        <v>46</v>
      </c>
      <c r="BD1852" t="n">
        <v>85</v>
      </c>
      <c r="BE1852" t="n">
        <v>16</v>
      </c>
      <c r="BF1852" t="n">
        <v>10</v>
      </c>
      <c r="BG1852" t="n">
        <v>2</v>
      </c>
      <c r="BH1852" t="n">
        <v>5</v>
      </c>
      <c r="BI1852" t="n">
        <v>50</v>
      </c>
      <c r="BJ1852" t="n">
        <v>46</v>
      </c>
      <c r="BK1852" t="n">
        <v>1</v>
      </c>
      <c r="BL1852" t="n">
        <v>1</v>
      </c>
      <c r="BM1852" t="n">
        <v>17</v>
      </c>
      <c r="BN1852" t="n">
        <v>10</v>
      </c>
      <c r="BO1852" t="n">
        <v>16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151</v>
      </c>
      <c r="Z1853" t="n">
        <v>128</v>
      </c>
      <c r="AA1853" t="n">
        <v>54</v>
      </c>
      <c r="AB1853" t="n">
        <v>0</v>
      </c>
      <c r="AC1853" t="n">
        <v>2</v>
      </c>
      <c r="AD1853" t="n">
        <v>7</v>
      </c>
      <c r="AE1853" t="n">
        <v>3</v>
      </c>
      <c r="AF1853" t="n">
        <v>6</v>
      </c>
      <c r="AG1853" t="n">
        <v>3</v>
      </c>
      <c r="AH1853" t="n">
        <v>56</v>
      </c>
      <c r="AI1853" t="n">
        <v>34</v>
      </c>
      <c r="AJ1853" t="n">
        <v>32</v>
      </c>
      <c r="AK1853" t="n">
        <v>13</v>
      </c>
      <c r="AL1853" t="n">
        <v>3</v>
      </c>
      <c r="AM1853" t="n">
        <v>25</v>
      </c>
      <c r="AN1853" t="n">
        <v>0</v>
      </c>
      <c r="AO1853" t="n">
        <v>0</v>
      </c>
      <c r="AP1853" t="n">
        <v>8</v>
      </c>
      <c r="AQ1853" t="n">
        <v>73</v>
      </c>
      <c r="AR1853" t="n">
        <v>158</v>
      </c>
      <c r="AS1853" t="n">
        <v>95</v>
      </c>
      <c r="AT1853" t="n">
        <v>0</v>
      </c>
      <c r="AU1853" t="n">
        <v>1</v>
      </c>
      <c r="AV1853" t="n">
        <v>4</v>
      </c>
      <c r="AW1853" t="n">
        <v>15</v>
      </c>
      <c r="AX1853" t="n">
        <v>0</v>
      </c>
      <c r="AY1853" t="n">
        <v>26</v>
      </c>
      <c r="AZ1853" t="n">
        <v>7</v>
      </c>
      <c r="BA1853" t="n">
        <v>31</v>
      </c>
      <c r="BB1853" t="n">
        <v>85</v>
      </c>
      <c r="BC1853" t="n">
        <v>21</v>
      </c>
      <c r="BD1853" t="n">
        <v>49</v>
      </c>
      <c r="BE1853" t="n">
        <v>14</v>
      </c>
      <c r="BF1853" t="n">
        <v>25</v>
      </c>
      <c r="BG1853" t="n">
        <v>1</v>
      </c>
      <c r="BH1853" t="n">
        <v>8</v>
      </c>
      <c r="BI1853" t="n">
        <v>2</v>
      </c>
      <c r="BJ1853" t="n">
        <v>1</v>
      </c>
      <c r="BK1853" t="n">
        <v>5</v>
      </c>
      <c r="BL1853" t="n">
        <v>28</v>
      </c>
      <c r="BM1853" t="n">
        <v>62</v>
      </c>
      <c r="BN1853" t="n">
        <v>29</v>
      </c>
      <c r="BO1853" t="n">
        <v>7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3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218</v>
      </c>
      <c r="Z1854" t="n">
        <v>327</v>
      </c>
      <c r="AA1854" t="n">
        <v>20</v>
      </c>
      <c r="AB1854" t="n">
        <v>3</v>
      </c>
      <c r="AC1854" t="n">
        <v>1</v>
      </c>
      <c r="AD1854" t="n">
        <v>5</v>
      </c>
      <c r="AE1854" t="n">
        <v>2</v>
      </c>
      <c r="AF1854" t="n">
        <v>3</v>
      </c>
      <c r="AG1854" t="n">
        <v>2</v>
      </c>
      <c r="AH1854" t="n">
        <v>100</v>
      </c>
      <c r="AI1854" t="n">
        <v>2</v>
      </c>
      <c r="AJ1854" t="n">
        <v>54</v>
      </c>
      <c r="AK1854" t="n">
        <v>1</v>
      </c>
      <c r="AL1854" t="n">
        <v>5</v>
      </c>
      <c r="AM1854" t="n">
        <v>150</v>
      </c>
      <c r="AN1854" t="n">
        <v>0</v>
      </c>
      <c r="AO1854" t="n">
        <v>0</v>
      </c>
      <c r="AP1854" t="n">
        <v>5</v>
      </c>
      <c r="AQ1854" t="n">
        <v>15</v>
      </c>
      <c r="AR1854" t="n">
        <v>30</v>
      </c>
      <c r="AS1854" t="n">
        <v>19</v>
      </c>
      <c r="AT1854" t="n">
        <v>0</v>
      </c>
      <c r="AU1854" t="n">
        <v>3</v>
      </c>
      <c r="AV1854" t="n">
        <v>1</v>
      </c>
      <c r="AW1854" t="n">
        <v>38</v>
      </c>
      <c r="AX1854" t="n">
        <v>1</v>
      </c>
      <c r="AY1854" t="n">
        <v>58</v>
      </c>
      <c r="AZ1854" t="n">
        <v>4</v>
      </c>
      <c r="BA1854" t="n">
        <v>40</v>
      </c>
      <c r="BB1854" t="n">
        <v>62</v>
      </c>
      <c r="BC1854" t="n">
        <v>135</v>
      </c>
      <c r="BD1854" t="n">
        <v>92</v>
      </c>
      <c r="BE1854" t="n">
        <v>37</v>
      </c>
      <c r="BF1854" t="n">
        <v>42</v>
      </c>
      <c r="BG1854" t="n">
        <v>2</v>
      </c>
      <c r="BH1854" t="n">
        <v>9</v>
      </c>
      <c r="BI1854" t="n">
        <v>14</v>
      </c>
      <c r="BJ1854" t="n">
        <v>23</v>
      </c>
      <c r="BK1854" t="n">
        <v>8</v>
      </c>
      <c r="BL1854" t="n">
        <v>35</v>
      </c>
      <c r="BM1854" t="n">
        <v>34</v>
      </c>
      <c r="BN1854" t="n">
        <v>9</v>
      </c>
      <c r="BO1854" t="n">
        <v>14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2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2</v>
      </c>
      <c r="U1855" t="n">
        <v>0</v>
      </c>
      <c r="V1855" t="n">
        <v>0</v>
      </c>
      <c r="W1855" t="n">
        <v>0</v>
      </c>
      <c r="X1855" t="n">
        <v>0</v>
      </c>
      <c r="Y1855" t="n">
        <v>154</v>
      </c>
      <c r="Z1855" t="n">
        <v>206</v>
      </c>
      <c r="AA1855" t="n">
        <v>61</v>
      </c>
      <c r="AB1855" t="n">
        <v>2</v>
      </c>
      <c r="AC1855" t="n">
        <v>1</v>
      </c>
      <c r="AD1855" t="n">
        <v>1</v>
      </c>
      <c r="AE1855" t="n">
        <v>5</v>
      </c>
      <c r="AF1855" t="n">
        <v>9</v>
      </c>
      <c r="AG1855" t="n">
        <v>0</v>
      </c>
      <c r="AH1855" t="n">
        <v>8</v>
      </c>
      <c r="AI1855" t="n">
        <v>44</v>
      </c>
      <c r="AJ1855" t="n">
        <v>116</v>
      </c>
      <c r="AK1855" t="n">
        <v>1</v>
      </c>
      <c r="AL1855" t="n">
        <v>5</v>
      </c>
      <c r="AM1855" t="n">
        <v>65</v>
      </c>
      <c r="AN1855" t="n">
        <v>0</v>
      </c>
      <c r="AO1855" t="n">
        <v>0</v>
      </c>
      <c r="AP1855" t="n">
        <v>1</v>
      </c>
      <c r="AQ1855" t="n">
        <v>10</v>
      </c>
      <c r="AR1855" t="n">
        <v>70</v>
      </c>
      <c r="AS1855" t="n">
        <v>60</v>
      </c>
      <c r="AT1855" t="n">
        <v>2</v>
      </c>
      <c r="AU1855" t="n">
        <v>0</v>
      </c>
      <c r="AV1855" t="n">
        <v>18</v>
      </c>
      <c r="AW1855" t="n">
        <v>9</v>
      </c>
      <c r="AX1855" t="n">
        <v>6</v>
      </c>
      <c r="AY1855" t="n">
        <v>52</v>
      </c>
      <c r="AZ1855" t="n">
        <v>3</v>
      </c>
      <c r="BA1855" t="n">
        <v>17</v>
      </c>
      <c r="BB1855" t="n">
        <v>75</v>
      </c>
      <c r="BC1855" t="n">
        <v>54</v>
      </c>
      <c r="BD1855" t="n">
        <v>14</v>
      </c>
      <c r="BE1855" t="n">
        <v>9</v>
      </c>
      <c r="BF1855" t="n">
        <v>91</v>
      </c>
      <c r="BG1855" t="n">
        <v>2</v>
      </c>
      <c r="BH1855" t="n">
        <v>2</v>
      </c>
      <c r="BI1855" t="n">
        <v>15</v>
      </c>
      <c r="BJ1855" t="n">
        <v>14</v>
      </c>
      <c r="BK1855" t="n">
        <v>1</v>
      </c>
      <c r="BL1855" t="n">
        <v>1</v>
      </c>
      <c r="BM1855" t="n">
        <v>5</v>
      </c>
      <c r="BN1855" t="n">
        <v>3</v>
      </c>
      <c r="BO1855" t="n">
        <v>11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247</v>
      </c>
      <c r="Z1856" t="n">
        <v>276</v>
      </c>
      <c r="AA1856" t="n">
        <v>43</v>
      </c>
      <c r="AB1856" t="n">
        <v>1</v>
      </c>
      <c r="AC1856" t="n">
        <v>2</v>
      </c>
      <c r="AD1856" t="n">
        <v>2</v>
      </c>
      <c r="AE1856" t="n">
        <v>6</v>
      </c>
      <c r="AF1856" t="n">
        <v>2</v>
      </c>
      <c r="AG1856" t="n">
        <v>11</v>
      </c>
      <c r="AH1856" t="n">
        <v>17</v>
      </c>
      <c r="AI1856" t="n">
        <v>45</v>
      </c>
      <c r="AJ1856" t="n">
        <v>49</v>
      </c>
      <c r="AK1856" t="n">
        <v>123</v>
      </c>
      <c r="AL1856" t="n">
        <v>5</v>
      </c>
      <c r="AM1856" t="n">
        <v>73</v>
      </c>
      <c r="AN1856" t="n">
        <v>0</v>
      </c>
      <c r="AO1856" t="n">
        <v>0</v>
      </c>
      <c r="AP1856" t="n">
        <v>5</v>
      </c>
      <c r="AQ1856" t="n">
        <v>50</v>
      </c>
      <c r="AR1856" t="n">
        <v>208</v>
      </c>
      <c r="AS1856" t="n">
        <v>165</v>
      </c>
      <c r="AT1856" t="n">
        <v>4</v>
      </c>
      <c r="AU1856" t="n">
        <v>2</v>
      </c>
      <c r="AV1856" t="n">
        <v>27</v>
      </c>
      <c r="AW1856" t="n">
        <v>28</v>
      </c>
      <c r="AX1856" t="n">
        <v>0</v>
      </c>
      <c r="AY1856" t="n">
        <v>28</v>
      </c>
      <c r="AZ1856" t="n">
        <v>5</v>
      </c>
      <c r="BA1856" t="n">
        <v>42</v>
      </c>
      <c r="BB1856" t="n">
        <v>85</v>
      </c>
      <c r="BC1856" t="n">
        <v>61</v>
      </c>
      <c r="BD1856" t="n">
        <v>35</v>
      </c>
      <c r="BE1856" t="n">
        <v>32</v>
      </c>
      <c r="BF1856" t="n">
        <v>39</v>
      </c>
      <c r="BG1856" t="n">
        <v>1</v>
      </c>
      <c r="BH1856" t="n">
        <v>9</v>
      </c>
      <c r="BI1856" t="n">
        <v>1</v>
      </c>
      <c r="BJ1856" t="n">
        <v>18</v>
      </c>
      <c r="BK1856" t="n">
        <v>2</v>
      </c>
      <c r="BL1856" t="n">
        <v>14</v>
      </c>
      <c r="BM1856" t="n">
        <v>10</v>
      </c>
      <c r="BN1856" t="n">
        <v>0</v>
      </c>
      <c r="BO1856" t="n">
        <v>2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2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260</v>
      </c>
      <c r="Z1857" t="n">
        <v>123</v>
      </c>
      <c r="AA1857" t="n">
        <v>93</v>
      </c>
      <c r="AB1857" t="n">
        <v>2</v>
      </c>
      <c r="AC1857" t="n">
        <v>0</v>
      </c>
      <c r="AD1857" t="n">
        <v>3</v>
      </c>
      <c r="AE1857" t="n">
        <v>3</v>
      </c>
      <c r="AF1857" t="n">
        <v>5</v>
      </c>
      <c r="AG1857" t="n">
        <v>14</v>
      </c>
      <c r="AH1857" t="n">
        <v>40</v>
      </c>
      <c r="AI1857" t="n">
        <v>12</v>
      </c>
      <c r="AJ1857" t="n">
        <v>34</v>
      </c>
      <c r="AK1857" t="n">
        <v>204</v>
      </c>
      <c r="AL1857" t="n">
        <v>0</v>
      </c>
      <c r="AM1857" t="n">
        <v>14</v>
      </c>
      <c r="AN1857" t="n">
        <v>0</v>
      </c>
      <c r="AO1857" t="n">
        <v>0</v>
      </c>
      <c r="AP1857" t="n">
        <v>2</v>
      </c>
      <c r="AQ1857" t="n">
        <v>1</v>
      </c>
      <c r="AR1857" t="n">
        <v>170</v>
      </c>
      <c r="AS1857" t="n">
        <v>158</v>
      </c>
      <c r="AT1857" t="n">
        <v>3</v>
      </c>
      <c r="AU1857" t="n">
        <v>2</v>
      </c>
      <c r="AV1857" t="n">
        <v>36</v>
      </c>
      <c r="AW1857" t="n">
        <v>15</v>
      </c>
      <c r="AX1857" t="n">
        <v>6</v>
      </c>
      <c r="AY1857" t="n">
        <v>21</v>
      </c>
      <c r="AZ1857" t="n">
        <v>1</v>
      </c>
      <c r="BA1857" t="n">
        <v>9</v>
      </c>
      <c r="BB1857" t="n">
        <v>97</v>
      </c>
      <c r="BC1857" t="n">
        <v>20</v>
      </c>
      <c r="BD1857" t="n">
        <v>35</v>
      </c>
      <c r="BE1857" t="n">
        <v>17</v>
      </c>
      <c r="BF1857" t="n">
        <v>30</v>
      </c>
      <c r="BG1857" t="n">
        <v>1</v>
      </c>
      <c r="BH1857" t="n">
        <v>3</v>
      </c>
      <c r="BI1857" t="n">
        <v>17</v>
      </c>
      <c r="BJ1857" t="n">
        <v>14</v>
      </c>
      <c r="BK1857" t="n">
        <v>0</v>
      </c>
      <c r="BL1857" t="n">
        <v>1</v>
      </c>
      <c r="BM1857" t="n">
        <v>4</v>
      </c>
      <c r="BN1857" t="n">
        <v>2</v>
      </c>
      <c r="BO1857" t="n">
        <v>9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279</v>
      </c>
      <c r="Z1858" t="n">
        <v>267</v>
      </c>
      <c r="AA1858" t="n">
        <v>68</v>
      </c>
      <c r="AB1858" t="n">
        <v>0</v>
      </c>
      <c r="AC1858" t="n">
        <v>1</v>
      </c>
      <c r="AD1858" t="n">
        <v>3</v>
      </c>
      <c r="AE1858" t="n">
        <v>4</v>
      </c>
      <c r="AF1858" t="n">
        <v>3</v>
      </c>
      <c r="AG1858" t="n">
        <v>5</v>
      </c>
      <c r="AH1858" t="n">
        <v>57</v>
      </c>
      <c r="AI1858" t="n">
        <v>55</v>
      </c>
      <c r="AJ1858" t="n">
        <v>48</v>
      </c>
      <c r="AK1858" t="n">
        <v>57</v>
      </c>
      <c r="AL1858" t="n">
        <v>2</v>
      </c>
      <c r="AM1858" t="n">
        <v>48</v>
      </c>
      <c r="AN1858" t="n">
        <v>0</v>
      </c>
      <c r="AO1858" t="n">
        <v>0</v>
      </c>
      <c r="AP1858" t="n">
        <v>8</v>
      </c>
      <c r="AQ1858" t="n">
        <v>68</v>
      </c>
      <c r="AR1858" t="n">
        <v>193</v>
      </c>
      <c r="AS1858" t="n">
        <v>132</v>
      </c>
      <c r="AT1858" t="n">
        <v>4</v>
      </c>
      <c r="AU1858" t="n">
        <v>3</v>
      </c>
      <c r="AV1858" t="n">
        <v>21</v>
      </c>
      <c r="AW1858" t="n">
        <v>44</v>
      </c>
      <c r="AX1858" t="n">
        <v>0</v>
      </c>
      <c r="AY1858" t="n">
        <v>73</v>
      </c>
      <c r="AZ1858" t="n">
        <v>1</v>
      </c>
      <c r="BA1858" t="n">
        <v>21</v>
      </c>
      <c r="BB1858" t="n">
        <v>85</v>
      </c>
      <c r="BC1858" t="n">
        <v>44</v>
      </c>
      <c r="BD1858" t="n">
        <v>54</v>
      </c>
      <c r="BE1858" t="n">
        <v>44</v>
      </c>
      <c r="BF1858" t="n">
        <v>38</v>
      </c>
      <c r="BG1858" t="n">
        <v>1</v>
      </c>
      <c r="BH1858" t="n">
        <v>23</v>
      </c>
      <c r="BI1858" t="n">
        <v>3</v>
      </c>
      <c r="BJ1858" t="n">
        <v>6</v>
      </c>
      <c r="BK1858" t="n">
        <v>2</v>
      </c>
      <c r="BL1858" t="n">
        <v>1</v>
      </c>
      <c r="BM1858" t="n">
        <v>7</v>
      </c>
      <c r="BN1858" t="n">
        <v>4</v>
      </c>
      <c r="BO1858" t="n">
        <v>2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2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240</v>
      </c>
      <c r="Z1859" t="n">
        <v>243</v>
      </c>
      <c r="AA1859" t="n">
        <v>89</v>
      </c>
      <c r="AB1859" t="n">
        <v>0</v>
      </c>
      <c r="AC1859" t="n">
        <v>2</v>
      </c>
      <c r="AD1859" t="n">
        <v>1</v>
      </c>
      <c r="AE1859" t="n">
        <v>2</v>
      </c>
      <c r="AF1859" t="n">
        <v>7</v>
      </c>
      <c r="AG1859" t="n">
        <v>6</v>
      </c>
      <c r="AH1859" t="n">
        <v>14</v>
      </c>
      <c r="AI1859" t="n">
        <v>32</v>
      </c>
      <c r="AJ1859" t="n">
        <v>94</v>
      </c>
      <c r="AK1859" t="n">
        <v>68</v>
      </c>
      <c r="AL1859" t="n">
        <v>9</v>
      </c>
      <c r="AM1859" t="n">
        <v>65</v>
      </c>
      <c r="AN1859" t="n">
        <v>0</v>
      </c>
      <c r="AO1859" t="n">
        <v>1</v>
      </c>
      <c r="AP1859" t="n">
        <v>1</v>
      </c>
      <c r="AQ1859" t="n">
        <v>1</v>
      </c>
      <c r="AR1859" t="n">
        <v>62</v>
      </c>
      <c r="AS1859" t="n">
        <v>55</v>
      </c>
      <c r="AT1859" t="n">
        <v>3</v>
      </c>
      <c r="AU1859" t="n">
        <v>0</v>
      </c>
      <c r="AV1859" t="n">
        <v>38</v>
      </c>
      <c r="AW1859" t="n">
        <v>1</v>
      </c>
      <c r="AX1859" t="n">
        <v>5</v>
      </c>
      <c r="AY1859" t="n">
        <v>45</v>
      </c>
      <c r="AZ1859" t="n">
        <v>1</v>
      </c>
      <c r="BA1859" t="n">
        <v>14</v>
      </c>
      <c r="BB1859" t="n">
        <v>98</v>
      </c>
      <c r="BC1859" t="n">
        <v>56</v>
      </c>
      <c r="BD1859" t="n">
        <v>16</v>
      </c>
      <c r="BE1859" t="n">
        <v>1</v>
      </c>
      <c r="BF1859" t="n">
        <v>75</v>
      </c>
      <c r="BG1859" t="n">
        <v>1</v>
      </c>
      <c r="BH1859" t="n">
        <v>10</v>
      </c>
      <c r="BI1859" t="n">
        <v>15</v>
      </c>
      <c r="BJ1859" t="n">
        <v>14</v>
      </c>
      <c r="BK1859" t="n">
        <v>3</v>
      </c>
      <c r="BL1859" t="n">
        <v>32</v>
      </c>
      <c r="BM1859" t="n">
        <v>22</v>
      </c>
      <c r="BN1859" t="n">
        <v>2</v>
      </c>
      <c r="BO1859" t="n">
        <v>18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252</v>
      </c>
      <c r="Z1860" t="n">
        <v>266</v>
      </c>
      <c r="AA1860" t="n">
        <v>54</v>
      </c>
      <c r="AB1860" t="n">
        <v>2</v>
      </c>
      <c r="AC1860" t="n">
        <v>0</v>
      </c>
      <c r="AD1860" t="n">
        <v>4</v>
      </c>
      <c r="AE1860" t="n">
        <v>7</v>
      </c>
      <c r="AF1860" t="n">
        <v>5</v>
      </c>
      <c r="AG1860" t="n">
        <v>5</v>
      </c>
      <c r="AH1860" t="n">
        <v>70</v>
      </c>
      <c r="AI1860" t="n">
        <v>81</v>
      </c>
      <c r="AJ1860" t="n">
        <v>27</v>
      </c>
      <c r="AK1860" t="n">
        <v>42</v>
      </c>
      <c r="AL1860" t="n">
        <v>6</v>
      </c>
      <c r="AM1860" t="n">
        <v>46</v>
      </c>
      <c r="AN1860" t="n">
        <v>0</v>
      </c>
      <c r="AO1860" t="n">
        <v>0</v>
      </c>
      <c r="AP1860" t="n">
        <v>3</v>
      </c>
      <c r="AQ1860" t="n">
        <v>26</v>
      </c>
      <c r="AR1860" t="n">
        <v>106</v>
      </c>
      <c r="AS1860" t="n">
        <v>84</v>
      </c>
      <c r="AT1860" t="n">
        <v>2</v>
      </c>
      <c r="AU1860" t="n">
        <v>2</v>
      </c>
      <c r="AV1860" t="n">
        <v>36</v>
      </c>
      <c r="AW1860" t="n">
        <v>4</v>
      </c>
      <c r="AX1860" t="n">
        <v>8</v>
      </c>
      <c r="AY1860" t="n">
        <v>23</v>
      </c>
      <c r="AZ1860" t="n">
        <v>5</v>
      </c>
      <c r="BA1860" t="n">
        <v>39</v>
      </c>
      <c r="BB1860" t="n">
        <v>94</v>
      </c>
      <c r="BC1860" t="n">
        <v>38</v>
      </c>
      <c r="BD1860" t="n">
        <v>71</v>
      </c>
      <c r="BE1860" t="n">
        <v>3</v>
      </c>
      <c r="BF1860" t="n">
        <v>21</v>
      </c>
      <c r="BG1860" t="n">
        <v>2</v>
      </c>
      <c r="BH1860" t="n">
        <v>5</v>
      </c>
      <c r="BI1860" t="n">
        <v>52</v>
      </c>
      <c r="BJ1860" t="n">
        <v>59</v>
      </c>
      <c r="BK1860" t="n">
        <v>8</v>
      </c>
      <c r="BL1860" t="n">
        <v>38</v>
      </c>
      <c r="BM1860" t="n">
        <v>25</v>
      </c>
      <c r="BN1860" t="n">
        <v>0</v>
      </c>
      <c r="BO1860" t="n">
        <v>18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2</v>
      </c>
      <c r="U1861" t="n">
        <v>0</v>
      </c>
      <c r="V1861" t="n">
        <v>0</v>
      </c>
      <c r="W1861" t="n">
        <v>0</v>
      </c>
      <c r="X1861" t="n">
        <v>1</v>
      </c>
      <c r="Y1861" t="n">
        <v>236</v>
      </c>
      <c r="Z1861" t="n">
        <v>127</v>
      </c>
      <c r="AA1861" t="n">
        <v>80</v>
      </c>
      <c r="AB1861" t="n">
        <v>1</v>
      </c>
      <c r="AC1861" t="n">
        <v>2</v>
      </c>
      <c r="AD1861" t="n">
        <v>5</v>
      </c>
      <c r="AE1861" t="n">
        <v>7</v>
      </c>
      <c r="AF1861" t="n">
        <v>4</v>
      </c>
      <c r="AG1861" t="n">
        <v>4</v>
      </c>
      <c r="AH1861" t="n">
        <v>21</v>
      </c>
      <c r="AI1861" t="n">
        <v>57</v>
      </c>
      <c r="AJ1861" t="n">
        <v>64</v>
      </c>
      <c r="AK1861" t="n">
        <v>24</v>
      </c>
      <c r="AL1861" t="n">
        <v>3</v>
      </c>
      <c r="AM1861" t="n">
        <v>16</v>
      </c>
      <c r="AN1861" t="n">
        <v>0</v>
      </c>
      <c r="AO1861" t="n">
        <v>1</v>
      </c>
      <c r="AP1861" t="n">
        <v>5</v>
      </c>
      <c r="AQ1861" t="n">
        <v>41</v>
      </c>
      <c r="AR1861" t="n">
        <v>68</v>
      </c>
      <c r="AS1861" t="n">
        <v>35</v>
      </c>
      <c r="AT1861" t="n">
        <v>3</v>
      </c>
      <c r="AU1861" t="n">
        <v>2</v>
      </c>
      <c r="AV1861" t="n">
        <v>28</v>
      </c>
      <c r="AW1861" t="n">
        <v>13</v>
      </c>
      <c r="AX1861" t="n">
        <v>14</v>
      </c>
      <c r="AY1861" t="n">
        <v>33</v>
      </c>
      <c r="AZ1861" t="n">
        <v>2</v>
      </c>
      <c r="BA1861" t="n">
        <v>1</v>
      </c>
      <c r="BB1861" t="n">
        <v>78</v>
      </c>
      <c r="BC1861" t="n">
        <v>15</v>
      </c>
      <c r="BD1861" t="n">
        <v>30</v>
      </c>
      <c r="BE1861" t="n">
        <v>15</v>
      </c>
      <c r="BF1861" t="n">
        <v>49</v>
      </c>
      <c r="BG1861" t="n">
        <v>7</v>
      </c>
      <c r="BH1861" t="n">
        <v>2</v>
      </c>
      <c r="BI1861" t="n">
        <v>54</v>
      </c>
      <c r="BJ1861" t="n">
        <v>60</v>
      </c>
      <c r="BK1861" t="n">
        <v>0</v>
      </c>
      <c r="BL1861" t="n">
        <v>1</v>
      </c>
      <c r="BM1861" t="n">
        <v>22</v>
      </c>
      <c r="BN1861" t="n">
        <v>13</v>
      </c>
      <c r="BO1861" t="n">
        <v>108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2</v>
      </c>
      <c r="H1862" t="n">
        <v>0</v>
      </c>
      <c r="I1862" t="n">
        <v>0</v>
      </c>
      <c r="J1862" t="n">
        <v>2</v>
      </c>
      <c r="K1862" t="n">
        <v>0</v>
      </c>
      <c r="L1862" t="n">
        <v>0</v>
      </c>
      <c r="M1862" t="n">
        <v>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131</v>
      </c>
      <c r="Z1862" t="n">
        <v>249</v>
      </c>
      <c r="AA1862" t="n">
        <v>29</v>
      </c>
      <c r="AB1862" t="n">
        <v>0</v>
      </c>
      <c r="AC1862" t="n">
        <v>1</v>
      </c>
      <c r="AD1862" t="n">
        <v>6</v>
      </c>
      <c r="AE1862" t="n">
        <v>9</v>
      </c>
      <c r="AF1862" t="n">
        <v>3</v>
      </c>
      <c r="AG1862" t="n">
        <v>0</v>
      </c>
      <c r="AH1862" t="n">
        <v>61</v>
      </c>
      <c r="AI1862" t="n">
        <v>128</v>
      </c>
      <c r="AJ1862" t="n">
        <v>29</v>
      </c>
      <c r="AK1862" t="n">
        <v>1</v>
      </c>
      <c r="AL1862" t="n">
        <v>3</v>
      </c>
      <c r="AM1862" t="n">
        <v>40</v>
      </c>
      <c r="AN1862" t="n">
        <v>0</v>
      </c>
      <c r="AO1862" t="n">
        <v>0</v>
      </c>
      <c r="AP1862" t="n">
        <v>1</v>
      </c>
      <c r="AQ1862" t="n">
        <v>1</v>
      </c>
      <c r="AR1862" t="n">
        <v>72</v>
      </c>
      <c r="AS1862" t="n">
        <v>65</v>
      </c>
      <c r="AT1862" t="n">
        <v>2</v>
      </c>
      <c r="AU1862" t="n">
        <v>0</v>
      </c>
      <c r="AV1862" t="n">
        <v>22</v>
      </c>
      <c r="AW1862" t="n">
        <v>10</v>
      </c>
      <c r="AX1862" t="n">
        <v>0</v>
      </c>
      <c r="AY1862" t="n">
        <v>22</v>
      </c>
      <c r="AZ1862" t="n">
        <v>1</v>
      </c>
      <c r="BA1862" t="n">
        <v>-5</v>
      </c>
      <c r="BB1862" t="n">
        <v>24</v>
      </c>
      <c r="BC1862" t="n">
        <v>35</v>
      </c>
      <c r="BD1862" t="n">
        <v>76</v>
      </c>
      <c r="BE1862" t="n">
        <v>10</v>
      </c>
      <c r="BF1862" t="n">
        <v>35</v>
      </c>
      <c r="BG1862" t="n">
        <v>1</v>
      </c>
      <c r="BH1862" t="n">
        <v>7</v>
      </c>
      <c r="BI1862" t="n">
        <v>7</v>
      </c>
      <c r="BJ1862" t="n">
        <v>6</v>
      </c>
      <c r="BK1862" t="n">
        <v>1</v>
      </c>
      <c r="BL1862" t="n">
        <v>25</v>
      </c>
      <c r="BM1862" t="n">
        <v>37</v>
      </c>
      <c r="BN1862" t="n">
        <v>14</v>
      </c>
      <c r="BO1862" t="n">
        <v>9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3</v>
      </c>
      <c r="F1863" t="n">
        <v>0</v>
      </c>
      <c r="G1863" t="n">
        <v>0</v>
      </c>
      <c r="H1863" t="n">
        <v>0</v>
      </c>
      <c r="I1863" t="n">
        <v>0</v>
      </c>
      <c r="J1863" t="n">
        <v>2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173</v>
      </c>
      <c r="Z1863" t="n">
        <v>245</v>
      </c>
      <c r="AA1863" t="n">
        <v>128</v>
      </c>
      <c r="AB1863" t="n">
        <v>1</v>
      </c>
      <c r="AC1863" t="n">
        <v>5</v>
      </c>
      <c r="AD1863" t="n">
        <v>4</v>
      </c>
      <c r="AE1863" t="n">
        <v>5</v>
      </c>
      <c r="AF1863" t="n">
        <v>6</v>
      </c>
      <c r="AG1863" t="n">
        <v>2</v>
      </c>
      <c r="AH1863" t="n">
        <v>38</v>
      </c>
      <c r="AI1863" t="n">
        <v>7</v>
      </c>
      <c r="AJ1863" t="n">
        <v>27</v>
      </c>
      <c r="AK1863" t="n">
        <v>24</v>
      </c>
      <c r="AL1863" t="n">
        <v>5</v>
      </c>
      <c r="AM1863" t="n">
        <v>142</v>
      </c>
      <c r="AN1863" t="n">
        <v>0</v>
      </c>
      <c r="AO1863" t="n">
        <v>0</v>
      </c>
      <c r="AP1863" t="n">
        <v>3</v>
      </c>
      <c r="AQ1863" t="n">
        <v>18</v>
      </c>
      <c r="AR1863" t="n">
        <v>120</v>
      </c>
      <c r="AS1863" t="n">
        <v>103</v>
      </c>
      <c r="AT1863" t="n">
        <v>3</v>
      </c>
      <c r="AU1863" t="n">
        <v>2</v>
      </c>
      <c r="AV1863" t="n">
        <v>27</v>
      </c>
      <c r="AW1863" t="n">
        <v>3</v>
      </c>
      <c r="AX1863" t="n">
        <v>6</v>
      </c>
      <c r="AY1863" t="n">
        <v>3</v>
      </c>
      <c r="AZ1863" t="n">
        <v>4</v>
      </c>
      <c r="BA1863" t="n">
        <v>37</v>
      </c>
      <c r="BB1863" t="n">
        <v>159</v>
      </c>
      <c r="BC1863" t="n">
        <v>122</v>
      </c>
      <c r="BD1863" t="n">
        <v>33</v>
      </c>
      <c r="BE1863" t="n">
        <v>4</v>
      </c>
      <c r="BF1863" t="n">
        <v>21</v>
      </c>
      <c r="BG1863" t="n">
        <v>0</v>
      </c>
      <c r="BH1863" t="n">
        <v>1</v>
      </c>
      <c r="BI1863" t="n">
        <v>1</v>
      </c>
      <c r="BJ1863" t="n">
        <v>1</v>
      </c>
      <c r="BK1863" t="n">
        <v>5</v>
      </c>
      <c r="BL1863" t="n">
        <v>36</v>
      </c>
      <c r="BM1863" t="n">
        <v>42</v>
      </c>
      <c r="BN1863" t="n">
        <v>13</v>
      </c>
      <c r="BO1863" t="n">
        <v>2</v>
      </c>
    </row>
    <row r="1864">
      <c r="A1864" t="n">
        <v>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2</v>
      </c>
      <c r="K1864" t="n">
        <v>0</v>
      </c>
      <c r="L1864" t="n">
        <v>0</v>
      </c>
      <c r="M1864" t="n">
        <v>3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136</v>
      </c>
      <c r="Z1864" t="n">
        <v>272</v>
      </c>
      <c r="AA1864" t="n">
        <v>86</v>
      </c>
      <c r="AB1864" t="n">
        <v>1</v>
      </c>
      <c r="AC1864" t="n">
        <v>0</v>
      </c>
      <c r="AD1864" t="n">
        <v>1</v>
      </c>
      <c r="AE1864" t="n">
        <v>7</v>
      </c>
      <c r="AF1864" t="n">
        <v>3</v>
      </c>
      <c r="AG1864" t="n">
        <v>2</v>
      </c>
      <c r="AH1864" t="n">
        <v>32</v>
      </c>
      <c r="AI1864" t="n">
        <v>68</v>
      </c>
      <c r="AJ1864" t="n">
        <v>20</v>
      </c>
      <c r="AK1864" t="n">
        <v>1</v>
      </c>
      <c r="AL1864" t="n">
        <v>7</v>
      </c>
      <c r="AM1864" t="n">
        <v>109</v>
      </c>
      <c r="AN1864" t="n">
        <v>0</v>
      </c>
      <c r="AO1864" t="n">
        <v>0</v>
      </c>
      <c r="AP1864" t="n">
        <v>3</v>
      </c>
      <c r="AQ1864" t="n">
        <v>21</v>
      </c>
      <c r="AR1864" t="n">
        <v>88</v>
      </c>
      <c r="AS1864" t="n">
        <v>69</v>
      </c>
      <c r="AT1864" t="n">
        <v>2</v>
      </c>
      <c r="AU1864" t="n">
        <v>0</v>
      </c>
      <c r="AV1864" t="n">
        <v>51</v>
      </c>
      <c r="AW1864" t="n">
        <v>2</v>
      </c>
      <c r="AX1864" t="n">
        <v>1</v>
      </c>
      <c r="AY1864" t="n">
        <v>69</v>
      </c>
      <c r="AZ1864" t="n">
        <v>1</v>
      </c>
      <c r="BA1864" t="n">
        <v>1</v>
      </c>
      <c r="BB1864" t="n">
        <v>83</v>
      </c>
      <c r="BC1864" t="n">
        <v>98</v>
      </c>
      <c r="BD1864" t="n">
        <v>36</v>
      </c>
      <c r="BE1864" t="n">
        <v>36</v>
      </c>
      <c r="BF1864" t="n">
        <v>17</v>
      </c>
      <c r="BG1864" t="n">
        <v>1</v>
      </c>
      <c r="BH1864" t="n">
        <v>3</v>
      </c>
      <c r="BI1864" t="n">
        <v>0</v>
      </c>
      <c r="BJ1864" t="n">
        <v>14</v>
      </c>
      <c r="BK1864" t="n">
        <v>2</v>
      </c>
      <c r="BL1864" t="n">
        <v>1</v>
      </c>
      <c r="BM1864" t="n">
        <v>52</v>
      </c>
      <c r="BN1864" t="n">
        <v>33</v>
      </c>
      <c r="BO1864" t="n">
        <v>2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2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2</v>
      </c>
      <c r="X1865" t="n">
        <v>0</v>
      </c>
      <c r="Y1865" t="n">
        <v>270</v>
      </c>
      <c r="Z1865" t="n">
        <v>252</v>
      </c>
      <c r="AA1865" t="n">
        <v>68</v>
      </c>
      <c r="AB1865" t="n">
        <v>1</v>
      </c>
      <c r="AC1865" t="n">
        <v>2</v>
      </c>
      <c r="AD1865" t="n">
        <v>0</v>
      </c>
      <c r="AE1865" t="n">
        <v>8</v>
      </c>
      <c r="AF1865" t="n">
        <v>2</v>
      </c>
      <c r="AG1865" t="n">
        <v>7</v>
      </c>
      <c r="AH1865" t="n">
        <v>11</v>
      </c>
      <c r="AI1865" t="n">
        <v>72</v>
      </c>
      <c r="AJ1865" t="n">
        <v>30</v>
      </c>
      <c r="AK1865" t="n">
        <v>60</v>
      </c>
      <c r="AL1865" t="n">
        <v>1</v>
      </c>
      <c r="AM1865" t="n">
        <v>40</v>
      </c>
      <c r="AN1865" t="n">
        <v>0</v>
      </c>
      <c r="AO1865" t="n">
        <v>1</v>
      </c>
      <c r="AP1865" t="n">
        <v>4</v>
      </c>
      <c r="AQ1865" t="n">
        <v>53</v>
      </c>
      <c r="AR1865" t="n">
        <v>151</v>
      </c>
      <c r="AS1865" t="n">
        <v>107</v>
      </c>
      <c r="AT1865" t="n">
        <v>2</v>
      </c>
      <c r="AU1865" t="n">
        <v>2</v>
      </c>
      <c r="AV1865" t="n">
        <v>81</v>
      </c>
      <c r="AW1865" t="n">
        <v>16</v>
      </c>
      <c r="AX1865" t="n">
        <v>0</v>
      </c>
      <c r="AY1865" t="n">
        <v>48</v>
      </c>
      <c r="AZ1865" t="n">
        <v>2</v>
      </c>
      <c r="BA1865" t="n">
        <v>17</v>
      </c>
      <c r="BB1865" t="n">
        <v>82</v>
      </c>
      <c r="BC1865" t="n">
        <v>33</v>
      </c>
      <c r="BD1865" t="n">
        <v>9</v>
      </c>
      <c r="BE1865" t="n">
        <v>16</v>
      </c>
      <c r="BF1865" t="n">
        <v>43</v>
      </c>
      <c r="BG1865" t="n">
        <v>2</v>
      </c>
      <c r="BH1865" t="n">
        <v>11</v>
      </c>
      <c r="BI1865" t="n">
        <v>49</v>
      </c>
      <c r="BJ1865" t="n">
        <v>46</v>
      </c>
      <c r="BK1865" t="n">
        <v>1</v>
      </c>
      <c r="BL1865" t="n">
        <v>31</v>
      </c>
      <c r="BM1865" t="n">
        <v>27</v>
      </c>
      <c r="BN1865" t="n">
        <v>6</v>
      </c>
      <c r="BO1865" t="n">
        <v>9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280</v>
      </c>
      <c r="Z1866" t="n">
        <v>210</v>
      </c>
      <c r="AA1866" t="n">
        <v>6</v>
      </c>
      <c r="AB1866" t="n">
        <v>1</v>
      </c>
      <c r="AC1866" t="n">
        <v>0</v>
      </c>
      <c r="AD1866" t="n">
        <v>6</v>
      </c>
      <c r="AE1866" t="n">
        <v>4</v>
      </c>
      <c r="AF1866" t="n">
        <v>3</v>
      </c>
      <c r="AG1866" t="n">
        <v>2</v>
      </c>
      <c r="AH1866" t="n">
        <v>81</v>
      </c>
      <c r="AI1866" t="n">
        <v>65</v>
      </c>
      <c r="AJ1866" t="n">
        <v>55</v>
      </c>
      <c r="AK1866" t="n">
        <v>6</v>
      </c>
      <c r="AL1866" t="n">
        <v>4</v>
      </c>
      <c r="AM1866" t="n">
        <v>50</v>
      </c>
      <c r="AN1866" t="n">
        <v>0</v>
      </c>
      <c r="AO1866" t="n">
        <v>1</v>
      </c>
      <c r="AP1866" t="n">
        <v>2</v>
      </c>
      <c r="AQ1866" t="n">
        <v>16</v>
      </c>
      <c r="AR1866" t="n">
        <v>86</v>
      </c>
      <c r="AS1866" t="n">
        <v>70</v>
      </c>
      <c r="AT1866" t="n">
        <v>4</v>
      </c>
      <c r="AU1866" t="n">
        <v>3</v>
      </c>
      <c r="AV1866" t="n">
        <v>12</v>
      </c>
      <c r="AW1866" t="n">
        <v>10</v>
      </c>
      <c r="AX1866" t="n">
        <v>0</v>
      </c>
      <c r="AY1866" t="n">
        <v>34</v>
      </c>
      <c r="AZ1866" t="n">
        <v>5</v>
      </c>
      <c r="BA1866" t="n">
        <v>31</v>
      </c>
      <c r="BB1866" t="n">
        <v>40</v>
      </c>
      <c r="BC1866" t="n">
        <v>65</v>
      </c>
      <c r="BD1866" t="n">
        <v>72</v>
      </c>
      <c r="BE1866" t="n">
        <v>16</v>
      </c>
      <c r="BF1866" t="n">
        <v>43</v>
      </c>
      <c r="BG1866" t="n">
        <v>3</v>
      </c>
      <c r="BH1866" t="n">
        <v>29</v>
      </c>
      <c r="BI1866" t="n">
        <v>8</v>
      </c>
      <c r="BJ1866" t="n">
        <v>17</v>
      </c>
      <c r="BK1866" t="n">
        <v>0</v>
      </c>
      <c r="BL1866" t="n">
        <v>11</v>
      </c>
      <c r="BM1866" t="n">
        <v>8</v>
      </c>
      <c r="BN1866" t="n">
        <v>0</v>
      </c>
      <c r="BO1866" t="n">
        <v>32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2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333</v>
      </c>
      <c r="Z1867" t="n">
        <v>213</v>
      </c>
      <c r="AA1867" t="n">
        <v>27</v>
      </c>
      <c r="AB1867" t="n">
        <v>1</v>
      </c>
      <c r="AC1867" t="n">
        <v>2</v>
      </c>
      <c r="AD1867" t="n">
        <v>8</v>
      </c>
      <c r="AE1867" t="n">
        <v>12</v>
      </c>
      <c r="AF1867" t="n">
        <v>1</v>
      </c>
      <c r="AG1867" t="n">
        <v>3</v>
      </c>
      <c r="AH1867" t="n">
        <v>103</v>
      </c>
      <c r="AI1867" t="n">
        <v>79</v>
      </c>
      <c r="AJ1867" t="n">
        <v>23</v>
      </c>
      <c r="AK1867" t="n">
        <v>36</v>
      </c>
      <c r="AL1867" t="n">
        <v>1</v>
      </c>
      <c r="AM1867" t="n">
        <v>18</v>
      </c>
      <c r="AN1867" t="n">
        <v>0</v>
      </c>
      <c r="AO1867" t="n">
        <v>0</v>
      </c>
      <c r="AP1867" t="n">
        <v>3</v>
      </c>
      <c r="AQ1867" t="n">
        <v>7</v>
      </c>
      <c r="AR1867" t="n">
        <v>37</v>
      </c>
      <c r="AS1867" t="n">
        <v>33</v>
      </c>
      <c r="AT1867" t="n">
        <v>0</v>
      </c>
      <c r="AU1867" t="n">
        <v>3</v>
      </c>
      <c r="AV1867" t="n">
        <v>1</v>
      </c>
      <c r="AW1867" t="n">
        <v>27</v>
      </c>
      <c r="AX1867" t="n">
        <v>0</v>
      </c>
      <c r="AY1867" t="n">
        <v>70</v>
      </c>
      <c r="AZ1867" t="n">
        <v>2</v>
      </c>
      <c r="BA1867" t="n">
        <v>17</v>
      </c>
      <c r="BB1867" t="n">
        <v>44</v>
      </c>
      <c r="BC1867" t="n">
        <v>18</v>
      </c>
      <c r="BD1867" t="n">
        <v>99</v>
      </c>
      <c r="BE1867" t="n">
        <v>27</v>
      </c>
      <c r="BF1867" t="n">
        <v>24</v>
      </c>
      <c r="BG1867" t="n">
        <v>6</v>
      </c>
      <c r="BH1867" t="n">
        <v>30</v>
      </c>
      <c r="BI1867" t="n">
        <v>67</v>
      </c>
      <c r="BJ1867" t="n">
        <v>60</v>
      </c>
      <c r="BK1867" t="n">
        <v>0</v>
      </c>
      <c r="BL1867" t="n">
        <v>10</v>
      </c>
      <c r="BM1867" t="n">
        <v>38</v>
      </c>
      <c r="BN1867" t="n">
        <v>21</v>
      </c>
      <c r="BO1867" t="n">
        <v>2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2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292</v>
      </c>
      <c r="Z1868" t="n">
        <v>172</v>
      </c>
      <c r="AA1868" t="n">
        <v>47</v>
      </c>
      <c r="AB1868" t="n">
        <v>3</v>
      </c>
      <c r="AC1868" t="n">
        <v>3</v>
      </c>
      <c r="AD1868" t="n">
        <v>1</v>
      </c>
      <c r="AE1868" t="n">
        <v>7</v>
      </c>
      <c r="AF1868" t="n">
        <v>5</v>
      </c>
      <c r="AG1868" t="n">
        <v>7</v>
      </c>
      <c r="AH1868" t="n">
        <v>24</v>
      </c>
      <c r="AI1868" t="n">
        <v>93</v>
      </c>
      <c r="AJ1868" t="n">
        <v>62</v>
      </c>
      <c r="AK1868" t="n">
        <v>74</v>
      </c>
      <c r="AL1868" t="n">
        <v>4</v>
      </c>
      <c r="AM1868" t="n">
        <v>7</v>
      </c>
      <c r="AN1868" t="n">
        <v>0</v>
      </c>
      <c r="AO1868" t="n">
        <v>1</v>
      </c>
      <c r="AP1868" t="n">
        <v>5</v>
      </c>
      <c r="AQ1868" t="n">
        <v>81</v>
      </c>
      <c r="AR1868" t="n">
        <v>227</v>
      </c>
      <c r="AS1868" t="n">
        <v>157</v>
      </c>
      <c r="AT1868" t="n">
        <v>3</v>
      </c>
      <c r="AU1868" t="n">
        <v>2</v>
      </c>
      <c r="AV1868" t="n">
        <v>27</v>
      </c>
      <c r="AW1868" t="n">
        <v>15</v>
      </c>
      <c r="AX1868" t="n">
        <v>3</v>
      </c>
      <c r="AY1868" t="n">
        <v>15</v>
      </c>
      <c r="AZ1868" t="n">
        <v>0</v>
      </c>
      <c r="BA1868" t="n">
        <v>1</v>
      </c>
      <c r="BB1868" t="n">
        <v>46</v>
      </c>
      <c r="BC1868" t="n">
        <v>8</v>
      </c>
      <c r="BD1868" t="n">
        <v>21</v>
      </c>
      <c r="BE1868" t="n">
        <v>19</v>
      </c>
      <c r="BF1868" t="n">
        <v>49</v>
      </c>
      <c r="BG1868" t="n">
        <v>4</v>
      </c>
      <c r="BH1868" t="n">
        <v>27</v>
      </c>
      <c r="BI1868" t="n">
        <v>1</v>
      </c>
      <c r="BJ1868" t="n">
        <v>11</v>
      </c>
      <c r="BK1868" t="n">
        <v>6</v>
      </c>
      <c r="BL1868" t="n">
        <v>24</v>
      </c>
      <c r="BM1868" t="n">
        <v>47</v>
      </c>
      <c r="BN1868" t="n">
        <v>22</v>
      </c>
      <c r="BO1868" t="n">
        <v>40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145</v>
      </c>
      <c r="Z1869" t="n">
        <v>143</v>
      </c>
      <c r="AA1869" t="n">
        <v>108</v>
      </c>
      <c r="AB1869" t="n">
        <v>1</v>
      </c>
      <c r="AC1869" t="n">
        <v>1</v>
      </c>
      <c r="AD1869" t="n">
        <v>1</v>
      </c>
      <c r="AE1869" t="n">
        <v>3</v>
      </c>
      <c r="AF1869" t="n">
        <v>5</v>
      </c>
      <c r="AG1869" t="n">
        <v>3</v>
      </c>
      <c r="AH1869" t="n">
        <v>2</v>
      </c>
      <c r="AI1869" t="n">
        <v>37</v>
      </c>
      <c r="AJ1869" t="n">
        <v>37</v>
      </c>
      <c r="AK1869" t="n">
        <v>18</v>
      </c>
      <c r="AL1869" t="n">
        <v>1</v>
      </c>
      <c r="AM1869" t="n">
        <v>24</v>
      </c>
      <c r="AN1869" t="n">
        <v>0</v>
      </c>
      <c r="AO1869" t="n">
        <v>0</v>
      </c>
      <c r="AP1869" t="n">
        <v>3</v>
      </c>
      <c r="AQ1869" t="n">
        <v>12</v>
      </c>
      <c r="AR1869" t="n">
        <v>167</v>
      </c>
      <c r="AS1869" t="n">
        <v>150</v>
      </c>
      <c r="AT1869" t="n">
        <v>2</v>
      </c>
      <c r="AU1869" t="n">
        <v>2</v>
      </c>
      <c r="AV1869" t="n">
        <v>1</v>
      </c>
      <c r="AW1869" t="n">
        <v>30</v>
      </c>
      <c r="AX1869" t="n">
        <v>7</v>
      </c>
      <c r="AY1869" t="n">
        <v>34</v>
      </c>
      <c r="AZ1869" t="n">
        <v>2</v>
      </c>
      <c r="BA1869" t="n">
        <v>15</v>
      </c>
      <c r="BB1869" t="n">
        <v>116</v>
      </c>
      <c r="BC1869" t="n">
        <v>20</v>
      </c>
      <c r="BD1869" t="n">
        <v>15</v>
      </c>
      <c r="BE1869" t="n">
        <v>30</v>
      </c>
      <c r="BF1869" t="n">
        <v>35</v>
      </c>
      <c r="BG1869" t="n">
        <v>3</v>
      </c>
      <c r="BH1869" t="n">
        <v>6</v>
      </c>
      <c r="BI1869" t="n">
        <v>47</v>
      </c>
      <c r="BJ1869" t="n">
        <v>52</v>
      </c>
      <c r="BK1869" t="n">
        <v>2</v>
      </c>
      <c r="BL1869" t="n">
        <v>16</v>
      </c>
      <c r="BM1869" t="n">
        <v>24</v>
      </c>
      <c r="BN1869" t="n">
        <v>9</v>
      </c>
      <c r="BO1869" t="n">
        <v>145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216</v>
      </c>
      <c r="Z1870" t="n">
        <v>203</v>
      </c>
      <c r="AA1870" t="n">
        <v>33</v>
      </c>
      <c r="AB1870" t="n">
        <v>0</v>
      </c>
      <c r="AC1870" t="n">
        <v>0</v>
      </c>
      <c r="AD1870" t="n">
        <v>4</v>
      </c>
      <c r="AE1870" t="n">
        <v>3</v>
      </c>
      <c r="AF1870" t="n">
        <v>6</v>
      </c>
      <c r="AG1870" t="n">
        <v>9</v>
      </c>
      <c r="AH1870" t="n">
        <v>28</v>
      </c>
      <c r="AI1870" t="n">
        <v>59</v>
      </c>
      <c r="AJ1870" t="n">
        <v>91</v>
      </c>
      <c r="AK1870" t="n">
        <v>63</v>
      </c>
      <c r="AL1870" t="n">
        <v>1</v>
      </c>
      <c r="AM1870" t="n">
        <v>51</v>
      </c>
      <c r="AN1870" t="n">
        <v>0</v>
      </c>
      <c r="AO1870" t="n">
        <v>0</v>
      </c>
      <c r="AP1870" t="n">
        <v>3</v>
      </c>
      <c r="AQ1870" t="n">
        <v>15</v>
      </c>
      <c r="AR1870" t="n">
        <v>111</v>
      </c>
      <c r="AS1870" t="n">
        <v>95</v>
      </c>
      <c r="AT1870" t="n">
        <v>0</v>
      </c>
      <c r="AU1870" t="n">
        <v>3</v>
      </c>
      <c r="AV1870" t="n">
        <v>6</v>
      </c>
      <c r="AW1870" t="n">
        <v>24</v>
      </c>
      <c r="AX1870" t="n">
        <v>6</v>
      </c>
      <c r="AY1870" t="n">
        <v>4</v>
      </c>
      <c r="AZ1870" t="n">
        <v>8</v>
      </c>
      <c r="BA1870" t="n">
        <v>53</v>
      </c>
      <c r="BB1870" t="n">
        <v>93</v>
      </c>
      <c r="BC1870" t="n">
        <v>48</v>
      </c>
      <c r="BD1870" t="n">
        <v>41</v>
      </c>
      <c r="BE1870" t="n">
        <v>24</v>
      </c>
      <c r="BF1870" t="n">
        <v>72</v>
      </c>
      <c r="BG1870" t="n">
        <v>1</v>
      </c>
      <c r="BH1870" t="n">
        <v>13</v>
      </c>
      <c r="BI1870" t="n">
        <v>9</v>
      </c>
      <c r="BJ1870" t="n">
        <v>8</v>
      </c>
      <c r="BK1870" t="n">
        <v>6</v>
      </c>
      <c r="BL1870" t="n">
        <v>37</v>
      </c>
      <c r="BM1870" t="n">
        <v>28</v>
      </c>
      <c r="BN1870" t="n">
        <v>3</v>
      </c>
      <c r="BO1870" t="n">
        <v>40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105</v>
      </c>
      <c r="Z1871" t="n">
        <v>183</v>
      </c>
      <c r="AA1871" t="n">
        <v>18</v>
      </c>
      <c r="AB1871" t="n">
        <v>0</v>
      </c>
      <c r="AC1871" t="n">
        <v>0</v>
      </c>
      <c r="AD1871" t="n">
        <v>4</v>
      </c>
      <c r="AE1871" t="n">
        <v>2</v>
      </c>
      <c r="AF1871" t="n">
        <v>0</v>
      </c>
      <c r="AG1871" t="n">
        <v>3</v>
      </c>
      <c r="AH1871" t="n">
        <v>26</v>
      </c>
      <c r="AI1871" t="n">
        <v>13</v>
      </c>
      <c r="AJ1871" t="n">
        <v>15</v>
      </c>
      <c r="AK1871" t="n">
        <v>42</v>
      </c>
      <c r="AL1871" t="n">
        <v>3</v>
      </c>
      <c r="AM1871" t="n">
        <v>37</v>
      </c>
      <c r="AN1871" t="n">
        <v>0</v>
      </c>
      <c r="AO1871" t="n">
        <v>0</v>
      </c>
      <c r="AP1871" t="n">
        <v>1</v>
      </c>
      <c r="AQ1871" t="n">
        <v>10</v>
      </c>
      <c r="AR1871" t="n">
        <v>105</v>
      </c>
      <c r="AS1871" t="n">
        <v>94</v>
      </c>
      <c r="AT1871" t="n">
        <v>0</v>
      </c>
      <c r="AU1871" t="n">
        <v>2</v>
      </c>
      <c r="AV1871" t="n">
        <v>1</v>
      </c>
      <c r="AW1871" t="n">
        <v>32</v>
      </c>
      <c r="AX1871" t="n">
        <v>2</v>
      </c>
      <c r="AY1871" t="n">
        <v>32</v>
      </c>
      <c r="AZ1871" t="n">
        <v>1</v>
      </c>
      <c r="BA1871" t="n">
        <v>5</v>
      </c>
      <c r="BB1871" t="n">
        <v>21</v>
      </c>
      <c r="BC1871" t="n">
        <v>31</v>
      </c>
      <c r="BD1871" t="n">
        <v>28</v>
      </c>
      <c r="BE1871" t="n">
        <v>32</v>
      </c>
      <c r="BF1871" t="n">
        <v>28</v>
      </c>
      <c r="BG1871" t="n">
        <v>2</v>
      </c>
      <c r="BH1871" t="n">
        <v>3</v>
      </c>
      <c r="BI1871" t="n">
        <v>1</v>
      </c>
      <c r="BJ1871" t="n">
        <v>5</v>
      </c>
      <c r="BK1871" t="n">
        <v>1</v>
      </c>
      <c r="BL1871" t="n">
        <v>15</v>
      </c>
      <c r="BM1871" t="n">
        <v>19</v>
      </c>
      <c r="BN1871" t="n">
        <v>6</v>
      </c>
      <c r="BO1871" t="n">
        <v>51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144</v>
      </c>
      <c r="Z1872" t="n">
        <v>102</v>
      </c>
      <c r="AA1872" t="n">
        <v>40</v>
      </c>
      <c r="AB1872" t="n">
        <v>1</v>
      </c>
      <c r="AC1872" t="n">
        <v>1</v>
      </c>
      <c r="AD1872" t="n">
        <v>3</v>
      </c>
      <c r="AE1872" t="n">
        <v>4</v>
      </c>
      <c r="AF1872" t="n">
        <v>0</v>
      </c>
      <c r="AG1872" t="n">
        <v>0</v>
      </c>
      <c r="AH1872" t="n">
        <v>63</v>
      </c>
      <c r="AI1872" t="n">
        <v>19</v>
      </c>
      <c r="AJ1872" t="n">
        <v>2</v>
      </c>
      <c r="AK1872" t="n">
        <v>6</v>
      </c>
      <c r="AL1872" t="n">
        <v>4</v>
      </c>
      <c r="AM1872" t="n">
        <v>39</v>
      </c>
      <c r="AN1872" t="n">
        <v>1</v>
      </c>
      <c r="AO1872" t="n">
        <v>0</v>
      </c>
      <c r="AP1872" t="n">
        <v>2</v>
      </c>
      <c r="AQ1872" t="n">
        <v>16</v>
      </c>
      <c r="AR1872" t="n">
        <v>111</v>
      </c>
      <c r="AS1872" t="n">
        <v>94</v>
      </c>
      <c r="AT1872" t="n">
        <v>2</v>
      </c>
      <c r="AU1872" t="n">
        <v>0</v>
      </c>
      <c r="AV1872" t="n">
        <v>3</v>
      </c>
      <c r="AW1872" t="n">
        <v>8</v>
      </c>
      <c r="AX1872" t="n">
        <v>4</v>
      </c>
      <c r="AY1872" t="n">
        <v>41</v>
      </c>
      <c r="AZ1872" t="n">
        <v>3</v>
      </c>
      <c r="BA1872" t="n">
        <v>12</v>
      </c>
      <c r="BB1872" t="n">
        <v>51</v>
      </c>
      <c r="BC1872" t="n">
        <v>33</v>
      </c>
      <c r="BD1872" t="n">
        <v>67</v>
      </c>
      <c r="BE1872" t="n">
        <v>10</v>
      </c>
      <c r="BF1872" t="n">
        <v>18</v>
      </c>
      <c r="BG1872" t="n">
        <v>4</v>
      </c>
      <c r="BH1872" t="n">
        <v>9</v>
      </c>
      <c r="BI1872" t="n">
        <v>19</v>
      </c>
      <c r="BJ1872" t="n">
        <v>16</v>
      </c>
      <c r="BK1872" t="n">
        <v>0</v>
      </c>
      <c r="BL1872" t="n">
        <v>1</v>
      </c>
      <c r="BM1872" t="n">
        <v>10</v>
      </c>
      <c r="BN1872" t="n">
        <v>5</v>
      </c>
      <c r="BO1872" t="n">
        <v>-5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140</v>
      </c>
      <c r="Z1873" t="n">
        <v>181</v>
      </c>
      <c r="AA1873" t="n">
        <v>61</v>
      </c>
      <c r="AB1873" t="n">
        <v>0</v>
      </c>
      <c r="AC1873" t="n">
        <v>1</v>
      </c>
      <c r="AD1873" t="n">
        <v>4</v>
      </c>
      <c r="AE1873" t="n">
        <v>7</v>
      </c>
      <c r="AF1873" t="n">
        <v>2</v>
      </c>
      <c r="AG1873" t="n">
        <v>5</v>
      </c>
      <c r="AH1873" t="n">
        <v>47</v>
      </c>
      <c r="AI1873" t="n">
        <v>89</v>
      </c>
      <c r="AJ1873" t="n">
        <v>10</v>
      </c>
      <c r="AK1873" t="n">
        <v>57</v>
      </c>
      <c r="AL1873" t="n">
        <v>4</v>
      </c>
      <c r="AM1873" t="n">
        <v>18</v>
      </c>
      <c r="AN1873" t="n">
        <v>0</v>
      </c>
      <c r="AO1873" t="n">
        <v>0</v>
      </c>
      <c r="AP1873" t="n">
        <v>6</v>
      </c>
      <c r="AQ1873" t="n">
        <v>45</v>
      </c>
      <c r="AR1873" t="n">
        <v>161</v>
      </c>
      <c r="AS1873" t="n">
        <v>121</v>
      </c>
      <c r="AT1873" t="n">
        <v>0</v>
      </c>
      <c r="AU1873" t="n">
        <v>1</v>
      </c>
      <c r="AV1873" t="n">
        <v>1</v>
      </c>
      <c r="AW1873" t="n">
        <v>8</v>
      </c>
      <c r="AX1873" t="n">
        <v>7</v>
      </c>
      <c r="AY1873" t="n">
        <v>15</v>
      </c>
      <c r="AZ1873" t="n">
        <v>0</v>
      </c>
      <c r="BA1873" t="n">
        <v>1</v>
      </c>
      <c r="BB1873" t="n">
        <v>60</v>
      </c>
      <c r="BC1873" t="n">
        <v>15</v>
      </c>
      <c r="BD1873" t="n">
        <v>53</v>
      </c>
      <c r="BE1873" t="n">
        <v>8</v>
      </c>
      <c r="BF1873" t="n">
        <v>23</v>
      </c>
      <c r="BG1873" t="n">
        <v>0</v>
      </c>
      <c r="BH1873" t="n">
        <v>1</v>
      </c>
      <c r="BI1873" t="n">
        <v>3</v>
      </c>
      <c r="BJ1873" t="n">
        <v>22</v>
      </c>
      <c r="BK1873" t="n">
        <v>5</v>
      </c>
      <c r="BL1873" t="n">
        <v>26</v>
      </c>
      <c r="BM1873" t="n">
        <v>19</v>
      </c>
      <c r="BN1873" t="n">
        <v>2</v>
      </c>
      <c r="BO1873" t="n">
        <v>14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2</v>
      </c>
      <c r="U1874" t="n">
        <v>0</v>
      </c>
      <c r="V1874" t="n">
        <v>0</v>
      </c>
      <c r="W1874" t="n">
        <v>0</v>
      </c>
      <c r="X1874" t="n">
        <v>0</v>
      </c>
      <c r="Y1874" t="n">
        <v>283</v>
      </c>
      <c r="Z1874" t="n">
        <v>288</v>
      </c>
      <c r="AA1874" t="n">
        <v>30</v>
      </c>
      <c r="AB1874" t="n">
        <v>0</v>
      </c>
      <c r="AC1874" t="n">
        <v>0</v>
      </c>
      <c r="AD1874" t="n">
        <v>5</v>
      </c>
      <c r="AE1874" t="n">
        <v>5</v>
      </c>
      <c r="AF1874" t="n">
        <v>5</v>
      </c>
      <c r="AG1874" t="n">
        <v>4</v>
      </c>
      <c r="AH1874" t="n">
        <v>11</v>
      </c>
      <c r="AI1874" t="n">
        <v>98</v>
      </c>
      <c r="AJ1874" t="n">
        <v>94</v>
      </c>
      <c r="AK1874" t="n">
        <v>12</v>
      </c>
      <c r="AL1874" t="n">
        <v>4</v>
      </c>
      <c r="AM1874" t="n">
        <v>50</v>
      </c>
      <c r="AN1874" t="n">
        <v>0</v>
      </c>
      <c r="AO1874" t="n">
        <v>0</v>
      </c>
      <c r="AP1874" t="n">
        <v>12</v>
      </c>
      <c r="AQ1874" t="n">
        <v>157</v>
      </c>
      <c r="AR1874" t="n">
        <v>231</v>
      </c>
      <c r="AS1874" t="n">
        <v>107</v>
      </c>
      <c r="AT1874" t="n">
        <v>4</v>
      </c>
      <c r="AU1874" t="n">
        <v>2</v>
      </c>
      <c r="AV1874" t="n">
        <v>56</v>
      </c>
      <c r="AW1874" t="n">
        <v>6</v>
      </c>
      <c r="AX1874" t="n">
        <v>3</v>
      </c>
      <c r="AY1874" t="n">
        <v>32</v>
      </c>
      <c r="AZ1874" t="n">
        <v>4</v>
      </c>
      <c r="BA1874" t="n">
        <v>94</v>
      </c>
      <c r="BB1874" t="n">
        <v>139</v>
      </c>
      <c r="BC1874" t="n">
        <v>44</v>
      </c>
      <c r="BD1874" t="n">
        <v>20</v>
      </c>
      <c r="BE1874" t="n">
        <v>6</v>
      </c>
      <c r="BF1874" t="n">
        <v>80</v>
      </c>
      <c r="BG1874" t="n">
        <v>3</v>
      </c>
      <c r="BH1874" t="n">
        <v>10</v>
      </c>
      <c r="BI1874" t="n">
        <v>14</v>
      </c>
      <c r="BJ1874" t="n">
        <v>18</v>
      </c>
      <c r="BK1874" t="n">
        <v>8</v>
      </c>
      <c r="BL1874" t="n">
        <v>70</v>
      </c>
      <c r="BM1874" t="n">
        <v>48</v>
      </c>
      <c r="BN1874" t="n">
        <v>0</v>
      </c>
      <c r="BO1874" t="n">
        <v>2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n">
        <v>142</v>
      </c>
      <c r="Z1875" t="n">
        <v>158</v>
      </c>
      <c r="AA1875" t="n">
        <v>20</v>
      </c>
      <c r="AB1875" t="n">
        <v>2</v>
      </c>
      <c r="AC1875" t="n">
        <v>0</v>
      </c>
      <c r="AD1875" t="n">
        <v>1</v>
      </c>
      <c r="AE1875" t="n">
        <v>8</v>
      </c>
      <c r="AF1875" t="n">
        <v>2</v>
      </c>
      <c r="AG1875" t="n">
        <v>9</v>
      </c>
      <c r="AH1875" t="n">
        <v>2</v>
      </c>
      <c r="AI1875" t="n">
        <v>85</v>
      </c>
      <c r="AJ1875" t="n">
        <v>10</v>
      </c>
      <c r="AK1875" t="n">
        <v>89</v>
      </c>
      <c r="AL1875" t="n">
        <v>6</v>
      </c>
      <c r="AM1875" t="n">
        <v>14</v>
      </c>
      <c r="AN1875" t="n">
        <v>1</v>
      </c>
      <c r="AO1875" t="n">
        <v>0</v>
      </c>
      <c r="AP1875" t="n">
        <v>3</v>
      </c>
      <c r="AQ1875" t="n">
        <v>24</v>
      </c>
      <c r="AR1875" t="n">
        <v>65</v>
      </c>
      <c r="AS1875" t="n">
        <v>44</v>
      </c>
      <c r="AT1875" t="n">
        <v>0</v>
      </c>
      <c r="AU1875" t="n">
        <v>0</v>
      </c>
      <c r="AV1875" t="n">
        <v>1</v>
      </c>
      <c r="AW1875" t="n">
        <v>3</v>
      </c>
      <c r="AX1875" t="n">
        <v>4</v>
      </c>
      <c r="AY1875" t="n">
        <v>4</v>
      </c>
      <c r="AZ1875" t="n">
        <v>2</v>
      </c>
      <c r="BA1875" t="n">
        <v>12</v>
      </c>
      <c r="BB1875" t="n">
        <v>31</v>
      </c>
      <c r="BC1875" t="n">
        <v>39</v>
      </c>
      <c r="BD1875" t="n">
        <v>11</v>
      </c>
      <c r="BE1875" t="n">
        <v>3</v>
      </c>
      <c r="BF1875" t="n">
        <v>32</v>
      </c>
      <c r="BG1875" t="n">
        <v>0</v>
      </c>
      <c r="BH1875" t="n">
        <v>2</v>
      </c>
      <c r="BI1875" t="n">
        <v>29</v>
      </c>
      <c r="BJ1875" t="n">
        <v>26</v>
      </c>
      <c r="BK1875" t="n">
        <v>3</v>
      </c>
      <c r="BL1875" t="n">
        <v>22</v>
      </c>
      <c r="BM1875" t="n">
        <v>23</v>
      </c>
      <c r="BN1875" t="n">
        <v>7</v>
      </c>
      <c r="BO1875" t="n">
        <v>2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283</v>
      </c>
      <c r="Z1876" t="n">
        <v>128</v>
      </c>
      <c r="AA1876" t="n">
        <v>31</v>
      </c>
      <c r="AB1876" t="n">
        <v>0</v>
      </c>
      <c r="AC1876" t="n">
        <v>1</v>
      </c>
      <c r="AD1876" t="n">
        <v>9</v>
      </c>
      <c r="AE1876" t="n">
        <v>3</v>
      </c>
      <c r="AF1876" t="n">
        <v>6</v>
      </c>
      <c r="AG1876" t="n">
        <v>2</v>
      </c>
      <c r="AH1876" t="n">
        <v>176</v>
      </c>
      <c r="AI1876" t="n">
        <v>10</v>
      </c>
      <c r="AJ1876" t="n">
        <v>58</v>
      </c>
      <c r="AK1876" t="n">
        <v>1</v>
      </c>
      <c r="AL1876" t="n">
        <v>3</v>
      </c>
      <c r="AM1876" t="n">
        <v>24</v>
      </c>
      <c r="AN1876" t="n">
        <v>0</v>
      </c>
      <c r="AO1876" t="n">
        <v>0</v>
      </c>
      <c r="AP1876" t="n">
        <v>6</v>
      </c>
      <c r="AQ1876" t="n">
        <v>33</v>
      </c>
      <c r="AR1876" t="n">
        <v>58</v>
      </c>
      <c r="AS1876" t="n">
        <v>29</v>
      </c>
      <c r="AT1876" t="n">
        <v>0</v>
      </c>
      <c r="AU1876" t="n">
        <v>3</v>
      </c>
      <c r="AV1876" t="n">
        <v>1</v>
      </c>
      <c r="AW1876" t="n">
        <v>22</v>
      </c>
      <c r="AX1876" t="n">
        <v>16</v>
      </c>
      <c r="AY1876" t="n">
        <v>80</v>
      </c>
      <c r="AZ1876" t="n">
        <v>5</v>
      </c>
      <c r="BA1876" t="n">
        <v>46</v>
      </c>
      <c r="BB1876" t="n">
        <v>80</v>
      </c>
      <c r="BC1876" t="n">
        <v>29</v>
      </c>
      <c r="BD1876" t="n">
        <v>160</v>
      </c>
      <c r="BE1876" t="n">
        <v>30</v>
      </c>
      <c r="BF1876" t="n">
        <v>47</v>
      </c>
      <c r="BG1876" t="n">
        <v>1</v>
      </c>
      <c r="BH1876" t="n">
        <v>2</v>
      </c>
      <c r="BI1876" t="n">
        <v>16</v>
      </c>
      <c r="BJ1876" t="n">
        <v>34</v>
      </c>
      <c r="BK1876" t="n">
        <v>5</v>
      </c>
      <c r="BL1876" t="n">
        <v>-5</v>
      </c>
      <c r="BM1876" t="n">
        <v>21</v>
      </c>
      <c r="BN1876" t="n">
        <v>14</v>
      </c>
      <c r="BO1876" t="n">
        <v>2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1</v>
      </c>
      <c r="G1877" t="n">
        <v>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230</v>
      </c>
      <c r="Z1877" t="n">
        <v>256</v>
      </c>
      <c r="AA1877" t="n">
        <v>72</v>
      </c>
      <c r="AB1877" t="n">
        <v>4</v>
      </c>
      <c r="AC1877" t="n">
        <v>2</v>
      </c>
      <c r="AD1877" t="n">
        <v>7</v>
      </c>
      <c r="AE1877" t="n">
        <v>5</v>
      </c>
      <c r="AF1877" t="n">
        <v>3</v>
      </c>
      <c r="AG1877" t="n">
        <v>5</v>
      </c>
      <c r="AH1877" t="n">
        <v>87</v>
      </c>
      <c r="AI1877" t="n">
        <v>40</v>
      </c>
      <c r="AJ1877" t="n">
        <v>24</v>
      </c>
      <c r="AK1877" t="n">
        <v>90</v>
      </c>
      <c r="AL1877" t="n">
        <v>4</v>
      </c>
      <c r="AM1877" t="n">
        <v>66</v>
      </c>
      <c r="AN1877" t="n">
        <v>1</v>
      </c>
      <c r="AO1877" t="n">
        <v>0</v>
      </c>
      <c r="AP1877" t="n">
        <v>2</v>
      </c>
      <c r="AQ1877" t="n">
        <v>4</v>
      </c>
      <c r="AR1877" t="n">
        <v>48</v>
      </c>
      <c r="AS1877" t="n">
        <v>42</v>
      </c>
      <c r="AT1877" t="n">
        <v>2</v>
      </c>
      <c r="AU1877" t="n">
        <v>2</v>
      </c>
      <c r="AV1877" t="n">
        <v>33</v>
      </c>
      <c r="AW1877" t="n">
        <v>29</v>
      </c>
      <c r="AX1877" t="n">
        <v>2</v>
      </c>
      <c r="AY1877" t="n">
        <v>102</v>
      </c>
      <c r="AZ1877" t="n">
        <v>3</v>
      </c>
      <c r="BA1877" t="n">
        <v>17</v>
      </c>
      <c r="BB1877" t="n">
        <v>85</v>
      </c>
      <c r="BC1877" t="n">
        <v>64</v>
      </c>
      <c r="BD1877" t="n">
        <v>78</v>
      </c>
      <c r="BE1877" t="n">
        <v>32</v>
      </c>
      <c r="BF1877" t="n">
        <v>18</v>
      </c>
      <c r="BG1877" t="n">
        <v>2</v>
      </c>
      <c r="BH1877" t="n">
        <v>11</v>
      </c>
      <c r="BI1877" t="n">
        <v>6</v>
      </c>
      <c r="BJ1877" t="n">
        <v>18</v>
      </c>
      <c r="BK1877" t="n">
        <v>5</v>
      </c>
      <c r="BL1877" t="n">
        <v>16</v>
      </c>
      <c r="BM1877" t="n">
        <v>8</v>
      </c>
      <c r="BN1877" t="n">
        <v>-1</v>
      </c>
      <c r="BO1877" t="n">
        <v>2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1</v>
      </c>
      <c r="V1878" t="n">
        <v>0</v>
      </c>
      <c r="W1878" t="n">
        <v>0</v>
      </c>
      <c r="X1878" t="n">
        <v>0</v>
      </c>
      <c r="Y1878" t="n">
        <v>144</v>
      </c>
      <c r="Z1878" t="n">
        <v>176</v>
      </c>
      <c r="AA1878" t="n">
        <v>43</v>
      </c>
      <c r="AB1878" t="n">
        <v>1</v>
      </c>
      <c r="AC1878" t="n">
        <v>1</v>
      </c>
      <c r="AD1878" t="n">
        <v>3</v>
      </c>
      <c r="AE1878" t="n">
        <v>7</v>
      </c>
      <c r="AF1878" t="n">
        <v>4</v>
      </c>
      <c r="AG1878" t="n">
        <v>3</v>
      </c>
      <c r="AH1878" t="n">
        <v>40</v>
      </c>
      <c r="AI1878" t="n">
        <v>54</v>
      </c>
      <c r="AJ1878" t="n">
        <v>39</v>
      </c>
      <c r="AK1878" t="n">
        <v>36</v>
      </c>
      <c r="AL1878" t="n">
        <v>1</v>
      </c>
      <c r="AM1878" t="n">
        <v>28</v>
      </c>
      <c r="AN1878" t="n">
        <v>0</v>
      </c>
      <c r="AO1878" t="n">
        <v>0</v>
      </c>
      <c r="AP1878" t="n">
        <v>6</v>
      </c>
      <c r="AQ1878" t="n">
        <v>24</v>
      </c>
      <c r="AR1878" t="n">
        <v>108</v>
      </c>
      <c r="AS1878" t="n">
        <v>86</v>
      </c>
      <c r="AT1878" t="n">
        <v>0</v>
      </c>
      <c r="AU1878" t="n">
        <v>3</v>
      </c>
      <c r="AV1878" t="n">
        <v>1</v>
      </c>
      <c r="AW1878" t="n">
        <v>26</v>
      </c>
      <c r="AX1878" t="n">
        <v>0</v>
      </c>
      <c r="AY1878" t="n">
        <v>26</v>
      </c>
      <c r="AZ1878" t="n">
        <v>0</v>
      </c>
      <c r="BA1878" t="n">
        <v>1</v>
      </c>
      <c r="BB1878" t="n">
        <v>43</v>
      </c>
      <c r="BC1878" t="n">
        <v>32</v>
      </c>
      <c r="BD1878" t="n">
        <v>35</v>
      </c>
      <c r="BE1878" t="n">
        <v>26</v>
      </c>
      <c r="BF1878" t="n">
        <v>35</v>
      </c>
      <c r="BG1878" t="n">
        <v>0</v>
      </c>
      <c r="BH1878" t="n">
        <v>11</v>
      </c>
      <c r="BI1878" t="n">
        <v>1</v>
      </c>
      <c r="BJ1878" t="n">
        <v>2</v>
      </c>
      <c r="BK1878" t="n">
        <v>3</v>
      </c>
      <c r="BL1878" t="n">
        <v>22</v>
      </c>
      <c r="BM1878" t="n">
        <v>40</v>
      </c>
      <c r="BN1878" t="n">
        <v>17</v>
      </c>
      <c r="BO1878" t="n">
        <v>16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2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n">
        <v>131</v>
      </c>
      <c r="Z1879" t="n">
        <v>149</v>
      </c>
      <c r="AA1879" t="n">
        <v>35</v>
      </c>
      <c r="AB1879" t="n">
        <v>5</v>
      </c>
      <c r="AC1879" t="n">
        <v>1</v>
      </c>
      <c r="AD1879" t="n">
        <v>5</v>
      </c>
      <c r="AE1879" t="n">
        <v>12</v>
      </c>
      <c r="AF1879" t="n">
        <v>1</v>
      </c>
      <c r="AG1879" t="n">
        <v>5</v>
      </c>
      <c r="AH1879" t="n">
        <v>54</v>
      </c>
      <c r="AI1879" t="n">
        <v>85</v>
      </c>
      <c r="AJ1879" t="n">
        <v>15</v>
      </c>
      <c r="AK1879" t="n">
        <v>15</v>
      </c>
      <c r="AL1879" t="n">
        <v>1</v>
      </c>
      <c r="AM1879" t="n">
        <v>3</v>
      </c>
      <c r="AN1879" t="n">
        <v>0</v>
      </c>
      <c r="AO1879" t="n">
        <v>0</v>
      </c>
      <c r="AP1879" t="n">
        <v>6</v>
      </c>
      <c r="AQ1879" t="n">
        <v>45</v>
      </c>
      <c r="AR1879" t="n">
        <v>162</v>
      </c>
      <c r="AS1879" t="n">
        <v>122</v>
      </c>
      <c r="AT1879" t="n">
        <v>4</v>
      </c>
      <c r="AU1879" t="n">
        <v>0</v>
      </c>
      <c r="AV1879" t="n">
        <v>18</v>
      </c>
      <c r="AW1879" t="n">
        <v>8</v>
      </c>
      <c r="AX1879" t="n">
        <v>10</v>
      </c>
      <c r="AY1879" t="n">
        <v>24</v>
      </c>
      <c r="AZ1879" t="n">
        <v>0</v>
      </c>
      <c r="BA1879" t="n">
        <v>3</v>
      </c>
      <c r="BB1879" t="n">
        <v>35</v>
      </c>
      <c r="BC1879" t="n">
        <v>16</v>
      </c>
      <c r="BD1879" t="n">
        <v>51</v>
      </c>
      <c r="BE1879" t="n">
        <v>7</v>
      </c>
      <c r="BF1879" t="n">
        <v>17</v>
      </c>
      <c r="BG1879" t="n">
        <v>1</v>
      </c>
      <c r="BH1879" t="n">
        <v>6</v>
      </c>
      <c r="BI1879" t="n">
        <v>7</v>
      </c>
      <c r="BJ1879" t="n">
        <v>6</v>
      </c>
      <c r="BK1879" t="n">
        <v>0</v>
      </c>
      <c r="BL1879" t="n">
        <v>4</v>
      </c>
      <c r="BM1879" t="n">
        <v>3</v>
      </c>
      <c r="BN1879" t="n">
        <v>0</v>
      </c>
      <c r="BO1879" t="n">
        <v>14</v>
      </c>
    </row>
    <row r="1880">
      <c r="A1880" t="n">
        <v>0</v>
      </c>
      <c r="B1880" t="n">
        <v>1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404</v>
      </c>
      <c r="Z1880" t="n">
        <v>323</v>
      </c>
      <c r="AA1880" t="n">
        <v>38</v>
      </c>
      <c r="AB1880" t="n">
        <v>1</v>
      </c>
      <c r="AC1880" t="n">
        <v>2</v>
      </c>
      <c r="AD1880" t="n">
        <v>4</v>
      </c>
      <c r="AE1880" t="n">
        <v>8</v>
      </c>
      <c r="AF1880" t="n">
        <v>7</v>
      </c>
      <c r="AG1880" t="n">
        <v>0</v>
      </c>
      <c r="AH1880" t="n">
        <v>62</v>
      </c>
      <c r="AI1880" t="n">
        <v>90</v>
      </c>
      <c r="AJ1880" t="n">
        <v>75</v>
      </c>
      <c r="AK1880" t="n">
        <v>1</v>
      </c>
      <c r="AL1880" t="n">
        <v>1</v>
      </c>
      <c r="AM1880" t="n">
        <v>16</v>
      </c>
      <c r="AN1880" t="n">
        <v>0</v>
      </c>
      <c r="AO1880" t="n">
        <v>0</v>
      </c>
      <c r="AP1880" t="n">
        <v>3</v>
      </c>
      <c r="AQ1880" t="n">
        <v>91</v>
      </c>
      <c r="AR1880" t="n">
        <v>143</v>
      </c>
      <c r="AS1880" t="n">
        <v>67</v>
      </c>
      <c r="AT1880" t="n">
        <v>4</v>
      </c>
      <c r="AU1880" t="n">
        <v>3</v>
      </c>
      <c r="AV1880" t="n">
        <v>57</v>
      </c>
      <c r="AW1880" t="n">
        <v>29</v>
      </c>
      <c r="AX1880" t="n">
        <v>10</v>
      </c>
      <c r="AY1880" t="n">
        <v>33</v>
      </c>
      <c r="AZ1880" t="n">
        <v>0</v>
      </c>
      <c r="BA1880" t="n">
        <v>3</v>
      </c>
      <c r="BB1880" t="n">
        <v>37</v>
      </c>
      <c r="BC1880" t="n">
        <v>12</v>
      </c>
      <c r="BD1880" t="n">
        <v>72</v>
      </c>
      <c r="BE1880" t="n">
        <v>29</v>
      </c>
      <c r="BF1880" t="n">
        <v>60</v>
      </c>
      <c r="BG1880" t="n">
        <v>2</v>
      </c>
      <c r="BH1880" t="n">
        <v>15</v>
      </c>
      <c r="BI1880" t="n">
        <v>23</v>
      </c>
      <c r="BJ1880" t="n">
        <v>21</v>
      </c>
      <c r="BK1880" t="n">
        <v>7</v>
      </c>
      <c r="BL1880" t="n">
        <v>44</v>
      </c>
      <c r="BM1880" t="n">
        <v>30</v>
      </c>
      <c r="BN1880" t="n">
        <v>0</v>
      </c>
      <c r="BO1880" t="n">
        <v>2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2</v>
      </c>
      <c r="K1881" t="n">
        <v>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190</v>
      </c>
      <c r="Z1881" t="n">
        <v>191</v>
      </c>
      <c r="AA1881" t="n">
        <v>64</v>
      </c>
      <c r="AB1881" t="n">
        <v>0</v>
      </c>
      <c r="AC1881" t="n">
        <v>3</v>
      </c>
      <c r="AD1881" t="n">
        <v>9</v>
      </c>
      <c r="AE1881" t="n">
        <v>11</v>
      </c>
      <c r="AF1881" t="n">
        <v>4</v>
      </c>
      <c r="AG1881" t="n">
        <v>0</v>
      </c>
      <c r="AH1881" t="n">
        <v>92</v>
      </c>
      <c r="AI1881" t="n">
        <v>123</v>
      </c>
      <c r="AJ1881" t="n">
        <v>58</v>
      </c>
      <c r="AK1881" t="n">
        <v>15</v>
      </c>
      <c r="AL1881" t="n">
        <v>2</v>
      </c>
      <c r="AM1881" t="n">
        <v>13</v>
      </c>
      <c r="AN1881" t="n">
        <v>0</v>
      </c>
      <c r="AO1881" t="n">
        <v>0</v>
      </c>
      <c r="AP1881" t="n">
        <v>1</v>
      </c>
      <c r="AQ1881" t="n">
        <v>21</v>
      </c>
      <c r="AR1881" t="n">
        <v>43</v>
      </c>
      <c r="AS1881" t="n">
        <v>26</v>
      </c>
      <c r="AT1881" t="n">
        <v>0</v>
      </c>
      <c r="AU1881" t="n">
        <v>0</v>
      </c>
      <c r="AV1881" t="n">
        <v>11</v>
      </c>
      <c r="AW1881" t="n">
        <v>19</v>
      </c>
      <c r="AX1881" t="n">
        <v>0</v>
      </c>
      <c r="AY1881" t="n">
        <v>38</v>
      </c>
      <c r="AZ1881" t="n">
        <v>0</v>
      </c>
      <c r="BA1881" t="n">
        <v>2</v>
      </c>
      <c r="BB1881" t="n">
        <v>63</v>
      </c>
      <c r="BC1881" t="n">
        <v>42</v>
      </c>
      <c r="BD1881" t="n">
        <v>88</v>
      </c>
      <c r="BE1881" t="n">
        <v>19</v>
      </c>
      <c r="BF1881" t="n">
        <v>53</v>
      </c>
      <c r="BG1881" t="n">
        <v>0</v>
      </c>
      <c r="BH1881" t="n">
        <v>5</v>
      </c>
      <c r="BI1881" t="n">
        <v>1</v>
      </c>
      <c r="BJ1881" t="n">
        <v>5</v>
      </c>
      <c r="BK1881" t="n">
        <v>2</v>
      </c>
      <c r="BL1881" t="n">
        <v>44</v>
      </c>
      <c r="BM1881" t="n">
        <v>64</v>
      </c>
      <c r="BN1881" t="n">
        <v>25</v>
      </c>
      <c r="BO1881" t="n">
        <v>7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116</v>
      </c>
      <c r="Z1882" t="n">
        <v>241</v>
      </c>
      <c r="AA1882" t="n">
        <v>60</v>
      </c>
      <c r="AB1882" t="n">
        <v>3</v>
      </c>
      <c r="AC1882" t="n">
        <v>1</v>
      </c>
      <c r="AD1882" t="n">
        <v>2</v>
      </c>
      <c r="AE1882" t="n">
        <v>7</v>
      </c>
      <c r="AF1882" t="n">
        <v>6</v>
      </c>
      <c r="AG1882" t="n">
        <v>1</v>
      </c>
      <c r="AH1882" t="n">
        <v>17</v>
      </c>
      <c r="AI1882" t="n">
        <v>95</v>
      </c>
      <c r="AJ1882" t="n">
        <v>21</v>
      </c>
      <c r="AK1882" t="n">
        <v>24</v>
      </c>
      <c r="AL1882" t="n">
        <v>0</v>
      </c>
      <c r="AM1882" t="n">
        <v>2</v>
      </c>
      <c r="AN1882" t="n">
        <v>1</v>
      </c>
      <c r="AO1882" t="n">
        <v>0</v>
      </c>
      <c r="AP1882" t="n">
        <v>0</v>
      </c>
      <c r="AQ1882" t="n">
        <v>1</v>
      </c>
      <c r="AR1882" t="n">
        <v>87</v>
      </c>
      <c r="AS1882" t="n">
        <v>80</v>
      </c>
      <c r="AT1882" t="n">
        <v>0</v>
      </c>
      <c r="AU1882" t="n">
        <v>1</v>
      </c>
      <c r="AV1882" t="n">
        <v>1</v>
      </c>
      <c r="AW1882" t="n">
        <v>21</v>
      </c>
      <c r="AX1882" t="n">
        <v>0</v>
      </c>
      <c r="AY1882" t="n">
        <v>21</v>
      </c>
      <c r="AZ1882" t="n">
        <v>4</v>
      </c>
      <c r="BA1882" t="n">
        <v>28</v>
      </c>
      <c r="BB1882" t="n">
        <v>86</v>
      </c>
      <c r="BC1882" t="n">
        <v>7</v>
      </c>
      <c r="BD1882" t="n">
        <v>28</v>
      </c>
      <c r="BE1882" t="n">
        <v>23</v>
      </c>
      <c r="BF1882" t="n">
        <v>25</v>
      </c>
      <c r="BG1882" t="n">
        <v>2</v>
      </c>
      <c r="BH1882" t="n">
        <v>4</v>
      </c>
      <c r="BI1882" t="n">
        <v>67</v>
      </c>
      <c r="BJ1882" t="n">
        <v>65</v>
      </c>
      <c r="BK1882" t="n">
        <v>1</v>
      </c>
      <c r="BL1882" t="n">
        <v>1</v>
      </c>
      <c r="BM1882" t="n">
        <v>22</v>
      </c>
      <c r="BN1882" t="n">
        <v>12</v>
      </c>
      <c r="BO1882" t="n">
        <v>7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180</v>
      </c>
      <c r="Z1883" t="n">
        <v>165</v>
      </c>
      <c r="AA1883" t="n">
        <v>151</v>
      </c>
      <c r="AB1883" t="n">
        <v>2</v>
      </c>
      <c r="AC1883" t="n">
        <v>1</v>
      </c>
      <c r="AD1883" t="n">
        <v>2</v>
      </c>
      <c r="AE1883" t="n">
        <v>1</v>
      </c>
      <c r="AF1883" t="n">
        <v>2</v>
      </c>
      <c r="AG1883" t="n">
        <v>0</v>
      </c>
      <c r="AH1883" t="n">
        <v>42</v>
      </c>
      <c r="AI1883" t="n">
        <v>2</v>
      </c>
      <c r="AJ1883" t="n">
        <v>46</v>
      </c>
      <c r="AK1883" t="n">
        <v>7</v>
      </c>
      <c r="AL1883" t="n">
        <v>1</v>
      </c>
      <c r="AM1883" t="n">
        <v>22</v>
      </c>
      <c r="AN1883" t="n">
        <v>0</v>
      </c>
      <c r="AO1883" t="n">
        <v>0</v>
      </c>
      <c r="AP1883" t="n">
        <v>3</v>
      </c>
      <c r="AQ1883" t="n">
        <v>24</v>
      </c>
      <c r="AR1883" t="n">
        <v>99</v>
      </c>
      <c r="AS1883" t="n">
        <v>79</v>
      </c>
      <c r="AT1883" t="n">
        <v>7</v>
      </c>
      <c r="AU1883" t="n">
        <v>1</v>
      </c>
      <c r="AV1883" t="n">
        <v>60</v>
      </c>
      <c r="AW1883" t="n">
        <v>34</v>
      </c>
      <c r="AX1883" t="n">
        <v>0</v>
      </c>
      <c r="AY1883" t="n">
        <v>23</v>
      </c>
      <c r="AZ1883" t="n">
        <v>0</v>
      </c>
      <c r="BA1883" t="n">
        <v>1</v>
      </c>
      <c r="BB1883" t="n">
        <v>139</v>
      </c>
      <c r="BC1883" t="n">
        <v>18</v>
      </c>
      <c r="BD1883" t="n">
        <v>37</v>
      </c>
      <c r="BE1883" t="n">
        <v>34</v>
      </c>
      <c r="BF1883" t="n">
        <v>36</v>
      </c>
      <c r="BG1883" t="n">
        <v>0</v>
      </c>
      <c r="BH1883" t="n">
        <v>1</v>
      </c>
      <c r="BI1883" t="n">
        <v>24</v>
      </c>
      <c r="BJ1883" t="n">
        <v>21</v>
      </c>
      <c r="BK1883" t="n">
        <v>1</v>
      </c>
      <c r="BL1883" t="n">
        <v>15</v>
      </c>
      <c r="BM1883" t="n">
        <v>11</v>
      </c>
      <c r="BN1883" t="n">
        <v>0</v>
      </c>
      <c r="BO1883" t="n">
        <v>2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2</v>
      </c>
      <c r="V1884" t="n">
        <v>0</v>
      </c>
      <c r="W1884" t="n">
        <v>0</v>
      </c>
      <c r="X1884" t="n">
        <v>0</v>
      </c>
      <c r="Y1884" t="n">
        <v>68</v>
      </c>
      <c r="Z1884" t="n">
        <v>195</v>
      </c>
      <c r="AA1884" t="n">
        <v>80</v>
      </c>
      <c r="AB1884" t="n">
        <v>2</v>
      </c>
      <c r="AC1884" t="n">
        <v>1</v>
      </c>
      <c r="AD1884" t="n">
        <v>1</v>
      </c>
      <c r="AE1884" t="n">
        <v>2</v>
      </c>
      <c r="AF1884" t="n">
        <v>4</v>
      </c>
      <c r="AG1884" t="n">
        <v>0</v>
      </c>
      <c r="AH1884" t="n">
        <v>2</v>
      </c>
      <c r="AI1884" t="n">
        <v>34</v>
      </c>
      <c r="AJ1884" t="n">
        <v>39</v>
      </c>
      <c r="AK1884" t="n">
        <v>1</v>
      </c>
      <c r="AL1884" t="n">
        <v>3</v>
      </c>
      <c r="AM1884" t="n">
        <v>51</v>
      </c>
      <c r="AN1884" t="n">
        <v>0</v>
      </c>
      <c r="AO1884" t="n">
        <v>0</v>
      </c>
      <c r="AP1884" t="n">
        <v>3</v>
      </c>
      <c r="AQ1884" t="n">
        <v>0</v>
      </c>
      <c r="AR1884" t="n">
        <v>90</v>
      </c>
      <c r="AS1884" t="n">
        <v>84</v>
      </c>
      <c r="AT1884" t="n">
        <v>2</v>
      </c>
      <c r="AU1884" t="n">
        <v>0</v>
      </c>
      <c r="AV1884" t="n">
        <v>20</v>
      </c>
      <c r="AW1884" t="n">
        <v>12</v>
      </c>
      <c r="AX1884" t="n">
        <v>0</v>
      </c>
      <c r="AY1884" t="n">
        <v>100</v>
      </c>
      <c r="AZ1884" t="n">
        <v>0</v>
      </c>
      <c r="BA1884" t="n">
        <v>1</v>
      </c>
      <c r="BB1884" t="n">
        <v>78</v>
      </c>
      <c r="BC1884" t="n">
        <v>42</v>
      </c>
      <c r="BD1884" t="n">
        <v>2</v>
      </c>
      <c r="BE1884" t="n">
        <v>13</v>
      </c>
      <c r="BF1884" t="n">
        <v>31</v>
      </c>
      <c r="BG1884" t="n">
        <v>0</v>
      </c>
      <c r="BH1884" t="n">
        <v>5</v>
      </c>
      <c r="BI1884" t="n">
        <v>2</v>
      </c>
      <c r="BJ1884" t="n">
        <v>1</v>
      </c>
      <c r="BK1884" t="n">
        <v>3</v>
      </c>
      <c r="BL1884" t="n">
        <v>33</v>
      </c>
      <c r="BM1884" t="n">
        <v>74</v>
      </c>
      <c r="BN1884" t="n">
        <v>39</v>
      </c>
      <c r="BO1884" t="n">
        <v>44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158</v>
      </c>
      <c r="Z1885" t="n">
        <v>217</v>
      </c>
      <c r="AA1885" t="n">
        <v>85</v>
      </c>
      <c r="AB1885" t="n">
        <v>1</v>
      </c>
      <c r="AC1885" t="n">
        <v>1</v>
      </c>
      <c r="AD1885" t="n">
        <v>0</v>
      </c>
      <c r="AE1885" t="n">
        <v>9</v>
      </c>
      <c r="AF1885" t="n">
        <v>4</v>
      </c>
      <c r="AG1885" t="n">
        <v>2</v>
      </c>
      <c r="AH1885" t="n">
        <v>18</v>
      </c>
      <c r="AI1885" t="n">
        <v>69</v>
      </c>
      <c r="AJ1885" t="n">
        <v>27</v>
      </c>
      <c r="AK1885" t="n">
        <v>18</v>
      </c>
      <c r="AL1885" t="n">
        <v>3</v>
      </c>
      <c r="AM1885" t="n">
        <v>28</v>
      </c>
      <c r="AN1885" t="n">
        <v>0</v>
      </c>
      <c r="AO1885" t="n">
        <v>0</v>
      </c>
      <c r="AP1885" t="n">
        <v>3</v>
      </c>
      <c r="AQ1885" t="n">
        <v>7</v>
      </c>
      <c r="AR1885" t="n">
        <v>59</v>
      </c>
      <c r="AS1885" t="n">
        <v>51</v>
      </c>
      <c r="AT1885" t="n">
        <v>0</v>
      </c>
      <c r="AU1885" t="n">
        <v>1</v>
      </c>
      <c r="AV1885" t="n">
        <v>1</v>
      </c>
      <c r="AW1885" t="n">
        <v>15</v>
      </c>
      <c r="AX1885" t="n">
        <v>12</v>
      </c>
      <c r="AY1885" t="n">
        <v>25</v>
      </c>
      <c r="AZ1885" t="n">
        <v>4</v>
      </c>
      <c r="BA1885" t="n">
        <v>60</v>
      </c>
      <c r="BB1885" t="n">
        <v>144</v>
      </c>
      <c r="BC1885" t="n">
        <v>42</v>
      </c>
      <c r="BD1885" t="n">
        <v>44</v>
      </c>
      <c r="BE1885" t="n">
        <v>15</v>
      </c>
      <c r="BF1885" t="n">
        <v>21</v>
      </c>
      <c r="BG1885" t="n">
        <v>5</v>
      </c>
      <c r="BH1885" t="n">
        <v>3</v>
      </c>
      <c r="BI1885" t="n">
        <v>75</v>
      </c>
      <c r="BJ1885" t="n">
        <v>69</v>
      </c>
      <c r="BK1885" t="n">
        <v>0</v>
      </c>
      <c r="BL1885" t="n">
        <v>1</v>
      </c>
      <c r="BM1885" t="n">
        <v>2</v>
      </c>
      <c r="BN1885" t="n">
        <v>0</v>
      </c>
      <c r="BO1885" t="n">
        <v>2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4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324</v>
      </c>
      <c r="Z1886" t="n">
        <v>128</v>
      </c>
      <c r="AA1886" t="n">
        <v>105</v>
      </c>
      <c r="AB1886" t="n">
        <v>4</v>
      </c>
      <c r="AC1886" t="n">
        <v>2</v>
      </c>
      <c r="AD1886" t="n">
        <v>5</v>
      </c>
      <c r="AE1886" t="n">
        <v>4</v>
      </c>
      <c r="AF1886" t="n">
        <v>6</v>
      </c>
      <c r="AG1886" t="n">
        <v>2</v>
      </c>
      <c r="AH1886" t="n">
        <v>92</v>
      </c>
      <c r="AI1886" t="n">
        <v>26</v>
      </c>
      <c r="AJ1886" t="n">
        <v>94</v>
      </c>
      <c r="AK1886" t="n">
        <v>15</v>
      </c>
      <c r="AL1886" t="n">
        <v>0</v>
      </c>
      <c r="AM1886" t="n">
        <v>2</v>
      </c>
      <c r="AN1886" t="n">
        <v>0</v>
      </c>
      <c r="AO1886" t="n">
        <v>0</v>
      </c>
      <c r="AP1886" t="n">
        <v>1</v>
      </c>
      <c r="AQ1886" t="n">
        <v>6</v>
      </c>
      <c r="AR1886" t="n">
        <v>101</v>
      </c>
      <c r="AS1886" t="n">
        <v>93</v>
      </c>
      <c r="AT1886" t="n">
        <v>4</v>
      </c>
      <c r="AU1886" t="n">
        <v>2</v>
      </c>
      <c r="AV1886" t="n">
        <v>30</v>
      </c>
      <c r="AW1886" t="n">
        <v>13</v>
      </c>
      <c r="AX1886" t="n">
        <v>0</v>
      </c>
      <c r="AY1886" t="n">
        <v>20</v>
      </c>
      <c r="AZ1886" t="n">
        <v>1</v>
      </c>
      <c r="BA1886" t="n">
        <v>1</v>
      </c>
      <c r="BB1886" t="n">
        <v>103</v>
      </c>
      <c r="BC1886" t="n">
        <v>36</v>
      </c>
      <c r="BD1886" t="n">
        <v>85</v>
      </c>
      <c r="BE1886" t="n">
        <v>19</v>
      </c>
      <c r="BF1886" t="n">
        <v>75</v>
      </c>
      <c r="BG1886" t="n">
        <v>3</v>
      </c>
      <c r="BH1886" t="n">
        <v>0</v>
      </c>
      <c r="BI1886" t="n">
        <v>99</v>
      </c>
      <c r="BJ1886" t="n">
        <v>106</v>
      </c>
      <c r="BK1886" t="n">
        <v>6</v>
      </c>
      <c r="BL1886" t="n">
        <v>52</v>
      </c>
      <c r="BM1886" t="n">
        <v>34</v>
      </c>
      <c r="BN1886" t="n">
        <v>1</v>
      </c>
      <c r="BO1886" t="n">
        <v>-5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198</v>
      </c>
      <c r="Z1887" t="n">
        <v>375</v>
      </c>
      <c r="AA1887" t="n">
        <v>63</v>
      </c>
      <c r="AB1887" t="n">
        <v>5</v>
      </c>
      <c r="AC1887" t="n">
        <v>1</v>
      </c>
      <c r="AD1887" t="n">
        <v>3</v>
      </c>
      <c r="AE1887" t="n">
        <v>0</v>
      </c>
      <c r="AF1887" t="n">
        <v>5</v>
      </c>
      <c r="AG1887" t="n">
        <v>6</v>
      </c>
      <c r="AH1887" t="n">
        <v>42</v>
      </c>
      <c r="AI1887" t="n">
        <v>33</v>
      </c>
      <c r="AJ1887" t="n">
        <v>48</v>
      </c>
      <c r="AK1887" t="n">
        <v>45</v>
      </c>
      <c r="AL1887" t="n">
        <v>1</v>
      </c>
      <c r="AM1887" t="n">
        <v>62</v>
      </c>
      <c r="AN1887" t="n">
        <v>0</v>
      </c>
      <c r="AO1887" t="n">
        <v>0</v>
      </c>
      <c r="AP1887" t="n">
        <v>5</v>
      </c>
      <c r="AQ1887" t="n">
        <v>58</v>
      </c>
      <c r="AR1887" t="n">
        <v>77</v>
      </c>
      <c r="AS1887" t="n">
        <v>28</v>
      </c>
      <c r="AT1887" t="n">
        <v>4</v>
      </c>
      <c r="AU1887" t="n">
        <v>2</v>
      </c>
      <c r="AV1887" t="n">
        <v>18</v>
      </c>
      <c r="AW1887" t="n">
        <v>27</v>
      </c>
      <c r="AX1887" t="n">
        <v>0</v>
      </c>
      <c r="AY1887" t="n">
        <v>26</v>
      </c>
      <c r="AZ1887" t="n">
        <v>10</v>
      </c>
      <c r="BA1887" t="n">
        <v>119</v>
      </c>
      <c r="BB1887" t="n">
        <v>222</v>
      </c>
      <c r="BC1887" t="n">
        <v>55</v>
      </c>
      <c r="BD1887" t="n">
        <v>52</v>
      </c>
      <c r="BE1887" t="n">
        <v>29</v>
      </c>
      <c r="BF1887" t="n">
        <v>41</v>
      </c>
      <c r="BG1887" t="n">
        <v>1</v>
      </c>
      <c r="BH1887" t="n">
        <v>8</v>
      </c>
      <c r="BI1887" t="n">
        <v>1</v>
      </c>
      <c r="BJ1887" t="n">
        <v>11</v>
      </c>
      <c r="BK1887" t="n">
        <v>5</v>
      </c>
      <c r="BL1887" t="n">
        <v>30</v>
      </c>
      <c r="BM1887" t="n">
        <v>26</v>
      </c>
      <c r="BN1887" t="n">
        <v>5</v>
      </c>
      <c r="BO1887" t="n">
        <v>86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2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1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209</v>
      </c>
      <c r="Z1888" t="n">
        <v>81</v>
      </c>
      <c r="AA1888" t="n">
        <v>23</v>
      </c>
      <c r="AB1888" t="n">
        <v>1</v>
      </c>
      <c r="AC1888" t="n">
        <v>0</v>
      </c>
      <c r="AD1888" t="n">
        <v>7</v>
      </c>
      <c r="AE1888" t="n">
        <v>1</v>
      </c>
      <c r="AF1888" t="n">
        <v>4</v>
      </c>
      <c r="AG1888" t="n">
        <v>5</v>
      </c>
      <c r="AH1888" t="n">
        <v>25</v>
      </c>
      <c r="AI1888" t="n">
        <v>7</v>
      </c>
      <c r="AJ1888" t="n">
        <v>36</v>
      </c>
      <c r="AK1888" t="n">
        <v>68</v>
      </c>
      <c r="AL1888" t="n">
        <v>3</v>
      </c>
      <c r="AM1888" t="n">
        <v>27</v>
      </c>
      <c r="AN1888" t="n">
        <v>0</v>
      </c>
      <c r="AO1888" t="n">
        <v>0</v>
      </c>
      <c r="AP1888" t="n">
        <v>7</v>
      </c>
      <c r="AQ1888" t="n">
        <v>45</v>
      </c>
      <c r="AR1888" t="n">
        <v>94</v>
      </c>
      <c r="AS1888" t="n">
        <v>56</v>
      </c>
      <c r="AT1888" t="n">
        <v>3</v>
      </c>
      <c r="AU1888" t="n">
        <v>0</v>
      </c>
      <c r="AV1888" t="n">
        <v>27</v>
      </c>
      <c r="AW1888" t="n">
        <v>1</v>
      </c>
      <c r="AX1888" t="n">
        <v>31</v>
      </c>
      <c r="AY1888" t="n">
        <v>37</v>
      </c>
      <c r="AZ1888" t="n">
        <v>3</v>
      </c>
      <c r="BA1888" t="n">
        <v>8</v>
      </c>
      <c r="BB1888" t="n">
        <v>29</v>
      </c>
      <c r="BC1888" t="n">
        <v>22</v>
      </c>
      <c r="BD1888" t="n">
        <v>46</v>
      </c>
      <c r="BE1888" t="n">
        <v>3</v>
      </c>
      <c r="BF1888" t="n">
        <v>28</v>
      </c>
      <c r="BG1888" t="n">
        <v>4</v>
      </c>
      <c r="BH1888" t="n">
        <v>0</v>
      </c>
      <c r="BI1888" t="n">
        <v>64</v>
      </c>
      <c r="BJ1888" t="n">
        <v>58</v>
      </c>
      <c r="BK1888" t="n">
        <v>0</v>
      </c>
      <c r="BL1888" t="n">
        <v>8</v>
      </c>
      <c r="BM1888" t="n">
        <v>5</v>
      </c>
      <c r="BN1888" t="n">
        <v>1</v>
      </c>
      <c r="BO1888" t="n">
        <v>25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2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95</v>
      </c>
      <c r="Z1889" t="n">
        <v>177</v>
      </c>
      <c r="AA1889" t="n">
        <v>22</v>
      </c>
      <c r="AB1889" t="n">
        <v>3</v>
      </c>
      <c r="AC1889" t="n">
        <v>1</v>
      </c>
      <c r="AD1889" t="n">
        <v>4</v>
      </c>
      <c r="AE1889" t="n">
        <v>5</v>
      </c>
      <c r="AF1889" t="n">
        <v>0</v>
      </c>
      <c r="AG1889" t="n">
        <v>6</v>
      </c>
      <c r="AH1889" t="n">
        <v>17</v>
      </c>
      <c r="AI1889" t="n">
        <v>55</v>
      </c>
      <c r="AJ1889" t="n">
        <v>7</v>
      </c>
      <c r="AK1889" t="n">
        <v>22</v>
      </c>
      <c r="AL1889" t="n">
        <v>5</v>
      </c>
      <c r="AM1889" t="n">
        <v>32</v>
      </c>
      <c r="AN1889" t="n">
        <v>0</v>
      </c>
      <c r="AO1889" t="n">
        <v>0</v>
      </c>
      <c r="AP1889" t="n">
        <v>4</v>
      </c>
      <c r="AQ1889" t="n">
        <v>52</v>
      </c>
      <c r="AR1889" t="n">
        <v>79</v>
      </c>
      <c r="AS1889" t="n">
        <v>36</v>
      </c>
      <c r="AT1889" t="n">
        <v>1</v>
      </c>
      <c r="AU1889" t="n">
        <v>1</v>
      </c>
      <c r="AV1889" t="n">
        <v>4</v>
      </c>
      <c r="AW1889" t="n">
        <v>12</v>
      </c>
      <c r="AX1889" t="n">
        <v>1</v>
      </c>
      <c r="AY1889" t="n">
        <v>18</v>
      </c>
      <c r="AZ1889" t="n">
        <v>2</v>
      </c>
      <c r="BA1889" t="n">
        <v>30</v>
      </c>
      <c r="BB1889" t="n">
        <v>53</v>
      </c>
      <c r="BC1889" t="n">
        <v>26</v>
      </c>
      <c r="BD1889" t="n">
        <v>24</v>
      </c>
      <c r="BE1889" t="n">
        <v>12</v>
      </c>
      <c r="BF1889" t="n">
        <v>15</v>
      </c>
      <c r="BG1889" t="n">
        <v>1</v>
      </c>
      <c r="BH1889" t="n">
        <v>11</v>
      </c>
      <c r="BI1889" t="n">
        <v>8</v>
      </c>
      <c r="BJ1889" t="n">
        <v>7</v>
      </c>
      <c r="BK1889" t="n">
        <v>3</v>
      </c>
      <c r="BL1889" t="n">
        <v>25</v>
      </c>
      <c r="BM1889" t="n">
        <v>28</v>
      </c>
      <c r="BN1889" t="n">
        <v>8</v>
      </c>
      <c r="BO1889" t="n">
        <v>23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142</v>
      </c>
      <c r="Z1890" t="n">
        <v>163</v>
      </c>
      <c r="AA1890" t="n">
        <v>48</v>
      </c>
      <c r="AB1890" t="n">
        <v>0</v>
      </c>
      <c r="AC1890" t="n">
        <v>1</v>
      </c>
      <c r="AD1890" t="n">
        <v>7</v>
      </c>
      <c r="AE1890" t="n">
        <v>10</v>
      </c>
      <c r="AF1890" t="n">
        <v>5</v>
      </c>
      <c r="AG1890" t="n">
        <v>2</v>
      </c>
      <c r="AH1890" t="n">
        <v>38</v>
      </c>
      <c r="AI1890" t="n">
        <v>65</v>
      </c>
      <c r="AJ1890" t="n">
        <v>25</v>
      </c>
      <c r="AK1890" t="n">
        <v>18</v>
      </c>
      <c r="AL1890" t="n">
        <v>4</v>
      </c>
      <c r="AM1890" t="n">
        <v>43</v>
      </c>
      <c r="AN1890" t="n">
        <v>0</v>
      </c>
      <c r="AO1890" t="n">
        <v>0</v>
      </c>
      <c r="AP1890" t="n">
        <v>3</v>
      </c>
      <c r="AQ1890" t="n">
        <v>1</v>
      </c>
      <c r="AR1890" t="n">
        <v>80</v>
      </c>
      <c r="AS1890" t="n">
        <v>72</v>
      </c>
      <c r="AT1890" t="n">
        <v>3</v>
      </c>
      <c r="AU1890" t="n">
        <v>2</v>
      </c>
      <c r="AV1890" t="n">
        <v>25</v>
      </c>
      <c r="AW1890" t="n">
        <v>19</v>
      </c>
      <c r="AX1890" t="n">
        <v>1</v>
      </c>
      <c r="AY1890" t="n">
        <v>27</v>
      </c>
      <c r="AZ1890" t="n">
        <v>4</v>
      </c>
      <c r="BA1890" t="n">
        <v>11</v>
      </c>
      <c r="BB1890" t="n">
        <v>56</v>
      </c>
      <c r="BC1890" t="n">
        <v>53</v>
      </c>
      <c r="BD1890" t="n">
        <v>34</v>
      </c>
      <c r="BE1890" t="n">
        <v>19</v>
      </c>
      <c r="BF1890" t="n">
        <v>20</v>
      </c>
      <c r="BG1890" t="n">
        <v>3</v>
      </c>
      <c r="BH1890" t="n">
        <v>6</v>
      </c>
      <c r="BI1890" t="n">
        <v>10</v>
      </c>
      <c r="BJ1890" t="n">
        <v>23</v>
      </c>
      <c r="BK1890" t="n">
        <v>2</v>
      </c>
      <c r="BL1890" t="n">
        <v>2</v>
      </c>
      <c r="BM1890" t="n">
        <v>22</v>
      </c>
      <c r="BN1890" t="n">
        <v>12</v>
      </c>
      <c r="BO1890" t="n">
        <v>25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181</v>
      </c>
      <c r="Z1891" t="n">
        <v>244</v>
      </c>
      <c r="AA1891" t="n">
        <v>34</v>
      </c>
      <c r="AB1891" t="n">
        <v>0</v>
      </c>
      <c r="AC1891" t="n">
        <v>0</v>
      </c>
      <c r="AD1891" t="n">
        <v>3</v>
      </c>
      <c r="AE1891" t="n">
        <v>6</v>
      </c>
      <c r="AF1891" t="n">
        <v>4</v>
      </c>
      <c r="AG1891" t="n">
        <v>0</v>
      </c>
      <c r="AH1891" t="n">
        <v>91</v>
      </c>
      <c r="AI1891" t="n">
        <v>45</v>
      </c>
      <c r="AJ1891" t="n">
        <v>60</v>
      </c>
      <c r="AK1891" t="n">
        <v>1</v>
      </c>
      <c r="AL1891" t="n">
        <v>8</v>
      </c>
      <c r="AM1891" t="n">
        <v>62</v>
      </c>
      <c r="AN1891" t="n">
        <v>0</v>
      </c>
      <c r="AO1891" t="n">
        <v>0</v>
      </c>
      <c r="AP1891" t="n">
        <v>3</v>
      </c>
      <c r="AQ1891" t="n">
        <v>36</v>
      </c>
      <c r="AR1891" t="n">
        <v>150</v>
      </c>
      <c r="AS1891" t="n">
        <v>118</v>
      </c>
      <c r="AT1891" t="n">
        <v>1</v>
      </c>
      <c r="AU1891" t="n">
        <v>1</v>
      </c>
      <c r="AV1891" t="n">
        <v>6</v>
      </c>
      <c r="AW1891" t="n">
        <v>4</v>
      </c>
      <c r="AX1891" t="n">
        <v>9</v>
      </c>
      <c r="AY1891" t="n">
        <v>53</v>
      </c>
      <c r="AZ1891" t="n">
        <v>5</v>
      </c>
      <c r="BA1891" t="n">
        <v>23</v>
      </c>
      <c r="BB1891" t="n">
        <v>58</v>
      </c>
      <c r="BC1891" t="n">
        <v>52</v>
      </c>
      <c r="BD1891" t="n">
        <v>82</v>
      </c>
      <c r="BE1891" t="n">
        <v>4</v>
      </c>
      <c r="BF1891" t="n">
        <v>53</v>
      </c>
      <c r="BG1891" t="n">
        <v>0</v>
      </c>
      <c r="BH1891" t="n">
        <v>2</v>
      </c>
      <c r="BI1891" t="n">
        <v>2</v>
      </c>
      <c r="BJ1891" t="n">
        <v>1</v>
      </c>
      <c r="BK1891" t="n">
        <v>1</v>
      </c>
      <c r="BL1891" t="n">
        <v>1</v>
      </c>
      <c r="BM1891" t="n">
        <v>26</v>
      </c>
      <c r="BN1891" t="n">
        <v>15</v>
      </c>
      <c r="BO1891" t="n">
        <v>9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2</v>
      </c>
      <c r="H1892" t="n">
        <v>0</v>
      </c>
      <c r="I1892" t="n">
        <v>0</v>
      </c>
      <c r="J1892" t="n">
        <v>2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228</v>
      </c>
      <c r="Z1892" t="n">
        <v>320</v>
      </c>
      <c r="AA1892" t="n">
        <v>153</v>
      </c>
      <c r="AB1892" t="n">
        <v>1</v>
      </c>
      <c r="AC1892" t="n">
        <v>3</v>
      </c>
      <c r="AD1892" t="n">
        <v>5</v>
      </c>
      <c r="AE1892" t="n">
        <v>10</v>
      </c>
      <c r="AF1892" t="n">
        <v>2</v>
      </c>
      <c r="AG1892" t="n">
        <v>3</v>
      </c>
      <c r="AH1892" t="n">
        <v>117</v>
      </c>
      <c r="AI1892" t="n">
        <v>85</v>
      </c>
      <c r="AJ1892" t="n">
        <v>21</v>
      </c>
      <c r="AK1892" t="n">
        <v>15</v>
      </c>
      <c r="AL1892" t="n">
        <v>7</v>
      </c>
      <c r="AM1892" t="n">
        <v>95</v>
      </c>
      <c r="AN1892" t="n">
        <v>1</v>
      </c>
      <c r="AO1892" t="n">
        <v>0</v>
      </c>
      <c r="AP1892" t="n">
        <v>5</v>
      </c>
      <c r="AQ1892" t="n">
        <v>13</v>
      </c>
      <c r="AR1892" t="n">
        <v>53</v>
      </c>
      <c r="AS1892" t="n">
        <v>40</v>
      </c>
      <c r="AT1892" t="n">
        <v>4</v>
      </c>
      <c r="AU1892" t="n">
        <v>3</v>
      </c>
      <c r="AV1892" t="n">
        <v>27</v>
      </c>
      <c r="AW1892" t="n">
        <v>52</v>
      </c>
      <c r="AX1892" t="n">
        <v>-1</v>
      </c>
      <c r="AY1892" t="n">
        <v>76</v>
      </c>
      <c r="AZ1892" t="n">
        <v>4</v>
      </c>
      <c r="BA1892" t="n">
        <v>14</v>
      </c>
      <c r="BB1892" t="n">
        <v>153</v>
      </c>
      <c r="BC1892" t="n">
        <v>79</v>
      </c>
      <c r="BD1892" t="n">
        <v>107</v>
      </c>
      <c r="BE1892" t="n">
        <v>54</v>
      </c>
      <c r="BF1892" t="n">
        <v>17</v>
      </c>
      <c r="BG1892" t="n">
        <v>2</v>
      </c>
      <c r="BH1892" t="n">
        <v>6</v>
      </c>
      <c r="BI1892" t="n">
        <v>24</v>
      </c>
      <c r="BJ1892" t="n">
        <v>44</v>
      </c>
      <c r="BK1892" t="n">
        <v>5</v>
      </c>
      <c r="BL1892" t="n">
        <v>24</v>
      </c>
      <c r="BM1892" t="n">
        <v>34</v>
      </c>
      <c r="BN1892" t="n">
        <v>13</v>
      </c>
      <c r="BO1892" t="n">
        <v>2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4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179</v>
      </c>
      <c r="Z1893" t="n">
        <v>161</v>
      </c>
      <c r="AA1893" t="n">
        <v>32</v>
      </c>
      <c r="AB1893" t="n">
        <v>3</v>
      </c>
      <c r="AC1893" t="n">
        <v>2</v>
      </c>
      <c r="AD1893" t="n">
        <v>6</v>
      </c>
      <c r="AE1893" t="n">
        <v>4</v>
      </c>
      <c r="AF1893" t="n">
        <v>1</v>
      </c>
      <c r="AG1893" t="n">
        <v>5</v>
      </c>
      <c r="AH1893" t="n">
        <v>55</v>
      </c>
      <c r="AI1893" t="n">
        <v>16</v>
      </c>
      <c r="AJ1893" t="n">
        <v>12</v>
      </c>
      <c r="AK1893" t="n">
        <v>48</v>
      </c>
      <c r="AL1893" t="n">
        <v>5</v>
      </c>
      <c r="AM1893" t="n">
        <v>51</v>
      </c>
      <c r="AN1893" t="n">
        <v>0</v>
      </c>
      <c r="AO1893" t="n">
        <v>0</v>
      </c>
      <c r="AP1893" t="n">
        <v>4</v>
      </c>
      <c r="AQ1893" t="n">
        <v>38</v>
      </c>
      <c r="AR1893" t="n">
        <v>62</v>
      </c>
      <c r="AS1893" t="n">
        <v>31</v>
      </c>
      <c r="AT1893" t="n">
        <v>1</v>
      </c>
      <c r="AU1893" t="n">
        <v>2</v>
      </c>
      <c r="AV1893" t="n">
        <v>20</v>
      </c>
      <c r="AW1893" t="n">
        <v>9</v>
      </c>
      <c r="AX1893" t="n">
        <v>-1</v>
      </c>
      <c r="AY1893" t="n">
        <v>83</v>
      </c>
      <c r="AZ1893" t="n">
        <v>0</v>
      </c>
      <c r="BA1893" t="n">
        <v>23</v>
      </c>
      <c r="BB1893" t="n">
        <v>55</v>
      </c>
      <c r="BC1893" t="n">
        <v>42</v>
      </c>
      <c r="BD1893" t="n">
        <v>68</v>
      </c>
      <c r="BE1893" t="n">
        <v>9</v>
      </c>
      <c r="BF1893" t="n">
        <v>9</v>
      </c>
      <c r="BG1893" t="n">
        <v>1</v>
      </c>
      <c r="BH1893" t="n">
        <v>0</v>
      </c>
      <c r="BI1893" t="n">
        <v>5</v>
      </c>
      <c r="BJ1893" t="n">
        <v>1</v>
      </c>
      <c r="BK1893" t="n">
        <v>0</v>
      </c>
      <c r="BL1893" t="n">
        <v>36</v>
      </c>
      <c r="BM1893" t="n">
        <v>30</v>
      </c>
      <c r="BN1893" t="n">
        <v>5</v>
      </c>
      <c r="BO1893" t="n">
        <v>7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226</v>
      </c>
      <c r="Z1894" t="n">
        <v>246</v>
      </c>
      <c r="AA1894" t="n">
        <v>25</v>
      </c>
      <c r="AB1894" t="n">
        <v>0</v>
      </c>
      <c r="AC1894" t="n">
        <v>1</v>
      </c>
      <c r="AD1894" t="n">
        <v>1</v>
      </c>
      <c r="AE1894" t="n">
        <v>3</v>
      </c>
      <c r="AF1894" t="n">
        <v>1</v>
      </c>
      <c r="AG1894" t="n">
        <v>5</v>
      </c>
      <c r="AH1894" t="n">
        <v>7</v>
      </c>
      <c r="AI1894" t="n">
        <v>42</v>
      </c>
      <c r="AJ1894" t="n">
        <v>19</v>
      </c>
      <c r="AK1894" t="n">
        <v>63</v>
      </c>
      <c r="AL1894" t="n">
        <v>2</v>
      </c>
      <c r="AM1894" t="n">
        <v>65</v>
      </c>
      <c r="AN1894" t="n">
        <v>0</v>
      </c>
      <c r="AO1894" t="n">
        <v>1</v>
      </c>
      <c r="AP1894" t="n">
        <v>5</v>
      </c>
      <c r="AQ1894" t="n">
        <v>35</v>
      </c>
      <c r="AR1894" t="n">
        <v>73</v>
      </c>
      <c r="AS1894" t="n">
        <v>44</v>
      </c>
      <c r="AT1894" t="n">
        <v>7</v>
      </c>
      <c r="AU1894" t="n">
        <v>2</v>
      </c>
      <c r="AV1894" t="n">
        <v>113</v>
      </c>
      <c r="AW1894" t="n">
        <v>41</v>
      </c>
      <c r="AX1894" t="n">
        <v>0</v>
      </c>
      <c r="AY1894" t="n">
        <v>12</v>
      </c>
      <c r="AZ1894" t="n">
        <v>1</v>
      </c>
      <c r="BA1894" t="n">
        <v>1</v>
      </c>
      <c r="BB1894" t="n">
        <v>25</v>
      </c>
      <c r="BC1894" t="n">
        <v>58</v>
      </c>
      <c r="BD1894" t="n">
        <v>3</v>
      </c>
      <c r="BE1894" t="n">
        <v>43</v>
      </c>
      <c r="BF1894" t="n">
        <v>16</v>
      </c>
      <c r="BG1894" t="n">
        <v>1</v>
      </c>
      <c r="BH1894" t="n">
        <v>12</v>
      </c>
      <c r="BI1894" t="n">
        <v>21</v>
      </c>
      <c r="BJ1894" t="n">
        <v>26</v>
      </c>
      <c r="BK1894" t="n">
        <v>2</v>
      </c>
      <c r="BL1894" t="n">
        <v>8</v>
      </c>
      <c r="BM1894" t="n">
        <v>7</v>
      </c>
      <c r="BN1894" t="n">
        <v>2</v>
      </c>
      <c r="BO1894" t="n">
        <v>42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275</v>
      </c>
      <c r="Z1895" t="n">
        <v>69</v>
      </c>
      <c r="AA1895" t="n">
        <v>72</v>
      </c>
      <c r="AB1895" t="n">
        <v>1</v>
      </c>
      <c r="AC1895" t="n">
        <v>0</v>
      </c>
      <c r="AD1895" t="n">
        <v>4</v>
      </c>
      <c r="AE1895" t="n">
        <v>3</v>
      </c>
      <c r="AF1895" t="n">
        <v>3</v>
      </c>
      <c r="AG1895" t="n">
        <v>7</v>
      </c>
      <c r="AH1895" t="n">
        <v>22</v>
      </c>
      <c r="AI1895" t="n">
        <v>12</v>
      </c>
      <c r="AJ1895" t="n">
        <v>6</v>
      </c>
      <c r="AK1895" t="n">
        <v>51</v>
      </c>
      <c r="AL1895" t="n">
        <v>2</v>
      </c>
      <c r="AM1895" t="n">
        <v>36</v>
      </c>
      <c r="AN1895" t="n">
        <v>0</v>
      </c>
      <c r="AO1895" t="n">
        <v>0</v>
      </c>
      <c r="AP1895" t="n">
        <v>0</v>
      </c>
      <c r="AQ1895" t="n">
        <v>12</v>
      </c>
      <c r="AR1895" t="n">
        <v>80</v>
      </c>
      <c r="AS1895" t="n">
        <v>67</v>
      </c>
      <c r="AT1895" t="n">
        <v>0</v>
      </c>
      <c r="AU1895" t="n">
        <v>0</v>
      </c>
      <c r="AV1895" t="n">
        <v>39</v>
      </c>
      <c r="AW1895" t="n">
        <v>2</v>
      </c>
      <c r="AX1895" t="n">
        <v>0</v>
      </c>
      <c r="AY1895" t="n">
        <v>8</v>
      </c>
      <c r="AZ1895" t="n">
        <v>2</v>
      </c>
      <c r="BA1895" t="n">
        <v>10</v>
      </c>
      <c r="BB1895" t="n">
        <v>78</v>
      </c>
      <c r="BC1895" t="n">
        <v>31</v>
      </c>
      <c r="BD1895" t="n">
        <v>19</v>
      </c>
      <c r="BE1895" t="n">
        <v>1</v>
      </c>
      <c r="BF1895" t="n">
        <v>6</v>
      </c>
      <c r="BG1895" t="n">
        <v>4</v>
      </c>
      <c r="BH1895" t="n">
        <v>22</v>
      </c>
      <c r="BI1895" t="n">
        <v>45</v>
      </c>
      <c r="BJ1895" t="n">
        <v>52</v>
      </c>
      <c r="BK1895" t="n">
        <v>2</v>
      </c>
      <c r="BL1895" t="n">
        <v>41</v>
      </c>
      <c r="BM1895" t="n">
        <v>27</v>
      </c>
      <c r="BN1895" t="n">
        <v>1</v>
      </c>
      <c r="BO1895" t="n">
        <v>2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2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131</v>
      </c>
      <c r="Z1896" t="n">
        <v>177</v>
      </c>
      <c r="AA1896" t="n">
        <v>22</v>
      </c>
      <c r="AB1896" t="n">
        <v>1</v>
      </c>
      <c r="AC1896" t="n">
        <v>3</v>
      </c>
      <c r="AD1896" t="n">
        <v>3</v>
      </c>
      <c r="AE1896" t="n">
        <v>5</v>
      </c>
      <c r="AF1896" t="n">
        <v>0</v>
      </c>
      <c r="AG1896" t="n">
        <v>4</v>
      </c>
      <c r="AH1896" t="n">
        <v>18</v>
      </c>
      <c r="AI1896" t="n">
        <v>33</v>
      </c>
      <c r="AJ1896" t="n">
        <v>5</v>
      </c>
      <c r="AK1896" t="n">
        <v>10</v>
      </c>
      <c r="AL1896" t="n">
        <v>4</v>
      </c>
      <c r="AM1896" t="n">
        <v>64</v>
      </c>
      <c r="AN1896" t="n">
        <v>1</v>
      </c>
      <c r="AO1896" t="n">
        <v>0</v>
      </c>
      <c r="AP1896" t="n">
        <v>4</v>
      </c>
      <c r="AQ1896" t="n">
        <v>23</v>
      </c>
      <c r="AR1896" t="n">
        <v>92</v>
      </c>
      <c r="AS1896" t="n">
        <v>73</v>
      </c>
      <c r="AT1896" t="n">
        <v>0</v>
      </c>
      <c r="AU1896" t="n">
        <v>1</v>
      </c>
      <c r="AV1896" t="n">
        <v>1</v>
      </c>
      <c r="AW1896" t="n">
        <v>16</v>
      </c>
      <c r="AX1896" t="n">
        <v>2</v>
      </c>
      <c r="AY1896" t="n">
        <v>14</v>
      </c>
      <c r="AZ1896" t="n">
        <v>0</v>
      </c>
      <c r="BA1896" t="n">
        <v>1</v>
      </c>
      <c r="BB1896" t="n">
        <v>22</v>
      </c>
      <c r="BC1896" t="n">
        <v>55</v>
      </c>
      <c r="BD1896" t="n">
        <v>19</v>
      </c>
      <c r="BE1896" t="n">
        <v>14</v>
      </c>
      <c r="BF1896" t="n">
        <v>2</v>
      </c>
      <c r="BG1896" t="n">
        <v>3</v>
      </c>
      <c r="BH1896" t="n">
        <v>11</v>
      </c>
      <c r="BI1896" t="n">
        <v>11</v>
      </c>
      <c r="BJ1896" t="n">
        <v>12</v>
      </c>
      <c r="BK1896" t="n">
        <v>1</v>
      </c>
      <c r="BL1896" t="n">
        <v>55</v>
      </c>
      <c r="BM1896" t="n">
        <v>43</v>
      </c>
      <c r="BN1896" t="n">
        <v>5</v>
      </c>
      <c r="BO1896" t="n">
        <v>2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165</v>
      </c>
      <c r="Z1897" t="n">
        <v>161</v>
      </c>
      <c r="AA1897" t="n">
        <v>52</v>
      </c>
      <c r="AB1897" t="n">
        <v>1</v>
      </c>
      <c r="AC1897" t="n">
        <v>1</v>
      </c>
      <c r="AD1897" t="n">
        <v>8</v>
      </c>
      <c r="AE1897" t="n">
        <v>1</v>
      </c>
      <c r="AF1897" t="n">
        <v>2</v>
      </c>
      <c r="AG1897" t="n">
        <v>0</v>
      </c>
      <c r="AH1897" t="n">
        <v>79</v>
      </c>
      <c r="AI1897" t="n">
        <v>18</v>
      </c>
      <c r="AJ1897" t="n">
        <v>32</v>
      </c>
      <c r="AK1897" t="n">
        <v>1</v>
      </c>
      <c r="AL1897" t="n">
        <v>4</v>
      </c>
      <c r="AM1897" t="n">
        <v>37</v>
      </c>
      <c r="AN1897" t="n">
        <v>0</v>
      </c>
      <c r="AO1897" t="n">
        <v>0</v>
      </c>
      <c r="AP1897" t="n">
        <v>6</v>
      </c>
      <c r="AQ1897" t="n">
        <v>15</v>
      </c>
      <c r="AR1897" t="n">
        <v>142</v>
      </c>
      <c r="AS1897" t="n">
        <v>124</v>
      </c>
      <c r="AT1897" t="n">
        <v>1</v>
      </c>
      <c r="AU1897" t="n">
        <v>2</v>
      </c>
      <c r="AV1897" t="n">
        <v>22</v>
      </c>
      <c r="AW1897" t="n">
        <v>12</v>
      </c>
      <c r="AX1897" t="n">
        <v>7</v>
      </c>
      <c r="AY1897" t="n">
        <v>50</v>
      </c>
      <c r="AZ1897" t="n">
        <v>4</v>
      </c>
      <c r="BA1897" t="n">
        <v>50</v>
      </c>
      <c r="BB1897" t="n">
        <v>107</v>
      </c>
      <c r="BC1897" t="n">
        <v>30</v>
      </c>
      <c r="BD1897" t="n">
        <v>71</v>
      </c>
      <c r="BE1897" t="n">
        <v>12</v>
      </c>
      <c r="BF1897" t="n">
        <v>35</v>
      </c>
      <c r="BG1897" t="n">
        <v>1</v>
      </c>
      <c r="BH1897" t="n">
        <v>6</v>
      </c>
      <c r="BI1897" t="n">
        <v>18</v>
      </c>
      <c r="BJ1897" t="n">
        <v>15</v>
      </c>
      <c r="BK1897" t="n">
        <v>0</v>
      </c>
      <c r="BL1897" t="n">
        <v>13</v>
      </c>
      <c r="BM1897" t="n">
        <v>35</v>
      </c>
      <c r="BN1897" t="n">
        <v>17</v>
      </c>
      <c r="BO1897" t="n">
        <v>2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112</v>
      </c>
      <c r="Z1898" t="n">
        <v>275</v>
      </c>
      <c r="AA1898" t="n">
        <v>40</v>
      </c>
      <c r="AB1898" t="n">
        <v>2</v>
      </c>
      <c r="AC1898" t="n">
        <v>1</v>
      </c>
      <c r="AD1898" t="n">
        <v>7</v>
      </c>
      <c r="AE1898" t="n">
        <v>4</v>
      </c>
      <c r="AF1898" t="n">
        <v>1</v>
      </c>
      <c r="AG1898" t="n">
        <v>5</v>
      </c>
      <c r="AH1898" t="n">
        <v>36</v>
      </c>
      <c r="AI1898" t="n">
        <v>53</v>
      </c>
      <c r="AJ1898" t="n">
        <v>24</v>
      </c>
      <c r="AK1898" t="n">
        <v>24</v>
      </c>
      <c r="AL1898" t="n">
        <v>5</v>
      </c>
      <c r="AM1898" t="n">
        <v>111</v>
      </c>
      <c r="AN1898" t="n">
        <v>0</v>
      </c>
      <c r="AO1898" t="n">
        <v>0</v>
      </c>
      <c r="AP1898" t="n">
        <v>9</v>
      </c>
      <c r="AQ1898" t="n">
        <v>55</v>
      </c>
      <c r="AR1898" t="n">
        <v>203</v>
      </c>
      <c r="AS1898" t="n">
        <v>156</v>
      </c>
      <c r="AT1898" t="n">
        <v>3</v>
      </c>
      <c r="AU1898" t="n">
        <v>0</v>
      </c>
      <c r="AV1898" t="n">
        <v>10</v>
      </c>
      <c r="AW1898" t="n">
        <v>7</v>
      </c>
      <c r="AX1898" t="n">
        <v>0</v>
      </c>
      <c r="AY1898" t="n">
        <v>42</v>
      </c>
      <c r="AZ1898" t="n">
        <v>1</v>
      </c>
      <c r="BA1898" t="n">
        <v>29</v>
      </c>
      <c r="BB1898" t="n">
        <v>67</v>
      </c>
      <c r="BC1898" t="n">
        <v>105</v>
      </c>
      <c r="BD1898" t="n">
        <v>33</v>
      </c>
      <c r="BE1898" t="n">
        <v>7</v>
      </c>
      <c r="BF1898" t="n">
        <v>25</v>
      </c>
      <c r="BG1898" t="n">
        <v>1</v>
      </c>
      <c r="BH1898" t="n">
        <v>0</v>
      </c>
      <c r="BI1898" t="n">
        <v>7</v>
      </c>
      <c r="BJ1898" t="n">
        <v>14</v>
      </c>
      <c r="BK1898" t="n">
        <v>2</v>
      </c>
      <c r="BL1898" t="n">
        <v>10</v>
      </c>
      <c r="BM1898" t="n">
        <v>20</v>
      </c>
      <c r="BN1898" t="n">
        <v>9</v>
      </c>
      <c r="BO1898" t="n">
        <v>2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311</v>
      </c>
      <c r="Z1899" t="n">
        <v>274</v>
      </c>
      <c r="AA1899" t="n">
        <v>36</v>
      </c>
      <c r="AB1899" t="n">
        <v>1</v>
      </c>
      <c r="AC1899" t="n">
        <v>0</v>
      </c>
      <c r="AD1899" t="n">
        <v>4</v>
      </c>
      <c r="AE1899" t="n">
        <v>8</v>
      </c>
      <c r="AF1899" t="n">
        <v>5</v>
      </c>
      <c r="AG1899" t="n">
        <v>4</v>
      </c>
      <c r="AH1899" t="n">
        <v>35</v>
      </c>
      <c r="AI1899" t="n">
        <v>61</v>
      </c>
      <c r="AJ1899" t="n">
        <v>66</v>
      </c>
      <c r="AK1899" t="n">
        <v>62</v>
      </c>
      <c r="AL1899" t="n">
        <v>5</v>
      </c>
      <c r="AM1899" t="n">
        <v>90</v>
      </c>
      <c r="AN1899" t="n">
        <v>0</v>
      </c>
      <c r="AO1899" t="n">
        <v>0</v>
      </c>
      <c r="AP1899" t="n">
        <v>4</v>
      </c>
      <c r="AQ1899" t="n">
        <v>24</v>
      </c>
      <c r="AR1899" t="n">
        <v>138</v>
      </c>
      <c r="AS1899" t="n">
        <v>115</v>
      </c>
      <c r="AT1899" t="n">
        <v>2</v>
      </c>
      <c r="AU1899" t="n">
        <v>2</v>
      </c>
      <c r="AV1899" t="n">
        <v>25</v>
      </c>
      <c r="AW1899" t="n">
        <v>30</v>
      </c>
      <c r="AX1899" t="n">
        <v>0</v>
      </c>
      <c r="AY1899" t="n">
        <v>13</v>
      </c>
      <c r="AZ1899" t="n">
        <v>4</v>
      </c>
      <c r="BA1899" t="n">
        <v>48</v>
      </c>
      <c r="BB1899" t="n">
        <v>89</v>
      </c>
      <c r="BC1899" t="n">
        <v>76</v>
      </c>
      <c r="BD1899" t="n">
        <v>56</v>
      </c>
      <c r="BE1899" t="n">
        <v>31</v>
      </c>
      <c r="BF1899" t="n">
        <v>59</v>
      </c>
      <c r="BG1899" t="n">
        <v>0</v>
      </c>
      <c r="BH1899" t="n">
        <v>36</v>
      </c>
      <c r="BI1899" t="n">
        <v>4</v>
      </c>
      <c r="BJ1899" t="n">
        <v>1</v>
      </c>
      <c r="BK1899" t="n">
        <v>1</v>
      </c>
      <c r="BL1899" t="n">
        <v>1</v>
      </c>
      <c r="BM1899" t="n">
        <v>10</v>
      </c>
      <c r="BN1899" t="n">
        <v>5</v>
      </c>
      <c r="BO1899" t="n">
        <v>9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2</v>
      </c>
      <c r="U1900" t="n">
        <v>0</v>
      </c>
      <c r="V1900" t="n">
        <v>0</v>
      </c>
      <c r="W1900" t="n">
        <v>0</v>
      </c>
      <c r="X1900" t="n">
        <v>0</v>
      </c>
      <c r="Y1900" t="n">
        <v>231</v>
      </c>
      <c r="Z1900" t="n">
        <v>314</v>
      </c>
      <c r="AA1900" t="n">
        <v>44</v>
      </c>
      <c r="AB1900" t="n">
        <v>0</v>
      </c>
      <c r="AC1900" t="n">
        <v>3</v>
      </c>
      <c r="AD1900" t="n">
        <v>5</v>
      </c>
      <c r="AE1900" t="n">
        <v>6</v>
      </c>
      <c r="AF1900" t="n">
        <v>5</v>
      </c>
      <c r="AG1900" t="n">
        <v>0</v>
      </c>
      <c r="AH1900" t="n">
        <v>68</v>
      </c>
      <c r="AI1900" t="n">
        <v>54</v>
      </c>
      <c r="AJ1900" t="n">
        <v>44</v>
      </c>
      <c r="AK1900" t="n">
        <v>6</v>
      </c>
      <c r="AL1900" t="n">
        <v>3</v>
      </c>
      <c r="AM1900" t="n">
        <v>64</v>
      </c>
      <c r="AN1900" t="n">
        <v>0</v>
      </c>
      <c r="AO1900" t="n">
        <v>0</v>
      </c>
      <c r="AP1900" t="n">
        <v>2</v>
      </c>
      <c r="AQ1900" t="n">
        <v>18</v>
      </c>
      <c r="AR1900" t="n">
        <v>111</v>
      </c>
      <c r="AS1900" t="n">
        <v>94</v>
      </c>
      <c r="AT1900" t="n">
        <v>2</v>
      </c>
      <c r="AU1900" t="n">
        <v>3</v>
      </c>
      <c r="AV1900" t="n">
        <v>34</v>
      </c>
      <c r="AW1900" t="n">
        <v>41</v>
      </c>
      <c r="AX1900" t="n">
        <v>0</v>
      </c>
      <c r="AY1900" t="n">
        <v>44</v>
      </c>
      <c r="AZ1900" t="n">
        <v>4</v>
      </c>
      <c r="BA1900" t="n">
        <v>29</v>
      </c>
      <c r="BB1900" t="n">
        <v>73</v>
      </c>
      <c r="BC1900" t="n">
        <v>63</v>
      </c>
      <c r="BD1900" t="n">
        <v>60</v>
      </c>
      <c r="BE1900" t="n">
        <v>42</v>
      </c>
      <c r="BF1900" t="n">
        <v>38</v>
      </c>
      <c r="BG1900" t="n">
        <v>2</v>
      </c>
      <c r="BH1900" t="n">
        <v>11</v>
      </c>
      <c r="BI1900" t="n">
        <v>11</v>
      </c>
      <c r="BJ1900" t="n">
        <v>13</v>
      </c>
      <c r="BK1900" t="n">
        <v>5</v>
      </c>
      <c r="BL1900" t="n">
        <v>37</v>
      </c>
      <c r="BM1900" t="n">
        <v>24</v>
      </c>
      <c r="BN1900" t="n">
        <v>0</v>
      </c>
      <c r="BO1900" t="n">
        <v>11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284</v>
      </c>
      <c r="Z1901" t="n">
        <v>140</v>
      </c>
      <c r="AA1901" t="n">
        <v>41</v>
      </c>
      <c r="AB1901" t="n">
        <v>2</v>
      </c>
      <c r="AC1901" t="n">
        <v>1</v>
      </c>
      <c r="AD1901" t="n">
        <v>5</v>
      </c>
      <c r="AE1901" t="n">
        <v>3</v>
      </c>
      <c r="AF1901" t="n">
        <v>7</v>
      </c>
      <c r="AG1901" t="n">
        <v>2</v>
      </c>
      <c r="AH1901" t="n">
        <v>61</v>
      </c>
      <c r="AI1901" t="n">
        <v>21</v>
      </c>
      <c r="AJ1901" t="n">
        <v>99</v>
      </c>
      <c r="AK1901" t="n">
        <v>25</v>
      </c>
      <c r="AL1901" t="n">
        <v>6</v>
      </c>
      <c r="AM1901" t="n">
        <v>44</v>
      </c>
      <c r="AN1901" t="n">
        <v>0</v>
      </c>
      <c r="AO1901" t="n">
        <v>0</v>
      </c>
      <c r="AP1901" t="n">
        <v>3</v>
      </c>
      <c r="AQ1901" t="n">
        <v>58</v>
      </c>
      <c r="AR1901" t="n">
        <v>141</v>
      </c>
      <c r="AS1901" t="n">
        <v>93</v>
      </c>
      <c r="AT1901" t="n">
        <v>2</v>
      </c>
      <c r="AU1901" t="n">
        <v>2</v>
      </c>
      <c r="AV1901" t="n">
        <v>5</v>
      </c>
      <c r="AW1901" t="n">
        <v>14</v>
      </c>
      <c r="AX1901" t="n">
        <v>0</v>
      </c>
      <c r="AY1901" t="n">
        <v>47</v>
      </c>
      <c r="AZ1901" t="n">
        <v>0</v>
      </c>
      <c r="BA1901" t="n">
        <v>3</v>
      </c>
      <c r="BB1901" t="n">
        <v>40</v>
      </c>
      <c r="BC1901" t="n">
        <v>47</v>
      </c>
      <c r="BD1901" t="n">
        <v>56</v>
      </c>
      <c r="BE1901" t="n">
        <v>14</v>
      </c>
      <c r="BF1901" t="n">
        <v>78</v>
      </c>
      <c r="BG1901" t="n">
        <v>2</v>
      </c>
      <c r="BH1901" t="n">
        <v>8</v>
      </c>
      <c r="BI1901" t="n">
        <v>52</v>
      </c>
      <c r="BJ1901" t="n">
        <v>52</v>
      </c>
      <c r="BK1901" t="n">
        <v>1</v>
      </c>
      <c r="BL1901" t="n">
        <v>8</v>
      </c>
      <c r="BM1901" t="n">
        <v>16</v>
      </c>
      <c r="BN1901" t="n">
        <v>7</v>
      </c>
      <c r="BO1901" t="n">
        <v>2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178</v>
      </c>
      <c r="Z1902" t="n">
        <v>237</v>
      </c>
      <c r="AA1902" t="n">
        <v>52</v>
      </c>
      <c r="AB1902" t="n">
        <v>1</v>
      </c>
      <c r="AC1902" t="n">
        <v>2</v>
      </c>
      <c r="AD1902" t="n">
        <v>5</v>
      </c>
      <c r="AE1902" t="n">
        <v>3</v>
      </c>
      <c r="AF1902" t="n">
        <v>4</v>
      </c>
      <c r="AG1902" t="n">
        <v>1</v>
      </c>
      <c r="AH1902" t="n">
        <v>29</v>
      </c>
      <c r="AI1902" t="n">
        <v>34</v>
      </c>
      <c r="AJ1902" t="n">
        <v>60</v>
      </c>
      <c r="AK1902" t="n">
        <v>45</v>
      </c>
      <c r="AL1902" t="n">
        <v>2</v>
      </c>
      <c r="AM1902" t="n">
        <v>64</v>
      </c>
      <c r="AN1902" t="n">
        <v>0</v>
      </c>
      <c r="AO1902" t="n">
        <v>0</v>
      </c>
      <c r="AP1902" t="n">
        <v>3</v>
      </c>
      <c r="AQ1902" t="n">
        <v>7</v>
      </c>
      <c r="AR1902" t="n">
        <v>90</v>
      </c>
      <c r="AS1902" t="n">
        <v>83</v>
      </c>
      <c r="AT1902" t="n">
        <v>0</v>
      </c>
      <c r="AU1902" t="n">
        <v>1</v>
      </c>
      <c r="AV1902" t="n">
        <v>4</v>
      </c>
      <c r="AW1902" t="n">
        <v>27</v>
      </c>
      <c r="AX1902" t="n">
        <v>0</v>
      </c>
      <c r="AY1902" t="n">
        <v>60</v>
      </c>
      <c r="AZ1902" t="n">
        <v>8</v>
      </c>
      <c r="BA1902" t="n">
        <v>54</v>
      </c>
      <c r="BB1902" t="n">
        <v>111</v>
      </c>
      <c r="BC1902" t="n">
        <v>75</v>
      </c>
      <c r="BD1902" t="n">
        <v>37</v>
      </c>
      <c r="BE1902" t="n">
        <v>27</v>
      </c>
      <c r="BF1902" t="n">
        <v>55</v>
      </c>
      <c r="BG1902" t="n">
        <v>1</v>
      </c>
      <c r="BH1902" t="n">
        <v>12</v>
      </c>
      <c r="BI1902" t="n">
        <v>8</v>
      </c>
      <c r="BJ1902" t="n">
        <v>11</v>
      </c>
      <c r="BK1902" t="n">
        <v>0</v>
      </c>
      <c r="BL1902" t="n">
        <v>1</v>
      </c>
      <c r="BM1902" t="n">
        <v>2</v>
      </c>
      <c r="BN1902" t="n">
        <v>0</v>
      </c>
      <c r="BO1902" t="n">
        <v>2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2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251</v>
      </c>
      <c r="Z1903" t="n">
        <v>191</v>
      </c>
      <c r="AA1903" t="n">
        <v>43</v>
      </c>
      <c r="AB1903" t="n">
        <v>3</v>
      </c>
      <c r="AC1903" t="n">
        <v>2</v>
      </c>
      <c r="AD1903" t="n">
        <v>8</v>
      </c>
      <c r="AE1903" t="n">
        <v>2</v>
      </c>
      <c r="AF1903" t="n">
        <v>4</v>
      </c>
      <c r="AG1903" t="n">
        <v>2</v>
      </c>
      <c r="AH1903" t="n">
        <v>117</v>
      </c>
      <c r="AI1903" t="n">
        <v>2</v>
      </c>
      <c r="AJ1903" t="n">
        <v>38</v>
      </c>
      <c r="AK1903" t="n">
        <v>1</v>
      </c>
      <c r="AL1903" t="n">
        <v>4</v>
      </c>
      <c r="AM1903" t="n">
        <v>118</v>
      </c>
      <c r="AN1903" t="n">
        <v>0</v>
      </c>
      <c r="AO1903" t="n">
        <v>0</v>
      </c>
      <c r="AP1903" t="n">
        <v>3</v>
      </c>
      <c r="AQ1903" t="n">
        <v>23</v>
      </c>
      <c r="AR1903" t="n">
        <v>32</v>
      </c>
      <c r="AS1903" t="n">
        <v>14</v>
      </c>
      <c r="AT1903" t="n">
        <v>3</v>
      </c>
      <c r="AU1903" t="n">
        <v>1</v>
      </c>
      <c r="AV1903" t="n">
        <v>1</v>
      </c>
      <c r="AW1903" t="n">
        <v>16</v>
      </c>
      <c r="AX1903" t="n">
        <v>0</v>
      </c>
      <c r="AY1903" t="n">
        <v>36</v>
      </c>
      <c r="AZ1903" t="n">
        <v>0</v>
      </c>
      <c r="BA1903" t="n">
        <v>2</v>
      </c>
      <c r="BB1903" t="n">
        <v>43</v>
      </c>
      <c r="BC1903" t="n">
        <v>98</v>
      </c>
      <c r="BD1903" t="n">
        <v>106</v>
      </c>
      <c r="BE1903" t="n">
        <v>16</v>
      </c>
      <c r="BF1903" t="n">
        <v>35</v>
      </c>
      <c r="BG1903" t="n">
        <v>1</v>
      </c>
      <c r="BH1903" t="n">
        <v>21</v>
      </c>
      <c r="BI1903" t="n">
        <v>1</v>
      </c>
      <c r="BJ1903" t="n">
        <v>13</v>
      </c>
      <c r="BK1903" t="n">
        <v>2</v>
      </c>
      <c r="BL1903" t="n">
        <v>1</v>
      </c>
      <c r="BM1903" t="n">
        <v>56</v>
      </c>
      <c r="BN1903" t="n">
        <v>36</v>
      </c>
      <c r="BO1903" t="n">
        <v>2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165</v>
      </c>
      <c r="Z1904" t="n">
        <v>147</v>
      </c>
      <c r="AA1904" t="n">
        <v>80</v>
      </c>
      <c r="AB1904" t="n">
        <v>1</v>
      </c>
      <c r="AC1904" t="n">
        <v>2</v>
      </c>
      <c r="AD1904" t="n">
        <v>3</v>
      </c>
      <c r="AE1904" t="n">
        <v>3</v>
      </c>
      <c r="AF1904" t="n">
        <v>4</v>
      </c>
      <c r="AG1904" t="n">
        <v>5</v>
      </c>
      <c r="AH1904" t="n">
        <v>39</v>
      </c>
      <c r="AI1904" t="n">
        <v>2</v>
      </c>
      <c r="AJ1904" t="n">
        <v>44</v>
      </c>
      <c r="AK1904" t="n">
        <v>21</v>
      </c>
      <c r="AL1904" t="n">
        <v>5</v>
      </c>
      <c r="AM1904" t="n">
        <v>18</v>
      </c>
      <c r="AN1904" t="n">
        <v>0</v>
      </c>
      <c r="AO1904" t="n">
        <v>0</v>
      </c>
      <c r="AP1904" t="n">
        <v>3</v>
      </c>
      <c r="AQ1904" t="n">
        <v>47</v>
      </c>
      <c r="AR1904" t="n">
        <v>115</v>
      </c>
      <c r="AS1904" t="n">
        <v>76</v>
      </c>
      <c r="AT1904" t="n">
        <v>2</v>
      </c>
      <c r="AU1904" t="n">
        <v>2</v>
      </c>
      <c r="AV1904" t="n">
        <v>1</v>
      </c>
      <c r="AW1904" t="n">
        <v>19</v>
      </c>
      <c r="AX1904" t="n">
        <v>1</v>
      </c>
      <c r="AY1904" t="n">
        <v>55</v>
      </c>
      <c r="AZ1904" t="n">
        <v>0</v>
      </c>
      <c r="BA1904" t="n">
        <v>11</v>
      </c>
      <c r="BB1904" t="n">
        <v>86</v>
      </c>
      <c r="BC1904" t="n">
        <v>15</v>
      </c>
      <c r="BD1904" t="n">
        <v>34</v>
      </c>
      <c r="BE1904" t="n">
        <v>19</v>
      </c>
      <c r="BF1904" t="n">
        <v>34</v>
      </c>
      <c r="BG1904" t="n">
        <v>1</v>
      </c>
      <c r="BH1904" t="n">
        <v>0</v>
      </c>
      <c r="BI1904" t="n">
        <v>13</v>
      </c>
      <c r="BJ1904" t="n">
        <v>13</v>
      </c>
      <c r="BK1904" t="n">
        <v>6</v>
      </c>
      <c r="BL1904" t="n">
        <v>58</v>
      </c>
      <c r="BM1904" t="n">
        <v>50</v>
      </c>
      <c r="BN1904" t="n">
        <v>8</v>
      </c>
      <c r="BO1904" t="n">
        <v>11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290</v>
      </c>
      <c r="Z1905" t="n">
        <v>121</v>
      </c>
      <c r="AA1905" t="n">
        <v>72</v>
      </c>
      <c r="AB1905" t="n">
        <v>1</v>
      </c>
      <c r="AC1905" t="n">
        <v>1</v>
      </c>
      <c r="AD1905" t="n">
        <v>3</v>
      </c>
      <c r="AE1905" t="n">
        <v>3</v>
      </c>
      <c r="AF1905" t="n">
        <v>5</v>
      </c>
      <c r="AG1905" t="n">
        <v>5</v>
      </c>
      <c r="AH1905" t="n">
        <v>63</v>
      </c>
      <c r="AI1905" t="n">
        <v>33</v>
      </c>
      <c r="AJ1905" t="n">
        <v>57</v>
      </c>
      <c r="AK1905" t="n">
        <v>54</v>
      </c>
      <c r="AL1905" t="n">
        <v>1</v>
      </c>
      <c r="AM1905" t="n">
        <v>25</v>
      </c>
      <c r="AN1905" t="n">
        <v>0</v>
      </c>
      <c r="AO1905" t="n">
        <v>0</v>
      </c>
      <c r="AP1905" t="n">
        <v>3</v>
      </c>
      <c r="AQ1905" t="n">
        <v>9</v>
      </c>
      <c r="AR1905" t="n">
        <v>56</v>
      </c>
      <c r="AS1905" t="n">
        <v>48</v>
      </c>
      <c r="AT1905" t="n">
        <v>4</v>
      </c>
      <c r="AU1905" t="n">
        <v>1</v>
      </c>
      <c r="AV1905" t="n">
        <v>37</v>
      </c>
      <c r="AW1905" t="n">
        <v>2</v>
      </c>
      <c r="AX1905" t="n">
        <v>0</v>
      </c>
      <c r="AY1905" t="n">
        <v>44</v>
      </c>
      <c r="AZ1905" t="n">
        <v>3</v>
      </c>
      <c r="BA1905" t="n">
        <v>20</v>
      </c>
      <c r="BB1905" t="n">
        <v>88</v>
      </c>
      <c r="BC1905" t="n">
        <v>21</v>
      </c>
      <c r="BD1905" t="n">
        <v>56</v>
      </c>
      <c r="BE1905" t="n">
        <v>1</v>
      </c>
      <c r="BF1905" t="n">
        <v>46</v>
      </c>
      <c r="BG1905" t="n">
        <v>2</v>
      </c>
      <c r="BH1905" t="n">
        <v>8</v>
      </c>
      <c r="BI1905" t="n">
        <v>36</v>
      </c>
      <c r="BJ1905" t="n">
        <v>33</v>
      </c>
      <c r="BK1905" t="n">
        <v>2</v>
      </c>
      <c r="BL1905" t="n">
        <v>28</v>
      </c>
      <c r="BM1905" t="n">
        <v>39</v>
      </c>
      <c r="BN1905" t="n">
        <v>14</v>
      </c>
      <c r="BO1905" t="n">
        <v>16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364</v>
      </c>
      <c r="Z1906" t="n">
        <v>348</v>
      </c>
      <c r="AA1906" t="n">
        <v>118</v>
      </c>
      <c r="AB1906" t="n">
        <v>1</v>
      </c>
      <c r="AC1906" t="n">
        <v>2</v>
      </c>
      <c r="AD1906" t="n">
        <v>11</v>
      </c>
      <c r="AE1906" t="n">
        <v>6</v>
      </c>
      <c r="AF1906" t="n">
        <v>4</v>
      </c>
      <c r="AG1906" t="n">
        <v>5</v>
      </c>
      <c r="AH1906" t="n">
        <v>206</v>
      </c>
      <c r="AI1906" t="n">
        <v>54</v>
      </c>
      <c r="AJ1906" t="n">
        <v>20</v>
      </c>
      <c r="AK1906" t="n">
        <v>77</v>
      </c>
      <c r="AL1906" t="n">
        <v>11</v>
      </c>
      <c r="AM1906" t="n">
        <v>135</v>
      </c>
      <c r="AN1906" t="n">
        <v>0</v>
      </c>
      <c r="AO1906" t="n">
        <v>0</v>
      </c>
      <c r="AP1906" t="n">
        <v>2</v>
      </c>
      <c r="AQ1906" t="n">
        <v>1</v>
      </c>
      <c r="AR1906" t="n">
        <v>115</v>
      </c>
      <c r="AS1906" t="n">
        <v>106</v>
      </c>
      <c r="AT1906" t="n">
        <v>5</v>
      </c>
      <c r="AU1906" t="n">
        <v>2</v>
      </c>
      <c r="AV1906" t="n">
        <v>19</v>
      </c>
      <c r="AW1906" t="n">
        <v>30</v>
      </c>
      <c r="AX1906" t="n">
        <v>4</v>
      </c>
      <c r="AY1906" t="n">
        <v>106</v>
      </c>
      <c r="AZ1906" t="n">
        <v>3</v>
      </c>
      <c r="BA1906" t="n">
        <v>11</v>
      </c>
      <c r="BB1906" t="n">
        <v>123</v>
      </c>
      <c r="BC1906" t="n">
        <v>110</v>
      </c>
      <c r="BD1906" t="n">
        <v>198</v>
      </c>
      <c r="BE1906" t="n">
        <v>30</v>
      </c>
      <c r="BF1906" t="n">
        <v>16</v>
      </c>
      <c r="BG1906" t="n">
        <v>4</v>
      </c>
      <c r="BH1906" t="n">
        <v>0</v>
      </c>
      <c r="BI1906" t="n">
        <v>10</v>
      </c>
      <c r="BJ1906" t="n">
        <v>12</v>
      </c>
      <c r="BK1906" t="n">
        <v>3</v>
      </c>
      <c r="BL1906" t="n">
        <v>16</v>
      </c>
      <c r="BM1906" t="n">
        <v>19</v>
      </c>
      <c r="BN1906" t="n">
        <v>5</v>
      </c>
      <c r="BO1906" t="n">
        <v>-3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2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122</v>
      </c>
      <c r="Z1907" t="n">
        <v>220</v>
      </c>
      <c r="AA1907" t="n">
        <v>104</v>
      </c>
      <c r="AB1907" t="n">
        <v>0</v>
      </c>
      <c r="AC1907" t="n">
        <v>0</v>
      </c>
      <c r="AD1907" t="n">
        <v>1</v>
      </c>
      <c r="AE1907" t="n">
        <v>1</v>
      </c>
      <c r="AF1907" t="n">
        <v>2</v>
      </c>
      <c r="AG1907" t="n">
        <v>1</v>
      </c>
      <c r="AH1907" t="n">
        <v>53</v>
      </c>
      <c r="AI1907" t="n">
        <v>19</v>
      </c>
      <c r="AJ1907" t="n">
        <v>2</v>
      </c>
      <c r="AK1907" t="n">
        <v>10</v>
      </c>
      <c r="AL1907" t="n">
        <v>4</v>
      </c>
      <c r="AM1907" t="n">
        <v>69</v>
      </c>
      <c r="AN1907" t="n">
        <v>0</v>
      </c>
      <c r="AO1907" t="n">
        <v>0</v>
      </c>
      <c r="AP1907" t="n">
        <v>1</v>
      </c>
      <c r="AQ1907" t="n">
        <v>9</v>
      </c>
      <c r="AR1907" t="n">
        <v>63</v>
      </c>
      <c r="AS1907" t="n">
        <v>55</v>
      </c>
      <c r="AT1907" t="n">
        <v>1</v>
      </c>
      <c r="AU1907" t="n">
        <v>2</v>
      </c>
      <c r="AV1907" t="n">
        <v>12</v>
      </c>
      <c r="AW1907" t="n">
        <v>34</v>
      </c>
      <c r="AX1907" t="n">
        <v>5</v>
      </c>
      <c r="AY1907" t="n">
        <v>28</v>
      </c>
      <c r="AZ1907" t="n">
        <v>2</v>
      </c>
      <c r="BA1907" t="n">
        <v>5</v>
      </c>
      <c r="BB1907" t="n">
        <v>103</v>
      </c>
      <c r="BC1907" t="n">
        <v>60</v>
      </c>
      <c r="BD1907" t="n">
        <v>62</v>
      </c>
      <c r="BE1907" t="n">
        <v>33</v>
      </c>
      <c r="BF1907" t="n">
        <v>36</v>
      </c>
      <c r="BG1907" t="n">
        <v>0</v>
      </c>
      <c r="BH1907" t="n">
        <v>11</v>
      </c>
      <c r="BI1907" t="n">
        <v>1</v>
      </c>
      <c r="BJ1907" t="n">
        <v>1</v>
      </c>
      <c r="BK1907" t="n">
        <v>0</v>
      </c>
      <c r="BL1907" t="n">
        <v>1</v>
      </c>
      <c r="BM1907" t="n">
        <v>5</v>
      </c>
      <c r="BN1907" t="n">
        <v>2</v>
      </c>
      <c r="BO1907" t="n">
        <v>47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139</v>
      </c>
      <c r="Z1908" t="n">
        <v>237</v>
      </c>
      <c r="AA1908" t="n">
        <v>66</v>
      </c>
      <c r="AB1908" t="n">
        <v>0</v>
      </c>
      <c r="AC1908" t="n">
        <v>0</v>
      </c>
      <c r="AD1908" t="n">
        <v>6</v>
      </c>
      <c r="AE1908" t="n">
        <v>7</v>
      </c>
      <c r="AF1908" t="n">
        <v>7</v>
      </c>
      <c r="AG1908" t="n">
        <v>3</v>
      </c>
      <c r="AH1908" t="n">
        <v>39</v>
      </c>
      <c r="AI1908" t="n">
        <v>73</v>
      </c>
      <c r="AJ1908" t="n">
        <v>65</v>
      </c>
      <c r="AK1908" t="n">
        <v>1</v>
      </c>
      <c r="AL1908" t="n">
        <v>5</v>
      </c>
      <c r="AM1908" t="n">
        <v>54</v>
      </c>
      <c r="AN1908" t="n">
        <v>0</v>
      </c>
      <c r="AO1908" t="n">
        <v>0</v>
      </c>
      <c r="AP1908" t="n">
        <v>3</v>
      </c>
      <c r="AQ1908" t="n">
        <v>21</v>
      </c>
      <c r="AR1908" t="n">
        <v>95</v>
      </c>
      <c r="AS1908" t="n">
        <v>78</v>
      </c>
      <c r="AT1908" t="n">
        <v>1</v>
      </c>
      <c r="AU1908" t="n">
        <v>2</v>
      </c>
      <c r="AV1908" t="n">
        <v>-1</v>
      </c>
      <c r="AW1908" t="n">
        <v>13</v>
      </c>
      <c r="AX1908" t="n">
        <v>3</v>
      </c>
      <c r="AY1908" t="n">
        <v>75</v>
      </c>
      <c r="AZ1908" t="n">
        <v>1</v>
      </c>
      <c r="BA1908" t="n">
        <v>12</v>
      </c>
      <c r="BB1908" t="n">
        <v>75</v>
      </c>
      <c r="BC1908" t="n">
        <v>54</v>
      </c>
      <c r="BD1908" t="n">
        <v>34</v>
      </c>
      <c r="BE1908" t="n">
        <v>12</v>
      </c>
      <c r="BF1908" t="n">
        <v>50</v>
      </c>
      <c r="BG1908" t="n">
        <v>0</v>
      </c>
      <c r="BH1908" t="n">
        <v>4</v>
      </c>
      <c r="BI1908" t="n">
        <v>7</v>
      </c>
      <c r="BJ1908" t="n">
        <v>21</v>
      </c>
      <c r="BK1908" t="n">
        <v>3</v>
      </c>
      <c r="BL1908" t="n">
        <v>31</v>
      </c>
      <c r="BM1908" t="n">
        <v>26</v>
      </c>
      <c r="BN1908" t="n">
        <v>5</v>
      </c>
      <c r="BO1908" t="n">
        <v>16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2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278</v>
      </c>
      <c r="Z1909" t="n">
        <v>190</v>
      </c>
      <c r="AA1909" t="n">
        <v>67</v>
      </c>
      <c r="AB1909" t="n">
        <v>3</v>
      </c>
      <c r="AC1909" t="n">
        <v>4</v>
      </c>
      <c r="AD1909" t="n">
        <v>1</v>
      </c>
      <c r="AE1909" t="n">
        <v>6</v>
      </c>
      <c r="AF1909" t="n">
        <v>5</v>
      </c>
      <c r="AG1909" t="n">
        <v>10</v>
      </c>
      <c r="AH1909" t="n">
        <v>17</v>
      </c>
      <c r="AI1909" t="n">
        <v>36</v>
      </c>
      <c r="AJ1909" t="n">
        <v>48</v>
      </c>
      <c r="AK1909" t="n">
        <v>92</v>
      </c>
      <c r="AL1909" t="n">
        <v>6</v>
      </c>
      <c r="AM1909" t="n">
        <v>47</v>
      </c>
      <c r="AN1909" t="n">
        <v>0</v>
      </c>
      <c r="AO1909" t="n">
        <v>0</v>
      </c>
      <c r="AP1909" t="n">
        <v>8</v>
      </c>
      <c r="AQ1909" t="n">
        <v>79</v>
      </c>
      <c r="AR1909" t="n">
        <v>165</v>
      </c>
      <c r="AS1909" t="n">
        <v>97</v>
      </c>
      <c r="AT1909" t="n">
        <v>5</v>
      </c>
      <c r="AU1909" t="n">
        <v>1</v>
      </c>
      <c r="AV1909" t="n">
        <v>42</v>
      </c>
      <c r="AW1909" t="n">
        <v>1</v>
      </c>
      <c r="AX1909" t="n">
        <v>2</v>
      </c>
      <c r="AY1909" t="n">
        <v>15</v>
      </c>
      <c r="AZ1909" t="n">
        <v>3</v>
      </c>
      <c r="BA1909" t="n">
        <v>4</v>
      </c>
      <c r="BB1909" t="n">
        <v>66</v>
      </c>
      <c r="BC1909" t="n">
        <v>40</v>
      </c>
      <c r="BD1909" t="n">
        <v>14</v>
      </c>
      <c r="BE1909" t="n">
        <v>10</v>
      </c>
      <c r="BF1909" t="n">
        <v>52</v>
      </c>
      <c r="BG1909" t="n">
        <v>3</v>
      </c>
      <c r="BH1909" t="n">
        <v>11</v>
      </c>
      <c r="BI1909" t="n">
        <v>28</v>
      </c>
      <c r="BJ1909" t="n">
        <v>25</v>
      </c>
      <c r="BK1909" t="n">
        <v>2</v>
      </c>
      <c r="BL1909" t="n">
        <v>10</v>
      </c>
      <c r="BM1909" t="n">
        <v>18</v>
      </c>
      <c r="BN1909" t="n">
        <v>7</v>
      </c>
      <c r="BO1909" t="n">
        <v>14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2</v>
      </c>
      <c r="U1910" t="n">
        <v>0</v>
      </c>
      <c r="V1910" t="n">
        <v>0</v>
      </c>
      <c r="W1910" t="n">
        <v>0</v>
      </c>
      <c r="X1910" t="n">
        <v>0</v>
      </c>
      <c r="Y1910" t="n">
        <v>212</v>
      </c>
      <c r="Z1910" t="n">
        <v>210</v>
      </c>
      <c r="AA1910" t="n">
        <v>41</v>
      </c>
      <c r="AB1910" t="n">
        <v>1</v>
      </c>
      <c r="AC1910" t="n">
        <v>2</v>
      </c>
      <c r="AD1910" t="n">
        <v>9</v>
      </c>
      <c r="AE1910" t="n">
        <v>6</v>
      </c>
      <c r="AF1910" t="n">
        <v>5</v>
      </c>
      <c r="AG1910" t="n">
        <v>4</v>
      </c>
      <c r="AH1910" t="n">
        <v>61</v>
      </c>
      <c r="AI1910" t="n">
        <v>49</v>
      </c>
      <c r="AJ1910" t="n">
        <v>33</v>
      </c>
      <c r="AK1910" t="n">
        <v>15</v>
      </c>
      <c r="AL1910" t="n">
        <v>4</v>
      </c>
      <c r="AM1910" t="n">
        <v>37</v>
      </c>
      <c r="AN1910" t="n">
        <v>0</v>
      </c>
      <c r="AO1910" t="n">
        <v>0</v>
      </c>
      <c r="AP1910" t="n">
        <v>3</v>
      </c>
      <c r="AQ1910" t="n">
        <v>55</v>
      </c>
      <c r="AR1910" t="n">
        <v>90</v>
      </c>
      <c r="AS1910" t="n">
        <v>44</v>
      </c>
      <c r="AT1910" t="n">
        <v>5</v>
      </c>
      <c r="AU1910" t="n">
        <v>2</v>
      </c>
      <c r="AV1910" t="n">
        <v>83</v>
      </c>
      <c r="AW1910" t="n">
        <v>30</v>
      </c>
      <c r="AX1910" t="n">
        <v>1</v>
      </c>
      <c r="AY1910" t="n">
        <v>109</v>
      </c>
      <c r="AZ1910" t="n">
        <v>4</v>
      </c>
      <c r="BA1910" t="n">
        <v>15</v>
      </c>
      <c r="BB1910" t="n">
        <v>54</v>
      </c>
      <c r="BC1910" t="n">
        <v>39</v>
      </c>
      <c r="BD1910" t="n">
        <v>54</v>
      </c>
      <c r="BE1910" t="n">
        <v>30</v>
      </c>
      <c r="BF1910" t="n">
        <v>26</v>
      </c>
      <c r="BG1910" t="n">
        <v>3</v>
      </c>
      <c r="BH1910" t="n">
        <v>3</v>
      </c>
      <c r="BI1910" t="n">
        <v>1</v>
      </c>
      <c r="BJ1910" t="n">
        <v>16</v>
      </c>
      <c r="BK1910" t="n">
        <v>6</v>
      </c>
      <c r="BL1910" t="n">
        <v>37</v>
      </c>
      <c r="BM1910" t="n">
        <v>34</v>
      </c>
      <c r="BN1910" t="n">
        <v>8</v>
      </c>
      <c r="BO1910" t="n">
        <v>4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428</v>
      </c>
      <c r="Z1911" t="n">
        <v>334</v>
      </c>
      <c r="AA1911" t="n">
        <v>35</v>
      </c>
      <c r="AB1911" t="n">
        <v>1</v>
      </c>
      <c r="AC1911" t="n">
        <v>1</v>
      </c>
      <c r="AD1911" t="n">
        <v>8</v>
      </c>
      <c r="AE1911" t="n">
        <v>6</v>
      </c>
      <c r="AF1911" t="n">
        <v>8</v>
      </c>
      <c r="AG1911" t="n">
        <v>8</v>
      </c>
      <c r="AH1911" t="n">
        <v>127</v>
      </c>
      <c r="AI1911" t="n">
        <v>71</v>
      </c>
      <c r="AJ1911" t="n">
        <v>96</v>
      </c>
      <c r="AK1911" t="n">
        <v>132</v>
      </c>
      <c r="AL1911" t="n">
        <v>0</v>
      </c>
      <c r="AM1911" t="n">
        <v>16</v>
      </c>
      <c r="AN1911" t="n">
        <v>0</v>
      </c>
      <c r="AO1911" t="n">
        <v>0</v>
      </c>
      <c r="AP1911" t="n">
        <v>0</v>
      </c>
      <c r="AQ1911" t="n">
        <v>1</v>
      </c>
      <c r="AR1911" t="n">
        <v>60</v>
      </c>
      <c r="AS1911" t="n">
        <v>54</v>
      </c>
      <c r="AT1911" t="n">
        <v>4</v>
      </c>
      <c r="AU1911" t="n">
        <v>1</v>
      </c>
      <c r="AV1911" t="n">
        <v>22</v>
      </c>
      <c r="AW1911" t="n">
        <v>21</v>
      </c>
      <c r="AX1911" t="n">
        <v>17</v>
      </c>
      <c r="AY1911" t="n">
        <v>24</v>
      </c>
      <c r="AZ1911" t="n">
        <v>6</v>
      </c>
      <c r="BA1911" t="n">
        <v>115</v>
      </c>
      <c r="BB1911" t="n">
        <v>186</v>
      </c>
      <c r="BC1911" t="n">
        <v>61</v>
      </c>
      <c r="BD1911" t="n">
        <v>129</v>
      </c>
      <c r="BE1911" t="n">
        <v>20</v>
      </c>
      <c r="BF1911" t="n">
        <v>77</v>
      </c>
      <c r="BG1911" t="n">
        <v>4</v>
      </c>
      <c r="BH1911" t="n">
        <v>0</v>
      </c>
      <c r="BI1911" t="n">
        <v>45</v>
      </c>
      <c r="BJ1911" t="n">
        <v>50</v>
      </c>
      <c r="BK1911" t="n">
        <v>6</v>
      </c>
      <c r="BL1911" t="n">
        <v>35</v>
      </c>
      <c r="BM1911" t="n">
        <v>27</v>
      </c>
      <c r="BN1911" t="n">
        <v>3</v>
      </c>
      <c r="BO1911" t="n">
        <v>2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139</v>
      </c>
      <c r="Z1912" t="n">
        <v>170</v>
      </c>
      <c r="AA1912" t="n">
        <v>23</v>
      </c>
      <c r="AB1912" t="n">
        <v>1</v>
      </c>
      <c r="AC1912" t="n">
        <v>0</v>
      </c>
      <c r="AD1912" t="n">
        <v>5</v>
      </c>
      <c r="AE1912" t="n">
        <v>6</v>
      </c>
      <c r="AF1912" t="n">
        <v>3</v>
      </c>
      <c r="AG1912" t="n">
        <v>3</v>
      </c>
      <c r="AH1912" t="n">
        <v>24</v>
      </c>
      <c r="AI1912" t="n">
        <v>55</v>
      </c>
      <c r="AJ1912" t="n">
        <v>30</v>
      </c>
      <c r="AK1912" t="n">
        <v>1</v>
      </c>
      <c r="AL1912" t="n">
        <v>2</v>
      </c>
      <c r="AM1912" t="n">
        <v>2</v>
      </c>
      <c r="AN1912" t="n">
        <v>0</v>
      </c>
      <c r="AO1912" t="n">
        <v>0</v>
      </c>
      <c r="AP1912" t="n">
        <v>5</v>
      </c>
      <c r="AQ1912" t="n">
        <v>58</v>
      </c>
      <c r="AR1912" t="n">
        <v>213</v>
      </c>
      <c r="AS1912" t="n">
        <v>167</v>
      </c>
      <c r="AT1912" t="n">
        <v>3</v>
      </c>
      <c r="AU1912" t="n">
        <v>2</v>
      </c>
      <c r="AV1912" t="n">
        <v>10</v>
      </c>
      <c r="AW1912" t="n">
        <v>7</v>
      </c>
      <c r="AX1912" t="n">
        <v>7</v>
      </c>
      <c r="AY1912" t="n">
        <v>23</v>
      </c>
      <c r="AZ1912" t="n">
        <v>2</v>
      </c>
      <c r="BA1912" t="n">
        <v>68</v>
      </c>
      <c r="BB1912" t="n">
        <v>104</v>
      </c>
      <c r="BC1912" t="n">
        <v>2</v>
      </c>
      <c r="BD1912" t="n">
        <v>28</v>
      </c>
      <c r="BE1912" t="n">
        <v>22</v>
      </c>
      <c r="BF1912" t="n">
        <v>49</v>
      </c>
      <c r="BG1912" t="n">
        <v>1</v>
      </c>
      <c r="BH1912" t="n">
        <v>11</v>
      </c>
      <c r="BI1912" t="n">
        <v>11</v>
      </c>
      <c r="BJ1912" t="n">
        <v>9</v>
      </c>
      <c r="BK1912" t="n">
        <v>0</v>
      </c>
      <c r="BL1912" t="n">
        <v>1</v>
      </c>
      <c r="BM1912" t="n">
        <v>6</v>
      </c>
      <c r="BN1912" t="n">
        <v>3</v>
      </c>
      <c r="BO1912" t="n">
        <v>2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221</v>
      </c>
      <c r="Z1913" t="n">
        <v>260</v>
      </c>
      <c r="AA1913" t="n">
        <v>69</v>
      </c>
      <c r="AB1913" t="n">
        <v>1</v>
      </c>
      <c r="AC1913" t="n">
        <v>1</v>
      </c>
      <c r="AD1913" t="n">
        <v>3</v>
      </c>
      <c r="AE1913" t="n">
        <v>12</v>
      </c>
      <c r="AF1913" t="n">
        <v>5</v>
      </c>
      <c r="AG1913" t="n">
        <v>0</v>
      </c>
      <c r="AH1913" t="n">
        <v>31</v>
      </c>
      <c r="AI1913" t="n">
        <v>115</v>
      </c>
      <c r="AJ1913" t="n">
        <v>65</v>
      </c>
      <c r="AK1913" t="n">
        <v>7</v>
      </c>
      <c r="AL1913" t="n">
        <v>3</v>
      </c>
      <c r="AM1913" t="n">
        <v>81</v>
      </c>
      <c r="AN1913" t="n">
        <v>0</v>
      </c>
      <c r="AO1913" t="n">
        <v>0</v>
      </c>
      <c r="AP1913" t="n">
        <v>6</v>
      </c>
      <c r="AQ1913" t="n">
        <v>53</v>
      </c>
      <c r="AR1913" t="n">
        <v>76</v>
      </c>
      <c r="AS1913" t="n">
        <v>32</v>
      </c>
      <c r="AT1913" t="n">
        <v>1</v>
      </c>
      <c r="AU1913" t="n">
        <v>2</v>
      </c>
      <c r="AV1913" t="n">
        <v>1</v>
      </c>
      <c r="AW1913" t="n">
        <v>11</v>
      </c>
      <c r="AX1913" t="n">
        <v>0</v>
      </c>
      <c r="AY1913" t="n">
        <v>24</v>
      </c>
      <c r="AZ1913" t="n">
        <v>5</v>
      </c>
      <c r="BA1913" t="n">
        <v>28</v>
      </c>
      <c r="BB1913" t="n">
        <v>95</v>
      </c>
      <c r="BC1913" t="n">
        <v>67</v>
      </c>
      <c r="BD1913" t="n">
        <v>28</v>
      </c>
      <c r="BE1913" t="n">
        <v>12</v>
      </c>
      <c r="BF1913" t="n">
        <v>53</v>
      </c>
      <c r="BG1913" t="n">
        <v>2</v>
      </c>
      <c r="BH1913" t="n">
        <v>25</v>
      </c>
      <c r="BI1913" t="n">
        <v>15</v>
      </c>
      <c r="BJ1913" t="n">
        <v>13</v>
      </c>
      <c r="BK1913" t="n">
        <v>3</v>
      </c>
      <c r="BL1913" t="n">
        <v>9</v>
      </c>
      <c r="BM1913" t="n">
        <v>11</v>
      </c>
      <c r="BN1913" t="n">
        <v>3</v>
      </c>
      <c r="BO1913" t="n">
        <v>2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298</v>
      </c>
      <c r="Z1914" t="n">
        <v>244</v>
      </c>
      <c r="AA1914" t="n">
        <v>38</v>
      </c>
      <c r="AB1914" t="n">
        <v>3</v>
      </c>
      <c r="AC1914" t="n">
        <v>2</v>
      </c>
      <c r="AD1914" t="n">
        <v>4</v>
      </c>
      <c r="AE1914" t="n">
        <v>3</v>
      </c>
      <c r="AF1914" t="n">
        <v>8</v>
      </c>
      <c r="AG1914" t="n">
        <v>6</v>
      </c>
      <c r="AH1914" t="n">
        <v>87</v>
      </c>
      <c r="AI1914" t="n">
        <v>2</v>
      </c>
      <c r="AJ1914" t="n">
        <v>65</v>
      </c>
      <c r="AK1914" t="n">
        <v>39</v>
      </c>
      <c r="AL1914" t="n">
        <v>2</v>
      </c>
      <c r="AM1914" t="n">
        <v>43</v>
      </c>
      <c r="AN1914" t="n">
        <v>0</v>
      </c>
      <c r="AO1914" t="n">
        <v>0</v>
      </c>
      <c r="AP1914" t="n">
        <v>3</v>
      </c>
      <c r="AQ1914" t="n">
        <v>18</v>
      </c>
      <c r="AR1914" t="n">
        <v>65</v>
      </c>
      <c r="AS1914" t="n">
        <v>51</v>
      </c>
      <c r="AT1914" t="n">
        <v>1</v>
      </c>
      <c r="AU1914" t="n">
        <v>1</v>
      </c>
      <c r="AV1914" t="n">
        <v>27</v>
      </c>
      <c r="AW1914" t="n">
        <v>16</v>
      </c>
      <c r="AX1914" t="n">
        <v>10</v>
      </c>
      <c r="AY1914" t="n">
        <v>10</v>
      </c>
      <c r="AZ1914" t="n">
        <v>0</v>
      </c>
      <c r="BA1914" t="n">
        <v>23</v>
      </c>
      <c r="BB1914" t="n">
        <v>59</v>
      </c>
      <c r="BC1914" t="n">
        <v>36</v>
      </c>
      <c r="BD1914" t="n">
        <v>80</v>
      </c>
      <c r="BE1914" t="n">
        <v>16</v>
      </c>
      <c r="BF1914" t="n">
        <v>51</v>
      </c>
      <c r="BG1914" t="n">
        <v>4</v>
      </c>
      <c r="BH1914" t="n">
        <v>16</v>
      </c>
      <c r="BI1914" t="n">
        <v>55</v>
      </c>
      <c r="BJ1914" t="n">
        <v>50</v>
      </c>
      <c r="BK1914" t="n">
        <v>3</v>
      </c>
      <c r="BL1914" t="n">
        <v>25</v>
      </c>
      <c r="BM1914" t="n">
        <v>33</v>
      </c>
      <c r="BN1914" t="n">
        <v>12</v>
      </c>
      <c r="BO1914" t="n">
        <v>2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3</v>
      </c>
      <c r="U1915" t="n">
        <v>0</v>
      </c>
      <c r="V1915" t="n">
        <v>0</v>
      </c>
      <c r="W1915" t="n">
        <v>0</v>
      </c>
      <c r="X1915" t="n">
        <v>0</v>
      </c>
      <c r="Y1915" t="n">
        <v>200</v>
      </c>
      <c r="Z1915" t="n">
        <v>170</v>
      </c>
      <c r="AA1915" t="n">
        <v>45</v>
      </c>
      <c r="AB1915" t="n">
        <v>0</v>
      </c>
      <c r="AC1915" t="n">
        <v>3</v>
      </c>
      <c r="AD1915" t="n">
        <v>4</v>
      </c>
      <c r="AE1915" t="n">
        <v>6</v>
      </c>
      <c r="AF1915" t="n">
        <v>2</v>
      </c>
      <c r="AG1915" t="n">
        <v>3</v>
      </c>
      <c r="AH1915" t="n">
        <v>50</v>
      </c>
      <c r="AI1915" t="n">
        <v>36</v>
      </c>
      <c r="AJ1915" t="n">
        <v>33</v>
      </c>
      <c r="AK1915" t="n">
        <v>28</v>
      </c>
      <c r="AL1915" t="n">
        <v>6</v>
      </c>
      <c r="AM1915" t="n">
        <v>74</v>
      </c>
      <c r="AN1915" t="n">
        <v>0</v>
      </c>
      <c r="AO1915" t="n">
        <v>0</v>
      </c>
      <c r="AP1915" t="n">
        <v>5</v>
      </c>
      <c r="AQ1915" t="n">
        <v>30</v>
      </c>
      <c r="AR1915" t="n">
        <v>87</v>
      </c>
      <c r="AS1915" t="n">
        <v>61</v>
      </c>
      <c r="AT1915" t="n">
        <v>4</v>
      </c>
      <c r="AU1915" t="n">
        <v>1</v>
      </c>
      <c r="AV1915" t="n">
        <v>27</v>
      </c>
      <c r="AW1915" t="n">
        <v>26</v>
      </c>
      <c r="AX1915" t="n">
        <v>0</v>
      </c>
      <c r="AY1915" t="n">
        <v>61</v>
      </c>
      <c r="AZ1915" t="n">
        <v>1</v>
      </c>
      <c r="BA1915" t="n">
        <v>7</v>
      </c>
      <c r="BB1915" t="n">
        <v>50</v>
      </c>
      <c r="BC1915" t="n">
        <v>62</v>
      </c>
      <c r="BD1915" t="n">
        <v>44</v>
      </c>
      <c r="BE1915" t="n">
        <v>26</v>
      </c>
      <c r="BF1915" t="n">
        <v>42</v>
      </c>
      <c r="BG1915" t="n">
        <v>5</v>
      </c>
      <c r="BH1915" t="n">
        <v>9</v>
      </c>
      <c r="BI1915" t="n">
        <v>34</v>
      </c>
      <c r="BJ1915" t="n">
        <v>43</v>
      </c>
      <c r="BK1915" t="n">
        <v>0</v>
      </c>
      <c r="BL1915" t="n">
        <v>7</v>
      </c>
      <c r="BM1915" t="n">
        <v>14</v>
      </c>
      <c r="BN1915" t="n">
        <v>7</v>
      </c>
      <c r="BO1915" t="n">
        <v>65</v>
      </c>
    </row>
    <row r="1916">
      <c r="A1916" t="n">
        <v>1</v>
      </c>
      <c r="B1916" t="n">
        <v>0</v>
      </c>
      <c r="C1916" t="n">
        <v>2</v>
      </c>
      <c r="D1916" t="n">
        <v>0</v>
      </c>
      <c r="E1916" t="n">
        <v>0</v>
      </c>
      <c r="F1916" t="n">
        <v>0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346</v>
      </c>
      <c r="Z1916" t="n">
        <v>84</v>
      </c>
      <c r="AA1916" t="n">
        <v>87</v>
      </c>
      <c r="AB1916" t="n">
        <v>0</v>
      </c>
      <c r="AC1916" t="n">
        <v>0</v>
      </c>
      <c r="AD1916" t="n">
        <v>7</v>
      </c>
      <c r="AE1916" t="n">
        <v>5</v>
      </c>
      <c r="AF1916" t="n">
        <v>4</v>
      </c>
      <c r="AG1916" t="n">
        <v>4</v>
      </c>
      <c r="AH1916" t="n">
        <v>174</v>
      </c>
      <c r="AI1916" t="n">
        <v>12</v>
      </c>
      <c r="AJ1916" t="n">
        <v>23</v>
      </c>
      <c r="AK1916" t="n">
        <v>50</v>
      </c>
      <c r="AL1916" t="n">
        <v>3</v>
      </c>
      <c r="AM1916" t="n">
        <v>2</v>
      </c>
      <c r="AN1916" t="n">
        <v>0</v>
      </c>
      <c r="AO1916" t="n">
        <v>0</v>
      </c>
      <c r="AP1916" t="n">
        <v>3</v>
      </c>
      <c r="AQ1916" t="n">
        <v>15</v>
      </c>
      <c r="AR1916" t="n">
        <v>61</v>
      </c>
      <c r="AS1916" t="n">
        <v>47</v>
      </c>
      <c r="AT1916" t="n">
        <v>4</v>
      </c>
      <c r="AU1916" t="n">
        <v>4</v>
      </c>
      <c r="AV1916" t="n">
        <v>48</v>
      </c>
      <c r="AW1916" t="n">
        <v>13</v>
      </c>
      <c r="AX1916" t="n">
        <v>2</v>
      </c>
      <c r="AY1916" t="n">
        <v>33</v>
      </c>
      <c r="AZ1916" t="n">
        <v>2</v>
      </c>
      <c r="BA1916" t="n">
        <v>3</v>
      </c>
      <c r="BB1916" t="n">
        <v>84</v>
      </c>
      <c r="BC1916" t="n">
        <v>2</v>
      </c>
      <c r="BD1916" t="n">
        <v>160</v>
      </c>
      <c r="BE1916" t="n">
        <v>15</v>
      </c>
      <c r="BF1916" t="n">
        <v>26</v>
      </c>
      <c r="BG1916" t="n">
        <v>4</v>
      </c>
      <c r="BH1916" t="n">
        <v>0</v>
      </c>
      <c r="BI1916" t="n">
        <v>25</v>
      </c>
      <c r="BJ1916" t="n">
        <v>26</v>
      </c>
      <c r="BK1916" t="n">
        <v>0</v>
      </c>
      <c r="BL1916" t="n">
        <v>4</v>
      </c>
      <c r="BM1916" t="n">
        <v>1</v>
      </c>
      <c r="BN1916" t="n">
        <v>0</v>
      </c>
      <c r="BO1916" t="n">
        <v>56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4</v>
      </c>
      <c r="F1917" t="n">
        <v>1</v>
      </c>
      <c r="G1917" t="n">
        <v>1</v>
      </c>
      <c r="H1917" t="n">
        <v>0</v>
      </c>
      <c r="I1917" t="n">
        <v>2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322</v>
      </c>
      <c r="Z1917" t="n">
        <v>250</v>
      </c>
      <c r="AA1917" t="n">
        <v>93</v>
      </c>
      <c r="AB1917" t="n">
        <v>3</v>
      </c>
      <c r="AC1917" t="n">
        <v>4</v>
      </c>
      <c r="AD1917" t="n">
        <v>3</v>
      </c>
      <c r="AE1917" t="n">
        <v>6</v>
      </c>
      <c r="AF1917" t="n">
        <v>3</v>
      </c>
      <c r="AG1917" t="n">
        <v>5</v>
      </c>
      <c r="AH1917" t="n">
        <v>51</v>
      </c>
      <c r="AI1917" t="n">
        <v>27</v>
      </c>
      <c r="AJ1917" t="n">
        <v>22</v>
      </c>
      <c r="AK1917" t="n">
        <v>50</v>
      </c>
      <c r="AL1917" t="n">
        <v>6</v>
      </c>
      <c r="AM1917" t="n">
        <v>124</v>
      </c>
      <c r="AN1917" t="n">
        <v>0</v>
      </c>
      <c r="AO1917" t="n">
        <v>0</v>
      </c>
      <c r="AP1917" t="n">
        <v>3</v>
      </c>
      <c r="AQ1917" t="n">
        <v>70</v>
      </c>
      <c r="AR1917" t="n">
        <v>126</v>
      </c>
      <c r="AS1917" t="n">
        <v>65</v>
      </c>
      <c r="AT1917" t="n">
        <v>4</v>
      </c>
      <c r="AU1917" t="n">
        <v>1</v>
      </c>
      <c r="AV1917" t="n">
        <v>34</v>
      </c>
      <c r="AW1917" t="n">
        <v>34</v>
      </c>
      <c r="AX1917" t="n">
        <v>11</v>
      </c>
      <c r="AY1917" t="n">
        <v>33</v>
      </c>
      <c r="AZ1917" t="n">
        <v>2</v>
      </c>
      <c r="BA1917" t="n">
        <v>10</v>
      </c>
      <c r="BB1917" t="n">
        <v>100</v>
      </c>
      <c r="BC1917" t="n">
        <v>103</v>
      </c>
      <c r="BD1917" t="n">
        <v>44</v>
      </c>
      <c r="BE1917" t="n">
        <v>33</v>
      </c>
      <c r="BF1917" t="n">
        <v>18</v>
      </c>
      <c r="BG1917" t="n">
        <v>3</v>
      </c>
      <c r="BH1917" t="n">
        <v>41</v>
      </c>
      <c r="BI1917" t="n">
        <v>1</v>
      </c>
      <c r="BJ1917" t="n">
        <v>4</v>
      </c>
      <c r="BK1917" t="n">
        <v>5</v>
      </c>
      <c r="BL1917" t="n">
        <v>19</v>
      </c>
      <c r="BM1917" t="n">
        <v>10</v>
      </c>
      <c r="BN1917" t="n">
        <v>-2</v>
      </c>
      <c r="BO1917" t="n">
        <v>100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140</v>
      </c>
      <c r="Z1918" t="n">
        <v>167</v>
      </c>
      <c r="AA1918" t="n">
        <v>108</v>
      </c>
      <c r="AB1918" t="n">
        <v>2</v>
      </c>
      <c r="AC1918" t="n">
        <v>0</v>
      </c>
      <c r="AD1918" t="n">
        <v>2</v>
      </c>
      <c r="AE1918" t="n">
        <v>6</v>
      </c>
      <c r="AF1918" t="n">
        <v>1</v>
      </c>
      <c r="AG1918" t="n">
        <v>3</v>
      </c>
      <c r="AH1918" t="n">
        <v>44</v>
      </c>
      <c r="AI1918" t="n">
        <v>50</v>
      </c>
      <c r="AJ1918" t="n">
        <v>9</v>
      </c>
      <c r="AK1918" t="n">
        <v>1</v>
      </c>
      <c r="AL1918" t="n">
        <v>0</v>
      </c>
      <c r="AM1918" t="n">
        <v>5</v>
      </c>
      <c r="AN1918" t="n">
        <v>0</v>
      </c>
      <c r="AO1918" t="n">
        <v>0</v>
      </c>
      <c r="AP1918" t="n">
        <v>6</v>
      </c>
      <c r="AQ1918" t="n">
        <v>18</v>
      </c>
      <c r="AR1918" t="n">
        <v>176</v>
      </c>
      <c r="AS1918" t="n">
        <v>155</v>
      </c>
      <c r="AT1918" t="n">
        <v>1</v>
      </c>
      <c r="AU1918" t="n">
        <v>1</v>
      </c>
      <c r="AV1918" t="n">
        <v>9</v>
      </c>
      <c r="AW1918" t="n">
        <v>5</v>
      </c>
      <c r="AX1918" t="n">
        <v>3</v>
      </c>
      <c r="AY1918" t="n">
        <v>54</v>
      </c>
      <c r="AZ1918" t="n">
        <v>0</v>
      </c>
      <c r="BA1918" t="n">
        <v>2</v>
      </c>
      <c r="BB1918" t="n">
        <v>106</v>
      </c>
      <c r="BC1918" t="n">
        <v>29</v>
      </c>
      <c r="BD1918" t="n">
        <v>39</v>
      </c>
      <c r="BE1918" t="n">
        <v>11</v>
      </c>
      <c r="BF1918" t="n">
        <v>20</v>
      </c>
      <c r="BG1918" t="n">
        <v>0</v>
      </c>
      <c r="BH1918" t="n">
        <v>13</v>
      </c>
      <c r="BI1918" t="n">
        <v>1</v>
      </c>
      <c r="BJ1918" t="n">
        <v>1</v>
      </c>
      <c r="BK1918" t="n">
        <v>3</v>
      </c>
      <c r="BL1918" t="n">
        <v>9</v>
      </c>
      <c r="BM1918" t="n">
        <v>22</v>
      </c>
      <c r="BN1918" t="n">
        <v>11</v>
      </c>
      <c r="BO1918" t="n">
        <v>54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2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201</v>
      </c>
      <c r="Z1919" t="n">
        <v>212</v>
      </c>
      <c r="AA1919" t="n">
        <v>125</v>
      </c>
      <c r="AB1919" t="n">
        <v>2</v>
      </c>
      <c r="AC1919" t="n">
        <v>0</v>
      </c>
      <c r="AD1919" t="n">
        <v>7</v>
      </c>
      <c r="AE1919" t="n">
        <v>10</v>
      </c>
      <c r="AF1919" t="n">
        <v>5</v>
      </c>
      <c r="AG1919" t="n">
        <v>0</v>
      </c>
      <c r="AH1919" t="n">
        <v>79</v>
      </c>
      <c r="AI1919" t="n">
        <v>73</v>
      </c>
      <c r="AJ1919" t="n">
        <v>20</v>
      </c>
      <c r="AK1919" t="n">
        <v>13</v>
      </c>
      <c r="AL1919" t="n">
        <v>4</v>
      </c>
      <c r="AM1919" t="n">
        <v>29</v>
      </c>
      <c r="AN1919" t="n">
        <v>0</v>
      </c>
      <c r="AO1919" t="n">
        <v>0</v>
      </c>
      <c r="AP1919" t="n">
        <v>3</v>
      </c>
      <c r="AQ1919" t="n">
        <v>24</v>
      </c>
      <c r="AR1919" t="n">
        <v>64</v>
      </c>
      <c r="AS1919" t="n">
        <v>44</v>
      </c>
      <c r="AT1919" t="n">
        <v>0</v>
      </c>
      <c r="AU1919" t="n">
        <v>3</v>
      </c>
      <c r="AV1919" t="n">
        <v>1</v>
      </c>
      <c r="AW1919" t="n">
        <v>11</v>
      </c>
      <c r="AX1919" t="n">
        <v>0</v>
      </c>
      <c r="AY1919" t="n">
        <v>78</v>
      </c>
      <c r="AZ1919" t="n">
        <v>4</v>
      </c>
      <c r="BA1919" t="n">
        <v>30</v>
      </c>
      <c r="BB1919" t="n">
        <v>148</v>
      </c>
      <c r="BC1919" t="n">
        <v>24</v>
      </c>
      <c r="BD1919" t="n">
        <v>85</v>
      </c>
      <c r="BE1919" t="n">
        <v>10</v>
      </c>
      <c r="BF1919" t="n">
        <v>27</v>
      </c>
      <c r="BG1919" t="n">
        <v>6</v>
      </c>
      <c r="BH1919" t="n">
        <v>14</v>
      </c>
      <c r="BI1919" t="n">
        <v>42</v>
      </c>
      <c r="BJ1919" t="n">
        <v>45</v>
      </c>
      <c r="BK1919" t="n">
        <v>5</v>
      </c>
      <c r="BL1919" t="n">
        <v>11</v>
      </c>
      <c r="BM1919" t="n">
        <v>24</v>
      </c>
      <c r="BN1919" t="n">
        <v>11</v>
      </c>
      <c r="BO1919" t="n">
        <v>49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140</v>
      </c>
      <c r="Z1920" t="n">
        <v>193</v>
      </c>
      <c r="AA1920" t="n">
        <v>34</v>
      </c>
      <c r="AB1920" t="n">
        <v>0</v>
      </c>
      <c r="AC1920" t="n">
        <v>0</v>
      </c>
      <c r="AD1920" t="n">
        <v>2</v>
      </c>
      <c r="AE1920" t="n">
        <v>0</v>
      </c>
      <c r="AF1920" t="n">
        <v>3</v>
      </c>
      <c r="AG1920" t="n">
        <v>3</v>
      </c>
      <c r="AH1920" t="n">
        <v>42</v>
      </c>
      <c r="AI1920" t="n">
        <v>21</v>
      </c>
      <c r="AJ1920" t="n">
        <v>45</v>
      </c>
      <c r="AK1920" t="n">
        <v>12</v>
      </c>
      <c r="AL1920" t="n">
        <v>4</v>
      </c>
      <c r="AM1920" t="n">
        <v>46</v>
      </c>
      <c r="AN1920" t="n">
        <v>0</v>
      </c>
      <c r="AO1920" t="n">
        <v>0</v>
      </c>
      <c r="AP1920" t="n">
        <v>0</v>
      </c>
      <c r="AQ1920" t="n">
        <v>1</v>
      </c>
      <c r="AR1920" t="n">
        <v>92</v>
      </c>
      <c r="AS1920" t="n">
        <v>85</v>
      </c>
      <c r="AT1920" t="n">
        <v>3</v>
      </c>
      <c r="AU1920" t="n">
        <v>1</v>
      </c>
      <c r="AV1920" t="n">
        <v>9</v>
      </c>
      <c r="AW1920" t="n">
        <v>13</v>
      </c>
      <c r="AX1920" t="n">
        <v>5</v>
      </c>
      <c r="AY1920" t="n">
        <v>64</v>
      </c>
      <c r="AZ1920" t="n">
        <v>9</v>
      </c>
      <c r="BA1920" t="n">
        <v>64</v>
      </c>
      <c r="BB1920" t="n">
        <v>106</v>
      </c>
      <c r="BC1920" t="n">
        <v>38</v>
      </c>
      <c r="BD1920" t="n">
        <v>37</v>
      </c>
      <c r="BE1920" t="n">
        <v>12</v>
      </c>
      <c r="BF1920" t="n">
        <v>35</v>
      </c>
      <c r="BG1920" t="n">
        <v>0</v>
      </c>
      <c r="BH1920" t="n">
        <v>3</v>
      </c>
      <c r="BI1920" t="n">
        <v>8</v>
      </c>
      <c r="BJ1920" t="n">
        <v>9</v>
      </c>
      <c r="BK1920" t="n">
        <v>3</v>
      </c>
      <c r="BL1920" t="n">
        <v>8</v>
      </c>
      <c r="BM1920" t="n">
        <v>34</v>
      </c>
      <c r="BN1920" t="n">
        <v>19</v>
      </c>
      <c r="BO1920" t="n">
        <v>2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156</v>
      </c>
      <c r="Z1921" t="n">
        <v>106</v>
      </c>
      <c r="AA1921" t="n">
        <v>54</v>
      </c>
      <c r="AB1921" t="n">
        <v>1</v>
      </c>
      <c r="AC1921" t="n">
        <v>2</v>
      </c>
      <c r="AD1921" t="n">
        <v>9</v>
      </c>
      <c r="AE1921" t="n">
        <v>3</v>
      </c>
      <c r="AF1921" t="n">
        <v>4</v>
      </c>
      <c r="AG1921" t="n">
        <v>0</v>
      </c>
      <c r="AH1921" t="n">
        <v>101</v>
      </c>
      <c r="AI1921" t="n">
        <v>28</v>
      </c>
      <c r="AJ1921" t="n">
        <v>21</v>
      </c>
      <c r="AK1921" t="n">
        <v>1</v>
      </c>
      <c r="AL1921" t="n">
        <v>4</v>
      </c>
      <c r="AM1921" t="n">
        <v>31</v>
      </c>
      <c r="AN1921" t="n">
        <v>0</v>
      </c>
      <c r="AO1921" t="n">
        <v>0</v>
      </c>
      <c r="AP1921" t="n">
        <v>3</v>
      </c>
      <c r="AQ1921" t="n">
        <v>21</v>
      </c>
      <c r="AR1921" t="n">
        <v>86</v>
      </c>
      <c r="AS1921" t="n">
        <v>67</v>
      </c>
      <c r="AT1921" t="n">
        <v>1</v>
      </c>
      <c r="AU1921" t="n">
        <v>1</v>
      </c>
      <c r="AV1921" t="n">
        <v>9</v>
      </c>
      <c r="AW1921" t="n">
        <v>14</v>
      </c>
      <c r="AX1921" t="n">
        <v>0</v>
      </c>
      <c r="AY1921" t="n">
        <v>18</v>
      </c>
      <c r="AZ1921" t="n">
        <v>3</v>
      </c>
      <c r="BA1921" t="n">
        <v>7</v>
      </c>
      <c r="BB1921" t="n">
        <v>57</v>
      </c>
      <c r="BC1921" t="n">
        <v>25</v>
      </c>
      <c r="BD1921" t="n">
        <v>98</v>
      </c>
      <c r="BE1921" t="n">
        <v>21</v>
      </c>
      <c r="BF1921" t="n">
        <v>17</v>
      </c>
      <c r="BG1921" t="n">
        <v>1</v>
      </c>
      <c r="BH1921" t="n">
        <v>1</v>
      </c>
      <c r="BI1921" t="n">
        <v>1</v>
      </c>
      <c r="BJ1921" t="n">
        <v>2</v>
      </c>
      <c r="BK1921" t="n">
        <v>0</v>
      </c>
      <c r="BL1921" t="n">
        <v>3</v>
      </c>
      <c r="BM1921" t="n">
        <v>56</v>
      </c>
      <c r="BN1921" t="n">
        <v>36</v>
      </c>
      <c r="BO1921" t="n">
        <v>35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145</v>
      </c>
      <c r="Z1922" t="n">
        <v>273</v>
      </c>
      <c r="AA1922" t="n">
        <v>21</v>
      </c>
      <c r="AB1922" t="n">
        <v>0</v>
      </c>
      <c r="AC1922" t="n">
        <v>1</v>
      </c>
      <c r="AD1922" t="n">
        <v>3</v>
      </c>
      <c r="AE1922" t="n">
        <v>1</v>
      </c>
      <c r="AF1922" t="n">
        <v>3</v>
      </c>
      <c r="AG1922" t="n">
        <v>2</v>
      </c>
      <c r="AH1922" t="n">
        <v>13</v>
      </c>
      <c r="AI1922" t="n">
        <v>33</v>
      </c>
      <c r="AJ1922" t="n">
        <v>13</v>
      </c>
      <c r="AK1922" t="n">
        <v>1</v>
      </c>
      <c r="AL1922" t="n">
        <v>7</v>
      </c>
      <c r="AM1922" t="n">
        <v>102</v>
      </c>
      <c r="AN1922" t="n">
        <v>0</v>
      </c>
      <c r="AO1922" t="n">
        <v>0</v>
      </c>
      <c r="AP1922" t="n">
        <v>4</v>
      </c>
      <c r="AQ1922" t="n">
        <v>30</v>
      </c>
      <c r="AR1922" t="n">
        <v>88</v>
      </c>
      <c r="AS1922" t="n">
        <v>62</v>
      </c>
      <c r="AT1922" t="n">
        <v>2</v>
      </c>
      <c r="AU1922" t="n">
        <v>2</v>
      </c>
      <c r="AV1922" t="n">
        <v>-1</v>
      </c>
      <c r="AW1922" t="n">
        <v>20</v>
      </c>
      <c r="AX1922" t="n">
        <v>0</v>
      </c>
      <c r="AY1922" t="n">
        <v>38</v>
      </c>
      <c r="AZ1922" t="n">
        <v>4</v>
      </c>
      <c r="BA1922" t="n">
        <v>29</v>
      </c>
      <c r="BB1922" t="n">
        <v>51</v>
      </c>
      <c r="BC1922" t="n">
        <v>83</v>
      </c>
      <c r="BD1922" t="n">
        <v>10</v>
      </c>
      <c r="BE1922" t="n">
        <v>20</v>
      </c>
      <c r="BF1922" t="n">
        <v>10</v>
      </c>
      <c r="BG1922" t="n">
        <v>2</v>
      </c>
      <c r="BH1922" t="n">
        <v>0</v>
      </c>
      <c r="BI1922" t="n">
        <v>12</v>
      </c>
      <c r="BJ1922" t="n">
        <v>10</v>
      </c>
      <c r="BK1922" t="n">
        <v>1</v>
      </c>
      <c r="BL1922" t="n">
        <v>30</v>
      </c>
      <c r="BM1922" t="n">
        <v>40</v>
      </c>
      <c r="BN1922" t="n">
        <v>15</v>
      </c>
      <c r="BO1922" t="n">
        <v>2</v>
      </c>
    </row>
    <row r="1923">
      <c r="A1923" t="n">
        <v>0</v>
      </c>
      <c r="B1923" t="n">
        <v>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120</v>
      </c>
      <c r="Z1923" t="n">
        <v>274</v>
      </c>
      <c r="AA1923" t="n">
        <v>91</v>
      </c>
      <c r="AB1923" t="n">
        <v>2</v>
      </c>
      <c r="AC1923" t="n">
        <v>0</v>
      </c>
      <c r="AD1923" t="n">
        <v>6</v>
      </c>
      <c r="AE1923" t="n">
        <v>4</v>
      </c>
      <c r="AF1923" t="n">
        <v>4</v>
      </c>
      <c r="AG1923" t="n">
        <v>2</v>
      </c>
      <c r="AH1923" t="n">
        <v>29</v>
      </c>
      <c r="AI1923" t="n">
        <v>69</v>
      </c>
      <c r="AJ1923" t="n">
        <v>46</v>
      </c>
      <c r="AK1923" t="n">
        <v>12</v>
      </c>
      <c r="AL1923" t="n">
        <v>1</v>
      </c>
      <c r="AM1923" t="n">
        <v>10</v>
      </c>
      <c r="AN1923" t="n">
        <v>1</v>
      </c>
      <c r="AO1923" t="n">
        <v>0</v>
      </c>
      <c r="AP1923" t="n">
        <v>3</v>
      </c>
      <c r="AQ1923" t="n">
        <v>19</v>
      </c>
      <c r="AR1923" t="n">
        <v>116</v>
      </c>
      <c r="AS1923" t="n">
        <v>97</v>
      </c>
      <c r="AT1923" t="n">
        <v>3</v>
      </c>
      <c r="AU1923" t="n">
        <v>1</v>
      </c>
      <c r="AV1923" t="n">
        <v>1</v>
      </c>
      <c r="AW1923" t="n">
        <v>6</v>
      </c>
      <c r="AX1923" t="n">
        <v>0</v>
      </c>
      <c r="AY1923" t="n">
        <v>96</v>
      </c>
      <c r="AZ1923" t="n">
        <v>5</v>
      </c>
      <c r="BA1923" t="n">
        <v>45</v>
      </c>
      <c r="BB1923" t="n">
        <v>133</v>
      </c>
      <c r="BC1923" t="n">
        <v>26</v>
      </c>
      <c r="BD1923" t="n">
        <v>32</v>
      </c>
      <c r="BE1923" t="n">
        <v>6</v>
      </c>
      <c r="BF1923" t="n">
        <v>39</v>
      </c>
      <c r="BG1923" t="n">
        <v>5</v>
      </c>
      <c r="BH1923" t="n">
        <v>4</v>
      </c>
      <c r="BI1923" t="n">
        <v>19</v>
      </c>
      <c r="BJ1923" t="n">
        <v>16</v>
      </c>
      <c r="BK1923" t="n">
        <v>5</v>
      </c>
      <c r="BL1923" t="n">
        <v>78</v>
      </c>
      <c r="BM1923" t="n">
        <v>53</v>
      </c>
      <c r="BN1923" t="n">
        <v>1</v>
      </c>
      <c r="BO1923" t="n">
        <v>2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3</v>
      </c>
      <c r="S1924" t="n">
        <v>0</v>
      </c>
      <c r="T1924" t="n">
        <v>3</v>
      </c>
      <c r="U1924" t="n">
        <v>0</v>
      </c>
      <c r="V1924" t="n">
        <v>0</v>
      </c>
      <c r="W1924" t="n">
        <v>0</v>
      </c>
      <c r="X1924" t="n">
        <v>0</v>
      </c>
      <c r="Y1924" t="n">
        <v>145</v>
      </c>
      <c r="Z1924" t="n">
        <v>247</v>
      </c>
      <c r="AA1924" t="n">
        <v>89</v>
      </c>
      <c r="AB1924" t="n">
        <v>3</v>
      </c>
      <c r="AC1924" t="n">
        <v>2</v>
      </c>
      <c r="AD1924" t="n">
        <v>2</v>
      </c>
      <c r="AE1924" t="n">
        <v>8</v>
      </c>
      <c r="AF1924" t="n">
        <v>9</v>
      </c>
      <c r="AG1924" t="n">
        <v>6</v>
      </c>
      <c r="AH1924" t="n">
        <v>25</v>
      </c>
      <c r="AI1924" t="n">
        <v>109</v>
      </c>
      <c r="AJ1924" t="n">
        <v>100</v>
      </c>
      <c r="AK1924" t="n">
        <v>15</v>
      </c>
      <c r="AL1924" t="n">
        <v>1</v>
      </c>
      <c r="AM1924" t="n">
        <v>16</v>
      </c>
      <c r="AN1924" t="n">
        <v>0</v>
      </c>
      <c r="AO1924" t="n">
        <v>0</v>
      </c>
      <c r="AP1924" t="n">
        <v>4</v>
      </c>
      <c r="AQ1924" t="n">
        <v>32</v>
      </c>
      <c r="AR1924" t="n">
        <v>63</v>
      </c>
      <c r="AS1924" t="n">
        <v>36</v>
      </c>
      <c r="AT1924" t="n">
        <v>0</v>
      </c>
      <c r="AU1924" t="n">
        <v>1</v>
      </c>
      <c r="AV1924" t="n">
        <v>1</v>
      </c>
      <c r="AW1924" t="n">
        <v>6</v>
      </c>
      <c r="AX1924" t="n">
        <v>1</v>
      </c>
      <c r="AY1924" t="n">
        <v>26</v>
      </c>
      <c r="AZ1924" t="n">
        <v>7</v>
      </c>
      <c r="BA1924" t="n">
        <v>56</v>
      </c>
      <c r="BB1924" t="n">
        <v>144</v>
      </c>
      <c r="BC1924" t="n">
        <v>13</v>
      </c>
      <c r="BD1924" t="n">
        <v>28</v>
      </c>
      <c r="BE1924" t="n">
        <v>15</v>
      </c>
      <c r="BF1924" t="n">
        <v>125</v>
      </c>
      <c r="BG1924" t="n">
        <v>2</v>
      </c>
      <c r="BH1924" t="n">
        <v>3</v>
      </c>
      <c r="BI1924" t="n">
        <v>-1</v>
      </c>
      <c r="BJ1924" t="n">
        <v>-1</v>
      </c>
      <c r="BK1924" t="n">
        <v>3</v>
      </c>
      <c r="BL1924" t="n">
        <v>32</v>
      </c>
      <c r="BM1924" t="n">
        <v>23</v>
      </c>
      <c r="BN1924" t="n">
        <v>2</v>
      </c>
      <c r="BO1924" t="n">
        <v>35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2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2</v>
      </c>
      <c r="R1925" t="n">
        <v>0</v>
      </c>
      <c r="S1925" t="n">
        <v>0</v>
      </c>
      <c r="T1925" t="n">
        <v>2</v>
      </c>
      <c r="U1925" t="n">
        <v>0</v>
      </c>
      <c r="V1925" t="n">
        <v>0</v>
      </c>
      <c r="W1925" t="n">
        <v>0</v>
      </c>
      <c r="X1925" t="n">
        <v>0</v>
      </c>
      <c r="Y1925" t="n">
        <v>131</v>
      </c>
      <c r="Z1925" t="n">
        <v>268</v>
      </c>
      <c r="AA1925" t="n">
        <v>86</v>
      </c>
      <c r="AB1925" t="n">
        <v>0</v>
      </c>
      <c r="AC1925" t="n">
        <v>3</v>
      </c>
      <c r="AD1925" t="n">
        <v>3</v>
      </c>
      <c r="AE1925" t="n">
        <v>10</v>
      </c>
      <c r="AF1925" t="n">
        <v>3</v>
      </c>
      <c r="AG1925" t="n">
        <v>3</v>
      </c>
      <c r="AH1925" t="n">
        <v>92</v>
      </c>
      <c r="AI1925" t="n">
        <v>73</v>
      </c>
      <c r="AJ1925" t="n">
        <v>37</v>
      </c>
      <c r="AK1925" t="n">
        <v>1</v>
      </c>
      <c r="AL1925" t="n">
        <v>1</v>
      </c>
      <c r="AM1925" t="n">
        <v>22</v>
      </c>
      <c r="AN1925" t="n">
        <v>0</v>
      </c>
      <c r="AO1925" t="n">
        <v>0</v>
      </c>
      <c r="AP1925" t="n">
        <v>1</v>
      </c>
      <c r="AQ1925" t="n">
        <v>9</v>
      </c>
      <c r="AR1925" t="n">
        <v>22</v>
      </c>
      <c r="AS1925" t="n">
        <v>15</v>
      </c>
      <c r="AT1925" t="n">
        <v>2</v>
      </c>
      <c r="AU1925" t="n">
        <v>3</v>
      </c>
      <c r="AV1925" t="n">
        <v>8</v>
      </c>
      <c r="AW1925" t="n">
        <v>52</v>
      </c>
      <c r="AX1925" t="n">
        <v>2</v>
      </c>
      <c r="AY1925" t="n">
        <v>15</v>
      </c>
      <c r="AZ1925" t="n">
        <v>4</v>
      </c>
      <c r="BA1925" t="n">
        <v>66</v>
      </c>
      <c r="BB1925" t="n">
        <v>156</v>
      </c>
      <c r="BC1925" t="n">
        <v>21</v>
      </c>
      <c r="BD1925" t="n">
        <v>83</v>
      </c>
      <c r="BE1925" t="n">
        <v>53</v>
      </c>
      <c r="BF1925" t="n">
        <v>29</v>
      </c>
      <c r="BG1925" t="n">
        <v>1</v>
      </c>
      <c r="BH1925" t="n">
        <v>2</v>
      </c>
      <c r="BI1925" t="n">
        <v>1</v>
      </c>
      <c r="BJ1925" t="n">
        <v>1</v>
      </c>
      <c r="BK1925" t="n">
        <v>0</v>
      </c>
      <c r="BL1925" t="n">
        <v>1</v>
      </c>
      <c r="BM1925" t="n">
        <v>-3</v>
      </c>
      <c r="BN1925" t="n">
        <v>-2</v>
      </c>
      <c r="BO1925" t="n">
        <v>2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247</v>
      </c>
      <c r="Z1926" t="n">
        <v>228</v>
      </c>
      <c r="AA1926" t="n">
        <v>36</v>
      </c>
      <c r="AB1926" t="n">
        <v>1</v>
      </c>
      <c r="AC1926" t="n">
        <v>1</v>
      </c>
      <c r="AD1926" t="n">
        <v>6</v>
      </c>
      <c r="AE1926" t="n">
        <v>6</v>
      </c>
      <c r="AF1926" t="n">
        <v>6</v>
      </c>
      <c r="AG1926" t="n">
        <v>7</v>
      </c>
      <c r="AH1926" t="n">
        <v>56</v>
      </c>
      <c r="AI1926" t="n">
        <v>45</v>
      </c>
      <c r="AJ1926" t="n">
        <v>65</v>
      </c>
      <c r="AK1926" t="n">
        <v>81</v>
      </c>
      <c r="AL1926" t="n">
        <v>1</v>
      </c>
      <c r="AM1926" t="n">
        <v>77</v>
      </c>
      <c r="AN1926" t="n">
        <v>0</v>
      </c>
      <c r="AO1926" t="n">
        <v>1</v>
      </c>
      <c r="AP1926" t="n">
        <v>3</v>
      </c>
      <c r="AQ1926" t="n">
        <v>10</v>
      </c>
      <c r="AR1926" t="n">
        <v>77</v>
      </c>
      <c r="AS1926" t="n">
        <v>65</v>
      </c>
      <c r="AT1926" t="n">
        <v>5</v>
      </c>
      <c r="AU1926" t="n">
        <v>0</v>
      </c>
      <c r="AV1926" t="n">
        <v>37</v>
      </c>
      <c r="AW1926" t="n">
        <v>1</v>
      </c>
      <c r="AX1926" t="n">
        <v>1</v>
      </c>
      <c r="AY1926" t="n">
        <v>1</v>
      </c>
      <c r="AZ1926" t="n">
        <v>0</v>
      </c>
      <c r="BA1926" t="n">
        <v>11</v>
      </c>
      <c r="BB1926" t="n">
        <v>45</v>
      </c>
      <c r="BC1926" t="n">
        <v>67</v>
      </c>
      <c r="BD1926" t="n">
        <v>49</v>
      </c>
      <c r="BE1926" t="n">
        <v>2</v>
      </c>
      <c r="BF1926" t="n">
        <v>55</v>
      </c>
      <c r="BG1926" t="n">
        <v>5</v>
      </c>
      <c r="BH1926" t="n">
        <v>5</v>
      </c>
      <c r="BI1926" t="n">
        <v>31</v>
      </c>
      <c r="BJ1926" t="n">
        <v>24</v>
      </c>
      <c r="BK1926" t="n">
        <v>6</v>
      </c>
      <c r="BL1926" t="n">
        <v>58</v>
      </c>
      <c r="BM1926" t="n">
        <v>39</v>
      </c>
      <c r="BN1926" t="n">
        <v>0</v>
      </c>
      <c r="BO1926" t="n">
        <v>9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119</v>
      </c>
      <c r="Z1927" t="n">
        <v>209</v>
      </c>
      <c r="AA1927" t="n">
        <v>41</v>
      </c>
      <c r="AB1927" t="n">
        <v>0</v>
      </c>
      <c r="AC1927" t="n">
        <v>0</v>
      </c>
      <c r="AD1927" t="n">
        <v>3</v>
      </c>
      <c r="AE1927" t="n">
        <v>9</v>
      </c>
      <c r="AF1927" t="n">
        <v>4</v>
      </c>
      <c r="AG1927" t="n">
        <v>1</v>
      </c>
      <c r="AH1927" t="n">
        <v>11</v>
      </c>
      <c r="AI1927" t="n">
        <v>68</v>
      </c>
      <c r="AJ1927" t="n">
        <v>39</v>
      </c>
      <c r="AK1927" t="n">
        <v>9</v>
      </c>
      <c r="AL1927" t="n">
        <v>7</v>
      </c>
      <c r="AM1927" t="n">
        <v>81</v>
      </c>
      <c r="AN1927" t="n">
        <v>0</v>
      </c>
      <c r="AO1927" t="n">
        <v>1</v>
      </c>
      <c r="AP1927" t="n">
        <v>3</v>
      </c>
      <c r="AQ1927" t="n">
        <v>33</v>
      </c>
      <c r="AR1927" t="n">
        <v>106</v>
      </c>
      <c r="AS1927" t="n">
        <v>78</v>
      </c>
      <c r="AT1927" t="n">
        <v>3</v>
      </c>
      <c r="AU1927" t="n">
        <v>0</v>
      </c>
      <c r="AV1927" t="n">
        <v>9</v>
      </c>
      <c r="AW1927" t="n">
        <v>7</v>
      </c>
      <c r="AX1927" t="n">
        <v>0</v>
      </c>
      <c r="AY1927" t="n">
        <v>11</v>
      </c>
      <c r="AZ1927" t="n">
        <v>0</v>
      </c>
      <c r="BA1927" t="n">
        <v>9</v>
      </c>
      <c r="BB1927" t="n">
        <v>48</v>
      </c>
      <c r="BC1927" t="n">
        <v>70</v>
      </c>
      <c r="BD1927" t="n">
        <v>9</v>
      </c>
      <c r="BE1927" t="n">
        <v>7</v>
      </c>
      <c r="BF1927" t="n">
        <v>40</v>
      </c>
      <c r="BG1927" t="n">
        <v>0</v>
      </c>
      <c r="BH1927" t="n">
        <v>6</v>
      </c>
      <c r="BI1927" t="n">
        <v>7</v>
      </c>
      <c r="BJ1927" t="n">
        <v>1</v>
      </c>
      <c r="BK1927" t="n">
        <v>3</v>
      </c>
      <c r="BL1927" t="n">
        <v>1</v>
      </c>
      <c r="BM1927" t="n">
        <v>15</v>
      </c>
      <c r="BN1927" t="n">
        <v>8</v>
      </c>
      <c r="BO1927" t="n">
        <v>4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3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2</v>
      </c>
      <c r="U1928" t="n">
        <v>1</v>
      </c>
      <c r="V1928" t="n">
        <v>0</v>
      </c>
      <c r="W1928" t="n">
        <v>0</v>
      </c>
      <c r="X1928" t="n">
        <v>0</v>
      </c>
      <c r="Y1928" t="n">
        <v>343</v>
      </c>
      <c r="Z1928" t="n">
        <v>160</v>
      </c>
      <c r="AA1928" t="n">
        <v>119</v>
      </c>
      <c r="AB1928" t="n">
        <v>0</v>
      </c>
      <c r="AC1928" t="n">
        <v>1</v>
      </c>
      <c r="AD1928" t="n">
        <v>2</v>
      </c>
      <c r="AE1928" t="n">
        <v>4</v>
      </c>
      <c r="AF1928" t="n">
        <v>2</v>
      </c>
      <c r="AG1928" t="n">
        <v>5</v>
      </c>
      <c r="AH1928" t="n">
        <v>21</v>
      </c>
      <c r="AI1928" t="n">
        <v>22</v>
      </c>
      <c r="AJ1928" t="n">
        <v>30</v>
      </c>
      <c r="AK1928" t="n">
        <v>21</v>
      </c>
      <c r="AL1928" t="n">
        <v>2</v>
      </c>
      <c r="AM1928" t="n">
        <v>22</v>
      </c>
      <c r="AN1928" t="n">
        <v>0</v>
      </c>
      <c r="AO1928" t="n">
        <v>0</v>
      </c>
      <c r="AP1928" t="n">
        <v>3</v>
      </c>
      <c r="AQ1928" t="n">
        <v>16</v>
      </c>
      <c r="AR1928" t="n">
        <v>49</v>
      </c>
      <c r="AS1928" t="n">
        <v>36</v>
      </c>
      <c r="AT1928" t="n">
        <v>1</v>
      </c>
      <c r="AU1928" t="n">
        <v>0</v>
      </c>
      <c r="AV1928" t="n">
        <v>24</v>
      </c>
      <c r="AW1928" t="n">
        <v>3</v>
      </c>
      <c r="AX1928" t="n">
        <v>1</v>
      </c>
      <c r="AY1928" t="n">
        <v>68</v>
      </c>
      <c r="AZ1928" t="n">
        <v>1</v>
      </c>
      <c r="BA1928" t="n">
        <v>24</v>
      </c>
      <c r="BB1928" t="n">
        <v>136</v>
      </c>
      <c r="BC1928" t="n">
        <v>41</v>
      </c>
      <c r="BD1928" t="n">
        <v>27</v>
      </c>
      <c r="BE1928" t="n">
        <v>18</v>
      </c>
      <c r="BF1928" t="n">
        <v>37</v>
      </c>
      <c r="BG1928" t="n">
        <v>2</v>
      </c>
      <c r="BH1928" t="n">
        <v>17</v>
      </c>
      <c r="BI1928" t="n">
        <v>80</v>
      </c>
      <c r="BJ1928" t="n">
        <v>75</v>
      </c>
      <c r="BK1928" t="n">
        <v>1</v>
      </c>
      <c r="BL1928" t="n">
        <v>22</v>
      </c>
      <c r="BM1928" t="n">
        <v>31</v>
      </c>
      <c r="BN1928" t="n">
        <v>11</v>
      </c>
      <c r="BO1928" t="n">
        <v>9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0</v>
      </c>
      <c r="J1929" t="n">
        <v>1</v>
      </c>
      <c r="K1929" t="n">
        <v>0</v>
      </c>
      <c r="L1929" t="n">
        <v>0</v>
      </c>
      <c r="M1929" t="n">
        <v>5</v>
      </c>
      <c r="N1929" t="n">
        <v>0</v>
      </c>
      <c r="O1929" t="n">
        <v>2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129</v>
      </c>
      <c r="Z1929" t="n">
        <v>244</v>
      </c>
      <c r="AA1929" t="n">
        <v>61</v>
      </c>
      <c r="AB1929" t="n">
        <v>1</v>
      </c>
      <c r="AC1929" t="n">
        <v>0</v>
      </c>
      <c r="AD1929" t="n">
        <v>8</v>
      </c>
      <c r="AE1929" t="n">
        <v>10</v>
      </c>
      <c r="AF1929" t="n">
        <v>2</v>
      </c>
      <c r="AG1929" t="n">
        <v>0</v>
      </c>
      <c r="AH1929" t="n">
        <v>34</v>
      </c>
      <c r="AI1929" t="n">
        <v>122</v>
      </c>
      <c r="AJ1929" t="n">
        <v>46</v>
      </c>
      <c r="AK1929" t="n">
        <v>9</v>
      </c>
      <c r="AL1929" t="n">
        <v>4</v>
      </c>
      <c r="AM1929" t="n">
        <v>84</v>
      </c>
      <c r="AN1929" t="n">
        <v>2</v>
      </c>
      <c r="AO1929" t="n">
        <v>0</v>
      </c>
      <c r="AP1929" t="n">
        <v>1</v>
      </c>
      <c r="AQ1929" t="n">
        <v>1</v>
      </c>
      <c r="AR1929" t="n">
        <v>77</v>
      </c>
      <c r="AS1929" t="n">
        <v>69</v>
      </c>
      <c r="AT1929" t="n">
        <v>2</v>
      </c>
      <c r="AU1929" t="n">
        <v>2</v>
      </c>
      <c r="AV1929" t="n">
        <v>17</v>
      </c>
      <c r="AW1929" t="n">
        <v>6</v>
      </c>
      <c r="AX1929" t="n">
        <v>1</v>
      </c>
      <c r="AY1929" t="n">
        <v>74</v>
      </c>
      <c r="AZ1929" t="n">
        <v>0</v>
      </c>
      <c r="BA1929" t="n">
        <v>1</v>
      </c>
      <c r="BB1929" t="n">
        <v>60</v>
      </c>
      <c r="BC1929" t="n">
        <v>69</v>
      </c>
      <c r="BD1929" t="n">
        <v>34</v>
      </c>
      <c r="BE1929" t="n">
        <v>5</v>
      </c>
      <c r="BF1929" t="n">
        <v>39</v>
      </c>
      <c r="BG1929" t="n">
        <v>1</v>
      </c>
      <c r="BH1929" t="n">
        <v>0</v>
      </c>
      <c r="BI1929" t="n">
        <v>25</v>
      </c>
      <c r="BJ1929" t="n">
        <v>61</v>
      </c>
      <c r="BK1929" t="n">
        <v>0</v>
      </c>
      <c r="BL1929" t="n">
        <v>1</v>
      </c>
      <c r="BM1929" t="n">
        <v>8</v>
      </c>
      <c r="BN1929" t="n">
        <v>4</v>
      </c>
      <c r="BO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2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59</v>
      </c>
      <c r="Z1930" t="n">
        <v>194</v>
      </c>
      <c r="AA1930" t="n">
        <v>20</v>
      </c>
      <c r="AB1930" t="n">
        <v>2</v>
      </c>
      <c r="AC1930" t="n">
        <v>0</v>
      </c>
      <c r="AD1930" t="n">
        <v>6</v>
      </c>
      <c r="AE1930" t="n">
        <v>0</v>
      </c>
      <c r="AF1930" t="n">
        <v>5</v>
      </c>
      <c r="AG1930" t="n">
        <v>2</v>
      </c>
      <c r="AH1930" t="n">
        <v>42</v>
      </c>
      <c r="AI1930" t="n">
        <v>6</v>
      </c>
      <c r="AJ1930" t="n">
        <v>22</v>
      </c>
      <c r="AK1930" t="n">
        <v>1</v>
      </c>
      <c r="AL1930" t="n">
        <v>4</v>
      </c>
      <c r="AM1930" t="n">
        <v>21</v>
      </c>
      <c r="AN1930" t="n">
        <v>0</v>
      </c>
      <c r="AO1930" t="n">
        <v>0</v>
      </c>
      <c r="AP1930" t="n">
        <v>3</v>
      </c>
      <c r="AQ1930" t="n">
        <v>19</v>
      </c>
      <c r="AR1930" t="n">
        <v>161</v>
      </c>
      <c r="AS1930" t="n">
        <v>139</v>
      </c>
      <c r="AT1930" t="n">
        <v>0</v>
      </c>
      <c r="AU1930" t="n">
        <v>1</v>
      </c>
      <c r="AV1930" t="n">
        <v>3</v>
      </c>
      <c r="AW1930" t="n">
        <v>1</v>
      </c>
      <c r="AX1930" t="n">
        <v>0</v>
      </c>
      <c r="AY1930" t="n">
        <v>-2</v>
      </c>
      <c r="AZ1930" t="n">
        <v>0</v>
      </c>
      <c r="BA1930" t="n">
        <v>1</v>
      </c>
      <c r="BB1930" t="n">
        <v>19</v>
      </c>
      <c r="BC1930" t="n">
        <v>22</v>
      </c>
      <c r="BD1930" t="n">
        <v>42</v>
      </c>
      <c r="BE1930" t="n">
        <v>1</v>
      </c>
      <c r="BF1930" t="n">
        <v>37</v>
      </c>
      <c r="BG1930" t="n">
        <v>0</v>
      </c>
      <c r="BH1930" t="n">
        <v>1</v>
      </c>
      <c r="BI1930" t="n">
        <v>3</v>
      </c>
      <c r="BJ1930" t="n">
        <v>15</v>
      </c>
      <c r="BK1930" t="n">
        <v>5</v>
      </c>
      <c r="BL1930" t="n">
        <v>56</v>
      </c>
      <c r="BM1930" t="n">
        <v>52</v>
      </c>
      <c r="BN1930" t="n">
        <v>11</v>
      </c>
      <c r="BO1930" t="n">
        <v>16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152</v>
      </c>
      <c r="Z1931" t="n">
        <v>288</v>
      </c>
      <c r="AA1931" t="n">
        <v>34</v>
      </c>
      <c r="AB1931" t="n">
        <v>1</v>
      </c>
      <c r="AC1931" t="n">
        <v>0</v>
      </c>
      <c r="AD1931" t="n">
        <v>4</v>
      </c>
      <c r="AE1931" t="n">
        <v>7</v>
      </c>
      <c r="AF1931" t="n">
        <v>1</v>
      </c>
      <c r="AG1931" t="n">
        <v>6</v>
      </c>
      <c r="AH1931" t="n">
        <v>14</v>
      </c>
      <c r="AI1931" t="n">
        <v>91</v>
      </c>
      <c r="AJ1931" t="n">
        <v>9</v>
      </c>
      <c r="AK1931" t="n">
        <v>57</v>
      </c>
      <c r="AL1931" t="n">
        <v>8</v>
      </c>
      <c r="AM1931" t="n">
        <v>114</v>
      </c>
      <c r="AN1931" t="n">
        <v>0</v>
      </c>
      <c r="AO1931" t="n">
        <v>0</v>
      </c>
      <c r="AP1931" t="n">
        <v>1</v>
      </c>
      <c r="AQ1931" t="n">
        <v>23</v>
      </c>
      <c r="AR1931" t="n">
        <v>135</v>
      </c>
      <c r="AS1931" t="n">
        <v>112</v>
      </c>
      <c r="AT1931" t="n">
        <v>1</v>
      </c>
      <c r="AU1931" t="n">
        <v>3</v>
      </c>
      <c r="AV1931" t="n">
        <v>33</v>
      </c>
      <c r="AW1931" t="n">
        <v>22</v>
      </c>
      <c r="AX1931" t="n">
        <v>17</v>
      </c>
      <c r="AY1931" t="n">
        <v>7</v>
      </c>
      <c r="AZ1931" t="n">
        <v>1</v>
      </c>
      <c r="BA1931" t="n">
        <v>14</v>
      </c>
      <c r="BB1931" t="n">
        <v>46</v>
      </c>
      <c r="BC1931" t="n">
        <v>94</v>
      </c>
      <c r="BD1931" t="n">
        <v>19</v>
      </c>
      <c r="BE1931" t="n">
        <v>25</v>
      </c>
      <c r="BF1931" t="n">
        <v>21</v>
      </c>
      <c r="BG1931" t="n">
        <v>2</v>
      </c>
      <c r="BH1931" t="n">
        <v>14</v>
      </c>
      <c r="BI1931" t="n">
        <v>21</v>
      </c>
      <c r="BJ1931" t="n">
        <v>32</v>
      </c>
      <c r="BK1931" t="n">
        <v>3</v>
      </c>
      <c r="BL1931" t="n">
        <v>20</v>
      </c>
      <c r="BM1931" t="n">
        <v>13</v>
      </c>
      <c r="BN1931" t="n">
        <v>1</v>
      </c>
      <c r="BO1931" t="n">
        <v>11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3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190</v>
      </c>
      <c r="Z1932" t="n">
        <v>132</v>
      </c>
      <c r="AA1932" t="n">
        <v>39</v>
      </c>
      <c r="AB1932" t="n">
        <v>0</v>
      </c>
      <c r="AC1932" t="n">
        <v>2</v>
      </c>
      <c r="AD1932" t="n">
        <v>3</v>
      </c>
      <c r="AE1932" t="n">
        <v>3</v>
      </c>
      <c r="AF1932" t="n">
        <v>3</v>
      </c>
      <c r="AG1932" t="n">
        <v>2</v>
      </c>
      <c r="AH1932" t="n">
        <v>46</v>
      </c>
      <c r="AI1932" t="n">
        <v>19</v>
      </c>
      <c r="AJ1932" t="n">
        <v>24</v>
      </c>
      <c r="AK1932" t="n">
        <v>32</v>
      </c>
      <c r="AL1932" t="n">
        <v>1</v>
      </c>
      <c r="AM1932" t="n">
        <v>2</v>
      </c>
      <c r="AN1932" t="n">
        <v>0</v>
      </c>
      <c r="AO1932" t="n">
        <v>1</v>
      </c>
      <c r="AP1932" t="n">
        <v>5</v>
      </c>
      <c r="AQ1932" t="n">
        <v>41</v>
      </c>
      <c r="AR1932" t="n">
        <v>89</v>
      </c>
      <c r="AS1932" t="n">
        <v>56</v>
      </c>
      <c r="AT1932" t="n">
        <v>4</v>
      </c>
      <c r="AU1932" t="n">
        <v>1</v>
      </c>
      <c r="AV1932" t="n">
        <v>40</v>
      </c>
      <c r="AW1932" t="n">
        <v>1</v>
      </c>
      <c r="AX1932" t="n">
        <v>0</v>
      </c>
      <c r="AY1932" t="n">
        <v>41</v>
      </c>
      <c r="AZ1932" t="n">
        <v>2</v>
      </c>
      <c r="BA1932" t="n">
        <v>14</v>
      </c>
      <c r="BB1932" t="n">
        <v>51</v>
      </c>
      <c r="BC1932" t="n">
        <v>3</v>
      </c>
      <c r="BD1932" t="n">
        <v>41</v>
      </c>
      <c r="BE1932" t="n">
        <v>1</v>
      </c>
      <c r="BF1932" t="n">
        <v>16</v>
      </c>
      <c r="BG1932" t="n">
        <v>1</v>
      </c>
      <c r="BH1932" t="n">
        <v>6</v>
      </c>
      <c r="BI1932" t="n">
        <v>47</v>
      </c>
      <c r="BJ1932" t="n">
        <v>43</v>
      </c>
      <c r="BK1932" t="n">
        <v>5</v>
      </c>
      <c r="BL1932" t="n">
        <v>50</v>
      </c>
      <c r="BM1932" t="n">
        <v>34</v>
      </c>
      <c r="BN1932" t="n">
        <v>1</v>
      </c>
      <c r="BO1932" t="n">
        <v>37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159</v>
      </c>
      <c r="Z1933" t="n">
        <v>335</v>
      </c>
      <c r="AA1933" t="n">
        <v>66</v>
      </c>
      <c r="AB1933" t="n">
        <v>2</v>
      </c>
      <c r="AC1933" t="n">
        <v>0</v>
      </c>
      <c r="AD1933" t="n">
        <v>3</v>
      </c>
      <c r="AE1933" t="n">
        <v>8</v>
      </c>
      <c r="AF1933" t="n">
        <v>0</v>
      </c>
      <c r="AG1933" t="n">
        <v>3</v>
      </c>
      <c r="AH1933" t="n">
        <v>44</v>
      </c>
      <c r="AI1933" t="n">
        <v>93</v>
      </c>
      <c r="AJ1933" t="n">
        <v>2</v>
      </c>
      <c r="AK1933" t="n">
        <v>25</v>
      </c>
      <c r="AL1933" t="n">
        <v>4</v>
      </c>
      <c r="AM1933" t="n">
        <v>50</v>
      </c>
      <c r="AN1933" t="n">
        <v>0</v>
      </c>
      <c r="AO1933" t="n">
        <v>1</v>
      </c>
      <c r="AP1933" t="n">
        <v>3</v>
      </c>
      <c r="AQ1933" t="n">
        <v>33</v>
      </c>
      <c r="AR1933" t="n">
        <v>137</v>
      </c>
      <c r="AS1933" t="n">
        <v>108</v>
      </c>
      <c r="AT1933" t="n">
        <v>0</v>
      </c>
      <c r="AU1933" t="n">
        <v>1</v>
      </c>
      <c r="AV1933" t="n">
        <v>4</v>
      </c>
      <c r="AW1933" t="n">
        <v>36</v>
      </c>
      <c r="AX1933" t="n">
        <v>0</v>
      </c>
      <c r="AY1933" t="n">
        <v>28</v>
      </c>
      <c r="AZ1933" t="n">
        <v>0</v>
      </c>
      <c r="BA1933" t="n">
        <v>1</v>
      </c>
      <c r="BB1933" t="n">
        <v>64</v>
      </c>
      <c r="BC1933" t="n">
        <v>55</v>
      </c>
      <c r="BD1933" t="n">
        <v>43</v>
      </c>
      <c r="BE1933" t="n">
        <v>39</v>
      </c>
      <c r="BF1933" t="n">
        <v>8</v>
      </c>
      <c r="BG1933" t="n">
        <v>1</v>
      </c>
      <c r="BH1933" t="n">
        <v>9</v>
      </c>
      <c r="BI1933" t="n">
        <v>8</v>
      </c>
      <c r="BJ1933" t="n">
        <v>7</v>
      </c>
      <c r="BK1933" t="n">
        <v>0</v>
      </c>
      <c r="BL1933" t="n">
        <v>33</v>
      </c>
      <c r="BM1933" t="n">
        <v>43</v>
      </c>
      <c r="BN1933" t="n">
        <v>15</v>
      </c>
      <c r="BO1933" t="n">
        <v>30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2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269</v>
      </c>
      <c r="Z1934" t="n">
        <v>72</v>
      </c>
      <c r="AA1934" t="n">
        <v>118</v>
      </c>
      <c r="AB1934" t="n">
        <v>1</v>
      </c>
      <c r="AC1934" t="n">
        <v>2</v>
      </c>
      <c r="AD1934" t="n">
        <v>2</v>
      </c>
      <c r="AE1934" t="n">
        <v>7</v>
      </c>
      <c r="AF1934" t="n">
        <v>2</v>
      </c>
      <c r="AG1934" t="n">
        <v>0</v>
      </c>
      <c r="AH1934" t="n">
        <v>50</v>
      </c>
      <c r="AI1934" t="n">
        <v>37</v>
      </c>
      <c r="AJ1934" t="n">
        <v>30</v>
      </c>
      <c r="AK1934" t="n">
        <v>1</v>
      </c>
      <c r="AL1934" t="n">
        <v>1</v>
      </c>
      <c r="AM1934" t="n">
        <v>2</v>
      </c>
      <c r="AN1934" t="n">
        <v>0</v>
      </c>
      <c r="AO1934" t="n">
        <v>0</v>
      </c>
      <c r="AP1934" t="n">
        <v>4</v>
      </c>
      <c r="AQ1934" t="n">
        <v>70</v>
      </c>
      <c r="AR1934" t="n">
        <v>85</v>
      </c>
      <c r="AS1934" t="n">
        <v>24</v>
      </c>
      <c r="AT1934" t="n">
        <v>1</v>
      </c>
      <c r="AU1934" t="n">
        <v>2</v>
      </c>
      <c r="AV1934" t="n">
        <v>6</v>
      </c>
      <c r="AW1934" t="n">
        <v>12</v>
      </c>
      <c r="AX1934" t="n">
        <v>4</v>
      </c>
      <c r="AY1934" t="n">
        <v>45</v>
      </c>
      <c r="AZ1934" t="n">
        <v>2</v>
      </c>
      <c r="BA1934" t="n">
        <v>10</v>
      </c>
      <c r="BB1934" t="n">
        <v>122</v>
      </c>
      <c r="BC1934" t="n">
        <v>7</v>
      </c>
      <c r="BD1934" t="n">
        <v>49</v>
      </c>
      <c r="BE1934" t="n">
        <v>12</v>
      </c>
      <c r="BF1934" t="n">
        <v>31</v>
      </c>
      <c r="BG1934" t="n">
        <v>8</v>
      </c>
      <c r="BH1934" t="n">
        <v>5</v>
      </c>
      <c r="BI1934" t="n">
        <v>105</v>
      </c>
      <c r="BJ1934" t="n">
        <v>111</v>
      </c>
      <c r="BK1934" t="n">
        <v>0</v>
      </c>
      <c r="BL1934" t="n">
        <v>1</v>
      </c>
      <c r="BM1934" t="n">
        <v>4</v>
      </c>
      <c r="BN1934" t="n">
        <v>1</v>
      </c>
      <c r="BO1934" t="n">
        <v>110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306</v>
      </c>
      <c r="Z1935" t="n">
        <v>185</v>
      </c>
      <c r="AA1935" t="n">
        <v>130</v>
      </c>
      <c r="AB1935" t="n">
        <v>0</v>
      </c>
      <c r="AC1935" t="n">
        <v>1</v>
      </c>
      <c r="AD1935" t="n">
        <v>9</v>
      </c>
      <c r="AE1935" t="n">
        <v>10</v>
      </c>
      <c r="AF1935" t="n">
        <v>0</v>
      </c>
      <c r="AG1935" t="n">
        <v>2</v>
      </c>
      <c r="AH1935" t="n">
        <v>40</v>
      </c>
      <c r="AI1935" t="n">
        <v>68</v>
      </c>
      <c r="AJ1935" t="n">
        <v>2</v>
      </c>
      <c r="AK1935" t="n">
        <v>21</v>
      </c>
      <c r="AL1935" t="n">
        <v>1</v>
      </c>
      <c r="AM1935" t="n">
        <v>28</v>
      </c>
      <c r="AN1935" t="n">
        <v>0</v>
      </c>
      <c r="AO1935" t="n">
        <v>0</v>
      </c>
      <c r="AP1935" t="n">
        <v>2</v>
      </c>
      <c r="AQ1935" t="n">
        <v>13</v>
      </c>
      <c r="AR1935" t="n">
        <v>45</v>
      </c>
      <c r="AS1935" t="n">
        <v>35</v>
      </c>
      <c r="AT1935" t="n">
        <v>1</v>
      </c>
      <c r="AU1935" t="n">
        <v>1</v>
      </c>
      <c r="AV1935" t="n">
        <v>46</v>
      </c>
      <c r="AW1935" t="n">
        <v>4</v>
      </c>
      <c r="AX1935" t="n">
        <v>3</v>
      </c>
      <c r="AY1935" t="n">
        <v>63</v>
      </c>
      <c r="AZ1935" t="n">
        <v>2</v>
      </c>
      <c r="BA1935" t="n">
        <v>5</v>
      </c>
      <c r="BB1935" t="n">
        <v>125</v>
      </c>
      <c r="BC1935" t="n">
        <v>24</v>
      </c>
      <c r="BD1935" t="n">
        <v>35</v>
      </c>
      <c r="BE1935" t="n">
        <v>4</v>
      </c>
      <c r="BF1935" t="n">
        <v>2</v>
      </c>
      <c r="BG1935" t="n">
        <v>1</v>
      </c>
      <c r="BH1935" t="n">
        <v>39</v>
      </c>
      <c r="BI1935" t="n">
        <v>40</v>
      </c>
      <c r="BJ1935" t="n">
        <v>37</v>
      </c>
      <c r="BK1935" t="n">
        <v>3</v>
      </c>
      <c r="BL1935" t="n">
        <v>19</v>
      </c>
      <c r="BM1935" t="n">
        <v>22</v>
      </c>
      <c r="BN1935" t="n">
        <v>7</v>
      </c>
      <c r="BO1935" t="n">
        <v>4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164</v>
      </c>
      <c r="Z1936" t="n">
        <v>236</v>
      </c>
      <c r="AA1936" t="n">
        <v>45</v>
      </c>
      <c r="AB1936" t="n">
        <v>3</v>
      </c>
      <c r="AC1936" t="n">
        <v>1</v>
      </c>
      <c r="AD1936" t="n">
        <v>6</v>
      </c>
      <c r="AE1936" t="n">
        <v>3</v>
      </c>
      <c r="AF1936" t="n">
        <v>1</v>
      </c>
      <c r="AG1936" t="n">
        <v>3</v>
      </c>
      <c r="AH1936" t="n">
        <v>85</v>
      </c>
      <c r="AI1936" t="n">
        <v>33</v>
      </c>
      <c r="AJ1936" t="n">
        <v>14</v>
      </c>
      <c r="AK1936" t="n">
        <v>27</v>
      </c>
      <c r="AL1936" t="n">
        <v>2</v>
      </c>
      <c r="AM1936" t="n">
        <v>22</v>
      </c>
      <c r="AN1936" t="n">
        <v>0</v>
      </c>
      <c r="AO1936" t="n">
        <v>0</v>
      </c>
      <c r="AP1936" t="n">
        <v>3</v>
      </c>
      <c r="AQ1936" t="n">
        <v>10</v>
      </c>
      <c r="AR1936" t="n">
        <v>68</v>
      </c>
      <c r="AS1936" t="n">
        <v>57</v>
      </c>
      <c r="AT1936" t="n">
        <v>4</v>
      </c>
      <c r="AU1936" t="n">
        <v>1</v>
      </c>
      <c r="AV1936" t="n">
        <v>21</v>
      </c>
      <c r="AW1936" t="n">
        <v>12</v>
      </c>
      <c r="AX1936" t="n">
        <v>0</v>
      </c>
      <c r="AY1936" t="n">
        <v>72</v>
      </c>
      <c r="AZ1936" t="n">
        <v>4</v>
      </c>
      <c r="BA1936" t="n">
        <v>31</v>
      </c>
      <c r="BB1936" t="n">
        <v>78</v>
      </c>
      <c r="BC1936" t="n">
        <v>19</v>
      </c>
      <c r="BD1936" t="n">
        <v>76</v>
      </c>
      <c r="BE1936" t="n">
        <v>12</v>
      </c>
      <c r="BF1936" t="n">
        <v>13</v>
      </c>
      <c r="BG1936" t="n">
        <v>1</v>
      </c>
      <c r="BH1936" t="n">
        <v>3</v>
      </c>
      <c r="BI1936" t="n">
        <v>1</v>
      </c>
      <c r="BJ1936" t="n">
        <v>1</v>
      </c>
      <c r="BK1936" t="n">
        <v>5</v>
      </c>
      <c r="BL1936" t="n">
        <v>62</v>
      </c>
      <c r="BM1936" t="n">
        <v>47</v>
      </c>
      <c r="BN1936" t="n">
        <v>4</v>
      </c>
      <c r="BO1936" t="n">
        <v>2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331</v>
      </c>
      <c r="Z1937" t="n">
        <v>230</v>
      </c>
      <c r="AA1937" t="n">
        <v>52</v>
      </c>
      <c r="AB1937" t="n">
        <v>1</v>
      </c>
      <c r="AC1937" t="n">
        <v>2</v>
      </c>
      <c r="AD1937" t="n">
        <v>6</v>
      </c>
      <c r="AE1937" t="n">
        <v>5</v>
      </c>
      <c r="AF1937" t="n">
        <v>3</v>
      </c>
      <c r="AG1937" t="n">
        <v>2</v>
      </c>
      <c r="AH1937" t="n">
        <v>87</v>
      </c>
      <c r="AI1937" t="n">
        <v>30</v>
      </c>
      <c r="AJ1937" t="n">
        <v>12</v>
      </c>
      <c r="AK1937" t="n">
        <v>1</v>
      </c>
      <c r="AL1937" t="n">
        <v>5</v>
      </c>
      <c r="AM1937" t="n">
        <v>57</v>
      </c>
      <c r="AN1937" t="n">
        <v>0</v>
      </c>
      <c r="AO1937" t="n">
        <v>0</v>
      </c>
      <c r="AP1937" t="n">
        <v>5</v>
      </c>
      <c r="AQ1937" t="n">
        <v>35</v>
      </c>
      <c r="AR1937" t="n">
        <v>82</v>
      </c>
      <c r="AS1937" t="n">
        <v>53</v>
      </c>
      <c r="AT1937" t="n">
        <v>4</v>
      </c>
      <c r="AU1937" t="n">
        <v>3</v>
      </c>
      <c r="AV1937" t="n">
        <v>41</v>
      </c>
      <c r="AW1937" t="n">
        <v>38</v>
      </c>
      <c r="AX1937" t="n">
        <v>0</v>
      </c>
      <c r="AY1937" t="n">
        <v>46</v>
      </c>
      <c r="AZ1937" t="n">
        <v>3</v>
      </c>
      <c r="BA1937" t="n">
        <v>8</v>
      </c>
      <c r="BB1937" t="n">
        <v>58</v>
      </c>
      <c r="BC1937" t="n">
        <v>47</v>
      </c>
      <c r="BD1937" t="n">
        <v>77</v>
      </c>
      <c r="BE1937" t="n">
        <v>37</v>
      </c>
      <c r="BF1937" t="n">
        <v>10</v>
      </c>
      <c r="BG1937" t="n">
        <v>3</v>
      </c>
      <c r="BH1937" t="n">
        <v>22</v>
      </c>
      <c r="BI1937" t="n">
        <v>52</v>
      </c>
      <c r="BJ1937" t="n">
        <v>47</v>
      </c>
      <c r="BK1937" t="n">
        <v>2</v>
      </c>
      <c r="BL1937" t="n">
        <v>50</v>
      </c>
      <c r="BM1937" t="n">
        <v>80</v>
      </c>
      <c r="BN1937" t="n">
        <v>33</v>
      </c>
      <c r="BO1937" t="n">
        <v>9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205</v>
      </c>
      <c r="Z1938" t="n">
        <v>235</v>
      </c>
      <c r="AA1938" t="n">
        <v>34</v>
      </c>
      <c r="AB1938" t="n">
        <v>2</v>
      </c>
      <c r="AC1938" t="n">
        <v>0</v>
      </c>
      <c r="AD1938" t="n">
        <v>4</v>
      </c>
      <c r="AE1938" t="n">
        <v>7</v>
      </c>
      <c r="AF1938" t="n">
        <v>8</v>
      </c>
      <c r="AG1938" t="n">
        <v>4</v>
      </c>
      <c r="AH1938" t="n">
        <v>33</v>
      </c>
      <c r="AI1938" t="n">
        <v>73</v>
      </c>
      <c r="AJ1938" t="n">
        <v>77</v>
      </c>
      <c r="AK1938" t="n">
        <v>62</v>
      </c>
      <c r="AL1938" t="n">
        <v>4</v>
      </c>
      <c r="AM1938" t="n">
        <v>39</v>
      </c>
      <c r="AN1938" t="n">
        <v>0</v>
      </c>
      <c r="AO1938" t="n">
        <v>0</v>
      </c>
      <c r="AP1938" t="n">
        <v>3</v>
      </c>
      <c r="AQ1938" t="n">
        <v>52</v>
      </c>
      <c r="AR1938" t="n">
        <v>58</v>
      </c>
      <c r="AS1938" t="n">
        <v>13</v>
      </c>
      <c r="AT1938" t="n">
        <v>2</v>
      </c>
      <c r="AU1938" t="n">
        <v>2</v>
      </c>
      <c r="AV1938" t="n">
        <v>1</v>
      </c>
      <c r="AW1938" t="n">
        <v>9</v>
      </c>
      <c r="AX1938" t="n">
        <v>0</v>
      </c>
      <c r="AY1938" t="n">
        <v>14</v>
      </c>
      <c r="AZ1938" t="n">
        <v>2</v>
      </c>
      <c r="BA1938" t="n">
        <v>1</v>
      </c>
      <c r="BB1938" t="n">
        <v>35</v>
      </c>
      <c r="BC1938" t="n">
        <v>41</v>
      </c>
      <c r="BD1938" t="n">
        <v>29</v>
      </c>
      <c r="BE1938" t="n">
        <v>8</v>
      </c>
      <c r="BF1938" t="n">
        <v>87</v>
      </c>
      <c r="BG1938" t="n">
        <v>3</v>
      </c>
      <c r="BH1938" t="n">
        <v>10</v>
      </c>
      <c r="BI1938" t="n">
        <v>1</v>
      </c>
      <c r="BJ1938" t="n">
        <v>1</v>
      </c>
      <c r="BK1938" t="n">
        <v>3</v>
      </c>
      <c r="BL1938" t="n">
        <v>55</v>
      </c>
      <c r="BM1938" t="n">
        <v>59</v>
      </c>
      <c r="BN1938" t="n">
        <v>16</v>
      </c>
      <c r="BO1938" t="n">
        <v>4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188</v>
      </c>
      <c r="Z1939" t="n">
        <v>216</v>
      </c>
      <c r="AA1939" t="n">
        <v>63</v>
      </c>
      <c r="AB1939" t="n">
        <v>0</v>
      </c>
      <c r="AC1939" t="n">
        <v>1</v>
      </c>
      <c r="AD1939" t="n">
        <v>1</v>
      </c>
      <c r="AE1939" t="n">
        <v>4</v>
      </c>
      <c r="AF1939" t="n">
        <v>1</v>
      </c>
      <c r="AG1939" t="n">
        <v>4</v>
      </c>
      <c r="AH1939" t="n">
        <v>23</v>
      </c>
      <c r="AI1939" t="n">
        <v>10</v>
      </c>
      <c r="AJ1939" t="n">
        <v>20</v>
      </c>
      <c r="AK1939" t="n">
        <v>33</v>
      </c>
      <c r="AL1939" t="n">
        <v>3</v>
      </c>
      <c r="AM1939" t="n">
        <v>58</v>
      </c>
      <c r="AN1939" t="n">
        <v>0</v>
      </c>
      <c r="AO1939" t="n">
        <v>0</v>
      </c>
      <c r="AP1939" t="n">
        <v>3</v>
      </c>
      <c r="AQ1939" t="n">
        <v>82</v>
      </c>
      <c r="AR1939" t="n">
        <v>144</v>
      </c>
      <c r="AS1939" t="n">
        <v>76</v>
      </c>
      <c r="AT1939" t="n">
        <v>0</v>
      </c>
      <c r="AU1939" t="n">
        <v>0</v>
      </c>
      <c r="AV1939" t="n">
        <v>27</v>
      </c>
      <c r="AW1939" t="n">
        <v>18</v>
      </c>
      <c r="AX1939" t="n">
        <v>6</v>
      </c>
      <c r="AY1939" t="n">
        <v>73</v>
      </c>
      <c r="AZ1939" t="n">
        <v>3</v>
      </c>
      <c r="BA1939" t="n">
        <v>15</v>
      </c>
      <c r="BB1939" t="n">
        <v>75</v>
      </c>
      <c r="BC1939" t="n">
        <v>54</v>
      </c>
      <c r="BD1939" t="n">
        <v>26</v>
      </c>
      <c r="BE1939" t="n">
        <v>17</v>
      </c>
      <c r="BF1939" t="n">
        <v>16</v>
      </c>
      <c r="BG1939" t="n">
        <v>1</v>
      </c>
      <c r="BH1939" t="n">
        <v>0</v>
      </c>
      <c r="BI1939" t="n">
        <v>9</v>
      </c>
      <c r="BJ1939" t="n">
        <v>15</v>
      </c>
      <c r="BK1939" t="n">
        <v>1</v>
      </c>
      <c r="BL1939" t="n">
        <v>8</v>
      </c>
      <c r="BM1939" t="n">
        <v>9</v>
      </c>
      <c r="BN1939" t="n">
        <v>4</v>
      </c>
      <c r="BO1939" t="n">
        <v>16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319</v>
      </c>
      <c r="Z1940" t="n">
        <v>238</v>
      </c>
      <c r="AA1940" t="n">
        <v>18</v>
      </c>
      <c r="AB1940" t="n">
        <v>0</v>
      </c>
      <c r="AC1940" t="n">
        <v>0</v>
      </c>
      <c r="AD1940" t="n">
        <v>4</v>
      </c>
      <c r="AE1940" t="n">
        <v>6</v>
      </c>
      <c r="AF1940" t="n">
        <v>5</v>
      </c>
      <c r="AG1940" t="n">
        <v>0</v>
      </c>
      <c r="AH1940" t="n">
        <v>31</v>
      </c>
      <c r="AI1940" t="n">
        <v>40</v>
      </c>
      <c r="AJ1940" t="n">
        <v>80</v>
      </c>
      <c r="AK1940" t="n">
        <v>7</v>
      </c>
      <c r="AL1940" t="n">
        <v>4</v>
      </c>
      <c r="AM1940" t="n">
        <v>55</v>
      </c>
      <c r="AN1940" t="n">
        <v>0</v>
      </c>
      <c r="AO1940" t="n">
        <v>0</v>
      </c>
      <c r="AP1940" t="n">
        <v>9</v>
      </c>
      <c r="AQ1940" t="n">
        <v>81</v>
      </c>
      <c r="AR1940" t="n">
        <v>131</v>
      </c>
      <c r="AS1940" t="n">
        <v>63</v>
      </c>
      <c r="AT1940" t="n">
        <v>4</v>
      </c>
      <c r="AU1940" t="n">
        <v>0</v>
      </c>
      <c r="AV1940" t="n">
        <v>34</v>
      </c>
      <c r="AW1940" t="n">
        <v>5</v>
      </c>
      <c r="AX1940" t="n">
        <v>0</v>
      </c>
      <c r="AY1940" t="n">
        <v>50</v>
      </c>
      <c r="AZ1940" t="n">
        <v>3</v>
      </c>
      <c r="BA1940" t="n">
        <v>1</v>
      </c>
      <c r="BB1940" t="n">
        <v>19</v>
      </c>
      <c r="BC1940" t="n">
        <v>45</v>
      </c>
      <c r="BD1940" t="n">
        <v>28</v>
      </c>
      <c r="BE1940" t="n">
        <v>5</v>
      </c>
      <c r="BF1940" t="n">
        <v>85</v>
      </c>
      <c r="BG1940" t="n">
        <v>6</v>
      </c>
      <c r="BH1940" t="n">
        <v>6</v>
      </c>
      <c r="BI1940" t="n">
        <v>106</v>
      </c>
      <c r="BJ1940" t="n">
        <v>96</v>
      </c>
      <c r="BK1940" t="n">
        <v>2</v>
      </c>
      <c r="BL1940" t="n">
        <v>11</v>
      </c>
      <c r="BM1940" t="n">
        <v>11</v>
      </c>
      <c r="BN1940" t="n">
        <v>3</v>
      </c>
      <c r="BO1940" t="n">
        <v>14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251</v>
      </c>
      <c r="Z1941" t="n">
        <v>204</v>
      </c>
      <c r="AA1941" t="n">
        <v>20</v>
      </c>
      <c r="AB1941" t="n">
        <v>0</v>
      </c>
      <c r="AC1941" t="n">
        <v>1</v>
      </c>
      <c r="AD1941" t="n">
        <v>9</v>
      </c>
      <c r="AE1941" t="n">
        <v>3</v>
      </c>
      <c r="AF1941" t="n">
        <v>1</v>
      </c>
      <c r="AG1941" t="n">
        <v>5</v>
      </c>
      <c r="AH1941" t="n">
        <v>114</v>
      </c>
      <c r="AI1941" t="n">
        <v>24</v>
      </c>
      <c r="AJ1941" t="n">
        <v>19</v>
      </c>
      <c r="AK1941" t="n">
        <v>71</v>
      </c>
      <c r="AL1941" t="n">
        <v>5</v>
      </c>
      <c r="AM1941" t="n">
        <v>80</v>
      </c>
      <c r="AN1941" t="n">
        <v>0</v>
      </c>
      <c r="AO1941" t="n">
        <v>1</v>
      </c>
      <c r="AP1941" t="n">
        <v>2</v>
      </c>
      <c r="AQ1941" t="n">
        <v>23</v>
      </c>
      <c r="AR1941" t="n">
        <v>145</v>
      </c>
      <c r="AS1941" t="n">
        <v>123</v>
      </c>
      <c r="AT1941" t="n">
        <v>4</v>
      </c>
      <c r="AU1941" t="n">
        <v>1</v>
      </c>
      <c r="AV1941" t="n">
        <v>28</v>
      </c>
      <c r="AW1941" t="n">
        <v>20</v>
      </c>
      <c r="AX1941" t="n">
        <v>17</v>
      </c>
      <c r="AY1941" t="n">
        <v>19</v>
      </c>
      <c r="AZ1941" t="n">
        <v>1</v>
      </c>
      <c r="BA1941" t="n">
        <v>8</v>
      </c>
      <c r="BB1941" t="n">
        <v>26</v>
      </c>
      <c r="BC1941" t="n">
        <v>65</v>
      </c>
      <c r="BD1941" t="n">
        <v>102</v>
      </c>
      <c r="BE1941" t="n">
        <v>20</v>
      </c>
      <c r="BF1941" t="n">
        <v>23</v>
      </c>
      <c r="BG1941" t="n">
        <v>0</v>
      </c>
      <c r="BH1941" t="n">
        <v>9</v>
      </c>
      <c r="BI1941" t="n">
        <v>1</v>
      </c>
      <c r="BJ1941" t="n">
        <v>1</v>
      </c>
      <c r="BK1941" t="n">
        <v>2</v>
      </c>
      <c r="BL1941" t="n">
        <v>24</v>
      </c>
      <c r="BM1941" t="n">
        <v>16</v>
      </c>
      <c r="BN1941" t="n">
        <v>0</v>
      </c>
      <c r="BO1941" t="n">
        <v>157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157</v>
      </c>
      <c r="Z1942" t="n">
        <v>120</v>
      </c>
      <c r="AA1942" t="n">
        <v>66</v>
      </c>
      <c r="AB1942" t="n">
        <v>1</v>
      </c>
      <c r="AC1942" t="n">
        <v>1</v>
      </c>
      <c r="AD1942" t="n">
        <v>2</v>
      </c>
      <c r="AE1942" t="n">
        <v>3</v>
      </c>
      <c r="AF1942" t="n">
        <v>2</v>
      </c>
      <c r="AG1942" t="n">
        <v>5</v>
      </c>
      <c r="AH1942" t="n">
        <v>15</v>
      </c>
      <c r="AI1942" t="n">
        <v>77</v>
      </c>
      <c r="AJ1942" t="n">
        <v>13</v>
      </c>
      <c r="AK1942" t="n">
        <v>28</v>
      </c>
      <c r="AL1942" t="n">
        <v>2</v>
      </c>
      <c r="AM1942" t="n">
        <v>44</v>
      </c>
      <c r="AN1942" t="n">
        <v>1</v>
      </c>
      <c r="AO1942" t="n">
        <v>0</v>
      </c>
      <c r="AP1942" t="n">
        <v>6</v>
      </c>
      <c r="AQ1942" t="n">
        <v>27</v>
      </c>
      <c r="AR1942" t="n">
        <v>61</v>
      </c>
      <c r="AS1942" t="n">
        <v>37</v>
      </c>
      <c r="AT1942" t="n">
        <v>1</v>
      </c>
      <c r="AU1942" t="n">
        <v>1</v>
      </c>
      <c r="AV1942" t="n">
        <v>1</v>
      </c>
      <c r="AW1942" t="n">
        <v>6</v>
      </c>
      <c r="AX1942" t="n">
        <v>-1</v>
      </c>
      <c r="AY1942" t="n">
        <v>14</v>
      </c>
      <c r="AZ1942" t="n">
        <v>0</v>
      </c>
      <c r="BA1942" t="n">
        <v>2</v>
      </c>
      <c r="BB1942" t="n">
        <v>64</v>
      </c>
      <c r="BC1942" t="n">
        <v>38</v>
      </c>
      <c r="BD1942" t="n">
        <v>13</v>
      </c>
      <c r="BE1942" t="n">
        <v>6</v>
      </c>
      <c r="BF1942" t="n">
        <v>10</v>
      </c>
      <c r="BG1942" t="n">
        <v>0</v>
      </c>
      <c r="BH1942" t="n">
        <v>9</v>
      </c>
      <c r="BI1942" t="n">
        <v>1</v>
      </c>
      <c r="BJ1942" t="n">
        <v>1</v>
      </c>
      <c r="BK1942" t="n">
        <v>0</v>
      </c>
      <c r="BL1942" t="n">
        <v>1</v>
      </c>
      <c r="BM1942" t="n">
        <v>-4</v>
      </c>
      <c r="BN1942" t="n">
        <v>-3</v>
      </c>
      <c r="BO1942" t="n">
        <v>4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181</v>
      </c>
      <c r="Z1943" t="n">
        <v>107</v>
      </c>
      <c r="AA1943" t="n">
        <v>39</v>
      </c>
      <c r="AB1943" t="n">
        <v>2</v>
      </c>
      <c r="AC1943" t="n">
        <v>0</v>
      </c>
      <c r="AD1943" t="n">
        <v>3</v>
      </c>
      <c r="AE1943" t="n">
        <v>7</v>
      </c>
      <c r="AF1943" t="n">
        <v>0</v>
      </c>
      <c r="AG1943" t="n">
        <v>3</v>
      </c>
      <c r="AH1943" t="n">
        <v>41</v>
      </c>
      <c r="AI1943" t="n">
        <v>50</v>
      </c>
      <c r="AJ1943" t="n">
        <v>2</v>
      </c>
      <c r="AK1943" t="n">
        <v>6</v>
      </c>
      <c r="AL1943" t="n">
        <v>7</v>
      </c>
      <c r="AM1943" t="n">
        <v>65</v>
      </c>
      <c r="AN1943" t="n">
        <v>0</v>
      </c>
      <c r="AO1943" t="n">
        <v>0</v>
      </c>
      <c r="AP1943" t="n">
        <v>5</v>
      </c>
      <c r="AQ1943" t="n">
        <v>29</v>
      </c>
      <c r="AR1943" t="n">
        <v>73</v>
      </c>
      <c r="AS1943" t="n">
        <v>50</v>
      </c>
      <c r="AT1943" t="n">
        <v>4</v>
      </c>
      <c r="AU1943" t="n">
        <v>0</v>
      </c>
      <c r="AV1943" t="n">
        <v>9</v>
      </c>
      <c r="AW1943" t="n">
        <v>1</v>
      </c>
      <c r="AX1943" t="n">
        <v>17</v>
      </c>
      <c r="AY1943" t="n">
        <v>3</v>
      </c>
      <c r="AZ1943" t="n">
        <v>3</v>
      </c>
      <c r="BA1943" t="n">
        <v>5</v>
      </c>
      <c r="BB1943" t="n">
        <v>41</v>
      </c>
      <c r="BC1943" t="n">
        <v>54</v>
      </c>
      <c r="BD1943" t="n">
        <v>37</v>
      </c>
      <c r="BE1943" t="n">
        <v>2</v>
      </c>
      <c r="BF1943" t="n">
        <v>10</v>
      </c>
      <c r="BG1943" t="n">
        <v>3</v>
      </c>
      <c r="BH1943" t="n">
        <v>10</v>
      </c>
      <c r="BI1943" t="n">
        <v>14</v>
      </c>
      <c r="BJ1943" t="n">
        <v>14</v>
      </c>
      <c r="BK1943" t="n">
        <v>2</v>
      </c>
      <c r="BL1943" t="n">
        <v>1</v>
      </c>
      <c r="BM1943" t="n">
        <v>1</v>
      </c>
      <c r="BN1943" t="n">
        <v>0</v>
      </c>
      <c r="BO1943" t="n">
        <v>2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75</v>
      </c>
      <c r="Z1944" t="n">
        <v>172</v>
      </c>
      <c r="AA1944" t="n">
        <v>49</v>
      </c>
      <c r="AB1944" t="n">
        <v>1</v>
      </c>
      <c r="AC1944" t="n">
        <v>0</v>
      </c>
      <c r="AD1944" t="n">
        <v>7</v>
      </c>
      <c r="AE1944" t="n">
        <v>7</v>
      </c>
      <c r="AF1944" t="n">
        <v>3</v>
      </c>
      <c r="AG1944" t="n">
        <v>0</v>
      </c>
      <c r="AH1944" t="n">
        <v>33</v>
      </c>
      <c r="AI1944" t="n">
        <v>53</v>
      </c>
      <c r="AJ1944" t="n">
        <v>10</v>
      </c>
      <c r="AK1944" t="n">
        <v>1</v>
      </c>
      <c r="AL1944" t="n">
        <v>3</v>
      </c>
      <c r="AM1944" t="n">
        <v>48</v>
      </c>
      <c r="AN1944" t="n">
        <v>0</v>
      </c>
      <c r="AO1944" t="n">
        <v>0</v>
      </c>
      <c r="AP1944" t="n">
        <v>2</v>
      </c>
      <c r="AQ1944" t="n">
        <v>3</v>
      </c>
      <c r="AR1944" t="n">
        <v>166</v>
      </c>
      <c r="AS1944" t="n">
        <v>154</v>
      </c>
      <c r="AT1944" t="n">
        <v>0</v>
      </c>
      <c r="AU1944" t="n">
        <v>0</v>
      </c>
      <c r="AV1944" t="n">
        <v>1</v>
      </c>
      <c r="AW1944" t="n">
        <v>4</v>
      </c>
      <c r="AX1944" t="n">
        <v>1</v>
      </c>
      <c r="AY1944" t="n">
        <v>31</v>
      </c>
      <c r="AZ1944" t="n">
        <v>4</v>
      </c>
      <c r="BA1944" t="n">
        <v>17</v>
      </c>
      <c r="BB1944" t="n">
        <v>63</v>
      </c>
      <c r="BC1944" t="n">
        <v>41</v>
      </c>
      <c r="BD1944" t="n">
        <v>29</v>
      </c>
      <c r="BE1944" t="n">
        <v>4</v>
      </c>
      <c r="BF1944" t="n">
        <v>8</v>
      </c>
      <c r="BG1944" t="n">
        <v>2</v>
      </c>
      <c r="BH1944" t="n">
        <v>2</v>
      </c>
      <c r="BI1944" t="n">
        <v>1</v>
      </c>
      <c r="BJ1944" t="n">
        <v>6</v>
      </c>
      <c r="BK1944" t="n">
        <v>2</v>
      </c>
      <c r="BL1944" t="n">
        <v>1</v>
      </c>
      <c r="BM1944" t="n">
        <v>23</v>
      </c>
      <c r="BN1944" t="n">
        <v>14</v>
      </c>
      <c r="BO1944" t="n">
        <v>2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248</v>
      </c>
      <c r="Z1945" t="n">
        <v>154</v>
      </c>
      <c r="AA1945" t="n">
        <v>61</v>
      </c>
      <c r="AB1945" t="n">
        <v>0</v>
      </c>
      <c r="AC1945" t="n">
        <v>0</v>
      </c>
      <c r="AD1945" t="n">
        <v>7</v>
      </c>
      <c r="AE1945" t="n">
        <v>3</v>
      </c>
      <c r="AF1945" t="n">
        <v>2</v>
      </c>
      <c r="AG1945" t="n">
        <v>2</v>
      </c>
      <c r="AH1945" t="n">
        <v>123</v>
      </c>
      <c r="AI1945" t="n">
        <v>2</v>
      </c>
      <c r="AJ1945" t="n">
        <v>23</v>
      </c>
      <c r="AK1945" t="n">
        <v>1</v>
      </c>
      <c r="AL1945" t="n">
        <v>6</v>
      </c>
      <c r="AM1945" t="n">
        <v>70</v>
      </c>
      <c r="AN1945" t="n">
        <v>0</v>
      </c>
      <c r="AO1945" t="n">
        <v>0</v>
      </c>
      <c r="AP1945" t="n">
        <v>9</v>
      </c>
      <c r="AQ1945" t="n">
        <v>38</v>
      </c>
      <c r="AR1945" t="n">
        <v>88</v>
      </c>
      <c r="AS1945" t="n">
        <v>55</v>
      </c>
      <c r="AT1945" t="n">
        <v>4</v>
      </c>
      <c r="AU1945" t="n">
        <v>2</v>
      </c>
      <c r="AV1945" t="n">
        <v>56</v>
      </c>
      <c r="AW1945" t="n">
        <v>23</v>
      </c>
      <c r="AX1945" t="n">
        <v>0</v>
      </c>
      <c r="AY1945" t="n">
        <v>10</v>
      </c>
      <c r="AZ1945" t="n">
        <v>2</v>
      </c>
      <c r="BA1945" t="n">
        <v>18</v>
      </c>
      <c r="BB1945" t="n">
        <v>77</v>
      </c>
      <c r="BC1945" t="n">
        <v>69</v>
      </c>
      <c r="BD1945" t="n">
        <v>113</v>
      </c>
      <c r="BE1945" t="n">
        <v>24</v>
      </c>
      <c r="BF1945" t="n">
        <v>18</v>
      </c>
      <c r="BG1945" t="n">
        <v>2</v>
      </c>
      <c r="BH1945" t="n">
        <v>1</v>
      </c>
      <c r="BI1945" t="n">
        <v>34</v>
      </c>
      <c r="BJ1945" t="n">
        <v>38</v>
      </c>
      <c r="BK1945" t="n">
        <v>3</v>
      </c>
      <c r="BL1945" t="n">
        <v>33</v>
      </c>
      <c r="BM1945" t="n">
        <v>52</v>
      </c>
      <c r="BN1945" t="n">
        <v>22</v>
      </c>
      <c r="BO1945" t="n">
        <v>9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2</v>
      </c>
      <c r="U1946" t="n">
        <v>0</v>
      </c>
      <c r="V1946" t="n">
        <v>0</v>
      </c>
      <c r="W1946" t="n">
        <v>0</v>
      </c>
      <c r="X1946" t="n">
        <v>0</v>
      </c>
      <c r="Y1946" t="n">
        <v>189</v>
      </c>
      <c r="Z1946" t="n">
        <v>226</v>
      </c>
      <c r="AA1946" t="n">
        <v>22</v>
      </c>
      <c r="AB1946" t="n">
        <v>1</v>
      </c>
      <c r="AC1946" t="n">
        <v>1</v>
      </c>
      <c r="AD1946" t="n">
        <v>7</v>
      </c>
      <c r="AE1946" t="n">
        <v>7</v>
      </c>
      <c r="AF1946" t="n">
        <v>4</v>
      </c>
      <c r="AG1946" t="n">
        <v>5</v>
      </c>
      <c r="AH1946" t="n">
        <v>98</v>
      </c>
      <c r="AI1946" t="n">
        <v>84</v>
      </c>
      <c r="AJ1946" t="n">
        <v>20</v>
      </c>
      <c r="AK1946" t="n">
        <v>48</v>
      </c>
      <c r="AL1946" t="n">
        <v>3</v>
      </c>
      <c r="AM1946" t="n">
        <v>35</v>
      </c>
      <c r="AN1946" t="n">
        <v>0</v>
      </c>
      <c r="AO1946" t="n">
        <v>0</v>
      </c>
      <c r="AP1946" t="n">
        <v>3</v>
      </c>
      <c r="AQ1946" t="n">
        <v>23</v>
      </c>
      <c r="AR1946" t="n">
        <v>106</v>
      </c>
      <c r="AS1946" t="n">
        <v>86</v>
      </c>
      <c r="AT1946" t="n">
        <v>3</v>
      </c>
      <c r="AU1946" t="n">
        <v>5</v>
      </c>
      <c r="AV1946" t="n">
        <v>6</v>
      </c>
      <c r="AW1946" t="n">
        <v>34</v>
      </c>
      <c r="AX1946" t="n">
        <v>1</v>
      </c>
      <c r="AY1946" t="n">
        <v>29</v>
      </c>
      <c r="AZ1946" t="n">
        <v>4</v>
      </c>
      <c r="BA1946" t="n">
        <v>33</v>
      </c>
      <c r="BB1946" t="n">
        <v>56</v>
      </c>
      <c r="BC1946" t="n">
        <v>32</v>
      </c>
      <c r="BD1946" t="n">
        <v>102</v>
      </c>
      <c r="BE1946" t="n">
        <v>35</v>
      </c>
      <c r="BF1946" t="n">
        <v>44</v>
      </c>
      <c r="BG1946" t="n">
        <v>2</v>
      </c>
      <c r="BH1946" t="n">
        <v>3</v>
      </c>
      <c r="BI1946" t="n">
        <v>18</v>
      </c>
      <c r="BJ1946" t="n">
        <v>31</v>
      </c>
      <c r="BK1946" t="n">
        <v>3</v>
      </c>
      <c r="BL1946" t="n">
        <v>52</v>
      </c>
      <c r="BM1946" t="n">
        <v>43</v>
      </c>
      <c r="BN1946" t="n">
        <v>7</v>
      </c>
      <c r="BO1946" t="n">
        <v>14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5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156</v>
      </c>
      <c r="Z1947" t="n">
        <v>334</v>
      </c>
      <c r="AA1947" t="n">
        <v>53</v>
      </c>
      <c r="AB1947" t="n">
        <v>2</v>
      </c>
      <c r="AC1947" t="n">
        <v>0</v>
      </c>
      <c r="AD1947" t="n">
        <v>3</v>
      </c>
      <c r="AE1947" t="n">
        <v>7</v>
      </c>
      <c r="AF1947" t="n">
        <v>4</v>
      </c>
      <c r="AG1947" t="n">
        <v>4</v>
      </c>
      <c r="AH1947" t="n">
        <v>48</v>
      </c>
      <c r="AI1947" t="n">
        <v>72</v>
      </c>
      <c r="AJ1947" t="n">
        <v>59</v>
      </c>
      <c r="AK1947" t="n">
        <v>0</v>
      </c>
      <c r="AL1947" t="n">
        <v>5</v>
      </c>
      <c r="AM1947" t="n">
        <v>55</v>
      </c>
      <c r="AN1947" t="n">
        <v>1</v>
      </c>
      <c r="AO1947" t="n">
        <v>0</v>
      </c>
      <c r="AP1947" t="n">
        <v>0</v>
      </c>
      <c r="AQ1947" t="n">
        <v>6</v>
      </c>
      <c r="AR1947" t="n">
        <v>35</v>
      </c>
      <c r="AS1947" t="n">
        <v>31</v>
      </c>
      <c r="AT1947" t="n">
        <v>0</v>
      </c>
      <c r="AU1947" t="n">
        <v>1</v>
      </c>
      <c r="AV1947" t="n">
        <v>9</v>
      </c>
      <c r="AW1947" t="n">
        <v>35</v>
      </c>
      <c r="AX1947" t="n">
        <v>0</v>
      </c>
      <c r="AY1947" t="n">
        <v>25</v>
      </c>
      <c r="AZ1947" t="n">
        <v>4</v>
      </c>
      <c r="BA1947" t="n">
        <v>35</v>
      </c>
      <c r="BB1947" t="n">
        <v>88</v>
      </c>
      <c r="BC1947" t="n">
        <v>46</v>
      </c>
      <c r="BD1947" t="n">
        <v>47</v>
      </c>
      <c r="BE1947" t="n">
        <v>35</v>
      </c>
      <c r="BF1947" t="n">
        <v>47</v>
      </c>
      <c r="BG1947" t="n">
        <v>1</v>
      </c>
      <c r="BH1947" t="n">
        <v>15</v>
      </c>
      <c r="BI1947" t="n">
        <v>9</v>
      </c>
      <c r="BJ1947" t="n">
        <v>8</v>
      </c>
      <c r="BK1947" t="n">
        <v>4</v>
      </c>
      <c r="BL1947" t="n">
        <v>47</v>
      </c>
      <c r="BM1947" t="n">
        <v>36</v>
      </c>
      <c r="BN1947" t="n">
        <v>4</v>
      </c>
      <c r="BO1947" t="n">
        <v>18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223</v>
      </c>
      <c r="Z1948" t="n">
        <v>233</v>
      </c>
      <c r="AA1948" t="n">
        <v>61</v>
      </c>
      <c r="AB1948" t="n">
        <v>0</v>
      </c>
      <c r="AC1948" t="n">
        <v>1</v>
      </c>
      <c r="AD1948" t="n">
        <v>3</v>
      </c>
      <c r="AE1948" t="n">
        <v>7</v>
      </c>
      <c r="AF1948" t="n">
        <v>9</v>
      </c>
      <c r="AG1948" t="n">
        <v>3</v>
      </c>
      <c r="AH1948" t="n">
        <v>75</v>
      </c>
      <c r="AI1948" t="n">
        <v>74</v>
      </c>
      <c r="AJ1948" t="n">
        <v>101</v>
      </c>
      <c r="AK1948" t="n">
        <v>19</v>
      </c>
      <c r="AL1948" t="n">
        <v>6</v>
      </c>
      <c r="AM1948" t="n">
        <v>132</v>
      </c>
      <c r="AN1948" t="n">
        <v>1</v>
      </c>
      <c r="AO1948" t="n">
        <v>0</v>
      </c>
      <c r="AP1948" t="n">
        <v>0</v>
      </c>
      <c r="AQ1948" t="n">
        <v>6</v>
      </c>
      <c r="AR1948" t="n">
        <v>54</v>
      </c>
      <c r="AS1948" t="n">
        <v>49</v>
      </c>
      <c r="AT1948" t="n">
        <v>0</v>
      </c>
      <c r="AU1948" t="n">
        <v>1</v>
      </c>
      <c r="AV1948" t="n">
        <v>2</v>
      </c>
      <c r="AW1948" t="n">
        <v>19</v>
      </c>
      <c r="AX1948" t="n">
        <v>4</v>
      </c>
      <c r="AY1948" t="n">
        <v>27</v>
      </c>
      <c r="AZ1948" t="n">
        <v>0</v>
      </c>
      <c r="BA1948" t="n">
        <v>1</v>
      </c>
      <c r="BB1948" t="n">
        <v>60</v>
      </c>
      <c r="BC1948" t="n">
        <v>108</v>
      </c>
      <c r="BD1948" t="n">
        <v>90</v>
      </c>
      <c r="BE1948" t="n">
        <v>19</v>
      </c>
      <c r="BF1948" t="n">
        <v>81</v>
      </c>
      <c r="BG1948" t="n">
        <v>1</v>
      </c>
      <c r="BH1948" t="n">
        <v>9</v>
      </c>
      <c r="BI1948" t="n">
        <v>1</v>
      </c>
      <c r="BJ1948" t="n">
        <v>22</v>
      </c>
      <c r="BK1948" t="n">
        <v>1</v>
      </c>
      <c r="BL1948" t="n">
        <v>11</v>
      </c>
      <c r="BM1948" t="n">
        <v>9</v>
      </c>
      <c r="BN1948" t="n">
        <v>2</v>
      </c>
      <c r="BO1948" t="n">
        <v>16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1</v>
      </c>
      <c r="V1949" t="n">
        <v>0</v>
      </c>
      <c r="W1949" t="n">
        <v>0</v>
      </c>
      <c r="X1949" t="n">
        <v>0</v>
      </c>
      <c r="Y1949" t="n">
        <v>107</v>
      </c>
      <c r="Z1949" t="n">
        <v>125</v>
      </c>
      <c r="AA1949" t="n">
        <v>124</v>
      </c>
      <c r="AB1949" t="n">
        <v>0</v>
      </c>
      <c r="AC1949" t="n">
        <v>2</v>
      </c>
      <c r="AD1949" t="n">
        <v>2</v>
      </c>
      <c r="AE1949" t="n">
        <v>0</v>
      </c>
      <c r="AF1949" t="n">
        <v>4</v>
      </c>
      <c r="AG1949" t="n">
        <v>2</v>
      </c>
      <c r="AH1949" t="n">
        <v>27</v>
      </c>
      <c r="AI1949" t="n">
        <v>2</v>
      </c>
      <c r="AJ1949" t="n">
        <v>51</v>
      </c>
      <c r="AK1949" t="n">
        <v>1</v>
      </c>
      <c r="AL1949" t="n">
        <v>1</v>
      </c>
      <c r="AM1949" t="n">
        <v>3</v>
      </c>
      <c r="AN1949" t="n">
        <v>0</v>
      </c>
      <c r="AO1949" t="n">
        <v>0</v>
      </c>
      <c r="AP1949" t="n">
        <v>3</v>
      </c>
      <c r="AQ1949" t="n">
        <v>21</v>
      </c>
      <c r="AR1949" t="n">
        <v>63</v>
      </c>
      <c r="AS1949" t="n">
        <v>46</v>
      </c>
      <c r="AT1949" t="n">
        <v>1</v>
      </c>
      <c r="AU1949" t="n">
        <v>1</v>
      </c>
      <c r="AV1949" t="n">
        <v>1</v>
      </c>
      <c r="AW1949" t="n">
        <v>14</v>
      </c>
      <c r="AX1949" t="n">
        <v>11</v>
      </c>
      <c r="AY1949" t="n">
        <v>31</v>
      </c>
      <c r="AZ1949" t="n">
        <v>3</v>
      </c>
      <c r="BA1949" t="n">
        <v>23</v>
      </c>
      <c r="BB1949" t="n">
        <v>139</v>
      </c>
      <c r="BC1949" t="n">
        <v>8</v>
      </c>
      <c r="BD1949" t="n">
        <v>25</v>
      </c>
      <c r="BE1949" t="n">
        <v>14</v>
      </c>
      <c r="BF1949" t="n">
        <v>50</v>
      </c>
      <c r="BG1949" t="n">
        <v>1</v>
      </c>
      <c r="BH1949" t="n">
        <v>0</v>
      </c>
      <c r="BI1949" t="n">
        <v>0</v>
      </c>
      <c r="BJ1949" t="n">
        <v>1</v>
      </c>
      <c r="BK1949" t="n">
        <v>0</v>
      </c>
      <c r="BL1949" t="n">
        <v>1</v>
      </c>
      <c r="BM1949" t="n">
        <v>34</v>
      </c>
      <c r="BN1949" t="n">
        <v>21</v>
      </c>
      <c r="BO1949" t="n">
        <v>2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2</v>
      </c>
      <c r="U1950" t="n">
        <v>2</v>
      </c>
      <c r="V1950" t="n">
        <v>0</v>
      </c>
      <c r="W1950" t="n">
        <v>0</v>
      </c>
      <c r="X1950" t="n">
        <v>0</v>
      </c>
      <c r="Y1950" t="n">
        <v>201</v>
      </c>
      <c r="Z1950" t="n">
        <v>57</v>
      </c>
      <c r="AA1950" t="n">
        <v>76</v>
      </c>
      <c r="AB1950" t="n">
        <v>1</v>
      </c>
      <c r="AC1950" t="n">
        <v>0</v>
      </c>
      <c r="AD1950" t="n">
        <v>4</v>
      </c>
      <c r="AE1950" t="n">
        <v>1</v>
      </c>
      <c r="AF1950" t="n">
        <v>0</v>
      </c>
      <c r="AG1950" t="n">
        <v>5</v>
      </c>
      <c r="AH1950" t="n">
        <v>55</v>
      </c>
      <c r="AI1950" t="n">
        <v>-2</v>
      </c>
      <c r="AJ1950" t="n">
        <v>2</v>
      </c>
      <c r="AK1950" t="n">
        <v>41</v>
      </c>
      <c r="AL1950" t="n">
        <v>2</v>
      </c>
      <c r="AM1950" t="n">
        <v>28</v>
      </c>
      <c r="AN1950" t="n">
        <v>0</v>
      </c>
      <c r="AO1950" t="n">
        <v>0</v>
      </c>
      <c r="AP1950" t="n">
        <v>3</v>
      </c>
      <c r="AQ1950" t="n">
        <v>16</v>
      </c>
      <c r="AR1950" t="n">
        <v>106</v>
      </c>
      <c r="AS1950" t="n">
        <v>90</v>
      </c>
      <c r="AT1950" t="n">
        <v>3</v>
      </c>
      <c r="AU1950" t="n">
        <v>2</v>
      </c>
      <c r="AV1950" t="n">
        <v>44</v>
      </c>
      <c r="AW1950" t="n">
        <v>9</v>
      </c>
      <c r="AX1950" t="n">
        <v>1</v>
      </c>
      <c r="AY1950" t="n">
        <v>12</v>
      </c>
      <c r="AZ1950" t="n">
        <v>3</v>
      </c>
      <c r="BA1950" t="n">
        <v>11</v>
      </c>
      <c r="BB1950" t="n">
        <v>83</v>
      </c>
      <c r="BC1950" t="n">
        <v>23</v>
      </c>
      <c r="BD1950" t="n">
        <v>48</v>
      </c>
      <c r="BE1950" t="n">
        <v>9</v>
      </c>
      <c r="BF1950" t="n">
        <v>5</v>
      </c>
      <c r="BG1950" t="n">
        <v>2</v>
      </c>
      <c r="BH1950" t="n">
        <v>4</v>
      </c>
      <c r="BI1950" t="n">
        <v>20</v>
      </c>
      <c r="BJ1950" t="n">
        <v>34</v>
      </c>
      <c r="BK1950" t="n">
        <v>1</v>
      </c>
      <c r="BL1950" t="n">
        <v>5</v>
      </c>
      <c r="BM1950" t="n">
        <v>0</v>
      </c>
      <c r="BN1950" t="n">
        <v>0</v>
      </c>
      <c r="BO1950" t="n">
        <v>2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4</v>
      </c>
      <c r="U1951" t="n">
        <v>0</v>
      </c>
      <c r="V1951" t="n">
        <v>0</v>
      </c>
      <c r="W1951" t="n">
        <v>1</v>
      </c>
      <c r="X1951" t="n">
        <v>0</v>
      </c>
      <c r="Y1951" t="n">
        <v>253</v>
      </c>
      <c r="Z1951" t="n">
        <v>206</v>
      </c>
      <c r="AA1951" t="n">
        <v>35</v>
      </c>
      <c r="AB1951" t="n">
        <v>1</v>
      </c>
      <c r="AC1951" t="n">
        <v>3</v>
      </c>
      <c r="AD1951" t="n">
        <v>10</v>
      </c>
      <c r="AE1951" t="n">
        <v>6</v>
      </c>
      <c r="AF1951" t="n">
        <v>6</v>
      </c>
      <c r="AG1951" t="n">
        <v>3</v>
      </c>
      <c r="AH1951" t="n">
        <v>113</v>
      </c>
      <c r="AI1951" t="n">
        <v>33</v>
      </c>
      <c r="AJ1951" t="n">
        <v>22</v>
      </c>
      <c r="AK1951" t="n">
        <v>21</v>
      </c>
      <c r="AL1951" t="n">
        <v>6</v>
      </c>
      <c r="AM1951" t="n">
        <v>101</v>
      </c>
      <c r="AN1951" t="n">
        <v>0</v>
      </c>
      <c r="AO1951" t="n">
        <v>1</v>
      </c>
      <c r="AP1951" t="n">
        <v>3</v>
      </c>
      <c r="AQ1951" t="n">
        <v>35</v>
      </c>
      <c r="AR1951" t="n">
        <v>113</v>
      </c>
      <c r="AS1951" t="n">
        <v>83</v>
      </c>
      <c r="AT1951" t="n">
        <v>6</v>
      </c>
      <c r="AU1951" t="n">
        <v>1</v>
      </c>
      <c r="AV1951" t="n">
        <v>47</v>
      </c>
      <c r="AW1951" t="n">
        <v>12</v>
      </c>
      <c r="AX1951" t="n">
        <v>4</v>
      </c>
      <c r="AY1951" t="n">
        <v>29</v>
      </c>
      <c r="AZ1951" t="n">
        <v>1</v>
      </c>
      <c r="BA1951" t="n">
        <v>29</v>
      </c>
      <c r="BB1951" t="n">
        <v>64</v>
      </c>
      <c r="BC1951" t="n">
        <v>91</v>
      </c>
      <c r="BD1951" t="n">
        <v>101</v>
      </c>
      <c r="BE1951" t="n">
        <v>24</v>
      </c>
      <c r="BF1951" t="n">
        <v>18</v>
      </c>
      <c r="BG1951" t="n">
        <v>4</v>
      </c>
      <c r="BH1951" t="n">
        <v>8</v>
      </c>
      <c r="BI1951" t="n">
        <v>41</v>
      </c>
      <c r="BJ1951" t="n">
        <v>46</v>
      </c>
      <c r="BK1951" t="n">
        <v>5</v>
      </c>
      <c r="BL1951" t="n">
        <v>28</v>
      </c>
      <c r="BM1951" t="n">
        <v>40</v>
      </c>
      <c r="BN1951" t="n">
        <v>15</v>
      </c>
      <c r="BO1951" t="n">
        <v>28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3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163</v>
      </c>
      <c r="Z1952" t="n">
        <v>146</v>
      </c>
      <c r="AA1952" t="n">
        <v>53</v>
      </c>
      <c r="AB1952" t="n">
        <v>3</v>
      </c>
      <c r="AC1952" t="n">
        <v>0</v>
      </c>
      <c r="AD1952" t="n">
        <v>6</v>
      </c>
      <c r="AE1952" t="n">
        <v>3</v>
      </c>
      <c r="AF1952" t="n">
        <v>2</v>
      </c>
      <c r="AG1952" t="n">
        <v>5</v>
      </c>
      <c r="AH1952" t="n">
        <v>60</v>
      </c>
      <c r="AI1952" t="n">
        <v>21</v>
      </c>
      <c r="AJ1952" t="n">
        <v>21</v>
      </c>
      <c r="AK1952" t="n">
        <v>44</v>
      </c>
      <c r="AL1952" t="n">
        <v>2</v>
      </c>
      <c r="AM1952" t="n">
        <v>51</v>
      </c>
      <c r="AN1952" t="n">
        <v>0</v>
      </c>
      <c r="AO1952" t="n">
        <v>0</v>
      </c>
      <c r="AP1952" t="n">
        <v>5</v>
      </c>
      <c r="AQ1952" t="n">
        <v>71</v>
      </c>
      <c r="AR1952" t="n">
        <v>172</v>
      </c>
      <c r="AS1952" t="n">
        <v>109</v>
      </c>
      <c r="AT1952" t="n">
        <v>1</v>
      </c>
      <c r="AU1952" t="n">
        <v>1</v>
      </c>
      <c r="AV1952" t="n">
        <v>1</v>
      </c>
      <c r="AW1952" t="n">
        <v>9</v>
      </c>
      <c r="AX1952" t="n">
        <v>0</v>
      </c>
      <c r="AY1952" t="n">
        <v>1</v>
      </c>
      <c r="AZ1952" t="n">
        <v>0</v>
      </c>
      <c r="BA1952" t="n">
        <v>1</v>
      </c>
      <c r="BB1952" t="n">
        <v>53</v>
      </c>
      <c r="BC1952" t="n">
        <v>48</v>
      </c>
      <c r="BD1952" t="n">
        <v>53</v>
      </c>
      <c r="BE1952" t="n">
        <v>9</v>
      </c>
      <c r="BF1952" t="n">
        <v>20</v>
      </c>
      <c r="BG1952" t="n">
        <v>0</v>
      </c>
      <c r="BH1952" t="n">
        <v>0</v>
      </c>
      <c r="BI1952" t="n">
        <v>1</v>
      </c>
      <c r="BJ1952" t="n">
        <v>13</v>
      </c>
      <c r="BK1952" t="n">
        <v>1</v>
      </c>
      <c r="BL1952" t="n">
        <v>8</v>
      </c>
      <c r="BM1952" t="n">
        <v>14</v>
      </c>
      <c r="BN1952" t="n">
        <v>6</v>
      </c>
      <c r="BO1952" t="n">
        <v>2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196</v>
      </c>
      <c r="Z1953" t="n">
        <v>138</v>
      </c>
      <c r="AA1953" t="n">
        <v>98</v>
      </c>
      <c r="AB1953" t="n">
        <v>1</v>
      </c>
      <c r="AC1953" t="n">
        <v>0</v>
      </c>
      <c r="AD1953" t="n">
        <v>7</v>
      </c>
      <c r="AE1953" t="n">
        <v>2</v>
      </c>
      <c r="AF1953" t="n">
        <v>4</v>
      </c>
      <c r="AG1953" t="n">
        <v>3</v>
      </c>
      <c r="AH1953" t="n">
        <v>86</v>
      </c>
      <c r="AI1953" t="n">
        <v>12</v>
      </c>
      <c r="AJ1953" t="n">
        <v>29</v>
      </c>
      <c r="AK1953" t="n">
        <v>39</v>
      </c>
      <c r="AL1953" t="n">
        <v>3</v>
      </c>
      <c r="AM1953" t="n">
        <v>46</v>
      </c>
      <c r="AN1953" t="n">
        <v>0</v>
      </c>
      <c r="AO1953" t="n">
        <v>0</v>
      </c>
      <c r="AP1953" t="n">
        <v>3</v>
      </c>
      <c r="AQ1953" t="n">
        <v>12</v>
      </c>
      <c r="AR1953" t="n">
        <v>142</v>
      </c>
      <c r="AS1953" t="n">
        <v>126</v>
      </c>
      <c r="AT1953" t="n">
        <v>0</v>
      </c>
      <c r="AU1953" t="n">
        <v>0</v>
      </c>
      <c r="AV1953" t="n">
        <v>8</v>
      </c>
      <c r="AW1953" t="n">
        <v>5</v>
      </c>
      <c r="AX1953" t="n">
        <v>0</v>
      </c>
      <c r="AY1953" t="n">
        <v>15</v>
      </c>
      <c r="AZ1953" t="n">
        <v>3</v>
      </c>
      <c r="BA1953" t="n">
        <v>23</v>
      </c>
      <c r="BB1953" t="n">
        <v>117</v>
      </c>
      <c r="BC1953" t="n">
        <v>59</v>
      </c>
      <c r="BD1953" t="n">
        <v>83</v>
      </c>
      <c r="BE1953" t="n">
        <v>7</v>
      </c>
      <c r="BF1953" t="n">
        <v>24</v>
      </c>
      <c r="BG1953" t="n">
        <v>0</v>
      </c>
      <c r="BH1953" t="n">
        <v>7</v>
      </c>
      <c r="BI1953" t="n">
        <v>2</v>
      </c>
      <c r="BJ1953" t="n">
        <v>1</v>
      </c>
      <c r="BK1953" t="n">
        <v>0</v>
      </c>
      <c r="BL1953" t="n">
        <v>1</v>
      </c>
      <c r="BM1953" t="n">
        <v>20</v>
      </c>
      <c r="BN1953" t="n">
        <v>11</v>
      </c>
      <c r="BO1953" t="n">
        <v>25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160</v>
      </c>
      <c r="Z1954" t="n">
        <v>193</v>
      </c>
      <c r="AA1954" t="n">
        <v>81</v>
      </c>
      <c r="AB1954" t="n">
        <v>2</v>
      </c>
      <c r="AC1954" t="n">
        <v>1</v>
      </c>
      <c r="AD1954" t="n">
        <v>2</v>
      </c>
      <c r="AE1954" t="n">
        <v>2</v>
      </c>
      <c r="AF1954" t="n">
        <v>1</v>
      </c>
      <c r="AG1954" t="n">
        <v>0</v>
      </c>
      <c r="AH1954" t="n">
        <v>19</v>
      </c>
      <c r="AI1954" t="n">
        <v>2</v>
      </c>
      <c r="AJ1954" t="n">
        <v>6</v>
      </c>
      <c r="AK1954" t="n">
        <v>41</v>
      </c>
      <c r="AL1954" t="n">
        <v>4</v>
      </c>
      <c r="AM1954" t="n">
        <v>18</v>
      </c>
      <c r="AN1954" t="n">
        <v>0</v>
      </c>
      <c r="AO1954" t="n">
        <v>1</v>
      </c>
      <c r="AP1954" t="n">
        <v>2</v>
      </c>
      <c r="AQ1954" t="n">
        <v>9</v>
      </c>
      <c r="AR1954" t="n">
        <v>151</v>
      </c>
      <c r="AS1954" t="n">
        <v>138</v>
      </c>
      <c r="AT1954" t="n">
        <v>3</v>
      </c>
      <c r="AU1954" t="n">
        <v>3</v>
      </c>
      <c r="AV1954" t="n">
        <v>27</v>
      </c>
      <c r="AW1954" t="n">
        <v>28</v>
      </c>
      <c r="AX1954" t="n">
        <v>3</v>
      </c>
      <c r="AY1954" t="n">
        <v>69</v>
      </c>
      <c r="AZ1954" t="n">
        <v>7</v>
      </c>
      <c r="BA1954" t="n">
        <v>55</v>
      </c>
      <c r="BB1954" t="n">
        <v>137</v>
      </c>
      <c r="BC1954" t="n">
        <v>19</v>
      </c>
      <c r="BD1954" t="n">
        <v>19</v>
      </c>
      <c r="BE1954" t="n">
        <v>28</v>
      </c>
      <c r="BF1954" t="n">
        <v>4</v>
      </c>
      <c r="BG1954" t="n">
        <v>1</v>
      </c>
      <c r="BH1954" t="n">
        <v>0</v>
      </c>
      <c r="BI1954" t="n">
        <v>60</v>
      </c>
      <c r="BJ1954" t="n">
        <v>59</v>
      </c>
      <c r="BK1954" t="n">
        <v>0</v>
      </c>
      <c r="BL1954" t="n">
        <v>1</v>
      </c>
      <c r="BM1954" t="n">
        <v>7</v>
      </c>
      <c r="BN1954" t="n">
        <v>4</v>
      </c>
      <c r="BO1954" t="n">
        <v>40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205</v>
      </c>
      <c r="Z1955" t="n">
        <v>216</v>
      </c>
      <c r="AA1955" t="n">
        <v>76</v>
      </c>
      <c r="AB1955" t="n">
        <v>0</v>
      </c>
      <c r="AC1955" t="n">
        <v>1</v>
      </c>
      <c r="AD1955" t="n">
        <v>4</v>
      </c>
      <c r="AE1955" t="n">
        <v>4</v>
      </c>
      <c r="AF1955" t="n">
        <v>5</v>
      </c>
      <c r="AG1955" t="n">
        <v>2</v>
      </c>
      <c r="AH1955" t="n">
        <v>28</v>
      </c>
      <c r="AI1955" t="n">
        <v>86</v>
      </c>
      <c r="AJ1955" t="n">
        <v>39</v>
      </c>
      <c r="AK1955" t="n">
        <v>33</v>
      </c>
      <c r="AL1955" t="n">
        <v>3</v>
      </c>
      <c r="AM1955" t="n">
        <v>31</v>
      </c>
      <c r="AN1955" t="n">
        <v>0</v>
      </c>
      <c r="AO1955" t="n">
        <v>0</v>
      </c>
      <c r="AP1955" t="n">
        <v>8</v>
      </c>
      <c r="AQ1955" t="n">
        <v>35</v>
      </c>
      <c r="AR1955" t="n">
        <v>123</v>
      </c>
      <c r="AS1955" t="n">
        <v>93</v>
      </c>
      <c r="AT1955" t="n">
        <v>0</v>
      </c>
      <c r="AU1955" t="n">
        <v>2</v>
      </c>
      <c r="AV1955" t="n">
        <v>13</v>
      </c>
      <c r="AW1955" t="n">
        <v>21</v>
      </c>
      <c r="AX1955" t="n">
        <v>0</v>
      </c>
      <c r="AY1955" t="n">
        <v>67</v>
      </c>
      <c r="AZ1955" t="n">
        <v>1</v>
      </c>
      <c r="BA1955" t="n">
        <v>8</v>
      </c>
      <c r="BB1955" t="n">
        <v>78</v>
      </c>
      <c r="BC1955" t="n">
        <v>25</v>
      </c>
      <c r="BD1955" t="n">
        <v>31</v>
      </c>
      <c r="BE1955" t="n">
        <v>22</v>
      </c>
      <c r="BF1955" t="n">
        <v>31</v>
      </c>
      <c r="BG1955" t="n">
        <v>0</v>
      </c>
      <c r="BH1955" t="n">
        <v>16</v>
      </c>
      <c r="BI1955" t="n">
        <v>8</v>
      </c>
      <c r="BJ1955" t="n">
        <v>7</v>
      </c>
      <c r="BK1955" t="n">
        <v>2</v>
      </c>
      <c r="BL1955" t="n">
        <v>1</v>
      </c>
      <c r="BM1955" t="n">
        <v>4</v>
      </c>
      <c r="BN1955" t="n">
        <v>1</v>
      </c>
      <c r="BO1955" t="n">
        <v>2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2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254</v>
      </c>
      <c r="Z1956" t="n">
        <v>133</v>
      </c>
      <c r="AA1956" t="n">
        <v>52</v>
      </c>
      <c r="AB1956" t="n">
        <v>2</v>
      </c>
      <c r="AC1956" t="n">
        <v>0</v>
      </c>
      <c r="AD1956" t="n">
        <v>4</v>
      </c>
      <c r="AE1956" t="n">
        <v>5</v>
      </c>
      <c r="AF1956" t="n">
        <v>6</v>
      </c>
      <c r="AG1956" t="n">
        <v>1</v>
      </c>
      <c r="AH1956" t="n">
        <v>48</v>
      </c>
      <c r="AI1956" t="n">
        <v>25</v>
      </c>
      <c r="AJ1956" t="n">
        <v>65</v>
      </c>
      <c r="AK1956" t="n">
        <v>12</v>
      </c>
      <c r="AL1956" t="n">
        <v>1</v>
      </c>
      <c r="AM1956" t="n">
        <v>24</v>
      </c>
      <c r="AN1956" t="n">
        <v>0</v>
      </c>
      <c r="AO1956" t="n">
        <v>0</v>
      </c>
      <c r="AP1956" t="n">
        <v>7</v>
      </c>
      <c r="AQ1956" t="n">
        <v>102</v>
      </c>
      <c r="AR1956" t="n">
        <v>118</v>
      </c>
      <c r="AS1956" t="n">
        <v>27</v>
      </c>
      <c r="AT1956" t="n">
        <v>1</v>
      </c>
      <c r="AU1956" t="n">
        <v>2</v>
      </c>
      <c r="AV1956" t="n">
        <v>24</v>
      </c>
      <c r="AW1956" t="n">
        <v>35</v>
      </c>
      <c r="AX1956" t="n">
        <v>7</v>
      </c>
      <c r="AY1956" t="n">
        <v>27</v>
      </c>
      <c r="AZ1956" t="n">
        <v>0</v>
      </c>
      <c r="BA1956" t="n">
        <v>1</v>
      </c>
      <c r="BB1956" t="n">
        <v>52</v>
      </c>
      <c r="BC1956" t="n">
        <v>24</v>
      </c>
      <c r="BD1956" t="n">
        <v>52</v>
      </c>
      <c r="BE1956" t="n">
        <v>43</v>
      </c>
      <c r="BF1956" t="n">
        <v>51</v>
      </c>
      <c r="BG1956" t="n">
        <v>1</v>
      </c>
      <c r="BH1956" t="n">
        <v>0</v>
      </c>
      <c r="BI1956" t="n">
        <v>29</v>
      </c>
      <c r="BJ1956" t="n">
        <v>36</v>
      </c>
      <c r="BK1956" t="n">
        <v>1</v>
      </c>
      <c r="BL1956" t="n">
        <v>1</v>
      </c>
      <c r="BM1956" t="n">
        <v>14</v>
      </c>
      <c r="BN1956" t="n">
        <v>8</v>
      </c>
      <c r="BO1956" t="n">
        <v>68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2</v>
      </c>
      <c r="T1957" t="n">
        <v>2</v>
      </c>
      <c r="U1957" t="n">
        <v>0</v>
      </c>
      <c r="V1957" t="n">
        <v>0</v>
      </c>
      <c r="W1957" t="n">
        <v>0</v>
      </c>
      <c r="X1957" t="n">
        <v>0</v>
      </c>
      <c r="Y1957" t="n">
        <v>209</v>
      </c>
      <c r="Z1957" t="n">
        <v>245</v>
      </c>
      <c r="AA1957" t="n">
        <v>80</v>
      </c>
      <c r="AB1957" t="n">
        <v>1</v>
      </c>
      <c r="AC1957" t="n">
        <v>1</v>
      </c>
      <c r="AD1957" t="n">
        <v>2</v>
      </c>
      <c r="AE1957" t="n">
        <v>4</v>
      </c>
      <c r="AF1957" t="n">
        <v>3</v>
      </c>
      <c r="AG1957" t="n">
        <v>0</v>
      </c>
      <c r="AH1957" t="n">
        <v>42</v>
      </c>
      <c r="AI1957" t="n">
        <v>49</v>
      </c>
      <c r="AJ1957" t="n">
        <v>53</v>
      </c>
      <c r="AK1957" t="n">
        <v>60</v>
      </c>
      <c r="AL1957" t="n">
        <v>3</v>
      </c>
      <c r="AM1957" t="n">
        <v>32</v>
      </c>
      <c r="AN1957" t="n">
        <v>0</v>
      </c>
      <c r="AO1957" t="n">
        <v>0</v>
      </c>
      <c r="AP1957" t="n">
        <v>0</v>
      </c>
      <c r="AQ1957" t="n">
        <v>1</v>
      </c>
      <c r="AR1957" t="n">
        <v>88</v>
      </c>
      <c r="AS1957" t="n">
        <v>82</v>
      </c>
      <c r="AT1957" t="n">
        <v>2</v>
      </c>
      <c r="AU1957" t="n">
        <v>1</v>
      </c>
      <c r="AV1957" t="n">
        <v>10</v>
      </c>
      <c r="AW1957" t="n">
        <v>27</v>
      </c>
      <c r="AX1957" t="n">
        <v>0</v>
      </c>
      <c r="AY1957" t="n">
        <v>34</v>
      </c>
      <c r="AZ1957" t="n">
        <v>3</v>
      </c>
      <c r="BA1957" t="n">
        <v>15</v>
      </c>
      <c r="BB1957" t="n">
        <v>91</v>
      </c>
      <c r="BC1957" t="n">
        <v>31</v>
      </c>
      <c r="BD1957" t="n">
        <v>42</v>
      </c>
      <c r="BE1957" t="n">
        <v>28</v>
      </c>
      <c r="BF1957" t="n">
        <v>41</v>
      </c>
      <c r="BG1957" t="n">
        <v>2</v>
      </c>
      <c r="BH1957" t="n">
        <v>3</v>
      </c>
      <c r="BI1957" t="n">
        <v>15</v>
      </c>
      <c r="BJ1957" t="n">
        <v>13</v>
      </c>
      <c r="BK1957" t="n">
        <v>1</v>
      </c>
      <c r="BL1957" t="n">
        <v>1</v>
      </c>
      <c r="BM1957" t="n">
        <v>3</v>
      </c>
      <c r="BN1957" t="n">
        <v>0</v>
      </c>
      <c r="BO1957" t="n">
        <v>35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204</v>
      </c>
      <c r="Z1958" t="n">
        <v>198</v>
      </c>
      <c r="AA1958" t="n">
        <v>93</v>
      </c>
      <c r="AB1958" t="n">
        <v>0</v>
      </c>
      <c r="AC1958" t="n">
        <v>1</v>
      </c>
      <c r="AD1958" t="n">
        <v>3</v>
      </c>
      <c r="AE1958" t="n">
        <v>3</v>
      </c>
      <c r="AF1958" t="n">
        <v>1</v>
      </c>
      <c r="AG1958" t="n">
        <v>3</v>
      </c>
      <c r="AH1958" t="n">
        <v>74</v>
      </c>
      <c r="AI1958" t="n">
        <v>7</v>
      </c>
      <c r="AJ1958" t="n">
        <v>7</v>
      </c>
      <c r="AK1958" t="n">
        <v>39</v>
      </c>
      <c r="AL1958" t="n">
        <v>4</v>
      </c>
      <c r="AM1958" t="n">
        <v>-1</v>
      </c>
      <c r="AN1958" t="n">
        <v>0</v>
      </c>
      <c r="AO1958" t="n">
        <v>0</v>
      </c>
      <c r="AP1958" t="n">
        <v>3</v>
      </c>
      <c r="AQ1958" t="n">
        <v>30</v>
      </c>
      <c r="AR1958" t="n">
        <v>136</v>
      </c>
      <c r="AS1958" t="n">
        <v>108</v>
      </c>
      <c r="AT1958" t="n">
        <v>0</v>
      </c>
      <c r="AU1958" t="n">
        <v>1</v>
      </c>
      <c r="AV1958" t="n">
        <v>1</v>
      </c>
      <c r="AW1958" t="n">
        <v>28</v>
      </c>
      <c r="AX1958" t="n">
        <v>0</v>
      </c>
      <c r="AY1958" t="n">
        <v>33</v>
      </c>
      <c r="AZ1958" t="n">
        <v>9</v>
      </c>
      <c r="BA1958" t="n">
        <v>42</v>
      </c>
      <c r="BB1958" t="n">
        <v>130</v>
      </c>
      <c r="BC1958" t="n">
        <v>7</v>
      </c>
      <c r="BD1958" t="n">
        <v>70</v>
      </c>
      <c r="BE1958" t="n">
        <v>30</v>
      </c>
      <c r="BF1958" t="n">
        <v>3</v>
      </c>
      <c r="BG1958" t="n">
        <v>1</v>
      </c>
      <c r="BH1958" t="n">
        <v>2</v>
      </c>
      <c r="BI1958" t="n">
        <v>52</v>
      </c>
      <c r="BJ1958" t="n">
        <v>50</v>
      </c>
      <c r="BK1958" t="n">
        <v>0</v>
      </c>
      <c r="BL1958" t="n">
        <v>1</v>
      </c>
      <c r="BM1958" t="n">
        <v>2</v>
      </c>
      <c r="BN1958" t="n">
        <v>0</v>
      </c>
      <c r="BO1958" t="n">
        <v>-7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3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140</v>
      </c>
      <c r="Z1959" t="n">
        <v>183</v>
      </c>
      <c r="AA1959" t="n">
        <v>61</v>
      </c>
      <c r="AB1959" t="n">
        <v>4</v>
      </c>
      <c r="AC1959" t="n">
        <v>1</v>
      </c>
      <c r="AD1959" t="n">
        <v>4</v>
      </c>
      <c r="AE1959" t="n">
        <v>3</v>
      </c>
      <c r="AF1959" t="n">
        <v>4</v>
      </c>
      <c r="AG1959" t="n">
        <v>8</v>
      </c>
      <c r="AH1959" t="n">
        <v>26</v>
      </c>
      <c r="AI1959" t="n">
        <v>32</v>
      </c>
      <c r="AJ1959" t="n">
        <v>29</v>
      </c>
      <c r="AK1959" t="n">
        <v>41</v>
      </c>
      <c r="AL1959" t="n">
        <v>5</v>
      </c>
      <c r="AM1959" t="n">
        <v>29</v>
      </c>
      <c r="AN1959" t="n">
        <v>0</v>
      </c>
      <c r="AO1959" t="n">
        <v>0</v>
      </c>
      <c r="AP1959" t="n">
        <v>6</v>
      </c>
      <c r="AQ1959" t="n">
        <v>42</v>
      </c>
      <c r="AR1959" t="n">
        <v>64</v>
      </c>
      <c r="AS1959" t="n">
        <v>28</v>
      </c>
      <c r="AT1959" t="n">
        <v>3</v>
      </c>
      <c r="AU1959" t="n">
        <v>2</v>
      </c>
      <c r="AV1959" t="n">
        <v>20</v>
      </c>
      <c r="AW1959" t="n">
        <v>4</v>
      </c>
      <c r="AX1959" t="n">
        <v>0</v>
      </c>
      <c r="AY1959" t="n">
        <v>35</v>
      </c>
      <c r="AZ1959" t="n">
        <v>4</v>
      </c>
      <c r="BA1959" t="n">
        <v>17</v>
      </c>
      <c r="BB1959" t="n">
        <v>75</v>
      </c>
      <c r="BC1959" t="n">
        <v>41</v>
      </c>
      <c r="BD1959" t="n">
        <v>24</v>
      </c>
      <c r="BE1959" t="n">
        <v>4</v>
      </c>
      <c r="BF1959" t="n">
        <v>29</v>
      </c>
      <c r="BG1959" t="n">
        <v>2</v>
      </c>
      <c r="BH1959" t="n">
        <v>0</v>
      </c>
      <c r="BI1959" t="n">
        <v>28</v>
      </c>
      <c r="BJ1959" t="n">
        <v>43</v>
      </c>
      <c r="BK1959" t="n">
        <v>3</v>
      </c>
      <c r="BL1959" t="n">
        <v>24</v>
      </c>
      <c r="BM1959" t="n">
        <v>36</v>
      </c>
      <c r="BN1959" t="n">
        <v>14</v>
      </c>
      <c r="BO1959" t="n">
        <v>18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144</v>
      </c>
      <c r="Z1960" t="n">
        <v>218</v>
      </c>
      <c r="AA1960" t="n">
        <v>77</v>
      </c>
      <c r="AB1960" t="n">
        <v>1</v>
      </c>
      <c r="AC1960" t="n">
        <v>4</v>
      </c>
      <c r="AD1960" t="n">
        <v>5</v>
      </c>
      <c r="AE1960" t="n">
        <v>7</v>
      </c>
      <c r="AF1960" t="n">
        <v>3</v>
      </c>
      <c r="AG1960" t="n">
        <v>4</v>
      </c>
      <c r="AH1960" t="n">
        <v>23</v>
      </c>
      <c r="AI1960" t="n">
        <v>66</v>
      </c>
      <c r="AJ1960" t="n">
        <v>15</v>
      </c>
      <c r="AK1960" t="n">
        <v>30</v>
      </c>
      <c r="AL1960" t="n">
        <v>3</v>
      </c>
      <c r="AM1960" t="n">
        <v>36</v>
      </c>
      <c r="AN1960" t="n">
        <v>0</v>
      </c>
      <c r="AO1960" t="n">
        <v>0</v>
      </c>
      <c r="AP1960" t="n">
        <v>3</v>
      </c>
      <c r="AQ1960" t="n">
        <v>12</v>
      </c>
      <c r="AR1960" t="n">
        <v>51</v>
      </c>
      <c r="AS1960" t="n">
        <v>40</v>
      </c>
      <c r="AT1960" t="n">
        <v>2</v>
      </c>
      <c r="AU1960" t="n">
        <v>2</v>
      </c>
      <c r="AV1960" t="n">
        <v>13</v>
      </c>
      <c r="AW1960" t="n">
        <v>8</v>
      </c>
      <c r="AX1960" t="n">
        <v>7</v>
      </c>
      <c r="AY1960" t="n">
        <v>82</v>
      </c>
      <c r="AZ1960" t="n">
        <v>2</v>
      </c>
      <c r="BA1960" t="n">
        <v>4</v>
      </c>
      <c r="BB1960" t="n">
        <v>74</v>
      </c>
      <c r="BC1960" t="n">
        <v>43</v>
      </c>
      <c r="BD1960" t="n">
        <v>25</v>
      </c>
      <c r="BE1960" t="n">
        <v>18</v>
      </c>
      <c r="BF1960" t="n">
        <v>11</v>
      </c>
      <c r="BG1960" t="n">
        <v>6</v>
      </c>
      <c r="BH1960" t="n">
        <v>6</v>
      </c>
      <c r="BI1960" t="n">
        <v>49</v>
      </c>
      <c r="BJ1960" t="n">
        <v>46</v>
      </c>
      <c r="BK1960" t="n">
        <v>0</v>
      </c>
      <c r="BL1960" t="n">
        <v>1</v>
      </c>
      <c r="BM1960" t="n">
        <v>13</v>
      </c>
      <c r="BN1960" t="n">
        <v>7</v>
      </c>
      <c r="BO1960" t="n">
        <v>4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5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194</v>
      </c>
      <c r="Z1961" t="n">
        <v>180</v>
      </c>
      <c r="AA1961" t="n">
        <v>66</v>
      </c>
      <c r="AB1961" t="n">
        <v>4</v>
      </c>
      <c r="AC1961" t="n">
        <v>0</v>
      </c>
      <c r="AD1961" t="n">
        <v>6</v>
      </c>
      <c r="AE1961" t="n">
        <v>7</v>
      </c>
      <c r="AF1961" t="n">
        <v>1</v>
      </c>
      <c r="AG1961" t="n">
        <v>2</v>
      </c>
      <c r="AH1961" t="n">
        <v>129</v>
      </c>
      <c r="AI1961" t="n">
        <v>56</v>
      </c>
      <c r="AJ1961" t="n">
        <v>2</v>
      </c>
      <c r="AK1961" t="n">
        <v>1</v>
      </c>
      <c r="AL1961" t="n">
        <v>2</v>
      </c>
      <c r="AM1961" t="n">
        <v>44</v>
      </c>
      <c r="AN1961" t="n">
        <v>0</v>
      </c>
      <c r="AO1961" t="n">
        <v>0</v>
      </c>
      <c r="AP1961" t="n">
        <v>2</v>
      </c>
      <c r="AQ1961" t="n">
        <v>1</v>
      </c>
      <c r="AR1961" t="n">
        <v>79</v>
      </c>
      <c r="AS1961" t="n">
        <v>72</v>
      </c>
      <c r="AT1961" t="n">
        <v>2</v>
      </c>
      <c r="AU1961" t="n">
        <v>1</v>
      </c>
      <c r="AV1961" t="n">
        <v>13</v>
      </c>
      <c r="AW1961" t="n">
        <v>1</v>
      </c>
      <c r="AX1961" t="n">
        <v>0</v>
      </c>
      <c r="AY1961" t="n">
        <v>23</v>
      </c>
      <c r="AZ1961" t="n">
        <v>1</v>
      </c>
      <c r="BA1961" t="n">
        <v>8</v>
      </c>
      <c r="BB1961" t="n">
        <v>70</v>
      </c>
      <c r="BC1961" t="n">
        <v>45</v>
      </c>
      <c r="BD1961" t="n">
        <v>131</v>
      </c>
      <c r="BE1961" t="n">
        <v>2</v>
      </c>
      <c r="BF1961" t="n">
        <v>2</v>
      </c>
      <c r="BG1961" t="n">
        <v>1</v>
      </c>
      <c r="BH1961" t="n">
        <v>7</v>
      </c>
      <c r="BI1961" t="n">
        <v>16</v>
      </c>
      <c r="BJ1961" t="n">
        <v>14</v>
      </c>
      <c r="BK1961" t="n">
        <v>0</v>
      </c>
      <c r="BL1961" t="n">
        <v>5</v>
      </c>
      <c r="BM1961" t="n">
        <v>14</v>
      </c>
      <c r="BN1961" t="n">
        <v>8</v>
      </c>
      <c r="BO1961" t="n">
        <v>2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2</v>
      </c>
      <c r="O1962" t="n">
        <v>0</v>
      </c>
      <c r="P1962" t="n">
        <v>0</v>
      </c>
      <c r="Q1962" t="n">
        <v>0</v>
      </c>
      <c r="R1962" t="n">
        <v>0</v>
      </c>
      <c r="S1962" t="n">
        <v>2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131</v>
      </c>
      <c r="Z1962" t="n">
        <v>219</v>
      </c>
      <c r="AA1962" t="n">
        <v>40</v>
      </c>
      <c r="AB1962" t="n">
        <v>3</v>
      </c>
      <c r="AC1962" t="n">
        <v>6</v>
      </c>
      <c r="AD1962" t="n">
        <v>2</v>
      </c>
      <c r="AE1962" t="n">
        <v>5</v>
      </c>
      <c r="AF1962" t="n">
        <v>4</v>
      </c>
      <c r="AG1962" t="n">
        <v>3</v>
      </c>
      <c r="AH1962" t="n">
        <v>8</v>
      </c>
      <c r="AI1962" t="n">
        <v>28</v>
      </c>
      <c r="AJ1962" t="n">
        <v>39</v>
      </c>
      <c r="AK1962" t="n">
        <v>53</v>
      </c>
      <c r="AL1962" t="n">
        <v>3</v>
      </c>
      <c r="AM1962" t="n">
        <v>70</v>
      </c>
      <c r="AN1962" t="n">
        <v>0</v>
      </c>
      <c r="AO1962" t="n">
        <v>0</v>
      </c>
      <c r="AP1962" t="n">
        <v>1</v>
      </c>
      <c r="AQ1962" t="n">
        <v>6</v>
      </c>
      <c r="AR1962" t="n">
        <v>140</v>
      </c>
      <c r="AS1962" t="n">
        <v>128</v>
      </c>
      <c r="AT1962" t="n">
        <v>0</v>
      </c>
      <c r="AU1962" t="n">
        <v>1</v>
      </c>
      <c r="AV1962" t="n">
        <v>1</v>
      </c>
      <c r="AW1962" t="n">
        <v>14</v>
      </c>
      <c r="AX1962" t="n">
        <v>0</v>
      </c>
      <c r="AY1962" t="n">
        <v>3</v>
      </c>
      <c r="AZ1962" t="n">
        <v>5</v>
      </c>
      <c r="BA1962" t="n">
        <v>64</v>
      </c>
      <c r="BB1962" t="n">
        <v>110</v>
      </c>
      <c r="BC1962" t="n">
        <v>58</v>
      </c>
      <c r="BD1962" t="n">
        <v>5</v>
      </c>
      <c r="BE1962" t="n">
        <v>13</v>
      </c>
      <c r="BF1962" t="n">
        <v>31</v>
      </c>
      <c r="BG1962" t="n">
        <v>1</v>
      </c>
      <c r="BH1962" t="n">
        <v>6</v>
      </c>
      <c r="BI1962" t="n">
        <v>13</v>
      </c>
      <c r="BJ1962" t="n">
        <v>18</v>
      </c>
      <c r="BK1962" t="n">
        <v>4</v>
      </c>
      <c r="BL1962" t="n">
        <v>38</v>
      </c>
      <c r="BM1962" t="n">
        <v>32</v>
      </c>
      <c r="BN1962" t="n">
        <v>5</v>
      </c>
      <c r="BO1962" t="n">
        <v>7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282</v>
      </c>
      <c r="Z1963" t="n">
        <v>154</v>
      </c>
      <c r="AA1963" t="n">
        <v>51</v>
      </c>
      <c r="AB1963" t="n">
        <v>0</v>
      </c>
      <c r="AC1963" t="n">
        <v>2</v>
      </c>
      <c r="AD1963" t="n">
        <v>5</v>
      </c>
      <c r="AE1963" t="n">
        <v>7</v>
      </c>
      <c r="AF1963" t="n">
        <v>3</v>
      </c>
      <c r="AG1963" t="n">
        <v>6</v>
      </c>
      <c r="AH1963" t="n">
        <v>29</v>
      </c>
      <c r="AI1963" t="n">
        <v>87</v>
      </c>
      <c r="AJ1963" t="n">
        <v>2</v>
      </c>
      <c r="AK1963" t="n">
        <v>77</v>
      </c>
      <c r="AL1963" t="n">
        <v>2</v>
      </c>
      <c r="AM1963" t="n">
        <v>33</v>
      </c>
      <c r="AN1963" t="n">
        <v>0</v>
      </c>
      <c r="AO1963" t="n">
        <v>0</v>
      </c>
      <c r="AP1963" t="n">
        <v>3</v>
      </c>
      <c r="AQ1963" t="n">
        <v>32</v>
      </c>
      <c r="AR1963" t="n">
        <v>71</v>
      </c>
      <c r="AS1963" t="n">
        <v>46</v>
      </c>
      <c r="AT1963" t="n">
        <v>1</v>
      </c>
      <c r="AU1963" t="n">
        <v>1</v>
      </c>
      <c r="AV1963" t="n">
        <v>8</v>
      </c>
      <c r="AW1963" t="n">
        <v>1</v>
      </c>
      <c r="AX1963" t="n">
        <v>0</v>
      </c>
      <c r="AY1963" t="n">
        <v>5</v>
      </c>
      <c r="AZ1963" t="n">
        <v>0</v>
      </c>
      <c r="BA1963" t="n">
        <v>1</v>
      </c>
      <c r="BB1963" t="n">
        <v>51</v>
      </c>
      <c r="BC1963" t="n">
        <v>31</v>
      </c>
      <c r="BD1963" t="n">
        <v>26</v>
      </c>
      <c r="BE1963" t="n">
        <v>6</v>
      </c>
      <c r="BF1963" t="n">
        <v>3</v>
      </c>
      <c r="BG1963" t="n">
        <v>2</v>
      </c>
      <c r="BH1963" t="n">
        <v>6</v>
      </c>
      <c r="BI1963" t="n">
        <v>79</v>
      </c>
      <c r="BJ1963" t="n">
        <v>74</v>
      </c>
      <c r="BK1963" t="n">
        <v>3</v>
      </c>
      <c r="BL1963" t="n">
        <v>18</v>
      </c>
      <c r="BM1963" t="n">
        <v>16</v>
      </c>
      <c r="BN1963" t="n">
        <v>4</v>
      </c>
      <c r="BO1963" t="n">
        <v>2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2</v>
      </c>
      <c r="U1964" t="n">
        <v>1</v>
      </c>
      <c r="V1964" t="n">
        <v>0</v>
      </c>
      <c r="W1964" t="n">
        <v>0</v>
      </c>
      <c r="X1964" t="n">
        <v>0</v>
      </c>
      <c r="Y1964" t="n">
        <v>144</v>
      </c>
      <c r="Z1964" t="n">
        <v>172</v>
      </c>
      <c r="AA1964" t="n">
        <v>59</v>
      </c>
      <c r="AB1964" t="n">
        <v>0</v>
      </c>
      <c r="AC1964" t="n">
        <v>1</v>
      </c>
      <c r="AD1964" t="n">
        <v>4</v>
      </c>
      <c r="AE1964" t="n">
        <v>4</v>
      </c>
      <c r="AF1964" t="n">
        <v>2</v>
      </c>
      <c r="AG1964" t="n">
        <v>3</v>
      </c>
      <c r="AH1964" t="n">
        <v>72</v>
      </c>
      <c r="AI1964" t="n">
        <v>32</v>
      </c>
      <c r="AJ1964" t="n">
        <v>14</v>
      </c>
      <c r="AK1964" t="n">
        <v>12</v>
      </c>
      <c r="AL1964" t="n">
        <v>2</v>
      </c>
      <c r="AM1964" t="n">
        <v>35</v>
      </c>
      <c r="AN1964" t="n">
        <v>0</v>
      </c>
      <c r="AO1964" t="n">
        <v>1</v>
      </c>
      <c r="AP1964" t="n">
        <v>1</v>
      </c>
      <c r="AQ1964" t="n">
        <v>1</v>
      </c>
      <c r="AR1964" t="n">
        <v>23</v>
      </c>
      <c r="AS1964" t="n">
        <v>19</v>
      </c>
      <c r="AT1964" t="n">
        <v>0</v>
      </c>
      <c r="AU1964" t="n">
        <v>0</v>
      </c>
      <c r="AV1964" t="n">
        <v>1</v>
      </c>
      <c r="AW1964" t="n">
        <v>1</v>
      </c>
      <c r="AX1964" t="n">
        <v>0</v>
      </c>
      <c r="AY1964" t="n">
        <v>17</v>
      </c>
      <c r="AZ1964" t="n">
        <v>2</v>
      </c>
      <c r="BA1964" t="n">
        <v>10</v>
      </c>
      <c r="BB1964" t="n">
        <v>64</v>
      </c>
      <c r="BC1964" t="n">
        <v>29</v>
      </c>
      <c r="BD1964" t="n">
        <v>63</v>
      </c>
      <c r="BE1964" t="n">
        <v>1</v>
      </c>
      <c r="BF1964" t="n">
        <v>32</v>
      </c>
      <c r="BG1964" t="n">
        <v>2</v>
      </c>
      <c r="BH1964" t="n">
        <v>2</v>
      </c>
      <c r="BI1964" t="n">
        <v>16</v>
      </c>
      <c r="BJ1964" t="n">
        <v>16</v>
      </c>
      <c r="BK1964" t="n">
        <v>3</v>
      </c>
      <c r="BL1964" t="n">
        <v>18</v>
      </c>
      <c r="BM1964" t="n">
        <v>20</v>
      </c>
      <c r="BN1964" t="n">
        <v>6</v>
      </c>
      <c r="BO1964" t="n">
        <v>23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2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164</v>
      </c>
      <c r="Z1965" t="n">
        <v>159</v>
      </c>
      <c r="AA1965" t="n">
        <v>90</v>
      </c>
      <c r="AB1965" t="n">
        <v>1</v>
      </c>
      <c r="AC1965" t="n">
        <v>2</v>
      </c>
      <c r="AD1965" t="n">
        <v>3</v>
      </c>
      <c r="AE1965" t="n">
        <v>1</v>
      </c>
      <c r="AF1965" t="n">
        <v>3</v>
      </c>
      <c r="AG1965" t="n">
        <v>2</v>
      </c>
      <c r="AH1965" t="n">
        <v>42</v>
      </c>
      <c r="AI1965" t="n">
        <v>2</v>
      </c>
      <c r="AJ1965" t="n">
        <v>24</v>
      </c>
      <c r="AK1965" t="n">
        <v>10</v>
      </c>
      <c r="AL1965" t="n">
        <v>8</v>
      </c>
      <c r="AM1965" t="n">
        <v>87</v>
      </c>
      <c r="AN1965" t="n">
        <v>0</v>
      </c>
      <c r="AO1965" t="n">
        <v>0</v>
      </c>
      <c r="AP1965" t="n">
        <v>0</v>
      </c>
      <c r="AQ1965" t="n">
        <v>1</v>
      </c>
      <c r="AR1965" t="n">
        <v>62</v>
      </c>
      <c r="AS1965" t="n">
        <v>55</v>
      </c>
      <c r="AT1965" t="n">
        <v>2</v>
      </c>
      <c r="AU1965" t="n">
        <v>2</v>
      </c>
      <c r="AV1965" t="n">
        <v>27</v>
      </c>
      <c r="AW1965" t="n">
        <v>5</v>
      </c>
      <c r="AX1965" t="n">
        <v>0</v>
      </c>
      <c r="AY1965" t="n">
        <v>40</v>
      </c>
      <c r="AZ1965" t="n">
        <v>6</v>
      </c>
      <c r="BA1965" t="n">
        <v>37</v>
      </c>
      <c r="BB1965" t="n">
        <v>124</v>
      </c>
      <c r="BC1965" t="n">
        <v>72</v>
      </c>
      <c r="BD1965" t="n">
        <v>38</v>
      </c>
      <c r="BE1965" t="n">
        <v>5</v>
      </c>
      <c r="BF1965" t="n">
        <v>26</v>
      </c>
      <c r="BG1965" t="n">
        <v>3</v>
      </c>
      <c r="BH1965" t="n">
        <v>5</v>
      </c>
      <c r="BI1965" t="n">
        <v>25</v>
      </c>
      <c r="BJ1965" t="n">
        <v>25</v>
      </c>
      <c r="BK1965" t="n">
        <v>0</v>
      </c>
      <c r="BL1965" t="n">
        <v>5</v>
      </c>
      <c r="BM1965" t="n">
        <v>13</v>
      </c>
      <c r="BN1965" t="n">
        <v>8</v>
      </c>
      <c r="BO1965" t="n">
        <v>2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3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131</v>
      </c>
      <c r="Z1966" t="n">
        <v>189</v>
      </c>
      <c r="AA1966" t="n">
        <v>130</v>
      </c>
      <c r="AB1966" t="n">
        <v>1</v>
      </c>
      <c r="AC1966" t="n">
        <v>1</v>
      </c>
      <c r="AD1966" t="n">
        <v>2</v>
      </c>
      <c r="AE1966" t="n">
        <v>8</v>
      </c>
      <c r="AF1966" t="n">
        <v>2</v>
      </c>
      <c r="AG1966" t="n">
        <v>6</v>
      </c>
      <c r="AH1966" t="n">
        <v>13</v>
      </c>
      <c r="AI1966" t="n">
        <v>81</v>
      </c>
      <c r="AJ1966" t="n">
        <v>11</v>
      </c>
      <c r="AK1966" t="n">
        <v>42</v>
      </c>
      <c r="AL1966" t="n">
        <v>6</v>
      </c>
      <c r="AM1966" t="n">
        <v>66</v>
      </c>
      <c r="AN1966" t="n">
        <v>0</v>
      </c>
      <c r="AO1966" t="n">
        <v>0</v>
      </c>
      <c r="AP1966" t="n">
        <v>6</v>
      </c>
      <c r="AQ1966" t="n">
        <v>76</v>
      </c>
      <c r="AR1966" t="n">
        <v>222</v>
      </c>
      <c r="AS1966" t="n">
        <v>158</v>
      </c>
      <c r="AT1966" t="n">
        <v>1</v>
      </c>
      <c r="AU1966" t="n">
        <v>1</v>
      </c>
      <c r="AV1966" t="n">
        <v>11</v>
      </c>
      <c r="AW1966" t="n">
        <v>7</v>
      </c>
      <c r="AX1966" t="n">
        <v>9</v>
      </c>
      <c r="AY1966" t="n">
        <v>17</v>
      </c>
      <c r="AZ1966" t="n">
        <v>4</v>
      </c>
      <c r="BA1966" t="n">
        <v>17</v>
      </c>
      <c r="BB1966" t="n">
        <v>138</v>
      </c>
      <c r="BC1966" t="n">
        <v>58</v>
      </c>
      <c r="BD1966" t="n">
        <v>35</v>
      </c>
      <c r="BE1966" t="n">
        <v>7</v>
      </c>
      <c r="BF1966" t="n">
        <v>25</v>
      </c>
      <c r="BG1966" t="n">
        <v>0</v>
      </c>
      <c r="BH1966" t="n">
        <v>7</v>
      </c>
      <c r="BI1966" t="n">
        <v>1</v>
      </c>
      <c r="BJ1966" t="n">
        <v>4</v>
      </c>
      <c r="BK1966" t="n">
        <v>0</v>
      </c>
      <c r="BL1966" t="n">
        <v>1</v>
      </c>
      <c r="BM1966" t="n">
        <v>9</v>
      </c>
      <c r="BN1966" t="n">
        <v>5</v>
      </c>
      <c r="BO1966" t="n">
        <v>4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3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153</v>
      </c>
      <c r="Z1967" t="n">
        <v>183</v>
      </c>
      <c r="AA1967" t="n">
        <v>51</v>
      </c>
      <c r="AB1967" t="n">
        <v>1</v>
      </c>
      <c r="AC1967" t="n">
        <v>2</v>
      </c>
      <c r="AD1967" t="n">
        <v>2</v>
      </c>
      <c r="AE1967" t="n">
        <v>0</v>
      </c>
      <c r="AF1967" t="n">
        <v>5</v>
      </c>
      <c r="AG1967" t="n">
        <v>3</v>
      </c>
      <c r="AH1967" t="n">
        <v>2</v>
      </c>
      <c r="AI1967" t="n">
        <v>2</v>
      </c>
      <c r="AJ1967" t="n">
        <v>21</v>
      </c>
      <c r="AK1967" t="n">
        <v>30</v>
      </c>
      <c r="AL1967" t="n">
        <v>2</v>
      </c>
      <c r="AM1967" t="n">
        <v>31</v>
      </c>
      <c r="AN1967" t="n">
        <v>0</v>
      </c>
      <c r="AO1967" t="n">
        <v>0</v>
      </c>
      <c r="AP1967" t="n">
        <v>6</v>
      </c>
      <c r="AQ1967" t="n">
        <v>29</v>
      </c>
      <c r="AR1967" t="n">
        <v>55</v>
      </c>
      <c r="AS1967" t="n">
        <v>32</v>
      </c>
      <c r="AT1967" t="n">
        <v>2</v>
      </c>
      <c r="AU1967" t="n">
        <v>2</v>
      </c>
      <c r="AV1967" t="n">
        <v>24</v>
      </c>
      <c r="AW1967" t="n">
        <v>48</v>
      </c>
      <c r="AX1967" t="n">
        <v>6</v>
      </c>
      <c r="AY1967" t="n">
        <v>61</v>
      </c>
      <c r="AZ1967" t="n">
        <v>1</v>
      </c>
      <c r="BA1967" t="n">
        <v>3</v>
      </c>
      <c r="BB1967" t="n">
        <v>51</v>
      </c>
      <c r="BC1967" t="n">
        <v>25</v>
      </c>
      <c r="BD1967" t="n">
        <v>9</v>
      </c>
      <c r="BE1967" t="n">
        <v>49</v>
      </c>
      <c r="BF1967" t="n">
        <v>21</v>
      </c>
      <c r="BG1967" t="n">
        <v>1</v>
      </c>
      <c r="BH1967" t="n">
        <v>0</v>
      </c>
      <c r="BI1967" t="n">
        <v>20</v>
      </c>
      <c r="BJ1967" t="n">
        <v>18</v>
      </c>
      <c r="BK1967" t="n">
        <v>3</v>
      </c>
      <c r="BL1967" t="n">
        <v>37</v>
      </c>
      <c r="BM1967" t="n">
        <v>28</v>
      </c>
      <c r="BN1967" t="n">
        <v>4</v>
      </c>
      <c r="BO1967" t="n">
        <v>11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166</v>
      </c>
      <c r="Z1968" t="n">
        <v>172</v>
      </c>
      <c r="AA1968" t="n">
        <v>34</v>
      </c>
      <c r="AB1968" t="n">
        <v>0</v>
      </c>
      <c r="AC1968" t="n">
        <v>0</v>
      </c>
      <c r="AD1968" t="n">
        <v>4</v>
      </c>
      <c r="AE1968" t="n">
        <v>0</v>
      </c>
      <c r="AF1968" t="n">
        <v>3</v>
      </c>
      <c r="AG1968" t="n">
        <v>1</v>
      </c>
      <c r="AH1968" t="n">
        <v>40</v>
      </c>
      <c r="AI1968" t="n">
        <v>10</v>
      </c>
      <c r="AJ1968" t="n">
        <v>70</v>
      </c>
      <c r="AK1968" t="n">
        <v>10</v>
      </c>
      <c r="AL1968" t="n">
        <v>0</v>
      </c>
      <c r="AM1968" t="n">
        <v>2</v>
      </c>
      <c r="AN1968" t="n">
        <v>0</v>
      </c>
      <c r="AO1968" t="n">
        <v>0</v>
      </c>
      <c r="AP1968" t="n">
        <v>7</v>
      </c>
      <c r="AQ1968" t="n">
        <v>18</v>
      </c>
      <c r="AR1968" t="n">
        <v>68</v>
      </c>
      <c r="AS1968" t="n">
        <v>53</v>
      </c>
      <c r="AT1968" t="n">
        <v>2</v>
      </c>
      <c r="AU1968" t="n">
        <v>3</v>
      </c>
      <c r="AV1968" t="n">
        <v>31</v>
      </c>
      <c r="AW1968" t="n">
        <v>23</v>
      </c>
      <c r="AX1968" t="n">
        <v>1</v>
      </c>
      <c r="AY1968" t="n">
        <v>9</v>
      </c>
      <c r="AZ1968" t="n">
        <v>3</v>
      </c>
      <c r="BA1968" t="n">
        <v>52</v>
      </c>
      <c r="BB1968" t="n">
        <v>92</v>
      </c>
      <c r="BC1968" t="n">
        <v>17</v>
      </c>
      <c r="BD1968" t="n">
        <v>35</v>
      </c>
      <c r="BE1968" t="n">
        <v>23</v>
      </c>
      <c r="BF1968" t="n">
        <v>56</v>
      </c>
      <c r="BG1968" t="n">
        <v>2</v>
      </c>
      <c r="BH1968" t="n">
        <v>6</v>
      </c>
      <c r="BI1968" t="n">
        <v>29</v>
      </c>
      <c r="BJ1968" t="n">
        <v>26</v>
      </c>
      <c r="BK1968" t="n">
        <v>3</v>
      </c>
      <c r="BL1968" t="n">
        <v>1</v>
      </c>
      <c r="BM1968" t="n">
        <v>1</v>
      </c>
      <c r="BN1968" t="n">
        <v>0</v>
      </c>
      <c r="BO1968" t="n">
        <v>11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3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159</v>
      </c>
      <c r="Z1969" t="n">
        <v>177</v>
      </c>
      <c r="AA1969" t="n">
        <v>41</v>
      </c>
      <c r="AB1969" t="n">
        <v>0</v>
      </c>
      <c r="AC1969" t="n">
        <v>2</v>
      </c>
      <c r="AD1969" t="n">
        <v>2</v>
      </c>
      <c r="AE1969" t="n">
        <v>11</v>
      </c>
      <c r="AF1969" t="n">
        <v>4</v>
      </c>
      <c r="AG1969" t="n">
        <v>3</v>
      </c>
      <c r="AH1969" t="n">
        <v>35</v>
      </c>
      <c r="AI1969" t="n">
        <v>134</v>
      </c>
      <c r="AJ1969" t="n">
        <v>48</v>
      </c>
      <c r="AK1969" t="n">
        <v>32</v>
      </c>
      <c r="AL1969" t="n">
        <v>1</v>
      </c>
      <c r="AM1969" t="n">
        <v>27</v>
      </c>
      <c r="AN1969" t="n">
        <v>0</v>
      </c>
      <c r="AO1969" t="n">
        <v>0</v>
      </c>
      <c r="AP1969" t="n">
        <v>1</v>
      </c>
      <c r="AQ1969" t="n">
        <v>12</v>
      </c>
      <c r="AR1969" t="n">
        <v>126</v>
      </c>
      <c r="AS1969" t="n">
        <v>110</v>
      </c>
      <c r="AT1969" t="n">
        <v>1</v>
      </c>
      <c r="AU1969" t="n">
        <v>0</v>
      </c>
      <c r="AV1969" t="n">
        <v>10</v>
      </c>
      <c r="AW1969" t="n">
        <v>1</v>
      </c>
      <c r="AX1969" t="n">
        <v>0</v>
      </c>
      <c r="AY1969" t="n">
        <v>67</v>
      </c>
      <c r="AZ1969" t="n">
        <v>2</v>
      </c>
      <c r="BA1969" t="n">
        <v>5</v>
      </c>
      <c r="BB1969" t="n">
        <v>42</v>
      </c>
      <c r="BC1969" t="n">
        <v>29</v>
      </c>
      <c r="BD1969" t="n">
        <v>31</v>
      </c>
      <c r="BE1969" t="n">
        <v>2</v>
      </c>
      <c r="BF1969" t="n">
        <v>40</v>
      </c>
      <c r="BG1969" t="n">
        <v>3</v>
      </c>
      <c r="BH1969" t="n">
        <v>2</v>
      </c>
      <c r="BI1969" t="n">
        <v>53</v>
      </c>
      <c r="BJ1969" t="n">
        <v>57</v>
      </c>
      <c r="BK1969" t="n">
        <v>0</v>
      </c>
      <c r="BL1969" t="n">
        <v>1</v>
      </c>
      <c r="BM1969" t="n">
        <v>6</v>
      </c>
      <c r="BN1969" t="n">
        <v>3</v>
      </c>
      <c r="BO1969" t="n">
        <v>2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323</v>
      </c>
      <c r="Z1970" t="n">
        <v>276</v>
      </c>
      <c r="AA1970" t="n">
        <v>69</v>
      </c>
      <c r="AB1970" t="n">
        <v>2</v>
      </c>
      <c r="AC1970" t="n">
        <v>0</v>
      </c>
      <c r="AD1970" t="n">
        <v>5</v>
      </c>
      <c r="AE1970" t="n">
        <v>6</v>
      </c>
      <c r="AF1970" t="n">
        <v>4</v>
      </c>
      <c r="AG1970" t="n">
        <v>14</v>
      </c>
      <c r="AH1970" t="n">
        <v>56</v>
      </c>
      <c r="AI1970" t="n">
        <v>55</v>
      </c>
      <c r="AJ1970" t="n">
        <v>23</v>
      </c>
      <c r="AK1970" t="n">
        <v>173</v>
      </c>
      <c r="AL1970" t="n">
        <v>3</v>
      </c>
      <c r="AM1970" t="n">
        <v>37</v>
      </c>
      <c r="AN1970" t="n">
        <v>0</v>
      </c>
      <c r="AO1970" t="n">
        <v>0</v>
      </c>
      <c r="AP1970" t="n">
        <v>4</v>
      </c>
      <c r="AQ1970" t="n">
        <v>47</v>
      </c>
      <c r="AR1970" t="n">
        <v>265</v>
      </c>
      <c r="AS1970" t="n">
        <v>228</v>
      </c>
      <c r="AT1970" t="n">
        <v>1</v>
      </c>
      <c r="AU1970" t="n">
        <v>2</v>
      </c>
      <c r="AV1970" t="n">
        <v>1</v>
      </c>
      <c r="AW1970" t="n">
        <v>55</v>
      </c>
      <c r="AX1970" t="n">
        <v>3</v>
      </c>
      <c r="AY1970" t="n">
        <v>39</v>
      </c>
      <c r="AZ1970" t="n">
        <v>1</v>
      </c>
      <c r="BA1970" t="n">
        <v>1</v>
      </c>
      <c r="BB1970" t="n">
        <v>67</v>
      </c>
      <c r="BC1970" t="n">
        <v>35</v>
      </c>
      <c r="BD1970" t="n">
        <v>46</v>
      </c>
      <c r="BE1970" t="n">
        <v>57</v>
      </c>
      <c r="BF1970" t="n">
        <v>26</v>
      </c>
      <c r="BG1970" t="n">
        <v>3</v>
      </c>
      <c r="BH1970" t="n">
        <v>17</v>
      </c>
      <c r="BI1970" t="n">
        <v>50</v>
      </c>
      <c r="BJ1970" t="n">
        <v>54</v>
      </c>
      <c r="BK1970" t="n">
        <v>3</v>
      </c>
      <c r="BL1970" t="n">
        <v>49</v>
      </c>
      <c r="BM1970" t="n">
        <v>40</v>
      </c>
      <c r="BN1970" t="n">
        <v>6</v>
      </c>
      <c r="BO1970" t="n">
        <v>2</v>
      </c>
    </row>
    <row r="1971">
      <c r="A1971" t="n">
        <v>2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230</v>
      </c>
      <c r="Z1971" t="n">
        <v>182</v>
      </c>
      <c r="AA1971" t="n">
        <v>11</v>
      </c>
      <c r="AB1971" t="n">
        <v>2</v>
      </c>
      <c r="AC1971" t="n">
        <v>0</v>
      </c>
      <c r="AD1971" t="n">
        <v>5</v>
      </c>
      <c r="AE1971" t="n">
        <v>3</v>
      </c>
      <c r="AF1971" t="n">
        <v>8</v>
      </c>
      <c r="AG1971" t="n">
        <v>6</v>
      </c>
      <c r="AH1971" t="n">
        <v>53</v>
      </c>
      <c r="AI1971" t="n">
        <v>31</v>
      </c>
      <c r="AJ1971" t="n">
        <v>30</v>
      </c>
      <c r="AK1971" t="n">
        <v>36</v>
      </c>
      <c r="AL1971" t="n">
        <v>1</v>
      </c>
      <c r="AM1971" t="n">
        <v>29</v>
      </c>
      <c r="AN1971" t="n">
        <v>0</v>
      </c>
      <c r="AO1971" t="n">
        <v>0</v>
      </c>
      <c r="AP1971" t="n">
        <v>5</v>
      </c>
      <c r="AQ1971" t="n">
        <v>1</v>
      </c>
      <c r="AR1971" t="n">
        <v>112</v>
      </c>
      <c r="AS1971" t="n">
        <v>103</v>
      </c>
      <c r="AT1971" t="n">
        <v>1</v>
      </c>
      <c r="AU1971" t="n">
        <v>2</v>
      </c>
      <c r="AV1971" t="n">
        <v>9</v>
      </c>
      <c r="AW1971" t="n">
        <v>45</v>
      </c>
      <c r="AX1971" t="n">
        <v>7</v>
      </c>
      <c r="AY1971" t="n">
        <v>65</v>
      </c>
      <c r="AZ1971" t="n">
        <v>3</v>
      </c>
      <c r="BA1971" t="n">
        <v>5</v>
      </c>
      <c r="BB1971" t="n">
        <v>15</v>
      </c>
      <c r="BC1971" t="n">
        <v>29</v>
      </c>
      <c r="BD1971" t="n">
        <v>46</v>
      </c>
      <c r="BE1971" t="n">
        <v>44</v>
      </c>
      <c r="BF1971" t="n">
        <v>25</v>
      </c>
      <c r="BG1971" t="n">
        <v>1</v>
      </c>
      <c r="BH1971" t="n">
        <v>36</v>
      </c>
      <c r="BI1971" t="n">
        <v>8</v>
      </c>
      <c r="BJ1971" t="n">
        <v>24</v>
      </c>
      <c r="BK1971" t="n">
        <v>8</v>
      </c>
      <c r="BL1971" t="n">
        <v>37</v>
      </c>
      <c r="BM1971" t="n">
        <v>24</v>
      </c>
      <c r="BN1971" t="n">
        <v>1</v>
      </c>
      <c r="BO1971" t="n">
        <v>23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244</v>
      </c>
      <c r="Z1972" t="n">
        <v>190</v>
      </c>
      <c r="AA1972" t="n">
        <v>42</v>
      </c>
      <c r="AB1972" t="n">
        <v>2</v>
      </c>
      <c r="AC1972" t="n">
        <v>1</v>
      </c>
      <c r="AD1972" t="n">
        <v>9</v>
      </c>
      <c r="AE1972" t="n">
        <v>4</v>
      </c>
      <c r="AF1972" t="n">
        <v>0</v>
      </c>
      <c r="AG1972" t="n">
        <v>0</v>
      </c>
      <c r="AH1972" t="n">
        <v>103</v>
      </c>
      <c r="AI1972" t="n">
        <v>18</v>
      </c>
      <c r="AJ1972" t="n">
        <v>44</v>
      </c>
      <c r="AK1972" t="n">
        <v>1</v>
      </c>
      <c r="AL1972" t="n">
        <v>2</v>
      </c>
      <c r="AM1972" t="n">
        <v>27</v>
      </c>
      <c r="AN1972" t="n">
        <v>1</v>
      </c>
      <c r="AO1972" t="n">
        <v>1</v>
      </c>
      <c r="AP1972" t="n">
        <v>5</v>
      </c>
      <c r="AQ1972" t="n">
        <v>30</v>
      </c>
      <c r="AR1972" t="n">
        <v>112</v>
      </c>
      <c r="AS1972" t="n">
        <v>85</v>
      </c>
      <c r="AT1972" t="n">
        <v>0</v>
      </c>
      <c r="AU1972" t="n">
        <v>2</v>
      </c>
      <c r="AV1972" t="n">
        <v>1</v>
      </c>
      <c r="AW1972" t="n">
        <v>27</v>
      </c>
      <c r="AX1972" t="n">
        <v>1</v>
      </c>
      <c r="AY1972" t="n">
        <v>40</v>
      </c>
      <c r="AZ1972" t="n">
        <v>0</v>
      </c>
      <c r="BA1972" t="n">
        <v>1</v>
      </c>
      <c r="BB1972" t="n">
        <v>41</v>
      </c>
      <c r="BC1972" t="n">
        <v>22</v>
      </c>
      <c r="BD1972" t="n">
        <v>103</v>
      </c>
      <c r="BE1972" t="n">
        <v>38</v>
      </c>
      <c r="BF1972" t="n">
        <v>51</v>
      </c>
      <c r="BG1972" t="n">
        <v>4</v>
      </c>
      <c r="BH1972" t="n">
        <v>6</v>
      </c>
      <c r="BI1972" t="n">
        <v>38</v>
      </c>
      <c r="BJ1972" t="n">
        <v>39</v>
      </c>
      <c r="BK1972" t="n">
        <v>6</v>
      </c>
      <c r="BL1972" t="n">
        <v>59</v>
      </c>
      <c r="BM1972" t="n">
        <v>47</v>
      </c>
      <c r="BN1972" t="n">
        <v>6</v>
      </c>
      <c r="BO1972" t="n">
        <v>37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201</v>
      </c>
      <c r="Z1973" t="n">
        <v>213</v>
      </c>
      <c r="AA1973" t="n">
        <v>13</v>
      </c>
      <c r="AB1973" t="n">
        <v>1</v>
      </c>
      <c r="AC1973" t="n">
        <v>1</v>
      </c>
      <c r="AD1973" t="n">
        <v>2</v>
      </c>
      <c r="AE1973" t="n">
        <v>2</v>
      </c>
      <c r="AF1973" t="n">
        <v>2</v>
      </c>
      <c r="AG1973" t="n">
        <v>5</v>
      </c>
      <c r="AH1973" t="n">
        <v>29</v>
      </c>
      <c r="AI1973" t="n">
        <v>15</v>
      </c>
      <c r="AJ1973" t="n">
        <v>2</v>
      </c>
      <c r="AK1973" t="n">
        <v>74</v>
      </c>
      <c r="AL1973" t="n">
        <v>4</v>
      </c>
      <c r="AM1973" t="n">
        <v>21</v>
      </c>
      <c r="AN1973" t="n">
        <v>0</v>
      </c>
      <c r="AO1973" t="n">
        <v>0</v>
      </c>
      <c r="AP1973" t="n">
        <v>3</v>
      </c>
      <c r="AQ1973" t="n">
        <v>15</v>
      </c>
      <c r="AR1973" t="n">
        <v>55</v>
      </c>
      <c r="AS1973" t="n">
        <v>42</v>
      </c>
      <c r="AT1973" t="n">
        <v>3</v>
      </c>
      <c r="AU1973" t="n">
        <v>3</v>
      </c>
      <c r="AV1973" t="n">
        <v>1</v>
      </c>
      <c r="AW1973" t="n">
        <v>36</v>
      </c>
      <c r="AX1973" t="n">
        <v>0</v>
      </c>
      <c r="AY1973" t="n">
        <v>6</v>
      </c>
      <c r="AZ1973" t="n">
        <v>2</v>
      </c>
      <c r="BA1973" t="n">
        <v>11</v>
      </c>
      <c r="BB1973" t="n">
        <v>24</v>
      </c>
      <c r="BC1973" t="n">
        <v>22</v>
      </c>
      <c r="BD1973" t="n">
        <v>27</v>
      </c>
      <c r="BE1973" t="n">
        <v>40</v>
      </c>
      <c r="BF1973" t="n">
        <v>16</v>
      </c>
      <c r="BG1973" t="n">
        <v>0</v>
      </c>
      <c r="BH1973" t="n">
        <v>8</v>
      </c>
      <c r="BI1973" t="n">
        <v>11</v>
      </c>
      <c r="BJ1973" t="n">
        <v>11</v>
      </c>
      <c r="BK1973" t="n">
        <v>3</v>
      </c>
      <c r="BL1973" t="n">
        <v>37</v>
      </c>
      <c r="BM1973" t="n">
        <v>34</v>
      </c>
      <c r="BN1973" t="n">
        <v>7</v>
      </c>
      <c r="BO1973" t="n">
        <v>2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322</v>
      </c>
      <c r="Z1974" t="n">
        <v>297</v>
      </c>
      <c r="AA1974" t="n">
        <v>59</v>
      </c>
      <c r="AB1974" t="n">
        <v>1</v>
      </c>
      <c r="AC1974" t="n">
        <v>0</v>
      </c>
      <c r="AD1974" t="n">
        <v>7</v>
      </c>
      <c r="AE1974" t="n">
        <v>0</v>
      </c>
      <c r="AF1974" t="n">
        <v>8</v>
      </c>
      <c r="AG1974" t="n">
        <v>2</v>
      </c>
      <c r="AH1974" t="n">
        <v>103</v>
      </c>
      <c r="AI1974" t="n">
        <v>4</v>
      </c>
      <c r="AJ1974" t="n">
        <v>59</v>
      </c>
      <c r="AK1974" t="n">
        <v>10</v>
      </c>
      <c r="AL1974" t="n">
        <v>5</v>
      </c>
      <c r="AM1974" t="n">
        <v>42</v>
      </c>
      <c r="AN1974" t="n">
        <v>0</v>
      </c>
      <c r="AO1974" t="n">
        <v>0</v>
      </c>
      <c r="AP1974" t="n">
        <v>3</v>
      </c>
      <c r="AQ1974" t="n">
        <v>32</v>
      </c>
      <c r="AR1974" t="n">
        <v>78</v>
      </c>
      <c r="AS1974" t="n">
        <v>52</v>
      </c>
      <c r="AT1974" t="n">
        <v>5</v>
      </c>
      <c r="AU1974" t="n">
        <v>3</v>
      </c>
      <c r="AV1974" t="n">
        <v>48</v>
      </c>
      <c r="AW1974" t="n">
        <v>23</v>
      </c>
      <c r="AX1974" t="n">
        <v>0</v>
      </c>
      <c r="AY1974" t="n">
        <v>21</v>
      </c>
      <c r="AZ1974" t="n">
        <v>3</v>
      </c>
      <c r="BA1974" t="n">
        <v>17</v>
      </c>
      <c r="BB1974" t="n">
        <v>73</v>
      </c>
      <c r="BC1974" t="n">
        <v>35</v>
      </c>
      <c r="BD1974" t="n">
        <v>167</v>
      </c>
      <c r="BE1974" t="n">
        <v>23</v>
      </c>
      <c r="BF1974" t="n">
        <v>54</v>
      </c>
      <c r="BG1974" t="n">
        <v>4</v>
      </c>
      <c r="BH1974" t="n">
        <v>13</v>
      </c>
      <c r="BI1974" t="n">
        <v>50</v>
      </c>
      <c r="BJ1974" t="n">
        <v>48</v>
      </c>
      <c r="BK1974" t="n">
        <v>5</v>
      </c>
      <c r="BL1974" t="n">
        <v>31</v>
      </c>
      <c r="BM1974" t="n">
        <v>25</v>
      </c>
      <c r="BN1974" t="n">
        <v>4</v>
      </c>
      <c r="BO1974" t="n">
        <v>14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251</v>
      </c>
      <c r="Z1975" t="n">
        <v>135</v>
      </c>
      <c r="AA1975" t="n">
        <v>208</v>
      </c>
      <c r="AB1975" t="n">
        <v>2</v>
      </c>
      <c r="AC1975" t="n">
        <v>1</v>
      </c>
      <c r="AD1975" t="n">
        <v>0</v>
      </c>
      <c r="AE1975" t="n">
        <v>2</v>
      </c>
      <c r="AF1975" t="n">
        <v>3</v>
      </c>
      <c r="AG1975" t="n">
        <v>0</v>
      </c>
      <c r="AH1975" t="n">
        <v>21</v>
      </c>
      <c r="AI1975" t="n">
        <v>27</v>
      </c>
      <c r="AJ1975" t="n">
        <v>30</v>
      </c>
      <c r="AK1975" t="n">
        <v>6</v>
      </c>
      <c r="AL1975" t="n">
        <v>2</v>
      </c>
      <c r="AM1975" t="n">
        <v>24</v>
      </c>
      <c r="AN1975" t="n">
        <v>0</v>
      </c>
      <c r="AO1975" t="n">
        <v>0</v>
      </c>
      <c r="AP1975" t="n">
        <v>5</v>
      </c>
      <c r="AQ1975" t="n">
        <v>18</v>
      </c>
      <c r="AR1975" t="n">
        <v>163</v>
      </c>
      <c r="AS1975" t="n">
        <v>141</v>
      </c>
      <c r="AT1975" t="n">
        <v>1</v>
      </c>
      <c r="AU1975" t="n">
        <v>1</v>
      </c>
      <c r="AV1975" t="n">
        <v>2</v>
      </c>
      <c r="AW1975" t="n">
        <v>1</v>
      </c>
      <c r="AX1975" t="n">
        <v>3</v>
      </c>
      <c r="AY1975" t="n">
        <v>5</v>
      </c>
      <c r="AZ1975" t="n">
        <v>5</v>
      </c>
      <c r="BA1975" t="n">
        <v>33</v>
      </c>
      <c r="BB1975" t="n">
        <v>224</v>
      </c>
      <c r="BC1975" t="n">
        <v>19</v>
      </c>
      <c r="BD1975" t="n">
        <v>39</v>
      </c>
      <c r="BE1975" t="n">
        <v>2</v>
      </c>
      <c r="BF1975" t="n">
        <v>24</v>
      </c>
      <c r="BG1975" t="n">
        <v>5</v>
      </c>
      <c r="BH1975" t="n">
        <v>16</v>
      </c>
      <c r="BI1975" t="n">
        <v>37</v>
      </c>
      <c r="BJ1975" t="n">
        <v>33</v>
      </c>
      <c r="BK1975" t="n">
        <v>5</v>
      </c>
      <c r="BL1975" t="n">
        <v>8</v>
      </c>
      <c r="BM1975" t="n">
        <v>20</v>
      </c>
      <c r="BN1975" t="n">
        <v>10</v>
      </c>
      <c r="BO1975" t="n">
        <v>2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229</v>
      </c>
      <c r="Z1976" t="n">
        <v>83</v>
      </c>
      <c r="AA1976" t="n">
        <v>41</v>
      </c>
      <c r="AB1976" t="n">
        <v>2</v>
      </c>
      <c r="AC1976" t="n">
        <v>1</v>
      </c>
      <c r="AD1976" t="n">
        <v>3</v>
      </c>
      <c r="AE1976" t="n">
        <v>5</v>
      </c>
      <c r="AF1976" t="n">
        <v>3</v>
      </c>
      <c r="AG1976" t="n">
        <v>2</v>
      </c>
      <c r="AH1976" t="n">
        <v>70</v>
      </c>
      <c r="AI1976" t="n">
        <v>45</v>
      </c>
      <c r="AJ1976" t="n">
        <v>29</v>
      </c>
      <c r="AK1976" t="n">
        <v>4</v>
      </c>
      <c r="AL1976" t="n">
        <v>4</v>
      </c>
      <c r="AM1976" t="n">
        <v>17</v>
      </c>
      <c r="AN1976" t="n">
        <v>0</v>
      </c>
      <c r="AO1976" t="n">
        <v>0</v>
      </c>
      <c r="AP1976" t="n">
        <v>8</v>
      </c>
      <c r="AQ1976" t="n">
        <v>41</v>
      </c>
      <c r="AR1976" t="n">
        <v>124</v>
      </c>
      <c r="AS1976" t="n">
        <v>89</v>
      </c>
      <c r="AT1976" t="n">
        <v>4</v>
      </c>
      <c r="AU1976" t="n">
        <v>3</v>
      </c>
      <c r="AV1976" t="n">
        <v>24</v>
      </c>
      <c r="AW1976" t="n">
        <v>7</v>
      </c>
      <c r="AX1976" t="n">
        <v>4</v>
      </c>
      <c r="AY1976" t="n">
        <v>1</v>
      </c>
      <c r="AZ1976" t="n">
        <v>0</v>
      </c>
      <c r="BA1976" t="n">
        <v>9</v>
      </c>
      <c r="BB1976" t="n">
        <v>47</v>
      </c>
      <c r="BC1976" t="n">
        <v>15</v>
      </c>
      <c r="BD1976" t="n">
        <v>79</v>
      </c>
      <c r="BE1976" t="n">
        <v>5</v>
      </c>
      <c r="BF1976" t="n">
        <v>24</v>
      </c>
      <c r="BG1976" t="n">
        <v>3</v>
      </c>
      <c r="BH1976" t="n">
        <v>12</v>
      </c>
      <c r="BI1976" t="n">
        <v>13</v>
      </c>
      <c r="BJ1976" t="n">
        <v>12</v>
      </c>
      <c r="BK1976" t="n">
        <v>3</v>
      </c>
      <c r="BL1976" t="n">
        <v>7</v>
      </c>
      <c r="BM1976" t="n">
        <v>8</v>
      </c>
      <c r="BN1976" t="n">
        <v>3</v>
      </c>
      <c r="BO1976" t="n">
        <v>49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261</v>
      </c>
      <c r="Z1977" t="n">
        <v>387</v>
      </c>
      <c r="AA1977" t="n">
        <v>47</v>
      </c>
      <c r="AB1977" t="n">
        <v>1</v>
      </c>
      <c r="AC1977" t="n">
        <v>0</v>
      </c>
      <c r="AD1977" t="n">
        <v>9</v>
      </c>
      <c r="AE1977" t="n">
        <v>3</v>
      </c>
      <c r="AF1977" t="n">
        <v>2</v>
      </c>
      <c r="AG1977" t="n">
        <v>2</v>
      </c>
      <c r="AH1977" t="n">
        <v>149</v>
      </c>
      <c r="AI1977" t="n">
        <v>49</v>
      </c>
      <c r="AJ1977" t="n">
        <v>9</v>
      </c>
      <c r="AK1977" t="n">
        <v>21</v>
      </c>
      <c r="AL1977" t="n">
        <v>6</v>
      </c>
      <c r="AM1977" t="n">
        <v>139</v>
      </c>
      <c r="AN1977" t="n">
        <v>0</v>
      </c>
      <c r="AO1977" t="n">
        <v>1</v>
      </c>
      <c r="AP1977" t="n">
        <v>6</v>
      </c>
      <c r="AQ1977" t="n">
        <v>45</v>
      </c>
      <c r="AR1977" t="n">
        <v>135</v>
      </c>
      <c r="AS1977" t="n">
        <v>96</v>
      </c>
      <c r="AT1977" t="n">
        <v>2</v>
      </c>
      <c r="AU1977" t="n">
        <v>5</v>
      </c>
      <c r="AV1977" t="n">
        <v>12</v>
      </c>
      <c r="AW1977" t="n">
        <v>54</v>
      </c>
      <c r="AX1977" t="n">
        <v>0</v>
      </c>
      <c r="AY1977" t="n">
        <v>70</v>
      </c>
      <c r="AZ1977" t="n">
        <v>1</v>
      </c>
      <c r="BA1977" t="n">
        <v>11</v>
      </c>
      <c r="BB1977" t="n">
        <v>56</v>
      </c>
      <c r="BC1977" t="n">
        <v>129</v>
      </c>
      <c r="BD1977" t="n">
        <v>133</v>
      </c>
      <c r="BE1977" t="n">
        <v>56</v>
      </c>
      <c r="BF1977" t="n">
        <v>28</v>
      </c>
      <c r="BG1977" t="n">
        <v>2</v>
      </c>
      <c r="BH1977" t="n">
        <v>12</v>
      </c>
      <c r="BI1977" t="n">
        <v>24</v>
      </c>
      <c r="BJ1977" t="n">
        <v>24</v>
      </c>
      <c r="BK1977" t="n">
        <v>0</v>
      </c>
      <c r="BL1977" t="n">
        <v>14</v>
      </c>
      <c r="BM1977" t="n">
        <v>17</v>
      </c>
      <c r="BN1977" t="n">
        <v>5</v>
      </c>
      <c r="BO1977" t="n">
        <v>11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229</v>
      </c>
      <c r="Z1978" t="n">
        <v>76</v>
      </c>
      <c r="AA1978" t="n">
        <v>53</v>
      </c>
      <c r="AB1978" t="n">
        <v>1</v>
      </c>
      <c r="AC1978" t="n">
        <v>0</v>
      </c>
      <c r="AD1978" t="n">
        <v>3</v>
      </c>
      <c r="AE1978" t="n">
        <v>2</v>
      </c>
      <c r="AF1978" t="n">
        <v>5</v>
      </c>
      <c r="AG1978" t="n">
        <v>8</v>
      </c>
      <c r="AH1978" t="n">
        <v>60</v>
      </c>
      <c r="AI1978" t="n">
        <v>8</v>
      </c>
      <c r="AJ1978" t="n">
        <v>65</v>
      </c>
      <c r="AK1978" t="n">
        <v>25</v>
      </c>
      <c r="AL1978" t="n">
        <v>4</v>
      </c>
      <c r="AM1978" t="n">
        <v>36</v>
      </c>
      <c r="AN1978" t="n">
        <v>0</v>
      </c>
      <c r="AO1978" t="n">
        <v>0</v>
      </c>
      <c r="AP1978" t="n">
        <v>6</v>
      </c>
      <c r="AQ1978" t="n">
        <v>67</v>
      </c>
      <c r="AR1978" t="n">
        <v>121</v>
      </c>
      <c r="AS1978" t="n">
        <v>62</v>
      </c>
      <c r="AT1978" t="n">
        <v>2</v>
      </c>
      <c r="AU1978" t="n">
        <v>1</v>
      </c>
      <c r="AV1978" t="n">
        <v>13</v>
      </c>
      <c r="AW1978" t="n">
        <v>8</v>
      </c>
      <c r="AX1978" t="n">
        <v>3</v>
      </c>
      <c r="AY1978" t="n">
        <v>19</v>
      </c>
      <c r="AZ1978" t="n">
        <v>1</v>
      </c>
      <c r="BA1978" t="n">
        <v>18</v>
      </c>
      <c r="BB1978" t="n">
        <v>68</v>
      </c>
      <c r="BC1978" t="n">
        <v>31</v>
      </c>
      <c r="BD1978" t="n">
        <v>54</v>
      </c>
      <c r="BE1978" t="n">
        <v>8</v>
      </c>
      <c r="BF1978" t="n">
        <v>51</v>
      </c>
      <c r="BG1978" t="n">
        <v>3</v>
      </c>
      <c r="BH1978" t="n">
        <v>4</v>
      </c>
      <c r="BI1978" t="n">
        <v>20</v>
      </c>
      <c r="BJ1978" t="n">
        <v>21</v>
      </c>
      <c r="BK1978" t="n">
        <v>2</v>
      </c>
      <c r="BL1978" t="n">
        <v>1</v>
      </c>
      <c r="BM1978" t="n">
        <v>18</v>
      </c>
      <c r="BN1978" t="n">
        <v>10</v>
      </c>
      <c r="BO1978" t="n">
        <v>37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2</v>
      </c>
      <c r="U1979" t="n">
        <v>0</v>
      </c>
      <c r="V1979" t="n">
        <v>0</v>
      </c>
      <c r="W1979" t="n">
        <v>0</v>
      </c>
      <c r="X1979" t="n">
        <v>0</v>
      </c>
      <c r="Y1979" t="n">
        <v>157</v>
      </c>
      <c r="Z1979" t="n">
        <v>175</v>
      </c>
      <c r="AA1979" t="n">
        <v>84</v>
      </c>
      <c r="AB1979" t="n">
        <v>0</v>
      </c>
      <c r="AC1979" t="n">
        <v>1</v>
      </c>
      <c r="AD1979" t="n">
        <v>3</v>
      </c>
      <c r="AE1979" t="n">
        <v>5</v>
      </c>
      <c r="AF1979" t="n">
        <v>1</v>
      </c>
      <c r="AG1979" t="n">
        <v>5</v>
      </c>
      <c r="AH1979" t="n">
        <v>2</v>
      </c>
      <c r="AI1979" t="n">
        <v>45</v>
      </c>
      <c r="AJ1979" t="n">
        <v>3</v>
      </c>
      <c r="AK1979" t="n">
        <v>36</v>
      </c>
      <c r="AL1979" t="n">
        <v>4</v>
      </c>
      <c r="AM1979" t="n">
        <v>31</v>
      </c>
      <c r="AN1979" t="n">
        <v>0</v>
      </c>
      <c r="AO1979" t="n">
        <v>0</v>
      </c>
      <c r="AP1979" t="n">
        <v>9</v>
      </c>
      <c r="AQ1979" t="n">
        <v>74</v>
      </c>
      <c r="AR1979" t="n">
        <v>145</v>
      </c>
      <c r="AS1979" t="n">
        <v>83</v>
      </c>
      <c r="AT1979" t="n">
        <v>6</v>
      </c>
      <c r="AU1979" t="n">
        <v>3</v>
      </c>
      <c r="AV1979" t="n">
        <v>18</v>
      </c>
      <c r="AW1979" t="n">
        <v>31</v>
      </c>
      <c r="AX1979" t="n">
        <v>0</v>
      </c>
      <c r="AY1979" t="n">
        <v>32</v>
      </c>
      <c r="AZ1979" t="n">
        <v>1</v>
      </c>
      <c r="BA1979" t="n">
        <v>14</v>
      </c>
      <c r="BB1979" t="n">
        <v>93</v>
      </c>
      <c r="BC1979" t="n">
        <v>25</v>
      </c>
      <c r="BD1979" t="n">
        <v>21</v>
      </c>
      <c r="BE1979" t="n">
        <v>41</v>
      </c>
      <c r="BF1979" t="n">
        <v>8</v>
      </c>
      <c r="BG1979" t="n">
        <v>4</v>
      </c>
      <c r="BH1979" t="n">
        <v>9</v>
      </c>
      <c r="BI1979" t="n">
        <v>32</v>
      </c>
      <c r="BJ1979" t="n">
        <v>29</v>
      </c>
      <c r="BK1979" t="n">
        <v>1</v>
      </c>
      <c r="BL1979" t="n">
        <v>11</v>
      </c>
      <c r="BM1979" t="n">
        <v>8</v>
      </c>
      <c r="BN1979" t="n">
        <v>0</v>
      </c>
      <c r="BO1979" t="n">
        <v>2</v>
      </c>
    </row>
    <row r="1980">
      <c r="A1980" t="n">
        <v>0</v>
      </c>
      <c r="B1980" t="n">
        <v>0</v>
      </c>
      <c r="C1980" t="n">
        <v>0</v>
      </c>
      <c r="D1980" t="n">
        <v>3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2</v>
      </c>
      <c r="X1980" t="n">
        <v>0</v>
      </c>
      <c r="Y1980" t="n">
        <v>192</v>
      </c>
      <c r="Z1980" t="n">
        <v>159</v>
      </c>
      <c r="AA1980" t="n">
        <v>22</v>
      </c>
      <c r="AB1980" t="n">
        <v>4</v>
      </c>
      <c r="AC1980" t="n">
        <v>2</v>
      </c>
      <c r="AD1980" t="n">
        <v>3</v>
      </c>
      <c r="AE1980" t="n">
        <v>3</v>
      </c>
      <c r="AF1980" t="n">
        <v>6</v>
      </c>
      <c r="AG1980" t="n">
        <v>2</v>
      </c>
      <c r="AH1980" t="n">
        <v>19</v>
      </c>
      <c r="AI1980" t="n">
        <v>33</v>
      </c>
      <c r="AJ1980" t="n">
        <v>54</v>
      </c>
      <c r="AK1980" t="n">
        <v>6</v>
      </c>
      <c r="AL1980" t="n">
        <v>1</v>
      </c>
      <c r="AM1980" t="n">
        <v>11</v>
      </c>
      <c r="AN1980" t="n">
        <v>0</v>
      </c>
      <c r="AO1980" t="n">
        <v>0</v>
      </c>
      <c r="AP1980" t="n">
        <v>5</v>
      </c>
      <c r="AQ1980" t="n">
        <v>15</v>
      </c>
      <c r="AR1980" t="n">
        <v>130</v>
      </c>
      <c r="AS1980" t="n">
        <v>113</v>
      </c>
      <c r="AT1980" t="n">
        <v>5</v>
      </c>
      <c r="AU1980" t="n">
        <v>2</v>
      </c>
      <c r="AV1980" t="n">
        <v>41</v>
      </c>
      <c r="AW1980" t="n">
        <v>47</v>
      </c>
      <c r="AX1980" t="n">
        <v>0</v>
      </c>
      <c r="AY1980" t="n">
        <v>6</v>
      </c>
      <c r="AZ1980" t="n">
        <v>2</v>
      </c>
      <c r="BA1980" t="n">
        <v>20</v>
      </c>
      <c r="BB1980" t="n">
        <v>41</v>
      </c>
      <c r="BC1980" t="n">
        <v>7</v>
      </c>
      <c r="BD1980" t="n">
        <v>16</v>
      </c>
      <c r="BE1980" t="n">
        <v>48</v>
      </c>
      <c r="BF1980" t="n">
        <v>52</v>
      </c>
      <c r="BG1980" t="n">
        <v>5</v>
      </c>
      <c r="BH1980" t="n">
        <v>15</v>
      </c>
      <c r="BI1980" t="n">
        <v>33</v>
      </c>
      <c r="BJ1980" t="n">
        <v>32</v>
      </c>
      <c r="BK1980" t="n">
        <v>0</v>
      </c>
      <c r="BL1980" t="n">
        <v>1</v>
      </c>
      <c r="BM1980" t="n">
        <v>8</v>
      </c>
      <c r="BN1980" t="n">
        <v>4</v>
      </c>
      <c r="BO1980" t="n">
        <v>2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180</v>
      </c>
      <c r="Z1981" t="n">
        <v>205</v>
      </c>
      <c r="AA1981" t="n">
        <v>62</v>
      </c>
      <c r="AB1981" t="n">
        <v>4</v>
      </c>
      <c r="AC1981" t="n">
        <v>3</v>
      </c>
      <c r="AD1981" t="n">
        <v>5</v>
      </c>
      <c r="AE1981" t="n">
        <v>7</v>
      </c>
      <c r="AF1981" t="n">
        <v>4</v>
      </c>
      <c r="AG1981" t="n">
        <v>5</v>
      </c>
      <c r="AH1981" t="n">
        <v>43</v>
      </c>
      <c r="AI1981" t="n">
        <v>57</v>
      </c>
      <c r="AJ1981" t="n">
        <v>23</v>
      </c>
      <c r="AK1981" t="n">
        <v>48</v>
      </c>
      <c r="AL1981" t="n">
        <v>0</v>
      </c>
      <c r="AM1981" t="n">
        <v>2</v>
      </c>
      <c r="AN1981" t="n">
        <v>0</v>
      </c>
      <c r="AO1981" t="n">
        <v>0</v>
      </c>
      <c r="AP1981" t="n">
        <v>5</v>
      </c>
      <c r="AQ1981" t="n">
        <v>24</v>
      </c>
      <c r="AR1981" t="n">
        <v>197</v>
      </c>
      <c r="AS1981" t="n">
        <v>173</v>
      </c>
      <c r="AT1981" t="n">
        <v>2</v>
      </c>
      <c r="AU1981" t="n">
        <v>3</v>
      </c>
      <c r="AV1981" t="n">
        <v>1</v>
      </c>
      <c r="AW1981" t="n">
        <v>40</v>
      </c>
      <c r="AX1981" t="n">
        <v>21</v>
      </c>
      <c r="AY1981" t="n">
        <v>18</v>
      </c>
      <c r="AZ1981" t="n">
        <v>3</v>
      </c>
      <c r="BA1981" t="n">
        <v>26</v>
      </c>
      <c r="BB1981" t="n">
        <v>85</v>
      </c>
      <c r="BC1981" t="n">
        <v>2</v>
      </c>
      <c r="BD1981" t="n">
        <v>51</v>
      </c>
      <c r="BE1981" t="n">
        <v>40</v>
      </c>
      <c r="BF1981" t="n">
        <v>41</v>
      </c>
      <c r="BG1981" t="n">
        <v>3</v>
      </c>
      <c r="BH1981" t="n">
        <v>2</v>
      </c>
      <c r="BI1981" t="n">
        <v>13</v>
      </c>
      <c r="BJ1981" t="n">
        <v>14</v>
      </c>
      <c r="BK1981" t="n">
        <v>2</v>
      </c>
      <c r="BL1981" t="n">
        <v>14</v>
      </c>
      <c r="BM1981" t="n">
        <v>11</v>
      </c>
      <c r="BN1981" t="n">
        <v>2</v>
      </c>
      <c r="BO1981" t="n">
        <v>2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212</v>
      </c>
      <c r="Z1982" t="n">
        <v>373</v>
      </c>
      <c r="AA1982" t="n">
        <v>63</v>
      </c>
      <c r="AB1982" t="n">
        <v>0</v>
      </c>
      <c r="AC1982" t="n">
        <v>3</v>
      </c>
      <c r="AD1982" t="n">
        <v>5</v>
      </c>
      <c r="AE1982" t="n">
        <v>7</v>
      </c>
      <c r="AF1982" t="n">
        <v>3</v>
      </c>
      <c r="AG1982" t="n">
        <v>2</v>
      </c>
      <c r="AH1982" t="n">
        <v>45</v>
      </c>
      <c r="AI1982" t="n">
        <v>79</v>
      </c>
      <c r="AJ1982" t="n">
        <v>22</v>
      </c>
      <c r="AK1982" t="n">
        <v>16</v>
      </c>
      <c r="AL1982" t="n">
        <v>8</v>
      </c>
      <c r="AM1982" t="n">
        <v>81</v>
      </c>
      <c r="AN1982" t="n">
        <v>0</v>
      </c>
      <c r="AO1982" t="n">
        <v>0</v>
      </c>
      <c r="AP1982" t="n">
        <v>8</v>
      </c>
      <c r="AQ1982" t="n">
        <v>70</v>
      </c>
      <c r="AR1982" t="n">
        <v>180</v>
      </c>
      <c r="AS1982" t="n">
        <v>118</v>
      </c>
      <c r="AT1982" t="n">
        <v>5</v>
      </c>
      <c r="AU1982" t="n">
        <v>2</v>
      </c>
      <c r="AV1982" t="n">
        <v>93</v>
      </c>
      <c r="AW1982" t="n">
        <v>50</v>
      </c>
      <c r="AX1982" t="n">
        <v>0</v>
      </c>
      <c r="AY1982" t="n">
        <v>78</v>
      </c>
      <c r="AZ1982" t="n">
        <v>5</v>
      </c>
      <c r="BA1982" t="n">
        <v>41</v>
      </c>
      <c r="BB1982" t="n">
        <v>104</v>
      </c>
      <c r="BC1982" t="n">
        <v>76</v>
      </c>
      <c r="BD1982" t="n">
        <v>56</v>
      </c>
      <c r="BE1982" t="n">
        <v>51</v>
      </c>
      <c r="BF1982" t="n">
        <v>18</v>
      </c>
      <c r="BG1982" t="n">
        <v>1</v>
      </c>
      <c r="BH1982" t="n">
        <v>8</v>
      </c>
      <c r="BI1982" t="n">
        <v>1</v>
      </c>
      <c r="BJ1982" t="n">
        <v>14</v>
      </c>
      <c r="BK1982" t="n">
        <v>3</v>
      </c>
      <c r="BL1982" t="n">
        <v>26</v>
      </c>
      <c r="BM1982" t="n">
        <v>54</v>
      </c>
      <c r="BN1982" t="n">
        <v>26</v>
      </c>
      <c r="BO1982" t="n">
        <v>2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3</v>
      </c>
      <c r="U1983" t="n">
        <v>0</v>
      </c>
      <c r="V1983" t="n">
        <v>0</v>
      </c>
      <c r="W1983" t="n">
        <v>0</v>
      </c>
      <c r="X1983" t="n">
        <v>0</v>
      </c>
      <c r="Y1983" t="n">
        <v>209</v>
      </c>
      <c r="Z1983" t="n">
        <v>199</v>
      </c>
      <c r="AA1983" t="n">
        <v>147</v>
      </c>
      <c r="AB1983" t="n">
        <v>1</v>
      </c>
      <c r="AC1983" t="n">
        <v>2</v>
      </c>
      <c r="AD1983" t="n">
        <v>2</v>
      </c>
      <c r="AE1983" t="n">
        <v>0</v>
      </c>
      <c r="AF1983" t="n">
        <v>2</v>
      </c>
      <c r="AG1983" t="n">
        <v>8</v>
      </c>
      <c r="AH1983" t="n">
        <v>25</v>
      </c>
      <c r="AI1983" t="n">
        <v>8</v>
      </c>
      <c r="AJ1983" t="n">
        <v>15</v>
      </c>
      <c r="AK1983" t="n">
        <v>74</v>
      </c>
      <c r="AL1983" t="n">
        <v>8</v>
      </c>
      <c r="AM1983" t="n">
        <v>127</v>
      </c>
      <c r="AN1983" t="n">
        <v>0</v>
      </c>
      <c r="AO1983" t="n">
        <v>0</v>
      </c>
      <c r="AP1983" t="n">
        <v>5</v>
      </c>
      <c r="AQ1983" t="n">
        <v>41</v>
      </c>
      <c r="AR1983" t="n">
        <v>111</v>
      </c>
      <c r="AS1983" t="n">
        <v>76</v>
      </c>
      <c r="AT1983" t="n">
        <v>4</v>
      </c>
      <c r="AU1983" t="n">
        <v>2</v>
      </c>
      <c r="AV1983" t="n">
        <v>37</v>
      </c>
      <c r="AW1983" t="n">
        <v>24</v>
      </c>
      <c r="AX1983" t="n">
        <v>9</v>
      </c>
      <c r="AY1983" t="n">
        <v>22</v>
      </c>
      <c r="AZ1983" t="n">
        <v>1</v>
      </c>
      <c r="BA1983" t="n">
        <v>1</v>
      </c>
      <c r="BB1983" t="n">
        <v>136</v>
      </c>
      <c r="BC1983" t="n">
        <v>128</v>
      </c>
      <c r="BD1983" t="n">
        <v>30</v>
      </c>
      <c r="BE1983" t="n">
        <v>24</v>
      </c>
      <c r="BF1983" t="n">
        <v>11</v>
      </c>
      <c r="BG1983" t="n">
        <v>1</v>
      </c>
      <c r="BH1983" t="n">
        <v>6</v>
      </c>
      <c r="BI1983" t="n">
        <v>1</v>
      </c>
      <c r="BJ1983" t="n">
        <v>8</v>
      </c>
      <c r="BK1983" t="n">
        <v>0</v>
      </c>
      <c r="BL1983" t="n">
        <v>1</v>
      </c>
      <c r="BM1983" t="n">
        <v>1</v>
      </c>
      <c r="BN1983" t="n">
        <v>1</v>
      </c>
      <c r="BO1983" t="n">
        <v>11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3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121</v>
      </c>
      <c r="Z1984" t="n">
        <v>268</v>
      </c>
      <c r="AA1984" t="n">
        <v>32</v>
      </c>
      <c r="AB1984" t="n">
        <v>3</v>
      </c>
      <c r="AC1984" t="n">
        <v>1</v>
      </c>
      <c r="AD1984" t="n">
        <v>6</v>
      </c>
      <c r="AE1984" t="n">
        <v>6</v>
      </c>
      <c r="AF1984" t="n">
        <v>5</v>
      </c>
      <c r="AG1984" t="n">
        <v>2</v>
      </c>
      <c r="AH1984" t="n">
        <v>24</v>
      </c>
      <c r="AI1984" t="n">
        <v>27</v>
      </c>
      <c r="AJ1984" t="n">
        <v>23</v>
      </c>
      <c r="AK1984" t="n">
        <v>0</v>
      </c>
      <c r="AL1984" t="n">
        <v>4</v>
      </c>
      <c r="AM1984" t="n">
        <v>102</v>
      </c>
      <c r="AN1984" t="n">
        <v>2</v>
      </c>
      <c r="AO1984" t="n">
        <v>0</v>
      </c>
      <c r="AP1984" t="n">
        <v>0</v>
      </c>
      <c r="AQ1984" t="n">
        <v>1</v>
      </c>
      <c r="AR1984" t="n">
        <v>126</v>
      </c>
      <c r="AS1984" t="n">
        <v>114</v>
      </c>
      <c r="AT1984" t="n">
        <v>3</v>
      </c>
      <c r="AU1984" t="n">
        <v>3</v>
      </c>
      <c r="AV1984" t="n">
        <v>27</v>
      </c>
      <c r="AW1984" t="n">
        <v>20</v>
      </c>
      <c r="AX1984" t="n">
        <v>2</v>
      </c>
      <c r="AY1984" t="n">
        <v>12</v>
      </c>
      <c r="AZ1984" t="n">
        <v>4</v>
      </c>
      <c r="BA1984" t="n">
        <v>52</v>
      </c>
      <c r="BB1984" t="n">
        <v>90</v>
      </c>
      <c r="BC1984" t="n">
        <v>83</v>
      </c>
      <c r="BD1984" t="n">
        <v>21</v>
      </c>
      <c r="BE1984" t="n">
        <v>21</v>
      </c>
      <c r="BF1984" t="n">
        <v>30</v>
      </c>
      <c r="BG1984" t="n">
        <v>0</v>
      </c>
      <c r="BH1984" t="n">
        <v>12</v>
      </c>
      <c r="BI1984" t="n">
        <v>1</v>
      </c>
      <c r="BJ1984" t="n">
        <v>14</v>
      </c>
      <c r="BK1984" t="n">
        <v>5</v>
      </c>
      <c r="BL1984" t="n">
        <v>32</v>
      </c>
      <c r="BM1984" t="n">
        <v>21</v>
      </c>
      <c r="BN1984" t="n">
        <v>0</v>
      </c>
      <c r="BO1984" t="n">
        <v>2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2</v>
      </c>
      <c r="U1985" t="n">
        <v>0</v>
      </c>
      <c r="V1985" t="n">
        <v>0</v>
      </c>
      <c r="W1985" t="n">
        <v>0</v>
      </c>
      <c r="X1985" t="n">
        <v>0</v>
      </c>
      <c r="Y1985" t="n">
        <v>160</v>
      </c>
      <c r="Z1985" t="n">
        <v>232</v>
      </c>
      <c r="AA1985" t="n">
        <v>41</v>
      </c>
      <c r="AB1985" t="n">
        <v>1</v>
      </c>
      <c r="AC1985" t="n">
        <v>1</v>
      </c>
      <c r="AD1985" t="n">
        <v>0</v>
      </c>
      <c r="AE1985" t="n">
        <v>3</v>
      </c>
      <c r="AF1985" t="n">
        <v>3</v>
      </c>
      <c r="AG1985" t="n">
        <v>1</v>
      </c>
      <c r="AH1985" t="n">
        <v>2</v>
      </c>
      <c r="AI1985" t="n">
        <v>36</v>
      </c>
      <c r="AJ1985" t="n">
        <v>24</v>
      </c>
      <c r="AK1985" t="n">
        <v>30</v>
      </c>
      <c r="AL1985" t="n">
        <v>1</v>
      </c>
      <c r="AM1985" t="n">
        <v>43</v>
      </c>
      <c r="AN1985" t="n">
        <v>0</v>
      </c>
      <c r="AO1985" t="n">
        <v>0</v>
      </c>
      <c r="AP1985" t="n">
        <v>4</v>
      </c>
      <c r="AQ1985" t="n">
        <v>29</v>
      </c>
      <c r="AR1985" t="n">
        <v>96</v>
      </c>
      <c r="AS1985" t="n">
        <v>71</v>
      </c>
      <c r="AT1985" t="n">
        <v>1</v>
      </c>
      <c r="AU1985" t="n">
        <v>0</v>
      </c>
      <c r="AV1985" t="n">
        <v>1</v>
      </c>
      <c r="AW1985" t="n">
        <v>16</v>
      </c>
      <c r="AX1985" t="n">
        <v>4</v>
      </c>
      <c r="AY1985" t="n">
        <v>19</v>
      </c>
      <c r="AZ1985" t="n">
        <v>7</v>
      </c>
      <c r="BA1985" t="n">
        <v>43</v>
      </c>
      <c r="BB1985" t="n">
        <v>85</v>
      </c>
      <c r="BC1985" t="n">
        <v>72</v>
      </c>
      <c r="BD1985" t="n">
        <v>1</v>
      </c>
      <c r="BE1985" t="n">
        <v>20</v>
      </c>
      <c r="BF1985" t="n">
        <v>19</v>
      </c>
      <c r="BG1985" t="n">
        <v>1</v>
      </c>
      <c r="BH1985" t="n">
        <v>0</v>
      </c>
      <c r="BI1985" t="n">
        <v>30</v>
      </c>
      <c r="BJ1985" t="n">
        <v>44</v>
      </c>
      <c r="BK1985" t="n">
        <v>1</v>
      </c>
      <c r="BL1985" t="n">
        <v>1</v>
      </c>
      <c r="BM1985" t="n">
        <v>5</v>
      </c>
      <c r="BN1985" t="n">
        <v>2</v>
      </c>
      <c r="BO1985" t="n">
        <v>75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83</v>
      </c>
      <c r="Z1986" t="n">
        <v>182</v>
      </c>
      <c r="AA1986" t="n">
        <v>43</v>
      </c>
      <c r="AB1986" t="n">
        <v>3</v>
      </c>
      <c r="AC1986" t="n">
        <v>1</v>
      </c>
      <c r="AD1986" t="n">
        <v>5</v>
      </c>
      <c r="AE1986" t="n">
        <v>5</v>
      </c>
      <c r="AF1986" t="n">
        <v>1</v>
      </c>
      <c r="AG1986" t="n">
        <v>0</v>
      </c>
      <c r="AH1986" t="n">
        <v>17</v>
      </c>
      <c r="AI1986" t="n">
        <v>26</v>
      </c>
      <c r="AJ1986" t="n">
        <v>20</v>
      </c>
      <c r="AK1986" t="n">
        <v>1</v>
      </c>
      <c r="AL1986" t="n">
        <v>4</v>
      </c>
      <c r="AM1986" t="n">
        <v>-8</v>
      </c>
      <c r="AN1986" t="n">
        <v>0</v>
      </c>
      <c r="AO1986" t="n">
        <v>0</v>
      </c>
      <c r="AP1986" t="n">
        <v>5</v>
      </c>
      <c r="AQ1986" t="n">
        <v>39</v>
      </c>
      <c r="AR1986" t="n">
        <v>100</v>
      </c>
      <c r="AS1986" t="n">
        <v>67</v>
      </c>
      <c r="AT1986" t="n">
        <v>0</v>
      </c>
      <c r="AU1986" t="n">
        <v>2</v>
      </c>
      <c r="AV1986" t="n">
        <v>5</v>
      </c>
      <c r="AW1986" t="n">
        <v>21</v>
      </c>
      <c r="AX1986" t="n">
        <v>0</v>
      </c>
      <c r="AY1986" t="n">
        <v>63</v>
      </c>
      <c r="AZ1986" t="n">
        <v>4</v>
      </c>
      <c r="BA1986" t="n">
        <v>53</v>
      </c>
      <c r="BB1986" t="n">
        <v>101</v>
      </c>
      <c r="BC1986" t="n">
        <v>9</v>
      </c>
      <c r="BD1986" t="n">
        <v>24</v>
      </c>
      <c r="BE1986" t="n">
        <v>26</v>
      </c>
      <c r="BF1986" t="n">
        <v>22</v>
      </c>
      <c r="BG1986" t="n">
        <v>3</v>
      </c>
      <c r="BH1986" t="n">
        <v>3</v>
      </c>
      <c r="BI1986" t="n">
        <v>12</v>
      </c>
      <c r="BJ1986" t="n">
        <v>36</v>
      </c>
      <c r="BK1986" t="n">
        <v>5</v>
      </c>
      <c r="BL1986" t="n">
        <v>44</v>
      </c>
      <c r="BM1986" t="n">
        <v>52</v>
      </c>
      <c r="BN1986" t="n">
        <v>16</v>
      </c>
      <c r="BO1986" t="n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3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229</v>
      </c>
      <c r="Z1987" t="n">
        <v>231</v>
      </c>
      <c r="AA1987" t="n">
        <v>17</v>
      </c>
      <c r="AB1987" t="n">
        <v>0</v>
      </c>
      <c r="AC1987" t="n">
        <v>0</v>
      </c>
      <c r="AD1987" t="n">
        <v>5</v>
      </c>
      <c r="AE1987" t="n">
        <v>1</v>
      </c>
      <c r="AF1987" t="n">
        <v>1</v>
      </c>
      <c r="AG1987" t="n">
        <v>1</v>
      </c>
      <c r="AH1987" t="n">
        <v>39</v>
      </c>
      <c r="AI1987" t="n">
        <v>8</v>
      </c>
      <c r="AJ1987" t="n">
        <v>12</v>
      </c>
      <c r="AK1987" t="n">
        <v>7</v>
      </c>
      <c r="AL1987" t="n">
        <v>4</v>
      </c>
      <c r="AM1987" t="n">
        <v>77</v>
      </c>
      <c r="AN1987" t="n">
        <v>0</v>
      </c>
      <c r="AO1987" t="n">
        <v>0</v>
      </c>
      <c r="AP1987" t="n">
        <v>0</v>
      </c>
      <c r="AQ1987" t="n">
        <v>3</v>
      </c>
      <c r="AR1987" t="n">
        <v>69</v>
      </c>
      <c r="AS1987" t="n">
        <v>62</v>
      </c>
      <c r="AT1987" t="n">
        <v>3</v>
      </c>
      <c r="AU1987" t="n">
        <v>1</v>
      </c>
      <c r="AV1987" t="n">
        <v>74</v>
      </c>
      <c r="AW1987" t="n">
        <v>35</v>
      </c>
      <c r="AX1987" t="n">
        <v>0</v>
      </c>
      <c r="AY1987" t="n">
        <v>24</v>
      </c>
      <c r="AZ1987" t="n">
        <v>1</v>
      </c>
      <c r="BA1987" t="n">
        <v>5</v>
      </c>
      <c r="BB1987" t="n">
        <v>19</v>
      </c>
      <c r="BC1987" t="n">
        <v>73</v>
      </c>
      <c r="BD1987" t="n">
        <v>43</v>
      </c>
      <c r="BE1987" t="n">
        <v>35</v>
      </c>
      <c r="BF1987" t="n">
        <v>35</v>
      </c>
      <c r="BG1987" t="n">
        <v>2</v>
      </c>
      <c r="BH1987" t="n">
        <v>22</v>
      </c>
      <c r="BI1987" t="n">
        <v>29</v>
      </c>
      <c r="BJ1987" t="n">
        <v>27</v>
      </c>
      <c r="BK1987" t="n">
        <v>4</v>
      </c>
      <c r="BL1987" t="n">
        <v>19</v>
      </c>
      <c r="BM1987" t="n">
        <v>25</v>
      </c>
      <c r="BN1987" t="n">
        <v>9</v>
      </c>
      <c r="BO1987" t="n">
        <v>11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2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277</v>
      </c>
      <c r="Z1988" t="n">
        <v>199</v>
      </c>
      <c r="AA1988" t="n">
        <v>34</v>
      </c>
      <c r="AB1988" t="n">
        <v>0</v>
      </c>
      <c r="AC1988" t="n">
        <v>1</v>
      </c>
      <c r="AD1988" t="n">
        <v>4</v>
      </c>
      <c r="AE1988" t="n">
        <v>4</v>
      </c>
      <c r="AF1988" t="n">
        <v>3</v>
      </c>
      <c r="AG1988" t="n">
        <v>3</v>
      </c>
      <c r="AH1988" t="n">
        <v>70</v>
      </c>
      <c r="AI1988" t="n">
        <v>42</v>
      </c>
      <c r="AJ1988" t="n">
        <v>25</v>
      </c>
      <c r="AK1988" t="n">
        <v>39</v>
      </c>
      <c r="AL1988" t="n">
        <v>8</v>
      </c>
      <c r="AM1988" t="n">
        <v>111</v>
      </c>
      <c r="AN1988" t="n">
        <v>0</v>
      </c>
      <c r="AO1988" t="n">
        <v>1</v>
      </c>
      <c r="AP1988" t="n">
        <v>3</v>
      </c>
      <c r="AQ1988" t="n">
        <v>12</v>
      </c>
      <c r="AR1988" t="n">
        <v>28</v>
      </c>
      <c r="AS1988" t="n">
        <v>19</v>
      </c>
      <c r="AT1988" t="n">
        <v>2</v>
      </c>
      <c r="AU1988" t="n">
        <v>1</v>
      </c>
      <c r="AV1988" t="n">
        <v>30</v>
      </c>
      <c r="AW1988" t="n">
        <v>16</v>
      </c>
      <c r="AX1988" t="n">
        <v>1</v>
      </c>
      <c r="AY1988" t="n">
        <v>11</v>
      </c>
      <c r="AZ1988" t="n">
        <v>0</v>
      </c>
      <c r="BA1988" t="n">
        <v>1</v>
      </c>
      <c r="BB1988" t="n">
        <v>35</v>
      </c>
      <c r="BC1988" t="n">
        <v>97</v>
      </c>
      <c r="BD1988" t="n">
        <v>72</v>
      </c>
      <c r="BE1988" t="n">
        <v>16</v>
      </c>
      <c r="BF1988" t="n">
        <v>20</v>
      </c>
      <c r="BG1988" t="n">
        <v>3</v>
      </c>
      <c r="BH1988" t="n">
        <v>3</v>
      </c>
      <c r="BI1988" t="n">
        <v>12</v>
      </c>
      <c r="BJ1988" t="n">
        <v>10</v>
      </c>
      <c r="BK1988" t="n">
        <v>4</v>
      </c>
      <c r="BL1988" t="n">
        <v>24</v>
      </c>
      <c r="BM1988" t="n">
        <v>21</v>
      </c>
      <c r="BN1988" t="n">
        <v>4</v>
      </c>
      <c r="BO1988" t="n">
        <v>44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</v>
      </c>
      <c r="U1989" t="n">
        <v>0</v>
      </c>
      <c r="V1989" t="n">
        <v>1</v>
      </c>
      <c r="W1989" t="n">
        <v>0</v>
      </c>
      <c r="X1989" t="n">
        <v>0</v>
      </c>
      <c r="Y1989" t="n">
        <v>337</v>
      </c>
      <c r="Z1989" t="n">
        <v>322</v>
      </c>
      <c r="AA1989" t="n">
        <v>93</v>
      </c>
      <c r="AB1989" t="n">
        <v>2</v>
      </c>
      <c r="AC1989" t="n">
        <v>0</v>
      </c>
      <c r="AD1989" t="n">
        <v>3</v>
      </c>
      <c r="AE1989" t="n">
        <v>8</v>
      </c>
      <c r="AF1989" t="n">
        <v>6</v>
      </c>
      <c r="AG1989" t="n">
        <v>8</v>
      </c>
      <c r="AH1989" t="n">
        <v>75</v>
      </c>
      <c r="AI1989" t="n">
        <v>110</v>
      </c>
      <c r="AJ1989" t="n">
        <v>50</v>
      </c>
      <c r="AK1989" t="n">
        <v>98</v>
      </c>
      <c r="AL1989" t="n">
        <v>4</v>
      </c>
      <c r="AM1989" t="n">
        <v>69</v>
      </c>
      <c r="AN1989" t="n">
        <v>0</v>
      </c>
      <c r="AO1989" t="n">
        <v>0</v>
      </c>
      <c r="AP1989" t="n">
        <v>6</v>
      </c>
      <c r="AQ1989" t="n">
        <v>48</v>
      </c>
      <c r="AR1989" t="n">
        <v>105</v>
      </c>
      <c r="AS1989" t="n">
        <v>64</v>
      </c>
      <c r="AT1989" t="n">
        <v>5</v>
      </c>
      <c r="AU1989" t="n">
        <v>1</v>
      </c>
      <c r="AV1989" t="n">
        <v>30</v>
      </c>
      <c r="AW1989" t="n">
        <v>34</v>
      </c>
      <c r="AX1989" t="n">
        <v>7</v>
      </c>
      <c r="AY1989" t="n">
        <v>0</v>
      </c>
      <c r="AZ1989" t="n">
        <v>2</v>
      </c>
      <c r="BA1989" t="n">
        <v>28</v>
      </c>
      <c r="BB1989" t="n">
        <v>117</v>
      </c>
      <c r="BC1989" t="n">
        <v>58</v>
      </c>
      <c r="BD1989" t="n">
        <v>73</v>
      </c>
      <c r="BE1989" t="n">
        <v>34</v>
      </c>
      <c r="BF1989" t="n">
        <v>44</v>
      </c>
      <c r="BG1989" t="n">
        <v>1</v>
      </c>
      <c r="BH1989" t="n">
        <v>11</v>
      </c>
      <c r="BI1989" t="n">
        <v>24</v>
      </c>
      <c r="BJ1989" t="n">
        <v>24</v>
      </c>
      <c r="BK1989" t="n">
        <v>0</v>
      </c>
      <c r="BL1989" t="n">
        <v>1</v>
      </c>
      <c r="BM1989" t="n">
        <v>17</v>
      </c>
      <c r="BN1989" t="n">
        <v>10</v>
      </c>
      <c r="BO1989" t="n">
        <v>2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223</v>
      </c>
      <c r="Z1990" t="n">
        <v>135</v>
      </c>
      <c r="AA1990" t="n">
        <v>21</v>
      </c>
      <c r="AB1990" t="n">
        <v>3</v>
      </c>
      <c r="AC1990" t="n">
        <v>1</v>
      </c>
      <c r="AD1990" t="n">
        <v>6</v>
      </c>
      <c r="AE1990" t="n">
        <v>7</v>
      </c>
      <c r="AF1990" t="n">
        <v>0</v>
      </c>
      <c r="AG1990" t="n">
        <v>1</v>
      </c>
      <c r="AH1990" t="n">
        <v>57</v>
      </c>
      <c r="AI1990" t="n">
        <v>77</v>
      </c>
      <c r="AJ1990" t="n">
        <v>5</v>
      </c>
      <c r="AK1990" t="n">
        <v>1</v>
      </c>
      <c r="AL1990" t="n">
        <v>2</v>
      </c>
      <c r="AM1990" t="n">
        <v>13</v>
      </c>
      <c r="AN1990" t="n">
        <v>0</v>
      </c>
      <c r="AO1990" t="n">
        <v>0</v>
      </c>
      <c r="AP1990" t="n">
        <v>3</v>
      </c>
      <c r="AQ1990" t="n">
        <v>42</v>
      </c>
      <c r="AR1990" t="n">
        <v>138</v>
      </c>
      <c r="AS1990" t="n">
        <v>101</v>
      </c>
      <c r="AT1990" t="n">
        <v>3</v>
      </c>
      <c r="AU1990" t="n">
        <v>2</v>
      </c>
      <c r="AV1990" t="n">
        <v>41</v>
      </c>
      <c r="AW1990" t="n">
        <v>20</v>
      </c>
      <c r="AX1990" t="n">
        <v>5</v>
      </c>
      <c r="AY1990" t="n">
        <v>1</v>
      </c>
      <c r="AZ1990" t="n">
        <v>1</v>
      </c>
      <c r="BA1990" t="n">
        <v>10</v>
      </c>
      <c r="BB1990" t="n">
        <v>30</v>
      </c>
      <c r="BC1990" t="n">
        <v>15</v>
      </c>
      <c r="BD1990" t="n">
        <v>51</v>
      </c>
      <c r="BE1990" t="n">
        <v>33</v>
      </c>
      <c r="BF1990" t="n">
        <v>4</v>
      </c>
      <c r="BG1990" t="n">
        <v>4</v>
      </c>
      <c r="BH1990" t="n">
        <v>6</v>
      </c>
      <c r="BI1990" t="n">
        <v>60</v>
      </c>
      <c r="BJ1990" t="n">
        <v>57</v>
      </c>
      <c r="BK1990" t="n">
        <v>1</v>
      </c>
      <c r="BL1990" t="n">
        <v>1</v>
      </c>
      <c r="BM1990" t="n">
        <v>20</v>
      </c>
      <c r="BN1990" t="n">
        <v>12</v>
      </c>
      <c r="BO1990" t="n">
        <v>2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211</v>
      </c>
      <c r="Z1991" t="n">
        <v>141</v>
      </c>
      <c r="AA1991" t="n">
        <v>85</v>
      </c>
      <c r="AB1991" t="n">
        <v>0</v>
      </c>
      <c r="AC1991" t="n">
        <v>2</v>
      </c>
      <c r="AD1991" t="n">
        <v>4</v>
      </c>
      <c r="AE1991" t="n">
        <v>5</v>
      </c>
      <c r="AF1991" t="n">
        <v>3</v>
      </c>
      <c r="AG1991" t="n">
        <v>2</v>
      </c>
      <c r="AH1991" t="n">
        <v>37</v>
      </c>
      <c r="AI1991" t="n">
        <v>22</v>
      </c>
      <c r="AJ1991" t="n">
        <v>22</v>
      </c>
      <c r="AK1991" t="n">
        <v>12</v>
      </c>
      <c r="AL1991" t="n">
        <v>3</v>
      </c>
      <c r="AM1991" t="n">
        <v>13</v>
      </c>
      <c r="AN1991" t="n">
        <v>0</v>
      </c>
      <c r="AO1991" t="n">
        <v>0</v>
      </c>
      <c r="AP1991" t="n">
        <v>5</v>
      </c>
      <c r="AQ1991" t="n">
        <v>27</v>
      </c>
      <c r="AR1991" t="n">
        <v>53</v>
      </c>
      <c r="AS1991" t="n">
        <v>31</v>
      </c>
      <c r="AT1991" t="n">
        <v>2</v>
      </c>
      <c r="AU1991" t="n">
        <v>3</v>
      </c>
      <c r="AV1991" t="n">
        <v>6</v>
      </c>
      <c r="AW1991" t="n">
        <v>30</v>
      </c>
      <c r="AX1991" t="n">
        <v>1</v>
      </c>
      <c r="AY1991" t="n">
        <v>21</v>
      </c>
      <c r="AZ1991" t="n">
        <v>2</v>
      </c>
      <c r="BA1991" t="n">
        <v>8</v>
      </c>
      <c r="BB1991" t="n">
        <v>88</v>
      </c>
      <c r="BC1991" t="n">
        <v>15</v>
      </c>
      <c r="BD1991" t="n">
        <v>33</v>
      </c>
      <c r="BE1991" t="n">
        <v>29</v>
      </c>
      <c r="BF1991" t="n">
        <v>17</v>
      </c>
      <c r="BG1991" t="n">
        <v>2</v>
      </c>
      <c r="BH1991" t="n">
        <v>16</v>
      </c>
      <c r="BI1991" t="n">
        <v>16</v>
      </c>
      <c r="BJ1991" t="n">
        <v>15</v>
      </c>
      <c r="BK1991" t="n">
        <v>2</v>
      </c>
      <c r="BL1991" t="n">
        <v>1</v>
      </c>
      <c r="BM1991" t="n">
        <v>4</v>
      </c>
      <c r="BN1991" t="n">
        <v>2</v>
      </c>
      <c r="BO1991" t="n">
        <v>2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159</v>
      </c>
      <c r="Z1992" t="n">
        <v>134</v>
      </c>
      <c r="AA1992" t="n">
        <v>101</v>
      </c>
      <c r="AB1992" t="n">
        <v>0</v>
      </c>
      <c r="AC1992" t="n">
        <v>0</v>
      </c>
      <c r="AD1992" t="n">
        <v>1</v>
      </c>
      <c r="AE1992" t="n">
        <v>4</v>
      </c>
      <c r="AF1992" t="n">
        <v>3</v>
      </c>
      <c r="AG1992" t="n">
        <v>0</v>
      </c>
      <c r="AH1992" t="n">
        <v>57</v>
      </c>
      <c r="AI1992" t="n">
        <v>38</v>
      </c>
      <c r="AJ1992" t="n">
        <v>19</v>
      </c>
      <c r="AK1992" t="n">
        <v>1</v>
      </c>
      <c r="AL1992" t="n">
        <v>0</v>
      </c>
      <c r="AM1992" t="n">
        <v>6</v>
      </c>
      <c r="AN1992" t="n">
        <v>0</v>
      </c>
      <c r="AO1992" t="n">
        <v>0</v>
      </c>
      <c r="AP1992" t="n">
        <v>3</v>
      </c>
      <c r="AQ1992" t="n">
        <v>41</v>
      </c>
      <c r="AR1992" t="n">
        <v>117</v>
      </c>
      <c r="AS1992" t="n">
        <v>82</v>
      </c>
      <c r="AT1992" t="n">
        <v>1</v>
      </c>
      <c r="AU1992" t="n">
        <v>1</v>
      </c>
      <c r="AV1992" t="n">
        <v>21</v>
      </c>
      <c r="AW1992" t="n">
        <v>37</v>
      </c>
      <c r="AX1992" t="n">
        <v>3</v>
      </c>
      <c r="AY1992" t="n">
        <v>37</v>
      </c>
      <c r="AZ1992" t="n">
        <v>0</v>
      </c>
      <c r="BA1992" t="n">
        <v>2</v>
      </c>
      <c r="BB1992" t="n">
        <v>100</v>
      </c>
      <c r="BC1992" t="n">
        <v>16</v>
      </c>
      <c r="BD1992" t="n">
        <v>63</v>
      </c>
      <c r="BE1992" t="n">
        <v>38</v>
      </c>
      <c r="BF1992" t="n">
        <v>28</v>
      </c>
      <c r="BG1992" t="n">
        <v>1</v>
      </c>
      <c r="BH1992" t="n">
        <v>11</v>
      </c>
      <c r="BI1992" t="n">
        <v>26</v>
      </c>
      <c r="BJ1992" t="n">
        <v>52</v>
      </c>
      <c r="BK1992" t="n">
        <v>2</v>
      </c>
      <c r="BL1992" t="n">
        <v>1</v>
      </c>
      <c r="BM1992" t="n">
        <v>14</v>
      </c>
      <c r="BN1992" t="n">
        <v>8</v>
      </c>
      <c r="BO1992" t="n">
        <v>11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299</v>
      </c>
      <c r="Z1993" t="n">
        <v>110</v>
      </c>
      <c r="AA1993" t="n">
        <v>52</v>
      </c>
      <c r="AB1993" t="n">
        <v>1</v>
      </c>
      <c r="AC1993" t="n">
        <v>1</v>
      </c>
      <c r="AD1993" t="n">
        <v>7</v>
      </c>
      <c r="AE1993" t="n">
        <v>5</v>
      </c>
      <c r="AF1993" t="n">
        <v>5</v>
      </c>
      <c r="AG1993" t="n">
        <v>1</v>
      </c>
      <c r="AH1993" t="n">
        <v>143</v>
      </c>
      <c r="AI1993" t="n">
        <v>24</v>
      </c>
      <c r="AJ1993" t="n">
        <v>29</v>
      </c>
      <c r="AK1993" t="n">
        <v>1</v>
      </c>
      <c r="AL1993" t="n">
        <v>6</v>
      </c>
      <c r="AM1993" t="n">
        <v>36</v>
      </c>
      <c r="AN1993" t="n">
        <v>0</v>
      </c>
      <c r="AO1993" t="n">
        <v>1</v>
      </c>
      <c r="AP1993" t="n">
        <v>6</v>
      </c>
      <c r="AQ1993" t="n">
        <v>15</v>
      </c>
      <c r="AR1993" t="n">
        <v>95</v>
      </c>
      <c r="AS1993" t="n">
        <v>81</v>
      </c>
      <c r="AT1993" t="n">
        <v>2</v>
      </c>
      <c r="AU1993" t="n">
        <v>1</v>
      </c>
      <c r="AV1993" t="n">
        <v>27</v>
      </c>
      <c r="AW1993" t="n">
        <v>15</v>
      </c>
      <c r="AX1993" t="n">
        <v>0</v>
      </c>
      <c r="AY1993" t="n">
        <v>27</v>
      </c>
      <c r="AZ1993" t="n">
        <v>2</v>
      </c>
      <c r="BA1993" t="n">
        <v>5</v>
      </c>
      <c r="BB1993" t="n">
        <v>55</v>
      </c>
      <c r="BC1993" t="n">
        <v>39</v>
      </c>
      <c r="BD1993" t="n">
        <v>154</v>
      </c>
      <c r="BE1993" t="n">
        <v>15</v>
      </c>
      <c r="BF1993" t="n">
        <v>23</v>
      </c>
      <c r="BG1993" t="n">
        <v>1</v>
      </c>
      <c r="BH1993" t="n">
        <v>13</v>
      </c>
      <c r="BI1993" t="n">
        <v>1</v>
      </c>
      <c r="BJ1993" t="n">
        <v>13</v>
      </c>
      <c r="BK1993" t="n">
        <v>3</v>
      </c>
      <c r="BL1993" t="n">
        <v>24</v>
      </c>
      <c r="BM1993" t="n">
        <v>65</v>
      </c>
      <c r="BN1993" t="n">
        <v>36</v>
      </c>
      <c r="BO1993" t="n">
        <v>14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2</v>
      </c>
      <c r="W1994" t="n">
        <v>0</v>
      </c>
      <c r="X1994" t="n">
        <v>0</v>
      </c>
      <c r="Y1994" t="n">
        <v>145</v>
      </c>
      <c r="Z1994" t="n">
        <v>178</v>
      </c>
      <c r="AA1994" t="n">
        <v>67</v>
      </c>
      <c r="AB1994" t="n">
        <v>5</v>
      </c>
      <c r="AC1994" t="n">
        <v>2</v>
      </c>
      <c r="AD1994" t="n">
        <v>3</v>
      </c>
      <c r="AE1994" t="n">
        <v>6</v>
      </c>
      <c r="AF1994" t="n">
        <v>0</v>
      </c>
      <c r="AG1994" t="n">
        <v>3</v>
      </c>
      <c r="AH1994" t="n">
        <v>25</v>
      </c>
      <c r="AI1994" t="n">
        <v>15</v>
      </c>
      <c r="AJ1994" t="n">
        <v>7</v>
      </c>
      <c r="AK1994" t="n">
        <v>65</v>
      </c>
      <c r="AL1994" t="n">
        <v>5</v>
      </c>
      <c r="AM1994" t="n">
        <v>31</v>
      </c>
      <c r="AN1994" t="n">
        <v>0</v>
      </c>
      <c r="AO1994" t="n">
        <v>0</v>
      </c>
      <c r="AP1994" t="n">
        <v>3</v>
      </c>
      <c r="AQ1994" t="n">
        <v>27</v>
      </c>
      <c r="AR1994" t="n">
        <v>78</v>
      </c>
      <c r="AS1994" t="n">
        <v>55</v>
      </c>
      <c r="AT1994" t="n">
        <v>0</v>
      </c>
      <c r="AU1994" t="n">
        <v>2</v>
      </c>
      <c r="AV1994" t="n">
        <v>1</v>
      </c>
      <c r="AW1994" t="n">
        <v>24</v>
      </c>
      <c r="AX1994" t="n">
        <v>1</v>
      </c>
      <c r="AY1994" t="n">
        <v>0</v>
      </c>
      <c r="AZ1994" t="n">
        <v>4</v>
      </c>
      <c r="BA1994" t="n">
        <v>15</v>
      </c>
      <c r="BB1994" t="n">
        <v>78</v>
      </c>
      <c r="BC1994" t="n">
        <v>100</v>
      </c>
      <c r="BD1994" t="n">
        <v>22</v>
      </c>
      <c r="BE1994" t="n">
        <v>26</v>
      </c>
      <c r="BF1994" t="n">
        <v>2</v>
      </c>
      <c r="BG1994" t="n">
        <v>2</v>
      </c>
      <c r="BH1994" t="n">
        <v>1</v>
      </c>
      <c r="BI1994" t="n">
        <v>13</v>
      </c>
      <c r="BJ1994" t="n">
        <v>24</v>
      </c>
      <c r="BK1994" t="n">
        <v>0</v>
      </c>
      <c r="BL1994" t="n">
        <v>1</v>
      </c>
      <c r="BM1994" t="n">
        <v>3</v>
      </c>
      <c r="BN1994" t="n">
        <v>0</v>
      </c>
      <c r="BO1994" t="n">
        <v>9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3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2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237</v>
      </c>
      <c r="Z1995" t="n">
        <v>128</v>
      </c>
      <c r="AA1995" t="n">
        <v>112</v>
      </c>
      <c r="AB1995" t="n">
        <v>0</v>
      </c>
      <c r="AC1995" t="n">
        <v>0</v>
      </c>
      <c r="AD1995" t="n">
        <v>3</v>
      </c>
      <c r="AE1995" t="n">
        <v>9</v>
      </c>
      <c r="AF1995" t="n">
        <v>1</v>
      </c>
      <c r="AG1995" t="n">
        <v>5</v>
      </c>
      <c r="AH1995" t="n">
        <v>55</v>
      </c>
      <c r="AI1995" t="n">
        <v>60</v>
      </c>
      <c r="AJ1995" t="n">
        <v>25</v>
      </c>
      <c r="AK1995" t="n">
        <v>45</v>
      </c>
      <c r="AL1995" t="n">
        <v>1</v>
      </c>
      <c r="AM1995" t="n">
        <v>2</v>
      </c>
      <c r="AN1995" t="n">
        <v>0</v>
      </c>
      <c r="AO1995" t="n">
        <v>0</v>
      </c>
      <c r="AP1995" t="n">
        <v>8</v>
      </c>
      <c r="AQ1995" t="n">
        <v>53</v>
      </c>
      <c r="AR1995" t="n">
        <v>131</v>
      </c>
      <c r="AS1995" t="n">
        <v>86</v>
      </c>
      <c r="AT1995" t="n">
        <v>1</v>
      </c>
      <c r="AU1995" t="n">
        <v>2</v>
      </c>
      <c r="AV1995" t="n">
        <v>30</v>
      </c>
      <c r="AW1995" t="n">
        <v>19</v>
      </c>
      <c r="AX1995" t="n">
        <v>0</v>
      </c>
      <c r="AY1995" t="n">
        <v>135</v>
      </c>
      <c r="AZ1995" t="n">
        <v>0</v>
      </c>
      <c r="BA1995" t="n">
        <v>1</v>
      </c>
      <c r="BB1995" t="n">
        <v>108</v>
      </c>
      <c r="BC1995" t="n">
        <v>5</v>
      </c>
      <c r="BD1995" t="n">
        <v>95</v>
      </c>
      <c r="BE1995" t="n">
        <v>27</v>
      </c>
      <c r="BF1995" t="n">
        <v>20</v>
      </c>
      <c r="BG1995" t="n">
        <v>3</v>
      </c>
      <c r="BH1995" t="n">
        <v>6</v>
      </c>
      <c r="BI1995" t="n">
        <v>21</v>
      </c>
      <c r="BJ1995" t="n">
        <v>18</v>
      </c>
      <c r="BK1995" t="n">
        <v>0</v>
      </c>
      <c r="BL1995" t="n">
        <v>1</v>
      </c>
      <c r="BM1995" t="n">
        <v>31</v>
      </c>
      <c r="BN1995" t="n">
        <v>18</v>
      </c>
      <c r="BO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2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249</v>
      </c>
      <c r="Z1996" t="n">
        <v>172</v>
      </c>
      <c r="AA1996" t="n">
        <v>96</v>
      </c>
      <c r="AB1996" t="n">
        <v>1</v>
      </c>
      <c r="AC1996" t="n">
        <v>4</v>
      </c>
      <c r="AD1996" t="n">
        <v>3</v>
      </c>
      <c r="AE1996" t="n">
        <v>2</v>
      </c>
      <c r="AF1996" t="n">
        <v>7</v>
      </c>
      <c r="AG1996" t="n">
        <v>2</v>
      </c>
      <c r="AH1996" t="n">
        <v>104</v>
      </c>
      <c r="AI1996" t="n">
        <v>42</v>
      </c>
      <c r="AJ1996" t="n">
        <v>58</v>
      </c>
      <c r="AK1996" t="n">
        <v>1</v>
      </c>
      <c r="AL1996" t="n">
        <v>5</v>
      </c>
      <c r="AM1996" t="n">
        <v>102</v>
      </c>
      <c r="AN1996" t="n">
        <v>0</v>
      </c>
      <c r="AO1996" t="n">
        <v>1</v>
      </c>
      <c r="AP1996" t="n">
        <v>3</v>
      </c>
      <c r="AQ1996" t="n">
        <v>1</v>
      </c>
      <c r="AR1996" t="n">
        <v>59</v>
      </c>
      <c r="AS1996" t="n">
        <v>52</v>
      </c>
      <c r="AT1996" t="n">
        <v>4</v>
      </c>
      <c r="AU1996" t="n">
        <v>2</v>
      </c>
      <c r="AV1996" t="n">
        <v>22</v>
      </c>
      <c r="AW1996" t="n">
        <v>18</v>
      </c>
      <c r="AX1996" t="n">
        <v>0</v>
      </c>
      <c r="AY1996" t="n">
        <v>19</v>
      </c>
      <c r="AZ1996" t="n">
        <v>3</v>
      </c>
      <c r="BA1996" t="n">
        <v>1</v>
      </c>
      <c r="BB1996" t="n">
        <v>94</v>
      </c>
      <c r="BC1996" t="n">
        <v>85</v>
      </c>
      <c r="BD1996" t="n">
        <v>94</v>
      </c>
      <c r="BE1996" t="n">
        <v>17</v>
      </c>
      <c r="BF1996" t="n">
        <v>47</v>
      </c>
      <c r="BG1996" t="n">
        <v>3</v>
      </c>
      <c r="BH1996" t="n">
        <v>19</v>
      </c>
      <c r="BI1996" t="n">
        <v>8</v>
      </c>
      <c r="BJ1996" t="n">
        <v>10</v>
      </c>
      <c r="BK1996" t="n">
        <v>3</v>
      </c>
      <c r="BL1996" t="n">
        <v>33</v>
      </c>
      <c r="BM1996" t="n">
        <v>26</v>
      </c>
      <c r="BN1996" t="n">
        <v>4</v>
      </c>
      <c r="BO1996" t="n">
        <v>16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129</v>
      </c>
      <c r="Z1997" t="n">
        <v>203</v>
      </c>
      <c r="AA1997" t="n">
        <v>25</v>
      </c>
      <c r="AB1997" t="n">
        <v>5</v>
      </c>
      <c r="AC1997" t="n">
        <v>1</v>
      </c>
      <c r="AD1997" t="n">
        <v>2</v>
      </c>
      <c r="AE1997" t="n">
        <v>1</v>
      </c>
      <c r="AF1997" t="n">
        <v>2</v>
      </c>
      <c r="AG1997" t="n">
        <v>5</v>
      </c>
      <c r="AH1997" t="n">
        <v>19</v>
      </c>
      <c r="AI1997" t="n">
        <v>2</v>
      </c>
      <c r="AJ1997" t="n">
        <v>27</v>
      </c>
      <c r="AK1997" t="n">
        <v>51</v>
      </c>
      <c r="AL1997" t="n">
        <v>3</v>
      </c>
      <c r="AM1997" t="n">
        <v>40</v>
      </c>
      <c r="AN1997" t="n">
        <v>1</v>
      </c>
      <c r="AO1997" t="n">
        <v>0</v>
      </c>
      <c r="AP1997" t="n">
        <v>6</v>
      </c>
      <c r="AQ1997" t="n">
        <v>33</v>
      </c>
      <c r="AR1997" t="n">
        <v>115</v>
      </c>
      <c r="AS1997" t="n">
        <v>86</v>
      </c>
      <c r="AT1997" t="n">
        <v>1</v>
      </c>
      <c r="AU1997" t="n">
        <v>2</v>
      </c>
      <c r="AV1997" t="n">
        <v>4</v>
      </c>
      <c r="AW1997" t="n">
        <v>5</v>
      </c>
      <c r="AX1997" t="n">
        <v>5</v>
      </c>
      <c r="AY1997" t="n">
        <v>22</v>
      </c>
      <c r="AZ1997" t="n">
        <v>2</v>
      </c>
      <c r="BA1997" t="n">
        <v>20</v>
      </c>
      <c r="BB1997" t="n">
        <v>45</v>
      </c>
      <c r="BC1997" t="n">
        <v>62</v>
      </c>
      <c r="BD1997" t="n">
        <v>35</v>
      </c>
      <c r="BE1997" t="n">
        <v>11</v>
      </c>
      <c r="BF1997" t="n">
        <v>43</v>
      </c>
      <c r="BG1997" t="n">
        <v>1</v>
      </c>
      <c r="BH1997" t="n">
        <v>11</v>
      </c>
      <c r="BI1997" t="n">
        <v>4</v>
      </c>
      <c r="BJ1997" t="n">
        <v>1</v>
      </c>
      <c r="BK1997" t="n">
        <v>3</v>
      </c>
      <c r="BL1997" t="n">
        <v>9</v>
      </c>
      <c r="BM1997" t="n">
        <v>15</v>
      </c>
      <c r="BN1997" t="n">
        <v>6</v>
      </c>
      <c r="BO1997" t="n">
        <v>51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306</v>
      </c>
      <c r="Z1998" t="n">
        <v>141</v>
      </c>
      <c r="AA1998" t="n">
        <v>70</v>
      </c>
      <c r="AB1998" t="n">
        <v>3</v>
      </c>
      <c r="AC1998" t="n">
        <v>1</v>
      </c>
      <c r="AD1998" t="n">
        <v>3</v>
      </c>
      <c r="AE1998" t="n">
        <v>3</v>
      </c>
      <c r="AF1998" t="n">
        <v>5</v>
      </c>
      <c r="AG1998" t="n">
        <v>9</v>
      </c>
      <c r="AH1998" t="n">
        <v>2</v>
      </c>
      <c r="AI1998" t="n">
        <v>43</v>
      </c>
      <c r="AJ1998" t="n">
        <v>65</v>
      </c>
      <c r="AK1998" t="n">
        <v>150</v>
      </c>
      <c r="AL1998" t="n">
        <v>2</v>
      </c>
      <c r="AM1998" t="n">
        <v>22</v>
      </c>
      <c r="AN1998" t="n">
        <v>1</v>
      </c>
      <c r="AO1998" t="n">
        <v>0</v>
      </c>
      <c r="AP1998" t="n">
        <v>6</v>
      </c>
      <c r="AQ1998" t="n">
        <v>90</v>
      </c>
      <c r="AR1998" t="n">
        <v>111</v>
      </c>
      <c r="AS1998" t="n">
        <v>35</v>
      </c>
      <c r="AT1998" t="n">
        <v>1</v>
      </c>
      <c r="AU1998" t="n">
        <v>1</v>
      </c>
      <c r="AV1998" t="n">
        <v>9</v>
      </c>
      <c r="AW1998" t="n">
        <v>26</v>
      </c>
      <c r="AX1998" t="n">
        <v>4</v>
      </c>
      <c r="AY1998" t="n">
        <v>32</v>
      </c>
      <c r="AZ1998" t="n">
        <v>1</v>
      </c>
      <c r="BA1998" t="n">
        <v>10</v>
      </c>
      <c r="BB1998" t="n">
        <v>78</v>
      </c>
      <c r="BC1998" t="n">
        <v>18</v>
      </c>
      <c r="BD1998" t="n">
        <v>2</v>
      </c>
      <c r="BE1998" t="n">
        <v>25</v>
      </c>
      <c r="BF1998" t="n">
        <v>49</v>
      </c>
      <c r="BG1998" t="n">
        <v>0</v>
      </c>
      <c r="BH1998" t="n">
        <v>0</v>
      </c>
      <c r="BI1998" t="n">
        <v>3</v>
      </c>
      <c r="BJ1998" t="n">
        <v>9</v>
      </c>
      <c r="BK1998" t="n">
        <v>1</v>
      </c>
      <c r="BL1998" t="n">
        <v>1</v>
      </c>
      <c r="BM1998" t="n">
        <v>1</v>
      </c>
      <c r="BN1998" t="n">
        <v>0</v>
      </c>
      <c r="BO1998" t="n">
        <v>58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2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173</v>
      </c>
      <c r="Z1999" t="n">
        <v>160</v>
      </c>
      <c r="AA1999" t="n">
        <v>72</v>
      </c>
      <c r="AB1999" t="n">
        <v>3</v>
      </c>
      <c r="AC1999" t="n">
        <v>3</v>
      </c>
      <c r="AD1999" t="n">
        <v>4</v>
      </c>
      <c r="AE1999" t="n">
        <v>7</v>
      </c>
      <c r="AF1999" t="n">
        <v>3</v>
      </c>
      <c r="AG1999" t="n">
        <v>5</v>
      </c>
      <c r="AH1999" t="n">
        <v>24</v>
      </c>
      <c r="AI1999" t="n">
        <v>34</v>
      </c>
      <c r="AJ1999" t="n">
        <v>31</v>
      </c>
      <c r="AK1999" t="n">
        <v>39</v>
      </c>
      <c r="AL1999" t="n">
        <v>4</v>
      </c>
      <c r="AM1999" t="n">
        <v>33</v>
      </c>
      <c r="AN1999" t="n">
        <v>0</v>
      </c>
      <c r="AO1999" t="n">
        <v>0</v>
      </c>
      <c r="AP1999" t="n">
        <v>5</v>
      </c>
      <c r="AQ1999" t="n">
        <v>36</v>
      </c>
      <c r="AR1999" t="n">
        <v>75</v>
      </c>
      <c r="AS1999" t="n">
        <v>44</v>
      </c>
      <c r="AT1999" t="n">
        <v>3</v>
      </c>
      <c r="AU1999" t="n">
        <v>2</v>
      </c>
      <c r="AV1999" t="n">
        <v>33</v>
      </c>
      <c r="AW1999" t="n">
        <v>28</v>
      </c>
      <c r="AX1999" t="n">
        <v>0</v>
      </c>
      <c r="AY1999" t="n">
        <v>44</v>
      </c>
      <c r="AZ1999" t="n">
        <v>2</v>
      </c>
      <c r="BA1999" t="n">
        <v>1</v>
      </c>
      <c r="BB1999" t="n">
        <v>71</v>
      </c>
      <c r="BC1999" t="n">
        <v>34</v>
      </c>
      <c r="BD1999" t="n">
        <v>21</v>
      </c>
      <c r="BE1999" t="n">
        <v>28</v>
      </c>
      <c r="BF1999" t="n">
        <v>36</v>
      </c>
      <c r="BG1999" t="n">
        <v>3</v>
      </c>
      <c r="BH1999" t="n">
        <v>7</v>
      </c>
      <c r="BI1999" t="n">
        <v>38</v>
      </c>
      <c r="BJ1999" t="n">
        <v>39</v>
      </c>
      <c r="BK1999" t="n">
        <v>5</v>
      </c>
      <c r="BL1999" t="n">
        <v>-4</v>
      </c>
      <c r="BM1999" t="n">
        <v>-2</v>
      </c>
      <c r="BN1999" t="n">
        <v>0</v>
      </c>
      <c r="BO1999" t="n">
        <v>28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</v>
      </c>
      <c r="U2000" t="n">
        <v>1</v>
      </c>
      <c r="V2000" t="n">
        <v>0</v>
      </c>
      <c r="W2000" t="n">
        <v>0</v>
      </c>
      <c r="X2000" t="n">
        <v>0</v>
      </c>
      <c r="Y2000" t="n">
        <v>164</v>
      </c>
      <c r="Z2000" t="n">
        <v>124</v>
      </c>
      <c r="AA2000" t="n">
        <v>47</v>
      </c>
      <c r="AB2000" t="n">
        <v>1</v>
      </c>
      <c r="AC2000" t="n">
        <v>1</v>
      </c>
      <c r="AD2000" t="n">
        <v>4</v>
      </c>
      <c r="AE2000" t="n">
        <v>5</v>
      </c>
      <c r="AF2000" t="n">
        <v>1</v>
      </c>
      <c r="AG2000" t="n">
        <v>7</v>
      </c>
      <c r="AH2000" t="n">
        <v>13</v>
      </c>
      <c r="AI2000" t="n">
        <v>19</v>
      </c>
      <c r="AJ2000" t="n">
        <v>-4</v>
      </c>
      <c r="AK2000" t="n">
        <v>48</v>
      </c>
      <c r="AL2000" t="n">
        <v>5</v>
      </c>
      <c r="AM2000" t="n">
        <v>50</v>
      </c>
      <c r="AN2000" t="n">
        <v>0</v>
      </c>
      <c r="AO2000" t="n">
        <v>0</v>
      </c>
      <c r="AP2000" t="n">
        <v>0</v>
      </c>
      <c r="AQ2000" t="n">
        <v>1</v>
      </c>
      <c r="AR2000" t="n">
        <v>47</v>
      </c>
      <c r="AS2000" t="n">
        <v>42</v>
      </c>
      <c r="AT2000" t="n">
        <v>1</v>
      </c>
      <c r="AU2000" t="n">
        <v>0</v>
      </c>
      <c r="AV2000" t="n">
        <v>17</v>
      </c>
      <c r="AW2000" t="n">
        <v>8</v>
      </c>
      <c r="AX2000" t="n">
        <v>6</v>
      </c>
      <c r="AY2000" t="n">
        <v>28</v>
      </c>
      <c r="AZ2000" t="n">
        <v>2</v>
      </c>
      <c r="BA2000" t="n">
        <v>40</v>
      </c>
      <c r="BB2000" t="n">
        <v>87</v>
      </c>
      <c r="BC2000" t="n">
        <v>41</v>
      </c>
      <c r="BD2000" t="n">
        <v>11</v>
      </c>
      <c r="BE2000" t="n">
        <v>9</v>
      </c>
      <c r="BF2000" t="n">
        <v>44</v>
      </c>
      <c r="BG2000" t="n">
        <v>2</v>
      </c>
      <c r="BH2000" t="n">
        <v>4</v>
      </c>
      <c r="BI2000" t="n">
        <v>40</v>
      </c>
      <c r="BJ2000" t="n">
        <v>36</v>
      </c>
      <c r="BK2000" t="n">
        <v>3</v>
      </c>
      <c r="BL2000" t="n">
        <v>14</v>
      </c>
      <c r="BM2000" t="n">
        <v>20</v>
      </c>
      <c r="BN2000" t="n">
        <v>7</v>
      </c>
      <c r="BO2000" t="n">
        <v>18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2</v>
      </c>
      <c r="U2001" t="n">
        <v>0</v>
      </c>
      <c r="V2001" t="n">
        <v>0</v>
      </c>
      <c r="W2001" t="n">
        <v>0</v>
      </c>
      <c r="X2001" t="n">
        <v>0</v>
      </c>
      <c r="Y2001" t="n">
        <v>150</v>
      </c>
      <c r="Z2001" t="n">
        <v>225</v>
      </c>
      <c r="AA2001" t="n">
        <v>48</v>
      </c>
      <c r="AB2001" t="n">
        <v>0</v>
      </c>
      <c r="AC2001" t="n">
        <v>0</v>
      </c>
      <c r="AD2001" t="n">
        <v>2</v>
      </c>
      <c r="AE2001" t="n">
        <v>1</v>
      </c>
      <c r="AF2001" t="n">
        <v>8</v>
      </c>
      <c r="AG2001" t="n">
        <v>4</v>
      </c>
      <c r="AH2001" t="n">
        <v>49</v>
      </c>
      <c r="AI2001" t="n">
        <v>2</v>
      </c>
      <c r="AJ2001" t="n">
        <v>77</v>
      </c>
      <c r="AK2001" t="n">
        <v>41</v>
      </c>
      <c r="AL2001" t="n">
        <v>5</v>
      </c>
      <c r="AM2001" t="n">
        <v>65</v>
      </c>
      <c r="AN2001" t="n">
        <v>0</v>
      </c>
      <c r="AO2001" t="n">
        <v>0</v>
      </c>
      <c r="AP2001" t="n">
        <v>1</v>
      </c>
      <c r="AQ2001" t="n">
        <v>1</v>
      </c>
      <c r="AR2001" t="n">
        <v>58</v>
      </c>
      <c r="AS2001" t="n">
        <v>52</v>
      </c>
      <c r="AT2001" t="n">
        <v>0</v>
      </c>
      <c r="AU2001" t="n">
        <v>1</v>
      </c>
      <c r="AV2001" t="n">
        <v>11</v>
      </c>
      <c r="AW2001" t="n">
        <v>21</v>
      </c>
      <c r="AX2001" t="n">
        <v>10</v>
      </c>
      <c r="AY2001" t="n">
        <v>11</v>
      </c>
      <c r="AZ2001" t="n">
        <v>2</v>
      </c>
      <c r="BA2001" t="n">
        <v>23</v>
      </c>
      <c r="BB2001" t="n">
        <v>69</v>
      </c>
      <c r="BC2001" t="n">
        <v>54</v>
      </c>
      <c r="BD2001" t="n">
        <v>47</v>
      </c>
      <c r="BE2001" t="n">
        <v>21</v>
      </c>
      <c r="BF2001" t="n">
        <v>61</v>
      </c>
      <c r="BG2001" t="n">
        <v>0</v>
      </c>
      <c r="BH2001" t="n">
        <v>2</v>
      </c>
      <c r="BI2001" t="n">
        <v>1</v>
      </c>
      <c r="BJ2001" t="n">
        <v>3</v>
      </c>
      <c r="BK2001" t="n">
        <v>4</v>
      </c>
      <c r="BL2001" t="n">
        <v>18</v>
      </c>
      <c r="BM2001" t="n">
        <v>30</v>
      </c>
      <c r="BN2001" t="n">
        <v>12</v>
      </c>
      <c r="BO2001" t="n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Players</t>
        </is>
      </c>
      <c r="C1" t="inlineStr">
        <is>
          <t>Player</t>
        </is>
      </c>
      <c r="D1" t="inlineStr">
        <is>
          <t>Stat</t>
        </is>
      </c>
      <c r="F1" t="inlineStr">
        <is>
          <t>Key</t>
        </is>
      </c>
      <c r="G1" t="inlineStr">
        <is>
          <t>Line</t>
        </is>
      </c>
      <c r="I1" t="inlineStr">
        <is>
          <t>Key</t>
        </is>
      </c>
      <c r="J1" t="inlineStr">
        <is>
          <t>Team</t>
        </is>
      </c>
      <c r="K1" t="inlineStr">
        <is>
          <t>Book line</t>
        </is>
      </c>
      <c r="M1" t="inlineStr">
        <is>
          <t>Side</t>
        </is>
      </c>
      <c r="O1" t="inlineStr">
        <is>
          <t>Free</t>
        </is>
      </c>
      <c r="Q1" t="inlineStr">
        <is>
          <t>Play</t>
        </is>
      </c>
      <c r="T1" t="inlineStr">
        <is>
          <t>Leg 1 stats</t>
        </is>
      </c>
      <c r="U1" t="inlineStr">
        <is>
          <t>Leg 2 stats</t>
        </is>
      </c>
      <c r="V1" t="inlineStr">
        <is>
          <t>Leg 3 stats</t>
        </is>
      </c>
      <c r="W1" t="inlineStr">
        <is>
          <t>Leg 4 stats</t>
        </is>
      </c>
      <c r="X1" t="inlineStr">
        <is>
          <t>Leg 5 stats</t>
        </is>
      </c>
      <c r="Y1" t="inlineStr">
        <is>
          <t>Leg 6 stats</t>
        </is>
      </c>
      <c r="AB1" t="inlineStr">
        <is>
          <t>Leg 1 lines</t>
        </is>
      </c>
      <c r="AC1" t="inlineStr">
        <is>
          <t>Leg 2 lines</t>
        </is>
      </c>
      <c r="AD1" t="inlineStr">
        <is>
          <t>Leg 3 lines</t>
        </is>
      </c>
      <c r="AE1" t="inlineStr">
        <is>
          <t>Leg 4 lines</t>
        </is>
      </c>
      <c r="AF1" t="inlineStr">
        <is>
          <t>Leg 5 lines</t>
        </is>
      </c>
      <c r="AG1" t="inlineStr">
        <is>
          <t>Leg 6 lines</t>
        </is>
      </c>
    </row>
    <row r="2">
      <c r="A2" t="inlineStr">
        <is>
          <t>Aaron Rodgers</t>
        </is>
      </c>
      <c r="C2" t="inlineStr">
        <is>
          <t>Aaron Rodgers</t>
        </is>
      </c>
      <c r="D2" t="inlineStr">
        <is>
          <t>Pass Yds</t>
        </is>
      </c>
      <c r="F2" t="inlineStr">
        <is>
          <t>Aaron Rodgers | Pass Yds</t>
        </is>
      </c>
      <c r="G2" t="n">
        <v>112.5</v>
      </c>
      <c r="I2" t="inlineStr">
        <is>
          <t>Aaron Rodgers | Pass Yds</t>
        </is>
      </c>
      <c r="J2" t="inlineStr">
        <is>
          <t>PIT</t>
        </is>
      </c>
      <c r="K2" t="n">
        <v>212.5</v>
      </c>
      <c r="M2" t="inlineStr">
        <is>
          <t>More</t>
        </is>
      </c>
      <c r="O2" t="inlineStr">
        <is>
          <t>Yes</t>
        </is>
      </c>
      <c r="Q2" t="inlineStr">
        <is>
          <t>Power</t>
        </is>
      </c>
      <c r="T2">
        <f>IF(1&lt;=COUNTIF($C$2:$C$68,'Entry Builder'!$B$7),INDEX($D$2:$D$68,MATCH('Entry Builder'!$B$7,$C$2:$C$68,0)+0),"")</f>
        <v/>
      </c>
      <c r="U2">
        <f>IF(1&lt;=COUNTIF($C$2:$C$68,'Entry Builder'!$B$8),INDEX($D$2:$D$68,MATCH('Entry Builder'!$B$8,$C$2:$C$68,0)+0),"")</f>
        <v/>
      </c>
      <c r="V2">
        <f>IF(1&lt;=COUNTIF($C$2:$C$68,'Entry Builder'!$B$9),INDEX($D$2:$D$68,MATCH('Entry Builder'!$B$9,$C$2:$C$68,0)+0),"")</f>
        <v/>
      </c>
      <c r="W2">
        <f>IF(1&lt;=COUNTIF($C$2:$C$68,'Entry Builder'!$B$10),INDEX($D$2:$D$68,MATCH('Entry Builder'!$B$10,$C$2:$C$68,0)+0),"")</f>
        <v/>
      </c>
      <c r="X2">
        <f>IF(1&lt;=COUNTIF($C$2:$C$68,'Entry Builder'!$B$11),INDEX($D$2:$D$68,MATCH('Entry Builder'!$B$11,$C$2:$C$68,0)+0),"")</f>
        <v/>
      </c>
      <c r="Y2">
        <f>IF(1&lt;=COUNTIF($C$2:$C$68,'Entry Builder'!$B$12),INDEX($D$2:$D$68,MATCH('Entry Builder'!$B$12,$C$2:$C$68,0)+0),"")</f>
        <v/>
      </c>
      <c r="AB2">
        <f>IF(1&lt;=COUNTIF($F$2:$F$620,'Entry Builder'!$K$7),INDEX($G$2:$G$620,MATCH('Entry Builder'!$K$7,$F$2:$F$620,0)+0),"")</f>
        <v/>
      </c>
      <c r="AC2">
        <f>IF(1&lt;=COUNTIF($F$2:$F$620,'Entry Builder'!$K$8),INDEX($G$2:$G$620,MATCH('Entry Builder'!$K$8,$F$2:$F$620,0)+0),"")</f>
        <v/>
      </c>
      <c r="AD2">
        <f>IF(1&lt;=COUNTIF($F$2:$F$620,'Entry Builder'!$K$9),INDEX($G$2:$G$620,MATCH('Entry Builder'!$K$9,$F$2:$F$620,0)+0),"")</f>
        <v/>
      </c>
      <c r="AE2">
        <f>IF(1&lt;=COUNTIF($F$2:$F$620,'Entry Builder'!$K$10),INDEX($G$2:$G$620,MATCH('Entry Builder'!$K$10,$F$2:$F$620,0)+0),"")</f>
        <v/>
      </c>
      <c r="AF2">
        <f>IF(1&lt;=COUNTIF($F$2:$F$620,'Entry Builder'!$K$11),INDEX($G$2:$G$620,MATCH('Entry Builder'!$K$11,$F$2:$F$620,0)+0),"")</f>
        <v/>
      </c>
      <c r="AG2">
        <f>IF(1&lt;=COUNTIF($F$2:$F$620,'Entry Builder'!$K$12),INDEX($G$2:$G$620,MATCH('Entry Builder'!$K$12,$F$2:$F$620,0)+0),"")</f>
        <v/>
      </c>
    </row>
    <row r="3">
      <c r="A3" t="inlineStr">
        <is>
          <t>Ben Skowronek</t>
        </is>
      </c>
      <c r="C3" t="inlineStr">
        <is>
          <t>Aaron Rodgers</t>
        </is>
      </c>
      <c r="D3" t="inlineStr">
        <is>
          <t>Pass TDs</t>
        </is>
      </c>
      <c r="F3" t="inlineStr">
        <is>
          <t>Aaron Rodgers | Pass Yds</t>
        </is>
      </c>
      <c r="G3" t="n">
        <v>122.5</v>
      </c>
      <c r="I3" t="inlineStr">
        <is>
          <t>Aaron Rodgers | Pass TDs</t>
        </is>
      </c>
      <c r="J3" t="inlineStr">
        <is>
          <t>PIT</t>
        </is>
      </c>
      <c r="K3" t="n">
        <v>1.5</v>
      </c>
      <c r="M3" t="inlineStr">
        <is>
          <t>Less</t>
        </is>
      </c>
      <c r="Q3" t="inlineStr">
        <is>
          <t>Flex</t>
        </is>
      </c>
      <c r="T3">
        <f>IF(2&lt;=COUNTIF($C$2:$C$68,'Entry Builder'!$B$7),INDEX($D$2:$D$68,MATCH('Entry Builder'!$B$7,$C$2:$C$68,0)+1),"")</f>
        <v/>
      </c>
      <c r="U3">
        <f>IF(2&lt;=COUNTIF($C$2:$C$68,'Entry Builder'!$B$8),INDEX($D$2:$D$68,MATCH('Entry Builder'!$B$8,$C$2:$C$68,0)+1),"")</f>
        <v/>
      </c>
      <c r="V3">
        <f>IF(2&lt;=COUNTIF($C$2:$C$68,'Entry Builder'!$B$9),INDEX($D$2:$D$68,MATCH('Entry Builder'!$B$9,$C$2:$C$68,0)+1),"")</f>
        <v/>
      </c>
      <c r="W3">
        <f>IF(2&lt;=COUNTIF($C$2:$C$68,'Entry Builder'!$B$10),INDEX($D$2:$D$68,MATCH('Entry Builder'!$B$10,$C$2:$C$68,0)+1),"")</f>
        <v/>
      </c>
      <c r="X3">
        <f>IF(2&lt;=COUNTIF($C$2:$C$68,'Entry Builder'!$B$11),INDEX($D$2:$D$68,MATCH('Entry Builder'!$B$11,$C$2:$C$68,0)+1),"")</f>
        <v/>
      </c>
      <c r="Y3">
        <f>IF(2&lt;=COUNTIF($C$2:$C$68,'Entry Builder'!$B$12),INDEX($D$2:$D$68,MATCH('Entry Builder'!$B$12,$C$2:$C$68,0)+1),"")</f>
        <v/>
      </c>
      <c r="AB3">
        <f>IF(2&lt;=COUNTIF($F$2:$F$620,'Entry Builder'!$K$7),INDEX($G$2:$G$620,MATCH('Entry Builder'!$K$7,$F$2:$F$620,0)+1),"")</f>
        <v/>
      </c>
      <c r="AC3">
        <f>IF(2&lt;=COUNTIF($F$2:$F$620,'Entry Builder'!$K$8),INDEX($G$2:$G$620,MATCH('Entry Builder'!$K$8,$F$2:$F$620,0)+1),"")</f>
        <v/>
      </c>
      <c r="AD3">
        <f>IF(2&lt;=COUNTIF($F$2:$F$620,'Entry Builder'!$K$9),INDEX($G$2:$G$620,MATCH('Entry Builder'!$K$9,$F$2:$F$620,0)+1),"")</f>
        <v/>
      </c>
      <c r="AE3">
        <f>IF(2&lt;=COUNTIF($F$2:$F$620,'Entry Builder'!$K$10),INDEX($G$2:$G$620,MATCH('Entry Builder'!$K$10,$F$2:$F$620,0)+1),"")</f>
        <v/>
      </c>
      <c r="AF3">
        <f>IF(2&lt;=COUNTIF($F$2:$F$620,'Entry Builder'!$K$11),INDEX($G$2:$G$620,MATCH('Entry Builder'!$K$11,$F$2:$F$620,0)+1),"")</f>
        <v/>
      </c>
      <c r="AG3">
        <f>IF(2&lt;=COUNTIF($F$2:$F$620,'Entry Builder'!$K$12),INDEX($G$2:$G$620,MATCH('Entry Builder'!$K$12,$F$2:$F$620,0)+1),"")</f>
        <v/>
      </c>
    </row>
    <row r="4">
      <c r="A4" t="inlineStr">
        <is>
          <t>Blake Whiteheart</t>
        </is>
      </c>
      <c r="C4" t="inlineStr">
        <is>
          <t>Aaron Rodgers</t>
        </is>
      </c>
      <c r="D4" t="inlineStr">
        <is>
          <t>Rush Yds</t>
        </is>
      </c>
      <c r="F4" t="inlineStr">
        <is>
          <t>Aaron Rodgers | Pass Yds</t>
        </is>
      </c>
      <c r="G4" t="n">
        <v>132.5</v>
      </c>
      <c r="I4" t="inlineStr">
        <is>
          <t>Aaron Rodgers | Rush Yds</t>
        </is>
      </c>
      <c r="J4" t="inlineStr">
        <is>
          <t>PIT</t>
        </is>
      </c>
      <c r="K4" t="n">
        <v>1.5</v>
      </c>
      <c r="T4">
        <f>IF(3&lt;=COUNTIF($C$2:$C$68,'Entry Builder'!$B$7),INDEX($D$2:$D$68,MATCH('Entry Builder'!$B$7,$C$2:$C$68,0)+2),"")</f>
        <v/>
      </c>
      <c r="U4">
        <f>IF(3&lt;=COUNTIF($C$2:$C$68,'Entry Builder'!$B$8),INDEX($D$2:$D$68,MATCH('Entry Builder'!$B$8,$C$2:$C$68,0)+2),"")</f>
        <v/>
      </c>
      <c r="V4">
        <f>IF(3&lt;=COUNTIF($C$2:$C$68,'Entry Builder'!$B$9),INDEX($D$2:$D$68,MATCH('Entry Builder'!$B$9,$C$2:$C$68,0)+2),"")</f>
        <v/>
      </c>
      <c r="W4">
        <f>IF(3&lt;=COUNTIF($C$2:$C$68,'Entry Builder'!$B$10),INDEX($D$2:$D$68,MATCH('Entry Builder'!$B$10,$C$2:$C$68,0)+2),"")</f>
        <v/>
      </c>
      <c r="X4">
        <f>IF(3&lt;=COUNTIF($C$2:$C$68,'Entry Builder'!$B$11),INDEX($D$2:$D$68,MATCH('Entry Builder'!$B$11,$C$2:$C$68,0)+2),"")</f>
        <v/>
      </c>
      <c r="Y4">
        <f>IF(3&lt;=COUNTIF($C$2:$C$68,'Entry Builder'!$B$12),INDEX($D$2:$D$68,MATCH('Entry Builder'!$B$12,$C$2:$C$68,0)+2),"")</f>
        <v/>
      </c>
      <c r="AB4">
        <f>IF(3&lt;=COUNTIF($F$2:$F$620,'Entry Builder'!$K$7),INDEX($G$2:$G$620,MATCH('Entry Builder'!$K$7,$F$2:$F$620,0)+2),"")</f>
        <v/>
      </c>
      <c r="AC4">
        <f>IF(3&lt;=COUNTIF($F$2:$F$620,'Entry Builder'!$K$8),INDEX($G$2:$G$620,MATCH('Entry Builder'!$K$8,$F$2:$F$620,0)+2),"")</f>
        <v/>
      </c>
      <c r="AD4">
        <f>IF(3&lt;=COUNTIF($F$2:$F$620,'Entry Builder'!$K$9),INDEX($G$2:$G$620,MATCH('Entry Builder'!$K$9,$F$2:$F$620,0)+2),"")</f>
        <v/>
      </c>
      <c r="AE4">
        <f>IF(3&lt;=COUNTIF($F$2:$F$620,'Entry Builder'!$K$10),INDEX($G$2:$G$620,MATCH('Entry Builder'!$K$10,$F$2:$F$620,0)+2),"")</f>
        <v/>
      </c>
      <c r="AF4">
        <f>IF(3&lt;=COUNTIF($F$2:$F$620,'Entry Builder'!$K$11),INDEX($G$2:$G$620,MATCH('Entry Builder'!$K$11,$F$2:$F$620,0)+2),"")</f>
        <v/>
      </c>
      <c r="AG4">
        <f>IF(3&lt;=COUNTIF($F$2:$F$620,'Entry Builder'!$K$12),INDEX($G$2:$G$620,MATCH('Entry Builder'!$K$12,$F$2:$F$620,0)+2),"")</f>
        <v/>
      </c>
    </row>
    <row r="5">
      <c r="A5" t="inlineStr">
        <is>
          <t>DK Metcalf</t>
        </is>
      </c>
      <c r="C5" t="inlineStr">
        <is>
          <t>Aaron Rodgers</t>
        </is>
      </c>
      <c r="D5" t="inlineStr">
        <is>
          <t>Anytime TDs</t>
        </is>
      </c>
      <c r="F5" t="inlineStr">
        <is>
          <t>Aaron Rodgers | Pass Yds</t>
        </is>
      </c>
      <c r="G5" t="n">
        <v>142.5</v>
      </c>
      <c r="I5" t="inlineStr">
        <is>
          <t>Aaron Rodgers | Anytime TDs</t>
        </is>
      </c>
      <c r="J5" t="inlineStr">
        <is>
          <t>PIT</t>
        </is>
      </c>
      <c r="K5" t="n">
        <v>0.5</v>
      </c>
      <c r="T5">
        <f>IF(4&lt;=COUNTIF($C$2:$C$68,'Entry Builder'!$B$7),INDEX($D$2:$D$68,MATCH('Entry Builder'!$B$7,$C$2:$C$68,0)+3),"")</f>
        <v/>
      </c>
      <c r="U5">
        <f>IF(4&lt;=COUNTIF($C$2:$C$68,'Entry Builder'!$B$8),INDEX($D$2:$D$68,MATCH('Entry Builder'!$B$8,$C$2:$C$68,0)+3),"")</f>
        <v/>
      </c>
      <c r="V5">
        <f>IF(4&lt;=COUNTIF($C$2:$C$68,'Entry Builder'!$B$9),INDEX($D$2:$D$68,MATCH('Entry Builder'!$B$9,$C$2:$C$68,0)+3),"")</f>
        <v/>
      </c>
      <c r="W5">
        <f>IF(4&lt;=COUNTIF($C$2:$C$68,'Entry Builder'!$B$10),INDEX($D$2:$D$68,MATCH('Entry Builder'!$B$10,$C$2:$C$68,0)+3),"")</f>
        <v/>
      </c>
      <c r="X5">
        <f>IF(4&lt;=COUNTIF($C$2:$C$68,'Entry Builder'!$B$11),INDEX($D$2:$D$68,MATCH('Entry Builder'!$B$11,$C$2:$C$68,0)+3),"")</f>
        <v/>
      </c>
      <c r="Y5">
        <f>IF(4&lt;=COUNTIF($C$2:$C$68,'Entry Builder'!$B$12),INDEX($D$2:$D$68,MATCH('Entry Builder'!$B$12,$C$2:$C$68,0)+3),"")</f>
        <v/>
      </c>
      <c r="AB5">
        <f>IF(4&lt;=COUNTIF($F$2:$F$620,'Entry Builder'!$K$7),INDEX($G$2:$G$620,MATCH('Entry Builder'!$K$7,$F$2:$F$620,0)+3),"")</f>
        <v/>
      </c>
      <c r="AC5">
        <f>IF(4&lt;=COUNTIF($F$2:$F$620,'Entry Builder'!$K$8),INDEX($G$2:$G$620,MATCH('Entry Builder'!$K$8,$F$2:$F$620,0)+3),"")</f>
        <v/>
      </c>
      <c r="AD5">
        <f>IF(4&lt;=COUNTIF($F$2:$F$620,'Entry Builder'!$K$9),INDEX($G$2:$G$620,MATCH('Entry Builder'!$K$9,$F$2:$F$620,0)+3),"")</f>
        <v/>
      </c>
      <c r="AE5">
        <f>IF(4&lt;=COUNTIF($F$2:$F$620,'Entry Builder'!$K$10),INDEX($G$2:$G$620,MATCH('Entry Builder'!$K$10,$F$2:$F$620,0)+3),"")</f>
        <v/>
      </c>
      <c r="AF5">
        <f>IF(4&lt;=COUNTIF($F$2:$F$620,'Entry Builder'!$K$11),INDEX($G$2:$G$620,MATCH('Entry Builder'!$K$11,$F$2:$F$620,0)+3),"")</f>
        <v/>
      </c>
      <c r="AG5">
        <f>IF(4&lt;=COUNTIF($F$2:$F$620,'Entry Builder'!$K$12),INDEX($G$2:$G$620,MATCH('Entry Builder'!$K$12,$F$2:$F$620,0)+3),"")</f>
        <v/>
      </c>
    </row>
    <row r="6">
      <c r="A6" t="inlineStr">
        <is>
          <t>Darnell Washington</t>
        </is>
      </c>
      <c r="C6" t="inlineStr">
        <is>
          <t>Ben Skowronek</t>
        </is>
      </c>
      <c r="D6" t="inlineStr">
        <is>
          <t>Anytime TDs</t>
        </is>
      </c>
      <c r="F6" t="inlineStr">
        <is>
          <t>Aaron Rodgers | Pass Yds</t>
        </is>
      </c>
      <c r="G6" t="n">
        <v>152.5</v>
      </c>
      <c r="I6" t="inlineStr">
        <is>
          <t>Ben Skowronek | Anytime TDs</t>
        </is>
      </c>
      <c r="J6" t="inlineStr">
        <is>
          <t>PIT</t>
        </is>
      </c>
      <c r="K6" t="n">
        <v>0.5</v>
      </c>
      <c r="T6">
        <f>IF(5&lt;=COUNTIF($C$2:$C$68,'Entry Builder'!$B$7),INDEX($D$2:$D$68,MATCH('Entry Builder'!$B$7,$C$2:$C$68,0)+4),"")</f>
        <v/>
      </c>
      <c r="U6">
        <f>IF(5&lt;=COUNTIF($C$2:$C$68,'Entry Builder'!$B$8),INDEX($D$2:$D$68,MATCH('Entry Builder'!$B$8,$C$2:$C$68,0)+4),"")</f>
        <v/>
      </c>
      <c r="V6">
        <f>IF(5&lt;=COUNTIF($C$2:$C$68,'Entry Builder'!$B$9),INDEX($D$2:$D$68,MATCH('Entry Builder'!$B$9,$C$2:$C$68,0)+4),"")</f>
        <v/>
      </c>
      <c r="W6">
        <f>IF(5&lt;=COUNTIF($C$2:$C$68,'Entry Builder'!$B$10),INDEX($D$2:$D$68,MATCH('Entry Builder'!$B$10,$C$2:$C$68,0)+4),"")</f>
        <v/>
      </c>
      <c r="X6">
        <f>IF(5&lt;=COUNTIF($C$2:$C$68,'Entry Builder'!$B$11),INDEX($D$2:$D$68,MATCH('Entry Builder'!$B$11,$C$2:$C$68,0)+4),"")</f>
        <v/>
      </c>
      <c r="Y6">
        <f>IF(5&lt;=COUNTIF($C$2:$C$68,'Entry Builder'!$B$12),INDEX($D$2:$D$68,MATCH('Entry Builder'!$B$12,$C$2:$C$68,0)+4),"")</f>
        <v/>
      </c>
      <c r="AB6">
        <f>IF(5&lt;=COUNTIF($F$2:$F$620,'Entry Builder'!$K$7),INDEX($G$2:$G$620,MATCH('Entry Builder'!$K$7,$F$2:$F$620,0)+4),"")</f>
        <v/>
      </c>
      <c r="AC6">
        <f>IF(5&lt;=COUNTIF($F$2:$F$620,'Entry Builder'!$K$8),INDEX($G$2:$G$620,MATCH('Entry Builder'!$K$8,$F$2:$F$620,0)+4),"")</f>
        <v/>
      </c>
      <c r="AD6">
        <f>IF(5&lt;=COUNTIF($F$2:$F$620,'Entry Builder'!$K$9),INDEX($G$2:$G$620,MATCH('Entry Builder'!$K$9,$F$2:$F$620,0)+4),"")</f>
        <v/>
      </c>
      <c r="AE6">
        <f>IF(5&lt;=COUNTIF($F$2:$F$620,'Entry Builder'!$K$10),INDEX($G$2:$G$620,MATCH('Entry Builder'!$K$10,$F$2:$F$620,0)+4),"")</f>
        <v/>
      </c>
      <c r="AF6">
        <f>IF(5&lt;=COUNTIF($F$2:$F$620,'Entry Builder'!$K$11),INDEX($G$2:$G$620,MATCH('Entry Builder'!$K$11,$F$2:$F$620,0)+4),"")</f>
        <v/>
      </c>
      <c r="AG6">
        <f>IF(5&lt;=COUNTIF($F$2:$F$620,'Entry Builder'!$K$12),INDEX($G$2:$G$620,MATCH('Entry Builder'!$K$12,$F$2:$F$620,0)+4),"")</f>
        <v/>
      </c>
    </row>
    <row r="7">
      <c r="A7" t="inlineStr">
        <is>
          <t>Denzel Boston</t>
        </is>
      </c>
      <c r="C7" t="inlineStr">
        <is>
          <t>Blake Whiteheart</t>
        </is>
      </c>
      <c r="D7" t="inlineStr">
        <is>
          <t>Anytime TDs</t>
        </is>
      </c>
      <c r="F7" t="inlineStr">
        <is>
          <t>Aaron Rodgers | Pass Yds</t>
        </is>
      </c>
      <c r="G7" t="n">
        <v>162.5</v>
      </c>
      <c r="I7" t="inlineStr">
        <is>
          <t>Blake Whiteheart | Anytime TDs</t>
        </is>
      </c>
      <c r="J7" t="inlineStr">
        <is>
          <t>CLE</t>
        </is>
      </c>
      <c r="K7" t="n">
        <v>0.5</v>
      </c>
      <c r="AB7">
        <f>IF(6&lt;=COUNTIF($F$2:$F$620,'Entry Builder'!$K$7),INDEX($G$2:$G$620,MATCH('Entry Builder'!$K$7,$F$2:$F$620,0)+5),"")</f>
        <v/>
      </c>
      <c r="AC7">
        <f>IF(6&lt;=COUNTIF($F$2:$F$620,'Entry Builder'!$K$8),INDEX($G$2:$G$620,MATCH('Entry Builder'!$K$8,$F$2:$F$620,0)+5),"")</f>
        <v/>
      </c>
      <c r="AD7">
        <f>IF(6&lt;=COUNTIF($F$2:$F$620,'Entry Builder'!$K$9),INDEX($G$2:$G$620,MATCH('Entry Builder'!$K$9,$F$2:$F$620,0)+5),"")</f>
        <v/>
      </c>
      <c r="AE7">
        <f>IF(6&lt;=COUNTIF($F$2:$F$620,'Entry Builder'!$K$10),INDEX($G$2:$G$620,MATCH('Entry Builder'!$K$10,$F$2:$F$620,0)+5),"")</f>
        <v/>
      </c>
      <c r="AF7">
        <f>IF(6&lt;=COUNTIF($F$2:$F$620,'Entry Builder'!$K$11),INDEX($G$2:$G$620,MATCH('Entry Builder'!$K$11,$F$2:$F$620,0)+5),"")</f>
        <v/>
      </c>
      <c r="AG7">
        <f>IF(6&lt;=COUNTIF($F$2:$F$620,'Entry Builder'!$K$12),INDEX($G$2:$G$620,MATCH('Entry Builder'!$K$12,$F$2:$F$620,0)+5),"")</f>
        <v/>
      </c>
    </row>
    <row r="8">
      <c r="A8" t="inlineStr">
        <is>
          <t>Deshaun Watson</t>
        </is>
      </c>
      <c r="C8" t="inlineStr">
        <is>
          <t>DK Metcalf</t>
        </is>
      </c>
      <c r="D8" t="inlineStr">
        <is>
          <t>Rec Yds</t>
        </is>
      </c>
      <c r="F8" t="inlineStr">
        <is>
          <t>Aaron Rodgers | Pass Yds</t>
        </is>
      </c>
      <c r="G8" t="n">
        <v>172.5</v>
      </c>
      <c r="I8" t="inlineStr">
        <is>
          <t>DK Metcalf | Rec Yds</t>
        </is>
      </c>
      <c r="J8" t="inlineStr">
        <is>
          <t>PIT</t>
        </is>
      </c>
      <c r="K8" t="n">
        <v>41.5</v>
      </c>
      <c r="AB8">
        <f>IF(7&lt;=COUNTIF($F$2:$F$620,'Entry Builder'!$K$7),INDEX($G$2:$G$620,MATCH('Entry Builder'!$K$7,$F$2:$F$620,0)+6),"")</f>
        <v/>
      </c>
      <c r="AC8">
        <f>IF(7&lt;=COUNTIF($F$2:$F$620,'Entry Builder'!$K$8),INDEX($G$2:$G$620,MATCH('Entry Builder'!$K$8,$F$2:$F$620,0)+6),"")</f>
        <v/>
      </c>
      <c r="AD8">
        <f>IF(7&lt;=COUNTIF($F$2:$F$620,'Entry Builder'!$K$9),INDEX($G$2:$G$620,MATCH('Entry Builder'!$K$9,$F$2:$F$620,0)+6),"")</f>
        <v/>
      </c>
      <c r="AE8">
        <f>IF(7&lt;=COUNTIF($F$2:$F$620,'Entry Builder'!$K$10),INDEX($G$2:$G$620,MATCH('Entry Builder'!$K$10,$F$2:$F$620,0)+6),"")</f>
        <v/>
      </c>
      <c r="AF8">
        <f>IF(7&lt;=COUNTIF($F$2:$F$620,'Entry Builder'!$K$11),INDEX($G$2:$G$620,MATCH('Entry Builder'!$K$11,$F$2:$F$620,0)+6),"")</f>
        <v/>
      </c>
      <c r="AG8">
        <f>IF(7&lt;=COUNTIF($F$2:$F$620,'Entry Builder'!$K$12),INDEX($G$2:$G$620,MATCH('Entry Builder'!$K$12,$F$2:$F$620,0)+6),"")</f>
        <v/>
      </c>
    </row>
    <row r="9">
      <c r="A9" t="inlineStr">
        <is>
          <t>Eli Heidenreich</t>
        </is>
      </c>
      <c r="C9" t="inlineStr">
        <is>
          <t>DK Metcalf</t>
        </is>
      </c>
      <c r="D9" t="inlineStr">
        <is>
          <t>Receptions</t>
        </is>
      </c>
      <c r="F9" t="inlineStr">
        <is>
          <t>Aaron Rodgers | Pass Yds</t>
        </is>
      </c>
      <c r="G9" t="n">
        <v>182.5</v>
      </c>
      <c r="I9" t="inlineStr">
        <is>
          <t>DK Metcalf | Receptions</t>
        </is>
      </c>
      <c r="J9" t="inlineStr">
        <is>
          <t>PIT</t>
        </is>
      </c>
      <c r="K9" t="n">
        <v>3.5</v>
      </c>
      <c r="AB9">
        <f>IF(8&lt;=COUNTIF($F$2:$F$620,'Entry Builder'!$K$7),INDEX($G$2:$G$620,MATCH('Entry Builder'!$K$7,$F$2:$F$620,0)+7),"")</f>
        <v/>
      </c>
      <c r="AC9">
        <f>IF(8&lt;=COUNTIF($F$2:$F$620,'Entry Builder'!$K$8),INDEX($G$2:$G$620,MATCH('Entry Builder'!$K$8,$F$2:$F$620,0)+7),"")</f>
        <v/>
      </c>
      <c r="AD9">
        <f>IF(8&lt;=COUNTIF($F$2:$F$620,'Entry Builder'!$K$9),INDEX($G$2:$G$620,MATCH('Entry Builder'!$K$9,$F$2:$F$620,0)+7),"")</f>
        <v/>
      </c>
      <c r="AE9">
        <f>IF(8&lt;=COUNTIF($F$2:$F$620,'Entry Builder'!$K$10),INDEX($G$2:$G$620,MATCH('Entry Builder'!$K$10,$F$2:$F$620,0)+7),"")</f>
        <v/>
      </c>
      <c r="AF9">
        <f>IF(8&lt;=COUNTIF($F$2:$F$620,'Entry Builder'!$K$11),INDEX($G$2:$G$620,MATCH('Entry Builder'!$K$11,$F$2:$F$620,0)+7),"")</f>
        <v/>
      </c>
      <c r="AG9">
        <f>IF(8&lt;=COUNTIF($F$2:$F$620,'Entry Builder'!$K$12),INDEX($G$2:$G$620,MATCH('Entry Builder'!$K$12,$F$2:$F$620,0)+7),"")</f>
        <v/>
      </c>
    </row>
    <row r="10">
      <c r="A10" t="inlineStr">
        <is>
          <t>Germie Bernard</t>
        </is>
      </c>
      <c r="C10" t="inlineStr">
        <is>
          <t>DK Metcalf</t>
        </is>
      </c>
      <c r="D10" t="inlineStr">
        <is>
          <t>Rush+Rec Yds</t>
        </is>
      </c>
      <c r="F10" t="inlineStr">
        <is>
          <t>Aaron Rodgers | Pass Yds</t>
        </is>
      </c>
      <c r="G10" t="n">
        <v>192.5</v>
      </c>
      <c r="I10" t="inlineStr">
        <is>
          <t>DK Metcalf | Rush+Rec Yds</t>
        </is>
      </c>
      <c r="J10" t="inlineStr">
        <is>
          <t>PIT</t>
        </is>
      </c>
      <c r="K10" t="n">
        <v>42.5</v>
      </c>
      <c r="AB10">
        <f>IF(9&lt;=COUNTIF($F$2:$F$620,'Entry Builder'!$K$7),INDEX($G$2:$G$620,MATCH('Entry Builder'!$K$7,$F$2:$F$620,0)+8),"")</f>
        <v/>
      </c>
      <c r="AC10">
        <f>IF(9&lt;=COUNTIF($F$2:$F$620,'Entry Builder'!$K$8),INDEX($G$2:$G$620,MATCH('Entry Builder'!$K$8,$F$2:$F$620,0)+8),"")</f>
        <v/>
      </c>
      <c r="AD10">
        <f>IF(9&lt;=COUNTIF($F$2:$F$620,'Entry Builder'!$K$9),INDEX($G$2:$G$620,MATCH('Entry Builder'!$K$9,$F$2:$F$620,0)+8),"")</f>
        <v/>
      </c>
      <c r="AE10">
        <f>IF(9&lt;=COUNTIF($F$2:$F$620,'Entry Builder'!$K$10),INDEX($G$2:$G$620,MATCH('Entry Builder'!$K$10,$F$2:$F$620,0)+8),"")</f>
        <v/>
      </c>
      <c r="AF10">
        <f>IF(9&lt;=COUNTIF($F$2:$F$620,'Entry Builder'!$K$11),INDEX($G$2:$G$620,MATCH('Entry Builder'!$K$11,$F$2:$F$620,0)+8),"")</f>
        <v/>
      </c>
      <c r="AG10">
        <f>IF(9&lt;=COUNTIF($F$2:$F$620,'Entry Builder'!$K$12),INDEX($G$2:$G$620,MATCH('Entry Builder'!$K$12,$F$2:$F$620,0)+8),"")</f>
        <v/>
      </c>
    </row>
    <row r="11">
      <c r="A11" t="inlineStr">
        <is>
          <t>Harold Fannin Jr.</t>
        </is>
      </c>
      <c r="C11" t="inlineStr">
        <is>
          <t>DK Metcalf</t>
        </is>
      </c>
      <c r="D11" t="inlineStr">
        <is>
          <t>Anytime TDs</t>
        </is>
      </c>
      <c r="F11" t="inlineStr">
        <is>
          <t>Aaron Rodgers | Pass Yds</t>
        </is>
      </c>
      <c r="G11" t="n">
        <v>202.5</v>
      </c>
      <c r="I11" t="inlineStr">
        <is>
          <t>DK Metcalf | Anytime TDs</t>
        </is>
      </c>
      <c r="J11" t="inlineStr">
        <is>
          <t>PIT</t>
        </is>
      </c>
      <c r="K11" t="n">
        <v>0.5</v>
      </c>
      <c r="AB11">
        <f>IF(10&lt;=COUNTIF($F$2:$F$620,'Entry Builder'!$K$7),INDEX($G$2:$G$620,MATCH('Entry Builder'!$K$7,$F$2:$F$620,0)+9),"")</f>
        <v/>
      </c>
      <c r="AC11">
        <f>IF(10&lt;=COUNTIF($F$2:$F$620,'Entry Builder'!$K$8),INDEX($G$2:$G$620,MATCH('Entry Builder'!$K$8,$F$2:$F$620,0)+9),"")</f>
        <v/>
      </c>
      <c r="AD11">
        <f>IF(10&lt;=COUNTIF($F$2:$F$620,'Entry Builder'!$K$9),INDEX($G$2:$G$620,MATCH('Entry Builder'!$K$9,$F$2:$F$620,0)+9),"")</f>
        <v/>
      </c>
      <c r="AE11">
        <f>IF(10&lt;=COUNTIF($F$2:$F$620,'Entry Builder'!$K$10),INDEX($G$2:$G$620,MATCH('Entry Builder'!$K$10,$F$2:$F$620,0)+9),"")</f>
        <v/>
      </c>
      <c r="AF11">
        <f>IF(10&lt;=COUNTIF($F$2:$F$620,'Entry Builder'!$K$11),INDEX($G$2:$G$620,MATCH('Entry Builder'!$K$11,$F$2:$F$620,0)+9),"")</f>
        <v/>
      </c>
      <c r="AG11">
        <f>IF(10&lt;=COUNTIF($F$2:$F$620,'Entry Builder'!$K$12),INDEX($G$2:$G$620,MATCH('Entry Builder'!$K$12,$F$2:$F$620,0)+9),"")</f>
        <v/>
      </c>
    </row>
    <row r="12">
      <c r="A12" t="inlineStr">
        <is>
          <t>Isaiah Bond</t>
        </is>
      </c>
      <c r="C12" t="inlineStr">
        <is>
          <t>Darnell Washington</t>
        </is>
      </c>
      <c r="D12" t="inlineStr">
        <is>
          <t>Rec Yds</t>
        </is>
      </c>
      <c r="F12" t="inlineStr">
        <is>
          <t>Aaron Rodgers | Pass Yds</t>
        </is>
      </c>
      <c r="G12" t="n">
        <v>212.5</v>
      </c>
      <c r="I12" t="inlineStr">
        <is>
          <t>Darnell Washington | Rec Yds</t>
        </is>
      </c>
      <c r="J12" t="inlineStr">
        <is>
          <t>PIT</t>
        </is>
      </c>
      <c r="K12" t="n">
        <v>16.5</v>
      </c>
      <c r="AB12">
        <f>IF(11&lt;=COUNTIF($F$2:$F$620,'Entry Builder'!$K$7),INDEX($G$2:$G$620,MATCH('Entry Builder'!$K$7,$F$2:$F$620,0)+10),"")</f>
        <v/>
      </c>
      <c r="AC12">
        <f>IF(11&lt;=COUNTIF($F$2:$F$620,'Entry Builder'!$K$8),INDEX($G$2:$G$620,MATCH('Entry Builder'!$K$8,$F$2:$F$620,0)+10),"")</f>
        <v/>
      </c>
      <c r="AD12">
        <f>IF(11&lt;=COUNTIF($F$2:$F$620,'Entry Builder'!$K$9),INDEX($G$2:$G$620,MATCH('Entry Builder'!$K$9,$F$2:$F$620,0)+10),"")</f>
        <v/>
      </c>
      <c r="AE12">
        <f>IF(11&lt;=COUNTIF($F$2:$F$620,'Entry Builder'!$K$10),INDEX($G$2:$G$620,MATCH('Entry Builder'!$K$10,$F$2:$F$620,0)+10),"")</f>
        <v/>
      </c>
      <c r="AF12">
        <f>IF(11&lt;=COUNTIF($F$2:$F$620,'Entry Builder'!$K$11),INDEX($G$2:$G$620,MATCH('Entry Builder'!$K$11,$F$2:$F$620,0)+10),"")</f>
        <v/>
      </c>
      <c r="AG12">
        <f>IF(11&lt;=COUNTIF($F$2:$F$620,'Entry Builder'!$K$12),INDEX($G$2:$G$620,MATCH('Entry Builder'!$K$12,$F$2:$F$620,0)+10),"")</f>
        <v/>
      </c>
    </row>
    <row r="13">
      <c r="A13" t="inlineStr">
        <is>
          <t>Jaleel McLaughlin</t>
        </is>
      </c>
      <c r="C13" t="inlineStr">
        <is>
          <t>Darnell Washington</t>
        </is>
      </c>
      <c r="D13" t="inlineStr">
        <is>
          <t>Receptions</t>
        </is>
      </c>
      <c r="F13" t="inlineStr">
        <is>
          <t>Aaron Rodgers | Pass Yds</t>
        </is>
      </c>
      <c r="G13" t="n">
        <v>222.5</v>
      </c>
      <c r="I13" t="inlineStr">
        <is>
          <t>Darnell Washington | Receptions</t>
        </is>
      </c>
      <c r="J13" t="inlineStr">
        <is>
          <t>PIT</t>
        </is>
      </c>
      <c r="K13" t="n">
        <v>1.5</v>
      </c>
      <c r="AB13">
        <f>IF(12&lt;=COUNTIF($F$2:$F$620,'Entry Builder'!$K$7),INDEX($G$2:$G$620,MATCH('Entry Builder'!$K$7,$F$2:$F$620,0)+11),"")</f>
        <v/>
      </c>
      <c r="AC13">
        <f>IF(12&lt;=COUNTIF($F$2:$F$620,'Entry Builder'!$K$8),INDEX($G$2:$G$620,MATCH('Entry Builder'!$K$8,$F$2:$F$620,0)+11),"")</f>
        <v/>
      </c>
      <c r="AD13">
        <f>IF(12&lt;=COUNTIF($F$2:$F$620,'Entry Builder'!$K$9),INDEX($G$2:$G$620,MATCH('Entry Builder'!$K$9,$F$2:$F$620,0)+11),"")</f>
        <v/>
      </c>
      <c r="AE13">
        <f>IF(12&lt;=COUNTIF($F$2:$F$620,'Entry Builder'!$K$10),INDEX($G$2:$G$620,MATCH('Entry Builder'!$K$10,$F$2:$F$620,0)+11),"")</f>
        <v/>
      </c>
      <c r="AF13">
        <f>IF(12&lt;=COUNTIF($F$2:$F$620,'Entry Builder'!$K$11),INDEX($G$2:$G$620,MATCH('Entry Builder'!$K$11,$F$2:$F$620,0)+11),"")</f>
        <v/>
      </c>
      <c r="AG13">
        <f>IF(12&lt;=COUNTIF($F$2:$F$620,'Entry Builder'!$K$12),INDEX($G$2:$G$620,MATCH('Entry Builder'!$K$12,$F$2:$F$620,0)+11),"")</f>
        <v/>
      </c>
    </row>
    <row r="14">
      <c r="A14" t="inlineStr">
        <is>
          <t>Jaylen Warren</t>
        </is>
      </c>
      <c r="C14" t="inlineStr">
        <is>
          <t>Darnell Washington</t>
        </is>
      </c>
      <c r="D14" t="inlineStr">
        <is>
          <t>Anytime TDs</t>
        </is>
      </c>
      <c r="F14" t="inlineStr">
        <is>
          <t>Aaron Rodgers | Pass Yds</t>
        </is>
      </c>
      <c r="G14" t="n">
        <v>232.5</v>
      </c>
      <c r="I14" t="inlineStr">
        <is>
          <t>Darnell Washington | Anytime TDs</t>
        </is>
      </c>
      <c r="J14" t="inlineStr">
        <is>
          <t>PIT</t>
        </is>
      </c>
      <c r="K14" t="n">
        <v>0.5</v>
      </c>
      <c r="AB14">
        <f>IF(13&lt;=COUNTIF($F$2:$F$620,'Entry Builder'!$K$7),INDEX($G$2:$G$620,MATCH('Entry Builder'!$K$7,$F$2:$F$620,0)+12),"")</f>
        <v/>
      </c>
      <c r="AC14">
        <f>IF(13&lt;=COUNTIF($F$2:$F$620,'Entry Builder'!$K$8),INDEX($G$2:$G$620,MATCH('Entry Builder'!$K$8,$F$2:$F$620,0)+12),"")</f>
        <v/>
      </c>
      <c r="AD14">
        <f>IF(13&lt;=COUNTIF($F$2:$F$620,'Entry Builder'!$K$9),INDEX($G$2:$G$620,MATCH('Entry Builder'!$K$9,$F$2:$F$620,0)+12),"")</f>
        <v/>
      </c>
      <c r="AE14">
        <f>IF(13&lt;=COUNTIF($F$2:$F$620,'Entry Builder'!$K$10),INDEX($G$2:$G$620,MATCH('Entry Builder'!$K$10,$F$2:$F$620,0)+12),"")</f>
        <v/>
      </c>
      <c r="AF14">
        <f>IF(13&lt;=COUNTIF($F$2:$F$620,'Entry Builder'!$K$11),INDEX($G$2:$G$620,MATCH('Entry Builder'!$K$11,$F$2:$F$620,0)+12),"")</f>
        <v/>
      </c>
      <c r="AG14">
        <f>IF(13&lt;=COUNTIF($F$2:$F$620,'Entry Builder'!$K$12),INDEX($G$2:$G$620,MATCH('Entry Builder'!$K$12,$F$2:$F$620,0)+12),"")</f>
        <v/>
      </c>
    </row>
    <row r="15">
      <c r="A15" t="inlineStr">
        <is>
          <t>Jerry Jeudy</t>
        </is>
      </c>
      <c r="C15" t="inlineStr">
        <is>
          <t>Denzel Boston</t>
        </is>
      </c>
      <c r="D15" t="inlineStr">
        <is>
          <t>Rec Yds</t>
        </is>
      </c>
      <c r="F15" t="inlineStr">
        <is>
          <t>Aaron Rodgers | Pass Yds</t>
        </is>
      </c>
      <c r="G15" t="n">
        <v>242.5</v>
      </c>
      <c r="I15" t="inlineStr">
        <is>
          <t>Denzel Boston | Rec Yds</t>
        </is>
      </c>
      <c r="J15" t="inlineStr">
        <is>
          <t>CLE</t>
        </is>
      </c>
      <c r="K15" t="n">
        <v>37.5</v>
      </c>
      <c r="AB15">
        <f>IF(14&lt;=COUNTIF($F$2:$F$620,'Entry Builder'!$K$7),INDEX($G$2:$G$620,MATCH('Entry Builder'!$K$7,$F$2:$F$620,0)+13),"")</f>
        <v/>
      </c>
      <c r="AC15">
        <f>IF(14&lt;=COUNTIF($F$2:$F$620,'Entry Builder'!$K$8),INDEX($G$2:$G$620,MATCH('Entry Builder'!$K$8,$F$2:$F$620,0)+13),"")</f>
        <v/>
      </c>
      <c r="AD15">
        <f>IF(14&lt;=COUNTIF($F$2:$F$620,'Entry Builder'!$K$9),INDEX($G$2:$G$620,MATCH('Entry Builder'!$K$9,$F$2:$F$620,0)+13),"")</f>
        <v/>
      </c>
      <c r="AE15">
        <f>IF(14&lt;=COUNTIF($F$2:$F$620,'Entry Builder'!$K$10),INDEX($G$2:$G$620,MATCH('Entry Builder'!$K$10,$F$2:$F$620,0)+13),"")</f>
        <v/>
      </c>
      <c r="AF15">
        <f>IF(14&lt;=COUNTIF($F$2:$F$620,'Entry Builder'!$K$11),INDEX($G$2:$G$620,MATCH('Entry Builder'!$K$11,$F$2:$F$620,0)+13),"")</f>
        <v/>
      </c>
      <c r="AG15">
        <f>IF(14&lt;=COUNTIF($F$2:$F$620,'Entry Builder'!$K$12),INDEX($G$2:$G$620,MATCH('Entry Builder'!$K$12,$F$2:$F$620,0)+13),"")</f>
        <v/>
      </c>
    </row>
    <row r="16">
      <c r="A16" t="inlineStr">
        <is>
          <t>Kaden Wetjen</t>
        </is>
      </c>
      <c r="C16" t="inlineStr">
        <is>
          <t>Denzel Boston</t>
        </is>
      </c>
      <c r="D16" t="inlineStr">
        <is>
          <t>Receptions</t>
        </is>
      </c>
      <c r="F16" t="inlineStr">
        <is>
          <t>Aaron Rodgers | Pass Yds</t>
        </is>
      </c>
      <c r="G16" t="n">
        <v>252.5</v>
      </c>
      <c r="I16" t="inlineStr">
        <is>
          <t>Denzel Boston | Receptions</t>
        </is>
      </c>
      <c r="J16" t="inlineStr">
        <is>
          <t>CLE</t>
        </is>
      </c>
      <c r="K16" t="n">
        <v>2.5</v>
      </c>
      <c r="AB16">
        <f>IF(15&lt;=COUNTIF($F$2:$F$620,'Entry Builder'!$K$7),INDEX($G$2:$G$620,MATCH('Entry Builder'!$K$7,$F$2:$F$620,0)+14),"")</f>
        <v/>
      </c>
      <c r="AC16">
        <f>IF(15&lt;=COUNTIF($F$2:$F$620,'Entry Builder'!$K$8),INDEX($G$2:$G$620,MATCH('Entry Builder'!$K$8,$F$2:$F$620,0)+14),"")</f>
        <v/>
      </c>
      <c r="AD16">
        <f>IF(15&lt;=COUNTIF($F$2:$F$620,'Entry Builder'!$K$9),INDEX($G$2:$G$620,MATCH('Entry Builder'!$K$9,$F$2:$F$620,0)+14),"")</f>
        <v/>
      </c>
      <c r="AE16">
        <f>IF(15&lt;=COUNTIF($F$2:$F$620,'Entry Builder'!$K$10),INDEX($G$2:$G$620,MATCH('Entry Builder'!$K$10,$F$2:$F$620,0)+14),"")</f>
        <v/>
      </c>
      <c r="AF16">
        <f>IF(15&lt;=COUNTIF($F$2:$F$620,'Entry Builder'!$K$11),INDEX($G$2:$G$620,MATCH('Entry Builder'!$K$11,$F$2:$F$620,0)+14),"")</f>
        <v/>
      </c>
      <c r="AG16">
        <f>IF(15&lt;=COUNTIF($F$2:$F$620,'Entry Builder'!$K$12),INDEX($G$2:$G$620,MATCH('Entry Builder'!$K$12,$F$2:$F$620,0)+14),"")</f>
        <v/>
      </c>
    </row>
    <row r="17">
      <c r="A17" t="inlineStr">
        <is>
          <t>Lew Nichols III</t>
        </is>
      </c>
      <c r="C17" t="inlineStr">
        <is>
          <t>Denzel Boston</t>
        </is>
      </c>
      <c r="D17" t="inlineStr">
        <is>
          <t>Rush+Rec Yds</t>
        </is>
      </c>
      <c r="F17" t="inlineStr">
        <is>
          <t>Aaron Rodgers | Pass Yds</t>
        </is>
      </c>
      <c r="G17" t="n">
        <v>262.5</v>
      </c>
      <c r="I17" t="inlineStr">
        <is>
          <t>Denzel Boston | Rush+Rec Yds</t>
        </is>
      </c>
      <c r="J17" t="inlineStr">
        <is>
          <t>CLE</t>
        </is>
      </c>
      <c r="K17" t="n">
        <v>36.5</v>
      </c>
      <c r="AB17">
        <f>IF(16&lt;=COUNTIF($F$2:$F$620,'Entry Builder'!$K$7),INDEX($G$2:$G$620,MATCH('Entry Builder'!$K$7,$F$2:$F$620,0)+15),"")</f>
        <v/>
      </c>
      <c r="AC17">
        <f>IF(16&lt;=COUNTIF($F$2:$F$620,'Entry Builder'!$K$8),INDEX($G$2:$G$620,MATCH('Entry Builder'!$K$8,$F$2:$F$620,0)+15),"")</f>
        <v/>
      </c>
      <c r="AD17">
        <f>IF(16&lt;=COUNTIF($F$2:$F$620,'Entry Builder'!$K$9),INDEX($G$2:$G$620,MATCH('Entry Builder'!$K$9,$F$2:$F$620,0)+15),"")</f>
        <v/>
      </c>
      <c r="AE17">
        <f>IF(16&lt;=COUNTIF($F$2:$F$620,'Entry Builder'!$K$10),INDEX($G$2:$G$620,MATCH('Entry Builder'!$K$10,$F$2:$F$620,0)+15),"")</f>
        <v/>
      </c>
      <c r="AF17">
        <f>IF(16&lt;=COUNTIF($F$2:$F$620,'Entry Builder'!$K$11),INDEX($G$2:$G$620,MATCH('Entry Builder'!$K$11,$F$2:$F$620,0)+15),"")</f>
        <v/>
      </c>
      <c r="AG17">
        <f>IF(16&lt;=COUNTIF($F$2:$F$620,'Entry Builder'!$K$12),INDEX($G$2:$G$620,MATCH('Entry Builder'!$K$12,$F$2:$F$620,0)+15),"")</f>
        <v/>
      </c>
    </row>
    <row r="18">
      <c r="A18" t="inlineStr">
        <is>
          <t>Malachi Corley</t>
        </is>
      </c>
      <c r="C18" t="inlineStr">
        <is>
          <t>Denzel Boston</t>
        </is>
      </c>
      <c r="D18" t="inlineStr">
        <is>
          <t>Anytime TDs</t>
        </is>
      </c>
      <c r="F18" t="inlineStr">
        <is>
          <t>Aaron Rodgers | Pass Yds</t>
        </is>
      </c>
      <c r="G18" t="n">
        <v>272.5</v>
      </c>
      <c r="I18" t="inlineStr">
        <is>
          <t>Denzel Boston | Anytime TDs</t>
        </is>
      </c>
      <c r="J18" t="inlineStr">
        <is>
          <t>CLE</t>
        </is>
      </c>
      <c r="K18" t="n">
        <v>0.5</v>
      </c>
      <c r="AB18">
        <f>IF(17&lt;=COUNTIF($F$2:$F$620,'Entry Builder'!$K$7),INDEX($G$2:$G$620,MATCH('Entry Builder'!$K$7,$F$2:$F$620,0)+16),"")</f>
        <v/>
      </c>
      <c r="AC18">
        <f>IF(17&lt;=COUNTIF($F$2:$F$620,'Entry Builder'!$K$8),INDEX($G$2:$G$620,MATCH('Entry Builder'!$K$8,$F$2:$F$620,0)+16),"")</f>
        <v/>
      </c>
      <c r="AD18">
        <f>IF(17&lt;=COUNTIF($F$2:$F$620,'Entry Builder'!$K$9),INDEX($G$2:$G$620,MATCH('Entry Builder'!$K$9,$F$2:$F$620,0)+16),"")</f>
        <v/>
      </c>
      <c r="AE18">
        <f>IF(17&lt;=COUNTIF($F$2:$F$620,'Entry Builder'!$K$10),INDEX($G$2:$G$620,MATCH('Entry Builder'!$K$10,$F$2:$F$620,0)+16),"")</f>
        <v/>
      </c>
      <c r="AF18">
        <f>IF(17&lt;=COUNTIF($F$2:$F$620,'Entry Builder'!$K$11),INDEX($G$2:$G$620,MATCH('Entry Builder'!$K$11,$F$2:$F$620,0)+16),"")</f>
        <v/>
      </c>
      <c r="AG18">
        <f>IF(17&lt;=COUNTIF($F$2:$F$620,'Entry Builder'!$K$12),INDEX($G$2:$G$620,MATCH('Entry Builder'!$K$12,$F$2:$F$620,0)+16),"")</f>
        <v/>
      </c>
    </row>
    <row r="19">
      <c r="A19" t="inlineStr">
        <is>
          <t>Michael Burton</t>
        </is>
      </c>
      <c r="C19" t="inlineStr">
        <is>
          <t>Deshaun Watson</t>
        </is>
      </c>
      <c r="D19" t="inlineStr">
        <is>
          <t>Pass Yds</t>
        </is>
      </c>
      <c r="F19" t="inlineStr">
        <is>
          <t>Aaron Rodgers | Pass Yds</t>
        </is>
      </c>
      <c r="G19" t="n">
        <v>282.5</v>
      </c>
      <c r="I19" t="inlineStr">
        <is>
          <t>Deshaun Watson | Pass Yds</t>
        </is>
      </c>
      <c r="J19" t="inlineStr">
        <is>
          <t>CLE</t>
        </is>
      </c>
      <c r="K19" t="n">
        <v>187.5</v>
      </c>
      <c r="AB19">
        <f>IF(18&lt;=COUNTIF($F$2:$F$620,'Entry Builder'!$K$7),INDEX($G$2:$G$620,MATCH('Entry Builder'!$K$7,$F$2:$F$620,0)+17),"")</f>
        <v/>
      </c>
      <c r="AC19">
        <f>IF(18&lt;=COUNTIF($F$2:$F$620,'Entry Builder'!$K$8),INDEX($G$2:$G$620,MATCH('Entry Builder'!$K$8,$F$2:$F$620,0)+17),"")</f>
        <v/>
      </c>
      <c r="AD19">
        <f>IF(18&lt;=COUNTIF($F$2:$F$620,'Entry Builder'!$K$9),INDEX($G$2:$G$620,MATCH('Entry Builder'!$K$9,$F$2:$F$620,0)+17),"")</f>
        <v/>
      </c>
      <c r="AE19">
        <f>IF(18&lt;=COUNTIF($F$2:$F$620,'Entry Builder'!$K$10),INDEX($G$2:$G$620,MATCH('Entry Builder'!$K$10,$F$2:$F$620,0)+17),"")</f>
        <v/>
      </c>
      <c r="AF19">
        <f>IF(18&lt;=COUNTIF($F$2:$F$620,'Entry Builder'!$K$11),INDEX($G$2:$G$620,MATCH('Entry Builder'!$K$11,$F$2:$F$620,0)+17),"")</f>
        <v/>
      </c>
      <c r="AG19">
        <f>IF(18&lt;=COUNTIF($F$2:$F$620,'Entry Builder'!$K$12),INDEX($G$2:$G$620,MATCH('Entry Builder'!$K$12,$F$2:$F$620,0)+17),"")</f>
        <v/>
      </c>
    </row>
    <row r="20">
      <c r="A20" t="inlineStr">
        <is>
          <t>Michael Pittman Jr.</t>
        </is>
      </c>
      <c r="C20" t="inlineStr">
        <is>
          <t>Deshaun Watson</t>
        </is>
      </c>
      <c r="D20" t="inlineStr">
        <is>
          <t>Pass TDs</t>
        </is>
      </c>
      <c r="F20" t="inlineStr">
        <is>
          <t>Aaron Rodgers | Pass Yds</t>
        </is>
      </c>
      <c r="G20" t="n">
        <v>292.5</v>
      </c>
      <c r="I20" t="inlineStr">
        <is>
          <t>Deshaun Watson | Pass TDs</t>
        </is>
      </c>
      <c r="J20" t="inlineStr">
        <is>
          <t>CLE</t>
        </is>
      </c>
      <c r="K20" t="n">
        <v>0.5</v>
      </c>
      <c r="AB20">
        <f>IF(19&lt;=COUNTIF($F$2:$F$620,'Entry Builder'!$K$7),INDEX($G$2:$G$620,MATCH('Entry Builder'!$K$7,$F$2:$F$620,0)+18),"")</f>
        <v/>
      </c>
      <c r="AC20">
        <f>IF(19&lt;=COUNTIF($F$2:$F$620,'Entry Builder'!$K$8),INDEX($G$2:$G$620,MATCH('Entry Builder'!$K$8,$F$2:$F$620,0)+18),"")</f>
        <v/>
      </c>
      <c r="AD20">
        <f>IF(19&lt;=COUNTIF($F$2:$F$620,'Entry Builder'!$K$9),INDEX($G$2:$G$620,MATCH('Entry Builder'!$K$9,$F$2:$F$620,0)+18),"")</f>
        <v/>
      </c>
      <c r="AE20">
        <f>IF(19&lt;=COUNTIF($F$2:$F$620,'Entry Builder'!$K$10),INDEX($G$2:$G$620,MATCH('Entry Builder'!$K$10,$F$2:$F$620,0)+18),"")</f>
        <v/>
      </c>
      <c r="AF20">
        <f>IF(19&lt;=COUNTIF($F$2:$F$620,'Entry Builder'!$K$11),INDEX($G$2:$G$620,MATCH('Entry Builder'!$K$11,$F$2:$F$620,0)+18),"")</f>
        <v/>
      </c>
      <c r="AG20">
        <f>IF(19&lt;=COUNTIF($F$2:$F$620,'Entry Builder'!$K$12),INDEX($G$2:$G$620,MATCH('Entry Builder'!$K$12,$F$2:$F$620,0)+18),"")</f>
        <v/>
      </c>
    </row>
    <row r="21">
      <c r="A21" t="inlineStr">
        <is>
          <t>Pat Freiermuth</t>
        </is>
      </c>
      <c r="C21" t="inlineStr">
        <is>
          <t>Deshaun Watson</t>
        </is>
      </c>
      <c r="D21" t="inlineStr">
        <is>
          <t>Rush Yds</t>
        </is>
      </c>
      <c r="F21" t="inlineStr">
        <is>
          <t>Aaron Rodgers | Pass Yds</t>
        </is>
      </c>
      <c r="G21" t="n">
        <v>302.5</v>
      </c>
      <c r="I21" t="inlineStr">
        <is>
          <t>Deshaun Watson | Rush Yds</t>
        </is>
      </c>
      <c r="J21" t="inlineStr">
        <is>
          <t>CLE</t>
        </is>
      </c>
      <c r="K21" t="n">
        <v>29.5</v>
      </c>
      <c r="AB21">
        <f>IF(20&lt;=COUNTIF($F$2:$F$620,'Entry Builder'!$K$7),INDEX($G$2:$G$620,MATCH('Entry Builder'!$K$7,$F$2:$F$620,0)+19),"")</f>
        <v/>
      </c>
      <c r="AC21">
        <f>IF(20&lt;=COUNTIF($F$2:$F$620,'Entry Builder'!$K$8),INDEX($G$2:$G$620,MATCH('Entry Builder'!$K$8,$F$2:$F$620,0)+19),"")</f>
        <v/>
      </c>
      <c r="AD21">
        <f>IF(20&lt;=COUNTIF($F$2:$F$620,'Entry Builder'!$K$9),INDEX($G$2:$G$620,MATCH('Entry Builder'!$K$9,$F$2:$F$620,0)+19),"")</f>
        <v/>
      </c>
      <c r="AE21">
        <f>IF(20&lt;=COUNTIF($F$2:$F$620,'Entry Builder'!$K$10),INDEX($G$2:$G$620,MATCH('Entry Builder'!$K$10,$F$2:$F$620,0)+19),"")</f>
        <v/>
      </c>
      <c r="AF21">
        <f>IF(20&lt;=COUNTIF($F$2:$F$620,'Entry Builder'!$K$11),INDEX($G$2:$G$620,MATCH('Entry Builder'!$K$11,$F$2:$F$620,0)+19),"")</f>
        <v/>
      </c>
      <c r="AG21">
        <f>IF(20&lt;=COUNTIF($F$2:$F$620,'Entry Builder'!$K$12),INDEX($G$2:$G$620,MATCH('Entry Builder'!$K$12,$F$2:$F$620,0)+19),"")</f>
        <v/>
      </c>
    </row>
    <row r="22">
      <c r="A22" t="inlineStr">
        <is>
          <t>Quinshon Judkins</t>
        </is>
      </c>
      <c r="C22" t="inlineStr">
        <is>
          <t>Deshaun Watson</t>
        </is>
      </c>
      <c r="D22" t="inlineStr">
        <is>
          <t>Anytime TDs</t>
        </is>
      </c>
      <c r="F22" t="inlineStr">
        <is>
          <t>Aaron Rodgers | Pass Yds</t>
        </is>
      </c>
      <c r="G22" t="n">
        <v>312.5</v>
      </c>
      <c r="I22" t="inlineStr">
        <is>
          <t>Deshaun Watson | Anytime TDs</t>
        </is>
      </c>
      <c r="J22" t="inlineStr">
        <is>
          <t>CLE</t>
        </is>
      </c>
      <c r="K22" t="n">
        <v>0.5</v>
      </c>
      <c r="AB22">
        <f>IF(21&lt;=COUNTIF($F$2:$F$620,'Entry Builder'!$K$7),INDEX($G$2:$G$620,MATCH('Entry Builder'!$K$7,$F$2:$F$620,0)+20),"")</f>
        <v/>
      </c>
      <c r="AC22">
        <f>IF(21&lt;=COUNTIF($F$2:$F$620,'Entry Builder'!$K$8),INDEX($G$2:$G$620,MATCH('Entry Builder'!$K$8,$F$2:$F$620,0)+20),"")</f>
        <v/>
      </c>
      <c r="AD22">
        <f>IF(21&lt;=COUNTIF($F$2:$F$620,'Entry Builder'!$K$9),INDEX($G$2:$G$620,MATCH('Entry Builder'!$K$9,$F$2:$F$620,0)+20),"")</f>
        <v/>
      </c>
      <c r="AE22">
        <f>IF(21&lt;=COUNTIF($F$2:$F$620,'Entry Builder'!$K$10),INDEX($G$2:$G$620,MATCH('Entry Builder'!$K$10,$F$2:$F$620,0)+20),"")</f>
        <v/>
      </c>
      <c r="AF22">
        <f>IF(21&lt;=COUNTIF($F$2:$F$620,'Entry Builder'!$K$11),INDEX($G$2:$G$620,MATCH('Entry Builder'!$K$11,$F$2:$F$620,0)+20),"")</f>
        <v/>
      </c>
      <c r="AG22">
        <f>IF(21&lt;=COUNTIF($F$2:$F$620,'Entry Builder'!$K$12),INDEX($G$2:$G$620,MATCH('Entry Builder'!$K$12,$F$2:$F$620,0)+20),"")</f>
        <v/>
      </c>
    </row>
    <row r="23">
      <c r="A23" t="inlineStr">
        <is>
          <t>Raheim Sanders</t>
        </is>
      </c>
      <c r="C23" t="inlineStr">
        <is>
          <t>Eli Heidenreich</t>
        </is>
      </c>
      <c r="D23" t="inlineStr">
        <is>
          <t>Anytime TDs</t>
        </is>
      </c>
      <c r="F23" t="inlineStr">
        <is>
          <t>Aaron Rodgers | Pass TDs</t>
        </is>
      </c>
      <c r="G23" t="n">
        <v>0.5</v>
      </c>
      <c r="I23" t="inlineStr">
        <is>
          <t>Eli Heidenreich | Anytime TDs</t>
        </is>
      </c>
      <c r="J23" t="inlineStr">
        <is>
          <t>PIT</t>
        </is>
      </c>
      <c r="K23" t="n">
        <v>0.5</v>
      </c>
    </row>
    <row r="24">
      <c r="A24" t="inlineStr">
        <is>
          <t>Robert Tonyan</t>
        </is>
      </c>
      <c r="C24" t="inlineStr">
        <is>
          <t>Germie Bernard</t>
        </is>
      </c>
      <c r="D24" t="inlineStr">
        <is>
          <t>Rec Yds</t>
        </is>
      </c>
      <c r="F24" t="inlineStr">
        <is>
          <t>Aaron Rodgers | Pass TDs</t>
        </is>
      </c>
      <c r="G24" t="n">
        <v>1.5</v>
      </c>
      <c r="I24" t="inlineStr">
        <is>
          <t>Germie Bernard | Rec Yds</t>
        </is>
      </c>
      <c r="J24" t="inlineStr">
        <is>
          <t>PIT</t>
        </is>
      </c>
      <c r="K24" t="n">
        <v>6.5</v>
      </c>
    </row>
    <row r="25">
      <c r="A25" t="inlineStr">
        <is>
          <t>Roman Wilson</t>
        </is>
      </c>
      <c r="C25" t="inlineStr">
        <is>
          <t>Germie Bernard</t>
        </is>
      </c>
      <c r="D25" t="inlineStr">
        <is>
          <t>Anytime TDs</t>
        </is>
      </c>
      <c r="F25" t="inlineStr">
        <is>
          <t>Aaron Rodgers | Pass TDs</t>
        </is>
      </c>
      <c r="G25" t="n">
        <v>2.5</v>
      </c>
      <c r="I25" t="inlineStr">
        <is>
          <t>Germie Bernard | Anytime TDs</t>
        </is>
      </c>
      <c r="J25" t="inlineStr">
        <is>
          <t>PIT</t>
        </is>
      </c>
      <c r="K25" t="n">
        <v>0.5</v>
      </c>
    </row>
    <row r="26">
      <c r="A26" t="inlineStr">
        <is>
          <t>Travis Homer</t>
        </is>
      </c>
      <c r="C26" t="inlineStr">
        <is>
          <t>Harold Fannin Jr.</t>
        </is>
      </c>
      <c r="D26" t="inlineStr">
        <is>
          <t>Rec Yds</t>
        </is>
      </c>
      <c r="F26" t="inlineStr">
        <is>
          <t>Aaron Rodgers | Pass TDs</t>
        </is>
      </c>
      <c r="G26" t="n">
        <v>3.5</v>
      </c>
      <c r="I26" t="inlineStr">
        <is>
          <t>Harold Fannin Jr. | Rec Yds</t>
        </is>
      </c>
      <c r="J26" t="inlineStr">
        <is>
          <t>CLE</t>
        </is>
      </c>
      <c r="K26" t="n">
        <v>40.5</v>
      </c>
    </row>
    <row r="27">
      <c r="A27" t="inlineStr">
        <is>
          <t>Tylan Wallace</t>
        </is>
      </c>
      <c r="C27" t="inlineStr">
        <is>
          <t>Harold Fannin Jr.</t>
        </is>
      </c>
      <c r="D27" t="inlineStr">
        <is>
          <t>Receptions</t>
        </is>
      </c>
      <c r="F27" t="inlineStr">
        <is>
          <t>Aaron Rodgers | Rush Yds</t>
        </is>
      </c>
      <c r="G27" t="n">
        <v>1.5</v>
      </c>
      <c r="I27" t="inlineStr">
        <is>
          <t>Harold Fannin Jr. | Receptions</t>
        </is>
      </c>
      <c r="J27" t="inlineStr">
        <is>
          <t>CLE</t>
        </is>
      </c>
      <c r="K27" t="n">
        <v>4.5</v>
      </c>
    </row>
    <row r="28">
      <c r="C28" t="inlineStr">
        <is>
          <t>Harold Fannin Jr.</t>
        </is>
      </c>
      <c r="D28" t="inlineStr">
        <is>
          <t>Anytime TDs</t>
        </is>
      </c>
      <c r="F28" t="inlineStr">
        <is>
          <t>Aaron Rodgers | Rush Yds</t>
        </is>
      </c>
      <c r="G28" t="n">
        <v>3.5</v>
      </c>
      <c r="I28" t="inlineStr">
        <is>
          <t>Harold Fannin Jr. | Anytime TDs</t>
        </is>
      </c>
      <c r="J28" t="inlineStr">
        <is>
          <t>CLE</t>
        </is>
      </c>
      <c r="K28" t="n">
        <v>0.5</v>
      </c>
    </row>
    <row r="29">
      <c r="C29" t="inlineStr">
        <is>
          <t>Isaiah Bond</t>
        </is>
      </c>
      <c r="D29" t="inlineStr">
        <is>
          <t>Anytime TDs</t>
        </is>
      </c>
      <c r="F29" t="inlineStr">
        <is>
          <t>Aaron Rodgers | Rush Yds</t>
        </is>
      </c>
      <c r="G29" t="n">
        <v>5.5</v>
      </c>
      <c r="I29" t="inlineStr">
        <is>
          <t>Isaiah Bond | Anytime TDs</t>
        </is>
      </c>
      <c r="J29" t="inlineStr">
        <is>
          <t>CLE</t>
        </is>
      </c>
      <c r="K29" t="n">
        <v>0.5</v>
      </c>
    </row>
    <row r="30">
      <c r="C30" t="inlineStr">
        <is>
          <t>Jaleel McLaughlin</t>
        </is>
      </c>
      <c r="D30" t="inlineStr">
        <is>
          <t>Anytime TDs</t>
        </is>
      </c>
      <c r="F30" t="inlineStr">
        <is>
          <t>Aaron Rodgers | Rush Yds</t>
        </is>
      </c>
      <c r="G30" t="n">
        <v>7.5</v>
      </c>
      <c r="I30" t="inlineStr">
        <is>
          <t>Jaleel McLaughlin | Anytime TDs</t>
        </is>
      </c>
      <c r="J30" t="inlineStr">
        <is>
          <t>CLE</t>
        </is>
      </c>
      <c r="K30" t="n">
        <v>0.5</v>
      </c>
    </row>
    <row r="31">
      <c r="C31" t="inlineStr">
        <is>
          <t>Jaylen Warren</t>
        </is>
      </c>
      <c r="D31" t="inlineStr">
        <is>
          <t>Rush Yds</t>
        </is>
      </c>
      <c r="F31" t="inlineStr">
        <is>
          <t>Aaron Rodgers | Rush Yds</t>
        </is>
      </c>
      <c r="G31" t="n">
        <v>9.5</v>
      </c>
      <c r="I31" t="inlineStr">
        <is>
          <t>Jaylen Warren | Rush Yds</t>
        </is>
      </c>
      <c r="J31" t="inlineStr">
        <is>
          <t>PIT</t>
        </is>
      </c>
      <c r="K31" t="n">
        <v>73.5</v>
      </c>
    </row>
    <row r="32">
      <c r="C32" t="inlineStr">
        <is>
          <t>Jaylen Warren</t>
        </is>
      </c>
      <c r="D32" t="inlineStr">
        <is>
          <t>Rec Yds</t>
        </is>
      </c>
      <c r="F32" t="inlineStr">
        <is>
          <t>Aaron Rodgers | Rush Yds</t>
        </is>
      </c>
      <c r="G32" t="n">
        <v>11.5</v>
      </c>
      <c r="I32" t="inlineStr">
        <is>
          <t>Jaylen Warren | Rec Yds</t>
        </is>
      </c>
      <c r="J32" t="inlineStr">
        <is>
          <t>PIT</t>
        </is>
      </c>
      <c r="K32" t="n">
        <v>22.5</v>
      </c>
    </row>
    <row r="33">
      <c r="C33" t="inlineStr">
        <is>
          <t>Jaylen Warren</t>
        </is>
      </c>
      <c r="D33" t="inlineStr">
        <is>
          <t>Receptions</t>
        </is>
      </c>
      <c r="F33" t="inlineStr">
        <is>
          <t>Aaron Rodgers | Rush Yds</t>
        </is>
      </c>
      <c r="G33" t="n">
        <v>13.5</v>
      </c>
      <c r="I33" t="inlineStr">
        <is>
          <t>Jaylen Warren | Receptions</t>
        </is>
      </c>
      <c r="J33" t="inlineStr">
        <is>
          <t>PIT</t>
        </is>
      </c>
      <c r="K33" t="n">
        <v>3.5</v>
      </c>
    </row>
    <row r="34">
      <c r="C34" t="inlineStr">
        <is>
          <t>Jaylen Warren</t>
        </is>
      </c>
      <c r="D34" t="inlineStr">
        <is>
          <t>Rush+Rec Yds</t>
        </is>
      </c>
      <c r="F34" t="inlineStr">
        <is>
          <t>Aaron Rodgers | Rush Yds</t>
        </is>
      </c>
      <c r="G34" t="n">
        <v>15.5</v>
      </c>
      <c r="I34" t="inlineStr">
        <is>
          <t>Jaylen Warren | Rush+Rec Yds</t>
        </is>
      </c>
      <c r="J34" t="inlineStr">
        <is>
          <t>PIT</t>
        </is>
      </c>
      <c r="K34" t="n">
        <v>99.5</v>
      </c>
    </row>
    <row r="35">
      <c r="C35" t="inlineStr">
        <is>
          <t>Jaylen Warren</t>
        </is>
      </c>
      <c r="D35" t="inlineStr">
        <is>
          <t>Anytime TDs</t>
        </is>
      </c>
      <c r="F35" t="inlineStr">
        <is>
          <t>Aaron Rodgers | Anytime TDs</t>
        </is>
      </c>
      <c r="G35" t="n">
        <v>0.5</v>
      </c>
      <c r="I35" t="inlineStr">
        <is>
          <t>Jaylen Warren | Anytime TDs</t>
        </is>
      </c>
      <c r="J35" t="inlineStr">
        <is>
          <t>PIT</t>
        </is>
      </c>
      <c r="K35" t="n">
        <v>0.5</v>
      </c>
    </row>
    <row r="36">
      <c r="C36" t="inlineStr">
        <is>
          <t>Jerry Jeudy</t>
        </is>
      </c>
      <c r="D36" t="inlineStr">
        <is>
          <t>Rec Yds</t>
        </is>
      </c>
      <c r="F36" t="inlineStr">
        <is>
          <t>Ben Skowronek | Anytime TDs</t>
        </is>
      </c>
      <c r="G36" t="n">
        <v>0.5</v>
      </c>
      <c r="I36" t="inlineStr">
        <is>
          <t>Jerry Jeudy | Rec Yds</t>
        </is>
      </c>
      <c r="J36" t="inlineStr">
        <is>
          <t>CLE</t>
        </is>
      </c>
      <c r="K36" t="n">
        <v>13.5</v>
      </c>
    </row>
    <row r="37">
      <c r="C37" t="inlineStr">
        <is>
          <t>Jerry Jeudy</t>
        </is>
      </c>
      <c r="D37" t="inlineStr">
        <is>
          <t>Receptions</t>
        </is>
      </c>
      <c r="F37" t="inlineStr">
        <is>
          <t>Blake Whiteheart | Anytime TDs</t>
        </is>
      </c>
      <c r="G37" t="n">
        <v>0.5</v>
      </c>
      <c r="I37" t="inlineStr">
        <is>
          <t>Jerry Jeudy | Receptions</t>
        </is>
      </c>
      <c r="J37" t="inlineStr">
        <is>
          <t>CLE</t>
        </is>
      </c>
      <c r="K37" t="n">
        <v>1.5</v>
      </c>
    </row>
    <row r="38">
      <c r="C38" t="inlineStr">
        <is>
          <t>Jerry Jeudy</t>
        </is>
      </c>
      <c r="D38" t="inlineStr">
        <is>
          <t>Rush+Rec Yds</t>
        </is>
      </c>
      <c r="F38" t="inlineStr">
        <is>
          <t>DK Metcalf | Rec Yds</t>
        </is>
      </c>
      <c r="G38" t="n">
        <v>6.5</v>
      </c>
      <c r="I38" t="inlineStr">
        <is>
          <t>Jerry Jeudy | Rush+Rec Yds</t>
        </is>
      </c>
      <c r="J38" t="inlineStr">
        <is>
          <t>CLE</t>
        </is>
      </c>
      <c r="K38" t="n">
        <v>15.5</v>
      </c>
    </row>
    <row r="39">
      <c r="C39" t="inlineStr">
        <is>
          <t>Jerry Jeudy</t>
        </is>
      </c>
      <c r="D39" t="inlineStr">
        <is>
          <t>Anytime TDs</t>
        </is>
      </c>
      <c r="F39" t="inlineStr">
        <is>
          <t>DK Metcalf | Rec Yds</t>
        </is>
      </c>
      <c r="G39" t="n">
        <v>11.5</v>
      </c>
      <c r="I39" t="inlineStr">
        <is>
          <t>Jerry Jeudy | Anytime TDs</t>
        </is>
      </c>
      <c r="J39" t="inlineStr">
        <is>
          <t>CLE</t>
        </is>
      </c>
      <c r="K39" t="n">
        <v>0.5</v>
      </c>
    </row>
    <row r="40">
      <c r="C40" t="inlineStr">
        <is>
          <t>Kaden Wetjen</t>
        </is>
      </c>
      <c r="D40" t="inlineStr">
        <is>
          <t>Anytime TDs</t>
        </is>
      </c>
      <c r="F40" t="inlineStr">
        <is>
          <t>DK Metcalf | Rec Yds</t>
        </is>
      </c>
      <c r="G40" t="n">
        <v>16.5</v>
      </c>
      <c r="I40" t="inlineStr">
        <is>
          <t>Kaden Wetjen | Anytime TDs</t>
        </is>
      </c>
      <c r="J40" t="inlineStr">
        <is>
          <t>PIT</t>
        </is>
      </c>
      <c r="K40" t="n">
        <v>0.5</v>
      </c>
    </row>
    <row r="41">
      <c r="C41" t="inlineStr">
        <is>
          <t>Lew Nichols III</t>
        </is>
      </c>
      <c r="D41" t="inlineStr">
        <is>
          <t>Anytime TDs</t>
        </is>
      </c>
      <c r="F41" t="inlineStr">
        <is>
          <t>DK Metcalf | Rec Yds</t>
        </is>
      </c>
      <c r="G41" t="n">
        <v>21.5</v>
      </c>
      <c r="I41" t="inlineStr">
        <is>
          <t>Lew Nichols III | Anytime TDs</t>
        </is>
      </c>
      <c r="J41" t="inlineStr">
        <is>
          <t>PIT</t>
        </is>
      </c>
      <c r="K41" t="n">
        <v>0.5</v>
      </c>
    </row>
    <row r="42">
      <c r="C42" t="inlineStr">
        <is>
          <t>Malachi Corley</t>
        </is>
      </c>
      <c r="D42" t="inlineStr">
        <is>
          <t>Anytime TDs</t>
        </is>
      </c>
      <c r="F42" t="inlineStr">
        <is>
          <t>DK Metcalf | Rec Yds</t>
        </is>
      </c>
      <c r="G42" t="n">
        <v>26.5</v>
      </c>
      <c r="I42" t="inlineStr">
        <is>
          <t>Malachi Corley | Anytime TDs</t>
        </is>
      </c>
      <c r="J42" t="inlineStr">
        <is>
          <t>CLE</t>
        </is>
      </c>
      <c r="K42" t="n">
        <v>0.5</v>
      </c>
    </row>
    <row r="43">
      <c r="C43" t="inlineStr">
        <is>
          <t>Michael Burton</t>
        </is>
      </c>
      <c r="D43" t="inlineStr">
        <is>
          <t>Anytime TDs</t>
        </is>
      </c>
      <c r="F43" t="inlineStr">
        <is>
          <t>DK Metcalf | Rec Yds</t>
        </is>
      </c>
      <c r="G43" t="n">
        <v>31.5</v>
      </c>
      <c r="I43" t="inlineStr">
        <is>
          <t>Michael Burton | Anytime TDs</t>
        </is>
      </c>
      <c r="J43" t="inlineStr">
        <is>
          <t>CLE</t>
        </is>
      </c>
      <c r="K43" t="n">
        <v>0.5</v>
      </c>
    </row>
    <row r="44">
      <c r="C44" t="inlineStr">
        <is>
          <t>Michael Pittman Jr.</t>
        </is>
      </c>
      <c r="D44" t="inlineStr">
        <is>
          <t>Rec Yds</t>
        </is>
      </c>
      <c r="F44" t="inlineStr">
        <is>
          <t>DK Metcalf | Rec Yds</t>
        </is>
      </c>
      <c r="G44" t="n">
        <v>36.5</v>
      </c>
      <c r="I44" t="inlineStr">
        <is>
          <t>Michael Pittman Jr. | Rec Yds</t>
        </is>
      </c>
      <c r="J44" t="inlineStr">
        <is>
          <t>PIT</t>
        </is>
      </c>
      <c r="K44" t="n">
        <v>34.5</v>
      </c>
    </row>
    <row r="45">
      <c r="C45" t="inlineStr">
        <is>
          <t>Michael Pittman Jr.</t>
        </is>
      </c>
      <c r="D45" t="inlineStr">
        <is>
          <t>Receptions</t>
        </is>
      </c>
      <c r="F45" t="inlineStr">
        <is>
          <t>DK Metcalf | Rec Yds</t>
        </is>
      </c>
      <c r="G45" t="n">
        <v>41.5</v>
      </c>
      <c r="I45" t="inlineStr">
        <is>
          <t>Michael Pittman Jr. | Receptions</t>
        </is>
      </c>
      <c r="J45" t="inlineStr">
        <is>
          <t>PIT</t>
        </is>
      </c>
      <c r="K45" t="n">
        <v>3.5</v>
      </c>
    </row>
    <row r="46">
      <c r="C46" t="inlineStr">
        <is>
          <t>Michael Pittman Jr.</t>
        </is>
      </c>
      <c r="D46" t="inlineStr">
        <is>
          <t>Rush+Rec Yds</t>
        </is>
      </c>
      <c r="F46" t="inlineStr">
        <is>
          <t>DK Metcalf | Rec Yds</t>
        </is>
      </c>
      <c r="G46" t="n">
        <v>46.5</v>
      </c>
      <c r="I46" t="inlineStr">
        <is>
          <t>Michael Pittman Jr. | Rush+Rec Yds</t>
        </is>
      </c>
      <c r="J46" t="inlineStr">
        <is>
          <t>PIT</t>
        </is>
      </c>
      <c r="K46" t="n">
        <v>32.5</v>
      </c>
    </row>
    <row r="47">
      <c r="C47" t="inlineStr">
        <is>
          <t>Michael Pittman Jr.</t>
        </is>
      </c>
      <c r="D47" t="inlineStr">
        <is>
          <t>Anytime TDs</t>
        </is>
      </c>
      <c r="F47" t="inlineStr">
        <is>
          <t>DK Metcalf | Rec Yds</t>
        </is>
      </c>
      <c r="G47" t="n">
        <v>51.5</v>
      </c>
      <c r="I47" t="inlineStr">
        <is>
          <t>Michael Pittman Jr. | Anytime TDs</t>
        </is>
      </c>
      <c r="J47" t="inlineStr">
        <is>
          <t>PIT</t>
        </is>
      </c>
      <c r="K47" t="n">
        <v>0.5</v>
      </c>
    </row>
    <row r="48">
      <c r="C48" t="inlineStr">
        <is>
          <t>Pat Freiermuth</t>
        </is>
      </c>
      <c r="D48" t="inlineStr">
        <is>
          <t>Rec Yds</t>
        </is>
      </c>
      <c r="F48" t="inlineStr">
        <is>
          <t>DK Metcalf | Rec Yds</t>
        </is>
      </c>
      <c r="G48" t="n">
        <v>56.5</v>
      </c>
      <c r="I48" t="inlineStr">
        <is>
          <t>Pat Freiermuth | Rec Yds</t>
        </is>
      </c>
      <c r="J48" t="inlineStr">
        <is>
          <t>PIT</t>
        </is>
      </c>
      <c r="K48" t="n">
        <v>28.5</v>
      </c>
    </row>
    <row r="49">
      <c r="C49" t="inlineStr">
        <is>
          <t>Pat Freiermuth</t>
        </is>
      </c>
      <c r="D49" t="inlineStr">
        <is>
          <t>Receptions</t>
        </is>
      </c>
      <c r="F49" t="inlineStr">
        <is>
          <t>DK Metcalf | Rec Yds</t>
        </is>
      </c>
      <c r="G49" t="n">
        <v>61.5</v>
      </c>
      <c r="I49" t="inlineStr">
        <is>
          <t>Pat Freiermuth | Receptions</t>
        </is>
      </c>
      <c r="J49" t="inlineStr">
        <is>
          <t>PIT</t>
        </is>
      </c>
      <c r="K49" t="n">
        <v>3.5</v>
      </c>
    </row>
    <row r="50">
      <c r="C50" t="inlineStr">
        <is>
          <t>Pat Freiermuth</t>
        </is>
      </c>
      <c r="D50" t="inlineStr">
        <is>
          <t>Anytime TDs</t>
        </is>
      </c>
      <c r="F50" t="inlineStr">
        <is>
          <t>DK Metcalf | Rec Yds</t>
        </is>
      </c>
      <c r="G50" t="n">
        <v>66.5</v>
      </c>
      <c r="I50" t="inlineStr">
        <is>
          <t>Pat Freiermuth | Anytime TDs</t>
        </is>
      </c>
      <c r="J50" t="inlineStr">
        <is>
          <t>PIT</t>
        </is>
      </c>
      <c r="K50" t="n">
        <v>0.5</v>
      </c>
    </row>
    <row r="51">
      <c r="C51" t="inlineStr">
        <is>
          <t>Quinshon Judkins</t>
        </is>
      </c>
      <c r="D51" t="inlineStr">
        <is>
          <t>Rush Yds</t>
        </is>
      </c>
      <c r="F51" t="inlineStr">
        <is>
          <t>DK Metcalf | Rec Yds</t>
        </is>
      </c>
      <c r="G51" t="n">
        <v>71.5</v>
      </c>
      <c r="I51" t="inlineStr">
        <is>
          <t>Quinshon Judkins | Rush Yds</t>
        </is>
      </c>
      <c r="J51" t="inlineStr">
        <is>
          <t>CLE</t>
        </is>
      </c>
      <c r="K51" t="n">
        <v>55.5</v>
      </c>
    </row>
    <row r="52">
      <c r="C52" t="inlineStr">
        <is>
          <t>Quinshon Judkins</t>
        </is>
      </c>
      <c r="D52" t="inlineStr">
        <is>
          <t>Rec Yds</t>
        </is>
      </c>
      <c r="F52" t="inlineStr">
        <is>
          <t>DK Metcalf | Rec Yds</t>
        </is>
      </c>
      <c r="G52" t="n">
        <v>76.5</v>
      </c>
      <c r="I52" t="inlineStr">
        <is>
          <t>Quinshon Judkins | Rec Yds</t>
        </is>
      </c>
      <c r="J52" t="inlineStr">
        <is>
          <t>CLE</t>
        </is>
      </c>
      <c r="K52" t="n">
        <v>12.5</v>
      </c>
    </row>
    <row r="53">
      <c r="C53" t="inlineStr">
        <is>
          <t>Quinshon Judkins</t>
        </is>
      </c>
      <c r="D53" t="inlineStr">
        <is>
          <t>Receptions</t>
        </is>
      </c>
      <c r="F53" t="inlineStr">
        <is>
          <t>DK Metcalf | Rec Yds</t>
        </is>
      </c>
      <c r="G53" t="n">
        <v>81.5</v>
      </c>
      <c r="I53" t="inlineStr">
        <is>
          <t>Quinshon Judkins | Receptions</t>
        </is>
      </c>
      <c r="J53" t="inlineStr">
        <is>
          <t>CLE</t>
        </is>
      </c>
      <c r="K53" t="n">
        <v>2.5</v>
      </c>
    </row>
    <row r="54">
      <c r="C54" t="inlineStr">
        <is>
          <t>Quinshon Judkins</t>
        </is>
      </c>
      <c r="D54" t="inlineStr">
        <is>
          <t>Rush+Rec Yds</t>
        </is>
      </c>
      <c r="F54" t="inlineStr">
        <is>
          <t>DK Metcalf | Rec Yds</t>
        </is>
      </c>
      <c r="G54" t="n">
        <v>86.5</v>
      </c>
      <c r="I54" t="inlineStr">
        <is>
          <t>Quinshon Judkins | Rush+Rec Yds</t>
        </is>
      </c>
      <c r="J54" t="inlineStr">
        <is>
          <t>CLE</t>
        </is>
      </c>
      <c r="K54" t="n">
        <v>72.5</v>
      </c>
    </row>
    <row r="55">
      <c r="C55" t="inlineStr">
        <is>
          <t>Quinshon Judkins</t>
        </is>
      </c>
      <c r="D55" t="inlineStr">
        <is>
          <t>Anytime TDs</t>
        </is>
      </c>
      <c r="F55" t="inlineStr">
        <is>
          <t>DK Metcalf | Rec Yds</t>
        </is>
      </c>
      <c r="G55" t="n">
        <v>91.5</v>
      </c>
      <c r="I55" t="inlineStr">
        <is>
          <t>Quinshon Judkins | Anytime TDs</t>
        </is>
      </c>
      <c r="J55" t="inlineStr">
        <is>
          <t>CLE</t>
        </is>
      </c>
      <c r="K55" t="n">
        <v>0.5</v>
      </c>
    </row>
    <row r="56">
      <c r="C56" t="inlineStr">
        <is>
          <t>Raheim Sanders</t>
        </is>
      </c>
      <c r="D56" t="inlineStr">
        <is>
          <t>Rush Yds</t>
        </is>
      </c>
      <c r="F56" t="inlineStr">
        <is>
          <t>DK Metcalf | Receptions</t>
        </is>
      </c>
      <c r="G56" t="n">
        <v>0.5</v>
      </c>
      <c r="I56" t="inlineStr">
        <is>
          <t>Raheim Sanders | Rush Yds</t>
        </is>
      </c>
      <c r="J56" t="inlineStr">
        <is>
          <t>CLE</t>
        </is>
      </c>
      <c r="K56" t="n">
        <v>5.5</v>
      </c>
    </row>
    <row r="57">
      <c r="C57" t="inlineStr">
        <is>
          <t>Raheim Sanders</t>
        </is>
      </c>
      <c r="D57" t="inlineStr">
        <is>
          <t>Rec Yds</t>
        </is>
      </c>
      <c r="F57" t="inlineStr">
        <is>
          <t>DK Metcalf | Receptions</t>
        </is>
      </c>
      <c r="G57" t="n">
        <v>1.5</v>
      </c>
      <c r="I57" t="inlineStr">
        <is>
          <t>Raheim Sanders | Rec Yds</t>
        </is>
      </c>
      <c r="J57" t="inlineStr">
        <is>
          <t>CLE</t>
        </is>
      </c>
      <c r="K57" t="n">
        <v>11.5</v>
      </c>
    </row>
    <row r="58">
      <c r="C58" t="inlineStr">
        <is>
          <t>Raheim Sanders</t>
        </is>
      </c>
      <c r="D58" t="inlineStr">
        <is>
          <t>Receptions</t>
        </is>
      </c>
      <c r="F58" t="inlineStr">
        <is>
          <t>DK Metcalf | Receptions</t>
        </is>
      </c>
      <c r="G58" t="n">
        <v>2.5</v>
      </c>
      <c r="I58" t="inlineStr">
        <is>
          <t>Raheim Sanders | Receptions</t>
        </is>
      </c>
      <c r="J58" t="inlineStr">
        <is>
          <t>CLE</t>
        </is>
      </c>
      <c r="K58" t="n">
        <v>1.5</v>
      </c>
    </row>
    <row r="59">
      <c r="C59" t="inlineStr">
        <is>
          <t>Raheim Sanders</t>
        </is>
      </c>
      <c r="D59" t="inlineStr">
        <is>
          <t>Rush+Rec Yds</t>
        </is>
      </c>
      <c r="F59" t="inlineStr">
        <is>
          <t>DK Metcalf | Receptions</t>
        </is>
      </c>
      <c r="G59" t="n">
        <v>3.5</v>
      </c>
      <c r="I59" t="inlineStr">
        <is>
          <t>Raheim Sanders | Rush+Rec Yds</t>
        </is>
      </c>
      <c r="J59" t="inlineStr">
        <is>
          <t>CLE</t>
        </is>
      </c>
      <c r="K59" t="n">
        <v>20.5</v>
      </c>
    </row>
    <row r="60">
      <c r="C60" t="inlineStr">
        <is>
          <t>Raheim Sanders</t>
        </is>
      </c>
      <c r="D60" t="inlineStr">
        <is>
          <t>Anytime TDs</t>
        </is>
      </c>
      <c r="F60" t="inlineStr">
        <is>
          <t>DK Metcalf | Receptions</t>
        </is>
      </c>
      <c r="G60" t="n">
        <v>4.5</v>
      </c>
      <c r="I60" t="inlineStr">
        <is>
          <t>Raheim Sanders | Anytime TDs</t>
        </is>
      </c>
      <c r="J60" t="inlineStr">
        <is>
          <t>CLE</t>
        </is>
      </c>
      <c r="K60" t="n">
        <v>0.5</v>
      </c>
    </row>
    <row r="61">
      <c r="C61" t="inlineStr">
        <is>
          <t>Robert Tonyan</t>
        </is>
      </c>
      <c r="D61" t="inlineStr">
        <is>
          <t>Anytime TDs</t>
        </is>
      </c>
      <c r="F61" t="inlineStr">
        <is>
          <t>DK Metcalf | Receptions</t>
        </is>
      </c>
      <c r="G61" t="n">
        <v>5.5</v>
      </c>
      <c r="I61" t="inlineStr">
        <is>
          <t>Robert Tonyan | Anytime TDs</t>
        </is>
      </c>
      <c r="J61" t="inlineStr">
        <is>
          <t>PIT</t>
        </is>
      </c>
      <c r="K61" t="n">
        <v>0.5</v>
      </c>
    </row>
    <row r="62">
      <c r="C62" t="inlineStr">
        <is>
          <t>Roman Wilson</t>
        </is>
      </c>
      <c r="D62" t="inlineStr">
        <is>
          <t>Rec Yds</t>
        </is>
      </c>
      <c r="F62" t="inlineStr">
        <is>
          <t>DK Metcalf | Receptions</t>
        </is>
      </c>
      <c r="G62" t="n">
        <v>6.5</v>
      </c>
      <c r="I62" t="inlineStr">
        <is>
          <t>Roman Wilson | Rec Yds</t>
        </is>
      </c>
      <c r="J62" t="inlineStr">
        <is>
          <t>PIT</t>
        </is>
      </c>
      <c r="K62" t="n">
        <v>19.5</v>
      </c>
    </row>
    <row r="63">
      <c r="C63" t="inlineStr">
        <is>
          <t>Roman Wilson</t>
        </is>
      </c>
      <c r="D63" t="inlineStr">
        <is>
          <t>Receptions</t>
        </is>
      </c>
      <c r="F63" t="inlineStr">
        <is>
          <t>DK Metcalf | Receptions</t>
        </is>
      </c>
      <c r="G63" t="n">
        <v>7.5</v>
      </c>
      <c r="I63" t="inlineStr">
        <is>
          <t>Roman Wilson | Receptions</t>
        </is>
      </c>
      <c r="J63" t="inlineStr">
        <is>
          <t>PIT</t>
        </is>
      </c>
      <c r="K63" t="n">
        <v>2.5</v>
      </c>
    </row>
    <row r="64">
      <c r="C64" t="inlineStr">
        <is>
          <t>Roman Wilson</t>
        </is>
      </c>
      <c r="D64" t="inlineStr">
        <is>
          <t>Rush+Rec Yds</t>
        </is>
      </c>
      <c r="F64" t="inlineStr">
        <is>
          <t>DK Metcalf | Receptions</t>
        </is>
      </c>
      <c r="G64" t="n">
        <v>8.5</v>
      </c>
      <c r="I64" t="inlineStr">
        <is>
          <t>Roman Wilson | Rush+Rec Yds</t>
        </is>
      </c>
      <c r="J64" t="inlineStr">
        <is>
          <t>PIT</t>
        </is>
      </c>
      <c r="K64" t="n">
        <v>22.5</v>
      </c>
    </row>
    <row r="65">
      <c r="C65" t="inlineStr">
        <is>
          <t>Roman Wilson</t>
        </is>
      </c>
      <c r="D65" t="inlineStr">
        <is>
          <t>Anytime TDs</t>
        </is>
      </c>
      <c r="F65" t="inlineStr">
        <is>
          <t>DK Metcalf | Rush+Rec Yds</t>
        </is>
      </c>
      <c r="G65" t="n">
        <v>7.5</v>
      </c>
      <c r="I65" t="inlineStr">
        <is>
          <t>Roman Wilson | Anytime TDs</t>
        </is>
      </c>
      <c r="J65" t="inlineStr">
        <is>
          <t>PIT</t>
        </is>
      </c>
      <c r="K65" t="n">
        <v>0.5</v>
      </c>
    </row>
    <row r="66">
      <c r="C66" t="inlineStr">
        <is>
          <t>Travis Homer</t>
        </is>
      </c>
      <c r="D66" t="inlineStr">
        <is>
          <t>Rush Yds</t>
        </is>
      </c>
      <c r="F66" t="inlineStr">
        <is>
          <t>DK Metcalf | Rush+Rec Yds</t>
        </is>
      </c>
      <c r="G66" t="n">
        <v>12.5</v>
      </c>
      <c r="I66" t="inlineStr">
        <is>
          <t>Travis Homer | Rush Yds</t>
        </is>
      </c>
      <c r="J66" t="inlineStr">
        <is>
          <t>PIT</t>
        </is>
      </c>
      <c r="K66" t="n">
        <v>39.5</v>
      </c>
    </row>
    <row r="67">
      <c r="C67" t="inlineStr">
        <is>
          <t>Travis Homer</t>
        </is>
      </c>
      <c r="D67" t="inlineStr">
        <is>
          <t>Anytime TDs</t>
        </is>
      </c>
      <c r="F67" t="inlineStr">
        <is>
          <t>DK Metcalf | Rush+Rec Yds</t>
        </is>
      </c>
      <c r="G67" t="n">
        <v>17.5</v>
      </c>
      <c r="I67" t="inlineStr">
        <is>
          <t>Travis Homer | Anytime TDs</t>
        </is>
      </c>
      <c r="J67" t="inlineStr">
        <is>
          <t>PIT</t>
        </is>
      </c>
      <c r="K67" t="n">
        <v>0.5</v>
      </c>
    </row>
    <row r="68">
      <c r="C68" t="inlineStr">
        <is>
          <t>Tylan Wallace</t>
        </is>
      </c>
      <c r="D68" t="inlineStr">
        <is>
          <t>Anytime TDs</t>
        </is>
      </c>
      <c r="F68" t="inlineStr">
        <is>
          <t>DK Metcalf | Rush+Rec Yds</t>
        </is>
      </c>
      <c r="G68" t="n">
        <v>22.5</v>
      </c>
      <c r="I68" t="inlineStr">
        <is>
          <t>Tylan Wallace | Anytime TDs</t>
        </is>
      </c>
      <c r="J68" t="inlineStr">
        <is>
          <t>CLE</t>
        </is>
      </c>
      <c r="K68" t="n">
        <v>0.5</v>
      </c>
    </row>
    <row r="69">
      <c r="F69" t="inlineStr">
        <is>
          <t>DK Metcalf | Rush+Rec Yds</t>
        </is>
      </c>
      <c r="G69" t="n">
        <v>27.5</v>
      </c>
    </row>
    <row r="70">
      <c r="F70" t="inlineStr">
        <is>
          <t>DK Metcalf | Rush+Rec Yds</t>
        </is>
      </c>
      <c r="G70" t="n">
        <v>32.5</v>
      </c>
    </row>
    <row r="71">
      <c r="F71" t="inlineStr">
        <is>
          <t>DK Metcalf | Rush+Rec Yds</t>
        </is>
      </c>
      <c r="G71" t="n">
        <v>37.5</v>
      </c>
    </row>
    <row r="72">
      <c r="F72" t="inlineStr">
        <is>
          <t>DK Metcalf | Rush+Rec Yds</t>
        </is>
      </c>
      <c r="G72" t="n">
        <v>42.5</v>
      </c>
    </row>
    <row r="73">
      <c r="F73" t="inlineStr">
        <is>
          <t>DK Metcalf | Rush+Rec Yds</t>
        </is>
      </c>
      <c r="G73" t="n">
        <v>47.5</v>
      </c>
    </row>
    <row r="74">
      <c r="F74" t="inlineStr">
        <is>
          <t>DK Metcalf | Rush+Rec Yds</t>
        </is>
      </c>
      <c r="G74" t="n">
        <v>52.5</v>
      </c>
    </row>
    <row r="75">
      <c r="F75" t="inlineStr">
        <is>
          <t>DK Metcalf | Rush+Rec Yds</t>
        </is>
      </c>
      <c r="G75" t="n">
        <v>57.5</v>
      </c>
    </row>
    <row r="76">
      <c r="F76" t="inlineStr">
        <is>
          <t>DK Metcalf | Rush+Rec Yds</t>
        </is>
      </c>
      <c r="G76" t="n">
        <v>62.5</v>
      </c>
    </row>
    <row r="77">
      <c r="F77" t="inlineStr">
        <is>
          <t>DK Metcalf | Rush+Rec Yds</t>
        </is>
      </c>
      <c r="G77" t="n">
        <v>67.5</v>
      </c>
    </row>
    <row r="78">
      <c r="F78" t="inlineStr">
        <is>
          <t>DK Metcalf | Rush+Rec Yds</t>
        </is>
      </c>
      <c r="G78" t="n">
        <v>72.5</v>
      </c>
    </row>
    <row r="79">
      <c r="F79" t="inlineStr">
        <is>
          <t>DK Metcalf | Rush+Rec Yds</t>
        </is>
      </c>
      <c r="G79" t="n">
        <v>77.5</v>
      </c>
    </row>
    <row r="80">
      <c r="F80" t="inlineStr">
        <is>
          <t>DK Metcalf | Rush+Rec Yds</t>
        </is>
      </c>
      <c r="G80" t="n">
        <v>82.5</v>
      </c>
    </row>
    <row r="81">
      <c r="F81" t="inlineStr">
        <is>
          <t>DK Metcalf | Rush+Rec Yds</t>
        </is>
      </c>
      <c r="G81" t="n">
        <v>87.5</v>
      </c>
    </row>
    <row r="82">
      <c r="F82" t="inlineStr">
        <is>
          <t>DK Metcalf | Rush+Rec Yds</t>
        </is>
      </c>
      <c r="G82" t="n">
        <v>92.5</v>
      </c>
    </row>
    <row r="83">
      <c r="F83" t="inlineStr">
        <is>
          <t>DK Metcalf | Anytime TDs</t>
        </is>
      </c>
      <c r="G83" t="n">
        <v>0.5</v>
      </c>
    </row>
    <row r="84">
      <c r="F84" t="inlineStr">
        <is>
          <t>Darnell Washington | Rec Yds</t>
        </is>
      </c>
      <c r="G84" t="n">
        <v>2.5</v>
      </c>
    </row>
    <row r="85">
      <c r="F85" t="inlineStr">
        <is>
          <t>Darnell Washington | Rec Yds</t>
        </is>
      </c>
      <c r="G85" t="n">
        <v>4.5</v>
      </c>
    </row>
    <row r="86">
      <c r="F86" t="inlineStr">
        <is>
          <t>Darnell Washington | Rec Yds</t>
        </is>
      </c>
      <c r="G86" t="n">
        <v>6.5</v>
      </c>
    </row>
    <row r="87">
      <c r="F87" t="inlineStr">
        <is>
          <t>Darnell Washington | Rec Yds</t>
        </is>
      </c>
      <c r="G87" t="n">
        <v>8.5</v>
      </c>
    </row>
    <row r="88">
      <c r="F88" t="inlineStr">
        <is>
          <t>Darnell Washington | Rec Yds</t>
        </is>
      </c>
      <c r="G88" t="n">
        <v>10.5</v>
      </c>
    </row>
    <row r="89">
      <c r="F89" t="inlineStr">
        <is>
          <t>Darnell Washington | Rec Yds</t>
        </is>
      </c>
      <c r="G89" t="n">
        <v>12.5</v>
      </c>
    </row>
    <row r="90">
      <c r="F90" t="inlineStr">
        <is>
          <t>Darnell Washington | Rec Yds</t>
        </is>
      </c>
      <c r="G90" t="n">
        <v>14.5</v>
      </c>
    </row>
    <row r="91">
      <c r="F91" t="inlineStr">
        <is>
          <t>Darnell Washington | Rec Yds</t>
        </is>
      </c>
      <c r="G91" t="n">
        <v>16.5</v>
      </c>
    </row>
    <row r="92">
      <c r="F92" t="inlineStr">
        <is>
          <t>Darnell Washington | Rec Yds</t>
        </is>
      </c>
      <c r="G92" t="n">
        <v>18.5</v>
      </c>
    </row>
    <row r="93">
      <c r="F93" t="inlineStr">
        <is>
          <t>Darnell Washington | Rec Yds</t>
        </is>
      </c>
      <c r="G93" t="n">
        <v>20.5</v>
      </c>
    </row>
    <row r="94">
      <c r="F94" t="inlineStr">
        <is>
          <t>Darnell Washington | Rec Yds</t>
        </is>
      </c>
      <c r="G94" t="n">
        <v>22.5</v>
      </c>
    </row>
    <row r="95">
      <c r="F95" t="inlineStr">
        <is>
          <t>Darnell Washington | Rec Yds</t>
        </is>
      </c>
      <c r="G95" t="n">
        <v>24.5</v>
      </c>
    </row>
    <row r="96">
      <c r="F96" t="inlineStr">
        <is>
          <t>Darnell Washington | Rec Yds</t>
        </is>
      </c>
      <c r="G96" t="n">
        <v>26.5</v>
      </c>
    </row>
    <row r="97">
      <c r="F97" t="inlineStr">
        <is>
          <t>Darnell Washington | Rec Yds</t>
        </is>
      </c>
      <c r="G97" t="n">
        <v>28.5</v>
      </c>
    </row>
    <row r="98">
      <c r="F98" t="inlineStr">
        <is>
          <t>Darnell Washington | Rec Yds</t>
        </is>
      </c>
      <c r="G98" t="n">
        <v>30.5</v>
      </c>
    </row>
    <row r="99">
      <c r="F99" t="inlineStr">
        <is>
          <t>Darnell Washington | Rec Yds</t>
        </is>
      </c>
      <c r="G99" t="n">
        <v>32.5</v>
      </c>
    </row>
    <row r="100">
      <c r="F100" t="inlineStr">
        <is>
          <t>Darnell Washington | Rec Yds</t>
        </is>
      </c>
      <c r="G100" t="n">
        <v>34.5</v>
      </c>
    </row>
    <row r="101">
      <c r="F101" t="inlineStr">
        <is>
          <t>Darnell Washington | Rec Yds</t>
        </is>
      </c>
      <c r="G101" t="n">
        <v>36.5</v>
      </c>
    </row>
    <row r="102">
      <c r="F102" t="inlineStr">
        <is>
          <t>Darnell Washington | Receptions</t>
        </is>
      </c>
      <c r="G102" t="n">
        <v>0.5</v>
      </c>
    </row>
    <row r="103">
      <c r="F103" t="inlineStr">
        <is>
          <t>Darnell Washington | Receptions</t>
        </is>
      </c>
      <c r="G103" t="n">
        <v>1.5</v>
      </c>
    </row>
    <row r="104">
      <c r="F104" t="inlineStr">
        <is>
          <t>Darnell Washington | Receptions</t>
        </is>
      </c>
      <c r="G104" t="n">
        <v>2.5</v>
      </c>
    </row>
    <row r="105">
      <c r="F105" t="inlineStr">
        <is>
          <t>Darnell Washington | Receptions</t>
        </is>
      </c>
      <c r="G105" t="n">
        <v>3.5</v>
      </c>
    </row>
    <row r="106">
      <c r="F106" t="inlineStr">
        <is>
          <t>Darnell Washington | Receptions</t>
        </is>
      </c>
      <c r="G106" t="n">
        <v>4.5</v>
      </c>
    </row>
    <row r="107">
      <c r="F107" t="inlineStr">
        <is>
          <t>Darnell Washington | Receptions</t>
        </is>
      </c>
      <c r="G107" t="n">
        <v>5.5</v>
      </c>
    </row>
    <row r="108">
      <c r="F108" t="inlineStr">
        <is>
          <t>Darnell Washington | Anytime TDs</t>
        </is>
      </c>
      <c r="G108" t="n">
        <v>0.5</v>
      </c>
    </row>
    <row r="109">
      <c r="F109" t="inlineStr">
        <is>
          <t>Denzel Boston | Rec Yds</t>
        </is>
      </c>
      <c r="G109" t="n">
        <v>2.5</v>
      </c>
    </row>
    <row r="110">
      <c r="F110" t="inlineStr">
        <is>
          <t>Denzel Boston | Rec Yds</t>
        </is>
      </c>
      <c r="G110" t="n">
        <v>7.5</v>
      </c>
    </row>
    <row r="111">
      <c r="F111" t="inlineStr">
        <is>
          <t>Denzel Boston | Rec Yds</t>
        </is>
      </c>
      <c r="G111" t="n">
        <v>12.5</v>
      </c>
    </row>
    <row r="112">
      <c r="F112" t="inlineStr">
        <is>
          <t>Denzel Boston | Rec Yds</t>
        </is>
      </c>
      <c r="G112" t="n">
        <v>17.5</v>
      </c>
    </row>
    <row r="113">
      <c r="F113" t="inlineStr">
        <is>
          <t>Denzel Boston | Rec Yds</t>
        </is>
      </c>
      <c r="G113" t="n">
        <v>22.5</v>
      </c>
    </row>
    <row r="114">
      <c r="F114" t="inlineStr">
        <is>
          <t>Denzel Boston | Rec Yds</t>
        </is>
      </c>
      <c r="G114" t="n">
        <v>27.5</v>
      </c>
    </row>
    <row r="115">
      <c r="F115" t="inlineStr">
        <is>
          <t>Denzel Boston | Rec Yds</t>
        </is>
      </c>
      <c r="G115" t="n">
        <v>32.5</v>
      </c>
    </row>
    <row r="116">
      <c r="F116" t="inlineStr">
        <is>
          <t>Denzel Boston | Rec Yds</t>
        </is>
      </c>
      <c r="G116" t="n">
        <v>37.5</v>
      </c>
    </row>
    <row r="117">
      <c r="F117" t="inlineStr">
        <is>
          <t>Denzel Boston | Rec Yds</t>
        </is>
      </c>
      <c r="G117" t="n">
        <v>42.5</v>
      </c>
    </row>
    <row r="118">
      <c r="F118" t="inlineStr">
        <is>
          <t>Denzel Boston | Rec Yds</t>
        </is>
      </c>
      <c r="G118" t="n">
        <v>47.5</v>
      </c>
    </row>
    <row r="119">
      <c r="F119" t="inlineStr">
        <is>
          <t>Denzel Boston | Rec Yds</t>
        </is>
      </c>
      <c r="G119" t="n">
        <v>52.5</v>
      </c>
    </row>
    <row r="120">
      <c r="F120" t="inlineStr">
        <is>
          <t>Denzel Boston | Rec Yds</t>
        </is>
      </c>
      <c r="G120" t="n">
        <v>57.5</v>
      </c>
    </row>
    <row r="121">
      <c r="F121" t="inlineStr">
        <is>
          <t>Denzel Boston | Rec Yds</t>
        </is>
      </c>
      <c r="G121" t="n">
        <v>62.5</v>
      </c>
    </row>
    <row r="122">
      <c r="F122" t="inlineStr">
        <is>
          <t>Denzel Boston | Rec Yds</t>
        </is>
      </c>
      <c r="G122" t="n">
        <v>67.5</v>
      </c>
    </row>
    <row r="123">
      <c r="F123" t="inlineStr">
        <is>
          <t>Denzel Boston | Rec Yds</t>
        </is>
      </c>
      <c r="G123" t="n">
        <v>72.5</v>
      </c>
    </row>
    <row r="124">
      <c r="F124" t="inlineStr">
        <is>
          <t>Denzel Boston | Rec Yds</t>
        </is>
      </c>
      <c r="G124" t="n">
        <v>77.5</v>
      </c>
    </row>
    <row r="125">
      <c r="F125" t="inlineStr">
        <is>
          <t>Denzel Boston | Rec Yds</t>
        </is>
      </c>
      <c r="G125" t="n">
        <v>82.5</v>
      </c>
    </row>
    <row r="126">
      <c r="F126" t="inlineStr">
        <is>
          <t>Denzel Boston | Rec Yds</t>
        </is>
      </c>
      <c r="G126" t="n">
        <v>87.5</v>
      </c>
    </row>
    <row r="127">
      <c r="F127" t="inlineStr">
        <is>
          <t>Denzel Boston | Receptions</t>
        </is>
      </c>
      <c r="G127" t="n">
        <v>0.5</v>
      </c>
    </row>
    <row r="128">
      <c r="F128" t="inlineStr">
        <is>
          <t>Denzel Boston | Receptions</t>
        </is>
      </c>
      <c r="G128" t="n">
        <v>1.5</v>
      </c>
    </row>
    <row r="129">
      <c r="F129" t="inlineStr">
        <is>
          <t>Denzel Boston | Receptions</t>
        </is>
      </c>
      <c r="G129" t="n">
        <v>2.5</v>
      </c>
    </row>
    <row r="130">
      <c r="F130" t="inlineStr">
        <is>
          <t>Denzel Boston | Receptions</t>
        </is>
      </c>
      <c r="G130" t="n">
        <v>3.5</v>
      </c>
    </row>
    <row r="131">
      <c r="F131" t="inlineStr">
        <is>
          <t>Denzel Boston | Receptions</t>
        </is>
      </c>
      <c r="G131" t="n">
        <v>4.5</v>
      </c>
    </row>
    <row r="132">
      <c r="F132" t="inlineStr">
        <is>
          <t>Denzel Boston | Receptions</t>
        </is>
      </c>
      <c r="G132" t="n">
        <v>5.5</v>
      </c>
    </row>
    <row r="133">
      <c r="F133" t="inlineStr">
        <is>
          <t>Denzel Boston | Receptions</t>
        </is>
      </c>
      <c r="G133" t="n">
        <v>6.5</v>
      </c>
    </row>
    <row r="134">
      <c r="F134" t="inlineStr">
        <is>
          <t>Denzel Boston | Receptions</t>
        </is>
      </c>
      <c r="G134" t="n">
        <v>7.5</v>
      </c>
    </row>
    <row r="135">
      <c r="F135" t="inlineStr">
        <is>
          <t>Denzel Boston | Rush+Rec Yds</t>
        </is>
      </c>
      <c r="G135" t="n">
        <v>6.5</v>
      </c>
    </row>
    <row r="136">
      <c r="F136" t="inlineStr">
        <is>
          <t>Denzel Boston | Rush+Rec Yds</t>
        </is>
      </c>
      <c r="G136" t="n">
        <v>11.5</v>
      </c>
    </row>
    <row r="137">
      <c r="F137" t="inlineStr">
        <is>
          <t>Denzel Boston | Rush+Rec Yds</t>
        </is>
      </c>
      <c r="G137" t="n">
        <v>16.5</v>
      </c>
    </row>
    <row r="138">
      <c r="F138" t="inlineStr">
        <is>
          <t>Denzel Boston | Rush+Rec Yds</t>
        </is>
      </c>
      <c r="G138" t="n">
        <v>21.5</v>
      </c>
    </row>
    <row r="139">
      <c r="F139" t="inlineStr">
        <is>
          <t>Denzel Boston | Rush+Rec Yds</t>
        </is>
      </c>
      <c r="G139" t="n">
        <v>26.5</v>
      </c>
    </row>
    <row r="140">
      <c r="F140" t="inlineStr">
        <is>
          <t>Denzel Boston | Rush+Rec Yds</t>
        </is>
      </c>
      <c r="G140" t="n">
        <v>31.5</v>
      </c>
    </row>
    <row r="141">
      <c r="F141" t="inlineStr">
        <is>
          <t>Denzel Boston | Rush+Rec Yds</t>
        </is>
      </c>
      <c r="G141" t="n">
        <v>36.5</v>
      </c>
    </row>
    <row r="142">
      <c r="F142" t="inlineStr">
        <is>
          <t>Denzel Boston | Rush+Rec Yds</t>
        </is>
      </c>
      <c r="G142" t="n">
        <v>41.5</v>
      </c>
    </row>
    <row r="143">
      <c r="F143" t="inlineStr">
        <is>
          <t>Denzel Boston | Rush+Rec Yds</t>
        </is>
      </c>
      <c r="G143" t="n">
        <v>46.5</v>
      </c>
    </row>
    <row r="144">
      <c r="F144" t="inlineStr">
        <is>
          <t>Denzel Boston | Rush+Rec Yds</t>
        </is>
      </c>
      <c r="G144" t="n">
        <v>51.5</v>
      </c>
    </row>
    <row r="145">
      <c r="F145" t="inlineStr">
        <is>
          <t>Denzel Boston | Rush+Rec Yds</t>
        </is>
      </c>
      <c r="G145" t="n">
        <v>56.5</v>
      </c>
    </row>
    <row r="146">
      <c r="F146" t="inlineStr">
        <is>
          <t>Denzel Boston | Rush+Rec Yds</t>
        </is>
      </c>
      <c r="G146" t="n">
        <v>61.5</v>
      </c>
    </row>
    <row r="147">
      <c r="F147" t="inlineStr">
        <is>
          <t>Denzel Boston | Rush+Rec Yds</t>
        </is>
      </c>
      <c r="G147" t="n">
        <v>66.5</v>
      </c>
    </row>
    <row r="148">
      <c r="F148" t="inlineStr">
        <is>
          <t>Denzel Boston | Rush+Rec Yds</t>
        </is>
      </c>
      <c r="G148" t="n">
        <v>71.5</v>
      </c>
    </row>
    <row r="149">
      <c r="F149" t="inlineStr">
        <is>
          <t>Denzel Boston | Rush+Rec Yds</t>
        </is>
      </c>
      <c r="G149" t="n">
        <v>76.5</v>
      </c>
    </row>
    <row r="150">
      <c r="F150" t="inlineStr">
        <is>
          <t>Denzel Boston | Rush+Rec Yds</t>
        </is>
      </c>
      <c r="G150" t="n">
        <v>81.5</v>
      </c>
    </row>
    <row r="151">
      <c r="F151" t="inlineStr">
        <is>
          <t>Denzel Boston | Rush+Rec Yds</t>
        </is>
      </c>
      <c r="G151" t="n">
        <v>86.5</v>
      </c>
    </row>
    <row r="152">
      <c r="F152" t="inlineStr">
        <is>
          <t>Denzel Boston | Anytime TDs</t>
        </is>
      </c>
      <c r="G152" t="n">
        <v>0.5</v>
      </c>
    </row>
    <row r="153">
      <c r="F153" t="inlineStr">
        <is>
          <t>Deshaun Watson | Pass Yds</t>
        </is>
      </c>
      <c r="G153" t="n">
        <v>87.5</v>
      </c>
    </row>
    <row r="154">
      <c r="F154" t="inlineStr">
        <is>
          <t>Deshaun Watson | Pass Yds</t>
        </is>
      </c>
      <c r="G154" t="n">
        <v>97.5</v>
      </c>
    </row>
    <row r="155">
      <c r="F155" t="inlineStr">
        <is>
          <t>Deshaun Watson | Pass Yds</t>
        </is>
      </c>
      <c r="G155" t="n">
        <v>107.5</v>
      </c>
    </row>
    <row r="156">
      <c r="F156" t="inlineStr">
        <is>
          <t>Deshaun Watson | Pass Yds</t>
        </is>
      </c>
      <c r="G156" t="n">
        <v>117.5</v>
      </c>
    </row>
    <row r="157">
      <c r="F157" t="inlineStr">
        <is>
          <t>Deshaun Watson | Pass Yds</t>
        </is>
      </c>
      <c r="G157" t="n">
        <v>127.5</v>
      </c>
    </row>
    <row r="158">
      <c r="F158" t="inlineStr">
        <is>
          <t>Deshaun Watson | Pass Yds</t>
        </is>
      </c>
      <c r="G158" t="n">
        <v>137.5</v>
      </c>
    </row>
    <row r="159">
      <c r="F159" t="inlineStr">
        <is>
          <t>Deshaun Watson | Pass Yds</t>
        </is>
      </c>
      <c r="G159" t="n">
        <v>147.5</v>
      </c>
    </row>
    <row r="160">
      <c r="F160" t="inlineStr">
        <is>
          <t>Deshaun Watson | Pass Yds</t>
        </is>
      </c>
      <c r="G160" t="n">
        <v>157.5</v>
      </c>
    </row>
    <row r="161">
      <c r="F161" t="inlineStr">
        <is>
          <t>Deshaun Watson | Pass Yds</t>
        </is>
      </c>
      <c r="G161" t="n">
        <v>167.5</v>
      </c>
    </row>
    <row r="162">
      <c r="F162" t="inlineStr">
        <is>
          <t>Deshaun Watson | Pass Yds</t>
        </is>
      </c>
      <c r="G162" t="n">
        <v>177.5</v>
      </c>
    </row>
    <row r="163">
      <c r="F163" t="inlineStr">
        <is>
          <t>Deshaun Watson | Pass Yds</t>
        </is>
      </c>
      <c r="G163" t="n">
        <v>187.5</v>
      </c>
    </row>
    <row r="164">
      <c r="F164" t="inlineStr">
        <is>
          <t>Deshaun Watson | Pass Yds</t>
        </is>
      </c>
      <c r="G164" t="n">
        <v>197.5</v>
      </c>
    </row>
    <row r="165">
      <c r="F165" t="inlineStr">
        <is>
          <t>Deshaun Watson | Pass Yds</t>
        </is>
      </c>
      <c r="G165" t="n">
        <v>207.5</v>
      </c>
    </row>
    <row r="166">
      <c r="F166" t="inlineStr">
        <is>
          <t>Deshaun Watson | Pass Yds</t>
        </is>
      </c>
      <c r="G166" t="n">
        <v>217.5</v>
      </c>
    </row>
    <row r="167">
      <c r="F167" t="inlineStr">
        <is>
          <t>Deshaun Watson | Pass Yds</t>
        </is>
      </c>
      <c r="G167" t="n">
        <v>227.5</v>
      </c>
    </row>
    <row r="168">
      <c r="F168" t="inlineStr">
        <is>
          <t>Deshaun Watson | Pass Yds</t>
        </is>
      </c>
      <c r="G168" t="n">
        <v>237.5</v>
      </c>
    </row>
    <row r="169">
      <c r="F169" t="inlineStr">
        <is>
          <t>Deshaun Watson | Pass Yds</t>
        </is>
      </c>
      <c r="G169" t="n">
        <v>247.5</v>
      </c>
    </row>
    <row r="170">
      <c r="F170" t="inlineStr">
        <is>
          <t>Deshaun Watson | Pass Yds</t>
        </is>
      </c>
      <c r="G170" t="n">
        <v>257.5</v>
      </c>
    </row>
    <row r="171">
      <c r="F171" t="inlineStr">
        <is>
          <t>Deshaun Watson | Pass Yds</t>
        </is>
      </c>
      <c r="G171" t="n">
        <v>267.5</v>
      </c>
    </row>
    <row r="172">
      <c r="F172" t="inlineStr">
        <is>
          <t>Deshaun Watson | Pass Yds</t>
        </is>
      </c>
      <c r="G172" t="n">
        <v>277.5</v>
      </c>
    </row>
    <row r="173">
      <c r="F173" t="inlineStr">
        <is>
          <t>Deshaun Watson | Pass Yds</t>
        </is>
      </c>
      <c r="G173" t="n">
        <v>287.5</v>
      </c>
    </row>
    <row r="174">
      <c r="F174" t="inlineStr">
        <is>
          <t>Deshaun Watson | Pass TDs</t>
        </is>
      </c>
      <c r="G174" t="n">
        <v>0.5</v>
      </c>
    </row>
    <row r="175">
      <c r="F175" t="inlineStr">
        <is>
          <t>Deshaun Watson | Pass TDs</t>
        </is>
      </c>
      <c r="G175" t="n">
        <v>1.5</v>
      </c>
    </row>
    <row r="176">
      <c r="F176" t="inlineStr">
        <is>
          <t>Deshaun Watson | Pass TDs</t>
        </is>
      </c>
      <c r="G176" t="n">
        <v>2.5</v>
      </c>
    </row>
    <row r="177">
      <c r="F177" t="inlineStr">
        <is>
          <t>Deshaun Watson | Pass TDs</t>
        </is>
      </c>
      <c r="G177" t="n">
        <v>3.5</v>
      </c>
    </row>
    <row r="178">
      <c r="F178" t="inlineStr">
        <is>
          <t>Deshaun Watson | Rush Yds</t>
        </is>
      </c>
      <c r="G178" t="n">
        <v>4.5</v>
      </c>
    </row>
    <row r="179">
      <c r="F179" t="inlineStr">
        <is>
          <t>Deshaun Watson | Rush Yds</t>
        </is>
      </c>
      <c r="G179" t="n">
        <v>9.5</v>
      </c>
    </row>
    <row r="180">
      <c r="F180" t="inlineStr">
        <is>
          <t>Deshaun Watson | Rush Yds</t>
        </is>
      </c>
      <c r="G180" t="n">
        <v>14.5</v>
      </c>
    </row>
    <row r="181">
      <c r="F181" t="inlineStr">
        <is>
          <t>Deshaun Watson | Rush Yds</t>
        </is>
      </c>
      <c r="G181" t="n">
        <v>19.5</v>
      </c>
    </row>
    <row r="182">
      <c r="F182" t="inlineStr">
        <is>
          <t>Deshaun Watson | Rush Yds</t>
        </is>
      </c>
      <c r="G182" t="n">
        <v>24.5</v>
      </c>
    </row>
    <row r="183">
      <c r="F183" t="inlineStr">
        <is>
          <t>Deshaun Watson | Rush Yds</t>
        </is>
      </c>
      <c r="G183" t="n">
        <v>29.5</v>
      </c>
    </row>
    <row r="184">
      <c r="F184" t="inlineStr">
        <is>
          <t>Deshaun Watson | Rush Yds</t>
        </is>
      </c>
      <c r="G184" t="n">
        <v>34.5</v>
      </c>
    </row>
    <row r="185">
      <c r="F185" t="inlineStr">
        <is>
          <t>Deshaun Watson | Rush Yds</t>
        </is>
      </c>
      <c r="G185" t="n">
        <v>39.5</v>
      </c>
    </row>
    <row r="186">
      <c r="F186" t="inlineStr">
        <is>
          <t>Deshaun Watson | Rush Yds</t>
        </is>
      </c>
      <c r="G186" t="n">
        <v>44.5</v>
      </c>
    </row>
    <row r="187">
      <c r="F187" t="inlineStr">
        <is>
          <t>Deshaun Watson | Rush Yds</t>
        </is>
      </c>
      <c r="G187" t="n">
        <v>49.5</v>
      </c>
    </row>
    <row r="188">
      <c r="F188" t="inlineStr">
        <is>
          <t>Deshaun Watson | Rush Yds</t>
        </is>
      </c>
      <c r="G188" t="n">
        <v>54.5</v>
      </c>
    </row>
    <row r="189">
      <c r="F189" t="inlineStr">
        <is>
          <t>Deshaun Watson | Rush Yds</t>
        </is>
      </c>
      <c r="G189" t="n">
        <v>59.5</v>
      </c>
    </row>
    <row r="190">
      <c r="F190" t="inlineStr">
        <is>
          <t>Deshaun Watson | Rush Yds</t>
        </is>
      </c>
      <c r="G190" t="n">
        <v>64.5</v>
      </c>
    </row>
    <row r="191">
      <c r="F191" t="inlineStr">
        <is>
          <t>Deshaun Watson | Rush Yds</t>
        </is>
      </c>
      <c r="G191" t="n">
        <v>69.5</v>
      </c>
    </row>
    <row r="192">
      <c r="F192" t="inlineStr">
        <is>
          <t>Deshaun Watson | Rush Yds</t>
        </is>
      </c>
      <c r="G192" t="n">
        <v>74.5</v>
      </c>
    </row>
    <row r="193">
      <c r="F193" t="inlineStr">
        <is>
          <t>Deshaun Watson | Rush Yds</t>
        </is>
      </c>
      <c r="G193" t="n">
        <v>79.5</v>
      </c>
    </row>
    <row r="194">
      <c r="F194" t="inlineStr">
        <is>
          <t>Deshaun Watson | Anytime TDs</t>
        </is>
      </c>
      <c r="G194" t="n">
        <v>0.5</v>
      </c>
    </row>
    <row r="195">
      <c r="F195" t="inlineStr">
        <is>
          <t>Eli Heidenreich | Anytime TDs</t>
        </is>
      </c>
      <c r="G195" t="n">
        <v>0.5</v>
      </c>
    </row>
    <row r="196">
      <c r="F196" t="inlineStr">
        <is>
          <t>Germie Bernard | Rec Yds</t>
        </is>
      </c>
      <c r="G196" t="n">
        <v>0.5</v>
      </c>
    </row>
    <row r="197">
      <c r="F197" t="inlineStr">
        <is>
          <t>Germie Bernard | Rec Yds</t>
        </is>
      </c>
      <c r="G197" t="n">
        <v>2.5</v>
      </c>
    </row>
    <row r="198">
      <c r="F198" t="inlineStr">
        <is>
          <t>Germie Bernard | Rec Yds</t>
        </is>
      </c>
      <c r="G198" t="n">
        <v>4.5</v>
      </c>
    </row>
    <row r="199">
      <c r="F199" t="inlineStr">
        <is>
          <t>Germie Bernard | Rec Yds</t>
        </is>
      </c>
      <c r="G199" t="n">
        <v>6.5</v>
      </c>
    </row>
    <row r="200">
      <c r="F200" t="inlineStr">
        <is>
          <t>Germie Bernard | Rec Yds</t>
        </is>
      </c>
      <c r="G200" t="n">
        <v>8.5</v>
      </c>
    </row>
    <row r="201">
      <c r="F201" t="inlineStr">
        <is>
          <t>Germie Bernard | Rec Yds</t>
        </is>
      </c>
      <c r="G201" t="n">
        <v>10.5</v>
      </c>
    </row>
    <row r="202">
      <c r="F202" t="inlineStr">
        <is>
          <t>Germie Bernard | Rec Yds</t>
        </is>
      </c>
      <c r="G202" t="n">
        <v>12.5</v>
      </c>
    </row>
    <row r="203">
      <c r="F203" t="inlineStr">
        <is>
          <t>Germie Bernard | Rec Yds</t>
        </is>
      </c>
      <c r="G203" t="n">
        <v>14.5</v>
      </c>
    </row>
    <row r="204">
      <c r="F204" t="inlineStr">
        <is>
          <t>Germie Bernard | Rec Yds</t>
        </is>
      </c>
      <c r="G204" t="n">
        <v>16.5</v>
      </c>
    </row>
    <row r="205">
      <c r="F205" t="inlineStr">
        <is>
          <t>Germie Bernard | Rec Yds</t>
        </is>
      </c>
      <c r="G205" t="n">
        <v>18.5</v>
      </c>
    </row>
    <row r="206">
      <c r="F206" t="inlineStr">
        <is>
          <t>Germie Bernard | Rec Yds</t>
        </is>
      </c>
      <c r="G206" t="n">
        <v>20.5</v>
      </c>
    </row>
    <row r="207">
      <c r="F207" t="inlineStr">
        <is>
          <t>Germie Bernard | Rec Yds</t>
        </is>
      </c>
      <c r="G207" t="n">
        <v>22.5</v>
      </c>
    </row>
    <row r="208">
      <c r="F208" t="inlineStr">
        <is>
          <t>Germie Bernard | Rec Yds</t>
        </is>
      </c>
      <c r="G208" t="n">
        <v>24.5</v>
      </c>
    </row>
    <row r="209">
      <c r="F209" t="inlineStr">
        <is>
          <t>Germie Bernard | Anytime TDs</t>
        </is>
      </c>
      <c r="G209" t="n">
        <v>0.5</v>
      </c>
    </row>
    <row r="210">
      <c r="F210" t="inlineStr">
        <is>
          <t>Harold Fannin Jr. | Rec Yds</t>
        </is>
      </c>
      <c r="G210" t="n">
        <v>5.5</v>
      </c>
    </row>
    <row r="211">
      <c r="F211" t="inlineStr">
        <is>
          <t>Harold Fannin Jr. | Rec Yds</t>
        </is>
      </c>
      <c r="G211" t="n">
        <v>10.5</v>
      </c>
    </row>
    <row r="212">
      <c r="F212" t="inlineStr">
        <is>
          <t>Harold Fannin Jr. | Rec Yds</t>
        </is>
      </c>
      <c r="G212" t="n">
        <v>15.5</v>
      </c>
    </row>
    <row r="213">
      <c r="F213" t="inlineStr">
        <is>
          <t>Harold Fannin Jr. | Rec Yds</t>
        </is>
      </c>
      <c r="G213" t="n">
        <v>20.5</v>
      </c>
    </row>
    <row r="214">
      <c r="F214" t="inlineStr">
        <is>
          <t>Harold Fannin Jr. | Rec Yds</t>
        </is>
      </c>
      <c r="G214" t="n">
        <v>25.5</v>
      </c>
    </row>
    <row r="215">
      <c r="F215" t="inlineStr">
        <is>
          <t>Harold Fannin Jr. | Rec Yds</t>
        </is>
      </c>
      <c r="G215" t="n">
        <v>30.5</v>
      </c>
    </row>
    <row r="216">
      <c r="F216" t="inlineStr">
        <is>
          <t>Harold Fannin Jr. | Rec Yds</t>
        </is>
      </c>
      <c r="G216" t="n">
        <v>35.5</v>
      </c>
    </row>
    <row r="217">
      <c r="F217" t="inlineStr">
        <is>
          <t>Harold Fannin Jr. | Rec Yds</t>
        </is>
      </c>
      <c r="G217" t="n">
        <v>40.5</v>
      </c>
    </row>
    <row r="218">
      <c r="F218" t="inlineStr">
        <is>
          <t>Harold Fannin Jr. | Rec Yds</t>
        </is>
      </c>
      <c r="G218" t="n">
        <v>45.5</v>
      </c>
    </row>
    <row r="219">
      <c r="F219" t="inlineStr">
        <is>
          <t>Harold Fannin Jr. | Rec Yds</t>
        </is>
      </c>
      <c r="G219" t="n">
        <v>50.5</v>
      </c>
    </row>
    <row r="220">
      <c r="F220" t="inlineStr">
        <is>
          <t>Harold Fannin Jr. | Rec Yds</t>
        </is>
      </c>
      <c r="G220" t="n">
        <v>55.5</v>
      </c>
    </row>
    <row r="221">
      <c r="F221" t="inlineStr">
        <is>
          <t>Harold Fannin Jr. | Rec Yds</t>
        </is>
      </c>
      <c r="G221" t="n">
        <v>60.5</v>
      </c>
    </row>
    <row r="222">
      <c r="F222" t="inlineStr">
        <is>
          <t>Harold Fannin Jr. | Rec Yds</t>
        </is>
      </c>
      <c r="G222" t="n">
        <v>65.5</v>
      </c>
    </row>
    <row r="223">
      <c r="F223" t="inlineStr">
        <is>
          <t>Harold Fannin Jr. | Rec Yds</t>
        </is>
      </c>
      <c r="G223" t="n">
        <v>70.5</v>
      </c>
    </row>
    <row r="224">
      <c r="F224" t="inlineStr">
        <is>
          <t>Harold Fannin Jr. | Rec Yds</t>
        </is>
      </c>
      <c r="G224" t="n">
        <v>75.5</v>
      </c>
    </row>
    <row r="225">
      <c r="F225" t="inlineStr">
        <is>
          <t>Harold Fannin Jr. | Rec Yds</t>
        </is>
      </c>
      <c r="G225" t="n">
        <v>80.5</v>
      </c>
    </row>
    <row r="226">
      <c r="F226" t="inlineStr">
        <is>
          <t>Harold Fannin Jr. | Rec Yds</t>
        </is>
      </c>
      <c r="G226" t="n">
        <v>85.5</v>
      </c>
    </row>
    <row r="227">
      <c r="F227" t="inlineStr">
        <is>
          <t>Harold Fannin Jr. | Rec Yds</t>
        </is>
      </c>
      <c r="G227" t="n">
        <v>90.5</v>
      </c>
    </row>
    <row r="228">
      <c r="F228" t="inlineStr">
        <is>
          <t>Harold Fannin Jr. | Receptions</t>
        </is>
      </c>
      <c r="G228" t="n">
        <v>0.5</v>
      </c>
    </row>
    <row r="229">
      <c r="F229" t="inlineStr">
        <is>
          <t>Harold Fannin Jr. | Receptions</t>
        </is>
      </c>
      <c r="G229" t="n">
        <v>1.5</v>
      </c>
    </row>
    <row r="230">
      <c r="F230" t="inlineStr">
        <is>
          <t>Harold Fannin Jr. | Receptions</t>
        </is>
      </c>
      <c r="G230" t="n">
        <v>2.5</v>
      </c>
    </row>
    <row r="231">
      <c r="F231" t="inlineStr">
        <is>
          <t>Harold Fannin Jr. | Receptions</t>
        </is>
      </c>
      <c r="G231" t="n">
        <v>3.5</v>
      </c>
    </row>
    <row r="232">
      <c r="F232" t="inlineStr">
        <is>
          <t>Harold Fannin Jr. | Receptions</t>
        </is>
      </c>
      <c r="G232" t="n">
        <v>4.5</v>
      </c>
    </row>
    <row r="233">
      <c r="F233" t="inlineStr">
        <is>
          <t>Harold Fannin Jr. | Receptions</t>
        </is>
      </c>
      <c r="G233" t="n">
        <v>5.5</v>
      </c>
    </row>
    <row r="234">
      <c r="F234" t="inlineStr">
        <is>
          <t>Harold Fannin Jr. | Receptions</t>
        </is>
      </c>
      <c r="G234" t="n">
        <v>6.5</v>
      </c>
    </row>
    <row r="235">
      <c r="F235" t="inlineStr">
        <is>
          <t>Harold Fannin Jr. | Receptions</t>
        </is>
      </c>
      <c r="G235" t="n">
        <v>7.5</v>
      </c>
    </row>
    <row r="236">
      <c r="F236" t="inlineStr">
        <is>
          <t>Harold Fannin Jr. | Receptions</t>
        </is>
      </c>
      <c r="G236" t="n">
        <v>8.5</v>
      </c>
    </row>
    <row r="237">
      <c r="F237" t="inlineStr">
        <is>
          <t>Harold Fannin Jr. | Receptions</t>
        </is>
      </c>
      <c r="G237" t="n">
        <v>9.5</v>
      </c>
    </row>
    <row r="238">
      <c r="F238" t="inlineStr">
        <is>
          <t>Harold Fannin Jr. | Receptions</t>
        </is>
      </c>
      <c r="G238" t="n">
        <v>10.5</v>
      </c>
    </row>
    <row r="239">
      <c r="F239" t="inlineStr">
        <is>
          <t>Harold Fannin Jr. | Anytime TDs</t>
        </is>
      </c>
      <c r="G239" t="n">
        <v>0.5</v>
      </c>
    </row>
    <row r="240">
      <c r="F240" t="inlineStr">
        <is>
          <t>Isaiah Bond | Anytime TDs</t>
        </is>
      </c>
      <c r="G240" t="n">
        <v>0.5</v>
      </c>
    </row>
    <row r="241">
      <c r="F241" t="inlineStr">
        <is>
          <t>Jaleel McLaughlin | Anytime TDs</t>
        </is>
      </c>
      <c r="G241" t="n">
        <v>0.5</v>
      </c>
    </row>
    <row r="242">
      <c r="F242" t="inlineStr">
        <is>
          <t>Jaylen Warren | Rush Yds</t>
        </is>
      </c>
      <c r="G242" t="n">
        <v>23.5</v>
      </c>
    </row>
    <row r="243">
      <c r="F243" t="inlineStr">
        <is>
          <t>Jaylen Warren | Rush Yds</t>
        </is>
      </c>
      <c r="G243" t="n">
        <v>28.5</v>
      </c>
    </row>
    <row r="244">
      <c r="F244" t="inlineStr">
        <is>
          <t>Jaylen Warren | Rush Yds</t>
        </is>
      </c>
      <c r="G244" t="n">
        <v>33.5</v>
      </c>
    </row>
    <row r="245">
      <c r="F245" t="inlineStr">
        <is>
          <t>Jaylen Warren | Rush Yds</t>
        </is>
      </c>
      <c r="G245" t="n">
        <v>38.5</v>
      </c>
    </row>
    <row r="246">
      <c r="F246" t="inlineStr">
        <is>
          <t>Jaylen Warren | Rush Yds</t>
        </is>
      </c>
      <c r="G246" t="n">
        <v>43.5</v>
      </c>
    </row>
    <row r="247">
      <c r="F247" t="inlineStr">
        <is>
          <t>Jaylen Warren | Rush Yds</t>
        </is>
      </c>
      <c r="G247" t="n">
        <v>48.5</v>
      </c>
    </row>
    <row r="248">
      <c r="F248" t="inlineStr">
        <is>
          <t>Jaylen Warren | Rush Yds</t>
        </is>
      </c>
      <c r="G248" t="n">
        <v>53.5</v>
      </c>
    </row>
    <row r="249">
      <c r="F249" t="inlineStr">
        <is>
          <t>Jaylen Warren | Rush Yds</t>
        </is>
      </c>
      <c r="G249" t="n">
        <v>58.5</v>
      </c>
    </row>
    <row r="250">
      <c r="F250" t="inlineStr">
        <is>
          <t>Jaylen Warren | Rush Yds</t>
        </is>
      </c>
      <c r="G250" t="n">
        <v>63.5</v>
      </c>
    </row>
    <row r="251">
      <c r="F251" t="inlineStr">
        <is>
          <t>Jaylen Warren | Rush Yds</t>
        </is>
      </c>
      <c r="G251" t="n">
        <v>68.5</v>
      </c>
    </row>
    <row r="252">
      <c r="F252" t="inlineStr">
        <is>
          <t>Jaylen Warren | Rush Yds</t>
        </is>
      </c>
      <c r="G252" t="n">
        <v>73.5</v>
      </c>
    </row>
    <row r="253">
      <c r="F253" t="inlineStr">
        <is>
          <t>Jaylen Warren | Rush Yds</t>
        </is>
      </c>
      <c r="G253" t="n">
        <v>78.5</v>
      </c>
    </row>
    <row r="254">
      <c r="F254" t="inlineStr">
        <is>
          <t>Jaylen Warren | Rush Yds</t>
        </is>
      </c>
      <c r="G254" t="n">
        <v>83.5</v>
      </c>
    </row>
    <row r="255">
      <c r="F255" t="inlineStr">
        <is>
          <t>Jaylen Warren | Rush Yds</t>
        </is>
      </c>
      <c r="G255" t="n">
        <v>88.5</v>
      </c>
    </row>
    <row r="256">
      <c r="F256" t="inlineStr">
        <is>
          <t>Jaylen Warren | Rush Yds</t>
        </is>
      </c>
      <c r="G256" t="n">
        <v>93.5</v>
      </c>
    </row>
    <row r="257">
      <c r="F257" t="inlineStr">
        <is>
          <t>Jaylen Warren | Rush Yds</t>
        </is>
      </c>
      <c r="G257" t="n">
        <v>98.5</v>
      </c>
    </row>
    <row r="258">
      <c r="F258" t="inlineStr">
        <is>
          <t>Jaylen Warren | Rush Yds</t>
        </is>
      </c>
      <c r="G258" t="n">
        <v>103.5</v>
      </c>
    </row>
    <row r="259">
      <c r="F259" t="inlineStr">
        <is>
          <t>Jaylen Warren | Rush Yds</t>
        </is>
      </c>
      <c r="G259" t="n">
        <v>108.5</v>
      </c>
    </row>
    <row r="260">
      <c r="F260" t="inlineStr">
        <is>
          <t>Jaylen Warren | Rush Yds</t>
        </is>
      </c>
      <c r="G260" t="n">
        <v>113.5</v>
      </c>
    </row>
    <row r="261">
      <c r="F261" t="inlineStr">
        <is>
          <t>Jaylen Warren | Rush Yds</t>
        </is>
      </c>
      <c r="G261" t="n">
        <v>118.5</v>
      </c>
    </row>
    <row r="262">
      <c r="F262" t="inlineStr">
        <is>
          <t>Jaylen Warren | Rush Yds</t>
        </is>
      </c>
      <c r="G262" t="n">
        <v>123.5</v>
      </c>
    </row>
    <row r="263">
      <c r="F263" t="inlineStr">
        <is>
          <t>Jaylen Warren | Rec Yds</t>
        </is>
      </c>
      <c r="G263" t="n">
        <v>2.5</v>
      </c>
    </row>
    <row r="264">
      <c r="F264" t="inlineStr">
        <is>
          <t>Jaylen Warren | Rec Yds</t>
        </is>
      </c>
      <c r="G264" t="n">
        <v>4.5</v>
      </c>
    </row>
    <row r="265">
      <c r="F265" t="inlineStr">
        <is>
          <t>Jaylen Warren | Rec Yds</t>
        </is>
      </c>
      <c r="G265" t="n">
        <v>6.5</v>
      </c>
    </row>
    <row r="266">
      <c r="F266" t="inlineStr">
        <is>
          <t>Jaylen Warren | Rec Yds</t>
        </is>
      </c>
      <c r="G266" t="n">
        <v>8.5</v>
      </c>
    </row>
    <row r="267">
      <c r="F267" t="inlineStr">
        <is>
          <t>Jaylen Warren | Rec Yds</t>
        </is>
      </c>
      <c r="G267" t="n">
        <v>10.5</v>
      </c>
    </row>
    <row r="268">
      <c r="F268" t="inlineStr">
        <is>
          <t>Jaylen Warren | Rec Yds</t>
        </is>
      </c>
      <c r="G268" t="n">
        <v>12.5</v>
      </c>
    </row>
    <row r="269">
      <c r="F269" t="inlineStr">
        <is>
          <t>Jaylen Warren | Rec Yds</t>
        </is>
      </c>
      <c r="G269" t="n">
        <v>14.5</v>
      </c>
    </row>
    <row r="270">
      <c r="F270" t="inlineStr">
        <is>
          <t>Jaylen Warren | Rec Yds</t>
        </is>
      </c>
      <c r="G270" t="n">
        <v>16.5</v>
      </c>
    </row>
    <row r="271">
      <c r="F271" t="inlineStr">
        <is>
          <t>Jaylen Warren | Rec Yds</t>
        </is>
      </c>
      <c r="G271" t="n">
        <v>18.5</v>
      </c>
    </row>
    <row r="272">
      <c r="F272" t="inlineStr">
        <is>
          <t>Jaylen Warren | Rec Yds</t>
        </is>
      </c>
      <c r="G272" t="n">
        <v>20.5</v>
      </c>
    </row>
    <row r="273">
      <c r="F273" t="inlineStr">
        <is>
          <t>Jaylen Warren | Rec Yds</t>
        </is>
      </c>
      <c r="G273" t="n">
        <v>22.5</v>
      </c>
    </row>
    <row r="274">
      <c r="F274" t="inlineStr">
        <is>
          <t>Jaylen Warren | Rec Yds</t>
        </is>
      </c>
      <c r="G274" t="n">
        <v>24.5</v>
      </c>
    </row>
    <row r="275">
      <c r="F275" t="inlineStr">
        <is>
          <t>Jaylen Warren | Rec Yds</t>
        </is>
      </c>
      <c r="G275" t="n">
        <v>26.5</v>
      </c>
    </row>
    <row r="276">
      <c r="F276" t="inlineStr">
        <is>
          <t>Jaylen Warren | Rec Yds</t>
        </is>
      </c>
      <c r="G276" t="n">
        <v>28.5</v>
      </c>
    </row>
    <row r="277">
      <c r="F277" t="inlineStr">
        <is>
          <t>Jaylen Warren | Rec Yds</t>
        </is>
      </c>
      <c r="G277" t="n">
        <v>30.5</v>
      </c>
    </row>
    <row r="278">
      <c r="F278" t="inlineStr">
        <is>
          <t>Jaylen Warren | Rec Yds</t>
        </is>
      </c>
      <c r="G278" t="n">
        <v>32.5</v>
      </c>
    </row>
    <row r="279">
      <c r="F279" t="inlineStr">
        <is>
          <t>Jaylen Warren | Rec Yds</t>
        </is>
      </c>
      <c r="G279" t="n">
        <v>34.5</v>
      </c>
    </row>
    <row r="280">
      <c r="F280" t="inlineStr">
        <is>
          <t>Jaylen Warren | Rec Yds</t>
        </is>
      </c>
      <c r="G280" t="n">
        <v>36.5</v>
      </c>
    </row>
    <row r="281">
      <c r="F281" t="inlineStr">
        <is>
          <t>Jaylen Warren | Rec Yds</t>
        </is>
      </c>
      <c r="G281" t="n">
        <v>38.5</v>
      </c>
    </row>
    <row r="282">
      <c r="F282" t="inlineStr">
        <is>
          <t>Jaylen Warren | Rec Yds</t>
        </is>
      </c>
      <c r="G282" t="n">
        <v>40.5</v>
      </c>
    </row>
    <row r="283">
      <c r="F283" t="inlineStr">
        <is>
          <t>Jaylen Warren | Rec Yds</t>
        </is>
      </c>
      <c r="G283" t="n">
        <v>42.5</v>
      </c>
    </row>
    <row r="284">
      <c r="F284" t="inlineStr">
        <is>
          <t>Jaylen Warren | Receptions</t>
        </is>
      </c>
      <c r="G284" t="n">
        <v>0.5</v>
      </c>
    </row>
    <row r="285">
      <c r="F285" t="inlineStr">
        <is>
          <t>Jaylen Warren | Receptions</t>
        </is>
      </c>
      <c r="G285" t="n">
        <v>1.5</v>
      </c>
    </row>
    <row r="286">
      <c r="F286" t="inlineStr">
        <is>
          <t>Jaylen Warren | Receptions</t>
        </is>
      </c>
      <c r="G286" t="n">
        <v>2.5</v>
      </c>
    </row>
    <row r="287">
      <c r="F287" t="inlineStr">
        <is>
          <t>Jaylen Warren | Receptions</t>
        </is>
      </c>
      <c r="G287" t="n">
        <v>3.5</v>
      </c>
    </row>
    <row r="288">
      <c r="F288" t="inlineStr">
        <is>
          <t>Jaylen Warren | Receptions</t>
        </is>
      </c>
      <c r="G288" t="n">
        <v>4.5</v>
      </c>
    </row>
    <row r="289">
      <c r="F289" t="inlineStr">
        <is>
          <t>Jaylen Warren | Receptions</t>
        </is>
      </c>
      <c r="G289" t="n">
        <v>5.5</v>
      </c>
    </row>
    <row r="290">
      <c r="F290" t="inlineStr">
        <is>
          <t>Jaylen Warren | Receptions</t>
        </is>
      </c>
      <c r="G290" t="n">
        <v>6.5</v>
      </c>
    </row>
    <row r="291">
      <c r="F291" t="inlineStr">
        <is>
          <t>Jaylen Warren | Receptions</t>
        </is>
      </c>
      <c r="G291" t="n">
        <v>7.5</v>
      </c>
    </row>
    <row r="292">
      <c r="F292" t="inlineStr">
        <is>
          <t>Jaylen Warren | Receptions</t>
        </is>
      </c>
      <c r="G292" t="n">
        <v>8.5</v>
      </c>
    </row>
    <row r="293">
      <c r="F293" t="inlineStr">
        <is>
          <t>Jaylen Warren | Rush+Rec Yds</t>
        </is>
      </c>
      <c r="G293" t="n">
        <v>49.5</v>
      </c>
    </row>
    <row r="294">
      <c r="F294" t="inlineStr">
        <is>
          <t>Jaylen Warren | Rush+Rec Yds</t>
        </is>
      </c>
      <c r="G294" t="n">
        <v>54.5</v>
      </c>
    </row>
    <row r="295">
      <c r="F295" t="inlineStr">
        <is>
          <t>Jaylen Warren | Rush+Rec Yds</t>
        </is>
      </c>
      <c r="G295" t="n">
        <v>59.5</v>
      </c>
    </row>
    <row r="296">
      <c r="F296" t="inlineStr">
        <is>
          <t>Jaylen Warren | Rush+Rec Yds</t>
        </is>
      </c>
      <c r="G296" t="n">
        <v>64.5</v>
      </c>
    </row>
    <row r="297">
      <c r="F297" t="inlineStr">
        <is>
          <t>Jaylen Warren | Rush+Rec Yds</t>
        </is>
      </c>
      <c r="G297" t="n">
        <v>69.5</v>
      </c>
    </row>
    <row r="298">
      <c r="F298" t="inlineStr">
        <is>
          <t>Jaylen Warren | Rush+Rec Yds</t>
        </is>
      </c>
      <c r="G298" t="n">
        <v>74.5</v>
      </c>
    </row>
    <row r="299">
      <c r="F299" t="inlineStr">
        <is>
          <t>Jaylen Warren | Rush+Rec Yds</t>
        </is>
      </c>
      <c r="G299" t="n">
        <v>79.5</v>
      </c>
    </row>
    <row r="300">
      <c r="F300" t="inlineStr">
        <is>
          <t>Jaylen Warren | Rush+Rec Yds</t>
        </is>
      </c>
      <c r="G300" t="n">
        <v>84.5</v>
      </c>
    </row>
    <row r="301">
      <c r="F301" t="inlineStr">
        <is>
          <t>Jaylen Warren | Rush+Rec Yds</t>
        </is>
      </c>
      <c r="G301" t="n">
        <v>89.5</v>
      </c>
    </row>
    <row r="302">
      <c r="F302" t="inlineStr">
        <is>
          <t>Jaylen Warren | Rush+Rec Yds</t>
        </is>
      </c>
      <c r="G302" t="n">
        <v>94.5</v>
      </c>
    </row>
    <row r="303">
      <c r="F303" t="inlineStr">
        <is>
          <t>Jaylen Warren | Rush+Rec Yds</t>
        </is>
      </c>
      <c r="G303" t="n">
        <v>99.5</v>
      </c>
    </row>
    <row r="304">
      <c r="F304" t="inlineStr">
        <is>
          <t>Jaylen Warren | Rush+Rec Yds</t>
        </is>
      </c>
      <c r="G304" t="n">
        <v>104.5</v>
      </c>
    </row>
    <row r="305">
      <c r="F305" t="inlineStr">
        <is>
          <t>Jaylen Warren | Rush+Rec Yds</t>
        </is>
      </c>
      <c r="G305" t="n">
        <v>109.5</v>
      </c>
    </row>
    <row r="306">
      <c r="F306" t="inlineStr">
        <is>
          <t>Jaylen Warren | Rush+Rec Yds</t>
        </is>
      </c>
      <c r="G306" t="n">
        <v>114.5</v>
      </c>
    </row>
    <row r="307">
      <c r="F307" t="inlineStr">
        <is>
          <t>Jaylen Warren | Rush+Rec Yds</t>
        </is>
      </c>
      <c r="G307" t="n">
        <v>119.5</v>
      </c>
    </row>
    <row r="308">
      <c r="F308" t="inlineStr">
        <is>
          <t>Jaylen Warren | Rush+Rec Yds</t>
        </is>
      </c>
      <c r="G308" t="n">
        <v>124.5</v>
      </c>
    </row>
    <row r="309">
      <c r="F309" t="inlineStr">
        <is>
          <t>Jaylen Warren | Rush+Rec Yds</t>
        </is>
      </c>
      <c r="G309" t="n">
        <v>129.5</v>
      </c>
    </row>
    <row r="310">
      <c r="F310" t="inlineStr">
        <is>
          <t>Jaylen Warren | Rush+Rec Yds</t>
        </is>
      </c>
      <c r="G310" t="n">
        <v>134.5</v>
      </c>
    </row>
    <row r="311">
      <c r="F311" t="inlineStr">
        <is>
          <t>Jaylen Warren | Rush+Rec Yds</t>
        </is>
      </c>
      <c r="G311" t="n">
        <v>139.5</v>
      </c>
    </row>
    <row r="312">
      <c r="F312" t="inlineStr">
        <is>
          <t>Jaylen Warren | Rush+Rec Yds</t>
        </is>
      </c>
      <c r="G312" t="n">
        <v>144.5</v>
      </c>
    </row>
    <row r="313">
      <c r="F313" t="inlineStr">
        <is>
          <t>Jaylen Warren | Rush+Rec Yds</t>
        </is>
      </c>
      <c r="G313" t="n">
        <v>149.5</v>
      </c>
    </row>
    <row r="314">
      <c r="F314" t="inlineStr">
        <is>
          <t>Jaylen Warren | Anytime TDs</t>
        </is>
      </c>
      <c r="G314" t="n">
        <v>0.5</v>
      </c>
    </row>
    <row r="315">
      <c r="F315" t="inlineStr">
        <is>
          <t>Jaylen Warren | Anytime TDs</t>
        </is>
      </c>
      <c r="G315" t="n">
        <v>2.5</v>
      </c>
    </row>
    <row r="316">
      <c r="F316" t="inlineStr">
        <is>
          <t>Jerry Jeudy | Rec Yds</t>
        </is>
      </c>
      <c r="G316" t="n">
        <v>1.5</v>
      </c>
    </row>
    <row r="317">
      <c r="F317" t="inlineStr">
        <is>
          <t>Jerry Jeudy | Rec Yds</t>
        </is>
      </c>
      <c r="G317" t="n">
        <v>3.5</v>
      </c>
    </row>
    <row r="318">
      <c r="F318" t="inlineStr">
        <is>
          <t>Jerry Jeudy | Rec Yds</t>
        </is>
      </c>
      <c r="G318" t="n">
        <v>5.5</v>
      </c>
    </row>
    <row r="319">
      <c r="F319" t="inlineStr">
        <is>
          <t>Jerry Jeudy | Rec Yds</t>
        </is>
      </c>
      <c r="G319" t="n">
        <v>7.5</v>
      </c>
    </row>
    <row r="320">
      <c r="F320" t="inlineStr">
        <is>
          <t>Jerry Jeudy | Rec Yds</t>
        </is>
      </c>
      <c r="G320" t="n">
        <v>9.5</v>
      </c>
    </row>
    <row r="321">
      <c r="F321" t="inlineStr">
        <is>
          <t>Jerry Jeudy | Rec Yds</t>
        </is>
      </c>
      <c r="G321" t="n">
        <v>11.5</v>
      </c>
    </row>
    <row r="322">
      <c r="F322" t="inlineStr">
        <is>
          <t>Jerry Jeudy | Rec Yds</t>
        </is>
      </c>
      <c r="G322" t="n">
        <v>13.5</v>
      </c>
    </row>
    <row r="323">
      <c r="F323" t="inlineStr">
        <is>
          <t>Jerry Jeudy | Rec Yds</t>
        </is>
      </c>
      <c r="G323" t="n">
        <v>15.5</v>
      </c>
    </row>
    <row r="324">
      <c r="F324" t="inlineStr">
        <is>
          <t>Jerry Jeudy | Rec Yds</t>
        </is>
      </c>
      <c r="G324" t="n">
        <v>17.5</v>
      </c>
    </row>
    <row r="325">
      <c r="F325" t="inlineStr">
        <is>
          <t>Jerry Jeudy | Rec Yds</t>
        </is>
      </c>
      <c r="G325" t="n">
        <v>19.5</v>
      </c>
    </row>
    <row r="326">
      <c r="F326" t="inlineStr">
        <is>
          <t>Jerry Jeudy | Rec Yds</t>
        </is>
      </c>
      <c r="G326" t="n">
        <v>21.5</v>
      </c>
    </row>
    <row r="327">
      <c r="F327" t="inlineStr">
        <is>
          <t>Jerry Jeudy | Rec Yds</t>
        </is>
      </c>
      <c r="G327" t="n">
        <v>23.5</v>
      </c>
    </row>
    <row r="328">
      <c r="F328" t="inlineStr">
        <is>
          <t>Jerry Jeudy | Rec Yds</t>
        </is>
      </c>
      <c r="G328" t="n">
        <v>25.5</v>
      </c>
    </row>
    <row r="329">
      <c r="F329" t="inlineStr">
        <is>
          <t>Jerry Jeudy | Rec Yds</t>
        </is>
      </c>
      <c r="G329" t="n">
        <v>27.5</v>
      </c>
    </row>
    <row r="330">
      <c r="F330" t="inlineStr">
        <is>
          <t>Jerry Jeudy | Rec Yds</t>
        </is>
      </c>
      <c r="G330" t="n">
        <v>29.5</v>
      </c>
    </row>
    <row r="331">
      <c r="F331" t="inlineStr">
        <is>
          <t>Jerry Jeudy | Rec Yds</t>
        </is>
      </c>
      <c r="G331" t="n">
        <v>31.5</v>
      </c>
    </row>
    <row r="332">
      <c r="F332" t="inlineStr">
        <is>
          <t>Jerry Jeudy | Rec Yds</t>
        </is>
      </c>
      <c r="G332" t="n">
        <v>33.5</v>
      </c>
    </row>
    <row r="333">
      <c r="F333" t="inlineStr">
        <is>
          <t>Jerry Jeudy | Receptions</t>
        </is>
      </c>
      <c r="G333" t="n">
        <v>0.5</v>
      </c>
    </row>
    <row r="334">
      <c r="F334" t="inlineStr">
        <is>
          <t>Jerry Jeudy | Receptions</t>
        </is>
      </c>
      <c r="G334" t="n">
        <v>1.5</v>
      </c>
    </row>
    <row r="335">
      <c r="F335" t="inlineStr">
        <is>
          <t>Jerry Jeudy | Receptions</t>
        </is>
      </c>
      <c r="G335" t="n">
        <v>2.5</v>
      </c>
    </row>
    <row r="336">
      <c r="F336" t="inlineStr">
        <is>
          <t>Jerry Jeudy | Receptions</t>
        </is>
      </c>
      <c r="G336" t="n">
        <v>3.5</v>
      </c>
    </row>
    <row r="337">
      <c r="F337" t="inlineStr">
        <is>
          <t>Jerry Jeudy | Rush+Rec Yds</t>
        </is>
      </c>
      <c r="G337" t="n">
        <v>1.5</v>
      </c>
    </row>
    <row r="338">
      <c r="F338" t="inlineStr">
        <is>
          <t>Jerry Jeudy | Rush+Rec Yds</t>
        </is>
      </c>
      <c r="G338" t="n">
        <v>3.5</v>
      </c>
    </row>
    <row r="339">
      <c r="F339" t="inlineStr">
        <is>
          <t>Jerry Jeudy | Rush+Rec Yds</t>
        </is>
      </c>
      <c r="G339" t="n">
        <v>5.5</v>
      </c>
    </row>
    <row r="340">
      <c r="F340" t="inlineStr">
        <is>
          <t>Jerry Jeudy | Rush+Rec Yds</t>
        </is>
      </c>
      <c r="G340" t="n">
        <v>7.5</v>
      </c>
    </row>
    <row r="341">
      <c r="F341" t="inlineStr">
        <is>
          <t>Jerry Jeudy | Rush+Rec Yds</t>
        </is>
      </c>
      <c r="G341" t="n">
        <v>9.5</v>
      </c>
    </row>
    <row r="342">
      <c r="F342" t="inlineStr">
        <is>
          <t>Jerry Jeudy | Rush+Rec Yds</t>
        </is>
      </c>
      <c r="G342" t="n">
        <v>11.5</v>
      </c>
    </row>
    <row r="343">
      <c r="F343" t="inlineStr">
        <is>
          <t>Jerry Jeudy | Rush+Rec Yds</t>
        </is>
      </c>
      <c r="G343" t="n">
        <v>13.5</v>
      </c>
    </row>
    <row r="344">
      <c r="F344" t="inlineStr">
        <is>
          <t>Jerry Jeudy | Rush+Rec Yds</t>
        </is>
      </c>
      <c r="G344" t="n">
        <v>15.5</v>
      </c>
    </row>
    <row r="345">
      <c r="F345" t="inlineStr">
        <is>
          <t>Jerry Jeudy | Rush+Rec Yds</t>
        </is>
      </c>
      <c r="G345" t="n">
        <v>17.5</v>
      </c>
    </row>
    <row r="346">
      <c r="F346" t="inlineStr">
        <is>
          <t>Jerry Jeudy | Rush+Rec Yds</t>
        </is>
      </c>
      <c r="G346" t="n">
        <v>19.5</v>
      </c>
    </row>
    <row r="347">
      <c r="F347" t="inlineStr">
        <is>
          <t>Jerry Jeudy | Rush+Rec Yds</t>
        </is>
      </c>
      <c r="G347" t="n">
        <v>21.5</v>
      </c>
    </row>
    <row r="348">
      <c r="F348" t="inlineStr">
        <is>
          <t>Jerry Jeudy | Rush+Rec Yds</t>
        </is>
      </c>
      <c r="G348" t="n">
        <v>23.5</v>
      </c>
    </row>
    <row r="349">
      <c r="F349" t="inlineStr">
        <is>
          <t>Jerry Jeudy | Rush+Rec Yds</t>
        </is>
      </c>
      <c r="G349" t="n">
        <v>25.5</v>
      </c>
    </row>
    <row r="350">
      <c r="F350" t="inlineStr">
        <is>
          <t>Jerry Jeudy | Rush+Rec Yds</t>
        </is>
      </c>
      <c r="G350" t="n">
        <v>27.5</v>
      </c>
    </row>
    <row r="351">
      <c r="F351" t="inlineStr">
        <is>
          <t>Jerry Jeudy | Rush+Rec Yds</t>
        </is>
      </c>
      <c r="G351" t="n">
        <v>29.5</v>
      </c>
    </row>
    <row r="352">
      <c r="F352" t="inlineStr">
        <is>
          <t>Jerry Jeudy | Rush+Rec Yds</t>
        </is>
      </c>
      <c r="G352" t="n">
        <v>31.5</v>
      </c>
    </row>
    <row r="353">
      <c r="F353" t="inlineStr">
        <is>
          <t>Jerry Jeudy | Rush+Rec Yds</t>
        </is>
      </c>
      <c r="G353" t="n">
        <v>33.5</v>
      </c>
    </row>
    <row r="354">
      <c r="F354" t="inlineStr">
        <is>
          <t>Jerry Jeudy | Rush+Rec Yds</t>
        </is>
      </c>
      <c r="G354" t="n">
        <v>35.5</v>
      </c>
    </row>
    <row r="355">
      <c r="F355" t="inlineStr">
        <is>
          <t>Jerry Jeudy | Anytime TDs</t>
        </is>
      </c>
      <c r="G355" t="n">
        <v>0.5</v>
      </c>
    </row>
    <row r="356">
      <c r="F356" t="inlineStr">
        <is>
          <t>Kaden Wetjen | Anytime TDs</t>
        </is>
      </c>
      <c r="G356" t="n">
        <v>0.5</v>
      </c>
    </row>
    <row r="357">
      <c r="F357" t="inlineStr">
        <is>
          <t>Lew Nichols III | Anytime TDs</t>
        </is>
      </c>
      <c r="G357" t="n">
        <v>0.5</v>
      </c>
    </row>
    <row r="358">
      <c r="F358" t="inlineStr">
        <is>
          <t>Malachi Corley | Anytime TDs</t>
        </is>
      </c>
      <c r="G358" t="n">
        <v>0.5</v>
      </c>
    </row>
    <row r="359">
      <c r="F359" t="inlineStr">
        <is>
          <t>Michael Burton | Anytime TDs</t>
        </is>
      </c>
      <c r="G359" t="n">
        <v>0.5</v>
      </c>
    </row>
    <row r="360">
      <c r="F360" t="inlineStr">
        <is>
          <t>Michael Pittman Jr. | Rec Yds</t>
        </is>
      </c>
      <c r="G360" t="n">
        <v>4.5</v>
      </c>
    </row>
    <row r="361">
      <c r="F361" t="inlineStr">
        <is>
          <t>Michael Pittman Jr. | Rec Yds</t>
        </is>
      </c>
      <c r="G361" t="n">
        <v>9.5</v>
      </c>
    </row>
    <row r="362">
      <c r="F362" t="inlineStr">
        <is>
          <t>Michael Pittman Jr. | Rec Yds</t>
        </is>
      </c>
      <c r="G362" t="n">
        <v>14.5</v>
      </c>
    </row>
    <row r="363">
      <c r="F363" t="inlineStr">
        <is>
          <t>Michael Pittman Jr. | Rec Yds</t>
        </is>
      </c>
      <c r="G363" t="n">
        <v>19.5</v>
      </c>
    </row>
    <row r="364">
      <c r="F364" t="inlineStr">
        <is>
          <t>Michael Pittman Jr. | Rec Yds</t>
        </is>
      </c>
      <c r="G364" t="n">
        <v>24.5</v>
      </c>
    </row>
    <row r="365">
      <c r="F365" t="inlineStr">
        <is>
          <t>Michael Pittman Jr. | Rec Yds</t>
        </is>
      </c>
      <c r="G365" t="n">
        <v>29.5</v>
      </c>
    </row>
    <row r="366">
      <c r="F366" t="inlineStr">
        <is>
          <t>Michael Pittman Jr. | Rec Yds</t>
        </is>
      </c>
      <c r="G366" t="n">
        <v>34.5</v>
      </c>
    </row>
    <row r="367">
      <c r="F367" t="inlineStr">
        <is>
          <t>Michael Pittman Jr. | Rec Yds</t>
        </is>
      </c>
      <c r="G367" t="n">
        <v>39.5</v>
      </c>
    </row>
    <row r="368">
      <c r="F368" t="inlineStr">
        <is>
          <t>Michael Pittman Jr. | Rec Yds</t>
        </is>
      </c>
      <c r="G368" t="n">
        <v>44.5</v>
      </c>
    </row>
    <row r="369">
      <c r="F369" t="inlineStr">
        <is>
          <t>Michael Pittman Jr. | Rec Yds</t>
        </is>
      </c>
      <c r="G369" t="n">
        <v>49.5</v>
      </c>
    </row>
    <row r="370">
      <c r="F370" t="inlineStr">
        <is>
          <t>Michael Pittman Jr. | Rec Yds</t>
        </is>
      </c>
      <c r="G370" t="n">
        <v>54.5</v>
      </c>
    </row>
    <row r="371">
      <c r="F371" t="inlineStr">
        <is>
          <t>Michael Pittman Jr. | Rec Yds</t>
        </is>
      </c>
      <c r="G371" t="n">
        <v>59.5</v>
      </c>
    </row>
    <row r="372">
      <c r="F372" t="inlineStr">
        <is>
          <t>Michael Pittman Jr. | Rec Yds</t>
        </is>
      </c>
      <c r="G372" t="n">
        <v>64.5</v>
      </c>
    </row>
    <row r="373">
      <c r="F373" t="inlineStr">
        <is>
          <t>Michael Pittman Jr. | Rec Yds</t>
        </is>
      </c>
      <c r="G373" t="n">
        <v>69.5</v>
      </c>
    </row>
    <row r="374">
      <c r="F374" t="inlineStr">
        <is>
          <t>Michael Pittman Jr. | Rec Yds</t>
        </is>
      </c>
      <c r="G374" t="n">
        <v>74.5</v>
      </c>
    </row>
    <row r="375">
      <c r="F375" t="inlineStr">
        <is>
          <t>Michael Pittman Jr. | Rec Yds</t>
        </is>
      </c>
      <c r="G375" t="n">
        <v>79.5</v>
      </c>
    </row>
    <row r="376">
      <c r="F376" t="inlineStr">
        <is>
          <t>Michael Pittman Jr. | Rec Yds</t>
        </is>
      </c>
      <c r="G376" t="n">
        <v>84.5</v>
      </c>
    </row>
    <row r="377">
      <c r="F377" t="inlineStr">
        <is>
          <t>Michael Pittman Jr. | Receptions</t>
        </is>
      </c>
      <c r="G377" t="n">
        <v>0.5</v>
      </c>
    </row>
    <row r="378">
      <c r="F378" t="inlineStr">
        <is>
          <t>Michael Pittman Jr. | Receptions</t>
        </is>
      </c>
      <c r="G378" t="n">
        <v>1.5</v>
      </c>
    </row>
    <row r="379">
      <c r="F379" t="inlineStr">
        <is>
          <t>Michael Pittman Jr. | Receptions</t>
        </is>
      </c>
      <c r="G379" t="n">
        <v>2.5</v>
      </c>
    </row>
    <row r="380">
      <c r="F380" t="inlineStr">
        <is>
          <t>Michael Pittman Jr. | Receptions</t>
        </is>
      </c>
      <c r="G380" t="n">
        <v>3.5</v>
      </c>
    </row>
    <row r="381">
      <c r="F381" t="inlineStr">
        <is>
          <t>Michael Pittman Jr. | Receptions</t>
        </is>
      </c>
      <c r="G381" t="n">
        <v>4.5</v>
      </c>
    </row>
    <row r="382">
      <c r="F382" t="inlineStr">
        <is>
          <t>Michael Pittman Jr. | Receptions</t>
        </is>
      </c>
      <c r="G382" t="n">
        <v>5.5</v>
      </c>
    </row>
    <row r="383">
      <c r="F383" t="inlineStr">
        <is>
          <t>Michael Pittman Jr. | Receptions</t>
        </is>
      </c>
      <c r="G383" t="n">
        <v>6.5</v>
      </c>
    </row>
    <row r="384">
      <c r="F384" t="inlineStr">
        <is>
          <t>Michael Pittman Jr. | Receptions</t>
        </is>
      </c>
      <c r="G384" t="n">
        <v>7.5</v>
      </c>
    </row>
    <row r="385">
      <c r="F385" t="inlineStr">
        <is>
          <t>Michael Pittman Jr. | Receptions</t>
        </is>
      </c>
      <c r="G385" t="n">
        <v>8.5</v>
      </c>
    </row>
    <row r="386">
      <c r="F386" t="inlineStr">
        <is>
          <t>Michael Pittman Jr. | Rush+Rec Yds</t>
        </is>
      </c>
      <c r="G386" t="n">
        <v>2.5</v>
      </c>
    </row>
    <row r="387">
      <c r="F387" t="inlineStr">
        <is>
          <t>Michael Pittman Jr. | Rush+Rec Yds</t>
        </is>
      </c>
      <c r="G387" t="n">
        <v>7.5</v>
      </c>
    </row>
    <row r="388">
      <c r="F388" t="inlineStr">
        <is>
          <t>Michael Pittman Jr. | Rush+Rec Yds</t>
        </is>
      </c>
      <c r="G388" t="n">
        <v>12.5</v>
      </c>
    </row>
    <row r="389">
      <c r="F389" t="inlineStr">
        <is>
          <t>Michael Pittman Jr. | Rush+Rec Yds</t>
        </is>
      </c>
      <c r="G389" t="n">
        <v>17.5</v>
      </c>
    </row>
    <row r="390">
      <c r="F390" t="inlineStr">
        <is>
          <t>Michael Pittman Jr. | Rush+Rec Yds</t>
        </is>
      </c>
      <c r="G390" t="n">
        <v>22.5</v>
      </c>
    </row>
    <row r="391">
      <c r="F391" t="inlineStr">
        <is>
          <t>Michael Pittman Jr. | Rush+Rec Yds</t>
        </is>
      </c>
      <c r="G391" t="n">
        <v>27.5</v>
      </c>
    </row>
    <row r="392">
      <c r="F392" t="inlineStr">
        <is>
          <t>Michael Pittman Jr. | Rush+Rec Yds</t>
        </is>
      </c>
      <c r="G392" t="n">
        <v>32.5</v>
      </c>
    </row>
    <row r="393">
      <c r="F393" t="inlineStr">
        <is>
          <t>Michael Pittman Jr. | Rush+Rec Yds</t>
        </is>
      </c>
      <c r="G393" t="n">
        <v>37.5</v>
      </c>
    </row>
    <row r="394">
      <c r="F394" t="inlineStr">
        <is>
          <t>Michael Pittman Jr. | Rush+Rec Yds</t>
        </is>
      </c>
      <c r="G394" t="n">
        <v>42.5</v>
      </c>
    </row>
    <row r="395">
      <c r="F395" t="inlineStr">
        <is>
          <t>Michael Pittman Jr. | Rush+Rec Yds</t>
        </is>
      </c>
      <c r="G395" t="n">
        <v>47.5</v>
      </c>
    </row>
    <row r="396">
      <c r="F396" t="inlineStr">
        <is>
          <t>Michael Pittman Jr. | Rush+Rec Yds</t>
        </is>
      </c>
      <c r="G396" t="n">
        <v>52.5</v>
      </c>
    </row>
    <row r="397">
      <c r="F397" t="inlineStr">
        <is>
          <t>Michael Pittman Jr. | Rush+Rec Yds</t>
        </is>
      </c>
      <c r="G397" t="n">
        <v>57.5</v>
      </c>
    </row>
    <row r="398">
      <c r="F398" t="inlineStr">
        <is>
          <t>Michael Pittman Jr. | Rush+Rec Yds</t>
        </is>
      </c>
      <c r="G398" t="n">
        <v>62.5</v>
      </c>
    </row>
    <row r="399">
      <c r="F399" t="inlineStr">
        <is>
          <t>Michael Pittman Jr. | Rush+Rec Yds</t>
        </is>
      </c>
      <c r="G399" t="n">
        <v>67.5</v>
      </c>
    </row>
    <row r="400">
      <c r="F400" t="inlineStr">
        <is>
          <t>Michael Pittman Jr. | Rush+Rec Yds</t>
        </is>
      </c>
      <c r="G400" t="n">
        <v>72.5</v>
      </c>
    </row>
    <row r="401">
      <c r="F401" t="inlineStr">
        <is>
          <t>Michael Pittman Jr. | Rush+Rec Yds</t>
        </is>
      </c>
      <c r="G401" t="n">
        <v>77.5</v>
      </c>
    </row>
    <row r="402">
      <c r="F402" t="inlineStr">
        <is>
          <t>Michael Pittman Jr. | Rush+Rec Yds</t>
        </is>
      </c>
      <c r="G402" t="n">
        <v>82.5</v>
      </c>
    </row>
    <row r="403">
      <c r="F403" t="inlineStr">
        <is>
          <t>Michael Pittman Jr. | Anytime TDs</t>
        </is>
      </c>
      <c r="G403" t="n">
        <v>0.5</v>
      </c>
    </row>
    <row r="404">
      <c r="F404" t="inlineStr">
        <is>
          <t>Pat Freiermuth | Rec Yds</t>
        </is>
      </c>
      <c r="G404" t="n">
        <v>3.5</v>
      </c>
    </row>
    <row r="405">
      <c r="F405" t="inlineStr">
        <is>
          <t>Pat Freiermuth | Rec Yds</t>
        </is>
      </c>
      <c r="G405" t="n">
        <v>8.5</v>
      </c>
    </row>
    <row r="406">
      <c r="F406" t="inlineStr">
        <is>
          <t>Pat Freiermuth | Rec Yds</t>
        </is>
      </c>
      <c r="G406" t="n">
        <v>13.5</v>
      </c>
    </row>
    <row r="407">
      <c r="F407" t="inlineStr">
        <is>
          <t>Pat Freiermuth | Rec Yds</t>
        </is>
      </c>
      <c r="G407" t="n">
        <v>18.5</v>
      </c>
    </row>
    <row r="408">
      <c r="F408" t="inlineStr">
        <is>
          <t>Pat Freiermuth | Rec Yds</t>
        </is>
      </c>
      <c r="G408" t="n">
        <v>23.5</v>
      </c>
    </row>
    <row r="409">
      <c r="F409" t="inlineStr">
        <is>
          <t>Pat Freiermuth | Rec Yds</t>
        </is>
      </c>
      <c r="G409" t="n">
        <v>28.5</v>
      </c>
    </row>
    <row r="410">
      <c r="F410" t="inlineStr">
        <is>
          <t>Pat Freiermuth | Rec Yds</t>
        </is>
      </c>
      <c r="G410" t="n">
        <v>33.5</v>
      </c>
    </row>
    <row r="411">
      <c r="F411" t="inlineStr">
        <is>
          <t>Pat Freiermuth | Rec Yds</t>
        </is>
      </c>
      <c r="G411" t="n">
        <v>38.5</v>
      </c>
    </row>
    <row r="412">
      <c r="F412" t="inlineStr">
        <is>
          <t>Pat Freiermuth | Rec Yds</t>
        </is>
      </c>
      <c r="G412" t="n">
        <v>43.5</v>
      </c>
    </row>
    <row r="413">
      <c r="F413" t="inlineStr">
        <is>
          <t>Pat Freiermuth | Rec Yds</t>
        </is>
      </c>
      <c r="G413" t="n">
        <v>48.5</v>
      </c>
    </row>
    <row r="414">
      <c r="F414" t="inlineStr">
        <is>
          <t>Pat Freiermuth | Rec Yds</t>
        </is>
      </c>
      <c r="G414" t="n">
        <v>53.5</v>
      </c>
    </row>
    <row r="415">
      <c r="F415" t="inlineStr">
        <is>
          <t>Pat Freiermuth | Rec Yds</t>
        </is>
      </c>
      <c r="G415" t="n">
        <v>58.5</v>
      </c>
    </row>
    <row r="416">
      <c r="F416" t="inlineStr">
        <is>
          <t>Pat Freiermuth | Rec Yds</t>
        </is>
      </c>
      <c r="G416" t="n">
        <v>63.5</v>
      </c>
    </row>
    <row r="417">
      <c r="F417" t="inlineStr">
        <is>
          <t>Pat Freiermuth | Rec Yds</t>
        </is>
      </c>
      <c r="G417" t="n">
        <v>68.5</v>
      </c>
    </row>
    <row r="418">
      <c r="F418" t="inlineStr">
        <is>
          <t>Pat Freiermuth | Rec Yds</t>
        </is>
      </c>
      <c r="G418" t="n">
        <v>73.5</v>
      </c>
    </row>
    <row r="419">
      <c r="F419" t="inlineStr">
        <is>
          <t>Pat Freiermuth | Rec Yds</t>
        </is>
      </c>
      <c r="G419" t="n">
        <v>78.5</v>
      </c>
    </row>
    <row r="420">
      <c r="F420" t="inlineStr">
        <is>
          <t>Pat Freiermuth | Receptions</t>
        </is>
      </c>
      <c r="G420" t="n">
        <v>0.5</v>
      </c>
    </row>
    <row r="421">
      <c r="F421" t="inlineStr">
        <is>
          <t>Pat Freiermuth | Receptions</t>
        </is>
      </c>
      <c r="G421" t="n">
        <v>1.5</v>
      </c>
    </row>
    <row r="422">
      <c r="F422" t="inlineStr">
        <is>
          <t>Pat Freiermuth | Receptions</t>
        </is>
      </c>
      <c r="G422" t="n">
        <v>2.5</v>
      </c>
    </row>
    <row r="423">
      <c r="F423" t="inlineStr">
        <is>
          <t>Pat Freiermuth | Receptions</t>
        </is>
      </c>
      <c r="G423" t="n">
        <v>3.5</v>
      </c>
    </row>
    <row r="424">
      <c r="F424" t="inlineStr">
        <is>
          <t>Pat Freiermuth | Receptions</t>
        </is>
      </c>
      <c r="G424" t="n">
        <v>4.5</v>
      </c>
    </row>
    <row r="425">
      <c r="F425" t="inlineStr">
        <is>
          <t>Pat Freiermuth | Receptions</t>
        </is>
      </c>
      <c r="G425" t="n">
        <v>5.5</v>
      </c>
    </row>
    <row r="426">
      <c r="F426" t="inlineStr">
        <is>
          <t>Pat Freiermuth | Receptions</t>
        </is>
      </c>
      <c r="G426" t="n">
        <v>6.5</v>
      </c>
    </row>
    <row r="427">
      <c r="F427" t="inlineStr">
        <is>
          <t>Pat Freiermuth | Receptions</t>
        </is>
      </c>
      <c r="G427" t="n">
        <v>7.5</v>
      </c>
    </row>
    <row r="428">
      <c r="F428" t="inlineStr">
        <is>
          <t>Pat Freiermuth | Receptions</t>
        </is>
      </c>
      <c r="G428" t="n">
        <v>8.5</v>
      </c>
    </row>
    <row r="429">
      <c r="F429" t="inlineStr">
        <is>
          <t>Pat Freiermuth | Receptions</t>
        </is>
      </c>
      <c r="G429" t="n">
        <v>9.5</v>
      </c>
    </row>
    <row r="430">
      <c r="F430" t="inlineStr">
        <is>
          <t>Pat Freiermuth | Anytime TDs</t>
        </is>
      </c>
      <c r="G430" t="n">
        <v>0.5</v>
      </c>
    </row>
    <row r="431">
      <c r="F431" t="inlineStr">
        <is>
          <t>Quinshon Judkins | Rush Yds</t>
        </is>
      </c>
      <c r="G431" t="n">
        <v>10.5</v>
      </c>
    </row>
    <row r="432">
      <c r="F432" t="inlineStr">
        <is>
          <t>Quinshon Judkins | Rush Yds</t>
        </is>
      </c>
      <c r="G432" t="n">
        <v>15.5</v>
      </c>
    </row>
    <row r="433">
      <c r="F433" t="inlineStr">
        <is>
          <t>Quinshon Judkins | Rush Yds</t>
        </is>
      </c>
      <c r="G433" t="n">
        <v>20.5</v>
      </c>
    </row>
    <row r="434">
      <c r="F434" t="inlineStr">
        <is>
          <t>Quinshon Judkins | Rush Yds</t>
        </is>
      </c>
      <c r="G434" t="n">
        <v>25.5</v>
      </c>
    </row>
    <row r="435">
      <c r="F435" t="inlineStr">
        <is>
          <t>Quinshon Judkins | Rush Yds</t>
        </is>
      </c>
      <c r="G435" t="n">
        <v>30.5</v>
      </c>
    </row>
    <row r="436">
      <c r="F436" t="inlineStr">
        <is>
          <t>Quinshon Judkins | Rush Yds</t>
        </is>
      </c>
      <c r="G436" t="n">
        <v>35.5</v>
      </c>
    </row>
    <row r="437">
      <c r="F437" t="inlineStr">
        <is>
          <t>Quinshon Judkins | Rush Yds</t>
        </is>
      </c>
      <c r="G437" t="n">
        <v>40.5</v>
      </c>
    </row>
    <row r="438">
      <c r="F438" t="inlineStr">
        <is>
          <t>Quinshon Judkins | Rush Yds</t>
        </is>
      </c>
      <c r="G438" t="n">
        <v>45.5</v>
      </c>
    </row>
    <row r="439">
      <c r="F439" t="inlineStr">
        <is>
          <t>Quinshon Judkins | Rush Yds</t>
        </is>
      </c>
      <c r="G439" t="n">
        <v>50.5</v>
      </c>
    </row>
    <row r="440">
      <c r="F440" t="inlineStr">
        <is>
          <t>Quinshon Judkins | Rush Yds</t>
        </is>
      </c>
      <c r="G440" t="n">
        <v>55.5</v>
      </c>
    </row>
    <row r="441">
      <c r="F441" t="inlineStr">
        <is>
          <t>Quinshon Judkins | Rush Yds</t>
        </is>
      </c>
      <c r="G441" t="n">
        <v>60.5</v>
      </c>
    </row>
    <row r="442">
      <c r="F442" t="inlineStr">
        <is>
          <t>Quinshon Judkins | Rush Yds</t>
        </is>
      </c>
      <c r="G442" t="n">
        <v>65.5</v>
      </c>
    </row>
    <row r="443">
      <c r="F443" t="inlineStr">
        <is>
          <t>Quinshon Judkins | Rush Yds</t>
        </is>
      </c>
      <c r="G443" t="n">
        <v>70.5</v>
      </c>
    </row>
    <row r="444">
      <c r="F444" t="inlineStr">
        <is>
          <t>Quinshon Judkins | Rush Yds</t>
        </is>
      </c>
      <c r="G444" t="n">
        <v>75.5</v>
      </c>
    </row>
    <row r="445">
      <c r="F445" t="inlineStr">
        <is>
          <t>Quinshon Judkins | Rush Yds</t>
        </is>
      </c>
      <c r="G445" t="n">
        <v>80.5</v>
      </c>
    </row>
    <row r="446">
      <c r="F446" t="inlineStr">
        <is>
          <t>Quinshon Judkins | Rush Yds</t>
        </is>
      </c>
      <c r="G446" t="n">
        <v>85.5</v>
      </c>
    </row>
    <row r="447">
      <c r="F447" t="inlineStr">
        <is>
          <t>Quinshon Judkins | Rush Yds</t>
        </is>
      </c>
      <c r="G447" t="n">
        <v>90.5</v>
      </c>
    </row>
    <row r="448">
      <c r="F448" t="inlineStr">
        <is>
          <t>Quinshon Judkins | Rush Yds</t>
        </is>
      </c>
      <c r="G448" t="n">
        <v>95.5</v>
      </c>
    </row>
    <row r="449">
      <c r="F449" t="inlineStr">
        <is>
          <t>Quinshon Judkins | Rush Yds</t>
        </is>
      </c>
      <c r="G449" t="n">
        <v>100.5</v>
      </c>
    </row>
    <row r="450">
      <c r="F450" t="inlineStr">
        <is>
          <t>Quinshon Judkins | Rush Yds</t>
        </is>
      </c>
      <c r="G450" t="n">
        <v>105.5</v>
      </c>
    </row>
    <row r="451">
      <c r="F451" t="inlineStr">
        <is>
          <t>Quinshon Judkins | Rec Yds</t>
        </is>
      </c>
      <c r="G451" t="n">
        <v>2.5</v>
      </c>
    </row>
    <row r="452">
      <c r="F452" t="inlineStr">
        <is>
          <t>Quinshon Judkins | Rec Yds</t>
        </is>
      </c>
      <c r="G452" t="n">
        <v>4.5</v>
      </c>
    </row>
    <row r="453">
      <c r="F453" t="inlineStr">
        <is>
          <t>Quinshon Judkins | Rec Yds</t>
        </is>
      </c>
      <c r="G453" t="n">
        <v>6.5</v>
      </c>
    </row>
    <row r="454">
      <c r="F454" t="inlineStr">
        <is>
          <t>Quinshon Judkins | Rec Yds</t>
        </is>
      </c>
      <c r="G454" t="n">
        <v>8.5</v>
      </c>
    </row>
    <row r="455">
      <c r="F455" t="inlineStr">
        <is>
          <t>Quinshon Judkins | Rec Yds</t>
        </is>
      </c>
      <c r="G455" t="n">
        <v>10.5</v>
      </c>
    </row>
    <row r="456">
      <c r="F456" t="inlineStr">
        <is>
          <t>Quinshon Judkins | Rec Yds</t>
        </is>
      </c>
      <c r="G456" t="n">
        <v>12.5</v>
      </c>
    </row>
    <row r="457">
      <c r="F457" t="inlineStr">
        <is>
          <t>Quinshon Judkins | Rec Yds</t>
        </is>
      </c>
      <c r="G457" t="n">
        <v>14.5</v>
      </c>
    </row>
    <row r="458">
      <c r="F458" t="inlineStr">
        <is>
          <t>Quinshon Judkins | Rec Yds</t>
        </is>
      </c>
      <c r="G458" t="n">
        <v>16.5</v>
      </c>
    </row>
    <row r="459">
      <c r="F459" t="inlineStr">
        <is>
          <t>Quinshon Judkins | Rec Yds</t>
        </is>
      </c>
      <c r="G459" t="n">
        <v>18.5</v>
      </c>
    </row>
    <row r="460">
      <c r="F460" t="inlineStr">
        <is>
          <t>Quinshon Judkins | Rec Yds</t>
        </is>
      </c>
      <c r="G460" t="n">
        <v>20.5</v>
      </c>
    </row>
    <row r="461">
      <c r="F461" t="inlineStr">
        <is>
          <t>Quinshon Judkins | Rec Yds</t>
        </is>
      </c>
      <c r="G461" t="n">
        <v>22.5</v>
      </c>
    </row>
    <row r="462">
      <c r="F462" t="inlineStr">
        <is>
          <t>Quinshon Judkins | Rec Yds</t>
        </is>
      </c>
      <c r="G462" t="n">
        <v>24.5</v>
      </c>
    </row>
    <row r="463">
      <c r="F463" t="inlineStr">
        <is>
          <t>Quinshon Judkins | Rec Yds</t>
        </is>
      </c>
      <c r="G463" t="n">
        <v>26.5</v>
      </c>
    </row>
    <row r="464">
      <c r="F464" t="inlineStr">
        <is>
          <t>Quinshon Judkins | Rec Yds</t>
        </is>
      </c>
      <c r="G464" t="n">
        <v>28.5</v>
      </c>
    </row>
    <row r="465">
      <c r="F465" t="inlineStr">
        <is>
          <t>Quinshon Judkins | Rec Yds</t>
        </is>
      </c>
      <c r="G465" t="n">
        <v>30.5</v>
      </c>
    </row>
    <row r="466">
      <c r="F466" t="inlineStr">
        <is>
          <t>Quinshon Judkins | Rec Yds</t>
        </is>
      </c>
      <c r="G466" t="n">
        <v>32.5</v>
      </c>
    </row>
    <row r="467">
      <c r="F467" t="inlineStr">
        <is>
          <t>Quinshon Judkins | Receptions</t>
        </is>
      </c>
      <c r="G467" t="n">
        <v>0.5</v>
      </c>
    </row>
    <row r="468">
      <c r="F468" t="inlineStr">
        <is>
          <t>Quinshon Judkins | Receptions</t>
        </is>
      </c>
      <c r="G468" t="n">
        <v>1.5</v>
      </c>
    </row>
    <row r="469">
      <c r="F469" t="inlineStr">
        <is>
          <t>Quinshon Judkins | Receptions</t>
        </is>
      </c>
      <c r="G469" t="n">
        <v>2.5</v>
      </c>
    </row>
    <row r="470">
      <c r="F470" t="inlineStr">
        <is>
          <t>Quinshon Judkins | Receptions</t>
        </is>
      </c>
      <c r="G470" t="n">
        <v>3.5</v>
      </c>
    </row>
    <row r="471">
      <c r="F471" t="inlineStr">
        <is>
          <t>Quinshon Judkins | Receptions</t>
        </is>
      </c>
      <c r="G471" t="n">
        <v>4.5</v>
      </c>
    </row>
    <row r="472">
      <c r="F472" t="inlineStr">
        <is>
          <t>Quinshon Judkins | Receptions</t>
        </is>
      </c>
      <c r="G472" t="n">
        <v>5.5</v>
      </c>
    </row>
    <row r="473">
      <c r="F473" t="inlineStr">
        <is>
          <t>Quinshon Judkins | Rush+Rec Yds</t>
        </is>
      </c>
      <c r="G473" t="n">
        <v>22.5</v>
      </c>
    </row>
    <row r="474">
      <c r="F474" t="inlineStr">
        <is>
          <t>Quinshon Judkins | Rush+Rec Yds</t>
        </is>
      </c>
      <c r="G474" t="n">
        <v>27.5</v>
      </c>
    </row>
    <row r="475">
      <c r="F475" t="inlineStr">
        <is>
          <t>Quinshon Judkins | Rush+Rec Yds</t>
        </is>
      </c>
      <c r="G475" t="n">
        <v>32.5</v>
      </c>
    </row>
    <row r="476">
      <c r="F476" t="inlineStr">
        <is>
          <t>Quinshon Judkins | Rush+Rec Yds</t>
        </is>
      </c>
      <c r="G476" t="n">
        <v>37.5</v>
      </c>
    </row>
    <row r="477">
      <c r="F477" t="inlineStr">
        <is>
          <t>Quinshon Judkins | Rush+Rec Yds</t>
        </is>
      </c>
      <c r="G477" t="n">
        <v>42.5</v>
      </c>
    </row>
    <row r="478">
      <c r="F478" t="inlineStr">
        <is>
          <t>Quinshon Judkins | Rush+Rec Yds</t>
        </is>
      </c>
      <c r="G478" t="n">
        <v>47.5</v>
      </c>
    </row>
    <row r="479">
      <c r="F479" t="inlineStr">
        <is>
          <t>Quinshon Judkins | Rush+Rec Yds</t>
        </is>
      </c>
      <c r="G479" t="n">
        <v>52.5</v>
      </c>
    </row>
    <row r="480">
      <c r="F480" t="inlineStr">
        <is>
          <t>Quinshon Judkins | Rush+Rec Yds</t>
        </is>
      </c>
      <c r="G480" t="n">
        <v>57.5</v>
      </c>
    </row>
    <row r="481">
      <c r="F481" t="inlineStr">
        <is>
          <t>Quinshon Judkins | Rush+Rec Yds</t>
        </is>
      </c>
      <c r="G481" t="n">
        <v>62.5</v>
      </c>
    </row>
    <row r="482">
      <c r="F482" t="inlineStr">
        <is>
          <t>Quinshon Judkins | Rush+Rec Yds</t>
        </is>
      </c>
      <c r="G482" t="n">
        <v>67.5</v>
      </c>
    </row>
    <row r="483">
      <c r="F483" t="inlineStr">
        <is>
          <t>Quinshon Judkins | Rush+Rec Yds</t>
        </is>
      </c>
      <c r="G483" t="n">
        <v>72.5</v>
      </c>
    </row>
    <row r="484">
      <c r="F484" t="inlineStr">
        <is>
          <t>Quinshon Judkins | Rush+Rec Yds</t>
        </is>
      </c>
      <c r="G484" t="n">
        <v>77.5</v>
      </c>
    </row>
    <row r="485">
      <c r="F485" t="inlineStr">
        <is>
          <t>Quinshon Judkins | Rush+Rec Yds</t>
        </is>
      </c>
      <c r="G485" t="n">
        <v>82.5</v>
      </c>
    </row>
    <row r="486">
      <c r="F486" t="inlineStr">
        <is>
          <t>Quinshon Judkins | Rush+Rec Yds</t>
        </is>
      </c>
      <c r="G486" t="n">
        <v>87.5</v>
      </c>
    </row>
    <row r="487">
      <c r="F487" t="inlineStr">
        <is>
          <t>Quinshon Judkins | Rush+Rec Yds</t>
        </is>
      </c>
      <c r="G487" t="n">
        <v>92.5</v>
      </c>
    </row>
    <row r="488">
      <c r="F488" t="inlineStr">
        <is>
          <t>Quinshon Judkins | Rush+Rec Yds</t>
        </is>
      </c>
      <c r="G488" t="n">
        <v>97.5</v>
      </c>
    </row>
    <row r="489">
      <c r="F489" t="inlineStr">
        <is>
          <t>Quinshon Judkins | Rush+Rec Yds</t>
        </is>
      </c>
      <c r="G489" t="n">
        <v>102.5</v>
      </c>
    </row>
    <row r="490">
      <c r="F490" t="inlineStr">
        <is>
          <t>Quinshon Judkins | Rush+Rec Yds</t>
        </is>
      </c>
      <c r="G490" t="n">
        <v>107.5</v>
      </c>
    </row>
    <row r="491">
      <c r="F491" t="inlineStr">
        <is>
          <t>Quinshon Judkins | Rush+Rec Yds</t>
        </is>
      </c>
      <c r="G491" t="n">
        <v>112.5</v>
      </c>
    </row>
    <row r="492">
      <c r="F492" t="inlineStr">
        <is>
          <t>Quinshon Judkins | Rush+Rec Yds</t>
        </is>
      </c>
      <c r="G492" t="n">
        <v>117.5</v>
      </c>
    </row>
    <row r="493">
      <c r="F493" t="inlineStr">
        <is>
          <t>Quinshon Judkins | Rush+Rec Yds</t>
        </is>
      </c>
      <c r="G493" t="n">
        <v>122.5</v>
      </c>
    </row>
    <row r="494">
      <c r="F494" t="inlineStr">
        <is>
          <t>Quinshon Judkins | Anytime TDs</t>
        </is>
      </c>
      <c r="G494" t="n">
        <v>0.5</v>
      </c>
    </row>
    <row r="495">
      <c r="F495" t="inlineStr">
        <is>
          <t>Quinshon Judkins | Anytime TDs</t>
        </is>
      </c>
      <c r="G495" t="n">
        <v>2.5</v>
      </c>
    </row>
    <row r="496">
      <c r="F496" t="inlineStr">
        <is>
          <t>Raheim Sanders | Rush Yds</t>
        </is>
      </c>
      <c r="G496" t="n">
        <v>1.5</v>
      </c>
    </row>
    <row r="497">
      <c r="F497" t="inlineStr">
        <is>
          <t>Raheim Sanders | Rush Yds</t>
        </is>
      </c>
      <c r="G497" t="n">
        <v>3.5</v>
      </c>
    </row>
    <row r="498">
      <c r="F498" t="inlineStr">
        <is>
          <t>Raheim Sanders | Rush Yds</t>
        </is>
      </c>
      <c r="G498" t="n">
        <v>5.5</v>
      </c>
    </row>
    <row r="499">
      <c r="F499" t="inlineStr">
        <is>
          <t>Raheim Sanders | Rush Yds</t>
        </is>
      </c>
      <c r="G499" t="n">
        <v>7.5</v>
      </c>
    </row>
    <row r="500">
      <c r="F500" t="inlineStr">
        <is>
          <t>Raheim Sanders | Rush Yds</t>
        </is>
      </c>
      <c r="G500" t="n">
        <v>9.5</v>
      </c>
    </row>
    <row r="501">
      <c r="F501" t="inlineStr">
        <is>
          <t>Raheim Sanders | Rush Yds</t>
        </is>
      </c>
      <c r="G501" t="n">
        <v>11.5</v>
      </c>
    </row>
    <row r="502">
      <c r="F502" t="inlineStr">
        <is>
          <t>Raheim Sanders | Rush Yds</t>
        </is>
      </c>
      <c r="G502" t="n">
        <v>13.5</v>
      </c>
    </row>
    <row r="503">
      <c r="F503" t="inlineStr">
        <is>
          <t>Raheim Sanders | Rush Yds</t>
        </is>
      </c>
      <c r="G503" t="n">
        <v>15.5</v>
      </c>
    </row>
    <row r="504">
      <c r="F504" t="inlineStr">
        <is>
          <t>Raheim Sanders | Rush Yds</t>
        </is>
      </c>
      <c r="G504" t="n">
        <v>17.5</v>
      </c>
    </row>
    <row r="505">
      <c r="F505" t="inlineStr">
        <is>
          <t>Raheim Sanders | Rush Yds</t>
        </is>
      </c>
      <c r="G505" t="n">
        <v>19.5</v>
      </c>
    </row>
    <row r="506">
      <c r="F506" t="inlineStr">
        <is>
          <t>Raheim Sanders | Rush Yds</t>
        </is>
      </c>
      <c r="G506" t="n">
        <v>21.5</v>
      </c>
    </row>
    <row r="507">
      <c r="F507" t="inlineStr">
        <is>
          <t>Raheim Sanders | Rush Yds</t>
        </is>
      </c>
      <c r="G507" t="n">
        <v>23.5</v>
      </c>
    </row>
    <row r="508">
      <c r="F508" t="inlineStr">
        <is>
          <t>Raheim Sanders | Rush Yds</t>
        </is>
      </c>
      <c r="G508" t="n">
        <v>25.5</v>
      </c>
    </row>
    <row r="509">
      <c r="F509" t="inlineStr">
        <is>
          <t>Raheim Sanders | Rec Yds</t>
        </is>
      </c>
      <c r="G509" t="n">
        <v>1.5</v>
      </c>
    </row>
    <row r="510">
      <c r="F510" t="inlineStr">
        <is>
          <t>Raheim Sanders | Rec Yds</t>
        </is>
      </c>
      <c r="G510" t="n">
        <v>3.5</v>
      </c>
    </row>
    <row r="511">
      <c r="F511" t="inlineStr">
        <is>
          <t>Raheim Sanders | Rec Yds</t>
        </is>
      </c>
      <c r="G511" t="n">
        <v>5.5</v>
      </c>
    </row>
    <row r="512">
      <c r="F512" t="inlineStr">
        <is>
          <t>Raheim Sanders | Rec Yds</t>
        </is>
      </c>
      <c r="G512" t="n">
        <v>7.5</v>
      </c>
    </row>
    <row r="513">
      <c r="F513" t="inlineStr">
        <is>
          <t>Raheim Sanders | Rec Yds</t>
        </is>
      </c>
      <c r="G513" t="n">
        <v>9.5</v>
      </c>
    </row>
    <row r="514">
      <c r="F514" t="inlineStr">
        <is>
          <t>Raheim Sanders | Rec Yds</t>
        </is>
      </c>
      <c r="G514" t="n">
        <v>11.5</v>
      </c>
    </row>
    <row r="515">
      <c r="F515" t="inlineStr">
        <is>
          <t>Raheim Sanders | Rec Yds</t>
        </is>
      </c>
      <c r="G515" t="n">
        <v>13.5</v>
      </c>
    </row>
    <row r="516">
      <c r="F516" t="inlineStr">
        <is>
          <t>Raheim Sanders | Rec Yds</t>
        </is>
      </c>
      <c r="G516" t="n">
        <v>15.5</v>
      </c>
    </row>
    <row r="517">
      <c r="F517" t="inlineStr">
        <is>
          <t>Raheim Sanders | Rec Yds</t>
        </is>
      </c>
      <c r="G517" t="n">
        <v>17.5</v>
      </c>
    </row>
    <row r="518">
      <c r="F518" t="inlineStr">
        <is>
          <t>Raheim Sanders | Rec Yds</t>
        </is>
      </c>
      <c r="G518" t="n">
        <v>19.5</v>
      </c>
    </row>
    <row r="519">
      <c r="F519" t="inlineStr">
        <is>
          <t>Raheim Sanders | Rec Yds</t>
        </is>
      </c>
      <c r="G519" t="n">
        <v>21.5</v>
      </c>
    </row>
    <row r="520">
      <c r="F520" t="inlineStr">
        <is>
          <t>Raheim Sanders | Rec Yds</t>
        </is>
      </c>
      <c r="G520" t="n">
        <v>23.5</v>
      </c>
    </row>
    <row r="521">
      <c r="F521" t="inlineStr">
        <is>
          <t>Raheim Sanders | Rec Yds</t>
        </is>
      </c>
      <c r="G521" t="n">
        <v>25.5</v>
      </c>
    </row>
    <row r="522">
      <c r="F522" t="inlineStr">
        <is>
          <t>Raheim Sanders | Rec Yds</t>
        </is>
      </c>
      <c r="G522" t="n">
        <v>27.5</v>
      </c>
    </row>
    <row r="523">
      <c r="F523" t="inlineStr">
        <is>
          <t>Raheim Sanders | Rec Yds</t>
        </is>
      </c>
      <c r="G523" t="n">
        <v>29.5</v>
      </c>
    </row>
    <row r="524">
      <c r="F524" t="inlineStr">
        <is>
          <t>Raheim Sanders | Rec Yds</t>
        </is>
      </c>
      <c r="G524" t="n">
        <v>31.5</v>
      </c>
    </row>
    <row r="525">
      <c r="F525" t="inlineStr">
        <is>
          <t>Raheim Sanders | Receptions</t>
        </is>
      </c>
      <c r="G525" t="n">
        <v>0.5</v>
      </c>
    </row>
    <row r="526">
      <c r="F526" t="inlineStr">
        <is>
          <t>Raheim Sanders | Receptions</t>
        </is>
      </c>
      <c r="G526" t="n">
        <v>1.5</v>
      </c>
    </row>
    <row r="527">
      <c r="F527" t="inlineStr">
        <is>
          <t>Raheim Sanders | Receptions</t>
        </is>
      </c>
      <c r="G527" t="n">
        <v>2.5</v>
      </c>
    </row>
    <row r="528">
      <c r="F528" t="inlineStr">
        <is>
          <t>Raheim Sanders | Receptions</t>
        </is>
      </c>
      <c r="G528" t="n">
        <v>3.5</v>
      </c>
    </row>
    <row r="529">
      <c r="F529" t="inlineStr">
        <is>
          <t>Raheim Sanders | Receptions</t>
        </is>
      </c>
      <c r="G529" t="n">
        <v>4.5</v>
      </c>
    </row>
    <row r="530">
      <c r="F530" t="inlineStr">
        <is>
          <t>Raheim Sanders | Receptions</t>
        </is>
      </c>
      <c r="G530" t="n">
        <v>5.5</v>
      </c>
    </row>
    <row r="531">
      <c r="F531" t="inlineStr">
        <is>
          <t>Raheim Sanders | Receptions</t>
        </is>
      </c>
      <c r="G531" t="n">
        <v>6.5</v>
      </c>
    </row>
    <row r="532">
      <c r="F532" t="inlineStr">
        <is>
          <t>Raheim Sanders | Rush+Rec Yds</t>
        </is>
      </c>
      <c r="G532" t="n">
        <v>2.5</v>
      </c>
    </row>
    <row r="533">
      <c r="F533" t="inlineStr">
        <is>
          <t>Raheim Sanders | Rush+Rec Yds</t>
        </is>
      </c>
      <c r="G533" t="n">
        <v>4.5</v>
      </c>
    </row>
    <row r="534">
      <c r="F534" t="inlineStr">
        <is>
          <t>Raheim Sanders | Rush+Rec Yds</t>
        </is>
      </c>
      <c r="G534" t="n">
        <v>6.5</v>
      </c>
    </row>
    <row r="535">
      <c r="F535" t="inlineStr">
        <is>
          <t>Raheim Sanders | Rush+Rec Yds</t>
        </is>
      </c>
      <c r="G535" t="n">
        <v>8.5</v>
      </c>
    </row>
    <row r="536">
      <c r="F536" t="inlineStr">
        <is>
          <t>Raheim Sanders | Rush+Rec Yds</t>
        </is>
      </c>
      <c r="G536" t="n">
        <v>10.5</v>
      </c>
    </row>
    <row r="537">
      <c r="F537" t="inlineStr">
        <is>
          <t>Raheim Sanders | Rush+Rec Yds</t>
        </is>
      </c>
      <c r="G537" t="n">
        <v>12.5</v>
      </c>
    </row>
    <row r="538">
      <c r="F538" t="inlineStr">
        <is>
          <t>Raheim Sanders | Rush+Rec Yds</t>
        </is>
      </c>
      <c r="G538" t="n">
        <v>14.5</v>
      </c>
    </row>
    <row r="539">
      <c r="F539" t="inlineStr">
        <is>
          <t>Raheim Sanders | Rush+Rec Yds</t>
        </is>
      </c>
      <c r="G539" t="n">
        <v>16.5</v>
      </c>
    </row>
    <row r="540">
      <c r="F540" t="inlineStr">
        <is>
          <t>Raheim Sanders | Rush+Rec Yds</t>
        </is>
      </c>
      <c r="G540" t="n">
        <v>18.5</v>
      </c>
    </row>
    <row r="541">
      <c r="F541" t="inlineStr">
        <is>
          <t>Raheim Sanders | Rush+Rec Yds</t>
        </is>
      </c>
      <c r="G541" t="n">
        <v>20.5</v>
      </c>
    </row>
    <row r="542">
      <c r="F542" t="inlineStr">
        <is>
          <t>Raheim Sanders | Rush+Rec Yds</t>
        </is>
      </c>
      <c r="G542" t="n">
        <v>22.5</v>
      </c>
    </row>
    <row r="543">
      <c r="F543" t="inlineStr">
        <is>
          <t>Raheim Sanders | Rush+Rec Yds</t>
        </is>
      </c>
      <c r="G543" t="n">
        <v>24.5</v>
      </c>
    </row>
    <row r="544">
      <c r="F544" t="inlineStr">
        <is>
          <t>Raheim Sanders | Rush+Rec Yds</t>
        </is>
      </c>
      <c r="G544" t="n">
        <v>26.5</v>
      </c>
    </row>
    <row r="545">
      <c r="F545" t="inlineStr">
        <is>
          <t>Raheim Sanders | Rush+Rec Yds</t>
        </is>
      </c>
      <c r="G545" t="n">
        <v>28.5</v>
      </c>
    </row>
    <row r="546">
      <c r="F546" t="inlineStr">
        <is>
          <t>Raheim Sanders | Rush+Rec Yds</t>
        </is>
      </c>
      <c r="G546" t="n">
        <v>30.5</v>
      </c>
    </row>
    <row r="547">
      <c r="F547" t="inlineStr">
        <is>
          <t>Raheim Sanders | Rush+Rec Yds</t>
        </is>
      </c>
      <c r="G547" t="n">
        <v>32.5</v>
      </c>
    </row>
    <row r="548">
      <c r="F548" t="inlineStr">
        <is>
          <t>Raheim Sanders | Rush+Rec Yds</t>
        </is>
      </c>
      <c r="G548" t="n">
        <v>34.5</v>
      </c>
    </row>
    <row r="549">
      <c r="F549" t="inlineStr">
        <is>
          <t>Raheim Sanders | Rush+Rec Yds</t>
        </is>
      </c>
      <c r="G549" t="n">
        <v>36.5</v>
      </c>
    </row>
    <row r="550">
      <c r="F550" t="inlineStr">
        <is>
          <t>Raheim Sanders | Rush+Rec Yds</t>
        </is>
      </c>
      <c r="G550" t="n">
        <v>38.5</v>
      </c>
    </row>
    <row r="551">
      <c r="F551" t="inlineStr">
        <is>
          <t>Raheim Sanders | Rush+Rec Yds</t>
        </is>
      </c>
      <c r="G551" t="n">
        <v>40.5</v>
      </c>
    </row>
    <row r="552">
      <c r="F552" t="inlineStr">
        <is>
          <t>Raheim Sanders | Anytime TDs</t>
        </is>
      </c>
      <c r="G552" t="n">
        <v>0.5</v>
      </c>
    </row>
    <row r="553">
      <c r="F553" t="inlineStr">
        <is>
          <t>Robert Tonyan | Anytime TDs</t>
        </is>
      </c>
      <c r="G553" t="n">
        <v>0.5</v>
      </c>
    </row>
    <row r="554">
      <c r="F554" t="inlineStr">
        <is>
          <t>Roman Wilson | Rec Yds</t>
        </is>
      </c>
      <c r="G554" t="n">
        <v>1.5</v>
      </c>
    </row>
    <row r="555">
      <c r="F555" t="inlineStr">
        <is>
          <t>Roman Wilson | Rec Yds</t>
        </is>
      </c>
      <c r="G555" t="n">
        <v>3.5</v>
      </c>
    </row>
    <row r="556">
      <c r="F556" t="inlineStr">
        <is>
          <t>Roman Wilson | Rec Yds</t>
        </is>
      </c>
      <c r="G556" t="n">
        <v>5.5</v>
      </c>
    </row>
    <row r="557">
      <c r="F557" t="inlineStr">
        <is>
          <t>Roman Wilson | Rec Yds</t>
        </is>
      </c>
      <c r="G557" t="n">
        <v>7.5</v>
      </c>
    </row>
    <row r="558">
      <c r="F558" t="inlineStr">
        <is>
          <t>Roman Wilson | Rec Yds</t>
        </is>
      </c>
      <c r="G558" t="n">
        <v>9.5</v>
      </c>
    </row>
    <row r="559">
      <c r="F559" t="inlineStr">
        <is>
          <t>Roman Wilson | Rec Yds</t>
        </is>
      </c>
      <c r="G559" t="n">
        <v>11.5</v>
      </c>
    </row>
    <row r="560">
      <c r="F560" t="inlineStr">
        <is>
          <t>Roman Wilson | Rec Yds</t>
        </is>
      </c>
      <c r="G560" t="n">
        <v>13.5</v>
      </c>
    </row>
    <row r="561">
      <c r="F561" t="inlineStr">
        <is>
          <t>Roman Wilson | Rec Yds</t>
        </is>
      </c>
      <c r="G561" t="n">
        <v>15.5</v>
      </c>
    </row>
    <row r="562">
      <c r="F562" t="inlineStr">
        <is>
          <t>Roman Wilson | Rec Yds</t>
        </is>
      </c>
      <c r="G562" t="n">
        <v>17.5</v>
      </c>
    </row>
    <row r="563">
      <c r="F563" t="inlineStr">
        <is>
          <t>Roman Wilson | Rec Yds</t>
        </is>
      </c>
      <c r="G563" t="n">
        <v>19.5</v>
      </c>
    </row>
    <row r="564">
      <c r="F564" t="inlineStr">
        <is>
          <t>Roman Wilson | Rec Yds</t>
        </is>
      </c>
      <c r="G564" t="n">
        <v>21.5</v>
      </c>
    </row>
    <row r="565">
      <c r="F565" t="inlineStr">
        <is>
          <t>Roman Wilson | Rec Yds</t>
        </is>
      </c>
      <c r="G565" t="n">
        <v>23.5</v>
      </c>
    </row>
    <row r="566">
      <c r="F566" t="inlineStr">
        <is>
          <t>Roman Wilson | Rec Yds</t>
        </is>
      </c>
      <c r="G566" t="n">
        <v>25.5</v>
      </c>
    </row>
    <row r="567">
      <c r="F567" t="inlineStr">
        <is>
          <t>Roman Wilson | Rec Yds</t>
        </is>
      </c>
      <c r="G567" t="n">
        <v>27.5</v>
      </c>
    </row>
    <row r="568">
      <c r="F568" t="inlineStr">
        <is>
          <t>Roman Wilson | Rec Yds</t>
        </is>
      </c>
      <c r="G568" t="n">
        <v>29.5</v>
      </c>
    </row>
    <row r="569">
      <c r="F569" t="inlineStr">
        <is>
          <t>Roman Wilson | Rec Yds</t>
        </is>
      </c>
      <c r="G569" t="n">
        <v>31.5</v>
      </c>
    </row>
    <row r="570">
      <c r="F570" t="inlineStr">
        <is>
          <t>Roman Wilson | Rec Yds</t>
        </is>
      </c>
      <c r="G570" t="n">
        <v>33.5</v>
      </c>
    </row>
    <row r="571">
      <c r="F571" t="inlineStr">
        <is>
          <t>Roman Wilson | Rec Yds</t>
        </is>
      </c>
      <c r="G571" t="n">
        <v>35.5</v>
      </c>
    </row>
    <row r="572">
      <c r="F572" t="inlineStr">
        <is>
          <t>Roman Wilson | Rec Yds</t>
        </is>
      </c>
      <c r="G572" t="n">
        <v>37.5</v>
      </c>
    </row>
    <row r="573">
      <c r="F573" t="inlineStr">
        <is>
          <t>Roman Wilson | Rec Yds</t>
        </is>
      </c>
      <c r="G573" t="n">
        <v>39.5</v>
      </c>
    </row>
    <row r="574">
      <c r="F574" t="inlineStr">
        <is>
          <t>Roman Wilson | Receptions</t>
        </is>
      </c>
      <c r="G574" t="n">
        <v>0.5</v>
      </c>
    </row>
    <row r="575">
      <c r="F575" t="inlineStr">
        <is>
          <t>Roman Wilson | Receptions</t>
        </is>
      </c>
      <c r="G575" t="n">
        <v>1.5</v>
      </c>
    </row>
    <row r="576">
      <c r="F576" t="inlineStr">
        <is>
          <t>Roman Wilson | Receptions</t>
        </is>
      </c>
      <c r="G576" t="n">
        <v>2.5</v>
      </c>
    </row>
    <row r="577">
      <c r="F577" t="inlineStr">
        <is>
          <t>Roman Wilson | Receptions</t>
        </is>
      </c>
      <c r="G577" t="n">
        <v>3.5</v>
      </c>
    </row>
    <row r="578">
      <c r="F578" t="inlineStr">
        <is>
          <t>Roman Wilson | Receptions</t>
        </is>
      </c>
      <c r="G578" t="n">
        <v>4.5</v>
      </c>
    </row>
    <row r="579">
      <c r="F579" t="inlineStr">
        <is>
          <t>Roman Wilson | Receptions</t>
        </is>
      </c>
      <c r="G579" t="n">
        <v>5.5</v>
      </c>
    </row>
    <row r="580">
      <c r="F580" t="inlineStr">
        <is>
          <t>Roman Wilson | Rush+Rec Yds</t>
        </is>
      </c>
      <c r="G580" t="n">
        <v>2.5</v>
      </c>
    </row>
    <row r="581">
      <c r="F581" t="inlineStr">
        <is>
          <t>Roman Wilson | Rush+Rec Yds</t>
        </is>
      </c>
      <c r="G581" t="n">
        <v>4.5</v>
      </c>
    </row>
    <row r="582">
      <c r="F582" t="inlineStr">
        <is>
          <t>Roman Wilson | Rush+Rec Yds</t>
        </is>
      </c>
      <c r="G582" t="n">
        <v>6.5</v>
      </c>
    </row>
    <row r="583">
      <c r="F583" t="inlineStr">
        <is>
          <t>Roman Wilson | Rush+Rec Yds</t>
        </is>
      </c>
      <c r="G583" t="n">
        <v>8.5</v>
      </c>
    </row>
    <row r="584">
      <c r="F584" t="inlineStr">
        <is>
          <t>Roman Wilson | Rush+Rec Yds</t>
        </is>
      </c>
      <c r="G584" t="n">
        <v>10.5</v>
      </c>
    </row>
    <row r="585">
      <c r="F585" t="inlineStr">
        <is>
          <t>Roman Wilson | Rush+Rec Yds</t>
        </is>
      </c>
      <c r="G585" t="n">
        <v>12.5</v>
      </c>
    </row>
    <row r="586">
      <c r="F586" t="inlineStr">
        <is>
          <t>Roman Wilson | Rush+Rec Yds</t>
        </is>
      </c>
      <c r="G586" t="n">
        <v>14.5</v>
      </c>
    </row>
    <row r="587">
      <c r="F587" t="inlineStr">
        <is>
          <t>Roman Wilson | Rush+Rec Yds</t>
        </is>
      </c>
      <c r="G587" t="n">
        <v>16.5</v>
      </c>
    </row>
    <row r="588">
      <c r="F588" t="inlineStr">
        <is>
          <t>Roman Wilson | Rush+Rec Yds</t>
        </is>
      </c>
      <c r="G588" t="n">
        <v>18.5</v>
      </c>
    </row>
    <row r="589">
      <c r="F589" t="inlineStr">
        <is>
          <t>Roman Wilson | Rush+Rec Yds</t>
        </is>
      </c>
      <c r="G589" t="n">
        <v>20.5</v>
      </c>
    </row>
    <row r="590">
      <c r="F590" t="inlineStr">
        <is>
          <t>Roman Wilson | Rush+Rec Yds</t>
        </is>
      </c>
      <c r="G590" t="n">
        <v>22.5</v>
      </c>
    </row>
    <row r="591">
      <c r="F591" t="inlineStr">
        <is>
          <t>Roman Wilson | Rush+Rec Yds</t>
        </is>
      </c>
      <c r="G591" t="n">
        <v>24.5</v>
      </c>
    </row>
    <row r="592">
      <c r="F592" t="inlineStr">
        <is>
          <t>Roman Wilson | Rush+Rec Yds</t>
        </is>
      </c>
      <c r="G592" t="n">
        <v>26.5</v>
      </c>
    </row>
    <row r="593">
      <c r="F593" t="inlineStr">
        <is>
          <t>Roman Wilson | Rush+Rec Yds</t>
        </is>
      </c>
      <c r="G593" t="n">
        <v>28.5</v>
      </c>
    </row>
    <row r="594">
      <c r="F594" t="inlineStr">
        <is>
          <t>Roman Wilson | Rush+Rec Yds</t>
        </is>
      </c>
      <c r="G594" t="n">
        <v>30.5</v>
      </c>
    </row>
    <row r="595">
      <c r="F595" t="inlineStr">
        <is>
          <t>Roman Wilson | Rush+Rec Yds</t>
        </is>
      </c>
      <c r="G595" t="n">
        <v>32.5</v>
      </c>
    </row>
    <row r="596">
      <c r="F596" t="inlineStr">
        <is>
          <t>Roman Wilson | Rush+Rec Yds</t>
        </is>
      </c>
      <c r="G596" t="n">
        <v>34.5</v>
      </c>
    </row>
    <row r="597">
      <c r="F597" t="inlineStr">
        <is>
          <t>Roman Wilson | Rush+Rec Yds</t>
        </is>
      </c>
      <c r="G597" t="n">
        <v>36.5</v>
      </c>
    </row>
    <row r="598">
      <c r="F598" t="inlineStr">
        <is>
          <t>Roman Wilson | Rush+Rec Yds</t>
        </is>
      </c>
      <c r="G598" t="n">
        <v>38.5</v>
      </c>
    </row>
    <row r="599">
      <c r="F599" t="inlineStr">
        <is>
          <t>Roman Wilson | Rush+Rec Yds</t>
        </is>
      </c>
      <c r="G599" t="n">
        <v>40.5</v>
      </c>
    </row>
    <row r="600">
      <c r="F600" t="inlineStr">
        <is>
          <t>Roman Wilson | Rush+Rec Yds</t>
        </is>
      </c>
      <c r="G600" t="n">
        <v>42.5</v>
      </c>
    </row>
    <row r="601">
      <c r="F601" t="inlineStr">
        <is>
          <t>Roman Wilson | Anytime TDs</t>
        </is>
      </c>
      <c r="G601" t="n">
        <v>0.5</v>
      </c>
    </row>
    <row r="602">
      <c r="F602" t="inlineStr">
        <is>
          <t>Travis Homer | Rush Yds</t>
        </is>
      </c>
      <c r="G602" t="n">
        <v>4.5</v>
      </c>
    </row>
    <row r="603">
      <c r="F603" t="inlineStr">
        <is>
          <t>Travis Homer | Rush Yds</t>
        </is>
      </c>
      <c r="G603" t="n">
        <v>9.5</v>
      </c>
    </row>
    <row r="604">
      <c r="F604" t="inlineStr">
        <is>
          <t>Travis Homer | Rush Yds</t>
        </is>
      </c>
      <c r="G604" t="n">
        <v>14.5</v>
      </c>
    </row>
    <row r="605">
      <c r="F605" t="inlineStr">
        <is>
          <t>Travis Homer | Rush Yds</t>
        </is>
      </c>
      <c r="G605" t="n">
        <v>19.5</v>
      </c>
    </row>
    <row r="606">
      <c r="F606" t="inlineStr">
        <is>
          <t>Travis Homer | Rush Yds</t>
        </is>
      </c>
      <c r="G606" t="n">
        <v>24.5</v>
      </c>
    </row>
    <row r="607">
      <c r="F607" t="inlineStr">
        <is>
          <t>Travis Homer | Rush Yds</t>
        </is>
      </c>
      <c r="G607" t="n">
        <v>29.5</v>
      </c>
    </row>
    <row r="608">
      <c r="F608" t="inlineStr">
        <is>
          <t>Travis Homer | Rush Yds</t>
        </is>
      </c>
      <c r="G608" t="n">
        <v>34.5</v>
      </c>
    </row>
    <row r="609">
      <c r="F609" t="inlineStr">
        <is>
          <t>Travis Homer | Rush Yds</t>
        </is>
      </c>
      <c r="G609" t="n">
        <v>39.5</v>
      </c>
    </row>
    <row r="610">
      <c r="F610" t="inlineStr">
        <is>
          <t>Travis Homer | Rush Yds</t>
        </is>
      </c>
      <c r="G610" t="n">
        <v>44.5</v>
      </c>
    </row>
    <row r="611">
      <c r="F611" t="inlineStr">
        <is>
          <t>Travis Homer | Rush Yds</t>
        </is>
      </c>
      <c r="G611" t="n">
        <v>49.5</v>
      </c>
    </row>
    <row r="612">
      <c r="F612" t="inlineStr">
        <is>
          <t>Travis Homer | Rush Yds</t>
        </is>
      </c>
      <c r="G612" t="n">
        <v>54.5</v>
      </c>
    </row>
    <row r="613">
      <c r="F613" t="inlineStr">
        <is>
          <t>Travis Homer | Rush Yds</t>
        </is>
      </c>
      <c r="G613" t="n">
        <v>59.5</v>
      </c>
    </row>
    <row r="614">
      <c r="F614" t="inlineStr">
        <is>
          <t>Travis Homer | Rush Yds</t>
        </is>
      </c>
      <c r="G614" t="n">
        <v>64.5</v>
      </c>
    </row>
    <row r="615">
      <c r="F615" t="inlineStr">
        <is>
          <t>Travis Homer | Rush Yds</t>
        </is>
      </c>
      <c r="G615" t="n">
        <v>69.5</v>
      </c>
    </row>
    <row r="616">
      <c r="F616" t="inlineStr">
        <is>
          <t>Travis Homer | Rush Yds</t>
        </is>
      </c>
      <c r="G616" t="n">
        <v>74.5</v>
      </c>
    </row>
    <row r="617">
      <c r="F617" t="inlineStr">
        <is>
          <t>Travis Homer | Rush Yds</t>
        </is>
      </c>
      <c r="G617" t="n">
        <v>79.5</v>
      </c>
    </row>
    <row r="618">
      <c r="F618" t="inlineStr">
        <is>
          <t>Travis Homer | Rush Yds</t>
        </is>
      </c>
      <c r="G618" t="n">
        <v>84.5</v>
      </c>
    </row>
    <row r="619">
      <c r="F619" t="inlineStr">
        <is>
          <t>Travis Homer | Anytime TDs</t>
        </is>
      </c>
      <c r="G619" t="n">
        <v>0.5</v>
      </c>
    </row>
    <row r="620">
      <c r="F620" t="inlineStr">
        <is>
          <t>Tylan Wallace | Anytime TDs</t>
        </is>
      </c>
      <c r="G620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1</t>
        </is>
      </c>
      <c r="B1" t="inlineStr">
        <is>
          <t>Leg 2</t>
        </is>
      </c>
      <c r="C1" t="inlineStr">
        <is>
          <t>Leg 3</t>
        </is>
      </c>
      <c r="D1" t="inlineStr">
        <is>
          <t>Leg 4</t>
        </is>
      </c>
      <c r="E1" t="inlineStr">
        <is>
          <t>Leg 5</t>
        </is>
      </c>
      <c r="F1" t="inlineStr">
        <is>
          <t>Leg 6</t>
        </is>
      </c>
      <c r="G1" t="inlineStr">
        <is>
          <t>Misses</t>
        </is>
      </c>
    </row>
    <row r="2">
      <c r="A2">
        <f>IF('Entry Builder'!$N$7=0,1,IF('Entry Builder'!$D$7="Less",--(INDEX(Sims!$A2:$BO2,'Entry Builder'!$L$7)&lt;'Entry Builder'!$E$7),--(INDEX(Sims!$A2:$BO2,'Entry Builder'!$L$7)&gt;'Entry Builder'!$E$7)))</f>
        <v/>
      </c>
      <c r="B2">
        <f>IF('Entry Builder'!$N$8=0,1,IF('Entry Builder'!$D$8="Less",--(INDEX(Sims!$A2:$BO2,'Entry Builder'!$L$8)&lt;'Entry Builder'!$E$8),--(INDEX(Sims!$A2:$BO2,'Entry Builder'!$L$8)&gt;'Entry Builder'!$E$8)))</f>
        <v/>
      </c>
      <c r="C2">
        <f>IF('Entry Builder'!$N$9=0,1,IF('Entry Builder'!$D$9="Less",--(INDEX(Sims!$A2:$BO2,'Entry Builder'!$L$9)&lt;'Entry Builder'!$E$9),--(INDEX(Sims!$A2:$BO2,'Entry Builder'!$L$9)&gt;'Entry Builder'!$E$9)))</f>
        <v/>
      </c>
      <c r="D2">
        <f>IF('Entry Builder'!$N$10=0,1,IF('Entry Builder'!$D$10="Less",--(INDEX(Sims!$A2:$BO2,'Entry Builder'!$L$10)&lt;'Entry Builder'!$E$10),--(INDEX(Sims!$A2:$BO2,'Entry Builder'!$L$10)&gt;'Entry Builder'!$E$10)))</f>
        <v/>
      </c>
      <c r="E2">
        <f>IF('Entry Builder'!$N$11=0,1,IF('Entry Builder'!$D$11="Less",--(INDEX(Sims!$A2:$BO2,'Entry Builder'!$L$11)&lt;'Entry Builder'!$E$11),--(INDEX(Sims!$A2:$BO2,'Entry Builder'!$L$11)&gt;'Entry Builder'!$E$11)))</f>
        <v/>
      </c>
      <c r="F2">
        <f>IF('Entry Builder'!$N$12=0,1,IF('Entry Builder'!$D$12="Less",--(INDEX(Sims!$A2:$BO2,'Entry Builder'!$L$12)&lt;'Entry Builder'!$E$12),--(INDEX(Sims!$A2:$BO2,'Entry Builder'!$L$12)&gt;'Entry Builder'!$E$12)))</f>
        <v/>
      </c>
      <c r="G2">
        <f>6-SUM(A2:F2)</f>
        <v/>
      </c>
    </row>
    <row r="3">
      <c r="A3">
        <f>IF('Entry Builder'!$N$7=0,1,IF('Entry Builder'!$D$7="Less",--(INDEX(Sims!$A3:$BO3,'Entry Builder'!$L$7)&lt;'Entry Builder'!$E$7),--(INDEX(Sims!$A3:$BO3,'Entry Builder'!$L$7)&gt;'Entry Builder'!$E$7)))</f>
        <v/>
      </c>
      <c r="B3">
        <f>IF('Entry Builder'!$N$8=0,1,IF('Entry Builder'!$D$8="Less",--(INDEX(Sims!$A3:$BO3,'Entry Builder'!$L$8)&lt;'Entry Builder'!$E$8),--(INDEX(Sims!$A3:$BO3,'Entry Builder'!$L$8)&gt;'Entry Builder'!$E$8)))</f>
        <v/>
      </c>
      <c r="C3">
        <f>IF('Entry Builder'!$N$9=0,1,IF('Entry Builder'!$D$9="Less",--(INDEX(Sims!$A3:$BO3,'Entry Builder'!$L$9)&lt;'Entry Builder'!$E$9),--(INDEX(Sims!$A3:$BO3,'Entry Builder'!$L$9)&gt;'Entry Builder'!$E$9)))</f>
        <v/>
      </c>
      <c r="D3">
        <f>IF('Entry Builder'!$N$10=0,1,IF('Entry Builder'!$D$10="Less",--(INDEX(Sims!$A3:$BO3,'Entry Builder'!$L$10)&lt;'Entry Builder'!$E$10),--(INDEX(Sims!$A3:$BO3,'Entry Builder'!$L$10)&gt;'Entry Builder'!$E$10)))</f>
        <v/>
      </c>
      <c r="E3">
        <f>IF('Entry Builder'!$N$11=0,1,IF('Entry Builder'!$D$11="Less",--(INDEX(Sims!$A3:$BO3,'Entry Builder'!$L$11)&lt;'Entry Builder'!$E$11),--(INDEX(Sims!$A3:$BO3,'Entry Builder'!$L$11)&gt;'Entry Builder'!$E$11)))</f>
        <v/>
      </c>
      <c r="F3">
        <f>IF('Entry Builder'!$N$12=0,1,IF('Entry Builder'!$D$12="Less",--(INDEX(Sims!$A3:$BO3,'Entry Builder'!$L$12)&lt;'Entry Builder'!$E$12),--(INDEX(Sims!$A3:$BO3,'Entry Builder'!$L$12)&gt;'Entry Builder'!$E$12)))</f>
        <v/>
      </c>
      <c r="G3">
        <f>6-SUM(A3:F3)</f>
        <v/>
      </c>
    </row>
    <row r="4">
      <c r="A4">
        <f>IF('Entry Builder'!$N$7=0,1,IF('Entry Builder'!$D$7="Less",--(INDEX(Sims!$A4:$BO4,'Entry Builder'!$L$7)&lt;'Entry Builder'!$E$7),--(INDEX(Sims!$A4:$BO4,'Entry Builder'!$L$7)&gt;'Entry Builder'!$E$7)))</f>
        <v/>
      </c>
      <c r="B4">
        <f>IF('Entry Builder'!$N$8=0,1,IF('Entry Builder'!$D$8="Less",--(INDEX(Sims!$A4:$BO4,'Entry Builder'!$L$8)&lt;'Entry Builder'!$E$8),--(INDEX(Sims!$A4:$BO4,'Entry Builder'!$L$8)&gt;'Entry Builder'!$E$8)))</f>
        <v/>
      </c>
      <c r="C4">
        <f>IF('Entry Builder'!$N$9=0,1,IF('Entry Builder'!$D$9="Less",--(INDEX(Sims!$A4:$BO4,'Entry Builder'!$L$9)&lt;'Entry Builder'!$E$9),--(INDEX(Sims!$A4:$BO4,'Entry Builder'!$L$9)&gt;'Entry Builder'!$E$9)))</f>
        <v/>
      </c>
      <c r="D4">
        <f>IF('Entry Builder'!$N$10=0,1,IF('Entry Builder'!$D$10="Less",--(INDEX(Sims!$A4:$BO4,'Entry Builder'!$L$10)&lt;'Entry Builder'!$E$10),--(INDEX(Sims!$A4:$BO4,'Entry Builder'!$L$10)&gt;'Entry Builder'!$E$10)))</f>
        <v/>
      </c>
      <c r="E4">
        <f>IF('Entry Builder'!$N$11=0,1,IF('Entry Builder'!$D$11="Less",--(INDEX(Sims!$A4:$BO4,'Entry Builder'!$L$11)&lt;'Entry Builder'!$E$11),--(INDEX(Sims!$A4:$BO4,'Entry Builder'!$L$11)&gt;'Entry Builder'!$E$11)))</f>
        <v/>
      </c>
      <c r="F4">
        <f>IF('Entry Builder'!$N$12=0,1,IF('Entry Builder'!$D$12="Less",--(INDEX(Sims!$A4:$BO4,'Entry Builder'!$L$12)&lt;'Entry Builder'!$E$12),--(INDEX(Sims!$A4:$BO4,'Entry Builder'!$L$12)&gt;'Entry Builder'!$E$12)))</f>
        <v/>
      </c>
      <c r="G4">
        <f>6-SUM(A4:F4)</f>
        <v/>
      </c>
    </row>
    <row r="5">
      <c r="A5">
        <f>IF('Entry Builder'!$N$7=0,1,IF('Entry Builder'!$D$7="Less",--(INDEX(Sims!$A5:$BO5,'Entry Builder'!$L$7)&lt;'Entry Builder'!$E$7),--(INDEX(Sims!$A5:$BO5,'Entry Builder'!$L$7)&gt;'Entry Builder'!$E$7)))</f>
        <v/>
      </c>
      <c r="B5">
        <f>IF('Entry Builder'!$N$8=0,1,IF('Entry Builder'!$D$8="Less",--(INDEX(Sims!$A5:$BO5,'Entry Builder'!$L$8)&lt;'Entry Builder'!$E$8),--(INDEX(Sims!$A5:$BO5,'Entry Builder'!$L$8)&gt;'Entry Builder'!$E$8)))</f>
        <v/>
      </c>
      <c r="C5">
        <f>IF('Entry Builder'!$N$9=0,1,IF('Entry Builder'!$D$9="Less",--(INDEX(Sims!$A5:$BO5,'Entry Builder'!$L$9)&lt;'Entry Builder'!$E$9),--(INDEX(Sims!$A5:$BO5,'Entry Builder'!$L$9)&gt;'Entry Builder'!$E$9)))</f>
        <v/>
      </c>
      <c r="D5">
        <f>IF('Entry Builder'!$N$10=0,1,IF('Entry Builder'!$D$10="Less",--(INDEX(Sims!$A5:$BO5,'Entry Builder'!$L$10)&lt;'Entry Builder'!$E$10),--(INDEX(Sims!$A5:$BO5,'Entry Builder'!$L$10)&gt;'Entry Builder'!$E$10)))</f>
        <v/>
      </c>
      <c r="E5">
        <f>IF('Entry Builder'!$N$11=0,1,IF('Entry Builder'!$D$11="Less",--(INDEX(Sims!$A5:$BO5,'Entry Builder'!$L$11)&lt;'Entry Builder'!$E$11),--(INDEX(Sims!$A5:$BO5,'Entry Builder'!$L$11)&gt;'Entry Builder'!$E$11)))</f>
        <v/>
      </c>
      <c r="F5">
        <f>IF('Entry Builder'!$N$12=0,1,IF('Entry Builder'!$D$12="Less",--(INDEX(Sims!$A5:$BO5,'Entry Builder'!$L$12)&lt;'Entry Builder'!$E$12),--(INDEX(Sims!$A5:$BO5,'Entry Builder'!$L$12)&gt;'Entry Builder'!$E$12)))</f>
        <v/>
      </c>
      <c r="G5">
        <f>6-SUM(A5:F5)</f>
        <v/>
      </c>
    </row>
    <row r="6">
      <c r="A6">
        <f>IF('Entry Builder'!$N$7=0,1,IF('Entry Builder'!$D$7="Less",--(INDEX(Sims!$A6:$BO6,'Entry Builder'!$L$7)&lt;'Entry Builder'!$E$7),--(INDEX(Sims!$A6:$BO6,'Entry Builder'!$L$7)&gt;'Entry Builder'!$E$7)))</f>
        <v/>
      </c>
      <c r="B6">
        <f>IF('Entry Builder'!$N$8=0,1,IF('Entry Builder'!$D$8="Less",--(INDEX(Sims!$A6:$BO6,'Entry Builder'!$L$8)&lt;'Entry Builder'!$E$8),--(INDEX(Sims!$A6:$BO6,'Entry Builder'!$L$8)&gt;'Entry Builder'!$E$8)))</f>
        <v/>
      </c>
      <c r="C6">
        <f>IF('Entry Builder'!$N$9=0,1,IF('Entry Builder'!$D$9="Less",--(INDEX(Sims!$A6:$BO6,'Entry Builder'!$L$9)&lt;'Entry Builder'!$E$9),--(INDEX(Sims!$A6:$BO6,'Entry Builder'!$L$9)&gt;'Entry Builder'!$E$9)))</f>
        <v/>
      </c>
      <c r="D6">
        <f>IF('Entry Builder'!$N$10=0,1,IF('Entry Builder'!$D$10="Less",--(INDEX(Sims!$A6:$BO6,'Entry Builder'!$L$10)&lt;'Entry Builder'!$E$10),--(INDEX(Sims!$A6:$BO6,'Entry Builder'!$L$10)&gt;'Entry Builder'!$E$10)))</f>
        <v/>
      </c>
      <c r="E6">
        <f>IF('Entry Builder'!$N$11=0,1,IF('Entry Builder'!$D$11="Less",--(INDEX(Sims!$A6:$BO6,'Entry Builder'!$L$11)&lt;'Entry Builder'!$E$11),--(INDEX(Sims!$A6:$BO6,'Entry Builder'!$L$11)&gt;'Entry Builder'!$E$11)))</f>
        <v/>
      </c>
      <c r="F6">
        <f>IF('Entry Builder'!$N$12=0,1,IF('Entry Builder'!$D$12="Less",--(INDEX(Sims!$A6:$BO6,'Entry Builder'!$L$12)&lt;'Entry Builder'!$E$12),--(INDEX(Sims!$A6:$BO6,'Entry Builder'!$L$12)&gt;'Entry Builder'!$E$12)))</f>
        <v/>
      </c>
      <c r="G6">
        <f>6-SUM(A6:F6)</f>
        <v/>
      </c>
    </row>
    <row r="7">
      <c r="A7">
        <f>IF('Entry Builder'!$N$7=0,1,IF('Entry Builder'!$D$7="Less",--(INDEX(Sims!$A7:$BO7,'Entry Builder'!$L$7)&lt;'Entry Builder'!$E$7),--(INDEX(Sims!$A7:$BO7,'Entry Builder'!$L$7)&gt;'Entry Builder'!$E$7)))</f>
        <v/>
      </c>
      <c r="B7">
        <f>IF('Entry Builder'!$N$8=0,1,IF('Entry Builder'!$D$8="Less",--(INDEX(Sims!$A7:$BO7,'Entry Builder'!$L$8)&lt;'Entry Builder'!$E$8),--(INDEX(Sims!$A7:$BO7,'Entry Builder'!$L$8)&gt;'Entry Builder'!$E$8)))</f>
        <v/>
      </c>
      <c r="C7">
        <f>IF('Entry Builder'!$N$9=0,1,IF('Entry Builder'!$D$9="Less",--(INDEX(Sims!$A7:$BO7,'Entry Builder'!$L$9)&lt;'Entry Builder'!$E$9),--(INDEX(Sims!$A7:$BO7,'Entry Builder'!$L$9)&gt;'Entry Builder'!$E$9)))</f>
        <v/>
      </c>
      <c r="D7">
        <f>IF('Entry Builder'!$N$10=0,1,IF('Entry Builder'!$D$10="Less",--(INDEX(Sims!$A7:$BO7,'Entry Builder'!$L$10)&lt;'Entry Builder'!$E$10),--(INDEX(Sims!$A7:$BO7,'Entry Builder'!$L$10)&gt;'Entry Builder'!$E$10)))</f>
        <v/>
      </c>
      <c r="E7">
        <f>IF('Entry Builder'!$N$11=0,1,IF('Entry Builder'!$D$11="Less",--(INDEX(Sims!$A7:$BO7,'Entry Builder'!$L$11)&lt;'Entry Builder'!$E$11),--(INDEX(Sims!$A7:$BO7,'Entry Builder'!$L$11)&gt;'Entry Builder'!$E$11)))</f>
        <v/>
      </c>
      <c r="F7">
        <f>IF('Entry Builder'!$N$12=0,1,IF('Entry Builder'!$D$12="Less",--(INDEX(Sims!$A7:$BO7,'Entry Builder'!$L$12)&lt;'Entry Builder'!$E$12),--(INDEX(Sims!$A7:$BO7,'Entry Builder'!$L$12)&gt;'Entry Builder'!$E$12)))</f>
        <v/>
      </c>
      <c r="G7">
        <f>6-SUM(A7:F7)</f>
        <v/>
      </c>
    </row>
    <row r="8">
      <c r="A8">
        <f>IF('Entry Builder'!$N$7=0,1,IF('Entry Builder'!$D$7="Less",--(INDEX(Sims!$A8:$BO8,'Entry Builder'!$L$7)&lt;'Entry Builder'!$E$7),--(INDEX(Sims!$A8:$BO8,'Entry Builder'!$L$7)&gt;'Entry Builder'!$E$7)))</f>
        <v/>
      </c>
      <c r="B8">
        <f>IF('Entry Builder'!$N$8=0,1,IF('Entry Builder'!$D$8="Less",--(INDEX(Sims!$A8:$BO8,'Entry Builder'!$L$8)&lt;'Entry Builder'!$E$8),--(INDEX(Sims!$A8:$BO8,'Entry Builder'!$L$8)&gt;'Entry Builder'!$E$8)))</f>
        <v/>
      </c>
      <c r="C8">
        <f>IF('Entry Builder'!$N$9=0,1,IF('Entry Builder'!$D$9="Less",--(INDEX(Sims!$A8:$BO8,'Entry Builder'!$L$9)&lt;'Entry Builder'!$E$9),--(INDEX(Sims!$A8:$BO8,'Entry Builder'!$L$9)&gt;'Entry Builder'!$E$9)))</f>
        <v/>
      </c>
      <c r="D8">
        <f>IF('Entry Builder'!$N$10=0,1,IF('Entry Builder'!$D$10="Less",--(INDEX(Sims!$A8:$BO8,'Entry Builder'!$L$10)&lt;'Entry Builder'!$E$10),--(INDEX(Sims!$A8:$BO8,'Entry Builder'!$L$10)&gt;'Entry Builder'!$E$10)))</f>
        <v/>
      </c>
      <c r="E8">
        <f>IF('Entry Builder'!$N$11=0,1,IF('Entry Builder'!$D$11="Less",--(INDEX(Sims!$A8:$BO8,'Entry Builder'!$L$11)&lt;'Entry Builder'!$E$11),--(INDEX(Sims!$A8:$BO8,'Entry Builder'!$L$11)&gt;'Entry Builder'!$E$11)))</f>
        <v/>
      </c>
      <c r="F8">
        <f>IF('Entry Builder'!$N$12=0,1,IF('Entry Builder'!$D$12="Less",--(INDEX(Sims!$A8:$BO8,'Entry Builder'!$L$12)&lt;'Entry Builder'!$E$12),--(INDEX(Sims!$A8:$BO8,'Entry Builder'!$L$12)&gt;'Entry Builder'!$E$12)))</f>
        <v/>
      </c>
      <c r="G8">
        <f>6-SUM(A8:F8)</f>
        <v/>
      </c>
    </row>
    <row r="9">
      <c r="A9">
        <f>IF('Entry Builder'!$N$7=0,1,IF('Entry Builder'!$D$7="Less",--(INDEX(Sims!$A9:$BO9,'Entry Builder'!$L$7)&lt;'Entry Builder'!$E$7),--(INDEX(Sims!$A9:$BO9,'Entry Builder'!$L$7)&gt;'Entry Builder'!$E$7)))</f>
        <v/>
      </c>
      <c r="B9">
        <f>IF('Entry Builder'!$N$8=0,1,IF('Entry Builder'!$D$8="Less",--(INDEX(Sims!$A9:$BO9,'Entry Builder'!$L$8)&lt;'Entry Builder'!$E$8),--(INDEX(Sims!$A9:$BO9,'Entry Builder'!$L$8)&gt;'Entry Builder'!$E$8)))</f>
        <v/>
      </c>
      <c r="C9">
        <f>IF('Entry Builder'!$N$9=0,1,IF('Entry Builder'!$D$9="Less",--(INDEX(Sims!$A9:$BO9,'Entry Builder'!$L$9)&lt;'Entry Builder'!$E$9),--(INDEX(Sims!$A9:$BO9,'Entry Builder'!$L$9)&gt;'Entry Builder'!$E$9)))</f>
        <v/>
      </c>
      <c r="D9">
        <f>IF('Entry Builder'!$N$10=0,1,IF('Entry Builder'!$D$10="Less",--(INDEX(Sims!$A9:$BO9,'Entry Builder'!$L$10)&lt;'Entry Builder'!$E$10),--(INDEX(Sims!$A9:$BO9,'Entry Builder'!$L$10)&gt;'Entry Builder'!$E$10)))</f>
        <v/>
      </c>
      <c r="E9">
        <f>IF('Entry Builder'!$N$11=0,1,IF('Entry Builder'!$D$11="Less",--(INDEX(Sims!$A9:$BO9,'Entry Builder'!$L$11)&lt;'Entry Builder'!$E$11),--(INDEX(Sims!$A9:$BO9,'Entry Builder'!$L$11)&gt;'Entry Builder'!$E$11)))</f>
        <v/>
      </c>
      <c r="F9">
        <f>IF('Entry Builder'!$N$12=0,1,IF('Entry Builder'!$D$12="Less",--(INDEX(Sims!$A9:$BO9,'Entry Builder'!$L$12)&lt;'Entry Builder'!$E$12),--(INDEX(Sims!$A9:$BO9,'Entry Builder'!$L$12)&gt;'Entry Builder'!$E$12)))</f>
        <v/>
      </c>
      <c r="G9">
        <f>6-SUM(A9:F9)</f>
        <v/>
      </c>
    </row>
    <row r="10">
      <c r="A10">
        <f>IF('Entry Builder'!$N$7=0,1,IF('Entry Builder'!$D$7="Less",--(INDEX(Sims!$A10:$BO10,'Entry Builder'!$L$7)&lt;'Entry Builder'!$E$7),--(INDEX(Sims!$A10:$BO10,'Entry Builder'!$L$7)&gt;'Entry Builder'!$E$7)))</f>
        <v/>
      </c>
      <c r="B10">
        <f>IF('Entry Builder'!$N$8=0,1,IF('Entry Builder'!$D$8="Less",--(INDEX(Sims!$A10:$BO10,'Entry Builder'!$L$8)&lt;'Entry Builder'!$E$8),--(INDEX(Sims!$A10:$BO10,'Entry Builder'!$L$8)&gt;'Entry Builder'!$E$8)))</f>
        <v/>
      </c>
      <c r="C10">
        <f>IF('Entry Builder'!$N$9=0,1,IF('Entry Builder'!$D$9="Less",--(INDEX(Sims!$A10:$BO10,'Entry Builder'!$L$9)&lt;'Entry Builder'!$E$9),--(INDEX(Sims!$A10:$BO10,'Entry Builder'!$L$9)&gt;'Entry Builder'!$E$9)))</f>
        <v/>
      </c>
      <c r="D10">
        <f>IF('Entry Builder'!$N$10=0,1,IF('Entry Builder'!$D$10="Less",--(INDEX(Sims!$A10:$BO10,'Entry Builder'!$L$10)&lt;'Entry Builder'!$E$10),--(INDEX(Sims!$A10:$BO10,'Entry Builder'!$L$10)&gt;'Entry Builder'!$E$10)))</f>
        <v/>
      </c>
      <c r="E10">
        <f>IF('Entry Builder'!$N$11=0,1,IF('Entry Builder'!$D$11="Less",--(INDEX(Sims!$A10:$BO10,'Entry Builder'!$L$11)&lt;'Entry Builder'!$E$11),--(INDEX(Sims!$A10:$BO10,'Entry Builder'!$L$11)&gt;'Entry Builder'!$E$11)))</f>
        <v/>
      </c>
      <c r="F10">
        <f>IF('Entry Builder'!$N$12=0,1,IF('Entry Builder'!$D$12="Less",--(INDEX(Sims!$A10:$BO10,'Entry Builder'!$L$12)&lt;'Entry Builder'!$E$12),--(INDEX(Sims!$A10:$BO10,'Entry Builder'!$L$12)&gt;'Entry Builder'!$E$12)))</f>
        <v/>
      </c>
      <c r="G10">
        <f>6-SUM(A10:F10)</f>
        <v/>
      </c>
    </row>
    <row r="11">
      <c r="A11">
        <f>IF('Entry Builder'!$N$7=0,1,IF('Entry Builder'!$D$7="Less",--(INDEX(Sims!$A11:$BO11,'Entry Builder'!$L$7)&lt;'Entry Builder'!$E$7),--(INDEX(Sims!$A11:$BO11,'Entry Builder'!$L$7)&gt;'Entry Builder'!$E$7)))</f>
        <v/>
      </c>
      <c r="B11">
        <f>IF('Entry Builder'!$N$8=0,1,IF('Entry Builder'!$D$8="Less",--(INDEX(Sims!$A11:$BO11,'Entry Builder'!$L$8)&lt;'Entry Builder'!$E$8),--(INDEX(Sims!$A11:$BO11,'Entry Builder'!$L$8)&gt;'Entry Builder'!$E$8)))</f>
        <v/>
      </c>
      <c r="C11">
        <f>IF('Entry Builder'!$N$9=0,1,IF('Entry Builder'!$D$9="Less",--(INDEX(Sims!$A11:$BO11,'Entry Builder'!$L$9)&lt;'Entry Builder'!$E$9),--(INDEX(Sims!$A11:$BO11,'Entry Builder'!$L$9)&gt;'Entry Builder'!$E$9)))</f>
        <v/>
      </c>
      <c r="D11">
        <f>IF('Entry Builder'!$N$10=0,1,IF('Entry Builder'!$D$10="Less",--(INDEX(Sims!$A11:$BO11,'Entry Builder'!$L$10)&lt;'Entry Builder'!$E$10),--(INDEX(Sims!$A11:$BO11,'Entry Builder'!$L$10)&gt;'Entry Builder'!$E$10)))</f>
        <v/>
      </c>
      <c r="E11">
        <f>IF('Entry Builder'!$N$11=0,1,IF('Entry Builder'!$D$11="Less",--(INDEX(Sims!$A11:$BO11,'Entry Builder'!$L$11)&lt;'Entry Builder'!$E$11),--(INDEX(Sims!$A11:$BO11,'Entry Builder'!$L$11)&gt;'Entry Builder'!$E$11)))</f>
        <v/>
      </c>
      <c r="F11">
        <f>IF('Entry Builder'!$N$12=0,1,IF('Entry Builder'!$D$12="Less",--(INDEX(Sims!$A11:$BO11,'Entry Builder'!$L$12)&lt;'Entry Builder'!$E$12),--(INDEX(Sims!$A11:$BO11,'Entry Builder'!$L$12)&gt;'Entry Builder'!$E$12)))</f>
        <v/>
      </c>
      <c r="G11">
        <f>6-SUM(A11:F11)</f>
        <v/>
      </c>
    </row>
    <row r="12">
      <c r="A12">
        <f>IF('Entry Builder'!$N$7=0,1,IF('Entry Builder'!$D$7="Less",--(INDEX(Sims!$A12:$BO12,'Entry Builder'!$L$7)&lt;'Entry Builder'!$E$7),--(INDEX(Sims!$A12:$BO12,'Entry Builder'!$L$7)&gt;'Entry Builder'!$E$7)))</f>
        <v/>
      </c>
      <c r="B12">
        <f>IF('Entry Builder'!$N$8=0,1,IF('Entry Builder'!$D$8="Less",--(INDEX(Sims!$A12:$BO12,'Entry Builder'!$L$8)&lt;'Entry Builder'!$E$8),--(INDEX(Sims!$A12:$BO12,'Entry Builder'!$L$8)&gt;'Entry Builder'!$E$8)))</f>
        <v/>
      </c>
      <c r="C12">
        <f>IF('Entry Builder'!$N$9=0,1,IF('Entry Builder'!$D$9="Less",--(INDEX(Sims!$A12:$BO12,'Entry Builder'!$L$9)&lt;'Entry Builder'!$E$9),--(INDEX(Sims!$A12:$BO12,'Entry Builder'!$L$9)&gt;'Entry Builder'!$E$9)))</f>
        <v/>
      </c>
      <c r="D12">
        <f>IF('Entry Builder'!$N$10=0,1,IF('Entry Builder'!$D$10="Less",--(INDEX(Sims!$A12:$BO12,'Entry Builder'!$L$10)&lt;'Entry Builder'!$E$10),--(INDEX(Sims!$A12:$BO12,'Entry Builder'!$L$10)&gt;'Entry Builder'!$E$10)))</f>
        <v/>
      </c>
      <c r="E12">
        <f>IF('Entry Builder'!$N$11=0,1,IF('Entry Builder'!$D$11="Less",--(INDEX(Sims!$A12:$BO12,'Entry Builder'!$L$11)&lt;'Entry Builder'!$E$11),--(INDEX(Sims!$A12:$BO12,'Entry Builder'!$L$11)&gt;'Entry Builder'!$E$11)))</f>
        <v/>
      </c>
      <c r="F12">
        <f>IF('Entry Builder'!$N$12=0,1,IF('Entry Builder'!$D$12="Less",--(INDEX(Sims!$A12:$BO12,'Entry Builder'!$L$12)&lt;'Entry Builder'!$E$12),--(INDEX(Sims!$A12:$BO12,'Entry Builder'!$L$12)&gt;'Entry Builder'!$E$12)))</f>
        <v/>
      </c>
      <c r="G12">
        <f>6-SUM(A12:F12)</f>
        <v/>
      </c>
    </row>
    <row r="13">
      <c r="A13">
        <f>IF('Entry Builder'!$N$7=0,1,IF('Entry Builder'!$D$7="Less",--(INDEX(Sims!$A13:$BO13,'Entry Builder'!$L$7)&lt;'Entry Builder'!$E$7),--(INDEX(Sims!$A13:$BO13,'Entry Builder'!$L$7)&gt;'Entry Builder'!$E$7)))</f>
        <v/>
      </c>
      <c r="B13">
        <f>IF('Entry Builder'!$N$8=0,1,IF('Entry Builder'!$D$8="Less",--(INDEX(Sims!$A13:$BO13,'Entry Builder'!$L$8)&lt;'Entry Builder'!$E$8),--(INDEX(Sims!$A13:$BO13,'Entry Builder'!$L$8)&gt;'Entry Builder'!$E$8)))</f>
        <v/>
      </c>
      <c r="C13">
        <f>IF('Entry Builder'!$N$9=0,1,IF('Entry Builder'!$D$9="Less",--(INDEX(Sims!$A13:$BO13,'Entry Builder'!$L$9)&lt;'Entry Builder'!$E$9),--(INDEX(Sims!$A13:$BO13,'Entry Builder'!$L$9)&gt;'Entry Builder'!$E$9)))</f>
        <v/>
      </c>
      <c r="D13">
        <f>IF('Entry Builder'!$N$10=0,1,IF('Entry Builder'!$D$10="Less",--(INDEX(Sims!$A13:$BO13,'Entry Builder'!$L$10)&lt;'Entry Builder'!$E$10),--(INDEX(Sims!$A13:$BO13,'Entry Builder'!$L$10)&gt;'Entry Builder'!$E$10)))</f>
        <v/>
      </c>
      <c r="E13">
        <f>IF('Entry Builder'!$N$11=0,1,IF('Entry Builder'!$D$11="Less",--(INDEX(Sims!$A13:$BO13,'Entry Builder'!$L$11)&lt;'Entry Builder'!$E$11),--(INDEX(Sims!$A13:$BO13,'Entry Builder'!$L$11)&gt;'Entry Builder'!$E$11)))</f>
        <v/>
      </c>
      <c r="F13">
        <f>IF('Entry Builder'!$N$12=0,1,IF('Entry Builder'!$D$12="Less",--(INDEX(Sims!$A13:$BO13,'Entry Builder'!$L$12)&lt;'Entry Builder'!$E$12),--(INDEX(Sims!$A13:$BO13,'Entry Builder'!$L$12)&gt;'Entry Builder'!$E$12)))</f>
        <v/>
      </c>
      <c r="G13">
        <f>6-SUM(A13:F13)</f>
        <v/>
      </c>
    </row>
    <row r="14">
      <c r="A14">
        <f>IF('Entry Builder'!$N$7=0,1,IF('Entry Builder'!$D$7="Less",--(INDEX(Sims!$A14:$BO14,'Entry Builder'!$L$7)&lt;'Entry Builder'!$E$7),--(INDEX(Sims!$A14:$BO14,'Entry Builder'!$L$7)&gt;'Entry Builder'!$E$7)))</f>
        <v/>
      </c>
      <c r="B14">
        <f>IF('Entry Builder'!$N$8=0,1,IF('Entry Builder'!$D$8="Less",--(INDEX(Sims!$A14:$BO14,'Entry Builder'!$L$8)&lt;'Entry Builder'!$E$8),--(INDEX(Sims!$A14:$BO14,'Entry Builder'!$L$8)&gt;'Entry Builder'!$E$8)))</f>
        <v/>
      </c>
      <c r="C14">
        <f>IF('Entry Builder'!$N$9=0,1,IF('Entry Builder'!$D$9="Less",--(INDEX(Sims!$A14:$BO14,'Entry Builder'!$L$9)&lt;'Entry Builder'!$E$9),--(INDEX(Sims!$A14:$BO14,'Entry Builder'!$L$9)&gt;'Entry Builder'!$E$9)))</f>
        <v/>
      </c>
      <c r="D14">
        <f>IF('Entry Builder'!$N$10=0,1,IF('Entry Builder'!$D$10="Less",--(INDEX(Sims!$A14:$BO14,'Entry Builder'!$L$10)&lt;'Entry Builder'!$E$10),--(INDEX(Sims!$A14:$BO14,'Entry Builder'!$L$10)&gt;'Entry Builder'!$E$10)))</f>
        <v/>
      </c>
      <c r="E14">
        <f>IF('Entry Builder'!$N$11=0,1,IF('Entry Builder'!$D$11="Less",--(INDEX(Sims!$A14:$BO14,'Entry Builder'!$L$11)&lt;'Entry Builder'!$E$11),--(INDEX(Sims!$A14:$BO14,'Entry Builder'!$L$11)&gt;'Entry Builder'!$E$11)))</f>
        <v/>
      </c>
      <c r="F14">
        <f>IF('Entry Builder'!$N$12=0,1,IF('Entry Builder'!$D$12="Less",--(INDEX(Sims!$A14:$BO14,'Entry Builder'!$L$12)&lt;'Entry Builder'!$E$12),--(INDEX(Sims!$A14:$BO14,'Entry Builder'!$L$12)&gt;'Entry Builder'!$E$12)))</f>
        <v/>
      </c>
      <c r="G14">
        <f>6-SUM(A14:F14)</f>
        <v/>
      </c>
    </row>
    <row r="15">
      <c r="A15">
        <f>IF('Entry Builder'!$N$7=0,1,IF('Entry Builder'!$D$7="Less",--(INDEX(Sims!$A15:$BO15,'Entry Builder'!$L$7)&lt;'Entry Builder'!$E$7),--(INDEX(Sims!$A15:$BO15,'Entry Builder'!$L$7)&gt;'Entry Builder'!$E$7)))</f>
        <v/>
      </c>
      <c r="B15">
        <f>IF('Entry Builder'!$N$8=0,1,IF('Entry Builder'!$D$8="Less",--(INDEX(Sims!$A15:$BO15,'Entry Builder'!$L$8)&lt;'Entry Builder'!$E$8),--(INDEX(Sims!$A15:$BO15,'Entry Builder'!$L$8)&gt;'Entry Builder'!$E$8)))</f>
        <v/>
      </c>
      <c r="C15">
        <f>IF('Entry Builder'!$N$9=0,1,IF('Entry Builder'!$D$9="Less",--(INDEX(Sims!$A15:$BO15,'Entry Builder'!$L$9)&lt;'Entry Builder'!$E$9),--(INDEX(Sims!$A15:$BO15,'Entry Builder'!$L$9)&gt;'Entry Builder'!$E$9)))</f>
        <v/>
      </c>
      <c r="D15">
        <f>IF('Entry Builder'!$N$10=0,1,IF('Entry Builder'!$D$10="Less",--(INDEX(Sims!$A15:$BO15,'Entry Builder'!$L$10)&lt;'Entry Builder'!$E$10),--(INDEX(Sims!$A15:$BO15,'Entry Builder'!$L$10)&gt;'Entry Builder'!$E$10)))</f>
        <v/>
      </c>
      <c r="E15">
        <f>IF('Entry Builder'!$N$11=0,1,IF('Entry Builder'!$D$11="Less",--(INDEX(Sims!$A15:$BO15,'Entry Builder'!$L$11)&lt;'Entry Builder'!$E$11),--(INDEX(Sims!$A15:$BO15,'Entry Builder'!$L$11)&gt;'Entry Builder'!$E$11)))</f>
        <v/>
      </c>
      <c r="F15">
        <f>IF('Entry Builder'!$N$12=0,1,IF('Entry Builder'!$D$12="Less",--(INDEX(Sims!$A15:$BO15,'Entry Builder'!$L$12)&lt;'Entry Builder'!$E$12),--(INDEX(Sims!$A15:$BO15,'Entry Builder'!$L$12)&gt;'Entry Builder'!$E$12)))</f>
        <v/>
      </c>
      <c r="G15">
        <f>6-SUM(A15:F15)</f>
        <v/>
      </c>
    </row>
    <row r="16">
      <c r="A16">
        <f>IF('Entry Builder'!$N$7=0,1,IF('Entry Builder'!$D$7="Less",--(INDEX(Sims!$A16:$BO16,'Entry Builder'!$L$7)&lt;'Entry Builder'!$E$7),--(INDEX(Sims!$A16:$BO16,'Entry Builder'!$L$7)&gt;'Entry Builder'!$E$7)))</f>
        <v/>
      </c>
      <c r="B16">
        <f>IF('Entry Builder'!$N$8=0,1,IF('Entry Builder'!$D$8="Less",--(INDEX(Sims!$A16:$BO16,'Entry Builder'!$L$8)&lt;'Entry Builder'!$E$8),--(INDEX(Sims!$A16:$BO16,'Entry Builder'!$L$8)&gt;'Entry Builder'!$E$8)))</f>
        <v/>
      </c>
      <c r="C16">
        <f>IF('Entry Builder'!$N$9=0,1,IF('Entry Builder'!$D$9="Less",--(INDEX(Sims!$A16:$BO16,'Entry Builder'!$L$9)&lt;'Entry Builder'!$E$9),--(INDEX(Sims!$A16:$BO16,'Entry Builder'!$L$9)&gt;'Entry Builder'!$E$9)))</f>
        <v/>
      </c>
      <c r="D16">
        <f>IF('Entry Builder'!$N$10=0,1,IF('Entry Builder'!$D$10="Less",--(INDEX(Sims!$A16:$BO16,'Entry Builder'!$L$10)&lt;'Entry Builder'!$E$10),--(INDEX(Sims!$A16:$BO16,'Entry Builder'!$L$10)&gt;'Entry Builder'!$E$10)))</f>
        <v/>
      </c>
      <c r="E16">
        <f>IF('Entry Builder'!$N$11=0,1,IF('Entry Builder'!$D$11="Less",--(INDEX(Sims!$A16:$BO16,'Entry Builder'!$L$11)&lt;'Entry Builder'!$E$11),--(INDEX(Sims!$A16:$BO16,'Entry Builder'!$L$11)&gt;'Entry Builder'!$E$11)))</f>
        <v/>
      </c>
      <c r="F16">
        <f>IF('Entry Builder'!$N$12=0,1,IF('Entry Builder'!$D$12="Less",--(INDEX(Sims!$A16:$BO16,'Entry Builder'!$L$12)&lt;'Entry Builder'!$E$12),--(INDEX(Sims!$A16:$BO16,'Entry Builder'!$L$12)&gt;'Entry Builder'!$E$12)))</f>
        <v/>
      </c>
      <c r="G16">
        <f>6-SUM(A16:F16)</f>
        <v/>
      </c>
    </row>
    <row r="17">
      <c r="A17">
        <f>IF('Entry Builder'!$N$7=0,1,IF('Entry Builder'!$D$7="Less",--(INDEX(Sims!$A17:$BO17,'Entry Builder'!$L$7)&lt;'Entry Builder'!$E$7),--(INDEX(Sims!$A17:$BO17,'Entry Builder'!$L$7)&gt;'Entry Builder'!$E$7)))</f>
        <v/>
      </c>
      <c r="B17">
        <f>IF('Entry Builder'!$N$8=0,1,IF('Entry Builder'!$D$8="Less",--(INDEX(Sims!$A17:$BO17,'Entry Builder'!$L$8)&lt;'Entry Builder'!$E$8),--(INDEX(Sims!$A17:$BO17,'Entry Builder'!$L$8)&gt;'Entry Builder'!$E$8)))</f>
        <v/>
      </c>
      <c r="C17">
        <f>IF('Entry Builder'!$N$9=0,1,IF('Entry Builder'!$D$9="Less",--(INDEX(Sims!$A17:$BO17,'Entry Builder'!$L$9)&lt;'Entry Builder'!$E$9),--(INDEX(Sims!$A17:$BO17,'Entry Builder'!$L$9)&gt;'Entry Builder'!$E$9)))</f>
        <v/>
      </c>
      <c r="D17">
        <f>IF('Entry Builder'!$N$10=0,1,IF('Entry Builder'!$D$10="Less",--(INDEX(Sims!$A17:$BO17,'Entry Builder'!$L$10)&lt;'Entry Builder'!$E$10),--(INDEX(Sims!$A17:$BO17,'Entry Builder'!$L$10)&gt;'Entry Builder'!$E$10)))</f>
        <v/>
      </c>
      <c r="E17">
        <f>IF('Entry Builder'!$N$11=0,1,IF('Entry Builder'!$D$11="Less",--(INDEX(Sims!$A17:$BO17,'Entry Builder'!$L$11)&lt;'Entry Builder'!$E$11),--(INDEX(Sims!$A17:$BO17,'Entry Builder'!$L$11)&gt;'Entry Builder'!$E$11)))</f>
        <v/>
      </c>
      <c r="F17">
        <f>IF('Entry Builder'!$N$12=0,1,IF('Entry Builder'!$D$12="Less",--(INDEX(Sims!$A17:$BO17,'Entry Builder'!$L$12)&lt;'Entry Builder'!$E$12),--(INDEX(Sims!$A17:$BO17,'Entry Builder'!$L$12)&gt;'Entry Builder'!$E$12)))</f>
        <v/>
      </c>
      <c r="G17">
        <f>6-SUM(A17:F17)</f>
        <v/>
      </c>
    </row>
    <row r="18">
      <c r="A18">
        <f>IF('Entry Builder'!$N$7=0,1,IF('Entry Builder'!$D$7="Less",--(INDEX(Sims!$A18:$BO18,'Entry Builder'!$L$7)&lt;'Entry Builder'!$E$7),--(INDEX(Sims!$A18:$BO18,'Entry Builder'!$L$7)&gt;'Entry Builder'!$E$7)))</f>
        <v/>
      </c>
      <c r="B18">
        <f>IF('Entry Builder'!$N$8=0,1,IF('Entry Builder'!$D$8="Less",--(INDEX(Sims!$A18:$BO18,'Entry Builder'!$L$8)&lt;'Entry Builder'!$E$8),--(INDEX(Sims!$A18:$BO18,'Entry Builder'!$L$8)&gt;'Entry Builder'!$E$8)))</f>
        <v/>
      </c>
      <c r="C18">
        <f>IF('Entry Builder'!$N$9=0,1,IF('Entry Builder'!$D$9="Less",--(INDEX(Sims!$A18:$BO18,'Entry Builder'!$L$9)&lt;'Entry Builder'!$E$9),--(INDEX(Sims!$A18:$BO18,'Entry Builder'!$L$9)&gt;'Entry Builder'!$E$9)))</f>
        <v/>
      </c>
      <c r="D18">
        <f>IF('Entry Builder'!$N$10=0,1,IF('Entry Builder'!$D$10="Less",--(INDEX(Sims!$A18:$BO18,'Entry Builder'!$L$10)&lt;'Entry Builder'!$E$10),--(INDEX(Sims!$A18:$BO18,'Entry Builder'!$L$10)&gt;'Entry Builder'!$E$10)))</f>
        <v/>
      </c>
      <c r="E18">
        <f>IF('Entry Builder'!$N$11=0,1,IF('Entry Builder'!$D$11="Less",--(INDEX(Sims!$A18:$BO18,'Entry Builder'!$L$11)&lt;'Entry Builder'!$E$11),--(INDEX(Sims!$A18:$BO18,'Entry Builder'!$L$11)&gt;'Entry Builder'!$E$11)))</f>
        <v/>
      </c>
      <c r="F18">
        <f>IF('Entry Builder'!$N$12=0,1,IF('Entry Builder'!$D$12="Less",--(INDEX(Sims!$A18:$BO18,'Entry Builder'!$L$12)&lt;'Entry Builder'!$E$12),--(INDEX(Sims!$A18:$BO18,'Entry Builder'!$L$12)&gt;'Entry Builder'!$E$12)))</f>
        <v/>
      </c>
      <c r="G18">
        <f>6-SUM(A18:F18)</f>
        <v/>
      </c>
    </row>
    <row r="19">
      <c r="A19">
        <f>IF('Entry Builder'!$N$7=0,1,IF('Entry Builder'!$D$7="Less",--(INDEX(Sims!$A19:$BO19,'Entry Builder'!$L$7)&lt;'Entry Builder'!$E$7),--(INDEX(Sims!$A19:$BO19,'Entry Builder'!$L$7)&gt;'Entry Builder'!$E$7)))</f>
        <v/>
      </c>
      <c r="B19">
        <f>IF('Entry Builder'!$N$8=0,1,IF('Entry Builder'!$D$8="Less",--(INDEX(Sims!$A19:$BO19,'Entry Builder'!$L$8)&lt;'Entry Builder'!$E$8),--(INDEX(Sims!$A19:$BO19,'Entry Builder'!$L$8)&gt;'Entry Builder'!$E$8)))</f>
        <v/>
      </c>
      <c r="C19">
        <f>IF('Entry Builder'!$N$9=0,1,IF('Entry Builder'!$D$9="Less",--(INDEX(Sims!$A19:$BO19,'Entry Builder'!$L$9)&lt;'Entry Builder'!$E$9),--(INDEX(Sims!$A19:$BO19,'Entry Builder'!$L$9)&gt;'Entry Builder'!$E$9)))</f>
        <v/>
      </c>
      <c r="D19">
        <f>IF('Entry Builder'!$N$10=0,1,IF('Entry Builder'!$D$10="Less",--(INDEX(Sims!$A19:$BO19,'Entry Builder'!$L$10)&lt;'Entry Builder'!$E$10),--(INDEX(Sims!$A19:$BO19,'Entry Builder'!$L$10)&gt;'Entry Builder'!$E$10)))</f>
        <v/>
      </c>
      <c r="E19">
        <f>IF('Entry Builder'!$N$11=0,1,IF('Entry Builder'!$D$11="Less",--(INDEX(Sims!$A19:$BO19,'Entry Builder'!$L$11)&lt;'Entry Builder'!$E$11),--(INDEX(Sims!$A19:$BO19,'Entry Builder'!$L$11)&gt;'Entry Builder'!$E$11)))</f>
        <v/>
      </c>
      <c r="F19">
        <f>IF('Entry Builder'!$N$12=0,1,IF('Entry Builder'!$D$12="Less",--(INDEX(Sims!$A19:$BO19,'Entry Builder'!$L$12)&lt;'Entry Builder'!$E$12),--(INDEX(Sims!$A19:$BO19,'Entry Builder'!$L$12)&gt;'Entry Builder'!$E$12)))</f>
        <v/>
      </c>
      <c r="G19">
        <f>6-SUM(A19:F19)</f>
        <v/>
      </c>
    </row>
    <row r="20">
      <c r="A20">
        <f>IF('Entry Builder'!$N$7=0,1,IF('Entry Builder'!$D$7="Less",--(INDEX(Sims!$A20:$BO20,'Entry Builder'!$L$7)&lt;'Entry Builder'!$E$7),--(INDEX(Sims!$A20:$BO20,'Entry Builder'!$L$7)&gt;'Entry Builder'!$E$7)))</f>
        <v/>
      </c>
      <c r="B20">
        <f>IF('Entry Builder'!$N$8=0,1,IF('Entry Builder'!$D$8="Less",--(INDEX(Sims!$A20:$BO20,'Entry Builder'!$L$8)&lt;'Entry Builder'!$E$8),--(INDEX(Sims!$A20:$BO20,'Entry Builder'!$L$8)&gt;'Entry Builder'!$E$8)))</f>
        <v/>
      </c>
      <c r="C20">
        <f>IF('Entry Builder'!$N$9=0,1,IF('Entry Builder'!$D$9="Less",--(INDEX(Sims!$A20:$BO20,'Entry Builder'!$L$9)&lt;'Entry Builder'!$E$9),--(INDEX(Sims!$A20:$BO20,'Entry Builder'!$L$9)&gt;'Entry Builder'!$E$9)))</f>
        <v/>
      </c>
      <c r="D20">
        <f>IF('Entry Builder'!$N$10=0,1,IF('Entry Builder'!$D$10="Less",--(INDEX(Sims!$A20:$BO20,'Entry Builder'!$L$10)&lt;'Entry Builder'!$E$10),--(INDEX(Sims!$A20:$BO20,'Entry Builder'!$L$10)&gt;'Entry Builder'!$E$10)))</f>
        <v/>
      </c>
      <c r="E20">
        <f>IF('Entry Builder'!$N$11=0,1,IF('Entry Builder'!$D$11="Less",--(INDEX(Sims!$A20:$BO20,'Entry Builder'!$L$11)&lt;'Entry Builder'!$E$11),--(INDEX(Sims!$A20:$BO20,'Entry Builder'!$L$11)&gt;'Entry Builder'!$E$11)))</f>
        <v/>
      </c>
      <c r="F20">
        <f>IF('Entry Builder'!$N$12=0,1,IF('Entry Builder'!$D$12="Less",--(INDEX(Sims!$A20:$BO20,'Entry Builder'!$L$12)&lt;'Entry Builder'!$E$12),--(INDEX(Sims!$A20:$BO20,'Entry Builder'!$L$12)&gt;'Entry Builder'!$E$12)))</f>
        <v/>
      </c>
      <c r="G20">
        <f>6-SUM(A20:F20)</f>
        <v/>
      </c>
    </row>
    <row r="21">
      <c r="A21">
        <f>IF('Entry Builder'!$N$7=0,1,IF('Entry Builder'!$D$7="Less",--(INDEX(Sims!$A21:$BO21,'Entry Builder'!$L$7)&lt;'Entry Builder'!$E$7),--(INDEX(Sims!$A21:$BO21,'Entry Builder'!$L$7)&gt;'Entry Builder'!$E$7)))</f>
        <v/>
      </c>
      <c r="B21">
        <f>IF('Entry Builder'!$N$8=0,1,IF('Entry Builder'!$D$8="Less",--(INDEX(Sims!$A21:$BO21,'Entry Builder'!$L$8)&lt;'Entry Builder'!$E$8),--(INDEX(Sims!$A21:$BO21,'Entry Builder'!$L$8)&gt;'Entry Builder'!$E$8)))</f>
        <v/>
      </c>
      <c r="C21">
        <f>IF('Entry Builder'!$N$9=0,1,IF('Entry Builder'!$D$9="Less",--(INDEX(Sims!$A21:$BO21,'Entry Builder'!$L$9)&lt;'Entry Builder'!$E$9),--(INDEX(Sims!$A21:$BO21,'Entry Builder'!$L$9)&gt;'Entry Builder'!$E$9)))</f>
        <v/>
      </c>
      <c r="D21">
        <f>IF('Entry Builder'!$N$10=0,1,IF('Entry Builder'!$D$10="Less",--(INDEX(Sims!$A21:$BO21,'Entry Builder'!$L$10)&lt;'Entry Builder'!$E$10),--(INDEX(Sims!$A21:$BO21,'Entry Builder'!$L$10)&gt;'Entry Builder'!$E$10)))</f>
        <v/>
      </c>
      <c r="E21">
        <f>IF('Entry Builder'!$N$11=0,1,IF('Entry Builder'!$D$11="Less",--(INDEX(Sims!$A21:$BO21,'Entry Builder'!$L$11)&lt;'Entry Builder'!$E$11),--(INDEX(Sims!$A21:$BO21,'Entry Builder'!$L$11)&gt;'Entry Builder'!$E$11)))</f>
        <v/>
      </c>
      <c r="F21">
        <f>IF('Entry Builder'!$N$12=0,1,IF('Entry Builder'!$D$12="Less",--(INDEX(Sims!$A21:$BO21,'Entry Builder'!$L$12)&lt;'Entry Builder'!$E$12),--(INDEX(Sims!$A21:$BO21,'Entry Builder'!$L$12)&gt;'Entry Builder'!$E$12)))</f>
        <v/>
      </c>
      <c r="G21">
        <f>6-SUM(A21:F21)</f>
        <v/>
      </c>
    </row>
    <row r="22">
      <c r="A22">
        <f>IF('Entry Builder'!$N$7=0,1,IF('Entry Builder'!$D$7="Less",--(INDEX(Sims!$A22:$BO22,'Entry Builder'!$L$7)&lt;'Entry Builder'!$E$7),--(INDEX(Sims!$A22:$BO22,'Entry Builder'!$L$7)&gt;'Entry Builder'!$E$7)))</f>
        <v/>
      </c>
      <c r="B22">
        <f>IF('Entry Builder'!$N$8=0,1,IF('Entry Builder'!$D$8="Less",--(INDEX(Sims!$A22:$BO22,'Entry Builder'!$L$8)&lt;'Entry Builder'!$E$8),--(INDEX(Sims!$A22:$BO22,'Entry Builder'!$L$8)&gt;'Entry Builder'!$E$8)))</f>
        <v/>
      </c>
      <c r="C22">
        <f>IF('Entry Builder'!$N$9=0,1,IF('Entry Builder'!$D$9="Less",--(INDEX(Sims!$A22:$BO22,'Entry Builder'!$L$9)&lt;'Entry Builder'!$E$9),--(INDEX(Sims!$A22:$BO22,'Entry Builder'!$L$9)&gt;'Entry Builder'!$E$9)))</f>
        <v/>
      </c>
      <c r="D22">
        <f>IF('Entry Builder'!$N$10=0,1,IF('Entry Builder'!$D$10="Less",--(INDEX(Sims!$A22:$BO22,'Entry Builder'!$L$10)&lt;'Entry Builder'!$E$10),--(INDEX(Sims!$A22:$BO22,'Entry Builder'!$L$10)&gt;'Entry Builder'!$E$10)))</f>
        <v/>
      </c>
      <c r="E22">
        <f>IF('Entry Builder'!$N$11=0,1,IF('Entry Builder'!$D$11="Less",--(INDEX(Sims!$A22:$BO22,'Entry Builder'!$L$11)&lt;'Entry Builder'!$E$11),--(INDEX(Sims!$A22:$BO22,'Entry Builder'!$L$11)&gt;'Entry Builder'!$E$11)))</f>
        <v/>
      </c>
      <c r="F22">
        <f>IF('Entry Builder'!$N$12=0,1,IF('Entry Builder'!$D$12="Less",--(INDEX(Sims!$A22:$BO22,'Entry Builder'!$L$12)&lt;'Entry Builder'!$E$12),--(INDEX(Sims!$A22:$BO22,'Entry Builder'!$L$12)&gt;'Entry Builder'!$E$12)))</f>
        <v/>
      </c>
      <c r="G22">
        <f>6-SUM(A22:F22)</f>
        <v/>
      </c>
    </row>
    <row r="23">
      <c r="A23">
        <f>IF('Entry Builder'!$N$7=0,1,IF('Entry Builder'!$D$7="Less",--(INDEX(Sims!$A23:$BO23,'Entry Builder'!$L$7)&lt;'Entry Builder'!$E$7),--(INDEX(Sims!$A23:$BO23,'Entry Builder'!$L$7)&gt;'Entry Builder'!$E$7)))</f>
        <v/>
      </c>
      <c r="B23">
        <f>IF('Entry Builder'!$N$8=0,1,IF('Entry Builder'!$D$8="Less",--(INDEX(Sims!$A23:$BO23,'Entry Builder'!$L$8)&lt;'Entry Builder'!$E$8),--(INDEX(Sims!$A23:$BO23,'Entry Builder'!$L$8)&gt;'Entry Builder'!$E$8)))</f>
        <v/>
      </c>
      <c r="C23">
        <f>IF('Entry Builder'!$N$9=0,1,IF('Entry Builder'!$D$9="Less",--(INDEX(Sims!$A23:$BO23,'Entry Builder'!$L$9)&lt;'Entry Builder'!$E$9),--(INDEX(Sims!$A23:$BO23,'Entry Builder'!$L$9)&gt;'Entry Builder'!$E$9)))</f>
        <v/>
      </c>
      <c r="D23">
        <f>IF('Entry Builder'!$N$10=0,1,IF('Entry Builder'!$D$10="Less",--(INDEX(Sims!$A23:$BO23,'Entry Builder'!$L$10)&lt;'Entry Builder'!$E$10),--(INDEX(Sims!$A23:$BO23,'Entry Builder'!$L$10)&gt;'Entry Builder'!$E$10)))</f>
        <v/>
      </c>
      <c r="E23">
        <f>IF('Entry Builder'!$N$11=0,1,IF('Entry Builder'!$D$11="Less",--(INDEX(Sims!$A23:$BO23,'Entry Builder'!$L$11)&lt;'Entry Builder'!$E$11),--(INDEX(Sims!$A23:$BO23,'Entry Builder'!$L$11)&gt;'Entry Builder'!$E$11)))</f>
        <v/>
      </c>
      <c r="F23">
        <f>IF('Entry Builder'!$N$12=0,1,IF('Entry Builder'!$D$12="Less",--(INDEX(Sims!$A23:$BO23,'Entry Builder'!$L$12)&lt;'Entry Builder'!$E$12),--(INDEX(Sims!$A23:$BO23,'Entry Builder'!$L$12)&gt;'Entry Builder'!$E$12)))</f>
        <v/>
      </c>
      <c r="G23">
        <f>6-SUM(A23:F23)</f>
        <v/>
      </c>
    </row>
    <row r="24">
      <c r="A24">
        <f>IF('Entry Builder'!$N$7=0,1,IF('Entry Builder'!$D$7="Less",--(INDEX(Sims!$A24:$BO24,'Entry Builder'!$L$7)&lt;'Entry Builder'!$E$7),--(INDEX(Sims!$A24:$BO24,'Entry Builder'!$L$7)&gt;'Entry Builder'!$E$7)))</f>
        <v/>
      </c>
      <c r="B24">
        <f>IF('Entry Builder'!$N$8=0,1,IF('Entry Builder'!$D$8="Less",--(INDEX(Sims!$A24:$BO24,'Entry Builder'!$L$8)&lt;'Entry Builder'!$E$8),--(INDEX(Sims!$A24:$BO24,'Entry Builder'!$L$8)&gt;'Entry Builder'!$E$8)))</f>
        <v/>
      </c>
      <c r="C24">
        <f>IF('Entry Builder'!$N$9=0,1,IF('Entry Builder'!$D$9="Less",--(INDEX(Sims!$A24:$BO24,'Entry Builder'!$L$9)&lt;'Entry Builder'!$E$9),--(INDEX(Sims!$A24:$BO24,'Entry Builder'!$L$9)&gt;'Entry Builder'!$E$9)))</f>
        <v/>
      </c>
      <c r="D24">
        <f>IF('Entry Builder'!$N$10=0,1,IF('Entry Builder'!$D$10="Less",--(INDEX(Sims!$A24:$BO24,'Entry Builder'!$L$10)&lt;'Entry Builder'!$E$10),--(INDEX(Sims!$A24:$BO24,'Entry Builder'!$L$10)&gt;'Entry Builder'!$E$10)))</f>
        <v/>
      </c>
      <c r="E24">
        <f>IF('Entry Builder'!$N$11=0,1,IF('Entry Builder'!$D$11="Less",--(INDEX(Sims!$A24:$BO24,'Entry Builder'!$L$11)&lt;'Entry Builder'!$E$11),--(INDEX(Sims!$A24:$BO24,'Entry Builder'!$L$11)&gt;'Entry Builder'!$E$11)))</f>
        <v/>
      </c>
      <c r="F24">
        <f>IF('Entry Builder'!$N$12=0,1,IF('Entry Builder'!$D$12="Less",--(INDEX(Sims!$A24:$BO24,'Entry Builder'!$L$12)&lt;'Entry Builder'!$E$12),--(INDEX(Sims!$A24:$BO24,'Entry Builder'!$L$12)&gt;'Entry Builder'!$E$12)))</f>
        <v/>
      </c>
      <c r="G24">
        <f>6-SUM(A24:F24)</f>
        <v/>
      </c>
    </row>
    <row r="25">
      <c r="A25">
        <f>IF('Entry Builder'!$N$7=0,1,IF('Entry Builder'!$D$7="Less",--(INDEX(Sims!$A25:$BO25,'Entry Builder'!$L$7)&lt;'Entry Builder'!$E$7),--(INDEX(Sims!$A25:$BO25,'Entry Builder'!$L$7)&gt;'Entry Builder'!$E$7)))</f>
        <v/>
      </c>
      <c r="B25">
        <f>IF('Entry Builder'!$N$8=0,1,IF('Entry Builder'!$D$8="Less",--(INDEX(Sims!$A25:$BO25,'Entry Builder'!$L$8)&lt;'Entry Builder'!$E$8),--(INDEX(Sims!$A25:$BO25,'Entry Builder'!$L$8)&gt;'Entry Builder'!$E$8)))</f>
        <v/>
      </c>
      <c r="C25">
        <f>IF('Entry Builder'!$N$9=0,1,IF('Entry Builder'!$D$9="Less",--(INDEX(Sims!$A25:$BO25,'Entry Builder'!$L$9)&lt;'Entry Builder'!$E$9),--(INDEX(Sims!$A25:$BO25,'Entry Builder'!$L$9)&gt;'Entry Builder'!$E$9)))</f>
        <v/>
      </c>
      <c r="D25">
        <f>IF('Entry Builder'!$N$10=0,1,IF('Entry Builder'!$D$10="Less",--(INDEX(Sims!$A25:$BO25,'Entry Builder'!$L$10)&lt;'Entry Builder'!$E$10),--(INDEX(Sims!$A25:$BO25,'Entry Builder'!$L$10)&gt;'Entry Builder'!$E$10)))</f>
        <v/>
      </c>
      <c r="E25">
        <f>IF('Entry Builder'!$N$11=0,1,IF('Entry Builder'!$D$11="Less",--(INDEX(Sims!$A25:$BO25,'Entry Builder'!$L$11)&lt;'Entry Builder'!$E$11),--(INDEX(Sims!$A25:$BO25,'Entry Builder'!$L$11)&gt;'Entry Builder'!$E$11)))</f>
        <v/>
      </c>
      <c r="F25">
        <f>IF('Entry Builder'!$N$12=0,1,IF('Entry Builder'!$D$12="Less",--(INDEX(Sims!$A25:$BO25,'Entry Builder'!$L$12)&lt;'Entry Builder'!$E$12),--(INDEX(Sims!$A25:$BO25,'Entry Builder'!$L$12)&gt;'Entry Builder'!$E$12)))</f>
        <v/>
      </c>
      <c r="G25">
        <f>6-SUM(A25:F25)</f>
        <v/>
      </c>
    </row>
    <row r="26">
      <c r="A26">
        <f>IF('Entry Builder'!$N$7=0,1,IF('Entry Builder'!$D$7="Less",--(INDEX(Sims!$A26:$BO26,'Entry Builder'!$L$7)&lt;'Entry Builder'!$E$7),--(INDEX(Sims!$A26:$BO26,'Entry Builder'!$L$7)&gt;'Entry Builder'!$E$7)))</f>
        <v/>
      </c>
      <c r="B26">
        <f>IF('Entry Builder'!$N$8=0,1,IF('Entry Builder'!$D$8="Less",--(INDEX(Sims!$A26:$BO26,'Entry Builder'!$L$8)&lt;'Entry Builder'!$E$8),--(INDEX(Sims!$A26:$BO26,'Entry Builder'!$L$8)&gt;'Entry Builder'!$E$8)))</f>
        <v/>
      </c>
      <c r="C26">
        <f>IF('Entry Builder'!$N$9=0,1,IF('Entry Builder'!$D$9="Less",--(INDEX(Sims!$A26:$BO26,'Entry Builder'!$L$9)&lt;'Entry Builder'!$E$9),--(INDEX(Sims!$A26:$BO26,'Entry Builder'!$L$9)&gt;'Entry Builder'!$E$9)))</f>
        <v/>
      </c>
      <c r="D26">
        <f>IF('Entry Builder'!$N$10=0,1,IF('Entry Builder'!$D$10="Less",--(INDEX(Sims!$A26:$BO26,'Entry Builder'!$L$10)&lt;'Entry Builder'!$E$10),--(INDEX(Sims!$A26:$BO26,'Entry Builder'!$L$10)&gt;'Entry Builder'!$E$10)))</f>
        <v/>
      </c>
      <c r="E26">
        <f>IF('Entry Builder'!$N$11=0,1,IF('Entry Builder'!$D$11="Less",--(INDEX(Sims!$A26:$BO26,'Entry Builder'!$L$11)&lt;'Entry Builder'!$E$11),--(INDEX(Sims!$A26:$BO26,'Entry Builder'!$L$11)&gt;'Entry Builder'!$E$11)))</f>
        <v/>
      </c>
      <c r="F26">
        <f>IF('Entry Builder'!$N$12=0,1,IF('Entry Builder'!$D$12="Less",--(INDEX(Sims!$A26:$BO26,'Entry Builder'!$L$12)&lt;'Entry Builder'!$E$12),--(INDEX(Sims!$A26:$BO26,'Entry Builder'!$L$12)&gt;'Entry Builder'!$E$12)))</f>
        <v/>
      </c>
      <c r="G26">
        <f>6-SUM(A26:F26)</f>
        <v/>
      </c>
    </row>
    <row r="27">
      <c r="A27">
        <f>IF('Entry Builder'!$N$7=0,1,IF('Entry Builder'!$D$7="Less",--(INDEX(Sims!$A27:$BO27,'Entry Builder'!$L$7)&lt;'Entry Builder'!$E$7),--(INDEX(Sims!$A27:$BO27,'Entry Builder'!$L$7)&gt;'Entry Builder'!$E$7)))</f>
        <v/>
      </c>
      <c r="B27">
        <f>IF('Entry Builder'!$N$8=0,1,IF('Entry Builder'!$D$8="Less",--(INDEX(Sims!$A27:$BO27,'Entry Builder'!$L$8)&lt;'Entry Builder'!$E$8),--(INDEX(Sims!$A27:$BO27,'Entry Builder'!$L$8)&gt;'Entry Builder'!$E$8)))</f>
        <v/>
      </c>
      <c r="C27">
        <f>IF('Entry Builder'!$N$9=0,1,IF('Entry Builder'!$D$9="Less",--(INDEX(Sims!$A27:$BO27,'Entry Builder'!$L$9)&lt;'Entry Builder'!$E$9),--(INDEX(Sims!$A27:$BO27,'Entry Builder'!$L$9)&gt;'Entry Builder'!$E$9)))</f>
        <v/>
      </c>
      <c r="D27">
        <f>IF('Entry Builder'!$N$10=0,1,IF('Entry Builder'!$D$10="Less",--(INDEX(Sims!$A27:$BO27,'Entry Builder'!$L$10)&lt;'Entry Builder'!$E$10),--(INDEX(Sims!$A27:$BO27,'Entry Builder'!$L$10)&gt;'Entry Builder'!$E$10)))</f>
        <v/>
      </c>
      <c r="E27">
        <f>IF('Entry Builder'!$N$11=0,1,IF('Entry Builder'!$D$11="Less",--(INDEX(Sims!$A27:$BO27,'Entry Builder'!$L$11)&lt;'Entry Builder'!$E$11),--(INDEX(Sims!$A27:$BO27,'Entry Builder'!$L$11)&gt;'Entry Builder'!$E$11)))</f>
        <v/>
      </c>
      <c r="F27">
        <f>IF('Entry Builder'!$N$12=0,1,IF('Entry Builder'!$D$12="Less",--(INDEX(Sims!$A27:$BO27,'Entry Builder'!$L$12)&lt;'Entry Builder'!$E$12),--(INDEX(Sims!$A27:$BO27,'Entry Builder'!$L$12)&gt;'Entry Builder'!$E$12)))</f>
        <v/>
      </c>
      <c r="G27">
        <f>6-SUM(A27:F27)</f>
        <v/>
      </c>
    </row>
    <row r="28">
      <c r="A28">
        <f>IF('Entry Builder'!$N$7=0,1,IF('Entry Builder'!$D$7="Less",--(INDEX(Sims!$A28:$BO28,'Entry Builder'!$L$7)&lt;'Entry Builder'!$E$7),--(INDEX(Sims!$A28:$BO28,'Entry Builder'!$L$7)&gt;'Entry Builder'!$E$7)))</f>
        <v/>
      </c>
      <c r="B28">
        <f>IF('Entry Builder'!$N$8=0,1,IF('Entry Builder'!$D$8="Less",--(INDEX(Sims!$A28:$BO28,'Entry Builder'!$L$8)&lt;'Entry Builder'!$E$8),--(INDEX(Sims!$A28:$BO28,'Entry Builder'!$L$8)&gt;'Entry Builder'!$E$8)))</f>
        <v/>
      </c>
      <c r="C28">
        <f>IF('Entry Builder'!$N$9=0,1,IF('Entry Builder'!$D$9="Less",--(INDEX(Sims!$A28:$BO28,'Entry Builder'!$L$9)&lt;'Entry Builder'!$E$9),--(INDEX(Sims!$A28:$BO28,'Entry Builder'!$L$9)&gt;'Entry Builder'!$E$9)))</f>
        <v/>
      </c>
      <c r="D28">
        <f>IF('Entry Builder'!$N$10=0,1,IF('Entry Builder'!$D$10="Less",--(INDEX(Sims!$A28:$BO28,'Entry Builder'!$L$10)&lt;'Entry Builder'!$E$10),--(INDEX(Sims!$A28:$BO28,'Entry Builder'!$L$10)&gt;'Entry Builder'!$E$10)))</f>
        <v/>
      </c>
      <c r="E28">
        <f>IF('Entry Builder'!$N$11=0,1,IF('Entry Builder'!$D$11="Less",--(INDEX(Sims!$A28:$BO28,'Entry Builder'!$L$11)&lt;'Entry Builder'!$E$11),--(INDEX(Sims!$A28:$BO28,'Entry Builder'!$L$11)&gt;'Entry Builder'!$E$11)))</f>
        <v/>
      </c>
      <c r="F28">
        <f>IF('Entry Builder'!$N$12=0,1,IF('Entry Builder'!$D$12="Less",--(INDEX(Sims!$A28:$BO28,'Entry Builder'!$L$12)&lt;'Entry Builder'!$E$12),--(INDEX(Sims!$A28:$BO28,'Entry Builder'!$L$12)&gt;'Entry Builder'!$E$12)))</f>
        <v/>
      </c>
      <c r="G28">
        <f>6-SUM(A28:F28)</f>
        <v/>
      </c>
    </row>
    <row r="29">
      <c r="A29">
        <f>IF('Entry Builder'!$N$7=0,1,IF('Entry Builder'!$D$7="Less",--(INDEX(Sims!$A29:$BO29,'Entry Builder'!$L$7)&lt;'Entry Builder'!$E$7),--(INDEX(Sims!$A29:$BO29,'Entry Builder'!$L$7)&gt;'Entry Builder'!$E$7)))</f>
        <v/>
      </c>
      <c r="B29">
        <f>IF('Entry Builder'!$N$8=0,1,IF('Entry Builder'!$D$8="Less",--(INDEX(Sims!$A29:$BO29,'Entry Builder'!$L$8)&lt;'Entry Builder'!$E$8),--(INDEX(Sims!$A29:$BO29,'Entry Builder'!$L$8)&gt;'Entry Builder'!$E$8)))</f>
        <v/>
      </c>
      <c r="C29">
        <f>IF('Entry Builder'!$N$9=0,1,IF('Entry Builder'!$D$9="Less",--(INDEX(Sims!$A29:$BO29,'Entry Builder'!$L$9)&lt;'Entry Builder'!$E$9),--(INDEX(Sims!$A29:$BO29,'Entry Builder'!$L$9)&gt;'Entry Builder'!$E$9)))</f>
        <v/>
      </c>
      <c r="D29">
        <f>IF('Entry Builder'!$N$10=0,1,IF('Entry Builder'!$D$10="Less",--(INDEX(Sims!$A29:$BO29,'Entry Builder'!$L$10)&lt;'Entry Builder'!$E$10),--(INDEX(Sims!$A29:$BO29,'Entry Builder'!$L$10)&gt;'Entry Builder'!$E$10)))</f>
        <v/>
      </c>
      <c r="E29">
        <f>IF('Entry Builder'!$N$11=0,1,IF('Entry Builder'!$D$11="Less",--(INDEX(Sims!$A29:$BO29,'Entry Builder'!$L$11)&lt;'Entry Builder'!$E$11),--(INDEX(Sims!$A29:$BO29,'Entry Builder'!$L$11)&gt;'Entry Builder'!$E$11)))</f>
        <v/>
      </c>
      <c r="F29">
        <f>IF('Entry Builder'!$N$12=0,1,IF('Entry Builder'!$D$12="Less",--(INDEX(Sims!$A29:$BO29,'Entry Builder'!$L$12)&lt;'Entry Builder'!$E$12),--(INDEX(Sims!$A29:$BO29,'Entry Builder'!$L$12)&gt;'Entry Builder'!$E$12)))</f>
        <v/>
      </c>
      <c r="G29">
        <f>6-SUM(A29:F29)</f>
        <v/>
      </c>
    </row>
    <row r="30">
      <c r="A30">
        <f>IF('Entry Builder'!$N$7=0,1,IF('Entry Builder'!$D$7="Less",--(INDEX(Sims!$A30:$BO30,'Entry Builder'!$L$7)&lt;'Entry Builder'!$E$7),--(INDEX(Sims!$A30:$BO30,'Entry Builder'!$L$7)&gt;'Entry Builder'!$E$7)))</f>
        <v/>
      </c>
      <c r="B30">
        <f>IF('Entry Builder'!$N$8=0,1,IF('Entry Builder'!$D$8="Less",--(INDEX(Sims!$A30:$BO30,'Entry Builder'!$L$8)&lt;'Entry Builder'!$E$8),--(INDEX(Sims!$A30:$BO30,'Entry Builder'!$L$8)&gt;'Entry Builder'!$E$8)))</f>
        <v/>
      </c>
      <c r="C30">
        <f>IF('Entry Builder'!$N$9=0,1,IF('Entry Builder'!$D$9="Less",--(INDEX(Sims!$A30:$BO30,'Entry Builder'!$L$9)&lt;'Entry Builder'!$E$9),--(INDEX(Sims!$A30:$BO30,'Entry Builder'!$L$9)&gt;'Entry Builder'!$E$9)))</f>
        <v/>
      </c>
      <c r="D30">
        <f>IF('Entry Builder'!$N$10=0,1,IF('Entry Builder'!$D$10="Less",--(INDEX(Sims!$A30:$BO30,'Entry Builder'!$L$10)&lt;'Entry Builder'!$E$10),--(INDEX(Sims!$A30:$BO30,'Entry Builder'!$L$10)&gt;'Entry Builder'!$E$10)))</f>
        <v/>
      </c>
      <c r="E30">
        <f>IF('Entry Builder'!$N$11=0,1,IF('Entry Builder'!$D$11="Less",--(INDEX(Sims!$A30:$BO30,'Entry Builder'!$L$11)&lt;'Entry Builder'!$E$11),--(INDEX(Sims!$A30:$BO30,'Entry Builder'!$L$11)&gt;'Entry Builder'!$E$11)))</f>
        <v/>
      </c>
      <c r="F30">
        <f>IF('Entry Builder'!$N$12=0,1,IF('Entry Builder'!$D$12="Less",--(INDEX(Sims!$A30:$BO30,'Entry Builder'!$L$12)&lt;'Entry Builder'!$E$12),--(INDEX(Sims!$A30:$BO30,'Entry Builder'!$L$12)&gt;'Entry Builder'!$E$12)))</f>
        <v/>
      </c>
      <c r="G30">
        <f>6-SUM(A30:F30)</f>
        <v/>
      </c>
    </row>
    <row r="31">
      <c r="A31">
        <f>IF('Entry Builder'!$N$7=0,1,IF('Entry Builder'!$D$7="Less",--(INDEX(Sims!$A31:$BO31,'Entry Builder'!$L$7)&lt;'Entry Builder'!$E$7),--(INDEX(Sims!$A31:$BO31,'Entry Builder'!$L$7)&gt;'Entry Builder'!$E$7)))</f>
        <v/>
      </c>
      <c r="B31">
        <f>IF('Entry Builder'!$N$8=0,1,IF('Entry Builder'!$D$8="Less",--(INDEX(Sims!$A31:$BO31,'Entry Builder'!$L$8)&lt;'Entry Builder'!$E$8),--(INDEX(Sims!$A31:$BO31,'Entry Builder'!$L$8)&gt;'Entry Builder'!$E$8)))</f>
        <v/>
      </c>
      <c r="C31">
        <f>IF('Entry Builder'!$N$9=0,1,IF('Entry Builder'!$D$9="Less",--(INDEX(Sims!$A31:$BO31,'Entry Builder'!$L$9)&lt;'Entry Builder'!$E$9),--(INDEX(Sims!$A31:$BO31,'Entry Builder'!$L$9)&gt;'Entry Builder'!$E$9)))</f>
        <v/>
      </c>
      <c r="D31">
        <f>IF('Entry Builder'!$N$10=0,1,IF('Entry Builder'!$D$10="Less",--(INDEX(Sims!$A31:$BO31,'Entry Builder'!$L$10)&lt;'Entry Builder'!$E$10),--(INDEX(Sims!$A31:$BO31,'Entry Builder'!$L$10)&gt;'Entry Builder'!$E$10)))</f>
        <v/>
      </c>
      <c r="E31">
        <f>IF('Entry Builder'!$N$11=0,1,IF('Entry Builder'!$D$11="Less",--(INDEX(Sims!$A31:$BO31,'Entry Builder'!$L$11)&lt;'Entry Builder'!$E$11),--(INDEX(Sims!$A31:$BO31,'Entry Builder'!$L$11)&gt;'Entry Builder'!$E$11)))</f>
        <v/>
      </c>
      <c r="F31">
        <f>IF('Entry Builder'!$N$12=0,1,IF('Entry Builder'!$D$12="Less",--(INDEX(Sims!$A31:$BO31,'Entry Builder'!$L$12)&lt;'Entry Builder'!$E$12),--(INDEX(Sims!$A31:$BO31,'Entry Builder'!$L$12)&gt;'Entry Builder'!$E$12)))</f>
        <v/>
      </c>
      <c r="G31">
        <f>6-SUM(A31:F31)</f>
        <v/>
      </c>
    </row>
    <row r="32">
      <c r="A32">
        <f>IF('Entry Builder'!$N$7=0,1,IF('Entry Builder'!$D$7="Less",--(INDEX(Sims!$A32:$BO32,'Entry Builder'!$L$7)&lt;'Entry Builder'!$E$7),--(INDEX(Sims!$A32:$BO32,'Entry Builder'!$L$7)&gt;'Entry Builder'!$E$7)))</f>
        <v/>
      </c>
      <c r="B32">
        <f>IF('Entry Builder'!$N$8=0,1,IF('Entry Builder'!$D$8="Less",--(INDEX(Sims!$A32:$BO32,'Entry Builder'!$L$8)&lt;'Entry Builder'!$E$8),--(INDEX(Sims!$A32:$BO32,'Entry Builder'!$L$8)&gt;'Entry Builder'!$E$8)))</f>
        <v/>
      </c>
      <c r="C32">
        <f>IF('Entry Builder'!$N$9=0,1,IF('Entry Builder'!$D$9="Less",--(INDEX(Sims!$A32:$BO32,'Entry Builder'!$L$9)&lt;'Entry Builder'!$E$9),--(INDEX(Sims!$A32:$BO32,'Entry Builder'!$L$9)&gt;'Entry Builder'!$E$9)))</f>
        <v/>
      </c>
      <c r="D32">
        <f>IF('Entry Builder'!$N$10=0,1,IF('Entry Builder'!$D$10="Less",--(INDEX(Sims!$A32:$BO32,'Entry Builder'!$L$10)&lt;'Entry Builder'!$E$10),--(INDEX(Sims!$A32:$BO32,'Entry Builder'!$L$10)&gt;'Entry Builder'!$E$10)))</f>
        <v/>
      </c>
      <c r="E32">
        <f>IF('Entry Builder'!$N$11=0,1,IF('Entry Builder'!$D$11="Less",--(INDEX(Sims!$A32:$BO32,'Entry Builder'!$L$11)&lt;'Entry Builder'!$E$11),--(INDEX(Sims!$A32:$BO32,'Entry Builder'!$L$11)&gt;'Entry Builder'!$E$11)))</f>
        <v/>
      </c>
      <c r="F32">
        <f>IF('Entry Builder'!$N$12=0,1,IF('Entry Builder'!$D$12="Less",--(INDEX(Sims!$A32:$BO32,'Entry Builder'!$L$12)&lt;'Entry Builder'!$E$12),--(INDEX(Sims!$A32:$BO32,'Entry Builder'!$L$12)&gt;'Entry Builder'!$E$12)))</f>
        <v/>
      </c>
      <c r="G32">
        <f>6-SUM(A32:F32)</f>
        <v/>
      </c>
    </row>
    <row r="33">
      <c r="A33">
        <f>IF('Entry Builder'!$N$7=0,1,IF('Entry Builder'!$D$7="Less",--(INDEX(Sims!$A33:$BO33,'Entry Builder'!$L$7)&lt;'Entry Builder'!$E$7),--(INDEX(Sims!$A33:$BO33,'Entry Builder'!$L$7)&gt;'Entry Builder'!$E$7)))</f>
        <v/>
      </c>
      <c r="B33">
        <f>IF('Entry Builder'!$N$8=0,1,IF('Entry Builder'!$D$8="Less",--(INDEX(Sims!$A33:$BO33,'Entry Builder'!$L$8)&lt;'Entry Builder'!$E$8),--(INDEX(Sims!$A33:$BO33,'Entry Builder'!$L$8)&gt;'Entry Builder'!$E$8)))</f>
        <v/>
      </c>
      <c r="C33">
        <f>IF('Entry Builder'!$N$9=0,1,IF('Entry Builder'!$D$9="Less",--(INDEX(Sims!$A33:$BO33,'Entry Builder'!$L$9)&lt;'Entry Builder'!$E$9),--(INDEX(Sims!$A33:$BO33,'Entry Builder'!$L$9)&gt;'Entry Builder'!$E$9)))</f>
        <v/>
      </c>
      <c r="D33">
        <f>IF('Entry Builder'!$N$10=0,1,IF('Entry Builder'!$D$10="Less",--(INDEX(Sims!$A33:$BO33,'Entry Builder'!$L$10)&lt;'Entry Builder'!$E$10),--(INDEX(Sims!$A33:$BO33,'Entry Builder'!$L$10)&gt;'Entry Builder'!$E$10)))</f>
        <v/>
      </c>
      <c r="E33">
        <f>IF('Entry Builder'!$N$11=0,1,IF('Entry Builder'!$D$11="Less",--(INDEX(Sims!$A33:$BO33,'Entry Builder'!$L$11)&lt;'Entry Builder'!$E$11),--(INDEX(Sims!$A33:$BO33,'Entry Builder'!$L$11)&gt;'Entry Builder'!$E$11)))</f>
        <v/>
      </c>
      <c r="F33">
        <f>IF('Entry Builder'!$N$12=0,1,IF('Entry Builder'!$D$12="Less",--(INDEX(Sims!$A33:$BO33,'Entry Builder'!$L$12)&lt;'Entry Builder'!$E$12),--(INDEX(Sims!$A33:$BO33,'Entry Builder'!$L$12)&gt;'Entry Builder'!$E$12)))</f>
        <v/>
      </c>
      <c r="G33">
        <f>6-SUM(A33:F33)</f>
        <v/>
      </c>
    </row>
    <row r="34">
      <c r="A34">
        <f>IF('Entry Builder'!$N$7=0,1,IF('Entry Builder'!$D$7="Less",--(INDEX(Sims!$A34:$BO34,'Entry Builder'!$L$7)&lt;'Entry Builder'!$E$7),--(INDEX(Sims!$A34:$BO34,'Entry Builder'!$L$7)&gt;'Entry Builder'!$E$7)))</f>
        <v/>
      </c>
      <c r="B34">
        <f>IF('Entry Builder'!$N$8=0,1,IF('Entry Builder'!$D$8="Less",--(INDEX(Sims!$A34:$BO34,'Entry Builder'!$L$8)&lt;'Entry Builder'!$E$8),--(INDEX(Sims!$A34:$BO34,'Entry Builder'!$L$8)&gt;'Entry Builder'!$E$8)))</f>
        <v/>
      </c>
      <c r="C34">
        <f>IF('Entry Builder'!$N$9=0,1,IF('Entry Builder'!$D$9="Less",--(INDEX(Sims!$A34:$BO34,'Entry Builder'!$L$9)&lt;'Entry Builder'!$E$9),--(INDEX(Sims!$A34:$BO34,'Entry Builder'!$L$9)&gt;'Entry Builder'!$E$9)))</f>
        <v/>
      </c>
      <c r="D34">
        <f>IF('Entry Builder'!$N$10=0,1,IF('Entry Builder'!$D$10="Less",--(INDEX(Sims!$A34:$BO34,'Entry Builder'!$L$10)&lt;'Entry Builder'!$E$10),--(INDEX(Sims!$A34:$BO34,'Entry Builder'!$L$10)&gt;'Entry Builder'!$E$10)))</f>
        <v/>
      </c>
      <c r="E34">
        <f>IF('Entry Builder'!$N$11=0,1,IF('Entry Builder'!$D$11="Less",--(INDEX(Sims!$A34:$BO34,'Entry Builder'!$L$11)&lt;'Entry Builder'!$E$11),--(INDEX(Sims!$A34:$BO34,'Entry Builder'!$L$11)&gt;'Entry Builder'!$E$11)))</f>
        <v/>
      </c>
      <c r="F34">
        <f>IF('Entry Builder'!$N$12=0,1,IF('Entry Builder'!$D$12="Less",--(INDEX(Sims!$A34:$BO34,'Entry Builder'!$L$12)&lt;'Entry Builder'!$E$12),--(INDEX(Sims!$A34:$BO34,'Entry Builder'!$L$12)&gt;'Entry Builder'!$E$12)))</f>
        <v/>
      </c>
      <c r="G34">
        <f>6-SUM(A34:F34)</f>
        <v/>
      </c>
    </row>
    <row r="35">
      <c r="A35">
        <f>IF('Entry Builder'!$N$7=0,1,IF('Entry Builder'!$D$7="Less",--(INDEX(Sims!$A35:$BO35,'Entry Builder'!$L$7)&lt;'Entry Builder'!$E$7),--(INDEX(Sims!$A35:$BO35,'Entry Builder'!$L$7)&gt;'Entry Builder'!$E$7)))</f>
        <v/>
      </c>
      <c r="B35">
        <f>IF('Entry Builder'!$N$8=0,1,IF('Entry Builder'!$D$8="Less",--(INDEX(Sims!$A35:$BO35,'Entry Builder'!$L$8)&lt;'Entry Builder'!$E$8),--(INDEX(Sims!$A35:$BO35,'Entry Builder'!$L$8)&gt;'Entry Builder'!$E$8)))</f>
        <v/>
      </c>
      <c r="C35">
        <f>IF('Entry Builder'!$N$9=0,1,IF('Entry Builder'!$D$9="Less",--(INDEX(Sims!$A35:$BO35,'Entry Builder'!$L$9)&lt;'Entry Builder'!$E$9),--(INDEX(Sims!$A35:$BO35,'Entry Builder'!$L$9)&gt;'Entry Builder'!$E$9)))</f>
        <v/>
      </c>
      <c r="D35">
        <f>IF('Entry Builder'!$N$10=0,1,IF('Entry Builder'!$D$10="Less",--(INDEX(Sims!$A35:$BO35,'Entry Builder'!$L$10)&lt;'Entry Builder'!$E$10),--(INDEX(Sims!$A35:$BO35,'Entry Builder'!$L$10)&gt;'Entry Builder'!$E$10)))</f>
        <v/>
      </c>
      <c r="E35">
        <f>IF('Entry Builder'!$N$11=0,1,IF('Entry Builder'!$D$11="Less",--(INDEX(Sims!$A35:$BO35,'Entry Builder'!$L$11)&lt;'Entry Builder'!$E$11),--(INDEX(Sims!$A35:$BO35,'Entry Builder'!$L$11)&gt;'Entry Builder'!$E$11)))</f>
        <v/>
      </c>
      <c r="F35">
        <f>IF('Entry Builder'!$N$12=0,1,IF('Entry Builder'!$D$12="Less",--(INDEX(Sims!$A35:$BO35,'Entry Builder'!$L$12)&lt;'Entry Builder'!$E$12),--(INDEX(Sims!$A35:$BO35,'Entry Builder'!$L$12)&gt;'Entry Builder'!$E$12)))</f>
        <v/>
      </c>
      <c r="G35">
        <f>6-SUM(A35:F35)</f>
        <v/>
      </c>
    </row>
    <row r="36">
      <c r="A36">
        <f>IF('Entry Builder'!$N$7=0,1,IF('Entry Builder'!$D$7="Less",--(INDEX(Sims!$A36:$BO36,'Entry Builder'!$L$7)&lt;'Entry Builder'!$E$7),--(INDEX(Sims!$A36:$BO36,'Entry Builder'!$L$7)&gt;'Entry Builder'!$E$7)))</f>
        <v/>
      </c>
      <c r="B36">
        <f>IF('Entry Builder'!$N$8=0,1,IF('Entry Builder'!$D$8="Less",--(INDEX(Sims!$A36:$BO36,'Entry Builder'!$L$8)&lt;'Entry Builder'!$E$8),--(INDEX(Sims!$A36:$BO36,'Entry Builder'!$L$8)&gt;'Entry Builder'!$E$8)))</f>
        <v/>
      </c>
      <c r="C36">
        <f>IF('Entry Builder'!$N$9=0,1,IF('Entry Builder'!$D$9="Less",--(INDEX(Sims!$A36:$BO36,'Entry Builder'!$L$9)&lt;'Entry Builder'!$E$9),--(INDEX(Sims!$A36:$BO36,'Entry Builder'!$L$9)&gt;'Entry Builder'!$E$9)))</f>
        <v/>
      </c>
      <c r="D36">
        <f>IF('Entry Builder'!$N$10=0,1,IF('Entry Builder'!$D$10="Less",--(INDEX(Sims!$A36:$BO36,'Entry Builder'!$L$10)&lt;'Entry Builder'!$E$10),--(INDEX(Sims!$A36:$BO36,'Entry Builder'!$L$10)&gt;'Entry Builder'!$E$10)))</f>
        <v/>
      </c>
      <c r="E36">
        <f>IF('Entry Builder'!$N$11=0,1,IF('Entry Builder'!$D$11="Less",--(INDEX(Sims!$A36:$BO36,'Entry Builder'!$L$11)&lt;'Entry Builder'!$E$11),--(INDEX(Sims!$A36:$BO36,'Entry Builder'!$L$11)&gt;'Entry Builder'!$E$11)))</f>
        <v/>
      </c>
      <c r="F36">
        <f>IF('Entry Builder'!$N$12=0,1,IF('Entry Builder'!$D$12="Less",--(INDEX(Sims!$A36:$BO36,'Entry Builder'!$L$12)&lt;'Entry Builder'!$E$12),--(INDEX(Sims!$A36:$BO36,'Entry Builder'!$L$12)&gt;'Entry Builder'!$E$12)))</f>
        <v/>
      </c>
      <c r="G36">
        <f>6-SUM(A36:F36)</f>
        <v/>
      </c>
    </row>
    <row r="37">
      <c r="A37">
        <f>IF('Entry Builder'!$N$7=0,1,IF('Entry Builder'!$D$7="Less",--(INDEX(Sims!$A37:$BO37,'Entry Builder'!$L$7)&lt;'Entry Builder'!$E$7),--(INDEX(Sims!$A37:$BO37,'Entry Builder'!$L$7)&gt;'Entry Builder'!$E$7)))</f>
        <v/>
      </c>
      <c r="B37">
        <f>IF('Entry Builder'!$N$8=0,1,IF('Entry Builder'!$D$8="Less",--(INDEX(Sims!$A37:$BO37,'Entry Builder'!$L$8)&lt;'Entry Builder'!$E$8),--(INDEX(Sims!$A37:$BO37,'Entry Builder'!$L$8)&gt;'Entry Builder'!$E$8)))</f>
        <v/>
      </c>
      <c r="C37">
        <f>IF('Entry Builder'!$N$9=0,1,IF('Entry Builder'!$D$9="Less",--(INDEX(Sims!$A37:$BO37,'Entry Builder'!$L$9)&lt;'Entry Builder'!$E$9),--(INDEX(Sims!$A37:$BO37,'Entry Builder'!$L$9)&gt;'Entry Builder'!$E$9)))</f>
        <v/>
      </c>
      <c r="D37">
        <f>IF('Entry Builder'!$N$10=0,1,IF('Entry Builder'!$D$10="Less",--(INDEX(Sims!$A37:$BO37,'Entry Builder'!$L$10)&lt;'Entry Builder'!$E$10),--(INDEX(Sims!$A37:$BO37,'Entry Builder'!$L$10)&gt;'Entry Builder'!$E$10)))</f>
        <v/>
      </c>
      <c r="E37">
        <f>IF('Entry Builder'!$N$11=0,1,IF('Entry Builder'!$D$11="Less",--(INDEX(Sims!$A37:$BO37,'Entry Builder'!$L$11)&lt;'Entry Builder'!$E$11),--(INDEX(Sims!$A37:$BO37,'Entry Builder'!$L$11)&gt;'Entry Builder'!$E$11)))</f>
        <v/>
      </c>
      <c r="F37">
        <f>IF('Entry Builder'!$N$12=0,1,IF('Entry Builder'!$D$12="Less",--(INDEX(Sims!$A37:$BO37,'Entry Builder'!$L$12)&lt;'Entry Builder'!$E$12),--(INDEX(Sims!$A37:$BO37,'Entry Builder'!$L$12)&gt;'Entry Builder'!$E$12)))</f>
        <v/>
      </c>
      <c r="G37">
        <f>6-SUM(A37:F37)</f>
        <v/>
      </c>
    </row>
    <row r="38">
      <c r="A38">
        <f>IF('Entry Builder'!$N$7=0,1,IF('Entry Builder'!$D$7="Less",--(INDEX(Sims!$A38:$BO38,'Entry Builder'!$L$7)&lt;'Entry Builder'!$E$7),--(INDEX(Sims!$A38:$BO38,'Entry Builder'!$L$7)&gt;'Entry Builder'!$E$7)))</f>
        <v/>
      </c>
      <c r="B38">
        <f>IF('Entry Builder'!$N$8=0,1,IF('Entry Builder'!$D$8="Less",--(INDEX(Sims!$A38:$BO38,'Entry Builder'!$L$8)&lt;'Entry Builder'!$E$8),--(INDEX(Sims!$A38:$BO38,'Entry Builder'!$L$8)&gt;'Entry Builder'!$E$8)))</f>
        <v/>
      </c>
      <c r="C38">
        <f>IF('Entry Builder'!$N$9=0,1,IF('Entry Builder'!$D$9="Less",--(INDEX(Sims!$A38:$BO38,'Entry Builder'!$L$9)&lt;'Entry Builder'!$E$9),--(INDEX(Sims!$A38:$BO38,'Entry Builder'!$L$9)&gt;'Entry Builder'!$E$9)))</f>
        <v/>
      </c>
      <c r="D38">
        <f>IF('Entry Builder'!$N$10=0,1,IF('Entry Builder'!$D$10="Less",--(INDEX(Sims!$A38:$BO38,'Entry Builder'!$L$10)&lt;'Entry Builder'!$E$10),--(INDEX(Sims!$A38:$BO38,'Entry Builder'!$L$10)&gt;'Entry Builder'!$E$10)))</f>
        <v/>
      </c>
      <c r="E38">
        <f>IF('Entry Builder'!$N$11=0,1,IF('Entry Builder'!$D$11="Less",--(INDEX(Sims!$A38:$BO38,'Entry Builder'!$L$11)&lt;'Entry Builder'!$E$11),--(INDEX(Sims!$A38:$BO38,'Entry Builder'!$L$11)&gt;'Entry Builder'!$E$11)))</f>
        <v/>
      </c>
      <c r="F38">
        <f>IF('Entry Builder'!$N$12=0,1,IF('Entry Builder'!$D$12="Less",--(INDEX(Sims!$A38:$BO38,'Entry Builder'!$L$12)&lt;'Entry Builder'!$E$12),--(INDEX(Sims!$A38:$BO38,'Entry Builder'!$L$12)&gt;'Entry Builder'!$E$12)))</f>
        <v/>
      </c>
      <c r="G38">
        <f>6-SUM(A38:F38)</f>
        <v/>
      </c>
    </row>
    <row r="39">
      <c r="A39">
        <f>IF('Entry Builder'!$N$7=0,1,IF('Entry Builder'!$D$7="Less",--(INDEX(Sims!$A39:$BO39,'Entry Builder'!$L$7)&lt;'Entry Builder'!$E$7),--(INDEX(Sims!$A39:$BO39,'Entry Builder'!$L$7)&gt;'Entry Builder'!$E$7)))</f>
        <v/>
      </c>
      <c r="B39">
        <f>IF('Entry Builder'!$N$8=0,1,IF('Entry Builder'!$D$8="Less",--(INDEX(Sims!$A39:$BO39,'Entry Builder'!$L$8)&lt;'Entry Builder'!$E$8),--(INDEX(Sims!$A39:$BO39,'Entry Builder'!$L$8)&gt;'Entry Builder'!$E$8)))</f>
        <v/>
      </c>
      <c r="C39">
        <f>IF('Entry Builder'!$N$9=0,1,IF('Entry Builder'!$D$9="Less",--(INDEX(Sims!$A39:$BO39,'Entry Builder'!$L$9)&lt;'Entry Builder'!$E$9),--(INDEX(Sims!$A39:$BO39,'Entry Builder'!$L$9)&gt;'Entry Builder'!$E$9)))</f>
        <v/>
      </c>
      <c r="D39">
        <f>IF('Entry Builder'!$N$10=0,1,IF('Entry Builder'!$D$10="Less",--(INDEX(Sims!$A39:$BO39,'Entry Builder'!$L$10)&lt;'Entry Builder'!$E$10),--(INDEX(Sims!$A39:$BO39,'Entry Builder'!$L$10)&gt;'Entry Builder'!$E$10)))</f>
        <v/>
      </c>
      <c r="E39">
        <f>IF('Entry Builder'!$N$11=0,1,IF('Entry Builder'!$D$11="Less",--(INDEX(Sims!$A39:$BO39,'Entry Builder'!$L$11)&lt;'Entry Builder'!$E$11),--(INDEX(Sims!$A39:$BO39,'Entry Builder'!$L$11)&gt;'Entry Builder'!$E$11)))</f>
        <v/>
      </c>
      <c r="F39">
        <f>IF('Entry Builder'!$N$12=0,1,IF('Entry Builder'!$D$12="Less",--(INDEX(Sims!$A39:$BO39,'Entry Builder'!$L$12)&lt;'Entry Builder'!$E$12),--(INDEX(Sims!$A39:$BO39,'Entry Builder'!$L$12)&gt;'Entry Builder'!$E$12)))</f>
        <v/>
      </c>
      <c r="G39">
        <f>6-SUM(A39:F39)</f>
        <v/>
      </c>
    </row>
    <row r="40">
      <c r="A40">
        <f>IF('Entry Builder'!$N$7=0,1,IF('Entry Builder'!$D$7="Less",--(INDEX(Sims!$A40:$BO40,'Entry Builder'!$L$7)&lt;'Entry Builder'!$E$7),--(INDEX(Sims!$A40:$BO40,'Entry Builder'!$L$7)&gt;'Entry Builder'!$E$7)))</f>
        <v/>
      </c>
      <c r="B40">
        <f>IF('Entry Builder'!$N$8=0,1,IF('Entry Builder'!$D$8="Less",--(INDEX(Sims!$A40:$BO40,'Entry Builder'!$L$8)&lt;'Entry Builder'!$E$8),--(INDEX(Sims!$A40:$BO40,'Entry Builder'!$L$8)&gt;'Entry Builder'!$E$8)))</f>
        <v/>
      </c>
      <c r="C40">
        <f>IF('Entry Builder'!$N$9=0,1,IF('Entry Builder'!$D$9="Less",--(INDEX(Sims!$A40:$BO40,'Entry Builder'!$L$9)&lt;'Entry Builder'!$E$9),--(INDEX(Sims!$A40:$BO40,'Entry Builder'!$L$9)&gt;'Entry Builder'!$E$9)))</f>
        <v/>
      </c>
      <c r="D40">
        <f>IF('Entry Builder'!$N$10=0,1,IF('Entry Builder'!$D$10="Less",--(INDEX(Sims!$A40:$BO40,'Entry Builder'!$L$10)&lt;'Entry Builder'!$E$10),--(INDEX(Sims!$A40:$BO40,'Entry Builder'!$L$10)&gt;'Entry Builder'!$E$10)))</f>
        <v/>
      </c>
      <c r="E40">
        <f>IF('Entry Builder'!$N$11=0,1,IF('Entry Builder'!$D$11="Less",--(INDEX(Sims!$A40:$BO40,'Entry Builder'!$L$11)&lt;'Entry Builder'!$E$11),--(INDEX(Sims!$A40:$BO40,'Entry Builder'!$L$11)&gt;'Entry Builder'!$E$11)))</f>
        <v/>
      </c>
      <c r="F40">
        <f>IF('Entry Builder'!$N$12=0,1,IF('Entry Builder'!$D$12="Less",--(INDEX(Sims!$A40:$BO40,'Entry Builder'!$L$12)&lt;'Entry Builder'!$E$12),--(INDEX(Sims!$A40:$BO40,'Entry Builder'!$L$12)&gt;'Entry Builder'!$E$12)))</f>
        <v/>
      </c>
      <c r="G40">
        <f>6-SUM(A40:F40)</f>
        <v/>
      </c>
    </row>
    <row r="41">
      <c r="A41">
        <f>IF('Entry Builder'!$N$7=0,1,IF('Entry Builder'!$D$7="Less",--(INDEX(Sims!$A41:$BO41,'Entry Builder'!$L$7)&lt;'Entry Builder'!$E$7),--(INDEX(Sims!$A41:$BO41,'Entry Builder'!$L$7)&gt;'Entry Builder'!$E$7)))</f>
        <v/>
      </c>
      <c r="B41">
        <f>IF('Entry Builder'!$N$8=0,1,IF('Entry Builder'!$D$8="Less",--(INDEX(Sims!$A41:$BO41,'Entry Builder'!$L$8)&lt;'Entry Builder'!$E$8),--(INDEX(Sims!$A41:$BO41,'Entry Builder'!$L$8)&gt;'Entry Builder'!$E$8)))</f>
        <v/>
      </c>
      <c r="C41">
        <f>IF('Entry Builder'!$N$9=0,1,IF('Entry Builder'!$D$9="Less",--(INDEX(Sims!$A41:$BO41,'Entry Builder'!$L$9)&lt;'Entry Builder'!$E$9),--(INDEX(Sims!$A41:$BO41,'Entry Builder'!$L$9)&gt;'Entry Builder'!$E$9)))</f>
        <v/>
      </c>
      <c r="D41">
        <f>IF('Entry Builder'!$N$10=0,1,IF('Entry Builder'!$D$10="Less",--(INDEX(Sims!$A41:$BO41,'Entry Builder'!$L$10)&lt;'Entry Builder'!$E$10),--(INDEX(Sims!$A41:$BO41,'Entry Builder'!$L$10)&gt;'Entry Builder'!$E$10)))</f>
        <v/>
      </c>
      <c r="E41">
        <f>IF('Entry Builder'!$N$11=0,1,IF('Entry Builder'!$D$11="Less",--(INDEX(Sims!$A41:$BO41,'Entry Builder'!$L$11)&lt;'Entry Builder'!$E$11),--(INDEX(Sims!$A41:$BO41,'Entry Builder'!$L$11)&gt;'Entry Builder'!$E$11)))</f>
        <v/>
      </c>
      <c r="F41">
        <f>IF('Entry Builder'!$N$12=0,1,IF('Entry Builder'!$D$12="Less",--(INDEX(Sims!$A41:$BO41,'Entry Builder'!$L$12)&lt;'Entry Builder'!$E$12),--(INDEX(Sims!$A41:$BO41,'Entry Builder'!$L$12)&gt;'Entry Builder'!$E$12)))</f>
        <v/>
      </c>
      <c r="G41">
        <f>6-SUM(A41:F41)</f>
        <v/>
      </c>
    </row>
    <row r="42">
      <c r="A42">
        <f>IF('Entry Builder'!$N$7=0,1,IF('Entry Builder'!$D$7="Less",--(INDEX(Sims!$A42:$BO42,'Entry Builder'!$L$7)&lt;'Entry Builder'!$E$7),--(INDEX(Sims!$A42:$BO42,'Entry Builder'!$L$7)&gt;'Entry Builder'!$E$7)))</f>
        <v/>
      </c>
      <c r="B42">
        <f>IF('Entry Builder'!$N$8=0,1,IF('Entry Builder'!$D$8="Less",--(INDEX(Sims!$A42:$BO42,'Entry Builder'!$L$8)&lt;'Entry Builder'!$E$8),--(INDEX(Sims!$A42:$BO42,'Entry Builder'!$L$8)&gt;'Entry Builder'!$E$8)))</f>
        <v/>
      </c>
      <c r="C42">
        <f>IF('Entry Builder'!$N$9=0,1,IF('Entry Builder'!$D$9="Less",--(INDEX(Sims!$A42:$BO42,'Entry Builder'!$L$9)&lt;'Entry Builder'!$E$9),--(INDEX(Sims!$A42:$BO42,'Entry Builder'!$L$9)&gt;'Entry Builder'!$E$9)))</f>
        <v/>
      </c>
      <c r="D42">
        <f>IF('Entry Builder'!$N$10=0,1,IF('Entry Builder'!$D$10="Less",--(INDEX(Sims!$A42:$BO42,'Entry Builder'!$L$10)&lt;'Entry Builder'!$E$10),--(INDEX(Sims!$A42:$BO42,'Entry Builder'!$L$10)&gt;'Entry Builder'!$E$10)))</f>
        <v/>
      </c>
      <c r="E42">
        <f>IF('Entry Builder'!$N$11=0,1,IF('Entry Builder'!$D$11="Less",--(INDEX(Sims!$A42:$BO42,'Entry Builder'!$L$11)&lt;'Entry Builder'!$E$11),--(INDEX(Sims!$A42:$BO42,'Entry Builder'!$L$11)&gt;'Entry Builder'!$E$11)))</f>
        <v/>
      </c>
      <c r="F42">
        <f>IF('Entry Builder'!$N$12=0,1,IF('Entry Builder'!$D$12="Less",--(INDEX(Sims!$A42:$BO42,'Entry Builder'!$L$12)&lt;'Entry Builder'!$E$12),--(INDEX(Sims!$A42:$BO42,'Entry Builder'!$L$12)&gt;'Entry Builder'!$E$12)))</f>
        <v/>
      </c>
      <c r="G42">
        <f>6-SUM(A42:F42)</f>
        <v/>
      </c>
    </row>
    <row r="43">
      <c r="A43">
        <f>IF('Entry Builder'!$N$7=0,1,IF('Entry Builder'!$D$7="Less",--(INDEX(Sims!$A43:$BO43,'Entry Builder'!$L$7)&lt;'Entry Builder'!$E$7),--(INDEX(Sims!$A43:$BO43,'Entry Builder'!$L$7)&gt;'Entry Builder'!$E$7)))</f>
        <v/>
      </c>
      <c r="B43">
        <f>IF('Entry Builder'!$N$8=0,1,IF('Entry Builder'!$D$8="Less",--(INDEX(Sims!$A43:$BO43,'Entry Builder'!$L$8)&lt;'Entry Builder'!$E$8),--(INDEX(Sims!$A43:$BO43,'Entry Builder'!$L$8)&gt;'Entry Builder'!$E$8)))</f>
        <v/>
      </c>
      <c r="C43">
        <f>IF('Entry Builder'!$N$9=0,1,IF('Entry Builder'!$D$9="Less",--(INDEX(Sims!$A43:$BO43,'Entry Builder'!$L$9)&lt;'Entry Builder'!$E$9),--(INDEX(Sims!$A43:$BO43,'Entry Builder'!$L$9)&gt;'Entry Builder'!$E$9)))</f>
        <v/>
      </c>
      <c r="D43">
        <f>IF('Entry Builder'!$N$10=0,1,IF('Entry Builder'!$D$10="Less",--(INDEX(Sims!$A43:$BO43,'Entry Builder'!$L$10)&lt;'Entry Builder'!$E$10),--(INDEX(Sims!$A43:$BO43,'Entry Builder'!$L$10)&gt;'Entry Builder'!$E$10)))</f>
        <v/>
      </c>
      <c r="E43">
        <f>IF('Entry Builder'!$N$11=0,1,IF('Entry Builder'!$D$11="Less",--(INDEX(Sims!$A43:$BO43,'Entry Builder'!$L$11)&lt;'Entry Builder'!$E$11),--(INDEX(Sims!$A43:$BO43,'Entry Builder'!$L$11)&gt;'Entry Builder'!$E$11)))</f>
        <v/>
      </c>
      <c r="F43">
        <f>IF('Entry Builder'!$N$12=0,1,IF('Entry Builder'!$D$12="Less",--(INDEX(Sims!$A43:$BO43,'Entry Builder'!$L$12)&lt;'Entry Builder'!$E$12),--(INDEX(Sims!$A43:$BO43,'Entry Builder'!$L$12)&gt;'Entry Builder'!$E$12)))</f>
        <v/>
      </c>
      <c r="G43">
        <f>6-SUM(A43:F43)</f>
        <v/>
      </c>
    </row>
    <row r="44">
      <c r="A44">
        <f>IF('Entry Builder'!$N$7=0,1,IF('Entry Builder'!$D$7="Less",--(INDEX(Sims!$A44:$BO44,'Entry Builder'!$L$7)&lt;'Entry Builder'!$E$7),--(INDEX(Sims!$A44:$BO44,'Entry Builder'!$L$7)&gt;'Entry Builder'!$E$7)))</f>
        <v/>
      </c>
      <c r="B44">
        <f>IF('Entry Builder'!$N$8=0,1,IF('Entry Builder'!$D$8="Less",--(INDEX(Sims!$A44:$BO44,'Entry Builder'!$L$8)&lt;'Entry Builder'!$E$8),--(INDEX(Sims!$A44:$BO44,'Entry Builder'!$L$8)&gt;'Entry Builder'!$E$8)))</f>
        <v/>
      </c>
      <c r="C44">
        <f>IF('Entry Builder'!$N$9=0,1,IF('Entry Builder'!$D$9="Less",--(INDEX(Sims!$A44:$BO44,'Entry Builder'!$L$9)&lt;'Entry Builder'!$E$9),--(INDEX(Sims!$A44:$BO44,'Entry Builder'!$L$9)&gt;'Entry Builder'!$E$9)))</f>
        <v/>
      </c>
      <c r="D44">
        <f>IF('Entry Builder'!$N$10=0,1,IF('Entry Builder'!$D$10="Less",--(INDEX(Sims!$A44:$BO44,'Entry Builder'!$L$10)&lt;'Entry Builder'!$E$10),--(INDEX(Sims!$A44:$BO44,'Entry Builder'!$L$10)&gt;'Entry Builder'!$E$10)))</f>
        <v/>
      </c>
      <c r="E44">
        <f>IF('Entry Builder'!$N$11=0,1,IF('Entry Builder'!$D$11="Less",--(INDEX(Sims!$A44:$BO44,'Entry Builder'!$L$11)&lt;'Entry Builder'!$E$11),--(INDEX(Sims!$A44:$BO44,'Entry Builder'!$L$11)&gt;'Entry Builder'!$E$11)))</f>
        <v/>
      </c>
      <c r="F44">
        <f>IF('Entry Builder'!$N$12=0,1,IF('Entry Builder'!$D$12="Less",--(INDEX(Sims!$A44:$BO44,'Entry Builder'!$L$12)&lt;'Entry Builder'!$E$12),--(INDEX(Sims!$A44:$BO44,'Entry Builder'!$L$12)&gt;'Entry Builder'!$E$12)))</f>
        <v/>
      </c>
      <c r="G44">
        <f>6-SUM(A44:F44)</f>
        <v/>
      </c>
    </row>
    <row r="45">
      <c r="A45">
        <f>IF('Entry Builder'!$N$7=0,1,IF('Entry Builder'!$D$7="Less",--(INDEX(Sims!$A45:$BO45,'Entry Builder'!$L$7)&lt;'Entry Builder'!$E$7),--(INDEX(Sims!$A45:$BO45,'Entry Builder'!$L$7)&gt;'Entry Builder'!$E$7)))</f>
        <v/>
      </c>
      <c r="B45">
        <f>IF('Entry Builder'!$N$8=0,1,IF('Entry Builder'!$D$8="Less",--(INDEX(Sims!$A45:$BO45,'Entry Builder'!$L$8)&lt;'Entry Builder'!$E$8),--(INDEX(Sims!$A45:$BO45,'Entry Builder'!$L$8)&gt;'Entry Builder'!$E$8)))</f>
        <v/>
      </c>
      <c r="C45">
        <f>IF('Entry Builder'!$N$9=0,1,IF('Entry Builder'!$D$9="Less",--(INDEX(Sims!$A45:$BO45,'Entry Builder'!$L$9)&lt;'Entry Builder'!$E$9),--(INDEX(Sims!$A45:$BO45,'Entry Builder'!$L$9)&gt;'Entry Builder'!$E$9)))</f>
        <v/>
      </c>
      <c r="D45">
        <f>IF('Entry Builder'!$N$10=0,1,IF('Entry Builder'!$D$10="Less",--(INDEX(Sims!$A45:$BO45,'Entry Builder'!$L$10)&lt;'Entry Builder'!$E$10),--(INDEX(Sims!$A45:$BO45,'Entry Builder'!$L$10)&gt;'Entry Builder'!$E$10)))</f>
        <v/>
      </c>
      <c r="E45">
        <f>IF('Entry Builder'!$N$11=0,1,IF('Entry Builder'!$D$11="Less",--(INDEX(Sims!$A45:$BO45,'Entry Builder'!$L$11)&lt;'Entry Builder'!$E$11),--(INDEX(Sims!$A45:$BO45,'Entry Builder'!$L$11)&gt;'Entry Builder'!$E$11)))</f>
        <v/>
      </c>
      <c r="F45">
        <f>IF('Entry Builder'!$N$12=0,1,IF('Entry Builder'!$D$12="Less",--(INDEX(Sims!$A45:$BO45,'Entry Builder'!$L$12)&lt;'Entry Builder'!$E$12),--(INDEX(Sims!$A45:$BO45,'Entry Builder'!$L$12)&gt;'Entry Builder'!$E$12)))</f>
        <v/>
      </c>
      <c r="G45">
        <f>6-SUM(A45:F45)</f>
        <v/>
      </c>
    </row>
    <row r="46">
      <c r="A46">
        <f>IF('Entry Builder'!$N$7=0,1,IF('Entry Builder'!$D$7="Less",--(INDEX(Sims!$A46:$BO46,'Entry Builder'!$L$7)&lt;'Entry Builder'!$E$7),--(INDEX(Sims!$A46:$BO46,'Entry Builder'!$L$7)&gt;'Entry Builder'!$E$7)))</f>
        <v/>
      </c>
      <c r="B46">
        <f>IF('Entry Builder'!$N$8=0,1,IF('Entry Builder'!$D$8="Less",--(INDEX(Sims!$A46:$BO46,'Entry Builder'!$L$8)&lt;'Entry Builder'!$E$8),--(INDEX(Sims!$A46:$BO46,'Entry Builder'!$L$8)&gt;'Entry Builder'!$E$8)))</f>
        <v/>
      </c>
      <c r="C46">
        <f>IF('Entry Builder'!$N$9=0,1,IF('Entry Builder'!$D$9="Less",--(INDEX(Sims!$A46:$BO46,'Entry Builder'!$L$9)&lt;'Entry Builder'!$E$9),--(INDEX(Sims!$A46:$BO46,'Entry Builder'!$L$9)&gt;'Entry Builder'!$E$9)))</f>
        <v/>
      </c>
      <c r="D46">
        <f>IF('Entry Builder'!$N$10=0,1,IF('Entry Builder'!$D$10="Less",--(INDEX(Sims!$A46:$BO46,'Entry Builder'!$L$10)&lt;'Entry Builder'!$E$10),--(INDEX(Sims!$A46:$BO46,'Entry Builder'!$L$10)&gt;'Entry Builder'!$E$10)))</f>
        <v/>
      </c>
      <c r="E46">
        <f>IF('Entry Builder'!$N$11=0,1,IF('Entry Builder'!$D$11="Less",--(INDEX(Sims!$A46:$BO46,'Entry Builder'!$L$11)&lt;'Entry Builder'!$E$11),--(INDEX(Sims!$A46:$BO46,'Entry Builder'!$L$11)&gt;'Entry Builder'!$E$11)))</f>
        <v/>
      </c>
      <c r="F46">
        <f>IF('Entry Builder'!$N$12=0,1,IF('Entry Builder'!$D$12="Less",--(INDEX(Sims!$A46:$BO46,'Entry Builder'!$L$12)&lt;'Entry Builder'!$E$12),--(INDEX(Sims!$A46:$BO46,'Entry Builder'!$L$12)&gt;'Entry Builder'!$E$12)))</f>
        <v/>
      </c>
      <c r="G46">
        <f>6-SUM(A46:F46)</f>
        <v/>
      </c>
    </row>
    <row r="47">
      <c r="A47">
        <f>IF('Entry Builder'!$N$7=0,1,IF('Entry Builder'!$D$7="Less",--(INDEX(Sims!$A47:$BO47,'Entry Builder'!$L$7)&lt;'Entry Builder'!$E$7),--(INDEX(Sims!$A47:$BO47,'Entry Builder'!$L$7)&gt;'Entry Builder'!$E$7)))</f>
        <v/>
      </c>
      <c r="B47">
        <f>IF('Entry Builder'!$N$8=0,1,IF('Entry Builder'!$D$8="Less",--(INDEX(Sims!$A47:$BO47,'Entry Builder'!$L$8)&lt;'Entry Builder'!$E$8),--(INDEX(Sims!$A47:$BO47,'Entry Builder'!$L$8)&gt;'Entry Builder'!$E$8)))</f>
        <v/>
      </c>
      <c r="C47">
        <f>IF('Entry Builder'!$N$9=0,1,IF('Entry Builder'!$D$9="Less",--(INDEX(Sims!$A47:$BO47,'Entry Builder'!$L$9)&lt;'Entry Builder'!$E$9),--(INDEX(Sims!$A47:$BO47,'Entry Builder'!$L$9)&gt;'Entry Builder'!$E$9)))</f>
        <v/>
      </c>
      <c r="D47">
        <f>IF('Entry Builder'!$N$10=0,1,IF('Entry Builder'!$D$10="Less",--(INDEX(Sims!$A47:$BO47,'Entry Builder'!$L$10)&lt;'Entry Builder'!$E$10),--(INDEX(Sims!$A47:$BO47,'Entry Builder'!$L$10)&gt;'Entry Builder'!$E$10)))</f>
        <v/>
      </c>
      <c r="E47">
        <f>IF('Entry Builder'!$N$11=0,1,IF('Entry Builder'!$D$11="Less",--(INDEX(Sims!$A47:$BO47,'Entry Builder'!$L$11)&lt;'Entry Builder'!$E$11),--(INDEX(Sims!$A47:$BO47,'Entry Builder'!$L$11)&gt;'Entry Builder'!$E$11)))</f>
        <v/>
      </c>
      <c r="F47">
        <f>IF('Entry Builder'!$N$12=0,1,IF('Entry Builder'!$D$12="Less",--(INDEX(Sims!$A47:$BO47,'Entry Builder'!$L$12)&lt;'Entry Builder'!$E$12),--(INDEX(Sims!$A47:$BO47,'Entry Builder'!$L$12)&gt;'Entry Builder'!$E$12)))</f>
        <v/>
      </c>
      <c r="G47">
        <f>6-SUM(A47:F47)</f>
        <v/>
      </c>
    </row>
    <row r="48">
      <c r="A48">
        <f>IF('Entry Builder'!$N$7=0,1,IF('Entry Builder'!$D$7="Less",--(INDEX(Sims!$A48:$BO48,'Entry Builder'!$L$7)&lt;'Entry Builder'!$E$7),--(INDEX(Sims!$A48:$BO48,'Entry Builder'!$L$7)&gt;'Entry Builder'!$E$7)))</f>
        <v/>
      </c>
      <c r="B48">
        <f>IF('Entry Builder'!$N$8=0,1,IF('Entry Builder'!$D$8="Less",--(INDEX(Sims!$A48:$BO48,'Entry Builder'!$L$8)&lt;'Entry Builder'!$E$8),--(INDEX(Sims!$A48:$BO48,'Entry Builder'!$L$8)&gt;'Entry Builder'!$E$8)))</f>
        <v/>
      </c>
      <c r="C48">
        <f>IF('Entry Builder'!$N$9=0,1,IF('Entry Builder'!$D$9="Less",--(INDEX(Sims!$A48:$BO48,'Entry Builder'!$L$9)&lt;'Entry Builder'!$E$9),--(INDEX(Sims!$A48:$BO48,'Entry Builder'!$L$9)&gt;'Entry Builder'!$E$9)))</f>
        <v/>
      </c>
      <c r="D48">
        <f>IF('Entry Builder'!$N$10=0,1,IF('Entry Builder'!$D$10="Less",--(INDEX(Sims!$A48:$BO48,'Entry Builder'!$L$10)&lt;'Entry Builder'!$E$10),--(INDEX(Sims!$A48:$BO48,'Entry Builder'!$L$10)&gt;'Entry Builder'!$E$10)))</f>
        <v/>
      </c>
      <c r="E48">
        <f>IF('Entry Builder'!$N$11=0,1,IF('Entry Builder'!$D$11="Less",--(INDEX(Sims!$A48:$BO48,'Entry Builder'!$L$11)&lt;'Entry Builder'!$E$11),--(INDEX(Sims!$A48:$BO48,'Entry Builder'!$L$11)&gt;'Entry Builder'!$E$11)))</f>
        <v/>
      </c>
      <c r="F48">
        <f>IF('Entry Builder'!$N$12=0,1,IF('Entry Builder'!$D$12="Less",--(INDEX(Sims!$A48:$BO48,'Entry Builder'!$L$12)&lt;'Entry Builder'!$E$12),--(INDEX(Sims!$A48:$BO48,'Entry Builder'!$L$12)&gt;'Entry Builder'!$E$12)))</f>
        <v/>
      </c>
      <c r="G48">
        <f>6-SUM(A48:F48)</f>
        <v/>
      </c>
    </row>
    <row r="49">
      <c r="A49">
        <f>IF('Entry Builder'!$N$7=0,1,IF('Entry Builder'!$D$7="Less",--(INDEX(Sims!$A49:$BO49,'Entry Builder'!$L$7)&lt;'Entry Builder'!$E$7),--(INDEX(Sims!$A49:$BO49,'Entry Builder'!$L$7)&gt;'Entry Builder'!$E$7)))</f>
        <v/>
      </c>
      <c r="B49">
        <f>IF('Entry Builder'!$N$8=0,1,IF('Entry Builder'!$D$8="Less",--(INDEX(Sims!$A49:$BO49,'Entry Builder'!$L$8)&lt;'Entry Builder'!$E$8),--(INDEX(Sims!$A49:$BO49,'Entry Builder'!$L$8)&gt;'Entry Builder'!$E$8)))</f>
        <v/>
      </c>
      <c r="C49">
        <f>IF('Entry Builder'!$N$9=0,1,IF('Entry Builder'!$D$9="Less",--(INDEX(Sims!$A49:$BO49,'Entry Builder'!$L$9)&lt;'Entry Builder'!$E$9),--(INDEX(Sims!$A49:$BO49,'Entry Builder'!$L$9)&gt;'Entry Builder'!$E$9)))</f>
        <v/>
      </c>
      <c r="D49">
        <f>IF('Entry Builder'!$N$10=0,1,IF('Entry Builder'!$D$10="Less",--(INDEX(Sims!$A49:$BO49,'Entry Builder'!$L$10)&lt;'Entry Builder'!$E$10),--(INDEX(Sims!$A49:$BO49,'Entry Builder'!$L$10)&gt;'Entry Builder'!$E$10)))</f>
        <v/>
      </c>
      <c r="E49">
        <f>IF('Entry Builder'!$N$11=0,1,IF('Entry Builder'!$D$11="Less",--(INDEX(Sims!$A49:$BO49,'Entry Builder'!$L$11)&lt;'Entry Builder'!$E$11),--(INDEX(Sims!$A49:$BO49,'Entry Builder'!$L$11)&gt;'Entry Builder'!$E$11)))</f>
        <v/>
      </c>
      <c r="F49">
        <f>IF('Entry Builder'!$N$12=0,1,IF('Entry Builder'!$D$12="Less",--(INDEX(Sims!$A49:$BO49,'Entry Builder'!$L$12)&lt;'Entry Builder'!$E$12),--(INDEX(Sims!$A49:$BO49,'Entry Builder'!$L$12)&gt;'Entry Builder'!$E$12)))</f>
        <v/>
      </c>
      <c r="G49">
        <f>6-SUM(A49:F49)</f>
        <v/>
      </c>
    </row>
    <row r="50">
      <c r="A50">
        <f>IF('Entry Builder'!$N$7=0,1,IF('Entry Builder'!$D$7="Less",--(INDEX(Sims!$A50:$BO50,'Entry Builder'!$L$7)&lt;'Entry Builder'!$E$7),--(INDEX(Sims!$A50:$BO50,'Entry Builder'!$L$7)&gt;'Entry Builder'!$E$7)))</f>
        <v/>
      </c>
      <c r="B50">
        <f>IF('Entry Builder'!$N$8=0,1,IF('Entry Builder'!$D$8="Less",--(INDEX(Sims!$A50:$BO50,'Entry Builder'!$L$8)&lt;'Entry Builder'!$E$8),--(INDEX(Sims!$A50:$BO50,'Entry Builder'!$L$8)&gt;'Entry Builder'!$E$8)))</f>
        <v/>
      </c>
      <c r="C50">
        <f>IF('Entry Builder'!$N$9=0,1,IF('Entry Builder'!$D$9="Less",--(INDEX(Sims!$A50:$BO50,'Entry Builder'!$L$9)&lt;'Entry Builder'!$E$9),--(INDEX(Sims!$A50:$BO50,'Entry Builder'!$L$9)&gt;'Entry Builder'!$E$9)))</f>
        <v/>
      </c>
      <c r="D50">
        <f>IF('Entry Builder'!$N$10=0,1,IF('Entry Builder'!$D$10="Less",--(INDEX(Sims!$A50:$BO50,'Entry Builder'!$L$10)&lt;'Entry Builder'!$E$10),--(INDEX(Sims!$A50:$BO50,'Entry Builder'!$L$10)&gt;'Entry Builder'!$E$10)))</f>
        <v/>
      </c>
      <c r="E50">
        <f>IF('Entry Builder'!$N$11=0,1,IF('Entry Builder'!$D$11="Less",--(INDEX(Sims!$A50:$BO50,'Entry Builder'!$L$11)&lt;'Entry Builder'!$E$11),--(INDEX(Sims!$A50:$BO50,'Entry Builder'!$L$11)&gt;'Entry Builder'!$E$11)))</f>
        <v/>
      </c>
      <c r="F50">
        <f>IF('Entry Builder'!$N$12=0,1,IF('Entry Builder'!$D$12="Less",--(INDEX(Sims!$A50:$BO50,'Entry Builder'!$L$12)&lt;'Entry Builder'!$E$12),--(INDEX(Sims!$A50:$BO50,'Entry Builder'!$L$12)&gt;'Entry Builder'!$E$12)))</f>
        <v/>
      </c>
      <c r="G50">
        <f>6-SUM(A50:F50)</f>
        <v/>
      </c>
    </row>
    <row r="51">
      <c r="A51">
        <f>IF('Entry Builder'!$N$7=0,1,IF('Entry Builder'!$D$7="Less",--(INDEX(Sims!$A51:$BO51,'Entry Builder'!$L$7)&lt;'Entry Builder'!$E$7),--(INDEX(Sims!$A51:$BO51,'Entry Builder'!$L$7)&gt;'Entry Builder'!$E$7)))</f>
        <v/>
      </c>
      <c r="B51">
        <f>IF('Entry Builder'!$N$8=0,1,IF('Entry Builder'!$D$8="Less",--(INDEX(Sims!$A51:$BO51,'Entry Builder'!$L$8)&lt;'Entry Builder'!$E$8),--(INDEX(Sims!$A51:$BO51,'Entry Builder'!$L$8)&gt;'Entry Builder'!$E$8)))</f>
        <v/>
      </c>
      <c r="C51">
        <f>IF('Entry Builder'!$N$9=0,1,IF('Entry Builder'!$D$9="Less",--(INDEX(Sims!$A51:$BO51,'Entry Builder'!$L$9)&lt;'Entry Builder'!$E$9),--(INDEX(Sims!$A51:$BO51,'Entry Builder'!$L$9)&gt;'Entry Builder'!$E$9)))</f>
        <v/>
      </c>
      <c r="D51">
        <f>IF('Entry Builder'!$N$10=0,1,IF('Entry Builder'!$D$10="Less",--(INDEX(Sims!$A51:$BO51,'Entry Builder'!$L$10)&lt;'Entry Builder'!$E$10),--(INDEX(Sims!$A51:$BO51,'Entry Builder'!$L$10)&gt;'Entry Builder'!$E$10)))</f>
        <v/>
      </c>
      <c r="E51">
        <f>IF('Entry Builder'!$N$11=0,1,IF('Entry Builder'!$D$11="Less",--(INDEX(Sims!$A51:$BO51,'Entry Builder'!$L$11)&lt;'Entry Builder'!$E$11),--(INDEX(Sims!$A51:$BO51,'Entry Builder'!$L$11)&gt;'Entry Builder'!$E$11)))</f>
        <v/>
      </c>
      <c r="F51">
        <f>IF('Entry Builder'!$N$12=0,1,IF('Entry Builder'!$D$12="Less",--(INDEX(Sims!$A51:$BO51,'Entry Builder'!$L$12)&lt;'Entry Builder'!$E$12),--(INDEX(Sims!$A51:$BO51,'Entry Builder'!$L$12)&gt;'Entry Builder'!$E$12)))</f>
        <v/>
      </c>
      <c r="G51">
        <f>6-SUM(A51:F51)</f>
        <v/>
      </c>
    </row>
    <row r="52">
      <c r="A52">
        <f>IF('Entry Builder'!$N$7=0,1,IF('Entry Builder'!$D$7="Less",--(INDEX(Sims!$A52:$BO52,'Entry Builder'!$L$7)&lt;'Entry Builder'!$E$7),--(INDEX(Sims!$A52:$BO52,'Entry Builder'!$L$7)&gt;'Entry Builder'!$E$7)))</f>
        <v/>
      </c>
      <c r="B52">
        <f>IF('Entry Builder'!$N$8=0,1,IF('Entry Builder'!$D$8="Less",--(INDEX(Sims!$A52:$BO52,'Entry Builder'!$L$8)&lt;'Entry Builder'!$E$8),--(INDEX(Sims!$A52:$BO52,'Entry Builder'!$L$8)&gt;'Entry Builder'!$E$8)))</f>
        <v/>
      </c>
      <c r="C52">
        <f>IF('Entry Builder'!$N$9=0,1,IF('Entry Builder'!$D$9="Less",--(INDEX(Sims!$A52:$BO52,'Entry Builder'!$L$9)&lt;'Entry Builder'!$E$9),--(INDEX(Sims!$A52:$BO52,'Entry Builder'!$L$9)&gt;'Entry Builder'!$E$9)))</f>
        <v/>
      </c>
      <c r="D52">
        <f>IF('Entry Builder'!$N$10=0,1,IF('Entry Builder'!$D$10="Less",--(INDEX(Sims!$A52:$BO52,'Entry Builder'!$L$10)&lt;'Entry Builder'!$E$10),--(INDEX(Sims!$A52:$BO52,'Entry Builder'!$L$10)&gt;'Entry Builder'!$E$10)))</f>
        <v/>
      </c>
      <c r="E52">
        <f>IF('Entry Builder'!$N$11=0,1,IF('Entry Builder'!$D$11="Less",--(INDEX(Sims!$A52:$BO52,'Entry Builder'!$L$11)&lt;'Entry Builder'!$E$11),--(INDEX(Sims!$A52:$BO52,'Entry Builder'!$L$11)&gt;'Entry Builder'!$E$11)))</f>
        <v/>
      </c>
      <c r="F52">
        <f>IF('Entry Builder'!$N$12=0,1,IF('Entry Builder'!$D$12="Less",--(INDEX(Sims!$A52:$BO52,'Entry Builder'!$L$12)&lt;'Entry Builder'!$E$12),--(INDEX(Sims!$A52:$BO52,'Entry Builder'!$L$12)&gt;'Entry Builder'!$E$12)))</f>
        <v/>
      </c>
      <c r="G52">
        <f>6-SUM(A52:F52)</f>
        <v/>
      </c>
    </row>
    <row r="53">
      <c r="A53">
        <f>IF('Entry Builder'!$N$7=0,1,IF('Entry Builder'!$D$7="Less",--(INDEX(Sims!$A53:$BO53,'Entry Builder'!$L$7)&lt;'Entry Builder'!$E$7),--(INDEX(Sims!$A53:$BO53,'Entry Builder'!$L$7)&gt;'Entry Builder'!$E$7)))</f>
        <v/>
      </c>
      <c r="B53">
        <f>IF('Entry Builder'!$N$8=0,1,IF('Entry Builder'!$D$8="Less",--(INDEX(Sims!$A53:$BO53,'Entry Builder'!$L$8)&lt;'Entry Builder'!$E$8),--(INDEX(Sims!$A53:$BO53,'Entry Builder'!$L$8)&gt;'Entry Builder'!$E$8)))</f>
        <v/>
      </c>
      <c r="C53">
        <f>IF('Entry Builder'!$N$9=0,1,IF('Entry Builder'!$D$9="Less",--(INDEX(Sims!$A53:$BO53,'Entry Builder'!$L$9)&lt;'Entry Builder'!$E$9),--(INDEX(Sims!$A53:$BO53,'Entry Builder'!$L$9)&gt;'Entry Builder'!$E$9)))</f>
        <v/>
      </c>
      <c r="D53">
        <f>IF('Entry Builder'!$N$10=0,1,IF('Entry Builder'!$D$10="Less",--(INDEX(Sims!$A53:$BO53,'Entry Builder'!$L$10)&lt;'Entry Builder'!$E$10),--(INDEX(Sims!$A53:$BO53,'Entry Builder'!$L$10)&gt;'Entry Builder'!$E$10)))</f>
        <v/>
      </c>
      <c r="E53">
        <f>IF('Entry Builder'!$N$11=0,1,IF('Entry Builder'!$D$11="Less",--(INDEX(Sims!$A53:$BO53,'Entry Builder'!$L$11)&lt;'Entry Builder'!$E$11),--(INDEX(Sims!$A53:$BO53,'Entry Builder'!$L$11)&gt;'Entry Builder'!$E$11)))</f>
        <v/>
      </c>
      <c r="F53">
        <f>IF('Entry Builder'!$N$12=0,1,IF('Entry Builder'!$D$12="Less",--(INDEX(Sims!$A53:$BO53,'Entry Builder'!$L$12)&lt;'Entry Builder'!$E$12),--(INDEX(Sims!$A53:$BO53,'Entry Builder'!$L$12)&gt;'Entry Builder'!$E$12)))</f>
        <v/>
      </c>
      <c r="G53">
        <f>6-SUM(A53:F53)</f>
        <v/>
      </c>
    </row>
    <row r="54">
      <c r="A54">
        <f>IF('Entry Builder'!$N$7=0,1,IF('Entry Builder'!$D$7="Less",--(INDEX(Sims!$A54:$BO54,'Entry Builder'!$L$7)&lt;'Entry Builder'!$E$7),--(INDEX(Sims!$A54:$BO54,'Entry Builder'!$L$7)&gt;'Entry Builder'!$E$7)))</f>
        <v/>
      </c>
      <c r="B54">
        <f>IF('Entry Builder'!$N$8=0,1,IF('Entry Builder'!$D$8="Less",--(INDEX(Sims!$A54:$BO54,'Entry Builder'!$L$8)&lt;'Entry Builder'!$E$8),--(INDEX(Sims!$A54:$BO54,'Entry Builder'!$L$8)&gt;'Entry Builder'!$E$8)))</f>
        <v/>
      </c>
      <c r="C54">
        <f>IF('Entry Builder'!$N$9=0,1,IF('Entry Builder'!$D$9="Less",--(INDEX(Sims!$A54:$BO54,'Entry Builder'!$L$9)&lt;'Entry Builder'!$E$9),--(INDEX(Sims!$A54:$BO54,'Entry Builder'!$L$9)&gt;'Entry Builder'!$E$9)))</f>
        <v/>
      </c>
      <c r="D54">
        <f>IF('Entry Builder'!$N$10=0,1,IF('Entry Builder'!$D$10="Less",--(INDEX(Sims!$A54:$BO54,'Entry Builder'!$L$10)&lt;'Entry Builder'!$E$10),--(INDEX(Sims!$A54:$BO54,'Entry Builder'!$L$10)&gt;'Entry Builder'!$E$10)))</f>
        <v/>
      </c>
      <c r="E54">
        <f>IF('Entry Builder'!$N$11=0,1,IF('Entry Builder'!$D$11="Less",--(INDEX(Sims!$A54:$BO54,'Entry Builder'!$L$11)&lt;'Entry Builder'!$E$11),--(INDEX(Sims!$A54:$BO54,'Entry Builder'!$L$11)&gt;'Entry Builder'!$E$11)))</f>
        <v/>
      </c>
      <c r="F54">
        <f>IF('Entry Builder'!$N$12=0,1,IF('Entry Builder'!$D$12="Less",--(INDEX(Sims!$A54:$BO54,'Entry Builder'!$L$12)&lt;'Entry Builder'!$E$12),--(INDEX(Sims!$A54:$BO54,'Entry Builder'!$L$12)&gt;'Entry Builder'!$E$12)))</f>
        <v/>
      </c>
      <c r="G54">
        <f>6-SUM(A54:F54)</f>
        <v/>
      </c>
    </row>
    <row r="55">
      <c r="A55">
        <f>IF('Entry Builder'!$N$7=0,1,IF('Entry Builder'!$D$7="Less",--(INDEX(Sims!$A55:$BO55,'Entry Builder'!$L$7)&lt;'Entry Builder'!$E$7),--(INDEX(Sims!$A55:$BO55,'Entry Builder'!$L$7)&gt;'Entry Builder'!$E$7)))</f>
        <v/>
      </c>
      <c r="B55">
        <f>IF('Entry Builder'!$N$8=0,1,IF('Entry Builder'!$D$8="Less",--(INDEX(Sims!$A55:$BO55,'Entry Builder'!$L$8)&lt;'Entry Builder'!$E$8),--(INDEX(Sims!$A55:$BO55,'Entry Builder'!$L$8)&gt;'Entry Builder'!$E$8)))</f>
        <v/>
      </c>
      <c r="C55">
        <f>IF('Entry Builder'!$N$9=0,1,IF('Entry Builder'!$D$9="Less",--(INDEX(Sims!$A55:$BO55,'Entry Builder'!$L$9)&lt;'Entry Builder'!$E$9),--(INDEX(Sims!$A55:$BO55,'Entry Builder'!$L$9)&gt;'Entry Builder'!$E$9)))</f>
        <v/>
      </c>
      <c r="D55">
        <f>IF('Entry Builder'!$N$10=0,1,IF('Entry Builder'!$D$10="Less",--(INDEX(Sims!$A55:$BO55,'Entry Builder'!$L$10)&lt;'Entry Builder'!$E$10),--(INDEX(Sims!$A55:$BO55,'Entry Builder'!$L$10)&gt;'Entry Builder'!$E$10)))</f>
        <v/>
      </c>
      <c r="E55">
        <f>IF('Entry Builder'!$N$11=0,1,IF('Entry Builder'!$D$11="Less",--(INDEX(Sims!$A55:$BO55,'Entry Builder'!$L$11)&lt;'Entry Builder'!$E$11),--(INDEX(Sims!$A55:$BO55,'Entry Builder'!$L$11)&gt;'Entry Builder'!$E$11)))</f>
        <v/>
      </c>
      <c r="F55">
        <f>IF('Entry Builder'!$N$12=0,1,IF('Entry Builder'!$D$12="Less",--(INDEX(Sims!$A55:$BO55,'Entry Builder'!$L$12)&lt;'Entry Builder'!$E$12),--(INDEX(Sims!$A55:$BO55,'Entry Builder'!$L$12)&gt;'Entry Builder'!$E$12)))</f>
        <v/>
      </c>
      <c r="G55">
        <f>6-SUM(A55:F55)</f>
        <v/>
      </c>
    </row>
    <row r="56">
      <c r="A56">
        <f>IF('Entry Builder'!$N$7=0,1,IF('Entry Builder'!$D$7="Less",--(INDEX(Sims!$A56:$BO56,'Entry Builder'!$L$7)&lt;'Entry Builder'!$E$7),--(INDEX(Sims!$A56:$BO56,'Entry Builder'!$L$7)&gt;'Entry Builder'!$E$7)))</f>
        <v/>
      </c>
      <c r="B56">
        <f>IF('Entry Builder'!$N$8=0,1,IF('Entry Builder'!$D$8="Less",--(INDEX(Sims!$A56:$BO56,'Entry Builder'!$L$8)&lt;'Entry Builder'!$E$8),--(INDEX(Sims!$A56:$BO56,'Entry Builder'!$L$8)&gt;'Entry Builder'!$E$8)))</f>
        <v/>
      </c>
      <c r="C56">
        <f>IF('Entry Builder'!$N$9=0,1,IF('Entry Builder'!$D$9="Less",--(INDEX(Sims!$A56:$BO56,'Entry Builder'!$L$9)&lt;'Entry Builder'!$E$9),--(INDEX(Sims!$A56:$BO56,'Entry Builder'!$L$9)&gt;'Entry Builder'!$E$9)))</f>
        <v/>
      </c>
      <c r="D56">
        <f>IF('Entry Builder'!$N$10=0,1,IF('Entry Builder'!$D$10="Less",--(INDEX(Sims!$A56:$BO56,'Entry Builder'!$L$10)&lt;'Entry Builder'!$E$10),--(INDEX(Sims!$A56:$BO56,'Entry Builder'!$L$10)&gt;'Entry Builder'!$E$10)))</f>
        <v/>
      </c>
      <c r="E56">
        <f>IF('Entry Builder'!$N$11=0,1,IF('Entry Builder'!$D$11="Less",--(INDEX(Sims!$A56:$BO56,'Entry Builder'!$L$11)&lt;'Entry Builder'!$E$11),--(INDEX(Sims!$A56:$BO56,'Entry Builder'!$L$11)&gt;'Entry Builder'!$E$11)))</f>
        <v/>
      </c>
      <c r="F56">
        <f>IF('Entry Builder'!$N$12=0,1,IF('Entry Builder'!$D$12="Less",--(INDEX(Sims!$A56:$BO56,'Entry Builder'!$L$12)&lt;'Entry Builder'!$E$12),--(INDEX(Sims!$A56:$BO56,'Entry Builder'!$L$12)&gt;'Entry Builder'!$E$12)))</f>
        <v/>
      </c>
      <c r="G56">
        <f>6-SUM(A56:F56)</f>
        <v/>
      </c>
    </row>
    <row r="57">
      <c r="A57">
        <f>IF('Entry Builder'!$N$7=0,1,IF('Entry Builder'!$D$7="Less",--(INDEX(Sims!$A57:$BO57,'Entry Builder'!$L$7)&lt;'Entry Builder'!$E$7),--(INDEX(Sims!$A57:$BO57,'Entry Builder'!$L$7)&gt;'Entry Builder'!$E$7)))</f>
        <v/>
      </c>
      <c r="B57">
        <f>IF('Entry Builder'!$N$8=0,1,IF('Entry Builder'!$D$8="Less",--(INDEX(Sims!$A57:$BO57,'Entry Builder'!$L$8)&lt;'Entry Builder'!$E$8),--(INDEX(Sims!$A57:$BO57,'Entry Builder'!$L$8)&gt;'Entry Builder'!$E$8)))</f>
        <v/>
      </c>
      <c r="C57">
        <f>IF('Entry Builder'!$N$9=0,1,IF('Entry Builder'!$D$9="Less",--(INDEX(Sims!$A57:$BO57,'Entry Builder'!$L$9)&lt;'Entry Builder'!$E$9),--(INDEX(Sims!$A57:$BO57,'Entry Builder'!$L$9)&gt;'Entry Builder'!$E$9)))</f>
        <v/>
      </c>
      <c r="D57">
        <f>IF('Entry Builder'!$N$10=0,1,IF('Entry Builder'!$D$10="Less",--(INDEX(Sims!$A57:$BO57,'Entry Builder'!$L$10)&lt;'Entry Builder'!$E$10),--(INDEX(Sims!$A57:$BO57,'Entry Builder'!$L$10)&gt;'Entry Builder'!$E$10)))</f>
        <v/>
      </c>
      <c r="E57">
        <f>IF('Entry Builder'!$N$11=0,1,IF('Entry Builder'!$D$11="Less",--(INDEX(Sims!$A57:$BO57,'Entry Builder'!$L$11)&lt;'Entry Builder'!$E$11),--(INDEX(Sims!$A57:$BO57,'Entry Builder'!$L$11)&gt;'Entry Builder'!$E$11)))</f>
        <v/>
      </c>
      <c r="F57">
        <f>IF('Entry Builder'!$N$12=0,1,IF('Entry Builder'!$D$12="Less",--(INDEX(Sims!$A57:$BO57,'Entry Builder'!$L$12)&lt;'Entry Builder'!$E$12),--(INDEX(Sims!$A57:$BO57,'Entry Builder'!$L$12)&gt;'Entry Builder'!$E$12)))</f>
        <v/>
      </c>
      <c r="G57">
        <f>6-SUM(A57:F57)</f>
        <v/>
      </c>
    </row>
    <row r="58">
      <c r="A58">
        <f>IF('Entry Builder'!$N$7=0,1,IF('Entry Builder'!$D$7="Less",--(INDEX(Sims!$A58:$BO58,'Entry Builder'!$L$7)&lt;'Entry Builder'!$E$7),--(INDEX(Sims!$A58:$BO58,'Entry Builder'!$L$7)&gt;'Entry Builder'!$E$7)))</f>
        <v/>
      </c>
      <c r="B58">
        <f>IF('Entry Builder'!$N$8=0,1,IF('Entry Builder'!$D$8="Less",--(INDEX(Sims!$A58:$BO58,'Entry Builder'!$L$8)&lt;'Entry Builder'!$E$8),--(INDEX(Sims!$A58:$BO58,'Entry Builder'!$L$8)&gt;'Entry Builder'!$E$8)))</f>
        <v/>
      </c>
      <c r="C58">
        <f>IF('Entry Builder'!$N$9=0,1,IF('Entry Builder'!$D$9="Less",--(INDEX(Sims!$A58:$BO58,'Entry Builder'!$L$9)&lt;'Entry Builder'!$E$9),--(INDEX(Sims!$A58:$BO58,'Entry Builder'!$L$9)&gt;'Entry Builder'!$E$9)))</f>
        <v/>
      </c>
      <c r="D58">
        <f>IF('Entry Builder'!$N$10=0,1,IF('Entry Builder'!$D$10="Less",--(INDEX(Sims!$A58:$BO58,'Entry Builder'!$L$10)&lt;'Entry Builder'!$E$10),--(INDEX(Sims!$A58:$BO58,'Entry Builder'!$L$10)&gt;'Entry Builder'!$E$10)))</f>
        <v/>
      </c>
      <c r="E58">
        <f>IF('Entry Builder'!$N$11=0,1,IF('Entry Builder'!$D$11="Less",--(INDEX(Sims!$A58:$BO58,'Entry Builder'!$L$11)&lt;'Entry Builder'!$E$11),--(INDEX(Sims!$A58:$BO58,'Entry Builder'!$L$11)&gt;'Entry Builder'!$E$11)))</f>
        <v/>
      </c>
      <c r="F58">
        <f>IF('Entry Builder'!$N$12=0,1,IF('Entry Builder'!$D$12="Less",--(INDEX(Sims!$A58:$BO58,'Entry Builder'!$L$12)&lt;'Entry Builder'!$E$12),--(INDEX(Sims!$A58:$BO58,'Entry Builder'!$L$12)&gt;'Entry Builder'!$E$12)))</f>
        <v/>
      </c>
      <c r="G58">
        <f>6-SUM(A58:F58)</f>
        <v/>
      </c>
    </row>
    <row r="59">
      <c r="A59">
        <f>IF('Entry Builder'!$N$7=0,1,IF('Entry Builder'!$D$7="Less",--(INDEX(Sims!$A59:$BO59,'Entry Builder'!$L$7)&lt;'Entry Builder'!$E$7),--(INDEX(Sims!$A59:$BO59,'Entry Builder'!$L$7)&gt;'Entry Builder'!$E$7)))</f>
        <v/>
      </c>
      <c r="B59">
        <f>IF('Entry Builder'!$N$8=0,1,IF('Entry Builder'!$D$8="Less",--(INDEX(Sims!$A59:$BO59,'Entry Builder'!$L$8)&lt;'Entry Builder'!$E$8),--(INDEX(Sims!$A59:$BO59,'Entry Builder'!$L$8)&gt;'Entry Builder'!$E$8)))</f>
        <v/>
      </c>
      <c r="C59">
        <f>IF('Entry Builder'!$N$9=0,1,IF('Entry Builder'!$D$9="Less",--(INDEX(Sims!$A59:$BO59,'Entry Builder'!$L$9)&lt;'Entry Builder'!$E$9),--(INDEX(Sims!$A59:$BO59,'Entry Builder'!$L$9)&gt;'Entry Builder'!$E$9)))</f>
        <v/>
      </c>
      <c r="D59">
        <f>IF('Entry Builder'!$N$10=0,1,IF('Entry Builder'!$D$10="Less",--(INDEX(Sims!$A59:$BO59,'Entry Builder'!$L$10)&lt;'Entry Builder'!$E$10),--(INDEX(Sims!$A59:$BO59,'Entry Builder'!$L$10)&gt;'Entry Builder'!$E$10)))</f>
        <v/>
      </c>
      <c r="E59">
        <f>IF('Entry Builder'!$N$11=0,1,IF('Entry Builder'!$D$11="Less",--(INDEX(Sims!$A59:$BO59,'Entry Builder'!$L$11)&lt;'Entry Builder'!$E$11),--(INDEX(Sims!$A59:$BO59,'Entry Builder'!$L$11)&gt;'Entry Builder'!$E$11)))</f>
        <v/>
      </c>
      <c r="F59">
        <f>IF('Entry Builder'!$N$12=0,1,IF('Entry Builder'!$D$12="Less",--(INDEX(Sims!$A59:$BO59,'Entry Builder'!$L$12)&lt;'Entry Builder'!$E$12),--(INDEX(Sims!$A59:$BO59,'Entry Builder'!$L$12)&gt;'Entry Builder'!$E$12)))</f>
        <v/>
      </c>
      <c r="G59">
        <f>6-SUM(A59:F59)</f>
        <v/>
      </c>
    </row>
    <row r="60">
      <c r="A60">
        <f>IF('Entry Builder'!$N$7=0,1,IF('Entry Builder'!$D$7="Less",--(INDEX(Sims!$A60:$BO60,'Entry Builder'!$L$7)&lt;'Entry Builder'!$E$7),--(INDEX(Sims!$A60:$BO60,'Entry Builder'!$L$7)&gt;'Entry Builder'!$E$7)))</f>
        <v/>
      </c>
      <c r="B60">
        <f>IF('Entry Builder'!$N$8=0,1,IF('Entry Builder'!$D$8="Less",--(INDEX(Sims!$A60:$BO60,'Entry Builder'!$L$8)&lt;'Entry Builder'!$E$8),--(INDEX(Sims!$A60:$BO60,'Entry Builder'!$L$8)&gt;'Entry Builder'!$E$8)))</f>
        <v/>
      </c>
      <c r="C60">
        <f>IF('Entry Builder'!$N$9=0,1,IF('Entry Builder'!$D$9="Less",--(INDEX(Sims!$A60:$BO60,'Entry Builder'!$L$9)&lt;'Entry Builder'!$E$9),--(INDEX(Sims!$A60:$BO60,'Entry Builder'!$L$9)&gt;'Entry Builder'!$E$9)))</f>
        <v/>
      </c>
      <c r="D60">
        <f>IF('Entry Builder'!$N$10=0,1,IF('Entry Builder'!$D$10="Less",--(INDEX(Sims!$A60:$BO60,'Entry Builder'!$L$10)&lt;'Entry Builder'!$E$10),--(INDEX(Sims!$A60:$BO60,'Entry Builder'!$L$10)&gt;'Entry Builder'!$E$10)))</f>
        <v/>
      </c>
      <c r="E60">
        <f>IF('Entry Builder'!$N$11=0,1,IF('Entry Builder'!$D$11="Less",--(INDEX(Sims!$A60:$BO60,'Entry Builder'!$L$11)&lt;'Entry Builder'!$E$11),--(INDEX(Sims!$A60:$BO60,'Entry Builder'!$L$11)&gt;'Entry Builder'!$E$11)))</f>
        <v/>
      </c>
      <c r="F60">
        <f>IF('Entry Builder'!$N$12=0,1,IF('Entry Builder'!$D$12="Less",--(INDEX(Sims!$A60:$BO60,'Entry Builder'!$L$12)&lt;'Entry Builder'!$E$12),--(INDEX(Sims!$A60:$BO60,'Entry Builder'!$L$12)&gt;'Entry Builder'!$E$12)))</f>
        <v/>
      </c>
      <c r="G60">
        <f>6-SUM(A60:F60)</f>
        <v/>
      </c>
    </row>
    <row r="61">
      <c r="A61">
        <f>IF('Entry Builder'!$N$7=0,1,IF('Entry Builder'!$D$7="Less",--(INDEX(Sims!$A61:$BO61,'Entry Builder'!$L$7)&lt;'Entry Builder'!$E$7),--(INDEX(Sims!$A61:$BO61,'Entry Builder'!$L$7)&gt;'Entry Builder'!$E$7)))</f>
        <v/>
      </c>
      <c r="B61">
        <f>IF('Entry Builder'!$N$8=0,1,IF('Entry Builder'!$D$8="Less",--(INDEX(Sims!$A61:$BO61,'Entry Builder'!$L$8)&lt;'Entry Builder'!$E$8),--(INDEX(Sims!$A61:$BO61,'Entry Builder'!$L$8)&gt;'Entry Builder'!$E$8)))</f>
        <v/>
      </c>
      <c r="C61">
        <f>IF('Entry Builder'!$N$9=0,1,IF('Entry Builder'!$D$9="Less",--(INDEX(Sims!$A61:$BO61,'Entry Builder'!$L$9)&lt;'Entry Builder'!$E$9),--(INDEX(Sims!$A61:$BO61,'Entry Builder'!$L$9)&gt;'Entry Builder'!$E$9)))</f>
        <v/>
      </c>
      <c r="D61">
        <f>IF('Entry Builder'!$N$10=0,1,IF('Entry Builder'!$D$10="Less",--(INDEX(Sims!$A61:$BO61,'Entry Builder'!$L$10)&lt;'Entry Builder'!$E$10),--(INDEX(Sims!$A61:$BO61,'Entry Builder'!$L$10)&gt;'Entry Builder'!$E$10)))</f>
        <v/>
      </c>
      <c r="E61">
        <f>IF('Entry Builder'!$N$11=0,1,IF('Entry Builder'!$D$11="Less",--(INDEX(Sims!$A61:$BO61,'Entry Builder'!$L$11)&lt;'Entry Builder'!$E$11),--(INDEX(Sims!$A61:$BO61,'Entry Builder'!$L$11)&gt;'Entry Builder'!$E$11)))</f>
        <v/>
      </c>
      <c r="F61">
        <f>IF('Entry Builder'!$N$12=0,1,IF('Entry Builder'!$D$12="Less",--(INDEX(Sims!$A61:$BO61,'Entry Builder'!$L$12)&lt;'Entry Builder'!$E$12),--(INDEX(Sims!$A61:$BO61,'Entry Builder'!$L$12)&gt;'Entry Builder'!$E$12)))</f>
        <v/>
      </c>
      <c r="G61">
        <f>6-SUM(A61:F61)</f>
        <v/>
      </c>
    </row>
    <row r="62">
      <c r="A62">
        <f>IF('Entry Builder'!$N$7=0,1,IF('Entry Builder'!$D$7="Less",--(INDEX(Sims!$A62:$BO62,'Entry Builder'!$L$7)&lt;'Entry Builder'!$E$7),--(INDEX(Sims!$A62:$BO62,'Entry Builder'!$L$7)&gt;'Entry Builder'!$E$7)))</f>
        <v/>
      </c>
      <c r="B62">
        <f>IF('Entry Builder'!$N$8=0,1,IF('Entry Builder'!$D$8="Less",--(INDEX(Sims!$A62:$BO62,'Entry Builder'!$L$8)&lt;'Entry Builder'!$E$8),--(INDEX(Sims!$A62:$BO62,'Entry Builder'!$L$8)&gt;'Entry Builder'!$E$8)))</f>
        <v/>
      </c>
      <c r="C62">
        <f>IF('Entry Builder'!$N$9=0,1,IF('Entry Builder'!$D$9="Less",--(INDEX(Sims!$A62:$BO62,'Entry Builder'!$L$9)&lt;'Entry Builder'!$E$9),--(INDEX(Sims!$A62:$BO62,'Entry Builder'!$L$9)&gt;'Entry Builder'!$E$9)))</f>
        <v/>
      </c>
      <c r="D62">
        <f>IF('Entry Builder'!$N$10=0,1,IF('Entry Builder'!$D$10="Less",--(INDEX(Sims!$A62:$BO62,'Entry Builder'!$L$10)&lt;'Entry Builder'!$E$10),--(INDEX(Sims!$A62:$BO62,'Entry Builder'!$L$10)&gt;'Entry Builder'!$E$10)))</f>
        <v/>
      </c>
      <c r="E62">
        <f>IF('Entry Builder'!$N$11=0,1,IF('Entry Builder'!$D$11="Less",--(INDEX(Sims!$A62:$BO62,'Entry Builder'!$L$11)&lt;'Entry Builder'!$E$11),--(INDEX(Sims!$A62:$BO62,'Entry Builder'!$L$11)&gt;'Entry Builder'!$E$11)))</f>
        <v/>
      </c>
      <c r="F62">
        <f>IF('Entry Builder'!$N$12=0,1,IF('Entry Builder'!$D$12="Less",--(INDEX(Sims!$A62:$BO62,'Entry Builder'!$L$12)&lt;'Entry Builder'!$E$12),--(INDEX(Sims!$A62:$BO62,'Entry Builder'!$L$12)&gt;'Entry Builder'!$E$12)))</f>
        <v/>
      </c>
      <c r="G62">
        <f>6-SUM(A62:F62)</f>
        <v/>
      </c>
    </row>
    <row r="63">
      <c r="A63">
        <f>IF('Entry Builder'!$N$7=0,1,IF('Entry Builder'!$D$7="Less",--(INDEX(Sims!$A63:$BO63,'Entry Builder'!$L$7)&lt;'Entry Builder'!$E$7),--(INDEX(Sims!$A63:$BO63,'Entry Builder'!$L$7)&gt;'Entry Builder'!$E$7)))</f>
        <v/>
      </c>
      <c r="B63">
        <f>IF('Entry Builder'!$N$8=0,1,IF('Entry Builder'!$D$8="Less",--(INDEX(Sims!$A63:$BO63,'Entry Builder'!$L$8)&lt;'Entry Builder'!$E$8),--(INDEX(Sims!$A63:$BO63,'Entry Builder'!$L$8)&gt;'Entry Builder'!$E$8)))</f>
        <v/>
      </c>
      <c r="C63">
        <f>IF('Entry Builder'!$N$9=0,1,IF('Entry Builder'!$D$9="Less",--(INDEX(Sims!$A63:$BO63,'Entry Builder'!$L$9)&lt;'Entry Builder'!$E$9),--(INDEX(Sims!$A63:$BO63,'Entry Builder'!$L$9)&gt;'Entry Builder'!$E$9)))</f>
        <v/>
      </c>
      <c r="D63">
        <f>IF('Entry Builder'!$N$10=0,1,IF('Entry Builder'!$D$10="Less",--(INDEX(Sims!$A63:$BO63,'Entry Builder'!$L$10)&lt;'Entry Builder'!$E$10),--(INDEX(Sims!$A63:$BO63,'Entry Builder'!$L$10)&gt;'Entry Builder'!$E$10)))</f>
        <v/>
      </c>
      <c r="E63">
        <f>IF('Entry Builder'!$N$11=0,1,IF('Entry Builder'!$D$11="Less",--(INDEX(Sims!$A63:$BO63,'Entry Builder'!$L$11)&lt;'Entry Builder'!$E$11),--(INDEX(Sims!$A63:$BO63,'Entry Builder'!$L$11)&gt;'Entry Builder'!$E$11)))</f>
        <v/>
      </c>
      <c r="F63">
        <f>IF('Entry Builder'!$N$12=0,1,IF('Entry Builder'!$D$12="Less",--(INDEX(Sims!$A63:$BO63,'Entry Builder'!$L$12)&lt;'Entry Builder'!$E$12),--(INDEX(Sims!$A63:$BO63,'Entry Builder'!$L$12)&gt;'Entry Builder'!$E$12)))</f>
        <v/>
      </c>
      <c r="G63">
        <f>6-SUM(A63:F63)</f>
        <v/>
      </c>
    </row>
    <row r="64">
      <c r="A64">
        <f>IF('Entry Builder'!$N$7=0,1,IF('Entry Builder'!$D$7="Less",--(INDEX(Sims!$A64:$BO64,'Entry Builder'!$L$7)&lt;'Entry Builder'!$E$7),--(INDEX(Sims!$A64:$BO64,'Entry Builder'!$L$7)&gt;'Entry Builder'!$E$7)))</f>
        <v/>
      </c>
      <c r="B64">
        <f>IF('Entry Builder'!$N$8=0,1,IF('Entry Builder'!$D$8="Less",--(INDEX(Sims!$A64:$BO64,'Entry Builder'!$L$8)&lt;'Entry Builder'!$E$8),--(INDEX(Sims!$A64:$BO64,'Entry Builder'!$L$8)&gt;'Entry Builder'!$E$8)))</f>
        <v/>
      </c>
      <c r="C64">
        <f>IF('Entry Builder'!$N$9=0,1,IF('Entry Builder'!$D$9="Less",--(INDEX(Sims!$A64:$BO64,'Entry Builder'!$L$9)&lt;'Entry Builder'!$E$9),--(INDEX(Sims!$A64:$BO64,'Entry Builder'!$L$9)&gt;'Entry Builder'!$E$9)))</f>
        <v/>
      </c>
      <c r="D64">
        <f>IF('Entry Builder'!$N$10=0,1,IF('Entry Builder'!$D$10="Less",--(INDEX(Sims!$A64:$BO64,'Entry Builder'!$L$10)&lt;'Entry Builder'!$E$10),--(INDEX(Sims!$A64:$BO64,'Entry Builder'!$L$10)&gt;'Entry Builder'!$E$10)))</f>
        <v/>
      </c>
      <c r="E64">
        <f>IF('Entry Builder'!$N$11=0,1,IF('Entry Builder'!$D$11="Less",--(INDEX(Sims!$A64:$BO64,'Entry Builder'!$L$11)&lt;'Entry Builder'!$E$11),--(INDEX(Sims!$A64:$BO64,'Entry Builder'!$L$11)&gt;'Entry Builder'!$E$11)))</f>
        <v/>
      </c>
      <c r="F64">
        <f>IF('Entry Builder'!$N$12=0,1,IF('Entry Builder'!$D$12="Less",--(INDEX(Sims!$A64:$BO64,'Entry Builder'!$L$12)&lt;'Entry Builder'!$E$12),--(INDEX(Sims!$A64:$BO64,'Entry Builder'!$L$12)&gt;'Entry Builder'!$E$12)))</f>
        <v/>
      </c>
      <c r="G64">
        <f>6-SUM(A64:F64)</f>
        <v/>
      </c>
    </row>
    <row r="65">
      <c r="A65">
        <f>IF('Entry Builder'!$N$7=0,1,IF('Entry Builder'!$D$7="Less",--(INDEX(Sims!$A65:$BO65,'Entry Builder'!$L$7)&lt;'Entry Builder'!$E$7),--(INDEX(Sims!$A65:$BO65,'Entry Builder'!$L$7)&gt;'Entry Builder'!$E$7)))</f>
        <v/>
      </c>
      <c r="B65">
        <f>IF('Entry Builder'!$N$8=0,1,IF('Entry Builder'!$D$8="Less",--(INDEX(Sims!$A65:$BO65,'Entry Builder'!$L$8)&lt;'Entry Builder'!$E$8),--(INDEX(Sims!$A65:$BO65,'Entry Builder'!$L$8)&gt;'Entry Builder'!$E$8)))</f>
        <v/>
      </c>
      <c r="C65">
        <f>IF('Entry Builder'!$N$9=0,1,IF('Entry Builder'!$D$9="Less",--(INDEX(Sims!$A65:$BO65,'Entry Builder'!$L$9)&lt;'Entry Builder'!$E$9),--(INDEX(Sims!$A65:$BO65,'Entry Builder'!$L$9)&gt;'Entry Builder'!$E$9)))</f>
        <v/>
      </c>
      <c r="D65">
        <f>IF('Entry Builder'!$N$10=0,1,IF('Entry Builder'!$D$10="Less",--(INDEX(Sims!$A65:$BO65,'Entry Builder'!$L$10)&lt;'Entry Builder'!$E$10),--(INDEX(Sims!$A65:$BO65,'Entry Builder'!$L$10)&gt;'Entry Builder'!$E$10)))</f>
        <v/>
      </c>
      <c r="E65">
        <f>IF('Entry Builder'!$N$11=0,1,IF('Entry Builder'!$D$11="Less",--(INDEX(Sims!$A65:$BO65,'Entry Builder'!$L$11)&lt;'Entry Builder'!$E$11),--(INDEX(Sims!$A65:$BO65,'Entry Builder'!$L$11)&gt;'Entry Builder'!$E$11)))</f>
        <v/>
      </c>
      <c r="F65">
        <f>IF('Entry Builder'!$N$12=0,1,IF('Entry Builder'!$D$12="Less",--(INDEX(Sims!$A65:$BO65,'Entry Builder'!$L$12)&lt;'Entry Builder'!$E$12),--(INDEX(Sims!$A65:$BO65,'Entry Builder'!$L$12)&gt;'Entry Builder'!$E$12)))</f>
        <v/>
      </c>
      <c r="G65">
        <f>6-SUM(A65:F65)</f>
        <v/>
      </c>
    </row>
    <row r="66">
      <c r="A66">
        <f>IF('Entry Builder'!$N$7=0,1,IF('Entry Builder'!$D$7="Less",--(INDEX(Sims!$A66:$BO66,'Entry Builder'!$L$7)&lt;'Entry Builder'!$E$7),--(INDEX(Sims!$A66:$BO66,'Entry Builder'!$L$7)&gt;'Entry Builder'!$E$7)))</f>
        <v/>
      </c>
      <c r="B66">
        <f>IF('Entry Builder'!$N$8=0,1,IF('Entry Builder'!$D$8="Less",--(INDEX(Sims!$A66:$BO66,'Entry Builder'!$L$8)&lt;'Entry Builder'!$E$8),--(INDEX(Sims!$A66:$BO66,'Entry Builder'!$L$8)&gt;'Entry Builder'!$E$8)))</f>
        <v/>
      </c>
      <c r="C66">
        <f>IF('Entry Builder'!$N$9=0,1,IF('Entry Builder'!$D$9="Less",--(INDEX(Sims!$A66:$BO66,'Entry Builder'!$L$9)&lt;'Entry Builder'!$E$9),--(INDEX(Sims!$A66:$BO66,'Entry Builder'!$L$9)&gt;'Entry Builder'!$E$9)))</f>
        <v/>
      </c>
      <c r="D66">
        <f>IF('Entry Builder'!$N$10=0,1,IF('Entry Builder'!$D$10="Less",--(INDEX(Sims!$A66:$BO66,'Entry Builder'!$L$10)&lt;'Entry Builder'!$E$10),--(INDEX(Sims!$A66:$BO66,'Entry Builder'!$L$10)&gt;'Entry Builder'!$E$10)))</f>
        <v/>
      </c>
      <c r="E66">
        <f>IF('Entry Builder'!$N$11=0,1,IF('Entry Builder'!$D$11="Less",--(INDEX(Sims!$A66:$BO66,'Entry Builder'!$L$11)&lt;'Entry Builder'!$E$11),--(INDEX(Sims!$A66:$BO66,'Entry Builder'!$L$11)&gt;'Entry Builder'!$E$11)))</f>
        <v/>
      </c>
      <c r="F66">
        <f>IF('Entry Builder'!$N$12=0,1,IF('Entry Builder'!$D$12="Less",--(INDEX(Sims!$A66:$BO66,'Entry Builder'!$L$12)&lt;'Entry Builder'!$E$12),--(INDEX(Sims!$A66:$BO66,'Entry Builder'!$L$12)&gt;'Entry Builder'!$E$12)))</f>
        <v/>
      </c>
      <c r="G66">
        <f>6-SUM(A66:F66)</f>
        <v/>
      </c>
    </row>
    <row r="67">
      <c r="A67">
        <f>IF('Entry Builder'!$N$7=0,1,IF('Entry Builder'!$D$7="Less",--(INDEX(Sims!$A67:$BO67,'Entry Builder'!$L$7)&lt;'Entry Builder'!$E$7),--(INDEX(Sims!$A67:$BO67,'Entry Builder'!$L$7)&gt;'Entry Builder'!$E$7)))</f>
        <v/>
      </c>
      <c r="B67">
        <f>IF('Entry Builder'!$N$8=0,1,IF('Entry Builder'!$D$8="Less",--(INDEX(Sims!$A67:$BO67,'Entry Builder'!$L$8)&lt;'Entry Builder'!$E$8),--(INDEX(Sims!$A67:$BO67,'Entry Builder'!$L$8)&gt;'Entry Builder'!$E$8)))</f>
        <v/>
      </c>
      <c r="C67">
        <f>IF('Entry Builder'!$N$9=0,1,IF('Entry Builder'!$D$9="Less",--(INDEX(Sims!$A67:$BO67,'Entry Builder'!$L$9)&lt;'Entry Builder'!$E$9),--(INDEX(Sims!$A67:$BO67,'Entry Builder'!$L$9)&gt;'Entry Builder'!$E$9)))</f>
        <v/>
      </c>
      <c r="D67">
        <f>IF('Entry Builder'!$N$10=0,1,IF('Entry Builder'!$D$10="Less",--(INDEX(Sims!$A67:$BO67,'Entry Builder'!$L$10)&lt;'Entry Builder'!$E$10),--(INDEX(Sims!$A67:$BO67,'Entry Builder'!$L$10)&gt;'Entry Builder'!$E$10)))</f>
        <v/>
      </c>
      <c r="E67">
        <f>IF('Entry Builder'!$N$11=0,1,IF('Entry Builder'!$D$11="Less",--(INDEX(Sims!$A67:$BO67,'Entry Builder'!$L$11)&lt;'Entry Builder'!$E$11),--(INDEX(Sims!$A67:$BO67,'Entry Builder'!$L$11)&gt;'Entry Builder'!$E$11)))</f>
        <v/>
      </c>
      <c r="F67">
        <f>IF('Entry Builder'!$N$12=0,1,IF('Entry Builder'!$D$12="Less",--(INDEX(Sims!$A67:$BO67,'Entry Builder'!$L$12)&lt;'Entry Builder'!$E$12),--(INDEX(Sims!$A67:$BO67,'Entry Builder'!$L$12)&gt;'Entry Builder'!$E$12)))</f>
        <v/>
      </c>
      <c r="G67">
        <f>6-SUM(A67:F67)</f>
        <v/>
      </c>
    </row>
    <row r="68">
      <c r="A68">
        <f>IF('Entry Builder'!$N$7=0,1,IF('Entry Builder'!$D$7="Less",--(INDEX(Sims!$A68:$BO68,'Entry Builder'!$L$7)&lt;'Entry Builder'!$E$7),--(INDEX(Sims!$A68:$BO68,'Entry Builder'!$L$7)&gt;'Entry Builder'!$E$7)))</f>
        <v/>
      </c>
      <c r="B68">
        <f>IF('Entry Builder'!$N$8=0,1,IF('Entry Builder'!$D$8="Less",--(INDEX(Sims!$A68:$BO68,'Entry Builder'!$L$8)&lt;'Entry Builder'!$E$8),--(INDEX(Sims!$A68:$BO68,'Entry Builder'!$L$8)&gt;'Entry Builder'!$E$8)))</f>
        <v/>
      </c>
      <c r="C68">
        <f>IF('Entry Builder'!$N$9=0,1,IF('Entry Builder'!$D$9="Less",--(INDEX(Sims!$A68:$BO68,'Entry Builder'!$L$9)&lt;'Entry Builder'!$E$9),--(INDEX(Sims!$A68:$BO68,'Entry Builder'!$L$9)&gt;'Entry Builder'!$E$9)))</f>
        <v/>
      </c>
      <c r="D68">
        <f>IF('Entry Builder'!$N$10=0,1,IF('Entry Builder'!$D$10="Less",--(INDEX(Sims!$A68:$BO68,'Entry Builder'!$L$10)&lt;'Entry Builder'!$E$10),--(INDEX(Sims!$A68:$BO68,'Entry Builder'!$L$10)&gt;'Entry Builder'!$E$10)))</f>
        <v/>
      </c>
      <c r="E68">
        <f>IF('Entry Builder'!$N$11=0,1,IF('Entry Builder'!$D$11="Less",--(INDEX(Sims!$A68:$BO68,'Entry Builder'!$L$11)&lt;'Entry Builder'!$E$11),--(INDEX(Sims!$A68:$BO68,'Entry Builder'!$L$11)&gt;'Entry Builder'!$E$11)))</f>
        <v/>
      </c>
      <c r="F68">
        <f>IF('Entry Builder'!$N$12=0,1,IF('Entry Builder'!$D$12="Less",--(INDEX(Sims!$A68:$BO68,'Entry Builder'!$L$12)&lt;'Entry Builder'!$E$12),--(INDEX(Sims!$A68:$BO68,'Entry Builder'!$L$12)&gt;'Entry Builder'!$E$12)))</f>
        <v/>
      </c>
      <c r="G68">
        <f>6-SUM(A68:F68)</f>
        <v/>
      </c>
    </row>
    <row r="69">
      <c r="A69">
        <f>IF('Entry Builder'!$N$7=0,1,IF('Entry Builder'!$D$7="Less",--(INDEX(Sims!$A69:$BO69,'Entry Builder'!$L$7)&lt;'Entry Builder'!$E$7),--(INDEX(Sims!$A69:$BO69,'Entry Builder'!$L$7)&gt;'Entry Builder'!$E$7)))</f>
        <v/>
      </c>
      <c r="B69">
        <f>IF('Entry Builder'!$N$8=0,1,IF('Entry Builder'!$D$8="Less",--(INDEX(Sims!$A69:$BO69,'Entry Builder'!$L$8)&lt;'Entry Builder'!$E$8),--(INDEX(Sims!$A69:$BO69,'Entry Builder'!$L$8)&gt;'Entry Builder'!$E$8)))</f>
        <v/>
      </c>
      <c r="C69">
        <f>IF('Entry Builder'!$N$9=0,1,IF('Entry Builder'!$D$9="Less",--(INDEX(Sims!$A69:$BO69,'Entry Builder'!$L$9)&lt;'Entry Builder'!$E$9),--(INDEX(Sims!$A69:$BO69,'Entry Builder'!$L$9)&gt;'Entry Builder'!$E$9)))</f>
        <v/>
      </c>
      <c r="D69">
        <f>IF('Entry Builder'!$N$10=0,1,IF('Entry Builder'!$D$10="Less",--(INDEX(Sims!$A69:$BO69,'Entry Builder'!$L$10)&lt;'Entry Builder'!$E$10),--(INDEX(Sims!$A69:$BO69,'Entry Builder'!$L$10)&gt;'Entry Builder'!$E$10)))</f>
        <v/>
      </c>
      <c r="E69">
        <f>IF('Entry Builder'!$N$11=0,1,IF('Entry Builder'!$D$11="Less",--(INDEX(Sims!$A69:$BO69,'Entry Builder'!$L$11)&lt;'Entry Builder'!$E$11),--(INDEX(Sims!$A69:$BO69,'Entry Builder'!$L$11)&gt;'Entry Builder'!$E$11)))</f>
        <v/>
      </c>
      <c r="F69">
        <f>IF('Entry Builder'!$N$12=0,1,IF('Entry Builder'!$D$12="Less",--(INDEX(Sims!$A69:$BO69,'Entry Builder'!$L$12)&lt;'Entry Builder'!$E$12),--(INDEX(Sims!$A69:$BO69,'Entry Builder'!$L$12)&gt;'Entry Builder'!$E$12)))</f>
        <v/>
      </c>
      <c r="G69">
        <f>6-SUM(A69:F69)</f>
        <v/>
      </c>
    </row>
    <row r="70">
      <c r="A70">
        <f>IF('Entry Builder'!$N$7=0,1,IF('Entry Builder'!$D$7="Less",--(INDEX(Sims!$A70:$BO70,'Entry Builder'!$L$7)&lt;'Entry Builder'!$E$7),--(INDEX(Sims!$A70:$BO70,'Entry Builder'!$L$7)&gt;'Entry Builder'!$E$7)))</f>
        <v/>
      </c>
      <c r="B70">
        <f>IF('Entry Builder'!$N$8=0,1,IF('Entry Builder'!$D$8="Less",--(INDEX(Sims!$A70:$BO70,'Entry Builder'!$L$8)&lt;'Entry Builder'!$E$8),--(INDEX(Sims!$A70:$BO70,'Entry Builder'!$L$8)&gt;'Entry Builder'!$E$8)))</f>
        <v/>
      </c>
      <c r="C70">
        <f>IF('Entry Builder'!$N$9=0,1,IF('Entry Builder'!$D$9="Less",--(INDEX(Sims!$A70:$BO70,'Entry Builder'!$L$9)&lt;'Entry Builder'!$E$9),--(INDEX(Sims!$A70:$BO70,'Entry Builder'!$L$9)&gt;'Entry Builder'!$E$9)))</f>
        <v/>
      </c>
      <c r="D70">
        <f>IF('Entry Builder'!$N$10=0,1,IF('Entry Builder'!$D$10="Less",--(INDEX(Sims!$A70:$BO70,'Entry Builder'!$L$10)&lt;'Entry Builder'!$E$10),--(INDEX(Sims!$A70:$BO70,'Entry Builder'!$L$10)&gt;'Entry Builder'!$E$10)))</f>
        <v/>
      </c>
      <c r="E70">
        <f>IF('Entry Builder'!$N$11=0,1,IF('Entry Builder'!$D$11="Less",--(INDEX(Sims!$A70:$BO70,'Entry Builder'!$L$11)&lt;'Entry Builder'!$E$11),--(INDEX(Sims!$A70:$BO70,'Entry Builder'!$L$11)&gt;'Entry Builder'!$E$11)))</f>
        <v/>
      </c>
      <c r="F70">
        <f>IF('Entry Builder'!$N$12=0,1,IF('Entry Builder'!$D$12="Less",--(INDEX(Sims!$A70:$BO70,'Entry Builder'!$L$12)&lt;'Entry Builder'!$E$12),--(INDEX(Sims!$A70:$BO70,'Entry Builder'!$L$12)&gt;'Entry Builder'!$E$12)))</f>
        <v/>
      </c>
      <c r="G70">
        <f>6-SUM(A70:F70)</f>
        <v/>
      </c>
    </row>
    <row r="71">
      <c r="A71">
        <f>IF('Entry Builder'!$N$7=0,1,IF('Entry Builder'!$D$7="Less",--(INDEX(Sims!$A71:$BO71,'Entry Builder'!$L$7)&lt;'Entry Builder'!$E$7),--(INDEX(Sims!$A71:$BO71,'Entry Builder'!$L$7)&gt;'Entry Builder'!$E$7)))</f>
        <v/>
      </c>
      <c r="B71">
        <f>IF('Entry Builder'!$N$8=0,1,IF('Entry Builder'!$D$8="Less",--(INDEX(Sims!$A71:$BO71,'Entry Builder'!$L$8)&lt;'Entry Builder'!$E$8),--(INDEX(Sims!$A71:$BO71,'Entry Builder'!$L$8)&gt;'Entry Builder'!$E$8)))</f>
        <v/>
      </c>
      <c r="C71">
        <f>IF('Entry Builder'!$N$9=0,1,IF('Entry Builder'!$D$9="Less",--(INDEX(Sims!$A71:$BO71,'Entry Builder'!$L$9)&lt;'Entry Builder'!$E$9),--(INDEX(Sims!$A71:$BO71,'Entry Builder'!$L$9)&gt;'Entry Builder'!$E$9)))</f>
        <v/>
      </c>
      <c r="D71">
        <f>IF('Entry Builder'!$N$10=0,1,IF('Entry Builder'!$D$10="Less",--(INDEX(Sims!$A71:$BO71,'Entry Builder'!$L$10)&lt;'Entry Builder'!$E$10),--(INDEX(Sims!$A71:$BO71,'Entry Builder'!$L$10)&gt;'Entry Builder'!$E$10)))</f>
        <v/>
      </c>
      <c r="E71">
        <f>IF('Entry Builder'!$N$11=0,1,IF('Entry Builder'!$D$11="Less",--(INDEX(Sims!$A71:$BO71,'Entry Builder'!$L$11)&lt;'Entry Builder'!$E$11),--(INDEX(Sims!$A71:$BO71,'Entry Builder'!$L$11)&gt;'Entry Builder'!$E$11)))</f>
        <v/>
      </c>
      <c r="F71">
        <f>IF('Entry Builder'!$N$12=0,1,IF('Entry Builder'!$D$12="Less",--(INDEX(Sims!$A71:$BO71,'Entry Builder'!$L$12)&lt;'Entry Builder'!$E$12),--(INDEX(Sims!$A71:$BO71,'Entry Builder'!$L$12)&gt;'Entry Builder'!$E$12)))</f>
        <v/>
      </c>
      <c r="G71">
        <f>6-SUM(A71:F71)</f>
        <v/>
      </c>
    </row>
    <row r="72">
      <c r="A72">
        <f>IF('Entry Builder'!$N$7=0,1,IF('Entry Builder'!$D$7="Less",--(INDEX(Sims!$A72:$BO72,'Entry Builder'!$L$7)&lt;'Entry Builder'!$E$7),--(INDEX(Sims!$A72:$BO72,'Entry Builder'!$L$7)&gt;'Entry Builder'!$E$7)))</f>
        <v/>
      </c>
      <c r="B72">
        <f>IF('Entry Builder'!$N$8=0,1,IF('Entry Builder'!$D$8="Less",--(INDEX(Sims!$A72:$BO72,'Entry Builder'!$L$8)&lt;'Entry Builder'!$E$8),--(INDEX(Sims!$A72:$BO72,'Entry Builder'!$L$8)&gt;'Entry Builder'!$E$8)))</f>
        <v/>
      </c>
      <c r="C72">
        <f>IF('Entry Builder'!$N$9=0,1,IF('Entry Builder'!$D$9="Less",--(INDEX(Sims!$A72:$BO72,'Entry Builder'!$L$9)&lt;'Entry Builder'!$E$9),--(INDEX(Sims!$A72:$BO72,'Entry Builder'!$L$9)&gt;'Entry Builder'!$E$9)))</f>
        <v/>
      </c>
      <c r="D72">
        <f>IF('Entry Builder'!$N$10=0,1,IF('Entry Builder'!$D$10="Less",--(INDEX(Sims!$A72:$BO72,'Entry Builder'!$L$10)&lt;'Entry Builder'!$E$10),--(INDEX(Sims!$A72:$BO72,'Entry Builder'!$L$10)&gt;'Entry Builder'!$E$10)))</f>
        <v/>
      </c>
      <c r="E72">
        <f>IF('Entry Builder'!$N$11=0,1,IF('Entry Builder'!$D$11="Less",--(INDEX(Sims!$A72:$BO72,'Entry Builder'!$L$11)&lt;'Entry Builder'!$E$11),--(INDEX(Sims!$A72:$BO72,'Entry Builder'!$L$11)&gt;'Entry Builder'!$E$11)))</f>
        <v/>
      </c>
      <c r="F72">
        <f>IF('Entry Builder'!$N$12=0,1,IF('Entry Builder'!$D$12="Less",--(INDEX(Sims!$A72:$BO72,'Entry Builder'!$L$12)&lt;'Entry Builder'!$E$12),--(INDEX(Sims!$A72:$BO72,'Entry Builder'!$L$12)&gt;'Entry Builder'!$E$12)))</f>
        <v/>
      </c>
      <c r="G72">
        <f>6-SUM(A72:F72)</f>
        <v/>
      </c>
    </row>
    <row r="73">
      <c r="A73">
        <f>IF('Entry Builder'!$N$7=0,1,IF('Entry Builder'!$D$7="Less",--(INDEX(Sims!$A73:$BO73,'Entry Builder'!$L$7)&lt;'Entry Builder'!$E$7),--(INDEX(Sims!$A73:$BO73,'Entry Builder'!$L$7)&gt;'Entry Builder'!$E$7)))</f>
        <v/>
      </c>
      <c r="B73">
        <f>IF('Entry Builder'!$N$8=0,1,IF('Entry Builder'!$D$8="Less",--(INDEX(Sims!$A73:$BO73,'Entry Builder'!$L$8)&lt;'Entry Builder'!$E$8),--(INDEX(Sims!$A73:$BO73,'Entry Builder'!$L$8)&gt;'Entry Builder'!$E$8)))</f>
        <v/>
      </c>
      <c r="C73">
        <f>IF('Entry Builder'!$N$9=0,1,IF('Entry Builder'!$D$9="Less",--(INDEX(Sims!$A73:$BO73,'Entry Builder'!$L$9)&lt;'Entry Builder'!$E$9),--(INDEX(Sims!$A73:$BO73,'Entry Builder'!$L$9)&gt;'Entry Builder'!$E$9)))</f>
        <v/>
      </c>
      <c r="D73">
        <f>IF('Entry Builder'!$N$10=0,1,IF('Entry Builder'!$D$10="Less",--(INDEX(Sims!$A73:$BO73,'Entry Builder'!$L$10)&lt;'Entry Builder'!$E$10),--(INDEX(Sims!$A73:$BO73,'Entry Builder'!$L$10)&gt;'Entry Builder'!$E$10)))</f>
        <v/>
      </c>
      <c r="E73">
        <f>IF('Entry Builder'!$N$11=0,1,IF('Entry Builder'!$D$11="Less",--(INDEX(Sims!$A73:$BO73,'Entry Builder'!$L$11)&lt;'Entry Builder'!$E$11),--(INDEX(Sims!$A73:$BO73,'Entry Builder'!$L$11)&gt;'Entry Builder'!$E$11)))</f>
        <v/>
      </c>
      <c r="F73">
        <f>IF('Entry Builder'!$N$12=0,1,IF('Entry Builder'!$D$12="Less",--(INDEX(Sims!$A73:$BO73,'Entry Builder'!$L$12)&lt;'Entry Builder'!$E$12),--(INDEX(Sims!$A73:$BO73,'Entry Builder'!$L$12)&gt;'Entry Builder'!$E$12)))</f>
        <v/>
      </c>
      <c r="G73">
        <f>6-SUM(A73:F73)</f>
        <v/>
      </c>
    </row>
    <row r="74">
      <c r="A74">
        <f>IF('Entry Builder'!$N$7=0,1,IF('Entry Builder'!$D$7="Less",--(INDEX(Sims!$A74:$BO74,'Entry Builder'!$L$7)&lt;'Entry Builder'!$E$7),--(INDEX(Sims!$A74:$BO74,'Entry Builder'!$L$7)&gt;'Entry Builder'!$E$7)))</f>
        <v/>
      </c>
      <c r="B74">
        <f>IF('Entry Builder'!$N$8=0,1,IF('Entry Builder'!$D$8="Less",--(INDEX(Sims!$A74:$BO74,'Entry Builder'!$L$8)&lt;'Entry Builder'!$E$8),--(INDEX(Sims!$A74:$BO74,'Entry Builder'!$L$8)&gt;'Entry Builder'!$E$8)))</f>
        <v/>
      </c>
      <c r="C74">
        <f>IF('Entry Builder'!$N$9=0,1,IF('Entry Builder'!$D$9="Less",--(INDEX(Sims!$A74:$BO74,'Entry Builder'!$L$9)&lt;'Entry Builder'!$E$9),--(INDEX(Sims!$A74:$BO74,'Entry Builder'!$L$9)&gt;'Entry Builder'!$E$9)))</f>
        <v/>
      </c>
      <c r="D74">
        <f>IF('Entry Builder'!$N$10=0,1,IF('Entry Builder'!$D$10="Less",--(INDEX(Sims!$A74:$BO74,'Entry Builder'!$L$10)&lt;'Entry Builder'!$E$10),--(INDEX(Sims!$A74:$BO74,'Entry Builder'!$L$10)&gt;'Entry Builder'!$E$10)))</f>
        <v/>
      </c>
      <c r="E74">
        <f>IF('Entry Builder'!$N$11=0,1,IF('Entry Builder'!$D$11="Less",--(INDEX(Sims!$A74:$BO74,'Entry Builder'!$L$11)&lt;'Entry Builder'!$E$11),--(INDEX(Sims!$A74:$BO74,'Entry Builder'!$L$11)&gt;'Entry Builder'!$E$11)))</f>
        <v/>
      </c>
      <c r="F74">
        <f>IF('Entry Builder'!$N$12=0,1,IF('Entry Builder'!$D$12="Less",--(INDEX(Sims!$A74:$BO74,'Entry Builder'!$L$12)&lt;'Entry Builder'!$E$12),--(INDEX(Sims!$A74:$BO74,'Entry Builder'!$L$12)&gt;'Entry Builder'!$E$12)))</f>
        <v/>
      </c>
      <c r="G74">
        <f>6-SUM(A74:F74)</f>
        <v/>
      </c>
    </row>
    <row r="75">
      <c r="A75">
        <f>IF('Entry Builder'!$N$7=0,1,IF('Entry Builder'!$D$7="Less",--(INDEX(Sims!$A75:$BO75,'Entry Builder'!$L$7)&lt;'Entry Builder'!$E$7),--(INDEX(Sims!$A75:$BO75,'Entry Builder'!$L$7)&gt;'Entry Builder'!$E$7)))</f>
        <v/>
      </c>
      <c r="B75">
        <f>IF('Entry Builder'!$N$8=0,1,IF('Entry Builder'!$D$8="Less",--(INDEX(Sims!$A75:$BO75,'Entry Builder'!$L$8)&lt;'Entry Builder'!$E$8),--(INDEX(Sims!$A75:$BO75,'Entry Builder'!$L$8)&gt;'Entry Builder'!$E$8)))</f>
        <v/>
      </c>
      <c r="C75">
        <f>IF('Entry Builder'!$N$9=0,1,IF('Entry Builder'!$D$9="Less",--(INDEX(Sims!$A75:$BO75,'Entry Builder'!$L$9)&lt;'Entry Builder'!$E$9),--(INDEX(Sims!$A75:$BO75,'Entry Builder'!$L$9)&gt;'Entry Builder'!$E$9)))</f>
        <v/>
      </c>
      <c r="D75">
        <f>IF('Entry Builder'!$N$10=0,1,IF('Entry Builder'!$D$10="Less",--(INDEX(Sims!$A75:$BO75,'Entry Builder'!$L$10)&lt;'Entry Builder'!$E$10),--(INDEX(Sims!$A75:$BO75,'Entry Builder'!$L$10)&gt;'Entry Builder'!$E$10)))</f>
        <v/>
      </c>
      <c r="E75">
        <f>IF('Entry Builder'!$N$11=0,1,IF('Entry Builder'!$D$11="Less",--(INDEX(Sims!$A75:$BO75,'Entry Builder'!$L$11)&lt;'Entry Builder'!$E$11),--(INDEX(Sims!$A75:$BO75,'Entry Builder'!$L$11)&gt;'Entry Builder'!$E$11)))</f>
        <v/>
      </c>
      <c r="F75">
        <f>IF('Entry Builder'!$N$12=0,1,IF('Entry Builder'!$D$12="Less",--(INDEX(Sims!$A75:$BO75,'Entry Builder'!$L$12)&lt;'Entry Builder'!$E$12),--(INDEX(Sims!$A75:$BO75,'Entry Builder'!$L$12)&gt;'Entry Builder'!$E$12)))</f>
        <v/>
      </c>
      <c r="G75">
        <f>6-SUM(A75:F75)</f>
        <v/>
      </c>
    </row>
    <row r="76">
      <c r="A76">
        <f>IF('Entry Builder'!$N$7=0,1,IF('Entry Builder'!$D$7="Less",--(INDEX(Sims!$A76:$BO76,'Entry Builder'!$L$7)&lt;'Entry Builder'!$E$7),--(INDEX(Sims!$A76:$BO76,'Entry Builder'!$L$7)&gt;'Entry Builder'!$E$7)))</f>
        <v/>
      </c>
      <c r="B76">
        <f>IF('Entry Builder'!$N$8=0,1,IF('Entry Builder'!$D$8="Less",--(INDEX(Sims!$A76:$BO76,'Entry Builder'!$L$8)&lt;'Entry Builder'!$E$8),--(INDEX(Sims!$A76:$BO76,'Entry Builder'!$L$8)&gt;'Entry Builder'!$E$8)))</f>
        <v/>
      </c>
      <c r="C76">
        <f>IF('Entry Builder'!$N$9=0,1,IF('Entry Builder'!$D$9="Less",--(INDEX(Sims!$A76:$BO76,'Entry Builder'!$L$9)&lt;'Entry Builder'!$E$9),--(INDEX(Sims!$A76:$BO76,'Entry Builder'!$L$9)&gt;'Entry Builder'!$E$9)))</f>
        <v/>
      </c>
      <c r="D76">
        <f>IF('Entry Builder'!$N$10=0,1,IF('Entry Builder'!$D$10="Less",--(INDEX(Sims!$A76:$BO76,'Entry Builder'!$L$10)&lt;'Entry Builder'!$E$10),--(INDEX(Sims!$A76:$BO76,'Entry Builder'!$L$10)&gt;'Entry Builder'!$E$10)))</f>
        <v/>
      </c>
      <c r="E76">
        <f>IF('Entry Builder'!$N$11=0,1,IF('Entry Builder'!$D$11="Less",--(INDEX(Sims!$A76:$BO76,'Entry Builder'!$L$11)&lt;'Entry Builder'!$E$11),--(INDEX(Sims!$A76:$BO76,'Entry Builder'!$L$11)&gt;'Entry Builder'!$E$11)))</f>
        <v/>
      </c>
      <c r="F76">
        <f>IF('Entry Builder'!$N$12=0,1,IF('Entry Builder'!$D$12="Less",--(INDEX(Sims!$A76:$BO76,'Entry Builder'!$L$12)&lt;'Entry Builder'!$E$12),--(INDEX(Sims!$A76:$BO76,'Entry Builder'!$L$12)&gt;'Entry Builder'!$E$12)))</f>
        <v/>
      </c>
      <c r="G76">
        <f>6-SUM(A76:F76)</f>
        <v/>
      </c>
    </row>
    <row r="77">
      <c r="A77">
        <f>IF('Entry Builder'!$N$7=0,1,IF('Entry Builder'!$D$7="Less",--(INDEX(Sims!$A77:$BO77,'Entry Builder'!$L$7)&lt;'Entry Builder'!$E$7),--(INDEX(Sims!$A77:$BO77,'Entry Builder'!$L$7)&gt;'Entry Builder'!$E$7)))</f>
        <v/>
      </c>
      <c r="B77">
        <f>IF('Entry Builder'!$N$8=0,1,IF('Entry Builder'!$D$8="Less",--(INDEX(Sims!$A77:$BO77,'Entry Builder'!$L$8)&lt;'Entry Builder'!$E$8),--(INDEX(Sims!$A77:$BO77,'Entry Builder'!$L$8)&gt;'Entry Builder'!$E$8)))</f>
        <v/>
      </c>
      <c r="C77">
        <f>IF('Entry Builder'!$N$9=0,1,IF('Entry Builder'!$D$9="Less",--(INDEX(Sims!$A77:$BO77,'Entry Builder'!$L$9)&lt;'Entry Builder'!$E$9),--(INDEX(Sims!$A77:$BO77,'Entry Builder'!$L$9)&gt;'Entry Builder'!$E$9)))</f>
        <v/>
      </c>
      <c r="D77">
        <f>IF('Entry Builder'!$N$10=0,1,IF('Entry Builder'!$D$10="Less",--(INDEX(Sims!$A77:$BO77,'Entry Builder'!$L$10)&lt;'Entry Builder'!$E$10),--(INDEX(Sims!$A77:$BO77,'Entry Builder'!$L$10)&gt;'Entry Builder'!$E$10)))</f>
        <v/>
      </c>
      <c r="E77">
        <f>IF('Entry Builder'!$N$11=0,1,IF('Entry Builder'!$D$11="Less",--(INDEX(Sims!$A77:$BO77,'Entry Builder'!$L$11)&lt;'Entry Builder'!$E$11),--(INDEX(Sims!$A77:$BO77,'Entry Builder'!$L$11)&gt;'Entry Builder'!$E$11)))</f>
        <v/>
      </c>
      <c r="F77">
        <f>IF('Entry Builder'!$N$12=0,1,IF('Entry Builder'!$D$12="Less",--(INDEX(Sims!$A77:$BO77,'Entry Builder'!$L$12)&lt;'Entry Builder'!$E$12),--(INDEX(Sims!$A77:$BO77,'Entry Builder'!$L$12)&gt;'Entry Builder'!$E$12)))</f>
        <v/>
      </c>
      <c r="G77">
        <f>6-SUM(A77:F77)</f>
        <v/>
      </c>
    </row>
    <row r="78">
      <c r="A78">
        <f>IF('Entry Builder'!$N$7=0,1,IF('Entry Builder'!$D$7="Less",--(INDEX(Sims!$A78:$BO78,'Entry Builder'!$L$7)&lt;'Entry Builder'!$E$7),--(INDEX(Sims!$A78:$BO78,'Entry Builder'!$L$7)&gt;'Entry Builder'!$E$7)))</f>
        <v/>
      </c>
      <c r="B78">
        <f>IF('Entry Builder'!$N$8=0,1,IF('Entry Builder'!$D$8="Less",--(INDEX(Sims!$A78:$BO78,'Entry Builder'!$L$8)&lt;'Entry Builder'!$E$8),--(INDEX(Sims!$A78:$BO78,'Entry Builder'!$L$8)&gt;'Entry Builder'!$E$8)))</f>
        <v/>
      </c>
      <c r="C78">
        <f>IF('Entry Builder'!$N$9=0,1,IF('Entry Builder'!$D$9="Less",--(INDEX(Sims!$A78:$BO78,'Entry Builder'!$L$9)&lt;'Entry Builder'!$E$9),--(INDEX(Sims!$A78:$BO78,'Entry Builder'!$L$9)&gt;'Entry Builder'!$E$9)))</f>
        <v/>
      </c>
      <c r="D78">
        <f>IF('Entry Builder'!$N$10=0,1,IF('Entry Builder'!$D$10="Less",--(INDEX(Sims!$A78:$BO78,'Entry Builder'!$L$10)&lt;'Entry Builder'!$E$10),--(INDEX(Sims!$A78:$BO78,'Entry Builder'!$L$10)&gt;'Entry Builder'!$E$10)))</f>
        <v/>
      </c>
      <c r="E78">
        <f>IF('Entry Builder'!$N$11=0,1,IF('Entry Builder'!$D$11="Less",--(INDEX(Sims!$A78:$BO78,'Entry Builder'!$L$11)&lt;'Entry Builder'!$E$11),--(INDEX(Sims!$A78:$BO78,'Entry Builder'!$L$11)&gt;'Entry Builder'!$E$11)))</f>
        <v/>
      </c>
      <c r="F78">
        <f>IF('Entry Builder'!$N$12=0,1,IF('Entry Builder'!$D$12="Less",--(INDEX(Sims!$A78:$BO78,'Entry Builder'!$L$12)&lt;'Entry Builder'!$E$12),--(INDEX(Sims!$A78:$BO78,'Entry Builder'!$L$12)&gt;'Entry Builder'!$E$12)))</f>
        <v/>
      </c>
      <c r="G78">
        <f>6-SUM(A78:F78)</f>
        <v/>
      </c>
    </row>
    <row r="79">
      <c r="A79">
        <f>IF('Entry Builder'!$N$7=0,1,IF('Entry Builder'!$D$7="Less",--(INDEX(Sims!$A79:$BO79,'Entry Builder'!$L$7)&lt;'Entry Builder'!$E$7),--(INDEX(Sims!$A79:$BO79,'Entry Builder'!$L$7)&gt;'Entry Builder'!$E$7)))</f>
        <v/>
      </c>
      <c r="B79">
        <f>IF('Entry Builder'!$N$8=0,1,IF('Entry Builder'!$D$8="Less",--(INDEX(Sims!$A79:$BO79,'Entry Builder'!$L$8)&lt;'Entry Builder'!$E$8),--(INDEX(Sims!$A79:$BO79,'Entry Builder'!$L$8)&gt;'Entry Builder'!$E$8)))</f>
        <v/>
      </c>
      <c r="C79">
        <f>IF('Entry Builder'!$N$9=0,1,IF('Entry Builder'!$D$9="Less",--(INDEX(Sims!$A79:$BO79,'Entry Builder'!$L$9)&lt;'Entry Builder'!$E$9),--(INDEX(Sims!$A79:$BO79,'Entry Builder'!$L$9)&gt;'Entry Builder'!$E$9)))</f>
        <v/>
      </c>
      <c r="D79">
        <f>IF('Entry Builder'!$N$10=0,1,IF('Entry Builder'!$D$10="Less",--(INDEX(Sims!$A79:$BO79,'Entry Builder'!$L$10)&lt;'Entry Builder'!$E$10),--(INDEX(Sims!$A79:$BO79,'Entry Builder'!$L$10)&gt;'Entry Builder'!$E$10)))</f>
        <v/>
      </c>
      <c r="E79">
        <f>IF('Entry Builder'!$N$11=0,1,IF('Entry Builder'!$D$11="Less",--(INDEX(Sims!$A79:$BO79,'Entry Builder'!$L$11)&lt;'Entry Builder'!$E$11),--(INDEX(Sims!$A79:$BO79,'Entry Builder'!$L$11)&gt;'Entry Builder'!$E$11)))</f>
        <v/>
      </c>
      <c r="F79">
        <f>IF('Entry Builder'!$N$12=0,1,IF('Entry Builder'!$D$12="Less",--(INDEX(Sims!$A79:$BO79,'Entry Builder'!$L$12)&lt;'Entry Builder'!$E$12),--(INDEX(Sims!$A79:$BO79,'Entry Builder'!$L$12)&gt;'Entry Builder'!$E$12)))</f>
        <v/>
      </c>
      <c r="G79">
        <f>6-SUM(A79:F79)</f>
        <v/>
      </c>
    </row>
    <row r="80">
      <c r="A80">
        <f>IF('Entry Builder'!$N$7=0,1,IF('Entry Builder'!$D$7="Less",--(INDEX(Sims!$A80:$BO80,'Entry Builder'!$L$7)&lt;'Entry Builder'!$E$7),--(INDEX(Sims!$A80:$BO80,'Entry Builder'!$L$7)&gt;'Entry Builder'!$E$7)))</f>
        <v/>
      </c>
      <c r="B80">
        <f>IF('Entry Builder'!$N$8=0,1,IF('Entry Builder'!$D$8="Less",--(INDEX(Sims!$A80:$BO80,'Entry Builder'!$L$8)&lt;'Entry Builder'!$E$8),--(INDEX(Sims!$A80:$BO80,'Entry Builder'!$L$8)&gt;'Entry Builder'!$E$8)))</f>
        <v/>
      </c>
      <c r="C80">
        <f>IF('Entry Builder'!$N$9=0,1,IF('Entry Builder'!$D$9="Less",--(INDEX(Sims!$A80:$BO80,'Entry Builder'!$L$9)&lt;'Entry Builder'!$E$9),--(INDEX(Sims!$A80:$BO80,'Entry Builder'!$L$9)&gt;'Entry Builder'!$E$9)))</f>
        <v/>
      </c>
      <c r="D80">
        <f>IF('Entry Builder'!$N$10=0,1,IF('Entry Builder'!$D$10="Less",--(INDEX(Sims!$A80:$BO80,'Entry Builder'!$L$10)&lt;'Entry Builder'!$E$10),--(INDEX(Sims!$A80:$BO80,'Entry Builder'!$L$10)&gt;'Entry Builder'!$E$10)))</f>
        <v/>
      </c>
      <c r="E80">
        <f>IF('Entry Builder'!$N$11=0,1,IF('Entry Builder'!$D$11="Less",--(INDEX(Sims!$A80:$BO80,'Entry Builder'!$L$11)&lt;'Entry Builder'!$E$11),--(INDEX(Sims!$A80:$BO80,'Entry Builder'!$L$11)&gt;'Entry Builder'!$E$11)))</f>
        <v/>
      </c>
      <c r="F80">
        <f>IF('Entry Builder'!$N$12=0,1,IF('Entry Builder'!$D$12="Less",--(INDEX(Sims!$A80:$BO80,'Entry Builder'!$L$12)&lt;'Entry Builder'!$E$12),--(INDEX(Sims!$A80:$BO80,'Entry Builder'!$L$12)&gt;'Entry Builder'!$E$12)))</f>
        <v/>
      </c>
      <c r="G80">
        <f>6-SUM(A80:F80)</f>
        <v/>
      </c>
    </row>
    <row r="81">
      <c r="A81">
        <f>IF('Entry Builder'!$N$7=0,1,IF('Entry Builder'!$D$7="Less",--(INDEX(Sims!$A81:$BO81,'Entry Builder'!$L$7)&lt;'Entry Builder'!$E$7),--(INDEX(Sims!$A81:$BO81,'Entry Builder'!$L$7)&gt;'Entry Builder'!$E$7)))</f>
        <v/>
      </c>
      <c r="B81">
        <f>IF('Entry Builder'!$N$8=0,1,IF('Entry Builder'!$D$8="Less",--(INDEX(Sims!$A81:$BO81,'Entry Builder'!$L$8)&lt;'Entry Builder'!$E$8),--(INDEX(Sims!$A81:$BO81,'Entry Builder'!$L$8)&gt;'Entry Builder'!$E$8)))</f>
        <v/>
      </c>
      <c r="C81">
        <f>IF('Entry Builder'!$N$9=0,1,IF('Entry Builder'!$D$9="Less",--(INDEX(Sims!$A81:$BO81,'Entry Builder'!$L$9)&lt;'Entry Builder'!$E$9),--(INDEX(Sims!$A81:$BO81,'Entry Builder'!$L$9)&gt;'Entry Builder'!$E$9)))</f>
        <v/>
      </c>
      <c r="D81">
        <f>IF('Entry Builder'!$N$10=0,1,IF('Entry Builder'!$D$10="Less",--(INDEX(Sims!$A81:$BO81,'Entry Builder'!$L$10)&lt;'Entry Builder'!$E$10),--(INDEX(Sims!$A81:$BO81,'Entry Builder'!$L$10)&gt;'Entry Builder'!$E$10)))</f>
        <v/>
      </c>
      <c r="E81">
        <f>IF('Entry Builder'!$N$11=0,1,IF('Entry Builder'!$D$11="Less",--(INDEX(Sims!$A81:$BO81,'Entry Builder'!$L$11)&lt;'Entry Builder'!$E$11),--(INDEX(Sims!$A81:$BO81,'Entry Builder'!$L$11)&gt;'Entry Builder'!$E$11)))</f>
        <v/>
      </c>
      <c r="F81">
        <f>IF('Entry Builder'!$N$12=0,1,IF('Entry Builder'!$D$12="Less",--(INDEX(Sims!$A81:$BO81,'Entry Builder'!$L$12)&lt;'Entry Builder'!$E$12),--(INDEX(Sims!$A81:$BO81,'Entry Builder'!$L$12)&gt;'Entry Builder'!$E$12)))</f>
        <v/>
      </c>
      <c r="G81">
        <f>6-SUM(A81:F81)</f>
        <v/>
      </c>
    </row>
    <row r="82">
      <c r="A82">
        <f>IF('Entry Builder'!$N$7=0,1,IF('Entry Builder'!$D$7="Less",--(INDEX(Sims!$A82:$BO82,'Entry Builder'!$L$7)&lt;'Entry Builder'!$E$7),--(INDEX(Sims!$A82:$BO82,'Entry Builder'!$L$7)&gt;'Entry Builder'!$E$7)))</f>
        <v/>
      </c>
      <c r="B82">
        <f>IF('Entry Builder'!$N$8=0,1,IF('Entry Builder'!$D$8="Less",--(INDEX(Sims!$A82:$BO82,'Entry Builder'!$L$8)&lt;'Entry Builder'!$E$8),--(INDEX(Sims!$A82:$BO82,'Entry Builder'!$L$8)&gt;'Entry Builder'!$E$8)))</f>
        <v/>
      </c>
      <c r="C82">
        <f>IF('Entry Builder'!$N$9=0,1,IF('Entry Builder'!$D$9="Less",--(INDEX(Sims!$A82:$BO82,'Entry Builder'!$L$9)&lt;'Entry Builder'!$E$9),--(INDEX(Sims!$A82:$BO82,'Entry Builder'!$L$9)&gt;'Entry Builder'!$E$9)))</f>
        <v/>
      </c>
      <c r="D82">
        <f>IF('Entry Builder'!$N$10=0,1,IF('Entry Builder'!$D$10="Less",--(INDEX(Sims!$A82:$BO82,'Entry Builder'!$L$10)&lt;'Entry Builder'!$E$10),--(INDEX(Sims!$A82:$BO82,'Entry Builder'!$L$10)&gt;'Entry Builder'!$E$10)))</f>
        <v/>
      </c>
      <c r="E82">
        <f>IF('Entry Builder'!$N$11=0,1,IF('Entry Builder'!$D$11="Less",--(INDEX(Sims!$A82:$BO82,'Entry Builder'!$L$11)&lt;'Entry Builder'!$E$11),--(INDEX(Sims!$A82:$BO82,'Entry Builder'!$L$11)&gt;'Entry Builder'!$E$11)))</f>
        <v/>
      </c>
      <c r="F82">
        <f>IF('Entry Builder'!$N$12=0,1,IF('Entry Builder'!$D$12="Less",--(INDEX(Sims!$A82:$BO82,'Entry Builder'!$L$12)&lt;'Entry Builder'!$E$12),--(INDEX(Sims!$A82:$BO82,'Entry Builder'!$L$12)&gt;'Entry Builder'!$E$12)))</f>
        <v/>
      </c>
      <c r="G82">
        <f>6-SUM(A82:F82)</f>
        <v/>
      </c>
    </row>
    <row r="83">
      <c r="A83">
        <f>IF('Entry Builder'!$N$7=0,1,IF('Entry Builder'!$D$7="Less",--(INDEX(Sims!$A83:$BO83,'Entry Builder'!$L$7)&lt;'Entry Builder'!$E$7),--(INDEX(Sims!$A83:$BO83,'Entry Builder'!$L$7)&gt;'Entry Builder'!$E$7)))</f>
        <v/>
      </c>
      <c r="B83">
        <f>IF('Entry Builder'!$N$8=0,1,IF('Entry Builder'!$D$8="Less",--(INDEX(Sims!$A83:$BO83,'Entry Builder'!$L$8)&lt;'Entry Builder'!$E$8),--(INDEX(Sims!$A83:$BO83,'Entry Builder'!$L$8)&gt;'Entry Builder'!$E$8)))</f>
        <v/>
      </c>
      <c r="C83">
        <f>IF('Entry Builder'!$N$9=0,1,IF('Entry Builder'!$D$9="Less",--(INDEX(Sims!$A83:$BO83,'Entry Builder'!$L$9)&lt;'Entry Builder'!$E$9),--(INDEX(Sims!$A83:$BO83,'Entry Builder'!$L$9)&gt;'Entry Builder'!$E$9)))</f>
        <v/>
      </c>
      <c r="D83">
        <f>IF('Entry Builder'!$N$10=0,1,IF('Entry Builder'!$D$10="Less",--(INDEX(Sims!$A83:$BO83,'Entry Builder'!$L$10)&lt;'Entry Builder'!$E$10),--(INDEX(Sims!$A83:$BO83,'Entry Builder'!$L$10)&gt;'Entry Builder'!$E$10)))</f>
        <v/>
      </c>
      <c r="E83">
        <f>IF('Entry Builder'!$N$11=0,1,IF('Entry Builder'!$D$11="Less",--(INDEX(Sims!$A83:$BO83,'Entry Builder'!$L$11)&lt;'Entry Builder'!$E$11),--(INDEX(Sims!$A83:$BO83,'Entry Builder'!$L$11)&gt;'Entry Builder'!$E$11)))</f>
        <v/>
      </c>
      <c r="F83">
        <f>IF('Entry Builder'!$N$12=0,1,IF('Entry Builder'!$D$12="Less",--(INDEX(Sims!$A83:$BO83,'Entry Builder'!$L$12)&lt;'Entry Builder'!$E$12),--(INDEX(Sims!$A83:$BO83,'Entry Builder'!$L$12)&gt;'Entry Builder'!$E$12)))</f>
        <v/>
      </c>
      <c r="G83">
        <f>6-SUM(A83:F83)</f>
        <v/>
      </c>
    </row>
    <row r="84">
      <c r="A84">
        <f>IF('Entry Builder'!$N$7=0,1,IF('Entry Builder'!$D$7="Less",--(INDEX(Sims!$A84:$BO84,'Entry Builder'!$L$7)&lt;'Entry Builder'!$E$7),--(INDEX(Sims!$A84:$BO84,'Entry Builder'!$L$7)&gt;'Entry Builder'!$E$7)))</f>
        <v/>
      </c>
      <c r="B84">
        <f>IF('Entry Builder'!$N$8=0,1,IF('Entry Builder'!$D$8="Less",--(INDEX(Sims!$A84:$BO84,'Entry Builder'!$L$8)&lt;'Entry Builder'!$E$8),--(INDEX(Sims!$A84:$BO84,'Entry Builder'!$L$8)&gt;'Entry Builder'!$E$8)))</f>
        <v/>
      </c>
      <c r="C84">
        <f>IF('Entry Builder'!$N$9=0,1,IF('Entry Builder'!$D$9="Less",--(INDEX(Sims!$A84:$BO84,'Entry Builder'!$L$9)&lt;'Entry Builder'!$E$9),--(INDEX(Sims!$A84:$BO84,'Entry Builder'!$L$9)&gt;'Entry Builder'!$E$9)))</f>
        <v/>
      </c>
      <c r="D84">
        <f>IF('Entry Builder'!$N$10=0,1,IF('Entry Builder'!$D$10="Less",--(INDEX(Sims!$A84:$BO84,'Entry Builder'!$L$10)&lt;'Entry Builder'!$E$10),--(INDEX(Sims!$A84:$BO84,'Entry Builder'!$L$10)&gt;'Entry Builder'!$E$10)))</f>
        <v/>
      </c>
      <c r="E84">
        <f>IF('Entry Builder'!$N$11=0,1,IF('Entry Builder'!$D$11="Less",--(INDEX(Sims!$A84:$BO84,'Entry Builder'!$L$11)&lt;'Entry Builder'!$E$11),--(INDEX(Sims!$A84:$BO84,'Entry Builder'!$L$11)&gt;'Entry Builder'!$E$11)))</f>
        <v/>
      </c>
      <c r="F84">
        <f>IF('Entry Builder'!$N$12=0,1,IF('Entry Builder'!$D$12="Less",--(INDEX(Sims!$A84:$BO84,'Entry Builder'!$L$12)&lt;'Entry Builder'!$E$12),--(INDEX(Sims!$A84:$BO84,'Entry Builder'!$L$12)&gt;'Entry Builder'!$E$12)))</f>
        <v/>
      </c>
      <c r="G84">
        <f>6-SUM(A84:F84)</f>
        <v/>
      </c>
    </row>
    <row r="85">
      <c r="A85">
        <f>IF('Entry Builder'!$N$7=0,1,IF('Entry Builder'!$D$7="Less",--(INDEX(Sims!$A85:$BO85,'Entry Builder'!$L$7)&lt;'Entry Builder'!$E$7),--(INDEX(Sims!$A85:$BO85,'Entry Builder'!$L$7)&gt;'Entry Builder'!$E$7)))</f>
        <v/>
      </c>
      <c r="B85">
        <f>IF('Entry Builder'!$N$8=0,1,IF('Entry Builder'!$D$8="Less",--(INDEX(Sims!$A85:$BO85,'Entry Builder'!$L$8)&lt;'Entry Builder'!$E$8),--(INDEX(Sims!$A85:$BO85,'Entry Builder'!$L$8)&gt;'Entry Builder'!$E$8)))</f>
        <v/>
      </c>
      <c r="C85">
        <f>IF('Entry Builder'!$N$9=0,1,IF('Entry Builder'!$D$9="Less",--(INDEX(Sims!$A85:$BO85,'Entry Builder'!$L$9)&lt;'Entry Builder'!$E$9),--(INDEX(Sims!$A85:$BO85,'Entry Builder'!$L$9)&gt;'Entry Builder'!$E$9)))</f>
        <v/>
      </c>
      <c r="D85">
        <f>IF('Entry Builder'!$N$10=0,1,IF('Entry Builder'!$D$10="Less",--(INDEX(Sims!$A85:$BO85,'Entry Builder'!$L$10)&lt;'Entry Builder'!$E$10),--(INDEX(Sims!$A85:$BO85,'Entry Builder'!$L$10)&gt;'Entry Builder'!$E$10)))</f>
        <v/>
      </c>
      <c r="E85">
        <f>IF('Entry Builder'!$N$11=0,1,IF('Entry Builder'!$D$11="Less",--(INDEX(Sims!$A85:$BO85,'Entry Builder'!$L$11)&lt;'Entry Builder'!$E$11),--(INDEX(Sims!$A85:$BO85,'Entry Builder'!$L$11)&gt;'Entry Builder'!$E$11)))</f>
        <v/>
      </c>
      <c r="F85">
        <f>IF('Entry Builder'!$N$12=0,1,IF('Entry Builder'!$D$12="Less",--(INDEX(Sims!$A85:$BO85,'Entry Builder'!$L$12)&lt;'Entry Builder'!$E$12),--(INDEX(Sims!$A85:$BO85,'Entry Builder'!$L$12)&gt;'Entry Builder'!$E$12)))</f>
        <v/>
      </c>
      <c r="G85">
        <f>6-SUM(A85:F85)</f>
        <v/>
      </c>
    </row>
    <row r="86">
      <c r="A86">
        <f>IF('Entry Builder'!$N$7=0,1,IF('Entry Builder'!$D$7="Less",--(INDEX(Sims!$A86:$BO86,'Entry Builder'!$L$7)&lt;'Entry Builder'!$E$7),--(INDEX(Sims!$A86:$BO86,'Entry Builder'!$L$7)&gt;'Entry Builder'!$E$7)))</f>
        <v/>
      </c>
      <c r="B86">
        <f>IF('Entry Builder'!$N$8=0,1,IF('Entry Builder'!$D$8="Less",--(INDEX(Sims!$A86:$BO86,'Entry Builder'!$L$8)&lt;'Entry Builder'!$E$8),--(INDEX(Sims!$A86:$BO86,'Entry Builder'!$L$8)&gt;'Entry Builder'!$E$8)))</f>
        <v/>
      </c>
      <c r="C86">
        <f>IF('Entry Builder'!$N$9=0,1,IF('Entry Builder'!$D$9="Less",--(INDEX(Sims!$A86:$BO86,'Entry Builder'!$L$9)&lt;'Entry Builder'!$E$9),--(INDEX(Sims!$A86:$BO86,'Entry Builder'!$L$9)&gt;'Entry Builder'!$E$9)))</f>
        <v/>
      </c>
      <c r="D86">
        <f>IF('Entry Builder'!$N$10=0,1,IF('Entry Builder'!$D$10="Less",--(INDEX(Sims!$A86:$BO86,'Entry Builder'!$L$10)&lt;'Entry Builder'!$E$10),--(INDEX(Sims!$A86:$BO86,'Entry Builder'!$L$10)&gt;'Entry Builder'!$E$10)))</f>
        <v/>
      </c>
      <c r="E86">
        <f>IF('Entry Builder'!$N$11=0,1,IF('Entry Builder'!$D$11="Less",--(INDEX(Sims!$A86:$BO86,'Entry Builder'!$L$11)&lt;'Entry Builder'!$E$11),--(INDEX(Sims!$A86:$BO86,'Entry Builder'!$L$11)&gt;'Entry Builder'!$E$11)))</f>
        <v/>
      </c>
      <c r="F86">
        <f>IF('Entry Builder'!$N$12=0,1,IF('Entry Builder'!$D$12="Less",--(INDEX(Sims!$A86:$BO86,'Entry Builder'!$L$12)&lt;'Entry Builder'!$E$12),--(INDEX(Sims!$A86:$BO86,'Entry Builder'!$L$12)&gt;'Entry Builder'!$E$12)))</f>
        <v/>
      </c>
      <c r="G86">
        <f>6-SUM(A86:F86)</f>
        <v/>
      </c>
    </row>
    <row r="87">
      <c r="A87">
        <f>IF('Entry Builder'!$N$7=0,1,IF('Entry Builder'!$D$7="Less",--(INDEX(Sims!$A87:$BO87,'Entry Builder'!$L$7)&lt;'Entry Builder'!$E$7),--(INDEX(Sims!$A87:$BO87,'Entry Builder'!$L$7)&gt;'Entry Builder'!$E$7)))</f>
        <v/>
      </c>
      <c r="B87">
        <f>IF('Entry Builder'!$N$8=0,1,IF('Entry Builder'!$D$8="Less",--(INDEX(Sims!$A87:$BO87,'Entry Builder'!$L$8)&lt;'Entry Builder'!$E$8),--(INDEX(Sims!$A87:$BO87,'Entry Builder'!$L$8)&gt;'Entry Builder'!$E$8)))</f>
        <v/>
      </c>
      <c r="C87">
        <f>IF('Entry Builder'!$N$9=0,1,IF('Entry Builder'!$D$9="Less",--(INDEX(Sims!$A87:$BO87,'Entry Builder'!$L$9)&lt;'Entry Builder'!$E$9),--(INDEX(Sims!$A87:$BO87,'Entry Builder'!$L$9)&gt;'Entry Builder'!$E$9)))</f>
        <v/>
      </c>
      <c r="D87">
        <f>IF('Entry Builder'!$N$10=0,1,IF('Entry Builder'!$D$10="Less",--(INDEX(Sims!$A87:$BO87,'Entry Builder'!$L$10)&lt;'Entry Builder'!$E$10),--(INDEX(Sims!$A87:$BO87,'Entry Builder'!$L$10)&gt;'Entry Builder'!$E$10)))</f>
        <v/>
      </c>
      <c r="E87">
        <f>IF('Entry Builder'!$N$11=0,1,IF('Entry Builder'!$D$11="Less",--(INDEX(Sims!$A87:$BO87,'Entry Builder'!$L$11)&lt;'Entry Builder'!$E$11),--(INDEX(Sims!$A87:$BO87,'Entry Builder'!$L$11)&gt;'Entry Builder'!$E$11)))</f>
        <v/>
      </c>
      <c r="F87">
        <f>IF('Entry Builder'!$N$12=0,1,IF('Entry Builder'!$D$12="Less",--(INDEX(Sims!$A87:$BO87,'Entry Builder'!$L$12)&lt;'Entry Builder'!$E$12),--(INDEX(Sims!$A87:$BO87,'Entry Builder'!$L$12)&gt;'Entry Builder'!$E$12)))</f>
        <v/>
      </c>
      <c r="G87">
        <f>6-SUM(A87:F87)</f>
        <v/>
      </c>
    </row>
    <row r="88">
      <c r="A88">
        <f>IF('Entry Builder'!$N$7=0,1,IF('Entry Builder'!$D$7="Less",--(INDEX(Sims!$A88:$BO88,'Entry Builder'!$L$7)&lt;'Entry Builder'!$E$7),--(INDEX(Sims!$A88:$BO88,'Entry Builder'!$L$7)&gt;'Entry Builder'!$E$7)))</f>
        <v/>
      </c>
      <c r="B88">
        <f>IF('Entry Builder'!$N$8=0,1,IF('Entry Builder'!$D$8="Less",--(INDEX(Sims!$A88:$BO88,'Entry Builder'!$L$8)&lt;'Entry Builder'!$E$8),--(INDEX(Sims!$A88:$BO88,'Entry Builder'!$L$8)&gt;'Entry Builder'!$E$8)))</f>
        <v/>
      </c>
      <c r="C88">
        <f>IF('Entry Builder'!$N$9=0,1,IF('Entry Builder'!$D$9="Less",--(INDEX(Sims!$A88:$BO88,'Entry Builder'!$L$9)&lt;'Entry Builder'!$E$9),--(INDEX(Sims!$A88:$BO88,'Entry Builder'!$L$9)&gt;'Entry Builder'!$E$9)))</f>
        <v/>
      </c>
      <c r="D88">
        <f>IF('Entry Builder'!$N$10=0,1,IF('Entry Builder'!$D$10="Less",--(INDEX(Sims!$A88:$BO88,'Entry Builder'!$L$10)&lt;'Entry Builder'!$E$10),--(INDEX(Sims!$A88:$BO88,'Entry Builder'!$L$10)&gt;'Entry Builder'!$E$10)))</f>
        <v/>
      </c>
      <c r="E88">
        <f>IF('Entry Builder'!$N$11=0,1,IF('Entry Builder'!$D$11="Less",--(INDEX(Sims!$A88:$BO88,'Entry Builder'!$L$11)&lt;'Entry Builder'!$E$11),--(INDEX(Sims!$A88:$BO88,'Entry Builder'!$L$11)&gt;'Entry Builder'!$E$11)))</f>
        <v/>
      </c>
      <c r="F88">
        <f>IF('Entry Builder'!$N$12=0,1,IF('Entry Builder'!$D$12="Less",--(INDEX(Sims!$A88:$BO88,'Entry Builder'!$L$12)&lt;'Entry Builder'!$E$12),--(INDEX(Sims!$A88:$BO88,'Entry Builder'!$L$12)&gt;'Entry Builder'!$E$12)))</f>
        <v/>
      </c>
      <c r="G88">
        <f>6-SUM(A88:F88)</f>
        <v/>
      </c>
    </row>
    <row r="89">
      <c r="A89">
        <f>IF('Entry Builder'!$N$7=0,1,IF('Entry Builder'!$D$7="Less",--(INDEX(Sims!$A89:$BO89,'Entry Builder'!$L$7)&lt;'Entry Builder'!$E$7),--(INDEX(Sims!$A89:$BO89,'Entry Builder'!$L$7)&gt;'Entry Builder'!$E$7)))</f>
        <v/>
      </c>
      <c r="B89">
        <f>IF('Entry Builder'!$N$8=0,1,IF('Entry Builder'!$D$8="Less",--(INDEX(Sims!$A89:$BO89,'Entry Builder'!$L$8)&lt;'Entry Builder'!$E$8),--(INDEX(Sims!$A89:$BO89,'Entry Builder'!$L$8)&gt;'Entry Builder'!$E$8)))</f>
        <v/>
      </c>
      <c r="C89">
        <f>IF('Entry Builder'!$N$9=0,1,IF('Entry Builder'!$D$9="Less",--(INDEX(Sims!$A89:$BO89,'Entry Builder'!$L$9)&lt;'Entry Builder'!$E$9),--(INDEX(Sims!$A89:$BO89,'Entry Builder'!$L$9)&gt;'Entry Builder'!$E$9)))</f>
        <v/>
      </c>
      <c r="D89">
        <f>IF('Entry Builder'!$N$10=0,1,IF('Entry Builder'!$D$10="Less",--(INDEX(Sims!$A89:$BO89,'Entry Builder'!$L$10)&lt;'Entry Builder'!$E$10),--(INDEX(Sims!$A89:$BO89,'Entry Builder'!$L$10)&gt;'Entry Builder'!$E$10)))</f>
        <v/>
      </c>
      <c r="E89">
        <f>IF('Entry Builder'!$N$11=0,1,IF('Entry Builder'!$D$11="Less",--(INDEX(Sims!$A89:$BO89,'Entry Builder'!$L$11)&lt;'Entry Builder'!$E$11),--(INDEX(Sims!$A89:$BO89,'Entry Builder'!$L$11)&gt;'Entry Builder'!$E$11)))</f>
        <v/>
      </c>
      <c r="F89">
        <f>IF('Entry Builder'!$N$12=0,1,IF('Entry Builder'!$D$12="Less",--(INDEX(Sims!$A89:$BO89,'Entry Builder'!$L$12)&lt;'Entry Builder'!$E$12),--(INDEX(Sims!$A89:$BO89,'Entry Builder'!$L$12)&gt;'Entry Builder'!$E$12)))</f>
        <v/>
      </c>
      <c r="G89">
        <f>6-SUM(A89:F89)</f>
        <v/>
      </c>
    </row>
    <row r="90">
      <c r="A90">
        <f>IF('Entry Builder'!$N$7=0,1,IF('Entry Builder'!$D$7="Less",--(INDEX(Sims!$A90:$BO90,'Entry Builder'!$L$7)&lt;'Entry Builder'!$E$7),--(INDEX(Sims!$A90:$BO90,'Entry Builder'!$L$7)&gt;'Entry Builder'!$E$7)))</f>
        <v/>
      </c>
      <c r="B90">
        <f>IF('Entry Builder'!$N$8=0,1,IF('Entry Builder'!$D$8="Less",--(INDEX(Sims!$A90:$BO90,'Entry Builder'!$L$8)&lt;'Entry Builder'!$E$8),--(INDEX(Sims!$A90:$BO90,'Entry Builder'!$L$8)&gt;'Entry Builder'!$E$8)))</f>
        <v/>
      </c>
      <c r="C90">
        <f>IF('Entry Builder'!$N$9=0,1,IF('Entry Builder'!$D$9="Less",--(INDEX(Sims!$A90:$BO90,'Entry Builder'!$L$9)&lt;'Entry Builder'!$E$9),--(INDEX(Sims!$A90:$BO90,'Entry Builder'!$L$9)&gt;'Entry Builder'!$E$9)))</f>
        <v/>
      </c>
      <c r="D90">
        <f>IF('Entry Builder'!$N$10=0,1,IF('Entry Builder'!$D$10="Less",--(INDEX(Sims!$A90:$BO90,'Entry Builder'!$L$10)&lt;'Entry Builder'!$E$10),--(INDEX(Sims!$A90:$BO90,'Entry Builder'!$L$10)&gt;'Entry Builder'!$E$10)))</f>
        <v/>
      </c>
      <c r="E90">
        <f>IF('Entry Builder'!$N$11=0,1,IF('Entry Builder'!$D$11="Less",--(INDEX(Sims!$A90:$BO90,'Entry Builder'!$L$11)&lt;'Entry Builder'!$E$11),--(INDEX(Sims!$A90:$BO90,'Entry Builder'!$L$11)&gt;'Entry Builder'!$E$11)))</f>
        <v/>
      </c>
      <c r="F90">
        <f>IF('Entry Builder'!$N$12=0,1,IF('Entry Builder'!$D$12="Less",--(INDEX(Sims!$A90:$BO90,'Entry Builder'!$L$12)&lt;'Entry Builder'!$E$12),--(INDEX(Sims!$A90:$BO90,'Entry Builder'!$L$12)&gt;'Entry Builder'!$E$12)))</f>
        <v/>
      </c>
      <c r="G90">
        <f>6-SUM(A90:F90)</f>
        <v/>
      </c>
    </row>
    <row r="91">
      <c r="A91">
        <f>IF('Entry Builder'!$N$7=0,1,IF('Entry Builder'!$D$7="Less",--(INDEX(Sims!$A91:$BO91,'Entry Builder'!$L$7)&lt;'Entry Builder'!$E$7),--(INDEX(Sims!$A91:$BO91,'Entry Builder'!$L$7)&gt;'Entry Builder'!$E$7)))</f>
        <v/>
      </c>
      <c r="B91">
        <f>IF('Entry Builder'!$N$8=0,1,IF('Entry Builder'!$D$8="Less",--(INDEX(Sims!$A91:$BO91,'Entry Builder'!$L$8)&lt;'Entry Builder'!$E$8),--(INDEX(Sims!$A91:$BO91,'Entry Builder'!$L$8)&gt;'Entry Builder'!$E$8)))</f>
        <v/>
      </c>
      <c r="C91">
        <f>IF('Entry Builder'!$N$9=0,1,IF('Entry Builder'!$D$9="Less",--(INDEX(Sims!$A91:$BO91,'Entry Builder'!$L$9)&lt;'Entry Builder'!$E$9),--(INDEX(Sims!$A91:$BO91,'Entry Builder'!$L$9)&gt;'Entry Builder'!$E$9)))</f>
        <v/>
      </c>
      <c r="D91">
        <f>IF('Entry Builder'!$N$10=0,1,IF('Entry Builder'!$D$10="Less",--(INDEX(Sims!$A91:$BO91,'Entry Builder'!$L$10)&lt;'Entry Builder'!$E$10),--(INDEX(Sims!$A91:$BO91,'Entry Builder'!$L$10)&gt;'Entry Builder'!$E$10)))</f>
        <v/>
      </c>
      <c r="E91">
        <f>IF('Entry Builder'!$N$11=0,1,IF('Entry Builder'!$D$11="Less",--(INDEX(Sims!$A91:$BO91,'Entry Builder'!$L$11)&lt;'Entry Builder'!$E$11),--(INDEX(Sims!$A91:$BO91,'Entry Builder'!$L$11)&gt;'Entry Builder'!$E$11)))</f>
        <v/>
      </c>
      <c r="F91">
        <f>IF('Entry Builder'!$N$12=0,1,IF('Entry Builder'!$D$12="Less",--(INDEX(Sims!$A91:$BO91,'Entry Builder'!$L$12)&lt;'Entry Builder'!$E$12),--(INDEX(Sims!$A91:$BO91,'Entry Builder'!$L$12)&gt;'Entry Builder'!$E$12)))</f>
        <v/>
      </c>
      <c r="G91">
        <f>6-SUM(A91:F91)</f>
        <v/>
      </c>
    </row>
    <row r="92">
      <c r="A92">
        <f>IF('Entry Builder'!$N$7=0,1,IF('Entry Builder'!$D$7="Less",--(INDEX(Sims!$A92:$BO92,'Entry Builder'!$L$7)&lt;'Entry Builder'!$E$7),--(INDEX(Sims!$A92:$BO92,'Entry Builder'!$L$7)&gt;'Entry Builder'!$E$7)))</f>
        <v/>
      </c>
      <c r="B92">
        <f>IF('Entry Builder'!$N$8=0,1,IF('Entry Builder'!$D$8="Less",--(INDEX(Sims!$A92:$BO92,'Entry Builder'!$L$8)&lt;'Entry Builder'!$E$8),--(INDEX(Sims!$A92:$BO92,'Entry Builder'!$L$8)&gt;'Entry Builder'!$E$8)))</f>
        <v/>
      </c>
      <c r="C92">
        <f>IF('Entry Builder'!$N$9=0,1,IF('Entry Builder'!$D$9="Less",--(INDEX(Sims!$A92:$BO92,'Entry Builder'!$L$9)&lt;'Entry Builder'!$E$9),--(INDEX(Sims!$A92:$BO92,'Entry Builder'!$L$9)&gt;'Entry Builder'!$E$9)))</f>
        <v/>
      </c>
      <c r="D92">
        <f>IF('Entry Builder'!$N$10=0,1,IF('Entry Builder'!$D$10="Less",--(INDEX(Sims!$A92:$BO92,'Entry Builder'!$L$10)&lt;'Entry Builder'!$E$10),--(INDEX(Sims!$A92:$BO92,'Entry Builder'!$L$10)&gt;'Entry Builder'!$E$10)))</f>
        <v/>
      </c>
      <c r="E92">
        <f>IF('Entry Builder'!$N$11=0,1,IF('Entry Builder'!$D$11="Less",--(INDEX(Sims!$A92:$BO92,'Entry Builder'!$L$11)&lt;'Entry Builder'!$E$11),--(INDEX(Sims!$A92:$BO92,'Entry Builder'!$L$11)&gt;'Entry Builder'!$E$11)))</f>
        <v/>
      </c>
      <c r="F92">
        <f>IF('Entry Builder'!$N$12=0,1,IF('Entry Builder'!$D$12="Less",--(INDEX(Sims!$A92:$BO92,'Entry Builder'!$L$12)&lt;'Entry Builder'!$E$12),--(INDEX(Sims!$A92:$BO92,'Entry Builder'!$L$12)&gt;'Entry Builder'!$E$12)))</f>
        <v/>
      </c>
      <c r="G92">
        <f>6-SUM(A92:F92)</f>
        <v/>
      </c>
    </row>
    <row r="93">
      <c r="A93">
        <f>IF('Entry Builder'!$N$7=0,1,IF('Entry Builder'!$D$7="Less",--(INDEX(Sims!$A93:$BO93,'Entry Builder'!$L$7)&lt;'Entry Builder'!$E$7),--(INDEX(Sims!$A93:$BO93,'Entry Builder'!$L$7)&gt;'Entry Builder'!$E$7)))</f>
        <v/>
      </c>
      <c r="B93">
        <f>IF('Entry Builder'!$N$8=0,1,IF('Entry Builder'!$D$8="Less",--(INDEX(Sims!$A93:$BO93,'Entry Builder'!$L$8)&lt;'Entry Builder'!$E$8),--(INDEX(Sims!$A93:$BO93,'Entry Builder'!$L$8)&gt;'Entry Builder'!$E$8)))</f>
        <v/>
      </c>
      <c r="C93">
        <f>IF('Entry Builder'!$N$9=0,1,IF('Entry Builder'!$D$9="Less",--(INDEX(Sims!$A93:$BO93,'Entry Builder'!$L$9)&lt;'Entry Builder'!$E$9),--(INDEX(Sims!$A93:$BO93,'Entry Builder'!$L$9)&gt;'Entry Builder'!$E$9)))</f>
        <v/>
      </c>
      <c r="D93">
        <f>IF('Entry Builder'!$N$10=0,1,IF('Entry Builder'!$D$10="Less",--(INDEX(Sims!$A93:$BO93,'Entry Builder'!$L$10)&lt;'Entry Builder'!$E$10),--(INDEX(Sims!$A93:$BO93,'Entry Builder'!$L$10)&gt;'Entry Builder'!$E$10)))</f>
        <v/>
      </c>
      <c r="E93">
        <f>IF('Entry Builder'!$N$11=0,1,IF('Entry Builder'!$D$11="Less",--(INDEX(Sims!$A93:$BO93,'Entry Builder'!$L$11)&lt;'Entry Builder'!$E$11),--(INDEX(Sims!$A93:$BO93,'Entry Builder'!$L$11)&gt;'Entry Builder'!$E$11)))</f>
        <v/>
      </c>
      <c r="F93">
        <f>IF('Entry Builder'!$N$12=0,1,IF('Entry Builder'!$D$12="Less",--(INDEX(Sims!$A93:$BO93,'Entry Builder'!$L$12)&lt;'Entry Builder'!$E$12),--(INDEX(Sims!$A93:$BO93,'Entry Builder'!$L$12)&gt;'Entry Builder'!$E$12)))</f>
        <v/>
      </c>
      <c r="G93">
        <f>6-SUM(A93:F93)</f>
        <v/>
      </c>
    </row>
    <row r="94">
      <c r="A94">
        <f>IF('Entry Builder'!$N$7=0,1,IF('Entry Builder'!$D$7="Less",--(INDEX(Sims!$A94:$BO94,'Entry Builder'!$L$7)&lt;'Entry Builder'!$E$7),--(INDEX(Sims!$A94:$BO94,'Entry Builder'!$L$7)&gt;'Entry Builder'!$E$7)))</f>
        <v/>
      </c>
      <c r="B94">
        <f>IF('Entry Builder'!$N$8=0,1,IF('Entry Builder'!$D$8="Less",--(INDEX(Sims!$A94:$BO94,'Entry Builder'!$L$8)&lt;'Entry Builder'!$E$8),--(INDEX(Sims!$A94:$BO94,'Entry Builder'!$L$8)&gt;'Entry Builder'!$E$8)))</f>
        <v/>
      </c>
      <c r="C94">
        <f>IF('Entry Builder'!$N$9=0,1,IF('Entry Builder'!$D$9="Less",--(INDEX(Sims!$A94:$BO94,'Entry Builder'!$L$9)&lt;'Entry Builder'!$E$9),--(INDEX(Sims!$A94:$BO94,'Entry Builder'!$L$9)&gt;'Entry Builder'!$E$9)))</f>
        <v/>
      </c>
      <c r="D94">
        <f>IF('Entry Builder'!$N$10=0,1,IF('Entry Builder'!$D$10="Less",--(INDEX(Sims!$A94:$BO94,'Entry Builder'!$L$10)&lt;'Entry Builder'!$E$10),--(INDEX(Sims!$A94:$BO94,'Entry Builder'!$L$10)&gt;'Entry Builder'!$E$10)))</f>
        <v/>
      </c>
      <c r="E94">
        <f>IF('Entry Builder'!$N$11=0,1,IF('Entry Builder'!$D$11="Less",--(INDEX(Sims!$A94:$BO94,'Entry Builder'!$L$11)&lt;'Entry Builder'!$E$11),--(INDEX(Sims!$A94:$BO94,'Entry Builder'!$L$11)&gt;'Entry Builder'!$E$11)))</f>
        <v/>
      </c>
      <c r="F94">
        <f>IF('Entry Builder'!$N$12=0,1,IF('Entry Builder'!$D$12="Less",--(INDEX(Sims!$A94:$BO94,'Entry Builder'!$L$12)&lt;'Entry Builder'!$E$12),--(INDEX(Sims!$A94:$BO94,'Entry Builder'!$L$12)&gt;'Entry Builder'!$E$12)))</f>
        <v/>
      </c>
      <c r="G94">
        <f>6-SUM(A94:F94)</f>
        <v/>
      </c>
    </row>
    <row r="95">
      <c r="A95">
        <f>IF('Entry Builder'!$N$7=0,1,IF('Entry Builder'!$D$7="Less",--(INDEX(Sims!$A95:$BO95,'Entry Builder'!$L$7)&lt;'Entry Builder'!$E$7),--(INDEX(Sims!$A95:$BO95,'Entry Builder'!$L$7)&gt;'Entry Builder'!$E$7)))</f>
        <v/>
      </c>
      <c r="B95">
        <f>IF('Entry Builder'!$N$8=0,1,IF('Entry Builder'!$D$8="Less",--(INDEX(Sims!$A95:$BO95,'Entry Builder'!$L$8)&lt;'Entry Builder'!$E$8),--(INDEX(Sims!$A95:$BO95,'Entry Builder'!$L$8)&gt;'Entry Builder'!$E$8)))</f>
        <v/>
      </c>
      <c r="C95">
        <f>IF('Entry Builder'!$N$9=0,1,IF('Entry Builder'!$D$9="Less",--(INDEX(Sims!$A95:$BO95,'Entry Builder'!$L$9)&lt;'Entry Builder'!$E$9),--(INDEX(Sims!$A95:$BO95,'Entry Builder'!$L$9)&gt;'Entry Builder'!$E$9)))</f>
        <v/>
      </c>
      <c r="D95">
        <f>IF('Entry Builder'!$N$10=0,1,IF('Entry Builder'!$D$10="Less",--(INDEX(Sims!$A95:$BO95,'Entry Builder'!$L$10)&lt;'Entry Builder'!$E$10),--(INDEX(Sims!$A95:$BO95,'Entry Builder'!$L$10)&gt;'Entry Builder'!$E$10)))</f>
        <v/>
      </c>
      <c r="E95">
        <f>IF('Entry Builder'!$N$11=0,1,IF('Entry Builder'!$D$11="Less",--(INDEX(Sims!$A95:$BO95,'Entry Builder'!$L$11)&lt;'Entry Builder'!$E$11),--(INDEX(Sims!$A95:$BO95,'Entry Builder'!$L$11)&gt;'Entry Builder'!$E$11)))</f>
        <v/>
      </c>
      <c r="F95">
        <f>IF('Entry Builder'!$N$12=0,1,IF('Entry Builder'!$D$12="Less",--(INDEX(Sims!$A95:$BO95,'Entry Builder'!$L$12)&lt;'Entry Builder'!$E$12),--(INDEX(Sims!$A95:$BO95,'Entry Builder'!$L$12)&gt;'Entry Builder'!$E$12)))</f>
        <v/>
      </c>
      <c r="G95">
        <f>6-SUM(A95:F95)</f>
        <v/>
      </c>
    </row>
    <row r="96">
      <c r="A96">
        <f>IF('Entry Builder'!$N$7=0,1,IF('Entry Builder'!$D$7="Less",--(INDEX(Sims!$A96:$BO96,'Entry Builder'!$L$7)&lt;'Entry Builder'!$E$7),--(INDEX(Sims!$A96:$BO96,'Entry Builder'!$L$7)&gt;'Entry Builder'!$E$7)))</f>
        <v/>
      </c>
      <c r="B96">
        <f>IF('Entry Builder'!$N$8=0,1,IF('Entry Builder'!$D$8="Less",--(INDEX(Sims!$A96:$BO96,'Entry Builder'!$L$8)&lt;'Entry Builder'!$E$8),--(INDEX(Sims!$A96:$BO96,'Entry Builder'!$L$8)&gt;'Entry Builder'!$E$8)))</f>
        <v/>
      </c>
      <c r="C96">
        <f>IF('Entry Builder'!$N$9=0,1,IF('Entry Builder'!$D$9="Less",--(INDEX(Sims!$A96:$BO96,'Entry Builder'!$L$9)&lt;'Entry Builder'!$E$9),--(INDEX(Sims!$A96:$BO96,'Entry Builder'!$L$9)&gt;'Entry Builder'!$E$9)))</f>
        <v/>
      </c>
      <c r="D96">
        <f>IF('Entry Builder'!$N$10=0,1,IF('Entry Builder'!$D$10="Less",--(INDEX(Sims!$A96:$BO96,'Entry Builder'!$L$10)&lt;'Entry Builder'!$E$10),--(INDEX(Sims!$A96:$BO96,'Entry Builder'!$L$10)&gt;'Entry Builder'!$E$10)))</f>
        <v/>
      </c>
      <c r="E96">
        <f>IF('Entry Builder'!$N$11=0,1,IF('Entry Builder'!$D$11="Less",--(INDEX(Sims!$A96:$BO96,'Entry Builder'!$L$11)&lt;'Entry Builder'!$E$11),--(INDEX(Sims!$A96:$BO96,'Entry Builder'!$L$11)&gt;'Entry Builder'!$E$11)))</f>
        <v/>
      </c>
      <c r="F96">
        <f>IF('Entry Builder'!$N$12=0,1,IF('Entry Builder'!$D$12="Less",--(INDEX(Sims!$A96:$BO96,'Entry Builder'!$L$12)&lt;'Entry Builder'!$E$12),--(INDEX(Sims!$A96:$BO96,'Entry Builder'!$L$12)&gt;'Entry Builder'!$E$12)))</f>
        <v/>
      </c>
      <c r="G96">
        <f>6-SUM(A96:F96)</f>
        <v/>
      </c>
    </row>
    <row r="97">
      <c r="A97">
        <f>IF('Entry Builder'!$N$7=0,1,IF('Entry Builder'!$D$7="Less",--(INDEX(Sims!$A97:$BO97,'Entry Builder'!$L$7)&lt;'Entry Builder'!$E$7),--(INDEX(Sims!$A97:$BO97,'Entry Builder'!$L$7)&gt;'Entry Builder'!$E$7)))</f>
        <v/>
      </c>
      <c r="B97">
        <f>IF('Entry Builder'!$N$8=0,1,IF('Entry Builder'!$D$8="Less",--(INDEX(Sims!$A97:$BO97,'Entry Builder'!$L$8)&lt;'Entry Builder'!$E$8),--(INDEX(Sims!$A97:$BO97,'Entry Builder'!$L$8)&gt;'Entry Builder'!$E$8)))</f>
        <v/>
      </c>
      <c r="C97">
        <f>IF('Entry Builder'!$N$9=0,1,IF('Entry Builder'!$D$9="Less",--(INDEX(Sims!$A97:$BO97,'Entry Builder'!$L$9)&lt;'Entry Builder'!$E$9),--(INDEX(Sims!$A97:$BO97,'Entry Builder'!$L$9)&gt;'Entry Builder'!$E$9)))</f>
        <v/>
      </c>
      <c r="D97">
        <f>IF('Entry Builder'!$N$10=0,1,IF('Entry Builder'!$D$10="Less",--(INDEX(Sims!$A97:$BO97,'Entry Builder'!$L$10)&lt;'Entry Builder'!$E$10),--(INDEX(Sims!$A97:$BO97,'Entry Builder'!$L$10)&gt;'Entry Builder'!$E$10)))</f>
        <v/>
      </c>
      <c r="E97">
        <f>IF('Entry Builder'!$N$11=0,1,IF('Entry Builder'!$D$11="Less",--(INDEX(Sims!$A97:$BO97,'Entry Builder'!$L$11)&lt;'Entry Builder'!$E$11),--(INDEX(Sims!$A97:$BO97,'Entry Builder'!$L$11)&gt;'Entry Builder'!$E$11)))</f>
        <v/>
      </c>
      <c r="F97">
        <f>IF('Entry Builder'!$N$12=0,1,IF('Entry Builder'!$D$12="Less",--(INDEX(Sims!$A97:$BO97,'Entry Builder'!$L$12)&lt;'Entry Builder'!$E$12),--(INDEX(Sims!$A97:$BO97,'Entry Builder'!$L$12)&gt;'Entry Builder'!$E$12)))</f>
        <v/>
      </c>
      <c r="G97">
        <f>6-SUM(A97:F97)</f>
        <v/>
      </c>
    </row>
    <row r="98">
      <c r="A98">
        <f>IF('Entry Builder'!$N$7=0,1,IF('Entry Builder'!$D$7="Less",--(INDEX(Sims!$A98:$BO98,'Entry Builder'!$L$7)&lt;'Entry Builder'!$E$7),--(INDEX(Sims!$A98:$BO98,'Entry Builder'!$L$7)&gt;'Entry Builder'!$E$7)))</f>
        <v/>
      </c>
      <c r="B98">
        <f>IF('Entry Builder'!$N$8=0,1,IF('Entry Builder'!$D$8="Less",--(INDEX(Sims!$A98:$BO98,'Entry Builder'!$L$8)&lt;'Entry Builder'!$E$8),--(INDEX(Sims!$A98:$BO98,'Entry Builder'!$L$8)&gt;'Entry Builder'!$E$8)))</f>
        <v/>
      </c>
      <c r="C98">
        <f>IF('Entry Builder'!$N$9=0,1,IF('Entry Builder'!$D$9="Less",--(INDEX(Sims!$A98:$BO98,'Entry Builder'!$L$9)&lt;'Entry Builder'!$E$9),--(INDEX(Sims!$A98:$BO98,'Entry Builder'!$L$9)&gt;'Entry Builder'!$E$9)))</f>
        <v/>
      </c>
      <c r="D98">
        <f>IF('Entry Builder'!$N$10=0,1,IF('Entry Builder'!$D$10="Less",--(INDEX(Sims!$A98:$BO98,'Entry Builder'!$L$10)&lt;'Entry Builder'!$E$10),--(INDEX(Sims!$A98:$BO98,'Entry Builder'!$L$10)&gt;'Entry Builder'!$E$10)))</f>
        <v/>
      </c>
      <c r="E98">
        <f>IF('Entry Builder'!$N$11=0,1,IF('Entry Builder'!$D$11="Less",--(INDEX(Sims!$A98:$BO98,'Entry Builder'!$L$11)&lt;'Entry Builder'!$E$11),--(INDEX(Sims!$A98:$BO98,'Entry Builder'!$L$11)&gt;'Entry Builder'!$E$11)))</f>
        <v/>
      </c>
      <c r="F98">
        <f>IF('Entry Builder'!$N$12=0,1,IF('Entry Builder'!$D$12="Less",--(INDEX(Sims!$A98:$BO98,'Entry Builder'!$L$12)&lt;'Entry Builder'!$E$12),--(INDEX(Sims!$A98:$BO98,'Entry Builder'!$L$12)&gt;'Entry Builder'!$E$12)))</f>
        <v/>
      </c>
      <c r="G98">
        <f>6-SUM(A98:F98)</f>
        <v/>
      </c>
    </row>
    <row r="99">
      <c r="A99">
        <f>IF('Entry Builder'!$N$7=0,1,IF('Entry Builder'!$D$7="Less",--(INDEX(Sims!$A99:$BO99,'Entry Builder'!$L$7)&lt;'Entry Builder'!$E$7),--(INDEX(Sims!$A99:$BO99,'Entry Builder'!$L$7)&gt;'Entry Builder'!$E$7)))</f>
        <v/>
      </c>
      <c r="B99">
        <f>IF('Entry Builder'!$N$8=0,1,IF('Entry Builder'!$D$8="Less",--(INDEX(Sims!$A99:$BO99,'Entry Builder'!$L$8)&lt;'Entry Builder'!$E$8),--(INDEX(Sims!$A99:$BO99,'Entry Builder'!$L$8)&gt;'Entry Builder'!$E$8)))</f>
        <v/>
      </c>
      <c r="C99">
        <f>IF('Entry Builder'!$N$9=0,1,IF('Entry Builder'!$D$9="Less",--(INDEX(Sims!$A99:$BO99,'Entry Builder'!$L$9)&lt;'Entry Builder'!$E$9),--(INDEX(Sims!$A99:$BO99,'Entry Builder'!$L$9)&gt;'Entry Builder'!$E$9)))</f>
        <v/>
      </c>
      <c r="D99">
        <f>IF('Entry Builder'!$N$10=0,1,IF('Entry Builder'!$D$10="Less",--(INDEX(Sims!$A99:$BO99,'Entry Builder'!$L$10)&lt;'Entry Builder'!$E$10),--(INDEX(Sims!$A99:$BO99,'Entry Builder'!$L$10)&gt;'Entry Builder'!$E$10)))</f>
        <v/>
      </c>
      <c r="E99">
        <f>IF('Entry Builder'!$N$11=0,1,IF('Entry Builder'!$D$11="Less",--(INDEX(Sims!$A99:$BO99,'Entry Builder'!$L$11)&lt;'Entry Builder'!$E$11),--(INDEX(Sims!$A99:$BO99,'Entry Builder'!$L$11)&gt;'Entry Builder'!$E$11)))</f>
        <v/>
      </c>
      <c r="F99">
        <f>IF('Entry Builder'!$N$12=0,1,IF('Entry Builder'!$D$12="Less",--(INDEX(Sims!$A99:$BO99,'Entry Builder'!$L$12)&lt;'Entry Builder'!$E$12),--(INDEX(Sims!$A99:$BO99,'Entry Builder'!$L$12)&gt;'Entry Builder'!$E$12)))</f>
        <v/>
      </c>
      <c r="G99">
        <f>6-SUM(A99:F99)</f>
        <v/>
      </c>
    </row>
    <row r="100">
      <c r="A100">
        <f>IF('Entry Builder'!$N$7=0,1,IF('Entry Builder'!$D$7="Less",--(INDEX(Sims!$A100:$BO100,'Entry Builder'!$L$7)&lt;'Entry Builder'!$E$7),--(INDEX(Sims!$A100:$BO100,'Entry Builder'!$L$7)&gt;'Entry Builder'!$E$7)))</f>
        <v/>
      </c>
      <c r="B100">
        <f>IF('Entry Builder'!$N$8=0,1,IF('Entry Builder'!$D$8="Less",--(INDEX(Sims!$A100:$BO100,'Entry Builder'!$L$8)&lt;'Entry Builder'!$E$8),--(INDEX(Sims!$A100:$BO100,'Entry Builder'!$L$8)&gt;'Entry Builder'!$E$8)))</f>
        <v/>
      </c>
      <c r="C100">
        <f>IF('Entry Builder'!$N$9=0,1,IF('Entry Builder'!$D$9="Less",--(INDEX(Sims!$A100:$BO100,'Entry Builder'!$L$9)&lt;'Entry Builder'!$E$9),--(INDEX(Sims!$A100:$BO100,'Entry Builder'!$L$9)&gt;'Entry Builder'!$E$9)))</f>
        <v/>
      </c>
      <c r="D100">
        <f>IF('Entry Builder'!$N$10=0,1,IF('Entry Builder'!$D$10="Less",--(INDEX(Sims!$A100:$BO100,'Entry Builder'!$L$10)&lt;'Entry Builder'!$E$10),--(INDEX(Sims!$A100:$BO100,'Entry Builder'!$L$10)&gt;'Entry Builder'!$E$10)))</f>
        <v/>
      </c>
      <c r="E100">
        <f>IF('Entry Builder'!$N$11=0,1,IF('Entry Builder'!$D$11="Less",--(INDEX(Sims!$A100:$BO100,'Entry Builder'!$L$11)&lt;'Entry Builder'!$E$11),--(INDEX(Sims!$A100:$BO100,'Entry Builder'!$L$11)&gt;'Entry Builder'!$E$11)))</f>
        <v/>
      </c>
      <c r="F100">
        <f>IF('Entry Builder'!$N$12=0,1,IF('Entry Builder'!$D$12="Less",--(INDEX(Sims!$A100:$BO100,'Entry Builder'!$L$12)&lt;'Entry Builder'!$E$12),--(INDEX(Sims!$A100:$BO100,'Entry Builder'!$L$12)&gt;'Entry Builder'!$E$12)))</f>
        <v/>
      </c>
      <c r="G100">
        <f>6-SUM(A100:F100)</f>
        <v/>
      </c>
    </row>
    <row r="101">
      <c r="A101">
        <f>IF('Entry Builder'!$N$7=0,1,IF('Entry Builder'!$D$7="Less",--(INDEX(Sims!$A101:$BO101,'Entry Builder'!$L$7)&lt;'Entry Builder'!$E$7),--(INDEX(Sims!$A101:$BO101,'Entry Builder'!$L$7)&gt;'Entry Builder'!$E$7)))</f>
        <v/>
      </c>
      <c r="B101">
        <f>IF('Entry Builder'!$N$8=0,1,IF('Entry Builder'!$D$8="Less",--(INDEX(Sims!$A101:$BO101,'Entry Builder'!$L$8)&lt;'Entry Builder'!$E$8),--(INDEX(Sims!$A101:$BO101,'Entry Builder'!$L$8)&gt;'Entry Builder'!$E$8)))</f>
        <v/>
      </c>
      <c r="C101">
        <f>IF('Entry Builder'!$N$9=0,1,IF('Entry Builder'!$D$9="Less",--(INDEX(Sims!$A101:$BO101,'Entry Builder'!$L$9)&lt;'Entry Builder'!$E$9),--(INDEX(Sims!$A101:$BO101,'Entry Builder'!$L$9)&gt;'Entry Builder'!$E$9)))</f>
        <v/>
      </c>
      <c r="D101">
        <f>IF('Entry Builder'!$N$10=0,1,IF('Entry Builder'!$D$10="Less",--(INDEX(Sims!$A101:$BO101,'Entry Builder'!$L$10)&lt;'Entry Builder'!$E$10),--(INDEX(Sims!$A101:$BO101,'Entry Builder'!$L$10)&gt;'Entry Builder'!$E$10)))</f>
        <v/>
      </c>
      <c r="E101">
        <f>IF('Entry Builder'!$N$11=0,1,IF('Entry Builder'!$D$11="Less",--(INDEX(Sims!$A101:$BO101,'Entry Builder'!$L$11)&lt;'Entry Builder'!$E$11),--(INDEX(Sims!$A101:$BO101,'Entry Builder'!$L$11)&gt;'Entry Builder'!$E$11)))</f>
        <v/>
      </c>
      <c r="F101">
        <f>IF('Entry Builder'!$N$12=0,1,IF('Entry Builder'!$D$12="Less",--(INDEX(Sims!$A101:$BO101,'Entry Builder'!$L$12)&lt;'Entry Builder'!$E$12),--(INDEX(Sims!$A101:$BO101,'Entry Builder'!$L$12)&gt;'Entry Builder'!$E$12)))</f>
        <v/>
      </c>
      <c r="G101">
        <f>6-SUM(A101:F101)</f>
        <v/>
      </c>
    </row>
    <row r="102">
      <c r="A102">
        <f>IF('Entry Builder'!$N$7=0,1,IF('Entry Builder'!$D$7="Less",--(INDEX(Sims!$A102:$BO102,'Entry Builder'!$L$7)&lt;'Entry Builder'!$E$7),--(INDEX(Sims!$A102:$BO102,'Entry Builder'!$L$7)&gt;'Entry Builder'!$E$7)))</f>
        <v/>
      </c>
      <c r="B102">
        <f>IF('Entry Builder'!$N$8=0,1,IF('Entry Builder'!$D$8="Less",--(INDEX(Sims!$A102:$BO102,'Entry Builder'!$L$8)&lt;'Entry Builder'!$E$8),--(INDEX(Sims!$A102:$BO102,'Entry Builder'!$L$8)&gt;'Entry Builder'!$E$8)))</f>
        <v/>
      </c>
      <c r="C102">
        <f>IF('Entry Builder'!$N$9=0,1,IF('Entry Builder'!$D$9="Less",--(INDEX(Sims!$A102:$BO102,'Entry Builder'!$L$9)&lt;'Entry Builder'!$E$9),--(INDEX(Sims!$A102:$BO102,'Entry Builder'!$L$9)&gt;'Entry Builder'!$E$9)))</f>
        <v/>
      </c>
      <c r="D102">
        <f>IF('Entry Builder'!$N$10=0,1,IF('Entry Builder'!$D$10="Less",--(INDEX(Sims!$A102:$BO102,'Entry Builder'!$L$10)&lt;'Entry Builder'!$E$10),--(INDEX(Sims!$A102:$BO102,'Entry Builder'!$L$10)&gt;'Entry Builder'!$E$10)))</f>
        <v/>
      </c>
      <c r="E102">
        <f>IF('Entry Builder'!$N$11=0,1,IF('Entry Builder'!$D$11="Less",--(INDEX(Sims!$A102:$BO102,'Entry Builder'!$L$11)&lt;'Entry Builder'!$E$11),--(INDEX(Sims!$A102:$BO102,'Entry Builder'!$L$11)&gt;'Entry Builder'!$E$11)))</f>
        <v/>
      </c>
      <c r="F102">
        <f>IF('Entry Builder'!$N$12=0,1,IF('Entry Builder'!$D$12="Less",--(INDEX(Sims!$A102:$BO102,'Entry Builder'!$L$12)&lt;'Entry Builder'!$E$12),--(INDEX(Sims!$A102:$BO102,'Entry Builder'!$L$12)&gt;'Entry Builder'!$E$12)))</f>
        <v/>
      </c>
      <c r="G102">
        <f>6-SUM(A102:F102)</f>
        <v/>
      </c>
    </row>
    <row r="103">
      <c r="A103">
        <f>IF('Entry Builder'!$N$7=0,1,IF('Entry Builder'!$D$7="Less",--(INDEX(Sims!$A103:$BO103,'Entry Builder'!$L$7)&lt;'Entry Builder'!$E$7),--(INDEX(Sims!$A103:$BO103,'Entry Builder'!$L$7)&gt;'Entry Builder'!$E$7)))</f>
        <v/>
      </c>
      <c r="B103">
        <f>IF('Entry Builder'!$N$8=0,1,IF('Entry Builder'!$D$8="Less",--(INDEX(Sims!$A103:$BO103,'Entry Builder'!$L$8)&lt;'Entry Builder'!$E$8),--(INDEX(Sims!$A103:$BO103,'Entry Builder'!$L$8)&gt;'Entry Builder'!$E$8)))</f>
        <v/>
      </c>
      <c r="C103">
        <f>IF('Entry Builder'!$N$9=0,1,IF('Entry Builder'!$D$9="Less",--(INDEX(Sims!$A103:$BO103,'Entry Builder'!$L$9)&lt;'Entry Builder'!$E$9),--(INDEX(Sims!$A103:$BO103,'Entry Builder'!$L$9)&gt;'Entry Builder'!$E$9)))</f>
        <v/>
      </c>
      <c r="D103">
        <f>IF('Entry Builder'!$N$10=0,1,IF('Entry Builder'!$D$10="Less",--(INDEX(Sims!$A103:$BO103,'Entry Builder'!$L$10)&lt;'Entry Builder'!$E$10),--(INDEX(Sims!$A103:$BO103,'Entry Builder'!$L$10)&gt;'Entry Builder'!$E$10)))</f>
        <v/>
      </c>
      <c r="E103">
        <f>IF('Entry Builder'!$N$11=0,1,IF('Entry Builder'!$D$11="Less",--(INDEX(Sims!$A103:$BO103,'Entry Builder'!$L$11)&lt;'Entry Builder'!$E$11),--(INDEX(Sims!$A103:$BO103,'Entry Builder'!$L$11)&gt;'Entry Builder'!$E$11)))</f>
        <v/>
      </c>
      <c r="F103">
        <f>IF('Entry Builder'!$N$12=0,1,IF('Entry Builder'!$D$12="Less",--(INDEX(Sims!$A103:$BO103,'Entry Builder'!$L$12)&lt;'Entry Builder'!$E$12),--(INDEX(Sims!$A103:$BO103,'Entry Builder'!$L$12)&gt;'Entry Builder'!$E$12)))</f>
        <v/>
      </c>
      <c r="G103">
        <f>6-SUM(A103:F103)</f>
        <v/>
      </c>
    </row>
    <row r="104">
      <c r="A104">
        <f>IF('Entry Builder'!$N$7=0,1,IF('Entry Builder'!$D$7="Less",--(INDEX(Sims!$A104:$BO104,'Entry Builder'!$L$7)&lt;'Entry Builder'!$E$7),--(INDEX(Sims!$A104:$BO104,'Entry Builder'!$L$7)&gt;'Entry Builder'!$E$7)))</f>
        <v/>
      </c>
      <c r="B104">
        <f>IF('Entry Builder'!$N$8=0,1,IF('Entry Builder'!$D$8="Less",--(INDEX(Sims!$A104:$BO104,'Entry Builder'!$L$8)&lt;'Entry Builder'!$E$8),--(INDEX(Sims!$A104:$BO104,'Entry Builder'!$L$8)&gt;'Entry Builder'!$E$8)))</f>
        <v/>
      </c>
      <c r="C104">
        <f>IF('Entry Builder'!$N$9=0,1,IF('Entry Builder'!$D$9="Less",--(INDEX(Sims!$A104:$BO104,'Entry Builder'!$L$9)&lt;'Entry Builder'!$E$9),--(INDEX(Sims!$A104:$BO104,'Entry Builder'!$L$9)&gt;'Entry Builder'!$E$9)))</f>
        <v/>
      </c>
      <c r="D104">
        <f>IF('Entry Builder'!$N$10=0,1,IF('Entry Builder'!$D$10="Less",--(INDEX(Sims!$A104:$BO104,'Entry Builder'!$L$10)&lt;'Entry Builder'!$E$10),--(INDEX(Sims!$A104:$BO104,'Entry Builder'!$L$10)&gt;'Entry Builder'!$E$10)))</f>
        <v/>
      </c>
      <c r="E104">
        <f>IF('Entry Builder'!$N$11=0,1,IF('Entry Builder'!$D$11="Less",--(INDEX(Sims!$A104:$BO104,'Entry Builder'!$L$11)&lt;'Entry Builder'!$E$11),--(INDEX(Sims!$A104:$BO104,'Entry Builder'!$L$11)&gt;'Entry Builder'!$E$11)))</f>
        <v/>
      </c>
      <c r="F104">
        <f>IF('Entry Builder'!$N$12=0,1,IF('Entry Builder'!$D$12="Less",--(INDEX(Sims!$A104:$BO104,'Entry Builder'!$L$12)&lt;'Entry Builder'!$E$12),--(INDEX(Sims!$A104:$BO104,'Entry Builder'!$L$12)&gt;'Entry Builder'!$E$12)))</f>
        <v/>
      </c>
      <c r="G104">
        <f>6-SUM(A104:F104)</f>
        <v/>
      </c>
    </row>
    <row r="105">
      <c r="A105">
        <f>IF('Entry Builder'!$N$7=0,1,IF('Entry Builder'!$D$7="Less",--(INDEX(Sims!$A105:$BO105,'Entry Builder'!$L$7)&lt;'Entry Builder'!$E$7),--(INDEX(Sims!$A105:$BO105,'Entry Builder'!$L$7)&gt;'Entry Builder'!$E$7)))</f>
        <v/>
      </c>
      <c r="B105">
        <f>IF('Entry Builder'!$N$8=0,1,IF('Entry Builder'!$D$8="Less",--(INDEX(Sims!$A105:$BO105,'Entry Builder'!$L$8)&lt;'Entry Builder'!$E$8),--(INDEX(Sims!$A105:$BO105,'Entry Builder'!$L$8)&gt;'Entry Builder'!$E$8)))</f>
        <v/>
      </c>
      <c r="C105">
        <f>IF('Entry Builder'!$N$9=0,1,IF('Entry Builder'!$D$9="Less",--(INDEX(Sims!$A105:$BO105,'Entry Builder'!$L$9)&lt;'Entry Builder'!$E$9),--(INDEX(Sims!$A105:$BO105,'Entry Builder'!$L$9)&gt;'Entry Builder'!$E$9)))</f>
        <v/>
      </c>
      <c r="D105">
        <f>IF('Entry Builder'!$N$10=0,1,IF('Entry Builder'!$D$10="Less",--(INDEX(Sims!$A105:$BO105,'Entry Builder'!$L$10)&lt;'Entry Builder'!$E$10),--(INDEX(Sims!$A105:$BO105,'Entry Builder'!$L$10)&gt;'Entry Builder'!$E$10)))</f>
        <v/>
      </c>
      <c r="E105">
        <f>IF('Entry Builder'!$N$11=0,1,IF('Entry Builder'!$D$11="Less",--(INDEX(Sims!$A105:$BO105,'Entry Builder'!$L$11)&lt;'Entry Builder'!$E$11),--(INDEX(Sims!$A105:$BO105,'Entry Builder'!$L$11)&gt;'Entry Builder'!$E$11)))</f>
        <v/>
      </c>
      <c r="F105">
        <f>IF('Entry Builder'!$N$12=0,1,IF('Entry Builder'!$D$12="Less",--(INDEX(Sims!$A105:$BO105,'Entry Builder'!$L$12)&lt;'Entry Builder'!$E$12),--(INDEX(Sims!$A105:$BO105,'Entry Builder'!$L$12)&gt;'Entry Builder'!$E$12)))</f>
        <v/>
      </c>
      <c r="G105">
        <f>6-SUM(A105:F105)</f>
        <v/>
      </c>
    </row>
    <row r="106">
      <c r="A106">
        <f>IF('Entry Builder'!$N$7=0,1,IF('Entry Builder'!$D$7="Less",--(INDEX(Sims!$A106:$BO106,'Entry Builder'!$L$7)&lt;'Entry Builder'!$E$7),--(INDEX(Sims!$A106:$BO106,'Entry Builder'!$L$7)&gt;'Entry Builder'!$E$7)))</f>
        <v/>
      </c>
      <c r="B106">
        <f>IF('Entry Builder'!$N$8=0,1,IF('Entry Builder'!$D$8="Less",--(INDEX(Sims!$A106:$BO106,'Entry Builder'!$L$8)&lt;'Entry Builder'!$E$8),--(INDEX(Sims!$A106:$BO106,'Entry Builder'!$L$8)&gt;'Entry Builder'!$E$8)))</f>
        <v/>
      </c>
      <c r="C106">
        <f>IF('Entry Builder'!$N$9=0,1,IF('Entry Builder'!$D$9="Less",--(INDEX(Sims!$A106:$BO106,'Entry Builder'!$L$9)&lt;'Entry Builder'!$E$9),--(INDEX(Sims!$A106:$BO106,'Entry Builder'!$L$9)&gt;'Entry Builder'!$E$9)))</f>
        <v/>
      </c>
      <c r="D106">
        <f>IF('Entry Builder'!$N$10=0,1,IF('Entry Builder'!$D$10="Less",--(INDEX(Sims!$A106:$BO106,'Entry Builder'!$L$10)&lt;'Entry Builder'!$E$10),--(INDEX(Sims!$A106:$BO106,'Entry Builder'!$L$10)&gt;'Entry Builder'!$E$10)))</f>
        <v/>
      </c>
      <c r="E106">
        <f>IF('Entry Builder'!$N$11=0,1,IF('Entry Builder'!$D$11="Less",--(INDEX(Sims!$A106:$BO106,'Entry Builder'!$L$11)&lt;'Entry Builder'!$E$11),--(INDEX(Sims!$A106:$BO106,'Entry Builder'!$L$11)&gt;'Entry Builder'!$E$11)))</f>
        <v/>
      </c>
      <c r="F106">
        <f>IF('Entry Builder'!$N$12=0,1,IF('Entry Builder'!$D$12="Less",--(INDEX(Sims!$A106:$BO106,'Entry Builder'!$L$12)&lt;'Entry Builder'!$E$12),--(INDEX(Sims!$A106:$BO106,'Entry Builder'!$L$12)&gt;'Entry Builder'!$E$12)))</f>
        <v/>
      </c>
      <c r="G106">
        <f>6-SUM(A106:F106)</f>
        <v/>
      </c>
    </row>
    <row r="107">
      <c r="A107">
        <f>IF('Entry Builder'!$N$7=0,1,IF('Entry Builder'!$D$7="Less",--(INDEX(Sims!$A107:$BO107,'Entry Builder'!$L$7)&lt;'Entry Builder'!$E$7),--(INDEX(Sims!$A107:$BO107,'Entry Builder'!$L$7)&gt;'Entry Builder'!$E$7)))</f>
        <v/>
      </c>
      <c r="B107">
        <f>IF('Entry Builder'!$N$8=0,1,IF('Entry Builder'!$D$8="Less",--(INDEX(Sims!$A107:$BO107,'Entry Builder'!$L$8)&lt;'Entry Builder'!$E$8),--(INDEX(Sims!$A107:$BO107,'Entry Builder'!$L$8)&gt;'Entry Builder'!$E$8)))</f>
        <v/>
      </c>
      <c r="C107">
        <f>IF('Entry Builder'!$N$9=0,1,IF('Entry Builder'!$D$9="Less",--(INDEX(Sims!$A107:$BO107,'Entry Builder'!$L$9)&lt;'Entry Builder'!$E$9),--(INDEX(Sims!$A107:$BO107,'Entry Builder'!$L$9)&gt;'Entry Builder'!$E$9)))</f>
        <v/>
      </c>
      <c r="D107">
        <f>IF('Entry Builder'!$N$10=0,1,IF('Entry Builder'!$D$10="Less",--(INDEX(Sims!$A107:$BO107,'Entry Builder'!$L$10)&lt;'Entry Builder'!$E$10),--(INDEX(Sims!$A107:$BO107,'Entry Builder'!$L$10)&gt;'Entry Builder'!$E$10)))</f>
        <v/>
      </c>
      <c r="E107">
        <f>IF('Entry Builder'!$N$11=0,1,IF('Entry Builder'!$D$11="Less",--(INDEX(Sims!$A107:$BO107,'Entry Builder'!$L$11)&lt;'Entry Builder'!$E$11),--(INDEX(Sims!$A107:$BO107,'Entry Builder'!$L$11)&gt;'Entry Builder'!$E$11)))</f>
        <v/>
      </c>
      <c r="F107">
        <f>IF('Entry Builder'!$N$12=0,1,IF('Entry Builder'!$D$12="Less",--(INDEX(Sims!$A107:$BO107,'Entry Builder'!$L$12)&lt;'Entry Builder'!$E$12),--(INDEX(Sims!$A107:$BO107,'Entry Builder'!$L$12)&gt;'Entry Builder'!$E$12)))</f>
        <v/>
      </c>
      <c r="G107">
        <f>6-SUM(A107:F107)</f>
        <v/>
      </c>
    </row>
    <row r="108">
      <c r="A108">
        <f>IF('Entry Builder'!$N$7=0,1,IF('Entry Builder'!$D$7="Less",--(INDEX(Sims!$A108:$BO108,'Entry Builder'!$L$7)&lt;'Entry Builder'!$E$7),--(INDEX(Sims!$A108:$BO108,'Entry Builder'!$L$7)&gt;'Entry Builder'!$E$7)))</f>
        <v/>
      </c>
      <c r="B108">
        <f>IF('Entry Builder'!$N$8=0,1,IF('Entry Builder'!$D$8="Less",--(INDEX(Sims!$A108:$BO108,'Entry Builder'!$L$8)&lt;'Entry Builder'!$E$8),--(INDEX(Sims!$A108:$BO108,'Entry Builder'!$L$8)&gt;'Entry Builder'!$E$8)))</f>
        <v/>
      </c>
      <c r="C108">
        <f>IF('Entry Builder'!$N$9=0,1,IF('Entry Builder'!$D$9="Less",--(INDEX(Sims!$A108:$BO108,'Entry Builder'!$L$9)&lt;'Entry Builder'!$E$9),--(INDEX(Sims!$A108:$BO108,'Entry Builder'!$L$9)&gt;'Entry Builder'!$E$9)))</f>
        <v/>
      </c>
      <c r="D108">
        <f>IF('Entry Builder'!$N$10=0,1,IF('Entry Builder'!$D$10="Less",--(INDEX(Sims!$A108:$BO108,'Entry Builder'!$L$10)&lt;'Entry Builder'!$E$10),--(INDEX(Sims!$A108:$BO108,'Entry Builder'!$L$10)&gt;'Entry Builder'!$E$10)))</f>
        <v/>
      </c>
      <c r="E108">
        <f>IF('Entry Builder'!$N$11=0,1,IF('Entry Builder'!$D$11="Less",--(INDEX(Sims!$A108:$BO108,'Entry Builder'!$L$11)&lt;'Entry Builder'!$E$11),--(INDEX(Sims!$A108:$BO108,'Entry Builder'!$L$11)&gt;'Entry Builder'!$E$11)))</f>
        <v/>
      </c>
      <c r="F108">
        <f>IF('Entry Builder'!$N$12=0,1,IF('Entry Builder'!$D$12="Less",--(INDEX(Sims!$A108:$BO108,'Entry Builder'!$L$12)&lt;'Entry Builder'!$E$12),--(INDEX(Sims!$A108:$BO108,'Entry Builder'!$L$12)&gt;'Entry Builder'!$E$12)))</f>
        <v/>
      </c>
      <c r="G108">
        <f>6-SUM(A108:F108)</f>
        <v/>
      </c>
    </row>
    <row r="109">
      <c r="A109">
        <f>IF('Entry Builder'!$N$7=0,1,IF('Entry Builder'!$D$7="Less",--(INDEX(Sims!$A109:$BO109,'Entry Builder'!$L$7)&lt;'Entry Builder'!$E$7),--(INDEX(Sims!$A109:$BO109,'Entry Builder'!$L$7)&gt;'Entry Builder'!$E$7)))</f>
        <v/>
      </c>
      <c r="B109">
        <f>IF('Entry Builder'!$N$8=0,1,IF('Entry Builder'!$D$8="Less",--(INDEX(Sims!$A109:$BO109,'Entry Builder'!$L$8)&lt;'Entry Builder'!$E$8),--(INDEX(Sims!$A109:$BO109,'Entry Builder'!$L$8)&gt;'Entry Builder'!$E$8)))</f>
        <v/>
      </c>
      <c r="C109">
        <f>IF('Entry Builder'!$N$9=0,1,IF('Entry Builder'!$D$9="Less",--(INDEX(Sims!$A109:$BO109,'Entry Builder'!$L$9)&lt;'Entry Builder'!$E$9),--(INDEX(Sims!$A109:$BO109,'Entry Builder'!$L$9)&gt;'Entry Builder'!$E$9)))</f>
        <v/>
      </c>
      <c r="D109">
        <f>IF('Entry Builder'!$N$10=0,1,IF('Entry Builder'!$D$10="Less",--(INDEX(Sims!$A109:$BO109,'Entry Builder'!$L$10)&lt;'Entry Builder'!$E$10),--(INDEX(Sims!$A109:$BO109,'Entry Builder'!$L$10)&gt;'Entry Builder'!$E$10)))</f>
        <v/>
      </c>
      <c r="E109">
        <f>IF('Entry Builder'!$N$11=0,1,IF('Entry Builder'!$D$11="Less",--(INDEX(Sims!$A109:$BO109,'Entry Builder'!$L$11)&lt;'Entry Builder'!$E$11),--(INDEX(Sims!$A109:$BO109,'Entry Builder'!$L$11)&gt;'Entry Builder'!$E$11)))</f>
        <v/>
      </c>
      <c r="F109">
        <f>IF('Entry Builder'!$N$12=0,1,IF('Entry Builder'!$D$12="Less",--(INDEX(Sims!$A109:$BO109,'Entry Builder'!$L$12)&lt;'Entry Builder'!$E$12),--(INDEX(Sims!$A109:$BO109,'Entry Builder'!$L$12)&gt;'Entry Builder'!$E$12)))</f>
        <v/>
      </c>
      <c r="G109">
        <f>6-SUM(A109:F109)</f>
        <v/>
      </c>
    </row>
    <row r="110">
      <c r="A110">
        <f>IF('Entry Builder'!$N$7=0,1,IF('Entry Builder'!$D$7="Less",--(INDEX(Sims!$A110:$BO110,'Entry Builder'!$L$7)&lt;'Entry Builder'!$E$7),--(INDEX(Sims!$A110:$BO110,'Entry Builder'!$L$7)&gt;'Entry Builder'!$E$7)))</f>
        <v/>
      </c>
      <c r="B110">
        <f>IF('Entry Builder'!$N$8=0,1,IF('Entry Builder'!$D$8="Less",--(INDEX(Sims!$A110:$BO110,'Entry Builder'!$L$8)&lt;'Entry Builder'!$E$8),--(INDEX(Sims!$A110:$BO110,'Entry Builder'!$L$8)&gt;'Entry Builder'!$E$8)))</f>
        <v/>
      </c>
      <c r="C110">
        <f>IF('Entry Builder'!$N$9=0,1,IF('Entry Builder'!$D$9="Less",--(INDEX(Sims!$A110:$BO110,'Entry Builder'!$L$9)&lt;'Entry Builder'!$E$9),--(INDEX(Sims!$A110:$BO110,'Entry Builder'!$L$9)&gt;'Entry Builder'!$E$9)))</f>
        <v/>
      </c>
      <c r="D110">
        <f>IF('Entry Builder'!$N$10=0,1,IF('Entry Builder'!$D$10="Less",--(INDEX(Sims!$A110:$BO110,'Entry Builder'!$L$10)&lt;'Entry Builder'!$E$10),--(INDEX(Sims!$A110:$BO110,'Entry Builder'!$L$10)&gt;'Entry Builder'!$E$10)))</f>
        <v/>
      </c>
      <c r="E110">
        <f>IF('Entry Builder'!$N$11=0,1,IF('Entry Builder'!$D$11="Less",--(INDEX(Sims!$A110:$BO110,'Entry Builder'!$L$11)&lt;'Entry Builder'!$E$11),--(INDEX(Sims!$A110:$BO110,'Entry Builder'!$L$11)&gt;'Entry Builder'!$E$11)))</f>
        <v/>
      </c>
      <c r="F110">
        <f>IF('Entry Builder'!$N$12=0,1,IF('Entry Builder'!$D$12="Less",--(INDEX(Sims!$A110:$BO110,'Entry Builder'!$L$12)&lt;'Entry Builder'!$E$12),--(INDEX(Sims!$A110:$BO110,'Entry Builder'!$L$12)&gt;'Entry Builder'!$E$12)))</f>
        <v/>
      </c>
      <c r="G110">
        <f>6-SUM(A110:F110)</f>
        <v/>
      </c>
    </row>
    <row r="111">
      <c r="A111">
        <f>IF('Entry Builder'!$N$7=0,1,IF('Entry Builder'!$D$7="Less",--(INDEX(Sims!$A111:$BO111,'Entry Builder'!$L$7)&lt;'Entry Builder'!$E$7),--(INDEX(Sims!$A111:$BO111,'Entry Builder'!$L$7)&gt;'Entry Builder'!$E$7)))</f>
        <v/>
      </c>
      <c r="B111">
        <f>IF('Entry Builder'!$N$8=0,1,IF('Entry Builder'!$D$8="Less",--(INDEX(Sims!$A111:$BO111,'Entry Builder'!$L$8)&lt;'Entry Builder'!$E$8),--(INDEX(Sims!$A111:$BO111,'Entry Builder'!$L$8)&gt;'Entry Builder'!$E$8)))</f>
        <v/>
      </c>
      <c r="C111">
        <f>IF('Entry Builder'!$N$9=0,1,IF('Entry Builder'!$D$9="Less",--(INDEX(Sims!$A111:$BO111,'Entry Builder'!$L$9)&lt;'Entry Builder'!$E$9),--(INDEX(Sims!$A111:$BO111,'Entry Builder'!$L$9)&gt;'Entry Builder'!$E$9)))</f>
        <v/>
      </c>
      <c r="D111">
        <f>IF('Entry Builder'!$N$10=0,1,IF('Entry Builder'!$D$10="Less",--(INDEX(Sims!$A111:$BO111,'Entry Builder'!$L$10)&lt;'Entry Builder'!$E$10),--(INDEX(Sims!$A111:$BO111,'Entry Builder'!$L$10)&gt;'Entry Builder'!$E$10)))</f>
        <v/>
      </c>
      <c r="E111">
        <f>IF('Entry Builder'!$N$11=0,1,IF('Entry Builder'!$D$11="Less",--(INDEX(Sims!$A111:$BO111,'Entry Builder'!$L$11)&lt;'Entry Builder'!$E$11),--(INDEX(Sims!$A111:$BO111,'Entry Builder'!$L$11)&gt;'Entry Builder'!$E$11)))</f>
        <v/>
      </c>
      <c r="F111">
        <f>IF('Entry Builder'!$N$12=0,1,IF('Entry Builder'!$D$12="Less",--(INDEX(Sims!$A111:$BO111,'Entry Builder'!$L$12)&lt;'Entry Builder'!$E$12),--(INDEX(Sims!$A111:$BO111,'Entry Builder'!$L$12)&gt;'Entry Builder'!$E$12)))</f>
        <v/>
      </c>
      <c r="G111">
        <f>6-SUM(A111:F111)</f>
        <v/>
      </c>
    </row>
    <row r="112">
      <c r="A112">
        <f>IF('Entry Builder'!$N$7=0,1,IF('Entry Builder'!$D$7="Less",--(INDEX(Sims!$A112:$BO112,'Entry Builder'!$L$7)&lt;'Entry Builder'!$E$7),--(INDEX(Sims!$A112:$BO112,'Entry Builder'!$L$7)&gt;'Entry Builder'!$E$7)))</f>
        <v/>
      </c>
      <c r="B112">
        <f>IF('Entry Builder'!$N$8=0,1,IF('Entry Builder'!$D$8="Less",--(INDEX(Sims!$A112:$BO112,'Entry Builder'!$L$8)&lt;'Entry Builder'!$E$8),--(INDEX(Sims!$A112:$BO112,'Entry Builder'!$L$8)&gt;'Entry Builder'!$E$8)))</f>
        <v/>
      </c>
      <c r="C112">
        <f>IF('Entry Builder'!$N$9=0,1,IF('Entry Builder'!$D$9="Less",--(INDEX(Sims!$A112:$BO112,'Entry Builder'!$L$9)&lt;'Entry Builder'!$E$9),--(INDEX(Sims!$A112:$BO112,'Entry Builder'!$L$9)&gt;'Entry Builder'!$E$9)))</f>
        <v/>
      </c>
      <c r="D112">
        <f>IF('Entry Builder'!$N$10=0,1,IF('Entry Builder'!$D$10="Less",--(INDEX(Sims!$A112:$BO112,'Entry Builder'!$L$10)&lt;'Entry Builder'!$E$10),--(INDEX(Sims!$A112:$BO112,'Entry Builder'!$L$10)&gt;'Entry Builder'!$E$10)))</f>
        <v/>
      </c>
      <c r="E112">
        <f>IF('Entry Builder'!$N$11=0,1,IF('Entry Builder'!$D$11="Less",--(INDEX(Sims!$A112:$BO112,'Entry Builder'!$L$11)&lt;'Entry Builder'!$E$11),--(INDEX(Sims!$A112:$BO112,'Entry Builder'!$L$11)&gt;'Entry Builder'!$E$11)))</f>
        <v/>
      </c>
      <c r="F112">
        <f>IF('Entry Builder'!$N$12=0,1,IF('Entry Builder'!$D$12="Less",--(INDEX(Sims!$A112:$BO112,'Entry Builder'!$L$12)&lt;'Entry Builder'!$E$12),--(INDEX(Sims!$A112:$BO112,'Entry Builder'!$L$12)&gt;'Entry Builder'!$E$12)))</f>
        <v/>
      </c>
      <c r="G112">
        <f>6-SUM(A112:F112)</f>
        <v/>
      </c>
    </row>
    <row r="113">
      <c r="A113">
        <f>IF('Entry Builder'!$N$7=0,1,IF('Entry Builder'!$D$7="Less",--(INDEX(Sims!$A113:$BO113,'Entry Builder'!$L$7)&lt;'Entry Builder'!$E$7),--(INDEX(Sims!$A113:$BO113,'Entry Builder'!$L$7)&gt;'Entry Builder'!$E$7)))</f>
        <v/>
      </c>
      <c r="B113">
        <f>IF('Entry Builder'!$N$8=0,1,IF('Entry Builder'!$D$8="Less",--(INDEX(Sims!$A113:$BO113,'Entry Builder'!$L$8)&lt;'Entry Builder'!$E$8),--(INDEX(Sims!$A113:$BO113,'Entry Builder'!$L$8)&gt;'Entry Builder'!$E$8)))</f>
        <v/>
      </c>
      <c r="C113">
        <f>IF('Entry Builder'!$N$9=0,1,IF('Entry Builder'!$D$9="Less",--(INDEX(Sims!$A113:$BO113,'Entry Builder'!$L$9)&lt;'Entry Builder'!$E$9),--(INDEX(Sims!$A113:$BO113,'Entry Builder'!$L$9)&gt;'Entry Builder'!$E$9)))</f>
        <v/>
      </c>
      <c r="D113">
        <f>IF('Entry Builder'!$N$10=0,1,IF('Entry Builder'!$D$10="Less",--(INDEX(Sims!$A113:$BO113,'Entry Builder'!$L$10)&lt;'Entry Builder'!$E$10),--(INDEX(Sims!$A113:$BO113,'Entry Builder'!$L$10)&gt;'Entry Builder'!$E$10)))</f>
        <v/>
      </c>
      <c r="E113">
        <f>IF('Entry Builder'!$N$11=0,1,IF('Entry Builder'!$D$11="Less",--(INDEX(Sims!$A113:$BO113,'Entry Builder'!$L$11)&lt;'Entry Builder'!$E$11),--(INDEX(Sims!$A113:$BO113,'Entry Builder'!$L$11)&gt;'Entry Builder'!$E$11)))</f>
        <v/>
      </c>
      <c r="F113">
        <f>IF('Entry Builder'!$N$12=0,1,IF('Entry Builder'!$D$12="Less",--(INDEX(Sims!$A113:$BO113,'Entry Builder'!$L$12)&lt;'Entry Builder'!$E$12),--(INDEX(Sims!$A113:$BO113,'Entry Builder'!$L$12)&gt;'Entry Builder'!$E$12)))</f>
        <v/>
      </c>
      <c r="G113">
        <f>6-SUM(A113:F113)</f>
        <v/>
      </c>
    </row>
    <row r="114">
      <c r="A114">
        <f>IF('Entry Builder'!$N$7=0,1,IF('Entry Builder'!$D$7="Less",--(INDEX(Sims!$A114:$BO114,'Entry Builder'!$L$7)&lt;'Entry Builder'!$E$7),--(INDEX(Sims!$A114:$BO114,'Entry Builder'!$L$7)&gt;'Entry Builder'!$E$7)))</f>
        <v/>
      </c>
      <c r="B114">
        <f>IF('Entry Builder'!$N$8=0,1,IF('Entry Builder'!$D$8="Less",--(INDEX(Sims!$A114:$BO114,'Entry Builder'!$L$8)&lt;'Entry Builder'!$E$8),--(INDEX(Sims!$A114:$BO114,'Entry Builder'!$L$8)&gt;'Entry Builder'!$E$8)))</f>
        <v/>
      </c>
      <c r="C114">
        <f>IF('Entry Builder'!$N$9=0,1,IF('Entry Builder'!$D$9="Less",--(INDEX(Sims!$A114:$BO114,'Entry Builder'!$L$9)&lt;'Entry Builder'!$E$9),--(INDEX(Sims!$A114:$BO114,'Entry Builder'!$L$9)&gt;'Entry Builder'!$E$9)))</f>
        <v/>
      </c>
      <c r="D114">
        <f>IF('Entry Builder'!$N$10=0,1,IF('Entry Builder'!$D$10="Less",--(INDEX(Sims!$A114:$BO114,'Entry Builder'!$L$10)&lt;'Entry Builder'!$E$10),--(INDEX(Sims!$A114:$BO114,'Entry Builder'!$L$10)&gt;'Entry Builder'!$E$10)))</f>
        <v/>
      </c>
      <c r="E114">
        <f>IF('Entry Builder'!$N$11=0,1,IF('Entry Builder'!$D$11="Less",--(INDEX(Sims!$A114:$BO114,'Entry Builder'!$L$11)&lt;'Entry Builder'!$E$11),--(INDEX(Sims!$A114:$BO114,'Entry Builder'!$L$11)&gt;'Entry Builder'!$E$11)))</f>
        <v/>
      </c>
      <c r="F114">
        <f>IF('Entry Builder'!$N$12=0,1,IF('Entry Builder'!$D$12="Less",--(INDEX(Sims!$A114:$BO114,'Entry Builder'!$L$12)&lt;'Entry Builder'!$E$12),--(INDEX(Sims!$A114:$BO114,'Entry Builder'!$L$12)&gt;'Entry Builder'!$E$12)))</f>
        <v/>
      </c>
      <c r="G114">
        <f>6-SUM(A114:F114)</f>
        <v/>
      </c>
    </row>
    <row r="115">
      <c r="A115">
        <f>IF('Entry Builder'!$N$7=0,1,IF('Entry Builder'!$D$7="Less",--(INDEX(Sims!$A115:$BO115,'Entry Builder'!$L$7)&lt;'Entry Builder'!$E$7),--(INDEX(Sims!$A115:$BO115,'Entry Builder'!$L$7)&gt;'Entry Builder'!$E$7)))</f>
        <v/>
      </c>
      <c r="B115">
        <f>IF('Entry Builder'!$N$8=0,1,IF('Entry Builder'!$D$8="Less",--(INDEX(Sims!$A115:$BO115,'Entry Builder'!$L$8)&lt;'Entry Builder'!$E$8),--(INDEX(Sims!$A115:$BO115,'Entry Builder'!$L$8)&gt;'Entry Builder'!$E$8)))</f>
        <v/>
      </c>
      <c r="C115">
        <f>IF('Entry Builder'!$N$9=0,1,IF('Entry Builder'!$D$9="Less",--(INDEX(Sims!$A115:$BO115,'Entry Builder'!$L$9)&lt;'Entry Builder'!$E$9),--(INDEX(Sims!$A115:$BO115,'Entry Builder'!$L$9)&gt;'Entry Builder'!$E$9)))</f>
        <v/>
      </c>
      <c r="D115">
        <f>IF('Entry Builder'!$N$10=0,1,IF('Entry Builder'!$D$10="Less",--(INDEX(Sims!$A115:$BO115,'Entry Builder'!$L$10)&lt;'Entry Builder'!$E$10),--(INDEX(Sims!$A115:$BO115,'Entry Builder'!$L$10)&gt;'Entry Builder'!$E$10)))</f>
        <v/>
      </c>
      <c r="E115">
        <f>IF('Entry Builder'!$N$11=0,1,IF('Entry Builder'!$D$11="Less",--(INDEX(Sims!$A115:$BO115,'Entry Builder'!$L$11)&lt;'Entry Builder'!$E$11),--(INDEX(Sims!$A115:$BO115,'Entry Builder'!$L$11)&gt;'Entry Builder'!$E$11)))</f>
        <v/>
      </c>
      <c r="F115">
        <f>IF('Entry Builder'!$N$12=0,1,IF('Entry Builder'!$D$12="Less",--(INDEX(Sims!$A115:$BO115,'Entry Builder'!$L$12)&lt;'Entry Builder'!$E$12),--(INDEX(Sims!$A115:$BO115,'Entry Builder'!$L$12)&gt;'Entry Builder'!$E$12)))</f>
        <v/>
      </c>
      <c r="G115">
        <f>6-SUM(A115:F115)</f>
        <v/>
      </c>
    </row>
    <row r="116">
      <c r="A116">
        <f>IF('Entry Builder'!$N$7=0,1,IF('Entry Builder'!$D$7="Less",--(INDEX(Sims!$A116:$BO116,'Entry Builder'!$L$7)&lt;'Entry Builder'!$E$7),--(INDEX(Sims!$A116:$BO116,'Entry Builder'!$L$7)&gt;'Entry Builder'!$E$7)))</f>
        <v/>
      </c>
      <c r="B116">
        <f>IF('Entry Builder'!$N$8=0,1,IF('Entry Builder'!$D$8="Less",--(INDEX(Sims!$A116:$BO116,'Entry Builder'!$L$8)&lt;'Entry Builder'!$E$8),--(INDEX(Sims!$A116:$BO116,'Entry Builder'!$L$8)&gt;'Entry Builder'!$E$8)))</f>
        <v/>
      </c>
      <c r="C116">
        <f>IF('Entry Builder'!$N$9=0,1,IF('Entry Builder'!$D$9="Less",--(INDEX(Sims!$A116:$BO116,'Entry Builder'!$L$9)&lt;'Entry Builder'!$E$9),--(INDEX(Sims!$A116:$BO116,'Entry Builder'!$L$9)&gt;'Entry Builder'!$E$9)))</f>
        <v/>
      </c>
      <c r="D116">
        <f>IF('Entry Builder'!$N$10=0,1,IF('Entry Builder'!$D$10="Less",--(INDEX(Sims!$A116:$BO116,'Entry Builder'!$L$10)&lt;'Entry Builder'!$E$10),--(INDEX(Sims!$A116:$BO116,'Entry Builder'!$L$10)&gt;'Entry Builder'!$E$10)))</f>
        <v/>
      </c>
      <c r="E116">
        <f>IF('Entry Builder'!$N$11=0,1,IF('Entry Builder'!$D$11="Less",--(INDEX(Sims!$A116:$BO116,'Entry Builder'!$L$11)&lt;'Entry Builder'!$E$11),--(INDEX(Sims!$A116:$BO116,'Entry Builder'!$L$11)&gt;'Entry Builder'!$E$11)))</f>
        <v/>
      </c>
      <c r="F116">
        <f>IF('Entry Builder'!$N$12=0,1,IF('Entry Builder'!$D$12="Less",--(INDEX(Sims!$A116:$BO116,'Entry Builder'!$L$12)&lt;'Entry Builder'!$E$12),--(INDEX(Sims!$A116:$BO116,'Entry Builder'!$L$12)&gt;'Entry Builder'!$E$12)))</f>
        <v/>
      </c>
      <c r="G116">
        <f>6-SUM(A116:F116)</f>
        <v/>
      </c>
    </row>
    <row r="117">
      <c r="A117">
        <f>IF('Entry Builder'!$N$7=0,1,IF('Entry Builder'!$D$7="Less",--(INDEX(Sims!$A117:$BO117,'Entry Builder'!$L$7)&lt;'Entry Builder'!$E$7),--(INDEX(Sims!$A117:$BO117,'Entry Builder'!$L$7)&gt;'Entry Builder'!$E$7)))</f>
        <v/>
      </c>
      <c r="B117">
        <f>IF('Entry Builder'!$N$8=0,1,IF('Entry Builder'!$D$8="Less",--(INDEX(Sims!$A117:$BO117,'Entry Builder'!$L$8)&lt;'Entry Builder'!$E$8),--(INDEX(Sims!$A117:$BO117,'Entry Builder'!$L$8)&gt;'Entry Builder'!$E$8)))</f>
        <v/>
      </c>
      <c r="C117">
        <f>IF('Entry Builder'!$N$9=0,1,IF('Entry Builder'!$D$9="Less",--(INDEX(Sims!$A117:$BO117,'Entry Builder'!$L$9)&lt;'Entry Builder'!$E$9),--(INDEX(Sims!$A117:$BO117,'Entry Builder'!$L$9)&gt;'Entry Builder'!$E$9)))</f>
        <v/>
      </c>
      <c r="D117">
        <f>IF('Entry Builder'!$N$10=0,1,IF('Entry Builder'!$D$10="Less",--(INDEX(Sims!$A117:$BO117,'Entry Builder'!$L$10)&lt;'Entry Builder'!$E$10),--(INDEX(Sims!$A117:$BO117,'Entry Builder'!$L$10)&gt;'Entry Builder'!$E$10)))</f>
        <v/>
      </c>
      <c r="E117">
        <f>IF('Entry Builder'!$N$11=0,1,IF('Entry Builder'!$D$11="Less",--(INDEX(Sims!$A117:$BO117,'Entry Builder'!$L$11)&lt;'Entry Builder'!$E$11),--(INDEX(Sims!$A117:$BO117,'Entry Builder'!$L$11)&gt;'Entry Builder'!$E$11)))</f>
        <v/>
      </c>
      <c r="F117">
        <f>IF('Entry Builder'!$N$12=0,1,IF('Entry Builder'!$D$12="Less",--(INDEX(Sims!$A117:$BO117,'Entry Builder'!$L$12)&lt;'Entry Builder'!$E$12),--(INDEX(Sims!$A117:$BO117,'Entry Builder'!$L$12)&gt;'Entry Builder'!$E$12)))</f>
        <v/>
      </c>
      <c r="G117">
        <f>6-SUM(A117:F117)</f>
        <v/>
      </c>
    </row>
    <row r="118">
      <c r="A118">
        <f>IF('Entry Builder'!$N$7=0,1,IF('Entry Builder'!$D$7="Less",--(INDEX(Sims!$A118:$BO118,'Entry Builder'!$L$7)&lt;'Entry Builder'!$E$7),--(INDEX(Sims!$A118:$BO118,'Entry Builder'!$L$7)&gt;'Entry Builder'!$E$7)))</f>
        <v/>
      </c>
      <c r="B118">
        <f>IF('Entry Builder'!$N$8=0,1,IF('Entry Builder'!$D$8="Less",--(INDEX(Sims!$A118:$BO118,'Entry Builder'!$L$8)&lt;'Entry Builder'!$E$8),--(INDEX(Sims!$A118:$BO118,'Entry Builder'!$L$8)&gt;'Entry Builder'!$E$8)))</f>
        <v/>
      </c>
      <c r="C118">
        <f>IF('Entry Builder'!$N$9=0,1,IF('Entry Builder'!$D$9="Less",--(INDEX(Sims!$A118:$BO118,'Entry Builder'!$L$9)&lt;'Entry Builder'!$E$9),--(INDEX(Sims!$A118:$BO118,'Entry Builder'!$L$9)&gt;'Entry Builder'!$E$9)))</f>
        <v/>
      </c>
      <c r="D118">
        <f>IF('Entry Builder'!$N$10=0,1,IF('Entry Builder'!$D$10="Less",--(INDEX(Sims!$A118:$BO118,'Entry Builder'!$L$10)&lt;'Entry Builder'!$E$10),--(INDEX(Sims!$A118:$BO118,'Entry Builder'!$L$10)&gt;'Entry Builder'!$E$10)))</f>
        <v/>
      </c>
      <c r="E118">
        <f>IF('Entry Builder'!$N$11=0,1,IF('Entry Builder'!$D$11="Less",--(INDEX(Sims!$A118:$BO118,'Entry Builder'!$L$11)&lt;'Entry Builder'!$E$11),--(INDEX(Sims!$A118:$BO118,'Entry Builder'!$L$11)&gt;'Entry Builder'!$E$11)))</f>
        <v/>
      </c>
      <c r="F118">
        <f>IF('Entry Builder'!$N$12=0,1,IF('Entry Builder'!$D$12="Less",--(INDEX(Sims!$A118:$BO118,'Entry Builder'!$L$12)&lt;'Entry Builder'!$E$12),--(INDEX(Sims!$A118:$BO118,'Entry Builder'!$L$12)&gt;'Entry Builder'!$E$12)))</f>
        <v/>
      </c>
      <c r="G118">
        <f>6-SUM(A118:F118)</f>
        <v/>
      </c>
    </row>
    <row r="119">
      <c r="A119">
        <f>IF('Entry Builder'!$N$7=0,1,IF('Entry Builder'!$D$7="Less",--(INDEX(Sims!$A119:$BO119,'Entry Builder'!$L$7)&lt;'Entry Builder'!$E$7),--(INDEX(Sims!$A119:$BO119,'Entry Builder'!$L$7)&gt;'Entry Builder'!$E$7)))</f>
        <v/>
      </c>
      <c r="B119">
        <f>IF('Entry Builder'!$N$8=0,1,IF('Entry Builder'!$D$8="Less",--(INDEX(Sims!$A119:$BO119,'Entry Builder'!$L$8)&lt;'Entry Builder'!$E$8),--(INDEX(Sims!$A119:$BO119,'Entry Builder'!$L$8)&gt;'Entry Builder'!$E$8)))</f>
        <v/>
      </c>
      <c r="C119">
        <f>IF('Entry Builder'!$N$9=0,1,IF('Entry Builder'!$D$9="Less",--(INDEX(Sims!$A119:$BO119,'Entry Builder'!$L$9)&lt;'Entry Builder'!$E$9),--(INDEX(Sims!$A119:$BO119,'Entry Builder'!$L$9)&gt;'Entry Builder'!$E$9)))</f>
        <v/>
      </c>
      <c r="D119">
        <f>IF('Entry Builder'!$N$10=0,1,IF('Entry Builder'!$D$10="Less",--(INDEX(Sims!$A119:$BO119,'Entry Builder'!$L$10)&lt;'Entry Builder'!$E$10),--(INDEX(Sims!$A119:$BO119,'Entry Builder'!$L$10)&gt;'Entry Builder'!$E$10)))</f>
        <v/>
      </c>
      <c r="E119">
        <f>IF('Entry Builder'!$N$11=0,1,IF('Entry Builder'!$D$11="Less",--(INDEX(Sims!$A119:$BO119,'Entry Builder'!$L$11)&lt;'Entry Builder'!$E$11),--(INDEX(Sims!$A119:$BO119,'Entry Builder'!$L$11)&gt;'Entry Builder'!$E$11)))</f>
        <v/>
      </c>
      <c r="F119">
        <f>IF('Entry Builder'!$N$12=0,1,IF('Entry Builder'!$D$12="Less",--(INDEX(Sims!$A119:$BO119,'Entry Builder'!$L$12)&lt;'Entry Builder'!$E$12),--(INDEX(Sims!$A119:$BO119,'Entry Builder'!$L$12)&gt;'Entry Builder'!$E$12)))</f>
        <v/>
      </c>
      <c r="G119">
        <f>6-SUM(A119:F119)</f>
        <v/>
      </c>
    </row>
    <row r="120">
      <c r="A120">
        <f>IF('Entry Builder'!$N$7=0,1,IF('Entry Builder'!$D$7="Less",--(INDEX(Sims!$A120:$BO120,'Entry Builder'!$L$7)&lt;'Entry Builder'!$E$7),--(INDEX(Sims!$A120:$BO120,'Entry Builder'!$L$7)&gt;'Entry Builder'!$E$7)))</f>
        <v/>
      </c>
      <c r="B120">
        <f>IF('Entry Builder'!$N$8=0,1,IF('Entry Builder'!$D$8="Less",--(INDEX(Sims!$A120:$BO120,'Entry Builder'!$L$8)&lt;'Entry Builder'!$E$8),--(INDEX(Sims!$A120:$BO120,'Entry Builder'!$L$8)&gt;'Entry Builder'!$E$8)))</f>
        <v/>
      </c>
      <c r="C120">
        <f>IF('Entry Builder'!$N$9=0,1,IF('Entry Builder'!$D$9="Less",--(INDEX(Sims!$A120:$BO120,'Entry Builder'!$L$9)&lt;'Entry Builder'!$E$9),--(INDEX(Sims!$A120:$BO120,'Entry Builder'!$L$9)&gt;'Entry Builder'!$E$9)))</f>
        <v/>
      </c>
      <c r="D120">
        <f>IF('Entry Builder'!$N$10=0,1,IF('Entry Builder'!$D$10="Less",--(INDEX(Sims!$A120:$BO120,'Entry Builder'!$L$10)&lt;'Entry Builder'!$E$10),--(INDEX(Sims!$A120:$BO120,'Entry Builder'!$L$10)&gt;'Entry Builder'!$E$10)))</f>
        <v/>
      </c>
      <c r="E120">
        <f>IF('Entry Builder'!$N$11=0,1,IF('Entry Builder'!$D$11="Less",--(INDEX(Sims!$A120:$BO120,'Entry Builder'!$L$11)&lt;'Entry Builder'!$E$11),--(INDEX(Sims!$A120:$BO120,'Entry Builder'!$L$11)&gt;'Entry Builder'!$E$11)))</f>
        <v/>
      </c>
      <c r="F120">
        <f>IF('Entry Builder'!$N$12=0,1,IF('Entry Builder'!$D$12="Less",--(INDEX(Sims!$A120:$BO120,'Entry Builder'!$L$12)&lt;'Entry Builder'!$E$12),--(INDEX(Sims!$A120:$BO120,'Entry Builder'!$L$12)&gt;'Entry Builder'!$E$12)))</f>
        <v/>
      </c>
      <c r="G120">
        <f>6-SUM(A120:F120)</f>
        <v/>
      </c>
    </row>
    <row r="121">
      <c r="A121">
        <f>IF('Entry Builder'!$N$7=0,1,IF('Entry Builder'!$D$7="Less",--(INDEX(Sims!$A121:$BO121,'Entry Builder'!$L$7)&lt;'Entry Builder'!$E$7),--(INDEX(Sims!$A121:$BO121,'Entry Builder'!$L$7)&gt;'Entry Builder'!$E$7)))</f>
        <v/>
      </c>
      <c r="B121">
        <f>IF('Entry Builder'!$N$8=0,1,IF('Entry Builder'!$D$8="Less",--(INDEX(Sims!$A121:$BO121,'Entry Builder'!$L$8)&lt;'Entry Builder'!$E$8),--(INDEX(Sims!$A121:$BO121,'Entry Builder'!$L$8)&gt;'Entry Builder'!$E$8)))</f>
        <v/>
      </c>
      <c r="C121">
        <f>IF('Entry Builder'!$N$9=0,1,IF('Entry Builder'!$D$9="Less",--(INDEX(Sims!$A121:$BO121,'Entry Builder'!$L$9)&lt;'Entry Builder'!$E$9),--(INDEX(Sims!$A121:$BO121,'Entry Builder'!$L$9)&gt;'Entry Builder'!$E$9)))</f>
        <v/>
      </c>
      <c r="D121">
        <f>IF('Entry Builder'!$N$10=0,1,IF('Entry Builder'!$D$10="Less",--(INDEX(Sims!$A121:$BO121,'Entry Builder'!$L$10)&lt;'Entry Builder'!$E$10),--(INDEX(Sims!$A121:$BO121,'Entry Builder'!$L$10)&gt;'Entry Builder'!$E$10)))</f>
        <v/>
      </c>
      <c r="E121">
        <f>IF('Entry Builder'!$N$11=0,1,IF('Entry Builder'!$D$11="Less",--(INDEX(Sims!$A121:$BO121,'Entry Builder'!$L$11)&lt;'Entry Builder'!$E$11),--(INDEX(Sims!$A121:$BO121,'Entry Builder'!$L$11)&gt;'Entry Builder'!$E$11)))</f>
        <v/>
      </c>
      <c r="F121">
        <f>IF('Entry Builder'!$N$12=0,1,IF('Entry Builder'!$D$12="Less",--(INDEX(Sims!$A121:$BO121,'Entry Builder'!$L$12)&lt;'Entry Builder'!$E$12),--(INDEX(Sims!$A121:$BO121,'Entry Builder'!$L$12)&gt;'Entry Builder'!$E$12)))</f>
        <v/>
      </c>
      <c r="G121">
        <f>6-SUM(A121:F121)</f>
        <v/>
      </c>
    </row>
    <row r="122">
      <c r="A122">
        <f>IF('Entry Builder'!$N$7=0,1,IF('Entry Builder'!$D$7="Less",--(INDEX(Sims!$A122:$BO122,'Entry Builder'!$L$7)&lt;'Entry Builder'!$E$7),--(INDEX(Sims!$A122:$BO122,'Entry Builder'!$L$7)&gt;'Entry Builder'!$E$7)))</f>
        <v/>
      </c>
      <c r="B122">
        <f>IF('Entry Builder'!$N$8=0,1,IF('Entry Builder'!$D$8="Less",--(INDEX(Sims!$A122:$BO122,'Entry Builder'!$L$8)&lt;'Entry Builder'!$E$8),--(INDEX(Sims!$A122:$BO122,'Entry Builder'!$L$8)&gt;'Entry Builder'!$E$8)))</f>
        <v/>
      </c>
      <c r="C122">
        <f>IF('Entry Builder'!$N$9=0,1,IF('Entry Builder'!$D$9="Less",--(INDEX(Sims!$A122:$BO122,'Entry Builder'!$L$9)&lt;'Entry Builder'!$E$9),--(INDEX(Sims!$A122:$BO122,'Entry Builder'!$L$9)&gt;'Entry Builder'!$E$9)))</f>
        <v/>
      </c>
      <c r="D122">
        <f>IF('Entry Builder'!$N$10=0,1,IF('Entry Builder'!$D$10="Less",--(INDEX(Sims!$A122:$BO122,'Entry Builder'!$L$10)&lt;'Entry Builder'!$E$10),--(INDEX(Sims!$A122:$BO122,'Entry Builder'!$L$10)&gt;'Entry Builder'!$E$10)))</f>
        <v/>
      </c>
      <c r="E122">
        <f>IF('Entry Builder'!$N$11=0,1,IF('Entry Builder'!$D$11="Less",--(INDEX(Sims!$A122:$BO122,'Entry Builder'!$L$11)&lt;'Entry Builder'!$E$11),--(INDEX(Sims!$A122:$BO122,'Entry Builder'!$L$11)&gt;'Entry Builder'!$E$11)))</f>
        <v/>
      </c>
      <c r="F122">
        <f>IF('Entry Builder'!$N$12=0,1,IF('Entry Builder'!$D$12="Less",--(INDEX(Sims!$A122:$BO122,'Entry Builder'!$L$12)&lt;'Entry Builder'!$E$12),--(INDEX(Sims!$A122:$BO122,'Entry Builder'!$L$12)&gt;'Entry Builder'!$E$12)))</f>
        <v/>
      </c>
      <c r="G122">
        <f>6-SUM(A122:F122)</f>
        <v/>
      </c>
    </row>
    <row r="123">
      <c r="A123">
        <f>IF('Entry Builder'!$N$7=0,1,IF('Entry Builder'!$D$7="Less",--(INDEX(Sims!$A123:$BO123,'Entry Builder'!$L$7)&lt;'Entry Builder'!$E$7),--(INDEX(Sims!$A123:$BO123,'Entry Builder'!$L$7)&gt;'Entry Builder'!$E$7)))</f>
        <v/>
      </c>
      <c r="B123">
        <f>IF('Entry Builder'!$N$8=0,1,IF('Entry Builder'!$D$8="Less",--(INDEX(Sims!$A123:$BO123,'Entry Builder'!$L$8)&lt;'Entry Builder'!$E$8),--(INDEX(Sims!$A123:$BO123,'Entry Builder'!$L$8)&gt;'Entry Builder'!$E$8)))</f>
        <v/>
      </c>
      <c r="C123">
        <f>IF('Entry Builder'!$N$9=0,1,IF('Entry Builder'!$D$9="Less",--(INDEX(Sims!$A123:$BO123,'Entry Builder'!$L$9)&lt;'Entry Builder'!$E$9),--(INDEX(Sims!$A123:$BO123,'Entry Builder'!$L$9)&gt;'Entry Builder'!$E$9)))</f>
        <v/>
      </c>
      <c r="D123">
        <f>IF('Entry Builder'!$N$10=0,1,IF('Entry Builder'!$D$10="Less",--(INDEX(Sims!$A123:$BO123,'Entry Builder'!$L$10)&lt;'Entry Builder'!$E$10),--(INDEX(Sims!$A123:$BO123,'Entry Builder'!$L$10)&gt;'Entry Builder'!$E$10)))</f>
        <v/>
      </c>
      <c r="E123">
        <f>IF('Entry Builder'!$N$11=0,1,IF('Entry Builder'!$D$11="Less",--(INDEX(Sims!$A123:$BO123,'Entry Builder'!$L$11)&lt;'Entry Builder'!$E$11),--(INDEX(Sims!$A123:$BO123,'Entry Builder'!$L$11)&gt;'Entry Builder'!$E$11)))</f>
        <v/>
      </c>
      <c r="F123">
        <f>IF('Entry Builder'!$N$12=0,1,IF('Entry Builder'!$D$12="Less",--(INDEX(Sims!$A123:$BO123,'Entry Builder'!$L$12)&lt;'Entry Builder'!$E$12),--(INDEX(Sims!$A123:$BO123,'Entry Builder'!$L$12)&gt;'Entry Builder'!$E$12)))</f>
        <v/>
      </c>
      <c r="G123">
        <f>6-SUM(A123:F123)</f>
        <v/>
      </c>
    </row>
    <row r="124">
      <c r="A124">
        <f>IF('Entry Builder'!$N$7=0,1,IF('Entry Builder'!$D$7="Less",--(INDEX(Sims!$A124:$BO124,'Entry Builder'!$L$7)&lt;'Entry Builder'!$E$7),--(INDEX(Sims!$A124:$BO124,'Entry Builder'!$L$7)&gt;'Entry Builder'!$E$7)))</f>
        <v/>
      </c>
      <c r="B124">
        <f>IF('Entry Builder'!$N$8=0,1,IF('Entry Builder'!$D$8="Less",--(INDEX(Sims!$A124:$BO124,'Entry Builder'!$L$8)&lt;'Entry Builder'!$E$8),--(INDEX(Sims!$A124:$BO124,'Entry Builder'!$L$8)&gt;'Entry Builder'!$E$8)))</f>
        <v/>
      </c>
      <c r="C124">
        <f>IF('Entry Builder'!$N$9=0,1,IF('Entry Builder'!$D$9="Less",--(INDEX(Sims!$A124:$BO124,'Entry Builder'!$L$9)&lt;'Entry Builder'!$E$9),--(INDEX(Sims!$A124:$BO124,'Entry Builder'!$L$9)&gt;'Entry Builder'!$E$9)))</f>
        <v/>
      </c>
      <c r="D124">
        <f>IF('Entry Builder'!$N$10=0,1,IF('Entry Builder'!$D$10="Less",--(INDEX(Sims!$A124:$BO124,'Entry Builder'!$L$10)&lt;'Entry Builder'!$E$10),--(INDEX(Sims!$A124:$BO124,'Entry Builder'!$L$10)&gt;'Entry Builder'!$E$10)))</f>
        <v/>
      </c>
      <c r="E124">
        <f>IF('Entry Builder'!$N$11=0,1,IF('Entry Builder'!$D$11="Less",--(INDEX(Sims!$A124:$BO124,'Entry Builder'!$L$11)&lt;'Entry Builder'!$E$11),--(INDEX(Sims!$A124:$BO124,'Entry Builder'!$L$11)&gt;'Entry Builder'!$E$11)))</f>
        <v/>
      </c>
      <c r="F124">
        <f>IF('Entry Builder'!$N$12=0,1,IF('Entry Builder'!$D$12="Less",--(INDEX(Sims!$A124:$BO124,'Entry Builder'!$L$12)&lt;'Entry Builder'!$E$12),--(INDEX(Sims!$A124:$BO124,'Entry Builder'!$L$12)&gt;'Entry Builder'!$E$12)))</f>
        <v/>
      </c>
      <c r="G124">
        <f>6-SUM(A124:F124)</f>
        <v/>
      </c>
    </row>
    <row r="125">
      <c r="A125">
        <f>IF('Entry Builder'!$N$7=0,1,IF('Entry Builder'!$D$7="Less",--(INDEX(Sims!$A125:$BO125,'Entry Builder'!$L$7)&lt;'Entry Builder'!$E$7),--(INDEX(Sims!$A125:$BO125,'Entry Builder'!$L$7)&gt;'Entry Builder'!$E$7)))</f>
        <v/>
      </c>
      <c r="B125">
        <f>IF('Entry Builder'!$N$8=0,1,IF('Entry Builder'!$D$8="Less",--(INDEX(Sims!$A125:$BO125,'Entry Builder'!$L$8)&lt;'Entry Builder'!$E$8),--(INDEX(Sims!$A125:$BO125,'Entry Builder'!$L$8)&gt;'Entry Builder'!$E$8)))</f>
        <v/>
      </c>
      <c r="C125">
        <f>IF('Entry Builder'!$N$9=0,1,IF('Entry Builder'!$D$9="Less",--(INDEX(Sims!$A125:$BO125,'Entry Builder'!$L$9)&lt;'Entry Builder'!$E$9),--(INDEX(Sims!$A125:$BO125,'Entry Builder'!$L$9)&gt;'Entry Builder'!$E$9)))</f>
        <v/>
      </c>
      <c r="D125">
        <f>IF('Entry Builder'!$N$10=0,1,IF('Entry Builder'!$D$10="Less",--(INDEX(Sims!$A125:$BO125,'Entry Builder'!$L$10)&lt;'Entry Builder'!$E$10),--(INDEX(Sims!$A125:$BO125,'Entry Builder'!$L$10)&gt;'Entry Builder'!$E$10)))</f>
        <v/>
      </c>
      <c r="E125">
        <f>IF('Entry Builder'!$N$11=0,1,IF('Entry Builder'!$D$11="Less",--(INDEX(Sims!$A125:$BO125,'Entry Builder'!$L$11)&lt;'Entry Builder'!$E$11),--(INDEX(Sims!$A125:$BO125,'Entry Builder'!$L$11)&gt;'Entry Builder'!$E$11)))</f>
        <v/>
      </c>
      <c r="F125">
        <f>IF('Entry Builder'!$N$12=0,1,IF('Entry Builder'!$D$12="Less",--(INDEX(Sims!$A125:$BO125,'Entry Builder'!$L$12)&lt;'Entry Builder'!$E$12),--(INDEX(Sims!$A125:$BO125,'Entry Builder'!$L$12)&gt;'Entry Builder'!$E$12)))</f>
        <v/>
      </c>
      <c r="G125">
        <f>6-SUM(A125:F125)</f>
        <v/>
      </c>
    </row>
    <row r="126">
      <c r="A126">
        <f>IF('Entry Builder'!$N$7=0,1,IF('Entry Builder'!$D$7="Less",--(INDEX(Sims!$A126:$BO126,'Entry Builder'!$L$7)&lt;'Entry Builder'!$E$7),--(INDEX(Sims!$A126:$BO126,'Entry Builder'!$L$7)&gt;'Entry Builder'!$E$7)))</f>
        <v/>
      </c>
      <c r="B126">
        <f>IF('Entry Builder'!$N$8=0,1,IF('Entry Builder'!$D$8="Less",--(INDEX(Sims!$A126:$BO126,'Entry Builder'!$L$8)&lt;'Entry Builder'!$E$8),--(INDEX(Sims!$A126:$BO126,'Entry Builder'!$L$8)&gt;'Entry Builder'!$E$8)))</f>
        <v/>
      </c>
      <c r="C126">
        <f>IF('Entry Builder'!$N$9=0,1,IF('Entry Builder'!$D$9="Less",--(INDEX(Sims!$A126:$BO126,'Entry Builder'!$L$9)&lt;'Entry Builder'!$E$9),--(INDEX(Sims!$A126:$BO126,'Entry Builder'!$L$9)&gt;'Entry Builder'!$E$9)))</f>
        <v/>
      </c>
      <c r="D126">
        <f>IF('Entry Builder'!$N$10=0,1,IF('Entry Builder'!$D$10="Less",--(INDEX(Sims!$A126:$BO126,'Entry Builder'!$L$10)&lt;'Entry Builder'!$E$10),--(INDEX(Sims!$A126:$BO126,'Entry Builder'!$L$10)&gt;'Entry Builder'!$E$10)))</f>
        <v/>
      </c>
      <c r="E126">
        <f>IF('Entry Builder'!$N$11=0,1,IF('Entry Builder'!$D$11="Less",--(INDEX(Sims!$A126:$BO126,'Entry Builder'!$L$11)&lt;'Entry Builder'!$E$11),--(INDEX(Sims!$A126:$BO126,'Entry Builder'!$L$11)&gt;'Entry Builder'!$E$11)))</f>
        <v/>
      </c>
      <c r="F126">
        <f>IF('Entry Builder'!$N$12=0,1,IF('Entry Builder'!$D$12="Less",--(INDEX(Sims!$A126:$BO126,'Entry Builder'!$L$12)&lt;'Entry Builder'!$E$12),--(INDEX(Sims!$A126:$BO126,'Entry Builder'!$L$12)&gt;'Entry Builder'!$E$12)))</f>
        <v/>
      </c>
      <c r="G126">
        <f>6-SUM(A126:F126)</f>
        <v/>
      </c>
    </row>
    <row r="127">
      <c r="A127">
        <f>IF('Entry Builder'!$N$7=0,1,IF('Entry Builder'!$D$7="Less",--(INDEX(Sims!$A127:$BO127,'Entry Builder'!$L$7)&lt;'Entry Builder'!$E$7),--(INDEX(Sims!$A127:$BO127,'Entry Builder'!$L$7)&gt;'Entry Builder'!$E$7)))</f>
        <v/>
      </c>
      <c r="B127">
        <f>IF('Entry Builder'!$N$8=0,1,IF('Entry Builder'!$D$8="Less",--(INDEX(Sims!$A127:$BO127,'Entry Builder'!$L$8)&lt;'Entry Builder'!$E$8),--(INDEX(Sims!$A127:$BO127,'Entry Builder'!$L$8)&gt;'Entry Builder'!$E$8)))</f>
        <v/>
      </c>
      <c r="C127">
        <f>IF('Entry Builder'!$N$9=0,1,IF('Entry Builder'!$D$9="Less",--(INDEX(Sims!$A127:$BO127,'Entry Builder'!$L$9)&lt;'Entry Builder'!$E$9),--(INDEX(Sims!$A127:$BO127,'Entry Builder'!$L$9)&gt;'Entry Builder'!$E$9)))</f>
        <v/>
      </c>
      <c r="D127">
        <f>IF('Entry Builder'!$N$10=0,1,IF('Entry Builder'!$D$10="Less",--(INDEX(Sims!$A127:$BO127,'Entry Builder'!$L$10)&lt;'Entry Builder'!$E$10),--(INDEX(Sims!$A127:$BO127,'Entry Builder'!$L$10)&gt;'Entry Builder'!$E$10)))</f>
        <v/>
      </c>
      <c r="E127">
        <f>IF('Entry Builder'!$N$11=0,1,IF('Entry Builder'!$D$11="Less",--(INDEX(Sims!$A127:$BO127,'Entry Builder'!$L$11)&lt;'Entry Builder'!$E$11),--(INDEX(Sims!$A127:$BO127,'Entry Builder'!$L$11)&gt;'Entry Builder'!$E$11)))</f>
        <v/>
      </c>
      <c r="F127">
        <f>IF('Entry Builder'!$N$12=0,1,IF('Entry Builder'!$D$12="Less",--(INDEX(Sims!$A127:$BO127,'Entry Builder'!$L$12)&lt;'Entry Builder'!$E$12),--(INDEX(Sims!$A127:$BO127,'Entry Builder'!$L$12)&gt;'Entry Builder'!$E$12)))</f>
        <v/>
      </c>
      <c r="G127">
        <f>6-SUM(A127:F127)</f>
        <v/>
      </c>
    </row>
    <row r="128">
      <c r="A128">
        <f>IF('Entry Builder'!$N$7=0,1,IF('Entry Builder'!$D$7="Less",--(INDEX(Sims!$A128:$BO128,'Entry Builder'!$L$7)&lt;'Entry Builder'!$E$7),--(INDEX(Sims!$A128:$BO128,'Entry Builder'!$L$7)&gt;'Entry Builder'!$E$7)))</f>
        <v/>
      </c>
      <c r="B128">
        <f>IF('Entry Builder'!$N$8=0,1,IF('Entry Builder'!$D$8="Less",--(INDEX(Sims!$A128:$BO128,'Entry Builder'!$L$8)&lt;'Entry Builder'!$E$8),--(INDEX(Sims!$A128:$BO128,'Entry Builder'!$L$8)&gt;'Entry Builder'!$E$8)))</f>
        <v/>
      </c>
      <c r="C128">
        <f>IF('Entry Builder'!$N$9=0,1,IF('Entry Builder'!$D$9="Less",--(INDEX(Sims!$A128:$BO128,'Entry Builder'!$L$9)&lt;'Entry Builder'!$E$9),--(INDEX(Sims!$A128:$BO128,'Entry Builder'!$L$9)&gt;'Entry Builder'!$E$9)))</f>
        <v/>
      </c>
      <c r="D128">
        <f>IF('Entry Builder'!$N$10=0,1,IF('Entry Builder'!$D$10="Less",--(INDEX(Sims!$A128:$BO128,'Entry Builder'!$L$10)&lt;'Entry Builder'!$E$10),--(INDEX(Sims!$A128:$BO128,'Entry Builder'!$L$10)&gt;'Entry Builder'!$E$10)))</f>
        <v/>
      </c>
      <c r="E128">
        <f>IF('Entry Builder'!$N$11=0,1,IF('Entry Builder'!$D$11="Less",--(INDEX(Sims!$A128:$BO128,'Entry Builder'!$L$11)&lt;'Entry Builder'!$E$11),--(INDEX(Sims!$A128:$BO128,'Entry Builder'!$L$11)&gt;'Entry Builder'!$E$11)))</f>
        <v/>
      </c>
      <c r="F128">
        <f>IF('Entry Builder'!$N$12=0,1,IF('Entry Builder'!$D$12="Less",--(INDEX(Sims!$A128:$BO128,'Entry Builder'!$L$12)&lt;'Entry Builder'!$E$12),--(INDEX(Sims!$A128:$BO128,'Entry Builder'!$L$12)&gt;'Entry Builder'!$E$12)))</f>
        <v/>
      </c>
      <c r="G128">
        <f>6-SUM(A128:F128)</f>
        <v/>
      </c>
    </row>
    <row r="129">
      <c r="A129">
        <f>IF('Entry Builder'!$N$7=0,1,IF('Entry Builder'!$D$7="Less",--(INDEX(Sims!$A129:$BO129,'Entry Builder'!$L$7)&lt;'Entry Builder'!$E$7),--(INDEX(Sims!$A129:$BO129,'Entry Builder'!$L$7)&gt;'Entry Builder'!$E$7)))</f>
        <v/>
      </c>
      <c r="B129">
        <f>IF('Entry Builder'!$N$8=0,1,IF('Entry Builder'!$D$8="Less",--(INDEX(Sims!$A129:$BO129,'Entry Builder'!$L$8)&lt;'Entry Builder'!$E$8),--(INDEX(Sims!$A129:$BO129,'Entry Builder'!$L$8)&gt;'Entry Builder'!$E$8)))</f>
        <v/>
      </c>
      <c r="C129">
        <f>IF('Entry Builder'!$N$9=0,1,IF('Entry Builder'!$D$9="Less",--(INDEX(Sims!$A129:$BO129,'Entry Builder'!$L$9)&lt;'Entry Builder'!$E$9),--(INDEX(Sims!$A129:$BO129,'Entry Builder'!$L$9)&gt;'Entry Builder'!$E$9)))</f>
        <v/>
      </c>
      <c r="D129">
        <f>IF('Entry Builder'!$N$10=0,1,IF('Entry Builder'!$D$10="Less",--(INDEX(Sims!$A129:$BO129,'Entry Builder'!$L$10)&lt;'Entry Builder'!$E$10),--(INDEX(Sims!$A129:$BO129,'Entry Builder'!$L$10)&gt;'Entry Builder'!$E$10)))</f>
        <v/>
      </c>
      <c r="E129">
        <f>IF('Entry Builder'!$N$11=0,1,IF('Entry Builder'!$D$11="Less",--(INDEX(Sims!$A129:$BO129,'Entry Builder'!$L$11)&lt;'Entry Builder'!$E$11),--(INDEX(Sims!$A129:$BO129,'Entry Builder'!$L$11)&gt;'Entry Builder'!$E$11)))</f>
        <v/>
      </c>
      <c r="F129">
        <f>IF('Entry Builder'!$N$12=0,1,IF('Entry Builder'!$D$12="Less",--(INDEX(Sims!$A129:$BO129,'Entry Builder'!$L$12)&lt;'Entry Builder'!$E$12),--(INDEX(Sims!$A129:$BO129,'Entry Builder'!$L$12)&gt;'Entry Builder'!$E$12)))</f>
        <v/>
      </c>
      <c r="G129">
        <f>6-SUM(A129:F129)</f>
        <v/>
      </c>
    </row>
    <row r="130">
      <c r="A130">
        <f>IF('Entry Builder'!$N$7=0,1,IF('Entry Builder'!$D$7="Less",--(INDEX(Sims!$A130:$BO130,'Entry Builder'!$L$7)&lt;'Entry Builder'!$E$7),--(INDEX(Sims!$A130:$BO130,'Entry Builder'!$L$7)&gt;'Entry Builder'!$E$7)))</f>
        <v/>
      </c>
      <c r="B130">
        <f>IF('Entry Builder'!$N$8=0,1,IF('Entry Builder'!$D$8="Less",--(INDEX(Sims!$A130:$BO130,'Entry Builder'!$L$8)&lt;'Entry Builder'!$E$8),--(INDEX(Sims!$A130:$BO130,'Entry Builder'!$L$8)&gt;'Entry Builder'!$E$8)))</f>
        <v/>
      </c>
      <c r="C130">
        <f>IF('Entry Builder'!$N$9=0,1,IF('Entry Builder'!$D$9="Less",--(INDEX(Sims!$A130:$BO130,'Entry Builder'!$L$9)&lt;'Entry Builder'!$E$9),--(INDEX(Sims!$A130:$BO130,'Entry Builder'!$L$9)&gt;'Entry Builder'!$E$9)))</f>
        <v/>
      </c>
      <c r="D130">
        <f>IF('Entry Builder'!$N$10=0,1,IF('Entry Builder'!$D$10="Less",--(INDEX(Sims!$A130:$BO130,'Entry Builder'!$L$10)&lt;'Entry Builder'!$E$10),--(INDEX(Sims!$A130:$BO130,'Entry Builder'!$L$10)&gt;'Entry Builder'!$E$10)))</f>
        <v/>
      </c>
      <c r="E130">
        <f>IF('Entry Builder'!$N$11=0,1,IF('Entry Builder'!$D$11="Less",--(INDEX(Sims!$A130:$BO130,'Entry Builder'!$L$11)&lt;'Entry Builder'!$E$11),--(INDEX(Sims!$A130:$BO130,'Entry Builder'!$L$11)&gt;'Entry Builder'!$E$11)))</f>
        <v/>
      </c>
      <c r="F130">
        <f>IF('Entry Builder'!$N$12=0,1,IF('Entry Builder'!$D$12="Less",--(INDEX(Sims!$A130:$BO130,'Entry Builder'!$L$12)&lt;'Entry Builder'!$E$12),--(INDEX(Sims!$A130:$BO130,'Entry Builder'!$L$12)&gt;'Entry Builder'!$E$12)))</f>
        <v/>
      </c>
      <c r="G130">
        <f>6-SUM(A130:F130)</f>
        <v/>
      </c>
    </row>
    <row r="131">
      <c r="A131">
        <f>IF('Entry Builder'!$N$7=0,1,IF('Entry Builder'!$D$7="Less",--(INDEX(Sims!$A131:$BO131,'Entry Builder'!$L$7)&lt;'Entry Builder'!$E$7),--(INDEX(Sims!$A131:$BO131,'Entry Builder'!$L$7)&gt;'Entry Builder'!$E$7)))</f>
        <v/>
      </c>
      <c r="B131">
        <f>IF('Entry Builder'!$N$8=0,1,IF('Entry Builder'!$D$8="Less",--(INDEX(Sims!$A131:$BO131,'Entry Builder'!$L$8)&lt;'Entry Builder'!$E$8),--(INDEX(Sims!$A131:$BO131,'Entry Builder'!$L$8)&gt;'Entry Builder'!$E$8)))</f>
        <v/>
      </c>
      <c r="C131">
        <f>IF('Entry Builder'!$N$9=0,1,IF('Entry Builder'!$D$9="Less",--(INDEX(Sims!$A131:$BO131,'Entry Builder'!$L$9)&lt;'Entry Builder'!$E$9),--(INDEX(Sims!$A131:$BO131,'Entry Builder'!$L$9)&gt;'Entry Builder'!$E$9)))</f>
        <v/>
      </c>
      <c r="D131">
        <f>IF('Entry Builder'!$N$10=0,1,IF('Entry Builder'!$D$10="Less",--(INDEX(Sims!$A131:$BO131,'Entry Builder'!$L$10)&lt;'Entry Builder'!$E$10),--(INDEX(Sims!$A131:$BO131,'Entry Builder'!$L$10)&gt;'Entry Builder'!$E$10)))</f>
        <v/>
      </c>
      <c r="E131">
        <f>IF('Entry Builder'!$N$11=0,1,IF('Entry Builder'!$D$11="Less",--(INDEX(Sims!$A131:$BO131,'Entry Builder'!$L$11)&lt;'Entry Builder'!$E$11),--(INDEX(Sims!$A131:$BO131,'Entry Builder'!$L$11)&gt;'Entry Builder'!$E$11)))</f>
        <v/>
      </c>
      <c r="F131">
        <f>IF('Entry Builder'!$N$12=0,1,IF('Entry Builder'!$D$12="Less",--(INDEX(Sims!$A131:$BO131,'Entry Builder'!$L$12)&lt;'Entry Builder'!$E$12),--(INDEX(Sims!$A131:$BO131,'Entry Builder'!$L$12)&gt;'Entry Builder'!$E$12)))</f>
        <v/>
      </c>
      <c r="G131">
        <f>6-SUM(A131:F131)</f>
        <v/>
      </c>
    </row>
    <row r="132">
      <c r="A132">
        <f>IF('Entry Builder'!$N$7=0,1,IF('Entry Builder'!$D$7="Less",--(INDEX(Sims!$A132:$BO132,'Entry Builder'!$L$7)&lt;'Entry Builder'!$E$7),--(INDEX(Sims!$A132:$BO132,'Entry Builder'!$L$7)&gt;'Entry Builder'!$E$7)))</f>
        <v/>
      </c>
      <c r="B132">
        <f>IF('Entry Builder'!$N$8=0,1,IF('Entry Builder'!$D$8="Less",--(INDEX(Sims!$A132:$BO132,'Entry Builder'!$L$8)&lt;'Entry Builder'!$E$8),--(INDEX(Sims!$A132:$BO132,'Entry Builder'!$L$8)&gt;'Entry Builder'!$E$8)))</f>
        <v/>
      </c>
      <c r="C132">
        <f>IF('Entry Builder'!$N$9=0,1,IF('Entry Builder'!$D$9="Less",--(INDEX(Sims!$A132:$BO132,'Entry Builder'!$L$9)&lt;'Entry Builder'!$E$9),--(INDEX(Sims!$A132:$BO132,'Entry Builder'!$L$9)&gt;'Entry Builder'!$E$9)))</f>
        <v/>
      </c>
      <c r="D132">
        <f>IF('Entry Builder'!$N$10=0,1,IF('Entry Builder'!$D$10="Less",--(INDEX(Sims!$A132:$BO132,'Entry Builder'!$L$10)&lt;'Entry Builder'!$E$10),--(INDEX(Sims!$A132:$BO132,'Entry Builder'!$L$10)&gt;'Entry Builder'!$E$10)))</f>
        <v/>
      </c>
      <c r="E132">
        <f>IF('Entry Builder'!$N$11=0,1,IF('Entry Builder'!$D$11="Less",--(INDEX(Sims!$A132:$BO132,'Entry Builder'!$L$11)&lt;'Entry Builder'!$E$11),--(INDEX(Sims!$A132:$BO132,'Entry Builder'!$L$11)&gt;'Entry Builder'!$E$11)))</f>
        <v/>
      </c>
      <c r="F132">
        <f>IF('Entry Builder'!$N$12=0,1,IF('Entry Builder'!$D$12="Less",--(INDEX(Sims!$A132:$BO132,'Entry Builder'!$L$12)&lt;'Entry Builder'!$E$12),--(INDEX(Sims!$A132:$BO132,'Entry Builder'!$L$12)&gt;'Entry Builder'!$E$12)))</f>
        <v/>
      </c>
      <c r="G132">
        <f>6-SUM(A132:F132)</f>
        <v/>
      </c>
    </row>
    <row r="133">
      <c r="A133">
        <f>IF('Entry Builder'!$N$7=0,1,IF('Entry Builder'!$D$7="Less",--(INDEX(Sims!$A133:$BO133,'Entry Builder'!$L$7)&lt;'Entry Builder'!$E$7),--(INDEX(Sims!$A133:$BO133,'Entry Builder'!$L$7)&gt;'Entry Builder'!$E$7)))</f>
        <v/>
      </c>
      <c r="B133">
        <f>IF('Entry Builder'!$N$8=0,1,IF('Entry Builder'!$D$8="Less",--(INDEX(Sims!$A133:$BO133,'Entry Builder'!$L$8)&lt;'Entry Builder'!$E$8),--(INDEX(Sims!$A133:$BO133,'Entry Builder'!$L$8)&gt;'Entry Builder'!$E$8)))</f>
        <v/>
      </c>
      <c r="C133">
        <f>IF('Entry Builder'!$N$9=0,1,IF('Entry Builder'!$D$9="Less",--(INDEX(Sims!$A133:$BO133,'Entry Builder'!$L$9)&lt;'Entry Builder'!$E$9),--(INDEX(Sims!$A133:$BO133,'Entry Builder'!$L$9)&gt;'Entry Builder'!$E$9)))</f>
        <v/>
      </c>
      <c r="D133">
        <f>IF('Entry Builder'!$N$10=0,1,IF('Entry Builder'!$D$10="Less",--(INDEX(Sims!$A133:$BO133,'Entry Builder'!$L$10)&lt;'Entry Builder'!$E$10),--(INDEX(Sims!$A133:$BO133,'Entry Builder'!$L$10)&gt;'Entry Builder'!$E$10)))</f>
        <v/>
      </c>
      <c r="E133">
        <f>IF('Entry Builder'!$N$11=0,1,IF('Entry Builder'!$D$11="Less",--(INDEX(Sims!$A133:$BO133,'Entry Builder'!$L$11)&lt;'Entry Builder'!$E$11),--(INDEX(Sims!$A133:$BO133,'Entry Builder'!$L$11)&gt;'Entry Builder'!$E$11)))</f>
        <v/>
      </c>
      <c r="F133">
        <f>IF('Entry Builder'!$N$12=0,1,IF('Entry Builder'!$D$12="Less",--(INDEX(Sims!$A133:$BO133,'Entry Builder'!$L$12)&lt;'Entry Builder'!$E$12),--(INDEX(Sims!$A133:$BO133,'Entry Builder'!$L$12)&gt;'Entry Builder'!$E$12)))</f>
        <v/>
      </c>
      <c r="G133">
        <f>6-SUM(A133:F133)</f>
        <v/>
      </c>
    </row>
    <row r="134">
      <c r="A134">
        <f>IF('Entry Builder'!$N$7=0,1,IF('Entry Builder'!$D$7="Less",--(INDEX(Sims!$A134:$BO134,'Entry Builder'!$L$7)&lt;'Entry Builder'!$E$7),--(INDEX(Sims!$A134:$BO134,'Entry Builder'!$L$7)&gt;'Entry Builder'!$E$7)))</f>
        <v/>
      </c>
      <c r="B134">
        <f>IF('Entry Builder'!$N$8=0,1,IF('Entry Builder'!$D$8="Less",--(INDEX(Sims!$A134:$BO134,'Entry Builder'!$L$8)&lt;'Entry Builder'!$E$8),--(INDEX(Sims!$A134:$BO134,'Entry Builder'!$L$8)&gt;'Entry Builder'!$E$8)))</f>
        <v/>
      </c>
      <c r="C134">
        <f>IF('Entry Builder'!$N$9=0,1,IF('Entry Builder'!$D$9="Less",--(INDEX(Sims!$A134:$BO134,'Entry Builder'!$L$9)&lt;'Entry Builder'!$E$9),--(INDEX(Sims!$A134:$BO134,'Entry Builder'!$L$9)&gt;'Entry Builder'!$E$9)))</f>
        <v/>
      </c>
      <c r="D134">
        <f>IF('Entry Builder'!$N$10=0,1,IF('Entry Builder'!$D$10="Less",--(INDEX(Sims!$A134:$BO134,'Entry Builder'!$L$10)&lt;'Entry Builder'!$E$10),--(INDEX(Sims!$A134:$BO134,'Entry Builder'!$L$10)&gt;'Entry Builder'!$E$10)))</f>
        <v/>
      </c>
      <c r="E134">
        <f>IF('Entry Builder'!$N$11=0,1,IF('Entry Builder'!$D$11="Less",--(INDEX(Sims!$A134:$BO134,'Entry Builder'!$L$11)&lt;'Entry Builder'!$E$11),--(INDEX(Sims!$A134:$BO134,'Entry Builder'!$L$11)&gt;'Entry Builder'!$E$11)))</f>
        <v/>
      </c>
      <c r="F134">
        <f>IF('Entry Builder'!$N$12=0,1,IF('Entry Builder'!$D$12="Less",--(INDEX(Sims!$A134:$BO134,'Entry Builder'!$L$12)&lt;'Entry Builder'!$E$12),--(INDEX(Sims!$A134:$BO134,'Entry Builder'!$L$12)&gt;'Entry Builder'!$E$12)))</f>
        <v/>
      </c>
      <c r="G134">
        <f>6-SUM(A134:F134)</f>
        <v/>
      </c>
    </row>
    <row r="135">
      <c r="A135">
        <f>IF('Entry Builder'!$N$7=0,1,IF('Entry Builder'!$D$7="Less",--(INDEX(Sims!$A135:$BO135,'Entry Builder'!$L$7)&lt;'Entry Builder'!$E$7),--(INDEX(Sims!$A135:$BO135,'Entry Builder'!$L$7)&gt;'Entry Builder'!$E$7)))</f>
        <v/>
      </c>
      <c r="B135">
        <f>IF('Entry Builder'!$N$8=0,1,IF('Entry Builder'!$D$8="Less",--(INDEX(Sims!$A135:$BO135,'Entry Builder'!$L$8)&lt;'Entry Builder'!$E$8),--(INDEX(Sims!$A135:$BO135,'Entry Builder'!$L$8)&gt;'Entry Builder'!$E$8)))</f>
        <v/>
      </c>
      <c r="C135">
        <f>IF('Entry Builder'!$N$9=0,1,IF('Entry Builder'!$D$9="Less",--(INDEX(Sims!$A135:$BO135,'Entry Builder'!$L$9)&lt;'Entry Builder'!$E$9),--(INDEX(Sims!$A135:$BO135,'Entry Builder'!$L$9)&gt;'Entry Builder'!$E$9)))</f>
        <v/>
      </c>
      <c r="D135">
        <f>IF('Entry Builder'!$N$10=0,1,IF('Entry Builder'!$D$10="Less",--(INDEX(Sims!$A135:$BO135,'Entry Builder'!$L$10)&lt;'Entry Builder'!$E$10),--(INDEX(Sims!$A135:$BO135,'Entry Builder'!$L$10)&gt;'Entry Builder'!$E$10)))</f>
        <v/>
      </c>
      <c r="E135">
        <f>IF('Entry Builder'!$N$11=0,1,IF('Entry Builder'!$D$11="Less",--(INDEX(Sims!$A135:$BO135,'Entry Builder'!$L$11)&lt;'Entry Builder'!$E$11),--(INDEX(Sims!$A135:$BO135,'Entry Builder'!$L$11)&gt;'Entry Builder'!$E$11)))</f>
        <v/>
      </c>
      <c r="F135">
        <f>IF('Entry Builder'!$N$12=0,1,IF('Entry Builder'!$D$12="Less",--(INDEX(Sims!$A135:$BO135,'Entry Builder'!$L$12)&lt;'Entry Builder'!$E$12),--(INDEX(Sims!$A135:$BO135,'Entry Builder'!$L$12)&gt;'Entry Builder'!$E$12)))</f>
        <v/>
      </c>
      <c r="G135">
        <f>6-SUM(A135:F135)</f>
        <v/>
      </c>
    </row>
    <row r="136">
      <c r="A136">
        <f>IF('Entry Builder'!$N$7=0,1,IF('Entry Builder'!$D$7="Less",--(INDEX(Sims!$A136:$BO136,'Entry Builder'!$L$7)&lt;'Entry Builder'!$E$7),--(INDEX(Sims!$A136:$BO136,'Entry Builder'!$L$7)&gt;'Entry Builder'!$E$7)))</f>
        <v/>
      </c>
      <c r="B136">
        <f>IF('Entry Builder'!$N$8=0,1,IF('Entry Builder'!$D$8="Less",--(INDEX(Sims!$A136:$BO136,'Entry Builder'!$L$8)&lt;'Entry Builder'!$E$8),--(INDEX(Sims!$A136:$BO136,'Entry Builder'!$L$8)&gt;'Entry Builder'!$E$8)))</f>
        <v/>
      </c>
      <c r="C136">
        <f>IF('Entry Builder'!$N$9=0,1,IF('Entry Builder'!$D$9="Less",--(INDEX(Sims!$A136:$BO136,'Entry Builder'!$L$9)&lt;'Entry Builder'!$E$9),--(INDEX(Sims!$A136:$BO136,'Entry Builder'!$L$9)&gt;'Entry Builder'!$E$9)))</f>
        <v/>
      </c>
      <c r="D136">
        <f>IF('Entry Builder'!$N$10=0,1,IF('Entry Builder'!$D$10="Less",--(INDEX(Sims!$A136:$BO136,'Entry Builder'!$L$10)&lt;'Entry Builder'!$E$10),--(INDEX(Sims!$A136:$BO136,'Entry Builder'!$L$10)&gt;'Entry Builder'!$E$10)))</f>
        <v/>
      </c>
      <c r="E136">
        <f>IF('Entry Builder'!$N$11=0,1,IF('Entry Builder'!$D$11="Less",--(INDEX(Sims!$A136:$BO136,'Entry Builder'!$L$11)&lt;'Entry Builder'!$E$11),--(INDEX(Sims!$A136:$BO136,'Entry Builder'!$L$11)&gt;'Entry Builder'!$E$11)))</f>
        <v/>
      </c>
      <c r="F136">
        <f>IF('Entry Builder'!$N$12=0,1,IF('Entry Builder'!$D$12="Less",--(INDEX(Sims!$A136:$BO136,'Entry Builder'!$L$12)&lt;'Entry Builder'!$E$12),--(INDEX(Sims!$A136:$BO136,'Entry Builder'!$L$12)&gt;'Entry Builder'!$E$12)))</f>
        <v/>
      </c>
      <c r="G136">
        <f>6-SUM(A136:F136)</f>
        <v/>
      </c>
    </row>
    <row r="137">
      <c r="A137">
        <f>IF('Entry Builder'!$N$7=0,1,IF('Entry Builder'!$D$7="Less",--(INDEX(Sims!$A137:$BO137,'Entry Builder'!$L$7)&lt;'Entry Builder'!$E$7),--(INDEX(Sims!$A137:$BO137,'Entry Builder'!$L$7)&gt;'Entry Builder'!$E$7)))</f>
        <v/>
      </c>
      <c r="B137">
        <f>IF('Entry Builder'!$N$8=0,1,IF('Entry Builder'!$D$8="Less",--(INDEX(Sims!$A137:$BO137,'Entry Builder'!$L$8)&lt;'Entry Builder'!$E$8),--(INDEX(Sims!$A137:$BO137,'Entry Builder'!$L$8)&gt;'Entry Builder'!$E$8)))</f>
        <v/>
      </c>
      <c r="C137">
        <f>IF('Entry Builder'!$N$9=0,1,IF('Entry Builder'!$D$9="Less",--(INDEX(Sims!$A137:$BO137,'Entry Builder'!$L$9)&lt;'Entry Builder'!$E$9),--(INDEX(Sims!$A137:$BO137,'Entry Builder'!$L$9)&gt;'Entry Builder'!$E$9)))</f>
        <v/>
      </c>
      <c r="D137">
        <f>IF('Entry Builder'!$N$10=0,1,IF('Entry Builder'!$D$10="Less",--(INDEX(Sims!$A137:$BO137,'Entry Builder'!$L$10)&lt;'Entry Builder'!$E$10),--(INDEX(Sims!$A137:$BO137,'Entry Builder'!$L$10)&gt;'Entry Builder'!$E$10)))</f>
        <v/>
      </c>
      <c r="E137">
        <f>IF('Entry Builder'!$N$11=0,1,IF('Entry Builder'!$D$11="Less",--(INDEX(Sims!$A137:$BO137,'Entry Builder'!$L$11)&lt;'Entry Builder'!$E$11),--(INDEX(Sims!$A137:$BO137,'Entry Builder'!$L$11)&gt;'Entry Builder'!$E$11)))</f>
        <v/>
      </c>
      <c r="F137">
        <f>IF('Entry Builder'!$N$12=0,1,IF('Entry Builder'!$D$12="Less",--(INDEX(Sims!$A137:$BO137,'Entry Builder'!$L$12)&lt;'Entry Builder'!$E$12),--(INDEX(Sims!$A137:$BO137,'Entry Builder'!$L$12)&gt;'Entry Builder'!$E$12)))</f>
        <v/>
      </c>
      <c r="G137">
        <f>6-SUM(A137:F137)</f>
        <v/>
      </c>
    </row>
    <row r="138">
      <c r="A138">
        <f>IF('Entry Builder'!$N$7=0,1,IF('Entry Builder'!$D$7="Less",--(INDEX(Sims!$A138:$BO138,'Entry Builder'!$L$7)&lt;'Entry Builder'!$E$7),--(INDEX(Sims!$A138:$BO138,'Entry Builder'!$L$7)&gt;'Entry Builder'!$E$7)))</f>
        <v/>
      </c>
      <c r="B138">
        <f>IF('Entry Builder'!$N$8=0,1,IF('Entry Builder'!$D$8="Less",--(INDEX(Sims!$A138:$BO138,'Entry Builder'!$L$8)&lt;'Entry Builder'!$E$8),--(INDEX(Sims!$A138:$BO138,'Entry Builder'!$L$8)&gt;'Entry Builder'!$E$8)))</f>
        <v/>
      </c>
      <c r="C138">
        <f>IF('Entry Builder'!$N$9=0,1,IF('Entry Builder'!$D$9="Less",--(INDEX(Sims!$A138:$BO138,'Entry Builder'!$L$9)&lt;'Entry Builder'!$E$9),--(INDEX(Sims!$A138:$BO138,'Entry Builder'!$L$9)&gt;'Entry Builder'!$E$9)))</f>
        <v/>
      </c>
      <c r="D138">
        <f>IF('Entry Builder'!$N$10=0,1,IF('Entry Builder'!$D$10="Less",--(INDEX(Sims!$A138:$BO138,'Entry Builder'!$L$10)&lt;'Entry Builder'!$E$10),--(INDEX(Sims!$A138:$BO138,'Entry Builder'!$L$10)&gt;'Entry Builder'!$E$10)))</f>
        <v/>
      </c>
      <c r="E138">
        <f>IF('Entry Builder'!$N$11=0,1,IF('Entry Builder'!$D$11="Less",--(INDEX(Sims!$A138:$BO138,'Entry Builder'!$L$11)&lt;'Entry Builder'!$E$11),--(INDEX(Sims!$A138:$BO138,'Entry Builder'!$L$11)&gt;'Entry Builder'!$E$11)))</f>
        <v/>
      </c>
      <c r="F138">
        <f>IF('Entry Builder'!$N$12=0,1,IF('Entry Builder'!$D$12="Less",--(INDEX(Sims!$A138:$BO138,'Entry Builder'!$L$12)&lt;'Entry Builder'!$E$12),--(INDEX(Sims!$A138:$BO138,'Entry Builder'!$L$12)&gt;'Entry Builder'!$E$12)))</f>
        <v/>
      </c>
      <c r="G138">
        <f>6-SUM(A138:F138)</f>
        <v/>
      </c>
    </row>
    <row r="139">
      <c r="A139">
        <f>IF('Entry Builder'!$N$7=0,1,IF('Entry Builder'!$D$7="Less",--(INDEX(Sims!$A139:$BO139,'Entry Builder'!$L$7)&lt;'Entry Builder'!$E$7),--(INDEX(Sims!$A139:$BO139,'Entry Builder'!$L$7)&gt;'Entry Builder'!$E$7)))</f>
        <v/>
      </c>
      <c r="B139">
        <f>IF('Entry Builder'!$N$8=0,1,IF('Entry Builder'!$D$8="Less",--(INDEX(Sims!$A139:$BO139,'Entry Builder'!$L$8)&lt;'Entry Builder'!$E$8),--(INDEX(Sims!$A139:$BO139,'Entry Builder'!$L$8)&gt;'Entry Builder'!$E$8)))</f>
        <v/>
      </c>
      <c r="C139">
        <f>IF('Entry Builder'!$N$9=0,1,IF('Entry Builder'!$D$9="Less",--(INDEX(Sims!$A139:$BO139,'Entry Builder'!$L$9)&lt;'Entry Builder'!$E$9),--(INDEX(Sims!$A139:$BO139,'Entry Builder'!$L$9)&gt;'Entry Builder'!$E$9)))</f>
        <v/>
      </c>
      <c r="D139">
        <f>IF('Entry Builder'!$N$10=0,1,IF('Entry Builder'!$D$10="Less",--(INDEX(Sims!$A139:$BO139,'Entry Builder'!$L$10)&lt;'Entry Builder'!$E$10),--(INDEX(Sims!$A139:$BO139,'Entry Builder'!$L$10)&gt;'Entry Builder'!$E$10)))</f>
        <v/>
      </c>
      <c r="E139">
        <f>IF('Entry Builder'!$N$11=0,1,IF('Entry Builder'!$D$11="Less",--(INDEX(Sims!$A139:$BO139,'Entry Builder'!$L$11)&lt;'Entry Builder'!$E$11),--(INDEX(Sims!$A139:$BO139,'Entry Builder'!$L$11)&gt;'Entry Builder'!$E$11)))</f>
        <v/>
      </c>
      <c r="F139">
        <f>IF('Entry Builder'!$N$12=0,1,IF('Entry Builder'!$D$12="Less",--(INDEX(Sims!$A139:$BO139,'Entry Builder'!$L$12)&lt;'Entry Builder'!$E$12),--(INDEX(Sims!$A139:$BO139,'Entry Builder'!$L$12)&gt;'Entry Builder'!$E$12)))</f>
        <v/>
      </c>
      <c r="G139">
        <f>6-SUM(A139:F139)</f>
        <v/>
      </c>
    </row>
    <row r="140">
      <c r="A140">
        <f>IF('Entry Builder'!$N$7=0,1,IF('Entry Builder'!$D$7="Less",--(INDEX(Sims!$A140:$BO140,'Entry Builder'!$L$7)&lt;'Entry Builder'!$E$7),--(INDEX(Sims!$A140:$BO140,'Entry Builder'!$L$7)&gt;'Entry Builder'!$E$7)))</f>
        <v/>
      </c>
      <c r="B140">
        <f>IF('Entry Builder'!$N$8=0,1,IF('Entry Builder'!$D$8="Less",--(INDEX(Sims!$A140:$BO140,'Entry Builder'!$L$8)&lt;'Entry Builder'!$E$8),--(INDEX(Sims!$A140:$BO140,'Entry Builder'!$L$8)&gt;'Entry Builder'!$E$8)))</f>
        <v/>
      </c>
      <c r="C140">
        <f>IF('Entry Builder'!$N$9=0,1,IF('Entry Builder'!$D$9="Less",--(INDEX(Sims!$A140:$BO140,'Entry Builder'!$L$9)&lt;'Entry Builder'!$E$9),--(INDEX(Sims!$A140:$BO140,'Entry Builder'!$L$9)&gt;'Entry Builder'!$E$9)))</f>
        <v/>
      </c>
      <c r="D140">
        <f>IF('Entry Builder'!$N$10=0,1,IF('Entry Builder'!$D$10="Less",--(INDEX(Sims!$A140:$BO140,'Entry Builder'!$L$10)&lt;'Entry Builder'!$E$10),--(INDEX(Sims!$A140:$BO140,'Entry Builder'!$L$10)&gt;'Entry Builder'!$E$10)))</f>
        <v/>
      </c>
      <c r="E140">
        <f>IF('Entry Builder'!$N$11=0,1,IF('Entry Builder'!$D$11="Less",--(INDEX(Sims!$A140:$BO140,'Entry Builder'!$L$11)&lt;'Entry Builder'!$E$11),--(INDEX(Sims!$A140:$BO140,'Entry Builder'!$L$11)&gt;'Entry Builder'!$E$11)))</f>
        <v/>
      </c>
      <c r="F140">
        <f>IF('Entry Builder'!$N$12=0,1,IF('Entry Builder'!$D$12="Less",--(INDEX(Sims!$A140:$BO140,'Entry Builder'!$L$12)&lt;'Entry Builder'!$E$12),--(INDEX(Sims!$A140:$BO140,'Entry Builder'!$L$12)&gt;'Entry Builder'!$E$12)))</f>
        <v/>
      </c>
      <c r="G140">
        <f>6-SUM(A140:F140)</f>
        <v/>
      </c>
    </row>
    <row r="141">
      <c r="A141">
        <f>IF('Entry Builder'!$N$7=0,1,IF('Entry Builder'!$D$7="Less",--(INDEX(Sims!$A141:$BO141,'Entry Builder'!$L$7)&lt;'Entry Builder'!$E$7),--(INDEX(Sims!$A141:$BO141,'Entry Builder'!$L$7)&gt;'Entry Builder'!$E$7)))</f>
        <v/>
      </c>
      <c r="B141">
        <f>IF('Entry Builder'!$N$8=0,1,IF('Entry Builder'!$D$8="Less",--(INDEX(Sims!$A141:$BO141,'Entry Builder'!$L$8)&lt;'Entry Builder'!$E$8),--(INDEX(Sims!$A141:$BO141,'Entry Builder'!$L$8)&gt;'Entry Builder'!$E$8)))</f>
        <v/>
      </c>
      <c r="C141">
        <f>IF('Entry Builder'!$N$9=0,1,IF('Entry Builder'!$D$9="Less",--(INDEX(Sims!$A141:$BO141,'Entry Builder'!$L$9)&lt;'Entry Builder'!$E$9),--(INDEX(Sims!$A141:$BO141,'Entry Builder'!$L$9)&gt;'Entry Builder'!$E$9)))</f>
        <v/>
      </c>
      <c r="D141">
        <f>IF('Entry Builder'!$N$10=0,1,IF('Entry Builder'!$D$10="Less",--(INDEX(Sims!$A141:$BO141,'Entry Builder'!$L$10)&lt;'Entry Builder'!$E$10),--(INDEX(Sims!$A141:$BO141,'Entry Builder'!$L$10)&gt;'Entry Builder'!$E$10)))</f>
        <v/>
      </c>
      <c r="E141">
        <f>IF('Entry Builder'!$N$11=0,1,IF('Entry Builder'!$D$11="Less",--(INDEX(Sims!$A141:$BO141,'Entry Builder'!$L$11)&lt;'Entry Builder'!$E$11),--(INDEX(Sims!$A141:$BO141,'Entry Builder'!$L$11)&gt;'Entry Builder'!$E$11)))</f>
        <v/>
      </c>
      <c r="F141">
        <f>IF('Entry Builder'!$N$12=0,1,IF('Entry Builder'!$D$12="Less",--(INDEX(Sims!$A141:$BO141,'Entry Builder'!$L$12)&lt;'Entry Builder'!$E$12),--(INDEX(Sims!$A141:$BO141,'Entry Builder'!$L$12)&gt;'Entry Builder'!$E$12)))</f>
        <v/>
      </c>
      <c r="G141">
        <f>6-SUM(A141:F141)</f>
        <v/>
      </c>
    </row>
    <row r="142">
      <c r="A142">
        <f>IF('Entry Builder'!$N$7=0,1,IF('Entry Builder'!$D$7="Less",--(INDEX(Sims!$A142:$BO142,'Entry Builder'!$L$7)&lt;'Entry Builder'!$E$7),--(INDEX(Sims!$A142:$BO142,'Entry Builder'!$L$7)&gt;'Entry Builder'!$E$7)))</f>
        <v/>
      </c>
      <c r="B142">
        <f>IF('Entry Builder'!$N$8=0,1,IF('Entry Builder'!$D$8="Less",--(INDEX(Sims!$A142:$BO142,'Entry Builder'!$L$8)&lt;'Entry Builder'!$E$8),--(INDEX(Sims!$A142:$BO142,'Entry Builder'!$L$8)&gt;'Entry Builder'!$E$8)))</f>
        <v/>
      </c>
      <c r="C142">
        <f>IF('Entry Builder'!$N$9=0,1,IF('Entry Builder'!$D$9="Less",--(INDEX(Sims!$A142:$BO142,'Entry Builder'!$L$9)&lt;'Entry Builder'!$E$9),--(INDEX(Sims!$A142:$BO142,'Entry Builder'!$L$9)&gt;'Entry Builder'!$E$9)))</f>
        <v/>
      </c>
      <c r="D142">
        <f>IF('Entry Builder'!$N$10=0,1,IF('Entry Builder'!$D$10="Less",--(INDEX(Sims!$A142:$BO142,'Entry Builder'!$L$10)&lt;'Entry Builder'!$E$10),--(INDEX(Sims!$A142:$BO142,'Entry Builder'!$L$10)&gt;'Entry Builder'!$E$10)))</f>
        <v/>
      </c>
      <c r="E142">
        <f>IF('Entry Builder'!$N$11=0,1,IF('Entry Builder'!$D$11="Less",--(INDEX(Sims!$A142:$BO142,'Entry Builder'!$L$11)&lt;'Entry Builder'!$E$11),--(INDEX(Sims!$A142:$BO142,'Entry Builder'!$L$11)&gt;'Entry Builder'!$E$11)))</f>
        <v/>
      </c>
      <c r="F142">
        <f>IF('Entry Builder'!$N$12=0,1,IF('Entry Builder'!$D$12="Less",--(INDEX(Sims!$A142:$BO142,'Entry Builder'!$L$12)&lt;'Entry Builder'!$E$12),--(INDEX(Sims!$A142:$BO142,'Entry Builder'!$L$12)&gt;'Entry Builder'!$E$12)))</f>
        <v/>
      </c>
      <c r="G142">
        <f>6-SUM(A142:F142)</f>
        <v/>
      </c>
    </row>
    <row r="143">
      <c r="A143">
        <f>IF('Entry Builder'!$N$7=0,1,IF('Entry Builder'!$D$7="Less",--(INDEX(Sims!$A143:$BO143,'Entry Builder'!$L$7)&lt;'Entry Builder'!$E$7),--(INDEX(Sims!$A143:$BO143,'Entry Builder'!$L$7)&gt;'Entry Builder'!$E$7)))</f>
        <v/>
      </c>
      <c r="B143">
        <f>IF('Entry Builder'!$N$8=0,1,IF('Entry Builder'!$D$8="Less",--(INDEX(Sims!$A143:$BO143,'Entry Builder'!$L$8)&lt;'Entry Builder'!$E$8),--(INDEX(Sims!$A143:$BO143,'Entry Builder'!$L$8)&gt;'Entry Builder'!$E$8)))</f>
        <v/>
      </c>
      <c r="C143">
        <f>IF('Entry Builder'!$N$9=0,1,IF('Entry Builder'!$D$9="Less",--(INDEX(Sims!$A143:$BO143,'Entry Builder'!$L$9)&lt;'Entry Builder'!$E$9),--(INDEX(Sims!$A143:$BO143,'Entry Builder'!$L$9)&gt;'Entry Builder'!$E$9)))</f>
        <v/>
      </c>
      <c r="D143">
        <f>IF('Entry Builder'!$N$10=0,1,IF('Entry Builder'!$D$10="Less",--(INDEX(Sims!$A143:$BO143,'Entry Builder'!$L$10)&lt;'Entry Builder'!$E$10),--(INDEX(Sims!$A143:$BO143,'Entry Builder'!$L$10)&gt;'Entry Builder'!$E$10)))</f>
        <v/>
      </c>
      <c r="E143">
        <f>IF('Entry Builder'!$N$11=0,1,IF('Entry Builder'!$D$11="Less",--(INDEX(Sims!$A143:$BO143,'Entry Builder'!$L$11)&lt;'Entry Builder'!$E$11),--(INDEX(Sims!$A143:$BO143,'Entry Builder'!$L$11)&gt;'Entry Builder'!$E$11)))</f>
        <v/>
      </c>
      <c r="F143">
        <f>IF('Entry Builder'!$N$12=0,1,IF('Entry Builder'!$D$12="Less",--(INDEX(Sims!$A143:$BO143,'Entry Builder'!$L$12)&lt;'Entry Builder'!$E$12),--(INDEX(Sims!$A143:$BO143,'Entry Builder'!$L$12)&gt;'Entry Builder'!$E$12)))</f>
        <v/>
      </c>
      <c r="G143">
        <f>6-SUM(A143:F143)</f>
        <v/>
      </c>
    </row>
    <row r="144">
      <c r="A144">
        <f>IF('Entry Builder'!$N$7=0,1,IF('Entry Builder'!$D$7="Less",--(INDEX(Sims!$A144:$BO144,'Entry Builder'!$L$7)&lt;'Entry Builder'!$E$7),--(INDEX(Sims!$A144:$BO144,'Entry Builder'!$L$7)&gt;'Entry Builder'!$E$7)))</f>
        <v/>
      </c>
      <c r="B144">
        <f>IF('Entry Builder'!$N$8=0,1,IF('Entry Builder'!$D$8="Less",--(INDEX(Sims!$A144:$BO144,'Entry Builder'!$L$8)&lt;'Entry Builder'!$E$8),--(INDEX(Sims!$A144:$BO144,'Entry Builder'!$L$8)&gt;'Entry Builder'!$E$8)))</f>
        <v/>
      </c>
      <c r="C144">
        <f>IF('Entry Builder'!$N$9=0,1,IF('Entry Builder'!$D$9="Less",--(INDEX(Sims!$A144:$BO144,'Entry Builder'!$L$9)&lt;'Entry Builder'!$E$9),--(INDEX(Sims!$A144:$BO144,'Entry Builder'!$L$9)&gt;'Entry Builder'!$E$9)))</f>
        <v/>
      </c>
      <c r="D144">
        <f>IF('Entry Builder'!$N$10=0,1,IF('Entry Builder'!$D$10="Less",--(INDEX(Sims!$A144:$BO144,'Entry Builder'!$L$10)&lt;'Entry Builder'!$E$10),--(INDEX(Sims!$A144:$BO144,'Entry Builder'!$L$10)&gt;'Entry Builder'!$E$10)))</f>
        <v/>
      </c>
      <c r="E144">
        <f>IF('Entry Builder'!$N$11=0,1,IF('Entry Builder'!$D$11="Less",--(INDEX(Sims!$A144:$BO144,'Entry Builder'!$L$11)&lt;'Entry Builder'!$E$11),--(INDEX(Sims!$A144:$BO144,'Entry Builder'!$L$11)&gt;'Entry Builder'!$E$11)))</f>
        <v/>
      </c>
      <c r="F144">
        <f>IF('Entry Builder'!$N$12=0,1,IF('Entry Builder'!$D$12="Less",--(INDEX(Sims!$A144:$BO144,'Entry Builder'!$L$12)&lt;'Entry Builder'!$E$12),--(INDEX(Sims!$A144:$BO144,'Entry Builder'!$L$12)&gt;'Entry Builder'!$E$12)))</f>
        <v/>
      </c>
      <c r="G144">
        <f>6-SUM(A144:F144)</f>
        <v/>
      </c>
    </row>
    <row r="145">
      <c r="A145">
        <f>IF('Entry Builder'!$N$7=0,1,IF('Entry Builder'!$D$7="Less",--(INDEX(Sims!$A145:$BO145,'Entry Builder'!$L$7)&lt;'Entry Builder'!$E$7),--(INDEX(Sims!$A145:$BO145,'Entry Builder'!$L$7)&gt;'Entry Builder'!$E$7)))</f>
        <v/>
      </c>
      <c r="B145">
        <f>IF('Entry Builder'!$N$8=0,1,IF('Entry Builder'!$D$8="Less",--(INDEX(Sims!$A145:$BO145,'Entry Builder'!$L$8)&lt;'Entry Builder'!$E$8),--(INDEX(Sims!$A145:$BO145,'Entry Builder'!$L$8)&gt;'Entry Builder'!$E$8)))</f>
        <v/>
      </c>
      <c r="C145">
        <f>IF('Entry Builder'!$N$9=0,1,IF('Entry Builder'!$D$9="Less",--(INDEX(Sims!$A145:$BO145,'Entry Builder'!$L$9)&lt;'Entry Builder'!$E$9),--(INDEX(Sims!$A145:$BO145,'Entry Builder'!$L$9)&gt;'Entry Builder'!$E$9)))</f>
        <v/>
      </c>
      <c r="D145">
        <f>IF('Entry Builder'!$N$10=0,1,IF('Entry Builder'!$D$10="Less",--(INDEX(Sims!$A145:$BO145,'Entry Builder'!$L$10)&lt;'Entry Builder'!$E$10),--(INDEX(Sims!$A145:$BO145,'Entry Builder'!$L$10)&gt;'Entry Builder'!$E$10)))</f>
        <v/>
      </c>
      <c r="E145">
        <f>IF('Entry Builder'!$N$11=0,1,IF('Entry Builder'!$D$11="Less",--(INDEX(Sims!$A145:$BO145,'Entry Builder'!$L$11)&lt;'Entry Builder'!$E$11),--(INDEX(Sims!$A145:$BO145,'Entry Builder'!$L$11)&gt;'Entry Builder'!$E$11)))</f>
        <v/>
      </c>
      <c r="F145">
        <f>IF('Entry Builder'!$N$12=0,1,IF('Entry Builder'!$D$12="Less",--(INDEX(Sims!$A145:$BO145,'Entry Builder'!$L$12)&lt;'Entry Builder'!$E$12),--(INDEX(Sims!$A145:$BO145,'Entry Builder'!$L$12)&gt;'Entry Builder'!$E$12)))</f>
        <v/>
      </c>
      <c r="G145">
        <f>6-SUM(A145:F145)</f>
        <v/>
      </c>
    </row>
    <row r="146">
      <c r="A146">
        <f>IF('Entry Builder'!$N$7=0,1,IF('Entry Builder'!$D$7="Less",--(INDEX(Sims!$A146:$BO146,'Entry Builder'!$L$7)&lt;'Entry Builder'!$E$7),--(INDEX(Sims!$A146:$BO146,'Entry Builder'!$L$7)&gt;'Entry Builder'!$E$7)))</f>
        <v/>
      </c>
      <c r="B146">
        <f>IF('Entry Builder'!$N$8=0,1,IF('Entry Builder'!$D$8="Less",--(INDEX(Sims!$A146:$BO146,'Entry Builder'!$L$8)&lt;'Entry Builder'!$E$8),--(INDEX(Sims!$A146:$BO146,'Entry Builder'!$L$8)&gt;'Entry Builder'!$E$8)))</f>
        <v/>
      </c>
      <c r="C146">
        <f>IF('Entry Builder'!$N$9=0,1,IF('Entry Builder'!$D$9="Less",--(INDEX(Sims!$A146:$BO146,'Entry Builder'!$L$9)&lt;'Entry Builder'!$E$9),--(INDEX(Sims!$A146:$BO146,'Entry Builder'!$L$9)&gt;'Entry Builder'!$E$9)))</f>
        <v/>
      </c>
      <c r="D146">
        <f>IF('Entry Builder'!$N$10=0,1,IF('Entry Builder'!$D$10="Less",--(INDEX(Sims!$A146:$BO146,'Entry Builder'!$L$10)&lt;'Entry Builder'!$E$10),--(INDEX(Sims!$A146:$BO146,'Entry Builder'!$L$10)&gt;'Entry Builder'!$E$10)))</f>
        <v/>
      </c>
      <c r="E146">
        <f>IF('Entry Builder'!$N$11=0,1,IF('Entry Builder'!$D$11="Less",--(INDEX(Sims!$A146:$BO146,'Entry Builder'!$L$11)&lt;'Entry Builder'!$E$11),--(INDEX(Sims!$A146:$BO146,'Entry Builder'!$L$11)&gt;'Entry Builder'!$E$11)))</f>
        <v/>
      </c>
      <c r="F146">
        <f>IF('Entry Builder'!$N$12=0,1,IF('Entry Builder'!$D$12="Less",--(INDEX(Sims!$A146:$BO146,'Entry Builder'!$L$12)&lt;'Entry Builder'!$E$12),--(INDEX(Sims!$A146:$BO146,'Entry Builder'!$L$12)&gt;'Entry Builder'!$E$12)))</f>
        <v/>
      </c>
      <c r="G146">
        <f>6-SUM(A146:F146)</f>
        <v/>
      </c>
    </row>
    <row r="147">
      <c r="A147">
        <f>IF('Entry Builder'!$N$7=0,1,IF('Entry Builder'!$D$7="Less",--(INDEX(Sims!$A147:$BO147,'Entry Builder'!$L$7)&lt;'Entry Builder'!$E$7),--(INDEX(Sims!$A147:$BO147,'Entry Builder'!$L$7)&gt;'Entry Builder'!$E$7)))</f>
        <v/>
      </c>
      <c r="B147">
        <f>IF('Entry Builder'!$N$8=0,1,IF('Entry Builder'!$D$8="Less",--(INDEX(Sims!$A147:$BO147,'Entry Builder'!$L$8)&lt;'Entry Builder'!$E$8),--(INDEX(Sims!$A147:$BO147,'Entry Builder'!$L$8)&gt;'Entry Builder'!$E$8)))</f>
        <v/>
      </c>
      <c r="C147">
        <f>IF('Entry Builder'!$N$9=0,1,IF('Entry Builder'!$D$9="Less",--(INDEX(Sims!$A147:$BO147,'Entry Builder'!$L$9)&lt;'Entry Builder'!$E$9),--(INDEX(Sims!$A147:$BO147,'Entry Builder'!$L$9)&gt;'Entry Builder'!$E$9)))</f>
        <v/>
      </c>
      <c r="D147">
        <f>IF('Entry Builder'!$N$10=0,1,IF('Entry Builder'!$D$10="Less",--(INDEX(Sims!$A147:$BO147,'Entry Builder'!$L$10)&lt;'Entry Builder'!$E$10),--(INDEX(Sims!$A147:$BO147,'Entry Builder'!$L$10)&gt;'Entry Builder'!$E$10)))</f>
        <v/>
      </c>
      <c r="E147">
        <f>IF('Entry Builder'!$N$11=0,1,IF('Entry Builder'!$D$11="Less",--(INDEX(Sims!$A147:$BO147,'Entry Builder'!$L$11)&lt;'Entry Builder'!$E$11),--(INDEX(Sims!$A147:$BO147,'Entry Builder'!$L$11)&gt;'Entry Builder'!$E$11)))</f>
        <v/>
      </c>
      <c r="F147">
        <f>IF('Entry Builder'!$N$12=0,1,IF('Entry Builder'!$D$12="Less",--(INDEX(Sims!$A147:$BO147,'Entry Builder'!$L$12)&lt;'Entry Builder'!$E$12),--(INDEX(Sims!$A147:$BO147,'Entry Builder'!$L$12)&gt;'Entry Builder'!$E$12)))</f>
        <v/>
      </c>
      <c r="G147">
        <f>6-SUM(A147:F147)</f>
        <v/>
      </c>
    </row>
    <row r="148">
      <c r="A148">
        <f>IF('Entry Builder'!$N$7=0,1,IF('Entry Builder'!$D$7="Less",--(INDEX(Sims!$A148:$BO148,'Entry Builder'!$L$7)&lt;'Entry Builder'!$E$7),--(INDEX(Sims!$A148:$BO148,'Entry Builder'!$L$7)&gt;'Entry Builder'!$E$7)))</f>
        <v/>
      </c>
      <c r="B148">
        <f>IF('Entry Builder'!$N$8=0,1,IF('Entry Builder'!$D$8="Less",--(INDEX(Sims!$A148:$BO148,'Entry Builder'!$L$8)&lt;'Entry Builder'!$E$8),--(INDEX(Sims!$A148:$BO148,'Entry Builder'!$L$8)&gt;'Entry Builder'!$E$8)))</f>
        <v/>
      </c>
      <c r="C148">
        <f>IF('Entry Builder'!$N$9=0,1,IF('Entry Builder'!$D$9="Less",--(INDEX(Sims!$A148:$BO148,'Entry Builder'!$L$9)&lt;'Entry Builder'!$E$9),--(INDEX(Sims!$A148:$BO148,'Entry Builder'!$L$9)&gt;'Entry Builder'!$E$9)))</f>
        <v/>
      </c>
      <c r="D148">
        <f>IF('Entry Builder'!$N$10=0,1,IF('Entry Builder'!$D$10="Less",--(INDEX(Sims!$A148:$BO148,'Entry Builder'!$L$10)&lt;'Entry Builder'!$E$10),--(INDEX(Sims!$A148:$BO148,'Entry Builder'!$L$10)&gt;'Entry Builder'!$E$10)))</f>
        <v/>
      </c>
      <c r="E148">
        <f>IF('Entry Builder'!$N$11=0,1,IF('Entry Builder'!$D$11="Less",--(INDEX(Sims!$A148:$BO148,'Entry Builder'!$L$11)&lt;'Entry Builder'!$E$11),--(INDEX(Sims!$A148:$BO148,'Entry Builder'!$L$11)&gt;'Entry Builder'!$E$11)))</f>
        <v/>
      </c>
      <c r="F148">
        <f>IF('Entry Builder'!$N$12=0,1,IF('Entry Builder'!$D$12="Less",--(INDEX(Sims!$A148:$BO148,'Entry Builder'!$L$12)&lt;'Entry Builder'!$E$12),--(INDEX(Sims!$A148:$BO148,'Entry Builder'!$L$12)&gt;'Entry Builder'!$E$12)))</f>
        <v/>
      </c>
      <c r="G148">
        <f>6-SUM(A148:F148)</f>
        <v/>
      </c>
    </row>
    <row r="149">
      <c r="A149">
        <f>IF('Entry Builder'!$N$7=0,1,IF('Entry Builder'!$D$7="Less",--(INDEX(Sims!$A149:$BO149,'Entry Builder'!$L$7)&lt;'Entry Builder'!$E$7),--(INDEX(Sims!$A149:$BO149,'Entry Builder'!$L$7)&gt;'Entry Builder'!$E$7)))</f>
        <v/>
      </c>
      <c r="B149">
        <f>IF('Entry Builder'!$N$8=0,1,IF('Entry Builder'!$D$8="Less",--(INDEX(Sims!$A149:$BO149,'Entry Builder'!$L$8)&lt;'Entry Builder'!$E$8),--(INDEX(Sims!$A149:$BO149,'Entry Builder'!$L$8)&gt;'Entry Builder'!$E$8)))</f>
        <v/>
      </c>
      <c r="C149">
        <f>IF('Entry Builder'!$N$9=0,1,IF('Entry Builder'!$D$9="Less",--(INDEX(Sims!$A149:$BO149,'Entry Builder'!$L$9)&lt;'Entry Builder'!$E$9),--(INDEX(Sims!$A149:$BO149,'Entry Builder'!$L$9)&gt;'Entry Builder'!$E$9)))</f>
        <v/>
      </c>
      <c r="D149">
        <f>IF('Entry Builder'!$N$10=0,1,IF('Entry Builder'!$D$10="Less",--(INDEX(Sims!$A149:$BO149,'Entry Builder'!$L$10)&lt;'Entry Builder'!$E$10),--(INDEX(Sims!$A149:$BO149,'Entry Builder'!$L$10)&gt;'Entry Builder'!$E$10)))</f>
        <v/>
      </c>
      <c r="E149">
        <f>IF('Entry Builder'!$N$11=0,1,IF('Entry Builder'!$D$11="Less",--(INDEX(Sims!$A149:$BO149,'Entry Builder'!$L$11)&lt;'Entry Builder'!$E$11),--(INDEX(Sims!$A149:$BO149,'Entry Builder'!$L$11)&gt;'Entry Builder'!$E$11)))</f>
        <v/>
      </c>
      <c r="F149">
        <f>IF('Entry Builder'!$N$12=0,1,IF('Entry Builder'!$D$12="Less",--(INDEX(Sims!$A149:$BO149,'Entry Builder'!$L$12)&lt;'Entry Builder'!$E$12),--(INDEX(Sims!$A149:$BO149,'Entry Builder'!$L$12)&gt;'Entry Builder'!$E$12)))</f>
        <v/>
      </c>
      <c r="G149">
        <f>6-SUM(A149:F149)</f>
        <v/>
      </c>
    </row>
    <row r="150">
      <c r="A150">
        <f>IF('Entry Builder'!$N$7=0,1,IF('Entry Builder'!$D$7="Less",--(INDEX(Sims!$A150:$BO150,'Entry Builder'!$L$7)&lt;'Entry Builder'!$E$7),--(INDEX(Sims!$A150:$BO150,'Entry Builder'!$L$7)&gt;'Entry Builder'!$E$7)))</f>
        <v/>
      </c>
      <c r="B150">
        <f>IF('Entry Builder'!$N$8=0,1,IF('Entry Builder'!$D$8="Less",--(INDEX(Sims!$A150:$BO150,'Entry Builder'!$L$8)&lt;'Entry Builder'!$E$8),--(INDEX(Sims!$A150:$BO150,'Entry Builder'!$L$8)&gt;'Entry Builder'!$E$8)))</f>
        <v/>
      </c>
      <c r="C150">
        <f>IF('Entry Builder'!$N$9=0,1,IF('Entry Builder'!$D$9="Less",--(INDEX(Sims!$A150:$BO150,'Entry Builder'!$L$9)&lt;'Entry Builder'!$E$9),--(INDEX(Sims!$A150:$BO150,'Entry Builder'!$L$9)&gt;'Entry Builder'!$E$9)))</f>
        <v/>
      </c>
      <c r="D150">
        <f>IF('Entry Builder'!$N$10=0,1,IF('Entry Builder'!$D$10="Less",--(INDEX(Sims!$A150:$BO150,'Entry Builder'!$L$10)&lt;'Entry Builder'!$E$10),--(INDEX(Sims!$A150:$BO150,'Entry Builder'!$L$10)&gt;'Entry Builder'!$E$10)))</f>
        <v/>
      </c>
      <c r="E150">
        <f>IF('Entry Builder'!$N$11=0,1,IF('Entry Builder'!$D$11="Less",--(INDEX(Sims!$A150:$BO150,'Entry Builder'!$L$11)&lt;'Entry Builder'!$E$11),--(INDEX(Sims!$A150:$BO150,'Entry Builder'!$L$11)&gt;'Entry Builder'!$E$11)))</f>
        <v/>
      </c>
      <c r="F150">
        <f>IF('Entry Builder'!$N$12=0,1,IF('Entry Builder'!$D$12="Less",--(INDEX(Sims!$A150:$BO150,'Entry Builder'!$L$12)&lt;'Entry Builder'!$E$12),--(INDEX(Sims!$A150:$BO150,'Entry Builder'!$L$12)&gt;'Entry Builder'!$E$12)))</f>
        <v/>
      </c>
      <c r="G150">
        <f>6-SUM(A150:F150)</f>
        <v/>
      </c>
    </row>
    <row r="151">
      <c r="A151">
        <f>IF('Entry Builder'!$N$7=0,1,IF('Entry Builder'!$D$7="Less",--(INDEX(Sims!$A151:$BO151,'Entry Builder'!$L$7)&lt;'Entry Builder'!$E$7),--(INDEX(Sims!$A151:$BO151,'Entry Builder'!$L$7)&gt;'Entry Builder'!$E$7)))</f>
        <v/>
      </c>
      <c r="B151">
        <f>IF('Entry Builder'!$N$8=0,1,IF('Entry Builder'!$D$8="Less",--(INDEX(Sims!$A151:$BO151,'Entry Builder'!$L$8)&lt;'Entry Builder'!$E$8),--(INDEX(Sims!$A151:$BO151,'Entry Builder'!$L$8)&gt;'Entry Builder'!$E$8)))</f>
        <v/>
      </c>
      <c r="C151">
        <f>IF('Entry Builder'!$N$9=0,1,IF('Entry Builder'!$D$9="Less",--(INDEX(Sims!$A151:$BO151,'Entry Builder'!$L$9)&lt;'Entry Builder'!$E$9),--(INDEX(Sims!$A151:$BO151,'Entry Builder'!$L$9)&gt;'Entry Builder'!$E$9)))</f>
        <v/>
      </c>
      <c r="D151">
        <f>IF('Entry Builder'!$N$10=0,1,IF('Entry Builder'!$D$10="Less",--(INDEX(Sims!$A151:$BO151,'Entry Builder'!$L$10)&lt;'Entry Builder'!$E$10),--(INDEX(Sims!$A151:$BO151,'Entry Builder'!$L$10)&gt;'Entry Builder'!$E$10)))</f>
        <v/>
      </c>
      <c r="E151">
        <f>IF('Entry Builder'!$N$11=0,1,IF('Entry Builder'!$D$11="Less",--(INDEX(Sims!$A151:$BO151,'Entry Builder'!$L$11)&lt;'Entry Builder'!$E$11),--(INDEX(Sims!$A151:$BO151,'Entry Builder'!$L$11)&gt;'Entry Builder'!$E$11)))</f>
        <v/>
      </c>
      <c r="F151">
        <f>IF('Entry Builder'!$N$12=0,1,IF('Entry Builder'!$D$12="Less",--(INDEX(Sims!$A151:$BO151,'Entry Builder'!$L$12)&lt;'Entry Builder'!$E$12),--(INDEX(Sims!$A151:$BO151,'Entry Builder'!$L$12)&gt;'Entry Builder'!$E$12)))</f>
        <v/>
      </c>
      <c r="G151">
        <f>6-SUM(A151:F151)</f>
        <v/>
      </c>
    </row>
    <row r="152">
      <c r="A152">
        <f>IF('Entry Builder'!$N$7=0,1,IF('Entry Builder'!$D$7="Less",--(INDEX(Sims!$A152:$BO152,'Entry Builder'!$L$7)&lt;'Entry Builder'!$E$7),--(INDEX(Sims!$A152:$BO152,'Entry Builder'!$L$7)&gt;'Entry Builder'!$E$7)))</f>
        <v/>
      </c>
      <c r="B152">
        <f>IF('Entry Builder'!$N$8=0,1,IF('Entry Builder'!$D$8="Less",--(INDEX(Sims!$A152:$BO152,'Entry Builder'!$L$8)&lt;'Entry Builder'!$E$8),--(INDEX(Sims!$A152:$BO152,'Entry Builder'!$L$8)&gt;'Entry Builder'!$E$8)))</f>
        <v/>
      </c>
      <c r="C152">
        <f>IF('Entry Builder'!$N$9=0,1,IF('Entry Builder'!$D$9="Less",--(INDEX(Sims!$A152:$BO152,'Entry Builder'!$L$9)&lt;'Entry Builder'!$E$9),--(INDEX(Sims!$A152:$BO152,'Entry Builder'!$L$9)&gt;'Entry Builder'!$E$9)))</f>
        <v/>
      </c>
      <c r="D152">
        <f>IF('Entry Builder'!$N$10=0,1,IF('Entry Builder'!$D$10="Less",--(INDEX(Sims!$A152:$BO152,'Entry Builder'!$L$10)&lt;'Entry Builder'!$E$10),--(INDEX(Sims!$A152:$BO152,'Entry Builder'!$L$10)&gt;'Entry Builder'!$E$10)))</f>
        <v/>
      </c>
      <c r="E152">
        <f>IF('Entry Builder'!$N$11=0,1,IF('Entry Builder'!$D$11="Less",--(INDEX(Sims!$A152:$BO152,'Entry Builder'!$L$11)&lt;'Entry Builder'!$E$11),--(INDEX(Sims!$A152:$BO152,'Entry Builder'!$L$11)&gt;'Entry Builder'!$E$11)))</f>
        <v/>
      </c>
      <c r="F152">
        <f>IF('Entry Builder'!$N$12=0,1,IF('Entry Builder'!$D$12="Less",--(INDEX(Sims!$A152:$BO152,'Entry Builder'!$L$12)&lt;'Entry Builder'!$E$12),--(INDEX(Sims!$A152:$BO152,'Entry Builder'!$L$12)&gt;'Entry Builder'!$E$12)))</f>
        <v/>
      </c>
      <c r="G152">
        <f>6-SUM(A152:F152)</f>
        <v/>
      </c>
    </row>
    <row r="153">
      <c r="A153">
        <f>IF('Entry Builder'!$N$7=0,1,IF('Entry Builder'!$D$7="Less",--(INDEX(Sims!$A153:$BO153,'Entry Builder'!$L$7)&lt;'Entry Builder'!$E$7),--(INDEX(Sims!$A153:$BO153,'Entry Builder'!$L$7)&gt;'Entry Builder'!$E$7)))</f>
        <v/>
      </c>
      <c r="B153">
        <f>IF('Entry Builder'!$N$8=0,1,IF('Entry Builder'!$D$8="Less",--(INDEX(Sims!$A153:$BO153,'Entry Builder'!$L$8)&lt;'Entry Builder'!$E$8),--(INDEX(Sims!$A153:$BO153,'Entry Builder'!$L$8)&gt;'Entry Builder'!$E$8)))</f>
        <v/>
      </c>
      <c r="C153">
        <f>IF('Entry Builder'!$N$9=0,1,IF('Entry Builder'!$D$9="Less",--(INDEX(Sims!$A153:$BO153,'Entry Builder'!$L$9)&lt;'Entry Builder'!$E$9),--(INDEX(Sims!$A153:$BO153,'Entry Builder'!$L$9)&gt;'Entry Builder'!$E$9)))</f>
        <v/>
      </c>
      <c r="D153">
        <f>IF('Entry Builder'!$N$10=0,1,IF('Entry Builder'!$D$10="Less",--(INDEX(Sims!$A153:$BO153,'Entry Builder'!$L$10)&lt;'Entry Builder'!$E$10),--(INDEX(Sims!$A153:$BO153,'Entry Builder'!$L$10)&gt;'Entry Builder'!$E$10)))</f>
        <v/>
      </c>
      <c r="E153">
        <f>IF('Entry Builder'!$N$11=0,1,IF('Entry Builder'!$D$11="Less",--(INDEX(Sims!$A153:$BO153,'Entry Builder'!$L$11)&lt;'Entry Builder'!$E$11),--(INDEX(Sims!$A153:$BO153,'Entry Builder'!$L$11)&gt;'Entry Builder'!$E$11)))</f>
        <v/>
      </c>
      <c r="F153">
        <f>IF('Entry Builder'!$N$12=0,1,IF('Entry Builder'!$D$12="Less",--(INDEX(Sims!$A153:$BO153,'Entry Builder'!$L$12)&lt;'Entry Builder'!$E$12),--(INDEX(Sims!$A153:$BO153,'Entry Builder'!$L$12)&gt;'Entry Builder'!$E$12)))</f>
        <v/>
      </c>
      <c r="G153">
        <f>6-SUM(A153:F153)</f>
        <v/>
      </c>
    </row>
    <row r="154">
      <c r="A154">
        <f>IF('Entry Builder'!$N$7=0,1,IF('Entry Builder'!$D$7="Less",--(INDEX(Sims!$A154:$BO154,'Entry Builder'!$L$7)&lt;'Entry Builder'!$E$7),--(INDEX(Sims!$A154:$BO154,'Entry Builder'!$L$7)&gt;'Entry Builder'!$E$7)))</f>
        <v/>
      </c>
      <c r="B154">
        <f>IF('Entry Builder'!$N$8=0,1,IF('Entry Builder'!$D$8="Less",--(INDEX(Sims!$A154:$BO154,'Entry Builder'!$L$8)&lt;'Entry Builder'!$E$8),--(INDEX(Sims!$A154:$BO154,'Entry Builder'!$L$8)&gt;'Entry Builder'!$E$8)))</f>
        <v/>
      </c>
      <c r="C154">
        <f>IF('Entry Builder'!$N$9=0,1,IF('Entry Builder'!$D$9="Less",--(INDEX(Sims!$A154:$BO154,'Entry Builder'!$L$9)&lt;'Entry Builder'!$E$9),--(INDEX(Sims!$A154:$BO154,'Entry Builder'!$L$9)&gt;'Entry Builder'!$E$9)))</f>
        <v/>
      </c>
      <c r="D154">
        <f>IF('Entry Builder'!$N$10=0,1,IF('Entry Builder'!$D$10="Less",--(INDEX(Sims!$A154:$BO154,'Entry Builder'!$L$10)&lt;'Entry Builder'!$E$10),--(INDEX(Sims!$A154:$BO154,'Entry Builder'!$L$10)&gt;'Entry Builder'!$E$10)))</f>
        <v/>
      </c>
      <c r="E154">
        <f>IF('Entry Builder'!$N$11=0,1,IF('Entry Builder'!$D$11="Less",--(INDEX(Sims!$A154:$BO154,'Entry Builder'!$L$11)&lt;'Entry Builder'!$E$11),--(INDEX(Sims!$A154:$BO154,'Entry Builder'!$L$11)&gt;'Entry Builder'!$E$11)))</f>
        <v/>
      </c>
      <c r="F154">
        <f>IF('Entry Builder'!$N$12=0,1,IF('Entry Builder'!$D$12="Less",--(INDEX(Sims!$A154:$BO154,'Entry Builder'!$L$12)&lt;'Entry Builder'!$E$12),--(INDEX(Sims!$A154:$BO154,'Entry Builder'!$L$12)&gt;'Entry Builder'!$E$12)))</f>
        <v/>
      </c>
      <c r="G154">
        <f>6-SUM(A154:F154)</f>
        <v/>
      </c>
    </row>
    <row r="155">
      <c r="A155">
        <f>IF('Entry Builder'!$N$7=0,1,IF('Entry Builder'!$D$7="Less",--(INDEX(Sims!$A155:$BO155,'Entry Builder'!$L$7)&lt;'Entry Builder'!$E$7),--(INDEX(Sims!$A155:$BO155,'Entry Builder'!$L$7)&gt;'Entry Builder'!$E$7)))</f>
        <v/>
      </c>
      <c r="B155">
        <f>IF('Entry Builder'!$N$8=0,1,IF('Entry Builder'!$D$8="Less",--(INDEX(Sims!$A155:$BO155,'Entry Builder'!$L$8)&lt;'Entry Builder'!$E$8),--(INDEX(Sims!$A155:$BO155,'Entry Builder'!$L$8)&gt;'Entry Builder'!$E$8)))</f>
        <v/>
      </c>
      <c r="C155">
        <f>IF('Entry Builder'!$N$9=0,1,IF('Entry Builder'!$D$9="Less",--(INDEX(Sims!$A155:$BO155,'Entry Builder'!$L$9)&lt;'Entry Builder'!$E$9),--(INDEX(Sims!$A155:$BO155,'Entry Builder'!$L$9)&gt;'Entry Builder'!$E$9)))</f>
        <v/>
      </c>
      <c r="D155">
        <f>IF('Entry Builder'!$N$10=0,1,IF('Entry Builder'!$D$10="Less",--(INDEX(Sims!$A155:$BO155,'Entry Builder'!$L$10)&lt;'Entry Builder'!$E$10),--(INDEX(Sims!$A155:$BO155,'Entry Builder'!$L$10)&gt;'Entry Builder'!$E$10)))</f>
        <v/>
      </c>
      <c r="E155">
        <f>IF('Entry Builder'!$N$11=0,1,IF('Entry Builder'!$D$11="Less",--(INDEX(Sims!$A155:$BO155,'Entry Builder'!$L$11)&lt;'Entry Builder'!$E$11),--(INDEX(Sims!$A155:$BO155,'Entry Builder'!$L$11)&gt;'Entry Builder'!$E$11)))</f>
        <v/>
      </c>
      <c r="F155">
        <f>IF('Entry Builder'!$N$12=0,1,IF('Entry Builder'!$D$12="Less",--(INDEX(Sims!$A155:$BO155,'Entry Builder'!$L$12)&lt;'Entry Builder'!$E$12),--(INDEX(Sims!$A155:$BO155,'Entry Builder'!$L$12)&gt;'Entry Builder'!$E$12)))</f>
        <v/>
      </c>
      <c r="G155">
        <f>6-SUM(A155:F155)</f>
        <v/>
      </c>
    </row>
    <row r="156">
      <c r="A156">
        <f>IF('Entry Builder'!$N$7=0,1,IF('Entry Builder'!$D$7="Less",--(INDEX(Sims!$A156:$BO156,'Entry Builder'!$L$7)&lt;'Entry Builder'!$E$7),--(INDEX(Sims!$A156:$BO156,'Entry Builder'!$L$7)&gt;'Entry Builder'!$E$7)))</f>
        <v/>
      </c>
      <c r="B156">
        <f>IF('Entry Builder'!$N$8=0,1,IF('Entry Builder'!$D$8="Less",--(INDEX(Sims!$A156:$BO156,'Entry Builder'!$L$8)&lt;'Entry Builder'!$E$8),--(INDEX(Sims!$A156:$BO156,'Entry Builder'!$L$8)&gt;'Entry Builder'!$E$8)))</f>
        <v/>
      </c>
      <c r="C156">
        <f>IF('Entry Builder'!$N$9=0,1,IF('Entry Builder'!$D$9="Less",--(INDEX(Sims!$A156:$BO156,'Entry Builder'!$L$9)&lt;'Entry Builder'!$E$9),--(INDEX(Sims!$A156:$BO156,'Entry Builder'!$L$9)&gt;'Entry Builder'!$E$9)))</f>
        <v/>
      </c>
      <c r="D156">
        <f>IF('Entry Builder'!$N$10=0,1,IF('Entry Builder'!$D$10="Less",--(INDEX(Sims!$A156:$BO156,'Entry Builder'!$L$10)&lt;'Entry Builder'!$E$10),--(INDEX(Sims!$A156:$BO156,'Entry Builder'!$L$10)&gt;'Entry Builder'!$E$10)))</f>
        <v/>
      </c>
      <c r="E156">
        <f>IF('Entry Builder'!$N$11=0,1,IF('Entry Builder'!$D$11="Less",--(INDEX(Sims!$A156:$BO156,'Entry Builder'!$L$11)&lt;'Entry Builder'!$E$11),--(INDEX(Sims!$A156:$BO156,'Entry Builder'!$L$11)&gt;'Entry Builder'!$E$11)))</f>
        <v/>
      </c>
      <c r="F156">
        <f>IF('Entry Builder'!$N$12=0,1,IF('Entry Builder'!$D$12="Less",--(INDEX(Sims!$A156:$BO156,'Entry Builder'!$L$12)&lt;'Entry Builder'!$E$12),--(INDEX(Sims!$A156:$BO156,'Entry Builder'!$L$12)&gt;'Entry Builder'!$E$12)))</f>
        <v/>
      </c>
      <c r="G156">
        <f>6-SUM(A156:F156)</f>
        <v/>
      </c>
    </row>
    <row r="157">
      <c r="A157">
        <f>IF('Entry Builder'!$N$7=0,1,IF('Entry Builder'!$D$7="Less",--(INDEX(Sims!$A157:$BO157,'Entry Builder'!$L$7)&lt;'Entry Builder'!$E$7),--(INDEX(Sims!$A157:$BO157,'Entry Builder'!$L$7)&gt;'Entry Builder'!$E$7)))</f>
        <v/>
      </c>
      <c r="B157">
        <f>IF('Entry Builder'!$N$8=0,1,IF('Entry Builder'!$D$8="Less",--(INDEX(Sims!$A157:$BO157,'Entry Builder'!$L$8)&lt;'Entry Builder'!$E$8),--(INDEX(Sims!$A157:$BO157,'Entry Builder'!$L$8)&gt;'Entry Builder'!$E$8)))</f>
        <v/>
      </c>
      <c r="C157">
        <f>IF('Entry Builder'!$N$9=0,1,IF('Entry Builder'!$D$9="Less",--(INDEX(Sims!$A157:$BO157,'Entry Builder'!$L$9)&lt;'Entry Builder'!$E$9),--(INDEX(Sims!$A157:$BO157,'Entry Builder'!$L$9)&gt;'Entry Builder'!$E$9)))</f>
        <v/>
      </c>
      <c r="D157">
        <f>IF('Entry Builder'!$N$10=0,1,IF('Entry Builder'!$D$10="Less",--(INDEX(Sims!$A157:$BO157,'Entry Builder'!$L$10)&lt;'Entry Builder'!$E$10),--(INDEX(Sims!$A157:$BO157,'Entry Builder'!$L$10)&gt;'Entry Builder'!$E$10)))</f>
        <v/>
      </c>
      <c r="E157">
        <f>IF('Entry Builder'!$N$11=0,1,IF('Entry Builder'!$D$11="Less",--(INDEX(Sims!$A157:$BO157,'Entry Builder'!$L$11)&lt;'Entry Builder'!$E$11),--(INDEX(Sims!$A157:$BO157,'Entry Builder'!$L$11)&gt;'Entry Builder'!$E$11)))</f>
        <v/>
      </c>
      <c r="F157">
        <f>IF('Entry Builder'!$N$12=0,1,IF('Entry Builder'!$D$12="Less",--(INDEX(Sims!$A157:$BO157,'Entry Builder'!$L$12)&lt;'Entry Builder'!$E$12),--(INDEX(Sims!$A157:$BO157,'Entry Builder'!$L$12)&gt;'Entry Builder'!$E$12)))</f>
        <v/>
      </c>
      <c r="G157">
        <f>6-SUM(A157:F157)</f>
        <v/>
      </c>
    </row>
    <row r="158">
      <c r="A158">
        <f>IF('Entry Builder'!$N$7=0,1,IF('Entry Builder'!$D$7="Less",--(INDEX(Sims!$A158:$BO158,'Entry Builder'!$L$7)&lt;'Entry Builder'!$E$7),--(INDEX(Sims!$A158:$BO158,'Entry Builder'!$L$7)&gt;'Entry Builder'!$E$7)))</f>
        <v/>
      </c>
      <c r="B158">
        <f>IF('Entry Builder'!$N$8=0,1,IF('Entry Builder'!$D$8="Less",--(INDEX(Sims!$A158:$BO158,'Entry Builder'!$L$8)&lt;'Entry Builder'!$E$8),--(INDEX(Sims!$A158:$BO158,'Entry Builder'!$L$8)&gt;'Entry Builder'!$E$8)))</f>
        <v/>
      </c>
      <c r="C158">
        <f>IF('Entry Builder'!$N$9=0,1,IF('Entry Builder'!$D$9="Less",--(INDEX(Sims!$A158:$BO158,'Entry Builder'!$L$9)&lt;'Entry Builder'!$E$9),--(INDEX(Sims!$A158:$BO158,'Entry Builder'!$L$9)&gt;'Entry Builder'!$E$9)))</f>
        <v/>
      </c>
      <c r="D158">
        <f>IF('Entry Builder'!$N$10=0,1,IF('Entry Builder'!$D$10="Less",--(INDEX(Sims!$A158:$BO158,'Entry Builder'!$L$10)&lt;'Entry Builder'!$E$10),--(INDEX(Sims!$A158:$BO158,'Entry Builder'!$L$10)&gt;'Entry Builder'!$E$10)))</f>
        <v/>
      </c>
      <c r="E158">
        <f>IF('Entry Builder'!$N$11=0,1,IF('Entry Builder'!$D$11="Less",--(INDEX(Sims!$A158:$BO158,'Entry Builder'!$L$11)&lt;'Entry Builder'!$E$11),--(INDEX(Sims!$A158:$BO158,'Entry Builder'!$L$11)&gt;'Entry Builder'!$E$11)))</f>
        <v/>
      </c>
      <c r="F158">
        <f>IF('Entry Builder'!$N$12=0,1,IF('Entry Builder'!$D$12="Less",--(INDEX(Sims!$A158:$BO158,'Entry Builder'!$L$12)&lt;'Entry Builder'!$E$12),--(INDEX(Sims!$A158:$BO158,'Entry Builder'!$L$12)&gt;'Entry Builder'!$E$12)))</f>
        <v/>
      </c>
      <c r="G158">
        <f>6-SUM(A158:F158)</f>
        <v/>
      </c>
    </row>
    <row r="159">
      <c r="A159">
        <f>IF('Entry Builder'!$N$7=0,1,IF('Entry Builder'!$D$7="Less",--(INDEX(Sims!$A159:$BO159,'Entry Builder'!$L$7)&lt;'Entry Builder'!$E$7),--(INDEX(Sims!$A159:$BO159,'Entry Builder'!$L$7)&gt;'Entry Builder'!$E$7)))</f>
        <v/>
      </c>
      <c r="B159">
        <f>IF('Entry Builder'!$N$8=0,1,IF('Entry Builder'!$D$8="Less",--(INDEX(Sims!$A159:$BO159,'Entry Builder'!$L$8)&lt;'Entry Builder'!$E$8),--(INDEX(Sims!$A159:$BO159,'Entry Builder'!$L$8)&gt;'Entry Builder'!$E$8)))</f>
        <v/>
      </c>
      <c r="C159">
        <f>IF('Entry Builder'!$N$9=0,1,IF('Entry Builder'!$D$9="Less",--(INDEX(Sims!$A159:$BO159,'Entry Builder'!$L$9)&lt;'Entry Builder'!$E$9),--(INDEX(Sims!$A159:$BO159,'Entry Builder'!$L$9)&gt;'Entry Builder'!$E$9)))</f>
        <v/>
      </c>
      <c r="D159">
        <f>IF('Entry Builder'!$N$10=0,1,IF('Entry Builder'!$D$10="Less",--(INDEX(Sims!$A159:$BO159,'Entry Builder'!$L$10)&lt;'Entry Builder'!$E$10),--(INDEX(Sims!$A159:$BO159,'Entry Builder'!$L$10)&gt;'Entry Builder'!$E$10)))</f>
        <v/>
      </c>
      <c r="E159">
        <f>IF('Entry Builder'!$N$11=0,1,IF('Entry Builder'!$D$11="Less",--(INDEX(Sims!$A159:$BO159,'Entry Builder'!$L$11)&lt;'Entry Builder'!$E$11),--(INDEX(Sims!$A159:$BO159,'Entry Builder'!$L$11)&gt;'Entry Builder'!$E$11)))</f>
        <v/>
      </c>
      <c r="F159">
        <f>IF('Entry Builder'!$N$12=0,1,IF('Entry Builder'!$D$12="Less",--(INDEX(Sims!$A159:$BO159,'Entry Builder'!$L$12)&lt;'Entry Builder'!$E$12),--(INDEX(Sims!$A159:$BO159,'Entry Builder'!$L$12)&gt;'Entry Builder'!$E$12)))</f>
        <v/>
      </c>
      <c r="G159">
        <f>6-SUM(A159:F159)</f>
        <v/>
      </c>
    </row>
    <row r="160">
      <c r="A160">
        <f>IF('Entry Builder'!$N$7=0,1,IF('Entry Builder'!$D$7="Less",--(INDEX(Sims!$A160:$BO160,'Entry Builder'!$L$7)&lt;'Entry Builder'!$E$7),--(INDEX(Sims!$A160:$BO160,'Entry Builder'!$L$7)&gt;'Entry Builder'!$E$7)))</f>
        <v/>
      </c>
      <c r="B160">
        <f>IF('Entry Builder'!$N$8=0,1,IF('Entry Builder'!$D$8="Less",--(INDEX(Sims!$A160:$BO160,'Entry Builder'!$L$8)&lt;'Entry Builder'!$E$8),--(INDEX(Sims!$A160:$BO160,'Entry Builder'!$L$8)&gt;'Entry Builder'!$E$8)))</f>
        <v/>
      </c>
      <c r="C160">
        <f>IF('Entry Builder'!$N$9=0,1,IF('Entry Builder'!$D$9="Less",--(INDEX(Sims!$A160:$BO160,'Entry Builder'!$L$9)&lt;'Entry Builder'!$E$9),--(INDEX(Sims!$A160:$BO160,'Entry Builder'!$L$9)&gt;'Entry Builder'!$E$9)))</f>
        <v/>
      </c>
      <c r="D160">
        <f>IF('Entry Builder'!$N$10=0,1,IF('Entry Builder'!$D$10="Less",--(INDEX(Sims!$A160:$BO160,'Entry Builder'!$L$10)&lt;'Entry Builder'!$E$10),--(INDEX(Sims!$A160:$BO160,'Entry Builder'!$L$10)&gt;'Entry Builder'!$E$10)))</f>
        <v/>
      </c>
      <c r="E160">
        <f>IF('Entry Builder'!$N$11=0,1,IF('Entry Builder'!$D$11="Less",--(INDEX(Sims!$A160:$BO160,'Entry Builder'!$L$11)&lt;'Entry Builder'!$E$11),--(INDEX(Sims!$A160:$BO160,'Entry Builder'!$L$11)&gt;'Entry Builder'!$E$11)))</f>
        <v/>
      </c>
      <c r="F160">
        <f>IF('Entry Builder'!$N$12=0,1,IF('Entry Builder'!$D$12="Less",--(INDEX(Sims!$A160:$BO160,'Entry Builder'!$L$12)&lt;'Entry Builder'!$E$12),--(INDEX(Sims!$A160:$BO160,'Entry Builder'!$L$12)&gt;'Entry Builder'!$E$12)))</f>
        <v/>
      </c>
      <c r="G160">
        <f>6-SUM(A160:F160)</f>
        <v/>
      </c>
    </row>
    <row r="161">
      <c r="A161">
        <f>IF('Entry Builder'!$N$7=0,1,IF('Entry Builder'!$D$7="Less",--(INDEX(Sims!$A161:$BO161,'Entry Builder'!$L$7)&lt;'Entry Builder'!$E$7),--(INDEX(Sims!$A161:$BO161,'Entry Builder'!$L$7)&gt;'Entry Builder'!$E$7)))</f>
        <v/>
      </c>
      <c r="B161">
        <f>IF('Entry Builder'!$N$8=0,1,IF('Entry Builder'!$D$8="Less",--(INDEX(Sims!$A161:$BO161,'Entry Builder'!$L$8)&lt;'Entry Builder'!$E$8),--(INDEX(Sims!$A161:$BO161,'Entry Builder'!$L$8)&gt;'Entry Builder'!$E$8)))</f>
        <v/>
      </c>
      <c r="C161">
        <f>IF('Entry Builder'!$N$9=0,1,IF('Entry Builder'!$D$9="Less",--(INDEX(Sims!$A161:$BO161,'Entry Builder'!$L$9)&lt;'Entry Builder'!$E$9),--(INDEX(Sims!$A161:$BO161,'Entry Builder'!$L$9)&gt;'Entry Builder'!$E$9)))</f>
        <v/>
      </c>
      <c r="D161">
        <f>IF('Entry Builder'!$N$10=0,1,IF('Entry Builder'!$D$10="Less",--(INDEX(Sims!$A161:$BO161,'Entry Builder'!$L$10)&lt;'Entry Builder'!$E$10),--(INDEX(Sims!$A161:$BO161,'Entry Builder'!$L$10)&gt;'Entry Builder'!$E$10)))</f>
        <v/>
      </c>
      <c r="E161">
        <f>IF('Entry Builder'!$N$11=0,1,IF('Entry Builder'!$D$11="Less",--(INDEX(Sims!$A161:$BO161,'Entry Builder'!$L$11)&lt;'Entry Builder'!$E$11),--(INDEX(Sims!$A161:$BO161,'Entry Builder'!$L$11)&gt;'Entry Builder'!$E$11)))</f>
        <v/>
      </c>
      <c r="F161">
        <f>IF('Entry Builder'!$N$12=0,1,IF('Entry Builder'!$D$12="Less",--(INDEX(Sims!$A161:$BO161,'Entry Builder'!$L$12)&lt;'Entry Builder'!$E$12),--(INDEX(Sims!$A161:$BO161,'Entry Builder'!$L$12)&gt;'Entry Builder'!$E$12)))</f>
        <v/>
      </c>
      <c r="G161">
        <f>6-SUM(A161:F161)</f>
        <v/>
      </c>
    </row>
    <row r="162">
      <c r="A162">
        <f>IF('Entry Builder'!$N$7=0,1,IF('Entry Builder'!$D$7="Less",--(INDEX(Sims!$A162:$BO162,'Entry Builder'!$L$7)&lt;'Entry Builder'!$E$7),--(INDEX(Sims!$A162:$BO162,'Entry Builder'!$L$7)&gt;'Entry Builder'!$E$7)))</f>
        <v/>
      </c>
      <c r="B162">
        <f>IF('Entry Builder'!$N$8=0,1,IF('Entry Builder'!$D$8="Less",--(INDEX(Sims!$A162:$BO162,'Entry Builder'!$L$8)&lt;'Entry Builder'!$E$8),--(INDEX(Sims!$A162:$BO162,'Entry Builder'!$L$8)&gt;'Entry Builder'!$E$8)))</f>
        <v/>
      </c>
      <c r="C162">
        <f>IF('Entry Builder'!$N$9=0,1,IF('Entry Builder'!$D$9="Less",--(INDEX(Sims!$A162:$BO162,'Entry Builder'!$L$9)&lt;'Entry Builder'!$E$9),--(INDEX(Sims!$A162:$BO162,'Entry Builder'!$L$9)&gt;'Entry Builder'!$E$9)))</f>
        <v/>
      </c>
      <c r="D162">
        <f>IF('Entry Builder'!$N$10=0,1,IF('Entry Builder'!$D$10="Less",--(INDEX(Sims!$A162:$BO162,'Entry Builder'!$L$10)&lt;'Entry Builder'!$E$10),--(INDEX(Sims!$A162:$BO162,'Entry Builder'!$L$10)&gt;'Entry Builder'!$E$10)))</f>
        <v/>
      </c>
      <c r="E162">
        <f>IF('Entry Builder'!$N$11=0,1,IF('Entry Builder'!$D$11="Less",--(INDEX(Sims!$A162:$BO162,'Entry Builder'!$L$11)&lt;'Entry Builder'!$E$11),--(INDEX(Sims!$A162:$BO162,'Entry Builder'!$L$11)&gt;'Entry Builder'!$E$11)))</f>
        <v/>
      </c>
      <c r="F162">
        <f>IF('Entry Builder'!$N$12=0,1,IF('Entry Builder'!$D$12="Less",--(INDEX(Sims!$A162:$BO162,'Entry Builder'!$L$12)&lt;'Entry Builder'!$E$12),--(INDEX(Sims!$A162:$BO162,'Entry Builder'!$L$12)&gt;'Entry Builder'!$E$12)))</f>
        <v/>
      </c>
      <c r="G162">
        <f>6-SUM(A162:F162)</f>
        <v/>
      </c>
    </row>
    <row r="163">
      <c r="A163">
        <f>IF('Entry Builder'!$N$7=0,1,IF('Entry Builder'!$D$7="Less",--(INDEX(Sims!$A163:$BO163,'Entry Builder'!$L$7)&lt;'Entry Builder'!$E$7),--(INDEX(Sims!$A163:$BO163,'Entry Builder'!$L$7)&gt;'Entry Builder'!$E$7)))</f>
        <v/>
      </c>
      <c r="B163">
        <f>IF('Entry Builder'!$N$8=0,1,IF('Entry Builder'!$D$8="Less",--(INDEX(Sims!$A163:$BO163,'Entry Builder'!$L$8)&lt;'Entry Builder'!$E$8),--(INDEX(Sims!$A163:$BO163,'Entry Builder'!$L$8)&gt;'Entry Builder'!$E$8)))</f>
        <v/>
      </c>
      <c r="C163">
        <f>IF('Entry Builder'!$N$9=0,1,IF('Entry Builder'!$D$9="Less",--(INDEX(Sims!$A163:$BO163,'Entry Builder'!$L$9)&lt;'Entry Builder'!$E$9),--(INDEX(Sims!$A163:$BO163,'Entry Builder'!$L$9)&gt;'Entry Builder'!$E$9)))</f>
        <v/>
      </c>
      <c r="D163">
        <f>IF('Entry Builder'!$N$10=0,1,IF('Entry Builder'!$D$10="Less",--(INDEX(Sims!$A163:$BO163,'Entry Builder'!$L$10)&lt;'Entry Builder'!$E$10),--(INDEX(Sims!$A163:$BO163,'Entry Builder'!$L$10)&gt;'Entry Builder'!$E$10)))</f>
        <v/>
      </c>
      <c r="E163">
        <f>IF('Entry Builder'!$N$11=0,1,IF('Entry Builder'!$D$11="Less",--(INDEX(Sims!$A163:$BO163,'Entry Builder'!$L$11)&lt;'Entry Builder'!$E$11),--(INDEX(Sims!$A163:$BO163,'Entry Builder'!$L$11)&gt;'Entry Builder'!$E$11)))</f>
        <v/>
      </c>
      <c r="F163">
        <f>IF('Entry Builder'!$N$12=0,1,IF('Entry Builder'!$D$12="Less",--(INDEX(Sims!$A163:$BO163,'Entry Builder'!$L$12)&lt;'Entry Builder'!$E$12),--(INDEX(Sims!$A163:$BO163,'Entry Builder'!$L$12)&gt;'Entry Builder'!$E$12)))</f>
        <v/>
      </c>
      <c r="G163">
        <f>6-SUM(A163:F163)</f>
        <v/>
      </c>
    </row>
    <row r="164">
      <c r="A164">
        <f>IF('Entry Builder'!$N$7=0,1,IF('Entry Builder'!$D$7="Less",--(INDEX(Sims!$A164:$BO164,'Entry Builder'!$L$7)&lt;'Entry Builder'!$E$7),--(INDEX(Sims!$A164:$BO164,'Entry Builder'!$L$7)&gt;'Entry Builder'!$E$7)))</f>
        <v/>
      </c>
      <c r="B164">
        <f>IF('Entry Builder'!$N$8=0,1,IF('Entry Builder'!$D$8="Less",--(INDEX(Sims!$A164:$BO164,'Entry Builder'!$L$8)&lt;'Entry Builder'!$E$8),--(INDEX(Sims!$A164:$BO164,'Entry Builder'!$L$8)&gt;'Entry Builder'!$E$8)))</f>
        <v/>
      </c>
      <c r="C164">
        <f>IF('Entry Builder'!$N$9=0,1,IF('Entry Builder'!$D$9="Less",--(INDEX(Sims!$A164:$BO164,'Entry Builder'!$L$9)&lt;'Entry Builder'!$E$9),--(INDEX(Sims!$A164:$BO164,'Entry Builder'!$L$9)&gt;'Entry Builder'!$E$9)))</f>
        <v/>
      </c>
      <c r="D164">
        <f>IF('Entry Builder'!$N$10=0,1,IF('Entry Builder'!$D$10="Less",--(INDEX(Sims!$A164:$BO164,'Entry Builder'!$L$10)&lt;'Entry Builder'!$E$10),--(INDEX(Sims!$A164:$BO164,'Entry Builder'!$L$10)&gt;'Entry Builder'!$E$10)))</f>
        <v/>
      </c>
      <c r="E164">
        <f>IF('Entry Builder'!$N$11=0,1,IF('Entry Builder'!$D$11="Less",--(INDEX(Sims!$A164:$BO164,'Entry Builder'!$L$11)&lt;'Entry Builder'!$E$11),--(INDEX(Sims!$A164:$BO164,'Entry Builder'!$L$11)&gt;'Entry Builder'!$E$11)))</f>
        <v/>
      </c>
      <c r="F164">
        <f>IF('Entry Builder'!$N$12=0,1,IF('Entry Builder'!$D$12="Less",--(INDEX(Sims!$A164:$BO164,'Entry Builder'!$L$12)&lt;'Entry Builder'!$E$12),--(INDEX(Sims!$A164:$BO164,'Entry Builder'!$L$12)&gt;'Entry Builder'!$E$12)))</f>
        <v/>
      </c>
      <c r="G164">
        <f>6-SUM(A164:F164)</f>
        <v/>
      </c>
    </row>
    <row r="165">
      <c r="A165">
        <f>IF('Entry Builder'!$N$7=0,1,IF('Entry Builder'!$D$7="Less",--(INDEX(Sims!$A165:$BO165,'Entry Builder'!$L$7)&lt;'Entry Builder'!$E$7),--(INDEX(Sims!$A165:$BO165,'Entry Builder'!$L$7)&gt;'Entry Builder'!$E$7)))</f>
        <v/>
      </c>
      <c r="B165">
        <f>IF('Entry Builder'!$N$8=0,1,IF('Entry Builder'!$D$8="Less",--(INDEX(Sims!$A165:$BO165,'Entry Builder'!$L$8)&lt;'Entry Builder'!$E$8),--(INDEX(Sims!$A165:$BO165,'Entry Builder'!$L$8)&gt;'Entry Builder'!$E$8)))</f>
        <v/>
      </c>
      <c r="C165">
        <f>IF('Entry Builder'!$N$9=0,1,IF('Entry Builder'!$D$9="Less",--(INDEX(Sims!$A165:$BO165,'Entry Builder'!$L$9)&lt;'Entry Builder'!$E$9),--(INDEX(Sims!$A165:$BO165,'Entry Builder'!$L$9)&gt;'Entry Builder'!$E$9)))</f>
        <v/>
      </c>
      <c r="D165">
        <f>IF('Entry Builder'!$N$10=0,1,IF('Entry Builder'!$D$10="Less",--(INDEX(Sims!$A165:$BO165,'Entry Builder'!$L$10)&lt;'Entry Builder'!$E$10),--(INDEX(Sims!$A165:$BO165,'Entry Builder'!$L$10)&gt;'Entry Builder'!$E$10)))</f>
        <v/>
      </c>
      <c r="E165">
        <f>IF('Entry Builder'!$N$11=0,1,IF('Entry Builder'!$D$11="Less",--(INDEX(Sims!$A165:$BO165,'Entry Builder'!$L$11)&lt;'Entry Builder'!$E$11),--(INDEX(Sims!$A165:$BO165,'Entry Builder'!$L$11)&gt;'Entry Builder'!$E$11)))</f>
        <v/>
      </c>
      <c r="F165">
        <f>IF('Entry Builder'!$N$12=0,1,IF('Entry Builder'!$D$12="Less",--(INDEX(Sims!$A165:$BO165,'Entry Builder'!$L$12)&lt;'Entry Builder'!$E$12),--(INDEX(Sims!$A165:$BO165,'Entry Builder'!$L$12)&gt;'Entry Builder'!$E$12)))</f>
        <v/>
      </c>
      <c r="G165">
        <f>6-SUM(A165:F165)</f>
        <v/>
      </c>
    </row>
    <row r="166">
      <c r="A166">
        <f>IF('Entry Builder'!$N$7=0,1,IF('Entry Builder'!$D$7="Less",--(INDEX(Sims!$A166:$BO166,'Entry Builder'!$L$7)&lt;'Entry Builder'!$E$7),--(INDEX(Sims!$A166:$BO166,'Entry Builder'!$L$7)&gt;'Entry Builder'!$E$7)))</f>
        <v/>
      </c>
      <c r="B166">
        <f>IF('Entry Builder'!$N$8=0,1,IF('Entry Builder'!$D$8="Less",--(INDEX(Sims!$A166:$BO166,'Entry Builder'!$L$8)&lt;'Entry Builder'!$E$8),--(INDEX(Sims!$A166:$BO166,'Entry Builder'!$L$8)&gt;'Entry Builder'!$E$8)))</f>
        <v/>
      </c>
      <c r="C166">
        <f>IF('Entry Builder'!$N$9=0,1,IF('Entry Builder'!$D$9="Less",--(INDEX(Sims!$A166:$BO166,'Entry Builder'!$L$9)&lt;'Entry Builder'!$E$9),--(INDEX(Sims!$A166:$BO166,'Entry Builder'!$L$9)&gt;'Entry Builder'!$E$9)))</f>
        <v/>
      </c>
      <c r="D166">
        <f>IF('Entry Builder'!$N$10=0,1,IF('Entry Builder'!$D$10="Less",--(INDEX(Sims!$A166:$BO166,'Entry Builder'!$L$10)&lt;'Entry Builder'!$E$10),--(INDEX(Sims!$A166:$BO166,'Entry Builder'!$L$10)&gt;'Entry Builder'!$E$10)))</f>
        <v/>
      </c>
      <c r="E166">
        <f>IF('Entry Builder'!$N$11=0,1,IF('Entry Builder'!$D$11="Less",--(INDEX(Sims!$A166:$BO166,'Entry Builder'!$L$11)&lt;'Entry Builder'!$E$11),--(INDEX(Sims!$A166:$BO166,'Entry Builder'!$L$11)&gt;'Entry Builder'!$E$11)))</f>
        <v/>
      </c>
      <c r="F166">
        <f>IF('Entry Builder'!$N$12=0,1,IF('Entry Builder'!$D$12="Less",--(INDEX(Sims!$A166:$BO166,'Entry Builder'!$L$12)&lt;'Entry Builder'!$E$12),--(INDEX(Sims!$A166:$BO166,'Entry Builder'!$L$12)&gt;'Entry Builder'!$E$12)))</f>
        <v/>
      </c>
      <c r="G166">
        <f>6-SUM(A166:F166)</f>
        <v/>
      </c>
    </row>
    <row r="167">
      <c r="A167">
        <f>IF('Entry Builder'!$N$7=0,1,IF('Entry Builder'!$D$7="Less",--(INDEX(Sims!$A167:$BO167,'Entry Builder'!$L$7)&lt;'Entry Builder'!$E$7),--(INDEX(Sims!$A167:$BO167,'Entry Builder'!$L$7)&gt;'Entry Builder'!$E$7)))</f>
        <v/>
      </c>
      <c r="B167">
        <f>IF('Entry Builder'!$N$8=0,1,IF('Entry Builder'!$D$8="Less",--(INDEX(Sims!$A167:$BO167,'Entry Builder'!$L$8)&lt;'Entry Builder'!$E$8),--(INDEX(Sims!$A167:$BO167,'Entry Builder'!$L$8)&gt;'Entry Builder'!$E$8)))</f>
        <v/>
      </c>
      <c r="C167">
        <f>IF('Entry Builder'!$N$9=0,1,IF('Entry Builder'!$D$9="Less",--(INDEX(Sims!$A167:$BO167,'Entry Builder'!$L$9)&lt;'Entry Builder'!$E$9),--(INDEX(Sims!$A167:$BO167,'Entry Builder'!$L$9)&gt;'Entry Builder'!$E$9)))</f>
        <v/>
      </c>
      <c r="D167">
        <f>IF('Entry Builder'!$N$10=0,1,IF('Entry Builder'!$D$10="Less",--(INDEX(Sims!$A167:$BO167,'Entry Builder'!$L$10)&lt;'Entry Builder'!$E$10),--(INDEX(Sims!$A167:$BO167,'Entry Builder'!$L$10)&gt;'Entry Builder'!$E$10)))</f>
        <v/>
      </c>
      <c r="E167">
        <f>IF('Entry Builder'!$N$11=0,1,IF('Entry Builder'!$D$11="Less",--(INDEX(Sims!$A167:$BO167,'Entry Builder'!$L$11)&lt;'Entry Builder'!$E$11),--(INDEX(Sims!$A167:$BO167,'Entry Builder'!$L$11)&gt;'Entry Builder'!$E$11)))</f>
        <v/>
      </c>
      <c r="F167">
        <f>IF('Entry Builder'!$N$12=0,1,IF('Entry Builder'!$D$12="Less",--(INDEX(Sims!$A167:$BO167,'Entry Builder'!$L$12)&lt;'Entry Builder'!$E$12),--(INDEX(Sims!$A167:$BO167,'Entry Builder'!$L$12)&gt;'Entry Builder'!$E$12)))</f>
        <v/>
      </c>
      <c r="G167">
        <f>6-SUM(A167:F167)</f>
        <v/>
      </c>
    </row>
    <row r="168">
      <c r="A168">
        <f>IF('Entry Builder'!$N$7=0,1,IF('Entry Builder'!$D$7="Less",--(INDEX(Sims!$A168:$BO168,'Entry Builder'!$L$7)&lt;'Entry Builder'!$E$7),--(INDEX(Sims!$A168:$BO168,'Entry Builder'!$L$7)&gt;'Entry Builder'!$E$7)))</f>
        <v/>
      </c>
      <c r="B168">
        <f>IF('Entry Builder'!$N$8=0,1,IF('Entry Builder'!$D$8="Less",--(INDEX(Sims!$A168:$BO168,'Entry Builder'!$L$8)&lt;'Entry Builder'!$E$8),--(INDEX(Sims!$A168:$BO168,'Entry Builder'!$L$8)&gt;'Entry Builder'!$E$8)))</f>
        <v/>
      </c>
      <c r="C168">
        <f>IF('Entry Builder'!$N$9=0,1,IF('Entry Builder'!$D$9="Less",--(INDEX(Sims!$A168:$BO168,'Entry Builder'!$L$9)&lt;'Entry Builder'!$E$9),--(INDEX(Sims!$A168:$BO168,'Entry Builder'!$L$9)&gt;'Entry Builder'!$E$9)))</f>
        <v/>
      </c>
      <c r="D168">
        <f>IF('Entry Builder'!$N$10=0,1,IF('Entry Builder'!$D$10="Less",--(INDEX(Sims!$A168:$BO168,'Entry Builder'!$L$10)&lt;'Entry Builder'!$E$10),--(INDEX(Sims!$A168:$BO168,'Entry Builder'!$L$10)&gt;'Entry Builder'!$E$10)))</f>
        <v/>
      </c>
      <c r="E168">
        <f>IF('Entry Builder'!$N$11=0,1,IF('Entry Builder'!$D$11="Less",--(INDEX(Sims!$A168:$BO168,'Entry Builder'!$L$11)&lt;'Entry Builder'!$E$11),--(INDEX(Sims!$A168:$BO168,'Entry Builder'!$L$11)&gt;'Entry Builder'!$E$11)))</f>
        <v/>
      </c>
      <c r="F168">
        <f>IF('Entry Builder'!$N$12=0,1,IF('Entry Builder'!$D$12="Less",--(INDEX(Sims!$A168:$BO168,'Entry Builder'!$L$12)&lt;'Entry Builder'!$E$12),--(INDEX(Sims!$A168:$BO168,'Entry Builder'!$L$12)&gt;'Entry Builder'!$E$12)))</f>
        <v/>
      </c>
      <c r="G168">
        <f>6-SUM(A168:F168)</f>
        <v/>
      </c>
    </row>
    <row r="169">
      <c r="A169">
        <f>IF('Entry Builder'!$N$7=0,1,IF('Entry Builder'!$D$7="Less",--(INDEX(Sims!$A169:$BO169,'Entry Builder'!$L$7)&lt;'Entry Builder'!$E$7),--(INDEX(Sims!$A169:$BO169,'Entry Builder'!$L$7)&gt;'Entry Builder'!$E$7)))</f>
        <v/>
      </c>
      <c r="B169">
        <f>IF('Entry Builder'!$N$8=0,1,IF('Entry Builder'!$D$8="Less",--(INDEX(Sims!$A169:$BO169,'Entry Builder'!$L$8)&lt;'Entry Builder'!$E$8),--(INDEX(Sims!$A169:$BO169,'Entry Builder'!$L$8)&gt;'Entry Builder'!$E$8)))</f>
        <v/>
      </c>
      <c r="C169">
        <f>IF('Entry Builder'!$N$9=0,1,IF('Entry Builder'!$D$9="Less",--(INDEX(Sims!$A169:$BO169,'Entry Builder'!$L$9)&lt;'Entry Builder'!$E$9),--(INDEX(Sims!$A169:$BO169,'Entry Builder'!$L$9)&gt;'Entry Builder'!$E$9)))</f>
        <v/>
      </c>
      <c r="D169">
        <f>IF('Entry Builder'!$N$10=0,1,IF('Entry Builder'!$D$10="Less",--(INDEX(Sims!$A169:$BO169,'Entry Builder'!$L$10)&lt;'Entry Builder'!$E$10),--(INDEX(Sims!$A169:$BO169,'Entry Builder'!$L$10)&gt;'Entry Builder'!$E$10)))</f>
        <v/>
      </c>
      <c r="E169">
        <f>IF('Entry Builder'!$N$11=0,1,IF('Entry Builder'!$D$11="Less",--(INDEX(Sims!$A169:$BO169,'Entry Builder'!$L$11)&lt;'Entry Builder'!$E$11),--(INDEX(Sims!$A169:$BO169,'Entry Builder'!$L$11)&gt;'Entry Builder'!$E$11)))</f>
        <v/>
      </c>
      <c r="F169">
        <f>IF('Entry Builder'!$N$12=0,1,IF('Entry Builder'!$D$12="Less",--(INDEX(Sims!$A169:$BO169,'Entry Builder'!$L$12)&lt;'Entry Builder'!$E$12),--(INDEX(Sims!$A169:$BO169,'Entry Builder'!$L$12)&gt;'Entry Builder'!$E$12)))</f>
        <v/>
      </c>
      <c r="G169">
        <f>6-SUM(A169:F169)</f>
        <v/>
      </c>
    </row>
    <row r="170">
      <c r="A170">
        <f>IF('Entry Builder'!$N$7=0,1,IF('Entry Builder'!$D$7="Less",--(INDEX(Sims!$A170:$BO170,'Entry Builder'!$L$7)&lt;'Entry Builder'!$E$7),--(INDEX(Sims!$A170:$BO170,'Entry Builder'!$L$7)&gt;'Entry Builder'!$E$7)))</f>
        <v/>
      </c>
      <c r="B170">
        <f>IF('Entry Builder'!$N$8=0,1,IF('Entry Builder'!$D$8="Less",--(INDEX(Sims!$A170:$BO170,'Entry Builder'!$L$8)&lt;'Entry Builder'!$E$8),--(INDEX(Sims!$A170:$BO170,'Entry Builder'!$L$8)&gt;'Entry Builder'!$E$8)))</f>
        <v/>
      </c>
      <c r="C170">
        <f>IF('Entry Builder'!$N$9=0,1,IF('Entry Builder'!$D$9="Less",--(INDEX(Sims!$A170:$BO170,'Entry Builder'!$L$9)&lt;'Entry Builder'!$E$9),--(INDEX(Sims!$A170:$BO170,'Entry Builder'!$L$9)&gt;'Entry Builder'!$E$9)))</f>
        <v/>
      </c>
      <c r="D170">
        <f>IF('Entry Builder'!$N$10=0,1,IF('Entry Builder'!$D$10="Less",--(INDEX(Sims!$A170:$BO170,'Entry Builder'!$L$10)&lt;'Entry Builder'!$E$10),--(INDEX(Sims!$A170:$BO170,'Entry Builder'!$L$10)&gt;'Entry Builder'!$E$10)))</f>
        <v/>
      </c>
      <c r="E170">
        <f>IF('Entry Builder'!$N$11=0,1,IF('Entry Builder'!$D$11="Less",--(INDEX(Sims!$A170:$BO170,'Entry Builder'!$L$11)&lt;'Entry Builder'!$E$11),--(INDEX(Sims!$A170:$BO170,'Entry Builder'!$L$11)&gt;'Entry Builder'!$E$11)))</f>
        <v/>
      </c>
      <c r="F170">
        <f>IF('Entry Builder'!$N$12=0,1,IF('Entry Builder'!$D$12="Less",--(INDEX(Sims!$A170:$BO170,'Entry Builder'!$L$12)&lt;'Entry Builder'!$E$12),--(INDEX(Sims!$A170:$BO170,'Entry Builder'!$L$12)&gt;'Entry Builder'!$E$12)))</f>
        <v/>
      </c>
      <c r="G170">
        <f>6-SUM(A170:F170)</f>
        <v/>
      </c>
    </row>
    <row r="171">
      <c r="A171">
        <f>IF('Entry Builder'!$N$7=0,1,IF('Entry Builder'!$D$7="Less",--(INDEX(Sims!$A171:$BO171,'Entry Builder'!$L$7)&lt;'Entry Builder'!$E$7),--(INDEX(Sims!$A171:$BO171,'Entry Builder'!$L$7)&gt;'Entry Builder'!$E$7)))</f>
        <v/>
      </c>
      <c r="B171">
        <f>IF('Entry Builder'!$N$8=0,1,IF('Entry Builder'!$D$8="Less",--(INDEX(Sims!$A171:$BO171,'Entry Builder'!$L$8)&lt;'Entry Builder'!$E$8),--(INDEX(Sims!$A171:$BO171,'Entry Builder'!$L$8)&gt;'Entry Builder'!$E$8)))</f>
        <v/>
      </c>
      <c r="C171">
        <f>IF('Entry Builder'!$N$9=0,1,IF('Entry Builder'!$D$9="Less",--(INDEX(Sims!$A171:$BO171,'Entry Builder'!$L$9)&lt;'Entry Builder'!$E$9),--(INDEX(Sims!$A171:$BO171,'Entry Builder'!$L$9)&gt;'Entry Builder'!$E$9)))</f>
        <v/>
      </c>
      <c r="D171">
        <f>IF('Entry Builder'!$N$10=0,1,IF('Entry Builder'!$D$10="Less",--(INDEX(Sims!$A171:$BO171,'Entry Builder'!$L$10)&lt;'Entry Builder'!$E$10),--(INDEX(Sims!$A171:$BO171,'Entry Builder'!$L$10)&gt;'Entry Builder'!$E$10)))</f>
        <v/>
      </c>
      <c r="E171">
        <f>IF('Entry Builder'!$N$11=0,1,IF('Entry Builder'!$D$11="Less",--(INDEX(Sims!$A171:$BO171,'Entry Builder'!$L$11)&lt;'Entry Builder'!$E$11),--(INDEX(Sims!$A171:$BO171,'Entry Builder'!$L$11)&gt;'Entry Builder'!$E$11)))</f>
        <v/>
      </c>
      <c r="F171">
        <f>IF('Entry Builder'!$N$12=0,1,IF('Entry Builder'!$D$12="Less",--(INDEX(Sims!$A171:$BO171,'Entry Builder'!$L$12)&lt;'Entry Builder'!$E$12),--(INDEX(Sims!$A171:$BO171,'Entry Builder'!$L$12)&gt;'Entry Builder'!$E$12)))</f>
        <v/>
      </c>
      <c r="G171">
        <f>6-SUM(A171:F171)</f>
        <v/>
      </c>
    </row>
    <row r="172">
      <c r="A172">
        <f>IF('Entry Builder'!$N$7=0,1,IF('Entry Builder'!$D$7="Less",--(INDEX(Sims!$A172:$BO172,'Entry Builder'!$L$7)&lt;'Entry Builder'!$E$7),--(INDEX(Sims!$A172:$BO172,'Entry Builder'!$L$7)&gt;'Entry Builder'!$E$7)))</f>
        <v/>
      </c>
      <c r="B172">
        <f>IF('Entry Builder'!$N$8=0,1,IF('Entry Builder'!$D$8="Less",--(INDEX(Sims!$A172:$BO172,'Entry Builder'!$L$8)&lt;'Entry Builder'!$E$8),--(INDEX(Sims!$A172:$BO172,'Entry Builder'!$L$8)&gt;'Entry Builder'!$E$8)))</f>
        <v/>
      </c>
      <c r="C172">
        <f>IF('Entry Builder'!$N$9=0,1,IF('Entry Builder'!$D$9="Less",--(INDEX(Sims!$A172:$BO172,'Entry Builder'!$L$9)&lt;'Entry Builder'!$E$9),--(INDEX(Sims!$A172:$BO172,'Entry Builder'!$L$9)&gt;'Entry Builder'!$E$9)))</f>
        <v/>
      </c>
      <c r="D172">
        <f>IF('Entry Builder'!$N$10=0,1,IF('Entry Builder'!$D$10="Less",--(INDEX(Sims!$A172:$BO172,'Entry Builder'!$L$10)&lt;'Entry Builder'!$E$10),--(INDEX(Sims!$A172:$BO172,'Entry Builder'!$L$10)&gt;'Entry Builder'!$E$10)))</f>
        <v/>
      </c>
      <c r="E172">
        <f>IF('Entry Builder'!$N$11=0,1,IF('Entry Builder'!$D$11="Less",--(INDEX(Sims!$A172:$BO172,'Entry Builder'!$L$11)&lt;'Entry Builder'!$E$11),--(INDEX(Sims!$A172:$BO172,'Entry Builder'!$L$11)&gt;'Entry Builder'!$E$11)))</f>
        <v/>
      </c>
      <c r="F172">
        <f>IF('Entry Builder'!$N$12=0,1,IF('Entry Builder'!$D$12="Less",--(INDEX(Sims!$A172:$BO172,'Entry Builder'!$L$12)&lt;'Entry Builder'!$E$12),--(INDEX(Sims!$A172:$BO172,'Entry Builder'!$L$12)&gt;'Entry Builder'!$E$12)))</f>
        <v/>
      </c>
      <c r="G172">
        <f>6-SUM(A172:F172)</f>
        <v/>
      </c>
    </row>
    <row r="173">
      <c r="A173">
        <f>IF('Entry Builder'!$N$7=0,1,IF('Entry Builder'!$D$7="Less",--(INDEX(Sims!$A173:$BO173,'Entry Builder'!$L$7)&lt;'Entry Builder'!$E$7),--(INDEX(Sims!$A173:$BO173,'Entry Builder'!$L$7)&gt;'Entry Builder'!$E$7)))</f>
        <v/>
      </c>
      <c r="B173">
        <f>IF('Entry Builder'!$N$8=0,1,IF('Entry Builder'!$D$8="Less",--(INDEX(Sims!$A173:$BO173,'Entry Builder'!$L$8)&lt;'Entry Builder'!$E$8),--(INDEX(Sims!$A173:$BO173,'Entry Builder'!$L$8)&gt;'Entry Builder'!$E$8)))</f>
        <v/>
      </c>
      <c r="C173">
        <f>IF('Entry Builder'!$N$9=0,1,IF('Entry Builder'!$D$9="Less",--(INDEX(Sims!$A173:$BO173,'Entry Builder'!$L$9)&lt;'Entry Builder'!$E$9),--(INDEX(Sims!$A173:$BO173,'Entry Builder'!$L$9)&gt;'Entry Builder'!$E$9)))</f>
        <v/>
      </c>
      <c r="D173">
        <f>IF('Entry Builder'!$N$10=0,1,IF('Entry Builder'!$D$10="Less",--(INDEX(Sims!$A173:$BO173,'Entry Builder'!$L$10)&lt;'Entry Builder'!$E$10),--(INDEX(Sims!$A173:$BO173,'Entry Builder'!$L$10)&gt;'Entry Builder'!$E$10)))</f>
        <v/>
      </c>
      <c r="E173">
        <f>IF('Entry Builder'!$N$11=0,1,IF('Entry Builder'!$D$11="Less",--(INDEX(Sims!$A173:$BO173,'Entry Builder'!$L$11)&lt;'Entry Builder'!$E$11),--(INDEX(Sims!$A173:$BO173,'Entry Builder'!$L$11)&gt;'Entry Builder'!$E$11)))</f>
        <v/>
      </c>
      <c r="F173">
        <f>IF('Entry Builder'!$N$12=0,1,IF('Entry Builder'!$D$12="Less",--(INDEX(Sims!$A173:$BO173,'Entry Builder'!$L$12)&lt;'Entry Builder'!$E$12),--(INDEX(Sims!$A173:$BO173,'Entry Builder'!$L$12)&gt;'Entry Builder'!$E$12)))</f>
        <v/>
      </c>
      <c r="G173">
        <f>6-SUM(A173:F173)</f>
        <v/>
      </c>
    </row>
    <row r="174">
      <c r="A174">
        <f>IF('Entry Builder'!$N$7=0,1,IF('Entry Builder'!$D$7="Less",--(INDEX(Sims!$A174:$BO174,'Entry Builder'!$L$7)&lt;'Entry Builder'!$E$7),--(INDEX(Sims!$A174:$BO174,'Entry Builder'!$L$7)&gt;'Entry Builder'!$E$7)))</f>
        <v/>
      </c>
      <c r="B174">
        <f>IF('Entry Builder'!$N$8=0,1,IF('Entry Builder'!$D$8="Less",--(INDEX(Sims!$A174:$BO174,'Entry Builder'!$L$8)&lt;'Entry Builder'!$E$8),--(INDEX(Sims!$A174:$BO174,'Entry Builder'!$L$8)&gt;'Entry Builder'!$E$8)))</f>
        <v/>
      </c>
      <c r="C174">
        <f>IF('Entry Builder'!$N$9=0,1,IF('Entry Builder'!$D$9="Less",--(INDEX(Sims!$A174:$BO174,'Entry Builder'!$L$9)&lt;'Entry Builder'!$E$9),--(INDEX(Sims!$A174:$BO174,'Entry Builder'!$L$9)&gt;'Entry Builder'!$E$9)))</f>
        <v/>
      </c>
      <c r="D174">
        <f>IF('Entry Builder'!$N$10=0,1,IF('Entry Builder'!$D$10="Less",--(INDEX(Sims!$A174:$BO174,'Entry Builder'!$L$10)&lt;'Entry Builder'!$E$10),--(INDEX(Sims!$A174:$BO174,'Entry Builder'!$L$10)&gt;'Entry Builder'!$E$10)))</f>
        <v/>
      </c>
      <c r="E174">
        <f>IF('Entry Builder'!$N$11=0,1,IF('Entry Builder'!$D$11="Less",--(INDEX(Sims!$A174:$BO174,'Entry Builder'!$L$11)&lt;'Entry Builder'!$E$11),--(INDEX(Sims!$A174:$BO174,'Entry Builder'!$L$11)&gt;'Entry Builder'!$E$11)))</f>
        <v/>
      </c>
      <c r="F174">
        <f>IF('Entry Builder'!$N$12=0,1,IF('Entry Builder'!$D$12="Less",--(INDEX(Sims!$A174:$BO174,'Entry Builder'!$L$12)&lt;'Entry Builder'!$E$12),--(INDEX(Sims!$A174:$BO174,'Entry Builder'!$L$12)&gt;'Entry Builder'!$E$12)))</f>
        <v/>
      </c>
      <c r="G174">
        <f>6-SUM(A174:F174)</f>
        <v/>
      </c>
    </row>
    <row r="175">
      <c r="A175">
        <f>IF('Entry Builder'!$N$7=0,1,IF('Entry Builder'!$D$7="Less",--(INDEX(Sims!$A175:$BO175,'Entry Builder'!$L$7)&lt;'Entry Builder'!$E$7),--(INDEX(Sims!$A175:$BO175,'Entry Builder'!$L$7)&gt;'Entry Builder'!$E$7)))</f>
        <v/>
      </c>
      <c r="B175">
        <f>IF('Entry Builder'!$N$8=0,1,IF('Entry Builder'!$D$8="Less",--(INDEX(Sims!$A175:$BO175,'Entry Builder'!$L$8)&lt;'Entry Builder'!$E$8),--(INDEX(Sims!$A175:$BO175,'Entry Builder'!$L$8)&gt;'Entry Builder'!$E$8)))</f>
        <v/>
      </c>
      <c r="C175">
        <f>IF('Entry Builder'!$N$9=0,1,IF('Entry Builder'!$D$9="Less",--(INDEX(Sims!$A175:$BO175,'Entry Builder'!$L$9)&lt;'Entry Builder'!$E$9),--(INDEX(Sims!$A175:$BO175,'Entry Builder'!$L$9)&gt;'Entry Builder'!$E$9)))</f>
        <v/>
      </c>
      <c r="D175">
        <f>IF('Entry Builder'!$N$10=0,1,IF('Entry Builder'!$D$10="Less",--(INDEX(Sims!$A175:$BO175,'Entry Builder'!$L$10)&lt;'Entry Builder'!$E$10),--(INDEX(Sims!$A175:$BO175,'Entry Builder'!$L$10)&gt;'Entry Builder'!$E$10)))</f>
        <v/>
      </c>
      <c r="E175">
        <f>IF('Entry Builder'!$N$11=0,1,IF('Entry Builder'!$D$11="Less",--(INDEX(Sims!$A175:$BO175,'Entry Builder'!$L$11)&lt;'Entry Builder'!$E$11),--(INDEX(Sims!$A175:$BO175,'Entry Builder'!$L$11)&gt;'Entry Builder'!$E$11)))</f>
        <v/>
      </c>
      <c r="F175">
        <f>IF('Entry Builder'!$N$12=0,1,IF('Entry Builder'!$D$12="Less",--(INDEX(Sims!$A175:$BO175,'Entry Builder'!$L$12)&lt;'Entry Builder'!$E$12),--(INDEX(Sims!$A175:$BO175,'Entry Builder'!$L$12)&gt;'Entry Builder'!$E$12)))</f>
        <v/>
      </c>
      <c r="G175">
        <f>6-SUM(A175:F175)</f>
        <v/>
      </c>
    </row>
    <row r="176">
      <c r="A176">
        <f>IF('Entry Builder'!$N$7=0,1,IF('Entry Builder'!$D$7="Less",--(INDEX(Sims!$A176:$BO176,'Entry Builder'!$L$7)&lt;'Entry Builder'!$E$7),--(INDEX(Sims!$A176:$BO176,'Entry Builder'!$L$7)&gt;'Entry Builder'!$E$7)))</f>
        <v/>
      </c>
      <c r="B176">
        <f>IF('Entry Builder'!$N$8=0,1,IF('Entry Builder'!$D$8="Less",--(INDEX(Sims!$A176:$BO176,'Entry Builder'!$L$8)&lt;'Entry Builder'!$E$8),--(INDEX(Sims!$A176:$BO176,'Entry Builder'!$L$8)&gt;'Entry Builder'!$E$8)))</f>
        <v/>
      </c>
      <c r="C176">
        <f>IF('Entry Builder'!$N$9=0,1,IF('Entry Builder'!$D$9="Less",--(INDEX(Sims!$A176:$BO176,'Entry Builder'!$L$9)&lt;'Entry Builder'!$E$9),--(INDEX(Sims!$A176:$BO176,'Entry Builder'!$L$9)&gt;'Entry Builder'!$E$9)))</f>
        <v/>
      </c>
      <c r="D176">
        <f>IF('Entry Builder'!$N$10=0,1,IF('Entry Builder'!$D$10="Less",--(INDEX(Sims!$A176:$BO176,'Entry Builder'!$L$10)&lt;'Entry Builder'!$E$10),--(INDEX(Sims!$A176:$BO176,'Entry Builder'!$L$10)&gt;'Entry Builder'!$E$10)))</f>
        <v/>
      </c>
      <c r="E176">
        <f>IF('Entry Builder'!$N$11=0,1,IF('Entry Builder'!$D$11="Less",--(INDEX(Sims!$A176:$BO176,'Entry Builder'!$L$11)&lt;'Entry Builder'!$E$11),--(INDEX(Sims!$A176:$BO176,'Entry Builder'!$L$11)&gt;'Entry Builder'!$E$11)))</f>
        <v/>
      </c>
      <c r="F176">
        <f>IF('Entry Builder'!$N$12=0,1,IF('Entry Builder'!$D$12="Less",--(INDEX(Sims!$A176:$BO176,'Entry Builder'!$L$12)&lt;'Entry Builder'!$E$12),--(INDEX(Sims!$A176:$BO176,'Entry Builder'!$L$12)&gt;'Entry Builder'!$E$12)))</f>
        <v/>
      </c>
      <c r="G176">
        <f>6-SUM(A176:F176)</f>
        <v/>
      </c>
    </row>
    <row r="177">
      <c r="A177">
        <f>IF('Entry Builder'!$N$7=0,1,IF('Entry Builder'!$D$7="Less",--(INDEX(Sims!$A177:$BO177,'Entry Builder'!$L$7)&lt;'Entry Builder'!$E$7),--(INDEX(Sims!$A177:$BO177,'Entry Builder'!$L$7)&gt;'Entry Builder'!$E$7)))</f>
        <v/>
      </c>
      <c r="B177">
        <f>IF('Entry Builder'!$N$8=0,1,IF('Entry Builder'!$D$8="Less",--(INDEX(Sims!$A177:$BO177,'Entry Builder'!$L$8)&lt;'Entry Builder'!$E$8),--(INDEX(Sims!$A177:$BO177,'Entry Builder'!$L$8)&gt;'Entry Builder'!$E$8)))</f>
        <v/>
      </c>
      <c r="C177">
        <f>IF('Entry Builder'!$N$9=0,1,IF('Entry Builder'!$D$9="Less",--(INDEX(Sims!$A177:$BO177,'Entry Builder'!$L$9)&lt;'Entry Builder'!$E$9),--(INDEX(Sims!$A177:$BO177,'Entry Builder'!$L$9)&gt;'Entry Builder'!$E$9)))</f>
        <v/>
      </c>
      <c r="D177">
        <f>IF('Entry Builder'!$N$10=0,1,IF('Entry Builder'!$D$10="Less",--(INDEX(Sims!$A177:$BO177,'Entry Builder'!$L$10)&lt;'Entry Builder'!$E$10),--(INDEX(Sims!$A177:$BO177,'Entry Builder'!$L$10)&gt;'Entry Builder'!$E$10)))</f>
        <v/>
      </c>
      <c r="E177">
        <f>IF('Entry Builder'!$N$11=0,1,IF('Entry Builder'!$D$11="Less",--(INDEX(Sims!$A177:$BO177,'Entry Builder'!$L$11)&lt;'Entry Builder'!$E$11),--(INDEX(Sims!$A177:$BO177,'Entry Builder'!$L$11)&gt;'Entry Builder'!$E$11)))</f>
        <v/>
      </c>
      <c r="F177">
        <f>IF('Entry Builder'!$N$12=0,1,IF('Entry Builder'!$D$12="Less",--(INDEX(Sims!$A177:$BO177,'Entry Builder'!$L$12)&lt;'Entry Builder'!$E$12),--(INDEX(Sims!$A177:$BO177,'Entry Builder'!$L$12)&gt;'Entry Builder'!$E$12)))</f>
        <v/>
      </c>
      <c r="G177">
        <f>6-SUM(A177:F177)</f>
        <v/>
      </c>
    </row>
    <row r="178">
      <c r="A178">
        <f>IF('Entry Builder'!$N$7=0,1,IF('Entry Builder'!$D$7="Less",--(INDEX(Sims!$A178:$BO178,'Entry Builder'!$L$7)&lt;'Entry Builder'!$E$7),--(INDEX(Sims!$A178:$BO178,'Entry Builder'!$L$7)&gt;'Entry Builder'!$E$7)))</f>
        <v/>
      </c>
      <c r="B178">
        <f>IF('Entry Builder'!$N$8=0,1,IF('Entry Builder'!$D$8="Less",--(INDEX(Sims!$A178:$BO178,'Entry Builder'!$L$8)&lt;'Entry Builder'!$E$8),--(INDEX(Sims!$A178:$BO178,'Entry Builder'!$L$8)&gt;'Entry Builder'!$E$8)))</f>
        <v/>
      </c>
      <c r="C178">
        <f>IF('Entry Builder'!$N$9=0,1,IF('Entry Builder'!$D$9="Less",--(INDEX(Sims!$A178:$BO178,'Entry Builder'!$L$9)&lt;'Entry Builder'!$E$9),--(INDEX(Sims!$A178:$BO178,'Entry Builder'!$L$9)&gt;'Entry Builder'!$E$9)))</f>
        <v/>
      </c>
      <c r="D178">
        <f>IF('Entry Builder'!$N$10=0,1,IF('Entry Builder'!$D$10="Less",--(INDEX(Sims!$A178:$BO178,'Entry Builder'!$L$10)&lt;'Entry Builder'!$E$10),--(INDEX(Sims!$A178:$BO178,'Entry Builder'!$L$10)&gt;'Entry Builder'!$E$10)))</f>
        <v/>
      </c>
      <c r="E178">
        <f>IF('Entry Builder'!$N$11=0,1,IF('Entry Builder'!$D$11="Less",--(INDEX(Sims!$A178:$BO178,'Entry Builder'!$L$11)&lt;'Entry Builder'!$E$11),--(INDEX(Sims!$A178:$BO178,'Entry Builder'!$L$11)&gt;'Entry Builder'!$E$11)))</f>
        <v/>
      </c>
      <c r="F178">
        <f>IF('Entry Builder'!$N$12=0,1,IF('Entry Builder'!$D$12="Less",--(INDEX(Sims!$A178:$BO178,'Entry Builder'!$L$12)&lt;'Entry Builder'!$E$12),--(INDEX(Sims!$A178:$BO178,'Entry Builder'!$L$12)&gt;'Entry Builder'!$E$12)))</f>
        <v/>
      </c>
      <c r="G178">
        <f>6-SUM(A178:F178)</f>
        <v/>
      </c>
    </row>
    <row r="179">
      <c r="A179">
        <f>IF('Entry Builder'!$N$7=0,1,IF('Entry Builder'!$D$7="Less",--(INDEX(Sims!$A179:$BO179,'Entry Builder'!$L$7)&lt;'Entry Builder'!$E$7),--(INDEX(Sims!$A179:$BO179,'Entry Builder'!$L$7)&gt;'Entry Builder'!$E$7)))</f>
        <v/>
      </c>
      <c r="B179">
        <f>IF('Entry Builder'!$N$8=0,1,IF('Entry Builder'!$D$8="Less",--(INDEX(Sims!$A179:$BO179,'Entry Builder'!$L$8)&lt;'Entry Builder'!$E$8),--(INDEX(Sims!$A179:$BO179,'Entry Builder'!$L$8)&gt;'Entry Builder'!$E$8)))</f>
        <v/>
      </c>
      <c r="C179">
        <f>IF('Entry Builder'!$N$9=0,1,IF('Entry Builder'!$D$9="Less",--(INDEX(Sims!$A179:$BO179,'Entry Builder'!$L$9)&lt;'Entry Builder'!$E$9),--(INDEX(Sims!$A179:$BO179,'Entry Builder'!$L$9)&gt;'Entry Builder'!$E$9)))</f>
        <v/>
      </c>
      <c r="D179">
        <f>IF('Entry Builder'!$N$10=0,1,IF('Entry Builder'!$D$10="Less",--(INDEX(Sims!$A179:$BO179,'Entry Builder'!$L$10)&lt;'Entry Builder'!$E$10),--(INDEX(Sims!$A179:$BO179,'Entry Builder'!$L$10)&gt;'Entry Builder'!$E$10)))</f>
        <v/>
      </c>
      <c r="E179">
        <f>IF('Entry Builder'!$N$11=0,1,IF('Entry Builder'!$D$11="Less",--(INDEX(Sims!$A179:$BO179,'Entry Builder'!$L$11)&lt;'Entry Builder'!$E$11),--(INDEX(Sims!$A179:$BO179,'Entry Builder'!$L$11)&gt;'Entry Builder'!$E$11)))</f>
        <v/>
      </c>
      <c r="F179">
        <f>IF('Entry Builder'!$N$12=0,1,IF('Entry Builder'!$D$12="Less",--(INDEX(Sims!$A179:$BO179,'Entry Builder'!$L$12)&lt;'Entry Builder'!$E$12),--(INDEX(Sims!$A179:$BO179,'Entry Builder'!$L$12)&gt;'Entry Builder'!$E$12)))</f>
        <v/>
      </c>
      <c r="G179">
        <f>6-SUM(A179:F179)</f>
        <v/>
      </c>
    </row>
    <row r="180">
      <c r="A180">
        <f>IF('Entry Builder'!$N$7=0,1,IF('Entry Builder'!$D$7="Less",--(INDEX(Sims!$A180:$BO180,'Entry Builder'!$L$7)&lt;'Entry Builder'!$E$7),--(INDEX(Sims!$A180:$BO180,'Entry Builder'!$L$7)&gt;'Entry Builder'!$E$7)))</f>
        <v/>
      </c>
      <c r="B180">
        <f>IF('Entry Builder'!$N$8=0,1,IF('Entry Builder'!$D$8="Less",--(INDEX(Sims!$A180:$BO180,'Entry Builder'!$L$8)&lt;'Entry Builder'!$E$8),--(INDEX(Sims!$A180:$BO180,'Entry Builder'!$L$8)&gt;'Entry Builder'!$E$8)))</f>
        <v/>
      </c>
      <c r="C180">
        <f>IF('Entry Builder'!$N$9=0,1,IF('Entry Builder'!$D$9="Less",--(INDEX(Sims!$A180:$BO180,'Entry Builder'!$L$9)&lt;'Entry Builder'!$E$9),--(INDEX(Sims!$A180:$BO180,'Entry Builder'!$L$9)&gt;'Entry Builder'!$E$9)))</f>
        <v/>
      </c>
      <c r="D180">
        <f>IF('Entry Builder'!$N$10=0,1,IF('Entry Builder'!$D$10="Less",--(INDEX(Sims!$A180:$BO180,'Entry Builder'!$L$10)&lt;'Entry Builder'!$E$10),--(INDEX(Sims!$A180:$BO180,'Entry Builder'!$L$10)&gt;'Entry Builder'!$E$10)))</f>
        <v/>
      </c>
      <c r="E180">
        <f>IF('Entry Builder'!$N$11=0,1,IF('Entry Builder'!$D$11="Less",--(INDEX(Sims!$A180:$BO180,'Entry Builder'!$L$11)&lt;'Entry Builder'!$E$11),--(INDEX(Sims!$A180:$BO180,'Entry Builder'!$L$11)&gt;'Entry Builder'!$E$11)))</f>
        <v/>
      </c>
      <c r="F180">
        <f>IF('Entry Builder'!$N$12=0,1,IF('Entry Builder'!$D$12="Less",--(INDEX(Sims!$A180:$BO180,'Entry Builder'!$L$12)&lt;'Entry Builder'!$E$12),--(INDEX(Sims!$A180:$BO180,'Entry Builder'!$L$12)&gt;'Entry Builder'!$E$12)))</f>
        <v/>
      </c>
      <c r="G180">
        <f>6-SUM(A180:F180)</f>
        <v/>
      </c>
    </row>
    <row r="181">
      <c r="A181">
        <f>IF('Entry Builder'!$N$7=0,1,IF('Entry Builder'!$D$7="Less",--(INDEX(Sims!$A181:$BO181,'Entry Builder'!$L$7)&lt;'Entry Builder'!$E$7),--(INDEX(Sims!$A181:$BO181,'Entry Builder'!$L$7)&gt;'Entry Builder'!$E$7)))</f>
        <v/>
      </c>
      <c r="B181">
        <f>IF('Entry Builder'!$N$8=0,1,IF('Entry Builder'!$D$8="Less",--(INDEX(Sims!$A181:$BO181,'Entry Builder'!$L$8)&lt;'Entry Builder'!$E$8),--(INDEX(Sims!$A181:$BO181,'Entry Builder'!$L$8)&gt;'Entry Builder'!$E$8)))</f>
        <v/>
      </c>
      <c r="C181">
        <f>IF('Entry Builder'!$N$9=0,1,IF('Entry Builder'!$D$9="Less",--(INDEX(Sims!$A181:$BO181,'Entry Builder'!$L$9)&lt;'Entry Builder'!$E$9),--(INDEX(Sims!$A181:$BO181,'Entry Builder'!$L$9)&gt;'Entry Builder'!$E$9)))</f>
        <v/>
      </c>
      <c r="D181">
        <f>IF('Entry Builder'!$N$10=0,1,IF('Entry Builder'!$D$10="Less",--(INDEX(Sims!$A181:$BO181,'Entry Builder'!$L$10)&lt;'Entry Builder'!$E$10),--(INDEX(Sims!$A181:$BO181,'Entry Builder'!$L$10)&gt;'Entry Builder'!$E$10)))</f>
        <v/>
      </c>
      <c r="E181">
        <f>IF('Entry Builder'!$N$11=0,1,IF('Entry Builder'!$D$11="Less",--(INDEX(Sims!$A181:$BO181,'Entry Builder'!$L$11)&lt;'Entry Builder'!$E$11),--(INDEX(Sims!$A181:$BO181,'Entry Builder'!$L$11)&gt;'Entry Builder'!$E$11)))</f>
        <v/>
      </c>
      <c r="F181">
        <f>IF('Entry Builder'!$N$12=0,1,IF('Entry Builder'!$D$12="Less",--(INDEX(Sims!$A181:$BO181,'Entry Builder'!$L$12)&lt;'Entry Builder'!$E$12),--(INDEX(Sims!$A181:$BO181,'Entry Builder'!$L$12)&gt;'Entry Builder'!$E$12)))</f>
        <v/>
      </c>
      <c r="G181">
        <f>6-SUM(A181:F181)</f>
        <v/>
      </c>
    </row>
    <row r="182">
      <c r="A182">
        <f>IF('Entry Builder'!$N$7=0,1,IF('Entry Builder'!$D$7="Less",--(INDEX(Sims!$A182:$BO182,'Entry Builder'!$L$7)&lt;'Entry Builder'!$E$7),--(INDEX(Sims!$A182:$BO182,'Entry Builder'!$L$7)&gt;'Entry Builder'!$E$7)))</f>
        <v/>
      </c>
      <c r="B182">
        <f>IF('Entry Builder'!$N$8=0,1,IF('Entry Builder'!$D$8="Less",--(INDEX(Sims!$A182:$BO182,'Entry Builder'!$L$8)&lt;'Entry Builder'!$E$8),--(INDEX(Sims!$A182:$BO182,'Entry Builder'!$L$8)&gt;'Entry Builder'!$E$8)))</f>
        <v/>
      </c>
      <c r="C182">
        <f>IF('Entry Builder'!$N$9=0,1,IF('Entry Builder'!$D$9="Less",--(INDEX(Sims!$A182:$BO182,'Entry Builder'!$L$9)&lt;'Entry Builder'!$E$9),--(INDEX(Sims!$A182:$BO182,'Entry Builder'!$L$9)&gt;'Entry Builder'!$E$9)))</f>
        <v/>
      </c>
      <c r="D182">
        <f>IF('Entry Builder'!$N$10=0,1,IF('Entry Builder'!$D$10="Less",--(INDEX(Sims!$A182:$BO182,'Entry Builder'!$L$10)&lt;'Entry Builder'!$E$10),--(INDEX(Sims!$A182:$BO182,'Entry Builder'!$L$10)&gt;'Entry Builder'!$E$10)))</f>
        <v/>
      </c>
      <c r="E182">
        <f>IF('Entry Builder'!$N$11=0,1,IF('Entry Builder'!$D$11="Less",--(INDEX(Sims!$A182:$BO182,'Entry Builder'!$L$11)&lt;'Entry Builder'!$E$11),--(INDEX(Sims!$A182:$BO182,'Entry Builder'!$L$11)&gt;'Entry Builder'!$E$11)))</f>
        <v/>
      </c>
      <c r="F182">
        <f>IF('Entry Builder'!$N$12=0,1,IF('Entry Builder'!$D$12="Less",--(INDEX(Sims!$A182:$BO182,'Entry Builder'!$L$12)&lt;'Entry Builder'!$E$12),--(INDEX(Sims!$A182:$BO182,'Entry Builder'!$L$12)&gt;'Entry Builder'!$E$12)))</f>
        <v/>
      </c>
      <c r="G182">
        <f>6-SUM(A182:F182)</f>
        <v/>
      </c>
    </row>
    <row r="183">
      <c r="A183">
        <f>IF('Entry Builder'!$N$7=0,1,IF('Entry Builder'!$D$7="Less",--(INDEX(Sims!$A183:$BO183,'Entry Builder'!$L$7)&lt;'Entry Builder'!$E$7),--(INDEX(Sims!$A183:$BO183,'Entry Builder'!$L$7)&gt;'Entry Builder'!$E$7)))</f>
        <v/>
      </c>
      <c r="B183">
        <f>IF('Entry Builder'!$N$8=0,1,IF('Entry Builder'!$D$8="Less",--(INDEX(Sims!$A183:$BO183,'Entry Builder'!$L$8)&lt;'Entry Builder'!$E$8),--(INDEX(Sims!$A183:$BO183,'Entry Builder'!$L$8)&gt;'Entry Builder'!$E$8)))</f>
        <v/>
      </c>
      <c r="C183">
        <f>IF('Entry Builder'!$N$9=0,1,IF('Entry Builder'!$D$9="Less",--(INDEX(Sims!$A183:$BO183,'Entry Builder'!$L$9)&lt;'Entry Builder'!$E$9),--(INDEX(Sims!$A183:$BO183,'Entry Builder'!$L$9)&gt;'Entry Builder'!$E$9)))</f>
        <v/>
      </c>
      <c r="D183">
        <f>IF('Entry Builder'!$N$10=0,1,IF('Entry Builder'!$D$10="Less",--(INDEX(Sims!$A183:$BO183,'Entry Builder'!$L$10)&lt;'Entry Builder'!$E$10),--(INDEX(Sims!$A183:$BO183,'Entry Builder'!$L$10)&gt;'Entry Builder'!$E$10)))</f>
        <v/>
      </c>
      <c r="E183">
        <f>IF('Entry Builder'!$N$11=0,1,IF('Entry Builder'!$D$11="Less",--(INDEX(Sims!$A183:$BO183,'Entry Builder'!$L$11)&lt;'Entry Builder'!$E$11),--(INDEX(Sims!$A183:$BO183,'Entry Builder'!$L$11)&gt;'Entry Builder'!$E$11)))</f>
        <v/>
      </c>
      <c r="F183">
        <f>IF('Entry Builder'!$N$12=0,1,IF('Entry Builder'!$D$12="Less",--(INDEX(Sims!$A183:$BO183,'Entry Builder'!$L$12)&lt;'Entry Builder'!$E$12),--(INDEX(Sims!$A183:$BO183,'Entry Builder'!$L$12)&gt;'Entry Builder'!$E$12)))</f>
        <v/>
      </c>
      <c r="G183">
        <f>6-SUM(A183:F183)</f>
        <v/>
      </c>
    </row>
    <row r="184">
      <c r="A184">
        <f>IF('Entry Builder'!$N$7=0,1,IF('Entry Builder'!$D$7="Less",--(INDEX(Sims!$A184:$BO184,'Entry Builder'!$L$7)&lt;'Entry Builder'!$E$7),--(INDEX(Sims!$A184:$BO184,'Entry Builder'!$L$7)&gt;'Entry Builder'!$E$7)))</f>
        <v/>
      </c>
      <c r="B184">
        <f>IF('Entry Builder'!$N$8=0,1,IF('Entry Builder'!$D$8="Less",--(INDEX(Sims!$A184:$BO184,'Entry Builder'!$L$8)&lt;'Entry Builder'!$E$8),--(INDEX(Sims!$A184:$BO184,'Entry Builder'!$L$8)&gt;'Entry Builder'!$E$8)))</f>
        <v/>
      </c>
      <c r="C184">
        <f>IF('Entry Builder'!$N$9=0,1,IF('Entry Builder'!$D$9="Less",--(INDEX(Sims!$A184:$BO184,'Entry Builder'!$L$9)&lt;'Entry Builder'!$E$9),--(INDEX(Sims!$A184:$BO184,'Entry Builder'!$L$9)&gt;'Entry Builder'!$E$9)))</f>
        <v/>
      </c>
      <c r="D184">
        <f>IF('Entry Builder'!$N$10=0,1,IF('Entry Builder'!$D$10="Less",--(INDEX(Sims!$A184:$BO184,'Entry Builder'!$L$10)&lt;'Entry Builder'!$E$10),--(INDEX(Sims!$A184:$BO184,'Entry Builder'!$L$10)&gt;'Entry Builder'!$E$10)))</f>
        <v/>
      </c>
      <c r="E184">
        <f>IF('Entry Builder'!$N$11=0,1,IF('Entry Builder'!$D$11="Less",--(INDEX(Sims!$A184:$BO184,'Entry Builder'!$L$11)&lt;'Entry Builder'!$E$11),--(INDEX(Sims!$A184:$BO184,'Entry Builder'!$L$11)&gt;'Entry Builder'!$E$11)))</f>
        <v/>
      </c>
      <c r="F184">
        <f>IF('Entry Builder'!$N$12=0,1,IF('Entry Builder'!$D$12="Less",--(INDEX(Sims!$A184:$BO184,'Entry Builder'!$L$12)&lt;'Entry Builder'!$E$12),--(INDEX(Sims!$A184:$BO184,'Entry Builder'!$L$12)&gt;'Entry Builder'!$E$12)))</f>
        <v/>
      </c>
      <c r="G184">
        <f>6-SUM(A184:F184)</f>
        <v/>
      </c>
    </row>
    <row r="185">
      <c r="A185">
        <f>IF('Entry Builder'!$N$7=0,1,IF('Entry Builder'!$D$7="Less",--(INDEX(Sims!$A185:$BO185,'Entry Builder'!$L$7)&lt;'Entry Builder'!$E$7),--(INDEX(Sims!$A185:$BO185,'Entry Builder'!$L$7)&gt;'Entry Builder'!$E$7)))</f>
        <v/>
      </c>
      <c r="B185">
        <f>IF('Entry Builder'!$N$8=0,1,IF('Entry Builder'!$D$8="Less",--(INDEX(Sims!$A185:$BO185,'Entry Builder'!$L$8)&lt;'Entry Builder'!$E$8),--(INDEX(Sims!$A185:$BO185,'Entry Builder'!$L$8)&gt;'Entry Builder'!$E$8)))</f>
        <v/>
      </c>
      <c r="C185">
        <f>IF('Entry Builder'!$N$9=0,1,IF('Entry Builder'!$D$9="Less",--(INDEX(Sims!$A185:$BO185,'Entry Builder'!$L$9)&lt;'Entry Builder'!$E$9),--(INDEX(Sims!$A185:$BO185,'Entry Builder'!$L$9)&gt;'Entry Builder'!$E$9)))</f>
        <v/>
      </c>
      <c r="D185">
        <f>IF('Entry Builder'!$N$10=0,1,IF('Entry Builder'!$D$10="Less",--(INDEX(Sims!$A185:$BO185,'Entry Builder'!$L$10)&lt;'Entry Builder'!$E$10),--(INDEX(Sims!$A185:$BO185,'Entry Builder'!$L$10)&gt;'Entry Builder'!$E$10)))</f>
        <v/>
      </c>
      <c r="E185">
        <f>IF('Entry Builder'!$N$11=0,1,IF('Entry Builder'!$D$11="Less",--(INDEX(Sims!$A185:$BO185,'Entry Builder'!$L$11)&lt;'Entry Builder'!$E$11),--(INDEX(Sims!$A185:$BO185,'Entry Builder'!$L$11)&gt;'Entry Builder'!$E$11)))</f>
        <v/>
      </c>
      <c r="F185">
        <f>IF('Entry Builder'!$N$12=0,1,IF('Entry Builder'!$D$12="Less",--(INDEX(Sims!$A185:$BO185,'Entry Builder'!$L$12)&lt;'Entry Builder'!$E$12),--(INDEX(Sims!$A185:$BO185,'Entry Builder'!$L$12)&gt;'Entry Builder'!$E$12)))</f>
        <v/>
      </c>
      <c r="G185">
        <f>6-SUM(A185:F185)</f>
        <v/>
      </c>
    </row>
    <row r="186">
      <c r="A186">
        <f>IF('Entry Builder'!$N$7=0,1,IF('Entry Builder'!$D$7="Less",--(INDEX(Sims!$A186:$BO186,'Entry Builder'!$L$7)&lt;'Entry Builder'!$E$7),--(INDEX(Sims!$A186:$BO186,'Entry Builder'!$L$7)&gt;'Entry Builder'!$E$7)))</f>
        <v/>
      </c>
      <c r="B186">
        <f>IF('Entry Builder'!$N$8=0,1,IF('Entry Builder'!$D$8="Less",--(INDEX(Sims!$A186:$BO186,'Entry Builder'!$L$8)&lt;'Entry Builder'!$E$8),--(INDEX(Sims!$A186:$BO186,'Entry Builder'!$L$8)&gt;'Entry Builder'!$E$8)))</f>
        <v/>
      </c>
      <c r="C186">
        <f>IF('Entry Builder'!$N$9=0,1,IF('Entry Builder'!$D$9="Less",--(INDEX(Sims!$A186:$BO186,'Entry Builder'!$L$9)&lt;'Entry Builder'!$E$9),--(INDEX(Sims!$A186:$BO186,'Entry Builder'!$L$9)&gt;'Entry Builder'!$E$9)))</f>
        <v/>
      </c>
      <c r="D186">
        <f>IF('Entry Builder'!$N$10=0,1,IF('Entry Builder'!$D$10="Less",--(INDEX(Sims!$A186:$BO186,'Entry Builder'!$L$10)&lt;'Entry Builder'!$E$10),--(INDEX(Sims!$A186:$BO186,'Entry Builder'!$L$10)&gt;'Entry Builder'!$E$10)))</f>
        <v/>
      </c>
      <c r="E186">
        <f>IF('Entry Builder'!$N$11=0,1,IF('Entry Builder'!$D$11="Less",--(INDEX(Sims!$A186:$BO186,'Entry Builder'!$L$11)&lt;'Entry Builder'!$E$11),--(INDEX(Sims!$A186:$BO186,'Entry Builder'!$L$11)&gt;'Entry Builder'!$E$11)))</f>
        <v/>
      </c>
      <c r="F186">
        <f>IF('Entry Builder'!$N$12=0,1,IF('Entry Builder'!$D$12="Less",--(INDEX(Sims!$A186:$BO186,'Entry Builder'!$L$12)&lt;'Entry Builder'!$E$12),--(INDEX(Sims!$A186:$BO186,'Entry Builder'!$L$12)&gt;'Entry Builder'!$E$12)))</f>
        <v/>
      </c>
      <c r="G186">
        <f>6-SUM(A186:F186)</f>
        <v/>
      </c>
    </row>
    <row r="187">
      <c r="A187">
        <f>IF('Entry Builder'!$N$7=0,1,IF('Entry Builder'!$D$7="Less",--(INDEX(Sims!$A187:$BO187,'Entry Builder'!$L$7)&lt;'Entry Builder'!$E$7),--(INDEX(Sims!$A187:$BO187,'Entry Builder'!$L$7)&gt;'Entry Builder'!$E$7)))</f>
        <v/>
      </c>
      <c r="B187">
        <f>IF('Entry Builder'!$N$8=0,1,IF('Entry Builder'!$D$8="Less",--(INDEX(Sims!$A187:$BO187,'Entry Builder'!$L$8)&lt;'Entry Builder'!$E$8),--(INDEX(Sims!$A187:$BO187,'Entry Builder'!$L$8)&gt;'Entry Builder'!$E$8)))</f>
        <v/>
      </c>
      <c r="C187">
        <f>IF('Entry Builder'!$N$9=0,1,IF('Entry Builder'!$D$9="Less",--(INDEX(Sims!$A187:$BO187,'Entry Builder'!$L$9)&lt;'Entry Builder'!$E$9),--(INDEX(Sims!$A187:$BO187,'Entry Builder'!$L$9)&gt;'Entry Builder'!$E$9)))</f>
        <v/>
      </c>
      <c r="D187">
        <f>IF('Entry Builder'!$N$10=0,1,IF('Entry Builder'!$D$10="Less",--(INDEX(Sims!$A187:$BO187,'Entry Builder'!$L$10)&lt;'Entry Builder'!$E$10),--(INDEX(Sims!$A187:$BO187,'Entry Builder'!$L$10)&gt;'Entry Builder'!$E$10)))</f>
        <v/>
      </c>
      <c r="E187">
        <f>IF('Entry Builder'!$N$11=0,1,IF('Entry Builder'!$D$11="Less",--(INDEX(Sims!$A187:$BO187,'Entry Builder'!$L$11)&lt;'Entry Builder'!$E$11),--(INDEX(Sims!$A187:$BO187,'Entry Builder'!$L$11)&gt;'Entry Builder'!$E$11)))</f>
        <v/>
      </c>
      <c r="F187">
        <f>IF('Entry Builder'!$N$12=0,1,IF('Entry Builder'!$D$12="Less",--(INDEX(Sims!$A187:$BO187,'Entry Builder'!$L$12)&lt;'Entry Builder'!$E$12),--(INDEX(Sims!$A187:$BO187,'Entry Builder'!$L$12)&gt;'Entry Builder'!$E$12)))</f>
        <v/>
      </c>
      <c r="G187">
        <f>6-SUM(A187:F187)</f>
        <v/>
      </c>
    </row>
    <row r="188">
      <c r="A188">
        <f>IF('Entry Builder'!$N$7=0,1,IF('Entry Builder'!$D$7="Less",--(INDEX(Sims!$A188:$BO188,'Entry Builder'!$L$7)&lt;'Entry Builder'!$E$7),--(INDEX(Sims!$A188:$BO188,'Entry Builder'!$L$7)&gt;'Entry Builder'!$E$7)))</f>
        <v/>
      </c>
      <c r="B188">
        <f>IF('Entry Builder'!$N$8=0,1,IF('Entry Builder'!$D$8="Less",--(INDEX(Sims!$A188:$BO188,'Entry Builder'!$L$8)&lt;'Entry Builder'!$E$8),--(INDEX(Sims!$A188:$BO188,'Entry Builder'!$L$8)&gt;'Entry Builder'!$E$8)))</f>
        <v/>
      </c>
      <c r="C188">
        <f>IF('Entry Builder'!$N$9=0,1,IF('Entry Builder'!$D$9="Less",--(INDEX(Sims!$A188:$BO188,'Entry Builder'!$L$9)&lt;'Entry Builder'!$E$9),--(INDEX(Sims!$A188:$BO188,'Entry Builder'!$L$9)&gt;'Entry Builder'!$E$9)))</f>
        <v/>
      </c>
      <c r="D188">
        <f>IF('Entry Builder'!$N$10=0,1,IF('Entry Builder'!$D$10="Less",--(INDEX(Sims!$A188:$BO188,'Entry Builder'!$L$10)&lt;'Entry Builder'!$E$10),--(INDEX(Sims!$A188:$BO188,'Entry Builder'!$L$10)&gt;'Entry Builder'!$E$10)))</f>
        <v/>
      </c>
      <c r="E188">
        <f>IF('Entry Builder'!$N$11=0,1,IF('Entry Builder'!$D$11="Less",--(INDEX(Sims!$A188:$BO188,'Entry Builder'!$L$11)&lt;'Entry Builder'!$E$11),--(INDEX(Sims!$A188:$BO188,'Entry Builder'!$L$11)&gt;'Entry Builder'!$E$11)))</f>
        <v/>
      </c>
      <c r="F188">
        <f>IF('Entry Builder'!$N$12=0,1,IF('Entry Builder'!$D$12="Less",--(INDEX(Sims!$A188:$BO188,'Entry Builder'!$L$12)&lt;'Entry Builder'!$E$12),--(INDEX(Sims!$A188:$BO188,'Entry Builder'!$L$12)&gt;'Entry Builder'!$E$12)))</f>
        <v/>
      </c>
      <c r="G188">
        <f>6-SUM(A188:F188)</f>
        <v/>
      </c>
    </row>
    <row r="189">
      <c r="A189">
        <f>IF('Entry Builder'!$N$7=0,1,IF('Entry Builder'!$D$7="Less",--(INDEX(Sims!$A189:$BO189,'Entry Builder'!$L$7)&lt;'Entry Builder'!$E$7),--(INDEX(Sims!$A189:$BO189,'Entry Builder'!$L$7)&gt;'Entry Builder'!$E$7)))</f>
        <v/>
      </c>
      <c r="B189">
        <f>IF('Entry Builder'!$N$8=0,1,IF('Entry Builder'!$D$8="Less",--(INDEX(Sims!$A189:$BO189,'Entry Builder'!$L$8)&lt;'Entry Builder'!$E$8),--(INDEX(Sims!$A189:$BO189,'Entry Builder'!$L$8)&gt;'Entry Builder'!$E$8)))</f>
        <v/>
      </c>
      <c r="C189">
        <f>IF('Entry Builder'!$N$9=0,1,IF('Entry Builder'!$D$9="Less",--(INDEX(Sims!$A189:$BO189,'Entry Builder'!$L$9)&lt;'Entry Builder'!$E$9),--(INDEX(Sims!$A189:$BO189,'Entry Builder'!$L$9)&gt;'Entry Builder'!$E$9)))</f>
        <v/>
      </c>
      <c r="D189">
        <f>IF('Entry Builder'!$N$10=0,1,IF('Entry Builder'!$D$10="Less",--(INDEX(Sims!$A189:$BO189,'Entry Builder'!$L$10)&lt;'Entry Builder'!$E$10),--(INDEX(Sims!$A189:$BO189,'Entry Builder'!$L$10)&gt;'Entry Builder'!$E$10)))</f>
        <v/>
      </c>
      <c r="E189">
        <f>IF('Entry Builder'!$N$11=0,1,IF('Entry Builder'!$D$11="Less",--(INDEX(Sims!$A189:$BO189,'Entry Builder'!$L$11)&lt;'Entry Builder'!$E$11),--(INDEX(Sims!$A189:$BO189,'Entry Builder'!$L$11)&gt;'Entry Builder'!$E$11)))</f>
        <v/>
      </c>
      <c r="F189">
        <f>IF('Entry Builder'!$N$12=0,1,IF('Entry Builder'!$D$12="Less",--(INDEX(Sims!$A189:$BO189,'Entry Builder'!$L$12)&lt;'Entry Builder'!$E$12),--(INDEX(Sims!$A189:$BO189,'Entry Builder'!$L$12)&gt;'Entry Builder'!$E$12)))</f>
        <v/>
      </c>
      <c r="G189">
        <f>6-SUM(A189:F189)</f>
        <v/>
      </c>
    </row>
    <row r="190">
      <c r="A190">
        <f>IF('Entry Builder'!$N$7=0,1,IF('Entry Builder'!$D$7="Less",--(INDEX(Sims!$A190:$BO190,'Entry Builder'!$L$7)&lt;'Entry Builder'!$E$7),--(INDEX(Sims!$A190:$BO190,'Entry Builder'!$L$7)&gt;'Entry Builder'!$E$7)))</f>
        <v/>
      </c>
      <c r="B190">
        <f>IF('Entry Builder'!$N$8=0,1,IF('Entry Builder'!$D$8="Less",--(INDEX(Sims!$A190:$BO190,'Entry Builder'!$L$8)&lt;'Entry Builder'!$E$8),--(INDEX(Sims!$A190:$BO190,'Entry Builder'!$L$8)&gt;'Entry Builder'!$E$8)))</f>
        <v/>
      </c>
      <c r="C190">
        <f>IF('Entry Builder'!$N$9=0,1,IF('Entry Builder'!$D$9="Less",--(INDEX(Sims!$A190:$BO190,'Entry Builder'!$L$9)&lt;'Entry Builder'!$E$9),--(INDEX(Sims!$A190:$BO190,'Entry Builder'!$L$9)&gt;'Entry Builder'!$E$9)))</f>
        <v/>
      </c>
      <c r="D190">
        <f>IF('Entry Builder'!$N$10=0,1,IF('Entry Builder'!$D$10="Less",--(INDEX(Sims!$A190:$BO190,'Entry Builder'!$L$10)&lt;'Entry Builder'!$E$10),--(INDEX(Sims!$A190:$BO190,'Entry Builder'!$L$10)&gt;'Entry Builder'!$E$10)))</f>
        <v/>
      </c>
      <c r="E190">
        <f>IF('Entry Builder'!$N$11=0,1,IF('Entry Builder'!$D$11="Less",--(INDEX(Sims!$A190:$BO190,'Entry Builder'!$L$11)&lt;'Entry Builder'!$E$11),--(INDEX(Sims!$A190:$BO190,'Entry Builder'!$L$11)&gt;'Entry Builder'!$E$11)))</f>
        <v/>
      </c>
      <c r="F190">
        <f>IF('Entry Builder'!$N$12=0,1,IF('Entry Builder'!$D$12="Less",--(INDEX(Sims!$A190:$BO190,'Entry Builder'!$L$12)&lt;'Entry Builder'!$E$12),--(INDEX(Sims!$A190:$BO190,'Entry Builder'!$L$12)&gt;'Entry Builder'!$E$12)))</f>
        <v/>
      </c>
      <c r="G190">
        <f>6-SUM(A190:F190)</f>
        <v/>
      </c>
    </row>
    <row r="191">
      <c r="A191">
        <f>IF('Entry Builder'!$N$7=0,1,IF('Entry Builder'!$D$7="Less",--(INDEX(Sims!$A191:$BO191,'Entry Builder'!$L$7)&lt;'Entry Builder'!$E$7),--(INDEX(Sims!$A191:$BO191,'Entry Builder'!$L$7)&gt;'Entry Builder'!$E$7)))</f>
        <v/>
      </c>
      <c r="B191">
        <f>IF('Entry Builder'!$N$8=0,1,IF('Entry Builder'!$D$8="Less",--(INDEX(Sims!$A191:$BO191,'Entry Builder'!$L$8)&lt;'Entry Builder'!$E$8),--(INDEX(Sims!$A191:$BO191,'Entry Builder'!$L$8)&gt;'Entry Builder'!$E$8)))</f>
        <v/>
      </c>
      <c r="C191">
        <f>IF('Entry Builder'!$N$9=0,1,IF('Entry Builder'!$D$9="Less",--(INDEX(Sims!$A191:$BO191,'Entry Builder'!$L$9)&lt;'Entry Builder'!$E$9),--(INDEX(Sims!$A191:$BO191,'Entry Builder'!$L$9)&gt;'Entry Builder'!$E$9)))</f>
        <v/>
      </c>
      <c r="D191">
        <f>IF('Entry Builder'!$N$10=0,1,IF('Entry Builder'!$D$10="Less",--(INDEX(Sims!$A191:$BO191,'Entry Builder'!$L$10)&lt;'Entry Builder'!$E$10),--(INDEX(Sims!$A191:$BO191,'Entry Builder'!$L$10)&gt;'Entry Builder'!$E$10)))</f>
        <v/>
      </c>
      <c r="E191">
        <f>IF('Entry Builder'!$N$11=0,1,IF('Entry Builder'!$D$11="Less",--(INDEX(Sims!$A191:$BO191,'Entry Builder'!$L$11)&lt;'Entry Builder'!$E$11),--(INDEX(Sims!$A191:$BO191,'Entry Builder'!$L$11)&gt;'Entry Builder'!$E$11)))</f>
        <v/>
      </c>
      <c r="F191">
        <f>IF('Entry Builder'!$N$12=0,1,IF('Entry Builder'!$D$12="Less",--(INDEX(Sims!$A191:$BO191,'Entry Builder'!$L$12)&lt;'Entry Builder'!$E$12),--(INDEX(Sims!$A191:$BO191,'Entry Builder'!$L$12)&gt;'Entry Builder'!$E$12)))</f>
        <v/>
      </c>
      <c r="G191">
        <f>6-SUM(A191:F191)</f>
        <v/>
      </c>
    </row>
    <row r="192">
      <c r="A192">
        <f>IF('Entry Builder'!$N$7=0,1,IF('Entry Builder'!$D$7="Less",--(INDEX(Sims!$A192:$BO192,'Entry Builder'!$L$7)&lt;'Entry Builder'!$E$7),--(INDEX(Sims!$A192:$BO192,'Entry Builder'!$L$7)&gt;'Entry Builder'!$E$7)))</f>
        <v/>
      </c>
      <c r="B192">
        <f>IF('Entry Builder'!$N$8=0,1,IF('Entry Builder'!$D$8="Less",--(INDEX(Sims!$A192:$BO192,'Entry Builder'!$L$8)&lt;'Entry Builder'!$E$8),--(INDEX(Sims!$A192:$BO192,'Entry Builder'!$L$8)&gt;'Entry Builder'!$E$8)))</f>
        <v/>
      </c>
      <c r="C192">
        <f>IF('Entry Builder'!$N$9=0,1,IF('Entry Builder'!$D$9="Less",--(INDEX(Sims!$A192:$BO192,'Entry Builder'!$L$9)&lt;'Entry Builder'!$E$9),--(INDEX(Sims!$A192:$BO192,'Entry Builder'!$L$9)&gt;'Entry Builder'!$E$9)))</f>
        <v/>
      </c>
      <c r="D192">
        <f>IF('Entry Builder'!$N$10=0,1,IF('Entry Builder'!$D$10="Less",--(INDEX(Sims!$A192:$BO192,'Entry Builder'!$L$10)&lt;'Entry Builder'!$E$10),--(INDEX(Sims!$A192:$BO192,'Entry Builder'!$L$10)&gt;'Entry Builder'!$E$10)))</f>
        <v/>
      </c>
      <c r="E192">
        <f>IF('Entry Builder'!$N$11=0,1,IF('Entry Builder'!$D$11="Less",--(INDEX(Sims!$A192:$BO192,'Entry Builder'!$L$11)&lt;'Entry Builder'!$E$11),--(INDEX(Sims!$A192:$BO192,'Entry Builder'!$L$11)&gt;'Entry Builder'!$E$11)))</f>
        <v/>
      </c>
      <c r="F192">
        <f>IF('Entry Builder'!$N$12=0,1,IF('Entry Builder'!$D$12="Less",--(INDEX(Sims!$A192:$BO192,'Entry Builder'!$L$12)&lt;'Entry Builder'!$E$12),--(INDEX(Sims!$A192:$BO192,'Entry Builder'!$L$12)&gt;'Entry Builder'!$E$12)))</f>
        <v/>
      </c>
      <c r="G192">
        <f>6-SUM(A192:F192)</f>
        <v/>
      </c>
    </row>
    <row r="193">
      <c r="A193">
        <f>IF('Entry Builder'!$N$7=0,1,IF('Entry Builder'!$D$7="Less",--(INDEX(Sims!$A193:$BO193,'Entry Builder'!$L$7)&lt;'Entry Builder'!$E$7),--(INDEX(Sims!$A193:$BO193,'Entry Builder'!$L$7)&gt;'Entry Builder'!$E$7)))</f>
        <v/>
      </c>
      <c r="B193">
        <f>IF('Entry Builder'!$N$8=0,1,IF('Entry Builder'!$D$8="Less",--(INDEX(Sims!$A193:$BO193,'Entry Builder'!$L$8)&lt;'Entry Builder'!$E$8),--(INDEX(Sims!$A193:$BO193,'Entry Builder'!$L$8)&gt;'Entry Builder'!$E$8)))</f>
        <v/>
      </c>
      <c r="C193">
        <f>IF('Entry Builder'!$N$9=0,1,IF('Entry Builder'!$D$9="Less",--(INDEX(Sims!$A193:$BO193,'Entry Builder'!$L$9)&lt;'Entry Builder'!$E$9),--(INDEX(Sims!$A193:$BO193,'Entry Builder'!$L$9)&gt;'Entry Builder'!$E$9)))</f>
        <v/>
      </c>
      <c r="D193">
        <f>IF('Entry Builder'!$N$10=0,1,IF('Entry Builder'!$D$10="Less",--(INDEX(Sims!$A193:$BO193,'Entry Builder'!$L$10)&lt;'Entry Builder'!$E$10),--(INDEX(Sims!$A193:$BO193,'Entry Builder'!$L$10)&gt;'Entry Builder'!$E$10)))</f>
        <v/>
      </c>
      <c r="E193">
        <f>IF('Entry Builder'!$N$11=0,1,IF('Entry Builder'!$D$11="Less",--(INDEX(Sims!$A193:$BO193,'Entry Builder'!$L$11)&lt;'Entry Builder'!$E$11),--(INDEX(Sims!$A193:$BO193,'Entry Builder'!$L$11)&gt;'Entry Builder'!$E$11)))</f>
        <v/>
      </c>
      <c r="F193">
        <f>IF('Entry Builder'!$N$12=0,1,IF('Entry Builder'!$D$12="Less",--(INDEX(Sims!$A193:$BO193,'Entry Builder'!$L$12)&lt;'Entry Builder'!$E$12),--(INDEX(Sims!$A193:$BO193,'Entry Builder'!$L$12)&gt;'Entry Builder'!$E$12)))</f>
        <v/>
      </c>
      <c r="G193">
        <f>6-SUM(A193:F193)</f>
        <v/>
      </c>
    </row>
    <row r="194">
      <c r="A194">
        <f>IF('Entry Builder'!$N$7=0,1,IF('Entry Builder'!$D$7="Less",--(INDEX(Sims!$A194:$BO194,'Entry Builder'!$L$7)&lt;'Entry Builder'!$E$7),--(INDEX(Sims!$A194:$BO194,'Entry Builder'!$L$7)&gt;'Entry Builder'!$E$7)))</f>
        <v/>
      </c>
      <c r="B194">
        <f>IF('Entry Builder'!$N$8=0,1,IF('Entry Builder'!$D$8="Less",--(INDEX(Sims!$A194:$BO194,'Entry Builder'!$L$8)&lt;'Entry Builder'!$E$8),--(INDEX(Sims!$A194:$BO194,'Entry Builder'!$L$8)&gt;'Entry Builder'!$E$8)))</f>
        <v/>
      </c>
      <c r="C194">
        <f>IF('Entry Builder'!$N$9=0,1,IF('Entry Builder'!$D$9="Less",--(INDEX(Sims!$A194:$BO194,'Entry Builder'!$L$9)&lt;'Entry Builder'!$E$9),--(INDEX(Sims!$A194:$BO194,'Entry Builder'!$L$9)&gt;'Entry Builder'!$E$9)))</f>
        <v/>
      </c>
      <c r="D194">
        <f>IF('Entry Builder'!$N$10=0,1,IF('Entry Builder'!$D$10="Less",--(INDEX(Sims!$A194:$BO194,'Entry Builder'!$L$10)&lt;'Entry Builder'!$E$10),--(INDEX(Sims!$A194:$BO194,'Entry Builder'!$L$10)&gt;'Entry Builder'!$E$10)))</f>
        <v/>
      </c>
      <c r="E194">
        <f>IF('Entry Builder'!$N$11=0,1,IF('Entry Builder'!$D$11="Less",--(INDEX(Sims!$A194:$BO194,'Entry Builder'!$L$11)&lt;'Entry Builder'!$E$11),--(INDEX(Sims!$A194:$BO194,'Entry Builder'!$L$11)&gt;'Entry Builder'!$E$11)))</f>
        <v/>
      </c>
      <c r="F194">
        <f>IF('Entry Builder'!$N$12=0,1,IF('Entry Builder'!$D$12="Less",--(INDEX(Sims!$A194:$BO194,'Entry Builder'!$L$12)&lt;'Entry Builder'!$E$12),--(INDEX(Sims!$A194:$BO194,'Entry Builder'!$L$12)&gt;'Entry Builder'!$E$12)))</f>
        <v/>
      </c>
      <c r="G194">
        <f>6-SUM(A194:F194)</f>
        <v/>
      </c>
    </row>
    <row r="195">
      <c r="A195">
        <f>IF('Entry Builder'!$N$7=0,1,IF('Entry Builder'!$D$7="Less",--(INDEX(Sims!$A195:$BO195,'Entry Builder'!$L$7)&lt;'Entry Builder'!$E$7),--(INDEX(Sims!$A195:$BO195,'Entry Builder'!$L$7)&gt;'Entry Builder'!$E$7)))</f>
        <v/>
      </c>
      <c r="B195">
        <f>IF('Entry Builder'!$N$8=0,1,IF('Entry Builder'!$D$8="Less",--(INDEX(Sims!$A195:$BO195,'Entry Builder'!$L$8)&lt;'Entry Builder'!$E$8),--(INDEX(Sims!$A195:$BO195,'Entry Builder'!$L$8)&gt;'Entry Builder'!$E$8)))</f>
        <v/>
      </c>
      <c r="C195">
        <f>IF('Entry Builder'!$N$9=0,1,IF('Entry Builder'!$D$9="Less",--(INDEX(Sims!$A195:$BO195,'Entry Builder'!$L$9)&lt;'Entry Builder'!$E$9),--(INDEX(Sims!$A195:$BO195,'Entry Builder'!$L$9)&gt;'Entry Builder'!$E$9)))</f>
        <v/>
      </c>
      <c r="D195">
        <f>IF('Entry Builder'!$N$10=0,1,IF('Entry Builder'!$D$10="Less",--(INDEX(Sims!$A195:$BO195,'Entry Builder'!$L$10)&lt;'Entry Builder'!$E$10),--(INDEX(Sims!$A195:$BO195,'Entry Builder'!$L$10)&gt;'Entry Builder'!$E$10)))</f>
        <v/>
      </c>
      <c r="E195">
        <f>IF('Entry Builder'!$N$11=0,1,IF('Entry Builder'!$D$11="Less",--(INDEX(Sims!$A195:$BO195,'Entry Builder'!$L$11)&lt;'Entry Builder'!$E$11),--(INDEX(Sims!$A195:$BO195,'Entry Builder'!$L$11)&gt;'Entry Builder'!$E$11)))</f>
        <v/>
      </c>
      <c r="F195">
        <f>IF('Entry Builder'!$N$12=0,1,IF('Entry Builder'!$D$12="Less",--(INDEX(Sims!$A195:$BO195,'Entry Builder'!$L$12)&lt;'Entry Builder'!$E$12),--(INDEX(Sims!$A195:$BO195,'Entry Builder'!$L$12)&gt;'Entry Builder'!$E$12)))</f>
        <v/>
      </c>
      <c r="G195">
        <f>6-SUM(A195:F195)</f>
        <v/>
      </c>
    </row>
    <row r="196">
      <c r="A196">
        <f>IF('Entry Builder'!$N$7=0,1,IF('Entry Builder'!$D$7="Less",--(INDEX(Sims!$A196:$BO196,'Entry Builder'!$L$7)&lt;'Entry Builder'!$E$7),--(INDEX(Sims!$A196:$BO196,'Entry Builder'!$L$7)&gt;'Entry Builder'!$E$7)))</f>
        <v/>
      </c>
      <c r="B196">
        <f>IF('Entry Builder'!$N$8=0,1,IF('Entry Builder'!$D$8="Less",--(INDEX(Sims!$A196:$BO196,'Entry Builder'!$L$8)&lt;'Entry Builder'!$E$8),--(INDEX(Sims!$A196:$BO196,'Entry Builder'!$L$8)&gt;'Entry Builder'!$E$8)))</f>
        <v/>
      </c>
      <c r="C196">
        <f>IF('Entry Builder'!$N$9=0,1,IF('Entry Builder'!$D$9="Less",--(INDEX(Sims!$A196:$BO196,'Entry Builder'!$L$9)&lt;'Entry Builder'!$E$9),--(INDEX(Sims!$A196:$BO196,'Entry Builder'!$L$9)&gt;'Entry Builder'!$E$9)))</f>
        <v/>
      </c>
      <c r="D196">
        <f>IF('Entry Builder'!$N$10=0,1,IF('Entry Builder'!$D$10="Less",--(INDEX(Sims!$A196:$BO196,'Entry Builder'!$L$10)&lt;'Entry Builder'!$E$10),--(INDEX(Sims!$A196:$BO196,'Entry Builder'!$L$10)&gt;'Entry Builder'!$E$10)))</f>
        <v/>
      </c>
      <c r="E196">
        <f>IF('Entry Builder'!$N$11=0,1,IF('Entry Builder'!$D$11="Less",--(INDEX(Sims!$A196:$BO196,'Entry Builder'!$L$11)&lt;'Entry Builder'!$E$11),--(INDEX(Sims!$A196:$BO196,'Entry Builder'!$L$11)&gt;'Entry Builder'!$E$11)))</f>
        <v/>
      </c>
      <c r="F196">
        <f>IF('Entry Builder'!$N$12=0,1,IF('Entry Builder'!$D$12="Less",--(INDEX(Sims!$A196:$BO196,'Entry Builder'!$L$12)&lt;'Entry Builder'!$E$12),--(INDEX(Sims!$A196:$BO196,'Entry Builder'!$L$12)&gt;'Entry Builder'!$E$12)))</f>
        <v/>
      </c>
      <c r="G196">
        <f>6-SUM(A196:F196)</f>
        <v/>
      </c>
    </row>
    <row r="197">
      <c r="A197">
        <f>IF('Entry Builder'!$N$7=0,1,IF('Entry Builder'!$D$7="Less",--(INDEX(Sims!$A197:$BO197,'Entry Builder'!$L$7)&lt;'Entry Builder'!$E$7),--(INDEX(Sims!$A197:$BO197,'Entry Builder'!$L$7)&gt;'Entry Builder'!$E$7)))</f>
        <v/>
      </c>
      <c r="B197">
        <f>IF('Entry Builder'!$N$8=0,1,IF('Entry Builder'!$D$8="Less",--(INDEX(Sims!$A197:$BO197,'Entry Builder'!$L$8)&lt;'Entry Builder'!$E$8),--(INDEX(Sims!$A197:$BO197,'Entry Builder'!$L$8)&gt;'Entry Builder'!$E$8)))</f>
        <v/>
      </c>
      <c r="C197">
        <f>IF('Entry Builder'!$N$9=0,1,IF('Entry Builder'!$D$9="Less",--(INDEX(Sims!$A197:$BO197,'Entry Builder'!$L$9)&lt;'Entry Builder'!$E$9),--(INDEX(Sims!$A197:$BO197,'Entry Builder'!$L$9)&gt;'Entry Builder'!$E$9)))</f>
        <v/>
      </c>
      <c r="D197">
        <f>IF('Entry Builder'!$N$10=0,1,IF('Entry Builder'!$D$10="Less",--(INDEX(Sims!$A197:$BO197,'Entry Builder'!$L$10)&lt;'Entry Builder'!$E$10),--(INDEX(Sims!$A197:$BO197,'Entry Builder'!$L$10)&gt;'Entry Builder'!$E$10)))</f>
        <v/>
      </c>
      <c r="E197">
        <f>IF('Entry Builder'!$N$11=0,1,IF('Entry Builder'!$D$11="Less",--(INDEX(Sims!$A197:$BO197,'Entry Builder'!$L$11)&lt;'Entry Builder'!$E$11),--(INDEX(Sims!$A197:$BO197,'Entry Builder'!$L$11)&gt;'Entry Builder'!$E$11)))</f>
        <v/>
      </c>
      <c r="F197">
        <f>IF('Entry Builder'!$N$12=0,1,IF('Entry Builder'!$D$12="Less",--(INDEX(Sims!$A197:$BO197,'Entry Builder'!$L$12)&lt;'Entry Builder'!$E$12),--(INDEX(Sims!$A197:$BO197,'Entry Builder'!$L$12)&gt;'Entry Builder'!$E$12)))</f>
        <v/>
      </c>
      <c r="G197">
        <f>6-SUM(A197:F197)</f>
        <v/>
      </c>
    </row>
    <row r="198">
      <c r="A198">
        <f>IF('Entry Builder'!$N$7=0,1,IF('Entry Builder'!$D$7="Less",--(INDEX(Sims!$A198:$BO198,'Entry Builder'!$L$7)&lt;'Entry Builder'!$E$7),--(INDEX(Sims!$A198:$BO198,'Entry Builder'!$L$7)&gt;'Entry Builder'!$E$7)))</f>
        <v/>
      </c>
      <c r="B198">
        <f>IF('Entry Builder'!$N$8=0,1,IF('Entry Builder'!$D$8="Less",--(INDEX(Sims!$A198:$BO198,'Entry Builder'!$L$8)&lt;'Entry Builder'!$E$8),--(INDEX(Sims!$A198:$BO198,'Entry Builder'!$L$8)&gt;'Entry Builder'!$E$8)))</f>
        <v/>
      </c>
      <c r="C198">
        <f>IF('Entry Builder'!$N$9=0,1,IF('Entry Builder'!$D$9="Less",--(INDEX(Sims!$A198:$BO198,'Entry Builder'!$L$9)&lt;'Entry Builder'!$E$9),--(INDEX(Sims!$A198:$BO198,'Entry Builder'!$L$9)&gt;'Entry Builder'!$E$9)))</f>
        <v/>
      </c>
      <c r="D198">
        <f>IF('Entry Builder'!$N$10=0,1,IF('Entry Builder'!$D$10="Less",--(INDEX(Sims!$A198:$BO198,'Entry Builder'!$L$10)&lt;'Entry Builder'!$E$10),--(INDEX(Sims!$A198:$BO198,'Entry Builder'!$L$10)&gt;'Entry Builder'!$E$10)))</f>
        <v/>
      </c>
      <c r="E198">
        <f>IF('Entry Builder'!$N$11=0,1,IF('Entry Builder'!$D$11="Less",--(INDEX(Sims!$A198:$BO198,'Entry Builder'!$L$11)&lt;'Entry Builder'!$E$11),--(INDEX(Sims!$A198:$BO198,'Entry Builder'!$L$11)&gt;'Entry Builder'!$E$11)))</f>
        <v/>
      </c>
      <c r="F198">
        <f>IF('Entry Builder'!$N$12=0,1,IF('Entry Builder'!$D$12="Less",--(INDEX(Sims!$A198:$BO198,'Entry Builder'!$L$12)&lt;'Entry Builder'!$E$12),--(INDEX(Sims!$A198:$BO198,'Entry Builder'!$L$12)&gt;'Entry Builder'!$E$12)))</f>
        <v/>
      </c>
      <c r="G198">
        <f>6-SUM(A198:F198)</f>
        <v/>
      </c>
    </row>
    <row r="199">
      <c r="A199">
        <f>IF('Entry Builder'!$N$7=0,1,IF('Entry Builder'!$D$7="Less",--(INDEX(Sims!$A199:$BO199,'Entry Builder'!$L$7)&lt;'Entry Builder'!$E$7),--(INDEX(Sims!$A199:$BO199,'Entry Builder'!$L$7)&gt;'Entry Builder'!$E$7)))</f>
        <v/>
      </c>
      <c r="B199">
        <f>IF('Entry Builder'!$N$8=0,1,IF('Entry Builder'!$D$8="Less",--(INDEX(Sims!$A199:$BO199,'Entry Builder'!$L$8)&lt;'Entry Builder'!$E$8),--(INDEX(Sims!$A199:$BO199,'Entry Builder'!$L$8)&gt;'Entry Builder'!$E$8)))</f>
        <v/>
      </c>
      <c r="C199">
        <f>IF('Entry Builder'!$N$9=0,1,IF('Entry Builder'!$D$9="Less",--(INDEX(Sims!$A199:$BO199,'Entry Builder'!$L$9)&lt;'Entry Builder'!$E$9),--(INDEX(Sims!$A199:$BO199,'Entry Builder'!$L$9)&gt;'Entry Builder'!$E$9)))</f>
        <v/>
      </c>
      <c r="D199">
        <f>IF('Entry Builder'!$N$10=0,1,IF('Entry Builder'!$D$10="Less",--(INDEX(Sims!$A199:$BO199,'Entry Builder'!$L$10)&lt;'Entry Builder'!$E$10),--(INDEX(Sims!$A199:$BO199,'Entry Builder'!$L$10)&gt;'Entry Builder'!$E$10)))</f>
        <v/>
      </c>
      <c r="E199">
        <f>IF('Entry Builder'!$N$11=0,1,IF('Entry Builder'!$D$11="Less",--(INDEX(Sims!$A199:$BO199,'Entry Builder'!$L$11)&lt;'Entry Builder'!$E$11),--(INDEX(Sims!$A199:$BO199,'Entry Builder'!$L$11)&gt;'Entry Builder'!$E$11)))</f>
        <v/>
      </c>
      <c r="F199">
        <f>IF('Entry Builder'!$N$12=0,1,IF('Entry Builder'!$D$12="Less",--(INDEX(Sims!$A199:$BO199,'Entry Builder'!$L$12)&lt;'Entry Builder'!$E$12),--(INDEX(Sims!$A199:$BO199,'Entry Builder'!$L$12)&gt;'Entry Builder'!$E$12)))</f>
        <v/>
      </c>
      <c r="G199">
        <f>6-SUM(A199:F199)</f>
        <v/>
      </c>
    </row>
    <row r="200">
      <c r="A200">
        <f>IF('Entry Builder'!$N$7=0,1,IF('Entry Builder'!$D$7="Less",--(INDEX(Sims!$A200:$BO200,'Entry Builder'!$L$7)&lt;'Entry Builder'!$E$7),--(INDEX(Sims!$A200:$BO200,'Entry Builder'!$L$7)&gt;'Entry Builder'!$E$7)))</f>
        <v/>
      </c>
      <c r="B200">
        <f>IF('Entry Builder'!$N$8=0,1,IF('Entry Builder'!$D$8="Less",--(INDEX(Sims!$A200:$BO200,'Entry Builder'!$L$8)&lt;'Entry Builder'!$E$8),--(INDEX(Sims!$A200:$BO200,'Entry Builder'!$L$8)&gt;'Entry Builder'!$E$8)))</f>
        <v/>
      </c>
      <c r="C200">
        <f>IF('Entry Builder'!$N$9=0,1,IF('Entry Builder'!$D$9="Less",--(INDEX(Sims!$A200:$BO200,'Entry Builder'!$L$9)&lt;'Entry Builder'!$E$9),--(INDEX(Sims!$A200:$BO200,'Entry Builder'!$L$9)&gt;'Entry Builder'!$E$9)))</f>
        <v/>
      </c>
      <c r="D200">
        <f>IF('Entry Builder'!$N$10=0,1,IF('Entry Builder'!$D$10="Less",--(INDEX(Sims!$A200:$BO200,'Entry Builder'!$L$10)&lt;'Entry Builder'!$E$10),--(INDEX(Sims!$A200:$BO200,'Entry Builder'!$L$10)&gt;'Entry Builder'!$E$10)))</f>
        <v/>
      </c>
      <c r="E200">
        <f>IF('Entry Builder'!$N$11=0,1,IF('Entry Builder'!$D$11="Less",--(INDEX(Sims!$A200:$BO200,'Entry Builder'!$L$11)&lt;'Entry Builder'!$E$11),--(INDEX(Sims!$A200:$BO200,'Entry Builder'!$L$11)&gt;'Entry Builder'!$E$11)))</f>
        <v/>
      </c>
      <c r="F200">
        <f>IF('Entry Builder'!$N$12=0,1,IF('Entry Builder'!$D$12="Less",--(INDEX(Sims!$A200:$BO200,'Entry Builder'!$L$12)&lt;'Entry Builder'!$E$12),--(INDEX(Sims!$A200:$BO200,'Entry Builder'!$L$12)&gt;'Entry Builder'!$E$12)))</f>
        <v/>
      </c>
      <c r="G200">
        <f>6-SUM(A200:F200)</f>
        <v/>
      </c>
    </row>
    <row r="201">
      <c r="A201">
        <f>IF('Entry Builder'!$N$7=0,1,IF('Entry Builder'!$D$7="Less",--(INDEX(Sims!$A201:$BO201,'Entry Builder'!$L$7)&lt;'Entry Builder'!$E$7),--(INDEX(Sims!$A201:$BO201,'Entry Builder'!$L$7)&gt;'Entry Builder'!$E$7)))</f>
        <v/>
      </c>
      <c r="B201">
        <f>IF('Entry Builder'!$N$8=0,1,IF('Entry Builder'!$D$8="Less",--(INDEX(Sims!$A201:$BO201,'Entry Builder'!$L$8)&lt;'Entry Builder'!$E$8),--(INDEX(Sims!$A201:$BO201,'Entry Builder'!$L$8)&gt;'Entry Builder'!$E$8)))</f>
        <v/>
      </c>
      <c r="C201">
        <f>IF('Entry Builder'!$N$9=0,1,IF('Entry Builder'!$D$9="Less",--(INDEX(Sims!$A201:$BO201,'Entry Builder'!$L$9)&lt;'Entry Builder'!$E$9),--(INDEX(Sims!$A201:$BO201,'Entry Builder'!$L$9)&gt;'Entry Builder'!$E$9)))</f>
        <v/>
      </c>
      <c r="D201">
        <f>IF('Entry Builder'!$N$10=0,1,IF('Entry Builder'!$D$10="Less",--(INDEX(Sims!$A201:$BO201,'Entry Builder'!$L$10)&lt;'Entry Builder'!$E$10),--(INDEX(Sims!$A201:$BO201,'Entry Builder'!$L$10)&gt;'Entry Builder'!$E$10)))</f>
        <v/>
      </c>
      <c r="E201">
        <f>IF('Entry Builder'!$N$11=0,1,IF('Entry Builder'!$D$11="Less",--(INDEX(Sims!$A201:$BO201,'Entry Builder'!$L$11)&lt;'Entry Builder'!$E$11),--(INDEX(Sims!$A201:$BO201,'Entry Builder'!$L$11)&gt;'Entry Builder'!$E$11)))</f>
        <v/>
      </c>
      <c r="F201">
        <f>IF('Entry Builder'!$N$12=0,1,IF('Entry Builder'!$D$12="Less",--(INDEX(Sims!$A201:$BO201,'Entry Builder'!$L$12)&lt;'Entry Builder'!$E$12),--(INDEX(Sims!$A201:$BO201,'Entry Builder'!$L$12)&gt;'Entry Builder'!$E$12)))</f>
        <v/>
      </c>
      <c r="G201">
        <f>6-SUM(A201:F201)</f>
        <v/>
      </c>
    </row>
    <row r="202">
      <c r="A202">
        <f>IF('Entry Builder'!$N$7=0,1,IF('Entry Builder'!$D$7="Less",--(INDEX(Sims!$A202:$BO202,'Entry Builder'!$L$7)&lt;'Entry Builder'!$E$7),--(INDEX(Sims!$A202:$BO202,'Entry Builder'!$L$7)&gt;'Entry Builder'!$E$7)))</f>
        <v/>
      </c>
      <c r="B202">
        <f>IF('Entry Builder'!$N$8=0,1,IF('Entry Builder'!$D$8="Less",--(INDEX(Sims!$A202:$BO202,'Entry Builder'!$L$8)&lt;'Entry Builder'!$E$8),--(INDEX(Sims!$A202:$BO202,'Entry Builder'!$L$8)&gt;'Entry Builder'!$E$8)))</f>
        <v/>
      </c>
      <c r="C202">
        <f>IF('Entry Builder'!$N$9=0,1,IF('Entry Builder'!$D$9="Less",--(INDEX(Sims!$A202:$BO202,'Entry Builder'!$L$9)&lt;'Entry Builder'!$E$9),--(INDEX(Sims!$A202:$BO202,'Entry Builder'!$L$9)&gt;'Entry Builder'!$E$9)))</f>
        <v/>
      </c>
      <c r="D202">
        <f>IF('Entry Builder'!$N$10=0,1,IF('Entry Builder'!$D$10="Less",--(INDEX(Sims!$A202:$BO202,'Entry Builder'!$L$10)&lt;'Entry Builder'!$E$10),--(INDEX(Sims!$A202:$BO202,'Entry Builder'!$L$10)&gt;'Entry Builder'!$E$10)))</f>
        <v/>
      </c>
      <c r="E202">
        <f>IF('Entry Builder'!$N$11=0,1,IF('Entry Builder'!$D$11="Less",--(INDEX(Sims!$A202:$BO202,'Entry Builder'!$L$11)&lt;'Entry Builder'!$E$11),--(INDEX(Sims!$A202:$BO202,'Entry Builder'!$L$11)&gt;'Entry Builder'!$E$11)))</f>
        <v/>
      </c>
      <c r="F202">
        <f>IF('Entry Builder'!$N$12=0,1,IF('Entry Builder'!$D$12="Less",--(INDEX(Sims!$A202:$BO202,'Entry Builder'!$L$12)&lt;'Entry Builder'!$E$12),--(INDEX(Sims!$A202:$BO202,'Entry Builder'!$L$12)&gt;'Entry Builder'!$E$12)))</f>
        <v/>
      </c>
      <c r="G202">
        <f>6-SUM(A202:F202)</f>
        <v/>
      </c>
    </row>
    <row r="203">
      <c r="A203">
        <f>IF('Entry Builder'!$N$7=0,1,IF('Entry Builder'!$D$7="Less",--(INDEX(Sims!$A203:$BO203,'Entry Builder'!$L$7)&lt;'Entry Builder'!$E$7),--(INDEX(Sims!$A203:$BO203,'Entry Builder'!$L$7)&gt;'Entry Builder'!$E$7)))</f>
        <v/>
      </c>
      <c r="B203">
        <f>IF('Entry Builder'!$N$8=0,1,IF('Entry Builder'!$D$8="Less",--(INDEX(Sims!$A203:$BO203,'Entry Builder'!$L$8)&lt;'Entry Builder'!$E$8),--(INDEX(Sims!$A203:$BO203,'Entry Builder'!$L$8)&gt;'Entry Builder'!$E$8)))</f>
        <v/>
      </c>
      <c r="C203">
        <f>IF('Entry Builder'!$N$9=0,1,IF('Entry Builder'!$D$9="Less",--(INDEX(Sims!$A203:$BO203,'Entry Builder'!$L$9)&lt;'Entry Builder'!$E$9),--(INDEX(Sims!$A203:$BO203,'Entry Builder'!$L$9)&gt;'Entry Builder'!$E$9)))</f>
        <v/>
      </c>
      <c r="D203">
        <f>IF('Entry Builder'!$N$10=0,1,IF('Entry Builder'!$D$10="Less",--(INDEX(Sims!$A203:$BO203,'Entry Builder'!$L$10)&lt;'Entry Builder'!$E$10),--(INDEX(Sims!$A203:$BO203,'Entry Builder'!$L$10)&gt;'Entry Builder'!$E$10)))</f>
        <v/>
      </c>
      <c r="E203">
        <f>IF('Entry Builder'!$N$11=0,1,IF('Entry Builder'!$D$11="Less",--(INDEX(Sims!$A203:$BO203,'Entry Builder'!$L$11)&lt;'Entry Builder'!$E$11),--(INDEX(Sims!$A203:$BO203,'Entry Builder'!$L$11)&gt;'Entry Builder'!$E$11)))</f>
        <v/>
      </c>
      <c r="F203">
        <f>IF('Entry Builder'!$N$12=0,1,IF('Entry Builder'!$D$12="Less",--(INDEX(Sims!$A203:$BO203,'Entry Builder'!$L$12)&lt;'Entry Builder'!$E$12),--(INDEX(Sims!$A203:$BO203,'Entry Builder'!$L$12)&gt;'Entry Builder'!$E$12)))</f>
        <v/>
      </c>
      <c r="G203">
        <f>6-SUM(A203:F203)</f>
        <v/>
      </c>
    </row>
    <row r="204">
      <c r="A204">
        <f>IF('Entry Builder'!$N$7=0,1,IF('Entry Builder'!$D$7="Less",--(INDEX(Sims!$A204:$BO204,'Entry Builder'!$L$7)&lt;'Entry Builder'!$E$7),--(INDEX(Sims!$A204:$BO204,'Entry Builder'!$L$7)&gt;'Entry Builder'!$E$7)))</f>
        <v/>
      </c>
      <c r="B204">
        <f>IF('Entry Builder'!$N$8=0,1,IF('Entry Builder'!$D$8="Less",--(INDEX(Sims!$A204:$BO204,'Entry Builder'!$L$8)&lt;'Entry Builder'!$E$8),--(INDEX(Sims!$A204:$BO204,'Entry Builder'!$L$8)&gt;'Entry Builder'!$E$8)))</f>
        <v/>
      </c>
      <c r="C204">
        <f>IF('Entry Builder'!$N$9=0,1,IF('Entry Builder'!$D$9="Less",--(INDEX(Sims!$A204:$BO204,'Entry Builder'!$L$9)&lt;'Entry Builder'!$E$9),--(INDEX(Sims!$A204:$BO204,'Entry Builder'!$L$9)&gt;'Entry Builder'!$E$9)))</f>
        <v/>
      </c>
      <c r="D204">
        <f>IF('Entry Builder'!$N$10=0,1,IF('Entry Builder'!$D$10="Less",--(INDEX(Sims!$A204:$BO204,'Entry Builder'!$L$10)&lt;'Entry Builder'!$E$10),--(INDEX(Sims!$A204:$BO204,'Entry Builder'!$L$10)&gt;'Entry Builder'!$E$10)))</f>
        <v/>
      </c>
      <c r="E204">
        <f>IF('Entry Builder'!$N$11=0,1,IF('Entry Builder'!$D$11="Less",--(INDEX(Sims!$A204:$BO204,'Entry Builder'!$L$11)&lt;'Entry Builder'!$E$11),--(INDEX(Sims!$A204:$BO204,'Entry Builder'!$L$11)&gt;'Entry Builder'!$E$11)))</f>
        <v/>
      </c>
      <c r="F204">
        <f>IF('Entry Builder'!$N$12=0,1,IF('Entry Builder'!$D$12="Less",--(INDEX(Sims!$A204:$BO204,'Entry Builder'!$L$12)&lt;'Entry Builder'!$E$12),--(INDEX(Sims!$A204:$BO204,'Entry Builder'!$L$12)&gt;'Entry Builder'!$E$12)))</f>
        <v/>
      </c>
      <c r="G204">
        <f>6-SUM(A204:F204)</f>
        <v/>
      </c>
    </row>
    <row r="205">
      <c r="A205">
        <f>IF('Entry Builder'!$N$7=0,1,IF('Entry Builder'!$D$7="Less",--(INDEX(Sims!$A205:$BO205,'Entry Builder'!$L$7)&lt;'Entry Builder'!$E$7),--(INDEX(Sims!$A205:$BO205,'Entry Builder'!$L$7)&gt;'Entry Builder'!$E$7)))</f>
        <v/>
      </c>
      <c r="B205">
        <f>IF('Entry Builder'!$N$8=0,1,IF('Entry Builder'!$D$8="Less",--(INDEX(Sims!$A205:$BO205,'Entry Builder'!$L$8)&lt;'Entry Builder'!$E$8),--(INDEX(Sims!$A205:$BO205,'Entry Builder'!$L$8)&gt;'Entry Builder'!$E$8)))</f>
        <v/>
      </c>
      <c r="C205">
        <f>IF('Entry Builder'!$N$9=0,1,IF('Entry Builder'!$D$9="Less",--(INDEX(Sims!$A205:$BO205,'Entry Builder'!$L$9)&lt;'Entry Builder'!$E$9),--(INDEX(Sims!$A205:$BO205,'Entry Builder'!$L$9)&gt;'Entry Builder'!$E$9)))</f>
        <v/>
      </c>
      <c r="D205">
        <f>IF('Entry Builder'!$N$10=0,1,IF('Entry Builder'!$D$10="Less",--(INDEX(Sims!$A205:$BO205,'Entry Builder'!$L$10)&lt;'Entry Builder'!$E$10),--(INDEX(Sims!$A205:$BO205,'Entry Builder'!$L$10)&gt;'Entry Builder'!$E$10)))</f>
        <v/>
      </c>
      <c r="E205">
        <f>IF('Entry Builder'!$N$11=0,1,IF('Entry Builder'!$D$11="Less",--(INDEX(Sims!$A205:$BO205,'Entry Builder'!$L$11)&lt;'Entry Builder'!$E$11),--(INDEX(Sims!$A205:$BO205,'Entry Builder'!$L$11)&gt;'Entry Builder'!$E$11)))</f>
        <v/>
      </c>
      <c r="F205">
        <f>IF('Entry Builder'!$N$12=0,1,IF('Entry Builder'!$D$12="Less",--(INDEX(Sims!$A205:$BO205,'Entry Builder'!$L$12)&lt;'Entry Builder'!$E$12),--(INDEX(Sims!$A205:$BO205,'Entry Builder'!$L$12)&gt;'Entry Builder'!$E$12)))</f>
        <v/>
      </c>
      <c r="G205">
        <f>6-SUM(A205:F205)</f>
        <v/>
      </c>
    </row>
    <row r="206">
      <c r="A206">
        <f>IF('Entry Builder'!$N$7=0,1,IF('Entry Builder'!$D$7="Less",--(INDEX(Sims!$A206:$BO206,'Entry Builder'!$L$7)&lt;'Entry Builder'!$E$7),--(INDEX(Sims!$A206:$BO206,'Entry Builder'!$L$7)&gt;'Entry Builder'!$E$7)))</f>
        <v/>
      </c>
      <c r="B206">
        <f>IF('Entry Builder'!$N$8=0,1,IF('Entry Builder'!$D$8="Less",--(INDEX(Sims!$A206:$BO206,'Entry Builder'!$L$8)&lt;'Entry Builder'!$E$8),--(INDEX(Sims!$A206:$BO206,'Entry Builder'!$L$8)&gt;'Entry Builder'!$E$8)))</f>
        <v/>
      </c>
      <c r="C206">
        <f>IF('Entry Builder'!$N$9=0,1,IF('Entry Builder'!$D$9="Less",--(INDEX(Sims!$A206:$BO206,'Entry Builder'!$L$9)&lt;'Entry Builder'!$E$9),--(INDEX(Sims!$A206:$BO206,'Entry Builder'!$L$9)&gt;'Entry Builder'!$E$9)))</f>
        <v/>
      </c>
      <c r="D206">
        <f>IF('Entry Builder'!$N$10=0,1,IF('Entry Builder'!$D$10="Less",--(INDEX(Sims!$A206:$BO206,'Entry Builder'!$L$10)&lt;'Entry Builder'!$E$10),--(INDEX(Sims!$A206:$BO206,'Entry Builder'!$L$10)&gt;'Entry Builder'!$E$10)))</f>
        <v/>
      </c>
      <c r="E206">
        <f>IF('Entry Builder'!$N$11=0,1,IF('Entry Builder'!$D$11="Less",--(INDEX(Sims!$A206:$BO206,'Entry Builder'!$L$11)&lt;'Entry Builder'!$E$11),--(INDEX(Sims!$A206:$BO206,'Entry Builder'!$L$11)&gt;'Entry Builder'!$E$11)))</f>
        <v/>
      </c>
      <c r="F206">
        <f>IF('Entry Builder'!$N$12=0,1,IF('Entry Builder'!$D$12="Less",--(INDEX(Sims!$A206:$BO206,'Entry Builder'!$L$12)&lt;'Entry Builder'!$E$12),--(INDEX(Sims!$A206:$BO206,'Entry Builder'!$L$12)&gt;'Entry Builder'!$E$12)))</f>
        <v/>
      </c>
      <c r="G206">
        <f>6-SUM(A206:F206)</f>
        <v/>
      </c>
    </row>
    <row r="207">
      <c r="A207">
        <f>IF('Entry Builder'!$N$7=0,1,IF('Entry Builder'!$D$7="Less",--(INDEX(Sims!$A207:$BO207,'Entry Builder'!$L$7)&lt;'Entry Builder'!$E$7),--(INDEX(Sims!$A207:$BO207,'Entry Builder'!$L$7)&gt;'Entry Builder'!$E$7)))</f>
        <v/>
      </c>
      <c r="B207">
        <f>IF('Entry Builder'!$N$8=0,1,IF('Entry Builder'!$D$8="Less",--(INDEX(Sims!$A207:$BO207,'Entry Builder'!$L$8)&lt;'Entry Builder'!$E$8),--(INDEX(Sims!$A207:$BO207,'Entry Builder'!$L$8)&gt;'Entry Builder'!$E$8)))</f>
        <v/>
      </c>
      <c r="C207">
        <f>IF('Entry Builder'!$N$9=0,1,IF('Entry Builder'!$D$9="Less",--(INDEX(Sims!$A207:$BO207,'Entry Builder'!$L$9)&lt;'Entry Builder'!$E$9),--(INDEX(Sims!$A207:$BO207,'Entry Builder'!$L$9)&gt;'Entry Builder'!$E$9)))</f>
        <v/>
      </c>
      <c r="D207">
        <f>IF('Entry Builder'!$N$10=0,1,IF('Entry Builder'!$D$10="Less",--(INDEX(Sims!$A207:$BO207,'Entry Builder'!$L$10)&lt;'Entry Builder'!$E$10),--(INDEX(Sims!$A207:$BO207,'Entry Builder'!$L$10)&gt;'Entry Builder'!$E$10)))</f>
        <v/>
      </c>
      <c r="E207">
        <f>IF('Entry Builder'!$N$11=0,1,IF('Entry Builder'!$D$11="Less",--(INDEX(Sims!$A207:$BO207,'Entry Builder'!$L$11)&lt;'Entry Builder'!$E$11),--(INDEX(Sims!$A207:$BO207,'Entry Builder'!$L$11)&gt;'Entry Builder'!$E$11)))</f>
        <v/>
      </c>
      <c r="F207">
        <f>IF('Entry Builder'!$N$12=0,1,IF('Entry Builder'!$D$12="Less",--(INDEX(Sims!$A207:$BO207,'Entry Builder'!$L$12)&lt;'Entry Builder'!$E$12),--(INDEX(Sims!$A207:$BO207,'Entry Builder'!$L$12)&gt;'Entry Builder'!$E$12)))</f>
        <v/>
      </c>
      <c r="G207">
        <f>6-SUM(A207:F207)</f>
        <v/>
      </c>
    </row>
    <row r="208">
      <c r="A208">
        <f>IF('Entry Builder'!$N$7=0,1,IF('Entry Builder'!$D$7="Less",--(INDEX(Sims!$A208:$BO208,'Entry Builder'!$L$7)&lt;'Entry Builder'!$E$7),--(INDEX(Sims!$A208:$BO208,'Entry Builder'!$L$7)&gt;'Entry Builder'!$E$7)))</f>
        <v/>
      </c>
      <c r="B208">
        <f>IF('Entry Builder'!$N$8=0,1,IF('Entry Builder'!$D$8="Less",--(INDEX(Sims!$A208:$BO208,'Entry Builder'!$L$8)&lt;'Entry Builder'!$E$8),--(INDEX(Sims!$A208:$BO208,'Entry Builder'!$L$8)&gt;'Entry Builder'!$E$8)))</f>
        <v/>
      </c>
      <c r="C208">
        <f>IF('Entry Builder'!$N$9=0,1,IF('Entry Builder'!$D$9="Less",--(INDEX(Sims!$A208:$BO208,'Entry Builder'!$L$9)&lt;'Entry Builder'!$E$9),--(INDEX(Sims!$A208:$BO208,'Entry Builder'!$L$9)&gt;'Entry Builder'!$E$9)))</f>
        <v/>
      </c>
      <c r="D208">
        <f>IF('Entry Builder'!$N$10=0,1,IF('Entry Builder'!$D$10="Less",--(INDEX(Sims!$A208:$BO208,'Entry Builder'!$L$10)&lt;'Entry Builder'!$E$10),--(INDEX(Sims!$A208:$BO208,'Entry Builder'!$L$10)&gt;'Entry Builder'!$E$10)))</f>
        <v/>
      </c>
      <c r="E208">
        <f>IF('Entry Builder'!$N$11=0,1,IF('Entry Builder'!$D$11="Less",--(INDEX(Sims!$A208:$BO208,'Entry Builder'!$L$11)&lt;'Entry Builder'!$E$11),--(INDEX(Sims!$A208:$BO208,'Entry Builder'!$L$11)&gt;'Entry Builder'!$E$11)))</f>
        <v/>
      </c>
      <c r="F208">
        <f>IF('Entry Builder'!$N$12=0,1,IF('Entry Builder'!$D$12="Less",--(INDEX(Sims!$A208:$BO208,'Entry Builder'!$L$12)&lt;'Entry Builder'!$E$12),--(INDEX(Sims!$A208:$BO208,'Entry Builder'!$L$12)&gt;'Entry Builder'!$E$12)))</f>
        <v/>
      </c>
      <c r="G208">
        <f>6-SUM(A208:F208)</f>
        <v/>
      </c>
    </row>
    <row r="209">
      <c r="A209">
        <f>IF('Entry Builder'!$N$7=0,1,IF('Entry Builder'!$D$7="Less",--(INDEX(Sims!$A209:$BO209,'Entry Builder'!$L$7)&lt;'Entry Builder'!$E$7),--(INDEX(Sims!$A209:$BO209,'Entry Builder'!$L$7)&gt;'Entry Builder'!$E$7)))</f>
        <v/>
      </c>
      <c r="B209">
        <f>IF('Entry Builder'!$N$8=0,1,IF('Entry Builder'!$D$8="Less",--(INDEX(Sims!$A209:$BO209,'Entry Builder'!$L$8)&lt;'Entry Builder'!$E$8),--(INDEX(Sims!$A209:$BO209,'Entry Builder'!$L$8)&gt;'Entry Builder'!$E$8)))</f>
        <v/>
      </c>
      <c r="C209">
        <f>IF('Entry Builder'!$N$9=0,1,IF('Entry Builder'!$D$9="Less",--(INDEX(Sims!$A209:$BO209,'Entry Builder'!$L$9)&lt;'Entry Builder'!$E$9),--(INDEX(Sims!$A209:$BO209,'Entry Builder'!$L$9)&gt;'Entry Builder'!$E$9)))</f>
        <v/>
      </c>
      <c r="D209">
        <f>IF('Entry Builder'!$N$10=0,1,IF('Entry Builder'!$D$10="Less",--(INDEX(Sims!$A209:$BO209,'Entry Builder'!$L$10)&lt;'Entry Builder'!$E$10),--(INDEX(Sims!$A209:$BO209,'Entry Builder'!$L$10)&gt;'Entry Builder'!$E$10)))</f>
        <v/>
      </c>
      <c r="E209">
        <f>IF('Entry Builder'!$N$11=0,1,IF('Entry Builder'!$D$11="Less",--(INDEX(Sims!$A209:$BO209,'Entry Builder'!$L$11)&lt;'Entry Builder'!$E$11),--(INDEX(Sims!$A209:$BO209,'Entry Builder'!$L$11)&gt;'Entry Builder'!$E$11)))</f>
        <v/>
      </c>
      <c r="F209">
        <f>IF('Entry Builder'!$N$12=0,1,IF('Entry Builder'!$D$12="Less",--(INDEX(Sims!$A209:$BO209,'Entry Builder'!$L$12)&lt;'Entry Builder'!$E$12),--(INDEX(Sims!$A209:$BO209,'Entry Builder'!$L$12)&gt;'Entry Builder'!$E$12)))</f>
        <v/>
      </c>
      <c r="G209">
        <f>6-SUM(A209:F209)</f>
        <v/>
      </c>
    </row>
    <row r="210">
      <c r="A210">
        <f>IF('Entry Builder'!$N$7=0,1,IF('Entry Builder'!$D$7="Less",--(INDEX(Sims!$A210:$BO210,'Entry Builder'!$L$7)&lt;'Entry Builder'!$E$7),--(INDEX(Sims!$A210:$BO210,'Entry Builder'!$L$7)&gt;'Entry Builder'!$E$7)))</f>
        <v/>
      </c>
      <c r="B210">
        <f>IF('Entry Builder'!$N$8=0,1,IF('Entry Builder'!$D$8="Less",--(INDEX(Sims!$A210:$BO210,'Entry Builder'!$L$8)&lt;'Entry Builder'!$E$8),--(INDEX(Sims!$A210:$BO210,'Entry Builder'!$L$8)&gt;'Entry Builder'!$E$8)))</f>
        <v/>
      </c>
      <c r="C210">
        <f>IF('Entry Builder'!$N$9=0,1,IF('Entry Builder'!$D$9="Less",--(INDEX(Sims!$A210:$BO210,'Entry Builder'!$L$9)&lt;'Entry Builder'!$E$9),--(INDEX(Sims!$A210:$BO210,'Entry Builder'!$L$9)&gt;'Entry Builder'!$E$9)))</f>
        <v/>
      </c>
      <c r="D210">
        <f>IF('Entry Builder'!$N$10=0,1,IF('Entry Builder'!$D$10="Less",--(INDEX(Sims!$A210:$BO210,'Entry Builder'!$L$10)&lt;'Entry Builder'!$E$10),--(INDEX(Sims!$A210:$BO210,'Entry Builder'!$L$10)&gt;'Entry Builder'!$E$10)))</f>
        <v/>
      </c>
      <c r="E210">
        <f>IF('Entry Builder'!$N$11=0,1,IF('Entry Builder'!$D$11="Less",--(INDEX(Sims!$A210:$BO210,'Entry Builder'!$L$11)&lt;'Entry Builder'!$E$11),--(INDEX(Sims!$A210:$BO210,'Entry Builder'!$L$11)&gt;'Entry Builder'!$E$11)))</f>
        <v/>
      </c>
      <c r="F210">
        <f>IF('Entry Builder'!$N$12=0,1,IF('Entry Builder'!$D$12="Less",--(INDEX(Sims!$A210:$BO210,'Entry Builder'!$L$12)&lt;'Entry Builder'!$E$12),--(INDEX(Sims!$A210:$BO210,'Entry Builder'!$L$12)&gt;'Entry Builder'!$E$12)))</f>
        <v/>
      </c>
      <c r="G210">
        <f>6-SUM(A210:F210)</f>
        <v/>
      </c>
    </row>
    <row r="211">
      <c r="A211">
        <f>IF('Entry Builder'!$N$7=0,1,IF('Entry Builder'!$D$7="Less",--(INDEX(Sims!$A211:$BO211,'Entry Builder'!$L$7)&lt;'Entry Builder'!$E$7),--(INDEX(Sims!$A211:$BO211,'Entry Builder'!$L$7)&gt;'Entry Builder'!$E$7)))</f>
        <v/>
      </c>
      <c r="B211">
        <f>IF('Entry Builder'!$N$8=0,1,IF('Entry Builder'!$D$8="Less",--(INDEX(Sims!$A211:$BO211,'Entry Builder'!$L$8)&lt;'Entry Builder'!$E$8),--(INDEX(Sims!$A211:$BO211,'Entry Builder'!$L$8)&gt;'Entry Builder'!$E$8)))</f>
        <v/>
      </c>
      <c r="C211">
        <f>IF('Entry Builder'!$N$9=0,1,IF('Entry Builder'!$D$9="Less",--(INDEX(Sims!$A211:$BO211,'Entry Builder'!$L$9)&lt;'Entry Builder'!$E$9),--(INDEX(Sims!$A211:$BO211,'Entry Builder'!$L$9)&gt;'Entry Builder'!$E$9)))</f>
        <v/>
      </c>
      <c r="D211">
        <f>IF('Entry Builder'!$N$10=0,1,IF('Entry Builder'!$D$10="Less",--(INDEX(Sims!$A211:$BO211,'Entry Builder'!$L$10)&lt;'Entry Builder'!$E$10),--(INDEX(Sims!$A211:$BO211,'Entry Builder'!$L$10)&gt;'Entry Builder'!$E$10)))</f>
        <v/>
      </c>
      <c r="E211">
        <f>IF('Entry Builder'!$N$11=0,1,IF('Entry Builder'!$D$11="Less",--(INDEX(Sims!$A211:$BO211,'Entry Builder'!$L$11)&lt;'Entry Builder'!$E$11),--(INDEX(Sims!$A211:$BO211,'Entry Builder'!$L$11)&gt;'Entry Builder'!$E$11)))</f>
        <v/>
      </c>
      <c r="F211">
        <f>IF('Entry Builder'!$N$12=0,1,IF('Entry Builder'!$D$12="Less",--(INDEX(Sims!$A211:$BO211,'Entry Builder'!$L$12)&lt;'Entry Builder'!$E$12),--(INDEX(Sims!$A211:$BO211,'Entry Builder'!$L$12)&gt;'Entry Builder'!$E$12)))</f>
        <v/>
      </c>
      <c r="G211">
        <f>6-SUM(A211:F211)</f>
        <v/>
      </c>
    </row>
    <row r="212">
      <c r="A212">
        <f>IF('Entry Builder'!$N$7=0,1,IF('Entry Builder'!$D$7="Less",--(INDEX(Sims!$A212:$BO212,'Entry Builder'!$L$7)&lt;'Entry Builder'!$E$7),--(INDEX(Sims!$A212:$BO212,'Entry Builder'!$L$7)&gt;'Entry Builder'!$E$7)))</f>
        <v/>
      </c>
      <c r="B212">
        <f>IF('Entry Builder'!$N$8=0,1,IF('Entry Builder'!$D$8="Less",--(INDEX(Sims!$A212:$BO212,'Entry Builder'!$L$8)&lt;'Entry Builder'!$E$8),--(INDEX(Sims!$A212:$BO212,'Entry Builder'!$L$8)&gt;'Entry Builder'!$E$8)))</f>
        <v/>
      </c>
      <c r="C212">
        <f>IF('Entry Builder'!$N$9=0,1,IF('Entry Builder'!$D$9="Less",--(INDEX(Sims!$A212:$BO212,'Entry Builder'!$L$9)&lt;'Entry Builder'!$E$9),--(INDEX(Sims!$A212:$BO212,'Entry Builder'!$L$9)&gt;'Entry Builder'!$E$9)))</f>
        <v/>
      </c>
      <c r="D212">
        <f>IF('Entry Builder'!$N$10=0,1,IF('Entry Builder'!$D$10="Less",--(INDEX(Sims!$A212:$BO212,'Entry Builder'!$L$10)&lt;'Entry Builder'!$E$10),--(INDEX(Sims!$A212:$BO212,'Entry Builder'!$L$10)&gt;'Entry Builder'!$E$10)))</f>
        <v/>
      </c>
      <c r="E212">
        <f>IF('Entry Builder'!$N$11=0,1,IF('Entry Builder'!$D$11="Less",--(INDEX(Sims!$A212:$BO212,'Entry Builder'!$L$11)&lt;'Entry Builder'!$E$11),--(INDEX(Sims!$A212:$BO212,'Entry Builder'!$L$11)&gt;'Entry Builder'!$E$11)))</f>
        <v/>
      </c>
      <c r="F212">
        <f>IF('Entry Builder'!$N$12=0,1,IF('Entry Builder'!$D$12="Less",--(INDEX(Sims!$A212:$BO212,'Entry Builder'!$L$12)&lt;'Entry Builder'!$E$12),--(INDEX(Sims!$A212:$BO212,'Entry Builder'!$L$12)&gt;'Entry Builder'!$E$12)))</f>
        <v/>
      </c>
      <c r="G212">
        <f>6-SUM(A212:F212)</f>
        <v/>
      </c>
    </row>
    <row r="213">
      <c r="A213">
        <f>IF('Entry Builder'!$N$7=0,1,IF('Entry Builder'!$D$7="Less",--(INDEX(Sims!$A213:$BO213,'Entry Builder'!$L$7)&lt;'Entry Builder'!$E$7),--(INDEX(Sims!$A213:$BO213,'Entry Builder'!$L$7)&gt;'Entry Builder'!$E$7)))</f>
        <v/>
      </c>
      <c r="B213">
        <f>IF('Entry Builder'!$N$8=0,1,IF('Entry Builder'!$D$8="Less",--(INDEX(Sims!$A213:$BO213,'Entry Builder'!$L$8)&lt;'Entry Builder'!$E$8),--(INDEX(Sims!$A213:$BO213,'Entry Builder'!$L$8)&gt;'Entry Builder'!$E$8)))</f>
        <v/>
      </c>
      <c r="C213">
        <f>IF('Entry Builder'!$N$9=0,1,IF('Entry Builder'!$D$9="Less",--(INDEX(Sims!$A213:$BO213,'Entry Builder'!$L$9)&lt;'Entry Builder'!$E$9),--(INDEX(Sims!$A213:$BO213,'Entry Builder'!$L$9)&gt;'Entry Builder'!$E$9)))</f>
        <v/>
      </c>
      <c r="D213">
        <f>IF('Entry Builder'!$N$10=0,1,IF('Entry Builder'!$D$10="Less",--(INDEX(Sims!$A213:$BO213,'Entry Builder'!$L$10)&lt;'Entry Builder'!$E$10),--(INDEX(Sims!$A213:$BO213,'Entry Builder'!$L$10)&gt;'Entry Builder'!$E$10)))</f>
        <v/>
      </c>
      <c r="E213">
        <f>IF('Entry Builder'!$N$11=0,1,IF('Entry Builder'!$D$11="Less",--(INDEX(Sims!$A213:$BO213,'Entry Builder'!$L$11)&lt;'Entry Builder'!$E$11),--(INDEX(Sims!$A213:$BO213,'Entry Builder'!$L$11)&gt;'Entry Builder'!$E$11)))</f>
        <v/>
      </c>
      <c r="F213">
        <f>IF('Entry Builder'!$N$12=0,1,IF('Entry Builder'!$D$12="Less",--(INDEX(Sims!$A213:$BO213,'Entry Builder'!$L$12)&lt;'Entry Builder'!$E$12),--(INDEX(Sims!$A213:$BO213,'Entry Builder'!$L$12)&gt;'Entry Builder'!$E$12)))</f>
        <v/>
      </c>
      <c r="G213">
        <f>6-SUM(A213:F213)</f>
        <v/>
      </c>
    </row>
    <row r="214">
      <c r="A214">
        <f>IF('Entry Builder'!$N$7=0,1,IF('Entry Builder'!$D$7="Less",--(INDEX(Sims!$A214:$BO214,'Entry Builder'!$L$7)&lt;'Entry Builder'!$E$7),--(INDEX(Sims!$A214:$BO214,'Entry Builder'!$L$7)&gt;'Entry Builder'!$E$7)))</f>
        <v/>
      </c>
      <c r="B214">
        <f>IF('Entry Builder'!$N$8=0,1,IF('Entry Builder'!$D$8="Less",--(INDEX(Sims!$A214:$BO214,'Entry Builder'!$L$8)&lt;'Entry Builder'!$E$8),--(INDEX(Sims!$A214:$BO214,'Entry Builder'!$L$8)&gt;'Entry Builder'!$E$8)))</f>
        <v/>
      </c>
      <c r="C214">
        <f>IF('Entry Builder'!$N$9=0,1,IF('Entry Builder'!$D$9="Less",--(INDEX(Sims!$A214:$BO214,'Entry Builder'!$L$9)&lt;'Entry Builder'!$E$9),--(INDEX(Sims!$A214:$BO214,'Entry Builder'!$L$9)&gt;'Entry Builder'!$E$9)))</f>
        <v/>
      </c>
      <c r="D214">
        <f>IF('Entry Builder'!$N$10=0,1,IF('Entry Builder'!$D$10="Less",--(INDEX(Sims!$A214:$BO214,'Entry Builder'!$L$10)&lt;'Entry Builder'!$E$10),--(INDEX(Sims!$A214:$BO214,'Entry Builder'!$L$10)&gt;'Entry Builder'!$E$10)))</f>
        <v/>
      </c>
      <c r="E214">
        <f>IF('Entry Builder'!$N$11=0,1,IF('Entry Builder'!$D$11="Less",--(INDEX(Sims!$A214:$BO214,'Entry Builder'!$L$11)&lt;'Entry Builder'!$E$11),--(INDEX(Sims!$A214:$BO214,'Entry Builder'!$L$11)&gt;'Entry Builder'!$E$11)))</f>
        <v/>
      </c>
      <c r="F214">
        <f>IF('Entry Builder'!$N$12=0,1,IF('Entry Builder'!$D$12="Less",--(INDEX(Sims!$A214:$BO214,'Entry Builder'!$L$12)&lt;'Entry Builder'!$E$12),--(INDEX(Sims!$A214:$BO214,'Entry Builder'!$L$12)&gt;'Entry Builder'!$E$12)))</f>
        <v/>
      </c>
      <c r="G214">
        <f>6-SUM(A214:F214)</f>
        <v/>
      </c>
    </row>
    <row r="215">
      <c r="A215">
        <f>IF('Entry Builder'!$N$7=0,1,IF('Entry Builder'!$D$7="Less",--(INDEX(Sims!$A215:$BO215,'Entry Builder'!$L$7)&lt;'Entry Builder'!$E$7),--(INDEX(Sims!$A215:$BO215,'Entry Builder'!$L$7)&gt;'Entry Builder'!$E$7)))</f>
        <v/>
      </c>
      <c r="B215">
        <f>IF('Entry Builder'!$N$8=0,1,IF('Entry Builder'!$D$8="Less",--(INDEX(Sims!$A215:$BO215,'Entry Builder'!$L$8)&lt;'Entry Builder'!$E$8),--(INDEX(Sims!$A215:$BO215,'Entry Builder'!$L$8)&gt;'Entry Builder'!$E$8)))</f>
        <v/>
      </c>
      <c r="C215">
        <f>IF('Entry Builder'!$N$9=0,1,IF('Entry Builder'!$D$9="Less",--(INDEX(Sims!$A215:$BO215,'Entry Builder'!$L$9)&lt;'Entry Builder'!$E$9),--(INDEX(Sims!$A215:$BO215,'Entry Builder'!$L$9)&gt;'Entry Builder'!$E$9)))</f>
        <v/>
      </c>
      <c r="D215">
        <f>IF('Entry Builder'!$N$10=0,1,IF('Entry Builder'!$D$10="Less",--(INDEX(Sims!$A215:$BO215,'Entry Builder'!$L$10)&lt;'Entry Builder'!$E$10),--(INDEX(Sims!$A215:$BO215,'Entry Builder'!$L$10)&gt;'Entry Builder'!$E$10)))</f>
        <v/>
      </c>
      <c r="E215">
        <f>IF('Entry Builder'!$N$11=0,1,IF('Entry Builder'!$D$11="Less",--(INDEX(Sims!$A215:$BO215,'Entry Builder'!$L$11)&lt;'Entry Builder'!$E$11),--(INDEX(Sims!$A215:$BO215,'Entry Builder'!$L$11)&gt;'Entry Builder'!$E$11)))</f>
        <v/>
      </c>
      <c r="F215">
        <f>IF('Entry Builder'!$N$12=0,1,IF('Entry Builder'!$D$12="Less",--(INDEX(Sims!$A215:$BO215,'Entry Builder'!$L$12)&lt;'Entry Builder'!$E$12),--(INDEX(Sims!$A215:$BO215,'Entry Builder'!$L$12)&gt;'Entry Builder'!$E$12)))</f>
        <v/>
      </c>
      <c r="G215">
        <f>6-SUM(A215:F215)</f>
        <v/>
      </c>
    </row>
    <row r="216">
      <c r="A216">
        <f>IF('Entry Builder'!$N$7=0,1,IF('Entry Builder'!$D$7="Less",--(INDEX(Sims!$A216:$BO216,'Entry Builder'!$L$7)&lt;'Entry Builder'!$E$7),--(INDEX(Sims!$A216:$BO216,'Entry Builder'!$L$7)&gt;'Entry Builder'!$E$7)))</f>
        <v/>
      </c>
      <c r="B216">
        <f>IF('Entry Builder'!$N$8=0,1,IF('Entry Builder'!$D$8="Less",--(INDEX(Sims!$A216:$BO216,'Entry Builder'!$L$8)&lt;'Entry Builder'!$E$8),--(INDEX(Sims!$A216:$BO216,'Entry Builder'!$L$8)&gt;'Entry Builder'!$E$8)))</f>
        <v/>
      </c>
      <c r="C216">
        <f>IF('Entry Builder'!$N$9=0,1,IF('Entry Builder'!$D$9="Less",--(INDEX(Sims!$A216:$BO216,'Entry Builder'!$L$9)&lt;'Entry Builder'!$E$9),--(INDEX(Sims!$A216:$BO216,'Entry Builder'!$L$9)&gt;'Entry Builder'!$E$9)))</f>
        <v/>
      </c>
      <c r="D216">
        <f>IF('Entry Builder'!$N$10=0,1,IF('Entry Builder'!$D$10="Less",--(INDEX(Sims!$A216:$BO216,'Entry Builder'!$L$10)&lt;'Entry Builder'!$E$10),--(INDEX(Sims!$A216:$BO216,'Entry Builder'!$L$10)&gt;'Entry Builder'!$E$10)))</f>
        <v/>
      </c>
      <c r="E216">
        <f>IF('Entry Builder'!$N$11=0,1,IF('Entry Builder'!$D$11="Less",--(INDEX(Sims!$A216:$BO216,'Entry Builder'!$L$11)&lt;'Entry Builder'!$E$11),--(INDEX(Sims!$A216:$BO216,'Entry Builder'!$L$11)&gt;'Entry Builder'!$E$11)))</f>
        <v/>
      </c>
      <c r="F216">
        <f>IF('Entry Builder'!$N$12=0,1,IF('Entry Builder'!$D$12="Less",--(INDEX(Sims!$A216:$BO216,'Entry Builder'!$L$12)&lt;'Entry Builder'!$E$12),--(INDEX(Sims!$A216:$BO216,'Entry Builder'!$L$12)&gt;'Entry Builder'!$E$12)))</f>
        <v/>
      </c>
      <c r="G216">
        <f>6-SUM(A216:F216)</f>
        <v/>
      </c>
    </row>
    <row r="217">
      <c r="A217">
        <f>IF('Entry Builder'!$N$7=0,1,IF('Entry Builder'!$D$7="Less",--(INDEX(Sims!$A217:$BO217,'Entry Builder'!$L$7)&lt;'Entry Builder'!$E$7),--(INDEX(Sims!$A217:$BO217,'Entry Builder'!$L$7)&gt;'Entry Builder'!$E$7)))</f>
        <v/>
      </c>
      <c r="B217">
        <f>IF('Entry Builder'!$N$8=0,1,IF('Entry Builder'!$D$8="Less",--(INDEX(Sims!$A217:$BO217,'Entry Builder'!$L$8)&lt;'Entry Builder'!$E$8),--(INDEX(Sims!$A217:$BO217,'Entry Builder'!$L$8)&gt;'Entry Builder'!$E$8)))</f>
        <v/>
      </c>
      <c r="C217">
        <f>IF('Entry Builder'!$N$9=0,1,IF('Entry Builder'!$D$9="Less",--(INDEX(Sims!$A217:$BO217,'Entry Builder'!$L$9)&lt;'Entry Builder'!$E$9),--(INDEX(Sims!$A217:$BO217,'Entry Builder'!$L$9)&gt;'Entry Builder'!$E$9)))</f>
        <v/>
      </c>
      <c r="D217">
        <f>IF('Entry Builder'!$N$10=0,1,IF('Entry Builder'!$D$10="Less",--(INDEX(Sims!$A217:$BO217,'Entry Builder'!$L$10)&lt;'Entry Builder'!$E$10),--(INDEX(Sims!$A217:$BO217,'Entry Builder'!$L$10)&gt;'Entry Builder'!$E$10)))</f>
        <v/>
      </c>
      <c r="E217">
        <f>IF('Entry Builder'!$N$11=0,1,IF('Entry Builder'!$D$11="Less",--(INDEX(Sims!$A217:$BO217,'Entry Builder'!$L$11)&lt;'Entry Builder'!$E$11),--(INDEX(Sims!$A217:$BO217,'Entry Builder'!$L$11)&gt;'Entry Builder'!$E$11)))</f>
        <v/>
      </c>
      <c r="F217">
        <f>IF('Entry Builder'!$N$12=0,1,IF('Entry Builder'!$D$12="Less",--(INDEX(Sims!$A217:$BO217,'Entry Builder'!$L$12)&lt;'Entry Builder'!$E$12),--(INDEX(Sims!$A217:$BO217,'Entry Builder'!$L$12)&gt;'Entry Builder'!$E$12)))</f>
        <v/>
      </c>
      <c r="G217">
        <f>6-SUM(A217:F217)</f>
        <v/>
      </c>
    </row>
    <row r="218">
      <c r="A218">
        <f>IF('Entry Builder'!$N$7=0,1,IF('Entry Builder'!$D$7="Less",--(INDEX(Sims!$A218:$BO218,'Entry Builder'!$L$7)&lt;'Entry Builder'!$E$7),--(INDEX(Sims!$A218:$BO218,'Entry Builder'!$L$7)&gt;'Entry Builder'!$E$7)))</f>
        <v/>
      </c>
      <c r="B218">
        <f>IF('Entry Builder'!$N$8=0,1,IF('Entry Builder'!$D$8="Less",--(INDEX(Sims!$A218:$BO218,'Entry Builder'!$L$8)&lt;'Entry Builder'!$E$8),--(INDEX(Sims!$A218:$BO218,'Entry Builder'!$L$8)&gt;'Entry Builder'!$E$8)))</f>
        <v/>
      </c>
      <c r="C218">
        <f>IF('Entry Builder'!$N$9=0,1,IF('Entry Builder'!$D$9="Less",--(INDEX(Sims!$A218:$BO218,'Entry Builder'!$L$9)&lt;'Entry Builder'!$E$9),--(INDEX(Sims!$A218:$BO218,'Entry Builder'!$L$9)&gt;'Entry Builder'!$E$9)))</f>
        <v/>
      </c>
      <c r="D218">
        <f>IF('Entry Builder'!$N$10=0,1,IF('Entry Builder'!$D$10="Less",--(INDEX(Sims!$A218:$BO218,'Entry Builder'!$L$10)&lt;'Entry Builder'!$E$10),--(INDEX(Sims!$A218:$BO218,'Entry Builder'!$L$10)&gt;'Entry Builder'!$E$10)))</f>
        <v/>
      </c>
      <c r="E218">
        <f>IF('Entry Builder'!$N$11=0,1,IF('Entry Builder'!$D$11="Less",--(INDEX(Sims!$A218:$BO218,'Entry Builder'!$L$11)&lt;'Entry Builder'!$E$11),--(INDEX(Sims!$A218:$BO218,'Entry Builder'!$L$11)&gt;'Entry Builder'!$E$11)))</f>
        <v/>
      </c>
      <c r="F218">
        <f>IF('Entry Builder'!$N$12=0,1,IF('Entry Builder'!$D$12="Less",--(INDEX(Sims!$A218:$BO218,'Entry Builder'!$L$12)&lt;'Entry Builder'!$E$12),--(INDEX(Sims!$A218:$BO218,'Entry Builder'!$L$12)&gt;'Entry Builder'!$E$12)))</f>
        <v/>
      </c>
      <c r="G218">
        <f>6-SUM(A218:F218)</f>
        <v/>
      </c>
    </row>
    <row r="219">
      <c r="A219">
        <f>IF('Entry Builder'!$N$7=0,1,IF('Entry Builder'!$D$7="Less",--(INDEX(Sims!$A219:$BO219,'Entry Builder'!$L$7)&lt;'Entry Builder'!$E$7),--(INDEX(Sims!$A219:$BO219,'Entry Builder'!$L$7)&gt;'Entry Builder'!$E$7)))</f>
        <v/>
      </c>
      <c r="B219">
        <f>IF('Entry Builder'!$N$8=0,1,IF('Entry Builder'!$D$8="Less",--(INDEX(Sims!$A219:$BO219,'Entry Builder'!$L$8)&lt;'Entry Builder'!$E$8),--(INDEX(Sims!$A219:$BO219,'Entry Builder'!$L$8)&gt;'Entry Builder'!$E$8)))</f>
        <v/>
      </c>
      <c r="C219">
        <f>IF('Entry Builder'!$N$9=0,1,IF('Entry Builder'!$D$9="Less",--(INDEX(Sims!$A219:$BO219,'Entry Builder'!$L$9)&lt;'Entry Builder'!$E$9),--(INDEX(Sims!$A219:$BO219,'Entry Builder'!$L$9)&gt;'Entry Builder'!$E$9)))</f>
        <v/>
      </c>
      <c r="D219">
        <f>IF('Entry Builder'!$N$10=0,1,IF('Entry Builder'!$D$10="Less",--(INDEX(Sims!$A219:$BO219,'Entry Builder'!$L$10)&lt;'Entry Builder'!$E$10),--(INDEX(Sims!$A219:$BO219,'Entry Builder'!$L$10)&gt;'Entry Builder'!$E$10)))</f>
        <v/>
      </c>
      <c r="E219">
        <f>IF('Entry Builder'!$N$11=0,1,IF('Entry Builder'!$D$11="Less",--(INDEX(Sims!$A219:$BO219,'Entry Builder'!$L$11)&lt;'Entry Builder'!$E$11),--(INDEX(Sims!$A219:$BO219,'Entry Builder'!$L$11)&gt;'Entry Builder'!$E$11)))</f>
        <v/>
      </c>
      <c r="F219">
        <f>IF('Entry Builder'!$N$12=0,1,IF('Entry Builder'!$D$12="Less",--(INDEX(Sims!$A219:$BO219,'Entry Builder'!$L$12)&lt;'Entry Builder'!$E$12),--(INDEX(Sims!$A219:$BO219,'Entry Builder'!$L$12)&gt;'Entry Builder'!$E$12)))</f>
        <v/>
      </c>
      <c r="G219">
        <f>6-SUM(A219:F219)</f>
        <v/>
      </c>
    </row>
    <row r="220">
      <c r="A220">
        <f>IF('Entry Builder'!$N$7=0,1,IF('Entry Builder'!$D$7="Less",--(INDEX(Sims!$A220:$BO220,'Entry Builder'!$L$7)&lt;'Entry Builder'!$E$7),--(INDEX(Sims!$A220:$BO220,'Entry Builder'!$L$7)&gt;'Entry Builder'!$E$7)))</f>
        <v/>
      </c>
      <c r="B220">
        <f>IF('Entry Builder'!$N$8=0,1,IF('Entry Builder'!$D$8="Less",--(INDEX(Sims!$A220:$BO220,'Entry Builder'!$L$8)&lt;'Entry Builder'!$E$8),--(INDEX(Sims!$A220:$BO220,'Entry Builder'!$L$8)&gt;'Entry Builder'!$E$8)))</f>
        <v/>
      </c>
      <c r="C220">
        <f>IF('Entry Builder'!$N$9=0,1,IF('Entry Builder'!$D$9="Less",--(INDEX(Sims!$A220:$BO220,'Entry Builder'!$L$9)&lt;'Entry Builder'!$E$9),--(INDEX(Sims!$A220:$BO220,'Entry Builder'!$L$9)&gt;'Entry Builder'!$E$9)))</f>
        <v/>
      </c>
      <c r="D220">
        <f>IF('Entry Builder'!$N$10=0,1,IF('Entry Builder'!$D$10="Less",--(INDEX(Sims!$A220:$BO220,'Entry Builder'!$L$10)&lt;'Entry Builder'!$E$10),--(INDEX(Sims!$A220:$BO220,'Entry Builder'!$L$10)&gt;'Entry Builder'!$E$10)))</f>
        <v/>
      </c>
      <c r="E220">
        <f>IF('Entry Builder'!$N$11=0,1,IF('Entry Builder'!$D$11="Less",--(INDEX(Sims!$A220:$BO220,'Entry Builder'!$L$11)&lt;'Entry Builder'!$E$11),--(INDEX(Sims!$A220:$BO220,'Entry Builder'!$L$11)&gt;'Entry Builder'!$E$11)))</f>
        <v/>
      </c>
      <c r="F220">
        <f>IF('Entry Builder'!$N$12=0,1,IF('Entry Builder'!$D$12="Less",--(INDEX(Sims!$A220:$BO220,'Entry Builder'!$L$12)&lt;'Entry Builder'!$E$12),--(INDEX(Sims!$A220:$BO220,'Entry Builder'!$L$12)&gt;'Entry Builder'!$E$12)))</f>
        <v/>
      </c>
      <c r="G220">
        <f>6-SUM(A220:F220)</f>
        <v/>
      </c>
    </row>
    <row r="221">
      <c r="A221">
        <f>IF('Entry Builder'!$N$7=0,1,IF('Entry Builder'!$D$7="Less",--(INDEX(Sims!$A221:$BO221,'Entry Builder'!$L$7)&lt;'Entry Builder'!$E$7),--(INDEX(Sims!$A221:$BO221,'Entry Builder'!$L$7)&gt;'Entry Builder'!$E$7)))</f>
        <v/>
      </c>
      <c r="B221">
        <f>IF('Entry Builder'!$N$8=0,1,IF('Entry Builder'!$D$8="Less",--(INDEX(Sims!$A221:$BO221,'Entry Builder'!$L$8)&lt;'Entry Builder'!$E$8),--(INDEX(Sims!$A221:$BO221,'Entry Builder'!$L$8)&gt;'Entry Builder'!$E$8)))</f>
        <v/>
      </c>
      <c r="C221">
        <f>IF('Entry Builder'!$N$9=0,1,IF('Entry Builder'!$D$9="Less",--(INDEX(Sims!$A221:$BO221,'Entry Builder'!$L$9)&lt;'Entry Builder'!$E$9),--(INDEX(Sims!$A221:$BO221,'Entry Builder'!$L$9)&gt;'Entry Builder'!$E$9)))</f>
        <v/>
      </c>
      <c r="D221">
        <f>IF('Entry Builder'!$N$10=0,1,IF('Entry Builder'!$D$10="Less",--(INDEX(Sims!$A221:$BO221,'Entry Builder'!$L$10)&lt;'Entry Builder'!$E$10),--(INDEX(Sims!$A221:$BO221,'Entry Builder'!$L$10)&gt;'Entry Builder'!$E$10)))</f>
        <v/>
      </c>
      <c r="E221">
        <f>IF('Entry Builder'!$N$11=0,1,IF('Entry Builder'!$D$11="Less",--(INDEX(Sims!$A221:$BO221,'Entry Builder'!$L$11)&lt;'Entry Builder'!$E$11),--(INDEX(Sims!$A221:$BO221,'Entry Builder'!$L$11)&gt;'Entry Builder'!$E$11)))</f>
        <v/>
      </c>
      <c r="F221">
        <f>IF('Entry Builder'!$N$12=0,1,IF('Entry Builder'!$D$12="Less",--(INDEX(Sims!$A221:$BO221,'Entry Builder'!$L$12)&lt;'Entry Builder'!$E$12),--(INDEX(Sims!$A221:$BO221,'Entry Builder'!$L$12)&gt;'Entry Builder'!$E$12)))</f>
        <v/>
      </c>
      <c r="G221">
        <f>6-SUM(A221:F221)</f>
        <v/>
      </c>
    </row>
    <row r="222">
      <c r="A222">
        <f>IF('Entry Builder'!$N$7=0,1,IF('Entry Builder'!$D$7="Less",--(INDEX(Sims!$A222:$BO222,'Entry Builder'!$L$7)&lt;'Entry Builder'!$E$7),--(INDEX(Sims!$A222:$BO222,'Entry Builder'!$L$7)&gt;'Entry Builder'!$E$7)))</f>
        <v/>
      </c>
      <c r="B222">
        <f>IF('Entry Builder'!$N$8=0,1,IF('Entry Builder'!$D$8="Less",--(INDEX(Sims!$A222:$BO222,'Entry Builder'!$L$8)&lt;'Entry Builder'!$E$8),--(INDEX(Sims!$A222:$BO222,'Entry Builder'!$L$8)&gt;'Entry Builder'!$E$8)))</f>
        <v/>
      </c>
      <c r="C222">
        <f>IF('Entry Builder'!$N$9=0,1,IF('Entry Builder'!$D$9="Less",--(INDEX(Sims!$A222:$BO222,'Entry Builder'!$L$9)&lt;'Entry Builder'!$E$9),--(INDEX(Sims!$A222:$BO222,'Entry Builder'!$L$9)&gt;'Entry Builder'!$E$9)))</f>
        <v/>
      </c>
      <c r="D222">
        <f>IF('Entry Builder'!$N$10=0,1,IF('Entry Builder'!$D$10="Less",--(INDEX(Sims!$A222:$BO222,'Entry Builder'!$L$10)&lt;'Entry Builder'!$E$10),--(INDEX(Sims!$A222:$BO222,'Entry Builder'!$L$10)&gt;'Entry Builder'!$E$10)))</f>
        <v/>
      </c>
      <c r="E222">
        <f>IF('Entry Builder'!$N$11=0,1,IF('Entry Builder'!$D$11="Less",--(INDEX(Sims!$A222:$BO222,'Entry Builder'!$L$11)&lt;'Entry Builder'!$E$11),--(INDEX(Sims!$A222:$BO222,'Entry Builder'!$L$11)&gt;'Entry Builder'!$E$11)))</f>
        <v/>
      </c>
      <c r="F222">
        <f>IF('Entry Builder'!$N$12=0,1,IF('Entry Builder'!$D$12="Less",--(INDEX(Sims!$A222:$BO222,'Entry Builder'!$L$12)&lt;'Entry Builder'!$E$12),--(INDEX(Sims!$A222:$BO222,'Entry Builder'!$L$12)&gt;'Entry Builder'!$E$12)))</f>
        <v/>
      </c>
      <c r="G222">
        <f>6-SUM(A222:F222)</f>
        <v/>
      </c>
    </row>
    <row r="223">
      <c r="A223">
        <f>IF('Entry Builder'!$N$7=0,1,IF('Entry Builder'!$D$7="Less",--(INDEX(Sims!$A223:$BO223,'Entry Builder'!$L$7)&lt;'Entry Builder'!$E$7),--(INDEX(Sims!$A223:$BO223,'Entry Builder'!$L$7)&gt;'Entry Builder'!$E$7)))</f>
        <v/>
      </c>
      <c r="B223">
        <f>IF('Entry Builder'!$N$8=0,1,IF('Entry Builder'!$D$8="Less",--(INDEX(Sims!$A223:$BO223,'Entry Builder'!$L$8)&lt;'Entry Builder'!$E$8),--(INDEX(Sims!$A223:$BO223,'Entry Builder'!$L$8)&gt;'Entry Builder'!$E$8)))</f>
        <v/>
      </c>
      <c r="C223">
        <f>IF('Entry Builder'!$N$9=0,1,IF('Entry Builder'!$D$9="Less",--(INDEX(Sims!$A223:$BO223,'Entry Builder'!$L$9)&lt;'Entry Builder'!$E$9),--(INDEX(Sims!$A223:$BO223,'Entry Builder'!$L$9)&gt;'Entry Builder'!$E$9)))</f>
        <v/>
      </c>
      <c r="D223">
        <f>IF('Entry Builder'!$N$10=0,1,IF('Entry Builder'!$D$10="Less",--(INDEX(Sims!$A223:$BO223,'Entry Builder'!$L$10)&lt;'Entry Builder'!$E$10),--(INDEX(Sims!$A223:$BO223,'Entry Builder'!$L$10)&gt;'Entry Builder'!$E$10)))</f>
        <v/>
      </c>
      <c r="E223">
        <f>IF('Entry Builder'!$N$11=0,1,IF('Entry Builder'!$D$11="Less",--(INDEX(Sims!$A223:$BO223,'Entry Builder'!$L$11)&lt;'Entry Builder'!$E$11),--(INDEX(Sims!$A223:$BO223,'Entry Builder'!$L$11)&gt;'Entry Builder'!$E$11)))</f>
        <v/>
      </c>
      <c r="F223">
        <f>IF('Entry Builder'!$N$12=0,1,IF('Entry Builder'!$D$12="Less",--(INDEX(Sims!$A223:$BO223,'Entry Builder'!$L$12)&lt;'Entry Builder'!$E$12),--(INDEX(Sims!$A223:$BO223,'Entry Builder'!$L$12)&gt;'Entry Builder'!$E$12)))</f>
        <v/>
      </c>
      <c r="G223">
        <f>6-SUM(A223:F223)</f>
        <v/>
      </c>
    </row>
    <row r="224">
      <c r="A224">
        <f>IF('Entry Builder'!$N$7=0,1,IF('Entry Builder'!$D$7="Less",--(INDEX(Sims!$A224:$BO224,'Entry Builder'!$L$7)&lt;'Entry Builder'!$E$7),--(INDEX(Sims!$A224:$BO224,'Entry Builder'!$L$7)&gt;'Entry Builder'!$E$7)))</f>
        <v/>
      </c>
      <c r="B224">
        <f>IF('Entry Builder'!$N$8=0,1,IF('Entry Builder'!$D$8="Less",--(INDEX(Sims!$A224:$BO224,'Entry Builder'!$L$8)&lt;'Entry Builder'!$E$8),--(INDEX(Sims!$A224:$BO224,'Entry Builder'!$L$8)&gt;'Entry Builder'!$E$8)))</f>
        <v/>
      </c>
      <c r="C224">
        <f>IF('Entry Builder'!$N$9=0,1,IF('Entry Builder'!$D$9="Less",--(INDEX(Sims!$A224:$BO224,'Entry Builder'!$L$9)&lt;'Entry Builder'!$E$9),--(INDEX(Sims!$A224:$BO224,'Entry Builder'!$L$9)&gt;'Entry Builder'!$E$9)))</f>
        <v/>
      </c>
      <c r="D224">
        <f>IF('Entry Builder'!$N$10=0,1,IF('Entry Builder'!$D$10="Less",--(INDEX(Sims!$A224:$BO224,'Entry Builder'!$L$10)&lt;'Entry Builder'!$E$10),--(INDEX(Sims!$A224:$BO224,'Entry Builder'!$L$10)&gt;'Entry Builder'!$E$10)))</f>
        <v/>
      </c>
      <c r="E224">
        <f>IF('Entry Builder'!$N$11=0,1,IF('Entry Builder'!$D$11="Less",--(INDEX(Sims!$A224:$BO224,'Entry Builder'!$L$11)&lt;'Entry Builder'!$E$11),--(INDEX(Sims!$A224:$BO224,'Entry Builder'!$L$11)&gt;'Entry Builder'!$E$11)))</f>
        <v/>
      </c>
      <c r="F224">
        <f>IF('Entry Builder'!$N$12=0,1,IF('Entry Builder'!$D$12="Less",--(INDEX(Sims!$A224:$BO224,'Entry Builder'!$L$12)&lt;'Entry Builder'!$E$12),--(INDEX(Sims!$A224:$BO224,'Entry Builder'!$L$12)&gt;'Entry Builder'!$E$12)))</f>
        <v/>
      </c>
      <c r="G224">
        <f>6-SUM(A224:F224)</f>
        <v/>
      </c>
    </row>
    <row r="225">
      <c r="A225">
        <f>IF('Entry Builder'!$N$7=0,1,IF('Entry Builder'!$D$7="Less",--(INDEX(Sims!$A225:$BO225,'Entry Builder'!$L$7)&lt;'Entry Builder'!$E$7),--(INDEX(Sims!$A225:$BO225,'Entry Builder'!$L$7)&gt;'Entry Builder'!$E$7)))</f>
        <v/>
      </c>
      <c r="B225">
        <f>IF('Entry Builder'!$N$8=0,1,IF('Entry Builder'!$D$8="Less",--(INDEX(Sims!$A225:$BO225,'Entry Builder'!$L$8)&lt;'Entry Builder'!$E$8),--(INDEX(Sims!$A225:$BO225,'Entry Builder'!$L$8)&gt;'Entry Builder'!$E$8)))</f>
        <v/>
      </c>
      <c r="C225">
        <f>IF('Entry Builder'!$N$9=0,1,IF('Entry Builder'!$D$9="Less",--(INDEX(Sims!$A225:$BO225,'Entry Builder'!$L$9)&lt;'Entry Builder'!$E$9),--(INDEX(Sims!$A225:$BO225,'Entry Builder'!$L$9)&gt;'Entry Builder'!$E$9)))</f>
        <v/>
      </c>
      <c r="D225">
        <f>IF('Entry Builder'!$N$10=0,1,IF('Entry Builder'!$D$10="Less",--(INDEX(Sims!$A225:$BO225,'Entry Builder'!$L$10)&lt;'Entry Builder'!$E$10),--(INDEX(Sims!$A225:$BO225,'Entry Builder'!$L$10)&gt;'Entry Builder'!$E$10)))</f>
        <v/>
      </c>
      <c r="E225">
        <f>IF('Entry Builder'!$N$11=0,1,IF('Entry Builder'!$D$11="Less",--(INDEX(Sims!$A225:$BO225,'Entry Builder'!$L$11)&lt;'Entry Builder'!$E$11),--(INDEX(Sims!$A225:$BO225,'Entry Builder'!$L$11)&gt;'Entry Builder'!$E$11)))</f>
        <v/>
      </c>
      <c r="F225">
        <f>IF('Entry Builder'!$N$12=0,1,IF('Entry Builder'!$D$12="Less",--(INDEX(Sims!$A225:$BO225,'Entry Builder'!$L$12)&lt;'Entry Builder'!$E$12),--(INDEX(Sims!$A225:$BO225,'Entry Builder'!$L$12)&gt;'Entry Builder'!$E$12)))</f>
        <v/>
      </c>
      <c r="G225">
        <f>6-SUM(A225:F225)</f>
        <v/>
      </c>
    </row>
    <row r="226">
      <c r="A226">
        <f>IF('Entry Builder'!$N$7=0,1,IF('Entry Builder'!$D$7="Less",--(INDEX(Sims!$A226:$BO226,'Entry Builder'!$L$7)&lt;'Entry Builder'!$E$7),--(INDEX(Sims!$A226:$BO226,'Entry Builder'!$L$7)&gt;'Entry Builder'!$E$7)))</f>
        <v/>
      </c>
      <c r="B226">
        <f>IF('Entry Builder'!$N$8=0,1,IF('Entry Builder'!$D$8="Less",--(INDEX(Sims!$A226:$BO226,'Entry Builder'!$L$8)&lt;'Entry Builder'!$E$8),--(INDEX(Sims!$A226:$BO226,'Entry Builder'!$L$8)&gt;'Entry Builder'!$E$8)))</f>
        <v/>
      </c>
      <c r="C226">
        <f>IF('Entry Builder'!$N$9=0,1,IF('Entry Builder'!$D$9="Less",--(INDEX(Sims!$A226:$BO226,'Entry Builder'!$L$9)&lt;'Entry Builder'!$E$9),--(INDEX(Sims!$A226:$BO226,'Entry Builder'!$L$9)&gt;'Entry Builder'!$E$9)))</f>
        <v/>
      </c>
      <c r="D226">
        <f>IF('Entry Builder'!$N$10=0,1,IF('Entry Builder'!$D$10="Less",--(INDEX(Sims!$A226:$BO226,'Entry Builder'!$L$10)&lt;'Entry Builder'!$E$10),--(INDEX(Sims!$A226:$BO226,'Entry Builder'!$L$10)&gt;'Entry Builder'!$E$10)))</f>
        <v/>
      </c>
      <c r="E226">
        <f>IF('Entry Builder'!$N$11=0,1,IF('Entry Builder'!$D$11="Less",--(INDEX(Sims!$A226:$BO226,'Entry Builder'!$L$11)&lt;'Entry Builder'!$E$11),--(INDEX(Sims!$A226:$BO226,'Entry Builder'!$L$11)&gt;'Entry Builder'!$E$11)))</f>
        <v/>
      </c>
      <c r="F226">
        <f>IF('Entry Builder'!$N$12=0,1,IF('Entry Builder'!$D$12="Less",--(INDEX(Sims!$A226:$BO226,'Entry Builder'!$L$12)&lt;'Entry Builder'!$E$12),--(INDEX(Sims!$A226:$BO226,'Entry Builder'!$L$12)&gt;'Entry Builder'!$E$12)))</f>
        <v/>
      </c>
      <c r="G226">
        <f>6-SUM(A226:F226)</f>
        <v/>
      </c>
    </row>
    <row r="227">
      <c r="A227">
        <f>IF('Entry Builder'!$N$7=0,1,IF('Entry Builder'!$D$7="Less",--(INDEX(Sims!$A227:$BO227,'Entry Builder'!$L$7)&lt;'Entry Builder'!$E$7),--(INDEX(Sims!$A227:$BO227,'Entry Builder'!$L$7)&gt;'Entry Builder'!$E$7)))</f>
        <v/>
      </c>
      <c r="B227">
        <f>IF('Entry Builder'!$N$8=0,1,IF('Entry Builder'!$D$8="Less",--(INDEX(Sims!$A227:$BO227,'Entry Builder'!$L$8)&lt;'Entry Builder'!$E$8),--(INDEX(Sims!$A227:$BO227,'Entry Builder'!$L$8)&gt;'Entry Builder'!$E$8)))</f>
        <v/>
      </c>
      <c r="C227">
        <f>IF('Entry Builder'!$N$9=0,1,IF('Entry Builder'!$D$9="Less",--(INDEX(Sims!$A227:$BO227,'Entry Builder'!$L$9)&lt;'Entry Builder'!$E$9),--(INDEX(Sims!$A227:$BO227,'Entry Builder'!$L$9)&gt;'Entry Builder'!$E$9)))</f>
        <v/>
      </c>
      <c r="D227">
        <f>IF('Entry Builder'!$N$10=0,1,IF('Entry Builder'!$D$10="Less",--(INDEX(Sims!$A227:$BO227,'Entry Builder'!$L$10)&lt;'Entry Builder'!$E$10),--(INDEX(Sims!$A227:$BO227,'Entry Builder'!$L$10)&gt;'Entry Builder'!$E$10)))</f>
        <v/>
      </c>
      <c r="E227">
        <f>IF('Entry Builder'!$N$11=0,1,IF('Entry Builder'!$D$11="Less",--(INDEX(Sims!$A227:$BO227,'Entry Builder'!$L$11)&lt;'Entry Builder'!$E$11),--(INDEX(Sims!$A227:$BO227,'Entry Builder'!$L$11)&gt;'Entry Builder'!$E$11)))</f>
        <v/>
      </c>
      <c r="F227">
        <f>IF('Entry Builder'!$N$12=0,1,IF('Entry Builder'!$D$12="Less",--(INDEX(Sims!$A227:$BO227,'Entry Builder'!$L$12)&lt;'Entry Builder'!$E$12),--(INDEX(Sims!$A227:$BO227,'Entry Builder'!$L$12)&gt;'Entry Builder'!$E$12)))</f>
        <v/>
      </c>
      <c r="G227">
        <f>6-SUM(A227:F227)</f>
        <v/>
      </c>
    </row>
    <row r="228">
      <c r="A228">
        <f>IF('Entry Builder'!$N$7=0,1,IF('Entry Builder'!$D$7="Less",--(INDEX(Sims!$A228:$BO228,'Entry Builder'!$L$7)&lt;'Entry Builder'!$E$7),--(INDEX(Sims!$A228:$BO228,'Entry Builder'!$L$7)&gt;'Entry Builder'!$E$7)))</f>
        <v/>
      </c>
      <c r="B228">
        <f>IF('Entry Builder'!$N$8=0,1,IF('Entry Builder'!$D$8="Less",--(INDEX(Sims!$A228:$BO228,'Entry Builder'!$L$8)&lt;'Entry Builder'!$E$8),--(INDEX(Sims!$A228:$BO228,'Entry Builder'!$L$8)&gt;'Entry Builder'!$E$8)))</f>
        <v/>
      </c>
      <c r="C228">
        <f>IF('Entry Builder'!$N$9=0,1,IF('Entry Builder'!$D$9="Less",--(INDEX(Sims!$A228:$BO228,'Entry Builder'!$L$9)&lt;'Entry Builder'!$E$9),--(INDEX(Sims!$A228:$BO228,'Entry Builder'!$L$9)&gt;'Entry Builder'!$E$9)))</f>
        <v/>
      </c>
      <c r="D228">
        <f>IF('Entry Builder'!$N$10=0,1,IF('Entry Builder'!$D$10="Less",--(INDEX(Sims!$A228:$BO228,'Entry Builder'!$L$10)&lt;'Entry Builder'!$E$10),--(INDEX(Sims!$A228:$BO228,'Entry Builder'!$L$10)&gt;'Entry Builder'!$E$10)))</f>
        <v/>
      </c>
      <c r="E228">
        <f>IF('Entry Builder'!$N$11=0,1,IF('Entry Builder'!$D$11="Less",--(INDEX(Sims!$A228:$BO228,'Entry Builder'!$L$11)&lt;'Entry Builder'!$E$11),--(INDEX(Sims!$A228:$BO228,'Entry Builder'!$L$11)&gt;'Entry Builder'!$E$11)))</f>
        <v/>
      </c>
      <c r="F228">
        <f>IF('Entry Builder'!$N$12=0,1,IF('Entry Builder'!$D$12="Less",--(INDEX(Sims!$A228:$BO228,'Entry Builder'!$L$12)&lt;'Entry Builder'!$E$12),--(INDEX(Sims!$A228:$BO228,'Entry Builder'!$L$12)&gt;'Entry Builder'!$E$12)))</f>
        <v/>
      </c>
      <c r="G228">
        <f>6-SUM(A228:F228)</f>
        <v/>
      </c>
    </row>
    <row r="229">
      <c r="A229">
        <f>IF('Entry Builder'!$N$7=0,1,IF('Entry Builder'!$D$7="Less",--(INDEX(Sims!$A229:$BO229,'Entry Builder'!$L$7)&lt;'Entry Builder'!$E$7),--(INDEX(Sims!$A229:$BO229,'Entry Builder'!$L$7)&gt;'Entry Builder'!$E$7)))</f>
        <v/>
      </c>
      <c r="B229">
        <f>IF('Entry Builder'!$N$8=0,1,IF('Entry Builder'!$D$8="Less",--(INDEX(Sims!$A229:$BO229,'Entry Builder'!$L$8)&lt;'Entry Builder'!$E$8),--(INDEX(Sims!$A229:$BO229,'Entry Builder'!$L$8)&gt;'Entry Builder'!$E$8)))</f>
        <v/>
      </c>
      <c r="C229">
        <f>IF('Entry Builder'!$N$9=0,1,IF('Entry Builder'!$D$9="Less",--(INDEX(Sims!$A229:$BO229,'Entry Builder'!$L$9)&lt;'Entry Builder'!$E$9),--(INDEX(Sims!$A229:$BO229,'Entry Builder'!$L$9)&gt;'Entry Builder'!$E$9)))</f>
        <v/>
      </c>
      <c r="D229">
        <f>IF('Entry Builder'!$N$10=0,1,IF('Entry Builder'!$D$10="Less",--(INDEX(Sims!$A229:$BO229,'Entry Builder'!$L$10)&lt;'Entry Builder'!$E$10),--(INDEX(Sims!$A229:$BO229,'Entry Builder'!$L$10)&gt;'Entry Builder'!$E$10)))</f>
        <v/>
      </c>
      <c r="E229">
        <f>IF('Entry Builder'!$N$11=0,1,IF('Entry Builder'!$D$11="Less",--(INDEX(Sims!$A229:$BO229,'Entry Builder'!$L$11)&lt;'Entry Builder'!$E$11),--(INDEX(Sims!$A229:$BO229,'Entry Builder'!$L$11)&gt;'Entry Builder'!$E$11)))</f>
        <v/>
      </c>
      <c r="F229">
        <f>IF('Entry Builder'!$N$12=0,1,IF('Entry Builder'!$D$12="Less",--(INDEX(Sims!$A229:$BO229,'Entry Builder'!$L$12)&lt;'Entry Builder'!$E$12),--(INDEX(Sims!$A229:$BO229,'Entry Builder'!$L$12)&gt;'Entry Builder'!$E$12)))</f>
        <v/>
      </c>
      <c r="G229">
        <f>6-SUM(A229:F229)</f>
        <v/>
      </c>
    </row>
    <row r="230">
      <c r="A230">
        <f>IF('Entry Builder'!$N$7=0,1,IF('Entry Builder'!$D$7="Less",--(INDEX(Sims!$A230:$BO230,'Entry Builder'!$L$7)&lt;'Entry Builder'!$E$7),--(INDEX(Sims!$A230:$BO230,'Entry Builder'!$L$7)&gt;'Entry Builder'!$E$7)))</f>
        <v/>
      </c>
      <c r="B230">
        <f>IF('Entry Builder'!$N$8=0,1,IF('Entry Builder'!$D$8="Less",--(INDEX(Sims!$A230:$BO230,'Entry Builder'!$L$8)&lt;'Entry Builder'!$E$8),--(INDEX(Sims!$A230:$BO230,'Entry Builder'!$L$8)&gt;'Entry Builder'!$E$8)))</f>
        <v/>
      </c>
      <c r="C230">
        <f>IF('Entry Builder'!$N$9=0,1,IF('Entry Builder'!$D$9="Less",--(INDEX(Sims!$A230:$BO230,'Entry Builder'!$L$9)&lt;'Entry Builder'!$E$9),--(INDEX(Sims!$A230:$BO230,'Entry Builder'!$L$9)&gt;'Entry Builder'!$E$9)))</f>
        <v/>
      </c>
      <c r="D230">
        <f>IF('Entry Builder'!$N$10=0,1,IF('Entry Builder'!$D$10="Less",--(INDEX(Sims!$A230:$BO230,'Entry Builder'!$L$10)&lt;'Entry Builder'!$E$10),--(INDEX(Sims!$A230:$BO230,'Entry Builder'!$L$10)&gt;'Entry Builder'!$E$10)))</f>
        <v/>
      </c>
      <c r="E230">
        <f>IF('Entry Builder'!$N$11=0,1,IF('Entry Builder'!$D$11="Less",--(INDEX(Sims!$A230:$BO230,'Entry Builder'!$L$11)&lt;'Entry Builder'!$E$11),--(INDEX(Sims!$A230:$BO230,'Entry Builder'!$L$11)&gt;'Entry Builder'!$E$11)))</f>
        <v/>
      </c>
      <c r="F230">
        <f>IF('Entry Builder'!$N$12=0,1,IF('Entry Builder'!$D$12="Less",--(INDEX(Sims!$A230:$BO230,'Entry Builder'!$L$12)&lt;'Entry Builder'!$E$12),--(INDEX(Sims!$A230:$BO230,'Entry Builder'!$L$12)&gt;'Entry Builder'!$E$12)))</f>
        <v/>
      </c>
      <c r="G230">
        <f>6-SUM(A230:F230)</f>
        <v/>
      </c>
    </row>
    <row r="231">
      <c r="A231">
        <f>IF('Entry Builder'!$N$7=0,1,IF('Entry Builder'!$D$7="Less",--(INDEX(Sims!$A231:$BO231,'Entry Builder'!$L$7)&lt;'Entry Builder'!$E$7),--(INDEX(Sims!$A231:$BO231,'Entry Builder'!$L$7)&gt;'Entry Builder'!$E$7)))</f>
        <v/>
      </c>
      <c r="B231">
        <f>IF('Entry Builder'!$N$8=0,1,IF('Entry Builder'!$D$8="Less",--(INDEX(Sims!$A231:$BO231,'Entry Builder'!$L$8)&lt;'Entry Builder'!$E$8),--(INDEX(Sims!$A231:$BO231,'Entry Builder'!$L$8)&gt;'Entry Builder'!$E$8)))</f>
        <v/>
      </c>
      <c r="C231">
        <f>IF('Entry Builder'!$N$9=0,1,IF('Entry Builder'!$D$9="Less",--(INDEX(Sims!$A231:$BO231,'Entry Builder'!$L$9)&lt;'Entry Builder'!$E$9),--(INDEX(Sims!$A231:$BO231,'Entry Builder'!$L$9)&gt;'Entry Builder'!$E$9)))</f>
        <v/>
      </c>
      <c r="D231">
        <f>IF('Entry Builder'!$N$10=0,1,IF('Entry Builder'!$D$10="Less",--(INDEX(Sims!$A231:$BO231,'Entry Builder'!$L$10)&lt;'Entry Builder'!$E$10),--(INDEX(Sims!$A231:$BO231,'Entry Builder'!$L$10)&gt;'Entry Builder'!$E$10)))</f>
        <v/>
      </c>
      <c r="E231">
        <f>IF('Entry Builder'!$N$11=0,1,IF('Entry Builder'!$D$11="Less",--(INDEX(Sims!$A231:$BO231,'Entry Builder'!$L$11)&lt;'Entry Builder'!$E$11),--(INDEX(Sims!$A231:$BO231,'Entry Builder'!$L$11)&gt;'Entry Builder'!$E$11)))</f>
        <v/>
      </c>
      <c r="F231">
        <f>IF('Entry Builder'!$N$12=0,1,IF('Entry Builder'!$D$12="Less",--(INDEX(Sims!$A231:$BO231,'Entry Builder'!$L$12)&lt;'Entry Builder'!$E$12),--(INDEX(Sims!$A231:$BO231,'Entry Builder'!$L$12)&gt;'Entry Builder'!$E$12)))</f>
        <v/>
      </c>
      <c r="G231">
        <f>6-SUM(A231:F231)</f>
        <v/>
      </c>
    </row>
    <row r="232">
      <c r="A232">
        <f>IF('Entry Builder'!$N$7=0,1,IF('Entry Builder'!$D$7="Less",--(INDEX(Sims!$A232:$BO232,'Entry Builder'!$L$7)&lt;'Entry Builder'!$E$7),--(INDEX(Sims!$A232:$BO232,'Entry Builder'!$L$7)&gt;'Entry Builder'!$E$7)))</f>
        <v/>
      </c>
      <c r="B232">
        <f>IF('Entry Builder'!$N$8=0,1,IF('Entry Builder'!$D$8="Less",--(INDEX(Sims!$A232:$BO232,'Entry Builder'!$L$8)&lt;'Entry Builder'!$E$8),--(INDEX(Sims!$A232:$BO232,'Entry Builder'!$L$8)&gt;'Entry Builder'!$E$8)))</f>
        <v/>
      </c>
      <c r="C232">
        <f>IF('Entry Builder'!$N$9=0,1,IF('Entry Builder'!$D$9="Less",--(INDEX(Sims!$A232:$BO232,'Entry Builder'!$L$9)&lt;'Entry Builder'!$E$9),--(INDEX(Sims!$A232:$BO232,'Entry Builder'!$L$9)&gt;'Entry Builder'!$E$9)))</f>
        <v/>
      </c>
      <c r="D232">
        <f>IF('Entry Builder'!$N$10=0,1,IF('Entry Builder'!$D$10="Less",--(INDEX(Sims!$A232:$BO232,'Entry Builder'!$L$10)&lt;'Entry Builder'!$E$10),--(INDEX(Sims!$A232:$BO232,'Entry Builder'!$L$10)&gt;'Entry Builder'!$E$10)))</f>
        <v/>
      </c>
      <c r="E232">
        <f>IF('Entry Builder'!$N$11=0,1,IF('Entry Builder'!$D$11="Less",--(INDEX(Sims!$A232:$BO232,'Entry Builder'!$L$11)&lt;'Entry Builder'!$E$11),--(INDEX(Sims!$A232:$BO232,'Entry Builder'!$L$11)&gt;'Entry Builder'!$E$11)))</f>
        <v/>
      </c>
      <c r="F232">
        <f>IF('Entry Builder'!$N$12=0,1,IF('Entry Builder'!$D$12="Less",--(INDEX(Sims!$A232:$BO232,'Entry Builder'!$L$12)&lt;'Entry Builder'!$E$12),--(INDEX(Sims!$A232:$BO232,'Entry Builder'!$L$12)&gt;'Entry Builder'!$E$12)))</f>
        <v/>
      </c>
      <c r="G232">
        <f>6-SUM(A232:F232)</f>
        <v/>
      </c>
    </row>
    <row r="233">
      <c r="A233">
        <f>IF('Entry Builder'!$N$7=0,1,IF('Entry Builder'!$D$7="Less",--(INDEX(Sims!$A233:$BO233,'Entry Builder'!$L$7)&lt;'Entry Builder'!$E$7),--(INDEX(Sims!$A233:$BO233,'Entry Builder'!$L$7)&gt;'Entry Builder'!$E$7)))</f>
        <v/>
      </c>
      <c r="B233">
        <f>IF('Entry Builder'!$N$8=0,1,IF('Entry Builder'!$D$8="Less",--(INDEX(Sims!$A233:$BO233,'Entry Builder'!$L$8)&lt;'Entry Builder'!$E$8),--(INDEX(Sims!$A233:$BO233,'Entry Builder'!$L$8)&gt;'Entry Builder'!$E$8)))</f>
        <v/>
      </c>
      <c r="C233">
        <f>IF('Entry Builder'!$N$9=0,1,IF('Entry Builder'!$D$9="Less",--(INDEX(Sims!$A233:$BO233,'Entry Builder'!$L$9)&lt;'Entry Builder'!$E$9),--(INDEX(Sims!$A233:$BO233,'Entry Builder'!$L$9)&gt;'Entry Builder'!$E$9)))</f>
        <v/>
      </c>
      <c r="D233">
        <f>IF('Entry Builder'!$N$10=0,1,IF('Entry Builder'!$D$10="Less",--(INDEX(Sims!$A233:$BO233,'Entry Builder'!$L$10)&lt;'Entry Builder'!$E$10),--(INDEX(Sims!$A233:$BO233,'Entry Builder'!$L$10)&gt;'Entry Builder'!$E$10)))</f>
        <v/>
      </c>
      <c r="E233">
        <f>IF('Entry Builder'!$N$11=0,1,IF('Entry Builder'!$D$11="Less",--(INDEX(Sims!$A233:$BO233,'Entry Builder'!$L$11)&lt;'Entry Builder'!$E$11),--(INDEX(Sims!$A233:$BO233,'Entry Builder'!$L$11)&gt;'Entry Builder'!$E$11)))</f>
        <v/>
      </c>
      <c r="F233">
        <f>IF('Entry Builder'!$N$12=0,1,IF('Entry Builder'!$D$12="Less",--(INDEX(Sims!$A233:$BO233,'Entry Builder'!$L$12)&lt;'Entry Builder'!$E$12),--(INDEX(Sims!$A233:$BO233,'Entry Builder'!$L$12)&gt;'Entry Builder'!$E$12)))</f>
        <v/>
      </c>
      <c r="G233">
        <f>6-SUM(A233:F233)</f>
        <v/>
      </c>
    </row>
    <row r="234">
      <c r="A234">
        <f>IF('Entry Builder'!$N$7=0,1,IF('Entry Builder'!$D$7="Less",--(INDEX(Sims!$A234:$BO234,'Entry Builder'!$L$7)&lt;'Entry Builder'!$E$7),--(INDEX(Sims!$A234:$BO234,'Entry Builder'!$L$7)&gt;'Entry Builder'!$E$7)))</f>
        <v/>
      </c>
      <c r="B234">
        <f>IF('Entry Builder'!$N$8=0,1,IF('Entry Builder'!$D$8="Less",--(INDEX(Sims!$A234:$BO234,'Entry Builder'!$L$8)&lt;'Entry Builder'!$E$8),--(INDEX(Sims!$A234:$BO234,'Entry Builder'!$L$8)&gt;'Entry Builder'!$E$8)))</f>
        <v/>
      </c>
      <c r="C234">
        <f>IF('Entry Builder'!$N$9=0,1,IF('Entry Builder'!$D$9="Less",--(INDEX(Sims!$A234:$BO234,'Entry Builder'!$L$9)&lt;'Entry Builder'!$E$9),--(INDEX(Sims!$A234:$BO234,'Entry Builder'!$L$9)&gt;'Entry Builder'!$E$9)))</f>
        <v/>
      </c>
      <c r="D234">
        <f>IF('Entry Builder'!$N$10=0,1,IF('Entry Builder'!$D$10="Less",--(INDEX(Sims!$A234:$BO234,'Entry Builder'!$L$10)&lt;'Entry Builder'!$E$10),--(INDEX(Sims!$A234:$BO234,'Entry Builder'!$L$10)&gt;'Entry Builder'!$E$10)))</f>
        <v/>
      </c>
      <c r="E234">
        <f>IF('Entry Builder'!$N$11=0,1,IF('Entry Builder'!$D$11="Less",--(INDEX(Sims!$A234:$BO234,'Entry Builder'!$L$11)&lt;'Entry Builder'!$E$11),--(INDEX(Sims!$A234:$BO234,'Entry Builder'!$L$11)&gt;'Entry Builder'!$E$11)))</f>
        <v/>
      </c>
      <c r="F234">
        <f>IF('Entry Builder'!$N$12=0,1,IF('Entry Builder'!$D$12="Less",--(INDEX(Sims!$A234:$BO234,'Entry Builder'!$L$12)&lt;'Entry Builder'!$E$12),--(INDEX(Sims!$A234:$BO234,'Entry Builder'!$L$12)&gt;'Entry Builder'!$E$12)))</f>
        <v/>
      </c>
      <c r="G234">
        <f>6-SUM(A234:F234)</f>
        <v/>
      </c>
    </row>
    <row r="235">
      <c r="A235">
        <f>IF('Entry Builder'!$N$7=0,1,IF('Entry Builder'!$D$7="Less",--(INDEX(Sims!$A235:$BO235,'Entry Builder'!$L$7)&lt;'Entry Builder'!$E$7),--(INDEX(Sims!$A235:$BO235,'Entry Builder'!$L$7)&gt;'Entry Builder'!$E$7)))</f>
        <v/>
      </c>
      <c r="B235">
        <f>IF('Entry Builder'!$N$8=0,1,IF('Entry Builder'!$D$8="Less",--(INDEX(Sims!$A235:$BO235,'Entry Builder'!$L$8)&lt;'Entry Builder'!$E$8),--(INDEX(Sims!$A235:$BO235,'Entry Builder'!$L$8)&gt;'Entry Builder'!$E$8)))</f>
        <v/>
      </c>
      <c r="C235">
        <f>IF('Entry Builder'!$N$9=0,1,IF('Entry Builder'!$D$9="Less",--(INDEX(Sims!$A235:$BO235,'Entry Builder'!$L$9)&lt;'Entry Builder'!$E$9),--(INDEX(Sims!$A235:$BO235,'Entry Builder'!$L$9)&gt;'Entry Builder'!$E$9)))</f>
        <v/>
      </c>
      <c r="D235">
        <f>IF('Entry Builder'!$N$10=0,1,IF('Entry Builder'!$D$10="Less",--(INDEX(Sims!$A235:$BO235,'Entry Builder'!$L$10)&lt;'Entry Builder'!$E$10),--(INDEX(Sims!$A235:$BO235,'Entry Builder'!$L$10)&gt;'Entry Builder'!$E$10)))</f>
        <v/>
      </c>
      <c r="E235">
        <f>IF('Entry Builder'!$N$11=0,1,IF('Entry Builder'!$D$11="Less",--(INDEX(Sims!$A235:$BO235,'Entry Builder'!$L$11)&lt;'Entry Builder'!$E$11),--(INDEX(Sims!$A235:$BO235,'Entry Builder'!$L$11)&gt;'Entry Builder'!$E$11)))</f>
        <v/>
      </c>
      <c r="F235">
        <f>IF('Entry Builder'!$N$12=0,1,IF('Entry Builder'!$D$12="Less",--(INDEX(Sims!$A235:$BO235,'Entry Builder'!$L$12)&lt;'Entry Builder'!$E$12),--(INDEX(Sims!$A235:$BO235,'Entry Builder'!$L$12)&gt;'Entry Builder'!$E$12)))</f>
        <v/>
      </c>
      <c r="G235">
        <f>6-SUM(A235:F235)</f>
        <v/>
      </c>
    </row>
    <row r="236">
      <c r="A236">
        <f>IF('Entry Builder'!$N$7=0,1,IF('Entry Builder'!$D$7="Less",--(INDEX(Sims!$A236:$BO236,'Entry Builder'!$L$7)&lt;'Entry Builder'!$E$7),--(INDEX(Sims!$A236:$BO236,'Entry Builder'!$L$7)&gt;'Entry Builder'!$E$7)))</f>
        <v/>
      </c>
      <c r="B236">
        <f>IF('Entry Builder'!$N$8=0,1,IF('Entry Builder'!$D$8="Less",--(INDEX(Sims!$A236:$BO236,'Entry Builder'!$L$8)&lt;'Entry Builder'!$E$8),--(INDEX(Sims!$A236:$BO236,'Entry Builder'!$L$8)&gt;'Entry Builder'!$E$8)))</f>
        <v/>
      </c>
      <c r="C236">
        <f>IF('Entry Builder'!$N$9=0,1,IF('Entry Builder'!$D$9="Less",--(INDEX(Sims!$A236:$BO236,'Entry Builder'!$L$9)&lt;'Entry Builder'!$E$9),--(INDEX(Sims!$A236:$BO236,'Entry Builder'!$L$9)&gt;'Entry Builder'!$E$9)))</f>
        <v/>
      </c>
      <c r="D236">
        <f>IF('Entry Builder'!$N$10=0,1,IF('Entry Builder'!$D$10="Less",--(INDEX(Sims!$A236:$BO236,'Entry Builder'!$L$10)&lt;'Entry Builder'!$E$10),--(INDEX(Sims!$A236:$BO236,'Entry Builder'!$L$10)&gt;'Entry Builder'!$E$10)))</f>
        <v/>
      </c>
      <c r="E236">
        <f>IF('Entry Builder'!$N$11=0,1,IF('Entry Builder'!$D$11="Less",--(INDEX(Sims!$A236:$BO236,'Entry Builder'!$L$11)&lt;'Entry Builder'!$E$11),--(INDEX(Sims!$A236:$BO236,'Entry Builder'!$L$11)&gt;'Entry Builder'!$E$11)))</f>
        <v/>
      </c>
      <c r="F236">
        <f>IF('Entry Builder'!$N$12=0,1,IF('Entry Builder'!$D$12="Less",--(INDEX(Sims!$A236:$BO236,'Entry Builder'!$L$12)&lt;'Entry Builder'!$E$12),--(INDEX(Sims!$A236:$BO236,'Entry Builder'!$L$12)&gt;'Entry Builder'!$E$12)))</f>
        <v/>
      </c>
      <c r="G236">
        <f>6-SUM(A236:F236)</f>
        <v/>
      </c>
    </row>
    <row r="237">
      <c r="A237">
        <f>IF('Entry Builder'!$N$7=0,1,IF('Entry Builder'!$D$7="Less",--(INDEX(Sims!$A237:$BO237,'Entry Builder'!$L$7)&lt;'Entry Builder'!$E$7),--(INDEX(Sims!$A237:$BO237,'Entry Builder'!$L$7)&gt;'Entry Builder'!$E$7)))</f>
        <v/>
      </c>
      <c r="B237">
        <f>IF('Entry Builder'!$N$8=0,1,IF('Entry Builder'!$D$8="Less",--(INDEX(Sims!$A237:$BO237,'Entry Builder'!$L$8)&lt;'Entry Builder'!$E$8),--(INDEX(Sims!$A237:$BO237,'Entry Builder'!$L$8)&gt;'Entry Builder'!$E$8)))</f>
        <v/>
      </c>
      <c r="C237">
        <f>IF('Entry Builder'!$N$9=0,1,IF('Entry Builder'!$D$9="Less",--(INDEX(Sims!$A237:$BO237,'Entry Builder'!$L$9)&lt;'Entry Builder'!$E$9),--(INDEX(Sims!$A237:$BO237,'Entry Builder'!$L$9)&gt;'Entry Builder'!$E$9)))</f>
        <v/>
      </c>
      <c r="D237">
        <f>IF('Entry Builder'!$N$10=0,1,IF('Entry Builder'!$D$10="Less",--(INDEX(Sims!$A237:$BO237,'Entry Builder'!$L$10)&lt;'Entry Builder'!$E$10),--(INDEX(Sims!$A237:$BO237,'Entry Builder'!$L$10)&gt;'Entry Builder'!$E$10)))</f>
        <v/>
      </c>
      <c r="E237">
        <f>IF('Entry Builder'!$N$11=0,1,IF('Entry Builder'!$D$11="Less",--(INDEX(Sims!$A237:$BO237,'Entry Builder'!$L$11)&lt;'Entry Builder'!$E$11),--(INDEX(Sims!$A237:$BO237,'Entry Builder'!$L$11)&gt;'Entry Builder'!$E$11)))</f>
        <v/>
      </c>
      <c r="F237">
        <f>IF('Entry Builder'!$N$12=0,1,IF('Entry Builder'!$D$12="Less",--(INDEX(Sims!$A237:$BO237,'Entry Builder'!$L$12)&lt;'Entry Builder'!$E$12),--(INDEX(Sims!$A237:$BO237,'Entry Builder'!$L$12)&gt;'Entry Builder'!$E$12)))</f>
        <v/>
      </c>
      <c r="G237">
        <f>6-SUM(A237:F237)</f>
        <v/>
      </c>
    </row>
    <row r="238">
      <c r="A238">
        <f>IF('Entry Builder'!$N$7=0,1,IF('Entry Builder'!$D$7="Less",--(INDEX(Sims!$A238:$BO238,'Entry Builder'!$L$7)&lt;'Entry Builder'!$E$7),--(INDEX(Sims!$A238:$BO238,'Entry Builder'!$L$7)&gt;'Entry Builder'!$E$7)))</f>
        <v/>
      </c>
      <c r="B238">
        <f>IF('Entry Builder'!$N$8=0,1,IF('Entry Builder'!$D$8="Less",--(INDEX(Sims!$A238:$BO238,'Entry Builder'!$L$8)&lt;'Entry Builder'!$E$8),--(INDEX(Sims!$A238:$BO238,'Entry Builder'!$L$8)&gt;'Entry Builder'!$E$8)))</f>
        <v/>
      </c>
      <c r="C238">
        <f>IF('Entry Builder'!$N$9=0,1,IF('Entry Builder'!$D$9="Less",--(INDEX(Sims!$A238:$BO238,'Entry Builder'!$L$9)&lt;'Entry Builder'!$E$9),--(INDEX(Sims!$A238:$BO238,'Entry Builder'!$L$9)&gt;'Entry Builder'!$E$9)))</f>
        <v/>
      </c>
      <c r="D238">
        <f>IF('Entry Builder'!$N$10=0,1,IF('Entry Builder'!$D$10="Less",--(INDEX(Sims!$A238:$BO238,'Entry Builder'!$L$10)&lt;'Entry Builder'!$E$10),--(INDEX(Sims!$A238:$BO238,'Entry Builder'!$L$10)&gt;'Entry Builder'!$E$10)))</f>
        <v/>
      </c>
      <c r="E238">
        <f>IF('Entry Builder'!$N$11=0,1,IF('Entry Builder'!$D$11="Less",--(INDEX(Sims!$A238:$BO238,'Entry Builder'!$L$11)&lt;'Entry Builder'!$E$11),--(INDEX(Sims!$A238:$BO238,'Entry Builder'!$L$11)&gt;'Entry Builder'!$E$11)))</f>
        <v/>
      </c>
      <c r="F238">
        <f>IF('Entry Builder'!$N$12=0,1,IF('Entry Builder'!$D$12="Less",--(INDEX(Sims!$A238:$BO238,'Entry Builder'!$L$12)&lt;'Entry Builder'!$E$12),--(INDEX(Sims!$A238:$BO238,'Entry Builder'!$L$12)&gt;'Entry Builder'!$E$12)))</f>
        <v/>
      </c>
      <c r="G238">
        <f>6-SUM(A238:F238)</f>
        <v/>
      </c>
    </row>
    <row r="239">
      <c r="A239">
        <f>IF('Entry Builder'!$N$7=0,1,IF('Entry Builder'!$D$7="Less",--(INDEX(Sims!$A239:$BO239,'Entry Builder'!$L$7)&lt;'Entry Builder'!$E$7),--(INDEX(Sims!$A239:$BO239,'Entry Builder'!$L$7)&gt;'Entry Builder'!$E$7)))</f>
        <v/>
      </c>
      <c r="B239">
        <f>IF('Entry Builder'!$N$8=0,1,IF('Entry Builder'!$D$8="Less",--(INDEX(Sims!$A239:$BO239,'Entry Builder'!$L$8)&lt;'Entry Builder'!$E$8),--(INDEX(Sims!$A239:$BO239,'Entry Builder'!$L$8)&gt;'Entry Builder'!$E$8)))</f>
        <v/>
      </c>
      <c r="C239">
        <f>IF('Entry Builder'!$N$9=0,1,IF('Entry Builder'!$D$9="Less",--(INDEX(Sims!$A239:$BO239,'Entry Builder'!$L$9)&lt;'Entry Builder'!$E$9),--(INDEX(Sims!$A239:$BO239,'Entry Builder'!$L$9)&gt;'Entry Builder'!$E$9)))</f>
        <v/>
      </c>
      <c r="D239">
        <f>IF('Entry Builder'!$N$10=0,1,IF('Entry Builder'!$D$10="Less",--(INDEX(Sims!$A239:$BO239,'Entry Builder'!$L$10)&lt;'Entry Builder'!$E$10),--(INDEX(Sims!$A239:$BO239,'Entry Builder'!$L$10)&gt;'Entry Builder'!$E$10)))</f>
        <v/>
      </c>
      <c r="E239">
        <f>IF('Entry Builder'!$N$11=0,1,IF('Entry Builder'!$D$11="Less",--(INDEX(Sims!$A239:$BO239,'Entry Builder'!$L$11)&lt;'Entry Builder'!$E$11),--(INDEX(Sims!$A239:$BO239,'Entry Builder'!$L$11)&gt;'Entry Builder'!$E$11)))</f>
        <v/>
      </c>
      <c r="F239">
        <f>IF('Entry Builder'!$N$12=0,1,IF('Entry Builder'!$D$12="Less",--(INDEX(Sims!$A239:$BO239,'Entry Builder'!$L$12)&lt;'Entry Builder'!$E$12),--(INDEX(Sims!$A239:$BO239,'Entry Builder'!$L$12)&gt;'Entry Builder'!$E$12)))</f>
        <v/>
      </c>
      <c r="G239">
        <f>6-SUM(A239:F239)</f>
        <v/>
      </c>
    </row>
    <row r="240">
      <c r="A240">
        <f>IF('Entry Builder'!$N$7=0,1,IF('Entry Builder'!$D$7="Less",--(INDEX(Sims!$A240:$BO240,'Entry Builder'!$L$7)&lt;'Entry Builder'!$E$7),--(INDEX(Sims!$A240:$BO240,'Entry Builder'!$L$7)&gt;'Entry Builder'!$E$7)))</f>
        <v/>
      </c>
      <c r="B240">
        <f>IF('Entry Builder'!$N$8=0,1,IF('Entry Builder'!$D$8="Less",--(INDEX(Sims!$A240:$BO240,'Entry Builder'!$L$8)&lt;'Entry Builder'!$E$8),--(INDEX(Sims!$A240:$BO240,'Entry Builder'!$L$8)&gt;'Entry Builder'!$E$8)))</f>
        <v/>
      </c>
      <c r="C240">
        <f>IF('Entry Builder'!$N$9=0,1,IF('Entry Builder'!$D$9="Less",--(INDEX(Sims!$A240:$BO240,'Entry Builder'!$L$9)&lt;'Entry Builder'!$E$9),--(INDEX(Sims!$A240:$BO240,'Entry Builder'!$L$9)&gt;'Entry Builder'!$E$9)))</f>
        <v/>
      </c>
      <c r="D240">
        <f>IF('Entry Builder'!$N$10=0,1,IF('Entry Builder'!$D$10="Less",--(INDEX(Sims!$A240:$BO240,'Entry Builder'!$L$10)&lt;'Entry Builder'!$E$10),--(INDEX(Sims!$A240:$BO240,'Entry Builder'!$L$10)&gt;'Entry Builder'!$E$10)))</f>
        <v/>
      </c>
      <c r="E240">
        <f>IF('Entry Builder'!$N$11=0,1,IF('Entry Builder'!$D$11="Less",--(INDEX(Sims!$A240:$BO240,'Entry Builder'!$L$11)&lt;'Entry Builder'!$E$11),--(INDEX(Sims!$A240:$BO240,'Entry Builder'!$L$11)&gt;'Entry Builder'!$E$11)))</f>
        <v/>
      </c>
      <c r="F240">
        <f>IF('Entry Builder'!$N$12=0,1,IF('Entry Builder'!$D$12="Less",--(INDEX(Sims!$A240:$BO240,'Entry Builder'!$L$12)&lt;'Entry Builder'!$E$12),--(INDEX(Sims!$A240:$BO240,'Entry Builder'!$L$12)&gt;'Entry Builder'!$E$12)))</f>
        <v/>
      </c>
      <c r="G240">
        <f>6-SUM(A240:F240)</f>
        <v/>
      </c>
    </row>
    <row r="241">
      <c r="A241">
        <f>IF('Entry Builder'!$N$7=0,1,IF('Entry Builder'!$D$7="Less",--(INDEX(Sims!$A241:$BO241,'Entry Builder'!$L$7)&lt;'Entry Builder'!$E$7),--(INDEX(Sims!$A241:$BO241,'Entry Builder'!$L$7)&gt;'Entry Builder'!$E$7)))</f>
        <v/>
      </c>
      <c r="B241">
        <f>IF('Entry Builder'!$N$8=0,1,IF('Entry Builder'!$D$8="Less",--(INDEX(Sims!$A241:$BO241,'Entry Builder'!$L$8)&lt;'Entry Builder'!$E$8),--(INDEX(Sims!$A241:$BO241,'Entry Builder'!$L$8)&gt;'Entry Builder'!$E$8)))</f>
        <v/>
      </c>
      <c r="C241">
        <f>IF('Entry Builder'!$N$9=0,1,IF('Entry Builder'!$D$9="Less",--(INDEX(Sims!$A241:$BO241,'Entry Builder'!$L$9)&lt;'Entry Builder'!$E$9),--(INDEX(Sims!$A241:$BO241,'Entry Builder'!$L$9)&gt;'Entry Builder'!$E$9)))</f>
        <v/>
      </c>
      <c r="D241">
        <f>IF('Entry Builder'!$N$10=0,1,IF('Entry Builder'!$D$10="Less",--(INDEX(Sims!$A241:$BO241,'Entry Builder'!$L$10)&lt;'Entry Builder'!$E$10),--(INDEX(Sims!$A241:$BO241,'Entry Builder'!$L$10)&gt;'Entry Builder'!$E$10)))</f>
        <v/>
      </c>
      <c r="E241">
        <f>IF('Entry Builder'!$N$11=0,1,IF('Entry Builder'!$D$11="Less",--(INDEX(Sims!$A241:$BO241,'Entry Builder'!$L$11)&lt;'Entry Builder'!$E$11),--(INDEX(Sims!$A241:$BO241,'Entry Builder'!$L$11)&gt;'Entry Builder'!$E$11)))</f>
        <v/>
      </c>
      <c r="F241">
        <f>IF('Entry Builder'!$N$12=0,1,IF('Entry Builder'!$D$12="Less",--(INDEX(Sims!$A241:$BO241,'Entry Builder'!$L$12)&lt;'Entry Builder'!$E$12),--(INDEX(Sims!$A241:$BO241,'Entry Builder'!$L$12)&gt;'Entry Builder'!$E$12)))</f>
        <v/>
      </c>
      <c r="G241">
        <f>6-SUM(A241:F241)</f>
        <v/>
      </c>
    </row>
    <row r="242">
      <c r="A242">
        <f>IF('Entry Builder'!$N$7=0,1,IF('Entry Builder'!$D$7="Less",--(INDEX(Sims!$A242:$BO242,'Entry Builder'!$L$7)&lt;'Entry Builder'!$E$7),--(INDEX(Sims!$A242:$BO242,'Entry Builder'!$L$7)&gt;'Entry Builder'!$E$7)))</f>
        <v/>
      </c>
      <c r="B242">
        <f>IF('Entry Builder'!$N$8=0,1,IF('Entry Builder'!$D$8="Less",--(INDEX(Sims!$A242:$BO242,'Entry Builder'!$L$8)&lt;'Entry Builder'!$E$8),--(INDEX(Sims!$A242:$BO242,'Entry Builder'!$L$8)&gt;'Entry Builder'!$E$8)))</f>
        <v/>
      </c>
      <c r="C242">
        <f>IF('Entry Builder'!$N$9=0,1,IF('Entry Builder'!$D$9="Less",--(INDEX(Sims!$A242:$BO242,'Entry Builder'!$L$9)&lt;'Entry Builder'!$E$9),--(INDEX(Sims!$A242:$BO242,'Entry Builder'!$L$9)&gt;'Entry Builder'!$E$9)))</f>
        <v/>
      </c>
      <c r="D242">
        <f>IF('Entry Builder'!$N$10=0,1,IF('Entry Builder'!$D$10="Less",--(INDEX(Sims!$A242:$BO242,'Entry Builder'!$L$10)&lt;'Entry Builder'!$E$10),--(INDEX(Sims!$A242:$BO242,'Entry Builder'!$L$10)&gt;'Entry Builder'!$E$10)))</f>
        <v/>
      </c>
      <c r="E242">
        <f>IF('Entry Builder'!$N$11=0,1,IF('Entry Builder'!$D$11="Less",--(INDEX(Sims!$A242:$BO242,'Entry Builder'!$L$11)&lt;'Entry Builder'!$E$11),--(INDEX(Sims!$A242:$BO242,'Entry Builder'!$L$11)&gt;'Entry Builder'!$E$11)))</f>
        <v/>
      </c>
      <c r="F242">
        <f>IF('Entry Builder'!$N$12=0,1,IF('Entry Builder'!$D$12="Less",--(INDEX(Sims!$A242:$BO242,'Entry Builder'!$L$12)&lt;'Entry Builder'!$E$12),--(INDEX(Sims!$A242:$BO242,'Entry Builder'!$L$12)&gt;'Entry Builder'!$E$12)))</f>
        <v/>
      </c>
      <c r="G242">
        <f>6-SUM(A242:F242)</f>
        <v/>
      </c>
    </row>
    <row r="243">
      <c r="A243">
        <f>IF('Entry Builder'!$N$7=0,1,IF('Entry Builder'!$D$7="Less",--(INDEX(Sims!$A243:$BO243,'Entry Builder'!$L$7)&lt;'Entry Builder'!$E$7),--(INDEX(Sims!$A243:$BO243,'Entry Builder'!$L$7)&gt;'Entry Builder'!$E$7)))</f>
        <v/>
      </c>
      <c r="B243">
        <f>IF('Entry Builder'!$N$8=0,1,IF('Entry Builder'!$D$8="Less",--(INDEX(Sims!$A243:$BO243,'Entry Builder'!$L$8)&lt;'Entry Builder'!$E$8),--(INDEX(Sims!$A243:$BO243,'Entry Builder'!$L$8)&gt;'Entry Builder'!$E$8)))</f>
        <v/>
      </c>
      <c r="C243">
        <f>IF('Entry Builder'!$N$9=0,1,IF('Entry Builder'!$D$9="Less",--(INDEX(Sims!$A243:$BO243,'Entry Builder'!$L$9)&lt;'Entry Builder'!$E$9),--(INDEX(Sims!$A243:$BO243,'Entry Builder'!$L$9)&gt;'Entry Builder'!$E$9)))</f>
        <v/>
      </c>
      <c r="D243">
        <f>IF('Entry Builder'!$N$10=0,1,IF('Entry Builder'!$D$10="Less",--(INDEX(Sims!$A243:$BO243,'Entry Builder'!$L$10)&lt;'Entry Builder'!$E$10),--(INDEX(Sims!$A243:$BO243,'Entry Builder'!$L$10)&gt;'Entry Builder'!$E$10)))</f>
        <v/>
      </c>
      <c r="E243">
        <f>IF('Entry Builder'!$N$11=0,1,IF('Entry Builder'!$D$11="Less",--(INDEX(Sims!$A243:$BO243,'Entry Builder'!$L$11)&lt;'Entry Builder'!$E$11),--(INDEX(Sims!$A243:$BO243,'Entry Builder'!$L$11)&gt;'Entry Builder'!$E$11)))</f>
        <v/>
      </c>
      <c r="F243">
        <f>IF('Entry Builder'!$N$12=0,1,IF('Entry Builder'!$D$12="Less",--(INDEX(Sims!$A243:$BO243,'Entry Builder'!$L$12)&lt;'Entry Builder'!$E$12),--(INDEX(Sims!$A243:$BO243,'Entry Builder'!$L$12)&gt;'Entry Builder'!$E$12)))</f>
        <v/>
      </c>
      <c r="G243">
        <f>6-SUM(A243:F243)</f>
        <v/>
      </c>
    </row>
    <row r="244">
      <c r="A244">
        <f>IF('Entry Builder'!$N$7=0,1,IF('Entry Builder'!$D$7="Less",--(INDEX(Sims!$A244:$BO244,'Entry Builder'!$L$7)&lt;'Entry Builder'!$E$7),--(INDEX(Sims!$A244:$BO244,'Entry Builder'!$L$7)&gt;'Entry Builder'!$E$7)))</f>
        <v/>
      </c>
      <c r="B244">
        <f>IF('Entry Builder'!$N$8=0,1,IF('Entry Builder'!$D$8="Less",--(INDEX(Sims!$A244:$BO244,'Entry Builder'!$L$8)&lt;'Entry Builder'!$E$8),--(INDEX(Sims!$A244:$BO244,'Entry Builder'!$L$8)&gt;'Entry Builder'!$E$8)))</f>
        <v/>
      </c>
      <c r="C244">
        <f>IF('Entry Builder'!$N$9=0,1,IF('Entry Builder'!$D$9="Less",--(INDEX(Sims!$A244:$BO244,'Entry Builder'!$L$9)&lt;'Entry Builder'!$E$9),--(INDEX(Sims!$A244:$BO244,'Entry Builder'!$L$9)&gt;'Entry Builder'!$E$9)))</f>
        <v/>
      </c>
      <c r="D244">
        <f>IF('Entry Builder'!$N$10=0,1,IF('Entry Builder'!$D$10="Less",--(INDEX(Sims!$A244:$BO244,'Entry Builder'!$L$10)&lt;'Entry Builder'!$E$10),--(INDEX(Sims!$A244:$BO244,'Entry Builder'!$L$10)&gt;'Entry Builder'!$E$10)))</f>
        <v/>
      </c>
      <c r="E244">
        <f>IF('Entry Builder'!$N$11=0,1,IF('Entry Builder'!$D$11="Less",--(INDEX(Sims!$A244:$BO244,'Entry Builder'!$L$11)&lt;'Entry Builder'!$E$11),--(INDEX(Sims!$A244:$BO244,'Entry Builder'!$L$11)&gt;'Entry Builder'!$E$11)))</f>
        <v/>
      </c>
      <c r="F244">
        <f>IF('Entry Builder'!$N$12=0,1,IF('Entry Builder'!$D$12="Less",--(INDEX(Sims!$A244:$BO244,'Entry Builder'!$L$12)&lt;'Entry Builder'!$E$12),--(INDEX(Sims!$A244:$BO244,'Entry Builder'!$L$12)&gt;'Entry Builder'!$E$12)))</f>
        <v/>
      </c>
      <c r="G244">
        <f>6-SUM(A244:F244)</f>
        <v/>
      </c>
    </row>
    <row r="245">
      <c r="A245">
        <f>IF('Entry Builder'!$N$7=0,1,IF('Entry Builder'!$D$7="Less",--(INDEX(Sims!$A245:$BO245,'Entry Builder'!$L$7)&lt;'Entry Builder'!$E$7),--(INDEX(Sims!$A245:$BO245,'Entry Builder'!$L$7)&gt;'Entry Builder'!$E$7)))</f>
        <v/>
      </c>
      <c r="B245">
        <f>IF('Entry Builder'!$N$8=0,1,IF('Entry Builder'!$D$8="Less",--(INDEX(Sims!$A245:$BO245,'Entry Builder'!$L$8)&lt;'Entry Builder'!$E$8),--(INDEX(Sims!$A245:$BO245,'Entry Builder'!$L$8)&gt;'Entry Builder'!$E$8)))</f>
        <v/>
      </c>
      <c r="C245">
        <f>IF('Entry Builder'!$N$9=0,1,IF('Entry Builder'!$D$9="Less",--(INDEX(Sims!$A245:$BO245,'Entry Builder'!$L$9)&lt;'Entry Builder'!$E$9),--(INDEX(Sims!$A245:$BO245,'Entry Builder'!$L$9)&gt;'Entry Builder'!$E$9)))</f>
        <v/>
      </c>
      <c r="D245">
        <f>IF('Entry Builder'!$N$10=0,1,IF('Entry Builder'!$D$10="Less",--(INDEX(Sims!$A245:$BO245,'Entry Builder'!$L$10)&lt;'Entry Builder'!$E$10),--(INDEX(Sims!$A245:$BO245,'Entry Builder'!$L$10)&gt;'Entry Builder'!$E$10)))</f>
        <v/>
      </c>
      <c r="E245">
        <f>IF('Entry Builder'!$N$11=0,1,IF('Entry Builder'!$D$11="Less",--(INDEX(Sims!$A245:$BO245,'Entry Builder'!$L$11)&lt;'Entry Builder'!$E$11),--(INDEX(Sims!$A245:$BO245,'Entry Builder'!$L$11)&gt;'Entry Builder'!$E$11)))</f>
        <v/>
      </c>
      <c r="F245">
        <f>IF('Entry Builder'!$N$12=0,1,IF('Entry Builder'!$D$12="Less",--(INDEX(Sims!$A245:$BO245,'Entry Builder'!$L$12)&lt;'Entry Builder'!$E$12),--(INDEX(Sims!$A245:$BO245,'Entry Builder'!$L$12)&gt;'Entry Builder'!$E$12)))</f>
        <v/>
      </c>
      <c r="G245">
        <f>6-SUM(A245:F245)</f>
        <v/>
      </c>
    </row>
    <row r="246">
      <c r="A246">
        <f>IF('Entry Builder'!$N$7=0,1,IF('Entry Builder'!$D$7="Less",--(INDEX(Sims!$A246:$BO246,'Entry Builder'!$L$7)&lt;'Entry Builder'!$E$7),--(INDEX(Sims!$A246:$BO246,'Entry Builder'!$L$7)&gt;'Entry Builder'!$E$7)))</f>
        <v/>
      </c>
      <c r="B246">
        <f>IF('Entry Builder'!$N$8=0,1,IF('Entry Builder'!$D$8="Less",--(INDEX(Sims!$A246:$BO246,'Entry Builder'!$L$8)&lt;'Entry Builder'!$E$8),--(INDEX(Sims!$A246:$BO246,'Entry Builder'!$L$8)&gt;'Entry Builder'!$E$8)))</f>
        <v/>
      </c>
      <c r="C246">
        <f>IF('Entry Builder'!$N$9=0,1,IF('Entry Builder'!$D$9="Less",--(INDEX(Sims!$A246:$BO246,'Entry Builder'!$L$9)&lt;'Entry Builder'!$E$9),--(INDEX(Sims!$A246:$BO246,'Entry Builder'!$L$9)&gt;'Entry Builder'!$E$9)))</f>
        <v/>
      </c>
      <c r="D246">
        <f>IF('Entry Builder'!$N$10=0,1,IF('Entry Builder'!$D$10="Less",--(INDEX(Sims!$A246:$BO246,'Entry Builder'!$L$10)&lt;'Entry Builder'!$E$10),--(INDEX(Sims!$A246:$BO246,'Entry Builder'!$L$10)&gt;'Entry Builder'!$E$10)))</f>
        <v/>
      </c>
      <c r="E246">
        <f>IF('Entry Builder'!$N$11=0,1,IF('Entry Builder'!$D$11="Less",--(INDEX(Sims!$A246:$BO246,'Entry Builder'!$L$11)&lt;'Entry Builder'!$E$11),--(INDEX(Sims!$A246:$BO246,'Entry Builder'!$L$11)&gt;'Entry Builder'!$E$11)))</f>
        <v/>
      </c>
      <c r="F246">
        <f>IF('Entry Builder'!$N$12=0,1,IF('Entry Builder'!$D$12="Less",--(INDEX(Sims!$A246:$BO246,'Entry Builder'!$L$12)&lt;'Entry Builder'!$E$12),--(INDEX(Sims!$A246:$BO246,'Entry Builder'!$L$12)&gt;'Entry Builder'!$E$12)))</f>
        <v/>
      </c>
      <c r="G246">
        <f>6-SUM(A246:F246)</f>
        <v/>
      </c>
    </row>
    <row r="247">
      <c r="A247">
        <f>IF('Entry Builder'!$N$7=0,1,IF('Entry Builder'!$D$7="Less",--(INDEX(Sims!$A247:$BO247,'Entry Builder'!$L$7)&lt;'Entry Builder'!$E$7),--(INDEX(Sims!$A247:$BO247,'Entry Builder'!$L$7)&gt;'Entry Builder'!$E$7)))</f>
        <v/>
      </c>
      <c r="B247">
        <f>IF('Entry Builder'!$N$8=0,1,IF('Entry Builder'!$D$8="Less",--(INDEX(Sims!$A247:$BO247,'Entry Builder'!$L$8)&lt;'Entry Builder'!$E$8),--(INDEX(Sims!$A247:$BO247,'Entry Builder'!$L$8)&gt;'Entry Builder'!$E$8)))</f>
        <v/>
      </c>
      <c r="C247">
        <f>IF('Entry Builder'!$N$9=0,1,IF('Entry Builder'!$D$9="Less",--(INDEX(Sims!$A247:$BO247,'Entry Builder'!$L$9)&lt;'Entry Builder'!$E$9),--(INDEX(Sims!$A247:$BO247,'Entry Builder'!$L$9)&gt;'Entry Builder'!$E$9)))</f>
        <v/>
      </c>
      <c r="D247">
        <f>IF('Entry Builder'!$N$10=0,1,IF('Entry Builder'!$D$10="Less",--(INDEX(Sims!$A247:$BO247,'Entry Builder'!$L$10)&lt;'Entry Builder'!$E$10),--(INDEX(Sims!$A247:$BO247,'Entry Builder'!$L$10)&gt;'Entry Builder'!$E$10)))</f>
        <v/>
      </c>
      <c r="E247">
        <f>IF('Entry Builder'!$N$11=0,1,IF('Entry Builder'!$D$11="Less",--(INDEX(Sims!$A247:$BO247,'Entry Builder'!$L$11)&lt;'Entry Builder'!$E$11),--(INDEX(Sims!$A247:$BO247,'Entry Builder'!$L$11)&gt;'Entry Builder'!$E$11)))</f>
        <v/>
      </c>
      <c r="F247">
        <f>IF('Entry Builder'!$N$12=0,1,IF('Entry Builder'!$D$12="Less",--(INDEX(Sims!$A247:$BO247,'Entry Builder'!$L$12)&lt;'Entry Builder'!$E$12),--(INDEX(Sims!$A247:$BO247,'Entry Builder'!$L$12)&gt;'Entry Builder'!$E$12)))</f>
        <v/>
      </c>
      <c r="G247">
        <f>6-SUM(A247:F247)</f>
        <v/>
      </c>
    </row>
    <row r="248">
      <c r="A248">
        <f>IF('Entry Builder'!$N$7=0,1,IF('Entry Builder'!$D$7="Less",--(INDEX(Sims!$A248:$BO248,'Entry Builder'!$L$7)&lt;'Entry Builder'!$E$7),--(INDEX(Sims!$A248:$BO248,'Entry Builder'!$L$7)&gt;'Entry Builder'!$E$7)))</f>
        <v/>
      </c>
      <c r="B248">
        <f>IF('Entry Builder'!$N$8=0,1,IF('Entry Builder'!$D$8="Less",--(INDEX(Sims!$A248:$BO248,'Entry Builder'!$L$8)&lt;'Entry Builder'!$E$8),--(INDEX(Sims!$A248:$BO248,'Entry Builder'!$L$8)&gt;'Entry Builder'!$E$8)))</f>
        <v/>
      </c>
      <c r="C248">
        <f>IF('Entry Builder'!$N$9=0,1,IF('Entry Builder'!$D$9="Less",--(INDEX(Sims!$A248:$BO248,'Entry Builder'!$L$9)&lt;'Entry Builder'!$E$9),--(INDEX(Sims!$A248:$BO248,'Entry Builder'!$L$9)&gt;'Entry Builder'!$E$9)))</f>
        <v/>
      </c>
      <c r="D248">
        <f>IF('Entry Builder'!$N$10=0,1,IF('Entry Builder'!$D$10="Less",--(INDEX(Sims!$A248:$BO248,'Entry Builder'!$L$10)&lt;'Entry Builder'!$E$10),--(INDEX(Sims!$A248:$BO248,'Entry Builder'!$L$10)&gt;'Entry Builder'!$E$10)))</f>
        <v/>
      </c>
      <c r="E248">
        <f>IF('Entry Builder'!$N$11=0,1,IF('Entry Builder'!$D$11="Less",--(INDEX(Sims!$A248:$BO248,'Entry Builder'!$L$11)&lt;'Entry Builder'!$E$11),--(INDEX(Sims!$A248:$BO248,'Entry Builder'!$L$11)&gt;'Entry Builder'!$E$11)))</f>
        <v/>
      </c>
      <c r="F248">
        <f>IF('Entry Builder'!$N$12=0,1,IF('Entry Builder'!$D$12="Less",--(INDEX(Sims!$A248:$BO248,'Entry Builder'!$L$12)&lt;'Entry Builder'!$E$12),--(INDEX(Sims!$A248:$BO248,'Entry Builder'!$L$12)&gt;'Entry Builder'!$E$12)))</f>
        <v/>
      </c>
      <c r="G248">
        <f>6-SUM(A248:F248)</f>
        <v/>
      </c>
    </row>
    <row r="249">
      <c r="A249">
        <f>IF('Entry Builder'!$N$7=0,1,IF('Entry Builder'!$D$7="Less",--(INDEX(Sims!$A249:$BO249,'Entry Builder'!$L$7)&lt;'Entry Builder'!$E$7),--(INDEX(Sims!$A249:$BO249,'Entry Builder'!$L$7)&gt;'Entry Builder'!$E$7)))</f>
        <v/>
      </c>
      <c r="B249">
        <f>IF('Entry Builder'!$N$8=0,1,IF('Entry Builder'!$D$8="Less",--(INDEX(Sims!$A249:$BO249,'Entry Builder'!$L$8)&lt;'Entry Builder'!$E$8),--(INDEX(Sims!$A249:$BO249,'Entry Builder'!$L$8)&gt;'Entry Builder'!$E$8)))</f>
        <v/>
      </c>
      <c r="C249">
        <f>IF('Entry Builder'!$N$9=0,1,IF('Entry Builder'!$D$9="Less",--(INDEX(Sims!$A249:$BO249,'Entry Builder'!$L$9)&lt;'Entry Builder'!$E$9),--(INDEX(Sims!$A249:$BO249,'Entry Builder'!$L$9)&gt;'Entry Builder'!$E$9)))</f>
        <v/>
      </c>
      <c r="D249">
        <f>IF('Entry Builder'!$N$10=0,1,IF('Entry Builder'!$D$10="Less",--(INDEX(Sims!$A249:$BO249,'Entry Builder'!$L$10)&lt;'Entry Builder'!$E$10),--(INDEX(Sims!$A249:$BO249,'Entry Builder'!$L$10)&gt;'Entry Builder'!$E$10)))</f>
        <v/>
      </c>
      <c r="E249">
        <f>IF('Entry Builder'!$N$11=0,1,IF('Entry Builder'!$D$11="Less",--(INDEX(Sims!$A249:$BO249,'Entry Builder'!$L$11)&lt;'Entry Builder'!$E$11),--(INDEX(Sims!$A249:$BO249,'Entry Builder'!$L$11)&gt;'Entry Builder'!$E$11)))</f>
        <v/>
      </c>
      <c r="F249">
        <f>IF('Entry Builder'!$N$12=0,1,IF('Entry Builder'!$D$12="Less",--(INDEX(Sims!$A249:$BO249,'Entry Builder'!$L$12)&lt;'Entry Builder'!$E$12),--(INDEX(Sims!$A249:$BO249,'Entry Builder'!$L$12)&gt;'Entry Builder'!$E$12)))</f>
        <v/>
      </c>
      <c r="G249">
        <f>6-SUM(A249:F249)</f>
        <v/>
      </c>
    </row>
    <row r="250">
      <c r="A250">
        <f>IF('Entry Builder'!$N$7=0,1,IF('Entry Builder'!$D$7="Less",--(INDEX(Sims!$A250:$BO250,'Entry Builder'!$L$7)&lt;'Entry Builder'!$E$7),--(INDEX(Sims!$A250:$BO250,'Entry Builder'!$L$7)&gt;'Entry Builder'!$E$7)))</f>
        <v/>
      </c>
      <c r="B250">
        <f>IF('Entry Builder'!$N$8=0,1,IF('Entry Builder'!$D$8="Less",--(INDEX(Sims!$A250:$BO250,'Entry Builder'!$L$8)&lt;'Entry Builder'!$E$8),--(INDEX(Sims!$A250:$BO250,'Entry Builder'!$L$8)&gt;'Entry Builder'!$E$8)))</f>
        <v/>
      </c>
      <c r="C250">
        <f>IF('Entry Builder'!$N$9=0,1,IF('Entry Builder'!$D$9="Less",--(INDEX(Sims!$A250:$BO250,'Entry Builder'!$L$9)&lt;'Entry Builder'!$E$9),--(INDEX(Sims!$A250:$BO250,'Entry Builder'!$L$9)&gt;'Entry Builder'!$E$9)))</f>
        <v/>
      </c>
      <c r="D250">
        <f>IF('Entry Builder'!$N$10=0,1,IF('Entry Builder'!$D$10="Less",--(INDEX(Sims!$A250:$BO250,'Entry Builder'!$L$10)&lt;'Entry Builder'!$E$10),--(INDEX(Sims!$A250:$BO250,'Entry Builder'!$L$10)&gt;'Entry Builder'!$E$10)))</f>
        <v/>
      </c>
      <c r="E250">
        <f>IF('Entry Builder'!$N$11=0,1,IF('Entry Builder'!$D$11="Less",--(INDEX(Sims!$A250:$BO250,'Entry Builder'!$L$11)&lt;'Entry Builder'!$E$11),--(INDEX(Sims!$A250:$BO250,'Entry Builder'!$L$11)&gt;'Entry Builder'!$E$11)))</f>
        <v/>
      </c>
      <c r="F250">
        <f>IF('Entry Builder'!$N$12=0,1,IF('Entry Builder'!$D$12="Less",--(INDEX(Sims!$A250:$BO250,'Entry Builder'!$L$12)&lt;'Entry Builder'!$E$12),--(INDEX(Sims!$A250:$BO250,'Entry Builder'!$L$12)&gt;'Entry Builder'!$E$12)))</f>
        <v/>
      </c>
      <c r="G250">
        <f>6-SUM(A250:F250)</f>
        <v/>
      </c>
    </row>
    <row r="251">
      <c r="A251">
        <f>IF('Entry Builder'!$N$7=0,1,IF('Entry Builder'!$D$7="Less",--(INDEX(Sims!$A251:$BO251,'Entry Builder'!$L$7)&lt;'Entry Builder'!$E$7),--(INDEX(Sims!$A251:$BO251,'Entry Builder'!$L$7)&gt;'Entry Builder'!$E$7)))</f>
        <v/>
      </c>
      <c r="B251">
        <f>IF('Entry Builder'!$N$8=0,1,IF('Entry Builder'!$D$8="Less",--(INDEX(Sims!$A251:$BO251,'Entry Builder'!$L$8)&lt;'Entry Builder'!$E$8),--(INDEX(Sims!$A251:$BO251,'Entry Builder'!$L$8)&gt;'Entry Builder'!$E$8)))</f>
        <v/>
      </c>
      <c r="C251">
        <f>IF('Entry Builder'!$N$9=0,1,IF('Entry Builder'!$D$9="Less",--(INDEX(Sims!$A251:$BO251,'Entry Builder'!$L$9)&lt;'Entry Builder'!$E$9),--(INDEX(Sims!$A251:$BO251,'Entry Builder'!$L$9)&gt;'Entry Builder'!$E$9)))</f>
        <v/>
      </c>
      <c r="D251">
        <f>IF('Entry Builder'!$N$10=0,1,IF('Entry Builder'!$D$10="Less",--(INDEX(Sims!$A251:$BO251,'Entry Builder'!$L$10)&lt;'Entry Builder'!$E$10),--(INDEX(Sims!$A251:$BO251,'Entry Builder'!$L$10)&gt;'Entry Builder'!$E$10)))</f>
        <v/>
      </c>
      <c r="E251">
        <f>IF('Entry Builder'!$N$11=0,1,IF('Entry Builder'!$D$11="Less",--(INDEX(Sims!$A251:$BO251,'Entry Builder'!$L$11)&lt;'Entry Builder'!$E$11),--(INDEX(Sims!$A251:$BO251,'Entry Builder'!$L$11)&gt;'Entry Builder'!$E$11)))</f>
        <v/>
      </c>
      <c r="F251">
        <f>IF('Entry Builder'!$N$12=0,1,IF('Entry Builder'!$D$12="Less",--(INDEX(Sims!$A251:$BO251,'Entry Builder'!$L$12)&lt;'Entry Builder'!$E$12),--(INDEX(Sims!$A251:$BO251,'Entry Builder'!$L$12)&gt;'Entry Builder'!$E$12)))</f>
        <v/>
      </c>
      <c r="G251">
        <f>6-SUM(A251:F251)</f>
        <v/>
      </c>
    </row>
    <row r="252">
      <c r="A252">
        <f>IF('Entry Builder'!$N$7=0,1,IF('Entry Builder'!$D$7="Less",--(INDEX(Sims!$A252:$BO252,'Entry Builder'!$L$7)&lt;'Entry Builder'!$E$7),--(INDEX(Sims!$A252:$BO252,'Entry Builder'!$L$7)&gt;'Entry Builder'!$E$7)))</f>
        <v/>
      </c>
      <c r="B252">
        <f>IF('Entry Builder'!$N$8=0,1,IF('Entry Builder'!$D$8="Less",--(INDEX(Sims!$A252:$BO252,'Entry Builder'!$L$8)&lt;'Entry Builder'!$E$8),--(INDEX(Sims!$A252:$BO252,'Entry Builder'!$L$8)&gt;'Entry Builder'!$E$8)))</f>
        <v/>
      </c>
      <c r="C252">
        <f>IF('Entry Builder'!$N$9=0,1,IF('Entry Builder'!$D$9="Less",--(INDEX(Sims!$A252:$BO252,'Entry Builder'!$L$9)&lt;'Entry Builder'!$E$9),--(INDEX(Sims!$A252:$BO252,'Entry Builder'!$L$9)&gt;'Entry Builder'!$E$9)))</f>
        <v/>
      </c>
      <c r="D252">
        <f>IF('Entry Builder'!$N$10=0,1,IF('Entry Builder'!$D$10="Less",--(INDEX(Sims!$A252:$BO252,'Entry Builder'!$L$10)&lt;'Entry Builder'!$E$10),--(INDEX(Sims!$A252:$BO252,'Entry Builder'!$L$10)&gt;'Entry Builder'!$E$10)))</f>
        <v/>
      </c>
      <c r="E252">
        <f>IF('Entry Builder'!$N$11=0,1,IF('Entry Builder'!$D$11="Less",--(INDEX(Sims!$A252:$BO252,'Entry Builder'!$L$11)&lt;'Entry Builder'!$E$11),--(INDEX(Sims!$A252:$BO252,'Entry Builder'!$L$11)&gt;'Entry Builder'!$E$11)))</f>
        <v/>
      </c>
      <c r="F252">
        <f>IF('Entry Builder'!$N$12=0,1,IF('Entry Builder'!$D$12="Less",--(INDEX(Sims!$A252:$BO252,'Entry Builder'!$L$12)&lt;'Entry Builder'!$E$12),--(INDEX(Sims!$A252:$BO252,'Entry Builder'!$L$12)&gt;'Entry Builder'!$E$12)))</f>
        <v/>
      </c>
      <c r="G252">
        <f>6-SUM(A252:F252)</f>
        <v/>
      </c>
    </row>
    <row r="253">
      <c r="A253">
        <f>IF('Entry Builder'!$N$7=0,1,IF('Entry Builder'!$D$7="Less",--(INDEX(Sims!$A253:$BO253,'Entry Builder'!$L$7)&lt;'Entry Builder'!$E$7),--(INDEX(Sims!$A253:$BO253,'Entry Builder'!$L$7)&gt;'Entry Builder'!$E$7)))</f>
        <v/>
      </c>
      <c r="B253">
        <f>IF('Entry Builder'!$N$8=0,1,IF('Entry Builder'!$D$8="Less",--(INDEX(Sims!$A253:$BO253,'Entry Builder'!$L$8)&lt;'Entry Builder'!$E$8),--(INDEX(Sims!$A253:$BO253,'Entry Builder'!$L$8)&gt;'Entry Builder'!$E$8)))</f>
        <v/>
      </c>
      <c r="C253">
        <f>IF('Entry Builder'!$N$9=0,1,IF('Entry Builder'!$D$9="Less",--(INDEX(Sims!$A253:$BO253,'Entry Builder'!$L$9)&lt;'Entry Builder'!$E$9),--(INDEX(Sims!$A253:$BO253,'Entry Builder'!$L$9)&gt;'Entry Builder'!$E$9)))</f>
        <v/>
      </c>
      <c r="D253">
        <f>IF('Entry Builder'!$N$10=0,1,IF('Entry Builder'!$D$10="Less",--(INDEX(Sims!$A253:$BO253,'Entry Builder'!$L$10)&lt;'Entry Builder'!$E$10),--(INDEX(Sims!$A253:$BO253,'Entry Builder'!$L$10)&gt;'Entry Builder'!$E$10)))</f>
        <v/>
      </c>
      <c r="E253">
        <f>IF('Entry Builder'!$N$11=0,1,IF('Entry Builder'!$D$11="Less",--(INDEX(Sims!$A253:$BO253,'Entry Builder'!$L$11)&lt;'Entry Builder'!$E$11),--(INDEX(Sims!$A253:$BO253,'Entry Builder'!$L$11)&gt;'Entry Builder'!$E$11)))</f>
        <v/>
      </c>
      <c r="F253">
        <f>IF('Entry Builder'!$N$12=0,1,IF('Entry Builder'!$D$12="Less",--(INDEX(Sims!$A253:$BO253,'Entry Builder'!$L$12)&lt;'Entry Builder'!$E$12),--(INDEX(Sims!$A253:$BO253,'Entry Builder'!$L$12)&gt;'Entry Builder'!$E$12)))</f>
        <v/>
      </c>
      <c r="G253">
        <f>6-SUM(A253:F253)</f>
        <v/>
      </c>
    </row>
    <row r="254">
      <c r="A254">
        <f>IF('Entry Builder'!$N$7=0,1,IF('Entry Builder'!$D$7="Less",--(INDEX(Sims!$A254:$BO254,'Entry Builder'!$L$7)&lt;'Entry Builder'!$E$7),--(INDEX(Sims!$A254:$BO254,'Entry Builder'!$L$7)&gt;'Entry Builder'!$E$7)))</f>
        <v/>
      </c>
      <c r="B254">
        <f>IF('Entry Builder'!$N$8=0,1,IF('Entry Builder'!$D$8="Less",--(INDEX(Sims!$A254:$BO254,'Entry Builder'!$L$8)&lt;'Entry Builder'!$E$8),--(INDEX(Sims!$A254:$BO254,'Entry Builder'!$L$8)&gt;'Entry Builder'!$E$8)))</f>
        <v/>
      </c>
      <c r="C254">
        <f>IF('Entry Builder'!$N$9=0,1,IF('Entry Builder'!$D$9="Less",--(INDEX(Sims!$A254:$BO254,'Entry Builder'!$L$9)&lt;'Entry Builder'!$E$9),--(INDEX(Sims!$A254:$BO254,'Entry Builder'!$L$9)&gt;'Entry Builder'!$E$9)))</f>
        <v/>
      </c>
      <c r="D254">
        <f>IF('Entry Builder'!$N$10=0,1,IF('Entry Builder'!$D$10="Less",--(INDEX(Sims!$A254:$BO254,'Entry Builder'!$L$10)&lt;'Entry Builder'!$E$10),--(INDEX(Sims!$A254:$BO254,'Entry Builder'!$L$10)&gt;'Entry Builder'!$E$10)))</f>
        <v/>
      </c>
      <c r="E254">
        <f>IF('Entry Builder'!$N$11=0,1,IF('Entry Builder'!$D$11="Less",--(INDEX(Sims!$A254:$BO254,'Entry Builder'!$L$11)&lt;'Entry Builder'!$E$11),--(INDEX(Sims!$A254:$BO254,'Entry Builder'!$L$11)&gt;'Entry Builder'!$E$11)))</f>
        <v/>
      </c>
      <c r="F254">
        <f>IF('Entry Builder'!$N$12=0,1,IF('Entry Builder'!$D$12="Less",--(INDEX(Sims!$A254:$BO254,'Entry Builder'!$L$12)&lt;'Entry Builder'!$E$12),--(INDEX(Sims!$A254:$BO254,'Entry Builder'!$L$12)&gt;'Entry Builder'!$E$12)))</f>
        <v/>
      </c>
      <c r="G254">
        <f>6-SUM(A254:F254)</f>
        <v/>
      </c>
    </row>
    <row r="255">
      <c r="A255">
        <f>IF('Entry Builder'!$N$7=0,1,IF('Entry Builder'!$D$7="Less",--(INDEX(Sims!$A255:$BO255,'Entry Builder'!$L$7)&lt;'Entry Builder'!$E$7),--(INDEX(Sims!$A255:$BO255,'Entry Builder'!$L$7)&gt;'Entry Builder'!$E$7)))</f>
        <v/>
      </c>
      <c r="B255">
        <f>IF('Entry Builder'!$N$8=0,1,IF('Entry Builder'!$D$8="Less",--(INDEX(Sims!$A255:$BO255,'Entry Builder'!$L$8)&lt;'Entry Builder'!$E$8),--(INDEX(Sims!$A255:$BO255,'Entry Builder'!$L$8)&gt;'Entry Builder'!$E$8)))</f>
        <v/>
      </c>
      <c r="C255">
        <f>IF('Entry Builder'!$N$9=0,1,IF('Entry Builder'!$D$9="Less",--(INDEX(Sims!$A255:$BO255,'Entry Builder'!$L$9)&lt;'Entry Builder'!$E$9),--(INDEX(Sims!$A255:$BO255,'Entry Builder'!$L$9)&gt;'Entry Builder'!$E$9)))</f>
        <v/>
      </c>
      <c r="D255">
        <f>IF('Entry Builder'!$N$10=0,1,IF('Entry Builder'!$D$10="Less",--(INDEX(Sims!$A255:$BO255,'Entry Builder'!$L$10)&lt;'Entry Builder'!$E$10),--(INDEX(Sims!$A255:$BO255,'Entry Builder'!$L$10)&gt;'Entry Builder'!$E$10)))</f>
        <v/>
      </c>
      <c r="E255">
        <f>IF('Entry Builder'!$N$11=0,1,IF('Entry Builder'!$D$11="Less",--(INDEX(Sims!$A255:$BO255,'Entry Builder'!$L$11)&lt;'Entry Builder'!$E$11),--(INDEX(Sims!$A255:$BO255,'Entry Builder'!$L$11)&gt;'Entry Builder'!$E$11)))</f>
        <v/>
      </c>
      <c r="F255">
        <f>IF('Entry Builder'!$N$12=0,1,IF('Entry Builder'!$D$12="Less",--(INDEX(Sims!$A255:$BO255,'Entry Builder'!$L$12)&lt;'Entry Builder'!$E$12),--(INDEX(Sims!$A255:$BO255,'Entry Builder'!$L$12)&gt;'Entry Builder'!$E$12)))</f>
        <v/>
      </c>
      <c r="G255">
        <f>6-SUM(A255:F255)</f>
        <v/>
      </c>
    </row>
    <row r="256">
      <c r="A256">
        <f>IF('Entry Builder'!$N$7=0,1,IF('Entry Builder'!$D$7="Less",--(INDEX(Sims!$A256:$BO256,'Entry Builder'!$L$7)&lt;'Entry Builder'!$E$7),--(INDEX(Sims!$A256:$BO256,'Entry Builder'!$L$7)&gt;'Entry Builder'!$E$7)))</f>
        <v/>
      </c>
      <c r="B256">
        <f>IF('Entry Builder'!$N$8=0,1,IF('Entry Builder'!$D$8="Less",--(INDEX(Sims!$A256:$BO256,'Entry Builder'!$L$8)&lt;'Entry Builder'!$E$8),--(INDEX(Sims!$A256:$BO256,'Entry Builder'!$L$8)&gt;'Entry Builder'!$E$8)))</f>
        <v/>
      </c>
      <c r="C256">
        <f>IF('Entry Builder'!$N$9=0,1,IF('Entry Builder'!$D$9="Less",--(INDEX(Sims!$A256:$BO256,'Entry Builder'!$L$9)&lt;'Entry Builder'!$E$9),--(INDEX(Sims!$A256:$BO256,'Entry Builder'!$L$9)&gt;'Entry Builder'!$E$9)))</f>
        <v/>
      </c>
      <c r="D256">
        <f>IF('Entry Builder'!$N$10=0,1,IF('Entry Builder'!$D$10="Less",--(INDEX(Sims!$A256:$BO256,'Entry Builder'!$L$10)&lt;'Entry Builder'!$E$10),--(INDEX(Sims!$A256:$BO256,'Entry Builder'!$L$10)&gt;'Entry Builder'!$E$10)))</f>
        <v/>
      </c>
      <c r="E256">
        <f>IF('Entry Builder'!$N$11=0,1,IF('Entry Builder'!$D$11="Less",--(INDEX(Sims!$A256:$BO256,'Entry Builder'!$L$11)&lt;'Entry Builder'!$E$11),--(INDEX(Sims!$A256:$BO256,'Entry Builder'!$L$11)&gt;'Entry Builder'!$E$11)))</f>
        <v/>
      </c>
      <c r="F256">
        <f>IF('Entry Builder'!$N$12=0,1,IF('Entry Builder'!$D$12="Less",--(INDEX(Sims!$A256:$BO256,'Entry Builder'!$L$12)&lt;'Entry Builder'!$E$12),--(INDEX(Sims!$A256:$BO256,'Entry Builder'!$L$12)&gt;'Entry Builder'!$E$12)))</f>
        <v/>
      </c>
      <c r="G256">
        <f>6-SUM(A256:F256)</f>
        <v/>
      </c>
    </row>
    <row r="257">
      <c r="A257">
        <f>IF('Entry Builder'!$N$7=0,1,IF('Entry Builder'!$D$7="Less",--(INDEX(Sims!$A257:$BO257,'Entry Builder'!$L$7)&lt;'Entry Builder'!$E$7),--(INDEX(Sims!$A257:$BO257,'Entry Builder'!$L$7)&gt;'Entry Builder'!$E$7)))</f>
        <v/>
      </c>
      <c r="B257">
        <f>IF('Entry Builder'!$N$8=0,1,IF('Entry Builder'!$D$8="Less",--(INDEX(Sims!$A257:$BO257,'Entry Builder'!$L$8)&lt;'Entry Builder'!$E$8),--(INDEX(Sims!$A257:$BO257,'Entry Builder'!$L$8)&gt;'Entry Builder'!$E$8)))</f>
        <v/>
      </c>
      <c r="C257">
        <f>IF('Entry Builder'!$N$9=0,1,IF('Entry Builder'!$D$9="Less",--(INDEX(Sims!$A257:$BO257,'Entry Builder'!$L$9)&lt;'Entry Builder'!$E$9),--(INDEX(Sims!$A257:$BO257,'Entry Builder'!$L$9)&gt;'Entry Builder'!$E$9)))</f>
        <v/>
      </c>
      <c r="D257">
        <f>IF('Entry Builder'!$N$10=0,1,IF('Entry Builder'!$D$10="Less",--(INDEX(Sims!$A257:$BO257,'Entry Builder'!$L$10)&lt;'Entry Builder'!$E$10),--(INDEX(Sims!$A257:$BO257,'Entry Builder'!$L$10)&gt;'Entry Builder'!$E$10)))</f>
        <v/>
      </c>
      <c r="E257">
        <f>IF('Entry Builder'!$N$11=0,1,IF('Entry Builder'!$D$11="Less",--(INDEX(Sims!$A257:$BO257,'Entry Builder'!$L$11)&lt;'Entry Builder'!$E$11),--(INDEX(Sims!$A257:$BO257,'Entry Builder'!$L$11)&gt;'Entry Builder'!$E$11)))</f>
        <v/>
      </c>
      <c r="F257">
        <f>IF('Entry Builder'!$N$12=0,1,IF('Entry Builder'!$D$12="Less",--(INDEX(Sims!$A257:$BO257,'Entry Builder'!$L$12)&lt;'Entry Builder'!$E$12),--(INDEX(Sims!$A257:$BO257,'Entry Builder'!$L$12)&gt;'Entry Builder'!$E$12)))</f>
        <v/>
      </c>
      <c r="G257">
        <f>6-SUM(A257:F257)</f>
        <v/>
      </c>
    </row>
    <row r="258">
      <c r="A258">
        <f>IF('Entry Builder'!$N$7=0,1,IF('Entry Builder'!$D$7="Less",--(INDEX(Sims!$A258:$BO258,'Entry Builder'!$L$7)&lt;'Entry Builder'!$E$7),--(INDEX(Sims!$A258:$BO258,'Entry Builder'!$L$7)&gt;'Entry Builder'!$E$7)))</f>
        <v/>
      </c>
      <c r="B258">
        <f>IF('Entry Builder'!$N$8=0,1,IF('Entry Builder'!$D$8="Less",--(INDEX(Sims!$A258:$BO258,'Entry Builder'!$L$8)&lt;'Entry Builder'!$E$8),--(INDEX(Sims!$A258:$BO258,'Entry Builder'!$L$8)&gt;'Entry Builder'!$E$8)))</f>
        <v/>
      </c>
      <c r="C258">
        <f>IF('Entry Builder'!$N$9=0,1,IF('Entry Builder'!$D$9="Less",--(INDEX(Sims!$A258:$BO258,'Entry Builder'!$L$9)&lt;'Entry Builder'!$E$9),--(INDEX(Sims!$A258:$BO258,'Entry Builder'!$L$9)&gt;'Entry Builder'!$E$9)))</f>
        <v/>
      </c>
      <c r="D258">
        <f>IF('Entry Builder'!$N$10=0,1,IF('Entry Builder'!$D$10="Less",--(INDEX(Sims!$A258:$BO258,'Entry Builder'!$L$10)&lt;'Entry Builder'!$E$10),--(INDEX(Sims!$A258:$BO258,'Entry Builder'!$L$10)&gt;'Entry Builder'!$E$10)))</f>
        <v/>
      </c>
      <c r="E258">
        <f>IF('Entry Builder'!$N$11=0,1,IF('Entry Builder'!$D$11="Less",--(INDEX(Sims!$A258:$BO258,'Entry Builder'!$L$11)&lt;'Entry Builder'!$E$11),--(INDEX(Sims!$A258:$BO258,'Entry Builder'!$L$11)&gt;'Entry Builder'!$E$11)))</f>
        <v/>
      </c>
      <c r="F258">
        <f>IF('Entry Builder'!$N$12=0,1,IF('Entry Builder'!$D$12="Less",--(INDEX(Sims!$A258:$BO258,'Entry Builder'!$L$12)&lt;'Entry Builder'!$E$12),--(INDEX(Sims!$A258:$BO258,'Entry Builder'!$L$12)&gt;'Entry Builder'!$E$12)))</f>
        <v/>
      </c>
      <c r="G258">
        <f>6-SUM(A258:F258)</f>
        <v/>
      </c>
    </row>
    <row r="259">
      <c r="A259">
        <f>IF('Entry Builder'!$N$7=0,1,IF('Entry Builder'!$D$7="Less",--(INDEX(Sims!$A259:$BO259,'Entry Builder'!$L$7)&lt;'Entry Builder'!$E$7),--(INDEX(Sims!$A259:$BO259,'Entry Builder'!$L$7)&gt;'Entry Builder'!$E$7)))</f>
        <v/>
      </c>
      <c r="B259">
        <f>IF('Entry Builder'!$N$8=0,1,IF('Entry Builder'!$D$8="Less",--(INDEX(Sims!$A259:$BO259,'Entry Builder'!$L$8)&lt;'Entry Builder'!$E$8),--(INDEX(Sims!$A259:$BO259,'Entry Builder'!$L$8)&gt;'Entry Builder'!$E$8)))</f>
        <v/>
      </c>
      <c r="C259">
        <f>IF('Entry Builder'!$N$9=0,1,IF('Entry Builder'!$D$9="Less",--(INDEX(Sims!$A259:$BO259,'Entry Builder'!$L$9)&lt;'Entry Builder'!$E$9),--(INDEX(Sims!$A259:$BO259,'Entry Builder'!$L$9)&gt;'Entry Builder'!$E$9)))</f>
        <v/>
      </c>
      <c r="D259">
        <f>IF('Entry Builder'!$N$10=0,1,IF('Entry Builder'!$D$10="Less",--(INDEX(Sims!$A259:$BO259,'Entry Builder'!$L$10)&lt;'Entry Builder'!$E$10),--(INDEX(Sims!$A259:$BO259,'Entry Builder'!$L$10)&gt;'Entry Builder'!$E$10)))</f>
        <v/>
      </c>
      <c r="E259">
        <f>IF('Entry Builder'!$N$11=0,1,IF('Entry Builder'!$D$11="Less",--(INDEX(Sims!$A259:$BO259,'Entry Builder'!$L$11)&lt;'Entry Builder'!$E$11),--(INDEX(Sims!$A259:$BO259,'Entry Builder'!$L$11)&gt;'Entry Builder'!$E$11)))</f>
        <v/>
      </c>
      <c r="F259">
        <f>IF('Entry Builder'!$N$12=0,1,IF('Entry Builder'!$D$12="Less",--(INDEX(Sims!$A259:$BO259,'Entry Builder'!$L$12)&lt;'Entry Builder'!$E$12),--(INDEX(Sims!$A259:$BO259,'Entry Builder'!$L$12)&gt;'Entry Builder'!$E$12)))</f>
        <v/>
      </c>
      <c r="G259">
        <f>6-SUM(A259:F259)</f>
        <v/>
      </c>
    </row>
    <row r="260">
      <c r="A260">
        <f>IF('Entry Builder'!$N$7=0,1,IF('Entry Builder'!$D$7="Less",--(INDEX(Sims!$A260:$BO260,'Entry Builder'!$L$7)&lt;'Entry Builder'!$E$7),--(INDEX(Sims!$A260:$BO260,'Entry Builder'!$L$7)&gt;'Entry Builder'!$E$7)))</f>
        <v/>
      </c>
      <c r="B260">
        <f>IF('Entry Builder'!$N$8=0,1,IF('Entry Builder'!$D$8="Less",--(INDEX(Sims!$A260:$BO260,'Entry Builder'!$L$8)&lt;'Entry Builder'!$E$8),--(INDEX(Sims!$A260:$BO260,'Entry Builder'!$L$8)&gt;'Entry Builder'!$E$8)))</f>
        <v/>
      </c>
      <c r="C260">
        <f>IF('Entry Builder'!$N$9=0,1,IF('Entry Builder'!$D$9="Less",--(INDEX(Sims!$A260:$BO260,'Entry Builder'!$L$9)&lt;'Entry Builder'!$E$9),--(INDEX(Sims!$A260:$BO260,'Entry Builder'!$L$9)&gt;'Entry Builder'!$E$9)))</f>
        <v/>
      </c>
      <c r="D260">
        <f>IF('Entry Builder'!$N$10=0,1,IF('Entry Builder'!$D$10="Less",--(INDEX(Sims!$A260:$BO260,'Entry Builder'!$L$10)&lt;'Entry Builder'!$E$10),--(INDEX(Sims!$A260:$BO260,'Entry Builder'!$L$10)&gt;'Entry Builder'!$E$10)))</f>
        <v/>
      </c>
      <c r="E260">
        <f>IF('Entry Builder'!$N$11=0,1,IF('Entry Builder'!$D$11="Less",--(INDEX(Sims!$A260:$BO260,'Entry Builder'!$L$11)&lt;'Entry Builder'!$E$11),--(INDEX(Sims!$A260:$BO260,'Entry Builder'!$L$11)&gt;'Entry Builder'!$E$11)))</f>
        <v/>
      </c>
      <c r="F260">
        <f>IF('Entry Builder'!$N$12=0,1,IF('Entry Builder'!$D$12="Less",--(INDEX(Sims!$A260:$BO260,'Entry Builder'!$L$12)&lt;'Entry Builder'!$E$12),--(INDEX(Sims!$A260:$BO260,'Entry Builder'!$L$12)&gt;'Entry Builder'!$E$12)))</f>
        <v/>
      </c>
      <c r="G260">
        <f>6-SUM(A260:F260)</f>
        <v/>
      </c>
    </row>
    <row r="261">
      <c r="A261">
        <f>IF('Entry Builder'!$N$7=0,1,IF('Entry Builder'!$D$7="Less",--(INDEX(Sims!$A261:$BO261,'Entry Builder'!$L$7)&lt;'Entry Builder'!$E$7),--(INDEX(Sims!$A261:$BO261,'Entry Builder'!$L$7)&gt;'Entry Builder'!$E$7)))</f>
        <v/>
      </c>
      <c r="B261">
        <f>IF('Entry Builder'!$N$8=0,1,IF('Entry Builder'!$D$8="Less",--(INDEX(Sims!$A261:$BO261,'Entry Builder'!$L$8)&lt;'Entry Builder'!$E$8),--(INDEX(Sims!$A261:$BO261,'Entry Builder'!$L$8)&gt;'Entry Builder'!$E$8)))</f>
        <v/>
      </c>
      <c r="C261">
        <f>IF('Entry Builder'!$N$9=0,1,IF('Entry Builder'!$D$9="Less",--(INDEX(Sims!$A261:$BO261,'Entry Builder'!$L$9)&lt;'Entry Builder'!$E$9),--(INDEX(Sims!$A261:$BO261,'Entry Builder'!$L$9)&gt;'Entry Builder'!$E$9)))</f>
        <v/>
      </c>
      <c r="D261">
        <f>IF('Entry Builder'!$N$10=0,1,IF('Entry Builder'!$D$10="Less",--(INDEX(Sims!$A261:$BO261,'Entry Builder'!$L$10)&lt;'Entry Builder'!$E$10),--(INDEX(Sims!$A261:$BO261,'Entry Builder'!$L$10)&gt;'Entry Builder'!$E$10)))</f>
        <v/>
      </c>
      <c r="E261">
        <f>IF('Entry Builder'!$N$11=0,1,IF('Entry Builder'!$D$11="Less",--(INDEX(Sims!$A261:$BO261,'Entry Builder'!$L$11)&lt;'Entry Builder'!$E$11),--(INDEX(Sims!$A261:$BO261,'Entry Builder'!$L$11)&gt;'Entry Builder'!$E$11)))</f>
        <v/>
      </c>
      <c r="F261">
        <f>IF('Entry Builder'!$N$12=0,1,IF('Entry Builder'!$D$12="Less",--(INDEX(Sims!$A261:$BO261,'Entry Builder'!$L$12)&lt;'Entry Builder'!$E$12),--(INDEX(Sims!$A261:$BO261,'Entry Builder'!$L$12)&gt;'Entry Builder'!$E$12)))</f>
        <v/>
      </c>
      <c r="G261">
        <f>6-SUM(A261:F261)</f>
        <v/>
      </c>
    </row>
    <row r="262">
      <c r="A262">
        <f>IF('Entry Builder'!$N$7=0,1,IF('Entry Builder'!$D$7="Less",--(INDEX(Sims!$A262:$BO262,'Entry Builder'!$L$7)&lt;'Entry Builder'!$E$7),--(INDEX(Sims!$A262:$BO262,'Entry Builder'!$L$7)&gt;'Entry Builder'!$E$7)))</f>
        <v/>
      </c>
      <c r="B262">
        <f>IF('Entry Builder'!$N$8=0,1,IF('Entry Builder'!$D$8="Less",--(INDEX(Sims!$A262:$BO262,'Entry Builder'!$L$8)&lt;'Entry Builder'!$E$8),--(INDEX(Sims!$A262:$BO262,'Entry Builder'!$L$8)&gt;'Entry Builder'!$E$8)))</f>
        <v/>
      </c>
      <c r="C262">
        <f>IF('Entry Builder'!$N$9=0,1,IF('Entry Builder'!$D$9="Less",--(INDEX(Sims!$A262:$BO262,'Entry Builder'!$L$9)&lt;'Entry Builder'!$E$9),--(INDEX(Sims!$A262:$BO262,'Entry Builder'!$L$9)&gt;'Entry Builder'!$E$9)))</f>
        <v/>
      </c>
      <c r="D262">
        <f>IF('Entry Builder'!$N$10=0,1,IF('Entry Builder'!$D$10="Less",--(INDEX(Sims!$A262:$BO262,'Entry Builder'!$L$10)&lt;'Entry Builder'!$E$10),--(INDEX(Sims!$A262:$BO262,'Entry Builder'!$L$10)&gt;'Entry Builder'!$E$10)))</f>
        <v/>
      </c>
      <c r="E262">
        <f>IF('Entry Builder'!$N$11=0,1,IF('Entry Builder'!$D$11="Less",--(INDEX(Sims!$A262:$BO262,'Entry Builder'!$L$11)&lt;'Entry Builder'!$E$11),--(INDEX(Sims!$A262:$BO262,'Entry Builder'!$L$11)&gt;'Entry Builder'!$E$11)))</f>
        <v/>
      </c>
      <c r="F262">
        <f>IF('Entry Builder'!$N$12=0,1,IF('Entry Builder'!$D$12="Less",--(INDEX(Sims!$A262:$BO262,'Entry Builder'!$L$12)&lt;'Entry Builder'!$E$12),--(INDEX(Sims!$A262:$BO262,'Entry Builder'!$L$12)&gt;'Entry Builder'!$E$12)))</f>
        <v/>
      </c>
      <c r="G262">
        <f>6-SUM(A262:F262)</f>
        <v/>
      </c>
    </row>
    <row r="263">
      <c r="A263">
        <f>IF('Entry Builder'!$N$7=0,1,IF('Entry Builder'!$D$7="Less",--(INDEX(Sims!$A263:$BO263,'Entry Builder'!$L$7)&lt;'Entry Builder'!$E$7),--(INDEX(Sims!$A263:$BO263,'Entry Builder'!$L$7)&gt;'Entry Builder'!$E$7)))</f>
        <v/>
      </c>
      <c r="B263">
        <f>IF('Entry Builder'!$N$8=0,1,IF('Entry Builder'!$D$8="Less",--(INDEX(Sims!$A263:$BO263,'Entry Builder'!$L$8)&lt;'Entry Builder'!$E$8),--(INDEX(Sims!$A263:$BO263,'Entry Builder'!$L$8)&gt;'Entry Builder'!$E$8)))</f>
        <v/>
      </c>
      <c r="C263">
        <f>IF('Entry Builder'!$N$9=0,1,IF('Entry Builder'!$D$9="Less",--(INDEX(Sims!$A263:$BO263,'Entry Builder'!$L$9)&lt;'Entry Builder'!$E$9),--(INDEX(Sims!$A263:$BO263,'Entry Builder'!$L$9)&gt;'Entry Builder'!$E$9)))</f>
        <v/>
      </c>
      <c r="D263">
        <f>IF('Entry Builder'!$N$10=0,1,IF('Entry Builder'!$D$10="Less",--(INDEX(Sims!$A263:$BO263,'Entry Builder'!$L$10)&lt;'Entry Builder'!$E$10),--(INDEX(Sims!$A263:$BO263,'Entry Builder'!$L$10)&gt;'Entry Builder'!$E$10)))</f>
        <v/>
      </c>
      <c r="E263">
        <f>IF('Entry Builder'!$N$11=0,1,IF('Entry Builder'!$D$11="Less",--(INDEX(Sims!$A263:$BO263,'Entry Builder'!$L$11)&lt;'Entry Builder'!$E$11),--(INDEX(Sims!$A263:$BO263,'Entry Builder'!$L$11)&gt;'Entry Builder'!$E$11)))</f>
        <v/>
      </c>
      <c r="F263">
        <f>IF('Entry Builder'!$N$12=0,1,IF('Entry Builder'!$D$12="Less",--(INDEX(Sims!$A263:$BO263,'Entry Builder'!$L$12)&lt;'Entry Builder'!$E$12),--(INDEX(Sims!$A263:$BO263,'Entry Builder'!$L$12)&gt;'Entry Builder'!$E$12)))</f>
        <v/>
      </c>
      <c r="G263">
        <f>6-SUM(A263:F263)</f>
        <v/>
      </c>
    </row>
    <row r="264">
      <c r="A264">
        <f>IF('Entry Builder'!$N$7=0,1,IF('Entry Builder'!$D$7="Less",--(INDEX(Sims!$A264:$BO264,'Entry Builder'!$L$7)&lt;'Entry Builder'!$E$7),--(INDEX(Sims!$A264:$BO264,'Entry Builder'!$L$7)&gt;'Entry Builder'!$E$7)))</f>
        <v/>
      </c>
      <c r="B264">
        <f>IF('Entry Builder'!$N$8=0,1,IF('Entry Builder'!$D$8="Less",--(INDEX(Sims!$A264:$BO264,'Entry Builder'!$L$8)&lt;'Entry Builder'!$E$8),--(INDEX(Sims!$A264:$BO264,'Entry Builder'!$L$8)&gt;'Entry Builder'!$E$8)))</f>
        <v/>
      </c>
      <c r="C264">
        <f>IF('Entry Builder'!$N$9=0,1,IF('Entry Builder'!$D$9="Less",--(INDEX(Sims!$A264:$BO264,'Entry Builder'!$L$9)&lt;'Entry Builder'!$E$9),--(INDEX(Sims!$A264:$BO264,'Entry Builder'!$L$9)&gt;'Entry Builder'!$E$9)))</f>
        <v/>
      </c>
      <c r="D264">
        <f>IF('Entry Builder'!$N$10=0,1,IF('Entry Builder'!$D$10="Less",--(INDEX(Sims!$A264:$BO264,'Entry Builder'!$L$10)&lt;'Entry Builder'!$E$10),--(INDEX(Sims!$A264:$BO264,'Entry Builder'!$L$10)&gt;'Entry Builder'!$E$10)))</f>
        <v/>
      </c>
      <c r="E264">
        <f>IF('Entry Builder'!$N$11=0,1,IF('Entry Builder'!$D$11="Less",--(INDEX(Sims!$A264:$BO264,'Entry Builder'!$L$11)&lt;'Entry Builder'!$E$11),--(INDEX(Sims!$A264:$BO264,'Entry Builder'!$L$11)&gt;'Entry Builder'!$E$11)))</f>
        <v/>
      </c>
      <c r="F264">
        <f>IF('Entry Builder'!$N$12=0,1,IF('Entry Builder'!$D$12="Less",--(INDEX(Sims!$A264:$BO264,'Entry Builder'!$L$12)&lt;'Entry Builder'!$E$12),--(INDEX(Sims!$A264:$BO264,'Entry Builder'!$L$12)&gt;'Entry Builder'!$E$12)))</f>
        <v/>
      </c>
      <c r="G264">
        <f>6-SUM(A264:F264)</f>
        <v/>
      </c>
    </row>
    <row r="265">
      <c r="A265">
        <f>IF('Entry Builder'!$N$7=0,1,IF('Entry Builder'!$D$7="Less",--(INDEX(Sims!$A265:$BO265,'Entry Builder'!$L$7)&lt;'Entry Builder'!$E$7),--(INDEX(Sims!$A265:$BO265,'Entry Builder'!$L$7)&gt;'Entry Builder'!$E$7)))</f>
        <v/>
      </c>
      <c r="B265">
        <f>IF('Entry Builder'!$N$8=0,1,IF('Entry Builder'!$D$8="Less",--(INDEX(Sims!$A265:$BO265,'Entry Builder'!$L$8)&lt;'Entry Builder'!$E$8),--(INDEX(Sims!$A265:$BO265,'Entry Builder'!$L$8)&gt;'Entry Builder'!$E$8)))</f>
        <v/>
      </c>
      <c r="C265">
        <f>IF('Entry Builder'!$N$9=0,1,IF('Entry Builder'!$D$9="Less",--(INDEX(Sims!$A265:$BO265,'Entry Builder'!$L$9)&lt;'Entry Builder'!$E$9),--(INDEX(Sims!$A265:$BO265,'Entry Builder'!$L$9)&gt;'Entry Builder'!$E$9)))</f>
        <v/>
      </c>
      <c r="D265">
        <f>IF('Entry Builder'!$N$10=0,1,IF('Entry Builder'!$D$10="Less",--(INDEX(Sims!$A265:$BO265,'Entry Builder'!$L$10)&lt;'Entry Builder'!$E$10),--(INDEX(Sims!$A265:$BO265,'Entry Builder'!$L$10)&gt;'Entry Builder'!$E$10)))</f>
        <v/>
      </c>
      <c r="E265">
        <f>IF('Entry Builder'!$N$11=0,1,IF('Entry Builder'!$D$11="Less",--(INDEX(Sims!$A265:$BO265,'Entry Builder'!$L$11)&lt;'Entry Builder'!$E$11),--(INDEX(Sims!$A265:$BO265,'Entry Builder'!$L$11)&gt;'Entry Builder'!$E$11)))</f>
        <v/>
      </c>
      <c r="F265">
        <f>IF('Entry Builder'!$N$12=0,1,IF('Entry Builder'!$D$12="Less",--(INDEX(Sims!$A265:$BO265,'Entry Builder'!$L$12)&lt;'Entry Builder'!$E$12),--(INDEX(Sims!$A265:$BO265,'Entry Builder'!$L$12)&gt;'Entry Builder'!$E$12)))</f>
        <v/>
      </c>
      <c r="G265">
        <f>6-SUM(A265:F265)</f>
        <v/>
      </c>
    </row>
    <row r="266">
      <c r="A266">
        <f>IF('Entry Builder'!$N$7=0,1,IF('Entry Builder'!$D$7="Less",--(INDEX(Sims!$A266:$BO266,'Entry Builder'!$L$7)&lt;'Entry Builder'!$E$7),--(INDEX(Sims!$A266:$BO266,'Entry Builder'!$L$7)&gt;'Entry Builder'!$E$7)))</f>
        <v/>
      </c>
      <c r="B266">
        <f>IF('Entry Builder'!$N$8=0,1,IF('Entry Builder'!$D$8="Less",--(INDEX(Sims!$A266:$BO266,'Entry Builder'!$L$8)&lt;'Entry Builder'!$E$8),--(INDEX(Sims!$A266:$BO266,'Entry Builder'!$L$8)&gt;'Entry Builder'!$E$8)))</f>
        <v/>
      </c>
      <c r="C266">
        <f>IF('Entry Builder'!$N$9=0,1,IF('Entry Builder'!$D$9="Less",--(INDEX(Sims!$A266:$BO266,'Entry Builder'!$L$9)&lt;'Entry Builder'!$E$9),--(INDEX(Sims!$A266:$BO266,'Entry Builder'!$L$9)&gt;'Entry Builder'!$E$9)))</f>
        <v/>
      </c>
      <c r="D266">
        <f>IF('Entry Builder'!$N$10=0,1,IF('Entry Builder'!$D$10="Less",--(INDEX(Sims!$A266:$BO266,'Entry Builder'!$L$10)&lt;'Entry Builder'!$E$10),--(INDEX(Sims!$A266:$BO266,'Entry Builder'!$L$10)&gt;'Entry Builder'!$E$10)))</f>
        <v/>
      </c>
      <c r="E266">
        <f>IF('Entry Builder'!$N$11=0,1,IF('Entry Builder'!$D$11="Less",--(INDEX(Sims!$A266:$BO266,'Entry Builder'!$L$11)&lt;'Entry Builder'!$E$11),--(INDEX(Sims!$A266:$BO266,'Entry Builder'!$L$11)&gt;'Entry Builder'!$E$11)))</f>
        <v/>
      </c>
      <c r="F266">
        <f>IF('Entry Builder'!$N$12=0,1,IF('Entry Builder'!$D$12="Less",--(INDEX(Sims!$A266:$BO266,'Entry Builder'!$L$12)&lt;'Entry Builder'!$E$12),--(INDEX(Sims!$A266:$BO266,'Entry Builder'!$L$12)&gt;'Entry Builder'!$E$12)))</f>
        <v/>
      </c>
      <c r="G266">
        <f>6-SUM(A266:F266)</f>
        <v/>
      </c>
    </row>
    <row r="267">
      <c r="A267">
        <f>IF('Entry Builder'!$N$7=0,1,IF('Entry Builder'!$D$7="Less",--(INDEX(Sims!$A267:$BO267,'Entry Builder'!$L$7)&lt;'Entry Builder'!$E$7),--(INDEX(Sims!$A267:$BO267,'Entry Builder'!$L$7)&gt;'Entry Builder'!$E$7)))</f>
        <v/>
      </c>
      <c r="B267">
        <f>IF('Entry Builder'!$N$8=0,1,IF('Entry Builder'!$D$8="Less",--(INDEX(Sims!$A267:$BO267,'Entry Builder'!$L$8)&lt;'Entry Builder'!$E$8),--(INDEX(Sims!$A267:$BO267,'Entry Builder'!$L$8)&gt;'Entry Builder'!$E$8)))</f>
        <v/>
      </c>
      <c r="C267">
        <f>IF('Entry Builder'!$N$9=0,1,IF('Entry Builder'!$D$9="Less",--(INDEX(Sims!$A267:$BO267,'Entry Builder'!$L$9)&lt;'Entry Builder'!$E$9),--(INDEX(Sims!$A267:$BO267,'Entry Builder'!$L$9)&gt;'Entry Builder'!$E$9)))</f>
        <v/>
      </c>
      <c r="D267">
        <f>IF('Entry Builder'!$N$10=0,1,IF('Entry Builder'!$D$10="Less",--(INDEX(Sims!$A267:$BO267,'Entry Builder'!$L$10)&lt;'Entry Builder'!$E$10),--(INDEX(Sims!$A267:$BO267,'Entry Builder'!$L$10)&gt;'Entry Builder'!$E$10)))</f>
        <v/>
      </c>
      <c r="E267">
        <f>IF('Entry Builder'!$N$11=0,1,IF('Entry Builder'!$D$11="Less",--(INDEX(Sims!$A267:$BO267,'Entry Builder'!$L$11)&lt;'Entry Builder'!$E$11),--(INDEX(Sims!$A267:$BO267,'Entry Builder'!$L$11)&gt;'Entry Builder'!$E$11)))</f>
        <v/>
      </c>
      <c r="F267">
        <f>IF('Entry Builder'!$N$12=0,1,IF('Entry Builder'!$D$12="Less",--(INDEX(Sims!$A267:$BO267,'Entry Builder'!$L$12)&lt;'Entry Builder'!$E$12),--(INDEX(Sims!$A267:$BO267,'Entry Builder'!$L$12)&gt;'Entry Builder'!$E$12)))</f>
        <v/>
      </c>
      <c r="G267">
        <f>6-SUM(A267:F267)</f>
        <v/>
      </c>
    </row>
    <row r="268">
      <c r="A268">
        <f>IF('Entry Builder'!$N$7=0,1,IF('Entry Builder'!$D$7="Less",--(INDEX(Sims!$A268:$BO268,'Entry Builder'!$L$7)&lt;'Entry Builder'!$E$7),--(INDEX(Sims!$A268:$BO268,'Entry Builder'!$L$7)&gt;'Entry Builder'!$E$7)))</f>
        <v/>
      </c>
      <c r="B268">
        <f>IF('Entry Builder'!$N$8=0,1,IF('Entry Builder'!$D$8="Less",--(INDEX(Sims!$A268:$BO268,'Entry Builder'!$L$8)&lt;'Entry Builder'!$E$8),--(INDEX(Sims!$A268:$BO268,'Entry Builder'!$L$8)&gt;'Entry Builder'!$E$8)))</f>
        <v/>
      </c>
      <c r="C268">
        <f>IF('Entry Builder'!$N$9=0,1,IF('Entry Builder'!$D$9="Less",--(INDEX(Sims!$A268:$BO268,'Entry Builder'!$L$9)&lt;'Entry Builder'!$E$9),--(INDEX(Sims!$A268:$BO268,'Entry Builder'!$L$9)&gt;'Entry Builder'!$E$9)))</f>
        <v/>
      </c>
      <c r="D268">
        <f>IF('Entry Builder'!$N$10=0,1,IF('Entry Builder'!$D$10="Less",--(INDEX(Sims!$A268:$BO268,'Entry Builder'!$L$10)&lt;'Entry Builder'!$E$10),--(INDEX(Sims!$A268:$BO268,'Entry Builder'!$L$10)&gt;'Entry Builder'!$E$10)))</f>
        <v/>
      </c>
      <c r="E268">
        <f>IF('Entry Builder'!$N$11=0,1,IF('Entry Builder'!$D$11="Less",--(INDEX(Sims!$A268:$BO268,'Entry Builder'!$L$11)&lt;'Entry Builder'!$E$11),--(INDEX(Sims!$A268:$BO268,'Entry Builder'!$L$11)&gt;'Entry Builder'!$E$11)))</f>
        <v/>
      </c>
      <c r="F268">
        <f>IF('Entry Builder'!$N$12=0,1,IF('Entry Builder'!$D$12="Less",--(INDEX(Sims!$A268:$BO268,'Entry Builder'!$L$12)&lt;'Entry Builder'!$E$12),--(INDEX(Sims!$A268:$BO268,'Entry Builder'!$L$12)&gt;'Entry Builder'!$E$12)))</f>
        <v/>
      </c>
      <c r="G268">
        <f>6-SUM(A268:F268)</f>
        <v/>
      </c>
    </row>
    <row r="269">
      <c r="A269">
        <f>IF('Entry Builder'!$N$7=0,1,IF('Entry Builder'!$D$7="Less",--(INDEX(Sims!$A269:$BO269,'Entry Builder'!$L$7)&lt;'Entry Builder'!$E$7),--(INDEX(Sims!$A269:$BO269,'Entry Builder'!$L$7)&gt;'Entry Builder'!$E$7)))</f>
        <v/>
      </c>
      <c r="B269">
        <f>IF('Entry Builder'!$N$8=0,1,IF('Entry Builder'!$D$8="Less",--(INDEX(Sims!$A269:$BO269,'Entry Builder'!$L$8)&lt;'Entry Builder'!$E$8),--(INDEX(Sims!$A269:$BO269,'Entry Builder'!$L$8)&gt;'Entry Builder'!$E$8)))</f>
        <v/>
      </c>
      <c r="C269">
        <f>IF('Entry Builder'!$N$9=0,1,IF('Entry Builder'!$D$9="Less",--(INDEX(Sims!$A269:$BO269,'Entry Builder'!$L$9)&lt;'Entry Builder'!$E$9),--(INDEX(Sims!$A269:$BO269,'Entry Builder'!$L$9)&gt;'Entry Builder'!$E$9)))</f>
        <v/>
      </c>
      <c r="D269">
        <f>IF('Entry Builder'!$N$10=0,1,IF('Entry Builder'!$D$10="Less",--(INDEX(Sims!$A269:$BO269,'Entry Builder'!$L$10)&lt;'Entry Builder'!$E$10),--(INDEX(Sims!$A269:$BO269,'Entry Builder'!$L$10)&gt;'Entry Builder'!$E$10)))</f>
        <v/>
      </c>
      <c r="E269">
        <f>IF('Entry Builder'!$N$11=0,1,IF('Entry Builder'!$D$11="Less",--(INDEX(Sims!$A269:$BO269,'Entry Builder'!$L$11)&lt;'Entry Builder'!$E$11),--(INDEX(Sims!$A269:$BO269,'Entry Builder'!$L$11)&gt;'Entry Builder'!$E$11)))</f>
        <v/>
      </c>
      <c r="F269">
        <f>IF('Entry Builder'!$N$12=0,1,IF('Entry Builder'!$D$12="Less",--(INDEX(Sims!$A269:$BO269,'Entry Builder'!$L$12)&lt;'Entry Builder'!$E$12),--(INDEX(Sims!$A269:$BO269,'Entry Builder'!$L$12)&gt;'Entry Builder'!$E$12)))</f>
        <v/>
      </c>
      <c r="G269">
        <f>6-SUM(A269:F269)</f>
        <v/>
      </c>
    </row>
    <row r="270">
      <c r="A270">
        <f>IF('Entry Builder'!$N$7=0,1,IF('Entry Builder'!$D$7="Less",--(INDEX(Sims!$A270:$BO270,'Entry Builder'!$L$7)&lt;'Entry Builder'!$E$7),--(INDEX(Sims!$A270:$BO270,'Entry Builder'!$L$7)&gt;'Entry Builder'!$E$7)))</f>
        <v/>
      </c>
      <c r="B270">
        <f>IF('Entry Builder'!$N$8=0,1,IF('Entry Builder'!$D$8="Less",--(INDEX(Sims!$A270:$BO270,'Entry Builder'!$L$8)&lt;'Entry Builder'!$E$8),--(INDEX(Sims!$A270:$BO270,'Entry Builder'!$L$8)&gt;'Entry Builder'!$E$8)))</f>
        <v/>
      </c>
      <c r="C270">
        <f>IF('Entry Builder'!$N$9=0,1,IF('Entry Builder'!$D$9="Less",--(INDEX(Sims!$A270:$BO270,'Entry Builder'!$L$9)&lt;'Entry Builder'!$E$9),--(INDEX(Sims!$A270:$BO270,'Entry Builder'!$L$9)&gt;'Entry Builder'!$E$9)))</f>
        <v/>
      </c>
      <c r="D270">
        <f>IF('Entry Builder'!$N$10=0,1,IF('Entry Builder'!$D$10="Less",--(INDEX(Sims!$A270:$BO270,'Entry Builder'!$L$10)&lt;'Entry Builder'!$E$10),--(INDEX(Sims!$A270:$BO270,'Entry Builder'!$L$10)&gt;'Entry Builder'!$E$10)))</f>
        <v/>
      </c>
      <c r="E270">
        <f>IF('Entry Builder'!$N$11=0,1,IF('Entry Builder'!$D$11="Less",--(INDEX(Sims!$A270:$BO270,'Entry Builder'!$L$11)&lt;'Entry Builder'!$E$11),--(INDEX(Sims!$A270:$BO270,'Entry Builder'!$L$11)&gt;'Entry Builder'!$E$11)))</f>
        <v/>
      </c>
      <c r="F270">
        <f>IF('Entry Builder'!$N$12=0,1,IF('Entry Builder'!$D$12="Less",--(INDEX(Sims!$A270:$BO270,'Entry Builder'!$L$12)&lt;'Entry Builder'!$E$12),--(INDEX(Sims!$A270:$BO270,'Entry Builder'!$L$12)&gt;'Entry Builder'!$E$12)))</f>
        <v/>
      </c>
      <c r="G270">
        <f>6-SUM(A270:F270)</f>
        <v/>
      </c>
    </row>
    <row r="271">
      <c r="A271">
        <f>IF('Entry Builder'!$N$7=0,1,IF('Entry Builder'!$D$7="Less",--(INDEX(Sims!$A271:$BO271,'Entry Builder'!$L$7)&lt;'Entry Builder'!$E$7),--(INDEX(Sims!$A271:$BO271,'Entry Builder'!$L$7)&gt;'Entry Builder'!$E$7)))</f>
        <v/>
      </c>
      <c r="B271">
        <f>IF('Entry Builder'!$N$8=0,1,IF('Entry Builder'!$D$8="Less",--(INDEX(Sims!$A271:$BO271,'Entry Builder'!$L$8)&lt;'Entry Builder'!$E$8),--(INDEX(Sims!$A271:$BO271,'Entry Builder'!$L$8)&gt;'Entry Builder'!$E$8)))</f>
        <v/>
      </c>
      <c r="C271">
        <f>IF('Entry Builder'!$N$9=0,1,IF('Entry Builder'!$D$9="Less",--(INDEX(Sims!$A271:$BO271,'Entry Builder'!$L$9)&lt;'Entry Builder'!$E$9),--(INDEX(Sims!$A271:$BO271,'Entry Builder'!$L$9)&gt;'Entry Builder'!$E$9)))</f>
        <v/>
      </c>
      <c r="D271">
        <f>IF('Entry Builder'!$N$10=0,1,IF('Entry Builder'!$D$10="Less",--(INDEX(Sims!$A271:$BO271,'Entry Builder'!$L$10)&lt;'Entry Builder'!$E$10),--(INDEX(Sims!$A271:$BO271,'Entry Builder'!$L$10)&gt;'Entry Builder'!$E$10)))</f>
        <v/>
      </c>
      <c r="E271">
        <f>IF('Entry Builder'!$N$11=0,1,IF('Entry Builder'!$D$11="Less",--(INDEX(Sims!$A271:$BO271,'Entry Builder'!$L$11)&lt;'Entry Builder'!$E$11),--(INDEX(Sims!$A271:$BO271,'Entry Builder'!$L$11)&gt;'Entry Builder'!$E$11)))</f>
        <v/>
      </c>
      <c r="F271">
        <f>IF('Entry Builder'!$N$12=0,1,IF('Entry Builder'!$D$12="Less",--(INDEX(Sims!$A271:$BO271,'Entry Builder'!$L$12)&lt;'Entry Builder'!$E$12),--(INDEX(Sims!$A271:$BO271,'Entry Builder'!$L$12)&gt;'Entry Builder'!$E$12)))</f>
        <v/>
      </c>
      <c r="G271">
        <f>6-SUM(A271:F271)</f>
        <v/>
      </c>
    </row>
    <row r="272">
      <c r="A272">
        <f>IF('Entry Builder'!$N$7=0,1,IF('Entry Builder'!$D$7="Less",--(INDEX(Sims!$A272:$BO272,'Entry Builder'!$L$7)&lt;'Entry Builder'!$E$7),--(INDEX(Sims!$A272:$BO272,'Entry Builder'!$L$7)&gt;'Entry Builder'!$E$7)))</f>
        <v/>
      </c>
      <c r="B272">
        <f>IF('Entry Builder'!$N$8=0,1,IF('Entry Builder'!$D$8="Less",--(INDEX(Sims!$A272:$BO272,'Entry Builder'!$L$8)&lt;'Entry Builder'!$E$8),--(INDEX(Sims!$A272:$BO272,'Entry Builder'!$L$8)&gt;'Entry Builder'!$E$8)))</f>
        <v/>
      </c>
      <c r="C272">
        <f>IF('Entry Builder'!$N$9=0,1,IF('Entry Builder'!$D$9="Less",--(INDEX(Sims!$A272:$BO272,'Entry Builder'!$L$9)&lt;'Entry Builder'!$E$9),--(INDEX(Sims!$A272:$BO272,'Entry Builder'!$L$9)&gt;'Entry Builder'!$E$9)))</f>
        <v/>
      </c>
      <c r="D272">
        <f>IF('Entry Builder'!$N$10=0,1,IF('Entry Builder'!$D$10="Less",--(INDEX(Sims!$A272:$BO272,'Entry Builder'!$L$10)&lt;'Entry Builder'!$E$10),--(INDEX(Sims!$A272:$BO272,'Entry Builder'!$L$10)&gt;'Entry Builder'!$E$10)))</f>
        <v/>
      </c>
      <c r="E272">
        <f>IF('Entry Builder'!$N$11=0,1,IF('Entry Builder'!$D$11="Less",--(INDEX(Sims!$A272:$BO272,'Entry Builder'!$L$11)&lt;'Entry Builder'!$E$11),--(INDEX(Sims!$A272:$BO272,'Entry Builder'!$L$11)&gt;'Entry Builder'!$E$11)))</f>
        <v/>
      </c>
      <c r="F272">
        <f>IF('Entry Builder'!$N$12=0,1,IF('Entry Builder'!$D$12="Less",--(INDEX(Sims!$A272:$BO272,'Entry Builder'!$L$12)&lt;'Entry Builder'!$E$12),--(INDEX(Sims!$A272:$BO272,'Entry Builder'!$L$12)&gt;'Entry Builder'!$E$12)))</f>
        <v/>
      </c>
      <c r="G272">
        <f>6-SUM(A272:F272)</f>
        <v/>
      </c>
    </row>
    <row r="273">
      <c r="A273">
        <f>IF('Entry Builder'!$N$7=0,1,IF('Entry Builder'!$D$7="Less",--(INDEX(Sims!$A273:$BO273,'Entry Builder'!$L$7)&lt;'Entry Builder'!$E$7),--(INDEX(Sims!$A273:$BO273,'Entry Builder'!$L$7)&gt;'Entry Builder'!$E$7)))</f>
        <v/>
      </c>
      <c r="B273">
        <f>IF('Entry Builder'!$N$8=0,1,IF('Entry Builder'!$D$8="Less",--(INDEX(Sims!$A273:$BO273,'Entry Builder'!$L$8)&lt;'Entry Builder'!$E$8),--(INDEX(Sims!$A273:$BO273,'Entry Builder'!$L$8)&gt;'Entry Builder'!$E$8)))</f>
        <v/>
      </c>
      <c r="C273">
        <f>IF('Entry Builder'!$N$9=0,1,IF('Entry Builder'!$D$9="Less",--(INDEX(Sims!$A273:$BO273,'Entry Builder'!$L$9)&lt;'Entry Builder'!$E$9),--(INDEX(Sims!$A273:$BO273,'Entry Builder'!$L$9)&gt;'Entry Builder'!$E$9)))</f>
        <v/>
      </c>
      <c r="D273">
        <f>IF('Entry Builder'!$N$10=0,1,IF('Entry Builder'!$D$10="Less",--(INDEX(Sims!$A273:$BO273,'Entry Builder'!$L$10)&lt;'Entry Builder'!$E$10),--(INDEX(Sims!$A273:$BO273,'Entry Builder'!$L$10)&gt;'Entry Builder'!$E$10)))</f>
        <v/>
      </c>
      <c r="E273">
        <f>IF('Entry Builder'!$N$11=0,1,IF('Entry Builder'!$D$11="Less",--(INDEX(Sims!$A273:$BO273,'Entry Builder'!$L$11)&lt;'Entry Builder'!$E$11),--(INDEX(Sims!$A273:$BO273,'Entry Builder'!$L$11)&gt;'Entry Builder'!$E$11)))</f>
        <v/>
      </c>
      <c r="F273">
        <f>IF('Entry Builder'!$N$12=0,1,IF('Entry Builder'!$D$12="Less",--(INDEX(Sims!$A273:$BO273,'Entry Builder'!$L$12)&lt;'Entry Builder'!$E$12),--(INDEX(Sims!$A273:$BO273,'Entry Builder'!$L$12)&gt;'Entry Builder'!$E$12)))</f>
        <v/>
      </c>
      <c r="G273">
        <f>6-SUM(A273:F273)</f>
        <v/>
      </c>
    </row>
    <row r="274">
      <c r="A274">
        <f>IF('Entry Builder'!$N$7=0,1,IF('Entry Builder'!$D$7="Less",--(INDEX(Sims!$A274:$BO274,'Entry Builder'!$L$7)&lt;'Entry Builder'!$E$7),--(INDEX(Sims!$A274:$BO274,'Entry Builder'!$L$7)&gt;'Entry Builder'!$E$7)))</f>
        <v/>
      </c>
      <c r="B274">
        <f>IF('Entry Builder'!$N$8=0,1,IF('Entry Builder'!$D$8="Less",--(INDEX(Sims!$A274:$BO274,'Entry Builder'!$L$8)&lt;'Entry Builder'!$E$8),--(INDEX(Sims!$A274:$BO274,'Entry Builder'!$L$8)&gt;'Entry Builder'!$E$8)))</f>
        <v/>
      </c>
      <c r="C274">
        <f>IF('Entry Builder'!$N$9=0,1,IF('Entry Builder'!$D$9="Less",--(INDEX(Sims!$A274:$BO274,'Entry Builder'!$L$9)&lt;'Entry Builder'!$E$9),--(INDEX(Sims!$A274:$BO274,'Entry Builder'!$L$9)&gt;'Entry Builder'!$E$9)))</f>
        <v/>
      </c>
      <c r="D274">
        <f>IF('Entry Builder'!$N$10=0,1,IF('Entry Builder'!$D$10="Less",--(INDEX(Sims!$A274:$BO274,'Entry Builder'!$L$10)&lt;'Entry Builder'!$E$10),--(INDEX(Sims!$A274:$BO274,'Entry Builder'!$L$10)&gt;'Entry Builder'!$E$10)))</f>
        <v/>
      </c>
      <c r="E274">
        <f>IF('Entry Builder'!$N$11=0,1,IF('Entry Builder'!$D$11="Less",--(INDEX(Sims!$A274:$BO274,'Entry Builder'!$L$11)&lt;'Entry Builder'!$E$11),--(INDEX(Sims!$A274:$BO274,'Entry Builder'!$L$11)&gt;'Entry Builder'!$E$11)))</f>
        <v/>
      </c>
      <c r="F274">
        <f>IF('Entry Builder'!$N$12=0,1,IF('Entry Builder'!$D$12="Less",--(INDEX(Sims!$A274:$BO274,'Entry Builder'!$L$12)&lt;'Entry Builder'!$E$12),--(INDEX(Sims!$A274:$BO274,'Entry Builder'!$L$12)&gt;'Entry Builder'!$E$12)))</f>
        <v/>
      </c>
      <c r="G274">
        <f>6-SUM(A274:F274)</f>
        <v/>
      </c>
    </row>
    <row r="275">
      <c r="A275">
        <f>IF('Entry Builder'!$N$7=0,1,IF('Entry Builder'!$D$7="Less",--(INDEX(Sims!$A275:$BO275,'Entry Builder'!$L$7)&lt;'Entry Builder'!$E$7),--(INDEX(Sims!$A275:$BO275,'Entry Builder'!$L$7)&gt;'Entry Builder'!$E$7)))</f>
        <v/>
      </c>
      <c r="B275">
        <f>IF('Entry Builder'!$N$8=0,1,IF('Entry Builder'!$D$8="Less",--(INDEX(Sims!$A275:$BO275,'Entry Builder'!$L$8)&lt;'Entry Builder'!$E$8),--(INDEX(Sims!$A275:$BO275,'Entry Builder'!$L$8)&gt;'Entry Builder'!$E$8)))</f>
        <v/>
      </c>
      <c r="C275">
        <f>IF('Entry Builder'!$N$9=0,1,IF('Entry Builder'!$D$9="Less",--(INDEX(Sims!$A275:$BO275,'Entry Builder'!$L$9)&lt;'Entry Builder'!$E$9),--(INDEX(Sims!$A275:$BO275,'Entry Builder'!$L$9)&gt;'Entry Builder'!$E$9)))</f>
        <v/>
      </c>
      <c r="D275">
        <f>IF('Entry Builder'!$N$10=0,1,IF('Entry Builder'!$D$10="Less",--(INDEX(Sims!$A275:$BO275,'Entry Builder'!$L$10)&lt;'Entry Builder'!$E$10),--(INDEX(Sims!$A275:$BO275,'Entry Builder'!$L$10)&gt;'Entry Builder'!$E$10)))</f>
        <v/>
      </c>
      <c r="E275">
        <f>IF('Entry Builder'!$N$11=0,1,IF('Entry Builder'!$D$11="Less",--(INDEX(Sims!$A275:$BO275,'Entry Builder'!$L$11)&lt;'Entry Builder'!$E$11),--(INDEX(Sims!$A275:$BO275,'Entry Builder'!$L$11)&gt;'Entry Builder'!$E$11)))</f>
        <v/>
      </c>
      <c r="F275">
        <f>IF('Entry Builder'!$N$12=0,1,IF('Entry Builder'!$D$12="Less",--(INDEX(Sims!$A275:$BO275,'Entry Builder'!$L$12)&lt;'Entry Builder'!$E$12),--(INDEX(Sims!$A275:$BO275,'Entry Builder'!$L$12)&gt;'Entry Builder'!$E$12)))</f>
        <v/>
      </c>
      <c r="G275">
        <f>6-SUM(A275:F275)</f>
        <v/>
      </c>
    </row>
    <row r="276">
      <c r="A276">
        <f>IF('Entry Builder'!$N$7=0,1,IF('Entry Builder'!$D$7="Less",--(INDEX(Sims!$A276:$BO276,'Entry Builder'!$L$7)&lt;'Entry Builder'!$E$7),--(INDEX(Sims!$A276:$BO276,'Entry Builder'!$L$7)&gt;'Entry Builder'!$E$7)))</f>
        <v/>
      </c>
      <c r="B276">
        <f>IF('Entry Builder'!$N$8=0,1,IF('Entry Builder'!$D$8="Less",--(INDEX(Sims!$A276:$BO276,'Entry Builder'!$L$8)&lt;'Entry Builder'!$E$8),--(INDEX(Sims!$A276:$BO276,'Entry Builder'!$L$8)&gt;'Entry Builder'!$E$8)))</f>
        <v/>
      </c>
      <c r="C276">
        <f>IF('Entry Builder'!$N$9=0,1,IF('Entry Builder'!$D$9="Less",--(INDEX(Sims!$A276:$BO276,'Entry Builder'!$L$9)&lt;'Entry Builder'!$E$9),--(INDEX(Sims!$A276:$BO276,'Entry Builder'!$L$9)&gt;'Entry Builder'!$E$9)))</f>
        <v/>
      </c>
      <c r="D276">
        <f>IF('Entry Builder'!$N$10=0,1,IF('Entry Builder'!$D$10="Less",--(INDEX(Sims!$A276:$BO276,'Entry Builder'!$L$10)&lt;'Entry Builder'!$E$10),--(INDEX(Sims!$A276:$BO276,'Entry Builder'!$L$10)&gt;'Entry Builder'!$E$10)))</f>
        <v/>
      </c>
      <c r="E276">
        <f>IF('Entry Builder'!$N$11=0,1,IF('Entry Builder'!$D$11="Less",--(INDEX(Sims!$A276:$BO276,'Entry Builder'!$L$11)&lt;'Entry Builder'!$E$11),--(INDEX(Sims!$A276:$BO276,'Entry Builder'!$L$11)&gt;'Entry Builder'!$E$11)))</f>
        <v/>
      </c>
      <c r="F276">
        <f>IF('Entry Builder'!$N$12=0,1,IF('Entry Builder'!$D$12="Less",--(INDEX(Sims!$A276:$BO276,'Entry Builder'!$L$12)&lt;'Entry Builder'!$E$12),--(INDEX(Sims!$A276:$BO276,'Entry Builder'!$L$12)&gt;'Entry Builder'!$E$12)))</f>
        <v/>
      </c>
      <c r="G276">
        <f>6-SUM(A276:F276)</f>
        <v/>
      </c>
    </row>
    <row r="277">
      <c r="A277">
        <f>IF('Entry Builder'!$N$7=0,1,IF('Entry Builder'!$D$7="Less",--(INDEX(Sims!$A277:$BO277,'Entry Builder'!$L$7)&lt;'Entry Builder'!$E$7),--(INDEX(Sims!$A277:$BO277,'Entry Builder'!$L$7)&gt;'Entry Builder'!$E$7)))</f>
        <v/>
      </c>
      <c r="B277">
        <f>IF('Entry Builder'!$N$8=0,1,IF('Entry Builder'!$D$8="Less",--(INDEX(Sims!$A277:$BO277,'Entry Builder'!$L$8)&lt;'Entry Builder'!$E$8),--(INDEX(Sims!$A277:$BO277,'Entry Builder'!$L$8)&gt;'Entry Builder'!$E$8)))</f>
        <v/>
      </c>
      <c r="C277">
        <f>IF('Entry Builder'!$N$9=0,1,IF('Entry Builder'!$D$9="Less",--(INDEX(Sims!$A277:$BO277,'Entry Builder'!$L$9)&lt;'Entry Builder'!$E$9),--(INDEX(Sims!$A277:$BO277,'Entry Builder'!$L$9)&gt;'Entry Builder'!$E$9)))</f>
        <v/>
      </c>
      <c r="D277">
        <f>IF('Entry Builder'!$N$10=0,1,IF('Entry Builder'!$D$10="Less",--(INDEX(Sims!$A277:$BO277,'Entry Builder'!$L$10)&lt;'Entry Builder'!$E$10),--(INDEX(Sims!$A277:$BO277,'Entry Builder'!$L$10)&gt;'Entry Builder'!$E$10)))</f>
        <v/>
      </c>
      <c r="E277">
        <f>IF('Entry Builder'!$N$11=0,1,IF('Entry Builder'!$D$11="Less",--(INDEX(Sims!$A277:$BO277,'Entry Builder'!$L$11)&lt;'Entry Builder'!$E$11),--(INDEX(Sims!$A277:$BO277,'Entry Builder'!$L$11)&gt;'Entry Builder'!$E$11)))</f>
        <v/>
      </c>
      <c r="F277">
        <f>IF('Entry Builder'!$N$12=0,1,IF('Entry Builder'!$D$12="Less",--(INDEX(Sims!$A277:$BO277,'Entry Builder'!$L$12)&lt;'Entry Builder'!$E$12),--(INDEX(Sims!$A277:$BO277,'Entry Builder'!$L$12)&gt;'Entry Builder'!$E$12)))</f>
        <v/>
      </c>
      <c r="G277">
        <f>6-SUM(A277:F277)</f>
        <v/>
      </c>
    </row>
    <row r="278">
      <c r="A278">
        <f>IF('Entry Builder'!$N$7=0,1,IF('Entry Builder'!$D$7="Less",--(INDEX(Sims!$A278:$BO278,'Entry Builder'!$L$7)&lt;'Entry Builder'!$E$7),--(INDEX(Sims!$A278:$BO278,'Entry Builder'!$L$7)&gt;'Entry Builder'!$E$7)))</f>
        <v/>
      </c>
      <c r="B278">
        <f>IF('Entry Builder'!$N$8=0,1,IF('Entry Builder'!$D$8="Less",--(INDEX(Sims!$A278:$BO278,'Entry Builder'!$L$8)&lt;'Entry Builder'!$E$8),--(INDEX(Sims!$A278:$BO278,'Entry Builder'!$L$8)&gt;'Entry Builder'!$E$8)))</f>
        <v/>
      </c>
      <c r="C278">
        <f>IF('Entry Builder'!$N$9=0,1,IF('Entry Builder'!$D$9="Less",--(INDEX(Sims!$A278:$BO278,'Entry Builder'!$L$9)&lt;'Entry Builder'!$E$9),--(INDEX(Sims!$A278:$BO278,'Entry Builder'!$L$9)&gt;'Entry Builder'!$E$9)))</f>
        <v/>
      </c>
      <c r="D278">
        <f>IF('Entry Builder'!$N$10=0,1,IF('Entry Builder'!$D$10="Less",--(INDEX(Sims!$A278:$BO278,'Entry Builder'!$L$10)&lt;'Entry Builder'!$E$10),--(INDEX(Sims!$A278:$BO278,'Entry Builder'!$L$10)&gt;'Entry Builder'!$E$10)))</f>
        <v/>
      </c>
      <c r="E278">
        <f>IF('Entry Builder'!$N$11=0,1,IF('Entry Builder'!$D$11="Less",--(INDEX(Sims!$A278:$BO278,'Entry Builder'!$L$11)&lt;'Entry Builder'!$E$11),--(INDEX(Sims!$A278:$BO278,'Entry Builder'!$L$11)&gt;'Entry Builder'!$E$11)))</f>
        <v/>
      </c>
      <c r="F278">
        <f>IF('Entry Builder'!$N$12=0,1,IF('Entry Builder'!$D$12="Less",--(INDEX(Sims!$A278:$BO278,'Entry Builder'!$L$12)&lt;'Entry Builder'!$E$12),--(INDEX(Sims!$A278:$BO278,'Entry Builder'!$L$12)&gt;'Entry Builder'!$E$12)))</f>
        <v/>
      </c>
      <c r="G278">
        <f>6-SUM(A278:F278)</f>
        <v/>
      </c>
    </row>
    <row r="279">
      <c r="A279">
        <f>IF('Entry Builder'!$N$7=0,1,IF('Entry Builder'!$D$7="Less",--(INDEX(Sims!$A279:$BO279,'Entry Builder'!$L$7)&lt;'Entry Builder'!$E$7),--(INDEX(Sims!$A279:$BO279,'Entry Builder'!$L$7)&gt;'Entry Builder'!$E$7)))</f>
        <v/>
      </c>
      <c r="B279">
        <f>IF('Entry Builder'!$N$8=0,1,IF('Entry Builder'!$D$8="Less",--(INDEX(Sims!$A279:$BO279,'Entry Builder'!$L$8)&lt;'Entry Builder'!$E$8),--(INDEX(Sims!$A279:$BO279,'Entry Builder'!$L$8)&gt;'Entry Builder'!$E$8)))</f>
        <v/>
      </c>
      <c r="C279">
        <f>IF('Entry Builder'!$N$9=0,1,IF('Entry Builder'!$D$9="Less",--(INDEX(Sims!$A279:$BO279,'Entry Builder'!$L$9)&lt;'Entry Builder'!$E$9),--(INDEX(Sims!$A279:$BO279,'Entry Builder'!$L$9)&gt;'Entry Builder'!$E$9)))</f>
        <v/>
      </c>
      <c r="D279">
        <f>IF('Entry Builder'!$N$10=0,1,IF('Entry Builder'!$D$10="Less",--(INDEX(Sims!$A279:$BO279,'Entry Builder'!$L$10)&lt;'Entry Builder'!$E$10),--(INDEX(Sims!$A279:$BO279,'Entry Builder'!$L$10)&gt;'Entry Builder'!$E$10)))</f>
        <v/>
      </c>
      <c r="E279">
        <f>IF('Entry Builder'!$N$11=0,1,IF('Entry Builder'!$D$11="Less",--(INDEX(Sims!$A279:$BO279,'Entry Builder'!$L$11)&lt;'Entry Builder'!$E$11),--(INDEX(Sims!$A279:$BO279,'Entry Builder'!$L$11)&gt;'Entry Builder'!$E$11)))</f>
        <v/>
      </c>
      <c r="F279">
        <f>IF('Entry Builder'!$N$12=0,1,IF('Entry Builder'!$D$12="Less",--(INDEX(Sims!$A279:$BO279,'Entry Builder'!$L$12)&lt;'Entry Builder'!$E$12),--(INDEX(Sims!$A279:$BO279,'Entry Builder'!$L$12)&gt;'Entry Builder'!$E$12)))</f>
        <v/>
      </c>
      <c r="G279">
        <f>6-SUM(A279:F279)</f>
        <v/>
      </c>
    </row>
    <row r="280">
      <c r="A280">
        <f>IF('Entry Builder'!$N$7=0,1,IF('Entry Builder'!$D$7="Less",--(INDEX(Sims!$A280:$BO280,'Entry Builder'!$L$7)&lt;'Entry Builder'!$E$7),--(INDEX(Sims!$A280:$BO280,'Entry Builder'!$L$7)&gt;'Entry Builder'!$E$7)))</f>
        <v/>
      </c>
      <c r="B280">
        <f>IF('Entry Builder'!$N$8=0,1,IF('Entry Builder'!$D$8="Less",--(INDEX(Sims!$A280:$BO280,'Entry Builder'!$L$8)&lt;'Entry Builder'!$E$8),--(INDEX(Sims!$A280:$BO280,'Entry Builder'!$L$8)&gt;'Entry Builder'!$E$8)))</f>
        <v/>
      </c>
      <c r="C280">
        <f>IF('Entry Builder'!$N$9=0,1,IF('Entry Builder'!$D$9="Less",--(INDEX(Sims!$A280:$BO280,'Entry Builder'!$L$9)&lt;'Entry Builder'!$E$9),--(INDEX(Sims!$A280:$BO280,'Entry Builder'!$L$9)&gt;'Entry Builder'!$E$9)))</f>
        <v/>
      </c>
      <c r="D280">
        <f>IF('Entry Builder'!$N$10=0,1,IF('Entry Builder'!$D$10="Less",--(INDEX(Sims!$A280:$BO280,'Entry Builder'!$L$10)&lt;'Entry Builder'!$E$10),--(INDEX(Sims!$A280:$BO280,'Entry Builder'!$L$10)&gt;'Entry Builder'!$E$10)))</f>
        <v/>
      </c>
      <c r="E280">
        <f>IF('Entry Builder'!$N$11=0,1,IF('Entry Builder'!$D$11="Less",--(INDEX(Sims!$A280:$BO280,'Entry Builder'!$L$11)&lt;'Entry Builder'!$E$11),--(INDEX(Sims!$A280:$BO280,'Entry Builder'!$L$11)&gt;'Entry Builder'!$E$11)))</f>
        <v/>
      </c>
      <c r="F280">
        <f>IF('Entry Builder'!$N$12=0,1,IF('Entry Builder'!$D$12="Less",--(INDEX(Sims!$A280:$BO280,'Entry Builder'!$L$12)&lt;'Entry Builder'!$E$12),--(INDEX(Sims!$A280:$BO280,'Entry Builder'!$L$12)&gt;'Entry Builder'!$E$12)))</f>
        <v/>
      </c>
      <c r="G280">
        <f>6-SUM(A280:F280)</f>
        <v/>
      </c>
    </row>
    <row r="281">
      <c r="A281">
        <f>IF('Entry Builder'!$N$7=0,1,IF('Entry Builder'!$D$7="Less",--(INDEX(Sims!$A281:$BO281,'Entry Builder'!$L$7)&lt;'Entry Builder'!$E$7),--(INDEX(Sims!$A281:$BO281,'Entry Builder'!$L$7)&gt;'Entry Builder'!$E$7)))</f>
        <v/>
      </c>
      <c r="B281">
        <f>IF('Entry Builder'!$N$8=0,1,IF('Entry Builder'!$D$8="Less",--(INDEX(Sims!$A281:$BO281,'Entry Builder'!$L$8)&lt;'Entry Builder'!$E$8),--(INDEX(Sims!$A281:$BO281,'Entry Builder'!$L$8)&gt;'Entry Builder'!$E$8)))</f>
        <v/>
      </c>
      <c r="C281">
        <f>IF('Entry Builder'!$N$9=0,1,IF('Entry Builder'!$D$9="Less",--(INDEX(Sims!$A281:$BO281,'Entry Builder'!$L$9)&lt;'Entry Builder'!$E$9),--(INDEX(Sims!$A281:$BO281,'Entry Builder'!$L$9)&gt;'Entry Builder'!$E$9)))</f>
        <v/>
      </c>
      <c r="D281">
        <f>IF('Entry Builder'!$N$10=0,1,IF('Entry Builder'!$D$10="Less",--(INDEX(Sims!$A281:$BO281,'Entry Builder'!$L$10)&lt;'Entry Builder'!$E$10),--(INDEX(Sims!$A281:$BO281,'Entry Builder'!$L$10)&gt;'Entry Builder'!$E$10)))</f>
        <v/>
      </c>
      <c r="E281">
        <f>IF('Entry Builder'!$N$11=0,1,IF('Entry Builder'!$D$11="Less",--(INDEX(Sims!$A281:$BO281,'Entry Builder'!$L$11)&lt;'Entry Builder'!$E$11),--(INDEX(Sims!$A281:$BO281,'Entry Builder'!$L$11)&gt;'Entry Builder'!$E$11)))</f>
        <v/>
      </c>
      <c r="F281">
        <f>IF('Entry Builder'!$N$12=0,1,IF('Entry Builder'!$D$12="Less",--(INDEX(Sims!$A281:$BO281,'Entry Builder'!$L$12)&lt;'Entry Builder'!$E$12),--(INDEX(Sims!$A281:$BO281,'Entry Builder'!$L$12)&gt;'Entry Builder'!$E$12)))</f>
        <v/>
      </c>
      <c r="G281">
        <f>6-SUM(A281:F281)</f>
        <v/>
      </c>
    </row>
    <row r="282">
      <c r="A282">
        <f>IF('Entry Builder'!$N$7=0,1,IF('Entry Builder'!$D$7="Less",--(INDEX(Sims!$A282:$BO282,'Entry Builder'!$L$7)&lt;'Entry Builder'!$E$7),--(INDEX(Sims!$A282:$BO282,'Entry Builder'!$L$7)&gt;'Entry Builder'!$E$7)))</f>
        <v/>
      </c>
      <c r="B282">
        <f>IF('Entry Builder'!$N$8=0,1,IF('Entry Builder'!$D$8="Less",--(INDEX(Sims!$A282:$BO282,'Entry Builder'!$L$8)&lt;'Entry Builder'!$E$8),--(INDEX(Sims!$A282:$BO282,'Entry Builder'!$L$8)&gt;'Entry Builder'!$E$8)))</f>
        <v/>
      </c>
      <c r="C282">
        <f>IF('Entry Builder'!$N$9=0,1,IF('Entry Builder'!$D$9="Less",--(INDEX(Sims!$A282:$BO282,'Entry Builder'!$L$9)&lt;'Entry Builder'!$E$9),--(INDEX(Sims!$A282:$BO282,'Entry Builder'!$L$9)&gt;'Entry Builder'!$E$9)))</f>
        <v/>
      </c>
      <c r="D282">
        <f>IF('Entry Builder'!$N$10=0,1,IF('Entry Builder'!$D$10="Less",--(INDEX(Sims!$A282:$BO282,'Entry Builder'!$L$10)&lt;'Entry Builder'!$E$10),--(INDEX(Sims!$A282:$BO282,'Entry Builder'!$L$10)&gt;'Entry Builder'!$E$10)))</f>
        <v/>
      </c>
      <c r="E282">
        <f>IF('Entry Builder'!$N$11=0,1,IF('Entry Builder'!$D$11="Less",--(INDEX(Sims!$A282:$BO282,'Entry Builder'!$L$11)&lt;'Entry Builder'!$E$11),--(INDEX(Sims!$A282:$BO282,'Entry Builder'!$L$11)&gt;'Entry Builder'!$E$11)))</f>
        <v/>
      </c>
      <c r="F282">
        <f>IF('Entry Builder'!$N$12=0,1,IF('Entry Builder'!$D$12="Less",--(INDEX(Sims!$A282:$BO282,'Entry Builder'!$L$12)&lt;'Entry Builder'!$E$12),--(INDEX(Sims!$A282:$BO282,'Entry Builder'!$L$12)&gt;'Entry Builder'!$E$12)))</f>
        <v/>
      </c>
      <c r="G282">
        <f>6-SUM(A282:F282)</f>
        <v/>
      </c>
    </row>
    <row r="283">
      <c r="A283">
        <f>IF('Entry Builder'!$N$7=0,1,IF('Entry Builder'!$D$7="Less",--(INDEX(Sims!$A283:$BO283,'Entry Builder'!$L$7)&lt;'Entry Builder'!$E$7),--(INDEX(Sims!$A283:$BO283,'Entry Builder'!$L$7)&gt;'Entry Builder'!$E$7)))</f>
        <v/>
      </c>
      <c r="B283">
        <f>IF('Entry Builder'!$N$8=0,1,IF('Entry Builder'!$D$8="Less",--(INDEX(Sims!$A283:$BO283,'Entry Builder'!$L$8)&lt;'Entry Builder'!$E$8),--(INDEX(Sims!$A283:$BO283,'Entry Builder'!$L$8)&gt;'Entry Builder'!$E$8)))</f>
        <v/>
      </c>
      <c r="C283">
        <f>IF('Entry Builder'!$N$9=0,1,IF('Entry Builder'!$D$9="Less",--(INDEX(Sims!$A283:$BO283,'Entry Builder'!$L$9)&lt;'Entry Builder'!$E$9),--(INDEX(Sims!$A283:$BO283,'Entry Builder'!$L$9)&gt;'Entry Builder'!$E$9)))</f>
        <v/>
      </c>
      <c r="D283">
        <f>IF('Entry Builder'!$N$10=0,1,IF('Entry Builder'!$D$10="Less",--(INDEX(Sims!$A283:$BO283,'Entry Builder'!$L$10)&lt;'Entry Builder'!$E$10),--(INDEX(Sims!$A283:$BO283,'Entry Builder'!$L$10)&gt;'Entry Builder'!$E$10)))</f>
        <v/>
      </c>
      <c r="E283">
        <f>IF('Entry Builder'!$N$11=0,1,IF('Entry Builder'!$D$11="Less",--(INDEX(Sims!$A283:$BO283,'Entry Builder'!$L$11)&lt;'Entry Builder'!$E$11),--(INDEX(Sims!$A283:$BO283,'Entry Builder'!$L$11)&gt;'Entry Builder'!$E$11)))</f>
        <v/>
      </c>
      <c r="F283">
        <f>IF('Entry Builder'!$N$12=0,1,IF('Entry Builder'!$D$12="Less",--(INDEX(Sims!$A283:$BO283,'Entry Builder'!$L$12)&lt;'Entry Builder'!$E$12),--(INDEX(Sims!$A283:$BO283,'Entry Builder'!$L$12)&gt;'Entry Builder'!$E$12)))</f>
        <v/>
      </c>
      <c r="G283">
        <f>6-SUM(A283:F283)</f>
        <v/>
      </c>
    </row>
    <row r="284">
      <c r="A284">
        <f>IF('Entry Builder'!$N$7=0,1,IF('Entry Builder'!$D$7="Less",--(INDEX(Sims!$A284:$BO284,'Entry Builder'!$L$7)&lt;'Entry Builder'!$E$7),--(INDEX(Sims!$A284:$BO284,'Entry Builder'!$L$7)&gt;'Entry Builder'!$E$7)))</f>
        <v/>
      </c>
      <c r="B284">
        <f>IF('Entry Builder'!$N$8=0,1,IF('Entry Builder'!$D$8="Less",--(INDEX(Sims!$A284:$BO284,'Entry Builder'!$L$8)&lt;'Entry Builder'!$E$8),--(INDEX(Sims!$A284:$BO284,'Entry Builder'!$L$8)&gt;'Entry Builder'!$E$8)))</f>
        <v/>
      </c>
      <c r="C284">
        <f>IF('Entry Builder'!$N$9=0,1,IF('Entry Builder'!$D$9="Less",--(INDEX(Sims!$A284:$BO284,'Entry Builder'!$L$9)&lt;'Entry Builder'!$E$9),--(INDEX(Sims!$A284:$BO284,'Entry Builder'!$L$9)&gt;'Entry Builder'!$E$9)))</f>
        <v/>
      </c>
      <c r="D284">
        <f>IF('Entry Builder'!$N$10=0,1,IF('Entry Builder'!$D$10="Less",--(INDEX(Sims!$A284:$BO284,'Entry Builder'!$L$10)&lt;'Entry Builder'!$E$10),--(INDEX(Sims!$A284:$BO284,'Entry Builder'!$L$10)&gt;'Entry Builder'!$E$10)))</f>
        <v/>
      </c>
      <c r="E284">
        <f>IF('Entry Builder'!$N$11=0,1,IF('Entry Builder'!$D$11="Less",--(INDEX(Sims!$A284:$BO284,'Entry Builder'!$L$11)&lt;'Entry Builder'!$E$11),--(INDEX(Sims!$A284:$BO284,'Entry Builder'!$L$11)&gt;'Entry Builder'!$E$11)))</f>
        <v/>
      </c>
      <c r="F284">
        <f>IF('Entry Builder'!$N$12=0,1,IF('Entry Builder'!$D$12="Less",--(INDEX(Sims!$A284:$BO284,'Entry Builder'!$L$12)&lt;'Entry Builder'!$E$12),--(INDEX(Sims!$A284:$BO284,'Entry Builder'!$L$12)&gt;'Entry Builder'!$E$12)))</f>
        <v/>
      </c>
      <c r="G284">
        <f>6-SUM(A284:F284)</f>
        <v/>
      </c>
    </row>
    <row r="285">
      <c r="A285">
        <f>IF('Entry Builder'!$N$7=0,1,IF('Entry Builder'!$D$7="Less",--(INDEX(Sims!$A285:$BO285,'Entry Builder'!$L$7)&lt;'Entry Builder'!$E$7),--(INDEX(Sims!$A285:$BO285,'Entry Builder'!$L$7)&gt;'Entry Builder'!$E$7)))</f>
        <v/>
      </c>
      <c r="B285">
        <f>IF('Entry Builder'!$N$8=0,1,IF('Entry Builder'!$D$8="Less",--(INDEX(Sims!$A285:$BO285,'Entry Builder'!$L$8)&lt;'Entry Builder'!$E$8),--(INDEX(Sims!$A285:$BO285,'Entry Builder'!$L$8)&gt;'Entry Builder'!$E$8)))</f>
        <v/>
      </c>
      <c r="C285">
        <f>IF('Entry Builder'!$N$9=0,1,IF('Entry Builder'!$D$9="Less",--(INDEX(Sims!$A285:$BO285,'Entry Builder'!$L$9)&lt;'Entry Builder'!$E$9),--(INDEX(Sims!$A285:$BO285,'Entry Builder'!$L$9)&gt;'Entry Builder'!$E$9)))</f>
        <v/>
      </c>
      <c r="D285">
        <f>IF('Entry Builder'!$N$10=0,1,IF('Entry Builder'!$D$10="Less",--(INDEX(Sims!$A285:$BO285,'Entry Builder'!$L$10)&lt;'Entry Builder'!$E$10),--(INDEX(Sims!$A285:$BO285,'Entry Builder'!$L$10)&gt;'Entry Builder'!$E$10)))</f>
        <v/>
      </c>
      <c r="E285">
        <f>IF('Entry Builder'!$N$11=0,1,IF('Entry Builder'!$D$11="Less",--(INDEX(Sims!$A285:$BO285,'Entry Builder'!$L$11)&lt;'Entry Builder'!$E$11),--(INDEX(Sims!$A285:$BO285,'Entry Builder'!$L$11)&gt;'Entry Builder'!$E$11)))</f>
        <v/>
      </c>
      <c r="F285">
        <f>IF('Entry Builder'!$N$12=0,1,IF('Entry Builder'!$D$12="Less",--(INDEX(Sims!$A285:$BO285,'Entry Builder'!$L$12)&lt;'Entry Builder'!$E$12),--(INDEX(Sims!$A285:$BO285,'Entry Builder'!$L$12)&gt;'Entry Builder'!$E$12)))</f>
        <v/>
      </c>
      <c r="G285">
        <f>6-SUM(A285:F285)</f>
        <v/>
      </c>
    </row>
    <row r="286">
      <c r="A286">
        <f>IF('Entry Builder'!$N$7=0,1,IF('Entry Builder'!$D$7="Less",--(INDEX(Sims!$A286:$BO286,'Entry Builder'!$L$7)&lt;'Entry Builder'!$E$7),--(INDEX(Sims!$A286:$BO286,'Entry Builder'!$L$7)&gt;'Entry Builder'!$E$7)))</f>
        <v/>
      </c>
      <c r="B286">
        <f>IF('Entry Builder'!$N$8=0,1,IF('Entry Builder'!$D$8="Less",--(INDEX(Sims!$A286:$BO286,'Entry Builder'!$L$8)&lt;'Entry Builder'!$E$8),--(INDEX(Sims!$A286:$BO286,'Entry Builder'!$L$8)&gt;'Entry Builder'!$E$8)))</f>
        <v/>
      </c>
      <c r="C286">
        <f>IF('Entry Builder'!$N$9=0,1,IF('Entry Builder'!$D$9="Less",--(INDEX(Sims!$A286:$BO286,'Entry Builder'!$L$9)&lt;'Entry Builder'!$E$9),--(INDEX(Sims!$A286:$BO286,'Entry Builder'!$L$9)&gt;'Entry Builder'!$E$9)))</f>
        <v/>
      </c>
      <c r="D286">
        <f>IF('Entry Builder'!$N$10=0,1,IF('Entry Builder'!$D$10="Less",--(INDEX(Sims!$A286:$BO286,'Entry Builder'!$L$10)&lt;'Entry Builder'!$E$10),--(INDEX(Sims!$A286:$BO286,'Entry Builder'!$L$10)&gt;'Entry Builder'!$E$10)))</f>
        <v/>
      </c>
      <c r="E286">
        <f>IF('Entry Builder'!$N$11=0,1,IF('Entry Builder'!$D$11="Less",--(INDEX(Sims!$A286:$BO286,'Entry Builder'!$L$11)&lt;'Entry Builder'!$E$11),--(INDEX(Sims!$A286:$BO286,'Entry Builder'!$L$11)&gt;'Entry Builder'!$E$11)))</f>
        <v/>
      </c>
      <c r="F286">
        <f>IF('Entry Builder'!$N$12=0,1,IF('Entry Builder'!$D$12="Less",--(INDEX(Sims!$A286:$BO286,'Entry Builder'!$L$12)&lt;'Entry Builder'!$E$12),--(INDEX(Sims!$A286:$BO286,'Entry Builder'!$L$12)&gt;'Entry Builder'!$E$12)))</f>
        <v/>
      </c>
      <c r="G286">
        <f>6-SUM(A286:F286)</f>
        <v/>
      </c>
    </row>
    <row r="287">
      <c r="A287">
        <f>IF('Entry Builder'!$N$7=0,1,IF('Entry Builder'!$D$7="Less",--(INDEX(Sims!$A287:$BO287,'Entry Builder'!$L$7)&lt;'Entry Builder'!$E$7),--(INDEX(Sims!$A287:$BO287,'Entry Builder'!$L$7)&gt;'Entry Builder'!$E$7)))</f>
        <v/>
      </c>
      <c r="B287">
        <f>IF('Entry Builder'!$N$8=0,1,IF('Entry Builder'!$D$8="Less",--(INDEX(Sims!$A287:$BO287,'Entry Builder'!$L$8)&lt;'Entry Builder'!$E$8),--(INDEX(Sims!$A287:$BO287,'Entry Builder'!$L$8)&gt;'Entry Builder'!$E$8)))</f>
        <v/>
      </c>
      <c r="C287">
        <f>IF('Entry Builder'!$N$9=0,1,IF('Entry Builder'!$D$9="Less",--(INDEX(Sims!$A287:$BO287,'Entry Builder'!$L$9)&lt;'Entry Builder'!$E$9),--(INDEX(Sims!$A287:$BO287,'Entry Builder'!$L$9)&gt;'Entry Builder'!$E$9)))</f>
        <v/>
      </c>
      <c r="D287">
        <f>IF('Entry Builder'!$N$10=0,1,IF('Entry Builder'!$D$10="Less",--(INDEX(Sims!$A287:$BO287,'Entry Builder'!$L$10)&lt;'Entry Builder'!$E$10),--(INDEX(Sims!$A287:$BO287,'Entry Builder'!$L$10)&gt;'Entry Builder'!$E$10)))</f>
        <v/>
      </c>
      <c r="E287">
        <f>IF('Entry Builder'!$N$11=0,1,IF('Entry Builder'!$D$11="Less",--(INDEX(Sims!$A287:$BO287,'Entry Builder'!$L$11)&lt;'Entry Builder'!$E$11),--(INDEX(Sims!$A287:$BO287,'Entry Builder'!$L$11)&gt;'Entry Builder'!$E$11)))</f>
        <v/>
      </c>
      <c r="F287">
        <f>IF('Entry Builder'!$N$12=0,1,IF('Entry Builder'!$D$12="Less",--(INDEX(Sims!$A287:$BO287,'Entry Builder'!$L$12)&lt;'Entry Builder'!$E$12),--(INDEX(Sims!$A287:$BO287,'Entry Builder'!$L$12)&gt;'Entry Builder'!$E$12)))</f>
        <v/>
      </c>
      <c r="G287">
        <f>6-SUM(A287:F287)</f>
        <v/>
      </c>
    </row>
    <row r="288">
      <c r="A288">
        <f>IF('Entry Builder'!$N$7=0,1,IF('Entry Builder'!$D$7="Less",--(INDEX(Sims!$A288:$BO288,'Entry Builder'!$L$7)&lt;'Entry Builder'!$E$7),--(INDEX(Sims!$A288:$BO288,'Entry Builder'!$L$7)&gt;'Entry Builder'!$E$7)))</f>
        <v/>
      </c>
      <c r="B288">
        <f>IF('Entry Builder'!$N$8=0,1,IF('Entry Builder'!$D$8="Less",--(INDEX(Sims!$A288:$BO288,'Entry Builder'!$L$8)&lt;'Entry Builder'!$E$8),--(INDEX(Sims!$A288:$BO288,'Entry Builder'!$L$8)&gt;'Entry Builder'!$E$8)))</f>
        <v/>
      </c>
      <c r="C288">
        <f>IF('Entry Builder'!$N$9=0,1,IF('Entry Builder'!$D$9="Less",--(INDEX(Sims!$A288:$BO288,'Entry Builder'!$L$9)&lt;'Entry Builder'!$E$9),--(INDEX(Sims!$A288:$BO288,'Entry Builder'!$L$9)&gt;'Entry Builder'!$E$9)))</f>
        <v/>
      </c>
      <c r="D288">
        <f>IF('Entry Builder'!$N$10=0,1,IF('Entry Builder'!$D$10="Less",--(INDEX(Sims!$A288:$BO288,'Entry Builder'!$L$10)&lt;'Entry Builder'!$E$10),--(INDEX(Sims!$A288:$BO288,'Entry Builder'!$L$10)&gt;'Entry Builder'!$E$10)))</f>
        <v/>
      </c>
      <c r="E288">
        <f>IF('Entry Builder'!$N$11=0,1,IF('Entry Builder'!$D$11="Less",--(INDEX(Sims!$A288:$BO288,'Entry Builder'!$L$11)&lt;'Entry Builder'!$E$11),--(INDEX(Sims!$A288:$BO288,'Entry Builder'!$L$11)&gt;'Entry Builder'!$E$11)))</f>
        <v/>
      </c>
      <c r="F288">
        <f>IF('Entry Builder'!$N$12=0,1,IF('Entry Builder'!$D$12="Less",--(INDEX(Sims!$A288:$BO288,'Entry Builder'!$L$12)&lt;'Entry Builder'!$E$12),--(INDEX(Sims!$A288:$BO288,'Entry Builder'!$L$12)&gt;'Entry Builder'!$E$12)))</f>
        <v/>
      </c>
      <c r="G288">
        <f>6-SUM(A288:F288)</f>
        <v/>
      </c>
    </row>
    <row r="289">
      <c r="A289">
        <f>IF('Entry Builder'!$N$7=0,1,IF('Entry Builder'!$D$7="Less",--(INDEX(Sims!$A289:$BO289,'Entry Builder'!$L$7)&lt;'Entry Builder'!$E$7),--(INDEX(Sims!$A289:$BO289,'Entry Builder'!$L$7)&gt;'Entry Builder'!$E$7)))</f>
        <v/>
      </c>
      <c r="B289">
        <f>IF('Entry Builder'!$N$8=0,1,IF('Entry Builder'!$D$8="Less",--(INDEX(Sims!$A289:$BO289,'Entry Builder'!$L$8)&lt;'Entry Builder'!$E$8),--(INDEX(Sims!$A289:$BO289,'Entry Builder'!$L$8)&gt;'Entry Builder'!$E$8)))</f>
        <v/>
      </c>
      <c r="C289">
        <f>IF('Entry Builder'!$N$9=0,1,IF('Entry Builder'!$D$9="Less",--(INDEX(Sims!$A289:$BO289,'Entry Builder'!$L$9)&lt;'Entry Builder'!$E$9),--(INDEX(Sims!$A289:$BO289,'Entry Builder'!$L$9)&gt;'Entry Builder'!$E$9)))</f>
        <v/>
      </c>
      <c r="D289">
        <f>IF('Entry Builder'!$N$10=0,1,IF('Entry Builder'!$D$10="Less",--(INDEX(Sims!$A289:$BO289,'Entry Builder'!$L$10)&lt;'Entry Builder'!$E$10),--(INDEX(Sims!$A289:$BO289,'Entry Builder'!$L$10)&gt;'Entry Builder'!$E$10)))</f>
        <v/>
      </c>
      <c r="E289">
        <f>IF('Entry Builder'!$N$11=0,1,IF('Entry Builder'!$D$11="Less",--(INDEX(Sims!$A289:$BO289,'Entry Builder'!$L$11)&lt;'Entry Builder'!$E$11),--(INDEX(Sims!$A289:$BO289,'Entry Builder'!$L$11)&gt;'Entry Builder'!$E$11)))</f>
        <v/>
      </c>
      <c r="F289">
        <f>IF('Entry Builder'!$N$12=0,1,IF('Entry Builder'!$D$12="Less",--(INDEX(Sims!$A289:$BO289,'Entry Builder'!$L$12)&lt;'Entry Builder'!$E$12),--(INDEX(Sims!$A289:$BO289,'Entry Builder'!$L$12)&gt;'Entry Builder'!$E$12)))</f>
        <v/>
      </c>
      <c r="G289">
        <f>6-SUM(A289:F289)</f>
        <v/>
      </c>
    </row>
    <row r="290">
      <c r="A290">
        <f>IF('Entry Builder'!$N$7=0,1,IF('Entry Builder'!$D$7="Less",--(INDEX(Sims!$A290:$BO290,'Entry Builder'!$L$7)&lt;'Entry Builder'!$E$7),--(INDEX(Sims!$A290:$BO290,'Entry Builder'!$L$7)&gt;'Entry Builder'!$E$7)))</f>
        <v/>
      </c>
      <c r="B290">
        <f>IF('Entry Builder'!$N$8=0,1,IF('Entry Builder'!$D$8="Less",--(INDEX(Sims!$A290:$BO290,'Entry Builder'!$L$8)&lt;'Entry Builder'!$E$8),--(INDEX(Sims!$A290:$BO290,'Entry Builder'!$L$8)&gt;'Entry Builder'!$E$8)))</f>
        <v/>
      </c>
      <c r="C290">
        <f>IF('Entry Builder'!$N$9=0,1,IF('Entry Builder'!$D$9="Less",--(INDEX(Sims!$A290:$BO290,'Entry Builder'!$L$9)&lt;'Entry Builder'!$E$9),--(INDEX(Sims!$A290:$BO290,'Entry Builder'!$L$9)&gt;'Entry Builder'!$E$9)))</f>
        <v/>
      </c>
      <c r="D290">
        <f>IF('Entry Builder'!$N$10=0,1,IF('Entry Builder'!$D$10="Less",--(INDEX(Sims!$A290:$BO290,'Entry Builder'!$L$10)&lt;'Entry Builder'!$E$10),--(INDEX(Sims!$A290:$BO290,'Entry Builder'!$L$10)&gt;'Entry Builder'!$E$10)))</f>
        <v/>
      </c>
      <c r="E290">
        <f>IF('Entry Builder'!$N$11=0,1,IF('Entry Builder'!$D$11="Less",--(INDEX(Sims!$A290:$BO290,'Entry Builder'!$L$11)&lt;'Entry Builder'!$E$11),--(INDEX(Sims!$A290:$BO290,'Entry Builder'!$L$11)&gt;'Entry Builder'!$E$11)))</f>
        <v/>
      </c>
      <c r="F290">
        <f>IF('Entry Builder'!$N$12=0,1,IF('Entry Builder'!$D$12="Less",--(INDEX(Sims!$A290:$BO290,'Entry Builder'!$L$12)&lt;'Entry Builder'!$E$12),--(INDEX(Sims!$A290:$BO290,'Entry Builder'!$L$12)&gt;'Entry Builder'!$E$12)))</f>
        <v/>
      </c>
      <c r="G290">
        <f>6-SUM(A290:F290)</f>
        <v/>
      </c>
    </row>
    <row r="291">
      <c r="A291">
        <f>IF('Entry Builder'!$N$7=0,1,IF('Entry Builder'!$D$7="Less",--(INDEX(Sims!$A291:$BO291,'Entry Builder'!$L$7)&lt;'Entry Builder'!$E$7),--(INDEX(Sims!$A291:$BO291,'Entry Builder'!$L$7)&gt;'Entry Builder'!$E$7)))</f>
        <v/>
      </c>
      <c r="B291">
        <f>IF('Entry Builder'!$N$8=0,1,IF('Entry Builder'!$D$8="Less",--(INDEX(Sims!$A291:$BO291,'Entry Builder'!$L$8)&lt;'Entry Builder'!$E$8),--(INDEX(Sims!$A291:$BO291,'Entry Builder'!$L$8)&gt;'Entry Builder'!$E$8)))</f>
        <v/>
      </c>
      <c r="C291">
        <f>IF('Entry Builder'!$N$9=0,1,IF('Entry Builder'!$D$9="Less",--(INDEX(Sims!$A291:$BO291,'Entry Builder'!$L$9)&lt;'Entry Builder'!$E$9),--(INDEX(Sims!$A291:$BO291,'Entry Builder'!$L$9)&gt;'Entry Builder'!$E$9)))</f>
        <v/>
      </c>
      <c r="D291">
        <f>IF('Entry Builder'!$N$10=0,1,IF('Entry Builder'!$D$10="Less",--(INDEX(Sims!$A291:$BO291,'Entry Builder'!$L$10)&lt;'Entry Builder'!$E$10),--(INDEX(Sims!$A291:$BO291,'Entry Builder'!$L$10)&gt;'Entry Builder'!$E$10)))</f>
        <v/>
      </c>
      <c r="E291">
        <f>IF('Entry Builder'!$N$11=0,1,IF('Entry Builder'!$D$11="Less",--(INDEX(Sims!$A291:$BO291,'Entry Builder'!$L$11)&lt;'Entry Builder'!$E$11),--(INDEX(Sims!$A291:$BO291,'Entry Builder'!$L$11)&gt;'Entry Builder'!$E$11)))</f>
        <v/>
      </c>
      <c r="F291">
        <f>IF('Entry Builder'!$N$12=0,1,IF('Entry Builder'!$D$12="Less",--(INDEX(Sims!$A291:$BO291,'Entry Builder'!$L$12)&lt;'Entry Builder'!$E$12),--(INDEX(Sims!$A291:$BO291,'Entry Builder'!$L$12)&gt;'Entry Builder'!$E$12)))</f>
        <v/>
      </c>
      <c r="G291">
        <f>6-SUM(A291:F291)</f>
        <v/>
      </c>
    </row>
    <row r="292">
      <c r="A292">
        <f>IF('Entry Builder'!$N$7=0,1,IF('Entry Builder'!$D$7="Less",--(INDEX(Sims!$A292:$BO292,'Entry Builder'!$L$7)&lt;'Entry Builder'!$E$7),--(INDEX(Sims!$A292:$BO292,'Entry Builder'!$L$7)&gt;'Entry Builder'!$E$7)))</f>
        <v/>
      </c>
      <c r="B292">
        <f>IF('Entry Builder'!$N$8=0,1,IF('Entry Builder'!$D$8="Less",--(INDEX(Sims!$A292:$BO292,'Entry Builder'!$L$8)&lt;'Entry Builder'!$E$8),--(INDEX(Sims!$A292:$BO292,'Entry Builder'!$L$8)&gt;'Entry Builder'!$E$8)))</f>
        <v/>
      </c>
      <c r="C292">
        <f>IF('Entry Builder'!$N$9=0,1,IF('Entry Builder'!$D$9="Less",--(INDEX(Sims!$A292:$BO292,'Entry Builder'!$L$9)&lt;'Entry Builder'!$E$9),--(INDEX(Sims!$A292:$BO292,'Entry Builder'!$L$9)&gt;'Entry Builder'!$E$9)))</f>
        <v/>
      </c>
      <c r="D292">
        <f>IF('Entry Builder'!$N$10=0,1,IF('Entry Builder'!$D$10="Less",--(INDEX(Sims!$A292:$BO292,'Entry Builder'!$L$10)&lt;'Entry Builder'!$E$10),--(INDEX(Sims!$A292:$BO292,'Entry Builder'!$L$10)&gt;'Entry Builder'!$E$10)))</f>
        <v/>
      </c>
      <c r="E292">
        <f>IF('Entry Builder'!$N$11=0,1,IF('Entry Builder'!$D$11="Less",--(INDEX(Sims!$A292:$BO292,'Entry Builder'!$L$11)&lt;'Entry Builder'!$E$11),--(INDEX(Sims!$A292:$BO292,'Entry Builder'!$L$11)&gt;'Entry Builder'!$E$11)))</f>
        <v/>
      </c>
      <c r="F292">
        <f>IF('Entry Builder'!$N$12=0,1,IF('Entry Builder'!$D$12="Less",--(INDEX(Sims!$A292:$BO292,'Entry Builder'!$L$12)&lt;'Entry Builder'!$E$12),--(INDEX(Sims!$A292:$BO292,'Entry Builder'!$L$12)&gt;'Entry Builder'!$E$12)))</f>
        <v/>
      </c>
      <c r="G292">
        <f>6-SUM(A292:F292)</f>
        <v/>
      </c>
    </row>
    <row r="293">
      <c r="A293">
        <f>IF('Entry Builder'!$N$7=0,1,IF('Entry Builder'!$D$7="Less",--(INDEX(Sims!$A293:$BO293,'Entry Builder'!$L$7)&lt;'Entry Builder'!$E$7),--(INDEX(Sims!$A293:$BO293,'Entry Builder'!$L$7)&gt;'Entry Builder'!$E$7)))</f>
        <v/>
      </c>
      <c r="B293">
        <f>IF('Entry Builder'!$N$8=0,1,IF('Entry Builder'!$D$8="Less",--(INDEX(Sims!$A293:$BO293,'Entry Builder'!$L$8)&lt;'Entry Builder'!$E$8),--(INDEX(Sims!$A293:$BO293,'Entry Builder'!$L$8)&gt;'Entry Builder'!$E$8)))</f>
        <v/>
      </c>
      <c r="C293">
        <f>IF('Entry Builder'!$N$9=0,1,IF('Entry Builder'!$D$9="Less",--(INDEX(Sims!$A293:$BO293,'Entry Builder'!$L$9)&lt;'Entry Builder'!$E$9),--(INDEX(Sims!$A293:$BO293,'Entry Builder'!$L$9)&gt;'Entry Builder'!$E$9)))</f>
        <v/>
      </c>
      <c r="D293">
        <f>IF('Entry Builder'!$N$10=0,1,IF('Entry Builder'!$D$10="Less",--(INDEX(Sims!$A293:$BO293,'Entry Builder'!$L$10)&lt;'Entry Builder'!$E$10),--(INDEX(Sims!$A293:$BO293,'Entry Builder'!$L$10)&gt;'Entry Builder'!$E$10)))</f>
        <v/>
      </c>
      <c r="E293">
        <f>IF('Entry Builder'!$N$11=0,1,IF('Entry Builder'!$D$11="Less",--(INDEX(Sims!$A293:$BO293,'Entry Builder'!$L$11)&lt;'Entry Builder'!$E$11),--(INDEX(Sims!$A293:$BO293,'Entry Builder'!$L$11)&gt;'Entry Builder'!$E$11)))</f>
        <v/>
      </c>
      <c r="F293">
        <f>IF('Entry Builder'!$N$12=0,1,IF('Entry Builder'!$D$12="Less",--(INDEX(Sims!$A293:$BO293,'Entry Builder'!$L$12)&lt;'Entry Builder'!$E$12),--(INDEX(Sims!$A293:$BO293,'Entry Builder'!$L$12)&gt;'Entry Builder'!$E$12)))</f>
        <v/>
      </c>
      <c r="G293">
        <f>6-SUM(A293:F293)</f>
        <v/>
      </c>
    </row>
    <row r="294">
      <c r="A294">
        <f>IF('Entry Builder'!$N$7=0,1,IF('Entry Builder'!$D$7="Less",--(INDEX(Sims!$A294:$BO294,'Entry Builder'!$L$7)&lt;'Entry Builder'!$E$7),--(INDEX(Sims!$A294:$BO294,'Entry Builder'!$L$7)&gt;'Entry Builder'!$E$7)))</f>
        <v/>
      </c>
      <c r="B294">
        <f>IF('Entry Builder'!$N$8=0,1,IF('Entry Builder'!$D$8="Less",--(INDEX(Sims!$A294:$BO294,'Entry Builder'!$L$8)&lt;'Entry Builder'!$E$8),--(INDEX(Sims!$A294:$BO294,'Entry Builder'!$L$8)&gt;'Entry Builder'!$E$8)))</f>
        <v/>
      </c>
      <c r="C294">
        <f>IF('Entry Builder'!$N$9=0,1,IF('Entry Builder'!$D$9="Less",--(INDEX(Sims!$A294:$BO294,'Entry Builder'!$L$9)&lt;'Entry Builder'!$E$9),--(INDEX(Sims!$A294:$BO294,'Entry Builder'!$L$9)&gt;'Entry Builder'!$E$9)))</f>
        <v/>
      </c>
      <c r="D294">
        <f>IF('Entry Builder'!$N$10=0,1,IF('Entry Builder'!$D$10="Less",--(INDEX(Sims!$A294:$BO294,'Entry Builder'!$L$10)&lt;'Entry Builder'!$E$10),--(INDEX(Sims!$A294:$BO294,'Entry Builder'!$L$10)&gt;'Entry Builder'!$E$10)))</f>
        <v/>
      </c>
      <c r="E294">
        <f>IF('Entry Builder'!$N$11=0,1,IF('Entry Builder'!$D$11="Less",--(INDEX(Sims!$A294:$BO294,'Entry Builder'!$L$11)&lt;'Entry Builder'!$E$11),--(INDEX(Sims!$A294:$BO294,'Entry Builder'!$L$11)&gt;'Entry Builder'!$E$11)))</f>
        <v/>
      </c>
      <c r="F294">
        <f>IF('Entry Builder'!$N$12=0,1,IF('Entry Builder'!$D$12="Less",--(INDEX(Sims!$A294:$BO294,'Entry Builder'!$L$12)&lt;'Entry Builder'!$E$12),--(INDEX(Sims!$A294:$BO294,'Entry Builder'!$L$12)&gt;'Entry Builder'!$E$12)))</f>
        <v/>
      </c>
      <c r="G294">
        <f>6-SUM(A294:F294)</f>
        <v/>
      </c>
    </row>
    <row r="295">
      <c r="A295">
        <f>IF('Entry Builder'!$N$7=0,1,IF('Entry Builder'!$D$7="Less",--(INDEX(Sims!$A295:$BO295,'Entry Builder'!$L$7)&lt;'Entry Builder'!$E$7),--(INDEX(Sims!$A295:$BO295,'Entry Builder'!$L$7)&gt;'Entry Builder'!$E$7)))</f>
        <v/>
      </c>
      <c r="B295">
        <f>IF('Entry Builder'!$N$8=0,1,IF('Entry Builder'!$D$8="Less",--(INDEX(Sims!$A295:$BO295,'Entry Builder'!$L$8)&lt;'Entry Builder'!$E$8),--(INDEX(Sims!$A295:$BO295,'Entry Builder'!$L$8)&gt;'Entry Builder'!$E$8)))</f>
        <v/>
      </c>
      <c r="C295">
        <f>IF('Entry Builder'!$N$9=0,1,IF('Entry Builder'!$D$9="Less",--(INDEX(Sims!$A295:$BO295,'Entry Builder'!$L$9)&lt;'Entry Builder'!$E$9),--(INDEX(Sims!$A295:$BO295,'Entry Builder'!$L$9)&gt;'Entry Builder'!$E$9)))</f>
        <v/>
      </c>
      <c r="D295">
        <f>IF('Entry Builder'!$N$10=0,1,IF('Entry Builder'!$D$10="Less",--(INDEX(Sims!$A295:$BO295,'Entry Builder'!$L$10)&lt;'Entry Builder'!$E$10),--(INDEX(Sims!$A295:$BO295,'Entry Builder'!$L$10)&gt;'Entry Builder'!$E$10)))</f>
        <v/>
      </c>
      <c r="E295">
        <f>IF('Entry Builder'!$N$11=0,1,IF('Entry Builder'!$D$11="Less",--(INDEX(Sims!$A295:$BO295,'Entry Builder'!$L$11)&lt;'Entry Builder'!$E$11),--(INDEX(Sims!$A295:$BO295,'Entry Builder'!$L$11)&gt;'Entry Builder'!$E$11)))</f>
        <v/>
      </c>
      <c r="F295">
        <f>IF('Entry Builder'!$N$12=0,1,IF('Entry Builder'!$D$12="Less",--(INDEX(Sims!$A295:$BO295,'Entry Builder'!$L$12)&lt;'Entry Builder'!$E$12),--(INDEX(Sims!$A295:$BO295,'Entry Builder'!$L$12)&gt;'Entry Builder'!$E$12)))</f>
        <v/>
      </c>
      <c r="G295">
        <f>6-SUM(A295:F295)</f>
        <v/>
      </c>
    </row>
    <row r="296">
      <c r="A296">
        <f>IF('Entry Builder'!$N$7=0,1,IF('Entry Builder'!$D$7="Less",--(INDEX(Sims!$A296:$BO296,'Entry Builder'!$L$7)&lt;'Entry Builder'!$E$7),--(INDEX(Sims!$A296:$BO296,'Entry Builder'!$L$7)&gt;'Entry Builder'!$E$7)))</f>
        <v/>
      </c>
      <c r="B296">
        <f>IF('Entry Builder'!$N$8=0,1,IF('Entry Builder'!$D$8="Less",--(INDEX(Sims!$A296:$BO296,'Entry Builder'!$L$8)&lt;'Entry Builder'!$E$8),--(INDEX(Sims!$A296:$BO296,'Entry Builder'!$L$8)&gt;'Entry Builder'!$E$8)))</f>
        <v/>
      </c>
      <c r="C296">
        <f>IF('Entry Builder'!$N$9=0,1,IF('Entry Builder'!$D$9="Less",--(INDEX(Sims!$A296:$BO296,'Entry Builder'!$L$9)&lt;'Entry Builder'!$E$9),--(INDEX(Sims!$A296:$BO296,'Entry Builder'!$L$9)&gt;'Entry Builder'!$E$9)))</f>
        <v/>
      </c>
      <c r="D296">
        <f>IF('Entry Builder'!$N$10=0,1,IF('Entry Builder'!$D$10="Less",--(INDEX(Sims!$A296:$BO296,'Entry Builder'!$L$10)&lt;'Entry Builder'!$E$10),--(INDEX(Sims!$A296:$BO296,'Entry Builder'!$L$10)&gt;'Entry Builder'!$E$10)))</f>
        <v/>
      </c>
      <c r="E296">
        <f>IF('Entry Builder'!$N$11=0,1,IF('Entry Builder'!$D$11="Less",--(INDEX(Sims!$A296:$BO296,'Entry Builder'!$L$11)&lt;'Entry Builder'!$E$11),--(INDEX(Sims!$A296:$BO296,'Entry Builder'!$L$11)&gt;'Entry Builder'!$E$11)))</f>
        <v/>
      </c>
      <c r="F296">
        <f>IF('Entry Builder'!$N$12=0,1,IF('Entry Builder'!$D$12="Less",--(INDEX(Sims!$A296:$BO296,'Entry Builder'!$L$12)&lt;'Entry Builder'!$E$12),--(INDEX(Sims!$A296:$BO296,'Entry Builder'!$L$12)&gt;'Entry Builder'!$E$12)))</f>
        <v/>
      </c>
      <c r="G296">
        <f>6-SUM(A296:F296)</f>
        <v/>
      </c>
    </row>
    <row r="297">
      <c r="A297">
        <f>IF('Entry Builder'!$N$7=0,1,IF('Entry Builder'!$D$7="Less",--(INDEX(Sims!$A297:$BO297,'Entry Builder'!$L$7)&lt;'Entry Builder'!$E$7),--(INDEX(Sims!$A297:$BO297,'Entry Builder'!$L$7)&gt;'Entry Builder'!$E$7)))</f>
        <v/>
      </c>
      <c r="B297">
        <f>IF('Entry Builder'!$N$8=0,1,IF('Entry Builder'!$D$8="Less",--(INDEX(Sims!$A297:$BO297,'Entry Builder'!$L$8)&lt;'Entry Builder'!$E$8),--(INDEX(Sims!$A297:$BO297,'Entry Builder'!$L$8)&gt;'Entry Builder'!$E$8)))</f>
        <v/>
      </c>
      <c r="C297">
        <f>IF('Entry Builder'!$N$9=0,1,IF('Entry Builder'!$D$9="Less",--(INDEX(Sims!$A297:$BO297,'Entry Builder'!$L$9)&lt;'Entry Builder'!$E$9),--(INDEX(Sims!$A297:$BO297,'Entry Builder'!$L$9)&gt;'Entry Builder'!$E$9)))</f>
        <v/>
      </c>
      <c r="D297">
        <f>IF('Entry Builder'!$N$10=0,1,IF('Entry Builder'!$D$10="Less",--(INDEX(Sims!$A297:$BO297,'Entry Builder'!$L$10)&lt;'Entry Builder'!$E$10),--(INDEX(Sims!$A297:$BO297,'Entry Builder'!$L$10)&gt;'Entry Builder'!$E$10)))</f>
        <v/>
      </c>
      <c r="E297">
        <f>IF('Entry Builder'!$N$11=0,1,IF('Entry Builder'!$D$11="Less",--(INDEX(Sims!$A297:$BO297,'Entry Builder'!$L$11)&lt;'Entry Builder'!$E$11),--(INDEX(Sims!$A297:$BO297,'Entry Builder'!$L$11)&gt;'Entry Builder'!$E$11)))</f>
        <v/>
      </c>
      <c r="F297">
        <f>IF('Entry Builder'!$N$12=0,1,IF('Entry Builder'!$D$12="Less",--(INDEX(Sims!$A297:$BO297,'Entry Builder'!$L$12)&lt;'Entry Builder'!$E$12),--(INDEX(Sims!$A297:$BO297,'Entry Builder'!$L$12)&gt;'Entry Builder'!$E$12)))</f>
        <v/>
      </c>
      <c r="G297">
        <f>6-SUM(A297:F297)</f>
        <v/>
      </c>
    </row>
    <row r="298">
      <c r="A298">
        <f>IF('Entry Builder'!$N$7=0,1,IF('Entry Builder'!$D$7="Less",--(INDEX(Sims!$A298:$BO298,'Entry Builder'!$L$7)&lt;'Entry Builder'!$E$7),--(INDEX(Sims!$A298:$BO298,'Entry Builder'!$L$7)&gt;'Entry Builder'!$E$7)))</f>
        <v/>
      </c>
      <c r="B298">
        <f>IF('Entry Builder'!$N$8=0,1,IF('Entry Builder'!$D$8="Less",--(INDEX(Sims!$A298:$BO298,'Entry Builder'!$L$8)&lt;'Entry Builder'!$E$8),--(INDEX(Sims!$A298:$BO298,'Entry Builder'!$L$8)&gt;'Entry Builder'!$E$8)))</f>
        <v/>
      </c>
      <c r="C298">
        <f>IF('Entry Builder'!$N$9=0,1,IF('Entry Builder'!$D$9="Less",--(INDEX(Sims!$A298:$BO298,'Entry Builder'!$L$9)&lt;'Entry Builder'!$E$9),--(INDEX(Sims!$A298:$BO298,'Entry Builder'!$L$9)&gt;'Entry Builder'!$E$9)))</f>
        <v/>
      </c>
      <c r="D298">
        <f>IF('Entry Builder'!$N$10=0,1,IF('Entry Builder'!$D$10="Less",--(INDEX(Sims!$A298:$BO298,'Entry Builder'!$L$10)&lt;'Entry Builder'!$E$10),--(INDEX(Sims!$A298:$BO298,'Entry Builder'!$L$10)&gt;'Entry Builder'!$E$10)))</f>
        <v/>
      </c>
      <c r="E298">
        <f>IF('Entry Builder'!$N$11=0,1,IF('Entry Builder'!$D$11="Less",--(INDEX(Sims!$A298:$BO298,'Entry Builder'!$L$11)&lt;'Entry Builder'!$E$11),--(INDEX(Sims!$A298:$BO298,'Entry Builder'!$L$11)&gt;'Entry Builder'!$E$11)))</f>
        <v/>
      </c>
      <c r="F298">
        <f>IF('Entry Builder'!$N$12=0,1,IF('Entry Builder'!$D$12="Less",--(INDEX(Sims!$A298:$BO298,'Entry Builder'!$L$12)&lt;'Entry Builder'!$E$12),--(INDEX(Sims!$A298:$BO298,'Entry Builder'!$L$12)&gt;'Entry Builder'!$E$12)))</f>
        <v/>
      </c>
      <c r="G298">
        <f>6-SUM(A298:F298)</f>
        <v/>
      </c>
    </row>
    <row r="299">
      <c r="A299">
        <f>IF('Entry Builder'!$N$7=0,1,IF('Entry Builder'!$D$7="Less",--(INDEX(Sims!$A299:$BO299,'Entry Builder'!$L$7)&lt;'Entry Builder'!$E$7),--(INDEX(Sims!$A299:$BO299,'Entry Builder'!$L$7)&gt;'Entry Builder'!$E$7)))</f>
        <v/>
      </c>
      <c r="B299">
        <f>IF('Entry Builder'!$N$8=0,1,IF('Entry Builder'!$D$8="Less",--(INDEX(Sims!$A299:$BO299,'Entry Builder'!$L$8)&lt;'Entry Builder'!$E$8),--(INDEX(Sims!$A299:$BO299,'Entry Builder'!$L$8)&gt;'Entry Builder'!$E$8)))</f>
        <v/>
      </c>
      <c r="C299">
        <f>IF('Entry Builder'!$N$9=0,1,IF('Entry Builder'!$D$9="Less",--(INDEX(Sims!$A299:$BO299,'Entry Builder'!$L$9)&lt;'Entry Builder'!$E$9),--(INDEX(Sims!$A299:$BO299,'Entry Builder'!$L$9)&gt;'Entry Builder'!$E$9)))</f>
        <v/>
      </c>
      <c r="D299">
        <f>IF('Entry Builder'!$N$10=0,1,IF('Entry Builder'!$D$10="Less",--(INDEX(Sims!$A299:$BO299,'Entry Builder'!$L$10)&lt;'Entry Builder'!$E$10),--(INDEX(Sims!$A299:$BO299,'Entry Builder'!$L$10)&gt;'Entry Builder'!$E$10)))</f>
        <v/>
      </c>
      <c r="E299">
        <f>IF('Entry Builder'!$N$11=0,1,IF('Entry Builder'!$D$11="Less",--(INDEX(Sims!$A299:$BO299,'Entry Builder'!$L$11)&lt;'Entry Builder'!$E$11),--(INDEX(Sims!$A299:$BO299,'Entry Builder'!$L$11)&gt;'Entry Builder'!$E$11)))</f>
        <v/>
      </c>
      <c r="F299">
        <f>IF('Entry Builder'!$N$12=0,1,IF('Entry Builder'!$D$12="Less",--(INDEX(Sims!$A299:$BO299,'Entry Builder'!$L$12)&lt;'Entry Builder'!$E$12),--(INDEX(Sims!$A299:$BO299,'Entry Builder'!$L$12)&gt;'Entry Builder'!$E$12)))</f>
        <v/>
      </c>
      <c r="G299">
        <f>6-SUM(A299:F299)</f>
        <v/>
      </c>
    </row>
    <row r="300">
      <c r="A300">
        <f>IF('Entry Builder'!$N$7=0,1,IF('Entry Builder'!$D$7="Less",--(INDEX(Sims!$A300:$BO300,'Entry Builder'!$L$7)&lt;'Entry Builder'!$E$7),--(INDEX(Sims!$A300:$BO300,'Entry Builder'!$L$7)&gt;'Entry Builder'!$E$7)))</f>
        <v/>
      </c>
      <c r="B300">
        <f>IF('Entry Builder'!$N$8=0,1,IF('Entry Builder'!$D$8="Less",--(INDEX(Sims!$A300:$BO300,'Entry Builder'!$L$8)&lt;'Entry Builder'!$E$8),--(INDEX(Sims!$A300:$BO300,'Entry Builder'!$L$8)&gt;'Entry Builder'!$E$8)))</f>
        <v/>
      </c>
      <c r="C300">
        <f>IF('Entry Builder'!$N$9=0,1,IF('Entry Builder'!$D$9="Less",--(INDEX(Sims!$A300:$BO300,'Entry Builder'!$L$9)&lt;'Entry Builder'!$E$9),--(INDEX(Sims!$A300:$BO300,'Entry Builder'!$L$9)&gt;'Entry Builder'!$E$9)))</f>
        <v/>
      </c>
      <c r="D300">
        <f>IF('Entry Builder'!$N$10=0,1,IF('Entry Builder'!$D$10="Less",--(INDEX(Sims!$A300:$BO300,'Entry Builder'!$L$10)&lt;'Entry Builder'!$E$10),--(INDEX(Sims!$A300:$BO300,'Entry Builder'!$L$10)&gt;'Entry Builder'!$E$10)))</f>
        <v/>
      </c>
      <c r="E300">
        <f>IF('Entry Builder'!$N$11=0,1,IF('Entry Builder'!$D$11="Less",--(INDEX(Sims!$A300:$BO300,'Entry Builder'!$L$11)&lt;'Entry Builder'!$E$11),--(INDEX(Sims!$A300:$BO300,'Entry Builder'!$L$11)&gt;'Entry Builder'!$E$11)))</f>
        <v/>
      </c>
      <c r="F300">
        <f>IF('Entry Builder'!$N$12=0,1,IF('Entry Builder'!$D$12="Less",--(INDEX(Sims!$A300:$BO300,'Entry Builder'!$L$12)&lt;'Entry Builder'!$E$12),--(INDEX(Sims!$A300:$BO300,'Entry Builder'!$L$12)&gt;'Entry Builder'!$E$12)))</f>
        <v/>
      </c>
      <c r="G300">
        <f>6-SUM(A300:F300)</f>
        <v/>
      </c>
    </row>
    <row r="301">
      <c r="A301">
        <f>IF('Entry Builder'!$N$7=0,1,IF('Entry Builder'!$D$7="Less",--(INDEX(Sims!$A301:$BO301,'Entry Builder'!$L$7)&lt;'Entry Builder'!$E$7),--(INDEX(Sims!$A301:$BO301,'Entry Builder'!$L$7)&gt;'Entry Builder'!$E$7)))</f>
        <v/>
      </c>
      <c r="B301">
        <f>IF('Entry Builder'!$N$8=0,1,IF('Entry Builder'!$D$8="Less",--(INDEX(Sims!$A301:$BO301,'Entry Builder'!$L$8)&lt;'Entry Builder'!$E$8),--(INDEX(Sims!$A301:$BO301,'Entry Builder'!$L$8)&gt;'Entry Builder'!$E$8)))</f>
        <v/>
      </c>
      <c r="C301">
        <f>IF('Entry Builder'!$N$9=0,1,IF('Entry Builder'!$D$9="Less",--(INDEX(Sims!$A301:$BO301,'Entry Builder'!$L$9)&lt;'Entry Builder'!$E$9),--(INDEX(Sims!$A301:$BO301,'Entry Builder'!$L$9)&gt;'Entry Builder'!$E$9)))</f>
        <v/>
      </c>
      <c r="D301">
        <f>IF('Entry Builder'!$N$10=0,1,IF('Entry Builder'!$D$10="Less",--(INDEX(Sims!$A301:$BO301,'Entry Builder'!$L$10)&lt;'Entry Builder'!$E$10),--(INDEX(Sims!$A301:$BO301,'Entry Builder'!$L$10)&gt;'Entry Builder'!$E$10)))</f>
        <v/>
      </c>
      <c r="E301">
        <f>IF('Entry Builder'!$N$11=0,1,IF('Entry Builder'!$D$11="Less",--(INDEX(Sims!$A301:$BO301,'Entry Builder'!$L$11)&lt;'Entry Builder'!$E$11),--(INDEX(Sims!$A301:$BO301,'Entry Builder'!$L$11)&gt;'Entry Builder'!$E$11)))</f>
        <v/>
      </c>
      <c r="F301">
        <f>IF('Entry Builder'!$N$12=0,1,IF('Entry Builder'!$D$12="Less",--(INDEX(Sims!$A301:$BO301,'Entry Builder'!$L$12)&lt;'Entry Builder'!$E$12),--(INDEX(Sims!$A301:$BO301,'Entry Builder'!$L$12)&gt;'Entry Builder'!$E$12)))</f>
        <v/>
      </c>
      <c r="G301">
        <f>6-SUM(A301:F301)</f>
        <v/>
      </c>
    </row>
    <row r="302">
      <c r="A302">
        <f>IF('Entry Builder'!$N$7=0,1,IF('Entry Builder'!$D$7="Less",--(INDEX(Sims!$A302:$BO302,'Entry Builder'!$L$7)&lt;'Entry Builder'!$E$7),--(INDEX(Sims!$A302:$BO302,'Entry Builder'!$L$7)&gt;'Entry Builder'!$E$7)))</f>
        <v/>
      </c>
      <c r="B302">
        <f>IF('Entry Builder'!$N$8=0,1,IF('Entry Builder'!$D$8="Less",--(INDEX(Sims!$A302:$BO302,'Entry Builder'!$L$8)&lt;'Entry Builder'!$E$8),--(INDEX(Sims!$A302:$BO302,'Entry Builder'!$L$8)&gt;'Entry Builder'!$E$8)))</f>
        <v/>
      </c>
      <c r="C302">
        <f>IF('Entry Builder'!$N$9=0,1,IF('Entry Builder'!$D$9="Less",--(INDEX(Sims!$A302:$BO302,'Entry Builder'!$L$9)&lt;'Entry Builder'!$E$9),--(INDEX(Sims!$A302:$BO302,'Entry Builder'!$L$9)&gt;'Entry Builder'!$E$9)))</f>
        <v/>
      </c>
      <c r="D302">
        <f>IF('Entry Builder'!$N$10=0,1,IF('Entry Builder'!$D$10="Less",--(INDEX(Sims!$A302:$BO302,'Entry Builder'!$L$10)&lt;'Entry Builder'!$E$10),--(INDEX(Sims!$A302:$BO302,'Entry Builder'!$L$10)&gt;'Entry Builder'!$E$10)))</f>
        <v/>
      </c>
      <c r="E302">
        <f>IF('Entry Builder'!$N$11=0,1,IF('Entry Builder'!$D$11="Less",--(INDEX(Sims!$A302:$BO302,'Entry Builder'!$L$11)&lt;'Entry Builder'!$E$11),--(INDEX(Sims!$A302:$BO302,'Entry Builder'!$L$11)&gt;'Entry Builder'!$E$11)))</f>
        <v/>
      </c>
      <c r="F302">
        <f>IF('Entry Builder'!$N$12=0,1,IF('Entry Builder'!$D$12="Less",--(INDEX(Sims!$A302:$BO302,'Entry Builder'!$L$12)&lt;'Entry Builder'!$E$12),--(INDEX(Sims!$A302:$BO302,'Entry Builder'!$L$12)&gt;'Entry Builder'!$E$12)))</f>
        <v/>
      </c>
      <c r="G302">
        <f>6-SUM(A302:F302)</f>
        <v/>
      </c>
    </row>
    <row r="303">
      <c r="A303">
        <f>IF('Entry Builder'!$N$7=0,1,IF('Entry Builder'!$D$7="Less",--(INDEX(Sims!$A303:$BO303,'Entry Builder'!$L$7)&lt;'Entry Builder'!$E$7),--(INDEX(Sims!$A303:$BO303,'Entry Builder'!$L$7)&gt;'Entry Builder'!$E$7)))</f>
        <v/>
      </c>
      <c r="B303">
        <f>IF('Entry Builder'!$N$8=0,1,IF('Entry Builder'!$D$8="Less",--(INDEX(Sims!$A303:$BO303,'Entry Builder'!$L$8)&lt;'Entry Builder'!$E$8),--(INDEX(Sims!$A303:$BO303,'Entry Builder'!$L$8)&gt;'Entry Builder'!$E$8)))</f>
        <v/>
      </c>
      <c r="C303">
        <f>IF('Entry Builder'!$N$9=0,1,IF('Entry Builder'!$D$9="Less",--(INDEX(Sims!$A303:$BO303,'Entry Builder'!$L$9)&lt;'Entry Builder'!$E$9),--(INDEX(Sims!$A303:$BO303,'Entry Builder'!$L$9)&gt;'Entry Builder'!$E$9)))</f>
        <v/>
      </c>
      <c r="D303">
        <f>IF('Entry Builder'!$N$10=0,1,IF('Entry Builder'!$D$10="Less",--(INDEX(Sims!$A303:$BO303,'Entry Builder'!$L$10)&lt;'Entry Builder'!$E$10),--(INDEX(Sims!$A303:$BO303,'Entry Builder'!$L$10)&gt;'Entry Builder'!$E$10)))</f>
        <v/>
      </c>
      <c r="E303">
        <f>IF('Entry Builder'!$N$11=0,1,IF('Entry Builder'!$D$11="Less",--(INDEX(Sims!$A303:$BO303,'Entry Builder'!$L$11)&lt;'Entry Builder'!$E$11),--(INDEX(Sims!$A303:$BO303,'Entry Builder'!$L$11)&gt;'Entry Builder'!$E$11)))</f>
        <v/>
      </c>
      <c r="F303">
        <f>IF('Entry Builder'!$N$12=0,1,IF('Entry Builder'!$D$12="Less",--(INDEX(Sims!$A303:$BO303,'Entry Builder'!$L$12)&lt;'Entry Builder'!$E$12),--(INDEX(Sims!$A303:$BO303,'Entry Builder'!$L$12)&gt;'Entry Builder'!$E$12)))</f>
        <v/>
      </c>
      <c r="G303">
        <f>6-SUM(A303:F303)</f>
        <v/>
      </c>
    </row>
    <row r="304">
      <c r="A304">
        <f>IF('Entry Builder'!$N$7=0,1,IF('Entry Builder'!$D$7="Less",--(INDEX(Sims!$A304:$BO304,'Entry Builder'!$L$7)&lt;'Entry Builder'!$E$7),--(INDEX(Sims!$A304:$BO304,'Entry Builder'!$L$7)&gt;'Entry Builder'!$E$7)))</f>
        <v/>
      </c>
      <c r="B304">
        <f>IF('Entry Builder'!$N$8=0,1,IF('Entry Builder'!$D$8="Less",--(INDEX(Sims!$A304:$BO304,'Entry Builder'!$L$8)&lt;'Entry Builder'!$E$8),--(INDEX(Sims!$A304:$BO304,'Entry Builder'!$L$8)&gt;'Entry Builder'!$E$8)))</f>
        <v/>
      </c>
      <c r="C304">
        <f>IF('Entry Builder'!$N$9=0,1,IF('Entry Builder'!$D$9="Less",--(INDEX(Sims!$A304:$BO304,'Entry Builder'!$L$9)&lt;'Entry Builder'!$E$9),--(INDEX(Sims!$A304:$BO304,'Entry Builder'!$L$9)&gt;'Entry Builder'!$E$9)))</f>
        <v/>
      </c>
      <c r="D304">
        <f>IF('Entry Builder'!$N$10=0,1,IF('Entry Builder'!$D$10="Less",--(INDEX(Sims!$A304:$BO304,'Entry Builder'!$L$10)&lt;'Entry Builder'!$E$10),--(INDEX(Sims!$A304:$BO304,'Entry Builder'!$L$10)&gt;'Entry Builder'!$E$10)))</f>
        <v/>
      </c>
      <c r="E304">
        <f>IF('Entry Builder'!$N$11=0,1,IF('Entry Builder'!$D$11="Less",--(INDEX(Sims!$A304:$BO304,'Entry Builder'!$L$11)&lt;'Entry Builder'!$E$11),--(INDEX(Sims!$A304:$BO304,'Entry Builder'!$L$11)&gt;'Entry Builder'!$E$11)))</f>
        <v/>
      </c>
      <c r="F304">
        <f>IF('Entry Builder'!$N$12=0,1,IF('Entry Builder'!$D$12="Less",--(INDEX(Sims!$A304:$BO304,'Entry Builder'!$L$12)&lt;'Entry Builder'!$E$12),--(INDEX(Sims!$A304:$BO304,'Entry Builder'!$L$12)&gt;'Entry Builder'!$E$12)))</f>
        <v/>
      </c>
      <c r="G304">
        <f>6-SUM(A304:F304)</f>
        <v/>
      </c>
    </row>
    <row r="305">
      <c r="A305">
        <f>IF('Entry Builder'!$N$7=0,1,IF('Entry Builder'!$D$7="Less",--(INDEX(Sims!$A305:$BO305,'Entry Builder'!$L$7)&lt;'Entry Builder'!$E$7),--(INDEX(Sims!$A305:$BO305,'Entry Builder'!$L$7)&gt;'Entry Builder'!$E$7)))</f>
        <v/>
      </c>
      <c r="B305">
        <f>IF('Entry Builder'!$N$8=0,1,IF('Entry Builder'!$D$8="Less",--(INDEX(Sims!$A305:$BO305,'Entry Builder'!$L$8)&lt;'Entry Builder'!$E$8),--(INDEX(Sims!$A305:$BO305,'Entry Builder'!$L$8)&gt;'Entry Builder'!$E$8)))</f>
        <v/>
      </c>
      <c r="C305">
        <f>IF('Entry Builder'!$N$9=0,1,IF('Entry Builder'!$D$9="Less",--(INDEX(Sims!$A305:$BO305,'Entry Builder'!$L$9)&lt;'Entry Builder'!$E$9),--(INDEX(Sims!$A305:$BO305,'Entry Builder'!$L$9)&gt;'Entry Builder'!$E$9)))</f>
        <v/>
      </c>
      <c r="D305">
        <f>IF('Entry Builder'!$N$10=0,1,IF('Entry Builder'!$D$10="Less",--(INDEX(Sims!$A305:$BO305,'Entry Builder'!$L$10)&lt;'Entry Builder'!$E$10),--(INDEX(Sims!$A305:$BO305,'Entry Builder'!$L$10)&gt;'Entry Builder'!$E$10)))</f>
        <v/>
      </c>
      <c r="E305">
        <f>IF('Entry Builder'!$N$11=0,1,IF('Entry Builder'!$D$11="Less",--(INDEX(Sims!$A305:$BO305,'Entry Builder'!$L$11)&lt;'Entry Builder'!$E$11),--(INDEX(Sims!$A305:$BO305,'Entry Builder'!$L$11)&gt;'Entry Builder'!$E$11)))</f>
        <v/>
      </c>
      <c r="F305">
        <f>IF('Entry Builder'!$N$12=0,1,IF('Entry Builder'!$D$12="Less",--(INDEX(Sims!$A305:$BO305,'Entry Builder'!$L$12)&lt;'Entry Builder'!$E$12),--(INDEX(Sims!$A305:$BO305,'Entry Builder'!$L$12)&gt;'Entry Builder'!$E$12)))</f>
        <v/>
      </c>
      <c r="G305">
        <f>6-SUM(A305:F305)</f>
        <v/>
      </c>
    </row>
    <row r="306">
      <c r="A306">
        <f>IF('Entry Builder'!$N$7=0,1,IF('Entry Builder'!$D$7="Less",--(INDEX(Sims!$A306:$BO306,'Entry Builder'!$L$7)&lt;'Entry Builder'!$E$7),--(INDEX(Sims!$A306:$BO306,'Entry Builder'!$L$7)&gt;'Entry Builder'!$E$7)))</f>
        <v/>
      </c>
      <c r="B306">
        <f>IF('Entry Builder'!$N$8=0,1,IF('Entry Builder'!$D$8="Less",--(INDEX(Sims!$A306:$BO306,'Entry Builder'!$L$8)&lt;'Entry Builder'!$E$8),--(INDEX(Sims!$A306:$BO306,'Entry Builder'!$L$8)&gt;'Entry Builder'!$E$8)))</f>
        <v/>
      </c>
      <c r="C306">
        <f>IF('Entry Builder'!$N$9=0,1,IF('Entry Builder'!$D$9="Less",--(INDEX(Sims!$A306:$BO306,'Entry Builder'!$L$9)&lt;'Entry Builder'!$E$9),--(INDEX(Sims!$A306:$BO306,'Entry Builder'!$L$9)&gt;'Entry Builder'!$E$9)))</f>
        <v/>
      </c>
      <c r="D306">
        <f>IF('Entry Builder'!$N$10=0,1,IF('Entry Builder'!$D$10="Less",--(INDEX(Sims!$A306:$BO306,'Entry Builder'!$L$10)&lt;'Entry Builder'!$E$10),--(INDEX(Sims!$A306:$BO306,'Entry Builder'!$L$10)&gt;'Entry Builder'!$E$10)))</f>
        <v/>
      </c>
      <c r="E306">
        <f>IF('Entry Builder'!$N$11=0,1,IF('Entry Builder'!$D$11="Less",--(INDEX(Sims!$A306:$BO306,'Entry Builder'!$L$11)&lt;'Entry Builder'!$E$11),--(INDEX(Sims!$A306:$BO306,'Entry Builder'!$L$11)&gt;'Entry Builder'!$E$11)))</f>
        <v/>
      </c>
      <c r="F306">
        <f>IF('Entry Builder'!$N$12=0,1,IF('Entry Builder'!$D$12="Less",--(INDEX(Sims!$A306:$BO306,'Entry Builder'!$L$12)&lt;'Entry Builder'!$E$12),--(INDEX(Sims!$A306:$BO306,'Entry Builder'!$L$12)&gt;'Entry Builder'!$E$12)))</f>
        <v/>
      </c>
      <c r="G306">
        <f>6-SUM(A306:F306)</f>
        <v/>
      </c>
    </row>
    <row r="307">
      <c r="A307">
        <f>IF('Entry Builder'!$N$7=0,1,IF('Entry Builder'!$D$7="Less",--(INDEX(Sims!$A307:$BO307,'Entry Builder'!$L$7)&lt;'Entry Builder'!$E$7),--(INDEX(Sims!$A307:$BO307,'Entry Builder'!$L$7)&gt;'Entry Builder'!$E$7)))</f>
        <v/>
      </c>
      <c r="B307">
        <f>IF('Entry Builder'!$N$8=0,1,IF('Entry Builder'!$D$8="Less",--(INDEX(Sims!$A307:$BO307,'Entry Builder'!$L$8)&lt;'Entry Builder'!$E$8),--(INDEX(Sims!$A307:$BO307,'Entry Builder'!$L$8)&gt;'Entry Builder'!$E$8)))</f>
        <v/>
      </c>
      <c r="C307">
        <f>IF('Entry Builder'!$N$9=0,1,IF('Entry Builder'!$D$9="Less",--(INDEX(Sims!$A307:$BO307,'Entry Builder'!$L$9)&lt;'Entry Builder'!$E$9),--(INDEX(Sims!$A307:$BO307,'Entry Builder'!$L$9)&gt;'Entry Builder'!$E$9)))</f>
        <v/>
      </c>
      <c r="D307">
        <f>IF('Entry Builder'!$N$10=0,1,IF('Entry Builder'!$D$10="Less",--(INDEX(Sims!$A307:$BO307,'Entry Builder'!$L$10)&lt;'Entry Builder'!$E$10),--(INDEX(Sims!$A307:$BO307,'Entry Builder'!$L$10)&gt;'Entry Builder'!$E$10)))</f>
        <v/>
      </c>
      <c r="E307">
        <f>IF('Entry Builder'!$N$11=0,1,IF('Entry Builder'!$D$11="Less",--(INDEX(Sims!$A307:$BO307,'Entry Builder'!$L$11)&lt;'Entry Builder'!$E$11),--(INDEX(Sims!$A307:$BO307,'Entry Builder'!$L$11)&gt;'Entry Builder'!$E$11)))</f>
        <v/>
      </c>
      <c r="F307">
        <f>IF('Entry Builder'!$N$12=0,1,IF('Entry Builder'!$D$12="Less",--(INDEX(Sims!$A307:$BO307,'Entry Builder'!$L$12)&lt;'Entry Builder'!$E$12),--(INDEX(Sims!$A307:$BO307,'Entry Builder'!$L$12)&gt;'Entry Builder'!$E$12)))</f>
        <v/>
      </c>
      <c r="G307">
        <f>6-SUM(A307:F307)</f>
        <v/>
      </c>
    </row>
    <row r="308">
      <c r="A308">
        <f>IF('Entry Builder'!$N$7=0,1,IF('Entry Builder'!$D$7="Less",--(INDEX(Sims!$A308:$BO308,'Entry Builder'!$L$7)&lt;'Entry Builder'!$E$7),--(INDEX(Sims!$A308:$BO308,'Entry Builder'!$L$7)&gt;'Entry Builder'!$E$7)))</f>
        <v/>
      </c>
      <c r="B308">
        <f>IF('Entry Builder'!$N$8=0,1,IF('Entry Builder'!$D$8="Less",--(INDEX(Sims!$A308:$BO308,'Entry Builder'!$L$8)&lt;'Entry Builder'!$E$8),--(INDEX(Sims!$A308:$BO308,'Entry Builder'!$L$8)&gt;'Entry Builder'!$E$8)))</f>
        <v/>
      </c>
      <c r="C308">
        <f>IF('Entry Builder'!$N$9=0,1,IF('Entry Builder'!$D$9="Less",--(INDEX(Sims!$A308:$BO308,'Entry Builder'!$L$9)&lt;'Entry Builder'!$E$9),--(INDEX(Sims!$A308:$BO308,'Entry Builder'!$L$9)&gt;'Entry Builder'!$E$9)))</f>
        <v/>
      </c>
      <c r="D308">
        <f>IF('Entry Builder'!$N$10=0,1,IF('Entry Builder'!$D$10="Less",--(INDEX(Sims!$A308:$BO308,'Entry Builder'!$L$10)&lt;'Entry Builder'!$E$10),--(INDEX(Sims!$A308:$BO308,'Entry Builder'!$L$10)&gt;'Entry Builder'!$E$10)))</f>
        <v/>
      </c>
      <c r="E308">
        <f>IF('Entry Builder'!$N$11=0,1,IF('Entry Builder'!$D$11="Less",--(INDEX(Sims!$A308:$BO308,'Entry Builder'!$L$11)&lt;'Entry Builder'!$E$11),--(INDEX(Sims!$A308:$BO308,'Entry Builder'!$L$11)&gt;'Entry Builder'!$E$11)))</f>
        <v/>
      </c>
      <c r="F308">
        <f>IF('Entry Builder'!$N$12=0,1,IF('Entry Builder'!$D$12="Less",--(INDEX(Sims!$A308:$BO308,'Entry Builder'!$L$12)&lt;'Entry Builder'!$E$12),--(INDEX(Sims!$A308:$BO308,'Entry Builder'!$L$12)&gt;'Entry Builder'!$E$12)))</f>
        <v/>
      </c>
      <c r="G308">
        <f>6-SUM(A308:F308)</f>
        <v/>
      </c>
    </row>
    <row r="309">
      <c r="A309">
        <f>IF('Entry Builder'!$N$7=0,1,IF('Entry Builder'!$D$7="Less",--(INDEX(Sims!$A309:$BO309,'Entry Builder'!$L$7)&lt;'Entry Builder'!$E$7),--(INDEX(Sims!$A309:$BO309,'Entry Builder'!$L$7)&gt;'Entry Builder'!$E$7)))</f>
        <v/>
      </c>
      <c r="B309">
        <f>IF('Entry Builder'!$N$8=0,1,IF('Entry Builder'!$D$8="Less",--(INDEX(Sims!$A309:$BO309,'Entry Builder'!$L$8)&lt;'Entry Builder'!$E$8),--(INDEX(Sims!$A309:$BO309,'Entry Builder'!$L$8)&gt;'Entry Builder'!$E$8)))</f>
        <v/>
      </c>
      <c r="C309">
        <f>IF('Entry Builder'!$N$9=0,1,IF('Entry Builder'!$D$9="Less",--(INDEX(Sims!$A309:$BO309,'Entry Builder'!$L$9)&lt;'Entry Builder'!$E$9),--(INDEX(Sims!$A309:$BO309,'Entry Builder'!$L$9)&gt;'Entry Builder'!$E$9)))</f>
        <v/>
      </c>
      <c r="D309">
        <f>IF('Entry Builder'!$N$10=0,1,IF('Entry Builder'!$D$10="Less",--(INDEX(Sims!$A309:$BO309,'Entry Builder'!$L$10)&lt;'Entry Builder'!$E$10),--(INDEX(Sims!$A309:$BO309,'Entry Builder'!$L$10)&gt;'Entry Builder'!$E$10)))</f>
        <v/>
      </c>
      <c r="E309">
        <f>IF('Entry Builder'!$N$11=0,1,IF('Entry Builder'!$D$11="Less",--(INDEX(Sims!$A309:$BO309,'Entry Builder'!$L$11)&lt;'Entry Builder'!$E$11),--(INDEX(Sims!$A309:$BO309,'Entry Builder'!$L$11)&gt;'Entry Builder'!$E$11)))</f>
        <v/>
      </c>
      <c r="F309">
        <f>IF('Entry Builder'!$N$12=0,1,IF('Entry Builder'!$D$12="Less",--(INDEX(Sims!$A309:$BO309,'Entry Builder'!$L$12)&lt;'Entry Builder'!$E$12),--(INDEX(Sims!$A309:$BO309,'Entry Builder'!$L$12)&gt;'Entry Builder'!$E$12)))</f>
        <v/>
      </c>
      <c r="G309">
        <f>6-SUM(A309:F309)</f>
        <v/>
      </c>
    </row>
    <row r="310">
      <c r="A310">
        <f>IF('Entry Builder'!$N$7=0,1,IF('Entry Builder'!$D$7="Less",--(INDEX(Sims!$A310:$BO310,'Entry Builder'!$L$7)&lt;'Entry Builder'!$E$7),--(INDEX(Sims!$A310:$BO310,'Entry Builder'!$L$7)&gt;'Entry Builder'!$E$7)))</f>
        <v/>
      </c>
      <c r="B310">
        <f>IF('Entry Builder'!$N$8=0,1,IF('Entry Builder'!$D$8="Less",--(INDEX(Sims!$A310:$BO310,'Entry Builder'!$L$8)&lt;'Entry Builder'!$E$8),--(INDEX(Sims!$A310:$BO310,'Entry Builder'!$L$8)&gt;'Entry Builder'!$E$8)))</f>
        <v/>
      </c>
      <c r="C310">
        <f>IF('Entry Builder'!$N$9=0,1,IF('Entry Builder'!$D$9="Less",--(INDEX(Sims!$A310:$BO310,'Entry Builder'!$L$9)&lt;'Entry Builder'!$E$9),--(INDEX(Sims!$A310:$BO310,'Entry Builder'!$L$9)&gt;'Entry Builder'!$E$9)))</f>
        <v/>
      </c>
      <c r="D310">
        <f>IF('Entry Builder'!$N$10=0,1,IF('Entry Builder'!$D$10="Less",--(INDEX(Sims!$A310:$BO310,'Entry Builder'!$L$10)&lt;'Entry Builder'!$E$10),--(INDEX(Sims!$A310:$BO310,'Entry Builder'!$L$10)&gt;'Entry Builder'!$E$10)))</f>
        <v/>
      </c>
      <c r="E310">
        <f>IF('Entry Builder'!$N$11=0,1,IF('Entry Builder'!$D$11="Less",--(INDEX(Sims!$A310:$BO310,'Entry Builder'!$L$11)&lt;'Entry Builder'!$E$11),--(INDEX(Sims!$A310:$BO310,'Entry Builder'!$L$11)&gt;'Entry Builder'!$E$11)))</f>
        <v/>
      </c>
      <c r="F310">
        <f>IF('Entry Builder'!$N$12=0,1,IF('Entry Builder'!$D$12="Less",--(INDEX(Sims!$A310:$BO310,'Entry Builder'!$L$12)&lt;'Entry Builder'!$E$12),--(INDEX(Sims!$A310:$BO310,'Entry Builder'!$L$12)&gt;'Entry Builder'!$E$12)))</f>
        <v/>
      </c>
      <c r="G310">
        <f>6-SUM(A310:F310)</f>
        <v/>
      </c>
    </row>
    <row r="311">
      <c r="A311">
        <f>IF('Entry Builder'!$N$7=0,1,IF('Entry Builder'!$D$7="Less",--(INDEX(Sims!$A311:$BO311,'Entry Builder'!$L$7)&lt;'Entry Builder'!$E$7),--(INDEX(Sims!$A311:$BO311,'Entry Builder'!$L$7)&gt;'Entry Builder'!$E$7)))</f>
        <v/>
      </c>
      <c r="B311">
        <f>IF('Entry Builder'!$N$8=0,1,IF('Entry Builder'!$D$8="Less",--(INDEX(Sims!$A311:$BO311,'Entry Builder'!$L$8)&lt;'Entry Builder'!$E$8),--(INDEX(Sims!$A311:$BO311,'Entry Builder'!$L$8)&gt;'Entry Builder'!$E$8)))</f>
        <v/>
      </c>
      <c r="C311">
        <f>IF('Entry Builder'!$N$9=0,1,IF('Entry Builder'!$D$9="Less",--(INDEX(Sims!$A311:$BO311,'Entry Builder'!$L$9)&lt;'Entry Builder'!$E$9),--(INDEX(Sims!$A311:$BO311,'Entry Builder'!$L$9)&gt;'Entry Builder'!$E$9)))</f>
        <v/>
      </c>
      <c r="D311">
        <f>IF('Entry Builder'!$N$10=0,1,IF('Entry Builder'!$D$10="Less",--(INDEX(Sims!$A311:$BO311,'Entry Builder'!$L$10)&lt;'Entry Builder'!$E$10),--(INDEX(Sims!$A311:$BO311,'Entry Builder'!$L$10)&gt;'Entry Builder'!$E$10)))</f>
        <v/>
      </c>
      <c r="E311">
        <f>IF('Entry Builder'!$N$11=0,1,IF('Entry Builder'!$D$11="Less",--(INDEX(Sims!$A311:$BO311,'Entry Builder'!$L$11)&lt;'Entry Builder'!$E$11),--(INDEX(Sims!$A311:$BO311,'Entry Builder'!$L$11)&gt;'Entry Builder'!$E$11)))</f>
        <v/>
      </c>
      <c r="F311">
        <f>IF('Entry Builder'!$N$12=0,1,IF('Entry Builder'!$D$12="Less",--(INDEX(Sims!$A311:$BO311,'Entry Builder'!$L$12)&lt;'Entry Builder'!$E$12),--(INDEX(Sims!$A311:$BO311,'Entry Builder'!$L$12)&gt;'Entry Builder'!$E$12)))</f>
        <v/>
      </c>
      <c r="G311">
        <f>6-SUM(A311:F311)</f>
        <v/>
      </c>
    </row>
    <row r="312">
      <c r="A312">
        <f>IF('Entry Builder'!$N$7=0,1,IF('Entry Builder'!$D$7="Less",--(INDEX(Sims!$A312:$BO312,'Entry Builder'!$L$7)&lt;'Entry Builder'!$E$7),--(INDEX(Sims!$A312:$BO312,'Entry Builder'!$L$7)&gt;'Entry Builder'!$E$7)))</f>
        <v/>
      </c>
      <c r="B312">
        <f>IF('Entry Builder'!$N$8=0,1,IF('Entry Builder'!$D$8="Less",--(INDEX(Sims!$A312:$BO312,'Entry Builder'!$L$8)&lt;'Entry Builder'!$E$8),--(INDEX(Sims!$A312:$BO312,'Entry Builder'!$L$8)&gt;'Entry Builder'!$E$8)))</f>
        <v/>
      </c>
      <c r="C312">
        <f>IF('Entry Builder'!$N$9=0,1,IF('Entry Builder'!$D$9="Less",--(INDEX(Sims!$A312:$BO312,'Entry Builder'!$L$9)&lt;'Entry Builder'!$E$9),--(INDEX(Sims!$A312:$BO312,'Entry Builder'!$L$9)&gt;'Entry Builder'!$E$9)))</f>
        <v/>
      </c>
      <c r="D312">
        <f>IF('Entry Builder'!$N$10=0,1,IF('Entry Builder'!$D$10="Less",--(INDEX(Sims!$A312:$BO312,'Entry Builder'!$L$10)&lt;'Entry Builder'!$E$10),--(INDEX(Sims!$A312:$BO312,'Entry Builder'!$L$10)&gt;'Entry Builder'!$E$10)))</f>
        <v/>
      </c>
      <c r="E312">
        <f>IF('Entry Builder'!$N$11=0,1,IF('Entry Builder'!$D$11="Less",--(INDEX(Sims!$A312:$BO312,'Entry Builder'!$L$11)&lt;'Entry Builder'!$E$11),--(INDEX(Sims!$A312:$BO312,'Entry Builder'!$L$11)&gt;'Entry Builder'!$E$11)))</f>
        <v/>
      </c>
      <c r="F312">
        <f>IF('Entry Builder'!$N$12=0,1,IF('Entry Builder'!$D$12="Less",--(INDEX(Sims!$A312:$BO312,'Entry Builder'!$L$12)&lt;'Entry Builder'!$E$12),--(INDEX(Sims!$A312:$BO312,'Entry Builder'!$L$12)&gt;'Entry Builder'!$E$12)))</f>
        <v/>
      </c>
      <c r="G312">
        <f>6-SUM(A312:F312)</f>
        <v/>
      </c>
    </row>
    <row r="313">
      <c r="A313">
        <f>IF('Entry Builder'!$N$7=0,1,IF('Entry Builder'!$D$7="Less",--(INDEX(Sims!$A313:$BO313,'Entry Builder'!$L$7)&lt;'Entry Builder'!$E$7),--(INDEX(Sims!$A313:$BO313,'Entry Builder'!$L$7)&gt;'Entry Builder'!$E$7)))</f>
        <v/>
      </c>
      <c r="B313">
        <f>IF('Entry Builder'!$N$8=0,1,IF('Entry Builder'!$D$8="Less",--(INDEX(Sims!$A313:$BO313,'Entry Builder'!$L$8)&lt;'Entry Builder'!$E$8),--(INDEX(Sims!$A313:$BO313,'Entry Builder'!$L$8)&gt;'Entry Builder'!$E$8)))</f>
        <v/>
      </c>
      <c r="C313">
        <f>IF('Entry Builder'!$N$9=0,1,IF('Entry Builder'!$D$9="Less",--(INDEX(Sims!$A313:$BO313,'Entry Builder'!$L$9)&lt;'Entry Builder'!$E$9),--(INDEX(Sims!$A313:$BO313,'Entry Builder'!$L$9)&gt;'Entry Builder'!$E$9)))</f>
        <v/>
      </c>
      <c r="D313">
        <f>IF('Entry Builder'!$N$10=0,1,IF('Entry Builder'!$D$10="Less",--(INDEX(Sims!$A313:$BO313,'Entry Builder'!$L$10)&lt;'Entry Builder'!$E$10),--(INDEX(Sims!$A313:$BO313,'Entry Builder'!$L$10)&gt;'Entry Builder'!$E$10)))</f>
        <v/>
      </c>
      <c r="E313">
        <f>IF('Entry Builder'!$N$11=0,1,IF('Entry Builder'!$D$11="Less",--(INDEX(Sims!$A313:$BO313,'Entry Builder'!$L$11)&lt;'Entry Builder'!$E$11),--(INDEX(Sims!$A313:$BO313,'Entry Builder'!$L$11)&gt;'Entry Builder'!$E$11)))</f>
        <v/>
      </c>
      <c r="F313">
        <f>IF('Entry Builder'!$N$12=0,1,IF('Entry Builder'!$D$12="Less",--(INDEX(Sims!$A313:$BO313,'Entry Builder'!$L$12)&lt;'Entry Builder'!$E$12),--(INDEX(Sims!$A313:$BO313,'Entry Builder'!$L$12)&gt;'Entry Builder'!$E$12)))</f>
        <v/>
      </c>
      <c r="G313">
        <f>6-SUM(A313:F313)</f>
        <v/>
      </c>
    </row>
    <row r="314">
      <c r="A314">
        <f>IF('Entry Builder'!$N$7=0,1,IF('Entry Builder'!$D$7="Less",--(INDEX(Sims!$A314:$BO314,'Entry Builder'!$L$7)&lt;'Entry Builder'!$E$7),--(INDEX(Sims!$A314:$BO314,'Entry Builder'!$L$7)&gt;'Entry Builder'!$E$7)))</f>
        <v/>
      </c>
      <c r="B314">
        <f>IF('Entry Builder'!$N$8=0,1,IF('Entry Builder'!$D$8="Less",--(INDEX(Sims!$A314:$BO314,'Entry Builder'!$L$8)&lt;'Entry Builder'!$E$8),--(INDEX(Sims!$A314:$BO314,'Entry Builder'!$L$8)&gt;'Entry Builder'!$E$8)))</f>
        <v/>
      </c>
      <c r="C314">
        <f>IF('Entry Builder'!$N$9=0,1,IF('Entry Builder'!$D$9="Less",--(INDEX(Sims!$A314:$BO314,'Entry Builder'!$L$9)&lt;'Entry Builder'!$E$9),--(INDEX(Sims!$A314:$BO314,'Entry Builder'!$L$9)&gt;'Entry Builder'!$E$9)))</f>
        <v/>
      </c>
      <c r="D314">
        <f>IF('Entry Builder'!$N$10=0,1,IF('Entry Builder'!$D$10="Less",--(INDEX(Sims!$A314:$BO314,'Entry Builder'!$L$10)&lt;'Entry Builder'!$E$10),--(INDEX(Sims!$A314:$BO314,'Entry Builder'!$L$10)&gt;'Entry Builder'!$E$10)))</f>
        <v/>
      </c>
      <c r="E314">
        <f>IF('Entry Builder'!$N$11=0,1,IF('Entry Builder'!$D$11="Less",--(INDEX(Sims!$A314:$BO314,'Entry Builder'!$L$11)&lt;'Entry Builder'!$E$11),--(INDEX(Sims!$A314:$BO314,'Entry Builder'!$L$11)&gt;'Entry Builder'!$E$11)))</f>
        <v/>
      </c>
      <c r="F314">
        <f>IF('Entry Builder'!$N$12=0,1,IF('Entry Builder'!$D$12="Less",--(INDEX(Sims!$A314:$BO314,'Entry Builder'!$L$12)&lt;'Entry Builder'!$E$12),--(INDEX(Sims!$A314:$BO314,'Entry Builder'!$L$12)&gt;'Entry Builder'!$E$12)))</f>
        <v/>
      </c>
      <c r="G314">
        <f>6-SUM(A314:F314)</f>
        <v/>
      </c>
    </row>
    <row r="315">
      <c r="A315">
        <f>IF('Entry Builder'!$N$7=0,1,IF('Entry Builder'!$D$7="Less",--(INDEX(Sims!$A315:$BO315,'Entry Builder'!$L$7)&lt;'Entry Builder'!$E$7),--(INDEX(Sims!$A315:$BO315,'Entry Builder'!$L$7)&gt;'Entry Builder'!$E$7)))</f>
        <v/>
      </c>
      <c r="B315">
        <f>IF('Entry Builder'!$N$8=0,1,IF('Entry Builder'!$D$8="Less",--(INDEX(Sims!$A315:$BO315,'Entry Builder'!$L$8)&lt;'Entry Builder'!$E$8),--(INDEX(Sims!$A315:$BO315,'Entry Builder'!$L$8)&gt;'Entry Builder'!$E$8)))</f>
        <v/>
      </c>
      <c r="C315">
        <f>IF('Entry Builder'!$N$9=0,1,IF('Entry Builder'!$D$9="Less",--(INDEX(Sims!$A315:$BO315,'Entry Builder'!$L$9)&lt;'Entry Builder'!$E$9),--(INDEX(Sims!$A315:$BO315,'Entry Builder'!$L$9)&gt;'Entry Builder'!$E$9)))</f>
        <v/>
      </c>
      <c r="D315">
        <f>IF('Entry Builder'!$N$10=0,1,IF('Entry Builder'!$D$10="Less",--(INDEX(Sims!$A315:$BO315,'Entry Builder'!$L$10)&lt;'Entry Builder'!$E$10),--(INDEX(Sims!$A315:$BO315,'Entry Builder'!$L$10)&gt;'Entry Builder'!$E$10)))</f>
        <v/>
      </c>
      <c r="E315">
        <f>IF('Entry Builder'!$N$11=0,1,IF('Entry Builder'!$D$11="Less",--(INDEX(Sims!$A315:$BO315,'Entry Builder'!$L$11)&lt;'Entry Builder'!$E$11),--(INDEX(Sims!$A315:$BO315,'Entry Builder'!$L$11)&gt;'Entry Builder'!$E$11)))</f>
        <v/>
      </c>
      <c r="F315">
        <f>IF('Entry Builder'!$N$12=0,1,IF('Entry Builder'!$D$12="Less",--(INDEX(Sims!$A315:$BO315,'Entry Builder'!$L$12)&lt;'Entry Builder'!$E$12),--(INDEX(Sims!$A315:$BO315,'Entry Builder'!$L$12)&gt;'Entry Builder'!$E$12)))</f>
        <v/>
      </c>
      <c r="G315">
        <f>6-SUM(A315:F315)</f>
        <v/>
      </c>
    </row>
    <row r="316">
      <c r="A316">
        <f>IF('Entry Builder'!$N$7=0,1,IF('Entry Builder'!$D$7="Less",--(INDEX(Sims!$A316:$BO316,'Entry Builder'!$L$7)&lt;'Entry Builder'!$E$7),--(INDEX(Sims!$A316:$BO316,'Entry Builder'!$L$7)&gt;'Entry Builder'!$E$7)))</f>
        <v/>
      </c>
      <c r="B316">
        <f>IF('Entry Builder'!$N$8=0,1,IF('Entry Builder'!$D$8="Less",--(INDEX(Sims!$A316:$BO316,'Entry Builder'!$L$8)&lt;'Entry Builder'!$E$8),--(INDEX(Sims!$A316:$BO316,'Entry Builder'!$L$8)&gt;'Entry Builder'!$E$8)))</f>
        <v/>
      </c>
      <c r="C316">
        <f>IF('Entry Builder'!$N$9=0,1,IF('Entry Builder'!$D$9="Less",--(INDEX(Sims!$A316:$BO316,'Entry Builder'!$L$9)&lt;'Entry Builder'!$E$9),--(INDEX(Sims!$A316:$BO316,'Entry Builder'!$L$9)&gt;'Entry Builder'!$E$9)))</f>
        <v/>
      </c>
      <c r="D316">
        <f>IF('Entry Builder'!$N$10=0,1,IF('Entry Builder'!$D$10="Less",--(INDEX(Sims!$A316:$BO316,'Entry Builder'!$L$10)&lt;'Entry Builder'!$E$10),--(INDEX(Sims!$A316:$BO316,'Entry Builder'!$L$10)&gt;'Entry Builder'!$E$10)))</f>
        <v/>
      </c>
      <c r="E316">
        <f>IF('Entry Builder'!$N$11=0,1,IF('Entry Builder'!$D$11="Less",--(INDEX(Sims!$A316:$BO316,'Entry Builder'!$L$11)&lt;'Entry Builder'!$E$11),--(INDEX(Sims!$A316:$BO316,'Entry Builder'!$L$11)&gt;'Entry Builder'!$E$11)))</f>
        <v/>
      </c>
      <c r="F316">
        <f>IF('Entry Builder'!$N$12=0,1,IF('Entry Builder'!$D$12="Less",--(INDEX(Sims!$A316:$BO316,'Entry Builder'!$L$12)&lt;'Entry Builder'!$E$12),--(INDEX(Sims!$A316:$BO316,'Entry Builder'!$L$12)&gt;'Entry Builder'!$E$12)))</f>
        <v/>
      </c>
      <c r="G316">
        <f>6-SUM(A316:F316)</f>
        <v/>
      </c>
    </row>
    <row r="317">
      <c r="A317">
        <f>IF('Entry Builder'!$N$7=0,1,IF('Entry Builder'!$D$7="Less",--(INDEX(Sims!$A317:$BO317,'Entry Builder'!$L$7)&lt;'Entry Builder'!$E$7),--(INDEX(Sims!$A317:$BO317,'Entry Builder'!$L$7)&gt;'Entry Builder'!$E$7)))</f>
        <v/>
      </c>
      <c r="B317">
        <f>IF('Entry Builder'!$N$8=0,1,IF('Entry Builder'!$D$8="Less",--(INDEX(Sims!$A317:$BO317,'Entry Builder'!$L$8)&lt;'Entry Builder'!$E$8),--(INDEX(Sims!$A317:$BO317,'Entry Builder'!$L$8)&gt;'Entry Builder'!$E$8)))</f>
        <v/>
      </c>
      <c r="C317">
        <f>IF('Entry Builder'!$N$9=0,1,IF('Entry Builder'!$D$9="Less",--(INDEX(Sims!$A317:$BO317,'Entry Builder'!$L$9)&lt;'Entry Builder'!$E$9),--(INDEX(Sims!$A317:$BO317,'Entry Builder'!$L$9)&gt;'Entry Builder'!$E$9)))</f>
        <v/>
      </c>
      <c r="D317">
        <f>IF('Entry Builder'!$N$10=0,1,IF('Entry Builder'!$D$10="Less",--(INDEX(Sims!$A317:$BO317,'Entry Builder'!$L$10)&lt;'Entry Builder'!$E$10),--(INDEX(Sims!$A317:$BO317,'Entry Builder'!$L$10)&gt;'Entry Builder'!$E$10)))</f>
        <v/>
      </c>
      <c r="E317">
        <f>IF('Entry Builder'!$N$11=0,1,IF('Entry Builder'!$D$11="Less",--(INDEX(Sims!$A317:$BO317,'Entry Builder'!$L$11)&lt;'Entry Builder'!$E$11),--(INDEX(Sims!$A317:$BO317,'Entry Builder'!$L$11)&gt;'Entry Builder'!$E$11)))</f>
        <v/>
      </c>
      <c r="F317">
        <f>IF('Entry Builder'!$N$12=0,1,IF('Entry Builder'!$D$12="Less",--(INDEX(Sims!$A317:$BO317,'Entry Builder'!$L$12)&lt;'Entry Builder'!$E$12),--(INDEX(Sims!$A317:$BO317,'Entry Builder'!$L$12)&gt;'Entry Builder'!$E$12)))</f>
        <v/>
      </c>
      <c r="G317">
        <f>6-SUM(A317:F317)</f>
        <v/>
      </c>
    </row>
    <row r="318">
      <c r="A318">
        <f>IF('Entry Builder'!$N$7=0,1,IF('Entry Builder'!$D$7="Less",--(INDEX(Sims!$A318:$BO318,'Entry Builder'!$L$7)&lt;'Entry Builder'!$E$7),--(INDEX(Sims!$A318:$BO318,'Entry Builder'!$L$7)&gt;'Entry Builder'!$E$7)))</f>
        <v/>
      </c>
      <c r="B318">
        <f>IF('Entry Builder'!$N$8=0,1,IF('Entry Builder'!$D$8="Less",--(INDEX(Sims!$A318:$BO318,'Entry Builder'!$L$8)&lt;'Entry Builder'!$E$8),--(INDEX(Sims!$A318:$BO318,'Entry Builder'!$L$8)&gt;'Entry Builder'!$E$8)))</f>
        <v/>
      </c>
      <c r="C318">
        <f>IF('Entry Builder'!$N$9=0,1,IF('Entry Builder'!$D$9="Less",--(INDEX(Sims!$A318:$BO318,'Entry Builder'!$L$9)&lt;'Entry Builder'!$E$9),--(INDEX(Sims!$A318:$BO318,'Entry Builder'!$L$9)&gt;'Entry Builder'!$E$9)))</f>
        <v/>
      </c>
      <c r="D318">
        <f>IF('Entry Builder'!$N$10=0,1,IF('Entry Builder'!$D$10="Less",--(INDEX(Sims!$A318:$BO318,'Entry Builder'!$L$10)&lt;'Entry Builder'!$E$10),--(INDEX(Sims!$A318:$BO318,'Entry Builder'!$L$10)&gt;'Entry Builder'!$E$10)))</f>
        <v/>
      </c>
      <c r="E318">
        <f>IF('Entry Builder'!$N$11=0,1,IF('Entry Builder'!$D$11="Less",--(INDEX(Sims!$A318:$BO318,'Entry Builder'!$L$11)&lt;'Entry Builder'!$E$11),--(INDEX(Sims!$A318:$BO318,'Entry Builder'!$L$11)&gt;'Entry Builder'!$E$11)))</f>
        <v/>
      </c>
      <c r="F318">
        <f>IF('Entry Builder'!$N$12=0,1,IF('Entry Builder'!$D$12="Less",--(INDEX(Sims!$A318:$BO318,'Entry Builder'!$L$12)&lt;'Entry Builder'!$E$12),--(INDEX(Sims!$A318:$BO318,'Entry Builder'!$L$12)&gt;'Entry Builder'!$E$12)))</f>
        <v/>
      </c>
      <c r="G318">
        <f>6-SUM(A318:F318)</f>
        <v/>
      </c>
    </row>
    <row r="319">
      <c r="A319">
        <f>IF('Entry Builder'!$N$7=0,1,IF('Entry Builder'!$D$7="Less",--(INDEX(Sims!$A319:$BO319,'Entry Builder'!$L$7)&lt;'Entry Builder'!$E$7),--(INDEX(Sims!$A319:$BO319,'Entry Builder'!$L$7)&gt;'Entry Builder'!$E$7)))</f>
        <v/>
      </c>
      <c r="B319">
        <f>IF('Entry Builder'!$N$8=0,1,IF('Entry Builder'!$D$8="Less",--(INDEX(Sims!$A319:$BO319,'Entry Builder'!$L$8)&lt;'Entry Builder'!$E$8),--(INDEX(Sims!$A319:$BO319,'Entry Builder'!$L$8)&gt;'Entry Builder'!$E$8)))</f>
        <v/>
      </c>
      <c r="C319">
        <f>IF('Entry Builder'!$N$9=0,1,IF('Entry Builder'!$D$9="Less",--(INDEX(Sims!$A319:$BO319,'Entry Builder'!$L$9)&lt;'Entry Builder'!$E$9),--(INDEX(Sims!$A319:$BO319,'Entry Builder'!$L$9)&gt;'Entry Builder'!$E$9)))</f>
        <v/>
      </c>
      <c r="D319">
        <f>IF('Entry Builder'!$N$10=0,1,IF('Entry Builder'!$D$10="Less",--(INDEX(Sims!$A319:$BO319,'Entry Builder'!$L$10)&lt;'Entry Builder'!$E$10),--(INDEX(Sims!$A319:$BO319,'Entry Builder'!$L$10)&gt;'Entry Builder'!$E$10)))</f>
        <v/>
      </c>
      <c r="E319">
        <f>IF('Entry Builder'!$N$11=0,1,IF('Entry Builder'!$D$11="Less",--(INDEX(Sims!$A319:$BO319,'Entry Builder'!$L$11)&lt;'Entry Builder'!$E$11),--(INDEX(Sims!$A319:$BO319,'Entry Builder'!$L$11)&gt;'Entry Builder'!$E$11)))</f>
        <v/>
      </c>
      <c r="F319">
        <f>IF('Entry Builder'!$N$12=0,1,IF('Entry Builder'!$D$12="Less",--(INDEX(Sims!$A319:$BO319,'Entry Builder'!$L$12)&lt;'Entry Builder'!$E$12),--(INDEX(Sims!$A319:$BO319,'Entry Builder'!$L$12)&gt;'Entry Builder'!$E$12)))</f>
        <v/>
      </c>
      <c r="G319">
        <f>6-SUM(A319:F319)</f>
        <v/>
      </c>
    </row>
    <row r="320">
      <c r="A320">
        <f>IF('Entry Builder'!$N$7=0,1,IF('Entry Builder'!$D$7="Less",--(INDEX(Sims!$A320:$BO320,'Entry Builder'!$L$7)&lt;'Entry Builder'!$E$7),--(INDEX(Sims!$A320:$BO320,'Entry Builder'!$L$7)&gt;'Entry Builder'!$E$7)))</f>
        <v/>
      </c>
      <c r="B320">
        <f>IF('Entry Builder'!$N$8=0,1,IF('Entry Builder'!$D$8="Less",--(INDEX(Sims!$A320:$BO320,'Entry Builder'!$L$8)&lt;'Entry Builder'!$E$8),--(INDEX(Sims!$A320:$BO320,'Entry Builder'!$L$8)&gt;'Entry Builder'!$E$8)))</f>
        <v/>
      </c>
      <c r="C320">
        <f>IF('Entry Builder'!$N$9=0,1,IF('Entry Builder'!$D$9="Less",--(INDEX(Sims!$A320:$BO320,'Entry Builder'!$L$9)&lt;'Entry Builder'!$E$9),--(INDEX(Sims!$A320:$BO320,'Entry Builder'!$L$9)&gt;'Entry Builder'!$E$9)))</f>
        <v/>
      </c>
      <c r="D320">
        <f>IF('Entry Builder'!$N$10=0,1,IF('Entry Builder'!$D$10="Less",--(INDEX(Sims!$A320:$BO320,'Entry Builder'!$L$10)&lt;'Entry Builder'!$E$10),--(INDEX(Sims!$A320:$BO320,'Entry Builder'!$L$10)&gt;'Entry Builder'!$E$10)))</f>
        <v/>
      </c>
      <c r="E320">
        <f>IF('Entry Builder'!$N$11=0,1,IF('Entry Builder'!$D$11="Less",--(INDEX(Sims!$A320:$BO320,'Entry Builder'!$L$11)&lt;'Entry Builder'!$E$11),--(INDEX(Sims!$A320:$BO320,'Entry Builder'!$L$11)&gt;'Entry Builder'!$E$11)))</f>
        <v/>
      </c>
      <c r="F320">
        <f>IF('Entry Builder'!$N$12=0,1,IF('Entry Builder'!$D$12="Less",--(INDEX(Sims!$A320:$BO320,'Entry Builder'!$L$12)&lt;'Entry Builder'!$E$12),--(INDEX(Sims!$A320:$BO320,'Entry Builder'!$L$12)&gt;'Entry Builder'!$E$12)))</f>
        <v/>
      </c>
      <c r="G320">
        <f>6-SUM(A320:F320)</f>
        <v/>
      </c>
    </row>
    <row r="321">
      <c r="A321">
        <f>IF('Entry Builder'!$N$7=0,1,IF('Entry Builder'!$D$7="Less",--(INDEX(Sims!$A321:$BO321,'Entry Builder'!$L$7)&lt;'Entry Builder'!$E$7),--(INDEX(Sims!$A321:$BO321,'Entry Builder'!$L$7)&gt;'Entry Builder'!$E$7)))</f>
        <v/>
      </c>
      <c r="B321">
        <f>IF('Entry Builder'!$N$8=0,1,IF('Entry Builder'!$D$8="Less",--(INDEX(Sims!$A321:$BO321,'Entry Builder'!$L$8)&lt;'Entry Builder'!$E$8),--(INDEX(Sims!$A321:$BO321,'Entry Builder'!$L$8)&gt;'Entry Builder'!$E$8)))</f>
        <v/>
      </c>
      <c r="C321">
        <f>IF('Entry Builder'!$N$9=0,1,IF('Entry Builder'!$D$9="Less",--(INDEX(Sims!$A321:$BO321,'Entry Builder'!$L$9)&lt;'Entry Builder'!$E$9),--(INDEX(Sims!$A321:$BO321,'Entry Builder'!$L$9)&gt;'Entry Builder'!$E$9)))</f>
        <v/>
      </c>
      <c r="D321">
        <f>IF('Entry Builder'!$N$10=0,1,IF('Entry Builder'!$D$10="Less",--(INDEX(Sims!$A321:$BO321,'Entry Builder'!$L$10)&lt;'Entry Builder'!$E$10),--(INDEX(Sims!$A321:$BO321,'Entry Builder'!$L$10)&gt;'Entry Builder'!$E$10)))</f>
        <v/>
      </c>
      <c r="E321">
        <f>IF('Entry Builder'!$N$11=0,1,IF('Entry Builder'!$D$11="Less",--(INDEX(Sims!$A321:$BO321,'Entry Builder'!$L$11)&lt;'Entry Builder'!$E$11),--(INDEX(Sims!$A321:$BO321,'Entry Builder'!$L$11)&gt;'Entry Builder'!$E$11)))</f>
        <v/>
      </c>
      <c r="F321">
        <f>IF('Entry Builder'!$N$12=0,1,IF('Entry Builder'!$D$12="Less",--(INDEX(Sims!$A321:$BO321,'Entry Builder'!$L$12)&lt;'Entry Builder'!$E$12),--(INDEX(Sims!$A321:$BO321,'Entry Builder'!$L$12)&gt;'Entry Builder'!$E$12)))</f>
        <v/>
      </c>
      <c r="G321">
        <f>6-SUM(A321:F321)</f>
        <v/>
      </c>
    </row>
    <row r="322">
      <c r="A322">
        <f>IF('Entry Builder'!$N$7=0,1,IF('Entry Builder'!$D$7="Less",--(INDEX(Sims!$A322:$BO322,'Entry Builder'!$L$7)&lt;'Entry Builder'!$E$7),--(INDEX(Sims!$A322:$BO322,'Entry Builder'!$L$7)&gt;'Entry Builder'!$E$7)))</f>
        <v/>
      </c>
      <c r="B322">
        <f>IF('Entry Builder'!$N$8=0,1,IF('Entry Builder'!$D$8="Less",--(INDEX(Sims!$A322:$BO322,'Entry Builder'!$L$8)&lt;'Entry Builder'!$E$8),--(INDEX(Sims!$A322:$BO322,'Entry Builder'!$L$8)&gt;'Entry Builder'!$E$8)))</f>
        <v/>
      </c>
      <c r="C322">
        <f>IF('Entry Builder'!$N$9=0,1,IF('Entry Builder'!$D$9="Less",--(INDEX(Sims!$A322:$BO322,'Entry Builder'!$L$9)&lt;'Entry Builder'!$E$9),--(INDEX(Sims!$A322:$BO322,'Entry Builder'!$L$9)&gt;'Entry Builder'!$E$9)))</f>
        <v/>
      </c>
      <c r="D322">
        <f>IF('Entry Builder'!$N$10=0,1,IF('Entry Builder'!$D$10="Less",--(INDEX(Sims!$A322:$BO322,'Entry Builder'!$L$10)&lt;'Entry Builder'!$E$10),--(INDEX(Sims!$A322:$BO322,'Entry Builder'!$L$10)&gt;'Entry Builder'!$E$10)))</f>
        <v/>
      </c>
      <c r="E322">
        <f>IF('Entry Builder'!$N$11=0,1,IF('Entry Builder'!$D$11="Less",--(INDEX(Sims!$A322:$BO322,'Entry Builder'!$L$11)&lt;'Entry Builder'!$E$11),--(INDEX(Sims!$A322:$BO322,'Entry Builder'!$L$11)&gt;'Entry Builder'!$E$11)))</f>
        <v/>
      </c>
      <c r="F322">
        <f>IF('Entry Builder'!$N$12=0,1,IF('Entry Builder'!$D$12="Less",--(INDEX(Sims!$A322:$BO322,'Entry Builder'!$L$12)&lt;'Entry Builder'!$E$12),--(INDEX(Sims!$A322:$BO322,'Entry Builder'!$L$12)&gt;'Entry Builder'!$E$12)))</f>
        <v/>
      </c>
      <c r="G322">
        <f>6-SUM(A322:F322)</f>
        <v/>
      </c>
    </row>
    <row r="323">
      <c r="A323">
        <f>IF('Entry Builder'!$N$7=0,1,IF('Entry Builder'!$D$7="Less",--(INDEX(Sims!$A323:$BO323,'Entry Builder'!$L$7)&lt;'Entry Builder'!$E$7),--(INDEX(Sims!$A323:$BO323,'Entry Builder'!$L$7)&gt;'Entry Builder'!$E$7)))</f>
        <v/>
      </c>
      <c r="B323">
        <f>IF('Entry Builder'!$N$8=0,1,IF('Entry Builder'!$D$8="Less",--(INDEX(Sims!$A323:$BO323,'Entry Builder'!$L$8)&lt;'Entry Builder'!$E$8),--(INDEX(Sims!$A323:$BO323,'Entry Builder'!$L$8)&gt;'Entry Builder'!$E$8)))</f>
        <v/>
      </c>
      <c r="C323">
        <f>IF('Entry Builder'!$N$9=0,1,IF('Entry Builder'!$D$9="Less",--(INDEX(Sims!$A323:$BO323,'Entry Builder'!$L$9)&lt;'Entry Builder'!$E$9),--(INDEX(Sims!$A323:$BO323,'Entry Builder'!$L$9)&gt;'Entry Builder'!$E$9)))</f>
        <v/>
      </c>
      <c r="D323">
        <f>IF('Entry Builder'!$N$10=0,1,IF('Entry Builder'!$D$10="Less",--(INDEX(Sims!$A323:$BO323,'Entry Builder'!$L$10)&lt;'Entry Builder'!$E$10),--(INDEX(Sims!$A323:$BO323,'Entry Builder'!$L$10)&gt;'Entry Builder'!$E$10)))</f>
        <v/>
      </c>
      <c r="E323">
        <f>IF('Entry Builder'!$N$11=0,1,IF('Entry Builder'!$D$11="Less",--(INDEX(Sims!$A323:$BO323,'Entry Builder'!$L$11)&lt;'Entry Builder'!$E$11),--(INDEX(Sims!$A323:$BO323,'Entry Builder'!$L$11)&gt;'Entry Builder'!$E$11)))</f>
        <v/>
      </c>
      <c r="F323">
        <f>IF('Entry Builder'!$N$12=0,1,IF('Entry Builder'!$D$12="Less",--(INDEX(Sims!$A323:$BO323,'Entry Builder'!$L$12)&lt;'Entry Builder'!$E$12),--(INDEX(Sims!$A323:$BO323,'Entry Builder'!$L$12)&gt;'Entry Builder'!$E$12)))</f>
        <v/>
      </c>
      <c r="G323">
        <f>6-SUM(A323:F323)</f>
        <v/>
      </c>
    </row>
    <row r="324">
      <c r="A324">
        <f>IF('Entry Builder'!$N$7=0,1,IF('Entry Builder'!$D$7="Less",--(INDEX(Sims!$A324:$BO324,'Entry Builder'!$L$7)&lt;'Entry Builder'!$E$7),--(INDEX(Sims!$A324:$BO324,'Entry Builder'!$L$7)&gt;'Entry Builder'!$E$7)))</f>
        <v/>
      </c>
      <c r="B324">
        <f>IF('Entry Builder'!$N$8=0,1,IF('Entry Builder'!$D$8="Less",--(INDEX(Sims!$A324:$BO324,'Entry Builder'!$L$8)&lt;'Entry Builder'!$E$8),--(INDEX(Sims!$A324:$BO324,'Entry Builder'!$L$8)&gt;'Entry Builder'!$E$8)))</f>
        <v/>
      </c>
      <c r="C324">
        <f>IF('Entry Builder'!$N$9=0,1,IF('Entry Builder'!$D$9="Less",--(INDEX(Sims!$A324:$BO324,'Entry Builder'!$L$9)&lt;'Entry Builder'!$E$9),--(INDEX(Sims!$A324:$BO324,'Entry Builder'!$L$9)&gt;'Entry Builder'!$E$9)))</f>
        <v/>
      </c>
      <c r="D324">
        <f>IF('Entry Builder'!$N$10=0,1,IF('Entry Builder'!$D$10="Less",--(INDEX(Sims!$A324:$BO324,'Entry Builder'!$L$10)&lt;'Entry Builder'!$E$10),--(INDEX(Sims!$A324:$BO324,'Entry Builder'!$L$10)&gt;'Entry Builder'!$E$10)))</f>
        <v/>
      </c>
      <c r="E324">
        <f>IF('Entry Builder'!$N$11=0,1,IF('Entry Builder'!$D$11="Less",--(INDEX(Sims!$A324:$BO324,'Entry Builder'!$L$11)&lt;'Entry Builder'!$E$11),--(INDEX(Sims!$A324:$BO324,'Entry Builder'!$L$11)&gt;'Entry Builder'!$E$11)))</f>
        <v/>
      </c>
      <c r="F324">
        <f>IF('Entry Builder'!$N$12=0,1,IF('Entry Builder'!$D$12="Less",--(INDEX(Sims!$A324:$BO324,'Entry Builder'!$L$12)&lt;'Entry Builder'!$E$12),--(INDEX(Sims!$A324:$BO324,'Entry Builder'!$L$12)&gt;'Entry Builder'!$E$12)))</f>
        <v/>
      </c>
      <c r="G324">
        <f>6-SUM(A324:F324)</f>
        <v/>
      </c>
    </row>
    <row r="325">
      <c r="A325">
        <f>IF('Entry Builder'!$N$7=0,1,IF('Entry Builder'!$D$7="Less",--(INDEX(Sims!$A325:$BO325,'Entry Builder'!$L$7)&lt;'Entry Builder'!$E$7),--(INDEX(Sims!$A325:$BO325,'Entry Builder'!$L$7)&gt;'Entry Builder'!$E$7)))</f>
        <v/>
      </c>
      <c r="B325">
        <f>IF('Entry Builder'!$N$8=0,1,IF('Entry Builder'!$D$8="Less",--(INDEX(Sims!$A325:$BO325,'Entry Builder'!$L$8)&lt;'Entry Builder'!$E$8),--(INDEX(Sims!$A325:$BO325,'Entry Builder'!$L$8)&gt;'Entry Builder'!$E$8)))</f>
        <v/>
      </c>
      <c r="C325">
        <f>IF('Entry Builder'!$N$9=0,1,IF('Entry Builder'!$D$9="Less",--(INDEX(Sims!$A325:$BO325,'Entry Builder'!$L$9)&lt;'Entry Builder'!$E$9),--(INDEX(Sims!$A325:$BO325,'Entry Builder'!$L$9)&gt;'Entry Builder'!$E$9)))</f>
        <v/>
      </c>
      <c r="D325">
        <f>IF('Entry Builder'!$N$10=0,1,IF('Entry Builder'!$D$10="Less",--(INDEX(Sims!$A325:$BO325,'Entry Builder'!$L$10)&lt;'Entry Builder'!$E$10),--(INDEX(Sims!$A325:$BO325,'Entry Builder'!$L$10)&gt;'Entry Builder'!$E$10)))</f>
        <v/>
      </c>
      <c r="E325">
        <f>IF('Entry Builder'!$N$11=0,1,IF('Entry Builder'!$D$11="Less",--(INDEX(Sims!$A325:$BO325,'Entry Builder'!$L$11)&lt;'Entry Builder'!$E$11),--(INDEX(Sims!$A325:$BO325,'Entry Builder'!$L$11)&gt;'Entry Builder'!$E$11)))</f>
        <v/>
      </c>
      <c r="F325">
        <f>IF('Entry Builder'!$N$12=0,1,IF('Entry Builder'!$D$12="Less",--(INDEX(Sims!$A325:$BO325,'Entry Builder'!$L$12)&lt;'Entry Builder'!$E$12),--(INDEX(Sims!$A325:$BO325,'Entry Builder'!$L$12)&gt;'Entry Builder'!$E$12)))</f>
        <v/>
      </c>
      <c r="G325">
        <f>6-SUM(A325:F325)</f>
        <v/>
      </c>
    </row>
    <row r="326">
      <c r="A326">
        <f>IF('Entry Builder'!$N$7=0,1,IF('Entry Builder'!$D$7="Less",--(INDEX(Sims!$A326:$BO326,'Entry Builder'!$L$7)&lt;'Entry Builder'!$E$7),--(INDEX(Sims!$A326:$BO326,'Entry Builder'!$L$7)&gt;'Entry Builder'!$E$7)))</f>
        <v/>
      </c>
      <c r="B326">
        <f>IF('Entry Builder'!$N$8=0,1,IF('Entry Builder'!$D$8="Less",--(INDEX(Sims!$A326:$BO326,'Entry Builder'!$L$8)&lt;'Entry Builder'!$E$8),--(INDEX(Sims!$A326:$BO326,'Entry Builder'!$L$8)&gt;'Entry Builder'!$E$8)))</f>
        <v/>
      </c>
      <c r="C326">
        <f>IF('Entry Builder'!$N$9=0,1,IF('Entry Builder'!$D$9="Less",--(INDEX(Sims!$A326:$BO326,'Entry Builder'!$L$9)&lt;'Entry Builder'!$E$9),--(INDEX(Sims!$A326:$BO326,'Entry Builder'!$L$9)&gt;'Entry Builder'!$E$9)))</f>
        <v/>
      </c>
      <c r="D326">
        <f>IF('Entry Builder'!$N$10=0,1,IF('Entry Builder'!$D$10="Less",--(INDEX(Sims!$A326:$BO326,'Entry Builder'!$L$10)&lt;'Entry Builder'!$E$10),--(INDEX(Sims!$A326:$BO326,'Entry Builder'!$L$10)&gt;'Entry Builder'!$E$10)))</f>
        <v/>
      </c>
      <c r="E326">
        <f>IF('Entry Builder'!$N$11=0,1,IF('Entry Builder'!$D$11="Less",--(INDEX(Sims!$A326:$BO326,'Entry Builder'!$L$11)&lt;'Entry Builder'!$E$11),--(INDEX(Sims!$A326:$BO326,'Entry Builder'!$L$11)&gt;'Entry Builder'!$E$11)))</f>
        <v/>
      </c>
      <c r="F326">
        <f>IF('Entry Builder'!$N$12=0,1,IF('Entry Builder'!$D$12="Less",--(INDEX(Sims!$A326:$BO326,'Entry Builder'!$L$12)&lt;'Entry Builder'!$E$12),--(INDEX(Sims!$A326:$BO326,'Entry Builder'!$L$12)&gt;'Entry Builder'!$E$12)))</f>
        <v/>
      </c>
      <c r="G326">
        <f>6-SUM(A326:F326)</f>
        <v/>
      </c>
    </row>
    <row r="327">
      <c r="A327">
        <f>IF('Entry Builder'!$N$7=0,1,IF('Entry Builder'!$D$7="Less",--(INDEX(Sims!$A327:$BO327,'Entry Builder'!$L$7)&lt;'Entry Builder'!$E$7),--(INDEX(Sims!$A327:$BO327,'Entry Builder'!$L$7)&gt;'Entry Builder'!$E$7)))</f>
        <v/>
      </c>
      <c r="B327">
        <f>IF('Entry Builder'!$N$8=0,1,IF('Entry Builder'!$D$8="Less",--(INDEX(Sims!$A327:$BO327,'Entry Builder'!$L$8)&lt;'Entry Builder'!$E$8),--(INDEX(Sims!$A327:$BO327,'Entry Builder'!$L$8)&gt;'Entry Builder'!$E$8)))</f>
        <v/>
      </c>
      <c r="C327">
        <f>IF('Entry Builder'!$N$9=0,1,IF('Entry Builder'!$D$9="Less",--(INDEX(Sims!$A327:$BO327,'Entry Builder'!$L$9)&lt;'Entry Builder'!$E$9),--(INDEX(Sims!$A327:$BO327,'Entry Builder'!$L$9)&gt;'Entry Builder'!$E$9)))</f>
        <v/>
      </c>
      <c r="D327">
        <f>IF('Entry Builder'!$N$10=0,1,IF('Entry Builder'!$D$10="Less",--(INDEX(Sims!$A327:$BO327,'Entry Builder'!$L$10)&lt;'Entry Builder'!$E$10),--(INDEX(Sims!$A327:$BO327,'Entry Builder'!$L$10)&gt;'Entry Builder'!$E$10)))</f>
        <v/>
      </c>
      <c r="E327">
        <f>IF('Entry Builder'!$N$11=0,1,IF('Entry Builder'!$D$11="Less",--(INDEX(Sims!$A327:$BO327,'Entry Builder'!$L$11)&lt;'Entry Builder'!$E$11),--(INDEX(Sims!$A327:$BO327,'Entry Builder'!$L$11)&gt;'Entry Builder'!$E$11)))</f>
        <v/>
      </c>
      <c r="F327">
        <f>IF('Entry Builder'!$N$12=0,1,IF('Entry Builder'!$D$12="Less",--(INDEX(Sims!$A327:$BO327,'Entry Builder'!$L$12)&lt;'Entry Builder'!$E$12),--(INDEX(Sims!$A327:$BO327,'Entry Builder'!$L$12)&gt;'Entry Builder'!$E$12)))</f>
        <v/>
      </c>
      <c r="G327">
        <f>6-SUM(A327:F327)</f>
        <v/>
      </c>
    </row>
    <row r="328">
      <c r="A328">
        <f>IF('Entry Builder'!$N$7=0,1,IF('Entry Builder'!$D$7="Less",--(INDEX(Sims!$A328:$BO328,'Entry Builder'!$L$7)&lt;'Entry Builder'!$E$7),--(INDEX(Sims!$A328:$BO328,'Entry Builder'!$L$7)&gt;'Entry Builder'!$E$7)))</f>
        <v/>
      </c>
      <c r="B328">
        <f>IF('Entry Builder'!$N$8=0,1,IF('Entry Builder'!$D$8="Less",--(INDEX(Sims!$A328:$BO328,'Entry Builder'!$L$8)&lt;'Entry Builder'!$E$8),--(INDEX(Sims!$A328:$BO328,'Entry Builder'!$L$8)&gt;'Entry Builder'!$E$8)))</f>
        <v/>
      </c>
      <c r="C328">
        <f>IF('Entry Builder'!$N$9=0,1,IF('Entry Builder'!$D$9="Less",--(INDEX(Sims!$A328:$BO328,'Entry Builder'!$L$9)&lt;'Entry Builder'!$E$9),--(INDEX(Sims!$A328:$BO328,'Entry Builder'!$L$9)&gt;'Entry Builder'!$E$9)))</f>
        <v/>
      </c>
      <c r="D328">
        <f>IF('Entry Builder'!$N$10=0,1,IF('Entry Builder'!$D$10="Less",--(INDEX(Sims!$A328:$BO328,'Entry Builder'!$L$10)&lt;'Entry Builder'!$E$10),--(INDEX(Sims!$A328:$BO328,'Entry Builder'!$L$10)&gt;'Entry Builder'!$E$10)))</f>
        <v/>
      </c>
      <c r="E328">
        <f>IF('Entry Builder'!$N$11=0,1,IF('Entry Builder'!$D$11="Less",--(INDEX(Sims!$A328:$BO328,'Entry Builder'!$L$11)&lt;'Entry Builder'!$E$11),--(INDEX(Sims!$A328:$BO328,'Entry Builder'!$L$11)&gt;'Entry Builder'!$E$11)))</f>
        <v/>
      </c>
      <c r="F328">
        <f>IF('Entry Builder'!$N$12=0,1,IF('Entry Builder'!$D$12="Less",--(INDEX(Sims!$A328:$BO328,'Entry Builder'!$L$12)&lt;'Entry Builder'!$E$12),--(INDEX(Sims!$A328:$BO328,'Entry Builder'!$L$12)&gt;'Entry Builder'!$E$12)))</f>
        <v/>
      </c>
      <c r="G328">
        <f>6-SUM(A328:F328)</f>
        <v/>
      </c>
    </row>
    <row r="329">
      <c r="A329">
        <f>IF('Entry Builder'!$N$7=0,1,IF('Entry Builder'!$D$7="Less",--(INDEX(Sims!$A329:$BO329,'Entry Builder'!$L$7)&lt;'Entry Builder'!$E$7),--(INDEX(Sims!$A329:$BO329,'Entry Builder'!$L$7)&gt;'Entry Builder'!$E$7)))</f>
        <v/>
      </c>
      <c r="B329">
        <f>IF('Entry Builder'!$N$8=0,1,IF('Entry Builder'!$D$8="Less",--(INDEX(Sims!$A329:$BO329,'Entry Builder'!$L$8)&lt;'Entry Builder'!$E$8),--(INDEX(Sims!$A329:$BO329,'Entry Builder'!$L$8)&gt;'Entry Builder'!$E$8)))</f>
        <v/>
      </c>
      <c r="C329">
        <f>IF('Entry Builder'!$N$9=0,1,IF('Entry Builder'!$D$9="Less",--(INDEX(Sims!$A329:$BO329,'Entry Builder'!$L$9)&lt;'Entry Builder'!$E$9),--(INDEX(Sims!$A329:$BO329,'Entry Builder'!$L$9)&gt;'Entry Builder'!$E$9)))</f>
        <v/>
      </c>
      <c r="D329">
        <f>IF('Entry Builder'!$N$10=0,1,IF('Entry Builder'!$D$10="Less",--(INDEX(Sims!$A329:$BO329,'Entry Builder'!$L$10)&lt;'Entry Builder'!$E$10),--(INDEX(Sims!$A329:$BO329,'Entry Builder'!$L$10)&gt;'Entry Builder'!$E$10)))</f>
        <v/>
      </c>
      <c r="E329">
        <f>IF('Entry Builder'!$N$11=0,1,IF('Entry Builder'!$D$11="Less",--(INDEX(Sims!$A329:$BO329,'Entry Builder'!$L$11)&lt;'Entry Builder'!$E$11),--(INDEX(Sims!$A329:$BO329,'Entry Builder'!$L$11)&gt;'Entry Builder'!$E$11)))</f>
        <v/>
      </c>
      <c r="F329">
        <f>IF('Entry Builder'!$N$12=0,1,IF('Entry Builder'!$D$12="Less",--(INDEX(Sims!$A329:$BO329,'Entry Builder'!$L$12)&lt;'Entry Builder'!$E$12),--(INDEX(Sims!$A329:$BO329,'Entry Builder'!$L$12)&gt;'Entry Builder'!$E$12)))</f>
        <v/>
      </c>
      <c r="G329">
        <f>6-SUM(A329:F329)</f>
        <v/>
      </c>
    </row>
    <row r="330">
      <c r="A330">
        <f>IF('Entry Builder'!$N$7=0,1,IF('Entry Builder'!$D$7="Less",--(INDEX(Sims!$A330:$BO330,'Entry Builder'!$L$7)&lt;'Entry Builder'!$E$7),--(INDEX(Sims!$A330:$BO330,'Entry Builder'!$L$7)&gt;'Entry Builder'!$E$7)))</f>
        <v/>
      </c>
      <c r="B330">
        <f>IF('Entry Builder'!$N$8=0,1,IF('Entry Builder'!$D$8="Less",--(INDEX(Sims!$A330:$BO330,'Entry Builder'!$L$8)&lt;'Entry Builder'!$E$8),--(INDEX(Sims!$A330:$BO330,'Entry Builder'!$L$8)&gt;'Entry Builder'!$E$8)))</f>
        <v/>
      </c>
      <c r="C330">
        <f>IF('Entry Builder'!$N$9=0,1,IF('Entry Builder'!$D$9="Less",--(INDEX(Sims!$A330:$BO330,'Entry Builder'!$L$9)&lt;'Entry Builder'!$E$9),--(INDEX(Sims!$A330:$BO330,'Entry Builder'!$L$9)&gt;'Entry Builder'!$E$9)))</f>
        <v/>
      </c>
      <c r="D330">
        <f>IF('Entry Builder'!$N$10=0,1,IF('Entry Builder'!$D$10="Less",--(INDEX(Sims!$A330:$BO330,'Entry Builder'!$L$10)&lt;'Entry Builder'!$E$10),--(INDEX(Sims!$A330:$BO330,'Entry Builder'!$L$10)&gt;'Entry Builder'!$E$10)))</f>
        <v/>
      </c>
      <c r="E330">
        <f>IF('Entry Builder'!$N$11=0,1,IF('Entry Builder'!$D$11="Less",--(INDEX(Sims!$A330:$BO330,'Entry Builder'!$L$11)&lt;'Entry Builder'!$E$11),--(INDEX(Sims!$A330:$BO330,'Entry Builder'!$L$11)&gt;'Entry Builder'!$E$11)))</f>
        <v/>
      </c>
      <c r="F330">
        <f>IF('Entry Builder'!$N$12=0,1,IF('Entry Builder'!$D$12="Less",--(INDEX(Sims!$A330:$BO330,'Entry Builder'!$L$12)&lt;'Entry Builder'!$E$12),--(INDEX(Sims!$A330:$BO330,'Entry Builder'!$L$12)&gt;'Entry Builder'!$E$12)))</f>
        <v/>
      </c>
      <c r="G330">
        <f>6-SUM(A330:F330)</f>
        <v/>
      </c>
    </row>
    <row r="331">
      <c r="A331">
        <f>IF('Entry Builder'!$N$7=0,1,IF('Entry Builder'!$D$7="Less",--(INDEX(Sims!$A331:$BO331,'Entry Builder'!$L$7)&lt;'Entry Builder'!$E$7),--(INDEX(Sims!$A331:$BO331,'Entry Builder'!$L$7)&gt;'Entry Builder'!$E$7)))</f>
        <v/>
      </c>
      <c r="B331">
        <f>IF('Entry Builder'!$N$8=0,1,IF('Entry Builder'!$D$8="Less",--(INDEX(Sims!$A331:$BO331,'Entry Builder'!$L$8)&lt;'Entry Builder'!$E$8),--(INDEX(Sims!$A331:$BO331,'Entry Builder'!$L$8)&gt;'Entry Builder'!$E$8)))</f>
        <v/>
      </c>
      <c r="C331">
        <f>IF('Entry Builder'!$N$9=0,1,IF('Entry Builder'!$D$9="Less",--(INDEX(Sims!$A331:$BO331,'Entry Builder'!$L$9)&lt;'Entry Builder'!$E$9),--(INDEX(Sims!$A331:$BO331,'Entry Builder'!$L$9)&gt;'Entry Builder'!$E$9)))</f>
        <v/>
      </c>
      <c r="D331">
        <f>IF('Entry Builder'!$N$10=0,1,IF('Entry Builder'!$D$10="Less",--(INDEX(Sims!$A331:$BO331,'Entry Builder'!$L$10)&lt;'Entry Builder'!$E$10),--(INDEX(Sims!$A331:$BO331,'Entry Builder'!$L$10)&gt;'Entry Builder'!$E$10)))</f>
        <v/>
      </c>
      <c r="E331">
        <f>IF('Entry Builder'!$N$11=0,1,IF('Entry Builder'!$D$11="Less",--(INDEX(Sims!$A331:$BO331,'Entry Builder'!$L$11)&lt;'Entry Builder'!$E$11),--(INDEX(Sims!$A331:$BO331,'Entry Builder'!$L$11)&gt;'Entry Builder'!$E$11)))</f>
        <v/>
      </c>
      <c r="F331">
        <f>IF('Entry Builder'!$N$12=0,1,IF('Entry Builder'!$D$12="Less",--(INDEX(Sims!$A331:$BO331,'Entry Builder'!$L$12)&lt;'Entry Builder'!$E$12),--(INDEX(Sims!$A331:$BO331,'Entry Builder'!$L$12)&gt;'Entry Builder'!$E$12)))</f>
        <v/>
      </c>
      <c r="G331">
        <f>6-SUM(A331:F331)</f>
        <v/>
      </c>
    </row>
    <row r="332">
      <c r="A332">
        <f>IF('Entry Builder'!$N$7=0,1,IF('Entry Builder'!$D$7="Less",--(INDEX(Sims!$A332:$BO332,'Entry Builder'!$L$7)&lt;'Entry Builder'!$E$7),--(INDEX(Sims!$A332:$BO332,'Entry Builder'!$L$7)&gt;'Entry Builder'!$E$7)))</f>
        <v/>
      </c>
      <c r="B332">
        <f>IF('Entry Builder'!$N$8=0,1,IF('Entry Builder'!$D$8="Less",--(INDEX(Sims!$A332:$BO332,'Entry Builder'!$L$8)&lt;'Entry Builder'!$E$8),--(INDEX(Sims!$A332:$BO332,'Entry Builder'!$L$8)&gt;'Entry Builder'!$E$8)))</f>
        <v/>
      </c>
      <c r="C332">
        <f>IF('Entry Builder'!$N$9=0,1,IF('Entry Builder'!$D$9="Less",--(INDEX(Sims!$A332:$BO332,'Entry Builder'!$L$9)&lt;'Entry Builder'!$E$9),--(INDEX(Sims!$A332:$BO332,'Entry Builder'!$L$9)&gt;'Entry Builder'!$E$9)))</f>
        <v/>
      </c>
      <c r="D332">
        <f>IF('Entry Builder'!$N$10=0,1,IF('Entry Builder'!$D$10="Less",--(INDEX(Sims!$A332:$BO332,'Entry Builder'!$L$10)&lt;'Entry Builder'!$E$10),--(INDEX(Sims!$A332:$BO332,'Entry Builder'!$L$10)&gt;'Entry Builder'!$E$10)))</f>
        <v/>
      </c>
      <c r="E332">
        <f>IF('Entry Builder'!$N$11=0,1,IF('Entry Builder'!$D$11="Less",--(INDEX(Sims!$A332:$BO332,'Entry Builder'!$L$11)&lt;'Entry Builder'!$E$11),--(INDEX(Sims!$A332:$BO332,'Entry Builder'!$L$11)&gt;'Entry Builder'!$E$11)))</f>
        <v/>
      </c>
      <c r="F332">
        <f>IF('Entry Builder'!$N$12=0,1,IF('Entry Builder'!$D$12="Less",--(INDEX(Sims!$A332:$BO332,'Entry Builder'!$L$12)&lt;'Entry Builder'!$E$12),--(INDEX(Sims!$A332:$BO332,'Entry Builder'!$L$12)&gt;'Entry Builder'!$E$12)))</f>
        <v/>
      </c>
      <c r="G332">
        <f>6-SUM(A332:F332)</f>
        <v/>
      </c>
    </row>
    <row r="333">
      <c r="A333">
        <f>IF('Entry Builder'!$N$7=0,1,IF('Entry Builder'!$D$7="Less",--(INDEX(Sims!$A333:$BO333,'Entry Builder'!$L$7)&lt;'Entry Builder'!$E$7),--(INDEX(Sims!$A333:$BO333,'Entry Builder'!$L$7)&gt;'Entry Builder'!$E$7)))</f>
        <v/>
      </c>
      <c r="B333">
        <f>IF('Entry Builder'!$N$8=0,1,IF('Entry Builder'!$D$8="Less",--(INDEX(Sims!$A333:$BO333,'Entry Builder'!$L$8)&lt;'Entry Builder'!$E$8),--(INDEX(Sims!$A333:$BO333,'Entry Builder'!$L$8)&gt;'Entry Builder'!$E$8)))</f>
        <v/>
      </c>
      <c r="C333">
        <f>IF('Entry Builder'!$N$9=0,1,IF('Entry Builder'!$D$9="Less",--(INDEX(Sims!$A333:$BO333,'Entry Builder'!$L$9)&lt;'Entry Builder'!$E$9),--(INDEX(Sims!$A333:$BO333,'Entry Builder'!$L$9)&gt;'Entry Builder'!$E$9)))</f>
        <v/>
      </c>
      <c r="D333">
        <f>IF('Entry Builder'!$N$10=0,1,IF('Entry Builder'!$D$10="Less",--(INDEX(Sims!$A333:$BO333,'Entry Builder'!$L$10)&lt;'Entry Builder'!$E$10),--(INDEX(Sims!$A333:$BO333,'Entry Builder'!$L$10)&gt;'Entry Builder'!$E$10)))</f>
        <v/>
      </c>
      <c r="E333">
        <f>IF('Entry Builder'!$N$11=0,1,IF('Entry Builder'!$D$11="Less",--(INDEX(Sims!$A333:$BO333,'Entry Builder'!$L$11)&lt;'Entry Builder'!$E$11),--(INDEX(Sims!$A333:$BO333,'Entry Builder'!$L$11)&gt;'Entry Builder'!$E$11)))</f>
        <v/>
      </c>
      <c r="F333">
        <f>IF('Entry Builder'!$N$12=0,1,IF('Entry Builder'!$D$12="Less",--(INDEX(Sims!$A333:$BO333,'Entry Builder'!$L$12)&lt;'Entry Builder'!$E$12),--(INDEX(Sims!$A333:$BO333,'Entry Builder'!$L$12)&gt;'Entry Builder'!$E$12)))</f>
        <v/>
      </c>
      <c r="G333">
        <f>6-SUM(A333:F333)</f>
        <v/>
      </c>
    </row>
    <row r="334">
      <c r="A334">
        <f>IF('Entry Builder'!$N$7=0,1,IF('Entry Builder'!$D$7="Less",--(INDEX(Sims!$A334:$BO334,'Entry Builder'!$L$7)&lt;'Entry Builder'!$E$7),--(INDEX(Sims!$A334:$BO334,'Entry Builder'!$L$7)&gt;'Entry Builder'!$E$7)))</f>
        <v/>
      </c>
      <c r="B334">
        <f>IF('Entry Builder'!$N$8=0,1,IF('Entry Builder'!$D$8="Less",--(INDEX(Sims!$A334:$BO334,'Entry Builder'!$L$8)&lt;'Entry Builder'!$E$8),--(INDEX(Sims!$A334:$BO334,'Entry Builder'!$L$8)&gt;'Entry Builder'!$E$8)))</f>
        <v/>
      </c>
      <c r="C334">
        <f>IF('Entry Builder'!$N$9=0,1,IF('Entry Builder'!$D$9="Less",--(INDEX(Sims!$A334:$BO334,'Entry Builder'!$L$9)&lt;'Entry Builder'!$E$9),--(INDEX(Sims!$A334:$BO334,'Entry Builder'!$L$9)&gt;'Entry Builder'!$E$9)))</f>
        <v/>
      </c>
      <c r="D334">
        <f>IF('Entry Builder'!$N$10=0,1,IF('Entry Builder'!$D$10="Less",--(INDEX(Sims!$A334:$BO334,'Entry Builder'!$L$10)&lt;'Entry Builder'!$E$10),--(INDEX(Sims!$A334:$BO334,'Entry Builder'!$L$10)&gt;'Entry Builder'!$E$10)))</f>
        <v/>
      </c>
      <c r="E334">
        <f>IF('Entry Builder'!$N$11=0,1,IF('Entry Builder'!$D$11="Less",--(INDEX(Sims!$A334:$BO334,'Entry Builder'!$L$11)&lt;'Entry Builder'!$E$11),--(INDEX(Sims!$A334:$BO334,'Entry Builder'!$L$11)&gt;'Entry Builder'!$E$11)))</f>
        <v/>
      </c>
      <c r="F334">
        <f>IF('Entry Builder'!$N$12=0,1,IF('Entry Builder'!$D$12="Less",--(INDEX(Sims!$A334:$BO334,'Entry Builder'!$L$12)&lt;'Entry Builder'!$E$12),--(INDEX(Sims!$A334:$BO334,'Entry Builder'!$L$12)&gt;'Entry Builder'!$E$12)))</f>
        <v/>
      </c>
      <c r="G334">
        <f>6-SUM(A334:F334)</f>
        <v/>
      </c>
    </row>
    <row r="335">
      <c r="A335">
        <f>IF('Entry Builder'!$N$7=0,1,IF('Entry Builder'!$D$7="Less",--(INDEX(Sims!$A335:$BO335,'Entry Builder'!$L$7)&lt;'Entry Builder'!$E$7),--(INDEX(Sims!$A335:$BO335,'Entry Builder'!$L$7)&gt;'Entry Builder'!$E$7)))</f>
        <v/>
      </c>
      <c r="B335">
        <f>IF('Entry Builder'!$N$8=0,1,IF('Entry Builder'!$D$8="Less",--(INDEX(Sims!$A335:$BO335,'Entry Builder'!$L$8)&lt;'Entry Builder'!$E$8),--(INDEX(Sims!$A335:$BO335,'Entry Builder'!$L$8)&gt;'Entry Builder'!$E$8)))</f>
        <v/>
      </c>
      <c r="C335">
        <f>IF('Entry Builder'!$N$9=0,1,IF('Entry Builder'!$D$9="Less",--(INDEX(Sims!$A335:$BO335,'Entry Builder'!$L$9)&lt;'Entry Builder'!$E$9),--(INDEX(Sims!$A335:$BO335,'Entry Builder'!$L$9)&gt;'Entry Builder'!$E$9)))</f>
        <v/>
      </c>
      <c r="D335">
        <f>IF('Entry Builder'!$N$10=0,1,IF('Entry Builder'!$D$10="Less",--(INDEX(Sims!$A335:$BO335,'Entry Builder'!$L$10)&lt;'Entry Builder'!$E$10),--(INDEX(Sims!$A335:$BO335,'Entry Builder'!$L$10)&gt;'Entry Builder'!$E$10)))</f>
        <v/>
      </c>
      <c r="E335">
        <f>IF('Entry Builder'!$N$11=0,1,IF('Entry Builder'!$D$11="Less",--(INDEX(Sims!$A335:$BO335,'Entry Builder'!$L$11)&lt;'Entry Builder'!$E$11),--(INDEX(Sims!$A335:$BO335,'Entry Builder'!$L$11)&gt;'Entry Builder'!$E$11)))</f>
        <v/>
      </c>
      <c r="F335">
        <f>IF('Entry Builder'!$N$12=0,1,IF('Entry Builder'!$D$12="Less",--(INDEX(Sims!$A335:$BO335,'Entry Builder'!$L$12)&lt;'Entry Builder'!$E$12),--(INDEX(Sims!$A335:$BO335,'Entry Builder'!$L$12)&gt;'Entry Builder'!$E$12)))</f>
        <v/>
      </c>
      <c r="G335">
        <f>6-SUM(A335:F335)</f>
        <v/>
      </c>
    </row>
    <row r="336">
      <c r="A336">
        <f>IF('Entry Builder'!$N$7=0,1,IF('Entry Builder'!$D$7="Less",--(INDEX(Sims!$A336:$BO336,'Entry Builder'!$L$7)&lt;'Entry Builder'!$E$7),--(INDEX(Sims!$A336:$BO336,'Entry Builder'!$L$7)&gt;'Entry Builder'!$E$7)))</f>
        <v/>
      </c>
      <c r="B336">
        <f>IF('Entry Builder'!$N$8=0,1,IF('Entry Builder'!$D$8="Less",--(INDEX(Sims!$A336:$BO336,'Entry Builder'!$L$8)&lt;'Entry Builder'!$E$8),--(INDEX(Sims!$A336:$BO336,'Entry Builder'!$L$8)&gt;'Entry Builder'!$E$8)))</f>
        <v/>
      </c>
      <c r="C336">
        <f>IF('Entry Builder'!$N$9=0,1,IF('Entry Builder'!$D$9="Less",--(INDEX(Sims!$A336:$BO336,'Entry Builder'!$L$9)&lt;'Entry Builder'!$E$9),--(INDEX(Sims!$A336:$BO336,'Entry Builder'!$L$9)&gt;'Entry Builder'!$E$9)))</f>
        <v/>
      </c>
      <c r="D336">
        <f>IF('Entry Builder'!$N$10=0,1,IF('Entry Builder'!$D$10="Less",--(INDEX(Sims!$A336:$BO336,'Entry Builder'!$L$10)&lt;'Entry Builder'!$E$10),--(INDEX(Sims!$A336:$BO336,'Entry Builder'!$L$10)&gt;'Entry Builder'!$E$10)))</f>
        <v/>
      </c>
      <c r="E336">
        <f>IF('Entry Builder'!$N$11=0,1,IF('Entry Builder'!$D$11="Less",--(INDEX(Sims!$A336:$BO336,'Entry Builder'!$L$11)&lt;'Entry Builder'!$E$11),--(INDEX(Sims!$A336:$BO336,'Entry Builder'!$L$11)&gt;'Entry Builder'!$E$11)))</f>
        <v/>
      </c>
      <c r="F336">
        <f>IF('Entry Builder'!$N$12=0,1,IF('Entry Builder'!$D$12="Less",--(INDEX(Sims!$A336:$BO336,'Entry Builder'!$L$12)&lt;'Entry Builder'!$E$12),--(INDEX(Sims!$A336:$BO336,'Entry Builder'!$L$12)&gt;'Entry Builder'!$E$12)))</f>
        <v/>
      </c>
      <c r="G336">
        <f>6-SUM(A336:F336)</f>
        <v/>
      </c>
    </row>
    <row r="337">
      <c r="A337">
        <f>IF('Entry Builder'!$N$7=0,1,IF('Entry Builder'!$D$7="Less",--(INDEX(Sims!$A337:$BO337,'Entry Builder'!$L$7)&lt;'Entry Builder'!$E$7),--(INDEX(Sims!$A337:$BO337,'Entry Builder'!$L$7)&gt;'Entry Builder'!$E$7)))</f>
        <v/>
      </c>
      <c r="B337">
        <f>IF('Entry Builder'!$N$8=0,1,IF('Entry Builder'!$D$8="Less",--(INDEX(Sims!$A337:$BO337,'Entry Builder'!$L$8)&lt;'Entry Builder'!$E$8),--(INDEX(Sims!$A337:$BO337,'Entry Builder'!$L$8)&gt;'Entry Builder'!$E$8)))</f>
        <v/>
      </c>
      <c r="C337">
        <f>IF('Entry Builder'!$N$9=0,1,IF('Entry Builder'!$D$9="Less",--(INDEX(Sims!$A337:$BO337,'Entry Builder'!$L$9)&lt;'Entry Builder'!$E$9),--(INDEX(Sims!$A337:$BO337,'Entry Builder'!$L$9)&gt;'Entry Builder'!$E$9)))</f>
        <v/>
      </c>
      <c r="D337">
        <f>IF('Entry Builder'!$N$10=0,1,IF('Entry Builder'!$D$10="Less",--(INDEX(Sims!$A337:$BO337,'Entry Builder'!$L$10)&lt;'Entry Builder'!$E$10),--(INDEX(Sims!$A337:$BO337,'Entry Builder'!$L$10)&gt;'Entry Builder'!$E$10)))</f>
        <v/>
      </c>
      <c r="E337">
        <f>IF('Entry Builder'!$N$11=0,1,IF('Entry Builder'!$D$11="Less",--(INDEX(Sims!$A337:$BO337,'Entry Builder'!$L$11)&lt;'Entry Builder'!$E$11),--(INDEX(Sims!$A337:$BO337,'Entry Builder'!$L$11)&gt;'Entry Builder'!$E$11)))</f>
        <v/>
      </c>
      <c r="F337">
        <f>IF('Entry Builder'!$N$12=0,1,IF('Entry Builder'!$D$12="Less",--(INDEX(Sims!$A337:$BO337,'Entry Builder'!$L$12)&lt;'Entry Builder'!$E$12),--(INDEX(Sims!$A337:$BO337,'Entry Builder'!$L$12)&gt;'Entry Builder'!$E$12)))</f>
        <v/>
      </c>
      <c r="G337">
        <f>6-SUM(A337:F337)</f>
        <v/>
      </c>
    </row>
    <row r="338">
      <c r="A338">
        <f>IF('Entry Builder'!$N$7=0,1,IF('Entry Builder'!$D$7="Less",--(INDEX(Sims!$A338:$BO338,'Entry Builder'!$L$7)&lt;'Entry Builder'!$E$7),--(INDEX(Sims!$A338:$BO338,'Entry Builder'!$L$7)&gt;'Entry Builder'!$E$7)))</f>
        <v/>
      </c>
      <c r="B338">
        <f>IF('Entry Builder'!$N$8=0,1,IF('Entry Builder'!$D$8="Less",--(INDEX(Sims!$A338:$BO338,'Entry Builder'!$L$8)&lt;'Entry Builder'!$E$8),--(INDEX(Sims!$A338:$BO338,'Entry Builder'!$L$8)&gt;'Entry Builder'!$E$8)))</f>
        <v/>
      </c>
      <c r="C338">
        <f>IF('Entry Builder'!$N$9=0,1,IF('Entry Builder'!$D$9="Less",--(INDEX(Sims!$A338:$BO338,'Entry Builder'!$L$9)&lt;'Entry Builder'!$E$9),--(INDEX(Sims!$A338:$BO338,'Entry Builder'!$L$9)&gt;'Entry Builder'!$E$9)))</f>
        <v/>
      </c>
      <c r="D338">
        <f>IF('Entry Builder'!$N$10=0,1,IF('Entry Builder'!$D$10="Less",--(INDEX(Sims!$A338:$BO338,'Entry Builder'!$L$10)&lt;'Entry Builder'!$E$10),--(INDEX(Sims!$A338:$BO338,'Entry Builder'!$L$10)&gt;'Entry Builder'!$E$10)))</f>
        <v/>
      </c>
      <c r="E338">
        <f>IF('Entry Builder'!$N$11=0,1,IF('Entry Builder'!$D$11="Less",--(INDEX(Sims!$A338:$BO338,'Entry Builder'!$L$11)&lt;'Entry Builder'!$E$11),--(INDEX(Sims!$A338:$BO338,'Entry Builder'!$L$11)&gt;'Entry Builder'!$E$11)))</f>
        <v/>
      </c>
      <c r="F338">
        <f>IF('Entry Builder'!$N$12=0,1,IF('Entry Builder'!$D$12="Less",--(INDEX(Sims!$A338:$BO338,'Entry Builder'!$L$12)&lt;'Entry Builder'!$E$12),--(INDEX(Sims!$A338:$BO338,'Entry Builder'!$L$12)&gt;'Entry Builder'!$E$12)))</f>
        <v/>
      </c>
      <c r="G338">
        <f>6-SUM(A338:F338)</f>
        <v/>
      </c>
    </row>
    <row r="339">
      <c r="A339">
        <f>IF('Entry Builder'!$N$7=0,1,IF('Entry Builder'!$D$7="Less",--(INDEX(Sims!$A339:$BO339,'Entry Builder'!$L$7)&lt;'Entry Builder'!$E$7),--(INDEX(Sims!$A339:$BO339,'Entry Builder'!$L$7)&gt;'Entry Builder'!$E$7)))</f>
        <v/>
      </c>
      <c r="B339">
        <f>IF('Entry Builder'!$N$8=0,1,IF('Entry Builder'!$D$8="Less",--(INDEX(Sims!$A339:$BO339,'Entry Builder'!$L$8)&lt;'Entry Builder'!$E$8),--(INDEX(Sims!$A339:$BO339,'Entry Builder'!$L$8)&gt;'Entry Builder'!$E$8)))</f>
        <v/>
      </c>
      <c r="C339">
        <f>IF('Entry Builder'!$N$9=0,1,IF('Entry Builder'!$D$9="Less",--(INDEX(Sims!$A339:$BO339,'Entry Builder'!$L$9)&lt;'Entry Builder'!$E$9),--(INDEX(Sims!$A339:$BO339,'Entry Builder'!$L$9)&gt;'Entry Builder'!$E$9)))</f>
        <v/>
      </c>
      <c r="D339">
        <f>IF('Entry Builder'!$N$10=0,1,IF('Entry Builder'!$D$10="Less",--(INDEX(Sims!$A339:$BO339,'Entry Builder'!$L$10)&lt;'Entry Builder'!$E$10),--(INDEX(Sims!$A339:$BO339,'Entry Builder'!$L$10)&gt;'Entry Builder'!$E$10)))</f>
        <v/>
      </c>
      <c r="E339">
        <f>IF('Entry Builder'!$N$11=0,1,IF('Entry Builder'!$D$11="Less",--(INDEX(Sims!$A339:$BO339,'Entry Builder'!$L$11)&lt;'Entry Builder'!$E$11),--(INDEX(Sims!$A339:$BO339,'Entry Builder'!$L$11)&gt;'Entry Builder'!$E$11)))</f>
        <v/>
      </c>
      <c r="F339">
        <f>IF('Entry Builder'!$N$12=0,1,IF('Entry Builder'!$D$12="Less",--(INDEX(Sims!$A339:$BO339,'Entry Builder'!$L$12)&lt;'Entry Builder'!$E$12),--(INDEX(Sims!$A339:$BO339,'Entry Builder'!$L$12)&gt;'Entry Builder'!$E$12)))</f>
        <v/>
      </c>
      <c r="G339">
        <f>6-SUM(A339:F339)</f>
        <v/>
      </c>
    </row>
    <row r="340">
      <c r="A340">
        <f>IF('Entry Builder'!$N$7=0,1,IF('Entry Builder'!$D$7="Less",--(INDEX(Sims!$A340:$BO340,'Entry Builder'!$L$7)&lt;'Entry Builder'!$E$7),--(INDEX(Sims!$A340:$BO340,'Entry Builder'!$L$7)&gt;'Entry Builder'!$E$7)))</f>
        <v/>
      </c>
      <c r="B340">
        <f>IF('Entry Builder'!$N$8=0,1,IF('Entry Builder'!$D$8="Less",--(INDEX(Sims!$A340:$BO340,'Entry Builder'!$L$8)&lt;'Entry Builder'!$E$8),--(INDEX(Sims!$A340:$BO340,'Entry Builder'!$L$8)&gt;'Entry Builder'!$E$8)))</f>
        <v/>
      </c>
      <c r="C340">
        <f>IF('Entry Builder'!$N$9=0,1,IF('Entry Builder'!$D$9="Less",--(INDEX(Sims!$A340:$BO340,'Entry Builder'!$L$9)&lt;'Entry Builder'!$E$9),--(INDEX(Sims!$A340:$BO340,'Entry Builder'!$L$9)&gt;'Entry Builder'!$E$9)))</f>
        <v/>
      </c>
      <c r="D340">
        <f>IF('Entry Builder'!$N$10=0,1,IF('Entry Builder'!$D$10="Less",--(INDEX(Sims!$A340:$BO340,'Entry Builder'!$L$10)&lt;'Entry Builder'!$E$10),--(INDEX(Sims!$A340:$BO340,'Entry Builder'!$L$10)&gt;'Entry Builder'!$E$10)))</f>
        <v/>
      </c>
      <c r="E340">
        <f>IF('Entry Builder'!$N$11=0,1,IF('Entry Builder'!$D$11="Less",--(INDEX(Sims!$A340:$BO340,'Entry Builder'!$L$11)&lt;'Entry Builder'!$E$11),--(INDEX(Sims!$A340:$BO340,'Entry Builder'!$L$11)&gt;'Entry Builder'!$E$11)))</f>
        <v/>
      </c>
      <c r="F340">
        <f>IF('Entry Builder'!$N$12=0,1,IF('Entry Builder'!$D$12="Less",--(INDEX(Sims!$A340:$BO340,'Entry Builder'!$L$12)&lt;'Entry Builder'!$E$12),--(INDEX(Sims!$A340:$BO340,'Entry Builder'!$L$12)&gt;'Entry Builder'!$E$12)))</f>
        <v/>
      </c>
      <c r="G340">
        <f>6-SUM(A340:F340)</f>
        <v/>
      </c>
    </row>
    <row r="341">
      <c r="A341">
        <f>IF('Entry Builder'!$N$7=0,1,IF('Entry Builder'!$D$7="Less",--(INDEX(Sims!$A341:$BO341,'Entry Builder'!$L$7)&lt;'Entry Builder'!$E$7),--(INDEX(Sims!$A341:$BO341,'Entry Builder'!$L$7)&gt;'Entry Builder'!$E$7)))</f>
        <v/>
      </c>
      <c r="B341">
        <f>IF('Entry Builder'!$N$8=0,1,IF('Entry Builder'!$D$8="Less",--(INDEX(Sims!$A341:$BO341,'Entry Builder'!$L$8)&lt;'Entry Builder'!$E$8),--(INDEX(Sims!$A341:$BO341,'Entry Builder'!$L$8)&gt;'Entry Builder'!$E$8)))</f>
        <v/>
      </c>
      <c r="C341">
        <f>IF('Entry Builder'!$N$9=0,1,IF('Entry Builder'!$D$9="Less",--(INDEX(Sims!$A341:$BO341,'Entry Builder'!$L$9)&lt;'Entry Builder'!$E$9),--(INDEX(Sims!$A341:$BO341,'Entry Builder'!$L$9)&gt;'Entry Builder'!$E$9)))</f>
        <v/>
      </c>
      <c r="D341">
        <f>IF('Entry Builder'!$N$10=0,1,IF('Entry Builder'!$D$10="Less",--(INDEX(Sims!$A341:$BO341,'Entry Builder'!$L$10)&lt;'Entry Builder'!$E$10),--(INDEX(Sims!$A341:$BO341,'Entry Builder'!$L$10)&gt;'Entry Builder'!$E$10)))</f>
        <v/>
      </c>
      <c r="E341">
        <f>IF('Entry Builder'!$N$11=0,1,IF('Entry Builder'!$D$11="Less",--(INDEX(Sims!$A341:$BO341,'Entry Builder'!$L$11)&lt;'Entry Builder'!$E$11),--(INDEX(Sims!$A341:$BO341,'Entry Builder'!$L$11)&gt;'Entry Builder'!$E$11)))</f>
        <v/>
      </c>
      <c r="F341">
        <f>IF('Entry Builder'!$N$12=0,1,IF('Entry Builder'!$D$12="Less",--(INDEX(Sims!$A341:$BO341,'Entry Builder'!$L$12)&lt;'Entry Builder'!$E$12),--(INDEX(Sims!$A341:$BO341,'Entry Builder'!$L$12)&gt;'Entry Builder'!$E$12)))</f>
        <v/>
      </c>
      <c r="G341">
        <f>6-SUM(A341:F341)</f>
        <v/>
      </c>
    </row>
    <row r="342">
      <c r="A342">
        <f>IF('Entry Builder'!$N$7=0,1,IF('Entry Builder'!$D$7="Less",--(INDEX(Sims!$A342:$BO342,'Entry Builder'!$L$7)&lt;'Entry Builder'!$E$7),--(INDEX(Sims!$A342:$BO342,'Entry Builder'!$L$7)&gt;'Entry Builder'!$E$7)))</f>
        <v/>
      </c>
      <c r="B342">
        <f>IF('Entry Builder'!$N$8=0,1,IF('Entry Builder'!$D$8="Less",--(INDEX(Sims!$A342:$BO342,'Entry Builder'!$L$8)&lt;'Entry Builder'!$E$8),--(INDEX(Sims!$A342:$BO342,'Entry Builder'!$L$8)&gt;'Entry Builder'!$E$8)))</f>
        <v/>
      </c>
      <c r="C342">
        <f>IF('Entry Builder'!$N$9=0,1,IF('Entry Builder'!$D$9="Less",--(INDEX(Sims!$A342:$BO342,'Entry Builder'!$L$9)&lt;'Entry Builder'!$E$9),--(INDEX(Sims!$A342:$BO342,'Entry Builder'!$L$9)&gt;'Entry Builder'!$E$9)))</f>
        <v/>
      </c>
      <c r="D342">
        <f>IF('Entry Builder'!$N$10=0,1,IF('Entry Builder'!$D$10="Less",--(INDEX(Sims!$A342:$BO342,'Entry Builder'!$L$10)&lt;'Entry Builder'!$E$10),--(INDEX(Sims!$A342:$BO342,'Entry Builder'!$L$10)&gt;'Entry Builder'!$E$10)))</f>
        <v/>
      </c>
      <c r="E342">
        <f>IF('Entry Builder'!$N$11=0,1,IF('Entry Builder'!$D$11="Less",--(INDEX(Sims!$A342:$BO342,'Entry Builder'!$L$11)&lt;'Entry Builder'!$E$11),--(INDEX(Sims!$A342:$BO342,'Entry Builder'!$L$11)&gt;'Entry Builder'!$E$11)))</f>
        <v/>
      </c>
      <c r="F342">
        <f>IF('Entry Builder'!$N$12=0,1,IF('Entry Builder'!$D$12="Less",--(INDEX(Sims!$A342:$BO342,'Entry Builder'!$L$12)&lt;'Entry Builder'!$E$12),--(INDEX(Sims!$A342:$BO342,'Entry Builder'!$L$12)&gt;'Entry Builder'!$E$12)))</f>
        <v/>
      </c>
      <c r="G342">
        <f>6-SUM(A342:F342)</f>
        <v/>
      </c>
    </row>
    <row r="343">
      <c r="A343">
        <f>IF('Entry Builder'!$N$7=0,1,IF('Entry Builder'!$D$7="Less",--(INDEX(Sims!$A343:$BO343,'Entry Builder'!$L$7)&lt;'Entry Builder'!$E$7),--(INDEX(Sims!$A343:$BO343,'Entry Builder'!$L$7)&gt;'Entry Builder'!$E$7)))</f>
        <v/>
      </c>
      <c r="B343">
        <f>IF('Entry Builder'!$N$8=0,1,IF('Entry Builder'!$D$8="Less",--(INDEX(Sims!$A343:$BO343,'Entry Builder'!$L$8)&lt;'Entry Builder'!$E$8),--(INDEX(Sims!$A343:$BO343,'Entry Builder'!$L$8)&gt;'Entry Builder'!$E$8)))</f>
        <v/>
      </c>
      <c r="C343">
        <f>IF('Entry Builder'!$N$9=0,1,IF('Entry Builder'!$D$9="Less",--(INDEX(Sims!$A343:$BO343,'Entry Builder'!$L$9)&lt;'Entry Builder'!$E$9),--(INDEX(Sims!$A343:$BO343,'Entry Builder'!$L$9)&gt;'Entry Builder'!$E$9)))</f>
        <v/>
      </c>
      <c r="D343">
        <f>IF('Entry Builder'!$N$10=0,1,IF('Entry Builder'!$D$10="Less",--(INDEX(Sims!$A343:$BO343,'Entry Builder'!$L$10)&lt;'Entry Builder'!$E$10),--(INDEX(Sims!$A343:$BO343,'Entry Builder'!$L$10)&gt;'Entry Builder'!$E$10)))</f>
        <v/>
      </c>
      <c r="E343">
        <f>IF('Entry Builder'!$N$11=0,1,IF('Entry Builder'!$D$11="Less",--(INDEX(Sims!$A343:$BO343,'Entry Builder'!$L$11)&lt;'Entry Builder'!$E$11),--(INDEX(Sims!$A343:$BO343,'Entry Builder'!$L$11)&gt;'Entry Builder'!$E$11)))</f>
        <v/>
      </c>
      <c r="F343">
        <f>IF('Entry Builder'!$N$12=0,1,IF('Entry Builder'!$D$12="Less",--(INDEX(Sims!$A343:$BO343,'Entry Builder'!$L$12)&lt;'Entry Builder'!$E$12),--(INDEX(Sims!$A343:$BO343,'Entry Builder'!$L$12)&gt;'Entry Builder'!$E$12)))</f>
        <v/>
      </c>
      <c r="G343">
        <f>6-SUM(A343:F343)</f>
        <v/>
      </c>
    </row>
    <row r="344">
      <c r="A344">
        <f>IF('Entry Builder'!$N$7=0,1,IF('Entry Builder'!$D$7="Less",--(INDEX(Sims!$A344:$BO344,'Entry Builder'!$L$7)&lt;'Entry Builder'!$E$7),--(INDEX(Sims!$A344:$BO344,'Entry Builder'!$L$7)&gt;'Entry Builder'!$E$7)))</f>
        <v/>
      </c>
      <c r="B344">
        <f>IF('Entry Builder'!$N$8=0,1,IF('Entry Builder'!$D$8="Less",--(INDEX(Sims!$A344:$BO344,'Entry Builder'!$L$8)&lt;'Entry Builder'!$E$8),--(INDEX(Sims!$A344:$BO344,'Entry Builder'!$L$8)&gt;'Entry Builder'!$E$8)))</f>
        <v/>
      </c>
      <c r="C344">
        <f>IF('Entry Builder'!$N$9=0,1,IF('Entry Builder'!$D$9="Less",--(INDEX(Sims!$A344:$BO344,'Entry Builder'!$L$9)&lt;'Entry Builder'!$E$9),--(INDEX(Sims!$A344:$BO344,'Entry Builder'!$L$9)&gt;'Entry Builder'!$E$9)))</f>
        <v/>
      </c>
      <c r="D344">
        <f>IF('Entry Builder'!$N$10=0,1,IF('Entry Builder'!$D$10="Less",--(INDEX(Sims!$A344:$BO344,'Entry Builder'!$L$10)&lt;'Entry Builder'!$E$10),--(INDEX(Sims!$A344:$BO344,'Entry Builder'!$L$10)&gt;'Entry Builder'!$E$10)))</f>
        <v/>
      </c>
      <c r="E344">
        <f>IF('Entry Builder'!$N$11=0,1,IF('Entry Builder'!$D$11="Less",--(INDEX(Sims!$A344:$BO344,'Entry Builder'!$L$11)&lt;'Entry Builder'!$E$11),--(INDEX(Sims!$A344:$BO344,'Entry Builder'!$L$11)&gt;'Entry Builder'!$E$11)))</f>
        <v/>
      </c>
      <c r="F344">
        <f>IF('Entry Builder'!$N$12=0,1,IF('Entry Builder'!$D$12="Less",--(INDEX(Sims!$A344:$BO344,'Entry Builder'!$L$12)&lt;'Entry Builder'!$E$12),--(INDEX(Sims!$A344:$BO344,'Entry Builder'!$L$12)&gt;'Entry Builder'!$E$12)))</f>
        <v/>
      </c>
      <c r="G344">
        <f>6-SUM(A344:F344)</f>
        <v/>
      </c>
    </row>
    <row r="345">
      <c r="A345">
        <f>IF('Entry Builder'!$N$7=0,1,IF('Entry Builder'!$D$7="Less",--(INDEX(Sims!$A345:$BO345,'Entry Builder'!$L$7)&lt;'Entry Builder'!$E$7),--(INDEX(Sims!$A345:$BO345,'Entry Builder'!$L$7)&gt;'Entry Builder'!$E$7)))</f>
        <v/>
      </c>
      <c r="B345">
        <f>IF('Entry Builder'!$N$8=0,1,IF('Entry Builder'!$D$8="Less",--(INDEX(Sims!$A345:$BO345,'Entry Builder'!$L$8)&lt;'Entry Builder'!$E$8),--(INDEX(Sims!$A345:$BO345,'Entry Builder'!$L$8)&gt;'Entry Builder'!$E$8)))</f>
        <v/>
      </c>
      <c r="C345">
        <f>IF('Entry Builder'!$N$9=0,1,IF('Entry Builder'!$D$9="Less",--(INDEX(Sims!$A345:$BO345,'Entry Builder'!$L$9)&lt;'Entry Builder'!$E$9),--(INDEX(Sims!$A345:$BO345,'Entry Builder'!$L$9)&gt;'Entry Builder'!$E$9)))</f>
        <v/>
      </c>
      <c r="D345">
        <f>IF('Entry Builder'!$N$10=0,1,IF('Entry Builder'!$D$10="Less",--(INDEX(Sims!$A345:$BO345,'Entry Builder'!$L$10)&lt;'Entry Builder'!$E$10),--(INDEX(Sims!$A345:$BO345,'Entry Builder'!$L$10)&gt;'Entry Builder'!$E$10)))</f>
        <v/>
      </c>
      <c r="E345">
        <f>IF('Entry Builder'!$N$11=0,1,IF('Entry Builder'!$D$11="Less",--(INDEX(Sims!$A345:$BO345,'Entry Builder'!$L$11)&lt;'Entry Builder'!$E$11),--(INDEX(Sims!$A345:$BO345,'Entry Builder'!$L$11)&gt;'Entry Builder'!$E$11)))</f>
        <v/>
      </c>
      <c r="F345">
        <f>IF('Entry Builder'!$N$12=0,1,IF('Entry Builder'!$D$12="Less",--(INDEX(Sims!$A345:$BO345,'Entry Builder'!$L$12)&lt;'Entry Builder'!$E$12),--(INDEX(Sims!$A345:$BO345,'Entry Builder'!$L$12)&gt;'Entry Builder'!$E$12)))</f>
        <v/>
      </c>
      <c r="G345">
        <f>6-SUM(A345:F345)</f>
        <v/>
      </c>
    </row>
    <row r="346">
      <c r="A346">
        <f>IF('Entry Builder'!$N$7=0,1,IF('Entry Builder'!$D$7="Less",--(INDEX(Sims!$A346:$BO346,'Entry Builder'!$L$7)&lt;'Entry Builder'!$E$7),--(INDEX(Sims!$A346:$BO346,'Entry Builder'!$L$7)&gt;'Entry Builder'!$E$7)))</f>
        <v/>
      </c>
      <c r="B346">
        <f>IF('Entry Builder'!$N$8=0,1,IF('Entry Builder'!$D$8="Less",--(INDEX(Sims!$A346:$BO346,'Entry Builder'!$L$8)&lt;'Entry Builder'!$E$8),--(INDEX(Sims!$A346:$BO346,'Entry Builder'!$L$8)&gt;'Entry Builder'!$E$8)))</f>
        <v/>
      </c>
      <c r="C346">
        <f>IF('Entry Builder'!$N$9=0,1,IF('Entry Builder'!$D$9="Less",--(INDEX(Sims!$A346:$BO346,'Entry Builder'!$L$9)&lt;'Entry Builder'!$E$9),--(INDEX(Sims!$A346:$BO346,'Entry Builder'!$L$9)&gt;'Entry Builder'!$E$9)))</f>
        <v/>
      </c>
      <c r="D346">
        <f>IF('Entry Builder'!$N$10=0,1,IF('Entry Builder'!$D$10="Less",--(INDEX(Sims!$A346:$BO346,'Entry Builder'!$L$10)&lt;'Entry Builder'!$E$10),--(INDEX(Sims!$A346:$BO346,'Entry Builder'!$L$10)&gt;'Entry Builder'!$E$10)))</f>
        <v/>
      </c>
      <c r="E346">
        <f>IF('Entry Builder'!$N$11=0,1,IF('Entry Builder'!$D$11="Less",--(INDEX(Sims!$A346:$BO346,'Entry Builder'!$L$11)&lt;'Entry Builder'!$E$11),--(INDEX(Sims!$A346:$BO346,'Entry Builder'!$L$11)&gt;'Entry Builder'!$E$11)))</f>
        <v/>
      </c>
      <c r="F346">
        <f>IF('Entry Builder'!$N$12=0,1,IF('Entry Builder'!$D$12="Less",--(INDEX(Sims!$A346:$BO346,'Entry Builder'!$L$12)&lt;'Entry Builder'!$E$12),--(INDEX(Sims!$A346:$BO346,'Entry Builder'!$L$12)&gt;'Entry Builder'!$E$12)))</f>
        <v/>
      </c>
      <c r="G346">
        <f>6-SUM(A346:F346)</f>
        <v/>
      </c>
    </row>
    <row r="347">
      <c r="A347">
        <f>IF('Entry Builder'!$N$7=0,1,IF('Entry Builder'!$D$7="Less",--(INDEX(Sims!$A347:$BO347,'Entry Builder'!$L$7)&lt;'Entry Builder'!$E$7),--(INDEX(Sims!$A347:$BO347,'Entry Builder'!$L$7)&gt;'Entry Builder'!$E$7)))</f>
        <v/>
      </c>
      <c r="B347">
        <f>IF('Entry Builder'!$N$8=0,1,IF('Entry Builder'!$D$8="Less",--(INDEX(Sims!$A347:$BO347,'Entry Builder'!$L$8)&lt;'Entry Builder'!$E$8),--(INDEX(Sims!$A347:$BO347,'Entry Builder'!$L$8)&gt;'Entry Builder'!$E$8)))</f>
        <v/>
      </c>
      <c r="C347">
        <f>IF('Entry Builder'!$N$9=0,1,IF('Entry Builder'!$D$9="Less",--(INDEX(Sims!$A347:$BO347,'Entry Builder'!$L$9)&lt;'Entry Builder'!$E$9),--(INDEX(Sims!$A347:$BO347,'Entry Builder'!$L$9)&gt;'Entry Builder'!$E$9)))</f>
        <v/>
      </c>
      <c r="D347">
        <f>IF('Entry Builder'!$N$10=0,1,IF('Entry Builder'!$D$10="Less",--(INDEX(Sims!$A347:$BO347,'Entry Builder'!$L$10)&lt;'Entry Builder'!$E$10),--(INDEX(Sims!$A347:$BO347,'Entry Builder'!$L$10)&gt;'Entry Builder'!$E$10)))</f>
        <v/>
      </c>
      <c r="E347">
        <f>IF('Entry Builder'!$N$11=0,1,IF('Entry Builder'!$D$11="Less",--(INDEX(Sims!$A347:$BO347,'Entry Builder'!$L$11)&lt;'Entry Builder'!$E$11),--(INDEX(Sims!$A347:$BO347,'Entry Builder'!$L$11)&gt;'Entry Builder'!$E$11)))</f>
        <v/>
      </c>
      <c r="F347">
        <f>IF('Entry Builder'!$N$12=0,1,IF('Entry Builder'!$D$12="Less",--(INDEX(Sims!$A347:$BO347,'Entry Builder'!$L$12)&lt;'Entry Builder'!$E$12),--(INDEX(Sims!$A347:$BO347,'Entry Builder'!$L$12)&gt;'Entry Builder'!$E$12)))</f>
        <v/>
      </c>
      <c r="G347">
        <f>6-SUM(A347:F347)</f>
        <v/>
      </c>
    </row>
    <row r="348">
      <c r="A348">
        <f>IF('Entry Builder'!$N$7=0,1,IF('Entry Builder'!$D$7="Less",--(INDEX(Sims!$A348:$BO348,'Entry Builder'!$L$7)&lt;'Entry Builder'!$E$7),--(INDEX(Sims!$A348:$BO348,'Entry Builder'!$L$7)&gt;'Entry Builder'!$E$7)))</f>
        <v/>
      </c>
      <c r="B348">
        <f>IF('Entry Builder'!$N$8=0,1,IF('Entry Builder'!$D$8="Less",--(INDEX(Sims!$A348:$BO348,'Entry Builder'!$L$8)&lt;'Entry Builder'!$E$8),--(INDEX(Sims!$A348:$BO348,'Entry Builder'!$L$8)&gt;'Entry Builder'!$E$8)))</f>
        <v/>
      </c>
      <c r="C348">
        <f>IF('Entry Builder'!$N$9=0,1,IF('Entry Builder'!$D$9="Less",--(INDEX(Sims!$A348:$BO348,'Entry Builder'!$L$9)&lt;'Entry Builder'!$E$9),--(INDEX(Sims!$A348:$BO348,'Entry Builder'!$L$9)&gt;'Entry Builder'!$E$9)))</f>
        <v/>
      </c>
      <c r="D348">
        <f>IF('Entry Builder'!$N$10=0,1,IF('Entry Builder'!$D$10="Less",--(INDEX(Sims!$A348:$BO348,'Entry Builder'!$L$10)&lt;'Entry Builder'!$E$10),--(INDEX(Sims!$A348:$BO348,'Entry Builder'!$L$10)&gt;'Entry Builder'!$E$10)))</f>
        <v/>
      </c>
      <c r="E348">
        <f>IF('Entry Builder'!$N$11=0,1,IF('Entry Builder'!$D$11="Less",--(INDEX(Sims!$A348:$BO348,'Entry Builder'!$L$11)&lt;'Entry Builder'!$E$11),--(INDEX(Sims!$A348:$BO348,'Entry Builder'!$L$11)&gt;'Entry Builder'!$E$11)))</f>
        <v/>
      </c>
      <c r="F348">
        <f>IF('Entry Builder'!$N$12=0,1,IF('Entry Builder'!$D$12="Less",--(INDEX(Sims!$A348:$BO348,'Entry Builder'!$L$12)&lt;'Entry Builder'!$E$12),--(INDEX(Sims!$A348:$BO348,'Entry Builder'!$L$12)&gt;'Entry Builder'!$E$12)))</f>
        <v/>
      </c>
      <c r="G348">
        <f>6-SUM(A348:F348)</f>
        <v/>
      </c>
    </row>
    <row r="349">
      <c r="A349">
        <f>IF('Entry Builder'!$N$7=0,1,IF('Entry Builder'!$D$7="Less",--(INDEX(Sims!$A349:$BO349,'Entry Builder'!$L$7)&lt;'Entry Builder'!$E$7),--(INDEX(Sims!$A349:$BO349,'Entry Builder'!$L$7)&gt;'Entry Builder'!$E$7)))</f>
        <v/>
      </c>
      <c r="B349">
        <f>IF('Entry Builder'!$N$8=0,1,IF('Entry Builder'!$D$8="Less",--(INDEX(Sims!$A349:$BO349,'Entry Builder'!$L$8)&lt;'Entry Builder'!$E$8),--(INDEX(Sims!$A349:$BO349,'Entry Builder'!$L$8)&gt;'Entry Builder'!$E$8)))</f>
        <v/>
      </c>
      <c r="C349">
        <f>IF('Entry Builder'!$N$9=0,1,IF('Entry Builder'!$D$9="Less",--(INDEX(Sims!$A349:$BO349,'Entry Builder'!$L$9)&lt;'Entry Builder'!$E$9),--(INDEX(Sims!$A349:$BO349,'Entry Builder'!$L$9)&gt;'Entry Builder'!$E$9)))</f>
        <v/>
      </c>
      <c r="D349">
        <f>IF('Entry Builder'!$N$10=0,1,IF('Entry Builder'!$D$10="Less",--(INDEX(Sims!$A349:$BO349,'Entry Builder'!$L$10)&lt;'Entry Builder'!$E$10),--(INDEX(Sims!$A349:$BO349,'Entry Builder'!$L$10)&gt;'Entry Builder'!$E$10)))</f>
        <v/>
      </c>
      <c r="E349">
        <f>IF('Entry Builder'!$N$11=0,1,IF('Entry Builder'!$D$11="Less",--(INDEX(Sims!$A349:$BO349,'Entry Builder'!$L$11)&lt;'Entry Builder'!$E$11),--(INDEX(Sims!$A349:$BO349,'Entry Builder'!$L$11)&gt;'Entry Builder'!$E$11)))</f>
        <v/>
      </c>
      <c r="F349">
        <f>IF('Entry Builder'!$N$12=0,1,IF('Entry Builder'!$D$12="Less",--(INDEX(Sims!$A349:$BO349,'Entry Builder'!$L$12)&lt;'Entry Builder'!$E$12),--(INDEX(Sims!$A349:$BO349,'Entry Builder'!$L$12)&gt;'Entry Builder'!$E$12)))</f>
        <v/>
      </c>
      <c r="G349">
        <f>6-SUM(A349:F349)</f>
        <v/>
      </c>
    </row>
    <row r="350">
      <c r="A350">
        <f>IF('Entry Builder'!$N$7=0,1,IF('Entry Builder'!$D$7="Less",--(INDEX(Sims!$A350:$BO350,'Entry Builder'!$L$7)&lt;'Entry Builder'!$E$7),--(INDEX(Sims!$A350:$BO350,'Entry Builder'!$L$7)&gt;'Entry Builder'!$E$7)))</f>
        <v/>
      </c>
      <c r="B350">
        <f>IF('Entry Builder'!$N$8=0,1,IF('Entry Builder'!$D$8="Less",--(INDEX(Sims!$A350:$BO350,'Entry Builder'!$L$8)&lt;'Entry Builder'!$E$8),--(INDEX(Sims!$A350:$BO350,'Entry Builder'!$L$8)&gt;'Entry Builder'!$E$8)))</f>
        <v/>
      </c>
      <c r="C350">
        <f>IF('Entry Builder'!$N$9=0,1,IF('Entry Builder'!$D$9="Less",--(INDEX(Sims!$A350:$BO350,'Entry Builder'!$L$9)&lt;'Entry Builder'!$E$9),--(INDEX(Sims!$A350:$BO350,'Entry Builder'!$L$9)&gt;'Entry Builder'!$E$9)))</f>
        <v/>
      </c>
      <c r="D350">
        <f>IF('Entry Builder'!$N$10=0,1,IF('Entry Builder'!$D$10="Less",--(INDEX(Sims!$A350:$BO350,'Entry Builder'!$L$10)&lt;'Entry Builder'!$E$10),--(INDEX(Sims!$A350:$BO350,'Entry Builder'!$L$10)&gt;'Entry Builder'!$E$10)))</f>
        <v/>
      </c>
      <c r="E350">
        <f>IF('Entry Builder'!$N$11=0,1,IF('Entry Builder'!$D$11="Less",--(INDEX(Sims!$A350:$BO350,'Entry Builder'!$L$11)&lt;'Entry Builder'!$E$11),--(INDEX(Sims!$A350:$BO350,'Entry Builder'!$L$11)&gt;'Entry Builder'!$E$11)))</f>
        <v/>
      </c>
      <c r="F350">
        <f>IF('Entry Builder'!$N$12=0,1,IF('Entry Builder'!$D$12="Less",--(INDEX(Sims!$A350:$BO350,'Entry Builder'!$L$12)&lt;'Entry Builder'!$E$12),--(INDEX(Sims!$A350:$BO350,'Entry Builder'!$L$12)&gt;'Entry Builder'!$E$12)))</f>
        <v/>
      </c>
      <c r="G350">
        <f>6-SUM(A350:F350)</f>
        <v/>
      </c>
    </row>
    <row r="351">
      <c r="A351">
        <f>IF('Entry Builder'!$N$7=0,1,IF('Entry Builder'!$D$7="Less",--(INDEX(Sims!$A351:$BO351,'Entry Builder'!$L$7)&lt;'Entry Builder'!$E$7),--(INDEX(Sims!$A351:$BO351,'Entry Builder'!$L$7)&gt;'Entry Builder'!$E$7)))</f>
        <v/>
      </c>
      <c r="B351">
        <f>IF('Entry Builder'!$N$8=0,1,IF('Entry Builder'!$D$8="Less",--(INDEX(Sims!$A351:$BO351,'Entry Builder'!$L$8)&lt;'Entry Builder'!$E$8),--(INDEX(Sims!$A351:$BO351,'Entry Builder'!$L$8)&gt;'Entry Builder'!$E$8)))</f>
        <v/>
      </c>
      <c r="C351">
        <f>IF('Entry Builder'!$N$9=0,1,IF('Entry Builder'!$D$9="Less",--(INDEX(Sims!$A351:$BO351,'Entry Builder'!$L$9)&lt;'Entry Builder'!$E$9),--(INDEX(Sims!$A351:$BO351,'Entry Builder'!$L$9)&gt;'Entry Builder'!$E$9)))</f>
        <v/>
      </c>
      <c r="D351">
        <f>IF('Entry Builder'!$N$10=0,1,IF('Entry Builder'!$D$10="Less",--(INDEX(Sims!$A351:$BO351,'Entry Builder'!$L$10)&lt;'Entry Builder'!$E$10),--(INDEX(Sims!$A351:$BO351,'Entry Builder'!$L$10)&gt;'Entry Builder'!$E$10)))</f>
        <v/>
      </c>
      <c r="E351">
        <f>IF('Entry Builder'!$N$11=0,1,IF('Entry Builder'!$D$11="Less",--(INDEX(Sims!$A351:$BO351,'Entry Builder'!$L$11)&lt;'Entry Builder'!$E$11),--(INDEX(Sims!$A351:$BO351,'Entry Builder'!$L$11)&gt;'Entry Builder'!$E$11)))</f>
        <v/>
      </c>
      <c r="F351">
        <f>IF('Entry Builder'!$N$12=0,1,IF('Entry Builder'!$D$12="Less",--(INDEX(Sims!$A351:$BO351,'Entry Builder'!$L$12)&lt;'Entry Builder'!$E$12),--(INDEX(Sims!$A351:$BO351,'Entry Builder'!$L$12)&gt;'Entry Builder'!$E$12)))</f>
        <v/>
      </c>
      <c r="G351">
        <f>6-SUM(A351:F351)</f>
        <v/>
      </c>
    </row>
    <row r="352">
      <c r="A352">
        <f>IF('Entry Builder'!$N$7=0,1,IF('Entry Builder'!$D$7="Less",--(INDEX(Sims!$A352:$BO352,'Entry Builder'!$L$7)&lt;'Entry Builder'!$E$7),--(INDEX(Sims!$A352:$BO352,'Entry Builder'!$L$7)&gt;'Entry Builder'!$E$7)))</f>
        <v/>
      </c>
      <c r="B352">
        <f>IF('Entry Builder'!$N$8=0,1,IF('Entry Builder'!$D$8="Less",--(INDEX(Sims!$A352:$BO352,'Entry Builder'!$L$8)&lt;'Entry Builder'!$E$8),--(INDEX(Sims!$A352:$BO352,'Entry Builder'!$L$8)&gt;'Entry Builder'!$E$8)))</f>
        <v/>
      </c>
      <c r="C352">
        <f>IF('Entry Builder'!$N$9=0,1,IF('Entry Builder'!$D$9="Less",--(INDEX(Sims!$A352:$BO352,'Entry Builder'!$L$9)&lt;'Entry Builder'!$E$9),--(INDEX(Sims!$A352:$BO352,'Entry Builder'!$L$9)&gt;'Entry Builder'!$E$9)))</f>
        <v/>
      </c>
      <c r="D352">
        <f>IF('Entry Builder'!$N$10=0,1,IF('Entry Builder'!$D$10="Less",--(INDEX(Sims!$A352:$BO352,'Entry Builder'!$L$10)&lt;'Entry Builder'!$E$10),--(INDEX(Sims!$A352:$BO352,'Entry Builder'!$L$10)&gt;'Entry Builder'!$E$10)))</f>
        <v/>
      </c>
      <c r="E352">
        <f>IF('Entry Builder'!$N$11=0,1,IF('Entry Builder'!$D$11="Less",--(INDEX(Sims!$A352:$BO352,'Entry Builder'!$L$11)&lt;'Entry Builder'!$E$11),--(INDEX(Sims!$A352:$BO352,'Entry Builder'!$L$11)&gt;'Entry Builder'!$E$11)))</f>
        <v/>
      </c>
      <c r="F352">
        <f>IF('Entry Builder'!$N$12=0,1,IF('Entry Builder'!$D$12="Less",--(INDEX(Sims!$A352:$BO352,'Entry Builder'!$L$12)&lt;'Entry Builder'!$E$12),--(INDEX(Sims!$A352:$BO352,'Entry Builder'!$L$12)&gt;'Entry Builder'!$E$12)))</f>
        <v/>
      </c>
      <c r="G352">
        <f>6-SUM(A352:F352)</f>
        <v/>
      </c>
    </row>
    <row r="353">
      <c r="A353">
        <f>IF('Entry Builder'!$N$7=0,1,IF('Entry Builder'!$D$7="Less",--(INDEX(Sims!$A353:$BO353,'Entry Builder'!$L$7)&lt;'Entry Builder'!$E$7),--(INDEX(Sims!$A353:$BO353,'Entry Builder'!$L$7)&gt;'Entry Builder'!$E$7)))</f>
        <v/>
      </c>
      <c r="B353">
        <f>IF('Entry Builder'!$N$8=0,1,IF('Entry Builder'!$D$8="Less",--(INDEX(Sims!$A353:$BO353,'Entry Builder'!$L$8)&lt;'Entry Builder'!$E$8),--(INDEX(Sims!$A353:$BO353,'Entry Builder'!$L$8)&gt;'Entry Builder'!$E$8)))</f>
        <v/>
      </c>
      <c r="C353">
        <f>IF('Entry Builder'!$N$9=0,1,IF('Entry Builder'!$D$9="Less",--(INDEX(Sims!$A353:$BO353,'Entry Builder'!$L$9)&lt;'Entry Builder'!$E$9),--(INDEX(Sims!$A353:$BO353,'Entry Builder'!$L$9)&gt;'Entry Builder'!$E$9)))</f>
        <v/>
      </c>
      <c r="D353">
        <f>IF('Entry Builder'!$N$10=0,1,IF('Entry Builder'!$D$10="Less",--(INDEX(Sims!$A353:$BO353,'Entry Builder'!$L$10)&lt;'Entry Builder'!$E$10),--(INDEX(Sims!$A353:$BO353,'Entry Builder'!$L$10)&gt;'Entry Builder'!$E$10)))</f>
        <v/>
      </c>
      <c r="E353">
        <f>IF('Entry Builder'!$N$11=0,1,IF('Entry Builder'!$D$11="Less",--(INDEX(Sims!$A353:$BO353,'Entry Builder'!$L$11)&lt;'Entry Builder'!$E$11),--(INDEX(Sims!$A353:$BO353,'Entry Builder'!$L$11)&gt;'Entry Builder'!$E$11)))</f>
        <v/>
      </c>
      <c r="F353">
        <f>IF('Entry Builder'!$N$12=0,1,IF('Entry Builder'!$D$12="Less",--(INDEX(Sims!$A353:$BO353,'Entry Builder'!$L$12)&lt;'Entry Builder'!$E$12),--(INDEX(Sims!$A353:$BO353,'Entry Builder'!$L$12)&gt;'Entry Builder'!$E$12)))</f>
        <v/>
      </c>
      <c r="G353">
        <f>6-SUM(A353:F353)</f>
        <v/>
      </c>
    </row>
    <row r="354">
      <c r="A354">
        <f>IF('Entry Builder'!$N$7=0,1,IF('Entry Builder'!$D$7="Less",--(INDEX(Sims!$A354:$BO354,'Entry Builder'!$L$7)&lt;'Entry Builder'!$E$7),--(INDEX(Sims!$A354:$BO354,'Entry Builder'!$L$7)&gt;'Entry Builder'!$E$7)))</f>
        <v/>
      </c>
      <c r="B354">
        <f>IF('Entry Builder'!$N$8=0,1,IF('Entry Builder'!$D$8="Less",--(INDEX(Sims!$A354:$BO354,'Entry Builder'!$L$8)&lt;'Entry Builder'!$E$8),--(INDEX(Sims!$A354:$BO354,'Entry Builder'!$L$8)&gt;'Entry Builder'!$E$8)))</f>
        <v/>
      </c>
      <c r="C354">
        <f>IF('Entry Builder'!$N$9=0,1,IF('Entry Builder'!$D$9="Less",--(INDEX(Sims!$A354:$BO354,'Entry Builder'!$L$9)&lt;'Entry Builder'!$E$9),--(INDEX(Sims!$A354:$BO354,'Entry Builder'!$L$9)&gt;'Entry Builder'!$E$9)))</f>
        <v/>
      </c>
      <c r="D354">
        <f>IF('Entry Builder'!$N$10=0,1,IF('Entry Builder'!$D$10="Less",--(INDEX(Sims!$A354:$BO354,'Entry Builder'!$L$10)&lt;'Entry Builder'!$E$10),--(INDEX(Sims!$A354:$BO354,'Entry Builder'!$L$10)&gt;'Entry Builder'!$E$10)))</f>
        <v/>
      </c>
      <c r="E354">
        <f>IF('Entry Builder'!$N$11=0,1,IF('Entry Builder'!$D$11="Less",--(INDEX(Sims!$A354:$BO354,'Entry Builder'!$L$11)&lt;'Entry Builder'!$E$11),--(INDEX(Sims!$A354:$BO354,'Entry Builder'!$L$11)&gt;'Entry Builder'!$E$11)))</f>
        <v/>
      </c>
      <c r="F354">
        <f>IF('Entry Builder'!$N$12=0,1,IF('Entry Builder'!$D$12="Less",--(INDEX(Sims!$A354:$BO354,'Entry Builder'!$L$12)&lt;'Entry Builder'!$E$12),--(INDEX(Sims!$A354:$BO354,'Entry Builder'!$L$12)&gt;'Entry Builder'!$E$12)))</f>
        <v/>
      </c>
      <c r="G354">
        <f>6-SUM(A354:F354)</f>
        <v/>
      </c>
    </row>
    <row r="355">
      <c r="A355">
        <f>IF('Entry Builder'!$N$7=0,1,IF('Entry Builder'!$D$7="Less",--(INDEX(Sims!$A355:$BO355,'Entry Builder'!$L$7)&lt;'Entry Builder'!$E$7),--(INDEX(Sims!$A355:$BO355,'Entry Builder'!$L$7)&gt;'Entry Builder'!$E$7)))</f>
        <v/>
      </c>
      <c r="B355">
        <f>IF('Entry Builder'!$N$8=0,1,IF('Entry Builder'!$D$8="Less",--(INDEX(Sims!$A355:$BO355,'Entry Builder'!$L$8)&lt;'Entry Builder'!$E$8),--(INDEX(Sims!$A355:$BO355,'Entry Builder'!$L$8)&gt;'Entry Builder'!$E$8)))</f>
        <v/>
      </c>
      <c r="C355">
        <f>IF('Entry Builder'!$N$9=0,1,IF('Entry Builder'!$D$9="Less",--(INDEX(Sims!$A355:$BO355,'Entry Builder'!$L$9)&lt;'Entry Builder'!$E$9),--(INDEX(Sims!$A355:$BO355,'Entry Builder'!$L$9)&gt;'Entry Builder'!$E$9)))</f>
        <v/>
      </c>
      <c r="D355">
        <f>IF('Entry Builder'!$N$10=0,1,IF('Entry Builder'!$D$10="Less",--(INDEX(Sims!$A355:$BO355,'Entry Builder'!$L$10)&lt;'Entry Builder'!$E$10),--(INDEX(Sims!$A355:$BO355,'Entry Builder'!$L$10)&gt;'Entry Builder'!$E$10)))</f>
        <v/>
      </c>
      <c r="E355">
        <f>IF('Entry Builder'!$N$11=0,1,IF('Entry Builder'!$D$11="Less",--(INDEX(Sims!$A355:$BO355,'Entry Builder'!$L$11)&lt;'Entry Builder'!$E$11),--(INDEX(Sims!$A355:$BO355,'Entry Builder'!$L$11)&gt;'Entry Builder'!$E$11)))</f>
        <v/>
      </c>
      <c r="F355">
        <f>IF('Entry Builder'!$N$12=0,1,IF('Entry Builder'!$D$12="Less",--(INDEX(Sims!$A355:$BO355,'Entry Builder'!$L$12)&lt;'Entry Builder'!$E$12),--(INDEX(Sims!$A355:$BO355,'Entry Builder'!$L$12)&gt;'Entry Builder'!$E$12)))</f>
        <v/>
      </c>
      <c r="G355">
        <f>6-SUM(A355:F355)</f>
        <v/>
      </c>
    </row>
    <row r="356">
      <c r="A356">
        <f>IF('Entry Builder'!$N$7=0,1,IF('Entry Builder'!$D$7="Less",--(INDEX(Sims!$A356:$BO356,'Entry Builder'!$L$7)&lt;'Entry Builder'!$E$7),--(INDEX(Sims!$A356:$BO356,'Entry Builder'!$L$7)&gt;'Entry Builder'!$E$7)))</f>
        <v/>
      </c>
      <c r="B356">
        <f>IF('Entry Builder'!$N$8=0,1,IF('Entry Builder'!$D$8="Less",--(INDEX(Sims!$A356:$BO356,'Entry Builder'!$L$8)&lt;'Entry Builder'!$E$8),--(INDEX(Sims!$A356:$BO356,'Entry Builder'!$L$8)&gt;'Entry Builder'!$E$8)))</f>
        <v/>
      </c>
      <c r="C356">
        <f>IF('Entry Builder'!$N$9=0,1,IF('Entry Builder'!$D$9="Less",--(INDEX(Sims!$A356:$BO356,'Entry Builder'!$L$9)&lt;'Entry Builder'!$E$9),--(INDEX(Sims!$A356:$BO356,'Entry Builder'!$L$9)&gt;'Entry Builder'!$E$9)))</f>
        <v/>
      </c>
      <c r="D356">
        <f>IF('Entry Builder'!$N$10=0,1,IF('Entry Builder'!$D$10="Less",--(INDEX(Sims!$A356:$BO356,'Entry Builder'!$L$10)&lt;'Entry Builder'!$E$10),--(INDEX(Sims!$A356:$BO356,'Entry Builder'!$L$10)&gt;'Entry Builder'!$E$10)))</f>
        <v/>
      </c>
      <c r="E356">
        <f>IF('Entry Builder'!$N$11=0,1,IF('Entry Builder'!$D$11="Less",--(INDEX(Sims!$A356:$BO356,'Entry Builder'!$L$11)&lt;'Entry Builder'!$E$11),--(INDEX(Sims!$A356:$BO356,'Entry Builder'!$L$11)&gt;'Entry Builder'!$E$11)))</f>
        <v/>
      </c>
      <c r="F356">
        <f>IF('Entry Builder'!$N$12=0,1,IF('Entry Builder'!$D$12="Less",--(INDEX(Sims!$A356:$BO356,'Entry Builder'!$L$12)&lt;'Entry Builder'!$E$12),--(INDEX(Sims!$A356:$BO356,'Entry Builder'!$L$12)&gt;'Entry Builder'!$E$12)))</f>
        <v/>
      </c>
      <c r="G356">
        <f>6-SUM(A356:F356)</f>
        <v/>
      </c>
    </row>
    <row r="357">
      <c r="A357">
        <f>IF('Entry Builder'!$N$7=0,1,IF('Entry Builder'!$D$7="Less",--(INDEX(Sims!$A357:$BO357,'Entry Builder'!$L$7)&lt;'Entry Builder'!$E$7),--(INDEX(Sims!$A357:$BO357,'Entry Builder'!$L$7)&gt;'Entry Builder'!$E$7)))</f>
        <v/>
      </c>
      <c r="B357">
        <f>IF('Entry Builder'!$N$8=0,1,IF('Entry Builder'!$D$8="Less",--(INDEX(Sims!$A357:$BO357,'Entry Builder'!$L$8)&lt;'Entry Builder'!$E$8),--(INDEX(Sims!$A357:$BO357,'Entry Builder'!$L$8)&gt;'Entry Builder'!$E$8)))</f>
        <v/>
      </c>
      <c r="C357">
        <f>IF('Entry Builder'!$N$9=0,1,IF('Entry Builder'!$D$9="Less",--(INDEX(Sims!$A357:$BO357,'Entry Builder'!$L$9)&lt;'Entry Builder'!$E$9),--(INDEX(Sims!$A357:$BO357,'Entry Builder'!$L$9)&gt;'Entry Builder'!$E$9)))</f>
        <v/>
      </c>
      <c r="D357">
        <f>IF('Entry Builder'!$N$10=0,1,IF('Entry Builder'!$D$10="Less",--(INDEX(Sims!$A357:$BO357,'Entry Builder'!$L$10)&lt;'Entry Builder'!$E$10),--(INDEX(Sims!$A357:$BO357,'Entry Builder'!$L$10)&gt;'Entry Builder'!$E$10)))</f>
        <v/>
      </c>
      <c r="E357">
        <f>IF('Entry Builder'!$N$11=0,1,IF('Entry Builder'!$D$11="Less",--(INDEX(Sims!$A357:$BO357,'Entry Builder'!$L$11)&lt;'Entry Builder'!$E$11),--(INDEX(Sims!$A357:$BO357,'Entry Builder'!$L$11)&gt;'Entry Builder'!$E$11)))</f>
        <v/>
      </c>
      <c r="F357">
        <f>IF('Entry Builder'!$N$12=0,1,IF('Entry Builder'!$D$12="Less",--(INDEX(Sims!$A357:$BO357,'Entry Builder'!$L$12)&lt;'Entry Builder'!$E$12),--(INDEX(Sims!$A357:$BO357,'Entry Builder'!$L$12)&gt;'Entry Builder'!$E$12)))</f>
        <v/>
      </c>
      <c r="G357">
        <f>6-SUM(A357:F357)</f>
        <v/>
      </c>
    </row>
    <row r="358">
      <c r="A358">
        <f>IF('Entry Builder'!$N$7=0,1,IF('Entry Builder'!$D$7="Less",--(INDEX(Sims!$A358:$BO358,'Entry Builder'!$L$7)&lt;'Entry Builder'!$E$7),--(INDEX(Sims!$A358:$BO358,'Entry Builder'!$L$7)&gt;'Entry Builder'!$E$7)))</f>
        <v/>
      </c>
      <c r="B358">
        <f>IF('Entry Builder'!$N$8=0,1,IF('Entry Builder'!$D$8="Less",--(INDEX(Sims!$A358:$BO358,'Entry Builder'!$L$8)&lt;'Entry Builder'!$E$8),--(INDEX(Sims!$A358:$BO358,'Entry Builder'!$L$8)&gt;'Entry Builder'!$E$8)))</f>
        <v/>
      </c>
      <c r="C358">
        <f>IF('Entry Builder'!$N$9=0,1,IF('Entry Builder'!$D$9="Less",--(INDEX(Sims!$A358:$BO358,'Entry Builder'!$L$9)&lt;'Entry Builder'!$E$9),--(INDEX(Sims!$A358:$BO358,'Entry Builder'!$L$9)&gt;'Entry Builder'!$E$9)))</f>
        <v/>
      </c>
      <c r="D358">
        <f>IF('Entry Builder'!$N$10=0,1,IF('Entry Builder'!$D$10="Less",--(INDEX(Sims!$A358:$BO358,'Entry Builder'!$L$10)&lt;'Entry Builder'!$E$10),--(INDEX(Sims!$A358:$BO358,'Entry Builder'!$L$10)&gt;'Entry Builder'!$E$10)))</f>
        <v/>
      </c>
      <c r="E358">
        <f>IF('Entry Builder'!$N$11=0,1,IF('Entry Builder'!$D$11="Less",--(INDEX(Sims!$A358:$BO358,'Entry Builder'!$L$11)&lt;'Entry Builder'!$E$11),--(INDEX(Sims!$A358:$BO358,'Entry Builder'!$L$11)&gt;'Entry Builder'!$E$11)))</f>
        <v/>
      </c>
      <c r="F358">
        <f>IF('Entry Builder'!$N$12=0,1,IF('Entry Builder'!$D$12="Less",--(INDEX(Sims!$A358:$BO358,'Entry Builder'!$L$12)&lt;'Entry Builder'!$E$12),--(INDEX(Sims!$A358:$BO358,'Entry Builder'!$L$12)&gt;'Entry Builder'!$E$12)))</f>
        <v/>
      </c>
      <c r="G358">
        <f>6-SUM(A358:F358)</f>
        <v/>
      </c>
    </row>
    <row r="359">
      <c r="A359">
        <f>IF('Entry Builder'!$N$7=0,1,IF('Entry Builder'!$D$7="Less",--(INDEX(Sims!$A359:$BO359,'Entry Builder'!$L$7)&lt;'Entry Builder'!$E$7),--(INDEX(Sims!$A359:$BO359,'Entry Builder'!$L$7)&gt;'Entry Builder'!$E$7)))</f>
        <v/>
      </c>
      <c r="B359">
        <f>IF('Entry Builder'!$N$8=0,1,IF('Entry Builder'!$D$8="Less",--(INDEX(Sims!$A359:$BO359,'Entry Builder'!$L$8)&lt;'Entry Builder'!$E$8),--(INDEX(Sims!$A359:$BO359,'Entry Builder'!$L$8)&gt;'Entry Builder'!$E$8)))</f>
        <v/>
      </c>
      <c r="C359">
        <f>IF('Entry Builder'!$N$9=0,1,IF('Entry Builder'!$D$9="Less",--(INDEX(Sims!$A359:$BO359,'Entry Builder'!$L$9)&lt;'Entry Builder'!$E$9),--(INDEX(Sims!$A359:$BO359,'Entry Builder'!$L$9)&gt;'Entry Builder'!$E$9)))</f>
        <v/>
      </c>
      <c r="D359">
        <f>IF('Entry Builder'!$N$10=0,1,IF('Entry Builder'!$D$10="Less",--(INDEX(Sims!$A359:$BO359,'Entry Builder'!$L$10)&lt;'Entry Builder'!$E$10),--(INDEX(Sims!$A359:$BO359,'Entry Builder'!$L$10)&gt;'Entry Builder'!$E$10)))</f>
        <v/>
      </c>
      <c r="E359">
        <f>IF('Entry Builder'!$N$11=0,1,IF('Entry Builder'!$D$11="Less",--(INDEX(Sims!$A359:$BO359,'Entry Builder'!$L$11)&lt;'Entry Builder'!$E$11),--(INDEX(Sims!$A359:$BO359,'Entry Builder'!$L$11)&gt;'Entry Builder'!$E$11)))</f>
        <v/>
      </c>
      <c r="F359">
        <f>IF('Entry Builder'!$N$12=0,1,IF('Entry Builder'!$D$12="Less",--(INDEX(Sims!$A359:$BO359,'Entry Builder'!$L$12)&lt;'Entry Builder'!$E$12),--(INDEX(Sims!$A359:$BO359,'Entry Builder'!$L$12)&gt;'Entry Builder'!$E$12)))</f>
        <v/>
      </c>
      <c r="G359">
        <f>6-SUM(A359:F359)</f>
        <v/>
      </c>
    </row>
    <row r="360">
      <c r="A360">
        <f>IF('Entry Builder'!$N$7=0,1,IF('Entry Builder'!$D$7="Less",--(INDEX(Sims!$A360:$BO360,'Entry Builder'!$L$7)&lt;'Entry Builder'!$E$7),--(INDEX(Sims!$A360:$BO360,'Entry Builder'!$L$7)&gt;'Entry Builder'!$E$7)))</f>
        <v/>
      </c>
      <c r="B360">
        <f>IF('Entry Builder'!$N$8=0,1,IF('Entry Builder'!$D$8="Less",--(INDEX(Sims!$A360:$BO360,'Entry Builder'!$L$8)&lt;'Entry Builder'!$E$8),--(INDEX(Sims!$A360:$BO360,'Entry Builder'!$L$8)&gt;'Entry Builder'!$E$8)))</f>
        <v/>
      </c>
      <c r="C360">
        <f>IF('Entry Builder'!$N$9=0,1,IF('Entry Builder'!$D$9="Less",--(INDEX(Sims!$A360:$BO360,'Entry Builder'!$L$9)&lt;'Entry Builder'!$E$9),--(INDEX(Sims!$A360:$BO360,'Entry Builder'!$L$9)&gt;'Entry Builder'!$E$9)))</f>
        <v/>
      </c>
      <c r="D360">
        <f>IF('Entry Builder'!$N$10=0,1,IF('Entry Builder'!$D$10="Less",--(INDEX(Sims!$A360:$BO360,'Entry Builder'!$L$10)&lt;'Entry Builder'!$E$10),--(INDEX(Sims!$A360:$BO360,'Entry Builder'!$L$10)&gt;'Entry Builder'!$E$10)))</f>
        <v/>
      </c>
      <c r="E360">
        <f>IF('Entry Builder'!$N$11=0,1,IF('Entry Builder'!$D$11="Less",--(INDEX(Sims!$A360:$BO360,'Entry Builder'!$L$11)&lt;'Entry Builder'!$E$11),--(INDEX(Sims!$A360:$BO360,'Entry Builder'!$L$11)&gt;'Entry Builder'!$E$11)))</f>
        <v/>
      </c>
      <c r="F360">
        <f>IF('Entry Builder'!$N$12=0,1,IF('Entry Builder'!$D$12="Less",--(INDEX(Sims!$A360:$BO360,'Entry Builder'!$L$12)&lt;'Entry Builder'!$E$12),--(INDEX(Sims!$A360:$BO360,'Entry Builder'!$L$12)&gt;'Entry Builder'!$E$12)))</f>
        <v/>
      </c>
      <c r="G360">
        <f>6-SUM(A360:F360)</f>
        <v/>
      </c>
    </row>
    <row r="361">
      <c r="A361">
        <f>IF('Entry Builder'!$N$7=0,1,IF('Entry Builder'!$D$7="Less",--(INDEX(Sims!$A361:$BO361,'Entry Builder'!$L$7)&lt;'Entry Builder'!$E$7),--(INDEX(Sims!$A361:$BO361,'Entry Builder'!$L$7)&gt;'Entry Builder'!$E$7)))</f>
        <v/>
      </c>
      <c r="B361">
        <f>IF('Entry Builder'!$N$8=0,1,IF('Entry Builder'!$D$8="Less",--(INDEX(Sims!$A361:$BO361,'Entry Builder'!$L$8)&lt;'Entry Builder'!$E$8),--(INDEX(Sims!$A361:$BO361,'Entry Builder'!$L$8)&gt;'Entry Builder'!$E$8)))</f>
        <v/>
      </c>
      <c r="C361">
        <f>IF('Entry Builder'!$N$9=0,1,IF('Entry Builder'!$D$9="Less",--(INDEX(Sims!$A361:$BO361,'Entry Builder'!$L$9)&lt;'Entry Builder'!$E$9),--(INDEX(Sims!$A361:$BO361,'Entry Builder'!$L$9)&gt;'Entry Builder'!$E$9)))</f>
        <v/>
      </c>
      <c r="D361">
        <f>IF('Entry Builder'!$N$10=0,1,IF('Entry Builder'!$D$10="Less",--(INDEX(Sims!$A361:$BO361,'Entry Builder'!$L$10)&lt;'Entry Builder'!$E$10),--(INDEX(Sims!$A361:$BO361,'Entry Builder'!$L$10)&gt;'Entry Builder'!$E$10)))</f>
        <v/>
      </c>
      <c r="E361">
        <f>IF('Entry Builder'!$N$11=0,1,IF('Entry Builder'!$D$11="Less",--(INDEX(Sims!$A361:$BO361,'Entry Builder'!$L$11)&lt;'Entry Builder'!$E$11),--(INDEX(Sims!$A361:$BO361,'Entry Builder'!$L$11)&gt;'Entry Builder'!$E$11)))</f>
        <v/>
      </c>
      <c r="F361">
        <f>IF('Entry Builder'!$N$12=0,1,IF('Entry Builder'!$D$12="Less",--(INDEX(Sims!$A361:$BO361,'Entry Builder'!$L$12)&lt;'Entry Builder'!$E$12),--(INDEX(Sims!$A361:$BO361,'Entry Builder'!$L$12)&gt;'Entry Builder'!$E$12)))</f>
        <v/>
      </c>
      <c r="G361">
        <f>6-SUM(A361:F361)</f>
        <v/>
      </c>
    </row>
    <row r="362">
      <c r="A362">
        <f>IF('Entry Builder'!$N$7=0,1,IF('Entry Builder'!$D$7="Less",--(INDEX(Sims!$A362:$BO362,'Entry Builder'!$L$7)&lt;'Entry Builder'!$E$7),--(INDEX(Sims!$A362:$BO362,'Entry Builder'!$L$7)&gt;'Entry Builder'!$E$7)))</f>
        <v/>
      </c>
      <c r="B362">
        <f>IF('Entry Builder'!$N$8=0,1,IF('Entry Builder'!$D$8="Less",--(INDEX(Sims!$A362:$BO362,'Entry Builder'!$L$8)&lt;'Entry Builder'!$E$8),--(INDEX(Sims!$A362:$BO362,'Entry Builder'!$L$8)&gt;'Entry Builder'!$E$8)))</f>
        <v/>
      </c>
      <c r="C362">
        <f>IF('Entry Builder'!$N$9=0,1,IF('Entry Builder'!$D$9="Less",--(INDEX(Sims!$A362:$BO362,'Entry Builder'!$L$9)&lt;'Entry Builder'!$E$9),--(INDEX(Sims!$A362:$BO362,'Entry Builder'!$L$9)&gt;'Entry Builder'!$E$9)))</f>
        <v/>
      </c>
      <c r="D362">
        <f>IF('Entry Builder'!$N$10=0,1,IF('Entry Builder'!$D$10="Less",--(INDEX(Sims!$A362:$BO362,'Entry Builder'!$L$10)&lt;'Entry Builder'!$E$10),--(INDEX(Sims!$A362:$BO362,'Entry Builder'!$L$10)&gt;'Entry Builder'!$E$10)))</f>
        <v/>
      </c>
      <c r="E362">
        <f>IF('Entry Builder'!$N$11=0,1,IF('Entry Builder'!$D$11="Less",--(INDEX(Sims!$A362:$BO362,'Entry Builder'!$L$11)&lt;'Entry Builder'!$E$11),--(INDEX(Sims!$A362:$BO362,'Entry Builder'!$L$11)&gt;'Entry Builder'!$E$11)))</f>
        <v/>
      </c>
      <c r="F362">
        <f>IF('Entry Builder'!$N$12=0,1,IF('Entry Builder'!$D$12="Less",--(INDEX(Sims!$A362:$BO362,'Entry Builder'!$L$12)&lt;'Entry Builder'!$E$12),--(INDEX(Sims!$A362:$BO362,'Entry Builder'!$L$12)&gt;'Entry Builder'!$E$12)))</f>
        <v/>
      </c>
      <c r="G362">
        <f>6-SUM(A362:F362)</f>
        <v/>
      </c>
    </row>
    <row r="363">
      <c r="A363">
        <f>IF('Entry Builder'!$N$7=0,1,IF('Entry Builder'!$D$7="Less",--(INDEX(Sims!$A363:$BO363,'Entry Builder'!$L$7)&lt;'Entry Builder'!$E$7),--(INDEX(Sims!$A363:$BO363,'Entry Builder'!$L$7)&gt;'Entry Builder'!$E$7)))</f>
        <v/>
      </c>
      <c r="B363">
        <f>IF('Entry Builder'!$N$8=0,1,IF('Entry Builder'!$D$8="Less",--(INDEX(Sims!$A363:$BO363,'Entry Builder'!$L$8)&lt;'Entry Builder'!$E$8),--(INDEX(Sims!$A363:$BO363,'Entry Builder'!$L$8)&gt;'Entry Builder'!$E$8)))</f>
        <v/>
      </c>
      <c r="C363">
        <f>IF('Entry Builder'!$N$9=0,1,IF('Entry Builder'!$D$9="Less",--(INDEX(Sims!$A363:$BO363,'Entry Builder'!$L$9)&lt;'Entry Builder'!$E$9),--(INDEX(Sims!$A363:$BO363,'Entry Builder'!$L$9)&gt;'Entry Builder'!$E$9)))</f>
        <v/>
      </c>
      <c r="D363">
        <f>IF('Entry Builder'!$N$10=0,1,IF('Entry Builder'!$D$10="Less",--(INDEX(Sims!$A363:$BO363,'Entry Builder'!$L$10)&lt;'Entry Builder'!$E$10),--(INDEX(Sims!$A363:$BO363,'Entry Builder'!$L$10)&gt;'Entry Builder'!$E$10)))</f>
        <v/>
      </c>
      <c r="E363">
        <f>IF('Entry Builder'!$N$11=0,1,IF('Entry Builder'!$D$11="Less",--(INDEX(Sims!$A363:$BO363,'Entry Builder'!$L$11)&lt;'Entry Builder'!$E$11),--(INDEX(Sims!$A363:$BO363,'Entry Builder'!$L$11)&gt;'Entry Builder'!$E$11)))</f>
        <v/>
      </c>
      <c r="F363">
        <f>IF('Entry Builder'!$N$12=0,1,IF('Entry Builder'!$D$12="Less",--(INDEX(Sims!$A363:$BO363,'Entry Builder'!$L$12)&lt;'Entry Builder'!$E$12),--(INDEX(Sims!$A363:$BO363,'Entry Builder'!$L$12)&gt;'Entry Builder'!$E$12)))</f>
        <v/>
      </c>
      <c r="G363">
        <f>6-SUM(A363:F363)</f>
        <v/>
      </c>
    </row>
    <row r="364">
      <c r="A364">
        <f>IF('Entry Builder'!$N$7=0,1,IF('Entry Builder'!$D$7="Less",--(INDEX(Sims!$A364:$BO364,'Entry Builder'!$L$7)&lt;'Entry Builder'!$E$7),--(INDEX(Sims!$A364:$BO364,'Entry Builder'!$L$7)&gt;'Entry Builder'!$E$7)))</f>
        <v/>
      </c>
      <c r="B364">
        <f>IF('Entry Builder'!$N$8=0,1,IF('Entry Builder'!$D$8="Less",--(INDEX(Sims!$A364:$BO364,'Entry Builder'!$L$8)&lt;'Entry Builder'!$E$8),--(INDEX(Sims!$A364:$BO364,'Entry Builder'!$L$8)&gt;'Entry Builder'!$E$8)))</f>
        <v/>
      </c>
      <c r="C364">
        <f>IF('Entry Builder'!$N$9=0,1,IF('Entry Builder'!$D$9="Less",--(INDEX(Sims!$A364:$BO364,'Entry Builder'!$L$9)&lt;'Entry Builder'!$E$9),--(INDEX(Sims!$A364:$BO364,'Entry Builder'!$L$9)&gt;'Entry Builder'!$E$9)))</f>
        <v/>
      </c>
      <c r="D364">
        <f>IF('Entry Builder'!$N$10=0,1,IF('Entry Builder'!$D$10="Less",--(INDEX(Sims!$A364:$BO364,'Entry Builder'!$L$10)&lt;'Entry Builder'!$E$10),--(INDEX(Sims!$A364:$BO364,'Entry Builder'!$L$10)&gt;'Entry Builder'!$E$10)))</f>
        <v/>
      </c>
      <c r="E364">
        <f>IF('Entry Builder'!$N$11=0,1,IF('Entry Builder'!$D$11="Less",--(INDEX(Sims!$A364:$BO364,'Entry Builder'!$L$11)&lt;'Entry Builder'!$E$11),--(INDEX(Sims!$A364:$BO364,'Entry Builder'!$L$11)&gt;'Entry Builder'!$E$11)))</f>
        <v/>
      </c>
      <c r="F364">
        <f>IF('Entry Builder'!$N$12=0,1,IF('Entry Builder'!$D$12="Less",--(INDEX(Sims!$A364:$BO364,'Entry Builder'!$L$12)&lt;'Entry Builder'!$E$12),--(INDEX(Sims!$A364:$BO364,'Entry Builder'!$L$12)&gt;'Entry Builder'!$E$12)))</f>
        <v/>
      </c>
      <c r="G364">
        <f>6-SUM(A364:F364)</f>
        <v/>
      </c>
    </row>
    <row r="365">
      <c r="A365">
        <f>IF('Entry Builder'!$N$7=0,1,IF('Entry Builder'!$D$7="Less",--(INDEX(Sims!$A365:$BO365,'Entry Builder'!$L$7)&lt;'Entry Builder'!$E$7),--(INDEX(Sims!$A365:$BO365,'Entry Builder'!$L$7)&gt;'Entry Builder'!$E$7)))</f>
        <v/>
      </c>
      <c r="B365">
        <f>IF('Entry Builder'!$N$8=0,1,IF('Entry Builder'!$D$8="Less",--(INDEX(Sims!$A365:$BO365,'Entry Builder'!$L$8)&lt;'Entry Builder'!$E$8),--(INDEX(Sims!$A365:$BO365,'Entry Builder'!$L$8)&gt;'Entry Builder'!$E$8)))</f>
        <v/>
      </c>
      <c r="C365">
        <f>IF('Entry Builder'!$N$9=0,1,IF('Entry Builder'!$D$9="Less",--(INDEX(Sims!$A365:$BO365,'Entry Builder'!$L$9)&lt;'Entry Builder'!$E$9),--(INDEX(Sims!$A365:$BO365,'Entry Builder'!$L$9)&gt;'Entry Builder'!$E$9)))</f>
        <v/>
      </c>
      <c r="D365">
        <f>IF('Entry Builder'!$N$10=0,1,IF('Entry Builder'!$D$10="Less",--(INDEX(Sims!$A365:$BO365,'Entry Builder'!$L$10)&lt;'Entry Builder'!$E$10),--(INDEX(Sims!$A365:$BO365,'Entry Builder'!$L$10)&gt;'Entry Builder'!$E$10)))</f>
        <v/>
      </c>
      <c r="E365">
        <f>IF('Entry Builder'!$N$11=0,1,IF('Entry Builder'!$D$11="Less",--(INDEX(Sims!$A365:$BO365,'Entry Builder'!$L$11)&lt;'Entry Builder'!$E$11),--(INDEX(Sims!$A365:$BO365,'Entry Builder'!$L$11)&gt;'Entry Builder'!$E$11)))</f>
        <v/>
      </c>
      <c r="F365">
        <f>IF('Entry Builder'!$N$12=0,1,IF('Entry Builder'!$D$12="Less",--(INDEX(Sims!$A365:$BO365,'Entry Builder'!$L$12)&lt;'Entry Builder'!$E$12),--(INDEX(Sims!$A365:$BO365,'Entry Builder'!$L$12)&gt;'Entry Builder'!$E$12)))</f>
        <v/>
      </c>
      <c r="G365">
        <f>6-SUM(A365:F365)</f>
        <v/>
      </c>
    </row>
    <row r="366">
      <c r="A366">
        <f>IF('Entry Builder'!$N$7=0,1,IF('Entry Builder'!$D$7="Less",--(INDEX(Sims!$A366:$BO366,'Entry Builder'!$L$7)&lt;'Entry Builder'!$E$7),--(INDEX(Sims!$A366:$BO366,'Entry Builder'!$L$7)&gt;'Entry Builder'!$E$7)))</f>
        <v/>
      </c>
      <c r="B366">
        <f>IF('Entry Builder'!$N$8=0,1,IF('Entry Builder'!$D$8="Less",--(INDEX(Sims!$A366:$BO366,'Entry Builder'!$L$8)&lt;'Entry Builder'!$E$8),--(INDEX(Sims!$A366:$BO366,'Entry Builder'!$L$8)&gt;'Entry Builder'!$E$8)))</f>
        <v/>
      </c>
      <c r="C366">
        <f>IF('Entry Builder'!$N$9=0,1,IF('Entry Builder'!$D$9="Less",--(INDEX(Sims!$A366:$BO366,'Entry Builder'!$L$9)&lt;'Entry Builder'!$E$9),--(INDEX(Sims!$A366:$BO366,'Entry Builder'!$L$9)&gt;'Entry Builder'!$E$9)))</f>
        <v/>
      </c>
      <c r="D366">
        <f>IF('Entry Builder'!$N$10=0,1,IF('Entry Builder'!$D$10="Less",--(INDEX(Sims!$A366:$BO366,'Entry Builder'!$L$10)&lt;'Entry Builder'!$E$10),--(INDEX(Sims!$A366:$BO366,'Entry Builder'!$L$10)&gt;'Entry Builder'!$E$10)))</f>
        <v/>
      </c>
      <c r="E366">
        <f>IF('Entry Builder'!$N$11=0,1,IF('Entry Builder'!$D$11="Less",--(INDEX(Sims!$A366:$BO366,'Entry Builder'!$L$11)&lt;'Entry Builder'!$E$11),--(INDEX(Sims!$A366:$BO366,'Entry Builder'!$L$11)&gt;'Entry Builder'!$E$11)))</f>
        <v/>
      </c>
      <c r="F366">
        <f>IF('Entry Builder'!$N$12=0,1,IF('Entry Builder'!$D$12="Less",--(INDEX(Sims!$A366:$BO366,'Entry Builder'!$L$12)&lt;'Entry Builder'!$E$12),--(INDEX(Sims!$A366:$BO366,'Entry Builder'!$L$12)&gt;'Entry Builder'!$E$12)))</f>
        <v/>
      </c>
      <c r="G366">
        <f>6-SUM(A366:F366)</f>
        <v/>
      </c>
    </row>
    <row r="367">
      <c r="A367">
        <f>IF('Entry Builder'!$N$7=0,1,IF('Entry Builder'!$D$7="Less",--(INDEX(Sims!$A367:$BO367,'Entry Builder'!$L$7)&lt;'Entry Builder'!$E$7),--(INDEX(Sims!$A367:$BO367,'Entry Builder'!$L$7)&gt;'Entry Builder'!$E$7)))</f>
        <v/>
      </c>
      <c r="B367">
        <f>IF('Entry Builder'!$N$8=0,1,IF('Entry Builder'!$D$8="Less",--(INDEX(Sims!$A367:$BO367,'Entry Builder'!$L$8)&lt;'Entry Builder'!$E$8),--(INDEX(Sims!$A367:$BO367,'Entry Builder'!$L$8)&gt;'Entry Builder'!$E$8)))</f>
        <v/>
      </c>
      <c r="C367">
        <f>IF('Entry Builder'!$N$9=0,1,IF('Entry Builder'!$D$9="Less",--(INDEX(Sims!$A367:$BO367,'Entry Builder'!$L$9)&lt;'Entry Builder'!$E$9),--(INDEX(Sims!$A367:$BO367,'Entry Builder'!$L$9)&gt;'Entry Builder'!$E$9)))</f>
        <v/>
      </c>
      <c r="D367">
        <f>IF('Entry Builder'!$N$10=0,1,IF('Entry Builder'!$D$10="Less",--(INDEX(Sims!$A367:$BO367,'Entry Builder'!$L$10)&lt;'Entry Builder'!$E$10),--(INDEX(Sims!$A367:$BO367,'Entry Builder'!$L$10)&gt;'Entry Builder'!$E$10)))</f>
        <v/>
      </c>
      <c r="E367">
        <f>IF('Entry Builder'!$N$11=0,1,IF('Entry Builder'!$D$11="Less",--(INDEX(Sims!$A367:$BO367,'Entry Builder'!$L$11)&lt;'Entry Builder'!$E$11),--(INDEX(Sims!$A367:$BO367,'Entry Builder'!$L$11)&gt;'Entry Builder'!$E$11)))</f>
        <v/>
      </c>
      <c r="F367">
        <f>IF('Entry Builder'!$N$12=0,1,IF('Entry Builder'!$D$12="Less",--(INDEX(Sims!$A367:$BO367,'Entry Builder'!$L$12)&lt;'Entry Builder'!$E$12),--(INDEX(Sims!$A367:$BO367,'Entry Builder'!$L$12)&gt;'Entry Builder'!$E$12)))</f>
        <v/>
      </c>
      <c r="G367">
        <f>6-SUM(A367:F367)</f>
        <v/>
      </c>
    </row>
    <row r="368">
      <c r="A368">
        <f>IF('Entry Builder'!$N$7=0,1,IF('Entry Builder'!$D$7="Less",--(INDEX(Sims!$A368:$BO368,'Entry Builder'!$L$7)&lt;'Entry Builder'!$E$7),--(INDEX(Sims!$A368:$BO368,'Entry Builder'!$L$7)&gt;'Entry Builder'!$E$7)))</f>
        <v/>
      </c>
      <c r="B368">
        <f>IF('Entry Builder'!$N$8=0,1,IF('Entry Builder'!$D$8="Less",--(INDEX(Sims!$A368:$BO368,'Entry Builder'!$L$8)&lt;'Entry Builder'!$E$8),--(INDEX(Sims!$A368:$BO368,'Entry Builder'!$L$8)&gt;'Entry Builder'!$E$8)))</f>
        <v/>
      </c>
      <c r="C368">
        <f>IF('Entry Builder'!$N$9=0,1,IF('Entry Builder'!$D$9="Less",--(INDEX(Sims!$A368:$BO368,'Entry Builder'!$L$9)&lt;'Entry Builder'!$E$9),--(INDEX(Sims!$A368:$BO368,'Entry Builder'!$L$9)&gt;'Entry Builder'!$E$9)))</f>
        <v/>
      </c>
      <c r="D368">
        <f>IF('Entry Builder'!$N$10=0,1,IF('Entry Builder'!$D$10="Less",--(INDEX(Sims!$A368:$BO368,'Entry Builder'!$L$10)&lt;'Entry Builder'!$E$10),--(INDEX(Sims!$A368:$BO368,'Entry Builder'!$L$10)&gt;'Entry Builder'!$E$10)))</f>
        <v/>
      </c>
      <c r="E368">
        <f>IF('Entry Builder'!$N$11=0,1,IF('Entry Builder'!$D$11="Less",--(INDEX(Sims!$A368:$BO368,'Entry Builder'!$L$11)&lt;'Entry Builder'!$E$11),--(INDEX(Sims!$A368:$BO368,'Entry Builder'!$L$11)&gt;'Entry Builder'!$E$11)))</f>
        <v/>
      </c>
      <c r="F368">
        <f>IF('Entry Builder'!$N$12=0,1,IF('Entry Builder'!$D$12="Less",--(INDEX(Sims!$A368:$BO368,'Entry Builder'!$L$12)&lt;'Entry Builder'!$E$12),--(INDEX(Sims!$A368:$BO368,'Entry Builder'!$L$12)&gt;'Entry Builder'!$E$12)))</f>
        <v/>
      </c>
      <c r="G368">
        <f>6-SUM(A368:F368)</f>
        <v/>
      </c>
    </row>
    <row r="369">
      <c r="A369">
        <f>IF('Entry Builder'!$N$7=0,1,IF('Entry Builder'!$D$7="Less",--(INDEX(Sims!$A369:$BO369,'Entry Builder'!$L$7)&lt;'Entry Builder'!$E$7),--(INDEX(Sims!$A369:$BO369,'Entry Builder'!$L$7)&gt;'Entry Builder'!$E$7)))</f>
        <v/>
      </c>
      <c r="B369">
        <f>IF('Entry Builder'!$N$8=0,1,IF('Entry Builder'!$D$8="Less",--(INDEX(Sims!$A369:$BO369,'Entry Builder'!$L$8)&lt;'Entry Builder'!$E$8),--(INDEX(Sims!$A369:$BO369,'Entry Builder'!$L$8)&gt;'Entry Builder'!$E$8)))</f>
        <v/>
      </c>
      <c r="C369">
        <f>IF('Entry Builder'!$N$9=0,1,IF('Entry Builder'!$D$9="Less",--(INDEX(Sims!$A369:$BO369,'Entry Builder'!$L$9)&lt;'Entry Builder'!$E$9),--(INDEX(Sims!$A369:$BO369,'Entry Builder'!$L$9)&gt;'Entry Builder'!$E$9)))</f>
        <v/>
      </c>
      <c r="D369">
        <f>IF('Entry Builder'!$N$10=0,1,IF('Entry Builder'!$D$10="Less",--(INDEX(Sims!$A369:$BO369,'Entry Builder'!$L$10)&lt;'Entry Builder'!$E$10),--(INDEX(Sims!$A369:$BO369,'Entry Builder'!$L$10)&gt;'Entry Builder'!$E$10)))</f>
        <v/>
      </c>
      <c r="E369">
        <f>IF('Entry Builder'!$N$11=0,1,IF('Entry Builder'!$D$11="Less",--(INDEX(Sims!$A369:$BO369,'Entry Builder'!$L$11)&lt;'Entry Builder'!$E$11),--(INDEX(Sims!$A369:$BO369,'Entry Builder'!$L$11)&gt;'Entry Builder'!$E$11)))</f>
        <v/>
      </c>
      <c r="F369">
        <f>IF('Entry Builder'!$N$12=0,1,IF('Entry Builder'!$D$12="Less",--(INDEX(Sims!$A369:$BO369,'Entry Builder'!$L$12)&lt;'Entry Builder'!$E$12),--(INDEX(Sims!$A369:$BO369,'Entry Builder'!$L$12)&gt;'Entry Builder'!$E$12)))</f>
        <v/>
      </c>
      <c r="G369">
        <f>6-SUM(A369:F369)</f>
        <v/>
      </c>
    </row>
    <row r="370">
      <c r="A370">
        <f>IF('Entry Builder'!$N$7=0,1,IF('Entry Builder'!$D$7="Less",--(INDEX(Sims!$A370:$BO370,'Entry Builder'!$L$7)&lt;'Entry Builder'!$E$7),--(INDEX(Sims!$A370:$BO370,'Entry Builder'!$L$7)&gt;'Entry Builder'!$E$7)))</f>
        <v/>
      </c>
      <c r="B370">
        <f>IF('Entry Builder'!$N$8=0,1,IF('Entry Builder'!$D$8="Less",--(INDEX(Sims!$A370:$BO370,'Entry Builder'!$L$8)&lt;'Entry Builder'!$E$8),--(INDEX(Sims!$A370:$BO370,'Entry Builder'!$L$8)&gt;'Entry Builder'!$E$8)))</f>
        <v/>
      </c>
      <c r="C370">
        <f>IF('Entry Builder'!$N$9=0,1,IF('Entry Builder'!$D$9="Less",--(INDEX(Sims!$A370:$BO370,'Entry Builder'!$L$9)&lt;'Entry Builder'!$E$9),--(INDEX(Sims!$A370:$BO370,'Entry Builder'!$L$9)&gt;'Entry Builder'!$E$9)))</f>
        <v/>
      </c>
      <c r="D370">
        <f>IF('Entry Builder'!$N$10=0,1,IF('Entry Builder'!$D$10="Less",--(INDEX(Sims!$A370:$BO370,'Entry Builder'!$L$10)&lt;'Entry Builder'!$E$10),--(INDEX(Sims!$A370:$BO370,'Entry Builder'!$L$10)&gt;'Entry Builder'!$E$10)))</f>
        <v/>
      </c>
      <c r="E370">
        <f>IF('Entry Builder'!$N$11=0,1,IF('Entry Builder'!$D$11="Less",--(INDEX(Sims!$A370:$BO370,'Entry Builder'!$L$11)&lt;'Entry Builder'!$E$11),--(INDEX(Sims!$A370:$BO370,'Entry Builder'!$L$11)&gt;'Entry Builder'!$E$11)))</f>
        <v/>
      </c>
      <c r="F370">
        <f>IF('Entry Builder'!$N$12=0,1,IF('Entry Builder'!$D$12="Less",--(INDEX(Sims!$A370:$BO370,'Entry Builder'!$L$12)&lt;'Entry Builder'!$E$12),--(INDEX(Sims!$A370:$BO370,'Entry Builder'!$L$12)&gt;'Entry Builder'!$E$12)))</f>
        <v/>
      </c>
      <c r="G370">
        <f>6-SUM(A370:F370)</f>
        <v/>
      </c>
    </row>
    <row r="371">
      <c r="A371">
        <f>IF('Entry Builder'!$N$7=0,1,IF('Entry Builder'!$D$7="Less",--(INDEX(Sims!$A371:$BO371,'Entry Builder'!$L$7)&lt;'Entry Builder'!$E$7),--(INDEX(Sims!$A371:$BO371,'Entry Builder'!$L$7)&gt;'Entry Builder'!$E$7)))</f>
        <v/>
      </c>
      <c r="B371">
        <f>IF('Entry Builder'!$N$8=0,1,IF('Entry Builder'!$D$8="Less",--(INDEX(Sims!$A371:$BO371,'Entry Builder'!$L$8)&lt;'Entry Builder'!$E$8),--(INDEX(Sims!$A371:$BO371,'Entry Builder'!$L$8)&gt;'Entry Builder'!$E$8)))</f>
        <v/>
      </c>
      <c r="C371">
        <f>IF('Entry Builder'!$N$9=0,1,IF('Entry Builder'!$D$9="Less",--(INDEX(Sims!$A371:$BO371,'Entry Builder'!$L$9)&lt;'Entry Builder'!$E$9),--(INDEX(Sims!$A371:$BO371,'Entry Builder'!$L$9)&gt;'Entry Builder'!$E$9)))</f>
        <v/>
      </c>
      <c r="D371">
        <f>IF('Entry Builder'!$N$10=0,1,IF('Entry Builder'!$D$10="Less",--(INDEX(Sims!$A371:$BO371,'Entry Builder'!$L$10)&lt;'Entry Builder'!$E$10),--(INDEX(Sims!$A371:$BO371,'Entry Builder'!$L$10)&gt;'Entry Builder'!$E$10)))</f>
        <v/>
      </c>
      <c r="E371">
        <f>IF('Entry Builder'!$N$11=0,1,IF('Entry Builder'!$D$11="Less",--(INDEX(Sims!$A371:$BO371,'Entry Builder'!$L$11)&lt;'Entry Builder'!$E$11),--(INDEX(Sims!$A371:$BO371,'Entry Builder'!$L$11)&gt;'Entry Builder'!$E$11)))</f>
        <v/>
      </c>
      <c r="F371">
        <f>IF('Entry Builder'!$N$12=0,1,IF('Entry Builder'!$D$12="Less",--(INDEX(Sims!$A371:$BO371,'Entry Builder'!$L$12)&lt;'Entry Builder'!$E$12),--(INDEX(Sims!$A371:$BO371,'Entry Builder'!$L$12)&gt;'Entry Builder'!$E$12)))</f>
        <v/>
      </c>
      <c r="G371">
        <f>6-SUM(A371:F371)</f>
        <v/>
      </c>
    </row>
    <row r="372">
      <c r="A372">
        <f>IF('Entry Builder'!$N$7=0,1,IF('Entry Builder'!$D$7="Less",--(INDEX(Sims!$A372:$BO372,'Entry Builder'!$L$7)&lt;'Entry Builder'!$E$7),--(INDEX(Sims!$A372:$BO372,'Entry Builder'!$L$7)&gt;'Entry Builder'!$E$7)))</f>
        <v/>
      </c>
      <c r="B372">
        <f>IF('Entry Builder'!$N$8=0,1,IF('Entry Builder'!$D$8="Less",--(INDEX(Sims!$A372:$BO372,'Entry Builder'!$L$8)&lt;'Entry Builder'!$E$8),--(INDEX(Sims!$A372:$BO372,'Entry Builder'!$L$8)&gt;'Entry Builder'!$E$8)))</f>
        <v/>
      </c>
      <c r="C372">
        <f>IF('Entry Builder'!$N$9=0,1,IF('Entry Builder'!$D$9="Less",--(INDEX(Sims!$A372:$BO372,'Entry Builder'!$L$9)&lt;'Entry Builder'!$E$9),--(INDEX(Sims!$A372:$BO372,'Entry Builder'!$L$9)&gt;'Entry Builder'!$E$9)))</f>
        <v/>
      </c>
      <c r="D372">
        <f>IF('Entry Builder'!$N$10=0,1,IF('Entry Builder'!$D$10="Less",--(INDEX(Sims!$A372:$BO372,'Entry Builder'!$L$10)&lt;'Entry Builder'!$E$10),--(INDEX(Sims!$A372:$BO372,'Entry Builder'!$L$10)&gt;'Entry Builder'!$E$10)))</f>
        <v/>
      </c>
      <c r="E372">
        <f>IF('Entry Builder'!$N$11=0,1,IF('Entry Builder'!$D$11="Less",--(INDEX(Sims!$A372:$BO372,'Entry Builder'!$L$11)&lt;'Entry Builder'!$E$11),--(INDEX(Sims!$A372:$BO372,'Entry Builder'!$L$11)&gt;'Entry Builder'!$E$11)))</f>
        <v/>
      </c>
      <c r="F372">
        <f>IF('Entry Builder'!$N$12=0,1,IF('Entry Builder'!$D$12="Less",--(INDEX(Sims!$A372:$BO372,'Entry Builder'!$L$12)&lt;'Entry Builder'!$E$12),--(INDEX(Sims!$A372:$BO372,'Entry Builder'!$L$12)&gt;'Entry Builder'!$E$12)))</f>
        <v/>
      </c>
      <c r="G372">
        <f>6-SUM(A372:F372)</f>
        <v/>
      </c>
    </row>
    <row r="373">
      <c r="A373">
        <f>IF('Entry Builder'!$N$7=0,1,IF('Entry Builder'!$D$7="Less",--(INDEX(Sims!$A373:$BO373,'Entry Builder'!$L$7)&lt;'Entry Builder'!$E$7),--(INDEX(Sims!$A373:$BO373,'Entry Builder'!$L$7)&gt;'Entry Builder'!$E$7)))</f>
        <v/>
      </c>
      <c r="B373">
        <f>IF('Entry Builder'!$N$8=0,1,IF('Entry Builder'!$D$8="Less",--(INDEX(Sims!$A373:$BO373,'Entry Builder'!$L$8)&lt;'Entry Builder'!$E$8),--(INDEX(Sims!$A373:$BO373,'Entry Builder'!$L$8)&gt;'Entry Builder'!$E$8)))</f>
        <v/>
      </c>
      <c r="C373">
        <f>IF('Entry Builder'!$N$9=0,1,IF('Entry Builder'!$D$9="Less",--(INDEX(Sims!$A373:$BO373,'Entry Builder'!$L$9)&lt;'Entry Builder'!$E$9),--(INDEX(Sims!$A373:$BO373,'Entry Builder'!$L$9)&gt;'Entry Builder'!$E$9)))</f>
        <v/>
      </c>
      <c r="D373">
        <f>IF('Entry Builder'!$N$10=0,1,IF('Entry Builder'!$D$10="Less",--(INDEX(Sims!$A373:$BO373,'Entry Builder'!$L$10)&lt;'Entry Builder'!$E$10),--(INDEX(Sims!$A373:$BO373,'Entry Builder'!$L$10)&gt;'Entry Builder'!$E$10)))</f>
        <v/>
      </c>
      <c r="E373">
        <f>IF('Entry Builder'!$N$11=0,1,IF('Entry Builder'!$D$11="Less",--(INDEX(Sims!$A373:$BO373,'Entry Builder'!$L$11)&lt;'Entry Builder'!$E$11),--(INDEX(Sims!$A373:$BO373,'Entry Builder'!$L$11)&gt;'Entry Builder'!$E$11)))</f>
        <v/>
      </c>
      <c r="F373">
        <f>IF('Entry Builder'!$N$12=0,1,IF('Entry Builder'!$D$12="Less",--(INDEX(Sims!$A373:$BO373,'Entry Builder'!$L$12)&lt;'Entry Builder'!$E$12),--(INDEX(Sims!$A373:$BO373,'Entry Builder'!$L$12)&gt;'Entry Builder'!$E$12)))</f>
        <v/>
      </c>
      <c r="G373">
        <f>6-SUM(A373:F373)</f>
        <v/>
      </c>
    </row>
    <row r="374">
      <c r="A374">
        <f>IF('Entry Builder'!$N$7=0,1,IF('Entry Builder'!$D$7="Less",--(INDEX(Sims!$A374:$BO374,'Entry Builder'!$L$7)&lt;'Entry Builder'!$E$7),--(INDEX(Sims!$A374:$BO374,'Entry Builder'!$L$7)&gt;'Entry Builder'!$E$7)))</f>
        <v/>
      </c>
      <c r="B374">
        <f>IF('Entry Builder'!$N$8=0,1,IF('Entry Builder'!$D$8="Less",--(INDEX(Sims!$A374:$BO374,'Entry Builder'!$L$8)&lt;'Entry Builder'!$E$8),--(INDEX(Sims!$A374:$BO374,'Entry Builder'!$L$8)&gt;'Entry Builder'!$E$8)))</f>
        <v/>
      </c>
      <c r="C374">
        <f>IF('Entry Builder'!$N$9=0,1,IF('Entry Builder'!$D$9="Less",--(INDEX(Sims!$A374:$BO374,'Entry Builder'!$L$9)&lt;'Entry Builder'!$E$9),--(INDEX(Sims!$A374:$BO374,'Entry Builder'!$L$9)&gt;'Entry Builder'!$E$9)))</f>
        <v/>
      </c>
      <c r="D374">
        <f>IF('Entry Builder'!$N$10=0,1,IF('Entry Builder'!$D$10="Less",--(INDEX(Sims!$A374:$BO374,'Entry Builder'!$L$10)&lt;'Entry Builder'!$E$10),--(INDEX(Sims!$A374:$BO374,'Entry Builder'!$L$10)&gt;'Entry Builder'!$E$10)))</f>
        <v/>
      </c>
      <c r="E374">
        <f>IF('Entry Builder'!$N$11=0,1,IF('Entry Builder'!$D$11="Less",--(INDEX(Sims!$A374:$BO374,'Entry Builder'!$L$11)&lt;'Entry Builder'!$E$11),--(INDEX(Sims!$A374:$BO374,'Entry Builder'!$L$11)&gt;'Entry Builder'!$E$11)))</f>
        <v/>
      </c>
      <c r="F374">
        <f>IF('Entry Builder'!$N$12=0,1,IF('Entry Builder'!$D$12="Less",--(INDEX(Sims!$A374:$BO374,'Entry Builder'!$L$12)&lt;'Entry Builder'!$E$12),--(INDEX(Sims!$A374:$BO374,'Entry Builder'!$L$12)&gt;'Entry Builder'!$E$12)))</f>
        <v/>
      </c>
      <c r="G374">
        <f>6-SUM(A374:F374)</f>
        <v/>
      </c>
    </row>
    <row r="375">
      <c r="A375">
        <f>IF('Entry Builder'!$N$7=0,1,IF('Entry Builder'!$D$7="Less",--(INDEX(Sims!$A375:$BO375,'Entry Builder'!$L$7)&lt;'Entry Builder'!$E$7),--(INDEX(Sims!$A375:$BO375,'Entry Builder'!$L$7)&gt;'Entry Builder'!$E$7)))</f>
        <v/>
      </c>
      <c r="B375">
        <f>IF('Entry Builder'!$N$8=0,1,IF('Entry Builder'!$D$8="Less",--(INDEX(Sims!$A375:$BO375,'Entry Builder'!$L$8)&lt;'Entry Builder'!$E$8),--(INDEX(Sims!$A375:$BO375,'Entry Builder'!$L$8)&gt;'Entry Builder'!$E$8)))</f>
        <v/>
      </c>
      <c r="C375">
        <f>IF('Entry Builder'!$N$9=0,1,IF('Entry Builder'!$D$9="Less",--(INDEX(Sims!$A375:$BO375,'Entry Builder'!$L$9)&lt;'Entry Builder'!$E$9),--(INDEX(Sims!$A375:$BO375,'Entry Builder'!$L$9)&gt;'Entry Builder'!$E$9)))</f>
        <v/>
      </c>
      <c r="D375">
        <f>IF('Entry Builder'!$N$10=0,1,IF('Entry Builder'!$D$10="Less",--(INDEX(Sims!$A375:$BO375,'Entry Builder'!$L$10)&lt;'Entry Builder'!$E$10),--(INDEX(Sims!$A375:$BO375,'Entry Builder'!$L$10)&gt;'Entry Builder'!$E$10)))</f>
        <v/>
      </c>
      <c r="E375">
        <f>IF('Entry Builder'!$N$11=0,1,IF('Entry Builder'!$D$11="Less",--(INDEX(Sims!$A375:$BO375,'Entry Builder'!$L$11)&lt;'Entry Builder'!$E$11),--(INDEX(Sims!$A375:$BO375,'Entry Builder'!$L$11)&gt;'Entry Builder'!$E$11)))</f>
        <v/>
      </c>
      <c r="F375">
        <f>IF('Entry Builder'!$N$12=0,1,IF('Entry Builder'!$D$12="Less",--(INDEX(Sims!$A375:$BO375,'Entry Builder'!$L$12)&lt;'Entry Builder'!$E$12),--(INDEX(Sims!$A375:$BO375,'Entry Builder'!$L$12)&gt;'Entry Builder'!$E$12)))</f>
        <v/>
      </c>
      <c r="G375">
        <f>6-SUM(A375:F375)</f>
        <v/>
      </c>
    </row>
    <row r="376">
      <c r="A376">
        <f>IF('Entry Builder'!$N$7=0,1,IF('Entry Builder'!$D$7="Less",--(INDEX(Sims!$A376:$BO376,'Entry Builder'!$L$7)&lt;'Entry Builder'!$E$7),--(INDEX(Sims!$A376:$BO376,'Entry Builder'!$L$7)&gt;'Entry Builder'!$E$7)))</f>
        <v/>
      </c>
      <c r="B376">
        <f>IF('Entry Builder'!$N$8=0,1,IF('Entry Builder'!$D$8="Less",--(INDEX(Sims!$A376:$BO376,'Entry Builder'!$L$8)&lt;'Entry Builder'!$E$8),--(INDEX(Sims!$A376:$BO376,'Entry Builder'!$L$8)&gt;'Entry Builder'!$E$8)))</f>
        <v/>
      </c>
      <c r="C376">
        <f>IF('Entry Builder'!$N$9=0,1,IF('Entry Builder'!$D$9="Less",--(INDEX(Sims!$A376:$BO376,'Entry Builder'!$L$9)&lt;'Entry Builder'!$E$9),--(INDEX(Sims!$A376:$BO376,'Entry Builder'!$L$9)&gt;'Entry Builder'!$E$9)))</f>
        <v/>
      </c>
      <c r="D376">
        <f>IF('Entry Builder'!$N$10=0,1,IF('Entry Builder'!$D$10="Less",--(INDEX(Sims!$A376:$BO376,'Entry Builder'!$L$10)&lt;'Entry Builder'!$E$10),--(INDEX(Sims!$A376:$BO376,'Entry Builder'!$L$10)&gt;'Entry Builder'!$E$10)))</f>
        <v/>
      </c>
      <c r="E376">
        <f>IF('Entry Builder'!$N$11=0,1,IF('Entry Builder'!$D$11="Less",--(INDEX(Sims!$A376:$BO376,'Entry Builder'!$L$11)&lt;'Entry Builder'!$E$11),--(INDEX(Sims!$A376:$BO376,'Entry Builder'!$L$11)&gt;'Entry Builder'!$E$11)))</f>
        <v/>
      </c>
      <c r="F376">
        <f>IF('Entry Builder'!$N$12=0,1,IF('Entry Builder'!$D$12="Less",--(INDEX(Sims!$A376:$BO376,'Entry Builder'!$L$12)&lt;'Entry Builder'!$E$12),--(INDEX(Sims!$A376:$BO376,'Entry Builder'!$L$12)&gt;'Entry Builder'!$E$12)))</f>
        <v/>
      </c>
      <c r="G376">
        <f>6-SUM(A376:F376)</f>
        <v/>
      </c>
    </row>
    <row r="377">
      <c r="A377">
        <f>IF('Entry Builder'!$N$7=0,1,IF('Entry Builder'!$D$7="Less",--(INDEX(Sims!$A377:$BO377,'Entry Builder'!$L$7)&lt;'Entry Builder'!$E$7),--(INDEX(Sims!$A377:$BO377,'Entry Builder'!$L$7)&gt;'Entry Builder'!$E$7)))</f>
        <v/>
      </c>
      <c r="B377">
        <f>IF('Entry Builder'!$N$8=0,1,IF('Entry Builder'!$D$8="Less",--(INDEX(Sims!$A377:$BO377,'Entry Builder'!$L$8)&lt;'Entry Builder'!$E$8),--(INDEX(Sims!$A377:$BO377,'Entry Builder'!$L$8)&gt;'Entry Builder'!$E$8)))</f>
        <v/>
      </c>
      <c r="C377">
        <f>IF('Entry Builder'!$N$9=0,1,IF('Entry Builder'!$D$9="Less",--(INDEX(Sims!$A377:$BO377,'Entry Builder'!$L$9)&lt;'Entry Builder'!$E$9),--(INDEX(Sims!$A377:$BO377,'Entry Builder'!$L$9)&gt;'Entry Builder'!$E$9)))</f>
        <v/>
      </c>
      <c r="D377">
        <f>IF('Entry Builder'!$N$10=0,1,IF('Entry Builder'!$D$10="Less",--(INDEX(Sims!$A377:$BO377,'Entry Builder'!$L$10)&lt;'Entry Builder'!$E$10),--(INDEX(Sims!$A377:$BO377,'Entry Builder'!$L$10)&gt;'Entry Builder'!$E$10)))</f>
        <v/>
      </c>
      <c r="E377">
        <f>IF('Entry Builder'!$N$11=0,1,IF('Entry Builder'!$D$11="Less",--(INDEX(Sims!$A377:$BO377,'Entry Builder'!$L$11)&lt;'Entry Builder'!$E$11),--(INDEX(Sims!$A377:$BO377,'Entry Builder'!$L$11)&gt;'Entry Builder'!$E$11)))</f>
        <v/>
      </c>
      <c r="F377">
        <f>IF('Entry Builder'!$N$12=0,1,IF('Entry Builder'!$D$12="Less",--(INDEX(Sims!$A377:$BO377,'Entry Builder'!$L$12)&lt;'Entry Builder'!$E$12),--(INDEX(Sims!$A377:$BO377,'Entry Builder'!$L$12)&gt;'Entry Builder'!$E$12)))</f>
        <v/>
      </c>
      <c r="G377">
        <f>6-SUM(A377:F377)</f>
        <v/>
      </c>
    </row>
    <row r="378">
      <c r="A378">
        <f>IF('Entry Builder'!$N$7=0,1,IF('Entry Builder'!$D$7="Less",--(INDEX(Sims!$A378:$BO378,'Entry Builder'!$L$7)&lt;'Entry Builder'!$E$7),--(INDEX(Sims!$A378:$BO378,'Entry Builder'!$L$7)&gt;'Entry Builder'!$E$7)))</f>
        <v/>
      </c>
      <c r="B378">
        <f>IF('Entry Builder'!$N$8=0,1,IF('Entry Builder'!$D$8="Less",--(INDEX(Sims!$A378:$BO378,'Entry Builder'!$L$8)&lt;'Entry Builder'!$E$8),--(INDEX(Sims!$A378:$BO378,'Entry Builder'!$L$8)&gt;'Entry Builder'!$E$8)))</f>
        <v/>
      </c>
      <c r="C378">
        <f>IF('Entry Builder'!$N$9=0,1,IF('Entry Builder'!$D$9="Less",--(INDEX(Sims!$A378:$BO378,'Entry Builder'!$L$9)&lt;'Entry Builder'!$E$9),--(INDEX(Sims!$A378:$BO378,'Entry Builder'!$L$9)&gt;'Entry Builder'!$E$9)))</f>
        <v/>
      </c>
      <c r="D378">
        <f>IF('Entry Builder'!$N$10=0,1,IF('Entry Builder'!$D$10="Less",--(INDEX(Sims!$A378:$BO378,'Entry Builder'!$L$10)&lt;'Entry Builder'!$E$10),--(INDEX(Sims!$A378:$BO378,'Entry Builder'!$L$10)&gt;'Entry Builder'!$E$10)))</f>
        <v/>
      </c>
      <c r="E378">
        <f>IF('Entry Builder'!$N$11=0,1,IF('Entry Builder'!$D$11="Less",--(INDEX(Sims!$A378:$BO378,'Entry Builder'!$L$11)&lt;'Entry Builder'!$E$11),--(INDEX(Sims!$A378:$BO378,'Entry Builder'!$L$11)&gt;'Entry Builder'!$E$11)))</f>
        <v/>
      </c>
      <c r="F378">
        <f>IF('Entry Builder'!$N$12=0,1,IF('Entry Builder'!$D$12="Less",--(INDEX(Sims!$A378:$BO378,'Entry Builder'!$L$12)&lt;'Entry Builder'!$E$12),--(INDEX(Sims!$A378:$BO378,'Entry Builder'!$L$12)&gt;'Entry Builder'!$E$12)))</f>
        <v/>
      </c>
      <c r="G378">
        <f>6-SUM(A378:F378)</f>
        <v/>
      </c>
    </row>
    <row r="379">
      <c r="A379">
        <f>IF('Entry Builder'!$N$7=0,1,IF('Entry Builder'!$D$7="Less",--(INDEX(Sims!$A379:$BO379,'Entry Builder'!$L$7)&lt;'Entry Builder'!$E$7),--(INDEX(Sims!$A379:$BO379,'Entry Builder'!$L$7)&gt;'Entry Builder'!$E$7)))</f>
        <v/>
      </c>
      <c r="B379">
        <f>IF('Entry Builder'!$N$8=0,1,IF('Entry Builder'!$D$8="Less",--(INDEX(Sims!$A379:$BO379,'Entry Builder'!$L$8)&lt;'Entry Builder'!$E$8),--(INDEX(Sims!$A379:$BO379,'Entry Builder'!$L$8)&gt;'Entry Builder'!$E$8)))</f>
        <v/>
      </c>
      <c r="C379">
        <f>IF('Entry Builder'!$N$9=0,1,IF('Entry Builder'!$D$9="Less",--(INDEX(Sims!$A379:$BO379,'Entry Builder'!$L$9)&lt;'Entry Builder'!$E$9),--(INDEX(Sims!$A379:$BO379,'Entry Builder'!$L$9)&gt;'Entry Builder'!$E$9)))</f>
        <v/>
      </c>
      <c r="D379">
        <f>IF('Entry Builder'!$N$10=0,1,IF('Entry Builder'!$D$10="Less",--(INDEX(Sims!$A379:$BO379,'Entry Builder'!$L$10)&lt;'Entry Builder'!$E$10),--(INDEX(Sims!$A379:$BO379,'Entry Builder'!$L$10)&gt;'Entry Builder'!$E$10)))</f>
        <v/>
      </c>
      <c r="E379">
        <f>IF('Entry Builder'!$N$11=0,1,IF('Entry Builder'!$D$11="Less",--(INDEX(Sims!$A379:$BO379,'Entry Builder'!$L$11)&lt;'Entry Builder'!$E$11),--(INDEX(Sims!$A379:$BO379,'Entry Builder'!$L$11)&gt;'Entry Builder'!$E$11)))</f>
        <v/>
      </c>
      <c r="F379">
        <f>IF('Entry Builder'!$N$12=0,1,IF('Entry Builder'!$D$12="Less",--(INDEX(Sims!$A379:$BO379,'Entry Builder'!$L$12)&lt;'Entry Builder'!$E$12),--(INDEX(Sims!$A379:$BO379,'Entry Builder'!$L$12)&gt;'Entry Builder'!$E$12)))</f>
        <v/>
      </c>
      <c r="G379">
        <f>6-SUM(A379:F379)</f>
        <v/>
      </c>
    </row>
    <row r="380">
      <c r="A380">
        <f>IF('Entry Builder'!$N$7=0,1,IF('Entry Builder'!$D$7="Less",--(INDEX(Sims!$A380:$BO380,'Entry Builder'!$L$7)&lt;'Entry Builder'!$E$7),--(INDEX(Sims!$A380:$BO380,'Entry Builder'!$L$7)&gt;'Entry Builder'!$E$7)))</f>
        <v/>
      </c>
      <c r="B380">
        <f>IF('Entry Builder'!$N$8=0,1,IF('Entry Builder'!$D$8="Less",--(INDEX(Sims!$A380:$BO380,'Entry Builder'!$L$8)&lt;'Entry Builder'!$E$8),--(INDEX(Sims!$A380:$BO380,'Entry Builder'!$L$8)&gt;'Entry Builder'!$E$8)))</f>
        <v/>
      </c>
      <c r="C380">
        <f>IF('Entry Builder'!$N$9=0,1,IF('Entry Builder'!$D$9="Less",--(INDEX(Sims!$A380:$BO380,'Entry Builder'!$L$9)&lt;'Entry Builder'!$E$9),--(INDEX(Sims!$A380:$BO380,'Entry Builder'!$L$9)&gt;'Entry Builder'!$E$9)))</f>
        <v/>
      </c>
      <c r="D380">
        <f>IF('Entry Builder'!$N$10=0,1,IF('Entry Builder'!$D$10="Less",--(INDEX(Sims!$A380:$BO380,'Entry Builder'!$L$10)&lt;'Entry Builder'!$E$10),--(INDEX(Sims!$A380:$BO380,'Entry Builder'!$L$10)&gt;'Entry Builder'!$E$10)))</f>
        <v/>
      </c>
      <c r="E380">
        <f>IF('Entry Builder'!$N$11=0,1,IF('Entry Builder'!$D$11="Less",--(INDEX(Sims!$A380:$BO380,'Entry Builder'!$L$11)&lt;'Entry Builder'!$E$11),--(INDEX(Sims!$A380:$BO380,'Entry Builder'!$L$11)&gt;'Entry Builder'!$E$11)))</f>
        <v/>
      </c>
      <c r="F380">
        <f>IF('Entry Builder'!$N$12=0,1,IF('Entry Builder'!$D$12="Less",--(INDEX(Sims!$A380:$BO380,'Entry Builder'!$L$12)&lt;'Entry Builder'!$E$12),--(INDEX(Sims!$A380:$BO380,'Entry Builder'!$L$12)&gt;'Entry Builder'!$E$12)))</f>
        <v/>
      </c>
      <c r="G380">
        <f>6-SUM(A380:F380)</f>
        <v/>
      </c>
    </row>
    <row r="381">
      <c r="A381">
        <f>IF('Entry Builder'!$N$7=0,1,IF('Entry Builder'!$D$7="Less",--(INDEX(Sims!$A381:$BO381,'Entry Builder'!$L$7)&lt;'Entry Builder'!$E$7),--(INDEX(Sims!$A381:$BO381,'Entry Builder'!$L$7)&gt;'Entry Builder'!$E$7)))</f>
        <v/>
      </c>
      <c r="B381">
        <f>IF('Entry Builder'!$N$8=0,1,IF('Entry Builder'!$D$8="Less",--(INDEX(Sims!$A381:$BO381,'Entry Builder'!$L$8)&lt;'Entry Builder'!$E$8),--(INDEX(Sims!$A381:$BO381,'Entry Builder'!$L$8)&gt;'Entry Builder'!$E$8)))</f>
        <v/>
      </c>
      <c r="C381">
        <f>IF('Entry Builder'!$N$9=0,1,IF('Entry Builder'!$D$9="Less",--(INDEX(Sims!$A381:$BO381,'Entry Builder'!$L$9)&lt;'Entry Builder'!$E$9),--(INDEX(Sims!$A381:$BO381,'Entry Builder'!$L$9)&gt;'Entry Builder'!$E$9)))</f>
        <v/>
      </c>
      <c r="D381">
        <f>IF('Entry Builder'!$N$10=0,1,IF('Entry Builder'!$D$10="Less",--(INDEX(Sims!$A381:$BO381,'Entry Builder'!$L$10)&lt;'Entry Builder'!$E$10),--(INDEX(Sims!$A381:$BO381,'Entry Builder'!$L$10)&gt;'Entry Builder'!$E$10)))</f>
        <v/>
      </c>
      <c r="E381">
        <f>IF('Entry Builder'!$N$11=0,1,IF('Entry Builder'!$D$11="Less",--(INDEX(Sims!$A381:$BO381,'Entry Builder'!$L$11)&lt;'Entry Builder'!$E$11),--(INDEX(Sims!$A381:$BO381,'Entry Builder'!$L$11)&gt;'Entry Builder'!$E$11)))</f>
        <v/>
      </c>
      <c r="F381">
        <f>IF('Entry Builder'!$N$12=0,1,IF('Entry Builder'!$D$12="Less",--(INDEX(Sims!$A381:$BO381,'Entry Builder'!$L$12)&lt;'Entry Builder'!$E$12),--(INDEX(Sims!$A381:$BO381,'Entry Builder'!$L$12)&gt;'Entry Builder'!$E$12)))</f>
        <v/>
      </c>
      <c r="G381">
        <f>6-SUM(A381:F381)</f>
        <v/>
      </c>
    </row>
    <row r="382">
      <c r="A382">
        <f>IF('Entry Builder'!$N$7=0,1,IF('Entry Builder'!$D$7="Less",--(INDEX(Sims!$A382:$BO382,'Entry Builder'!$L$7)&lt;'Entry Builder'!$E$7),--(INDEX(Sims!$A382:$BO382,'Entry Builder'!$L$7)&gt;'Entry Builder'!$E$7)))</f>
        <v/>
      </c>
      <c r="B382">
        <f>IF('Entry Builder'!$N$8=0,1,IF('Entry Builder'!$D$8="Less",--(INDEX(Sims!$A382:$BO382,'Entry Builder'!$L$8)&lt;'Entry Builder'!$E$8),--(INDEX(Sims!$A382:$BO382,'Entry Builder'!$L$8)&gt;'Entry Builder'!$E$8)))</f>
        <v/>
      </c>
      <c r="C382">
        <f>IF('Entry Builder'!$N$9=0,1,IF('Entry Builder'!$D$9="Less",--(INDEX(Sims!$A382:$BO382,'Entry Builder'!$L$9)&lt;'Entry Builder'!$E$9),--(INDEX(Sims!$A382:$BO382,'Entry Builder'!$L$9)&gt;'Entry Builder'!$E$9)))</f>
        <v/>
      </c>
      <c r="D382">
        <f>IF('Entry Builder'!$N$10=0,1,IF('Entry Builder'!$D$10="Less",--(INDEX(Sims!$A382:$BO382,'Entry Builder'!$L$10)&lt;'Entry Builder'!$E$10),--(INDEX(Sims!$A382:$BO382,'Entry Builder'!$L$10)&gt;'Entry Builder'!$E$10)))</f>
        <v/>
      </c>
      <c r="E382">
        <f>IF('Entry Builder'!$N$11=0,1,IF('Entry Builder'!$D$11="Less",--(INDEX(Sims!$A382:$BO382,'Entry Builder'!$L$11)&lt;'Entry Builder'!$E$11),--(INDEX(Sims!$A382:$BO382,'Entry Builder'!$L$11)&gt;'Entry Builder'!$E$11)))</f>
        <v/>
      </c>
      <c r="F382">
        <f>IF('Entry Builder'!$N$12=0,1,IF('Entry Builder'!$D$12="Less",--(INDEX(Sims!$A382:$BO382,'Entry Builder'!$L$12)&lt;'Entry Builder'!$E$12),--(INDEX(Sims!$A382:$BO382,'Entry Builder'!$L$12)&gt;'Entry Builder'!$E$12)))</f>
        <v/>
      </c>
      <c r="G382">
        <f>6-SUM(A382:F382)</f>
        <v/>
      </c>
    </row>
    <row r="383">
      <c r="A383">
        <f>IF('Entry Builder'!$N$7=0,1,IF('Entry Builder'!$D$7="Less",--(INDEX(Sims!$A383:$BO383,'Entry Builder'!$L$7)&lt;'Entry Builder'!$E$7),--(INDEX(Sims!$A383:$BO383,'Entry Builder'!$L$7)&gt;'Entry Builder'!$E$7)))</f>
        <v/>
      </c>
      <c r="B383">
        <f>IF('Entry Builder'!$N$8=0,1,IF('Entry Builder'!$D$8="Less",--(INDEX(Sims!$A383:$BO383,'Entry Builder'!$L$8)&lt;'Entry Builder'!$E$8),--(INDEX(Sims!$A383:$BO383,'Entry Builder'!$L$8)&gt;'Entry Builder'!$E$8)))</f>
        <v/>
      </c>
      <c r="C383">
        <f>IF('Entry Builder'!$N$9=0,1,IF('Entry Builder'!$D$9="Less",--(INDEX(Sims!$A383:$BO383,'Entry Builder'!$L$9)&lt;'Entry Builder'!$E$9),--(INDEX(Sims!$A383:$BO383,'Entry Builder'!$L$9)&gt;'Entry Builder'!$E$9)))</f>
        <v/>
      </c>
      <c r="D383">
        <f>IF('Entry Builder'!$N$10=0,1,IF('Entry Builder'!$D$10="Less",--(INDEX(Sims!$A383:$BO383,'Entry Builder'!$L$10)&lt;'Entry Builder'!$E$10),--(INDEX(Sims!$A383:$BO383,'Entry Builder'!$L$10)&gt;'Entry Builder'!$E$10)))</f>
        <v/>
      </c>
      <c r="E383">
        <f>IF('Entry Builder'!$N$11=0,1,IF('Entry Builder'!$D$11="Less",--(INDEX(Sims!$A383:$BO383,'Entry Builder'!$L$11)&lt;'Entry Builder'!$E$11),--(INDEX(Sims!$A383:$BO383,'Entry Builder'!$L$11)&gt;'Entry Builder'!$E$11)))</f>
        <v/>
      </c>
      <c r="F383">
        <f>IF('Entry Builder'!$N$12=0,1,IF('Entry Builder'!$D$12="Less",--(INDEX(Sims!$A383:$BO383,'Entry Builder'!$L$12)&lt;'Entry Builder'!$E$12),--(INDEX(Sims!$A383:$BO383,'Entry Builder'!$L$12)&gt;'Entry Builder'!$E$12)))</f>
        <v/>
      </c>
      <c r="G383">
        <f>6-SUM(A383:F383)</f>
        <v/>
      </c>
    </row>
    <row r="384">
      <c r="A384">
        <f>IF('Entry Builder'!$N$7=0,1,IF('Entry Builder'!$D$7="Less",--(INDEX(Sims!$A384:$BO384,'Entry Builder'!$L$7)&lt;'Entry Builder'!$E$7),--(INDEX(Sims!$A384:$BO384,'Entry Builder'!$L$7)&gt;'Entry Builder'!$E$7)))</f>
        <v/>
      </c>
      <c r="B384">
        <f>IF('Entry Builder'!$N$8=0,1,IF('Entry Builder'!$D$8="Less",--(INDEX(Sims!$A384:$BO384,'Entry Builder'!$L$8)&lt;'Entry Builder'!$E$8),--(INDEX(Sims!$A384:$BO384,'Entry Builder'!$L$8)&gt;'Entry Builder'!$E$8)))</f>
        <v/>
      </c>
      <c r="C384">
        <f>IF('Entry Builder'!$N$9=0,1,IF('Entry Builder'!$D$9="Less",--(INDEX(Sims!$A384:$BO384,'Entry Builder'!$L$9)&lt;'Entry Builder'!$E$9),--(INDEX(Sims!$A384:$BO384,'Entry Builder'!$L$9)&gt;'Entry Builder'!$E$9)))</f>
        <v/>
      </c>
      <c r="D384">
        <f>IF('Entry Builder'!$N$10=0,1,IF('Entry Builder'!$D$10="Less",--(INDEX(Sims!$A384:$BO384,'Entry Builder'!$L$10)&lt;'Entry Builder'!$E$10),--(INDEX(Sims!$A384:$BO384,'Entry Builder'!$L$10)&gt;'Entry Builder'!$E$10)))</f>
        <v/>
      </c>
      <c r="E384">
        <f>IF('Entry Builder'!$N$11=0,1,IF('Entry Builder'!$D$11="Less",--(INDEX(Sims!$A384:$BO384,'Entry Builder'!$L$11)&lt;'Entry Builder'!$E$11),--(INDEX(Sims!$A384:$BO384,'Entry Builder'!$L$11)&gt;'Entry Builder'!$E$11)))</f>
        <v/>
      </c>
      <c r="F384">
        <f>IF('Entry Builder'!$N$12=0,1,IF('Entry Builder'!$D$12="Less",--(INDEX(Sims!$A384:$BO384,'Entry Builder'!$L$12)&lt;'Entry Builder'!$E$12),--(INDEX(Sims!$A384:$BO384,'Entry Builder'!$L$12)&gt;'Entry Builder'!$E$12)))</f>
        <v/>
      </c>
      <c r="G384">
        <f>6-SUM(A384:F384)</f>
        <v/>
      </c>
    </row>
    <row r="385">
      <c r="A385">
        <f>IF('Entry Builder'!$N$7=0,1,IF('Entry Builder'!$D$7="Less",--(INDEX(Sims!$A385:$BO385,'Entry Builder'!$L$7)&lt;'Entry Builder'!$E$7),--(INDEX(Sims!$A385:$BO385,'Entry Builder'!$L$7)&gt;'Entry Builder'!$E$7)))</f>
        <v/>
      </c>
      <c r="B385">
        <f>IF('Entry Builder'!$N$8=0,1,IF('Entry Builder'!$D$8="Less",--(INDEX(Sims!$A385:$BO385,'Entry Builder'!$L$8)&lt;'Entry Builder'!$E$8),--(INDEX(Sims!$A385:$BO385,'Entry Builder'!$L$8)&gt;'Entry Builder'!$E$8)))</f>
        <v/>
      </c>
      <c r="C385">
        <f>IF('Entry Builder'!$N$9=0,1,IF('Entry Builder'!$D$9="Less",--(INDEX(Sims!$A385:$BO385,'Entry Builder'!$L$9)&lt;'Entry Builder'!$E$9),--(INDEX(Sims!$A385:$BO385,'Entry Builder'!$L$9)&gt;'Entry Builder'!$E$9)))</f>
        <v/>
      </c>
      <c r="D385">
        <f>IF('Entry Builder'!$N$10=0,1,IF('Entry Builder'!$D$10="Less",--(INDEX(Sims!$A385:$BO385,'Entry Builder'!$L$10)&lt;'Entry Builder'!$E$10),--(INDEX(Sims!$A385:$BO385,'Entry Builder'!$L$10)&gt;'Entry Builder'!$E$10)))</f>
        <v/>
      </c>
      <c r="E385">
        <f>IF('Entry Builder'!$N$11=0,1,IF('Entry Builder'!$D$11="Less",--(INDEX(Sims!$A385:$BO385,'Entry Builder'!$L$11)&lt;'Entry Builder'!$E$11),--(INDEX(Sims!$A385:$BO385,'Entry Builder'!$L$11)&gt;'Entry Builder'!$E$11)))</f>
        <v/>
      </c>
      <c r="F385">
        <f>IF('Entry Builder'!$N$12=0,1,IF('Entry Builder'!$D$12="Less",--(INDEX(Sims!$A385:$BO385,'Entry Builder'!$L$12)&lt;'Entry Builder'!$E$12),--(INDEX(Sims!$A385:$BO385,'Entry Builder'!$L$12)&gt;'Entry Builder'!$E$12)))</f>
        <v/>
      </c>
      <c r="G385">
        <f>6-SUM(A385:F385)</f>
        <v/>
      </c>
    </row>
    <row r="386">
      <c r="A386">
        <f>IF('Entry Builder'!$N$7=0,1,IF('Entry Builder'!$D$7="Less",--(INDEX(Sims!$A386:$BO386,'Entry Builder'!$L$7)&lt;'Entry Builder'!$E$7),--(INDEX(Sims!$A386:$BO386,'Entry Builder'!$L$7)&gt;'Entry Builder'!$E$7)))</f>
        <v/>
      </c>
      <c r="B386">
        <f>IF('Entry Builder'!$N$8=0,1,IF('Entry Builder'!$D$8="Less",--(INDEX(Sims!$A386:$BO386,'Entry Builder'!$L$8)&lt;'Entry Builder'!$E$8),--(INDEX(Sims!$A386:$BO386,'Entry Builder'!$L$8)&gt;'Entry Builder'!$E$8)))</f>
        <v/>
      </c>
      <c r="C386">
        <f>IF('Entry Builder'!$N$9=0,1,IF('Entry Builder'!$D$9="Less",--(INDEX(Sims!$A386:$BO386,'Entry Builder'!$L$9)&lt;'Entry Builder'!$E$9),--(INDEX(Sims!$A386:$BO386,'Entry Builder'!$L$9)&gt;'Entry Builder'!$E$9)))</f>
        <v/>
      </c>
      <c r="D386">
        <f>IF('Entry Builder'!$N$10=0,1,IF('Entry Builder'!$D$10="Less",--(INDEX(Sims!$A386:$BO386,'Entry Builder'!$L$10)&lt;'Entry Builder'!$E$10),--(INDEX(Sims!$A386:$BO386,'Entry Builder'!$L$10)&gt;'Entry Builder'!$E$10)))</f>
        <v/>
      </c>
      <c r="E386">
        <f>IF('Entry Builder'!$N$11=0,1,IF('Entry Builder'!$D$11="Less",--(INDEX(Sims!$A386:$BO386,'Entry Builder'!$L$11)&lt;'Entry Builder'!$E$11),--(INDEX(Sims!$A386:$BO386,'Entry Builder'!$L$11)&gt;'Entry Builder'!$E$11)))</f>
        <v/>
      </c>
      <c r="F386">
        <f>IF('Entry Builder'!$N$12=0,1,IF('Entry Builder'!$D$12="Less",--(INDEX(Sims!$A386:$BO386,'Entry Builder'!$L$12)&lt;'Entry Builder'!$E$12),--(INDEX(Sims!$A386:$BO386,'Entry Builder'!$L$12)&gt;'Entry Builder'!$E$12)))</f>
        <v/>
      </c>
      <c r="G386">
        <f>6-SUM(A386:F386)</f>
        <v/>
      </c>
    </row>
    <row r="387">
      <c r="A387">
        <f>IF('Entry Builder'!$N$7=0,1,IF('Entry Builder'!$D$7="Less",--(INDEX(Sims!$A387:$BO387,'Entry Builder'!$L$7)&lt;'Entry Builder'!$E$7),--(INDEX(Sims!$A387:$BO387,'Entry Builder'!$L$7)&gt;'Entry Builder'!$E$7)))</f>
        <v/>
      </c>
      <c r="B387">
        <f>IF('Entry Builder'!$N$8=0,1,IF('Entry Builder'!$D$8="Less",--(INDEX(Sims!$A387:$BO387,'Entry Builder'!$L$8)&lt;'Entry Builder'!$E$8),--(INDEX(Sims!$A387:$BO387,'Entry Builder'!$L$8)&gt;'Entry Builder'!$E$8)))</f>
        <v/>
      </c>
      <c r="C387">
        <f>IF('Entry Builder'!$N$9=0,1,IF('Entry Builder'!$D$9="Less",--(INDEX(Sims!$A387:$BO387,'Entry Builder'!$L$9)&lt;'Entry Builder'!$E$9),--(INDEX(Sims!$A387:$BO387,'Entry Builder'!$L$9)&gt;'Entry Builder'!$E$9)))</f>
        <v/>
      </c>
      <c r="D387">
        <f>IF('Entry Builder'!$N$10=0,1,IF('Entry Builder'!$D$10="Less",--(INDEX(Sims!$A387:$BO387,'Entry Builder'!$L$10)&lt;'Entry Builder'!$E$10),--(INDEX(Sims!$A387:$BO387,'Entry Builder'!$L$10)&gt;'Entry Builder'!$E$10)))</f>
        <v/>
      </c>
      <c r="E387">
        <f>IF('Entry Builder'!$N$11=0,1,IF('Entry Builder'!$D$11="Less",--(INDEX(Sims!$A387:$BO387,'Entry Builder'!$L$11)&lt;'Entry Builder'!$E$11),--(INDEX(Sims!$A387:$BO387,'Entry Builder'!$L$11)&gt;'Entry Builder'!$E$11)))</f>
        <v/>
      </c>
      <c r="F387">
        <f>IF('Entry Builder'!$N$12=0,1,IF('Entry Builder'!$D$12="Less",--(INDEX(Sims!$A387:$BO387,'Entry Builder'!$L$12)&lt;'Entry Builder'!$E$12),--(INDEX(Sims!$A387:$BO387,'Entry Builder'!$L$12)&gt;'Entry Builder'!$E$12)))</f>
        <v/>
      </c>
      <c r="G387">
        <f>6-SUM(A387:F387)</f>
        <v/>
      </c>
    </row>
    <row r="388">
      <c r="A388">
        <f>IF('Entry Builder'!$N$7=0,1,IF('Entry Builder'!$D$7="Less",--(INDEX(Sims!$A388:$BO388,'Entry Builder'!$L$7)&lt;'Entry Builder'!$E$7),--(INDEX(Sims!$A388:$BO388,'Entry Builder'!$L$7)&gt;'Entry Builder'!$E$7)))</f>
        <v/>
      </c>
      <c r="B388">
        <f>IF('Entry Builder'!$N$8=0,1,IF('Entry Builder'!$D$8="Less",--(INDEX(Sims!$A388:$BO388,'Entry Builder'!$L$8)&lt;'Entry Builder'!$E$8),--(INDEX(Sims!$A388:$BO388,'Entry Builder'!$L$8)&gt;'Entry Builder'!$E$8)))</f>
        <v/>
      </c>
      <c r="C388">
        <f>IF('Entry Builder'!$N$9=0,1,IF('Entry Builder'!$D$9="Less",--(INDEX(Sims!$A388:$BO388,'Entry Builder'!$L$9)&lt;'Entry Builder'!$E$9),--(INDEX(Sims!$A388:$BO388,'Entry Builder'!$L$9)&gt;'Entry Builder'!$E$9)))</f>
        <v/>
      </c>
      <c r="D388">
        <f>IF('Entry Builder'!$N$10=0,1,IF('Entry Builder'!$D$10="Less",--(INDEX(Sims!$A388:$BO388,'Entry Builder'!$L$10)&lt;'Entry Builder'!$E$10),--(INDEX(Sims!$A388:$BO388,'Entry Builder'!$L$10)&gt;'Entry Builder'!$E$10)))</f>
        <v/>
      </c>
      <c r="E388">
        <f>IF('Entry Builder'!$N$11=0,1,IF('Entry Builder'!$D$11="Less",--(INDEX(Sims!$A388:$BO388,'Entry Builder'!$L$11)&lt;'Entry Builder'!$E$11),--(INDEX(Sims!$A388:$BO388,'Entry Builder'!$L$11)&gt;'Entry Builder'!$E$11)))</f>
        <v/>
      </c>
      <c r="F388">
        <f>IF('Entry Builder'!$N$12=0,1,IF('Entry Builder'!$D$12="Less",--(INDEX(Sims!$A388:$BO388,'Entry Builder'!$L$12)&lt;'Entry Builder'!$E$12),--(INDEX(Sims!$A388:$BO388,'Entry Builder'!$L$12)&gt;'Entry Builder'!$E$12)))</f>
        <v/>
      </c>
      <c r="G388">
        <f>6-SUM(A388:F388)</f>
        <v/>
      </c>
    </row>
    <row r="389">
      <c r="A389">
        <f>IF('Entry Builder'!$N$7=0,1,IF('Entry Builder'!$D$7="Less",--(INDEX(Sims!$A389:$BO389,'Entry Builder'!$L$7)&lt;'Entry Builder'!$E$7),--(INDEX(Sims!$A389:$BO389,'Entry Builder'!$L$7)&gt;'Entry Builder'!$E$7)))</f>
        <v/>
      </c>
      <c r="B389">
        <f>IF('Entry Builder'!$N$8=0,1,IF('Entry Builder'!$D$8="Less",--(INDEX(Sims!$A389:$BO389,'Entry Builder'!$L$8)&lt;'Entry Builder'!$E$8),--(INDEX(Sims!$A389:$BO389,'Entry Builder'!$L$8)&gt;'Entry Builder'!$E$8)))</f>
        <v/>
      </c>
      <c r="C389">
        <f>IF('Entry Builder'!$N$9=0,1,IF('Entry Builder'!$D$9="Less",--(INDEX(Sims!$A389:$BO389,'Entry Builder'!$L$9)&lt;'Entry Builder'!$E$9),--(INDEX(Sims!$A389:$BO389,'Entry Builder'!$L$9)&gt;'Entry Builder'!$E$9)))</f>
        <v/>
      </c>
      <c r="D389">
        <f>IF('Entry Builder'!$N$10=0,1,IF('Entry Builder'!$D$10="Less",--(INDEX(Sims!$A389:$BO389,'Entry Builder'!$L$10)&lt;'Entry Builder'!$E$10),--(INDEX(Sims!$A389:$BO389,'Entry Builder'!$L$10)&gt;'Entry Builder'!$E$10)))</f>
        <v/>
      </c>
      <c r="E389">
        <f>IF('Entry Builder'!$N$11=0,1,IF('Entry Builder'!$D$11="Less",--(INDEX(Sims!$A389:$BO389,'Entry Builder'!$L$11)&lt;'Entry Builder'!$E$11),--(INDEX(Sims!$A389:$BO389,'Entry Builder'!$L$11)&gt;'Entry Builder'!$E$11)))</f>
        <v/>
      </c>
      <c r="F389">
        <f>IF('Entry Builder'!$N$12=0,1,IF('Entry Builder'!$D$12="Less",--(INDEX(Sims!$A389:$BO389,'Entry Builder'!$L$12)&lt;'Entry Builder'!$E$12),--(INDEX(Sims!$A389:$BO389,'Entry Builder'!$L$12)&gt;'Entry Builder'!$E$12)))</f>
        <v/>
      </c>
      <c r="G389">
        <f>6-SUM(A389:F389)</f>
        <v/>
      </c>
    </row>
    <row r="390">
      <c r="A390">
        <f>IF('Entry Builder'!$N$7=0,1,IF('Entry Builder'!$D$7="Less",--(INDEX(Sims!$A390:$BO390,'Entry Builder'!$L$7)&lt;'Entry Builder'!$E$7),--(INDEX(Sims!$A390:$BO390,'Entry Builder'!$L$7)&gt;'Entry Builder'!$E$7)))</f>
        <v/>
      </c>
      <c r="B390">
        <f>IF('Entry Builder'!$N$8=0,1,IF('Entry Builder'!$D$8="Less",--(INDEX(Sims!$A390:$BO390,'Entry Builder'!$L$8)&lt;'Entry Builder'!$E$8),--(INDEX(Sims!$A390:$BO390,'Entry Builder'!$L$8)&gt;'Entry Builder'!$E$8)))</f>
        <v/>
      </c>
      <c r="C390">
        <f>IF('Entry Builder'!$N$9=0,1,IF('Entry Builder'!$D$9="Less",--(INDEX(Sims!$A390:$BO390,'Entry Builder'!$L$9)&lt;'Entry Builder'!$E$9),--(INDEX(Sims!$A390:$BO390,'Entry Builder'!$L$9)&gt;'Entry Builder'!$E$9)))</f>
        <v/>
      </c>
      <c r="D390">
        <f>IF('Entry Builder'!$N$10=0,1,IF('Entry Builder'!$D$10="Less",--(INDEX(Sims!$A390:$BO390,'Entry Builder'!$L$10)&lt;'Entry Builder'!$E$10),--(INDEX(Sims!$A390:$BO390,'Entry Builder'!$L$10)&gt;'Entry Builder'!$E$10)))</f>
        <v/>
      </c>
      <c r="E390">
        <f>IF('Entry Builder'!$N$11=0,1,IF('Entry Builder'!$D$11="Less",--(INDEX(Sims!$A390:$BO390,'Entry Builder'!$L$11)&lt;'Entry Builder'!$E$11),--(INDEX(Sims!$A390:$BO390,'Entry Builder'!$L$11)&gt;'Entry Builder'!$E$11)))</f>
        <v/>
      </c>
      <c r="F390">
        <f>IF('Entry Builder'!$N$12=0,1,IF('Entry Builder'!$D$12="Less",--(INDEX(Sims!$A390:$BO390,'Entry Builder'!$L$12)&lt;'Entry Builder'!$E$12),--(INDEX(Sims!$A390:$BO390,'Entry Builder'!$L$12)&gt;'Entry Builder'!$E$12)))</f>
        <v/>
      </c>
      <c r="G390">
        <f>6-SUM(A390:F390)</f>
        <v/>
      </c>
    </row>
    <row r="391">
      <c r="A391">
        <f>IF('Entry Builder'!$N$7=0,1,IF('Entry Builder'!$D$7="Less",--(INDEX(Sims!$A391:$BO391,'Entry Builder'!$L$7)&lt;'Entry Builder'!$E$7),--(INDEX(Sims!$A391:$BO391,'Entry Builder'!$L$7)&gt;'Entry Builder'!$E$7)))</f>
        <v/>
      </c>
      <c r="B391">
        <f>IF('Entry Builder'!$N$8=0,1,IF('Entry Builder'!$D$8="Less",--(INDEX(Sims!$A391:$BO391,'Entry Builder'!$L$8)&lt;'Entry Builder'!$E$8),--(INDEX(Sims!$A391:$BO391,'Entry Builder'!$L$8)&gt;'Entry Builder'!$E$8)))</f>
        <v/>
      </c>
      <c r="C391">
        <f>IF('Entry Builder'!$N$9=0,1,IF('Entry Builder'!$D$9="Less",--(INDEX(Sims!$A391:$BO391,'Entry Builder'!$L$9)&lt;'Entry Builder'!$E$9),--(INDEX(Sims!$A391:$BO391,'Entry Builder'!$L$9)&gt;'Entry Builder'!$E$9)))</f>
        <v/>
      </c>
      <c r="D391">
        <f>IF('Entry Builder'!$N$10=0,1,IF('Entry Builder'!$D$10="Less",--(INDEX(Sims!$A391:$BO391,'Entry Builder'!$L$10)&lt;'Entry Builder'!$E$10),--(INDEX(Sims!$A391:$BO391,'Entry Builder'!$L$10)&gt;'Entry Builder'!$E$10)))</f>
        <v/>
      </c>
      <c r="E391">
        <f>IF('Entry Builder'!$N$11=0,1,IF('Entry Builder'!$D$11="Less",--(INDEX(Sims!$A391:$BO391,'Entry Builder'!$L$11)&lt;'Entry Builder'!$E$11),--(INDEX(Sims!$A391:$BO391,'Entry Builder'!$L$11)&gt;'Entry Builder'!$E$11)))</f>
        <v/>
      </c>
      <c r="F391">
        <f>IF('Entry Builder'!$N$12=0,1,IF('Entry Builder'!$D$12="Less",--(INDEX(Sims!$A391:$BO391,'Entry Builder'!$L$12)&lt;'Entry Builder'!$E$12),--(INDEX(Sims!$A391:$BO391,'Entry Builder'!$L$12)&gt;'Entry Builder'!$E$12)))</f>
        <v/>
      </c>
      <c r="G391">
        <f>6-SUM(A391:F391)</f>
        <v/>
      </c>
    </row>
    <row r="392">
      <c r="A392">
        <f>IF('Entry Builder'!$N$7=0,1,IF('Entry Builder'!$D$7="Less",--(INDEX(Sims!$A392:$BO392,'Entry Builder'!$L$7)&lt;'Entry Builder'!$E$7),--(INDEX(Sims!$A392:$BO392,'Entry Builder'!$L$7)&gt;'Entry Builder'!$E$7)))</f>
        <v/>
      </c>
      <c r="B392">
        <f>IF('Entry Builder'!$N$8=0,1,IF('Entry Builder'!$D$8="Less",--(INDEX(Sims!$A392:$BO392,'Entry Builder'!$L$8)&lt;'Entry Builder'!$E$8),--(INDEX(Sims!$A392:$BO392,'Entry Builder'!$L$8)&gt;'Entry Builder'!$E$8)))</f>
        <v/>
      </c>
      <c r="C392">
        <f>IF('Entry Builder'!$N$9=0,1,IF('Entry Builder'!$D$9="Less",--(INDEX(Sims!$A392:$BO392,'Entry Builder'!$L$9)&lt;'Entry Builder'!$E$9),--(INDEX(Sims!$A392:$BO392,'Entry Builder'!$L$9)&gt;'Entry Builder'!$E$9)))</f>
        <v/>
      </c>
      <c r="D392">
        <f>IF('Entry Builder'!$N$10=0,1,IF('Entry Builder'!$D$10="Less",--(INDEX(Sims!$A392:$BO392,'Entry Builder'!$L$10)&lt;'Entry Builder'!$E$10),--(INDEX(Sims!$A392:$BO392,'Entry Builder'!$L$10)&gt;'Entry Builder'!$E$10)))</f>
        <v/>
      </c>
      <c r="E392">
        <f>IF('Entry Builder'!$N$11=0,1,IF('Entry Builder'!$D$11="Less",--(INDEX(Sims!$A392:$BO392,'Entry Builder'!$L$11)&lt;'Entry Builder'!$E$11),--(INDEX(Sims!$A392:$BO392,'Entry Builder'!$L$11)&gt;'Entry Builder'!$E$11)))</f>
        <v/>
      </c>
      <c r="F392">
        <f>IF('Entry Builder'!$N$12=0,1,IF('Entry Builder'!$D$12="Less",--(INDEX(Sims!$A392:$BO392,'Entry Builder'!$L$12)&lt;'Entry Builder'!$E$12),--(INDEX(Sims!$A392:$BO392,'Entry Builder'!$L$12)&gt;'Entry Builder'!$E$12)))</f>
        <v/>
      </c>
      <c r="G392">
        <f>6-SUM(A392:F392)</f>
        <v/>
      </c>
    </row>
    <row r="393">
      <c r="A393">
        <f>IF('Entry Builder'!$N$7=0,1,IF('Entry Builder'!$D$7="Less",--(INDEX(Sims!$A393:$BO393,'Entry Builder'!$L$7)&lt;'Entry Builder'!$E$7),--(INDEX(Sims!$A393:$BO393,'Entry Builder'!$L$7)&gt;'Entry Builder'!$E$7)))</f>
        <v/>
      </c>
      <c r="B393">
        <f>IF('Entry Builder'!$N$8=0,1,IF('Entry Builder'!$D$8="Less",--(INDEX(Sims!$A393:$BO393,'Entry Builder'!$L$8)&lt;'Entry Builder'!$E$8),--(INDEX(Sims!$A393:$BO393,'Entry Builder'!$L$8)&gt;'Entry Builder'!$E$8)))</f>
        <v/>
      </c>
      <c r="C393">
        <f>IF('Entry Builder'!$N$9=0,1,IF('Entry Builder'!$D$9="Less",--(INDEX(Sims!$A393:$BO393,'Entry Builder'!$L$9)&lt;'Entry Builder'!$E$9),--(INDEX(Sims!$A393:$BO393,'Entry Builder'!$L$9)&gt;'Entry Builder'!$E$9)))</f>
        <v/>
      </c>
      <c r="D393">
        <f>IF('Entry Builder'!$N$10=0,1,IF('Entry Builder'!$D$10="Less",--(INDEX(Sims!$A393:$BO393,'Entry Builder'!$L$10)&lt;'Entry Builder'!$E$10),--(INDEX(Sims!$A393:$BO393,'Entry Builder'!$L$10)&gt;'Entry Builder'!$E$10)))</f>
        <v/>
      </c>
      <c r="E393">
        <f>IF('Entry Builder'!$N$11=0,1,IF('Entry Builder'!$D$11="Less",--(INDEX(Sims!$A393:$BO393,'Entry Builder'!$L$11)&lt;'Entry Builder'!$E$11),--(INDEX(Sims!$A393:$BO393,'Entry Builder'!$L$11)&gt;'Entry Builder'!$E$11)))</f>
        <v/>
      </c>
      <c r="F393">
        <f>IF('Entry Builder'!$N$12=0,1,IF('Entry Builder'!$D$12="Less",--(INDEX(Sims!$A393:$BO393,'Entry Builder'!$L$12)&lt;'Entry Builder'!$E$12),--(INDEX(Sims!$A393:$BO393,'Entry Builder'!$L$12)&gt;'Entry Builder'!$E$12)))</f>
        <v/>
      </c>
      <c r="G393">
        <f>6-SUM(A393:F393)</f>
        <v/>
      </c>
    </row>
    <row r="394">
      <c r="A394">
        <f>IF('Entry Builder'!$N$7=0,1,IF('Entry Builder'!$D$7="Less",--(INDEX(Sims!$A394:$BO394,'Entry Builder'!$L$7)&lt;'Entry Builder'!$E$7),--(INDEX(Sims!$A394:$BO394,'Entry Builder'!$L$7)&gt;'Entry Builder'!$E$7)))</f>
        <v/>
      </c>
      <c r="B394">
        <f>IF('Entry Builder'!$N$8=0,1,IF('Entry Builder'!$D$8="Less",--(INDEX(Sims!$A394:$BO394,'Entry Builder'!$L$8)&lt;'Entry Builder'!$E$8),--(INDEX(Sims!$A394:$BO394,'Entry Builder'!$L$8)&gt;'Entry Builder'!$E$8)))</f>
        <v/>
      </c>
      <c r="C394">
        <f>IF('Entry Builder'!$N$9=0,1,IF('Entry Builder'!$D$9="Less",--(INDEX(Sims!$A394:$BO394,'Entry Builder'!$L$9)&lt;'Entry Builder'!$E$9),--(INDEX(Sims!$A394:$BO394,'Entry Builder'!$L$9)&gt;'Entry Builder'!$E$9)))</f>
        <v/>
      </c>
      <c r="D394">
        <f>IF('Entry Builder'!$N$10=0,1,IF('Entry Builder'!$D$10="Less",--(INDEX(Sims!$A394:$BO394,'Entry Builder'!$L$10)&lt;'Entry Builder'!$E$10),--(INDEX(Sims!$A394:$BO394,'Entry Builder'!$L$10)&gt;'Entry Builder'!$E$10)))</f>
        <v/>
      </c>
      <c r="E394">
        <f>IF('Entry Builder'!$N$11=0,1,IF('Entry Builder'!$D$11="Less",--(INDEX(Sims!$A394:$BO394,'Entry Builder'!$L$11)&lt;'Entry Builder'!$E$11),--(INDEX(Sims!$A394:$BO394,'Entry Builder'!$L$11)&gt;'Entry Builder'!$E$11)))</f>
        <v/>
      </c>
      <c r="F394">
        <f>IF('Entry Builder'!$N$12=0,1,IF('Entry Builder'!$D$12="Less",--(INDEX(Sims!$A394:$BO394,'Entry Builder'!$L$12)&lt;'Entry Builder'!$E$12),--(INDEX(Sims!$A394:$BO394,'Entry Builder'!$L$12)&gt;'Entry Builder'!$E$12)))</f>
        <v/>
      </c>
      <c r="G394">
        <f>6-SUM(A394:F394)</f>
        <v/>
      </c>
    </row>
    <row r="395">
      <c r="A395">
        <f>IF('Entry Builder'!$N$7=0,1,IF('Entry Builder'!$D$7="Less",--(INDEX(Sims!$A395:$BO395,'Entry Builder'!$L$7)&lt;'Entry Builder'!$E$7),--(INDEX(Sims!$A395:$BO395,'Entry Builder'!$L$7)&gt;'Entry Builder'!$E$7)))</f>
        <v/>
      </c>
      <c r="B395">
        <f>IF('Entry Builder'!$N$8=0,1,IF('Entry Builder'!$D$8="Less",--(INDEX(Sims!$A395:$BO395,'Entry Builder'!$L$8)&lt;'Entry Builder'!$E$8),--(INDEX(Sims!$A395:$BO395,'Entry Builder'!$L$8)&gt;'Entry Builder'!$E$8)))</f>
        <v/>
      </c>
      <c r="C395">
        <f>IF('Entry Builder'!$N$9=0,1,IF('Entry Builder'!$D$9="Less",--(INDEX(Sims!$A395:$BO395,'Entry Builder'!$L$9)&lt;'Entry Builder'!$E$9),--(INDEX(Sims!$A395:$BO395,'Entry Builder'!$L$9)&gt;'Entry Builder'!$E$9)))</f>
        <v/>
      </c>
      <c r="D395">
        <f>IF('Entry Builder'!$N$10=0,1,IF('Entry Builder'!$D$10="Less",--(INDEX(Sims!$A395:$BO395,'Entry Builder'!$L$10)&lt;'Entry Builder'!$E$10),--(INDEX(Sims!$A395:$BO395,'Entry Builder'!$L$10)&gt;'Entry Builder'!$E$10)))</f>
        <v/>
      </c>
      <c r="E395">
        <f>IF('Entry Builder'!$N$11=0,1,IF('Entry Builder'!$D$11="Less",--(INDEX(Sims!$A395:$BO395,'Entry Builder'!$L$11)&lt;'Entry Builder'!$E$11),--(INDEX(Sims!$A395:$BO395,'Entry Builder'!$L$11)&gt;'Entry Builder'!$E$11)))</f>
        <v/>
      </c>
      <c r="F395">
        <f>IF('Entry Builder'!$N$12=0,1,IF('Entry Builder'!$D$12="Less",--(INDEX(Sims!$A395:$BO395,'Entry Builder'!$L$12)&lt;'Entry Builder'!$E$12),--(INDEX(Sims!$A395:$BO395,'Entry Builder'!$L$12)&gt;'Entry Builder'!$E$12)))</f>
        <v/>
      </c>
      <c r="G395">
        <f>6-SUM(A395:F395)</f>
        <v/>
      </c>
    </row>
    <row r="396">
      <c r="A396">
        <f>IF('Entry Builder'!$N$7=0,1,IF('Entry Builder'!$D$7="Less",--(INDEX(Sims!$A396:$BO396,'Entry Builder'!$L$7)&lt;'Entry Builder'!$E$7),--(INDEX(Sims!$A396:$BO396,'Entry Builder'!$L$7)&gt;'Entry Builder'!$E$7)))</f>
        <v/>
      </c>
      <c r="B396">
        <f>IF('Entry Builder'!$N$8=0,1,IF('Entry Builder'!$D$8="Less",--(INDEX(Sims!$A396:$BO396,'Entry Builder'!$L$8)&lt;'Entry Builder'!$E$8),--(INDEX(Sims!$A396:$BO396,'Entry Builder'!$L$8)&gt;'Entry Builder'!$E$8)))</f>
        <v/>
      </c>
      <c r="C396">
        <f>IF('Entry Builder'!$N$9=0,1,IF('Entry Builder'!$D$9="Less",--(INDEX(Sims!$A396:$BO396,'Entry Builder'!$L$9)&lt;'Entry Builder'!$E$9),--(INDEX(Sims!$A396:$BO396,'Entry Builder'!$L$9)&gt;'Entry Builder'!$E$9)))</f>
        <v/>
      </c>
      <c r="D396">
        <f>IF('Entry Builder'!$N$10=0,1,IF('Entry Builder'!$D$10="Less",--(INDEX(Sims!$A396:$BO396,'Entry Builder'!$L$10)&lt;'Entry Builder'!$E$10),--(INDEX(Sims!$A396:$BO396,'Entry Builder'!$L$10)&gt;'Entry Builder'!$E$10)))</f>
        <v/>
      </c>
      <c r="E396">
        <f>IF('Entry Builder'!$N$11=0,1,IF('Entry Builder'!$D$11="Less",--(INDEX(Sims!$A396:$BO396,'Entry Builder'!$L$11)&lt;'Entry Builder'!$E$11),--(INDEX(Sims!$A396:$BO396,'Entry Builder'!$L$11)&gt;'Entry Builder'!$E$11)))</f>
        <v/>
      </c>
      <c r="F396">
        <f>IF('Entry Builder'!$N$12=0,1,IF('Entry Builder'!$D$12="Less",--(INDEX(Sims!$A396:$BO396,'Entry Builder'!$L$12)&lt;'Entry Builder'!$E$12),--(INDEX(Sims!$A396:$BO396,'Entry Builder'!$L$12)&gt;'Entry Builder'!$E$12)))</f>
        <v/>
      </c>
      <c r="G396">
        <f>6-SUM(A396:F396)</f>
        <v/>
      </c>
    </row>
    <row r="397">
      <c r="A397">
        <f>IF('Entry Builder'!$N$7=0,1,IF('Entry Builder'!$D$7="Less",--(INDEX(Sims!$A397:$BO397,'Entry Builder'!$L$7)&lt;'Entry Builder'!$E$7),--(INDEX(Sims!$A397:$BO397,'Entry Builder'!$L$7)&gt;'Entry Builder'!$E$7)))</f>
        <v/>
      </c>
      <c r="B397">
        <f>IF('Entry Builder'!$N$8=0,1,IF('Entry Builder'!$D$8="Less",--(INDEX(Sims!$A397:$BO397,'Entry Builder'!$L$8)&lt;'Entry Builder'!$E$8),--(INDEX(Sims!$A397:$BO397,'Entry Builder'!$L$8)&gt;'Entry Builder'!$E$8)))</f>
        <v/>
      </c>
      <c r="C397">
        <f>IF('Entry Builder'!$N$9=0,1,IF('Entry Builder'!$D$9="Less",--(INDEX(Sims!$A397:$BO397,'Entry Builder'!$L$9)&lt;'Entry Builder'!$E$9),--(INDEX(Sims!$A397:$BO397,'Entry Builder'!$L$9)&gt;'Entry Builder'!$E$9)))</f>
        <v/>
      </c>
      <c r="D397">
        <f>IF('Entry Builder'!$N$10=0,1,IF('Entry Builder'!$D$10="Less",--(INDEX(Sims!$A397:$BO397,'Entry Builder'!$L$10)&lt;'Entry Builder'!$E$10),--(INDEX(Sims!$A397:$BO397,'Entry Builder'!$L$10)&gt;'Entry Builder'!$E$10)))</f>
        <v/>
      </c>
      <c r="E397">
        <f>IF('Entry Builder'!$N$11=0,1,IF('Entry Builder'!$D$11="Less",--(INDEX(Sims!$A397:$BO397,'Entry Builder'!$L$11)&lt;'Entry Builder'!$E$11),--(INDEX(Sims!$A397:$BO397,'Entry Builder'!$L$11)&gt;'Entry Builder'!$E$11)))</f>
        <v/>
      </c>
      <c r="F397">
        <f>IF('Entry Builder'!$N$12=0,1,IF('Entry Builder'!$D$12="Less",--(INDEX(Sims!$A397:$BO397,'Entry Builder'!$L$12)&lt;'Entry Builder'!$E$12),--(INDEX(Sims!$A397:$BO397,'Entry Builder'!$L$12)&gt;'Entry Builder'!$E$12)))</f>
        <v/>
      </c>
      <c r="G397">
        <f>6-SUM(A397:F397)</f>
        <v/>
      </c>
    </row>
    <row r="398">
      <c r="A398">
        <f>IF('Entry Builder'!$N$7=0,1,IF('Entry Builder'!$D$7="Less",--(INDEX(Sims!$A398:$BO398,'Entry Builder'!$L$7)&lt;'Entry Builder'!$E$7),--(INDEX(Sims!$A398:$BO398,'Entry Builder'!$L$7)&gt;'Entry Builder'!$E$7)))</f>
        <v/>
      </c>
      <c r="B398">
        <f>IF('Entry Builder'!$N$8=0,1,IF('Entry Builder'!$D$8="Less",--(INDEX(Sims!$A398:$BO398,'Entry Builder'!$L$8)&lt;'Entry Builder'!$E$8),--(INDEX(Sims!$A398:$BO398,'Entry Builder'!$L$8)&gt;'Entry Builder'!$E$8)))</f>
        <v/>
      </c>
      <c r="C398">
        <f>IF('Entry Builder'!$N$9=0,1,IF('Entry Builder'!$D$9="Less",--(INDEX(Sims!$A398:$BO398,'Entry Builder'!$L$9)&lt;'Entry Builder'!$E$9),--(INDEX(Sims!$A398:$BO398,'Entry Builder'!$L$9)&gt;'Entry Builder'!$E$9)))</f>
        <v/>
      </c>
      <c r="D398">
        <f>IF('Entry Builder'!$N$10=0,1,IF('Entry Builder'!$D$10="Less",--(INDEX(Sims!$A398:$BO398,'Entry Builder'!$L$10)&lt;'Entry Builder'!$E$10),--(INDEX(Sims!$A398:$BO398,'Entry Builder'!$L$10)&gt;'Entry Builder'!$E$10)))</f>
        <v/>
      </c>
      <c r="E398">
        <f>IF('Entry Builder'!$N$11=0,1,IF('Entry Builder'!$D$11="Less",--(INDEX(Sims!$A398:$BO398,'Entry Builder'!$L$11)&lt;'Entry Builder'!$E$11),--(INDEX(Sims!$A398:$BO398,'Entry Builder'!$L$11)&gt;'Entry Builder'!$E$11)))</f>
        <v/>
      </c>
      <c r="F398">
        <f>IF('Entry Builder'!$N$12=0,1,IF('Entry Builder'!$D$12="Less",--(INDEX(Sims!$A398:$BO398,'Entry Builder'!$L$12)&lt;'Entry Builder'!$E$12),--(INDEX(Sims!$A398:$BO398,'Entry Builder'!$L$12)&gt;'Entry Builder'!$E$12)))</f>
        <v/>
      </c>
      <c r="G398">
        <f>6-SUM(A398:F398)</f>
        <v/>
      </c>
    </row>
    <row r="399">
      <c r="A399">
        <f>IF('Entry Builder'!$N$7=0,1,IF('Entry Builder'!$D$7="Less",--(INDEX(Sims!$A399:$BO399,'Entry Builder'!$L$7)&lt;'Entry Builder'!$E$7),--(INDEX(Sims!$A399:$BO399,'Entry Builder'!$L$7)&gt;'Entry Builder'!$E$7)))</f>
        <v/>
      </c>
      <c r="B399">
        <f>IF('Entry Builder'!$N$8=0,1,IF('Entry Builder'!$D$8="Less",--(INDEX(Sims!$A399:$BO399,'Entry Builder'!$L$8)&lt;'Entry Builder'!$E$8),--(INDEX(Sims!$A399:$BO399,'Entry Builder'!$L$8)&gt;'Entry Builder'!$E$8)))</f>
        <v/>
      </c>
      <c r="C399">
        <f>IF('Entry Builder'!$N$9=0,1,IF('Entry Builder'!$D$9="Less",--(INDEX(Sims!$A399:$BO399,'Entry Builder'!$L$9)&lt;'Entry Builder'!$E$9),--(INDEX(Sims!$A399:$BO399,'Entry Builder'!$L$9)&gt;'Entry Builder'!$E$9)))</f>
        <v/>
      </c>
      <c r="D399">
        <f>IF('Entry Builder'!$N$10=0,1,IF('Entry Builder'!$D$10="Less",--(INDEX(Sims!$A399:$BO399,'Entry Builder'!$L$10)&lt;'Entry Builder'!$E$10),--(INDEX(Sims!$A399:$BO399,'Entry Builder'!$L$10)&gt;'Entry Builder'!$E$10)))</f>
        <v/>
      </c>
      <c r="E399">
        <f>IF('Entry Builder'!$N$11=0,1,IF('Entry Builder'!$D$11="Less",--(INDEX(Sims!$A399:$BO399,'Entry Builder'!$L$11)&lt;'Entry Builder'!$E$11),--(INDEX(Sims!$A399:$BO399,'Entry Builder'!$L$11)&gt;'Entry Builder'!$E$11)))</f>
        <v/>
      </c>
      <c r="F399">
        <f>IF('Entry Builder'!$N$12=0,1,IF('Entry Builder'!$D$12="Less",--(INDEX(Sims!$A399:$BO399,'Entry Builder'!$L$12)&lt;'Entry Builder'!$E$12),--(INDEX(Sims!$A399:$BO399,'Entry Builder'!$L$12)&gt;'Entry Builder'!$E$12)))</f>
        <v/>
      </c>
      <c r="G399">
        <f>6-SUM(A399:F399)</f>
        <v/>
      </c>
    </row>
    <row r="400">
      <c r="A400">
        <f>IF('Entry Builder'!$N$7=0,1,IF('Entry Builder'!$D$7="Less",--(INDEX(Sims!$A400:$BO400,'Entry Builder'!$L$7)&lt;'Entry Builder'!$E$7),--(INDEX(Sims!$A400:$BO400,'Entry Builder'!$L$7)&gt;'Entry Builder'!$E$7)))</f>
        <v/>
      </c>
      <c r="B400">
        <f>IF('Entry Builder'!$N$8=0,1,IF('Entry Builder'!$D$8="Less",--(INDEX(Sims!$A400:$BO400,'Entry Builder'!$L$8)&lt;'Entry Builder'!$E$8),--(INDEX(Sims!$A400:$BO400,'Entry Builder'!$L$8)&gt;'Entry Builder'!$E$8)))</f>
        <v/>
      </c>
      <c r="C400">
        <f>IF('Entry Builder'!$N$9=0,1,IF('Entry Builder'!$D$9="Less",--(INDEX(Sims!$A400:$BO400,'Entry Builder'!$L$9)&lt;'Entry Builder'!$E$9),--(INDEX(Sims!$A400:$BO400,'Entry Builder'!$L$9)&gt;'Entry Builder'!$E$9)))</f>
        <v/>
      </c>
      <c r="D400">
        <f>IF('Entry Builder'!$N$10=0,1,IF('Entry Builder'!$D$10="Less",--(INDEX(Sims!$A400:$BO400,'Entry Builder'!$L$10)&lt;'Entry Builder'!$E$10),--(INDEX(Sims!$A400:$BO400,'Entry Builder'!$L$10)&gt;'Entry Builder'!$E$10)))</f>
        <v/>
      </c>
      <c r="E400">
        <f>IF('Entry Builder'!$N$11=0,1,IF('Entry Builder'!$D$11="Less",--(INDEX(Sims!$A400:$BO400,'Entry Builder'!$L$11)&lt;'Entry Builder'!$E$11),--(INDEX(Sims!$A400:$BO400,'Entry Builder'!$L$11)&gt;'Entry Builder'!$E$11)))</f>
        <v/>
      </c>
      <c r="F400">
        <f>IF('Entry Builder'!$N$12=0,1,IF('Entry Builder'!$D$12="Less",--(INDEX(Sims!$A400:$BO400,'Entry Builder'!$L$12)&lt;'Entry Builder'!$E$12),--(INDEX(Sims!$A400:$BO400,'Entry Builder'!$L$12)&gt;'Entry Builder'!$E$12)))</f>
        <v/>
      </c>
      <c r="G400">
        <f>6-SUM(A400:F400)</f>
        <v/>
      </c>
    </row>
    <row r="401">
      <c r="A401">
        <f>IF('Entry Builder'!$N$7=0,1,IF('Entry Builder'!$D$7="Less",--(INDEX(Sims!$A401:$BO401,'Entry Builder'!$L$7)&lt;'Entry Builder'!$E$7),--(INDEX(Sims!$A401:$BO401,'Entry Builder'!$L$7)&gt;'Entry Builder'!$E$7)))</f>
        <v/>
      </c>
      <c r="B401">
        <f>IF('Entry Builder'!$N$8=0,1,IF('Entry Builder'!$D$8="Less",--(INDEX(Sims!$A401:$BO401,'Entry Builder'!$L$8)&lt;'Entry Builder'!$E$8),--(INDEX(Sims!$A401:$BO401,'Entry Builder'!$L$8)&gt;'Entry Builder'!$E$8)))</f>
        <v/>
      </c>
      <c r="C401">
        <f>IF('Entry Builder'!$N$9=0,1,IF('Entry Builder'!$D$9="Less",--(INDEX(Sims!$A401:$BO401,'Entry Builder'!$L$9)&lt;'Entry Builder'!$E$9),--(INDEX(Sims!$A401:$BO401,'Entry Builder'!$L$9)&gt;'Entry Builder'!$E$9)))</f>
        <v/>
      </c>
      <c r="D401">
        <f>IF('Entry Builder'!$N$10=0,1,IF('Entry Builder'!$D$10="Less",--(INDEX(Sims!$A401:$BO401,'Entry Builder'!$L$10)&lt;'Entry Builder'!$E$10),--(INDEX(Sims!$A401:$BO401,'Entry Builder'!$L$10)&gt;'Entry Builder'!$E$10)))</f>
        <v/>
      </c>
      <c r="E401">
        <f>IF('Entry Builder'!$N$11=0,1,IF('Entry Builder'!$D$11="Less",--(INDEX(Sims!$A401:$BO401,'Entry Builder'!$L$11)&lt;'Entry Builder'!$E$11),--(INDEX(Sims!$A401:$BO401,'Entry Builder'!$L$11)&gt;'Entry Builder'!$E$11)))</f>
        <v/>
      </c>
      <c r="F401">
        <f>IF('Entry Builder'!$N$12=0,1,IF('Entry Builder'!$D$12="Less",--(INDEX(Sims!$A401:$BO401,'Entry Builder'!$L$12)&lt;'Entry Builder'!$E$12),--(INDEX(Sims!$A401:$BO401,'Entry Builder'!$L$12)&gt;'Entry Builder'!$E$12)))</f>
        <v/>
      </c>
      <c r="G401">
        <f>6-SUM(A401:F401)</f>
        <v/>
      </c>
    </row>
    <row r="402">
      <c r="A402">
        <f>IF('Entry Builder'!$N$7=0,1,IF('Entry Builder'!$D$7="Less",--(INDEX(Sims!$A402:$BO402,'Entry Builder'!$L$7)&lt;'Entry Builder'!$E$7),--(INDEX(Sims!$A402:$BO402,'Entry Builder'!$L$7)&gt;'Entry Builder'!$E$7)))</f>
        <v/>
      </c>
      <c r="B402">
        <f>IF('Entry Builder'!$N$8=0,1,IF('Entry Builder'!$D$8="Less",--(INDEX(Sims!$A402:$BO402,'Entry Builder'!$L$8)&lt;'Entry Builder'!$E$8),--(INDEX(Sims!$A402:$BO402,'Entry Builder'!$L$8)&gt;'Entry Builder'!$E$8)))</f>
        <v/>
      </c>
      <c r="C402">
        <f>IF('Entry Builder'!$N$9=0,1,IF('Entry Builder'!$D$9="Less",--(INDEX(Sims!$A402:$BO402,'Entry Builder'!$L$9)&lt;'Entry Builder'!$E$9),--(INDEX(Sims!$A402:$BO402,'Entry Builder'!$L$9)&gt;'Entry Builder'!$E$9)))</f>
        <v/>
      </c>
      <c r="D402">
        <f>IF('Entry Builder'!$N$10=0,1,IF('Entry Builder'!$D$10="Less",--(INDEX(Sims!$A402:$BO402,'Entry Builder'!$L$10)&lt;'Entry Builder'!$E$10),--(INDEX(Sims!$A402:$BO402,'Entry Builder'!$L$10)&gt;'Entry Builder'!$E$10)))</f>
        <v/>
      </c>
      <c r="E402">
        <f>IF('Entry Builder'!$N$11=0,1,IF('Entry Builder'!$D$11="Less",--(INDEX(Sims!$A402:$BO402,'Entry Builder'!$L$11)&lt;'Entry Builder'!$E$11),--(INDEX(Sims!$A402:$BO402,'Entry Builder'!$L$11)&gt;'Entry Builder'!$E$11)))</f>
        <v/>
      </c>
      <c r="F402">
        <f>IF('Entry Builder'!$N$12=0,1,IF('Entry Builder'!$D$12="Less",--(INDEX(Sims!$A402:$BO402,'Entry Builder'!$L$12)&lt;'Entry Builder'!$E$12),--(INDEX(Sims!$A402:$BO402,'Entry Builder'!$L$12)&gt;'Entry Builder'!$E$12)))</f>
        <v/>
      </c>
      <c r="G402">
        <f>6-SUM(A402:F402)</f>
        <v/>
      </c>
    </row>
    <row r="403">
      <c r="A403">
        <f>IF('Entry Builder'!$N$7=0,1,IF('Entry Builder'!$D$7="Less",--(INDEX(Sims!$A403:$BO403,'Entry Builder'!$L$7)&lt;'Entry Builder'!$E$7),--(INDEX(Sims!$A403:$BO403,'Entry Builder'!$L$7)&gt;'Entry Builder'!$E$7)))</f>
        <v/>
      </c>
      <c r="B403">
        <f>IF('Entry Builder'!$N$8=0,1,IF('Entry Builder'!$D$8="Less",--(INDEX(Sims!$A403:$BO403,'Entry Builder'!$L$8)&lt;'Entry Builder'!$E$8),--(INDEX(Sims!$A403:$BO403,'Entry Builder'!$L$8)&gt;'Entry Builder'!$E$8)))</f>
        <v/>
      </c>
      <c r="C403">
        <f>IF('Entry Builder'!$N$9=0,1,IF('Entry Builder'!$D$9="Less",--(INDEX(Sims!$A403:$BO403,'Entry Builder'!$L$9)&lt;'Entry Builder'!$E$9),--(INDEX(Sims!$A403:$BO403,'Entry Builder'!$L$9)&gt;'Entry Builder'!$E$9)))</f>
        <v/>
      </c>
      <c r="D403">
        <f>IF('Entry Builder'!$N$10=0,1,IF('Entry Builder'!$D$10="Less",--(INDEX(Sims!$A403:$BO403,'Entry Builder'!$L$10)&lt;'Entry Builder'!$E$10),--(INDEX(Sims!$A403:$BO403,'Entry Builder'!$L$10)&gt;'Entry Builder'!$E$10)))</f>
        <v/>
      </c>
      <c r="E403">
        <f>IF('Entry Builder'!$N$11=0,1,IF('Entry Builder'!$D$11="Less",--(INDEX(Sims!$A403:$BO403,'Entry Builder'!$L$11)&lt;'Entry Builder'!$E$11),--(INDEX(Sims!$A403:$BO403,'Entry Builder'!$L$11)&gt;'Entry Builder'!$E$11)))</f>
        <v/>
      </c>
      <c r="F403">
        <f>IF('Entry Builder'!$N$12=0,1,IF('Entry Builder'!$D$12="Less",--(INDEX(Sims!$A403:$BO403,'Entry Builder'!$L$12)&lt;'Entry Builder'!$E$12),--(INDEX(Sims!$A403:$BO403,'Entry Builder'!$L$12)&gt;'Entry Builder'!$E$12)))</f>
        <v/>
      </c>
      <c r="G403">
        <f>6-SUM(A403:F403)</f>
        <v/>
      </c>
    </row>
    <row r="404">
      <c r="A404">
        <f>IF('Entry Builder'!$N$7=0,1,IF('Entry Builder'!$D$7="Less",--(INDEX(Sims!$A404:$BO404,'Entry Builder'!$L$7)&lt;'Entry Builder'!$E$7),--(INDEX(Sims!$A404:$BO404,'Entry Builder'!$L$7)&gt;'Entry Builder'!$E$7)))</f>
        <v/>
      </c>
      <c r="B404">
        <f>IF('Entry Builder'!$N$8=0,1,IF('Entry Builder'!$D$8="Less",--(INDEX(Sims!$A404:$BO404,'Entry Builder'!$L$8)&lt;'Entry Builder'!$E$8),--(INDEX(Sims!$A404:$BO404,'Entry Builder'!$L$8)&gt;'Entry Builder'!$E$8)))</f>
        <v/>
      </c>
      <c r="C404">
        <f>IF('Entry Builder'!$N$9=0,1,IF('Entry Builder'!$D$9="Less",--(INDEX(Sims!$A404:$BO404,'Entry Builder'!$L$9)&lt;'Entry Builder'!$E$9),--(INDEX(Sims!$A404:$BO404,'Entry Builder'!$L$9)&gt;'Entry Builder'!$E$9)))</f>
        <v/>
      </c>
      <c r="D404">
        <f>IF('Entry Builder'!$N$10=0,1,IF('Entry Builder'!$D$10="Less",--(INDEX(Sims!$A404:$BO404,'Entry Builder'!$L$10)&lt;'Entry Builder'!$E$10),--(INDEX(Sims!$A404:$BO404,'Entry Builder'!$L$10)&gt;'Entry Builder'!$E$10)))</f>
        <v/>
      </c>
      <c r="E404">
        <f>IF('Entry Builder'!$N$11=0,1,IF('Entry Builder'!$D$11="Less",--(INDEX(Sims!$A404:$BO404,'Entry Builder'!$L$11)&lt;'Entry Builder'!$E$11),--(INDEX(Sims!$A404:$BO404,'Entry Builder'!$L$11)&gt;'Entry Builder'!$E$11)))</f>
        <v/>
      </c>
      <c r="F404">
        <f>IF('Entry Builder'!$N$12=0,1,IF('Entry Builder'!$D$12="Less",--(INDEX(Sims!$A404:$BO404,'Entry Builder'!$L$12)&lt;'Entry Builder'!$E$12),--(INDEX(Sims!$A404:$BO404,'Entry Builder'!$L$12)&gt;'Entry Builder'!$E$12)))</f>
        <v/>
      </c>
      <c r="G404">
        <f>6-SUM(A404:F404)</f>
        <v/>
      </c>
    </row>
    <row r="405">
      <c r="A405">
        <f>IF('Entry Builder'!$N$7=0,1,IF('Entry Builder'!$D$7="Less",--(INDEX(Sims!$A405:$BO405,'Entry Builder'!$L$7)&lt;'Entry Builder'!$E$7),--(INDEX(Sims!$A405:$BO405,'Entry Builder'!$L$7)&gt;'Entry Builder'!$E$7)))</f>
        <v/>
      </c>
      <c r="B405">
        <f>IF('Entry Builder'!$N$8=0,1,IF('Entry Builder'!$D$8="Less",--(INDEX(Sims!$A405:$BO405,'Entry Builder'!$L$8)&lt;'Entry Builder'!$E$8),--(INDEX(Sims!$A405:$BO405,'Entry Builder'!$L$8)&gt;'Entry Builder'!$E$8)))</f>
        <v/>
      </c>
      <c r="C405">
        <f>IF('Entry Builder'!$N$9=0,1,IF('Entry Builder'!$D$9="Less",--(INDEX(Sims!$A405:$BO405,'Entry Builder'!$L$9)&lt;'Entry Builder'!$E$9),--(INDEX(Sims!$A405:$BO405,'Entry Builder'!$L$9)&gt;'Entry Builder'!$E$9)))</f>
        <v/>
      </c>
      <c r="D405">
        <f>IF('Entry Builder'!$N$10=0,1,IF('Entry Builder'!$D$10="Less",--(INDEX(Sims!$A405:$BO405,'Entry Builder'!$L$10)&lt;'Entry Builder'!$E$10),--(INDEX(Sims!$A405:$BO405,'Entry Builder'!$L$10)&gt;'Entry Builder'!$E$10)))</f>
        <v/>
      </c>
      <c r="E405">
        <f>IF('Entry Builder'!$N$11=0,1,IF('Entry Builder'!$D$11="Less",--(INDEX(Sims!$A405:$BO405,'Entry Builder'!$L$11)&lt;'Entry Builder'!$E$11),--(INDEX(Sims!$A405:$BO405,'Entry Builder'!$L$11)&gt;'Entry Builder'!$E$11)))</f>
        <v/>
      </c>
      <c r="F405">
        <f>IF('Entry Builder'!$N$12=0,1,IF('Entry Builder'!$D$12="Less",--(INDEX(Sims!$A405:$BO405,'Entry Builder'!$L$12)&lt;'Entry Builder'!$E$12),--(INDEX(Sims!$A405:$BO405,'Entry Builder'!$L$12)&gt;'Entry Builder'!$E$12)))</f>
        <v/>
      </c>
      <c r="G405">
        <f>6-SUM(A405:F405)</f>
        <v/>
      </c>
    </row>
    <row r="406">
      <c r="A406">
        <f>IF('Entry Builder'!$N$7=0,1,IF('Entry Builder'!$D$7="Less",--(INDEX(Sims!$A406:$BO406,'Entry Builder'!$L$7)&lt;'Entry Builder'!$E$7),--(INDEX(Sims!$A406:$BO406,'Entry Builder'!$L$7)&gt;'Entry Builder'!$E$7)))</f>
        <v/>
      </c>
      <c r="B406">
        <f>IF('Entry Builder'!$N$8=0,1,IF('Entry Builder'!$D$8="Less",--(INDEX(Sims!$A406:$BO406,'Entry Builder'!$L$8)&lt;'Entry Builder'!$E$8),--(INDEX(Sims!$A406:$BO406,'Entry Builder'!$L$8)&gt;'Entry Builder'!$E$8)))</f>
        <v/>
      </c>
      <c r="C406">
        <f>IF('Entry Builder'!$N$9=0,1,IF('Entry Builder'!$D$9="Less",--(INDEX(Sims!$A406:$BO406,'Entry Builder'!$L$9)&lt;'Entry Builder'!$E$9),--(INDEX(Sims!$A406:$BO406,'Entry Builder'!$L$9)&gt;'Entry Builder'!$E$9)))</f>
        <v/>
      </c>
      <c r="D406">
        <f>IF('Entry Builder'!$N$10=0,1,IF('Entry Builder'!$D$10="Less",--(INDEX(Sims!$A406:$BO406,'Entry Builder'!$L$10)&lt;'Entry Builder'!$E$10),--(INDEX(Sims!$A406:$BO406,'Entry Builder'!$L$10)&gt;'Entry Builder'!$E$10)))</f>
        <v/>
      </c>
      <c r="E406">
        <f>IF('Entry Builder'!$N$11=0,1,IF('Entry Builder'!$D$11="Less",--(INDEX(Sims!$A406:$BO406,'Entry Builder'!$L$11)&lt;'Entry Builder'!$E$11),--(INDEX(Sims!$A406:$BO406,'Entry Builder'!$L$11)&gt;'Entry Builder'!$E$11)))</f>
        <v/>
      </c>
      <c r="F406">
        <f>IF('Entry Builder'!$N$12=0,1,IF('Entry Builder'!$D$12="Less",--(INDEX(Sims!$A406:$BO406,'Entry Builder'!$L$12)&lt;'Entry Builder'!$E$12),--(INDEX(Sims!$A406:$BO406,'Entry Builder'!$L$12)&gt;'Entry Builder'!$E$12)))</f>
        <v/>
      </c>
      <c r="G406">
        <f>6-SUM(A406:F406)</f>
        <v/>
      </c>
    </row>
    <row r="407">
      <c r="A407">
        <f>IF('Entry Builder'!$N$7=0,1,IF('Entry Builder'!$D$7="Less",--(INDEX(Sims!$A407:$BO407,'Entry Builder'!$L$7)&lt;'Entry Builder'!$E$7),--(INDEX(Sims!$A407:$BO407,'Entry Builder'!$L$7)&gt;'Entry Builder'!$E$7)))</f>
        <v/>
      </c>
      <c r="B407">
        <f>IF('Entry Builder'!$N$8=0,1,IF('Entry Builder'!$D$8="Less",--(INDEX(Sims!$A407:$BO407,'Entry Builder'!$L$8)&lt;'Entry Builder'!$E$8),--(INDEX(Sims!$A407:$BO407,'Entry Builder'!$L$8)&gt;'Entry Builder'!$E$8)))</f>
        <v/>
      </c>
      <c r="C407">
        <f>IF('Entry Builder'!$N$9=0,1,IF('Entry Builder'!$D$9="Less",--(INDEX(Sims!$A407:$BO407,'Entry Builder'!$L$9)&lt;'Entry Builder'!$E$9),--(INDEX(Sims!$A407:$BO407,'Entry Builder'!$L$9)&gt;'Entry Builder'!$E$9)))</f>
        <v/>
      </c>
      <c r="D407">
        <f>IF('Entry Builder'!$N$10=0,1,IF('Entry Builder'!$D$10="Less",--(INDEX(Sims!$A407:$BO407,'Entry Builder'!$L$10)&lt;'Entry Builder'!$E$10),--(INDEX(Sims!$A407:$BO407,'Entry Builder'!$L$10)&gt;'Entry Builder'!$E$10)))</f>
        <v/>
      </c>
      <c r="E407">
        <f>IF('Entry Builder'!$N$11=0,1,IF('Entry Builder'!$D$11="Less",--(INDEX(Sims!$A407:$BO407,'Entry Builder'!$L$11)&lt;'Entry Builder'!$E$11),--(INDEX(Sims!$A407:$BO407,'Entry Builder'!$L$11)&gt;'Entry Builder'!$E$11)))</f>
        <v/>
      </c>
      <c r="F407">
        <f>IF('Entry Builder'!$N$12=0,1,IF('Entry Builder'!$D$12="Less",--(INDEX(Sims!$A407:$BO407,'Entry Builder'!$L$12)&lt;'Entry Builder'!$E$12),--(INDEX(Sims!$A407:$BO407,'Entry Builder'!$L$12)&gt;'Entry Builder'!$E$12)))</f>
        <v/>
      </c>
      <c r="G407">
        <f>6-SUM(A407:F407)</f>
        <v/>
      </c>
    </row>
    <row r="408">
      <c r="A408">
        <f>IF('Entry Builder'!$N$7=0,1,IF('Entry Builder'!$D$7="Less",--(INDEX(Sims!$A408:$BO408,'Entry Builder'!$L$7)&lt;'Entry Builder'!$E$7),--(INDEX(Sims!$A408:$BO408,'Entry Builder'!$L$7)&gt;'Entry Builder'!$E$7)))</f>
        <v/>
      </c>
      <c r="B408">
        <f>IF('Entry Builder'!$N$8=0,1,IF('Entry Builder'!$D$8="Less",--(INDEX(Sims!$A408:$BO408,'Entry Builder'!$L$8)&lt;'Entry Builder'!$E$8),--(INDEX(Sims!$A408:$BO408,'Entry Builder'!$L$8)&gt;'Entry Builder'!$E$8)))</f>
        <v/>
      </c>
      <c r="C408">
        <f>IF('Entry Builder'!$N$9=0,1,IF('Entry Builder'!$D$9="Less",--(INDEX(Sims!$A408:$BO408,'Entry Builder'!$L$9)&lt;'Entry Builder'!$E$9),--(INDEX(Sims!$A408:$BO408,'Entry Builder'!$L$9)&gt;'Entry Builder'!$E$9)))</f>
        <v/>
      </c>
      <c r="D408">
        <f>IF('Entry Builder'!$N$10=0,1,IF('Entry Builder'!$D$10="Less",--(INDEX(Sims!$A408:$BO408,'Entry Builder'!$L$10)&lt;'Entry Builder'!$E$10),--(INDEX(Sims!$A408:$BO408,'Entry Builder'!$L$10)&gt;'Entry Builder'!$E$10)))</f>
        <v/>
      </c>
      <c r="E408">
        <f>IF('Entry Builder'!$N$11=0,1,IF('Entry Builder'!$D$11="Less",--(INDEX(Sims!$A408:$BO408,'Entry Builder'!$L$11)&lt;'Entry Builder'!$E$11),--(INDEX(Sims!$A408:$BO408,'Entry Builder'!$L$11)&gt;'Entry Builder'!$E$11)))</f>
        <v/>
      </c>
      <c r="F408">
        <f>IF('Entry Builder'!$N$12=0,1,IF('Entry Builder'!$D$12="Less",--(INDEX(Sims!$A408:$BO408,'Entry Builder'!$L$12)&lt;'Entry Builder'!$E$12),--(INDEX(Sims!$A408:$BO408,'Entry Builder'!$L$12)&gt;'Entry Builder'!$E$12)))</f>
        <v/>
      </c>
      <c r="G408">
        <f>6-SUM(A408:F408)</f>
        <v/>
      </c>
    </row>
    <row r="409">
      <c r="A409">
        <f>IF('Entry Builder'!$N$7=0,1,IF('Entry Builder'!$D$7="Less",--(INDEX(Sims!$A409:$BO409,'Entry Builder'!$L$7)&lt;'Entry Builder'!$E$7),--(INDEX(Sims!$A409:$BO409,'Entry Builder'!$L$7)&gt;'Entry Builder'!$E$7)))</f>
        <v/>
      </c>
      <c r="B409">
        <f>IF('Entry Builder'!$N$8=0,1,IF('Entry Builder'!$D$8="Less",--(INDEX(Sims!$A409:$BO409,'Entry Builder'!$L$8)&lt;'Entry Builder'!$E$8),--(INDEX(Sims!$A409:$BO409,'Entry Builder'!$L$8)&gt;'Entry Builder'!$E$8)))</f>
        <v/>
      </c>
      <c r="C409">
        <f>IF('Entry Builder'!$N$9=0,1,IF('Entry Builder'!$D$9="Less",--(INDEX(Sims!$A409:$BO409,'Entry Builder'!$L$9)&lt;'Entry Builder'!$E$9),--(INDEX(Sims!$A409:$BO409,'Entry Builder'!$L$9)&gt;'Entry Builder'!$E$9)))</f>
        <v/>
      </c>
      <c r="D409">
        <f>IF('Entry Builder'!$N$10=0,1,IF('Entry Builder'!$D$10="Less",--(INDEX(Sims!$A409:$BO409,'Entry Builder'!$L$10)&lt;'Entry Builder'!$E$10),--(INDEX(Sims!$A409:$BO409,'Entry Builder'!$L$10)&gt;'Entry Builder'!$E$10)))</f>
        <v/>
      </c>
      <c r="E409">
        <f>IF('Entry Builder'!$N$11=0,1,IF('Entry Builder'!$D$11="Less",--(INDEX(Sims!$A409:$BO409,'Entry Builder'!$L$11)&lt;'Entry Builder'!$E$11),--(INDEX(Sims!$A409:$BO409,'Entry Builder'!$L$11)&gt;'Entry Builder'!$E$11)))</f>
        <v/>
      </c>
      <c r="F409">
        <f>IF('Entry Builder'!$N$12=0,1,IF('Entry Builder'!$D$12="Less",--(INDEX(Sims!$A409:$BO409,'Entry Builder'!$L$12)&lt;'Entry Builder'!$E$12),--(INDEX(Sims!$A409:$BO409,'Entry Builder'!$L$12)&gt;'Entry Builder'!$E$12)))</f>
        <v/>
      </c>
      <c r="G409">
        <f>6-SUM(A409:F409)</f>
        <v/>
      </c>
    </row>
    <row r="410">
      <c r="A410">
        <f>IF('Entry Builder'!$N$7=0,1,IF('Entry Builder'!$D$7="Less",--(INDEX(Sims!$A410:$BO410,'Entry Builder'!$L$7)&lt;'Entry Builder'!$E$7),--(INDEX(Sims!$A410:$BO410,'Entry Builder'!$L$7)&gt;'Entry Builder'!$E$7)))</f>
        <v/>
      </c>
      <c r="B410">
        <f>IF('Entry Builder'!$N$8=0,1,IF('Entry Builder'!$D$8="Less",--(INDEX(Sims!$A410:$BO410,'Entry Builder'!$L$8)&lt;'Entry Builder'!$E$8),--(INDEX(Sims!$A410:$BO410,'Entry Builder'!$L$8)&gt;'Entry Builder'!$E$8)))</f>
        <v/>
      </c>
      <c r="C410">
        <f>IF('Entry Builder'!$N$9=0,1,IF('Entry Builder'!$D$9="Less",--(INDEX(Sims!$A410:$BO410,'Entry Builder'!$L$9)&lt;'Entry Builder'!$E$9),--(INDEX(Sims!$A410:$BO410,'Entry Builder'!$L$9)&gt;'Entry Builder'!$E$9)))</f>
        <v/>
      </c>
      <c r="D410">
        <f>IF('Entry Builder'!$N$10=0,1,IF('Entry Builder'!$D$10="Less",--(INDEX(Sims!$A410:$BO410,'Entry Builder'!$L$10)&lt;'Entry Builder'!$E$10),--(INDEX(Sims!$A410:$BO410,'Entry Builder'!$L$10)&gt;'Entry Builder'!$E$10)))</f>
        <v/>
      </c>
      <c r="E410">
        <f>IF('Entry Builder'!$N$11=0,1,IF('Entry Builder'!$D$11="Less",--(INDEX(Sims!$A410:$BO410,'Entry Builder'!$L$11)&lt;'Entry Builder'!$E$11),--(INDEX(Sims!$A410:$BO410,'Entry Builder'!$L$11)&gt;'Entry Builder'!$E$11)))</f>
        <v/>
      </c>
      <c r="F410">
        <f>IF('Entry Builder'!$N$12=0,1,IF('Entry Builder'!$D$12="Less",--(INDEX(Sims!$A410:$BO410,'Entry Builder'!$L$12)&lt;'Entry Builder'!$E$12),--(INDEX(Sims!$A410:$BO410,'Entry Builder'!$L$12)&gt;'Entry Builder'!$E$12)))</f>
        <v/>
      </c>
      <c r="G410">
        <f>6-SUM(A410:F410)</f>
        <v/>
      </c>
    </row>
    <row r="411">
      <c r="A411">
        <f>IF('Entry Builder'!$N$7=0,1,IF('Entry Builder'!$D$7="Less",--(INDEX(Sims!$A411:$BO411,'Entry Builder'!$L$7)&lt;'Entry Builder'!$E$7),--(INDEX(Sims!$A411:$BO411,'Entry Builder'!$L$7)&gt;'Entry Builder'!$E$7)))</f>
        <v/>
      </c>
      <c r="B411">
        <f>IF('Entry Builder'!$N$8=0,1,IF('Entry Builder'!$D$8="Less",--(INDEX(Sims!$A411:$BO411,'Entry Builder'!$L$8)&lt;'Entry Builder'!$E$8),--(INDEX(Sims!$A411:$BO411,'Entry Builder'!$L$8)&gt;'Entry Builder'!$E$8)))</f>
        <v/>
      </c>
      <c r="C411">
        <f>IF('Entry Builder'!$N$9=0,1,IF('Entry Builder'!$D$9="Less",--(INDEX(Sims!$A411:$BO411,'Entry Builder'!$L$9)&lt;'Entry Builder'!$E$9),--(INDEX(Sims!$A411:$BO411,'Entry Builder'!$L$9)&gt;'Entry Builder'!$E$9)))</f>
        <v/>
      </c>
      <c r="D411">
        <f>IF('Entry Builder'!$N$10=0,1,IF('Entry Builder'!$D$10="Less",--(INDEX(Sims!$A411:$BO411,'Entry Builder'!$L$10)&lt;'Entry Builder'!$E$10),--(INDEX(Sims!$A411:$BO411,'Entry Builder'!$L$10)&gt;'Entry Builder'!$E$10)))</f>
        <v/>
      </c>
      <c r="E411">
        <f>IF('Entry Builder'!$N$11=0,1,IF('Entry Builder'!$D$11="Less",--(INDEX(Sims!$A411:$BO411,'Entry Builder'!$L$11)&lt;'Entry Builder'!$E$11),--(INDEX(Sims!$A411:$BO411,'Entry Builder'!$L$11)&gt;'Entry Builder'!$E$11)))</f>
        <v/>
      </c>
      <c r="F411">
        <f>IF('Entry Builder'!$N$12=0,1,IF('Entry Builder'!$D$12="Less",--(INDEX(Sims!$A411:$BO411,'Entry Builder'!$L$12)&lt;'Entry Builder'!$E$12),--(INDEX(Sims!$A411:$BO411,'Entry Builder'!$L$12)&gt;'Entry Builder'!$E$12)))</f>
        <v/>
      </c>
      <c r="G411">
        <f>6-SUM(A411:F411)</f>
        <v/>
      </c>
    </row>
    <row r="412">
      <c r="A412">
        <f>IF('Entry Builder'!$N$7=0,1,IF('Entry Builder'!$D$7="Less",--(INDEX(Sims!$A412:$BO412,'Entry Builder'!$L$7)&lt;'Entry Builder'!$E$7),--(INDEX(Sims!$A412:$BO412,'Entry Builder'!$L$7)&gt;'Entry Builder'!$E$7)))</f>
        <v/>
      </c>
      <c r="B412">
        <f>IF('Entry Builder'!$N$8=0,1,IF('Entry Builder'!$D$8="Less",--(INDEX(Sims!$A412:$BO412,'Entry Builder'!$L$8)&lt;'Entry Builder'!$E$8),--(INDEX(Sims!$A412:$BO412,'Entry Builder'!$L$8)&gt;'Entry Builder'!$E$8)))</f>
        <v/>
      </c>
      <c r="C412">
        <f>IF('Entry Builder'!$N$9=0,1,IF('Entry Builder'!$D$9="Less",--(INDEX(Sims!$A412:$BO412,'Entry Builder'!$L$9)&lt;'Entry Builder'!$E$9),--(INDEX(Sims!$A412:$BO412,'Entry Builder'!$L$9)&gt;'Entry Builder'!$E$9)))</f>
        <v/>
      </c>
      <c r="D412">
        <f>IF('Entry Builder'!$N$10=0,1,IF('Entry Builder'!$D$10="Less",--(INDEX(Sims!$A412:$BO412,'Entry Builder'!$L$10)&lt;'Entry Builder'!$E$10),--(INDEX(Sims!$A412:$BO412,'Entry Builder'!$L$10)&gt;'Entry Builder'!$E$10)))</f>
        <v/>
      </c>
      <c r="E412">
        <f>IF('Entry Builder'!$N$11=0,1,IF('Entry Builder'!$D$11="Less",--(INDEX(Sims!$A412:$BO412,'Entry Builder'!$L$11)&lt;'Entry Builder'!$E$11),--(INDEX(Sims!$A412:$BO412,'Entry Builder'!$L$11)&gt;'Entry Builder'!$E$11)))</f>
        <v/>
      </c>
      <c r="F412">
        <f>IF('Entry Builder'!$N$12=0,1,IF('Entry Builder'!$D$12="Less",--(INDEX(Sims!$A412:$BO412,'Entry Builder'!$L$12)&lt;'Entry Builder'!$E$12),--(INDEX(Sims!$A412:$BO412,'Entry Builder'!$L$12)&gt;'Entry Builder'!$E$12)))</f>
        <v/>
      </c>
      <c r="G412">
        <f>6-SUM(A412:F412)</f>
        <v/>
      </c>
    </row>
    <row r="413">
      <c r="A413">
        <f>IF('Entry Builder'!$N$7=0,1,IF('Entry Builder'!$D$7="Less",--(INDEX(Sims!$A413:$BO413,'Entry Builder'!$L$7)&lt;'Entry Builder'!$E$7),--(INDEX(Sims!$A413:$BO413,'Entry Builder'!$L$7)&gt;'Entry Builder'!$E$7)))</f>
        <v/>
      </c>
      <c r="B413">
        <f>IF('Entry Builder'!$N$8=0,1,IF('Entry Builder'!$D$8="Less",--(INDEX(Sims!$A413:$BO413,'Entry Builder'!$L$8)&lt;'Entry Builder'!$E$8),--(INDEX(Sims!$A413:$BO413,'Entry Builder'!$L$8)&gt;'Entry Builder'!$E$8)))</f>
        <v/>
      </c>
      <c r="C413">
        <f>IF('Entry Builder'!$N$9=0,1,IF('Entry Builder'!$D$9="Less",--(INDEX(Sims!$A413:$BO413,'Entry Builder'!$L$9)&lt;'Entry Builder'!$E$9),--(INDEX(Sims!$A413:$BO413,'Entry Builder'!$L$9)&gt;'Entry Builder'!$E$9)))</f>
        <v/>
      </c>
      <c r="D413">
        <f>IF('Entry Builder'!$N$10=0,1,IF('Entry Builder'!$D$10="Less",--(INDEX(Sims!$A413:$BO413,'Entry Builder'!$L$10)&lt;'Entry Builder'!$E$10),--(INDEX(Sims!$A413:$BO413,'Entry Builder'!$L$10)&gt;'Entry Builder'!$E$10)))</f>
        <v/>
      </c>
      <c r="E413">
        <f>IF('Entry Builder'!$N$11=0,1,IF('Entry Builder'!$D$11="Less",--(INDEX(Sims!$A413:$BO413,'Entry Builder'!$L$11)&lt;'Entry Builder'!$E$11),--(INDEX(Sims!$A413:$BO413,'Entry Builder'!$L$11)&gt;'Entry Builder'!$E$11)))</f>
        <v/>
      </c>
      <c r="F413">
        <f>IF('Entry Builder'!$N$12=0,1,IF('Entry Builder'!$D$12="Less",--(INDEX(Sims!$A413:$BO413,'Entry Builder'!$L$12)&lt;'Entry Builder'!$E$12),--(INDEX(Sims!$A413:$BO413,'Entry Builder'!$L$12)&gt;'Entry Builder'!$E$12)))</f>
        <v/>
      </c>
      <c r="G413">
        <f>6-SUM(A413:F413)</f>
        <v/>
      </c>
    </row>
    <row r="414">
      <c r="A414">
        <f>IF('Entry Builder'!$N$7=0,1,IF('Entry Builder'!$D$7="Less",--(INDEX(Sims!$A414:$BO414,'Entry Builder'!$L$7)&lt;'Entry Builder'!$E$7),--(INDEX(Sims!$A414:$BO414,'Entry Builder'!$L$7)&gt;'Entry Builder'!$E$7)))</f>
        <v/>
      </c>
      <c r="B414">
        <f>IF('Entry Builder'!$N$8=0,1,IF('Entry Builder'!$D$8="Less",--(INDEX(Sims!$A414:$BO414,'Entry Builder'!$L$8)&lt;'Entry Builder'!$E$8),--(INDEX(Sims!$A414:$BO414,'Entry Builder'!$L$8)&gt;'Entry Builder'!$E$8)))</f>
        <v/>
      </c>
      <c r="C414">
        <f>IF('Entry Builder'!$N$9=0,1,IF('Entry Builder'!$D$9="Less",--(INDEX(Sims!$A414:$BO414,'Entry Builder'!$L$9)&lt;'Entry Builder'!$E$9),--(INDEX(Sims!$A414:$BO414,'Entry Builder'!$L$9)&gt;'Entry Builder'!$E$9)))</f>
        <v/>
      </c>
      <c r="D414">
        <f>IF('Entry Builder'!$N$10=0,1,IF('Entry Builder'!$D$10="Less",--(INDEX(Sims!$A414:$BO414,'Entry Builder'!$L$10)&lt;'Entry Builder'!$E$10),--(INDEX(Sims!$A414:$BO414,'Entry Builder'!$L$10)&gt;'Entry Builder'!$E$10)))</f>
        <v/>
      </c>
      <c r="E414">
        <f>IF('Entry Builder'!$N$11=0,1,IF('Entry Builder'!$D$11="Less",--(INDEX(Sims!$A414:$BO414,'Entry Builder'!$L$11)&lt;'Entry Builder'!$E$11),--(INDEX(Sims!$A414:$BO414,'Entry Builder'!$L$11)&gt;'Entry Builder'!$E$11)))</f>
        <v/>
      </c>
      <c r="F414">
        <f>IF('Entry Builder'!$N$12=0,1,IF('Entry Builder'!$D$12="Less",--(INDEX(Sims!$A414:$BO414,'Entry Builder'!$L$12)&lt;'Entry Builder'!$E$12),--(INDEX(Sims!$A414:$BO414,'Entry Builder'!$L$12)&gt;'Entry Builder'!$E$12)))</f>
        <v/>
      </c>
      <c r="G414">
        <f>6-SUM(A414:F414)</f>
        <v/>
      </c>
    </row>
    <row r="415">
      <c r="A415">
        <f>IF('Entry Builder'!$N$7=0,1,IF('Entry Builder'!$D$7="Less",--(INDEX(Sims!$A415:$BO415,'Entry Builder'!$L$7)&lt;'Entry Builder'!$E$7),--(INDEX(Sims!$A415:$BO415,'Entry Builder'!$L$7)&gt;'Entry Builder'!$E$7)))</f>
        <v/>
      </c>
      <c r="B415">
        <f>IF('Entry Builder'!$N$8=0,1,IF('Entry Builder'!$D$8="Less",--(INDEX(Sims!$A415:$BO415,'Entry Builder'!$L$8)&lt;'Entry Builder'!$E$8),--(INDEX(Sims!$A415:$BO415,'Entry Builder'!$L$8)&gt;'Entry Builder'!$E$8)))</f>
        <v/>
      </c>
      <c r="C415">
        <f>IF('Entry Builder'!$N$9=0,1,IF('Entry Builder'!$D$9="Less",--(INDEX(Sims!$A415:$BO415,'Entry Builder'!$L$9)&lt;'Entry Builder'!$E$9),--(INDEX(Sims!$A415:$BO415,'Entry Builder'!$L$9)&gt;'Entry Builder'!$E$9)))</f>
        <v/>
      </c>
      <c r="D415">
        <f>IF('Entry Builder'!$N$10=0,1,IF('Entry Builder'!$D$10="Less",--(INDEX(Sims!$A415:$BO415,'Entry Builder'!$L$10)&lt;'Entry Builder'!$E$10),--(INDEX(Sims!$A415:$BO415,'Entry Builder'!$L$10)&gt;'Entry Builder'!$E$10)))</f>
        <v/>
      </c>
      <c r="E415">
        <f>IF('Entry Builder'!$N$11=0,1,IF('Entry Builder'!$D$11="Less",--(INDEX(Sims!$A415:$BO415,'Entry Builder'!$L$11)&lt;'Entry Builder'!$E$11),--(INDEX(Sims!$A415:$BO415,'Entry Builder'!$L$11)&gt;'Entry Builder'!$E$11)))</f>
        <v/>
      </c>
      <c r="F415">
        <f>IF('Entry Builder'!$N$12=0,1,IF('Entry Builder'!$D$12="Less",--(INDEX(Sims!$A415:$BO415,'Entry Builder'!$L$12)&lt;'Entry Builder'!$E$12),--(INDEX(Sims!$A415:$BO415,'Entry Builder'!$L$12)&gt;'Entry Builder'!$E$12)))</f>
        <v/>
      </c>
      <c r="G415">
        <f>6-SUM(A415:F415)</f>
        <v/>
      </c>
    </row>
    <row r="416">
      <c r="A416">
        <f>IF('Entry Builder'!$N$7=0,1,IF('Entry Builder'!$D$7="Less",--(INDEX(Sims!$A416:$BO416,'Entry Builder'!$L$7)&lt;'Entry Builder'!$E$7),--(INDEX(Sims!$A416:$BO416,'Entry Builder'!$L$7)&gt;'Entry Builder'!$E$7)))</f>
        <v/>
      </c>
      <c r="B416">
        <f>IF('Entry Builder'!$N$8=0,1,IF('Entry Builder'!$D$8="Less",--(INDEX(Sims!$A416:$BO416,'Entry Builder'!$L$8)&lt;'Entry Builder'!$E$8),--(INDEX(Sims!$A416:$BO416,'Entry Builder'!$L$8)&gt;'Entry Builder'!$E$8)))</f>
        <v/>
      </c>
      <c r="C416">
        <f>IF('Entry Builder'!$N$9=0,1,IF('Entry Builder'!$D$9="Less",--(INDEX(Sims!$A416:$BO416,'Entry Builder'!$L$9)&lt;'Entry Builder'!$E$9),--(INDEX(Sims!$A416:$BO416,'Entry Builder'!$L$9)&gt;'Entry Builder'!$E$9)))</f>
        <v/>
      </c>
      <c r="D416">
        <f>IF('Entry Builder'!$N$10=0,1,IF('Entry Builder'!$D$10="Less",--(INDEX(Sims!$A416:$BO416,'Entry Builder'!$L$10)&lt;'Entry Builder'!$E$10),--(INDEX(Sims!$A416:$BO416,'Entry Builder'!$L$10)&gt;'Entry Builder'!$E$10)))</f>
        <v/>
      </c>
      <c r="E416">
        <f>IF('Entry Builder'!$N$11=0,1,IF('Entry Builder'!$D$11="Less",--(INDEX(Sims!$A416:$BO416,'Entry Builder'!$L$11)&lt;'Entry Builder'!$E$11),--(INDEX(Sims!$A416:$BO416,'Entry Builder'!$L$11)&gt;'Entry Builder'!$E$11)))</f>
        <v/>
      </c>
      <c r="F416">
        <f>IF('Entry Builder'!$N$12=0,1,IF('Entry Builder'!$D$12="Less",--(INDEX(Sims!$A416:$BO416,'Entry Builder'!$L$12)&lt;'Entry Builder'!$E$12),--(INDEX(Sims!$A416:$BO416,'Entry Builder'!$L$12)&gt;'Entry Builder'!$E$12)))</f>
        <v/>
      </c>
      <c r="G416">
        <f>6-SUM(A416:F416)</f>
        <v/>
      </c>
    </row>
    <row r="417">
      <c r="A417">
        <f>IF('Entry Builder'!$N$7=0,1,IF('Entry Builder'!$D$7="Less",--(INDEX(Sims!$A417:$BO417,'Entry Builder'!$L$7)&lt;'Entry Builder'!$E$7),--(INDEX(Sims!$A417:$BO417,'Entry Builder'!$L$7)&gt;'Entry Builder'!$E$7)))</f>
        <v/>
      </c>
      <c r="B417">
        <f>IF('Entry Builder'!$N$8=0,1,IF('Entry Builder'!$D$8="Less",--(INDEX(Sims!$A417:$BO417,'Entry Builder'!$L$8)&lt;'Entry Builder'!$E$8),--(INDEX(Sims!$A417:$BO417,'Entry Builder'!$L$8)&gt;'Entry Builder'!$E$8)))</f>
        <v/>
      </c>
      <c r="C417">
        <f>IF('Entry Builder'!$N$9=0,1,IF('Entry Builder'!$D$9="Less",--(INDEX(Sims!$A417:$BO417,'Entry Builder'!$L$9)&lt;'Entry Builder'!$E$9),--(INDEX(Sims!$A417:$BO417,'Entry Builder'!$L$9)&gt;'Entry Builder'!$E$9)))</f>
        <v/>
      </c>
      <c r="D417">
        <f>IF('Entry Builder'!$N$10=0,1,IF('Entry Builder'!$D$10="Less",--(INDEX(Sims!$A417:$BO417,'Entry Builder'!$L$10)&lt;'Entry Builder'!$E$10),--(INDEX(Sims!$A417:$BO417,'Entry Builder'!$L$10)&gt;'Entry Builder'!$E$10)))</f>
        <v/>
      </c>
      <c r="E417">
        <f>IF('Entry Builder'!$N$11=0,1,IF('Entry Builder'!$D$11="Less",--(INDEX(Sims!$A417:$BO417,'Entry Builder'!$L$11)&lt;'Entry Builder'!$E$11),--(INDEX(Sims!$A417:$BO417,'Entry Builder'!$L$11)&gt;'Entry Builder'!$E$11)))</f>
        <v/>
      </c>
      <c r="F417">
        <f>IF('Entry Builder'!$N$12=0,1,IF('Entry Builder'!$D$12="Less",--(INDEX(Sims!$A417:$BO417,'Entry Builder'!$L$12)&lt;'Entry Builder'!$E$12),--(INDEX(Sims!$A417:$BO417,'Entry Builder'!$L$12)&gt;'Entry Builder'!$E$12)))</f>
        <v/>
      </c>
      <c r="G417">
        <f>6-SUM(A417:F417)</f>
        <v/>
      </c>
    </row>
    <row r="418">
      <c r="A418">
        <f>IF('Entry Builder'!$N$7=0,1,IF('Entry Builder'!$D$7="Less",--(INDEX(Sims!$A418:$BO418,'Entry Builder'!$L$7)&lt;'Entry Builder'!$E$7),--(INDEX(Sims!$A418:$BO418,'Entry Builder'!$L$7)&gt;'Entry Builder'!$E$7)))</f>
        <v/>
      </c>
      <c r="B418">
        <f>IF('Entry Builder'!$N$8=0,1,IF('Entry Builder'!$D$8="Less",--(INDEX(Sims!$A418:$BO418,'Entry Builder'!$L$8)&lt;'Entry Builder'!$E$8),--(INDEX(Sims!$A418:$BO418,'Entry Builder'!$L$8)&gt;'Entry Builder'!$E$8)))</f>
        <v/>
      </c>
      <c r="C418">
        <f>IF('Entry Builder'!$N$9=0,1,IF('Entry Builder'!$D$9="Less",--(INDEX(Sims!$A418:$BO418,'Entry Builder'!$L$9)&lt;'Entry Builder'!$E$9),--(INDEX(Sims!$A418:$BO418,'Entry Builder'!$L$9)&gt;'Entry Builder'!$E$9)))</f>
        <v/>
      </c>
      <c r="D418">
        <f>IF('Entry Builder'!$N$10=0,1,IF('Entry Builder'!$D$10="Less",--(INDEX(Sims!$A418:$BO418,'Entry Builder'!$L$10)&lt;'Entry Builder'!$E$10),--(INDEX(Sims!$A418:$BO418,'Entry Builder'!$L$10)&gt;'Entry Builder'!$E$10)))</f>
        <v/>
      </c>
      <c r="E418">
        <f>IF('Entry Builder'!$N$11=0,1,IF('Entry Builder'!$D$11="Less",--(INDEX(Sims!$A418:$BO418,'Entry Builder'!$L$11)&lt;'Entry Builder'!$E$11),--(INDEX(Sims!$A418:$BO418,'Entry Builder'!$L$11)&gt;'Entry Builder'!$E$11)))</f>
        <v/>
      </c>
      <c r="F418">
        <f>IF('Entry Builder'!$N$12=0,1,IF('Entry Builder'!$D$12="Less",--(INDEX(Sims!$A418:$BO418,'Entry Builder'!$L$12)&lt;'Entry Builder'!$E$12),--(INDEX(Sims!$A418:$BO418,'Entry Builder'!$L$12)&gt;'Entry Builder'!$E$12)))</f>
        <v/>
      </c>
      <c r="G418">
        <f>6-SUM(A418:F418)</f>
        <v/>
      </c>
    </row>
    <row r="419">
      <c r="A419">
        <f>IF('Entry Builder'!$N$7=0,1,IF('Entry Builder'!$D$7="Less",--(INDEX(Sims!$A419:$BO419,'Entry Builder'!$L$7)&lt;'Entry Builder'!$E$7),--(INDEX(Sims!$A419:$BO419,'Entry Builder'!$L$7)&gt;'Entry Builder'!$E$7)))</f>
        <v/>
      </c>
      <c r="B419">
        <f>IF('Entry Builder'!$N$8=0,1,IF('Entry Builder'!$D$8="Less",--(INDEX(Sims!$A419:$BO419,'Entry Builder'!$L$8)&lt;'Entry Builder'!$E$8),--(INDEX(Sims!$A419:$BO419,'Entry Builder'!$L$8)&gt;'Entry Builder'!$E$8)))</f>
        <v/>
      </c>
      <c r="C419">
        <f>IF('Entry Builder'!$N$9=0,1,IF('Entry Builder'!$D$9="Less",--(INDEX(Sims!$A419:$BO419,'Entry Builder'!$L$9)&lt;'Entry Builder'!$E$9),--(INDEX(Sims!$A419:$BO419,'Entry Builder'!$L$9)&gt;'Entry Builder'!$E$9)))</f>
        <v/>
      </c>
      <c r="D419">
        <f>IF('Entry Builder'!$N$10=0,1,IF('Entry Builder'!$D$10="Less",--(INDEX(Sims!$A419:$BO419,'Entry Builder'!$L$10)&lt;'Entry Builder'!$E$10),--(INDEX(Sims!$A419:$BO419,'Entry Builder'!$L$10)&gt;'Entry Builder'!$E$10)))</f>
        <v/>
      </c>
      <c r="E419">
        <f>IF('Entry Builder'!$N$11=0,1,IF('Entry Builder'!$D$11="Less",--(INDEX(Sims!$A419:$BO419,'Entry Builder'!$L$11)&lt;'Entry Builder'!$E$11),--(INDEX(Sims!$A419:$BO419,'Entry Builder'!$L$11)&gt;'Entry Builder'!$E$11)))</f>
        <v/>
      </c>
      <c r="F419">
        <f>IF('Entry Builder'!$N$12=0,1,IF('Entry Builder'!$D$12="Less",--(INDEX(Sims!$A419:$BO419,'Entry Builder'!$L$12)&lt;'Entry Builder'!$E$12),--(INDEX(Sims!$A419:$BO419,'Entry Builder'!$L$12)&gt;'Entry Builder'!$E$12)))</f>
        <v/>
      </c>
      <c r="G419">
        <f>6-SUM(A419:F419)</f>
        <v/>
      </c>
    </row>
    <row r="420">
      <c r="A420">
        <f>IF('Entry Builder'!$N$7=0,1,IF('Entry Builder'!$D$7="Less",--(INDEX(Sims!$A420:$BO420,'Entry Builder'!$L$7)&lt;'Entry Builder'!$E$7),--(INDEX(Sims!$A420:$BO420,'Entry Builder'!$L$7)&gt;'Entry Builder'!$E$7)))</f>
        <v/>
      </c>
      <c r="B420">
        <f>IF('Entry Builder'!$N$8=0,1,IF('Entry Builder'!$D$8="Less",--(INDEX(Sims!$A420:$BO420,'Entry Builder'!$L$8)&lt;'Entry Builder'!$E$8),--(INDEX(Sims!$A420:$BO420,'Entry Builder'!$L$8)&gt;'Entry Builder'!$E$8)))</f>
        <v/>
      </c>
      <c r="C420">
        <f>IF('Entry Builder'!$N$9=0,1,IF('Entry Builder'!$D$9="Less",--(INDEX(Sims!$A420:$BO420,'Entry Builder'!$L$9)&lt;'Entry Builder'!$E$9),--(INDEX(Sims!$A420:$BO420,'Entry Builder'!$L$9)&gt;'Entry Builder'!$E$9)))</f>
        <v/>
      </c>
      <c r="D420">
        <f>IF('Entry Builder'!$N$10=0,1,IF('Entry Builder'!$D$10="Less",--(INDEX(Sims!$A420:$BO420,'Entry Builder'!$L$10)&lt;'Entry Builder'!$E$10),--(INDEX(Sims!$A420:$BO420,'Entry Builder'!$L$10)&gt;'Entry Builder'!$E$10)))</f>
        <v/>
      </c>
      <c r="E420">
        <f>IF('Entry Builder'!$N$11=0,1,IF('Entry Builder'!$D$11="Less",--(INDEX(Sims!$A420:$BO420,'Entry Builder'!$L$11)&lt;'Entry Builder'!$E$11),--(INDEX(Sims!$A420:$BO420,'Entry Builder'!$L$11)&gt;'Entry Builder'!$E$11)))</f>
        <v/>
      </c>
      <c r="F420">
        <f>IF('Entry Builder'!$N$12=0,1,IF('Entry Builder'!$D$12="Less",--(INDEX(Sims!$A420:$BO420,'Entry Builder'!$L$12)&lt;'Entry Builder'!$E$12),--(INDEX(Sims!$A420:$BO420,'Entry Builder'!$L$12)&gt;'Entry Builder'!$E$12)))</f>
        <v/>
      </c>
      <c r="G420">
        <f>6-SUM(A420:F420)</f>
        <v/>
      </c>
    </row>
    <row r="421">
      <c r="A421">
        <f>IF('Entry Builder'!$N$7=0,1,IF('Entry Builder'!$D$7="Less",--(INDEX(Sims!$A421:$BO421,'Entry Builder'!$L$7)&lt;'Entry Builder'!$E$7),--(INDEX(Sims!$A421:$BO421,'Entry Builder'!$L$7)&gt;'Entry Builder'!$E$7)))</f>
        <v/>
      </c>
      <c r="B421">
        <f>IF('Entry Builder'!$N$8=0,1,IF('Entry Builder'!$D$8="Less",--(INDEX(Sims!$A421:$BO421,'Entry Builder'!$L$8)&lt;'Entry Builder'!$E$8),--(INDEX(Sims!$A421:$BO421,'Entry Builder'!$L$8)&gt;'Entry Builder'!$E$8)))</f>
        <v/>
      </c>
      <c r="C421">
        <f>IF('Entry Builder'!$N$9=0,1,IF('Entry Builder'!$D$9="Less",--(INDEX(Sims!$A421:$BO421,'Entry Builder'!$L$9)&lt;'Entry Builder'!$E$9),--(INDEX(Sims!$A421:$BO421,'Entry Builder'!$L$9)&gt;'Entry Builder'!$E$9)))</f>
        <v/>
      </c>
      <c r="D421">
        <f>IF('Entry Builder'!$N$10=0,1,IF('Entry Builder'!$D$10="Less",--(INDEX(Sims!$A421:$BO421,'Entry Builder'!$L$10)&lt;'Entry Builder'!$E$10),--(INDEX(Sims!$A421:$BO421,'Entry Builder'!$L$10)&gt;'Entry Builder'!$E$10)))</f>
        <v/>
      </c>
      <c r="E421">
        <f>IF('Entry Builder'!$N$11=0,1,IF('Entry Builder'!$D$11="Less",--(INDEX(Sims!$A421:$BO421,'Entry Builder'!$L$11)&lt;'Entry Builder'!$E$11),--(INDEX(Sims!$A421:$BO421,'Entry Builder'!$L$11)&gt;'Entry Builder'!$E$11)))</f>
        <v/>
      </c>
      <c r="F421">
        <f>IF('Entry Builder'!$N$12=0,1,IF('Entry Builder'!$D$12="Less",--(INDEX(Sims!$A421:$BO421,'Entry Builder'!$L$12)&lt;'Entry Builder'!$E$12),--(INDEX(Sims!$A421:$BO421,'Entry Builder'!$L$12)&gt;'Entry Builder'!$E$12)))</f>
        <v/>
      </c>
      <c r="G421">
        <f>6-SUM(A421:F421)</f>
        <v/>
      </c>
    </row>
    <row r="422">
      <c r="A422">
        <f>IF('Entry Builder'!$N$7=0,1,IF('Entry Builder'!$D$7="Less",--(INDEX(Sims!$A422:$BO422,'Entry Builder'!$L$7)&lt;'Entry Builder'!$E$7),--(INDEX(Sims!$A422:$BO422,'Entry Builder'!$L$7)&gt;'Entry Builder'!$E$7)))</f>
        <v/>
      </c>
      <c r="B422">
        <f>IF('Entry Builder'!$N$8=0,1,IF('Entry Builder'!$D$8="Less",--(INDEX(Sims!$A422:$BO422,'Entry Builder'!$L$8)&lt;'Entry Builder'!$E$8),--(INDEX(Sims!$A422:$BO422,'Entry Builder'!$L$8)&gt;'Entry Builder'!$E$8)))</f>
        <v/>
      </c>
      <c r="C422">
        <f>IF('Entry Builder'!$N$9=0,1,IF('Entry Builder'!$D$9="Less",--(INDEX(Sims!$A422:$BO422,'Entry Builder'!$L$9)&lt;'Entry Builder'!$E$9),--(INDEX(Sims!$A422:$BO422,'Entry Builder'!$L$9)&gt;'Entry Builder'!$E$9)))</f>
        <v/>
      </c>
      <c r="D422">
        <f>IF('Entry Builder'!$N$10=0,1,IF('Entry Builder'!$D$10="Less",--(INDEX(Sims!$A422:$BO422,'Entry Builder'!$L$10)&lt;'Entry Builder'!$E$10),--(INDEX(Sims!$A422:$BO422,'Entry Builder'!$L$10)&gt;'Entry Builder'!$E$10)))</f>
        <v/>
      </c>
      <c r="E422">
        <f>IF('Entry Builder'!$N$11=0,1,IF('Entry Builder'!$D$11="Less",--(INDEX(Sims!$A422:$BO422,'Entry Builder'!$L$11)&lt;'Entry Builder'!$E$11),--(INDEX(Sims!$A422:$BO422,'Entry Builder'!$L$11)&gt;'Entry Builder'!$E$11)))</f>
        <v/>
      </c>
      <c r="F422">
        <f>IF('Entry Builder'!$N$12=0,1,IF('Entry Builder'!$D$12="Less",--(INDEX(Sims!$A422:$BO422,'Entry Builder'!$L$12)&lt;'Entry Builder'!$E$12),--(INDEX(Sims!$A422:$BO422,'Entry Builder'!$L$12)&gt;'Entry Builder'!$E$12)))</f>
        <v/>
      </c>
      <c r="G422">
        <f>6-SUM(A422:F422)</f>
        <v/>
      </c>
    </row>
    <row r="423">
      <c r="A423">
        <f>IF('Entry Builder'!$N$7=0,1,IF('Entry Builder'!$D$7="Less",--(INDEX(Sims!$A423:$BO423,'Entry Builder'!$L$7)&lt;'Entry Builder'!$E$7),--(INDEX(Sims!$A423:$BO423,'Entry Builder'!$L$7)&gt;'Entry Builder'!$E$7)))</f>
        <v/>
      </c>
      <c r="B423">
        <f>IF('Entry Builder'!$N$8=0,1,IF('Entry Builder'!$D$8="Less",--(INDEX(Sims!$A423:$BO423,'Entry Builder'!$L$8)&lt;'Entry Builder'!$E$8),--(INDEX(Sims!$A423:$BO423,'Entry Builder'!$L$8)&gt;'Entry Builder'!$E$8)))</f>
        <v/>
      </c>
      <c r="C423">
        <f>IF('Entry Builder'!$N$9=0,1,IF('Entry Builder'!$D$9="Less",--(INDEX(Sims!$A423:$BO423,'Entry Builder'!$L$9)&lt;'Entry Builder'!$E$9),--(INDEX(Sims!$A423:$BO423,'Entry Builder'!$L$9)&gt;'Entry Builder'!$E$9)))</f>
        <v/>
      </c>
      <c r="D423">
        <f>IF('Entry Builder'!$N$10=0,1,IF('Entry Builder'!$D$10="Less",--(INDEX(Sims!$A423:$BO423,'Entry Builder'!$L$10)&lt;'Entry Builder'!$E$10),--(INDEX(Sims!$A423:$BO423,'Entry Builder'!$L$10)&gt;'Entry Builder'!$E$10)))</f>
        <v/>
      </c>
      <c r="E423">
        <f>IF('Entry Builder'!$N$11=0,1,IF('Entry Builder'!$D$11="Less",--(INDEX(Sims!$A423:$BO423,'Entry Builder'!$L$11)&lt;'Entry Builder'!$E$11),--(INDEX(Sims!$A423:$BO423,'Entry Builder'!$L$11)&gt;'Entry Builder'!$E$11)))</f>
        <v/>
      </c>
      <c r="F423">
        <f>IF('Entry Builder'!$N$12=0,1,IF('Entry Builder'!$D$12="Less",--(INDEX(Sims!$A423:$BO423,'Entry Builder'!$L$12)&lt;'Entry Builder'!$E$12),--(INDEX(Sims!$A423:$BO423,'Entry Builder'!$L$12)&gt;'Entry Builder'!$E$12)))</f>
        <v/>
      </c>
      <c r="G423">
        <f>6-SUM(A423:F423)</f>
        <v/>
      </c>
    </row>
    <row r="424">
      <c r="A424">
        <f>IF('Entry Builder'!$N$7=0,1,IF('Entry Builder'!$D$7="Less",--(INDEX(Sims!$A424:$BO424,'Entry Builder'!$L$7)&lt;'Entry Builder'!$E$7),--(INDEX(Sims!$A424:$BO424,'Entry Builder'!$L$7)&gt;'Entry Builder'!$E$7)))</f>
        <v/>
      </c>
      <c r="B424">
        <f>IF('Entry Builder'!$N$8=0,1,IF('Entry Builder'!$D$8="Less",--(INDEX(Sims!$A424:$BO424,'Entry Builder'!$L$8)&lt;'Entry Builder'!$E$8),--(INDEX(Sims!$A424:$BO424,'Entry Builder'!$L$8)&gt;'Entry Builder'!$E$8)))</f>
        <v/>
      </c>
      <c r="C424">
        <f>IF('Entry Builder'!$N$9=0,1,IF('Entry Builder'!$D$9="Less",--(INDEX(Sims!$A424:$BO424,'Entry Builder'!$L$9)&lt;'Entry Builder'!$E$9),--(INDEX(Sims!$A424:$BO424,'Entry Builder'!$L$9)&gt;'Entry Builder'!$E$9)))</f>
        <v/>
      </c>
      <c r="D424">
        <f>IF('Entry Builder'!$N$10=0,1,IF('Entry Builder'!$D$10="Less",--(INDEX(Sims!$A424:$BO424,'Entry Builder'!$L$10)&lt;'Entry Builder'!$E$10),--(INDEX(Sims!$A424:$BO424,'Entry Builder'!$L$10)&gt;'Entry Builder'!$E$10)))</f>
        <v/>
      </c>
      <c r="E424">
        <f>IF('Entry Builder'!$N$11=0,1,IF('Entry Builder'!$D$11="Less",--(INDEX(Sims!$A424:$BO424,'Entry Builder'!$L$11)&lt;'Entry Builder'!$E$11),--(INDEX(Sims!$A424:$BO424,'Entry Builder'!$L$11)&gt;'Entry Builder'!$E$11)))</f>
        <v/>
      </c>
      <c r="F424">
        <f>IF('Entry Builder'!$N$12=0,1,IF('Entry Builder'!$D$12="Less",--(INDEX(Sims!$A424:$BO424,'Entry Builder'!$L$12)&lt;'Entry Builder'!$E$12),--(INDEX(Sims!$A424:$BO424,'Entry Builder'!$L$12)&gt;'Entry Builder'!$E$12)))</f>
        <v/>
      </c>
      <c r="G424">
        <f>6-SUM(A424:F424)</f>
        <v/>
      </c>
    </row>
    <row r="425">
      <c r="A425">
        <f>IF('Entry Builder'!$N$7=0,1,IF('Entry Builder'!$D$7="Less",--(INDEX(Sims!$A425:$BO425,'Entry Builder'!$L$7)&lt;'Entry Builder'!$E$7),--(INDEX(Sims!$A425:$BO425,'Entry Builder'!$L$7)&gt;'Entry Builder'!$E$7)))</f>
        <v/>
      </c>
      <c r="B425">
        <f>IF('Entry Builder'!$N$8=0,1,IF('Entry Builder'!$D$8="Less",--(INDEX(Sims!$A425:$BO425,'Entry Builder'!$L$8)&lt;'Entry Builder'!$E$8),--(INDEX(Sims!$A425:$BO425,'Entry Builder'!$L$8)&gt;'Entry Builder'!$E$8)))</f>
        <v/>
      </c>
      <c r="C425">
        <f>IF('Entry Builder'!$N$9=0,1,IF('Entry Builder'!$D$9="Less",--(INDEX(Sims!$A425:$BO425,'Entry Builder'!$L$9)&lt;'Entry Builder'!$E$9),--(INDEX(Sims!$A425:$BO425,'Entry Builder'!$L$9)&gt;'Entry Builder'!$E$9)))</f>
        <v/>
      </c>
      <c r="D425">
        <f>IF('Entry Builder'!$N$10=0,1,IF('Entry Builder'!$D$10="Less",--(INDEX(Sims!$A425:$BO425,'Entry Builder'!$L$10)&lt;'Entry Builder'!$E$10),--(INDEX(Sims!$A425:$BO425,'Entry Builder'!$L$10)&gt;'Entry Builder'!$E$10)))</f>
        <v/>
      </c>
      <c r="E425">
        <f>IF('Entry Builder'!$N$11=0,1,IF('Entry Builder'!$D$11="Less",--(INDEX(Sims!$A425:$BO425,'Entry Builder'!$L$11)&lt;'Entry Builder'!$E$11),--(INDEX(Sims!$A425:$BO425,'Entry Builder'!$L$11)&gt;'Entry Builder'!$E$11)))</f>
        <v/>
      </c>
      <c r="F425">
        <f>IF('Entry Builder'!$N$12=0,1,IF('Entry Builder'!$D$12="Less",--(INDEX(Sims!$A425:$BO425,'Entry Builder'!$L$12)&lt;'Entry Builder'!$E$12),--(INDEX(Sims!$A425:$BO425,'Entry Builder'!$L$12)&gt;'Entry Builder'!$E$12)))</f>
        <v/>
      </c>
      <c r="G425">
        <f>6-SUM(A425:F425)</f>
        <v/>
      </c>
    </row>
    <row r="426">
      <c r="A426">
        <f>IF('Entry Builder'!$N$7=0,1,IF('Entry Builder'!$D$7="Less",--(INDEX(Sims!$A426:$BO426,'Entry Builder'!$L$7)&lt;'Entry Builder'!$E$7),--(INDEX(Sims!$A426:$BO426,'Entry Builder'!$L$7)&gt;'Entry Builder'!$E$7)))</f>
        <v/>
      </c>
      <c r="B426">
        <f>IF('Entry Builder'!$N$8=0,1,IF('Entry Builder'!$D$8="Less",--(INDEX(Sims!$A426:$BO426,'Entry Builder'!$L$8)&lt;'Entry Builder'!$E$8),--(INDEX(Sims!$A426:$BO426,'Entry Builder'!$L$8)&gt;'Entry Builder'!$E$8)))</f>
        <v/>
      </c>
      <c r="C426">
        <f>IF('Entry Builder'!$N$9=0,1,IF('Entry Builder'!$D$9="Less",--(INDEX(Sims!$A426:$BO426,'Entry Builder'!$L$9)&lt;'Entry Builder'!$E$9),--(INDEX(Sims!$A426:$BO426,'Entry Builder'!$L$9)&gt;'Entry Builder'!$E$9)))</f>
        <v/>
      </c>
      <c r="D426">
        <f>IF('Entry Builder'!$N$10=0,1,IF('Entry Builder'!$D$10="Less",--(INDEX(Sims!$A426:$BO426,'Entry Builder'!$L$10)&lt;'Entry Builder'!$E$10),--(INDEX(Sims!$A426:$BO426,'Entry Builder'!$L$10)&gt;'Entry Builder'!$E$10)))</f>
        <v/>
      </c>
      <c r="E426">
        <f>IF('Entry Builder'!$N$11=0,1,IF('Entry Builder'!$D$11="Less",--(INDEX(Sims!$A426:$BO426,'Entry Builder'!$L$11)&lt;'Entry Builder'!$E$11),--(INDEX(Sims!$A426:$BO426,'Entry Builder'!$L$11)&gt;'Entry Builder'!$E$11)))</f>
        <v/>
      </c>
      <c r="F426">
        <f>IF('Entry Builder'!$N$12=0,1,IF('Entry Builder'!$D$12="Less",--(INDEX(Sims!$A426:$BO426,'Entry Builder'!$L$12)&lt;'Entry Builder'!$E$12),--(INDEX(Sims!$A426:$BO426,'Entry Builder'!$L$12)&gt;'Entry Builder'!$E$12)))</f>
        <v/>
      </c>
      <c r="G426">
        <f>6-SUM(A426:F426)</f>
        <v/>
      </c>
    </row>
    <row r="427">
      <c r="A427">
        <f>IF('Entry Builder'!$N$7=0,1,IF('Entry Builder'!$D$7="Less",--(INDEX(Sims!$A427:$BO427,'Entry Builder'!$L$7)&lt;'Entry Builder'!$E$7),--(INDEX(Sims!$A427:$BO427,'Entry Builder'!$L$7)&gt;'Entry Builder'!$E$7)))</f>
        <v/>
      </c>
      <c r="B427">
        <f>IF('Entry Builder'!$N$8=0,1,IF('Entry Builder'!$D$8="Less",--(INDEX(Sims!$A427:$BO427,'Entry Builder'!$L$8)&lt;'Entry Builder'!$E$8),--(INDEX(Sims!$A427:$BO427,'Entry Builder'!$L$8)&gt;'Entry Builder'!$E$8)))</f>
        <v/>
      </c>
      <c r="C427">
        <f>IF('Entry Builder'!$N$9=0,1,IF('Entry Builder'!$D$9="Less",--(INDEX(Sims!$A427:$BO427,'Entry Builder'!$L$9)&lt;'Entry Builder'!$E$9),--(INDEX(Sims!$A427:$BO427,'Entry Builder'!$L$9)&gt;'Entry Builder'!$E$9)))</f>
        <v/>
      </c>
      <c r="D427">
        <f>IF('Entry Builder'!$N$10=0,1,IF('Entry Builder'!$D$10="Less",--(INDEX(Sims!$A427:$BO427,'Entry Builder'!$L$10)&lt;'Entry Builder'!$E$10),--(INDEX(Sims!$A427:$BO427,'Entry Builder'!$L$10)&gt;'Entry Builder'!$E$10)))</f>
        <v/>
      </c>
      <c r="E427">
        <f>IF('Entry Builder'!$N$11=0,1,IF('Entry Builder'!$D$11="Less",--(INDEX(Sims!$A427:$BO427,'Entry Builder'!$L$11)&lt;'Entry Builder'!$E$11),--(INDEX(Sims!$A427:$BO427,'Entry Builder'!$L$11)&gt;'Entry Builder'!$E$11)))</f>
        <v/>
      </c>
      <c r="F427">
        <f>IF('Entry Builder'!$N$12=0,1,IF('Entry Builder'!$D$12="Less",--(INDEX(Sims!$A427:$BO427,'Entry Builder'!$L$12)&lt;'Entry Builder'!$E$12),--(INDEX(Sims!$A427:$BO427,'Entry Builder'!$L$12)&gt;'Entry Builder'!$E$12)))</f>
        <v/>
      </c>
      <c r="G427">
        <f>6-SUM(A427:F427)</f>
        <v/>
      </c>
    </row>
    <row r="428">
      <c r="A428">
        <f>IF('Entry Builder'!$N$7=0,1,IF('Entry Builder'!$D$7="Less",--(INDEX(Sims!$A428:$BO428,'Entry Builder'!$L$7)&lt;'Entry Builder'!$E$7),--(INDEX(Sims!$A428:$BO428,'Entry Builder'!$L$7)&gt;'Entry Builder'!$E$7)))</f>
        <v/>
      </c>
      <c r="B428">
        <f>IF('Entry Builder'!$N$8=0,1,IF('Entry Builder'!$D$8="Less",--(INDEX(Sims!$A428:$BO428,'Entry Builder'!$L$8)&lt;'Entry Builder'!$E$8),--(INDEX(Sims!$A428:$BO428,'Entry Builder'!$L$8)&gt;'Entry Builder'!$E$8)))</f>
        <v/>
      </c>
      <c r="C428">
        <f>IF('Entry Builder'!$N$9=0,1,IF('Entry Builder'!$D$9="Less",--(INDEX(Sims!$A428:$BO428,'Entry Builder'!$L$9)&lt;'Entry Builder'!$E$9),--(INDEX(Sims!$A428:$BO428,'Entry Builder'!$L$9)&gt;'Entry Builder'!$E$9)))</f>
        <v/>
      </c>
      <c r="D428">
        <f>IF('Entry Builder'!$N$10=0,1,IF('Entry Builder'!$D$10="Less",--(INDEX(Sims!$A428:$BO428,'Entry Builder'!$L$10)&lt;'Entry Builder'!$E$10),--(INDEX(Sims!$A428:$BO428,'Entry Builder'!$L$10)&gt;'Entry Builder'!$E$10)))</f>
        <v/>
      </c>
      <c r="E428">
        <f>IF('Entry Builder'!$N$11=0,1,IF('Entry Builder'!$D$11="Less",--(INDEX(Sims!$A428:$BO428,'Entry Builder'!$L$11)&lt;'Entry Builder'!$E$11),--(INDEX(Sims!$A428:$BO428,'Entry Builder'!$L$11)&gt;'Entry Builder'!$E$11)))</f>
        <v/>
      </c>
      <c r="F428">
        <f>IF('Entry Builder'!$N$12=0,1,IF('Entry Builder'!$D$12="Less",--(INDEX(Sims!$A428:$BO428,'Entry Builder'!$L$12)&lt;'Entry Builder'!$E$12),--(INDEX(Sims!$A428:$BO428,'Entry Builder'!$L$12)&gt;'Entry Builder'!$E$12)))</f>
        <v/>
      </c>
      <c r="G428">
        <f>6-SUM(A428:F428)</f>
        <v/>
      </c>
    </row>
    <row r="429">
      <c r="A429">
        <f>IF('Entry Builder'!$N$7=0,1,IF('Entry Builder'!$D$7="Less",--(INDEX(Sims!$A429:$BO429,'Entry Builder'!$L$7)&lt;'Entry Builder'!$E$7),--(INDEX(Sims!$A429:$BO429,'Entry Builder'!$L$7)&gt;'Entry Builder'!$E$7)))</f>
        <v/>
      </c>
      <c r="B429">
        <f>IF('Entry Builder'!$N$8=0,1,IF('Entry Builder'!$D$8="Less",--(INDEX(Sims!$A429:$BO429,'Entry Builder'!$L$8)&lt;'Entry Builder'!$E$8),--(INDEX(Sims!$A429:$BO429,'Entry Builder'!$L$8)&gt;'Entry Builder'!$E$8)))</f>
        <v/>
      </c>
      <c r="C429">
        <f>IF('Entry Builder'!$N$9=0,1,IF('Entry Builder'!$D$9="Less",--(INDEX(Sims!$A429:$BO429,'Entry Builder'!$L$9)&lt;'Entry Builder'!$E$9),--(INDEX(Sims!$A429:$BO429,'Entry Builder'!$L$9)&gt;'Entry Builder'!$E$9)))</f>
        <v/>
      </c>
      <c r="D429">
        <f>IF('Entry Builder'!$N$10=0,1,IF('Entry Builder'!$D$10="Less",--(INDEX(Sims!$A429:$BO429,'Entry Builder'!$L$10)&lt;'Entry Builder'!$E$10),--(INDEX(Sims!$A429:$BO429,'Entry Builder'!$L$10)&gt;'Entry Builder'!$E$10)))</f>
        <v/>
      </c>
      <c r="E429">
        <f>IF('Entry Builder'!$N$11=0,1,IF('Entry Builder'!$D$11="Less",--(INDEX(Sims!$A429:$BO429,'Entry Builder'!$L$11)&lt;'Entry Builder'!$E$11),--(INDEX(Sims!$A429:$BO429,'Entry Builder'!$L$11)&gt;'Entry Builder'!$E$11)))</f>
        <v/>
      </c>
      <c r="F429">
        <f>IF('Entry Builder'!$N$12=0,1,IF('Entry Builder'!$D$12="Less",--(INDEX(Sims!$A429:$BO429,'Entry Builder'!$L$12)&lt;'Entry Builder'!$E$12),--(INDEX(Sims!$A429:$BO429,'Entry Builder'!$L$12)&gt;'Entry Builder'!$E$12)))</f>
        <v/>
      </c>
      <c r="G429">
        <f>6-SUM(A429:F429)</f>
        <v/>
      </c>
    </row>
    <row r="430">
      <c r="A430">
        <f>IF('Entry Builder'!$N$7=0,1,IF('Entry Builder'!$D$7="Less",--(INDEX(Sims!$A430:$BO430,'Entry Builder'!$L$7)&lt;'Entry Builder'!$E$7),--(INDEX(Sims!$A430:$BO430,'Entry Builder'!$L$7)&gt;'Entry Builder'!$E$7)))</f>
        <v/>
      </c>
      <c r="B430">
        <f>IF('Entry Builder'!$N$8=0,1,IF('Entry Builder'!$D$8="Less",--(INDEX(Sims!$A430:$BO430,'Entry Builder'!$L$8)&lt;'Entry Builder'!$E$8),--(INDEX(Sims!$A430:$BO430,'Entry Builder'!$L$8)&gt;'Entry Builder'!$E$8)))</f>
        <v/>
      </c>
      <c r="C430">
        <f>IF('Entry Builder'!$N$9=0,1,IF('Entry Builder'!$D$9="Less",--(INDEX(Sims!$A430:$BO430,'Entry Builder'!$L$9)&lt;'Entry Builder'!$E$9),--(INDEX(Sims!$A430:$BO430,'Entry Builder'!$L$9)&gt;'Entry Builder'!$E$9)))</f>
        <v/>
      </c>
      <c r="D430">
        <f>IF('Entry Builder'!$N$10=0,1,IF('Entry Builder'!$D$10="Less",--(INDEX(Sims!$A430:$BO430,'Entry Builder'!$L$10)&lt;'Entry Builder'!$E$10),--(INDEX(Sims!$A430:$BO430,'Entry Builder'!$L$10)&gt;'Entry Builder'!$E$10)))</f>
        <v/>
      </c>
      <c r="E430">
        <f>IF('Entry Builder'!$N$11=0,1,IF('Entry Builder'!$D$11="Less",--(INDEX(Sims!$A430:$BO430,'Entry Builder'!$L$11)&lt;'Entry Builder'!$E$11),--(INDEX(Sims!$A430:$BO430,'Entry Builder'!$L$11)&gt;'Entry Builder'!$E$11)))</f>
        <v/>
      </c>
      <c r="F430">
        <f>IF('Entry Builder'!$N$12=0,1,IF('Entry Builder'!$D$12="Less",--(INDEX(Sims!$A430:$BO430,'Entry Builder'!$L$12)&lt;'Entry Builder'!$E$12),--(INDEX(Sims!$A430:$BO430,'Entry Builder'!$L$12)&gt;'Entry Builder'!$E$12)))</f>
        <v/>
      </c>
      <c r="G430">
        <f>6-SUM(A430:F430)</f>
        <v/>
      </c>
    </row>
    <row r="431">
      <c r="A431">
        <f>IF('Entry Builder'!$N$7=0,1,IF('Entry Builder'!$D$7="Less",--(INDEX(Sims!$A431:$BO431,'Entry Builder'!$L$7)&lt;'Entry Builder'!$E$7),--(INDEX(Sims!$A431:$BO431,'Entry Builder'!$L$7)&gt;'Entry Builder'!$E$7)))</f>
        <v/>
      </c>
      <c r="B431">
        <f>IF('Entry Builder'!$N$8=0,1,IF('Entry Builder'!$D$8="Less",--(INDEX(Sims!$A431:$BO431,'Entry Builder'!$L$8)&lt;'Entry Builder'!$E$8),--(INDEX(Sims!$A431:$BO431,'Entry Builder'!$L$8)&gt;'Entry Builder'!$E$8)))</f>
        <v/>
      </c>
      <c r="C431">
        <f>IF('Entry Builder'!$N$9=0,1,IF('Entry Builder'!$D$9="Less",--(INDEX(Sims!$A431:$BO431,'Entry Builder'!$L$9)&lt;'Entry Builder'!$E$9),--(INDEX(Sims!$A431:$BO431,'Entry Builder'!$L$9)&gt;'Entry Builder'!$E$9)))</f>
        <v/>
      </c>
      <c r="D431">
        <f>IF('Entry Builder'!$N$10=0,1,IF('Entry Builder'!$D$10="Less",--(INDEX(Sims!$A431:$BO431,'Entry Builder'!$L$10)&lt;'Entry Builder'!$E$10),--(INDEX(Sims!$A431:$BO431,'Entry Builder'!$L$10)&gt;'Entry Builder'!$E$10)))</f>
        <v/>
      </c>
      <c r="E431">
        <f>IF('Entry Builder'!$N$11=0,1,IF('Entry Builder'!$D$11="Less",--(INDEX(Sims!$A431:$BO431,'Entry Builder'!$L$11)&lt;'Entry Builder'!$E$11),--(INDEX(Sims!$A431:$BO431,'Entry Builder'!$L$11)&gt;'Entry Builder'!$E$11)))</f>
        <v/>
      </c>
      <c r="F431">
        <f>IF('Entry Builder'!$N$12=0,1,IF('Entry Builder'!$D$12="Less",--(INDEX(Sims!$A431:$BO431,'Entry Builder'!$L$12)&lt;'Entry Builder'!$E$12),--(INDEX(Sims!$A431:$BO431,'Entry Builder'!$L$12)&gt;'Entry Builder'!$E$12)))</f>
        <v/>
      </c>
      <c r="G431">
        <f>6-SUM(A431:F431)</f>
        <v/>
      </c>
    </row>
    <row r="432">
      <c r="A432">
        <f>IF('Entry Builder'!$N$7=0,1,IF('Entry Builder'!$D$7="Less",--(INDEX(Sims!$A432:$BO432,'Entry Builder'!$L$7)&lt;'Entry Builder'!$E$7),--(INDEX(Sims!$A432:$BO432,'Entry Builder'!$L$7)&gt;'Entry Builder'!$E$7)))</f>
        <v/>
      </c>
      <c r="B432">
        <f>IF('Entry Builder'!$N$8=0,1,IF('Entry Builder'!$D$8="Less",--(INDEX(Sims!$A432:$BO432,'Entry Builder'!$L$8)&lt;'Entry Builder'!$E$8),--(INDEX(Sims!$A432:$BO432,'Entry Builder'!$L$8)&gt;'Entry Builder'!$E$8)))</f>
        <v/>
      </c>
      <c r="C432">
        <f>IF('Entry Builder'!$N$9=0,1,IF('Entry Builder'!$D$9="Less",--(INDEX(Sims!$A432:$BO432,'Entry Builder'!$L$9)&lt;'Entry Builder'!$E$9),--(INDEX(Sims!$A432:$BO432,'Entry Builder'!$L$9)&gt;'Entry Builder'!$E$9)))</f>
        <v/>
      </c>
      <c r="D432">
        <f>IF('Entry Builder'!$N$10=0,1,IF('Entry Builder'!$D$10="Less",--(INDEX(Sims!$A432:$BO432,'Entry Builder'!$L$10)&lt;'Entry Builder'!$E$10),--(INDEX(Sims!$A432:$BO432,'Entry Builder'!$L$10)&gt;'Entry Builder'!$E$10)))</f>
        <v/>
      </c>
      <c r="E432">
        <f>IF('Entry Builder'!$N$11=0,1,IF('Entry Builder'!$D$11="Less",--(INDEX(Sims!$A432:$BO432,'Entry Builder'!$L$11)&lt;'Entry Builder'!$E$11),--(INDEX(Sims!$A432:$BO432,'Entry Builder'!$L$11)&gt;'Entry Builder'!$E$11)))</f>
        <v/>
      </c>
      <c r="F432">
        <f>IF('Entry Builder'!$N$12=0,1,IF('Entry Builder'!$D$12="Less",--(INDEX(Sims!$A432:$BO432,'Entry Builder'!$L$12)&lt;'Entry Builder'!$E$12),--(INDEX(Sims!$A432:$BO432,'Entry Builder'!$L$12)&gt;'Entry Builder'!$E$12)))</f>
        <v/>
      </c>
      <c r="G432">
        <f>6-SUM(A432:F432)</f>
        <v/>
      </c>
    </row>
    <row r="433">
      <c r="A433">
        <f>IF('Entry Builder'!$N$7=0,1,IF('Entry Builder'!$D$7="Less",--(INDEX(Sims!$A433:$BO433,'Entry Builder'!$L$7)&lt;'Entry Builder'!$E$7),--(INDEX(Sims!$A433:$BO433,'Entry Builder'!$L$7)&gt;'Entry Builder'!$E$7)))</f>
        <v/>
      </c>
      <c r="B433">
        <f>IF('Entry Builder'!$N$8=0,1,IF('Entry Builder'!$D$8="Less",--(INDEX(Sims!$A433:$BO433,'Entry Builder'!$L$8)&lt;'Entry Builder'!$E$8),--(INDEX(Sims!$A433:$BO433,'Entry Builder'!$L$8)&gt;'Entry Builder'!$E$8)))</f>
        <v/>
      </c>
      <c r="C433">
        <f>IF('Entry Builder'!$N$9=0,1,IF('Entry Builder'!$D$9="Less",--(INDEX(Sims!$A433:$BO433,'Entry Builder'!$L$9)&lt;'Entry Builder'!$E$9),--(INDEX(Sims!$A433:$BO433,'Entry Builder'!$L$9)&gt;'Entry Builder'!$E$9)))</f>
        <v/>
      </c>
      <c r="D433">
        <f>IF('Entry Builder'!$N$10=0,1,IF('Entry Builder'!$D$10="Less",--(INDEX(Sims!$A433:$BO433,'Entry Builder'!$L$10)&lt;'Entry Builder'!$E$10),--(INDEX(Sims!$A433:$BO433,'Entry Builder'!$L$10)&gt;'Entry Builder'!$E$10)))</f>
        <v/>
      </c>
      <c r="E433">
        <f>IF('Entry Builder'!$N$11=0,1,IF('Entry Builder'!$D$11="Less",--(INDEX(Sims!$A433:$BO433,'Entry Builder'!$L$11)&lt;'Entry Builder'!$E$11),--(INDEX(Sims!$A433:$BO433,'Entry Builder'!$L$11)&gt;'Entry Builder'!$E$11)))</f>
        <v/>
      </c>
      <c r="F433">
        <f>IF('Entry Builder'!$N$12=0,1,IF('Entry Builder'!$D$12="Less",--(INDEX(Sims!$A433:$BO433,'Entry Builder'!$L$12)&lt;'Entry Builder'!$E$12),--(INDEX(Sims!$A433:$BO433,'Entry Builder'!$L$12)&gt;'Entry Builder'!$E$12)))</f>
        <v/>
      </c>
      <c r="G433">
        <f>6-SUM(A433:F433)</f>
        <v/>
      </c>
    </row>
    <row r="434">
      <c r="A434">
        <f>IF('Entry Builder'!$N$7=0,1,IF('Entry Builder'!$D$7="Less",--(INDEX(Sims!$A434:$BO434,'Entry Builder'!$L$7)&lt;'Entry Builder'!$E$7),--(INDEX(Sims!$A434:$BO434,'Entry Builder'!$L$7)&gt;'Entry Builder'!$E$7)))</f>
        <v/>
      </c>
      <c r="B434">
        <f>IF('Entry Builder'!$N$8=0,1,IF('Entry Builder'!$D$8="Less",--(INDEX(Sims!$A434:$BO434,'Entry Builder'!$L$8)&lt;'Entry Builder'!$E$8),--(INDEX(Sims!$A434:$BO434,'Entry Builder'!$L$8)&gt;'Entry Builder'!$E$8)))</f>
        <v/>
      </c>
      <c r="C434">
        <f>IF('Entry Builder'!$N$9=0,1,IF('Entry Builder'!$D$9="Less",--(INDEX(Sims!$A434:$BO434,'Entry Builder'!$L$9)&lt;'Entry Builder'!$E$9),--(INDEX(Sims!$A434:$BO434,'Entry Builder'!$L$9)&gt;'Entry Builder'!$E$9)))</f>
        <v/>
      </c>
      <c r="D434">
        <f>IF('Entry Builder'!$N$10=0,1,IF('Entry Builder'!$D$10="Less",--(INDEX(Sims!$A434:$BO434,'Entry Builder'!$L$10)&lt;'Entry Builder'!$E$10),--(INDEX(Sims!$A434:$BO434,'Entry Builder'!$L$10)&gt;'Entry Builder'!$E$10)))</f>
        <v/>
      </c>
      <c r="E434">
        <f>IF('Entry Builder'!$N$11=0,1,IF('Entry Builder'!$D$11="Less",--(INDEX(Sims!$A434:$BO434,'Entry Builder'!$L$11)&lt;'Entry Builder'!$E$11),--(INDEX(Sims!$A434:$BO434,'Entry Builder'!$L$11)&gt;'Entry Builder'!$E$11)))</f>
        <v/>
      </c>
      <c r="F434">
        <f>IF('Entry Builder'!$N$12=0,1,IF('Entry Builder'!$D$12="Less",--(INDEX(Sims!$A434:$BO434,'Entry Builder'!$L$12)&lt;'Entry Builder'!$E$12),--(INDEX(Sims!$A434:$BO434,'Entry Builder'!$L$12)&gt;'Entry Builder'!$E$12)))</f>
        <v/>
      </c>
      <c r="G434">
        <f>6-SUM(A434:F434)</f>
        <v/>
      </c>
    </row>
    <row r="435">
      <c r="A435">
        <f>IF('Entry Builder'!$N$7=0,1,IF('Entry Builder'!$D$7="Less",--(INDEX(Sims!$A435:$BO435,'Entry Builder'!$L$7)&lt;'Entry Builder'!$E$7),--(INDEX(Sims!$A435:$BO435,'Entry Builder'!$L$7)&gt;'Entry Builder'!$E$7)))</f>
        <v/>
      </c>
      <c r="B435">
        <f>IF('Entry Builder'!$N$8=0,1,IF('Entry Builder'!$D$8="Less",--(INDEX(Sims!$A435:$BO435,'Entry Builder'!$L$8)&lt;'Entry Builder'!$E$8),--(INDEX(Sims!$A435:$BO435,'Entry Builder'!$L$8)&gt;'Entry Builder'!$E$8)))</f>
        <v/>
      </c>
      <c r="C435">
        <f>IF('Entry Builder'!$N$9=0,1,IF('Entry Builder'!$D$9="Less",--(INDEX(Sims!$A435:$BO435,'Entry Builder'!$L$9)&lt;'Entry Builder'!$E$9),--(INDEX(Sims!$A435:$BO435,'Entry Builder'!$L$9)&gt;'Entry Builder'!$E$9)))</f>
        <v/>
      </c>
      <c r="D435">
        <f>IF('Entry Builder'!$N$10=0,1,IF('Entry Builder'!$D$10="Less",--(INDEX(Sims!$A435:$BO435,'Entry Builder'!$L$10)&lt;'Entry Builder'!$E$10),--(INDEX(Sims!$A435:$BO435,'Entry Builder'!$L$10)&gt;'Entry Builder'!$E$10)))</f>
        <v/>
      </c>
      <c r="E435">
        <f>IF('Entry Builder'!$N$11=0,1,IF('Entry Builder'!$D$11="Less",--(INDEX(Sims!$A435:$BO435,'Entry Builder'!$L$11)&lt;'Entry Builder'!$E$11),--(INDEX(Sims!$A435:$BO435,'Entry Builder'!$L$11)&gt;'Entry Builder'!$E$11)))</f>
        <v/>
      </c>
      <c r="F435">
        <f>IF('Entry Builder'!$N$12=0,1,IF('Entry Builder'!$D$12="Less",--(INDEX(Sims!$A435:$BO435,'Entry Builder'!$L$12)&lt;'Entry Builder'!$E$12),--(INDEX(Sims!$A435:$BO435,'Entry Builder'!$L$12)&gt;'Entry Builder'!$E$12)))</f>
        <v/>
      </c>
      <c r="G435">
        <f>6-SUM(A435:F435)</f>
        <v/>
      </c>
    </row>
    <row r="436">
      <c r="A436">
        <f>IF('Entry Builder'!$N$7=0,1,IF('Entry Builder'!$D$7="Less",--(INDEX(Sims!$A436:$BO436,'Entry Builder'!$L$7)&lt;'Entry Builder'!$E$7),--(INDEX(Sims!$A436:$BO436,'Entry Builder'!$L$7)&gt;'Entry Builder'!$E$7)))</f>
        <v/>
      </c>
      <c r="B436">
        <f>IF('Entry Builder'!$N$8=0,1,IF('Entry Builder'!$D$8="Less",--(INDEX(Sims!$A436:$BO436,'Entry Builder'!$L$8)&lt;'Entry Builder'!$E$8),--(INDEX(Sims!$A436:$BO436,'Entry Builder'!$L$8)&gt;'Entry Builder'!$E$8)))</f>
        <v/>
      </c>
      <c r="C436">
        <f>IF('Entry Builder'!$N$9=0,1,IF('Entry Builder'!$D$9="Less",--(INDEX(Sims!$A436:$BO436,'Entry Builder'!$L$9)&lt;'Entry Builder'!$E$9),--(INDEX(Sims!$A436:$BO436,'Entry Builder'!$L$9)&gt;'Entry Builder'!$E$9)))</f>
        <v/>
      </c>
      <c r="D436">
        <f>IF('Entry Builder'!$N$10=0,1,IF('Entry Builder'!$D$10="Less",--(INDEX(Sims!$A436:$BO436,'Entry Builder'!$L$10)&lt;'Entry Builder'!$E$10),--(INDEX(Sims!$A436:$BO436,'Entry Builder'!$L$10)&gt;'Entry Builder'!$E$10)))</f>
        <v/>
      </c>
      <c r="E436">
        <f>IF('Entry Builder'!$N$11=0,1,IF('Entry Builder'!$D$11="Less",--(INDEX(Sims!$A436:$BO436,'Entry Builder'!$L$11)&lt;'Entry Builder'!$E$11),--(INDEX(Sims!$A436:$BO436,'Entry Builder'!$L$11)&gt;'Entry Builder'!$E$11)))</f>
        <v/>
      </c>
      <c r="F436">
        <f>IF('Entry Builder'!$N$12=0,1,IF('Entry Builder'!$D$12="Less",--(INDEX(Sims!$A436:$BO436,'Entry Builder'!$L$12)&lt;'Entry Builder'!$E$12),--(INDEX(Sims!$A436:$BO436,'Entry Builder'!$L$12)&gt;'Entry Builder'!$E$12)))</f>
        <v/>
      </c>
      <c r="G436">
        <f>6-SUM(A436:F436)</f>
        <v/>
      </c>
    </row>
    <row r="437">
      <c r="A437">
        <f>IF('Entry Builder'!$N$7=0,1,IF('Entry Builder'!$D$7="Less",--(INDEX(Sims!$A437:$BO437,'Entry Builder'!$L$7)&lt;'Entry Builder'!$E$7),--(INDEX(Sims!$A437:$BO437,'Entry Builder'!$L$7)&gt;'Entry Builder'!$E$7)))</f>
        <v/>
      </c>
      <c r="B437">
        <f>IF('Entry Builder'!$N$8=0,1,IF('Entry Builder'!$D$8="Less",--(INDEX(Sims!$A437:$BO437,'Entry Builder'!$L$8)&lt;'Entry Builder'!$E$8),--(INDEX(Sims!$A437:$BO437,'Entry Builder'!$L$8)&gt;'Entry Builder'!$E$8)))</f>
        <v/>
      </c>
      <c r="C437">
        <f>IF('Entry Builder'!$N$9=0,1,IF('Entry Builder'!$D$9="Less",--(INDEX(Sims!$A437:$BO437,'Entry Builder'!$L$9)&lt;'Entry Builder'!$E$9),--(INDEX(Sims!$A437:$BO437,'Entry Builder'!$L$9)&gt;'Entry Builder'!$E$9)))</f>
        <v/>
      </c>
      <c r="D437">
        <f>IF('Entry Builder'!$N$10=0,1,IF('Entry Builder'!$D$10="Less",--(INDEX(Sims!$A437:$BO437,'Entry Builder'!$L$10)&lt;'Entry Builder'!$E$10),--(INDEX(Sims!$A437:$BO437,'Entry Builder'!$L$10)&gt;'Entry Builder'!$E$10)))</f>
        <v/>
      </c>
      <c r="E437">
        <f>IF('Entry Builder'!$N$11=0,1,IF('Entry Builder'!$D$11="Less",--(INDEX(Sims!$A437:$BO437,'Entry Builder'!$L$11)&lt;'Entry Builder'!$E$11),--(INDEX(Sims!$A437:$BO437,'Entry Builder'!$L$11)&gt;'Entry Builder'!$E$11)))</f>
        <v/>
      </c>
      <c r="F437">
        <f>IF('Entry Builder'!$N$12=0,1,IF('Entry Builder'!$D$12="Less",--(INDEX(Sims!$A437:$BO437,'Entry Builder'!$L$12)&lt;'Entry Builder'!$E$12),--(INDEX(Sims!$A437:$BO437,'Entry Builder'!$L$12)&gt;'Entry Builder'!$E$12)))</f>
        <v/>
      </c>
      <c r="G437">
        <f>6-SUM(A437:F437)</f>
        <v/>
      </c>
    </row>
    <row r="438">
      <c r="A438">
        <f>IF('Entry Builder'!$N$7=0,1,IF('Entry Builder'!$D$7="Less",--(INDEX(Sims!$A438:$BO438,'Entry Builder'!$L$7)&lt;'Entry Builder'!$E$7),--(INDEX(Sims!$A438:$BO438,'Entry Builder'!$L$7)&gt;'Entry Builder'!$E$7)))</f>
        <v/>
      </c>
      <c r="B438">
        <f>IF('Entry Builder'!$N$8=0,1,IF('Entry Builder'!$D$8="Less",--(INDEX(Sims!$A438:$BO438,'Entry Builder'!$L$8)&lt;'Entry Builder'!$E$8),--(INDEX(Sims!$A438:$BO438,'Entry Builder'!$L$8)&gt;'Entry Builder'!$E$8)))</f>
        <v/>
      </c>
      <c r="C438">
        <f>IF('Entry Builder'!$N$9=0,1,IF('Entry Builder'!$D$9="Less",--(INDEX(Sims!$A438:$BO438,'Entry Builder'!$L$9)&lt;'Entry Builder'!$E$9),--(INDEX(Sims!$A438:$BO438,'Entry Builder'!$L$9)&gt;'Entry Builder'!$E$9)))</f>
        <v/>
      </c>
      <c r="D438">
        <f>IF('Entry Builder'!$N$10=0,1,IF('Entry Builder'!$D$10="Less",--(INDEX(Sims!$A438:$BO438,'Entry Builder'!$L$10)&lt;'Entry Builder'!$E$10),--(INDEX(Sims!$A438:$BO438,'Entry Builder'!$L$10)&gt;'Entry Builder'!$E$10)))</f>
        <v/>
      </c>
      <c r="E438">
        <f>IF('Entry Builder'!$N$11=0,1,IF('Entry Builder'!$D$11="Less",--(INDEX(Sims!$A438:$BO438,'Entry Builder'!$L$11)&lt;'Entry Builder'!$E$11),--(INDEX(Sims!$A438:$BO438,'Entry Builder'!$L$11)&gt;'Entry Builder'!$E$11)))</f>
        <v/>
      </c>
      <c r="F438">
        <f>IF('Entry Builder'!$N$12=0,1,IF('Entry Builder'!$D$12="Less",--(INDEX(Sims!$A438:$BO438,'Entry Builder'!$L$12)&lt;'Entry Builder'!$E$12),--(INDEX(Sims!$A438:$BO438,'Entry Builder'!$L$12)&gt;'Entry Builder'!$E$12)))</f>
        <v/>
      </c>
      <c r="G438">
        <f>6-SUM(A438:F438)</f>
        <v/>
      </c>
    </row>
    <row r="439">
      <c r="A439">
        <f>IF('Entry Builder'!$N$7=0,1,IF('Entry Builder'!$D$7="Less",--(INDEX(Sims!$A439:$BO439,'Entry Builder'!$L$7)&lt;'Entry Builder'!$E$7),--(INDEX(Sims!$A439:$BO439,'Entry Builder'!$L$7)&gt;'Entry Builder'!$E$7)))</f>
        <v/>
      </c>
      <c r="B439">
        <f>IF('Entry Builder'!$N$8=0,1,IF('Entry Builder'!$D$8="Less",--(INDEX(Sims!$A439:$BO439,'Entry Builder'!$L$8)&lt;'Entry Builder'!$E$8),--(INDEX(Sims!$A439:$BO439,'Entry Builder'!$L$8)&gt;'Entry Builder'!$E$8)))</f>
        <v/>
      </c>
      <c r="C439">
        <f>IF('Entry Builder'!$N$9=0,1,IF('Entry Builder'!$D$9="Less",--(INDEX(Sims!$A439:$BO439,'Entry Builder'!$L$9)&lt;'Entry Builder'!$E$9),--(INDEX(Sims!$A439:$BO439,'Entry Builder'!$L$9)&gt;'Entry Builder'!$E$9)))</f>
        <v/>
      </c>
      <c r="D439">
        <f>IF('Entry Builder'!$N$10=0,1,IF('Entry Builder'!$D$10="Less",--(INDEX(Sims!$A439:$BO439,'Entry Builder'!$L$10)&lt;'Entry Builder'!$E$10),--(INDEX(Sims!$A439:$BO439,'Entry Builder'!$L$10)&gt;'Entry Builder'!$E$10)))</f>
        <v/>
      </c>
      <c r="E439">
        <f>IF('Entry Builder'!$N$11=0,1,IF('Entry Builder'!$D$11="Less",--(INDEX(Sims!$A439:$BO439,'Entry Builder'!$L$11)&lt;'Entry Builder'!$E$11),--(INDEX(Sims!$A439:$BO439,'Entry Builder'!$L$11)&gt;'Entry Builder'!$E$11)))</f>
        <v/>
      </c>
      <c r="F439">
        <f>IF('Entry Builder'!$N$12=0,1,IF('Entry Builder'!$D$12="Less",--(INDEX(Sims!$A439:$BO439,'Entry Builder'!$L$12)&lt;'Entry Builder'!$E$12),--(INDEX(Sims!$A439:$BO439,'Entry Builder'!$L$12)&gt;'Entry Builder'!$E$12)))</f>
        <v/>
      </c>
      <c r="G439">
        <f>6-SUM(A439:F439)</f>
        <v/>
      </c>
    </row>
    <row r="440">
      <c r="A440">
        <f>IF('Entry Builder'!$N$7=0,1,IF('Entry Builder'!$D$7="Less",--(INDEX(Sims!$A440:$BO440,'Entry Builder'!$L$7)&lt;'Entry Builder'!$E$7),--(INDEX(Sims!$A440:$BO440,'Entry Builder'!$L$7)&gt;'Entry Builder'!$E$7)))</f>
        <v/>
      </c>
      <c r="B440">
        <f>IF('Entry Builder'!$N$8=0,1,IF('Entry Builder'!$D$8="Less",--(INDEX(Sims!$A440:$BO440,'Entry Builder'!$L$8)&lt;'Entry Builder'!$E$8),--(INDEX(Sims!$A440:$BO440,'Entry Builder'!$L$8)&gt;'Entry Builder'!$E$8)))</f>
        <v/>
      </c>
      <c r="C440">
        <f>IF('Entry Builder'!$N$9=0,1,IF('Entry Builder'!$D$9="Less",--(INDEX(Sims!$A440:$BO440,'Entry Builder'!$L$9)&lt;'Entry Builder'!$E$9),--(INDEX(Sims!$A440:$BO440,'Entry Builder'!$L$9)&gt;'Entry Builder'!$E$9)))</f>
        <v/>
      </c>
      <c r="D440">
        <f>IF('Entry Builder'!$N$10=0,1,IF('Entry Builder'!$D$10="Less",--(INDEX(Sims!$A440:$BO440,'Entry Builder'!$L$10)&lt;'Entry Builder'!$E$10),--(INDEX(Sims!$A440:$BO440,'Entry Builder'!$L$10)&gt;'Entry Builder'!$E$10)))</f>
        <v/>
      </c>
      <c r="E440">
        <f>IF('Entry Builder'!$N$11=0,1,IF('Entry Builder'!$D$11="Less",--(INDEX(Sims!$A440:$BO440,'Entry Builder'!$L$11)&lt;'Entry Builder'!$E$11),--(INDEX(Sims!$A440:$BO440,'Entry Builder'!$L$11)&gt;'Entry Builder'!$E$11)))</f>
        <v/>
      </c>
      <c r="F440">
        <f>IF('Entry Builder'!$N$12=0,1,IF('Entry Builder'!$D$12="Less",--(INDEX(Sims!$A440:$BO440,'Entry Builder'!$L$12)&lt;'Entry Builder'!$E$12),--(INDEX(Sims!$A440:$BO440,'Entry Builder'!$L$12)&gt;'Entry Builder'!$E$12)))</f>
        <v/>
      </c>
      <c r="G440">
        <f>6-SUM(A440:F440)</f>
        <v/>
      </c>
    </row>
    <row r="441">
      <c r="A441">
        <f>IF('Entry Builder'!$N$7=0,1,IF('Entry Builder'!$D$7="Less",--(INDEX(Sims!$A441:$BO441,'Entry Builder'!$L$7)&lt;'Entry Builder'!$E$7),--(INDEX(Sims!$A441:$BO441,'Entry Builder'!$L$7)&gt;'Entry Builder'!$E$7)))</f>
        <v/>
      </c>
      <c r="B441">
        <f>IF('Entry Builder'!$N$8=0,1,IF('Entry Builder'!$D$8="Less",--(INDEX(Sims!$A441:$BO441,'Entry Builder'!$L$8)&lt;'Entry Builder'!$E$8),--(INDEX(Sims!$A441:$BO441,'Entry Builder'!$L$8)&gt;'Entry Builder'!$E$8)))</f>
        <v/>
      </c>
      <c r="C441">
        <f>IF('Entry Builder'!$N$9=0,1,IF('Entry Builder'!$D$9="Less",--(INDEX(Sims!$A441:$BO441,'Entry Builder'!$L$9)&lt;'Entry Builder'!$E$9),--(INDEX(Sims!$A441:$BO441,'Entry Builder'!$L$9)&gt;'Entry Builder'!$E$9)))</f>
        <v/>
      </c>
      <c r="D441">
        <f>IF('Entry Builder'!$N$10=0,1,IF('Entry Builder'!$D$10="Less",--(INDEX(Sims!$A441:$BO441,'Entry Builder'!$L$10)&lt;'Entry Builder'!$E$10),--(INDEX(Sims!$A441:$BO441,'Entry Builder'!$L$10)&gt;'Entry Builder'!$E$10)))</f>
        <v/>
      </c>
      <c r="E441">
        <f>IF('Entry Builder'!$N$11=0,1,IF('Entry Builder'!$D$11="Less",--(INDEX(Sims!$A441:$BO441,'Entry Builder'!$L$11)&lt;'Entry Builder'!$E$11),--(INDEX(Sims!$A441:$BO441,'Entry Builder'!$L$11)&gt;'Entry Builder'!$E$11)))</f>
        <v/>
      </c>
      <c r="F441">
        <f>IF('Entry Builder'!$N$12=0,1,IF('Entry Builder'!$D$12="Less",--(INDEX(Sims!$A441:$BO441,'Entry Builder'!$L$12)&lt;'Entry Builder'!$E$12),--(INDEX(Sims!$A441:$BO441,'Entry Builder'!$L$12)&gt;'Entry Builder'!$E$12)))</f>
        <v/>
      </c>
      <c r="G441">
        <f>6-SUM(A441:F441)</f>
        <v/>
      </c>
    </row>
    <row r="442">
      <c r="A442">
        <f>IF('Entry Builder'!$N$7=0,1,IF('Entry Builder'!$D$7="Less",--(INDEX(Sims!$A442:$BO442,'Entry Builder'!$L$7)&lt;'Entry Builder'!$E$7),--(INDEX(Sims!$A442:$BO442,'Entry Builder'!$L$7)&gt;'Entry Builder'!$E$7)))</f>
        <v/>
      </c>
      <c r="B442">
        <f>IF('Entry Builder'!$N$8=0,1,IF('Entry Builder'!$D$8="Less",--(INDEX(Sims!$A442:$BO442,'Entry Builder'!$L$8)&lt;'Entry Builder'!$E$8),--(INDEX(Sims!$A442:$BO442,'Entry Builder'!$L$8)&gt;'Entry Builder'!$E$8)))</f>
        <v/>
      </c>
      <c r="C442">
        <f>IF('Entry Builder'!$N$9=0,1,IF('Entry Builder'!$D$9="Less",--(INDEX(Sims!$A442:$BO442,'Entry Builder'!$L$9)&lt;'Entry Builder'!$E$9),--(INDEX(Sims!$A442:$BO442,'Entry Builder'!$L$9)&gt;'Entry Builder'!$E$9)))</f>
        <v/>
      </c>
      <c r="D442">
        <f>IF('Entry Builder'!$N$10=0,1,IF('Entry Builder'!$D$10="Less",--(INDEX(Sims!$A442:$BO442,'Entry Builder'!$L$10)&lt;'Entry Builder'!$E$10),--(INDEX(Sims!$A442:$BO442,'Entry Builder'!$L$10)&gt;'Entry Builder'!$E$10)))</f>
        <v/>
      </c>
      <c r="E442">
        <f>IF('Entry Builder'!$N$11=0,1,IF('Entry Builder'!$D$11="Less",--(INDEX(Sims!$A442:$BO442,'Entry Builder'!$L$11)&lt;'Entry Builder'!$E$11),--(INDEX(Sims!$A442:$BO442,'Entry Builder'!$L$11)&gt;'Entry Builder'!$E$11)))</f>
        <v/>
      </c>
      <c r="F442">
        <f>IF('Entry Builder'!$N$12=0,1,IF('Entry Builder'!$D$12="Less",--(INDEX(Sims!$A442:$BO442,'Entry Builder'!$L$12)&lt;'Entry Builder'!$E$12),--(INDEX(Sims!$A442:$BO442,'Entry Builder'!$L$12)&gt;'Entry Builder'!$E$12)))</f>
        <v/>
      </c>
      <c r="G442">
        <f>6-SUM(A442:F442)</f>
        <v/>
      </c>
    </row>
    <row r="443">
      <c r="A443">
        <f>IF('Entry Builder'!$N$7=0,1,IF('Entry Builder'!$D$7="Less",--(INDEX(Sims!$A443:$BO443,'Entry Builder'!$L$7)&lt;'Entry Builder'!$E$7),--(INDEX(Sims!$A443:$BO443,'Entry Builder'!$L$7)&gt;'Entry Builder'!$E$7)))</f>
        <v/>
      </c>
      <c r="B443">
        <f>IF('Entry Builder'!$N$8=0,1,IF('Entry Builder'!$D$8="Less",--(INDEX(Sims!$A443:$BO443,'Entry Builder'!$L$8)&lt;'Entry Builder'!$E$8),--(INDEX(Sims!$A443:$BO443,'Entry Builder'!$L$8)&gt;'Entry Builder'!$E$8)))</f>
        <v/>
      </c>
      <c r="C443">
        <f>IF('Entry Builder'!$N$9=0,1,IF('Entry Builder'!$D$9="Less",--(INDEX(Sims!$A443:$BO443,'Entry Builder'!$L$9)&lt;'Entry Builder'!$E$9),--(INDEX(Sims!$A443:$BO443,'Entry Builder'!$L$9)&gt;'Entry Builder'!$E$9)))</f>
        <v/>
      </c>
      <c r="D443">
        <f>IF('Entry Builder'!$N$10=0,1,IF('Entry Builder'!$D$10="Less",--(INDEX(Sims!$A443:$BO443,'Entry Builder'!$L$10)&lt;'Entry Builder'!$E$10),--(INDEX(Sims!$A443:$BO443,'Entry Builder'!$L$10)&gt;'Entry Builder'!$E$10)))</f>
        <v/>
      </c>
      <c r="E443">
        <f>IF('Entry Builder'!$N$11=0,1,IF('Entry Builder'!$D$11="Less",--(INDEX(Sims!$A443:$BO443,'Entry Builder'!$L$11)&lt;'Entry Builder'!$E$11),--(INDEX(Sims!$A443:$BO443,'Entry Builder'!$L$11)&gt;'Entry Builder'!$E$11)))</f>
        <v/>
      </c>
      <c r="F443">
        <f>IF('Entry Builder'!$N$12=0,1,IF('Entry Builder'!$D$12="Less",--(INDEX(Sims!$A443:$BO443,'Entry Builder'!$L$12)&lt;'Entry Builder'!$E$12),--(INDEX(Sims!$A443:$BO443,'Entry Builder'!$L$12)&gt;'Entry Builder'!$E$12)))</f>
        <v/>
      </c>
      <c r="G443">
        <f>6-SUM(A443:F443)</f>
        <v/>
      </c>
    </row>
    <row r="444">
      <c r="A444">
        <f>IF('Entry Builder'!$N$7=0,1,IF('Entry Builder'!$D$7="Less",--(INDEX(Sims!$A444:$BO444,'Entry Builder'!$L$7)&lt;'Entry Builder'!$E$7),--(INDEX(Sims!$A444:$BO444,'Entry Builder'!$L$7)&gt;'Entry Builder'!$E$7)))</f>
        <v/>
      </c>
      <c r="B444">
        <f>IF('Entry Builder'!$N$8=0,1,IF('Entry Builder'!$D$8="Less",--(INDEX(Sims!$A444:$BO444,'Entry Builder'!$L$8)&lt;'Entry Builder'!$E$8),--(INDEX(Sims!$A444:$BO444,'Entry Builder'!$L$8)&gt;'Entry Builder'!$E$8)))</f>
        <v/>
      </c>
      <c r="C444">
        <f>IF('Entry Builder'!$N$9=0,1,IF('Entry Builder'!$D$9="Less",--(INDEX(Sims!$A444:$BO444,'Entry Builder'!$L$9)&lt;'Entry Builder'!$E$9),--(INDEX(Sims!$A444:$BO444,'Entry Builder'!$L$9)&gt;'Entry Builder'!$E$9)))</f>
        <v/>
      </c>
      <c r="D444">
        <f>IF('Entry Builder'!$N$10=0,1,IF('Entry Builder'!$D$10="Less",--(INDEX(Sims!$A444:$BO444,'Entry Builder'!$L$10)&lt;'Entry Builder'!$E$10),--(INDEX(Sims!$A444:$BO444,'Entry Builder'!$L$10)&gt;'Entry Builder'!$E$10)))</f>
        <v/>
      </c>
      <c r="E444">
        <f>IF('Entry Builder'!$N$11=0,1,IF('Entry Builder'!$D$11="Less",--(INDEX(Sims!$A444:$BO444,'Entry Builder'!$L$11)&lt;'Entry Builder'!$E$11),--(INDEX(Sims!$A444:$BO444,'Entry Builder'!$L$11)&gt;'Entry Builder'!$E$11)))</f>
        <v/>
      </c>
      <c r="F444">
        <f>IF('Entry Builder'!$N$12=0,1,IF('Entry Builder'!$D$12="Less",--(INDEX(Sims!$A444:$BO444,'Entry Builder'!$L$12)&lt;'Entry Builder'!$E$12),--(INDEX(Sims!$A444:$BO444,'Entry Builder'!$L$12)&gt;'Entry Builder'!$E$12)))</f>
        <v/>
      </c>
      <c r="G444">
        <f>6-SUM(A444:F444)</f>
        <v/>
      </c>
    </row>
    <row r="445">
      <c r="A445">
        <f>IF('Entry Builder'!$N$7=0,1,IF('Entry Builder'!$D$7="Less",--(INDEX(Sims!$A445:$BO445,'Entry Builder'!$L$7)&lt;'Entry Builder'!$E$7),--(INDEX(Sims!$A445:$BO445,'Entry Builder'!$L$7)&gt;'Entry Builder'!$E$7)))</f>
        <v/>
      </c>
      <c r="B445">
        <f>IF('Entry Builder'!$N$8=0,1,IF('Entry Builder'!$D$8="Less",--(INDEX(Sims!$A445:$BO445,'Entry Builder'!$L$8)&lt;'Entry Builder'!$E$8),--(INDEX(Sims!$A445:$BO445,'Entry Builder'!$L$8)&gt;'Entry Builder'!$E$8)))</f>
        <v/>
      </c>
      <c r="C445">
        <f>IF('Entry Builder'!$N$9=0,1,IF('Entry Builder'!$D$9="Less",--(INDEX(Sims!$A445:$BO445,'Entry Builder'!$L$9)&lt;'Entry Builder'!$E$9),--(INDEX(Sims!$A445:$BO445,'Entry Builder'!$L$9)&gt;'Entry Builder'!$E$9)))</f>
        <v/>
      </c>
      <c r="D445">
        <f>IF('Entry Builder'!$N$10=0,1,IF('Entry Builder'!$D$10="Less",--(INDEX(Sims!$A445:$BO445,'Entry Builder'!$L$10)&lt;'Entry Builder'!$E$10),--(INDEX(Sims!$A445:$BO445,'Entry Builder'!$L$10)&gt;'Entry Builder'!$E$10)))</f>
        <v/>
      </c>
      <c r="E445">
        <f>IF('Entry Builder'!$N$11=0,1,IF('Entry Builder'!$D$11="Less",--(INDEX(Sims!$A445:$BO445,'Entry Builder'!$L$11)&lt;'Entry Builder'!$E$11),--(INDEX(Sims!$A445:$BO445,'Entry Builder'!$L$11)&gt;'Entry Builder'!$E$11)))</f>
        <v/>
      </c>
      <c r="F445">
        <f>IF('Entry Builder'!$N$12=0,1,IF('Entry Builder'!$D$12="Less",--(INDEX(Sims!$A445:$BO445,'Entry Builder'!$L$12)&lt;'Entry Builder'!$E$12),--(INDEX(Sims!$A445:$BO445,'Entry Builder'!$L$12)&gt;'Entry Builder'!$E$12)))</f>
        <v/>
      </c>
      <c r="G445">
        <f>6-SUM(A445:F445)</f>
        <v/>
      </c>
    </row>
    <row r="446">
      <c r="A446">
        <f>IF('Entry Builder'!$N$7=0,1,IF('Entry Builder'!$D$7="Less",--(INDEX(Sims!$A446:$BO446,'Entry Builder'!$L$7)&lt;'Entry Builder'!$E$7),--(INDEX(Sims!$A446:$BO446,'Entry Builder'!$L$7)&gt;'Entry Builder'!$E$7)))</f>
        <v/>
      </c>
      <c r="B446">
        <f>IF('Entry Builder'!$N$8=0,1,IF('Entry Builder'!$D$8="Less",--(INDEX(Sims!$A446:$BO446,'Entry Builder'!$L$8)&lt;'Entry Builder'!$E$8),--(INDEX(Sims!$A446:$BO446,'Entry Builder'!$L$8)&gt;'Entry Builder'!$E$8)))</f>
        <v/>
      </c>
      <c r="C446">
        <f>IF('Entry Builder'!$N$9=0,1,IF('Entry Builder'!$D$9="Less",--(INDEX(Sims!$A446:$BO446,'Entry Builder'!$L$9)&lt;'Entry Builder'!$E$9),--(INDEX(Sims!$A446:$BO446,'Entry Builder'!$L$9)&gt;'Entry Builder'!$E$9)))</f>
        <v/>
      </c>
      <c r="D446">
        <f>IF('Entry Builder'!$N$10=0,1,IF('Entry Builder'!$D$10="Less",--(INDEX(Sims!$A446:$BO446,'Entry Builder'!$L$10)&lt;'Entry Builder'!$E$10),--(INDEX(Sims!$A446:$BO446,'Entry Builder'!$L$10)&gt;'Entry Builder'!$E$10)))</f>
        <v/>
      </c>
      <c r="E446">
        <f>IF('Entry Builder'!$N$11=0,1,IF('Entry Builder'!$D$11="Less",--(INDEX(Sims!$A446:$BO446,'Entry Builder'!$L$11)&lt;'Entry Builder'!$E$11),--(INDEX(Sims!$A446:$BO446,'Entry Builder'!$L$11)&gt;'Entry Builder'!$E$11)))</f>
        <v/>
      </c>
      <c r="F446">
        <f>IF('Entry Builder'!$N$12=0,1,IF('Entry Builder'!$D$12="Less",--(INDEX(Sims!$A446:$BO446,'Entry Builder'!$L$12)&lt;'Entry Builder'!$E$12),--(INDEX(Sims!$A446:$BO446,'Entry Builder'!$L$12)&gt;'Entry Builder'!$E$12)))</f>
        <v/>
      </c>
      <c r="G446">
        <f>6-SUM(A446:F446)</f>
        <v/>
      </c>
    </row>
    <row r="447">
      <c r="A447">
        <f>IF('Entry Builder'!$N$7=0,1,IF('Entry Builder'!$D$7="Less",--(INDEX(Sims!$A447:$BO447,'Entry Builder'!$L$7)&lt;'Entry Builder'!$E$7),--(INDEX(Sims!$A447:$BO447,'Entry Builder'!$L$7)&gt;'Entry Builder'!$E$7)))</f>
        <v/>
      </c>
      <c r="B447">
        <f>IF('Entry Builder'!$N$8=0,1,IF('Entry Builder'!$D$8="Less",--(INDEX(Sims!$A447:$BO447,'Entry Builder'!$L$8)&lt;'Entry Builder'!$E$8),--(INDEX(Sims!$A447:$BO447,'Entry Builder'!$L$8)&gt;'Entry Builder'!$E$8)))</f>
        <v/>
      </c>
      <c r="C447">
        <f>IF('Entry Builder'!$N$9=0,1,IF('Entry Builder'!$D$9="Less",--(INDEX(Sims!$A447:$BO447,'Entry Builder'!$L$9)&lt;'Entry Builder'!$E$9),--(INDEX(Sims!$A447:$BO447,'Entry Builder'!$L$9)&gt;'Entry Builder'!$E$9)))</f>
        <v/>
      </c>
      <c r="D447">
        <f>IF('Entry Builder'!$N$10=0,1,IF('Entry Builder'!$D$10="Less",--(INDEX(Sims!$A447:$BO447,'Entry Builder'!$L$10)&lt;'Entry Builder'!$E$10),--(INDEX(Sims!$A447:$BO447,'Entry Builder'!$L$10)&gt;'Entry Builder'!$E$10)))</f>
        <v/>
      </c>
      <c r="E447">
        <f>IF('Entry Builder'!$N$11=0,1,IF('Entry Builder'!$D$11="Less",--(INDEX(Sims!$A447:$BO447,'Entry Builder'!$L$11)&lt;'Entry Builder'!$E$11),--(INDEX(Sims!$A447:$BO447,'Entry Builder'!$L$11)&gt;'Entry Builder'!$E$11)))</f>
        <v/>
      </c>
      <c r="F447">
        <f>IF('Entry Builder'!$N$12=0,1,IF('Entry Builder'!$D$12="Less",--(INDEX(Sims!$A447:$BO447,'Entry Builder'!$L$12)&lt;'Entry Builder'!$E$12),--(INDEX(Sims!$A447:$BO447,'Entry Builder'!$L$12)&gt;'Entry Builder'!$E$12)))</f>
        <v/>
      </c>
      <c r="G447">
        <f>6-SUM(A447:F447)</f>
        <v/>
      </c>
    </row>
    <row r="448">
      <c r="A448">
        <f>IF('Entry Builder'!$N$7=0,1,IF('Entry Builder'!$D$7="Less",--(INDEX(Sims!$A448:$BO448,'Entry Builder'!$L$7)&lt;'Entry Builder'!$E$7),--(INDEX(Sims!$A448:$BO448,'Entry Builder'!$L$7)&gt;'Entry Builder'!$E$7)))</f>
        <v/>
      </c>
      <c r="B448">
        <f>IF('Entry Builder'!$N$8=0,1,IF('Entry Builder'!$D$8="Less",--(INDEX(Sims!$A448:$BO448,'Entry Builder'!$L$8)&lt;'Entry Builder'!$E$8),--(INDEX(Sims!$A448:$BO448,'Entry Builder'!$L$8)&gt;'Entry Builder'!$E$8)))</f>
        <v/>
      </c>
      <c r="C448">
        <f>IF('Entry Builder'!$N$9=0,1,IF('Entry Builder'!$D$9="Less",--(INDEX(Sims!$A448:$BO448,'Entry Builder'!$L$9)&lt;'Entry Builder'!$E$9),--(INDEX(Sims!$A448:$BO448,'Entry Builder'!$L$9)&gt;'Entry Builder'!$E$9)))</f>
        <v/>
      </c>
      <c r="D448">
        <f>IF('Entry Builder'!$N$10=0,1,IF('Entry Builder'!$D$10="Less",--(INDEX(Sims!$A448:$BO448,'Entry Builder'!$L$10)&lt;'Entry Builder'!$E$10),--(INDEX(Sims!$A448:$BO448,'Entry Builder'!$L$10)&gt;'Entry Builder'!$E$10)))</f>
        <v/>
      </c>
      <c r="E448">
        <f>IF('Entry Builder'!$N$11=0,1,IF('Entry Builder'!$D$11="Less",--(INDEX(Sims!$A448:$BO448,'Entry Builder'!$L$11)&lt;'Entry Builder'!$E$11),--(INDEX(Sims!$A448:$BO448,'Entry Builder'!$L$11)&gt;'Entry Builder'!$E$11)))</f>
        <v/>
      </c>
      <c r="F448">
        <f>IF('Entry Builder'!$N$12=0,1,IF('Entry Builder'!$D$12="Less",--(INDEX(Sims!$A448:$BO448,'Entry Builder'!$L$12)&lt;'Entry Builder'!$E$12),--(INDEX(Sims!$A448:$BO448,'Entry Builder'!$L$12)&gt;'Entry Builder'!$E$12)))</f>
        <v/>
      </c>
      <c r="G448">
        <f>6-SUM(A448:F448)</f>
        <v/>
      </c>
    </row>
    <row r="449">
      <c r="A449">
        <f>IF('Entry Builder'!$N$7=0,1,IF('Entry Builder'!$D$7="Less",--(INDEX(Sims!$A449:$BO449,'Entry Builder'!$L$7)&lt;'Entry Builder'!$E$7),--(INDEX(Sims!$A449:$BO449,'Entry Builder'!$L$7)&gt;'Entry Builder'!$E$7)))</f>
        <v/>
      </c>
      <c r="B449">
        <f>IF('Entry Builder'!$N$8=0,1,IF('Entry Builder'!$D$8="Less",--(INDEX(Sims!$A449:$BO449,'Entry Builder'!$L$8)&lt;'Entry Builder'!$E$8),--(INDEX(Sims!$A449:$BO449,'Entry Builder'!$L$8)&gt;'Entry Builder'!$E$8)))</f>
        <v/>
      </c>
      <c r="C449">
        <f>IF('Entry Builder'!$N$9=0,1,IF('Entry Builder'!$D$9="Less",--(INDEX(Sims!$A449:$BO449,'Entry Builder'!$L$9)&lt;'Entry Builder'!$E$9),--(INDEX(Sims!$A449:$BO449,'Entry Builder'!$L$9)&gt;'Entry Builder'!$E$9)))</f>
        <v/>
      </c>
      <c r="D449">
        <f>IF('Entry Builder'!$N$10=0,1,IF('Entry Builder'!$D$10="Less",--(INDEX(Sims!$A449:$BO449,'Entry Builder'!$L$10)&lt;'Entry Builder'!$E$10),--(INDEX(Sims!$A449:$BO449,'Entry Builder'!$L$10)&gt;'Entry Builder'!$E$10)))</f>
        <v/>
      </c>
      <c r="E449">
        <f>IF('Entry Builder'!$N$11=0,1,IF('Entry Builder'!$D$11="Less",--(INDEX(Sims!$A449:$BO449,'Entry Builder'!$L$11)&lt;'Entry Builder'!$E$11),--(INDEX(Sims!$A449:$BO449,'Entry Builder'!$L$11)&gt;'Entry Builder'!$E$11)))</f>
        <v/>
      </c>
      <c r="F449">
        <f>IF('Entry Builder'!$N$12=0,1,IF('Entry Builder'!$D$12="Less",--(INDEX(Sims!$A449:$BO449,'Entry Builder'!$L$12)&lt;'Entry Builder'!$E$12),--(INDEX(Sims!$A449:$BO449,'Entry Builder'!$L$12)&gt;'Entry Builder'!$E$12)))</f>
        <v/>
      </c>
      <c r="G449">
        <f>6-SUM(A449:F449)</f>
        <v/>
      </c>
    </row>
    <row r="450">
      <c r="A450">
        <f>IF('Entry Builder'!$N$7=0,1,IF('Entry Builder'!$D$7="Less",--(INDEX(Sims!$A450:$BO450,'Entry Builder'!$L$7)&lt;'Entry Builder'!$E$7),--(INDEX(Sims!$A450:$BO450,'Entry Builder'!$L$7)&gt;'Entry Builder'!$E$7)))</f>
        <v/>
      </c>
      <c r="B450">
        <f>IF('Entry Builder'!$N$8=0,1,IF('Entry Builder'!$D$8="Less",--(INDEX(Sims!$A450:$BO450,'Entry Builder'!$L$8)&lt;'Entry Builder'!$E$8),--(INDEX(Sims!$A450:$BO450,'Entry Builder'!$L$8)&gt;'Entry Builder'!$E$8)))</f>
        <v/>
      </c>
      <c r="C450">
        <f>IF('Entry Builder'!$N$9=0,1,IF('Entry Builder'!$D$9="Less",--(INDEX(Sims!$A450:$BO450,'Entry Builder'!$L$9)&lt;'Entry Builder'!$E$9),--(INDEX(Sims!$A450:$BO450,'Entry Builder'!$L$9)&gt;'Entry Builder'!$E$9)))</f>
        <v/>
      </c>
      <c r="D450">
        <f>IF('Entry Builder'!$N$10=0,1,IF('Entry Builder'!$D$10="Less",--(INDEX(Sims!$A450:$BO450,'Entry Builder'!$L$10)&lt;'Entry Builder'!$E$10),--(INDEX(Sims!$A450:$BO450,'Entry Builder'!$L$10)&gt;'Entry Builder'!$E$10)))</f>
        <v/>
      </c>
      <c r="E450">
        <f>IF('Entry Builder'!$N$11=0,1,IF('Entry Builder'!$D$11="Less",--(INDEX(Sims!$A450:$BO450,'Entry Builder'!$L$11)&lt;'Entry Builder'!$E$11),--(INDEX(Sims!$A450:$BO450,'Entry Builder'!$L$11)&gt;'Entry Builder'!$E$11)))</f>
        <v/>
      </c>
      <c r="F450">
        <f>IF('Entry Builder'!$N$12=0,1,IF('Entry Builder'!$D$12="Less",--(INDEX(Sims!$A450:$BO450,'Entry Builder'!$L$12)&lt;'Entry Builder'!$E$12),--(INDEX(Sims!$A450:$BO450,'Entry Builder'!$L$12)&gt;'Entry Builder'!$E$12)))</f>
        <v/>
      </c>
      <c r="G450">
        <f>6-SUM(A450:F450)</f>
        <v/>
      </c>
    </row>
    <row r="451">
      <c r="A451">
        <f>IF('Entry Builder'!$N$7=0,1,IF('Entry Builder'!$D$7="Less",--(INDEX(Sims!$A451:$BO451,'Entry Builder'!$L$7)&lt;'Entry Builder'!$E$7),--(INDEX(Sims!$A451:$BO451,'Entry Builder'!$L$7)&gt;'Entry Builder'!$E$7)))</f>
        <v/>
      </c>
      <c r="B451">
        <f>IF('Entry Builder'!$N$8=0,1,IF('Entry Builder'!$D$8="Less",--(INDEX(Sims!$A451:$BO451,'Entry Builder'!$L$8)&lt;'Entry Builder'!$E$8),--(INDEX(Sims!$A451:$BO451,'Entry Builder'!$L$8)&gt;'Entry Builder'!$E$8)))</f>
        <v/>
      </c>
      <c r="C451">
        <f>IF('Entry Builder'!$N$9=0,1,IF('Entry Builder'!$D$9="Less",--(INDEX(Sims!$A451:$BO451,'Entry Builder'!$L$9)&lt;'Entry Builder'!$E$9),--(INDEX(Sims!$A451:$BO451,'Entry Builder'!$L$9)&gt;'Entry Builder'!$E$9)))</f>
        <v/>
      </c>
      <c r="D451">
        <f>IF('Entry Builder'!$N$10=0,1,IF('Entry Builder'!$D$10="Less",--(INDEX(Sims!$A451:$BO451,'Entry Builder'!$L$10)&lt;'Entry Builder'!$E$10),--(INDEX(Sims!$A451:$BO451,'Entry Builder'!$L$10)&gt;'Entry Builder'!$E$10)))</f>
        <v/>
      </c>
      <c r="E451">
        <f>IF('Entry Builder'!$N$11=0,1,IF('Entry Builder'!$D$11="Less",--(INDEX(Sims!$A451:$BO451,'Entry Builder'!$L$11)&lt;'Entry Builder'!$E$11),--(INDEX(Sims!$A451:$BO451,'Entry Builder'!$L$11)&gt;'Entry Builder'!$E$11)))</f>
        <v/>
      </c>
      <c r="F451">
        <f>IF('Entry Builder'!$N$12=0,1,IF('Entry Builder'!$D$12="Less",--(INDEX(Sims!$A451:$BO451,'Entry Builder'!$L$12)&lt;'Entry Builder'!$E$12),--(INDEX(Sims!$A451:$BO451,'Entry Builder'!$L$12)&gt;'Entry Builder'!$E$12)))</f>
        <v/>
      </c>
      <c r="G451">
        <f>6-SUM(A451:F451)</f>
        <v/>
      </c>
    </row>
    <row r="452">
      <c r="A452">
        <f>IF('Entry Builder'!$N$7=0,1,IF('Entry Builder'!$D$7="Less",--(INDEX(Sims!$A452:$BO452,'Entry Builder'!$L$7)&lt;'Entry Builder'!$E$7),--(INDEX(Sims!$A452:$BO452,'Entry Builder'!$L$7)&gt;'Entry Builder'!$E$7)))</f>
        <v/>
      </c>
      <c r="B452">
        <f>IF('Entry Builder'!$N$8=0,1,IF('Entry Builder'!$D$8="Less",--(INDEX(Sims!$A452:$BO452,'Entry Builder'!$L$8)&lt;'Entry Builder'!$E$8),--(INDEX(Sims!$A452:$BO452,'Entry Builder'!$L$8)&gt;'Entry Builder'!$E$8)))</f>
        <v/>
      </c>
      <c r="C452">
        <f>IF('Entry Builder'!$N$9=0,1,IF('Entry Builder'!$D$9="Less",--(INDEX(Sims!$A452:$BO452,'Entry Builder'!$L$9)&lt;'Entry Builder'!$E$9),--(INDEX(Sims!$A452:$BO452,'Entry Builder'!$L$9)&gt;'Entry Builder'!$E$9)))</f>
        <v/>
      </c>
      <c r="D452">
        <f>IF('Entry Builder'!$N$10=0,1,IF('Entry Builder'!$D$10="Less",--(INDEX(Sims!$A452:$BO452,'Entry Builder'!$L$10)&lt;'Entry Builder'!$E$10),--(INDEX(Sims!$A452:$BO452,'Entry Builder'!$L$10)&gt;'Entry Builder'!$E$10)))</f>
        <v/>
      </c>
      <c r="E452">
        <f>IF('Entry Builder'!$N$11=0,1,IF('Entry Builder'!$D$11="Less",--(INDEX(Sims!$A452:$BO452,'Entry Builder'!$L$11)&lt;'Entry Builder'!$E$11),--(INDEX(Sims!$A452:$BO452,'Entry Builder'!$L$11)&gt;'Entry Builder'!$E$11)))</f>
        <v/>
      </c>
      <c r="F452">
        <f>IF('Entry Builder'!$N$12=0,1,IF('Entry Builder'!$D$12="Less",--(INDEX(Sims!$A452:$BO452,'Entry Builder'!$L$12)&lt;'Entry Builder'!$E$12),--(INDEX(Sims!$A452:$BO452,'Entry Builder'!$L$12)&gt;'Entry Builder'!$E$12)))</f>
        <v/>
      </c>
      <c r="G452">
        <f>6-SUM(A452:F452)</f>
        <v/>
      </c>
    </row>
    <row r="453">
      <c r="A453">
        <f>IF('Entry Builder'!$N$7=0,1,IF('Entry Builder'!$D$7="Less",--(INDEX(Sims!$A453:$BO453,'Entry Builder'!$L$7)&lt;'Entry Builder'!$E$7),--(INDEX(Sims!$A453:$BO453,'Entry Builder'!$L$7)&gt;'Entry Builder'!$E$7)))</f>
        <v/>
      </c>
      <c r="B453">
        <f>IF('Entry Builder'!$N$8=0,1,IF('Entry Builder'!$D$8="Less",--(INDEX(Sims!$A453:$BO453,'Entry Builder'!$L$8)&lt;'Entry Builder'!$E$8),--(INDEX(Sims!$A453:$BO453,'Entry Builder'!$L$8)&gt;'Entry Builder'!$E$8)))</f>
        <v/>
      </c>
      <c r="C453">
        <f>IF('Entry Builder'!$N$9=0,1,IF('Entry Builder'!$D$9="Less",--(INDEX(Sims!$A453:$BO453,'Entry Builder'!$L$9)&lt;'Entry Builder'!$E$9),--(INDEX(Sims!$A453:$BO453,'Entry Builder'!$L$9)&gt;'Entry Builder'!$E$9)))</f>
        <v/>
      </c>
      <c r="D453">
        <f>IF('Entry Builder'!$N$10=0,1,IF('Entry Builder'!$D$10="Less",--(INDEX(Sims!$A453:$BO453,'Entry Builder'!$L$10)&lt;'Entry Builder'!$E$10),--(INDEX(Sims!$A453:$BO453,'Entry Builder'!$L$10)&gt;'Entry Builder'!$E$10)))</f>
        <v/>
      </c>
      <c r="E453">
        <f>IF('Entry Builder'!$N$11=0,1,IF('Entry Builder'!$D$11="Less",--(INDEX(Sims!$A453:$BO453,'Entry Builder'!$L$11)&lt;'Entry Builder'!$E$11),--(INDEX(Sims!$A453:$BO453,'Entry Builder'!$L$11)&gt;'Entry Builder'!$E$11)))</f>
        <v/>
      </c>
      <c r="F453">
        <f>IF('Entry Builder'!$N$12=0,1,IF('Entry Builder'!$D$12="Less",--(INDEX(Sims!$A453:$BO453,'Entry Builder'!$L$12)&lt;'Entry Builder'!$E$12),--(INDEX(Sims!$A453:$BO453,'Entry Builder'!$L$12)&gt;'Entry Builder'!$E$12)))</f>
        <v/>
      </c>
      <c r="G453">
        <f>6-SUM(A453:F453)</f>
        <v/>
      </c>
    </row>
    <row r="454">
      <c r="A454">
        <f>IF('Entry Builder'!$N$7=0,1,IF('Entry Builder'!$D$7="Less",--(INDEX(Sims!$A454:$BO454,'Entry Builder'!$L$7)&lt;'Entry Builder'!$E$7),--(INDEX(Sims!$A454:$BO454,'Entry Builder'!$L$7)&gt;'Entry Builder'!$E$7)))</f>
        <v/>
      </c>
      <c r="B454">
        <f>IF('Entry Builder'!$N$8=0,1,IF('Entry Builder'!$D$8="Less",--(INDEX(Sims!$A454:$BO454,'Entry Builder'!$L$8)&lt;'Entry Builder'!$E$8),--(INDEX(Sims!$A454:$BO454,'Entry Builder'!$L$8)&gt;'Entry Builder'!$E$8)))</f>
        <v/>
      </c>
      <c r="C454">
        <f>IF('Entry Builder'!$N$9=0,1,IF('Entry Builder'!$D$9="Less",--(INDEX(Sims!$A454:$BO454,'Entry Builder'!$L$9)&lt;'Entry Builder'!$E$9),--(INDEX(Sims!$A454:$BO454,'Entry Builder'!$L$9)&gt;'Entry Builder'!$E$9)))</f>
        <v/>
      </c>
      <c r="D454">
        <f>IF('Entry Builder'!$N$10=0,1,IF('Entry Builder'!$D$10="Less",--(INDEX(Sims!$A454:$BO454,'Entry Builder'!$L$10)&lt;'Entry Builder'!$E$10),--(INDEX(Sims!$A454:$BO454,'Entry Builder'!$L$10)&gt;'Entry Builder'!$E$10)))</f>
        <v/>
      </c>
      <c r="E454">
        <f>IF('Entry Builder'!$N$11=0,1,IF('Entry Builder'!$D$11="Less",--(INDEX(Sims!$A454:$BO454,'Entry Builder'!$L$11)&lt;'Entry Builder'!$E$11),--(INDEX(Sims!$A454:$BO454,'Entry Builder'!$L$11)&gt;'Entry Builder'!$E$11)))</f>
        <v/>
      </c>
      <c r="F454">
        <f>IF('Entry Builder'!$N$12=0,1,IF('Entry Builder'!$D$12="Less",--(INDEX(Sims!$A454:$BO454,'Entry Builder'!$L$12)&lt;'Entry Builder'!$E$12),--(INDEX(Sims!$A454:$BO454,'Entry Builder'!$L$12)&gt;'Entry Builder'!$E$12)))</f>
        <v/>
      </c>
      <c r="G454">
        <f>6-SUM(A454:F454)</f>
        <v/>
      </c>
    </row>
    <row r="455">
      <c r="A455">
        <f>IF('Entry Builder'!$N$7=0,1,IF('Entry Builder'!$D$7="Less",--(INDEX(Sims!$A455:$BO455,'Entry Builder'!$L$7)&lt;'Entry Builder'!$E$7),--(INDEX(Sims!$A455:$BO455,'Entry Builder'!$L$7)&gt;'Entry Builder'!$E$7)))</f>
        <v/>
      </c>
      <c r="B455">
        <f>IF('Entry Builder'!$N$8=0,1,IF('Entry Builder'!$D$8="Less",--(INDEX(Sims!$A455:$BO455,'Entry Builder'!$L$8)&lt;'Entry Builder'!$E$8),--(INDEX(Sims!$A455:$BO455,'Entry Builder'!$L$8)&gt;'Entry Builder'!$E$8)))</f>
        <v/>
      </c>
      <c r="C455">
        <f>IF('Entry Builder'!$N$9=0,1,IF('Entry Builder'!$D$9="Less",--(INDEX(Sims!$A455:$BO455,'Entry Builder'!$L$9)&lt;'Entry Builder'!$E$9),--(INDEX(Sims!$A455:$BO455,'Entry Builder'!$L$9)&gt;'Entry Builder'!$E$9)))</f>
        <v/>
      </c>
      <c r="D455">
        <f>IF('Entry Builder'!$N$10=0,1,IF('Entry Builder'!$D$10="Less",--(INDEX(Sims!$A455:$BO455,'Entry Builder'!$L$10)&lt;'Entry Builder'!$E$10),--(INDEX(Sims!$A455:$BO455,'Entry Builder'!$L$10)&gt;'Entry Builder'!$E$10)))</f>
        <v/>
      </c>
      <c r="E455">
        <f>IF('Entry Builder'!$N$11=0,1,IF('Entry Builder'!$D$11="Less",--(INDEX(Sims!$A455:$BO455,'Entry Builder'!$L$11)&lt;'Entry Builder'!$E$11),--(INDEX(Sims!$A455:$BO455,'Entry Builder'!$L$11)&gt;'Entry Builder'!$E$11)))</f>
        <v/>
      </c>
      <c r="F455">
        <f>IF('Entry Builder'!$N$12=0,1,IF('Entry Builder'!$D$12="Less",--(INDEX(Sims!$A455:$BO455,'Entry Builder'!$L$12)&lt;'Entry Builder'!$E$12),--(INDEX(Sims!$A455:$BO455,'Entry Builder'!$L$12)&gt;'Entry Builder'!$E$12)))</f>
        <v/>
      </c>
      <c r="G455">
        <f>6-SUM(A455:F455)</f>
        <v/>
      </c>
    </row>
    <row r="456">
      <c r="A456">
        <f>IF('Entry Builder'!$N$7=0,1,IF('Entry Builder'!$D$7="Less",--(INDEX(Sims!$A456:$BO456,'Entry Builder'!$L$7)&lt;'Entry Builder'!$E$7),--(INDEX(Sims!$A456:$BO456,'Entry Builder'!$L$7)&gt;'Entry Builder'!$E$7)))</f>
        <v/>
      </c>
      <c r="B456">
        <f>IF('Entry Builder'!$N$8=0,1,IF('Entry Builder'!$D$8="Less",--(INDEX(Sims!$A456:$BO456,'Entry Builder'!$L$8)&lt;'Entry Builder'!$E$8),--(INDEX(Sims!$A456:$BO456,'Entry Builder'!$L$8)&gt;'Entry Builder'!$E$8)))</f>
        <v/>
      </c>
      <c r="C456">
        <f>IF('Entry Builder'!$N$9=0,1,IF('Entry Builder'!$D$9="Less",--(INDEX(Sims!$A456:$BO456,'Entry Builder'!$L$9)&lt;'Entry Builder'!$E$9),--(INDEX(Sims!$A456:$BO456,'Entry Builder'!$L$9)&gt;'Entry Builder'!$E$9)))</f>
        <v/>
      </c>
      <c r="D456">
        <f>IF('Entry Builder'!$N$10=0,1,IF('Entry Builder'!$D$10="Less",--(INDEX(Sims!$A456:$BO456,'Entry Builder'!$L$10)&lt;'Entry Builder'!$E$10),--(INDEX(Sims!$A456:$BO456,'Entry Builder'!$L$10)&gt;'Entry Builder'!$E$10)))</f>
        <v/>
      </c>
      <c r="E456">
        <f>IF('Entry Builder'!$N$11=0,1,IF('Entry Builder'!$D$11="Less",--(INDEX(Sims!$A456:$BO456,'Entry Builder'!$L$11)&lt;'Entry Builder'!$E$11),--(INDEX(Sims!$A456:$BO456,'Entry Builder'!$L$11)&gt;'Entry Builder'!$E$11)))</f>
        <v/>
      </c>
      <c r="F456">
        <f>IF('Entry Builder'!$N$12=0,1,IF('Entry Builder'!$D$12="Less",--(INDEX(Sims!$A456:$BO456,'Entry Builder'!$L$12)&lt;'Entry Builder'!$E$12),--(INDEX(Sims!$A456:$BO456,'Entry Builder'!$L$12)&gt;'Entry Builder'!$E$12)))</f>
        <v/>
      </c>
      <c r="G456">
        <f>6-SUM(A456:F456)</f>
        <v/>
      </c>
    </row>
    <row r="457">
      <c r="A457">
        <f>IF('Entry Builder'!$N$7=0,1,IF('Entry Builder'!$D$7="Less",--(INDEX(Sims!$A457:$BO457,'Entry Builder'!$L$7)&lt;'Entry Builder'!$E$7),--(INDEX(Sims!$A457:$BO457,'Entry Builder'!$L$7)&gt;'Entry Builder'!$E$7)))</f>
        <v/>
      </c>
      <c r="B457">
        <f>IF('Entry Builder'!$N$8=0,1,IF('Entry Builder'!$D$8="Less",--(INDEX(Sims!$A457:$BO457,'Entry Builder'!$L$8)&lt;'Entry Builder'!$E$8),--(INDEX(Sims!$A457:$BO457,'Entry Builder'!$L$8)&gt;'Entry Builder'!$E$8)))</f>
        <v/>
      </c>
      <c r="C457">
        <f>IF('Entry Builder'!$N$9=0,1,IF('Entry Builder'!$D$9="Less",--(INDEX(Sims!$A457:$BO457,'Entry Builder'!$L$9)&lt;'Entry Builder'!$E$9),--(INDEX(Sims!$A457:$BO457,'Entry Builder'!$L$9)&gt;'Entry Builder'!$E$9)))</f>
        <v/>
      </c>
      <c r="D457">
        <f>IF('Entry Builder'!$N$10=0,1,IF('Entry Builder'!$D$10="Less",--(INDEX(Sims!$A457:$BO457,'Entry Builder'!$L$10)&lt;'Entry Builder'!$E$10),--(INDEX(Sims!$A457:$BO457,'Entry Builder'!$L$10)&gt;'Entry Builder'!$E$10)))</f>
        <v/>
      </c>
      <c r="E457">
        <f>IF('Entry Builder'!$N$11=0,1,IF('Entry Builder'!$D$11="Less",--(INDEX(Sims!$A457:$BO457,'Entry Builder'!$L$11)&lt;'Entry Builder'!$E$11),--(INDEX(Sims!$A457:$BO457,'Entry Builder'!$L$11)&gt;'Entry Builder'!$E$11)))</f>
        <v/>
      </c>
      <c r="F457">
        <f>IF('Entry Builder'!$N$12=0,1,IF('Entry Builder'!$D$12="Less",--(INDEX(Sims!$A457:$BO457,'Entry Builder'!$L$12)&lt;'Entry Builder'!$E$12),--(INDEX(Sims!$A457:$BO457,'Entry Builder'!$L$12)&gt;'Entry Builder'!$E$12)))</f>
        <v/>
      </c>
      <c r="G457">
        <f>6-SUM(A457:F457)</f>
        <v/>
      </c>
    </row>
    <row r="458">
      <c r="A458">
        <f>IF('Entry Builder'!$N$7=0,1,IF('Entry Builder'!$D$7="Less",--(INDEX(Sims!$A458:$BO458,'Entry Builder'!$L$7)&lt;'Entry Builder'!$E$7),--(INDEX(Sims!$A458:$BO458,'Entry Builder'!$L$7)&gt;'Entry Builder'!$E$7)))</f>
        <v/>
      </c>
      <c r="B458">
        <f>IF('Entry Builder'!$N$8=0,1,IF('Entry Builder'!$D$8="Less",--(INDEX(Sims!$A458:$BO458,'Entry Builder'!$L$8)&lt;'Entry Builder'!$E$8),--(INDEX(Sims!$A458:$BO458,'Entry Builder'!$L$8)&gt;'Entry Builder'!$E$8)))</f>
        <v/>
      </c>
      <c r="C458">
        <f>IF('Entry Builder'!$N$9=0,1,IF('Entry Builder'!$D$9="Less",--(INDEX(Sims!$A458:$BO458,'Entry Builder'!$L$9)&lt;'Entry Builder'!$E$9),--(INDEX(Sims!$A458:$BO458,'Entry Builder'!$L$9)&gt;'Entry Builder'!$E$9)))</f>
        <v/>
      </c>
      <c r="D458">
        <f>IF('Entry Builder'!$N$10=0,1,IF('Entry Builder'!$D$10="Less",--(INDEX(Sims!$A458:$BO458,'Entry Builder'!$L$10)&lt;'Entry Builder'!$E$10),--(INDEX(Sims!$A458:$BO458,'Entry Builder'!$L$10)&gt;'Entry Builder'!$E$10)))</f>
        <v/>
      </c>
      <c r="E458">
        <f>IF('Entry Builder'!$N$11=0,1,IF('Entry Builder'!$D$11="Less",--(INDEX(Sims!$A458:$BO458,'Entry Builder'!$L$11)&lt;'Entry Builder'!$E$11),--(INDEX(Sims!$A458:$BO458,'Entry Builder'!$L$11)&gt;'Entry Builder'!$E$11)))</f>
        <v/>
      </c>
      <c r="F458">
        <f>IF('Entry Builder'!$N$12=0,1,IF('Entry Builder'!$D$12="Less",--(INDEX(Sims!$A458:$BO458,'Entry Builder'!$L$12)&lt;'Entry Builder'!$E$12),--(INDEX(Sims!$A458:$BO458,'Entry Builder'!$L$12)&gt;'Entry Builder'!$E$12)))</f>
        <v/>
      </c>
      <c r="G458">
        <f>6-SUM(A458:F458)</f>
        <v/>
      </c>
    </row>
    <row r="459">
      <c r="A459">
        <f>IF('Entry Builder'!$N$7=0,1,IF('Entry Builder'!$D$7="Less",--(INDEX(Sims!$A459:$BO459,'Entry Builder'!$L$7)&lt;'Entry Builder'!$E$7),--(INDEX(Sims!$A459:$BO459,'Entry Builder'!$L$7)&gt;'Entry Builder'!$E$7)))</f>
        <v/>
      </c>
      <c r="B459">
        <f>IF('Entry Builder'!$N$8=0,1,IF('Entry Builder'!$D$8="Less",--(INDEX(Sims!$A459:$BO459,'Entry Builder'!$L$8)&lt;'Entry Builder'!$E$8),--(INDEX(Sims!$A459:$BO459,'Entry Builder'!$L$8)&gt;'Entry Builder'!$E$8)))</f>
        <v/>
      </c>
      <c r="C459">
        <f>IF('Entry Builder'!$N$9=0,1,IF('Entry Builder'!$D$9="Less",--(INDEX(Sims!$A459:$BO459,'Entry Builder'!$L$9)&lt;'Entry Builder'!$E$9),--(INDEX(Sims!$A459:$BO459,'Entry Builder'!$L$9)&gt;'Entry Builder'!$E$9)))</f>
        <v/>
      </c>
      <c r="D459">
        <f>IF('Entry Builder'!$N$10=0,1,IF('Entry Builder'!$D$10="Less",--(INDEX(Sims!$A459:$BO459,'Entry Builder'!$L$10)&lt;'Entry Builder'!$E$10),--(INDEX(Sims!$A459:$BO459,'Entry Builder'!$L$10)&gt;'Entry Builder'!$E$10)))</f>
        <v/>
      </c>
      <c r="E459">
        <f>IF('Entry Builder'!$N$11=0,1,IF('Entry Builder'!$D$11="Less",--(INDEX(Sims!$A459:$BO459,'Entry Builder'!$L$11)&lt;'Entry Builder'!$E$11),--(INDEX(Sims!$A459:$BO459,'Entry Builder'!$L$11)&gt;'Entry Builder'!$E$11)))</f>
        <v/>
      </c>
      <c r="F459">
        <f>IF('Entry Builder'!$N$12=0,1,IF('Entry Builder'!$D$12="Less",--(INDEX(Sims!$A459:$BO459,'Entry Builder'!$L$12)&lt;'Entry Builder'!$E$12),--(INDEX(Sims!$A459:$BO459,'Entry Builder'!$L$12)&gt;'Entry Builder'!$E$12)))</f>
        <v/>
      </c>
      <c r="G459">
        <f>6-SUM(A459:F459)</f>
        <v/>
      </c>
    </row>
    <row r="460">
      <c r="A460">
        <f>IF('Entry Builder'!$N$7=0,1,IF('Entry Builder'!$D$7="Less",--(INDEX(Sims!$A460:$BO460,'Entry Builder'!$L$7)&lt;'Entry Builder'!$E$7),--(INDEX(Sims!$A460:$BO460,'Entry Builder'!$L$7)&gt;'Entry Builder'!$E$7)))</f>
        <v/>
      </c>
      <c r="B460">
        <f>IF('Entry Builder'!$N$8=0,1,IF('Entry Builder'!$D$8="Less",--(INDEX(Sims!$A460:$BO460,'Entry Builder'!$L$8)&lt;'Entry Builder'!$E$8),--(INDEX(Sims!$A460:$BO460,'Entry Builder'!$L$8)&gt;'Entry Builder'!$E$8)))</f>
        <v/>
      </c>
      <c r="C460">
        <f>IF('Entry Builder'!$N$9=0,1,IF('Entry Builder'!$D$9="Less",--(INDEX(Sims!$A460:$BO460,'Entry Builder'!$L$9)&lt;'Entry Builder'!$E$9),--(INDEX(Sims!$A460:$BO460,'Entry Builder'!$L$9)&gt;'Entry Builder'!$E$9)))</f>
        <v/>
      </c>
      <c r="D460">
        <f>IF('Entry Builder'!$N$10=0,1,IF('Entry Builder'!$D$10="Less",--(INDEX(Sims!$A460:$BO460,'Entry Builder'!$L$10)&lt;'Entry Builder'!$E$10),--(INDEX(Sims!$A460:$BO460,'Entry Builder'!$L$10)&gt;'Entry Builder'!$E$10)))</f>
        <v/>
      </c>
      <c r="E460">
        <f>IF('Entry Builder'!$N$11=0,1,IF('Entry Builder'!$D$11="Less",--(INDEX(Sims!$A460:$BO460,'Entry Builder'!$L$11)&lt;'Entry Builder'!$E$11),--(INDEX(Sims!$A460:$BO460,'Entry Builder'!$L$11)&gt;'Entry Builder'!$E$11)))</f>
        <v/>
      </c>
      <c r="F460">
        <f>IF('Entry Builder'!$N$12=0,1,IF('Entry Builder'!$D$12="Less",--(INDEX(Sims!$A460:$BO460,'Entry Builder'!$L$12)&lt;'Entry Builder'!$E$12),--(INDEX(Sims!$A460:$BO460,'Entry Builder'!$L$12)&gt;'Entry Builder'!$E$12)))</f>
        <v/>
      </c>
      <c r="G460">
        <f>6-SUM(A460:F460)</f>
        <v/>
      </c>
    </row>
    <row r="461">
      <c r="A461">
        <f>IF('Entry Builder'!$N$7=0,1,IF('Entry Builder'!$D$7="Less",--(INDEX(Sims!$A461:$BO461,'Entry Builder'!$L$7)&lt;'Entry Builder'!$E$7),--(INDEX(Sims!$A461:$BO461,'Entry Builder'!$L$7)&gt;'Entry Builder'!$E$7)))</f>
        <v/>
      </c>
      <c r="B461">
        <f>IF('Entry Builder'!$N$8=0,1,IF('Entry Builder'!$D$8="Less",--(INDEX(Sims!$A461:$BO461,'Entry Builder'!$L$8)&lt;'Entry Builder'!$E$8),--(INDEX(Sims!$A461:$BO461,'Entry Builder'!$L$8)&gt;'Entry Builder'!$E$8)))</f>
        <v/>
      </c>
      <c r="C461">
        <f>IF('Entry Builder'!$N$9=0,1,IF('Entry Builder'!$D$9="Less",--(INDEX(Sims!$A461:$BO461,'Entry Builder'!$L$9)&lt;'Entry Builder'!$E$9),--(INDEX(Sims!$A461:$BO461,'Entry Builder'!$L$9)&gt;'Entry Builder'!$E$9)))</f>
        <v/>
      </c>
      <c r="D461">
        <f>IF('Entry Builder'!$N$10=0,1,IF('Entry Builder'!$D$10="Less",--(INDEX(Sims!$A461:$BO461,'Entry Builder'!$L$10)&lt;'Entry Builder'!$E$10),--(INDEX(Sims!$A461:$BO461,'Entry Builder'!$L$10)&gt;'Entry Builder'!$E$10)))</f>
        <v/>
      </c>
      <c r="E461">
        <f>IF('Entry Builder'!$N$11=0,1,IF('Entry Builder'!$D$11="Less",--(INDEX(Sims!$A461:$BO461,'Entry Builder'!$L$11)&lt;'Entry Builder'!$E$11),--(INDEX(Sims!$A461:$BO461,'Entry Builder'!$L$11)&gt;'Entry Builder'!$E$11)))</f>
        <v/>
      </c>
      <c r="F461">
        <f>IF('Entry Builder'!$N$12=0,1,IF('Entry Builder'!$D$12="Less",--(INDEX(Sims!$A461:$BO461,'Entry Builder'!$L$12)&lt;'Entry Builder'!$E$12),--(INDEX(Sims!$A461:$BO461,'Entry Builder'!$L$12)&gt;'Entry Builder'!$E$12)))</f>
        <v/>
      </c>
      <c r="G461">
        <f>6-SUM(A461:F461)</f>
        <v/>
      </c>
    </row>
    <row r="462">
      <c r="A462">
        <f>IF('Entry Builder'!$N$7=0,1,IF('Entry Builder'!$D$7="Less",--(INDEX(Sims!$A462:$BO462,'Entry Builder'!$L$7)&lt;'Entry Builder'!$E$7),--(INDEX(Sims!$A462:$BO462,'Entry Builder'!$L$7)&gt;'Entry Builder'!$E$7)))</f>
        <v/>
      </c>
      <c r="B462">
        <f>IF('Entry Builder'!$N$8=0,1,IF('Entry Builder'!$D$8="Less",--(INDEX(Sims!$A462:$BO462,'Entry Builder'!$L$8)&lt;'Entry Builder'!$E$8),--(INDEX(Sims!$A462:$BO462,'Entry Builder'!$L$8)&gt;'Entry Builder'!$E$8)))</f>
        <v/>
      </c>
      <c r="C462">
        <f>IF('Entry Builder'!$N$9=0,1,IF('Entry Builder'!$D$9="Less",--(INDEX(Sims!$A462:$BO462,'Entry Builder'!$L$9)&lt;'Entry Builder'!$E$9),--(INDEX(Sims!$A462:$BO462,'Entry Builder'!$L$9)&gt;'Entry Builder'!$E$9)))</f>
        <v/>
      </c>
      <c r="D462">
        <f>IF('Entry Builder'!$N$10=0,1,IF('Entry Builder'!$D$10="Less",--(INDEX(Sims!$A462:$BO462,'Entry Builder'!$L$10)&lt;'Entry Builder'!$E$10),--(INDEX(Sims!$A462:$BO462,'Entry Builder'!$L$10)&gt;'Entry Builder'!$E$10)))</f>
        <v/>
      </c>
      <c r="E462">
        <f>IF('Entry Builder'!$N$11=0,1,IF('Entry Builder'!$D$11="Less",--(INDEX(Sims!$A462:$BO462,'Entry Builder'!$L$11)&lt;'Entry Builder'!$E$11),--(INDEX(Sims!$A462:$BO462,'Entry Builder'!$L$11)&gt;'Entry Builder'!$E$11)))</f>
        <v/>
      </c>
      <c r="F462">
        <f>IF('Entry Builder'!$N$12=0,1,IF('Entry Builder'!$D$12="Less",--(INDEX(Sims!$A462:$BO462,'Entry Builder'!$L$12)&lt;'Entry Builder'!$E$12),--(INDEX(Sims!$A462:$BO462,'Entry Builder'!$L$12)&gt;'Entry Builder'!$E$12)))</f>
        <v/>
      </c>
      <c r="G462">
        <f>6-SUM(A462:F462)</f>
        <v/>
      </c>
    </row>
    <row r="463">
      <c r="A463">
        <f>IF('Entry Builder'!$N$7=0,1,IF('Entry Builder'!$D$7="Less",--(INDEX(Sims!$A463:$BO463,'Entry Builder'!$L$7)&lt;'Entry Builder'!$E$7),--(INDEX(Sims!$A463:$BO463,'Entry Builder'!$L$7)&gt;'Entry Builder'!$E$7)))</f>
        <v/>
      </c>
      <c r="B463">
        <f>IF('Entry Builder'!$N$8=0,1,IF('Entry Builder'!$D$8="Less",--(INDEX(Sims!$A463:$BO463,'Entry Builder'!$L$8)&lt;'Entry Builder'!$E$8),--(INDEX(Sims!$A463:$BO463,'Entry Builder'!$L$8)&gt;'Entry Builder'!$E$8)))</f>
        <v/>
      </c>
      <c r="C463">
        <f>IF('Entry Builder'!$N$9=0,1,IF('Entry Builder'!$D$9="Less",--(INDEX(Sims!$A463:$BO463,'Entry Builder'!$L$9)&lt;'Entry Builder'!$E$9),--(INDEX(Sims!$A463:$BO463,'Entry Builder'!$L$9)&gt;'Entry Builder'!$E$9)))</f>
        <v/>
      </c>
      <c r="D463">
        <f>IF('Entry Builder'!$N$10=0,1,IF('Entry Builder'!$D$10="Less",--(INDEX(Sims!$A463:$BO463,'Entry Builder'!$L$10)&lt;'Entry Builder'!$E$10),--(INDEX(Sims!$A463:$BO463,'Entry Builder'!$L$10)&gt;'Entry Builder'!$E$10)))</f>
        <v/>
      </c>
      <c r="E463">
        <f>IF('Entry Builder'!$N$11=0,1,IF('Entry Builder'!$D$11="Less",--(INDEX(Sims!$A463:$BO463,'Entry Builder'!$L$11)&lt;'Entry Builder'!$E$11),--(INDEX(Sims!$A463:$BO463,'Entry Builder'!$L$11)&gt;'Entry Builder'!$E$11)))</f>
        <v/>
      </c>
      <c r="F463">
        <f>IF('Entry Builder'!$N$12=0,1,IF('Entry Builder'!$D$12="Less",--(INDEX(Sims!$A463:$BO463,'Entry Builder'!$L$12)&lt;'Entry Builder'!$E$12),--(INDEX(Sims!$A463:$BO463,'Entry Builder'!$L$12)&gt;'Entry Builder'!$E$12)))</f>
        <v/>
      </c>
      <c r="G463">
        <f>6-SUM(A463:F463)</f>
        <v/>
      </c>
    </row>
    <row r="464">
      <c r="A464">
        <f>IF('Entry Builder'!$N$7=0,1,IF('Entry Builder'!$D$7="Less",--(INDEX(Sims!$A464:$BO464,'Entry Builder'!$L$7)&lt;'Entry Builder'!$E$7),--(INDEX(Sims!$A464:$BO464,'Entry Builder'!$L$7)&gt;'Entry Builder'!$E$7)))</f>
        <v/>
      </c>
      <c r="B464">
        <f>IF('Entry Builder'!$N$8=0,1,IF('Entry Builder'!$D$8="Less",--(INDEX(Sims!$A464:$BO464,'Entry Builder'!$L$8)&lt;'Entry Builder'!$E$8),--(INDEX(Sims!$A464:$BO464,'Entry Builder'!$L$8)&gt;'Entry Builder'!$E$8)))</f>
        <v/>
      </c>
      <c r="C464">
        <f>IF('Entry Builder'!$N$9=0,1,IF('Entry Builder'!$D$9="Less",--(INDEX(Sims!$A464:$BO464,'Entry Builder'!$L$9)&lt;'Entry Builder'!$E$9),--(INDEX(Sims!$A464:$BO464,'Entry Builder'!$L$9)&gt;'Entry Builder'!$E$9)))</f>
        <v/>
      </c>
      <c r="D464">
        <f>IF('Entry Builder'!$N$10=0,1,IF('Entry Builder'!$D$10="Less",--(INDEX(Sims!$A464:$BO464,'Entry Builder'!$L$10)&lt;'Entry Builder'!$E$10),--(INDEX(Sims!$A464:$BO464,'Entry Builder'!$L$10)&gt;'Entry Builder'!$E$10)))</f>
        <v/>
      </c>
      <c r="E464">
        <f>IF('Entry Builder'!$N$11=0,1,IF('Entry Builder'!$D$11="Less",--(INDEX(Sims!$A464:$BO464,'Entry Builder'!$L$11)&lt;'Entry Builder'!$E$11),--(INDEX(Sims!$A464:$BO464,'Entry Builder'!$L$11)&gt;'Entry Builder'!$E$11)))</f>
        <v/>
      </c>
      <c r="F464">
        <f>IF('Entry Builder'!$N$12=0,1,IF('Entry Builder'!$D$12="Less",--(INDEX(Sims!$A464:$BO464,'Entry Builder'!$L$12)&lt;'Entry Builder'!$E$12),--(INDEX(Sims!$A464:$BO464,'Entry Builder'!$L$12)&gt;'Entry Builder'!$E$12)))</f>
        <v/>
      </c>
      <c r="G464">
        <f>6-SUM(A464:F464)</f>
        <v/>
      </c>
    </row>
    <row r="465">
      <c r="A465">
        <f>IF('Entry Builder'!$N$7=0,1,IF('Entry Builder'!$D$7="Less",--(INDEX(Sims!$A465:$BO465,'Entry Builder'!$L$7)&lt;'Entry Builder'!$E$7),--(INDEX(Sims!$A465:$BO465,'Entry Builder'!$L$7)&gt;'Entry Builder'!$E$7)))</f>
        <v/>
      </c>
      <c r="B465">
        <f>IF('Entry Builder'!$N$8=0,1,IF('Entry Builder'!$D$8="Less",--(INDEX(Sims!$A465:$BO465,'Entry Builder'!$L$8)&lt;'Entry Builder'!$E$8),--(INDEX(Sims!$A465:$BO465,'Entry Builder'!$L$8)&gt;'Entry Builder'!$E$8)))</f>
        <v/>
      </c>
      <c r="C465">
        <f>IF('Entry Builder'!$N$9=0,1,IF('Entry Builder'!$D$9="Less",--(INDEX(Sims!$A465:$BO465,'Entry Builder'!$L$9)&lt;'Entry Builder'!$E$9),--(INDEX(Sims!$A465:$BO465,'Entry Builder'!$L$9)&gt;'Entry Builder'!$E$9)))</f>
        <v/>
      </c>
      <c r="D465">
        <f>IF('Entry Builder'!$N$10=0,1,IF('Entry Builder'!$D$10="Less",--(INDEX(Sims!$A465:$BO465,'Entry Builder'!$L$10)&lt;'Entry Builder'!$E$10),--(INDEX(Sims!$A465:$BO465,'Entry Builder'!$L$10)&gt;'Entry Builder'!$E$10)))</f>
        <v/>
      </c>
      <c r="E465">
        <f>IF('Entry Builder'!$N$11=0,1,IF('Entry Builder'!$D$11="Less",--(INDEX(Sims!$A465:$BO465,'Entry Builder'!$L$11)&lt;'Entry Builder'!$E$11),--(INDEX(Sims!$A465:$BO465,'Entry Builder'!$L$11)&gt;'Entry Builder'!$E$11)))</f>
        <v/>
      </c>
      <c r="F465">
        <f>IF('Entry Builder'!$N$12=0,1,IF('Entry Builder'!$D$12="Less",--(INDEX(Sims!$A465:$BO465,'Entry Builder'!$L$12)&lt;'Entry Builder'!$E$12),--(INDEX(Sims!$A465:$BO465,'Entry Builder'!$L$12)&gt;'Entry Builder'!$E$12)))</f>
        <v/>
      </c>
      <c r="G465">
        <f>6-SUM(A465:F465)</f>
        <v/>
      </c>
    </row>
    <row r="466">
      <c r="A466">
        <f>IF('Entry Builder'!$N$7=0,1,IF('Entry Builder'!$D$7="Less",--(INDEX(Sims!$A466:$BO466,'Entry Builder'!$L$7)&lt;'Entry Builder'!$E$7),--(INDEX(Sims!$A466:$BO466,'Entry Builder'!$L$7)&gt;'Entry Builder'!$E$7)))</f>
        <v/>
      </c>
      <c r="B466">
        <f>IF('Entry Builder'!$N$8=0,1,IF('Entry Builder'!$D$8="Less",--(INDEX(Sims!$A466:$BO466,'Entry Builder'!$L$8)&lt;'Entry Builder'!$E$8),--(INDEX(Sims!$A466:$BO466,'Entry Builder'!$L$8)&gt;'Entry Builder'!$E$8)))</f>
        <v/>
      </c>
      <c r="C466">
        <f>IF('Entry Builder'!$N$9=0,1,IF('Entry Builder'!$D$9="Less",--(INDEX(Sims!$A466:$BO466,'Entry Builder'!$L$9)&lt;'Entry Builder'!$E$9),--(INDEX(Sims!$A466:$BO466,'Entry Builder'!$L$9)&gt;'Entry Builder'!$E$9)))</f>
        <v/>
      </c>
      <c r="D466">
        <f>IF('Entry Builder'!$N$10=0,1,IF('Entry Builder'!$D$10="Less",--(INDEX(Sims!$A466:$BO466,'Entry Builder'!$L$10)&lt;'Entry Builder'!$E$10),--(INDEX(Sims!$A466:$BO466,'Entry Builder'!$L$10)&gt;'Entry Builder'!$E$10)))</f>
        <v/>
      </c>
      <c r="E466">
        <f>IF('Entry Builder'!$N$11=0,1,IF('Entry Builder'!$D$11="Less",--(INDEX(Sims!$A466:$BO466,'Entry Builder'!$L$11)&lt;'Entry Builder'!$E$11),--(INDEX(Sims!$A466:$BO466,'Entry Builder'!$L$11)&gt;'Entry Builder'!$E$11)))</f>
        <v/>
      </c>
      <c r="F466">
        <f>IF('Entry Builder'!$N$12=0,1,IF('Entry Builder'!$D$12="Less",--(INDEX(Sims!$A466:$BO466,'Entry Builder'!$L$12)&lt;'Entry Builder'!$E$12),--(INDEX(Sims!$A466:$BO466,'Entry Builder'!$L$12)&gt;'Entry Builder'!$E$12)))</f>
        <v/>
      </c>
      <c r="G466">
        <f>6-SUM(A466:F466)</f>
        <v/>
      </c>
    </row>
    <row r="467">
      <c r="A467">
        <f>IF('Entry Builder'!$N$7=0,1,IF('Entry Builder'!$D$7="Less",--(INDEX(Sims!$A467:$BO467,'Entry Builder'!$L$7)&lt;'Entry Builder'!$E$7),--(INDEX(Sims!$A467:$BO467,'Entry Builder'!$L$7)&gt;'Entry Builder'!$E$7)))</f>
        <v/>
      </c>
      <c r="B467">
        <f>IF('Entry Builder'!$N$8=0,1,IF('Entry Builder'!$D$8="Less",--(INDEX(Sims!$A467:$BO467,'Entry Builder'!$L$8)&lt;'Entry Builder'!$E$8),--(INDEX(Sims!$A467:$BO467,'Entry Builder'!$L$8)&gt;'Entry Builder'!$E$8)))</f>
        <v/>
      </c>
      <c r="C467">
        <f>IF('Entry Builder'!$N$9=0,1,IF('Entry Builder'!$D$9="Less",--(INDEX(Sims!$A467:$BO467,'Entry Builder'!$L$9)&lt;'Entry Builder'!$E$9),--(INDEX(Sims!$A467:$BO467,'Entry Builder'!$L$9)&gt;'Entry Builder'!$E$9)))</f>
        <v/>
      </c>
      <c r="D467">
        <f>IF('Entry Builder'!$N$10=0,1,IF('Entry Builder'!$D$10="Less",--(INDEX(Sims!$A467:$BO467,'Entry Builder'!$L$10)&lt;'Entry Builder'!$E$10),--(INDEX(Sims!$A467:$BO467,'Entry Builder'!$L$10)&gt;'Entry Builder'!$E$10)))</f>
        <v/>
      </c>
      <c r="E467">
        <f>IF('Entry Builder'!$N$11=0,1,IF('Entry Builder'!$D$11="Less",--(INDEX(Sims!$A467:$BO467,'Entry Builder'!$L$11)&lt;'Entry Builder'!$E$11),--(INDEX(Sims!$A467:$BO467,'Entry Builder'!$L$11)&gt;'Entry Builder'!$E$11)))</f>
        <v/>
      </c>
      <c r="F467">
        <f>IF('Entry Builder'!$N$12=0,1,IF('Entry Builder'!$D$12="Less",--(INDEX(Sims!$A467:$BO467,'Entry Builder'!$L$12)&lt;'Entry Builder'!$E$12),--(INDEX(Sims!$A467:$BO467,'Entry Builder'!$L$12)&gt;'Entry Builder'!$E$12)))</f>
        <v/>
      </c>
      <c r="G467">
        <f>6-SUM(A467:F467)</f>
        <v/>
      </c>
    </row>
    <row r="468">
      <c r="A468">
        <f>IF('Entry Builder'!$N$7=0,1,IF('Entry Builder'!$D$7="Less",--(INDEX(Sims!$A468:$BO468,'Entry Builder'!$L$7)&lt;'Entry Builder'!$E$7),--(INDEX(Sims!$A468:$BO468,'Entry Builder'!$L$7)&gt;'Entry Builder'!$E$7)))</f>
        <v/>
      </c>
      <c r="B468">
        <f>IF('Entry Builder'!$N$8=0,1,IF('Entry Builder'!$D$8="Less",--(INDEX(Sims!$A468:$BO468,'Entry Builder'!$L$8)&lt;'Entry Builder'!$E$8),--(INDEX(Sims!$A468:$BO468,'Entry Builder'!$L$8)&gt;'Entry Builder'!$E$8)))</f>
        <v/>
      </c>
      <c r="C468">
        <f>IF('Entry Builder'!$N$9=0,1,IF('Entry Builder'!$D$9="Less",--(INDEX(Sims!$A468:$BO468,'Entry Builder'!$L$9)&lt;'Entry Builder'!$E$9),--(INDEX(Sims!$A468:$BO468,'Entry Builder'!$L$9)&gt;'Entry Builder'!$E$9)))</f>
        <v/>
      </c>
      <c r="D468">
        <f>IF('Entry Builder'!$N$10=0,1,IF('Entry Builder'!$D$10="Less",--(INDEX(Sims!$A468:$BO468,'Entry Builder'!$L$10)&lt;'Entry Builder'!$E$10),--(INDEX(Sims!$A468:$BO468,'Entry Builder'!$L$10)&gt;'Entry Builder'!$E$10)))</f>
        <v/>
      </c>
      <c r="E468">
        <f>IF('Entry Builder'!$N$11=0,1,IF('Entry Builder'!$D$11="Less",--(INDEX(Sims!$A468:$BO468,'Entry Builder'!$L$11)&lt;'Entry Builder'!$E$11),--(INDEX(Sims!$A468:$BO468,'Entry Builder'!$L$11)&gt;'Entry Builder'!$E$11)))</f>
        <v/>
      </c>
      <c r="F468">
        <f>IF('Entry Builder'!$N$12=0,1,IF('Entry Builder'!$D$12="Less",--(INDEX(Sims!$A468:$BO468,'Entry Builder'!$L$12)&lt;'Entry Builder'!$E$12),--(INDEX(Sims!$A468:$BO468,'Entry Builder'!$L$12)&gt;'Entry Builder'!$E$12)))</f>
        <v/>
      </c>
      <c r="G468">
        <f>6-SUM(A468:F468)</f>
        <v/>
      </c>
    </row>
    <row r="469">
      <c r="A469">
        <f>IF('Entry Builder'!$N$7=0,1,IF('Entry Builder'!$D$7="Less",--(INDEX(Sims!$A469:$BO469,'Entry Builder'!$L$7)&lt;'Entry Builder'!$E$7),--(INDEX(Sims!$A469:$BO469,'Entry Builder'!$L$7)&gt;'Entry Builder'!$E$7)))</f>
        <v/>
      </c>
      <c r="B469">
        <f>IF('Entry Builder'!$N$8=0,1,IF('Entry Builder'!$D$8="Less",--(INDEX(Sims!$A469:$BO469,'Entry Builder'!$L$8)&lt;'Entry Builder'!$E$8),--(INDEX(Sims!$A469:$BO469,'Entry Builder'!$L$8)&gt;'Entry Builder'!$E$8)))</f>
        <v/>
      </c>
      <c r="C469">
        <f>IF('Entry Builder'!$N$9=0,1,IF('Entry Builder'!$D$9="Less",--(INDEX(Sims!$A469:$BO469,'Entry Builder'!$L$9)&lt;'Entry Builder'!$E$9),--(INDEX(Sims!$A469:$BO469,'Entry Builder'!$L$9)&gt;'Entry Builder'!$E$9)))</f>
        <v/>
      </c>
      <c r="D469">
        <f>IF('Entry Builder'!$N$10=0,1,IF('Entry Builder'!$D$10="Less",--(INDEX(Sims!$A469:$BO469,'Entry Builder'!$L$10)&lt;'Entry Builder'!$E$10),--(INDEX(Sims!$A469:$BO469,'Entry Builder'!$L$10)&gt;'Entry Builder'!$E$10)))</f>
        <v/>
      </c>
      <c r="E469">
        <f>IF('Entry Builder'!$N$11=0,1,IF('Entry Builder'!$D$11="Less",--(INDEX(Sims!$A469:$BO469,'Entry Builder'!$L$11)&lt;'Entry Builder'!$E$11),--(INDEX(Sims!$A469:$BO469,'Entry Builder'!$L$11)&gt;'Entry Builder'!$E$11)))</f>
        <v/>
      </c>
      <c r="F469">
        <f>IF('Entry Builder'!$N$12=0,1,IF('Entry Builder'!$D$12="Less",--(INDEX(Sims!$A469:$BO469,'Entry Builder'!$L$12)&lt;'Entry Builder'!$E$12),--(INDEX(Sims!$A469:$BO469,'Entry Builder'!$L$12)&gt;'Entry Builder'!$E$12)))</f>
        <v/>
      </c>
      <c r="G469">
        <f>6-SUM(A469:F469)</f>
        <v/>
      </c>
    </row>
    <row r="470">
      <c r="A470">
        <f>IF('Entry Builder'!$N$7=0,1,IF('Entry Builder'!$D$7="Less",--(INDEX(Sims!$A470:$BO470,'Entry Builder'!$L$7)&lt;'Entry Builder'!$E$7),--(INDEX(Sims!$A470:$BO470,'Entry Builder'!$L$7)&gt;'Entry Builder'!$E$7)))</f>
        <v/>
      </c>
      <c r="B470">
        <f>IF('Entry Builder'!$N$8=0,1,IF('Entry Builder'!$D$8="Less",--(INDEX(Sims!$A470:$BO470,'Entry Builder'!$L$8)&lt;'Entry Builder'!$E$8),--(INDEX(Sims!$A470:$BO470,'Entry Builder'!$L$8)&gt;'Entry Builder'!$E$8)))</f>
        <v/>
      </c>
      <c r="C470">
        <f>IF('Entry Builder'!$N$9=0,1,IF('Entry Builder'!$D$9="Less",--(INDEX(Sims!$A470:$BO470,'Entry Builder'!$L$9)&lt;'Entry Builder'!$E$9),--(INDEX(Sims!$A470:$BO470,'Entry Builder'!$L$9)&gt;'Entry Builder'!$E$9)))</f>
        <v/>
      </c>
      <c r="D470">
        <f>IF('Entry Builder'!$N$10=0,1,IF('Entry Builder'!$D$10="Less",--(INDEX(Sims!$A470:$BO470,'Entry Builder'!$L$10)&lt;'Entry Builder'!$E$10),--(INDEX(Sims!$A470:$BO470,'Entry Builder'!$L$10)&gt;'Entry Builder'!$E$10)))</f>
        <v/>
      </c>
      <c r="E470">
        <f>IF('Entry Builder'!$N$11=0,1,IF('Entry Builder'!$D$11="Less",--(INDEX(Sims!$A470:$BO470,'Entry Builder'!$L$11)&lt;'Entry Builder'!$E$11),--(INDEX(Sims!$A470:$BO470,'Entry Builder'!$L$11)&gt;'Entry Builder'!$E$11)))</f>
        <v/>
      </c>
      <c r="F470">
        <f>IF('Entry Builder'!$N$12=0,1,IF('Entry Builder'!$D$12="Less",--(INDEX(Sims!$A470:$BO470,'Entry Builder'!$L$12)&lt;'Entry Builder'!$E$12),--(INDEX(Sims!$A470:$BO470,'Entry Builder'!$L$12)&gt;'Entry Builder'!$E$12)))</f>
        <v/>
      </c>
      <c r="G470">
        <f>6-SUM(A470:F470)</f>
        <v/>
      </c>
    </row>
    <row r="471">
      <c r="A471">
        <f>IF('Entry Builder'!$N$7=0,1,IF('Entry Builder'!$D$7="Less",--(INDEX(Sims!$A471:$BO471,'Entry Builder'!$L$7)&lt;'Entry Builder'!$E$7),--(INDEX(Sims!$A471:$BO471,'Entry Builder'!$L$7)&gt;'Entry Builder'!$E$7)))</f>
        <v/>
      </c>
      <c r="B471">
        <f>IF('Entry Builder'!$N$8=0,1,IF('Entry Builder'!$D$8="Less",--(INDEX(Sims!$A471:$BO471,'Entry Builder'!$L$8)&lt;'Entry Builder'!$E$8),--(INDEX(Sims!$A471:$BO471,'Entry Builder'!$L$8)&gt;'Entry Builder'!$E$8)))</f>
        <v/>
      </c>
      <c r="C471">
        <f>IF('Entry Builder'!$N$9=0,1,IF('Entry Builder'!$D$9="Less",--(INDEX(Sims!$A471:$BO471,'Entry Builder'!$L$9)&lt;'Entry Builder'!$E$9),--(INDEX(Sims!$A471:$BO471,'Entry Builder'!$L$9)&gt;'Entry Builder'!$E$9)))</f>
        <v/>
      </c>
      <c r="D471">
        <f>IF('Entry Builder'!$N$10=0,1,IF('Entry Builder'!$D$10="Less",--(INDEX(Sims!$A471:$BO471,'Entry Builder'!$L$10)&lt;'Entry Builder'!$E$10),--(INDEX(Sims!$A471:$BO471,'Entry Builder'!$L$10)&gt;'Entry Builder'!$E$10)))</f>
        <v/>
      </c>
      <c r="E471">
        <f>IF('Entry Builder'!$N$11=0,1,IF('Entry Builder'!$D$11="Less",--(INDEX(Sims!$A471:$BO471,'Entry Builder'!$L$11)&lt;'Entry Builder'!$E$11),--(INDEX(Sims!$A471:$BO471,'Entry Builder'!$L$11)&gt;'Entry Builder'!$E$11)))</f>
        <v/>
      </c>
      <c r="F471">
        <f>IF('Entry Builder'!$N$12=0,1,IF('Entry Builder'!$D$12="Less",--(INDEX(Sims!$A471:$BO471,'Entry Builder'!$L$12)&lt;'Entry Builder'!$E$12),--(INDEX(Sims!$A471:$BO471,'Entry Builder'!$L$12)&gt;'Entry Builder'!$E$12)))</f>
        <v/>
      </c>
      <c r="G471">
        <f>6-SUM(A471:F471)</f>
        <v/>
      </c>
    </row>
    <row r="472">
      <c r="A472">
        <f>IF('Entry Builder'!$N$7=0,1,IF('Entry Builder'!$D$7="Less",--(INDEX(Sims!$A472:$BO472,'Entry Builder'!$L$7)&lt;'Entry Builder'!$E$7),--(INDEX(Sims!$A472:$BO472,'Entry Builder'!$L$7)&gt;'Entry Builder'!$E$7)))</f>
        <v/>
      </c>
      <c r="B472">
        <f>IF('Entry Builder'!$N$8=0,1,IF('Entry Builder'!$D$8="Less",--(INDEX(Sims!$A472:$BO472,'Entry Builder'!$L$8)&lt;'Entry Builder'!$E$8),--(INDEX(Sims!$A472:$BO472,'Entry Builder'!$L$8)&gt;'Entry Builder'!$E$8)))</f>
        <v/>
      </c>
      <c r="C472">
        <f>IF('Entry Builder'!$N$9=0,1,IF('Entry Builder'!$D$9="Less",--(INDEX(Sims!$A472:$BO472,'Entry Builder'!$L$9)&lt;'Entry Builder'!$E$9),--(INDEX(Sims!$A472:$BO472,'Entry Builder'!$L$9)&gt;'Entry Builder'!$E$9)))</f>
        <v/>
      </c>
      <c r="D472">
        <f>IF('Entry Builder'!$N$10=0,1,IF('Entry Builder'!$D$10="Less",--(INDEX(Sims!$A472:$BO472,'Entry Builder'!$L$10)&lt;'Entry Builder'!$E$10),--(INDEX(Sims!$A472:$BO472,'Entry Builder'!$L$10)&gt;'Entry Builder'!$E$10)))</f>
        <v/>
      </c>
      <c r="E472">
        <f>IF('Entry Builder'!$N$11=0,1,IF('Entry Builder'!$D$11="Less",--(INDEX(Sims!$A472:$BO472,'Entry Builder'!$L$11)&lt;'Entry Builder'!$E$11),--(INDEX(Sims!$A472:$BO472,'Entry Builder'!$L$11)&gt;'Entry Builder'!$E$11)))</f>
        <v/>
      </c>
      <c r="F472">
        <f>IF('Entry Builder'!$N$12=0,1,IF('Entry Builder'!$D$12="Less",--(INDEX(Sims!$A472:$BO472,'Entry Builder'!$L$12)&lt;'Entry Builder'!$E$12),--(INDEX(Sims!$A472:$BO472,'Entry Builder'!$L$12)&gt;'Entry Builder'!$E$12)))</f>
        <v/>
      </c>
      <c r="G472">
        <f>6-SUM(A472:F472)</f>
        <v/>
      </c>
    </row>
    <row r="473">
      <c r="A473">
        <f>IF('Entry Builder'!$N$7=0,1,IF('Entry Builder'!$D$7="Less",--(INDEX(Sims!$A473:$BO473,'Entry Builder'!$L$7)&lt;'Entry Builder'!$E$7),--(INDEX(Sims!$A473:$BO473,'Entry Builder'!$L$7)&gt;'Entry Builder'!$E$7)))</f>
        <v/>
      </c>
      <c r="B473">
        <f>IF('Entry Builder'!$N$8=0,1,IF('Entry Builder'!$D$8="Less",--(INDEX(Sims!$A473:$BO473,'Entry Builder'!$L$8)&lt;'Entry Builder'!$E$8),--(INDEX(Sims!$A473:$BO473,'Entry Builder'!$L$8)&gt;'Entry Builder'!$E$8)))</f>
        <v/>
      </c>
      <c r="C473">
        <f>IF('Entry Builder'!$N$9=0,1,IF('Entry Builder'!$D$9="Less",--(INDEX(Sims!$A473:$BO473,'Entry Builder'!$L$9)&lt;'Entry Builder'!$E$9),--(INDEX(Sims!$A473:$BO473,'Entry Builder'!$L$9)&gt;'Entry Builder'!$E$9)))</f>
        <v/>
      </c>
      <c r="D473">
        <f>IF('Entry Builder'!$N$10=0,1,IF('Entry Builder'!$D$10="Less",--(INDEX(Sims!$A473:$BO473,'Entry Builder'!$L$10)&lt;'Entry Builder'!$E$10),--(INDEX(Sims!$A473:$BO473,'Entry Builder'!$L$10)&gt;'Entry Builder'!$E$10)))</f>
        <v/>
      </c>
      <c r="E473">
        <f>IF('Entry Builder'!$N$11=0,1,IF('Entry Builder'!$D$11="Less",--(INDEX(Sims!$A473:$BO473,'Entry Builder'!$L$11)&lt;'Entry Builder'!$E$11),--(INDEX(Sims!$A473:$BO473,'Entry Builder'!$L$11)&gt;'Entry Builder'!$E$11)))</f>
        <v/>
      </c>
      <c r="F473">
        <f>IF('Entry Builder'!$N$12=0,1,IF('Entry Builder'!$D$12="Less",--(INDEX(Sims!$A473:$BO473,'Entry Builder'!$L$12)&lt;'Entry Builder'!$E$12),--(INDEX(Sims!$A473:$BO473,'Entry Builder'!$L$12)&gt;'Entry Builder'!$E$12)))</f>
        <v/>
      </c>
      <c r="G473">
        <f>6-SUM(A473:F473)</f>
        <v/>
      </c>
    </row>
    <row r="474">
      <c r="A474">
        <f>IF('Entry Builder'!$N$7=0,1,IF('Entry Builder'!$D$7="Less",--(INDEX(Sims!$A474:$BO474,'Entry Builder'!$L$7)&lt;'Entry Builder'!$E$7),--(INDEX(Sims!$A474:$BO474,'Entry Builder'!$L$7)&gt;'Entry Builder'!$E$7)))</f>
        <v/>
      </c>
      <c r="B474">
        <f>IF('Entry Builder'!$N$8=0,1,IF('Entry Builder'!$D$8="Less",--(INDEX(Sims!$A474:$BO474,'Entry Builder'!$L$8)&lt;'Entry Builder'!$E$8),--(INDEX(Sims!$A474:$BO474,'Entry Builder'!$L$8)&gt;'Entry Builder'!$E$8)))</f>
        <v/>
      </c>
      <c r="C474">
        <f>IF('Entry Builder'!$N$9=0,1,IF('Entry Builder'!$D$9="Less",--(INDEX(Sims!$A474:$BO474,'Entry Builder'!$L$9)&lt;'Entry Builder'!$E$9),--(INDEX(Sims!$A474:$BO474,'Entry Builder'!$L$9)&gt;'Entry Builder'!$E$9)))</f>
        <v/>
      </c>
      <c r="D474">
        <f>IF('Entry Builder'!$N$10=0,1,IF('Entry Builder'!$D$10="Less",--(INDEX(Sims!$A474:$BO474,'Entry Builder'!$L$10)&lt;'Entry Builder'!$E$10),--(INDEX(Sims!$A474:$BO474,'Entry Builder'!$L$10)&gt;'Entry Builder'!$E$10)))</f>
        <v/>
      </c>
      <c r="E474">
        <f>IF('Entry Builder'!$N$11=0,1,IF('Entry Builder'!$D$11="Less",--(INDEX(Sims!$A474:$BO474,'Entry Builder'!$L$11)&lt;'Entry Builder'!$E$11),--(INDEX(Sims!$A474:$BO474,'Entry Builder'!$L$11)&gt;'Entry Builder'!$E$11)))</f>
        <v/>
      </c>
      <c r="F474">
        <f>IF('Entry Builder'!$N$12=0,1,IF('Entry Builder'!$D$12="Less",--(INDEX(Sims!$A474:$BO474,'Entry Builder'!$L$12)&lt;'Entry Builder'!$E$12),--(INDEX(Sims!$A474:$BO474,'Entry Builder'!$L$12)&gt;'Entry Builder'!$E$12)))</f>
        <v/>
      </c>
      <c r="G474">
        <f>6-SUM(A474:F474)</f>
        <v/>
      </c>
    </row>
    <row r="475">
      <c r="A475">
        <f>IF('Entry Builder'!$N$7=0,1,IF('Entry Builder'!$D$7="Less",--(INDEX(Sims!$A475:$BO475,'Entry Builder'!$L$7)&lt;'Entry Builder'!$E$7),--(INDEX(Sims!$A475:$BO475,'Entry Builder'!$L$7)&gt;'Entry Builder'!$E$7)))</f>
        <v/>
      </c>
      <c r="B475">
        <f>IF('Entry Builder'!$N$8=0,1,IF('Entry Builder'!$D$8="Less",--(INDEX(Sims!$A475:$BO475,'Entry Builder'!$L$8)&lt;'Entry Builder'!$E$8),--(INDEX(Sims!$A475:$BO475,'Entry Builder'!$L$8)&gt;'Entry Builder'!$E$8)))</f>
        <v/>
      </c>
      <c r="C475">
        <f>IF('Entry Builder'!$N$9=0,1,IF('Entry Builder'!$D$9="Less",--(INDEX(Sims!$A475:$BO475,'Entry Builder'!$L$9)&lt;'Entry Builder'!$E$9),--(INDEX(Sims!$A475:$BO475,'Entry Builder'!$L$9)&gt;'Entry Builder'!$E$9)))</f>
        <v/>
      </c>
      <c r="D475">
        <f>IF('Entry Builder'!$N$10=0,1,IF('Entry Builder'!$D$10="Less",--(INDEX(Sims!$A475:$BO475,'Entry Builder'!$L$10)&lt;'Entry Builder'!$E$10),--(INDEX(Sims!$A475:$BO475,'Entry Builder'!$L$10)&gt;'Entry Builder'!$E$10)))</f>
        <v/>
      </c>
      <c r="E475">
        <f>IF('Entry Builder'!$N$11=0,1,IF('Entry Builder'!$D$11="Less",--(INDEX(Sims!$A475:$BO475,'Entry Builder'!$L$11)&lt;'Entry Builder'!$E$11),--(INDEX(Sims!$A475:$BO475,'Entry Builder'!$L$11)&gt;'Entry Builder'!$E$11)))</f>
        <v/>
      </c>
      <c r="F475">
        <f>IF('Entry Builder'!$N$12=0,1,IF('Entry Builder'!$D$12="Less",--(INDEX(Sims!$A475:$BO475,'Entry Builder'!$L$12)&lt;'Entry Builder'!$E$12),--(INDEX(Sims!$A475:$BO475,'Entry Builder'!$L$12)&gt;'Entry Builder'!$E$12)))</f>
        <v/>
      </c>
      <c r="G475">
        <f>6-SUM(A475:F475)</f>
        <v/>
      </c>
    </row>
    <row r="476">
      <c r="A476">
        <f>IF('Entry Builder'!$N$7=0,1,IF('Entry Builder'!$D$7="Less",--(INDEX(Sims!$A476:$BO476,'Entry Builder'!$L$7)&lt;'Entry Builder'!$E$7),--(INDEX(Sims!$A476:$BO476,'Entry Builder'!$L$7)&gt;'Entry Builder'!$E$7)))</f>
        <v/>
      </c>
      <c r="B476">
        <f>IF('Entry Builder'!$N$8=0,1,IF('Entry Builder'!$D$8="Less",--(INDEX(Sims!$A476:$BO476,'Entry Builder'!$L$8)&lt;'Entry Builder'!$E$8),--(INDEX(Sims!$A476:$BO476,'Entry Builder'!$L$8)&gt;'Entry Builder'!$E$8)))</f>
        <v/>
      </c>
      <c r="C476">
        <f>IF('Entry Builder'!$N$9=0,1,IF('Entry Builder'!$D$9="Less",--(INDEX(Sims!$A476:$BO476,'Entry Builder'!$L$9)&lt;'Entry Builder'!$E$9),--(INDEX(Sims!$A476:$BO476,'Entry Builder'!$L$9)&gt;'Entry Builder'!$E$9)))</f>
        <v/>
      </c>
      <c r="D476">
        <f>IF('Entry Builder'!$N$10=0,1,IF('Entry Builder'!$D$10="Less",--(INDEX(Sims!$A476:$BO476,'Entry Builder'!$L$10)&lt;'Entry Builder'!$E$10),--(INDEX(Sims!$A476:$BO476,'Entry Builder'!$L$10)&gt;'Entry Builder'!$E$10)))</f>
        <v/>
      </c>
      <c r="E476">
        <f>IF('Entry Builder'!$N$11=0,1,IF('Entry Builder'!$D$11="Less",--(INDEX(Sims!$A476:$BO476,'Entry Builder'!$L$11)&lt;'Entry Builder'!$E$11),--(INDEX(Sims!$A476:$BO476,'Entry Builder'!$L$11)&gt;'Entry Builder'!$E$11)))</f>
        <v/>
      </c>
      <c r="F476">
        <f>IF('Entry Builder'!$N$12=0,1,IF('Entry Builder'!$D$12="Less",--(INDEX(Sims!$A476:$BO476,'Entry Builder'!$L$12)&lt;'Entry Builder'!$E$12),--(INDEX(Sims!$A476:$BO476,'Entry Builder'!$L$12)&gt;'Entry Builder'!$E$12)))</f>
        <v/>
      </c>
      <c r="G476">
        <f>6-SUM(A476:F476)</f>
        <v/>
      </c>
    </row>
    <row r="477">
      <c r="A477">
        <f>IF('Entry Builder'!$N$7=0,1,IF('Entry Builder'!$D$7="Less",--(INDEX(Sims!$A477:$BO477,'Entry Builder'!$L$7)&lt;'Entry Builder'!$E$7),--(INDEX(Sims!$A477:$BO477,'Entry Builder'!$L$7)&gt;'Entry Builder'!$E$7)))</f>
        <v/>
      </c>
      <c r="B477">
        <f>IF('Entry Builder'!$N$8=0,1,IF('Entry Builder'!$D$8="Less",--(INDEX(Sims!$A477:$BO477,'Entry Builder'!$L$8)&lt;'Entry Builder'!$E$8),--(INDEX(Sims!$A477:$BO477,'Entry Builder'!$L$8)&gt;'Entry Builder'!$E$8)))</f>
        <v/>
      </c>
      <c r="C477">
        <f>IF('Entry Builder'!$N$9=0,1,IF('Entry Builder'!$D$9="Less",--(INDEX(Sims!$A477:$BO477,'Entry Builder'!$L$9)&lt;'Entry Builder'!$E$9),--(INDEX(Sims!$A477:$BO477,'Entry Builder'!$L$9)&gt;'Entry Builder'!$E$9)))</f>
        <v/>
      </c>
      <c r="D477">
        <f>IF('Entry Builder'!$N$10=0,1,IF('Entry Builder'!$D$10="Less",--(INDEX(Sims!$A477:$BO477,'Entry Builder'!$L$10)&lt;'Entry Builder'!$E$10),--(INDEX(Sims!$A477:$BO477,'Entry Builder'!$L$10)&gt;'Entry Builder'!$E$10)))</f>
        <v/>
      </c>
      <c r="E477">
        <f>IF('Entry Builder'!$N$11=0,1,IF('Entry Builder'!$D$11="Less",--(INDEX(Sims!$A477:$BO477,'Entry Builder'!$L$11)&lt;'Entry Builder'!$E$11),--(INDEX(Sims!$A477:$BO477,'Entry Builder'!$L$11)&gt;'Entry Builder'!$E$11)))</f>
        <v/>
      </c>
      <c r="F477">
        <f>IF('Entry Builder'!$N$12=0,1,IF('Entry Builder'!$D$12="Less",--(INDEX(Sims!$A477:$BO477,'Entry Builder'!$L$12)&lt;'Entry Builder'!$E$12),--(INDEX(Sims!$A477:$BO477,'Entry Builder'!$L$12)&gt;'Entry Builder'!$E$12)))</f>
        <v/>
      </c>
      <c r="G477">
        <f>6-SUM(A477:F477)</f>
        <v/>
      </c>
    </row>
    <row r="478">
      <c r="A478">
        <f>IF('Entry Builder'!$N$7=0,1,IF('Entry Builder'!$D$7="Less",--(INDEX(Sims!$A478:$BO478,'Entry Builder'!$L$7)&lt;'Entry Builder'!$E$7),--(INDEX(Sims!$A478:$BO478,'Entry Builder'!$L$7)&gt;'Entry Builder'!$E$7)))</f>
        <v/>
      </c>
      <c r="B478">
        <f>IF('Entry Builder'!$N$8=0,1,IF('Entry Builder'!$D$8="Less",--(INDEX(Sims!$A478:$BO478,'Entry Builder'!$L$8)&lt;'Entry Builder'!$E$8),--(INDEX(Sims!$A478:$BO478,'Entry Builder'!$L$8)&gt;'Entry Builder'!$E$8)))</f>
        <v/>
      </c>
      <c r="C478">
        <f>IF('Entry Builder'!$N$9=0,1,IF('Entry Builder'!$D$9="Less",--(INDEX(Sims!$A478:$BO478,'Entry Builder'!$L$9)&lt;'Entry Builder'!$E$9),--(INDEX(Sims!$A478:$BO478,'Entry Builder'!$L$9)&gt;'Entry Builder'!$E$9)))</f>
        <v/>
      </c>
      <c r="D478">
        <f>IF('Entry Builder'!$N$10=0,1,IF('Entry Builder'!$D$10="Less",--(INDEX(Sims!$A478:$BO478,'Entry Builder'!$L$10)&lt;'Entry Builder'!$E$10),--(INDEX(Sims!$A478:$BO478,'Entry Builder'!$L$10)&gt;'Entry Builder'!$E$10)))</f>
        <v/>
      </c>
      <c r="E478">
        <f>IF('Entry Builder'!$N$11=0,1,IF('Entry Builder'!$D$11="Less",--(INDEX(Sims!$A478:$BO478,'Entry Builder'!$L$11)&lt;'Entry Builder'!$E$11),--(INDEX(Sims!$A478:$BO478,'Entry Builder'!$L$11)&gt;'Entry Builder'!$E$11)))</f>
        <v/>
      </c>
      <c r="F478">
        <f>IF('Entry Builder'!$N$12=0,1,IF('Entry Builder'!$D$12="Less",--(INDEX(Sims!$A478:$BO478,'Entry Builder'!$L$12)&lt;'Entry Builder'!$E$12),--(INDEX(Sims!$A478:$BO478,'Entry Builder'!$L$12)&gt;'Entry Builder'!$E$12)))</f>
        <v/>
      </c>
      <c r="G478">
        <f>6-SUM(A478:F478)</f>
        <v/>
      </c>
    </row>
    <row r="479">
      <c r="A479">
        <f>IF('Entry Builder'!$N$7=0,1,IF('Entry Builder'!$D$7="Less",--(INDEX(Sims!$A479:$BO479,'Entry Builder'!$L$7)&lt;'Entry Builder'!$E$7),--(INDEX(Sims!$A479:$BO479,'Entry Builder'!$L$7)&gt;'Entry Builder'!$E$7)))</f>
        <v/>
      </c>
      <c r="B479">
        <f>IF('Entry Builder'!$N$8=0,1,IF('Entry Builder'!$D$8="Less",--(INDEX(Sims!$A479:$BO479,'Entry Builder'!$L$8)&lt;'Entry Builder'!$E$8),--(INDEX(Sims!$A479:$BO479,'Entry Builder'!$L$8)&gt;'Entry Builder'!$E$8)))</f>
        <v/>
      </c>
      <c r="C479">
        <f>IF('Entry Builder'!$N$9=0,1,IF('Entry Builder'!$D$9="Less",--(INDEX(Sims!$A479:$BO479,'Entry Builder'!$L$9)&lt;'Entry Builder'!$E$9),--(INDEX(Sims!$A479:$BO479,'Entry Builder'!$L$9)&gt;'Entry Builder'!$E$9)))</f>
        <v/>
      </c>
      <c r="D479">
        <f>IF('Entry Builder'!$N$10=0,1,IF('Entry Builder'!$D$10="Less",--(INDEX(Sims!$A479:$BO479,'Entry Builder'!$L$10)&lt;'Entry Builder'!$E$10),--(INDEX(Sims!$A479:$BO479,'Entry Builder'!$L$10)&gt;'Entry Builder'!$E$10)))</f>
        <v/>
      </c>
      <c r="E479">
        <f>IF('Entry Builder'!$N$11=0,1,IF('Entry Builder'!$D$11="Less",--(INDEX(Sims!$A479:$BO479,'Entry Builder'!$L$11)&lt;'Entry Builder'!$E$11),--(INDEX(Sims!$A479:$BO479,'Entry Builder'!$L$11)&gt;'Entry Builder'!$E$11)))</f>
        <v/>
      </c>
      <c r="F479">
        <f>IF('Entry Builder'!$N$12=0,1,IF('Entry Builder'!$D$12="Less",--(INDEX(Sims!$A479:$BO479,'Entry Builder'!$L$12)&lt;'Entry Builder'!$E$12),--(INDEX(Sims!$A479:$BO479,'Entry Builder'!$L$12)&gt;'Entry Builder'!$E$12)))</f>
        <v/>
      </c>
      <c r="G479">
        <f>6-SUM(A479:F479)</f>
        <v/>
      </c>
    </row>
    <row r="480">
      <c r="A480">
        <f>IF('Entry Builder'!$N$7=0,1,IF('Entry Builder'!$D$7="Less",--(INDEX(Sims!$A480:$BO480,'Entry Builder'!$L$7)&lt;'Entry Builder'!$E$7),--(INDEX(Sims!$A480:$BO480,'Entry Builder'!$L$7)&gt;'Entry Builder'!$E$7)))</f>
        <v/>
      </c>
      <c r="B480">
        <f>IF('Entry Builder'!$N$8=0,1,IF('Entry Builder'!$D$8="Less",--(INDEX(Sims!$A480:$BO480,'Entry Builder'!$L$8)&lt;'Entry Builder'!$E$8),--(INDEX(Sims!$A480:$BO480,'Entry Builder'!$L$8)&gt;'Entry Builder'!$E$8)))</f>
        <v/>
      </c>
      <c r="C480">
        <f>IF('Entry Builder'!$N$9=0,1,IF('Entry Builder'!$D$9="Less",--(INDEX(Sims!$A480:$BO480,'Entry Builder'!$L$9)&lt;'Entry Builder'!$E$9),--(INDEX(Sims!$A480:$BO480,'Entry Builder'!$L$9)&gt;'Entry Builder'!$E$9)))</f>
        <v/>
      </c>
      <c r="D480">
        <f>IF('Entry Builder'!$N$10=0,1,IF('Entry Builder'!$D$10="Less",--(INDEX(Sims!$A480:$BO480,'Entry Builder'!$L$10)&lt;'Entry Builder'!$E$10),--(INDEX(Sims!$A480:$BO480,'Entry Builder'!$L$10)&gt;'Entry Builder'!$E$10)))</f>
        <v/>
      </c>
      <c r="E480">
        <f>IF('Entry Builder'!$N$11=0,1,IF('Entry Builder'!$D$11="Less",--(INDEX(Sims!$A480:$BO480,'Entry Builder'!$L$11)&lt;'Entry Builder'!$E$11),--(INDEX(Sims!$A480:$BO480,'Entry Builder'!$L$11)&gt;'Entry Builder'!$E$11)))</f>
        <v/>
      </c>
      <c r="F480">
        <f>IF('Entry Builder'!$N$12=0,1,IF('Entry Builder'!$D$12="Less",--(INDEX(Sims!$A480:$BO480,'Entry Builder'!$L$12)&lt;'Entry Builder'!$E$12),--(INDEX(Sims!$A480:$BO480,'Entry Builder'!$L$12)&gt;'Entry Builder'!$E$12)))</f>
        <v/>
      </c>
      <c r="G480">
        <f>6-SUM(A480:F480)</f>
        <v/>
      </c>
    </row>
    <row r="481">
      <c r="A481">
        <f>IF('Entry Builder'!$N$7=0,1,IF('Entry Builder'!$D$7="Less",--(INDEX(Sims!$A481:$BO481,'Entry Builder'!$L$7)&lt;'Entry Builder'!$E$7),--(INDEX(Sims!$A481:$BO481,'Entry Builder'!$L$7)&gt;'Entry Builder'!$E$7)))</f>
        <v/>
      </c>
      <c r="B481">
        <f>IF('Entry Builder'!$N$8=0,1,IF('Entry Builder'!$D$8="Less",--(INDEX(Sims!$A481:$BO481,'Entry Builder'!$L$8)&lt;'Entry Builder'!$E$8),--(INDEX(Sims!$A481:$BO481,'Entry Builder'!$L$8)&gt;'Entry Builder'!$E$8)))</f>
        <v/>
      </c>
      <c r="C481">
        <f>IF('Entry Builder'!$N$9=0,1,IF('Entry Builder'!$D$9="Less",--(INDEX(Sims!$A481:$BO481,'Entry Builder'!$L$9)&lt;'Entry Builder'!$E$9),--(INDEX(Sims!$A481:$BO481,'Entry Builder'!$L$9)&gt;'Entry Builder'!$E$9)))</f>
        <v/>
      </c>
      <c r="D481">
        <f>IF('Entry Builder'!$N$10=0,1,IF('Entry Builder'!$D$10="Less",--(INDEX(Sims!$A481:$BO481,'Entry Builder'!$L$10)&lt;'Entry Builder'!$E$10),--(INDEX(Sims!$A481:$BO481,'Entry Builder'!$L$10)&gt;'Entry Builder'!$E$10)))</f>
        <v/>
      </c>
      <c r="E481">
        <f>IF('Entry Builder'!$N$11=0,1,IF('Entry Builder'!$D$11="Less",--(INDEX(Sims!$A481:$BO481,'Entry Builder'!$L$11)&lt;'Entry Builder'!$E$11),--(INDEX(Sims!$A481:$BO481,'Entry Builder'!$L$11)&gt;'Entry Builder'!$E$11)))</f>
        <v/>
      </c>
      <c r="F481">
        <f>IF('Entry Builder'!$N$12=0,1,IF('Entry Builder'!$D$12="Less",--(INDEX(Sims!$A481:$BO481,'Entry Builder'!$L$12)&lt;'Entry Builder'!$E$12),--(INDEX(Sims!$A481:$BO481,'Entry Builder'!$L$12)&gt;'Entry Builder'!$E$12)))</f>
        <v/>
      </c>
      <c r="G481">
        <f>6-SUM(A481:F481)</f>
        <v/>
      </c>
    </row>
    <row r="482">
      <c r="A482">
        <f>IF('Entry Builder'!$N$7=0,1,IF('Entry Builder'!$D$7="Less",--(INDEX(Sims!$A482:$BO482,'Entry Builder'!$L$7)&lt;'Entry Builder'!$E$7),--(INDEX(Sims!$A482:$BO482,'Entry Builder'!$L$7)&gt;'Entry Builder'!$E$7)))</f>
        <v/>
      </c>
      <c r="B482">
        <f>IF('Entry Builder'!$N$8=0,1,IF('Entry Builder'!$D$8="Less",--(INDEX(Sims!$A482:$BO482,'Entry Builder'!$L$8)&lt;'Entry Builder'!$E$8),--(INDEX(Sims!$A482:$BO482,'Entry Builder'!$L$8)&gt;'Entry Builder'!$E$8)))</f>
        <v/>
      </c>
      <c r="C482">
        <f>IF('Entry Builder'!$N$9=0,1,IF('Entry Builder'!$D$9="Less",--(INDEX(Sims!$A482:$BO482,'Entry Builder'!$L$9)&lt;'Entry Builder'!$E$9),--(INDEX(Sims!$A482:$BO482,'Entry Builder'!$L$9)&gt;'Entry Builder'!$E$9)))</f>
        <v/>
      </c>
      <c r="D482">
        <f>IF('Entry Builder'!$N$10=0,1,IF('Entry Builder'!$D$10="Less",--(INDEX(Sims!$A482:$BO482,'Entry Builder'!$L$10)&lt;'Entry Builder'!$E$10),--(INDEX(Sims!$A482:$BO482,'Entry Builder'!$L$10)&gt;'Entry Builder'!$E$10)))</f>
        <v/>
      </c>
      <c r="E482">
        <f>IF('Entry Builder'!$N$11=0,1,IF('Entry Builder'!$D$11="Less",--(INDEX(Sims!$A482:$BO482,'Entry Builder'!$L$11)&lt;'Entry Builder'!$E$11),--(INDEX(Sims!$A482:$BO482,'Entry Builder'!$L$11)&gt;'Entry Builder'!$E$11)))</f>
        <v/>
      </c>
      <c r="F482">
        <f>IF('Entry Builder'!$N$12=0,1,IF('Entry Builder'!$D$12="Less",--(INDEX(Sims!$A482:$BO482,'Entry Builder'!$L$12)&lt;'Entry Builder'!$E$12),--(INDEX(Sims!$A482:$BO482,'Entry Builder'!$L$12)&gt;'Entry Builder'!$E$12)))</f>
        <v/>
      </c>
      <c r="G482">
        <f>6-SUM(A482:F482)</f>
        <v/>
      </c>
    </row>
    <row r="483">
      <c r="A483">
        <f>IF('Entry Builder'!$N$7=0,1,IF('Entry Builder'!$D$7="Less",--(INDEX(Sims!$A483:$BO483,'Entry Builder'!$L$7)&lt;'Entry Builder'!$E$7),--(INDEX(Sims!$A483:$BO483,'Entry Builder'!$L$7)&gt;'Entry Builder'!$E$7)))</f>
        <v/>
      </c>
      <c r="B483">
        <f>IF('Entry Builder'!$N$8=0,1,IF('Entry Builder'!$D$8="Less",--(INDEX(Sims!$A483:$BO483,'Entry Builder'!$L$8)&lt;'Entry Builder'!$E$8),--(INDEX(Sims!$A483:$BO483,'Entry Builder'!$L$8)&gt;'Entry Builder'!$E$8)))</f>
        <v/>
      </c>
      <c r="C483">
        <f>IF('Entry Builder'!$N$9=0,1,IF('Entry Builder'!$D$9="Less",--(INDEX(Sims!$A483:$BO483,'Entry Builder'!$L$9)&lt;'Entry Builder'!$E$9),--(INDEX(Sims!$A483:$BO483,'Entry Builder'!$L$9)&gt;'Entry Builder'!$E$9)))</f>
        <v/>
      </c>
      <c r="D483">
        <f>IF('Entry Builder'!$N$10=0,1,IF('Entry Builder'!$D$10="Less",--(INDEX(Sims!$A483:$BO483,'Entry Builder'!$L$10)&lt;'Entry Builder'!$E$10),--(INDEX(Sims!$A483:$BO483,'Entry Builder'!$L$10)&gt;'Entry Builder'!$E$10)))</f>
        <v/>
      </c>
      <c r="E483">
        <f>IF('Entry Builder'!$N$11=0,1,IF('Entry Builder'!$D$11="Less",--(INDEX(Sims!$A483:$BO483,'Entry Builder'!$L$11)&lt;'Entry Builder'!$E$11),--(INDEX(Sims!$A483:$BO483,'Entry Builder'!$L$11)&gt;'Entry Builder'!$E$11)))</f>
        <v/>
      </c>
      <c r="F483">
        <f>IF('Entry Builder'!$N$12=0,1,IF('Entry Builder'!$D$12="Less",--(INDEX(Sims!$A483:$BO483,'Entry Builder'!$L$12)&lt;'Entry Builder'!$E$12),--(INDEX(Sims!$A483:$BO483,'Entry Builder'!$L$12)&gt;'Entry Builder'!$E$12)))</f>
        <v/>
      </c>
      <c r="G483">
        <f>6-SUM(A483:F483)</f>
        <v/>
      </c>
    </row>
    <row r="484">
      <c r="A484">
        <f>IF('Entry Builder'!$N$7=0,1,IF('Entry Builder'!$D$7="Less",--(INDEX(Sims!$A484:$BO484,'Entry Builder'!$L$7)&lt;'Entry Builder'!$E$7),--(INDEX(Sims!$A484:$BO484,'Entry Builder'!$L$7)&gt;'Entry Builder'!$E$7)))</f>
        <v/>
      </c>
      <c r="B484">
        <f>IF('Entry Builder'!$N$8=0,1,IF('Entry Builder'!$D$8="Less",--(INDEX(Sims!$A484:$BO484,'Entry Builder'!$L$8)&lt;'Entry Builder'!$E$8),--(INDEX(Sims!$A484:$BO484,'Entry Builder'!$L$8)&gt;'Entry Builder'!$E$8)))</f>
        <v/>
      </c>
      <c r="C484">
        <f>IF('Entry Builder'!$N$9=0,1,IF('Entry Builder'!$D$9="Less",--(INDEX(Sims!$A484:$BO484,'Entry Builder'!$L$9)&lt;'Entry Builder'!$E$9),--(INDEX(Sims!$A484:$BO484,'Entry Builder'!$L$9)&gt;'Entry Builder'!$E$9)))</f>
        <v/>
      </c>
      <c r="D484">
        <f>IF('Entry Builder'!$N$10=0,1,IF('Entry Builder'!$D$10="Less",--(INDEX(Sims!$A484:$BO484,'Entry Builder'!$L$10)&lt;'Entry Builder'!$E$10),--(INDEX(Sims!$A484:$BO484,'Entry Builder'!$L$10)&gt;'Entry Builder'!$E$10)))</f>
        <v/>
      </c>
      <c r="E484">
        <f>IF('Entry Builder'!$N$11=0,1,IF('Entry Builder'!$D$11="Less",--(INDEX(Sims!$A484:$BO484,'Entry Builder'!$L$11)&lt;'Entry Builder'!$E$11),--(INDEX(Sims!$A484:$BO484,'Entry Builder'!$L$11)&gt;'Entry Builder'!$E$11)))</f>
        <v/>
      </c>
      <c r="F484">
        <f>IF('Entry Builder'!$N$12=0,1,IF('Entry Builder'!$D$12="Less",--(INDEX(Sims!$A484:$BO484,'Entry Builder'!$L$12)&lt;'Entry Builder'!$E$12),--(INDEX(Sims!$A484:$BO484,'Entry Builder'!$L$12)&gt;'Entry Builder'!$E$12)))</f>
        <v/>
      </c>
      <c r="G484">
        <f>6-SUM(A484:F484)</f>
        <v/>
      </c>
    </row>
    <row r="485">
      <c r="A485">
        <f>IF('Entry Builder'!$N$7=0,1,IF('Entry Builder'!$D$7="Less",--(INDEX(Sims!$A485:$BO485,'Entry Builder'!$L$7)&lt;'Entry Builder'!$E$7),--(INDEX(Sims!$A485:$BO485,'Entry Builder'!$L$7)&gt;'Entry Builder'!$E$7)))</f>
        <v/>
      </c>
      <c r="B485">
        <f>IF('Entry Builder'!$N$8=0,1,IF('Entry Builder'!$D$8="Less",--(INDEX(Sims!$A485:$BO485,'Entry Builder'!$L$8)&lt;'Entry Builder'!$E$8),--(INDEX(Sims!$A485:$BO485,'Entry Builder'!$L$8)&gt;'Entry Builder'!$E$8)))</f>
        <v/>
      </c>
      <c r="C485">
        <f>IF('Entry Builder'!$N$9=0,1,IF('Entry Builder'!$D$9="Less",--(INDEX(Sims!$A485:$BO485,'Entry Builder'!$L$9)&lt;'Entry Builder'!$E$9),--(INDEX(Sims!$A485:$BO485,'Entry Builder'!$L$9)&gt;'Entry Builder'!$E$9)))</f>
        <v/>
      </c>
      <c r="D485">
        <f>IF('Entry Builder'!$N$10=0,1,IF('Entry Builder'!$D$10="Less",--(INDEX(Sims!$A485:$BO485,'Entry Builder'!$L$10)&lt;'Entry Builder'!$E$10),--(INDEX(Sims!$A485:$BO485,'Entry Builder'!$L$10)&gt;'Entry Builder'!$E$10)))</f>
        <v/>
      </c>
      <c r="E485">
        <f>IF('Entry Builder'!$N$11=0,1,IF('Entry Builder'!$D$11="Less",--(INDEX(Sims!$A485:$BO485,'Entry Builder'!$L$11)&lt;'Entry Builder'!$E$11),--(INDEX(Sims!$A485:$BO485,'Entry Builder'!$L$11)&gt;'Entry Builder'!$E$11)))</f>
        <v/>
      </c>
      <c r="F485">
        <f>IF('Entry Builder'!$N$12=0,1,IF('Entry Builder'!$D$12="Less",--(INDEX(Sims!$A485:$BO485,'Entry Builder'!$L$12)&lt;'Entry Builder'!$E$12),--(INDEX(Sims!$A485:$BO485,'Entry Builder'!$L$12)&gt;'Entry Builder'!$E$12)))</f>
        <v/>
      </c>
      <c r="G485">
        <f>6-SUM(A485:F485)</f>
        <v/>
      </c>
    </row>
    <row r="486">
      <c r="A486">
        <f>IF('Entry Builder'!$N$7=0,1,IF('Entry Builder'!$D$7="Less",--(INDEX(Sims!$A486:$BO486,'Entry Builder'!$L$7)&lt;'Entry Builder'!$E$7),--(INDEX(Sims!$A486:$BO486,'Entry Builder'!$L$7)&gt;'Entry Builder'!$E$7)))</f>
        <v/>
      </c>
      <c r="B486">
        <f>IF('Entry Builder'!$N$8=0,1,IF('Entry Builder'!$D$8="Less",--(INDEX(Sims!$A486:$BO486,'Entry Builder'!$L$8)&lt;'Entry Builder'!$E$8),--(INDEX(Sims!$A486:$BO486,'Entry Builder'!$L$8)&gt;'Entry Builder'!$E$8)))</f>
        <v/>
      </c>
      <c r="C486">
        <f>IF('Entry Builder'!$N$9=0,1,IF('Entry Builder'!$D$9="Less",--(INDEX(Sims!$A486:$BO486,'Entry Builder'!$L$9)&lt;'Entry Builder'!$E$9),--(INDEX(Sims!$A486:$BO486,'Entry Builder'!$L$9)&gt;'Entry Builder'!$E$9)))</f>
        <v/>
      </c>
      <c r="D486">
        <f>IF('Entry Builder'!$N$10=0,1,IF('Entry Builder'!$D$10="Less",--(INDEX(Sims!$A486:$BO486,'Entry Builder'!$L$10)&lt;'Entry Builder'!$E$10),--(INDEX(Sims!$A486:$BO486,'Entry Builder'!$L$10)&gt;'Entry Builder'!$E$10)))</f>
        <v/>
      </c>
      <c r="E486">
        <f>IF('Entry Builder'!$N$11=0,1,IF('Entry Builder'!$D$11="Less",--(INDEX(Sims!$A486:$BO486,'Entry Builder'!$L$11)&lt;'Entry Builder'!$E$11),--(INDEX(Sims!$A486:$BO486,'Entry Builder'!$L$11)&gt;'Entry Builder'!$E$11)))</f>
        <v/>
      </c>
      <c r="F486">
        <f>IF('Entry Builder'!$N$12=0,1,IF('Entry Builder'!$D$12="Less",--(INDEX(Sims!$A486:$BO486,'Entry Builder'!$L$12)&lt;'Entry Builder'!$E$12),--(INDEX(Sims!$A486:$BO486,'Entry Builder'!$L$12)&gt;'Entry Builder'!$E$12)))</f>
        <v/>
      </c>
      <c r="G486">
        <f>6-SUM(A486:F486)</f>
        <v/>
      </c>
    </row>
    <row r="487">
      <c r="A487">
        <f>IF('Entry Builder'!$N$7=0,1,IF('Entry Builder'!$D$7="Less",--(INDEX(Sims!$A487:$BO487,'Entry Builder'!$L$7)&lt;'Entry Builder'!$E$7),--(INDEX(Sims!$A487:$BO487,'Entry Builder'!$L$7)&gt;'Entry Builder'!$E$7)))</f>
        <v/>
      </c>
      <c r="B487">
        <f>IF('Entry Builder'!$N$8=0,1,IF('Entry Builder'!$D$8="Less",--(INDEX(Sims!$A487:$BO487,'Entry Builder'!$L$8)&lt;'Entry Builder'!$E$8),--(INDEX(Sims!$A487:$BO487,'Entry Builder'!$L$8)&gt;'Entry Builder'!$E$8)))</f>
        <v/>
      </c>
      <c r="C487">
        <f>IF('Entry Builder'!$N$9=0,1,IF('Entry Builder'!$D$9="Less",--(INDEX(Sims!$A487:$BO487,'Entry Builder'!$L$9)&lt;'Entry Builder'!$E$9),--(INDEX(Sims!$A487:$BO487,'Entry Builder'!$L$9)&gt;'Entry Builder'!$E$9)))</f>
        <v/>
      </c>
      <c r="D487">
        <f>IF('Entry Builder'!$N$10=0,1,IF('Entry Builder'!$D$10="Less",--(INDEX(Sims!$A487:$BO487,'Entry Builder'!$L$10)&lt;'Entry Builder'!$E$10),--(INDEX(Sims!$A487:$BO487,'Entry Builder'!$L$10)&gt;'Entry Builder'!$E$10)))</f>
        <v/>
      </c>
      <c r="E487">
        <f>IF('Entry Builder'!$N$11=0,1,IF('Entry Builder'!$D$11="Less",--(INDEX(Sims!$A487:$BO487,'Entry Builder'!$L$11)&lt;'Entry Builder'!$E$11),--(INDEX(Sims!$A487:$BO487,'Entry Builder'!$L$11)&gt;'Entry Builder'!$E$11)))</f>
        <v/>
      </c>
      <c r="F487">
        <f>IF('Entry Builder'!$N$12=0,1,IF('Entry Builder'!$D$12="Less",--(INDEX(Sims!$A487:$BO487,'Entry Builder'!$L$12)&lt;'Entry Builder'!$E$12),--(INDEX(Sims!$A487:$BO487,'Entry Builder'!$L$12)&gt;'Entry Builder'!$E$12)))</f>
        <v/>
      </c>
      <c r="G487">
        <f>6-SUM(A487:F487)</f>
        <v/>
      </c>
    </row>
    <row r="488">
      <c r="A488">
        <f>IF('Entry Builder'!$N$7=0,1,IF('Entry Builder'!$D$7="Less",--(INDEX(Sims!$A488:$BO488,'Entry Builder'!$L$7)&lt;'Entry Builder'!$E$7),--(INDEX(Sims!$A488:$BO488,'Entry Builder'!$L$7)&gt;'Entry Builder'!$E$7)))</f>
        <v/>
      </c>
      <c r="B488">
        <f>IF('Entry Builder'!$N$8=0,1,IF('Entry Builder'!$D$8="Less",--(INDEX(Sims!$A488:$BO488,'Entry Builder'!$L$8)&lt;'Entry Builder'!$E$8),--(INDEX(Sims!$A488:$BO488,'Entry Builder'!$L$8)&gt;'Entry Builder'!$E$8)))</f>
        <v/>
      </c>
      <c r="C488">
        <f>IF('Entry Builder'!$N$9=0,1,IF('Entry Builder'!$D$9="Less",--(INDEX(Sims!$A488:$BO488,'Entry Builder'!$L$9)&lt;'Entry Builder'!$E$9),--(INDEX(Sims!$A488:$BO488,'Entry Builder'!$L$9)&gt;'Entry Builder'!$E$9)))</f>
        <v/>
      </c>
      <c r="D488">
        <f>IF('Entry Builder'!$N$10=0,1,IF('Entry Builder'!$D$10="Less",--(INDEX(Sims!$A488:$BO488,'Entry Builder'!$L$10)&lt;'Entry Builder'!$E$10),--(INDEX(Sims!$A488:$BO488,'Entry Builder'!$L$10)&gt;'Entry Builder'!$E$10)))</f>
        <v/>
      </c>
      <c r="E488">
        <f>IF('Entry Builder'!$N$11=0,1,IF('Entry Builder'!$D$11="Less",--(INDEX(Sims!$A488:$BO488,'Entry Builder'!$L$11)&lt;'Entry Builder'!$E$11),--(INDEX(Sims!$A488:$BO488,'Entry Builder'!$L$11)&gt;'Entry Builder'!$E$11)))</f>
        <v/>
      </c>
      <c r="F488">
        <f>IF('Entry Builder'!$N$12=0,1,IF('Entry Builder'!$D$12="Less",--(INDEX(Sims!$A488:$BO488,'Entry Builder'!$L$12)&lt;'Entry Builder'!$E$12),--(INDEX(Sims!$A488:$BO488,'Entry Builder'!$L$12)&gt;'Entry Builder'!$E$12)))</f>
        <v/>
      </c>
      <c r="G488">
        <f>6-SUM(A488:F488)</f>
        <v/>
      </c>
    </row>
    <row r="489">
      <c r="A489">
        <f>IF('Entry Builder'!$N$7=0,1,IF('Entry Builder'!$D$7="Less",--(INDEX(Sims!$A489:$BO489,'Entry Builder'!$L$7)&lt;'Entry Builder'!$E$7),--(INDEX(Sims!$A489:$BO489,'Entry Builder'!$L$7)&gt;'Entry Builder'!$E$7)))</f>
        <v/>
      </c>
      <c r="B489">
        <f>IF('Entry Builder'!$N$8=0,1,IF('Entry Builder'!$D$8="Less",--(INDEX(Sims!$A489:$BO489,'Entry Builder'!$L$8)&lt;'Entry Builder'!$E$8),--(INDEX(Sims!$A489:$BO489,'Entry Builder'!$L$8)&gt;'Entry Builder'!$E$8)))</f>
        <v/>
      </c>
      <c r="C489">
        <f>IF('Entry Builder'!$N$9=0,1,IF('Entry Builder'!$D$9="Less",--(INDEX(Sims!$A489:$BO489,'Entry Builder'!$L$9)&lt;'Entry Builder'!$E$9),--(INDEX(Sims!$A489:$BO489,'Entry Builder'!$L$9)&gt;'Entry Builder'!$E$9)))</f>
        <v/>
      </c>
      <c r="D489">
        <f>IF('Entry Builder'!$N$10=0,1,IF('Entry Builder'!$D$10="Less",--(INDEX(Sims!$A489:$BO489,'Entry Builder'!$L$10)&lt;'Entry Builder'!$E$10),--(INDEX(Sims!$A489:$BO489,'Entry Builder'!$L$10)&gt;'Entry Builder'!$E$10)))</f>
        <v/>
      </c>
      <c r="E489">
        <f>IF('Entry Builder'!$N$11=0,1,IF('Entry Builder'!$D$11="Less",--(INDEX(Sims!$A489:$BO489,'Entry Builder'!$L$11)&lt;'Entry Builder'!$E$11),--(INDEX(Sims!$A489:$BO489,'Entry Builder'!$L$11)&gt;'Entry Builder'!$E$11)))</f>
        <v/>
      </c>
      <c r="F489">
        <f>IF('Entry Builder'!$N$12=0,1,IF('Entry Builder'!$D$12="Less",--(INDEX(Sims!$A489:$BO489,'Entry Builder'!$L$12)&lt;'Entry Builder'!$E$12),--(INDEX(Sims!$A489:$BO489,'Entry Builder'!$L$12)&gt;'Entry Builder'!$E$12)))</f>
        <v/>
      </c>
      <c r="G489">
        <f>6-SUM(A489:F489)</f>
        <v/>
      </c>
    </row>
    <row r="490">
      <c r="A490">
        <f>IF('Entry Builder'!$N$7=0,1,IF('Entry Builder'!$D$7="Less",--(INDEX(Sims!$A490:$BO490,'Entry Builder'!$L$7)&lt;'Entry Builder'!$E$7),--(INDEX(Sims!$A490:$BO490,'Entry Builder'!$L$7)&gt;'Entry Builder'!$E$7)))</f>
        <v/>
      </c>
      <c r="B490">
        <f>IF('Entry Builder'!$N$8=0,1,IF('Entry Builder'!$D$8="Less",--(INDEX(Sims!$A490:$BO490,'Entry Builder'!$L$8)&lt;'Entry Builder'!$E$8),--(INDEX(Sims!$A490:$BO490,'Entry Builder'!$L$8)&gt;'Entry Builder'!$E$8)))</f>
        <v/>
      </c>
      <c r="C490">
        <f>IF('Entry Builder'!$N$9=0,1,IF('Entry Builder'!$D$9="Less",--(INDEX(Sims!$A490:$BO490,'Entry Builder'!$L$9)&lt;'Entry Builder'!$E$9),--(INDEX(Sims!$A490:$BO490,'Entry Builder'!$L$9)&gt;'Entry Builder'!$E$9)))</f>
        <v/>
      </c>
      <c r="D490">
        <f>IF('Entry Builder'!$N$10=0,1,IF('Entry Builder'!$D$10="Less",--(INDEX(Sims!$A490:$BO490,'Entry Builder'!$L$10)&lt;'Entry Builder'!$E$10),--(INDEX(Sims!$A490:$BO490,'Entry Builder'!$L$10)&gt;'Entry Builder'!$E$10)))</f>
        <v/>
      </c>
      <c r="E490">
        <f>IF('Entry Builder'!$N$11=0,1,IF('Entry Builder'!$D$11="Less",--(INDEX(Sims!$A490:$BO490,'Entry Builder'!$L$11)&lt;'Entry Builder'!$E$11),--(INDEX(Sims!$A490:$BO490,'Entry Builder'!$L$11)&gt;'Entry Builder'!$E$11)))</f>
        <v/>
      </c>
      <c r="F490">
        <f>IF('Entry Builder'!$N$12=0,1,IF('Entry Builder'!$D$12="Less",--(INDEX(Sims!$A490:$BO490,'Entry Builder'!$L$12)&lt;'Entry Builder'!$E$12),--(INDEX(Sims!$A490:$BO490,'Entry Builder'!$L$12)&gt;'Entry Builder'!$E$12)))</f>
        <v/>
      </c>
      <c r="G490">
        <f>6-SUM(A490:F490)</f>
        <v/>
      </c>
    </row>
    <row r="491">
      <c r="A491">
        <f>IF('Entry Builder'!$N$7=0,1,IF('Entry Builder'!$D$7="Less",--(INDEX(Sims!$A491:$BO491,'Entry Builder'!$L$7)&lt;'Entry Builder'!$E$7),--(INDEX(Sims!$A491:$BO491,'Entry Builder'!$L$7)&gt;'Entry Builder'!$E$7)))</f>
        <v/>
      </c>
      <c r="B491">
        <f>IF('Entry Builder'!$N$8=0,1,IF('Entry Builder'!$D$8="Less",--(INDEX(Sims!$A491:$BO491,'Entry Builder'!$L$8)&lt;'Entry Builder'!$E$8),--(INDEX(Sims!$A491:$BO491,'Entry Builder'!$L$8)&gt;'Entry Builder'!$E$8)))</f>
        <v/>
      </c>
      <c r="C491">
        <f>IF('Entry Builder'!$N$9=0,1,IF('Entry Builder'!$D$9="Less",--(INDEX(Sims!$A491:$BO491,'Entry Builder'!$L$9)&lt;'Entry Builder'!$E$9),--(INDEX(Sims!$A491:$BO491,'Entry Builder'!$L$9)&gt;'Entry Builder'!$E$9)))</f>
        <v/>
      </c>
      <c r="D491">
        <f>IF('Entry Builder'!$N$10=0,1,IF('Entry Builder'!$D$10="Less",--(INDEX(Sims!$A491:$BO491,'Entry Builder'!$L$10)&lt;'Entry Builder'!$E$10),--(INDEX(Sims!$A491:$BO491,'Entry Builder'!$L$10)&gt;'Entry Builder'!$E$10)))</f>
        <v/>
      </c>
      <c r="E491">
        <f>IF('Entry Builder'!$N$11=0,1,IF('Entry Builder'!$D$11="Less",--(INDEX(Sims!$A491:$BO491,'Entry Builder'!$L$11)&lt;'Entry Builder'!$E$11),--(INDEX(Sims!$A491:$BO491,'Entry Builder'!$L$11)&gt;'Entry Builder'!$E$11)))</f>
        <v/>
      </c>
      <c r="F491">
        <f>IF('Entry Builder'!$N$12=0,1,IF('Entry Builder'!$D$12="Less",--(INDEX(Sims!$A491:$BO491,'Entry Builder'!$L$12)&lt;'Entry Builder'!$E$12),--(INDEX(Sims!$A491:$BO491,'Entry Builder'!$L$12)&gt;'Entry Builder'!$E$12)))</f>
        <v/>
      </c>
      <c r="G491">
        <f>6-SUM(A491:F491)</f>
        <v/>
      </c>
    </row>
    <row r="492">
      <c r="A492">
        <f>IF('Entry Builder'!$N$7=0,1,IF('Entry Builder'!$D$7="Less",--(INDEX(Sims!$A492:$BO492,'Entry Builder'!$L$7)&lt;'Entry Builder'!$E$7),--(INDEX(Sims!$A492:$BO492,'Entry Builder'!$L$7)&gt;'Entry Builder'!$E$7)))</f>
        <v/>
      </c>
      <c r="B492">
        <f>IF('Entry Builder'!$N$8=0,1,IF('Entry Builder'!$D$8="Less",--(INDEX(Sims!$A492:$BO492,'Entry Builder'!$L$8)&lt;'Entry Builder'!$E$8),--(INDEX(Sims!$A492:$BO492,'Entry Builder'!$L$8)&gt;'Entry Builder'!$E$8)))</f>
        <v/>
      </c>
      <c r="C492">
        <f>IF('Entry Builder'!$N$9=0,1,IF('Entry Builder'!$D$9="Less",--(INDEX(Sims!$A492:$BO492,'Entry Builder'!$L$9)&lt;'Entry Builder'!$E$9),--(INDEX(Sims!$A492:$BO492,'Entry Builder'!$L$9)&gt;'Entry Builder'!$E$9)))</f>
        <v/>
      </c>
      <c r="D492">
        <f>IF('Entry Builder'!$N$10=0,1,IF('Entry Builder'!$D$10="Less",--(INDEX(Sims!$A492:$BO492,'Entry Builder'!$L$10)&lt;'Entry Builder'!$E$10),--(INDEX(Sims!$A492:$BO492,'Entry Builder'!$L$10)&gt;'Entry Builder'!$E$10)))</f>
        <v/>
      </c>
      <c r="E492">
        <f>IF('Entry Builder'!$N$11=0,1,IF('Entry Builder'!$D$11="Less",--(INDEX(Sims!$A492:$BO492,'Entry Builder'!$L$11)&lt;'Entry Builder'!$E$11),--(INDEX(Sims!$A492:$BO492,'Entry Builder'!$L$11)&gt;'Entry Builder'!$E$11)))</f>
        <v/>
      </c>
      <c r="F492">
        <f>IF('Entry Builder'!$N$12=0,1,IF('Entry Builder'!$D$12="Less",--(INDEX(Sims!$A492:$BO492,'Entry Builder'!$L$12)&lt;'Entry Builder'!$E$12),--(INDEX(Sims!$A492:$BO492,'Entry Builder'!$L$12)&gt;'Entry Builder'!$E$12)))</f>
        <v/>
      </c>
      <c r="G492">
        <f>6-SUM(A492:F492)</f>
        <v/>
      </c>
    </row>
    <row r="493">
      <c r="A493">
        <f>IF('Entry Builder'!$N$7=0,1,IF('Entry Builder'!$D$7="Less",--(INDEX(Sims!$A493:$BO493,'Entry Builder'!$L$7)&lt;'Entry Builder'!$E$7),--(INDEX(Sims!$A493:$BO493,'Entry Builder'!$L$7)&gt;'Entry Builder'!$E$7)))</f>
        <v/>
      </c>
      <c r="B493">
        <f>IF('Entry Builder'!$N$8=0,1,IF('Entry Builder'!$D$8="Less",--(INDEX(Sims!$A493:$BO493,'Entry Builder'!$L$8)&lt;'Entry Builder'!$E$8),--(INDEX(Sims!$A493:$BO493,'Entry Builder'!$L$8)&gt;'Entry Builder'!$E$8)))</f>
        <v/>
      </c>
      <c r="C493">
        <f>IF('Entry Builder'!$N$9=0,1,IF('Entry Builder'!$D$9="Less",--(INDEX(Sims!$A493:$BO493,'Entry Builder'!$L$9)&lt;'Entry Builder'!$E$9),--(INDEX(Sims!$A493:$BO493,'Entry Builder'!$L$9)&gt;'Entry Builder'!$E$9)))</f>
        <v/>
      </c>
      <c r="D493">
        <f>IF('Entry Builder'!$N$10=0,1,IF('Entry Builder'!$D$10="Less",--(INDEX(Sims!$A493:$BO493,'Entry Builder'!$L$10)&lt;'Entry Builder'!$E$10),--(INDEX(Sims!$A493:$BO493,'Entry Builder'!$L$10)&gt;'Entry Builder'!$E$10)))</f>
        <v/>
      </c>
      <c r="E493">
        <f>IF('Entry Builder'!$N$11=0,1,IF('Entry Builder'!$D$11="Less",--(INDEX(Sims!$A493:$BO493,'Entry Builder'!$L$11)&lt;'Entry Builder'!$E$11),--(INDEX(Sims!$A493:$BO493,'Entry Builder'!$L$11)&gt;'Entry Builder'!$E$11)))</f>
        <v/>
      </c>
      <c r="F493">
        <f>IF('Entry Builder'!$N$12=0,1,IF('Entry Builder'!$D$12="Less",--(INDEX(Sims!$A493:$BO493,'Entry Builder'!$L$12)&lt;'Entry Builder'!$E$12),--(INDEX(Sims!$A493:$BO493,'Entry Builder'!$L$12)&gt;'Entry Builder'!$E$12)))</f>
        <v/>
      </c>
      <c r="G493">
        <f>6-SUM(A493:F493)</f>
        <v/>
      </c>
    </row>
    <row r="494">
      <c r="A494">
        <f>IF('Entry Builder'!$N$7=0,1,IF('Entry Builder'!$D$7="Less",--(INDEX(Sims!$A494:$BO494,'Entry Builder'!$L$7)&lt;'Entry Builder'!$E$7),--(INDEX(Sims!$A494:$BO494,'Entry Builder'!$L$7)&gt;'Entry Builder'!$E$7)))</f>
        <v/>
      </c>
      <c r="B494">
        <f>IF('Entry Builder'!$N$8=0,1,IF('Entry Builder'!$D$8="Less",--(INDEX(Sims!$A494:$BO494,'Entry Builder'!$L$8)&lt;'Entry Builder'!$E$8),--(INDEX(Sims!$A494:$BO494,'Entry Builder'!$L$8)&gt;'Entry Builder'!$E$8)))</f>
        <v/>
      </c>
      <c r="C494">
        <f>IF('Entry Builder'!$N$9=0,1,IF('Entry Builder'!$D$9="Less",--(INDEX(Sims!$A494:$BO494,'Entry Builder'!$L$9)&lt;'Entry Builder'!$E$9),--(INDEX(Sims!$A494:$BO494,'Entry Builder'!$L$9)&gt;'Entry Builder'!$E$9)))</f>
        <v/>
      </c>
      <c r="D494">
        <f>IF('Entry Builder'!$N$10=0,1,IF('Entry Builder'!$D$10="Less",--(INDEX(Sims!$A494:$BO494,'Entry Builder'!$L$10)&lt;'Entry Builder'!$E$10),--(INDEX(Sims!$A494:$BO494,'Entry Builder'!$L$10)&gt;'Entry Builder'!$E$10)))</f>
        <v/>
      </c>
      <c r="E494">
        <f>IF('Entry Builder'!$N$11=0,1,IF('Entry Builder'!$D$11="Less",--(INDEX(Sims!$A494:$BO494,'Entry Builder'!$L$11)&lt;'Entry Builder'!$E$11),--(INDEX(Sims!$A494:$BO494,'Entry Builder'!$L$11)&gt;'Entry Builder'!$E$11)))</f>
        <v/>
      </c>
      <c r="F494">
        <f>IF('Entry Builder'!$N$12=0,1,IF('Entry Builder'!$D$12="Less",--(INDEX(Sims!$A494:$BO494,'Entry Builder'!$L$12)&lt;'Entry Builder'!$E$12),--(INDEX(Sims!$A494:$BO494,'Entry Builder'!$L$12)&gt;'Entry Builder'!$E$12)))</f>
        <v/>
      </c>
      <c r="G494">
        <f>6-SUM(A494:F494)</f>
        <v/>
      </c>
    </row>
    <row r="495">
      <c r="A495">
        <f>IF('Entry Builder'!$N$7=0,1,IF('Entry Builder'!$D$7="Less",--(INDEX(Sims!$A495:$BO495,'Entry Builder'!$L$7)&lt;'Entry Builder'!$E$7),--(INDEX(Sims!$A495:$BO495,'Entry Builder'!$L$7)&gt;'Entry Builder'!$E$7)))</f>
        <v/>
      </c>
      <c r="B495">
        <f>IF('Entry Builder'!$N$8=0,1,IF('Entry Builder'!$D$8="Less",--(INDEX(Sims!$A495:$BO495,'Entry Builder'!$L$8)&lt;'Entry Builder'!$E$8),--(INDEX(Sims!$A495:$BO495,'Entry Builder'!$L$8)&gt;'Entry Builder'!$E$8)))</f>
        <v/>
      </c>
      <c r="C495">
        <f>IF('Entry Builder'!$N$9=0,1,IF('Entry Builder'!$D$9="Less",--(INDEX(Sims!$A495:$BO495,'Entry Builder'!$L$9)&lt;'Entry Builder'!$E$9),--(INDEX(Sims!$A495:$BO495,'Entry Builder'!$L$9)&gt;'Entry Builder'!$E$9)))</f>
        <v/>
      </c>
      <c r="D495">
        <f>IF('Entry Builder'!$N$10=0,1,IF('Entry Builder'!$D$10="Less",--(INDEX(Sims!$A495:$BO495,'Entry Builder'!$L$10)&lt;'Entry Builder'!$E$10),--(INDEX(Sims!$A495:$BO495,'Entry Builder'!$L$10)&gt;'Entry Builder'!$E$10)))</f>
        <v/>
      </c>
      <c r="E495">
        <f>IF('Entry Builder'!$N$11=0,1,IF('Entry Builder'!$D$11="Less",--(INDEX(Sims!$A495:$BO495,'Entry Builder'!$L$11)&lt;'Entry Builder'!$E$11),--(INDEX(Sims!$A495:$BO495,'Entry Builder'!$L$11)&gt;'Entry Builder'!$E$11)))</f>
        <v/>
      </c>
      <c r="F495">
        <f>IF('Entry Builder'!$N$12=0,1,IF('Entry Builder'!$D$12="Less",--(INDEX(Sims!$A495:$BO495,'Entry Builder'!$L$12)&lt;'Entry Builder'!$E$12),--(INDEX(Sims!$A495:$BO495,'Entry Builder'!$L$12)&gt;'Entry Builder'!$E$12)))</f>
        <v/>
      </c>
      <c r="G495">
        <f>6-SUM(A495:F495)</f>
        <v/>
      </c>
    </row>
    <row r="496">
      <c r="A496">
        <f>IF('Entry Builder'!$N$7=0,1,IF('Entry Builder'!$D$7="Less",--(INDEX(Sims!$A496:$BO496,'Entry Builder'!$L$7)&lt;'Entry Builder'!$E$7),--(INDEX(Sims!$A496:$BO496,'Entry Builder'!$L$7)&gt;'Entry Builder'!$E$7)))</f>
        <v/>
      </c>
      <c r="B496">
        <f>IF('Entry Builder'!$N$8=0,1,IF('Entry Builder'!$D$8="Less",--(INDEX(Sims!$A496:$BO496,'Entry Builder'!$L$8)&lt;'Entry Builder'!$E$8),--(INDEX(Sims!$A496:$BO496,'Entry Builder'!$L$8)&gt;'Entry Builder'!$E$8)))</f>
        <v/>
      </c>
      <c r="C496">
        <f>IF('Entry Builder'!$N$9=0,1,IF('Entry Builder'!$D$9="Less",--(INDEX(Sims!$A496:$BO496,'Entry Builder'!$L$9)&lt;'Entry Builder'!$E$9),--(INDEX(Sims!$A496:$BO496,'Entry Builder'!$L$9)&gt;'Entry Builder'!$E$9)))</f>
        <v/>
      </c>
      <c r="D496">
        <f>IF('Entry Builder'!$N$10=0,1,IF('Entry Builder'!$D$10="Less",--(INDEX(Sims!$A496:$BO496,'Entry Builder'!$L$10)&lt;'Entry Builder'!$E$10),--(INDEX(Sims!$A496:$BO496,'Entry Builder'!$L$10)&gt;'Entry Builder'!$E$10)))</f>
        <v/>
      </c>
      <c r="E496">
        <f>IF('Entry Builder'!$N$11=0,1,IF('Entry Builder'!$D$11="Less",--(INDEX(Sims!$A496:$BO496,'Entry Builder'!$L$11)&lt;'Entry Builder'!$E$11),--(INDEX(Sims!$A496:$BO496,'Entry Builder'!$L$11)&gt;'Entry Builder'!$E$11)))</f>
        <v/>
      </c>
      <c r="F496">
        <f>IF('Entry Builder'!$N$12=0,1,IF('Entry Builder'!$D$12="Less",--(INDEX(Sims!$A496:$BO496,'Entry Builder'!$L$12)&lt;'Entry Builder'!$E$12),--(INDEX(Sims!$A496:$BO496,'Entry Builder'!$L$12)&gt;'Entry Builder'!$E$12)))</f>
        <v/>
      </c>
      <c r="G496">
        <f>6-SUM(A496:F496)</f>
        <v/>
      </c>
    </row>
    <row r="497">
      <c r="A497">
        <f>IF('Entry Builder'!$N$7=0,1,IF('Entry Builder'!$D$7="Less",--(INDEX(Sims!$A497:$BO497,'Entry Builder'!$L$7)&lt;'Entry Builder'!$E$7),--(INDEX(Sims!$A497:$BO497,'Entry Builder'!$L$7)&gt;'Entry Builder'!$E$7)))</f>
        <v/>
      </c>
      <c r="B497">
        <f>IF('Entry Builder'!$N$8=0,1,IF('Entry Builder'!$D$8="Less",--(INDEX(Sims!$A497:$BO497,'Entry Builder'!$L$8)&lt;'Entry Builder'!$E$8),--(INDEX(Sims!$A497:$BO497,'Entry Builder'!$L$8)&gt;'Entry Builder'!$E$8)))</f>
        <v/>
      </c>
      <c r="C497">
        <f>IF('Entry Builder'!$N$9=0,1,IF('Entry Builder'!$D$9="Less",--(INDEX(Sims!$A497:$BO497,'Entry Builder'!$L$9)&lt;'Entry Builder'!$E$9),--(INDEX(Sims!$A497:$BO497,'Entry Builder'!$L$9)&gt;'Entry Builder'!$E$9)))</f>
        <v/>
      </c>
      <c r="D497">
        <f>IF('Entry Builder'!$N$10=0,1,IF('Entry Builder'!$D$10="Less",--(INDEX(Sims!$A497:$BO497,'Entry Builder'!$L$10)&lt;'Entry Builder'!$E$10),--(INDEX(Sims!$A497:$BO497,'Entry Builder'!$L$10)&gt;'Entry Builder'!$E$10)))</f>
        <v/>
      </c>
      <c r="E497">
        <f>IF('Entry Builder'!$N$11=0,1,IF('Entry Builder'!$D$11="Less",--(INDEX(Sims!$A497:$BO497,'Entry Builder'!$L$11)&lt;'Entry Builder'!$E$11),--(INDEX(Sims!$A497:$BO497,'Entry Builder'!$L$11)&gt;'Entry Builder'!$E$11)))</f>
        <v/>
      </c>
      <c r="F497">
        <f>IF('Entry Builder'!$N$12=0,1,IF('Entry Builder'!$D$12="Less",--(INDEX(Sims!$A497:$BO497,'Entry Builder'!$L$12)&lt;'Entry Builder'!$E$12),--(INDEX(Sims!$A497:$BO497,'Entry Builder'!$L$12)&gt;'Entry Builder'!$E$12)))</f>
        <v/>
      </c>
      <c r="G497">
        <f>6-SUM(A497:F497)</f>
        <v/>
      </c>
    </row>
    <row r="498">
      <c r="A498">
        <f>IF('Entry Builder'!$N$7=0,1,IF('Entry Builder'!$D$7="Less",--(INDEX(Sims!$A498:$BO498,'Entry Builder'!$L$7)&lt;'Entry Builder'!$E$7),--(INDEX(Sims!$A498:$BO498,'Entry Builder'!$L$7)&gt;'Entry Builder'!$E$7)))</f>
        <v/>
      </c>
      <c r="B498">
        <f>IF('Entry Builder'!$N$8=0,1,IF('Entry Builder'!$D$8="Less",--(INDEX(Sims!$A498:$BO498,'Entry Builder'!$L$8)&lt;'Entry Builder'!$E$8),--(INDEX(Sims!$A498:$BO498,'Entry Builder'!$L$8)&gt;'Entry Builder'!$E$8)))</f>
        <v/>
      </c>
      <c r="C498">
        <f>IF('Entry Builder'!$N$9=0,1,IF('Entry Builder'!$D$9="Less",--(INDEX(Sims!$A498:$BO498,'Entry Builder'!$L$9)&lt;'Entry Builder'!$E$9),--(INDEX(Sims!$A498:$BO498,'Entry Builder'!$L$9)&gt;'Entry Builder'!$E$9)))</f>
        <v/>
      </c>
      <c r="D498">
        <f>IF('Entry Builder'!$N$10=0,1,IF('Entry Builder'!$D$10="Less",--(INDEX(Sims!$A498:$BO498,'Entry Builder'!$L$10)&lt;'Entry Builder'!$E$10),--(INDEX(Sims!$A498:$BO498,'Entry Builder'!$L$10)&gt;'Entry Builder'!$E$10)))</f>
        <v/>
      </c>
      <c r="E498">
        <f>IF('Entry Builder'!$N$11=0,1,IF('Entry Builder'!$D$11="Less",--(INDEX(Sims!$A498:$BO498,'Entry Builder'!$L$11)&lt;'Entry Builder'!$E$11),--(INDEX(Sims!$A498:$BO498,'Entry Builder'!$L$11)&gt;'Entry Builder'!$E$11)))</f>
        <v/>
      </c>
      <c r="F498">
        <f>IF('Entry Builder'!$N$12=0,1,IF('Entry Builder'!$D$12="Less",--(INDEX(Sims!$A498:$BO498,'Entry Builder'!$L$12)&lt;'Entry Builder'!$E$12),--(INDEX(Sims!$A498:$BO498,'Entry Builder'!$L$12)&gt;'Entry Builder'!$E$12)))</f>
        <v/>
      </c>
      <c r="G498">
        <f>6-SUM(A498:F498)</f>
        <v/>
      </c>
    </row>
    <row r="499">
      <c r="A499">
        <f>IF('Entry Builder'!$N$7=0,1,IF('Entry Builder'!$D$7="Less",--(INDEX(Sims!$A499:$BO499,'Entry Builder'!$L$7)&lt;'Entry Builder'!$E$7),--(INDEX(Sims!$A499:$BO499,'Entry Builder'!$L$7)&gt;'Entry Builder'!$E$7)))</f>
        <v/>
      </c>
      <c r="B499">
        <f>IF('Entry Builder'!$N$8=0,1,IF('Entry Builder'!$D$8="Less",--(INDEX(Sims!$A499:$BO499,'Entry Builder'!$L$8)&lt;'Entry Builder'!$E$8),--(INDEX(Sims!$A499:$BO499,'Entry Builder'!$L$8)&gt;'Entry Builder'!$E$8)))</f>
        <v/>
      </c>
      <c r="C499">
        <f>IF('Entry Builder'!$N$9=0,1,IF('Entry Builder'!$D$9="Less",--(INDEX(Sims!$A499:$BO499,'Entry Builder'!$L$9)&lt;'Entry Builder'!$E$9),--(INDEX(Sims!$A499:$BO499,'Entry Builder'!$L$9)&gt;'Entry Builder'!$E$9)))</f>
        <v/>
      </c>
      <c r="D499">
        <f>IF('Entry Builder'!$N$10=0,1,IF('Entry Builder'!$D$10="Less",--(INDEX(Sims!$A499:$BO499,'Entry Builder'!$L$10)&lt;'Entry Builder'!$E$10),--(INDEX(Sims!$A499:$BO499,'Entry Builder'!$L$10)&gt;'Entry Builder'!$E$10)))</f>
        <v/>
      </c>
      <c r="E499">
        <f>IF('Entry Builder'!$N$11=0,1,IF('Entry Builder'!$D$11="Less",--(INDEX(Sims!$A499:$BO499,'Entry Builder'!$L$11)&lt;'Entry Builder'!$E$11),--(INDEX(Sims!$A499:$BO499,'Entry Builder'!$L$11)&gt;'Entry Builder'!$E$11)))</f>
        <v/>
      </c>
      <c r="F499">
        <f>IF('Entry Builder'!$N$12=0,1,IF('Entry Builder'!$D$12="Less",--(INDEX(Sims!$A499:$BO499,'Entry Builder'!$L$12)&lt;'Entry Builder'!$E$12),--(INDEX(Sims!$A499:$BO499,'Entry Builder'!$L$12)&gt;'Entry Builder'!$E$12)))</f>
        <v/>
      </c>
      <c r="G499">
        <f>6-SUM(A499:F499)</f>
        <v/>
      </c>
    </row>
    <row r="500">
      <c r="A500">
        <f>IF('Entry Builder'!$N$7=0,1,IF('Entry Builder'!$D$7="Less",--(INDEX(Sims!$A500:$BO500,'Entry Builder'!$L$7)&lt;'Entry Builder'!$E$7),--(INDEX(Sims!$A500:$BO500,'Entry Builder'!$L$7)&gt;'Entry Builder'!$E$7)))</f>
        <v/>
      </c>
      <c r="B500">
        <f>IF('Entry Builder'!$N$8=0,1,IF('Entry Builder'!$D$8="Less",--(INDEX(Sims!$A500:$BO500,'Entry Builder'!$L$8)&lt;'Entry Builder'!$E$8),--(INDEX(Sims!$A500:$BO500,'Entry Builder'!$L$8)&gt;'Entry Builder'!$E$8)))</f>
        <v/>
      </c>
      <c r="C500">
        <f>IF('Entry Builder'!$N$9=0,1,IF('Entry Builder'!$D$9="Less",--(INDEX(Sims!$A500:$BO500,'Entry Builder'!$L$9)&lt;'Entry Builder'!$E$9),--(INDEX(Sims!$A500:$BO500,'Entry Builder'!$L$9)&gt;'Entry Builder'!$E$9)))</f>
        <v/>
      </c>
      <c r="D500">
        <f>IF('Entry Builder'!$N$10=0,1,IF('Entry Builder'!$D$10="Less",--(INDEX(Sims!$A500:$BO500,'Entry Builder'!$L$10)&lt;'Entry Builder'!$E$10),--(INDEX(Sims!$A500:$BO500,'Entry Builder'!$L$10)&gt;'Entry Builder'!$E$10)))</f>
        <v/>
      </c>
      <c r="E500">
        <f>IF('Entry Builder'!$N$11=0,1,IF('Entry Builder'!$D$11="Less",--(INDEX(Sims!$A500:$BO500,'Entry Builder'!$L$11)&lt;'Entry Builder'!$E$11),--(INDEX(Sims!$A500:$BO500,'Entry Builder'!$L$11)&gt;'Entry Builder'!$E$11)))</f>
        <v/>
      </c>
      <c r="F500">
        <f>IF('Entry Builder'!$N$12=0,1,IF('Entry Builder'!$D$12="Less",--(INDEX(Sims!$A500:$BO500,'Entry Builder'!$L$12)&lt;'Entry Builder'!$E$12),--(INDEX(Sims!$A500:$BO500,'Entry Builder'!$L$12)&gt;'Entry Builder'!$E$12)))</f>
        <v/>
      </c>
      <c r="G500">
        <f>6-SUM(A500:F500)</f>
        <v/>
      </c>
    </row>
    <row r="501">
      <c r="A501">
        <f>IF('Entry Builder'!$N$7=0,1,IF('Entry Builder'!$D$7="Less",--(INDEX(Sims!$A501:$BO501,'Entry Builder'!$L$7)&lt;'Entry Builder'!$E$7),--(INDEX(Sims!$A501:$BO501,'Entry Builder'!$L$7)&gt;'Entry Builder'!$E$7)))</f>
        <v/>
      </c>
      <c r="B501">
        <f>IF('Entry Builder'!$N$8=0,1,IF('Entry Builder'!$D$8="Less",--(INDEX(Sims!$A501:$BO501,'Entry Builder'!$L$8)&lt;'Entry Builder'!$E$8),--(INDEX(Sims!$A501:$BO501,'Entry Builder'!$L$8)&gt;'Entry Builder'!$E$8)))</f>
        <v/>
      </c>
      <c r="C501">
        <f>IF('Entry Builder'!$N$9=0,1,IF('Entry Builder'!$D$9="Less",--(INDEX(Sims!$A501:$BO501,'Entry Builder'!$L$9)&lt;'Entry Builder'!$E$9),--(INDEX(Sims!$A501:$BO501,'Entry Builder'!$L$9)&gt;'Entry Builder'!$E$9)))</f>
        <v/>
      </c>
      <c r="D501">
        <f>IF('Entry Builder'!$N$10=0,1,IF('Entry Builder'!$D$10="Less",--(INDEX(Sims!$A501:$BO501,'Entry Builder'!$L$10)&lt;'Entry Builder'!$E$10),--(INDEX(Sims!$A501:$BO501,'Entry Builder'!$L$10)&gt;'Entry Builder'!$E$10)))</f>
        <v/>
      </c>
      <c r="E501">
        <f>IF('Entry Builder'!$N$11=0,1,IF('Entry Builder'!$D$11="Less",--(INDEX(Sims!$A501:$BO501,'Entry Builder'!$L$11)&lt;'Entry Builder'!$E$11),--(INDEX(Sims!$A501:$BO501,'Entry Builder'!$L$11)&gt;'Entry Builder'!$E$11)))</f>
        <v/>
      </c>
      <c r="F501">
        <f>IF('Entry Builder'!$N$12=0,1,IF('Entry Builder'!$D$12="Less",--(INDEX(Sims!$A501:$BO501,'Entry Builder'!$L$12)&lt;'Entry Builder'!$E$12),--(INDEX(Sims!$A501:$BO501,'Entry Builder'!$L$12)&gt;'Entry Builder'!$E$12)))</f>
        <v/>
      </c>
      <c r="G501">
        <f>6-SUM(A501:F501)</f>
        <v/>
      </c>
    </row>
    <row r="502">
      <c r="A502">
        <f>IF('Entry Builder'!$N$7=0,1,IF('Entry Builder'!$D$7="Less",--(INDEX(Sims!$A502:$BO502,'Entry Builder'!$L$7)&lt;'Entry Builder'!$E$7),--(INDEX(Sims!$A502:$BO502,'Entry Builder'!$L$7)&gt;'Entry Builder'!$E$7)))</f>
        <v/>
      </c>
      <c r="B502">
        <f>IF('Entry Builder'!$N$8=0,1,IF('Entry Builder'!$D$8="Less",--(INDEX(Sims!$A502:$BO502,'Entry Builder'!$L$8)&lt;'Entry Builder'!$E$8),--(INDEX(Sims!$A502:$BO502,'Entry Builder'!$L$8)&gt;'Entry Builder'!$E$8)))</f>
        <v/>
      </c>
      <c r="C502">
        <f>IF('Entry Builder'!$N$9=0,1,IF('Entry Builder'!$D$9="Less",--(INDEX(Sims!$A502:$BO502,'Entry Builder'!$L$9)&lt;'Entry Builder'!$E$9),--(INDEX(Sims!$A502:$BO502,'Entry Builder'!$L$9)&gt;'Entry Builder'!$E$9)))</f>
        <v/>
      </c>
      <c r="D502">
        <f>IF('Entry Builder'!$N$10=0,1,IF('Entry Builder'!$D$10="Less",--(INDEX(Sims!$A502:$BO502,'Entry Builder'!$L$10)&lt;'Entry Builder'!$E$10),--(INDEX(Sims!$A502:$BO502,'Entry Builder'!$L$10)&gt;'Entry Builder'!$E$10)))</f>
        <v/>
      </c>
      <c r="E502">
        <f>IF('Entry Builder'!$N$11=0,1,IF('Entry Builder'!$D$11="Less",--(INDEX(Sims!$A502:$BO502,'Entry Builder'!$L$11)&lt;'Entry Builder'!$E$11),--(INDEX(Sims!$A502:$BO502,'Entry Builder'!$L$11)&gt;'Entry Builder'!$E$11)))</f>
        <v/>
      </c>
      <c r="F502">
        <f>IF('Entry Builder'!$N$12=0,1,IF('Entry Builder'!$D$12="Less",--(INDEX(Sims!$A502:$BO502,'Entry Builder'!$L$12)&lt;'Entry Builder'!$E$12),--(INDEX(Sims!$A502:$BO502,'Entry Builder'!$L$12)&gt;'Entry Builder'!$E$12)))</f>
        <v/>
      </c>
      <c r="G502">
        <f>6-SUM(A502:F502)</f>
        <v/>
      </c>
    </row>
    <row r="503">
      <c r="A503">
        <f>IF('Entry Builder'!$N$7=0,1,IF('Entry Builder'!$D$7="Less",--(INDEX(Sims!$A503:$BO503,'Entry Builder'!$L$7)&lt;'Entry Builder'!$E$7),--(INDEX(Sims!$A503:$BO503,'Entry Builder'!$L$7)&gt;'Entry Builder'!$E$7)))</f>
        <v/>
      </c>
      <c r="B503">
        <f>IF('Entry Builder'!$N$8=0,1,IF('Entry Builder'!$D$8="Less",--(INDEX(Sims!$A503:$BO503,'Entry Builder'!$L$8)&lt;'Entry Builder'!$E$8),--(INDEX(Sims!$A503:$BO503,'Entry Builder'!$L$8)&gt;'Entry Builder'!$E$8)))</f>
        <v/>
      </c>
      <c r="C503">
        <f>IF('Entry Builder'!$N$9=0,1,IF('Entry Builder'!$D$9="Less",--(INDEX(Sims!$A503:$BO503,'Entry Builder'!$L$9)&lt;'Entry Builder'!$E$9),--(INDEX(Sims!$A503:$BO503,'Entry Builder'!$L$9)&gt;'Entry Builder'!$E$9)))</f>
        <v/>
      </c>
      <c r="D503">
        <f>IF('Entry Builder'!$N$10=0,1,IF('Entry Builder'!$D$10="Less",--(INDEX(Sims!$A503:$BO503,'Entry Builder'!$L$10)&lt;'Entry Builder'!$E$10),--(INDEX(Sims!$A503:$BO503,'Entry Builder'!$L$10)&gt;'Entry Builder'!$E$10)))</f>
        <v/>
      </c>
      <c r="E503">
        <f>IF('Entry Builder'!$N$11=0,1,IF('Entry Builder'!$D$11="Less",--(INDEX(Sims!$A503:$BO503,'Entry Builder'!$L$11)&lt;'Entry Builder'!$E$11),--(INDEX(Sims!$A503:$BO503,'Entry Builder'!$L$11)&gt;'Entry Builder'!$E$11)))</f>
        <v/>
      </c>
      <c r="F503">
        <f>IF('Entry Builder'!$N$12=0,1,IF('Entry Builder'!$D$12="Less",--(INDEX(Sims!$A503:$BO503,'Entry Builder'!$L$12)&lt;'Entry Builder'!$E$12),--(INDEX(Sims!$A503:$BO503,'Entry Builder'!$L$12)&gt;'Entry Builder'!$E$12)))</f>
        <v/>
      </c>
      <c r="G503">
        <f>6-SUM(A503:F503)</f>
        <v/>
      </c>
    </row>
    <row r="504">
      <c r="A504">
        <f>IF('Entry Builder'!$N$7=0,1,IF('Entry Builder'!$D$7="Less",--(INDEX(Sims!$A504:$BO504,'Entry Builder'!$L$7)&lt;'Entry Builder'!$E$7),--(INDEX(Sims!$A504:$BO504,'Entry Builder'!$L$7)&gt;'Entry Builder'!$E$7)))</f>
        <v/>
      </c>
      <c r="B504">
        <f>IF('Entry Builder'!$N$8=0,1,IF('Entry Builder'!$D$8="Less",--(INDEX(Sims!$A504:$BO504,'Entry Builder'!$L$8)&lt;'Entry Builder'!$E$8),--(INDEX(Sims!$A504:$BO504,'Entry Builder'!$L$8)&gt;'Entry Builder'!$E$8)))</f>
        <v/>
      </c>
      <c r="C504">
        <f>IF('Entry Builder'!$N$9=0,1,IF('Entry Builder'!$D$9="Less",--(INDEX(Sims!$A504:$BO504,'Entry Builder'!$L$9)&lt;'Entry Builder'!$E$9),--(INDEX(Sims!$A504:$BO504,'Entry Builder'!$L$9)&gt;'Entry Builder'!$E$9)))</f>
        <v/>
      </c>
      <c r="D504">
        <f>IF('Entry Builder'!$N$10=0,1,IF('Entry Builder'!$D$10="Less",--(INDEX(Sims!$A504:$BO504,'Entry Builder'!$L$10)&lt;'Entry Builder'!$E$10),--(INDEX(Sims!$A504:$BO504,'Entry Builder'!$L$10)&gt;'Entry Builder'!$E$10)))</f>
        <v/>
      </c>
      <c r="E504">
        <f>IF('Entry Builder'!$N$11=0,1,IF('Entry Builder'!$D$11="Less",--(INDEX(Sims!$A504:$BO504,'Entry Builder'!$L$11)&lt;'Entry Builder'!$E$11),--(INDEX(Sims!$A504:$BO504,'Entry Builder'!$L$11)&gt;'Entry Builder'!$E$11)))</f>
        <v/>
      </c>
      <c r="F504">
        <f>IF('Entry Builder'!$N$12=0,1,IF('Entry Builder'!$D$12="Less",--(INDEX(Sims!$A504:$BO504,'Entry Builder'!$L$12)&lt;'Entry Builder'!$E$12),--(INDEX(Sims!$A504:$BO504,'Entry Builder'!$L$12)&gt;'Entry Builder'!$E$12)))</f>
        <v/>
      </c>
      <c r="G504">
        <f>6-SUM(A504:F504)</f>
        <v/>
      </c>
    </row>
    <row r="505">
      <c r="A505">
        <f>IF('Entry Builder'!$N$7=0,1,IF('Entry Builder'!$D$7="Less",--(INDEX(Sims!$A505:$BO505,'Entry Builder'!$L$7)&lt;'Entry Builder'!$E$7),--(INDEX(Sims!$A505:$BO505,'Entry Builder'!$L$7)&gt;'Entry Builder'!$E$7)))</f>
        <v/>
      </c>
      <c r="B505">
        <f>IF('Entry Builder'!$N$8=0,1,IF('Entry Builder'!$D$8="Less",--(INDEX(Sims!$A505:$BO505,'Entry Builder'!$L$8)&lt;'Entry Builder'!$E$8),--(INDEX(Sims!$A505:$BO505,'Entry Builder'!$L$8)&gt;'Entry Builder'!$E$8)))</f>
        <v/>
      </c>
      <c r="C505">
        <f>IF('Entry Builder'!$N$9=0,1,IF('Entry Builder'!$D$9="Less",--(INDEX(Sims!$A505:$BO505,'Entry Builder'!$L$9)&lt;'Entry Builder'!$E$9),--(INDEX(Sims!$A505:$BO505,'Entry Builder'!$L$9)&gt;'Entry Builder'!$E$9)))</f>
        <v/>
      </c>
      <c r="D505">
        <f>IF('Entry Builder'!$N$10=0,1,IF('Entry Builder'!$D$10="Less",--(INDEX(Sims!$A505:$BO505,'Entry Builder'!$L$10)&lt;'Entry Builder'!$E$10),--(INDEX(Sims!$A505:$BO505,'Entry Builder'!$L$10)&gt;'Entry Builder'!$E$10)))</f>
        <v/>
      </c>
      <c r="E505">
        <f>IF('Entry Builder'!$N$11=0,1,IF('Entry Builder'!$D$11="Less",--(INDEX(Sims!$A505:$BO505,'Entry Builder'!$L$11)&lt;'Entry Builder'!$E$11),--(INDEX(Sims!$A505:$BO505,'Entry Builder'!$L$11)&gt;'Entry Builder'!$E$11)))</f>
        <v/>
      </c>
      <c r="F505">
        <f>IF('Entry Builder'!$N$12=0,1,IF('Entry Builder'!$D$12="Less",--(INDEX(Sims!$A505:$BO505,'Entry Builder'!$L$12)&lt;'Entry Builder'!$E$12),--(INDEX(Sims!$A505:$BO505,'Entry Builder'!$L$12)&gt;'Entry Builder'!$E$12)))</f>
        <v/>
      </c>
      <c r="G505">
        <f>6-SUM(A505:F505)</f>
        <v/>
      </c>
    </row>
    <row r="506">
      <c r="A506">
        <f>IF('Entry Builder'!$N$7=0,1,IF('Entry Builder'!$D$7="Less",--(INDEX(Sims!$A506:$BO506,'Entry Builder'!$L$7)&lt;'Entry Builder'!$E$7),--(INDEX(Sims!$A506:$BO506,'Entry Builder'!$L$7)&gt;'Entry Builder'!$E$7)))</f>
        <v/>
      </c>
      <c r="B506">
        <f>IF('Entry Builder'!$N$8=0,1,IF('Entry Builder'!$D$8="Less",--(INDEX(Sims!$A506:$BO506,'Entry Builder'!$L$8)&lt;'Entry Builder'!$E$8),--(INDEX(Sims!$A506:$BO506,'Entry Builder'!$L$8)&gt;'Entry Builder'!$E$8)))</f>
        <v/>
      </c>
      <c r="C506">
        <f>IF('Entry Builder'!$N$9=0,1,IF('Entry Builder'!$D$9="Less",--(INDEX(Sims!$A506:$BO506,'Entry Builder'!$L$9)&lt;'Entry Builder'!$E$9),--(INDEX(Sims!$A506:$BO506,'Entry Builder'!$L$9)&gt;'Entry Builder'!$E$9)))</f>
        <v/>
      </c>
      <c r="D506">
        <f>IF('Entry Builder'!$N$10=0,1,IF('Entry Builder'!$D$10="Less",--(INDEX(Sims!$A506:$BO506,'Entry Builder'!$L$10)&lt;'Entry Builder'!$E$10),--(INDEX(Sims!$A506:$BO506,'Entry Builder'!$L$10)&gt;'Entry Builder'!$E$10)))</f>
        <v/>
      </c>
      <c r="E506">
        <f>IF('Entry Builder'!$N$11=0,1,IF('Entry Builder'!$D$11="Less",--(INDEX(Sims!$A506:$BO506,'Entry Builder'!$L$11)&lt;'Entry Builder'!$E$11),--(INDEX(Sims!$A506:$BO506,'Entry Builder'!$L$11)&gt;'Entry Builder'!$E$11)))</f>
        <v/>
      </c>
      <c r="F506">
        <f>IF('Entry Builder'!$N$12=0,1,IF('Entry Builder'!$D$12="Less",--(INDEX(Sims!$A506:$BO506,'Entry Builder'!$L$12)&lt;'Entry Builder'!$E$12),--(INDEX(Sims!$A506:$BO506,'Entry Builder'!$L$12)&gt;'Entry Builder'!$E$12)))</f>
        <v/>
      </c>
      <c r="G506">
        <f>6-SUM(A506:F506)</f>
        <v/>
      </c>
    </row>
    <row r="507">
      <c r="A507">
        <f>IF('Entry Builder'!$N$7=0,1,IF('Entry Builder'!$D$7="Less",--(INDEX(Sims!$A507:$BO507,'Entry Builder'!$L$7)&lt;'Entry Builder'!$E$7),--(INDEX(Sims!$A507:$BO507,'Entry Builder'!$L$7)&gt;'Entry Builder'!$E$7)))</f>
        <v/>
      </c>
      <c r="B507">
        <f>IF('Entry Builder'!$N$8=0,1,IF('Entry Builder'!$D$8="Less",--(INDEX(Sims!$A507:$BO507,'Entry Builder'!$L$8)&lt;'Entry Builder'!$E$8),--(INDEX(Sims!$A507:$BO507,'Entry Builder'!$L$8)&gt;'Entry Builder'!$E$8)))</f>
        <v/>
      </c>
      <c r="C507">
        <f>IF('Entry Builder'!$N$9=0,1,IF('Entry Builder'!$D$9="Less",--(INDEX(Sims!$A507:$BO507,'Entry Builder'!$L$9)&lt;'Entry Builder'!$E$9),--(INDEX(Sims!$A507:$BO507,'Entry Builder'!$L$9)&gt;'Entry Builder'!$E$9)))</f>
        <v/>
      </c>
      <c r="D507">
        <f>IF('Entry Builder'!$N$10=0,1,IF('Entry Builder'!$D$10="Less",--(INDEX(Sims!$A507:$BO507,'Entry Builder'!$L$10)&lt;'Entry Builder'!$E$10),--(INDEX(Sims!$A507:$BO507,'Entry Builder'!$L$10)&gt;'Entry Builder'!$E$10)))</f>
        <v/>
      </c>
      <c r="E507">
        <f>IF('Entry Builder'!$N$11=0,1,IF('Entry Builder'!$D$11="Less",--(INDEX(Sims!$A507:$BO507,'Entry Builder'!$L$11)&lt;'Entry Builder'!$E$11),--(INDEX(Sims!$A507:$BO507,'Entry Builder'!$L$11)&gt;'Entry Builder'!$E$11)))</f>
        <v/>
      </c>
      <c r="F507">
        <f>IF('Entry Builder'!$N$12=0,1,IF('Entry Builder'!$D$12="Less",--(INDEX(Sims!$A507:$BO507,'Entry Builder'!$L$12)&lt;'Entry Builder'!$E$12),--(INDEX(Sims!$A507:$BO507,'Entry Builder'!$L$12)&gt;'Entry Builder'!$E$12)))</f>
        <v/>
      </c>
      <c r="G507">
        <f>6-SUM(A507:F507)</f>
        <v/>
      </c>
    </row>
    <row r="508">
      <c r="A508">
        <f>IF('Entry Builder'!$N$7=0,1,IF('Entry Builder'!$D$7="Less",--(INDEX(Sims!$A508:$BO508,'Entry Builder'!$L$7)&lt;'Entry Builder'!$E$7),--(INDEX(Sims!$A508:$BO508,'Entry Builder'!$L$7)&gt;'Entry Builder'!$E$7)))</f>
        <v/>
      </c>
      <c r="B508">
        <f>IF('Entry Builder'!$N$8=0,1,IF('Entry Builder'!$D$8="Less",--(INDEX(Sims!$A508:$BO508,'Entry Builder'!$L$8)&lt;'Entry Builder'!$E$8),--(INDEX(Sims!$A508:$BO508,'Entry Builder'!$L$8)&gt;'Entry Builder'!$E$8)))</f>
        <v/>
      </c>
      <c r="C508">
        <f>IF('Entry Builder'!$N$9=0,1,IF('Entry Builder'!$D$9="Less",--(INDEX(Sims!$A508:$BO508,'Entry Builder'!$L$9)&lt;'Entry Builder'!$E$9),--(INDEX(Sims!$A508:$BO508,'Entry Builder'!$L$9)&gt;'Entry Builder'!$E$9)))</f>
        <v/>
      </c>
      <c r="D508">
        <f>IF('Entry Builder'!$N$10=0,1,IF('Entry Builder'!$D$10="Less",--(INDEX(Sims!$A508:$BO508,'Entry Builder'!$L$10)&lt;'Entry Builder'!$E$10),--(INDEX(Sims!$A508:$BO508,'Entry Builder'!$L$10)&gt;'Entry Builder'!$E$10)))</f>
        <v/>
      </c>
      <c r="E508">
        <f>IF('Entry Builder'!$N$11=0,1,IF('Entry Builder'!$D$11="Less",--(INDEX(Sims!$A508:$BO508,'Entry Builder'!$L$11)&lt;'Entry Builder'!$E$11),--(INDEX(Sims!$A508:$BO508,'Entry Builder'!$L$11)&gt;'Entry Builder'!$E$11)))</f>
        <v/>
      </c>
      <c r="F508">
        <f>IF('Entry Builder'!$N$12=0,1,IF('Entry Builder'!$D$12="Less",--(INDEX(Sims!$A508:$BO508,'Entry Builder'!$L$12)&lt;'Entry Builder'!$E$12),--(INDEX(Sims!$A508:$BO508,'Entry Builder'!$L$12)&gt;'Entry Builder'!$E$12)))</f>
        <v/>
      </c>
      <c r="G508">
        <f>6-SUM(A508:F508)</f>
        <v/>
      </c>
    </row>
    <row r="509">
      <c r="A509">
        <f>IF('Entry Builder'!$N$7=0,1,IF('Entry Builder'!$D$7="Less",--(INDEX(Sims!$A509:$BO509,'Entry Builder'!$L$7)&lt;'Entry Builder'!$E$7),--(INDEX(Sims!$A509:$BO509,'Entry Builder'!$L$7)&gt;'Entry Builder'!$E$7)))</f>
        <v/>
      </c>
      <c r="B509">
        <f>IF('Entry Builder'!$N$8=0,1,IF('Entry Builder'!$D$8="Less",--(INDEX(Sims!$A509:$BO509,'Entry Builder'!$L$8)&lt;'Entry Builder'!$E$8),--(INDEX(Sims!$A509:$BO509,'Entry Builder'!$L$8)&gt;'Entry Builder'!$E$8)))</f>
        <v/>
      </c>
      <c r="C509">
        <f>IF('Entry Builder'!$N$9=0,1,IF('Entry Builder'!$D$9="Less",--(INDEX(Sims!$A509:$BO509,'Entry Builder'!$L$9)&lt;'Entry Builder'!$E$9),--(INDEX(Sims!$A509:$BO509,'Entry Builder'!$L$9)&gt;'Entry Builder'!$E$9)))</f>
        <v/>
      </c>
      <c r="D509">
        <f>IF('Entry Builder'!$N$10=0,1,IF('Entry Builder'!$D$10="Less",--(INDEX(Sims!$A509:$BO509,'Entry Builder'!$L$10)&lt;'Entry Builder'!$E$10),--(INDEX(Sims!$A509:$BO509,'Entry Builder'!$L$10)&gt;'Entry Builder'!$E$10)))</f>
        <v/>
      </c>
      <c r="E509">
        <f>IF('Entry Builder'!$N$11=0,1,IF('Entry Builder'!$D$11="Less",--(INDEX(Sims!$A509:$BO509,'Entry Builder'!$L$11)&lt;'Entry Builder'!$E$11),--(INDEX(Sims!$A509:$BO509,'Entry Builder'!$L$11)&gt;'Entry Builder'!$E$11)))</f>
        <v/>
      </c>
      <c r="F509">
        <f>IF('Entry Builder'!$N$12=0,1,IF('Entry Builder'!$D$12="Less",--(INDEX(Sims!$A509:$BO509,'Entry Builder'!$L$12)&lt;'Entry Builder'!$E$12),--(INDEX(Sims!$A509:$BO509,'Entry Builder'!$L$12)&gt;'Entry Builder'!$E$12)))</f>
        <v/>
      </c>
      <c r="G509">
        <f>6-SUM(A509:F509)</f>
        <v/>
      </c>
    </row>
    <row r="510">
      <c r="A510">
        <f>IF('Entry Builder'!$N$7=0,1,IF('Entry Builder'!$D$7="Less",--(INDEX(Sims!$A510:$BO510,'Entry Builder'!$L$7)&lt;'Entry Builder'!$E$7),--(INDEX(Sims!$A510:$BO510,'Entry Builder'!$L$7)&gt;'Entry Builder'!$E$7)))</f>
        <v/>
      </c>
      <c r="B510">
        <f>IF('Entry Builder'!$N$8=0,1,IF('Entry Builder'!$D$8="Less",--(INDEX(Sims!$A510:$BO510,'Entry Builder'!$L$8)&lt;'Entry Builder'!$E$8),--(INDEX(Sims!$A510:$BO510,'Entry Builder'!$L$8)&gt;'Entry Builder'!$E$8)))</f>
        <v/>
      </c>
      <c r="C510">
        <f>IF('Entry Builder'!$N$9=0,1,IF('Entry Builder'!$D$9="Less",--(INDEX(Sims!$A510:$BO510,'Entry Builder'!$L$9)&lt;'Entry Builder'!$E$9),--(INDEX(Sims!$A510:$BO510,'Entry Builder'!$L$9)&gt;'Entry Builder'!$E$9)))</f>
        <v/>
      </c>
      <c r="D510">
        <f>IF('Entry Builder'!$N$10=0,1,IF('Entry Builder'!$D$10="Less",--(INDEX(Sims!$A510:$BO510,'Entry Builder'!$L$10)&lt;'Entry Builder'!$E$10),--(INDEX(Sims!$A510:$BO510,'Entry Builder'!$L$10)&gt;'Entry Builder'!$E$10)))</f>
        <v/>
      </c>
      <c r="E510">
        <f>IF('Entry Builder'!$N$11=0,1,IF('Entry Builder'!$D$11="Less",--(INDEX(Sims!$A510:$BO510,'Entry Builder'!$L$11)&lt;'Entry Builder'!$E$11),--(INDEX(Sims!$A510:$BO510,'Entry Builder'!$L$11)&gt;'Entry Builder'!$E$11)))</f>
        <v/>
      </c>
      <c r="F510">
        <f>IF('Entry Builder'!$N$12=0,1,IF('Entry Builder'!$D$12="Less",--(INDEX(Sims!$A510:$BO510,'Entry Builder'!$L$12)&lt;'Entry Builder'!$E$12),--(INDEX(Sims!$A510:$BO510,'Entry Builder'!$L$12)&gt;'Entry Builder'!$E$12)))</f>
        <v/>
      </c>
      <c r="G510">
        <f>6-SUM(A510:F510)</f>
        <v/>
      </c>
    </row>
    <row r="511">
      <c r="A511">
        <f>IF('Entry Builder'!$N$7=0,1,IF('Entry Builder'!$D$7="Less",--(INDEX(Sims!$A511:$BO511,'Entry Builder'!$L$7)&lt;'Entry Builder'!$E$7),--(INDEX(Sims!$A511:$BO511,'Entry Builder'!$L$7)&gt;'Entry Builder'!$E$7)))</f>
        <v/>
      </c>
      <c r="B511">
        <f>IF('Entry Builder'!$N$8=0,1,IF('Entry Builder'!$D$8="Less",--(INDEX(Sims!$A511:$BO511,'Entry Builder'!$L$8)&lt;'Entry Builder'!$E$8),--(INDEX(Sims!$A511:$BO511,'Entry Builder'!$L$8)&gt;'Entry Builder'!$E$8)))</f>
        <v/>
      </c>
      <c r="C511">
        <f>IF('Entry Builder'!$N$9=0,1,IF('Entry Builder'!$D$9="Less",--(INDEX(Sims!$A511:$BO511,'Entry Builder'!$L$9)&lt;'Entry Builder'!$E$9),--(INDEX(Sims!$A511:$BO511,'Entry Builder'!$L$9)&gt;'Entry Builder'!$E$9)))</f>
        <v/>
      </c>
      <c r="D511">
        <f>IF('Entry Builder'!$N$10=0,1,IF('Entry Builder'!$D$10="Less",--(INDEX(Sims!$A511:$BO511,'Entry Builder'!$L$10)&lt;'Entry Builder'!$E$10),--(INDEX(Sims!$A511:$BO511,'Entry Builder'!$L$10)&gt;'Entry Builder'!$E$10)))</f>
        <v/>
      </c>
      <c r="E511">
        <f>IF('Entry Builder'!$N$11=0,1,IF('Entry Builder'!$D$11="Less",--(INDEX(Sims!$A511:$BO511,'Entry Builder'!$L$11)&lt;'Entry Builder'!$E$11),--(INDEX(Sims!$A511:$BO511,'Entry Builder'!$L$11)&gt;'Entry Builder'!$E$11)))</f>
        <v/>
      </c>
      <c r="F511">
        <f>IF('Entry Builder'!$N$12=0,1,IF('Entry Builder'!$D$12="Less",--(INDEX(Sims!$A511:$BO511,'Entry Builder'!$L$12)&lt;'Entry Builder'!$E$12),--(INDEX(Sims!$A511:$BO511,'Entry Builder'!$L$12)&gt;'Entry Builder'!$E$12)))</f>
        <v/>
      </c>
      <c r="G511">
        <f>6-SUM(A511:F511)</f>
        <v/>
      </c>
    </row>
    <row r="512">
      <c r="A512">
        <f>IF('Entry Builder'!$N$7=0,1,IF('Entry Builder'!$D$7="Less",--(INDEX(Sims!$A512:$BO512,'Entry Builder'!$L$7)&lt;'Entry Builder'!$E$7),--(INDEX(Sims!$A512:$BO512,'Entry Builder'!$L$7)&gt;'Entry Builder'!$E$7)))</f>
        <v/>
      </c>
      <c r="B512">
        <f>IF('Entry Builder'!$N$8=0,1,IF('Entry Builder'!$D$8="Less",--(INDEX(Sims!$A512:$BO512,'Entry Builder'!$L$8)&lt;'Entry Builder'!$E$8),--(INDEX(Sims!$A512:$BO512,'Entry Builder'!$L$8)&gt;'Entry Builder'!$E$8)))</f>
        <v/>
      </c>
      <c r="C512">
        <f>IF('Entry Builder'!$N$9=0,1,IF('Entry Builder'!$D$9="Less",--(INDEX(Sims!$A512:$BO512,'Entry Builder'!$L$9)&lt;'Entry Builder'!$E$9),--(INDEX(Sims!$A512:$BO512,'Entry Builder'!$L$9)&gt;'Entry Builder'!$E$9)))</f>
        <v/>
      </c>
      <c r="D512">
        <f>IF('Entry Builder'!$N$10=0,1,IF('Entry Builder'!$D$10="Less",--(INDEX(Sims!$A512:$BO512,'Entry Builder'!$L$10)&lt;'Entry Builder'!$E$10),--(INDEX(Sims!$A512:$BO512,'Entry Builder'!$L$10)&gt;'Entry Builder'!$E$10)))</f>
        <v/>
      </c>
      <c r="E512">
        <f>IF('Entry Builder'!$N$11=0,1,IF('Entry Builder'!$D$11="Less",--(INDEX(Sims!$A512:$BO512,'Entry Builder'!$L$11)&lt;'Entry Builder'!$E$11),--(INDEX(Sims!$A512:$BO512,'Entry Builder'!$L$11)&gt;'Entry Builder'!$E$11)))</f>
        <v/>
      </c>
      <c r="F512">
        <f>IF('Entry Builder'!$N$12=0,1,IF('Entry Builder'!$D$12="Less",--(INDEX(Sims!$A512:$BO512,'Entry Builder'!$L$12)&lt;'Entry Builder'!$E$12),--(INDEX(Sims!$A512:$BO512,'Entry Builder'!$L$12)&gt;'Entry Builder'!$E$12)))</f>
        <v/>
      </c>
      <c r="G512">
        <f>6-SUM(A512:F512)</f>
        <v/>
      </c>
    </row>
    <row r="513">
      <c r="A513">
        <f>IF('Entry Builder'!$N$7=0,1,IF('Entry Builder'!$D$7="Less",--(INDEX(Sims!$A513:$BO513,'Entry Builder'!$L$7)&lt;'Entry Builder'!$E$7),--(INDEX(Sims!$A513:$BO513,'Entry Builder'!$L$7)&gt;'Entry Builder'!$E$7)))</f>
        <v/>
      </c>
      <c r="B513">
        <f>IF('Entry Builder'!$N$8=0,1,IF('Entry Builder'!$D$8="Less",--(INDEX(Sims!$A513:$BO513,'Entry Builder'!$L$8)&lt;'Entry Builder'!$E$8),--(INDEX(Sims!$A513:$BO513,'Entry Builder'!$L$8)&gt;'Entry Builder'!$E$8)))</f>
        <v/>
      </c>
      <c r="C513">
        <f>IF('Entry Builder'!$N$9=0,1,IF('Entry Builder'!$D$9="Less",--(INDEX(Sims!$A513:$BO513,'Entry Builder'!$L$9)&lt;'Entry Builder'!$E$9),--(INDEX(Sims!$A513:$BO513,'Entry Builder'!$L$9)&gt;'Entry Builder'!$E$9)))</f>
        <v/>
      </c>
      <c r="D513">
        <f>IF('Entry Builder'!$N$10=0,1,IF('Entry Builder'!$D$10="Less",--(INDEX(Sims!$A513:$BO513,'Entry Builder'!$L$10)&lt;'Entry Builder'!$E$10),--(INDEX(Sims!$A513:$BO513,'Entry Builder'!$L$10)&gt;'Entry Builder'!$E$10)))</f>
        <v/>
      </c>
      <c r="E513">
        <f>IF('Entry Builder'!$N$11=0,1,IF('Entry Builder'!$D$11="Less",--(INDEX(Sims!$A513:$BO513,'Entry Builder'!$L$11)&lt;'Entry Builder'!$E$11),--(INDEX(Sims!$A513:$BO513,'Entry Builder'!$L$11)&gt;'Entry Builder'!$E$11)))</f>
        <v/>
      </c>
      <c r="F513">
        <f>IF('Entry Builder'!$N$12=0,1,IF('Entry Builder'!$D$12="Less",--(INDEX(Sims!$A513:$BO513,'Entry Builder'!$L$12)&lt;'Entry Builder'!$E$12),--(INDEX(Sims!$A513:$BO513,'Entry Builder'!$L$12)&gt;'Entry Builder'!$E$12)))</f>
        <v/>
      </c>
      <c r="G513">
        <f>6-SUM(A513:F513)</f>
        <v/>
      </c>
    </row>
    <row r="514">
      <c r="A514">
        <f>IF('Entry Builder'!$N$7=0,1,IF('Entry Builder'!$D$7="Less",--(INDEX(Sims!$A514:$BO514,'Entry Builder'!$L$7)&lt;'Entry Builder'!$E$7),--(INDEX(Sims!$A514:$BO514,'Entry Builder'!$L$7)&gt;'Entry Builder'!$E$7)))</f>
        <v/>
      </c>
      <c r="B514">
        <f>IF('Entry Builder'!$N$8=0,1,IF('Entry Builder'!$D$8="Less",--(INDEX(Sims!$A514:$BO514,'Entry Builder'!$L$8)&lt;'Entry Builder'!$E$8),--(INDEX(Sims!$A514:$BO514,'Entry Builder'!$L$8)&gt;'Entry Builder'!$E$8)))</f>
        <v/>
      </c>
      <c r="C514">
        <f>IF('Entry Builder'!$N$9=0,1,IF('Entry Builder'!$D$9="Less",--(INDEX(Sims!$A514:$BO514,'Entry Builder'!$L$9)&lt;'Entry Builder'!$E$9),--(INDEX(Sims!$A514:$BO514,'Entry Builder'!$L$9)&gt;'Entry Builder'!$E$9)))</f>
        <v/>
      </c>
      <c r="D514">
        <f>IF('Entry Builder'!$N$10=0,1,IF('Entry Builder'!$D$10="Less",--(INDEX(Sims!$A514:$BO514,'Entry Builder'!$L$10)&lt;'Entry Builder'!$E$10),--(INDEX(Sims!$A514:$BO514,'Entry Builder'!$L$10)&gt;'Entry Builder'!$E$10)))</f>
        <v/>
      </c>
      <c r="E514">
        <f>IF('Entry Builder'!$N$11=0,1,IF('Entry Builder'!$D$11="Less",--(INDEX(Sims!$A514:$BO514,'Entry Builder'!$L$11)&lt;'Entry Builder'!$E$11),--(INDEX(Sims!$A514:$BO514,'Entry Builder'!$L$11)&gt;'Entry Builder'!$E$11)))</f>
        <v/>
      </c>
      <c r="F514">
        <f>IF('Entry Builder'!$N$12=0,1,IF('Entry Builder'!$D$12="Less",--(INDEX(Sims!$A514:$BO514,'Entry Builder'!$L$12)&lt;'Entry Builder'!$E$12),--(INDEX(Sims!$A514:$BO514,'Entry Builder'!$L$12)&gt;'Entry Builder'!$E$12)))</f>
        <v/>
      </c>
      <c r="G514">
        <f>6-SUM(A514:F514)</f>
        <v/>
      </c>
    </row>
    <row r="515">
      <c r="A515">
        <f>IF('Entry Builder'!$N$7=0,1,IF('Entry Builder'!$D$7="Less",--(INDEX(Sims!$A515:$BO515,'Entry Builder'!$L$7)&lt;'Entry Builder'!$E$7),--(INDEX(Sims!$A515:$BO515,'Entry Builder'!$L$7)&gt;'Entry Builder'!$E$7)))</f>
        <v/>
      </c>
      <c r="B515">
        <f>IF('Entry Builder'!$N$8=0,1,IF('Entry Builder'!$D$8="Less",--(INDEX(Sims!$A515:$BO515,'Entry Builder'!$L$8)&lt;'Entry Builder'!$E$8),--(INDEX(Sims!$A515:$BO515,'Entry Builder'!$L$8)&gt;'Entry Builder'!$E$8)))</f>
        <v/>
      </c>
      <c r="C515">
        <f>IF('Entry Builder'!$N$9=0,1,IF('Entry Builder'!$D$9="Less",--(INDEX(Sims!$A515:$BO515,'Entry Builder'!$L$9)&lt;'Entry Builder'!$E$9),--(INDEX(Sims!$A515:$BO515,'Entry Builder'!$L$9)&gt;'Entry Builder'!$E$9)))</f>
        <v/>
      </c>
      <c r="D515">
        <f>IF('Entry Builder'!$N$10=0,1,IF('Entry Builder'!$D$10="Less",--(INDEX(Sims!$A515:$BO515,'Entry Builder'!$L$10)&lt;'Entry Builder'!$E$10),--(INDEX(Sims!$A515:$BO515,'Entry Builder'!$L$10)&gt;'Entry Builder'!$E$10)))</f>
        <v/>
      </c>
      <c r="E515">
        <f>IF('Entry Builder'!$N$11=0,1,IF('Entry Builder'!$D$11="Less",--(INDEX(Sims!$A515:$BO515,'Entry Builder'!$L$11)&lt;'Entry Builder'!$E$11),--(INDEX(Sims!$A515:$BO515,'Entry Builder'!$L$11)&gt;'Entry Builder'!$E$11)))</f>
        <v/>
      </c>
      <c r="F515">
        <f>IF('Entry Builder'!$N$12=0,1,IF('Entry Builder'!$D$12="Less",--(INDEX(Sims!$A515:$BO515,'Entry Builder'!$L$12)&lt;'Entry Builder'!$E$12),--(INDEX(Sims!$A515:$BO515,'Entry Builder'!$L$12)&gt;'Entry Builder'!$E$12)))</f>
        <v/>
      </c>
      <c r="G515">
        <f>6-SUM(A515:F515)</f>
        <v/>
      </c>
    </row>
    <row r="516">
      <c r="A516">
        <f>IF('Entry Builder'!$N$7=0,1,IF('Entry Builder'!$D$7="Less",--(INDEX(Sims!$A516:$BO516,'Entry Builder'!$L$7)&lt;'Entry Builder'!$E$7),--(INDEX(Sims!$A516:$BO516,'Entry Builder'!$L$7)&gt;'Entry Builder'!$E$7)))</f>
        <v/>
      </c>
      <c r="B516">
        <f>IF('Entry Builder'!$N$8=0,1,IF('Entry Builder'!$D$8="Less",--(INDEX(Sims!$A516:$BO516,'Entry Builder'!$L$8)&lt;'Entry Builder'!$E$8),--(INDEX(Sims!$A516:$BO516,'Entry Builder'!$L$8)&gt;'Entry Builder'!$E$8)))</f>
        <v/>
      </c>
      <c r="C516">
        <f>IF('Entry Builder'!$N$9=0,1,IF('Entry Builder'!$D$9="Less",--(INDEX(Sims!$A516:$BO516,'Entry Builder'!$L$9)&lt;'Entry Builder'!$E$9),--(INDEX(Sims!$A516:$BO516,'Entry Builder'!$L$9)&gt;'Entry Builder'!$E$9)))</f>
        <v/>
      </c>
      <c r="D516">
        <f>IF('Entry Builder'!$N$10=0,1,IF('Entry Builder'!$D$10="Less",--(INDEX(Sims!$A516:$BO516,'Entry Builder'!$L$10)&lt;'Entry Builder'!$E$10),--(INDEX(Sims!$A516:$BO516,'Entry Builder'!$L$10)&gt;'Entry Builder'!$E$10)))</f>
        <v/>
      </c>
      <c r="E516">
        <f>IF('Entry Builder'!$N$11=0,1,IF('Entry Builder'!$D$11="Less",--(INDEX(Sims!$A516:$BO516,'Entry Builder'!$L$11)&lt;'Entry Builder'!$E$11),--(INDEX(Sims!$A516:$BO516,'Entry Builder'!$L$11)&gt;'Entry Builder'!$E$11)))</f>
        <v/>
      </c>
      <c r="F516">
        <f>IF('Entry Builder'!$N$12=0,1,IF('Entry Builder'!$D$12="Less",--(INDEX(Sims!$A516:$BO516,'Entry Builder'!$L$12)&lt;'Entry Builder'!$E$12),--(INDEX(Sims!$A516:$BO516,'Entry Builder'!$L$12)&gt;'Entry Builder'!$E$12)))</f>
        <v/>
      </c>
      <c r="G516">
        <f>6-SUM(A516:F516)</f>
        <v/>
      </c>
    </row>
    <row r="517">
      <c r="A517">
        <f>IF('Entry Builder'!$N$7=0,1,IF('Entry Builder'!$D$7="Less",--(INDEX(Sims!$A517:$BO517,'Entry Builder'!$L$7)&lt;'Entry Builder'!$E$7),--(INDEX(Sims!$A517:$BO517,'Entry Builder'!$L$7)&gt;'Entry Builder'!$E$7)))</f>
        <v/>
      </c>
      <c r="B517">
        <f>IF('Entry Builder'!$N$8=0,1,IF('Entry Builder'!$D$8="Less",--(INDEX(Sims!$A517:$BO517,'Entry Builder'!$L$8)&lt;'Entry Builder'!$E$8),--(INDEX(Sims!$A517:$BO517,'Entry Builder'!$L$8)&gt;'Entry Builder'!$E$8)))</f>
        <v/>
      </c>
      <c r="C517">
        <f>IF('Entry Builder'!$N$9=0,1,IF('Entry Builder'!$D$9="Less",--(INDEX(Sims!$A517:$BO517,'Entry Builder'!$L$9)&lt;'Entry Builder'!$E$9),--(INDEX(Sims!$A517:$BO517,'Entry Builder'!$L$9)&gt;'Entry Builder'!$E$9)))</f>
        <v/>
      </c>
      <c r="D517">
        <f>IF('Entry Builder'!$N$10=0,1,IF('Entry Builder'!$D$10="Less",--(INDEX(Sims!$A517:$BO517,'Entry Builder'!$L$10)&lt;'Entry Builder'!$E$10),--(INDEX(Sims!$A517:$BO517,'Entry Builder'!$L$10)&gt;'Entry Builder'!$E$10)))</f>
        <v/>
      </c>
      <c r="E517">
        <f>IF('Entry Builder'!$N$11=0,1,IF('Entry Builder'!$D$11="Less",--(INDEX(Sims!$A517:$BO517,'Entry Builder'!$L$11)&lt;'Entry Builder'!$E$11),--(INDEX(Sims!$A517:$BO517,'Entry Builder'!$L$11)&gt;'Entry Builder'!$E$11)))</f>
        <v/>
      </c>
      <c r="F517">
        <f>IF('Entry Builder'!$N$12=0,1,IF('Entry Builder'!$D$12="Less",--(INDEX(Sims!$A517:$BO517,'Entry Builder'!$L$12)&lt;'Entry Builder'!$E$12),--(INDEX(Sims!$A517:$BO517,'Entry Builder'!$L$12)&gt;'Entry Builder'!$E$12)))</f>
        <v/>
      </c>
      <c r="G517">
        <f>6-SUM(A517:F517)</f>
        <v/>
      </c>
    </row>
    <row r="518">
      <c r="A518">
        <f>IF('Entry Builder'!$N$7=0,1,IF('Entry Builder'!$D$7="Less",--(INDEX(Sims!$A518:$BO518,'Entry Builder'!$L$7)&lt;'Entry Builder'!$E$7),--(INDEX(Sims!$A518:$BO518,'Entry Builder'!$L$7)&gt;'Entry Builder'!$E$7)))</f>
        <v/>
      </c>
      <c r="B518">
        <f>IF('Entry Builder'!$N$8=0,1,IF('Entry Builder'!$D$8="Less",--(INDEX(Sims!$A518:$BO518,'Entry Builder'!$L$8)&lt;'Entry Builder'!$E$8),--(INDEX(Sims!$A518:$BO518,'Entry Builder'!$L$8)&gt;'Entry Builder'!$E$8)))</f>
        <v/>
      </c>
      <c r="C518">
        <f>IF('Entry Builder'!$N$9=0,1,IF('Entry Builder'!$D$9="Less",--(INDEX(Sims!$A518:$BO518,'Entry Builder'!$L$9)&lt;'Entry Builder'!$E$9),--(INDEX(Sims!$A518:$BO518,'Entry Builder'!$L$9)&gt;'Entry Builder'!$E$9)))</f>
        <v/>
      </c>
      <c r="D518">
        <f>IF('Entry Builder'!$N$10=0,1,IF('Entry Builder'!$D$10="Less",--(INDEX(Sims!$A518:$BO518,'Entry Builder'!$L$10)&lt;'Entry Builder'!$E$10),--(INDEX(Sims!$A518:$BO518,'Entry Builder'!$L$10)&gt;'Entry Builder'!$E$10)))</f>
        <v/>
      </c>
      <c r="E518">
        <f>IF('Entry Builder'!$N$11=0,1,IF('Entry Builder'!$D$11="Less",--(INDEX(Sims!$A518:$BO518,'Entry Builder'!$L$11)&lt;'Entry Builder'!$E$11),--(INDEX(Sims!$A518:$BO518,'Entry Builder'!$L$11)&gt;'Entry Builder'!$E$11)))</f>
        <v/>
      </c>
      <c r="F518">
        <f>IF('Entry Builder'!$N$12=0,1,IF('Entry Builder'!$D$12="Less",--(INDEX(Sims!$A518:$BO518,'Entry Builder'!$L$12)&lt;'Entry Builder'!$E$12),--(INDEX(Sims!$A518:$BO518,'Entry Builder'!$L$12)&gt;'Entry Builder'!$E$12)))</f>
        <v/>
      </c>
      <c r="G518">
        <f>6-SUM(A518:F518)</f>
        <v/>
      </c>
    </row>
    <row r="519">
      <c r="A519">
        <f>IF('Entry Builder'!$N$7=0,1,IF('Entry Builder'!$D$7="Less",--(INDEX(Sims!$A519:$BO519,'Entry Builder'!$L$7)&lt;'Entry Builder'!$E$7),--(INDEX(Sims!$A519:$BO519,'Entry Builder'!$L$7)&gt;'Entry Builder'!$E$7)))</f>
        <v/>
      </c>
      <c r="B519">
        <f>IF('Entry Builder'!$N$8=0,1,IF('Entry Builder'!$D$8="Less",--(INDEX(Sims!$A519:$BO519,'Entry Builder'!$L$8)&lt;'Entry Builder'!$E$8),--(INDEX(Sims!$A519:$BO519,'Entry Builder'!$L$8)&gt;'Entry Builder'!$E$8)))</f>
        <v/>
      </c>
      <c r="C519">
        <f>IF('Entry Builder'!$N$9=0,1,IF('Entry Builder'!$D$9="Less",--(INDEX(Sims!$A519:$BO519,'Entry Builder'!$L$9)&lt;'Entry Builder'!$E$9),--(INDEX(Sims!$A519:$BO519,'Entry Builder'!$L$9)&gt;'Entry Builder'!$E$9)))</f>
        <v/>
      </c>
      <c r="D519">
        <f>IF('Entry Builder'!$N$10=0,1,IF('Entry Builder'!$D$10="Less",--(INDEX(Sims!$A519:$BO519,'Entry Builder'!$L$10)&lt;'Entry Builder'!$E$10),--(INDEX(Sims!$A519:$BO519,'Entry Builder'!$L$10)&gt;'Entry Builder'!$E$10)))</f>
        <v/>
      </c>
      <c r="E519">
        <f>IF('Entry Builder'!$N$11=0,1,IF('Entry Builder'!$D$11="Less",--(INDEX(Sims!$A519:$BO519,'Entry Builder'!$L$11)&lt;'Entry Builder'!$E$11),--(INDEX(Sims!$A519:$BO519,'Entry Builder'!$L$11)&gt;'Entry Builder'!$E$11)))</f>
        <v/>
      </c>
      <c r="F519">
        <f>IF('Entry Builder'!$N$12=0,1,IF('Entry Builder'!$D$12="Less",--(INDEX(Sims!$A519:$BO519,'Entry Builder'!$L$12)&lt;'Entry Builder'!$E$12),--(INDEX(Sims!$A519:$BO519,'Entry Builder'!$L$12)&gt;'Entry Builder'!$E$12)))</f>
        <v/>
      </c>
      <c r="G519">
        <f>6-SUM(A519:F519)</f>
        <v/>
      </c>
    </row>
    <row r="520">
      <c r="A520">
        <f>IF('Entry Builder'!$N$7=0,1,IF('Entry Builder'!$D$7="Less",--(INDEX(Sims!$A520:$BO520,'Entry Builder'!$L$7)&lt;'Entry Builder'!$E$7),--(INDEX(Sims!$A520:$BO520,'Entry Builder'!$L$7)&gt;'Entry Builder'!$E$7)))</f>
        <v/>
      </c>
      <c r="B520">
        <f>IF('Entry Builder'!$N$8=0,1,IF('Entry Builder'!$D$8="Less",--(INDEX(Sims!$A520:$BO520,'Entry Builder'!$L$8)&lt;'Entry Builder'!$E$8),--(INDEX(Sims!$A520:$BO520,'Entry Builder'!$L$8)&gt;'Entry Builder'!$E$8)))</f>
        <v/>
      </c>
      <c r="C520">
        <f>IF('Entry Builder'!$N$9=0,1,IF('Entry Builder'!$D$9="Less",--(INDEX(Sims!$A520:$BO520,'Entry Builder'!$L$9)&lt;'Entry Builder'!$E$9),--(INDEX(Sims!$A520:$BO520,'Entry Builder'!$L$9)&gt;'Entry Builder'!$E$9)))</f>
        <v/>
      </c>
      <c r="D520">
        <f>IF('Entry Builder'!$N$10=0,1,IF('Entry Builder'!$D$10="Less",--(INDEX(Sims!$A520:$BO520,'Entry Builder'!$L$10)&lt;'Entry Builder'!$E$10),--(INDEX(Sims!$A520:$BO520,'Entry Builder'!$L$10)&gt;'Entry Builder'!$E$10)))</f>
        <v/>
      </c>
      <c r="E520">
        <f>IF('Entry Builder'!$N$11=0,1,IF('Entry Builder'!$D$11="Less",--(INDEX(Sims!$A520:$BO520,'Entry Builder'!$L$11)&lt;'Entry Builder'!$E$11),--(INDEX(Sims!$A520:$BO520,'Entry Builder'!$L$11)&gt;'Entry Builder'!$E$11)))</f>
        <v/>
      </c>
      <c r="F520">
        <f>IF('Entry Builder'!$N$12=0,1,IF('Entry Builder'!$D$12="Less",--(INDEX(Sims!$A520:$BO520,'Entry Builder'!$L$12)&lt;'Entry Builder'!$E$12),--(INDEX(Sims!$A520:$BO520,'Entry Builder'!$L$12)&gt;'Entry Builder'!$E$12)))</f>
        <v/>
      </c>
      <c r="G520">
        <f>6-SUM(A520:F520)</f>
        <v/>
      </c>
    </row>
    <row r="521">
      <c r="A521">
        <f>IF('Entry Builder'!$N$7=0,1,IF('Entry Builder'!$D$7="Less",--(INDEX(Sims!$A521:$BO521,'Entry Builder'!$L$7)&lt;'Entry Builder'!$E$7),--(INDEX(Sims!$A521:$BO521,'Entry Builder'!$L$7)&gt;'Entry Builder'!$E$7)))</f>
        <v/>
      </c>
      <c r="B521">
        <f>IF('Entry Builder'!$N$8=0,1,IF('Entry Builder'!$D$8="Less",--(INDEX(Sims!$A521:$BO521,'Entry Builder'!$L$8)&lt;'Entry Builder'!$E$8),--(INDEX(Sims!$A521:$BO521,'Entry Builder'!$L$8)&gt;'Entry Builder'!$E$8)))</f>
        <v/>
      </c>
      <c r="C521">
        <f>IF('Entry Builder'!$N$9=0,1,IF('Entry Builder'!$D$9="Less",--(INDEX(Sims!$A521:$BO521,'Entry Builder'!$L$9)&lt;'Entry Builder'!$E$9),--(INDEX(Sims!$A521:$BO521,'Entry Builder'!$L$9)&gt;'Entry Builder'!$E$9)))</f>
        <v/>
      </c>
      <c r="D521">
        <f>IF('Entry Builder'!$N$10=0,1,IF('Entry Builder'!$D$10="Less",--(INDEX(Sims!$A521:$BO521,'Entry Builder'!$L$10)&lt;'Entry Builder'!$E$10),--(INDEX(Sims!$A521:$BO521,'Entry Builder'!$L$10)&gt;'Entry Builder'!$E$10)))</f>
        <v/>
      </c>
      <c r="E521">
        <f>IF('Entry Builder'!$N$11=0,1,IF('Entry Builder'!$D$11="Less",--(INDEX(Sims!$A521:$BO521,'Entry Builder'!$L$11)&lt;'Entry Builder'!$E$11),--(INDEX(Sims!$A521:$BO521,'Entry Builder'!$L$11)&gt;'Entry Builder'!$E$11)))</f>
        <v/>
      </c>
      <c r="F521">
        <f>IF('Entry Builder'!$N$12=0,1,IF('Entry Builder'!$D$12="Less",--(INDEX(Sims!$A521:$BO521,'Entry Builder'!$L$12)&lt;'Entry Builder'!$E$12),--(INDEX(Sims!$A521:$BO521,'Entry Builder'!$L$12)&gt;'Entry Builder'!$E$12)))</f>
        <v/>
      </c>
      <c r="G521">
        <f>6-SUM(A521:F521)</f>
        <v/>
      </c>
    </row>
    <row r="522">
      <c r="A522">
        <f>IF('Entry Builder'!$N$7=0,1,IF('Entry Builder'!$D$7="Less",--(INDEX(Sims!$A522:$BO522,'Entry Builder'!$L$7)&lt;'Entry Builder'!$E$7),--(INDEX(Sims!$A522:$BO522,'Entry Builder'!$L$7)&gt;'Entry Builder'!$E$7)))</f>
        <v/>
      </c>
      <c r="B522">
        <f>IF('Entry Builder'!$N$8=0,1,IF('Entry Builder'!$D$8="Less",--(INDEX(Sims!$A522:$BO522,'Entry Builder'!$L$8)&lt;'Entry Builder'!$E$8),--(INDEX(Sims!$A522:$BO522,'Entry Builder'!$L$8)&gt;'Entry Builder'!$E$8)))</f>
        <v/>
      </c>
      <c r="C522">
        <f>IF('Entry Builder'!$N$9=0,1,IF('Entry Builder'!$D$9="Less",--(INDEX(Sims!$A522:$BO522,'Entry Builder'!$L$9)&lt;'Entry Builder'!$E$9),--(INDEX(Sims!$A522:$BO522,'Entry Builder'!$L$9)&gt;'Entry Builder'!$E$9)))</f>
        <v/>
      </c>
      <c r="D522">
        <f>IF('Entry Builder'!$N$10=0,1,IF('Entry Builder'!$D$10="Less",--(INDEX(Sims!$A522:$BO522,'Entry Builder'!$L$10)&lt;'Entry Builder'!$E$10),--(INDEX(Sims!$A522:$BO522,'Entry Builder'!$L$10)&gt;'Entry Builder'!$E$10)))</f>
        <v/>
      </c>
      <c r="E522">
        <f>IF('Entry Builder'!$N$11=0,1,IF('Entry Builder'!$D$11="Less",--(INDEX(Sims!$A522:$BO522,'Entry Builder'!$L$11)&lt;'Entry Builder'!$E$11),--(INDEX(Sims!$A522:$BO522,'Entry Builder'!$L$11)&gt;'Entry Builder'!$E$11)))</f>
        <v/>
      </c>
      <c r="F522">
        <f>IF('Entry Builder'!$N$12=0,1,IF('Entry Builder'!$D$12="Less",--(INDEX(Sims!$A522:$BO522,'Entry Builder'!$L$12)&lt;'Entry Builder'!$E$12),--(INDEX(Sims!$A522:$BO522,'Entry Builder'!$L$12)&gt;'Entry Builder'!$E$12)))</f>
        <v/>
      </c>
      <c r="G522">
        <f>6-SUM(A522:F522)</f>
        <v/>
      </c>
    </row>
    <row r="523">
      <c r="A523">
        <f>IF('Entry Builder'!$N$7=0,1,IF('Entry Builder'!$D$7="Less",--(INDEX(Sims!$A523:$BO523,'Entry Builder'!$L$7)&lt;'Entry Builder'!$E$7),--(INDEX(Sims!$A523:$BO523,'Entry Builder'!$L$7)&gt;'Entry Builder'!$E$7)))</f>
        <v/>
      </c>
      <c r="B523">
        <f>IF('Entry Builder'!$N$8=0,1,IF('Entry Builder'!$D$8="Less",--(INDEX(Sims!$A523:$BO523,'Entry Builder'!$L$8)&lt;'Entry Builder'!$E$8),--(INDEX(Sims!$A523:$BO523,'Entry Builder'!$L$8)&gt;'Entry Builder'!$E$8)))</f>
        <v/>
      </c>
      <c r="C523">
        <f>IF('Entry Builder'!$N$9=0,1,IF('Entry Builder'!$D$9="Less",--(INDEX(Sims!$A523:$BO523,'Entry Builder'!$L$9)&lt;'Entry Builder'!$E$9),--(INDEX(Sims!$A523:$BO523,'Entry Builder'!$L$9)&gt;'Entry Builder'!$E$9)))</f>
        <v/>
      </c>
      <c r="D523">
        <f>IF('Entry Builder'!$N$10=0,1,IF('Entry Builder'!$D$10="Less",--(INDEX(Sims!$A523:$BO523,'Entry Builder'!$L$10)&lt;'Entry Builder'!$E$10),--(INDEX(Sims!$A523:$BO523,'Entry Builder'!$L$10)&gt;'Entry Builder'!$E$10)))</f>
        <v/>
      </c>
      <c r="E523">
        <f>IF('Entry Builder'!$N$11=0,1,IF('Entry Builder'!$D$11="Less",--(INDEX(Sims!$A523:$BO523,'Entry Builder'!$L$11)&lt;'Entry Builder'!$E$11),--(INDEX(Sims!$A523:$BO523,'Entry Builder'!$L$11)&gt;'Entry Builder'!$E$11)))</f>
        <v/>
      </c>
      <c r="F523">
        <f>IF('Entry Builder'!$N$12=0,1,IF('Entry Builder'!$D$12="Less",--(INDEX(Sims!$A523:$BO523,'Entry Builder'!$L$12)&lt;'Entry Builder'!$E$12),--(INDEX(Sims!$A523:$BO523,'Entry Builder'!$L$12)&gt;'Entry Builder'!$E$12)))</f>
        <v/>
      </c>
      <c r="G523">
        <f>6-SUM(A523:F523)</f>
        <v/>
      </c>
    </row>
    <row r="524">
      <c r="A524">
        <f>IF('Entry Builder'!$N$7=0,1,IF('Entry Builder'!$D$7="Less",--(INDEX(Sims!$A524:$BO524,'Entry Builder'!$L$7)&lt;'Entry Builder'!$E$7),--(INDEX(Sims!$A524:$BO524,'Entry Builder'!$L$7)&gt;'Entry Builder'!$E$7)))</f>
        <v/>
      </c>
      <c r="B524">
        <f>IF('Entry Builder'!$N$8=0,1,IF('Entry Builder'!$D$8="Less",--(INDEX(Sims!$A524:$BO524,'Entry Builder'!$L$8)&lt;'Entry Builder'!$E$8),--(INDEX(Sims!$A524:$BO524,'Entry Builder'!$L$8)&gt;'Entry Builder'!$E$8)))</f>
        <v/>
      </c>
      <c r="C524">
        <f>IF('Entry Builder'!$N$9=0,1,IF('Entry Builder'!$D$9="Less",--(INDEX(Sims!$A524:$BO524,'Entry Builder'!$L$9)&lt;'Entry Builder'!$E$9),--(INDEX(Sims!$A524:$BO524,'Entry Builder'!$L$9)&gt;'Entry Builder'!$E$9)))</f>
        <v/>
      </c>
      <c r="D524">
        <f>IF('Entry Builder'!$N$10=0,1,IF('Entry Builder'!$D$10="Less",--(INDEX(Sims!$A524:$BO524,'Entry Builder'!$L$10)&lt;'Entry Builder'!$E$10),--(INDEX(Sims!$A524:$BO524,'Entry Builder'!$L$10)&gt;'Entry Builder'!$E$10)))</f>
        <v/>
      </c>
      <c r="E524">
        <f>IF('Entry Builder'!$N$11=0,1,IF('Entry Builder'!$D$11="Less",--(INDEX(Sims!$A524:$BO524,'Entry Builder'!$L$11)&lt;'Entry Builder'!$E$11),--(INDEX(Sims!$A524:$BO524,'Entry Builder'!$L$11)&gt;'Entry Builder'!$E$11)))</f>
        <v/>
      </c>
      <c r="F524">
        <f>IF('Entry Builder'!$N$12=0,1,IF('Entry Builder'!$D$12="Less",--(INDEX(Sims!$A524:$BO524,'Entry Builder'!$L$12)&lt;'Entry Builder'!$E$12),--(INDEX(Sims!$A524:$BO524,'Entry Builder'!$L$12)&gt;'Entry Builder'!$E$12)))</f>
        <v/>
      </c>
      <c r="G524">
        <f>6-SUM(A524:F524)</f>
        <v/>
      </c>
    </row>
    <row r="525">
      <c r="A525">
        <f>IF('Entry Builder'!$N$7=0,1,IF('Entry Builder'!$D$7="Less",--(INDEX(Sims!$A525:$BO525,'Entry Builder'!$L$7)&lt;'Entry Builder'!$E$7),--(INDEX(Sims!$A525:$BO525,'Entry Builder'!$L$7)&gt;'Entry Builder'!$E$7)))</f>
        <v/>
      </c>
      <c r="B525">
        <f>IF('Entry Builder'!$N$8=0,1,IF('Entry Builder'!$D$8="Less",--(INDEX(Sims!$A525:$BO525,'Entry Builder'!$L$8)&lt;'Entry Builder'!$E$8),--(INDEX(Sims!$A525:$BO525,'Entry Builder'!$L$8)&gt;'Entry Builder'!$E$8)))</f>
        <v/>
      </c>
      <c r="C525">
        <f>IF('Entry Builder'!$N$9=0,1,IF('Entry Builder'!$D$9="Less",--(INDEX(Sims!$A525:$BO525,'Entry Builder'!$L$9)&lt;'Entry Builder'!$E$9),--(INDEX(Sims!$A525:$BO525,'Entry Builder'!$L$9)&gt;'Entry Builder'!$E$9)))</f>
        <v/>
      </c>
      <c r="D525">
        <f>IF('Entry Builder'!$N$10=0,1,IF('Entry Builder'!$D$10="Less",--(INDEX(Sims!$A525:$BO525,'Entry Builder'!$L$10)&lt;'Entry Builder'!$E$10),--(INDEX(Sims!$A525:$BO525,'Entry Builder'!$L$10)&gt;'Entry Builder'!$E$10)))</f>
        <v/>
      </c>
      <c r="E525">
        <f>IF('Entry Builder'!$N$11=0,1,IF('Entry Builder'!$D$11="Less",--(INDEX(Sims!$A525:$BO525,'Entry Builder'!$L$11)&lt;'Entry Builder'!$E$11),--(INDEX(Sims!$A525:$BO525,'Entry Builder'!$L$11)&gt;'Entry Builder'!$E$11)))</f>
        <v/>
      </c>
      <c r="F525">
        <f>IF('Entry Builder'!$N$12=0,1,IF('Entry Builder'!$D$12="Less",--(INDEX(Sims!$A525:$BO525,'Entry Builder'!$L$12)&lt;'Entry Builder'!$E$12),--(INDEX(Sims!$A525:$BO525,'Entry Builder'!$L$12)&gt;'Entry Builder'!$E$12)))</f>
        <v/>
      </c>
      <c r="G525">
        <f>6-SUM(A525:F525)</f>
        <v/>
      </c>
    </row>
    <row r="526">
      <c r="A526">
        <f>IF('Entry Builder'!$N$7=0,1,IF('Entry Builder'!$D$7="Less",--(INDEX(Sims!$A526:$BO526,'Entry Builder'!$L$7)&lt;'Entry Builder'!$E$7),--(INDEX(Sims!$A526:$BO526,'Entry Builder'!$L$7)&gt;'Entry Builder'!$E$7)))</f>
        <v/>
      </c>
      <c r="B526">
        <f>IF('Entry Builder'!$N$8=0,1,IF('Entry Builder'!$D$8="Less",--(INDEX(Sims!$A526:$BO526,'Entry Builder'!$L$8)&lt;'Entry Builder'!$E$8),--(INDEX(Sims!$A526:$BO526,'Entry Builder'!$L$8)&gt;'Entry Builder'!$E$8)))</f>
        <v/>
      </c>
      <c r="C526">
        <f>IF('Entry Builder'!$N$9=0,1,IF('Entry Builder'!$D$9="Less",--(INDEX(Sims!$A526:$BO526,'Entry Builder'!$L$9)&lt;'Entry Builder'!$E$9),--(INDEX(Sims!$A526:$BO526,'Entry Builder'!$L$9)&gt;'Entry Builder'!$E$9)))</f>
        <v/>
      </c>
      <c r="D526">
        <f>IF('Entry Builder'!$N$10=0,1,IF('Entry Builder'!$D$10="Less",--(INDEX(Sims!$A526:$BO526,'Entry Builder'!$L$10)&lt;'Entry Builder'!$E$10),--(INDEX(Sims!$A526:$BO526,'Entry Builder'!$L$10)&gt;'Entry Builder'!$E$10)))</f>
        <v/>
      </c>
      <c r="E526">
        <f>IF('Entry Builder'!$N$11=0,1,IF('Entry Builder'!$D$11="Less",--(INDEX(Sims!$A526:$BO526,'Entry Builder'!$L$11)&lt;'Entry Builder'!$E$11),--(INDEX(Sims!$A526:$BO526,'Entry Builder'!$L$11)&gt;'Entry Builder'!$E$11)))</f>
        <v/>
      </c>
      <c r="F526">
        <f>IF('Entry Builder'!$N$12=0,1,IF('Entry Builder'!$D$12="Less",--(INDEX(Sims!$A526:$BO526,'Entry Builder'!$L$12)&lt;'Entry Builder'!$E$12),--(INDEX(Sims!$A526:$BO526,'Entry Builder'!$L$12)&gt;'Entry Builder'!$E$12)))</f>
        <v/>
      </c>
      <c r="G526">
        <f>6-SUM(A526:F526)</f>
        <v/>
      </c>
    </row>
    <row r="527">
      <c r="A527">
        <f>IF('Entry Builder'!$N$7=0,1,IF('Entry Builder'!$D$7="Less",--(INDEX(Sims!$A527:$BO527,'Entry Builder'!$L$7)&lt;'Entry Builder'!$E$7),--(INDEX(Sims!$A527:$BO527,'Entry Builder'!$L$7)&gt;'Entry Builder'!$E$7)))</f>
        <v/>
      </c>
      <c r="B527">
        <f>IF('Entry Builder'!$N$8=0,1,IF('Entry Builder'!$D$8="Less",--(INDEX(Sims!$A527:$BO527,'Entry Builder'!$L$8)&lt;'Entry Builder'!$E$8),--(INDEX(Sims!$A527:$BO527,'Entry Builder'!$L$8)&gt;'Entry Builder'!$E$8)))</f>
        <v/>
      </c>
      <c r="C527">
        <f>IF('Entry Builder'!$N$9=0,1,IF('Entry Builder'!$D$9="Less",--(INDEX(Sims!$A527:$BO527,'Entry Builder'!$L$9)&lt;'Entry Builder'!$E$9),--(INDEX(Sims!$A527:$BO527,'Entry Builder'!$L$9)&gt;'Entry Builder'!$E$9)))</f>
        <v/>
      </c>
      <c r="D527">
        <f>IF('Entry Builder'!$N$10=0,1,IF('Entry Builder'!$D$10="Less",--(INDEX(Sims!$A527:$BO527,'Entry Builder'!$L$10)&lt;'Entry Builder'!$E$10),--(INDEX(Sims!$A527:$BO527,'Entry Builder'!$L$10)&gt;'Entry Builder'!$E$10)))</f>
        <v/>
      </c>
      <c r="E527">
        <f>IF('Entry Builder'!$N$11=0,1,IF('Entry Builder'!$D$11="Less",--(INDEX(Sims!$A527:$BO527,'Entry Builder'!$L$11)&lt;'Entry Builder'!$E$11),--(INDEX(Sims!$A527:$BO527,'Entry Builder'!$L$11)&gt;'Entry Builder'!$E$11)))</f>
        <v/>
      </c>
      <c r="F527">
        <f>IF('Entry Builder'!$N$12=0,1,IF('Entry Builder'!$D$12="Less",--(INDEX(Sims!$A527:$BO527,'Entry Builder'!$L$12)&lt;'Entry Builder'!$E$12),--(INDEX(Sims!$A527:$BO527,'Entry Builder'!$L$12)&gt;'Entry Builder'!$E$12)))</f>
        <v/>
      </c>
      <c r="G527">
        <f>6-SUM(A527:F527)</f>
        <v/>
      </c>
    </row>
    <row r="528">
      <c r="A528">
        <f>IF('Entry Builder'!$N$7=0,1,IF('Entry Builder'!$D$7="Less",--(INDEX(Sims!$A528:$BO528,'Entry Builder'!$L$7)&lt;'Entry Builder'!$E$7),--(INDEX(Sims!$A528:$BO528,'Entry Builder'!$L$7)&gt;'Entry Builder'!$E$7)))</f>
        <v/>
      </c>
      <c r="B528">
        <f>IF('Entry Builder'!$N$8=0,1,IF('Entry Builder'!$D$8="Less",--(INDEX(Sims!$A528:$BO528,'Entry Builder'!$L$8)&lt;'Entry Builder'!$E$8),--(INDEX(Sims!$A528:$BO528,'Entry Builder'!$L$8)&gt;'Entry Builder'!$E$8)))</f>
        <v/>
      </c>
      <c r="C528">
        <f>IF('Entry Builder'!$N$9=0,1,IF('Entry Builder'!$D$9="Less",--(INDEX(Sims!$A528:$BO528,'Entry Builder'!$L$9)&lt;'Entry Builder'!$E$9),--(INDEX(Sims!$A528:$BO528,'Entry Builder'!$L$9)&gt;'Entry Builder'!$E$9)))</f>
        <v/>
      </c>
      <c r="D528">
        <f>IF('Entry Builder'!$N$10=0,1,IF('Entry Builder'!$D$10="Less",--(INDEX(Sims!$A528:$BO528,'Entry Builder'!$L$10)&lt;'Entry Builder'!$E$10),--(INDEX(Sims!$A528:$BO528,'Entry Builder'!$L$10)&gt;'Entry Builder'!$E$10)))</f>
        <v/>
      </c>
      <c r="E528">
        <f>IF('Entry Builder'!$N$11=0,1,IF('Entry Builder'!$D$11="Less",--(INDEX(Sims!$A528:$BO528,'Entry Builder'!$L$11)&lt;'Entry Builder'!$E$11),--(INDEX(Sims!$A528:$BO528,'Entry Builder'!$L$11)&gt;'Entry Builder'!$E$11)))</f>
        <v/>
      </c>
      <c r="F528">
        <f>IF('Entry Builder'!$N$12=0,1,IF('Entry Builder'!$D$12="Less",--(INDEX(Sims!$A528:$BO528,'Entry Builder'!$L$12)&lt;'Entry Builder'!$E$12),--(INDEX(Sims!$A528:$BO528,'Entry Builder'!$L$12)&gt;'Entry Builder'!$E$12)))</f>
        <v/>
      </c>
      <c r="G528">
        <f>6-SUM(A528:F528)</f>
        <v/>
      </c>
    </row>
    <row r="529">
      <c r="A529">
        <f>IF('Entry Builder'!$N$7=0,1,IF('Entry Builder'!$D$7="Less",--(INDEX(Sims!$A529:$BO529,'Entry Builder'!$L$7)&lt;'Entry Builder'!$E$7),--(INDEX(Sims!$A529:$BO529,'Entry Builder'!$L$7)&gt;'Entry Builder'!$E$7)))</f>
        <v/>
      </c>
      <c r="B529">
        <f>IF('Entry Builder'!$N$8=0,1,IF('Entry Builder'!$D$8="Less",--(INDEX(Sims!$A529:$BO529,'Entry Builder'!$L$8)&lt;'Entry Builder'!$E$8),--(INDEX(Sims!$A529:$BO529,'Entry Builder'!$L$8)&gt;'Entry Builder'!$E$8)))</f>
        <v/>
      </c>
      <c r="C529">
        <f>IF('Entry Builder'!$N$9=0,1,IF('Entry Builder'!$D$9="Less",--(INDEX(Sims!$A529:$BO529,'Entry Builder'!$L$9)&lt;'Entry Builder'!$E$9),--(INDEX(Sims!$A529:$BO529,'Entry Builder'!$L$9)&gt;'Entry Builder'!$E$9)))</f>
        <v/>
      </c>
      <c r="D529">
        <f>IF('Entry Builder'!$N$10=0,1,IF('Entry Builder'!$D$10="Less",--(INDEX(Sims!$A529:$BO529,'Entry Builder'!$L$10)&lt;'Entry Builder'!$E$10),--(INDEX(Sims!$A529:$BO529,'Entry Builder'!$L$10)&gt;'Entry Builder'!$E$10)))</f>
        <v/>
      </c>
      <c r="E529">
        <f>IF('Entry Builder'!$N$11=0,1,IF('Entry Builder'!$D$11="Less",--(INDEX(Sims!$A529:$BO529,'Entry Builder'!$L$11)&lt;'Entry Builder'!$E$11),--(INDEX(Sims!$A529:$BO529,'Entry Builder'!$L$11)&gt;'Entry Builder'!$E$11)))</f>
        <v/>
      </c>
      <c r="F529">
        <f>IF('Entry Builder'!$N$12=0,1,IF('Entry Builder'!$D$12="Less",--(INDEX(Sims!$A529:$BO529,'Entry Builder'!$L$12)&lt;'Entry Builder'!$E$12),--(INDEX(Sims!$A529:$BO529,'Entry Builder'!$L$12)&gt;'Entry Builder'!$E$12)))</f>
        <v/>
      </c>
      <c r="G529">
        <f>6-SUM(A529:F529)</f>
        <v/>
      </c>
    </row>
    <row r="530">
      <c r="A530">
        <f>IF('Entry Builder'!$N$7=0,1,IF('Entry Builder'!$D$7="Less",--(INDEX(Sims!$A530:$BO530,'Entry Builder'!$L$7)&lt;'Entry Builder'!$E$7),--(INDEX(Sims!$A530:$BO530,'Entry Builder'!$L$7)&gt;'Entry Builder'!$E$7)))</f>
        <v/>
      </c>
      <c r="B530">
        <f>IF('Entry Builder'!$N$8=0,1,IF('Entry Builder'!$D$8="Less",--(INDEX(Sims!$A530:$BO530,'Entry Builder'!$L$8)&lt;'Entry Builder'!$E$8),--(INDEX(Sims!$A530:$BO530,'Entry Builder'!$L$8)&gt;'Entry Builder'!$E$8)))</f>
        <v/>
      </c>
      <c r="C530">
        <f>IF('Entry Builder'!$N$9=0,1,IF('Entry Builder'!$D$9="Less",--(INDEX(Sims!$A530:$BO530,'Entry Builder'!$L$9)&lt;'Entry Builder'!$E$9),--(INDEX(Sims!$A530:$BO530,'Entry Builder'!$L$9)&gt;'Entry Builder'!$E$9)))</f>
        <v/>
      </c>
      <c r="D530">
        <f>IF('Entry Builder'!$N$10=0,1,IF('Entry Builder'!$D$10="Less",--(INDEX(Sims!$A530:$BO530,'Entry Builder'!$L$10)&lt;'Entry Builder'!$E$10),--(INDEX(Sims!$A530:$BO530,'Entry Builder'!$L$10)&gt;'Entry Builder'!$E$10)))</f>
        <v/>
      </c>
      <c r="E530">
        <f>IF('Entry Builder'!$N$11=0,1,IF('Entry Builder'!$D$11="Less",--(INDEX(Sims!$A530:$BO530,'Entry Builder'!$L$11)&lt;'Entry Builder'!$E$11),--(INDEX(Sims!$A530:$BO530,'Entry Builder'!$L$11)&gt;'Entry Builder'!$E$11)))</f>
        <v/>
      </c>
      <c r="F530">
        <f>IF('Entry Builder'!$N$12=0,1,IF('Entry Builder'!$D$12="Less",--(INDEX(Sims!$A530:$BO530,'Entry Builder'!$L$12)&lt;'Entry Builder'!$E$12),--(INDEX(Sims!$A530:$BO530,'Entry Builder'!$L$12)&gt;'Entry Builder'!$E$12)))</f>
        <v/>
      </c>
      <c r="G530">
        <f>6-SUM(A530:F530)</f>
        <v/>
      </c>
    </row>
    <row r="531">
      <c r="A531">
        <f>IF('Entry Builder'!$N$7=0,1,IF('Entry Builder'!$D$7="Less",--(INDEX(Sims!$A531:$BO531,'Entry Builder'!$L$7)&lt;'Entry Builder'!$E$7),--(INDEX(Sims!$A531:$BO531,'Entry Builder'!$L$7)&gt;'Entry Builder'!$E$7)))</f>
        <v/>
      </c>
      <c r="B531">
        <f>IF('Entry Builder'!$N$8=0,1,IF('Entry Builder'!$D$8="Less",--(INDEX(Sims!$A531:$BO531,'Entry Builder'!$L$8)&lt;'Entry Builder'!$E$8),--(INDEX(Sims!$A531:$BO531,'Entry Builder'!$L$8)&gt;'Entry Builder'!$E$8)))</f>
        <v/>
      </c>
      <c r="C531">
        <f>IF('Entry Builder'!$N$9=0,1,IF('Entry Builder'!$D$9="Less",--(INDEX(Sims!$A531:$BO531,'Entry Builder'!$L$9)&lt;'Entry Builder'!$E$9),--(INDEX(Sims!$A531:$BO531,'Entry Builder'!$L$9)&gt;'Entry Builder'!$E$9)))</f>
        <v/>
      </c>
      <c r="D531">
        <f>IF('Entry Builder'!$N$10=0,1,IF('Entry Builder'!$D$10="Less",--(INDEX(Sims!$A531:$BO531,'Entry Builder'!$L$10)&lt;'Entry Builder'!$E$10),--(INDEX(Sims!$A531:$BO531,'Entry Builder'!$L$10)&gt;'Entry Builder'!$E$10)))</f>
        <v/>
      </c>
      <c r="E531">
        <f>IF('Entry Builder'!$N$11=0,1,IF('Entry Builder'!$D$11="Less",--(INDEX(Sims!$A531:$BO531,'Entry Builder'!$L$11)&lt;'Entry Builder'!$E$11),--(INDEX(Sims!$A531:$BO531,'Entry Builder'!$L$11)&gt;'Entry Builder'!$E$11)))</f>
        <v/>
      </c>
      <c r="F531">
        <f>IF('Entry Builder'!$N$12=0,1,IF('Entry Builder'!$D$12="Less",--(INDEX(Sims!$A531:$BO531,'Entry Builder'!$L$12)&lt;'Entry Builder'!$E$12),--(INDEX(Sims!$A531:$BO531,'Entry Builder'!$L$12)&gt;'Entry Builder'!$E$12)))</f>
        <v/>
      </c>
      <c r="G531">
        <f>6-SUM(A531:F531)</f>
        <v/>
      </c>
    </row>
    <row r="532">
      <c r="A532">
        <f>IF('Entry Builder'!$N$7=0,1,IF('Entry Builder'!$D$7="Less",--(INDEX(Sims!$A532:$BO532,'Entry Builder'!$L$7)&lt;'Entry Builder'!$E$7),--(INDEX(Sims!$A532:$BO532,'Entry Builder'!$L$7)&gt;'Entry Builder'!$E$7)))</f>
        <v/>
      </c>
      <c r="B532">
        <f>IF('Entry Builder'!$N$8=0,1,IF('Entry Builder'!$D$8="Less",--(INDEX(Sims!$A532:$BO532,'Entry Builder'!$L$8)&lt;'Entry Builder'!$E$8),--(INDEX(Sims!$A532:$BO532,'Entry Builder'!$L$8)&gt;'Entry Builder'!$E$8)))</f>
        <v/>
      </c>
      <c r="C532">
        <f>IF('Entry Builder'!$N$9=0,1,IF('Entry Builder'!$D$9="Less",--(INDEX(Sims!$A532:$BO532,'Entry Builder'!$L$9)&lt;'Entry Builder'!$E$9),--(INDEX(Sims!$A532:$BO532,'Entry Builder'!$L$9)&gt;'Entry Builder'!$E$9)))</f>
        <v/>
      </c>
      <c r="D532">
        <f>IF('Entry Builder'!$N$10=0,1,IF('Entry Builder'!$D$10="Less",--(INDEX(Sims!$A532:$BO532,'Entry Builder'!$L$10)&lt;'Entry Builder'!$E$10),--(INDEX(Sims!$A532:$BO532,'Entry Builder'!$L$10)&gt;'Entry Builder'!$E$10)))</f>
        <v/>
      </c>
      <c r="E532">
        <f>IF('Entry Builder'!$N$11=0,1,IF('Entry Builder'!$D$11="Less",--(INDEX(Sims!$A532:$BO532,'Entry Builder'!$L$11)&lt;'Entry Builder'!$E$11),--(INDEX(Sims!$A532:$BO532,'Entry Builder'!$L$11)&gt;'Entry Builder'!$E$11)))</f>
        <v/>
      </c>
      <c r="F532">
        <f>IF('Entry Builder'!$N$12=0,1,IF('Entry Builder'!$D$12="Less",--(INDEX(Sims!$A532:$BO532,'Entry Builder'!$L$12)&lt;'Entry Builder'!$E$12),--(INDEX(Sims!$A532:$BO532,'Entry Builder'!$L$12)&gt;'Entry Builder'!$E$12)))</f>
        <v/>
      </c>
      <c r="G532">
        <f>6-SUM(A532:F532)</f>
        <v/>
      </c>
    </row>
    <row r="533">
      <c r="A533">
        <f>IF('Entry Builder'!$N$7=0,1,IF('Entry Builder'!$D$7="Less",--(INDEX(Sims!$A533:$BO533,'Entry Builder'!$L$7)&lt;'Entry Builder'!$E$7),--(INDEX(Sims!$A533:$BO533,'Entry Builder'!$L$7)&gt;'Entry Builder'!$E$7)))</f>
        <v/>
      </c>
      <c r="B533">
        <f>IF('Entry Builder'!$N$8=0,1,IF('Entry Builder'!$D$8="Less",--(INDEX(Sims!$A533:$BO533,'Entry Builder'!$L$8)&lt;'Entry Builder'!$E$8),--(INDEX(Sims!$A533:$BO533,'Entry Builder'!$L$8)&gt;'Entry Builder'!$E$8)))</f>
        <v/>
      </c>
      <c r="C533">
        <f>IF('Entry Builder'!$N$9=0,1,IF('Entry Builder'!$D$9="Less",--(INDEX(Sims!$A533:$BO533,'Entry Builder'!$L$9)&lt;'Entry Builder'!$E$9),--(INDEX(Sims!$A533:$BO533,'Entry Builder'!$L$9)&gt;'Entry Builder'!$E$9)))</f>
        <v/>
      </c>
      <c r="D533">
        <f>IF('Entry Builder'!$N$10=0,1,IF('Entry Builder'!$D$10="Less",--(INDEX(Sims!$A533:$BO533,'Entry Builder'!$L$10)&lt;'Entry Builder'!$E$10),--(INDEX(Sims!$A533:$BO533,'Entry Builder'!$L$10)&gt;'Entry Builder'!$E$10)))</f>
        <v/>
      </c>
      <c r="E533">
        <f>IF('Entry Builder'!$N$11=0,1,IF('Entry Builder'!$D$11="Less",--(INDEX(Sims!$A533:$BO533,'Entry Builder'!$L$11)&lt;'Entry Builder'!$E$11),--(INDEX(Sims!$A533:$BO533,'Entry Builder'!$L$11)&gt;'Entry Builder'!$E$11)))</f>
        <v/>
      </c>
      <c r="F533">
        <f>IF('Entry Builder'!$N$12=0,1,IF('Entry Builder'!$D$12="Less",--(INDEX(Sims!$A533:$BO533,'Entry Builder'!$L$12)&lt;'Entry Builder'!$E$12),--(INDEX(Sims!$A533:$BO533,'Entry Builder'!$L$12)&gt;'Entry Builder'!$E$12)))</f>
        <v/>
      </c>
      <c r="G533">
        <f>6-SUM(A533:F533)</f>
        <v/>
      </c>
    </row>
    <row r="534">
      <c r="A534">
        <f>IF('Entry Builder'!$N$7=0,1,IF('Entry Builder'!$D$7="Less",--(INDEX(Sims!$A534:$BO534,'Entry Builder'!$L$7)&lt;'Entry Builder'!$E$7),--(INDEX(Sims!$A534:$BO534,'Entry Builder'!$L$7)&gt;'Entry Builder'!$E$7)))</f>
        <v/>
      </c>
      <c r="B534">
        <f>IF('Entry Builder'!$N$8=0,1,IF('Entry Builder'!$D$8="Less",--(INDEX(Sims!$A534:$BO534,'Entry Builder'!$L$8)&lt;'Entry Builder'!$E$8),--(INDEX(Sims!$A534:$BO534,'Entry Builder'!$L$8)&gt;'Entry Builder'!$E$8)))</f>
        <v/>
      </c>
      <c r="C534">
        <f>IF('Entry Builder'!$N$9=0,1,IF('Entry Builder'!$D$9="Less",--(INDEX(Sims!$A534:$BO534,'Entry Builder'!$L$9)&lt;'Entry Builder'!$E$9),--(INDEX(Sims!$A534:$BO534,'Entry Builder'!$L$9)&gt;'Entry Builder'!$E$9)))</f>
        <v/>
      </c>
      <c r="D534">
        <f>IF('Entry Builder'!$N$10=0,1,IF('Entry Builder'!$D$10="Less",--(INDEX(Sims!$A534:$BO534,'Entry Builder'!$L$10)&lt;'Entry Builder'!$E$10),--(INDEX(Sims!$A534:$BO534,'Entry Builder'!$L$10)&gt;'Entry Builder'!$E$10)))</f>
        <v/>
      </c>
      <c r="E534">
        <f>IF('Entry Builder'!$N$11=0,1,IF('Entry Builder'!$D$11="Less",--(INDEX(Sims!$A534:$BO534,'Entry Builder'!$L$11)&lt;'Entry Builder'!$E$11),--(INDEX(Sims!$A534:$BO534,'Entry Builder'!$L$11)&gt;'Entry Builder'!$E$11)))</f>
        <v/>
      </c>
      <c r="F534">
        <f>IF('Entry Builder'!$N$12=0,1,IF('Entry Builder'!$D$12="Less",--(INDEX(Sims!$A534:$BO534,'Entry Builder'!$L$12)&lt;'Entry Builder'!$E$12),--(INDEX(Sims!$A534:$BO534,'Entry Builder'!$L$12)&gt;'Entry Builder'!$E$12)))</f>
        <v/>
      </c>
      <c r="G534">
        <f>6-SUM(A534:F534)</f>
        <v/>
      </c>
    </row>
    <row r="535">
      <c r="A535">
        <f>IF('Entry Builder'!$N$7=0,1,IF('Entry Builder'!$D$7="Less",--(INDEX(Sims!$A535:$BO535,'Entry Builder'!$L$7)&lt;'Entry Builder'!$E$7),--(INDEX(Sims!$A535:$BO535,'Entry Builder'!$L$7)&gt;'Entry Builder'!$E$7)))</f>
        <v/>
      </c>
      <c r="B535">
        <f>IF('Entry Builder'!$N$8=0,1,IF('Entry Builder'!$D$8="Less",--(INDEX(Sims!$A535:$BO535,'Entry Builder'!$L$8)&lt;'Entry Builder'!$E$8),--(INDEX(Sims!$A535:$BO535,'Entry Builder'!$L$8)&gt;'Entry Builder'!$E$8)))</f>
        <v/>
      </c>
      <c r="C535">
        <f>IF('Entry Builder'!$N$9=0,1,IF('Entry Builder'!$D$9="Less",--(INDEX(Sims!$A535:$BO535,'Entry Builder'!$L$9)&lt;'Entry Builder'!$E$9),--(INDEX(Sims!$A535:$BO535,'Entry Builder'!$L$9)&gt;'Entry Builder'!$E$9)))</f>
        <v/>
      </c>
      <c r="D535">
        <f>IF('Entry Builder'!$N$10=0,1,IF('Entry Builder'!$D$10="Less",--(INDEX(Sims!$A535:$BO535,'Entry Builder'!$L$10)&lt;'Entry Builder'!$E$10),--(INDEX(Sims!$A535:$BO535,'Entry Builder'!$L$10)&gt;'Entry Builder'!$E$10)))</f>
        <v/>
      </c>
      <c r="E535">
        <f>IF('Entry Builder'!$N$11=0,1,IF('Entry Builder'!$D$11="Less",--(INDEX(Sims!$A535:$BO535,'Entry Builder'!$L$11)&lt;'Entry Builder'!$E$11),--(INDEX(Sims!$A535:$BO535,'Entry Builder'!$L$11)&gt;'Entry Builder'!$E$11)))</f>
        <v/>
      </c>
      <c r="F535">
        <f>IF('Entry Builder'!$N$12=0,1,IF('Entry Builder'!$D$12="Less",--(INDEX(Sims!$A535:$BO535,'Entry Builder'!$L$12)&lt;'Entry Builder'!$E$12),--(INDEX(Sims!$A535:$BO535,'Entry Builder'!$L$12)&gt;'Entry Builder'!$E$12)))</f>
        <v/>
      </c>
      <c r="G535">
        <f>6-SUM(A535:F535)</f>
        <v/>
      </c>
    </row>
    <row r="536">
      <c r="A536">
        <f>IF('Entry Builder'!$N$7=0,1,IF('Entry Builder'!$D$7="Less",--(INDEX(Sims!$A536:$BO536,'Entry Builder'!$L$7)&lt;'Entry Builder'!$E$7),--(INDEX(Sims!$A536:$BO536,'Entry Builder'!$L$7)&gt;'Entry Builder'!$E$7)))</f>
        <v/>
      </c>
      <c r="B536">
        <f>IF('Entry Builder'!$N$8=0,1,IF('Entry Builder'!$D$8="Less",--(INDEX(Sims!$A536:$BO536,'Entry Builder'!$L$8)&lt;'Entry Builder'!$E$8),--(INDEX(Sims!$A536:$BO536,'Entry Builder'!$L$8)&gt;'Entry Builder'!$E$8)))</f>
        <v/>
      </c>
      <c r="C536">
        <f>IF('Entry Builder'!$N$9=0,1,IF('Entry Builder'!$D$9="Less",--(INDEX(Sims!$A536:$BO536,'Entry Builder'!$L$9)&lt;'Entry Builder'!$E$9),--(INDEX(Sims!$A536:$BO536,'Entry Builder'!$L$9)&gt;'Entry Builder'!$E$9)))</f>
        <v/>
      </c>
      <c r="D536">
        <f>IF('Entry Builder'!$N$10=0,1,IF('Entry Builder'!$D$10="Less",--(INDEX(Sims!$A536:$BO536,'Entry Builder'!$L$10)&lt;'Entry Builder'!$E$10),--(INDEX(Sims!$A536:$BO536,'Entry Builder'!$L$10)&gt;'Entry Builder'!$E$10)))</f>
        <v/>
      </c>
      <c r="E536">
        <f>IF('Entry Builder'!$N$11=0,1,IF('Entry Builder'!$D$11="Less",--(INDEX(Sims!$A536:$BO536,'Entry Builder'!$L$11)&lt;'Entry Builder'!$E$11),--(INDEX(Sims!$A536:$BO536,'Entry Builder'!$L$11)&gt;'Entry Builder'!$E$11)))</f>
        <v/>
      </c>
      <c r="F536">
        <f>IF('Entry Builder'!$N$12=0,1,IF('Entry Builder'!$D$12="Less",--(INDEX(Sims!$A536:$BO536,'Entry Builder'!$L$12)&lt;'Entry Builder'!$E$12),--(INDEX(Sims!$A536:$BO536,'Entry Builder'!$L$12)&gt;'Entry Builder'!$E$12)))</f>
        <v/>
      </c>
      <c r="G536">
        <f>6-SUM(A536:F536)</f>
        <v/>
      </c>
    </row>
    <row r="537">
      <c r="A537">
        <f>IF('Entry Builder'!$N$7=0,1,IF('Entry Builder'!$D$7="Less",--(INDEX(Sims!$A537:$BO537,'Entry Builder'!$L$7)&lt;'Entry Builder'!$E$7),--(INDEX(Sims!$A537:$BO537,'Entry Builder'!$L$7)&gt;'Entry Builder'!$E$7)))</f>
        <v/>
      </c>
      <c r="B537">
        <f>IF('Entry Builder'!$N$8=0,1,IF('Entry Builder'!$D$8="Less",--(INDEX(Sims!$A537:$BO537,'Entry Builder'!$L$8)&lt;'Entry Builder'!$E$8),--(INDEX(Sims!$A537:$BO537,'Entry Builder'!$L$8)&gt;'Entry Builder'!$E$8)))</f>
        <v/>
      </c>
      <c r="C537">
        <f>IF('Entry Builder'!$N$9=0,1,IF('Entry Builder'!$D$9="Less",--(INDEX(Sims!$A537:$BO537,'Entry Builder'!$L$9)&lt;'Entry Builder'!$E$9),--(INDEX(Sims!$A537:$BO537,'Entry Builder'!$L$9)&gt;'Entry Builder'!$E$9)))</f>
        <v/>
      </c>
      <c r="D537">
        <f>IF('Entry Builder'!$N$10=0,1,IF('Entry Builder'!$D$10="Less",--(INDEX(Sims!$A537:$BO537,'Entry Builder'!$L$10)&lt;'Entry Builder'!$E$10),--(INDEX(Sims!$A537:$BO537,'Entry Builder'!$L$10)&gt;'Entry Builder'!$E$10)))</f>
        <v/>
      </c>
      <c r="E537">
        <f>IF('Entry Builder'!$N$11=0,1,IF('Entry Builder'!$D$11="Less",--(INDEX(Sims!$A537:$BO537,'Entry Builder'!$L$11)&lt;'Entry Builder'!$E$11),--(INDEX(Sims!$A537:$BO537,'Entry Builder'!$L$11)&gt;'Entry Builder'!$E$11)))</f>
        <v/>
      </c>
      <c r="F537">
        <f>IF('Entry Builder'!$N$12=0,1,IF('Entry Builder'!$D$12="Less",--(INDEX(Sims!$A537:$BO537,'Entry Builder'!$L$12)&lt;'Entry Builder'!$E$12),--(INDEX(Sims!$A537:$BO537,'Entry Builder'!$L$12)&gt;'Entry Builder'!$E$12)))</f>
        <v/>
      </c>
      <c r="G537">
        <f>6-SUM(A537:F537)</f>
        <v/>
      </c>
    </row>
    <row r="538">
      <c r="A538">
        <f>IF('Entry Builder'!$N$7=0,1,IF('Entry Builder'!$D$7="Less",--(INDEX(Sims!$A538:$BO538,'Entry Builder'!$L$7)&lt;'Entry Builder'!$E$7),--(INDEX(Sims!$A538:$BO538,'Entry Builder'!$L$7)&gt;'Entry Builder'!$E$7)))</f>
        <v/>
      </c>
      <c r="B538">
        <f>IF('Entry Builder'!$N$8=0,1,IF('Entry Builder'!$D$8="Less",--(INDEX(Sims!$A538:$BO538,'Entry Builder'!$L$8)&lt;'Entry Builder'!$E$8),--(INDEX(Sims!$A538:$BO538,'Entry Builder'!$L$8)&gt;'Entry Builder'!$E$8)))</f>
        <v/>
      </c>
      <c r="C538">
        <f>IF('Entry Builder'!$N$9=0,1,IF('Entry Builder'!$D$9="Less",--(INDEX(Sims!$A538:$BO538,'Entry Builder'!$L$9)&lt;'Entry Builder'!$E$9),--(INDEX(Sims!$A538:$BO538,'Entry Builder'!$L$9)&gt;'Entry Builder'!$E$9)))</f>
        <v/>
      </c>
      <c r="D538">
        <f>IF('Entry Builder'!$N$10=0,1,IF('Entry Builder'!$D$10="Less",--(INDEX(Sims!$A538:$BO538,'Entry Builder'!$L$10)&lt;'Entry Builder'!$E$10),--(INDEX(Sims!$A538:$BO538,'Entry Builder'!$L$10)&gt;'Entry Builder'!$E$10)))</f>
        <v/>
      </c>
      <c r="E538">
        <f>IF('Entry Builder'!$N$11=0,1,IF('Entry Builder'!$D$11="Less",--(INDEX(Sims!$A538:$BO538,'Entry Builder'!$L$11)&lt;'Entry Builder'!$E$11),--(INDEX(Sims!$A538:$BO538,'Entry Builder'!$L$11)&gt;'Entry Builder'!$E$11)))</f>
        <v/>
      </c>
      <c r="F538">
        <f>IF('Entry Builder'!$N$12=0,1,IF('Entry Builder'!$D$12="Less",--(INDEX(Sims!$A538:$BO538,'Entry Builder'!$L$12)&lt;'Entry Builder'!$E$12),--(INDEX(Sims!$A538:$BO538,'Entry Builder'!$L$12)&gt;'Entry Builder'!$E$12)))</f>
        <v/>
      </c>
      <c r="G538">
        <f>6-SUM(A538:F538)</f>
        <v/>
      </c>
    </row>
    <row r="539">
      <c r="A539">
        <f>IF('Entry Builder'!$N$7=0,1,IF('Entry Builder'!$D$7="Less",--(INDEX(Sims!$A539:$BO539,'Entry Builder'!$L$7)&lt;'Entry Builder'!$E$7),--(INDEX(Sims!$A539:$BO539,'Entry Builder'!$L$7)&gt;'Entry Builder'!$E$7)))</f>
        <v/>
      </c>
      <c r="B539">
        <f>IF('Entry Builder'!$N$8=0,1,IF('Entry Builder'!$D$8="Less",--(INDEX(Sims!$A539:$BO539,'Entry Builder'!$L$8)&lt;'Entry Builder'!$E$8),--(INDEX(Sims!$A539:$BO539,'Entry Builder'!$L$8)&gt;'Entry Builder'!$E$8)))</f>
        <v/>
      </c>
      <c r="C539">
        <f>IF('Entry Builder'!$N$9=0,1,IF('Entry Builder'!$D$9="Less",--(INDEX(Sims!$A539:$BO539,'Entry Builder'!$L$9)&lt;'Entry Builder'!$E$9),--(INDEX(Sims!$A539:$BO539,'Entry Builder'!$L$9)&gt;'Entry Builder'!$E$9)))</f>
        <v/>
      </c>
      <c r="D539">
        <f>IF('Entry Builder'!$N$10=0,1,IF('Entry Builder'!$D$10="Less",--(INDEX(Sims!$A539:$BO539,'Entry Builder'!$L$10)&lt;'Entry Builder'!$E$10),--(INDEX(Sims!$A539:$BO539,'Entry Builder'!$L$10)&gt;'Entry Builder'!$E$10)))</f>
        <v/>
      </c>
      <c r="E539">
        <f>IF('Entry Builder'!$N$11=0,1,IF('Entry Builder'!$D$11="Less",--(INDEX(Sims!$A539:$BO539,'Entry Builder'!$L$11)&lt;'Entry Builder'!$E$11),--(INDEX(Sims!$A539:$BO539,'Entry Builder'!$L$11)&gt;'Entry Builder'!$E$11)))</f>
        <v/>
      </c>
      <c r="F539">
        <f>IF('Entry Builder'!$N$12=0,1,IF('Entry Builder'!$D$12="Less",--(INDEX(Sims!$A539:$BO539,'Entry Builder'!$L$12)&lt;'Entry Builder'!$E$12),--(INDEX(Sims!$A539:$BO539,'Entry Builder'!$L$12)&gt;'Entry Builder'!$E$12)))</f>
        <v/>
      </c>
      <c r="G539">
        <f>6-SUM(A539:F539)</f>
        <v/>
      </c>
    </row>
    <row r="540">
      <c r="A540">
        <f>IF('Entry Builder'!$N$7=0,1,IF('Entry Builder'!$D$7="Less",--(INDEX(Sims!$A540:$BO540,'Entry Builder'!$L$7)&lt;'Entry Builder'!$E$7),--(INDEX(Sims!$A540:$BO540,'Entry Builder'!$L$7)&gt;'Entry Builder'!$E$7)))</f>
        <v/>
      </c>
      <c r="B540">
        <f>IF('Entry Builder'!$N$8=0,1,IF('Entry Builder'!$D$8="Less",--(INDEX(Sims!$A540:$BO540,'Entry Builder'!$L$8)&lt;'Entry Builder'!$E$8),--(INDEX(Sims!$A540:$BO540,'Entry Builder'!$L$8)&gt;'Entry Builder'!$E$8)))</f>
        <v/>
      </c>
      <c r="C540">
        <f>IF('Entry Builder'!$N$9=0,1,IF('Entry Builder'!$D$9="Less",--(INDEX(Sims!$A540:$BO540,'Entry Builder'!$L$9)&lt;'Entry Builder'!$E$9),--(INDEX(Sims!$A540:$BO540,'Entry Builder'!$L$9)&gt;'Entry Builder'!$E$9)))</f>
        <v/>
      </c>
      <c r="D540">
        <f>IF('Entry Builder'!$N$10=0,1,IF('Entry Builder'!$D$10="Less",--(INDEX(Sims!$A540:$BO540,'Entry Builder'!$L$10)&lt;'Entry Builder'!$E$10),--(INDEX(Sims!$A540:$BO540,'Entry Builder'!$L$10)&gt;'Entry Builder'!$E$10)))</f>
        <v/>
      </c>
      <c r="E540">
        <f>IF('Entry Builder'!$N$11=0,1,IF('Entry Builder'!$D$11="Less",--(INDEX(Sims!$A540:$BO540,'Entry Builder'!$L$11)&lt;'Entry Builder'!$E$11),--(INDEX(Sims!$A540:$BO540,'Entry Builder'!$L$11)&gt;'Entry Builder'!$E$11)))</f>
        <v/>
      </c>
      <c r="F540">
        <f>IF('Entry Builder'!$N$12=0,1,IF('Entry Builder'!$D$12="Less",--(INDEX(Sims!$A540:$BO540,'Entry Builder'!$L$12)&lt;'Entry Builder'!$E$12),--(INDEX(Sims!$A540:$BO540,'Entry Builder'!$L$12)&gt;'Entry Builder'!$E$12)))</f>
        <v/>
      </c>
      <c r="G540">
        <f>6-SUM(A540:F540)</f>
        <v/>
      </c>
    </row>
    <row r="541">
      <c r="A541">
        <f>IF('Entry Builder'!$N$7=0,1,IF('Entry Builder'!$D$7="Less",--(INDEX(Sims!$A541:$BO541,'Entry Builder'!$L$7)&lt;'Entry Builder'!$E$7),--(INDEX(Sims!$A541:$BO541,'Entry Builder'!$L$7)&gt;'Entry Builder'!$E$7)))</f>
        <v/>
      </c>
      <c r="B541">
        <f>IF('Entry Builder'!$N$8=0,1,IF('Entry Builder'!$D$8="Less",--(INDEX(Sims!$A541:$BO541,'Entry Builder'!$L$8)&lt;'Entry Builder'!$E$8),--(INDEX(Sims!$A541:$BO541,'Entry Builder'!$L$8)&gt;'Entry Builder'!$E$8)))</f>
        <v/>
      </c>
      <c r="C541">
        <f>IF('Entry Builder'!$N$9=0,1,IF('Entry Builder'!$D$9="Less",--(INDEX(Sims!$A541:$BO541,'Entry Builder'!$L$9)&lt;'Entry Builder'!$E$9),--(INDEX(Sims!$A541:$BO541,'Entry Builder'!$L$9)&gt;'Entry Builder'!$E$9)))</f>
        <v/>
      </c>
      <c r="D541">
        <f>IF('Entry Builder'!$N$10=0,1,IF('Entry Builder'!$D$10="Less",--(INDEX(Sims!$A541:$BO541,'Entry Builder'!$L$10)&lt;'Entry Builder'!$E$10),--(INDEX(Sims!$A541:$BO541,'Entry Builder'!$L$10)&gt;'Entry Builder'!$E$10)))</f>
        <v/>
      </c>
      <c r="E541">
        <f>IF('Entry Builder'!$N$11=0,1,IF('Entry Builder'!$D$11="Less",--(INDEX(Sims!$A541:$BO541,'Entry Builder'!$L$11)&lt;'Entry Builder'!$E$11),--(INDEX(Sims!$A541:$BO541,'Entry Builder'!$L$11)&gt;'Entry Builder'!$E$11)))</f>
        <v/>
      </c>
      <c r="F541">
        <f>IF('Entry Builder'!$N$12=0,1,IF('Entry Builder'!$D$12="Less",--(INDEX(Sims!$A541:$BO541,'Entry Builder'!$L$12)&lt;'Entry Builder'!$E$12),--(INDEX(Sims!$A541:$BO541,'Entry Builder'!$L$12)&gt;'Entry Builder'!$E$12)))</f>
        <v/>
      </c>
      <c r="G541">
        <f>6-SUM(A541:F541)</f>
        <v/>
      </c>
    </row>
    <row r="542">
      <c r="A542">
        <f>IF('Entry Builder'!$N$7=0,1,IF('Entry Builder'!$D$7="Less",--(INDEX(Sims!$A542:$BO542,'Entry Builder'!$L$7)&lt;'Entry Builder'!$E$7),--(INDEX(Sims!$A542:$BO542,'Entry Builder'!$L$7)&gt;'Entry Builder'!$E$7)))</f>
        <v/>
      </c>
      <c r="B542">
        <f>IF('Entry Builder'!$N$8=0,1,IF('Entry Builder'!$D$8="Less",--(INDEX(Sims!$A542:$BO542,'Entry Builder'!$L$8)&lt;'Entry Builder'!$E$8),--(INDEX(Sims!$A542:$BO542,'Entry Builder'!$L$8)&gt;'Entry Builder'!$E$8)))</f>
        <v/>
      </c>
      <c r="C542">
        <f>IF('Entry Builder'!$N$9=0,1,IF('Entry Builder'!$D$9="Less",--(INDEX(Sims!$A542:$BO542,'Entry Builder'!$L$9)&lt;'Entry Builder'!$E$9),--(INDEX(Sims!$A542:$BO542,'Entry Builder'!$L$9)&gt;'Entry Builder'!$E$9)))</f>
        <v/>
      </c>
      <c r="D542">
        <f>IF('Entry Builder'!$N$10=0,1,IF('Entry Builder'!$D$10="Less",--(INDEX(Sims!$A542:$BO542,'Entry Builder'!$L$10)&lt;'Entry Builder'!$E$10),--(INDEX(Sims!$A542:$BO542,'Entry Builder'!$L$10)&gt;'Entry Builder'!$E$10)))</f>
        <v/>
      </c>
      <c r="E542">
        <f>IF('Entry Builder'!$N$11=0,1,IF('Entry Builder'!$D$11="Less",--(INDEX(Sims!$A542:$BO542,'Entry Builder'!$L$11)&lt;'Entry Builder'!$E$11),--(INDEX(Sims!$A542:$BO542,'Entry Builder'!$L$11)&gt;'Entry Builder'!$E$11)))</f>
        <v/>
      </c>
      <c r="F542">
        <f>IF('Entry Builder'!$N$12=0,1,IF('Entry Builder'!$D$12="Less",--(INDEX(Sims!$A542:$BO542,'Entry Builder'!$L$12)&lt;'Entry Builder'!$E$12),--(INDEX(Sims!$A542:$BO542,'Entry Builder'!$L$12)&gt;'Entry Builder'!$E$12)))</f>
        <v/>
      </c>
      <c r="G542">
        <f>6-SUM(A542:F542)</f>
        <v/>
      </c>
    </row>
    <row r="543">
      <c r="A543">
        <f>IF('Entry Builder'!$N$7=0,1,IF('Entry Builder'!$D$7="Less",--(INDEX(Sims!$A543:$BO543,'Entry Builder'!$L$7)&lt;'Entry Builder'!$E$7),--(INDEX(Sims!$A543:$BO543,'Entry Builder'!$L$7)&gt;'Entry Builder'!$E$7)))</f>
        <v/>
      </c>
      <c r="B543">
        <f>IF('Entry Builder'!$N$8=0,1,IF('Entry Builder'!$D$8="Less",--(INDEX(Sims!$A543:$BO543,'Entry Builder'!$L$8)&lt;'Entry Builder'!$E$8),--(INDEX(Sims!$A543:$BO543,'Entry Builder'!$L$8)&gt;'Entry Builder'!$E$8)))</f>
        <v/>
      </c>
      <c r="C543">
        <f>IF('Entry Builder'!$N$9=0,1,IF('Entry Builder'!$D$9="Less",--(INDEX(Sims!$A543:$BO543,'Entry Builder'!$L$9)&lt;'Entry Builder'!$E$9),--(INDEX(Sims!$A543:$BO543,'Entry Builder'!$L$9)&gt;'Entry Builder'!$E$9)))</f>
        <v/>
      </c>
      <c r="D543">
        <f>IF('Entry Builder'!$N$10=0,1,IF('Entry Builder'!$D$10="Less",--(INDEX(Sims!$A543:$BO543,'Entry Builder'!$L$10)&lt;'Entry Builder'!$E$10),--(INDEX(Sims!$A543:$BO543,'Entry Builder'!$L$10)&gt;'Entry Builder'!$E$10)))</f>
        <v/>
      </c>
      <c r="E543">
        <f>IF('Entry Builder'!$N$11=0,1,IF('Entry Builder'!$D$11="Less",--(INDEX(Sims!$A543:$BO543,'Entry Builder'!$L$11)&lt;'Entry Builder'!$E$11),--(INDEX(Sims!$A543:$BO543,'Entry Builder'!$L$11)&gt;'Entry Builder'!$E$11)))</f>
        <v/>
      </c>
      <c r="F543">
        <f>IF('Entry Builder'!$N$12=0,1,IF('Entry Builder'!$D$12="Less",--(INDEX(Sims!$A543:$BO543,'Entry Builder'!$L$12)&lt;'Entry Builder'!$E$12),--(INDEX(Sims!$A543:$BO543,'Entry Builder'!$L$12)&gt;'Entry Builder'!$E$12)))</f>
        <v/>
      </c>
      <c r="G543">
        <f>6-SUM(A543:F543)</f>
        <v/>
      </c>
    </row>
    <row r="544">
      <c r="A544">
        <f>IF('Entry Builder'!$N$7=0,1,IF('Entry Builder'!$D$7="Less",--(INDEX(Sims!$A544:$BO544,'Entry Builder'!$L$7)&lt;'Entry Builder'!$E$7),--(INDEX(Sims!$A544:$BO544,'Entry Builder'!$L$7)&gt;'Entry Builder'!$E$7)))</f>
        <v/>
      </c>
      <c r="B544">
        <f>IF('Entry Builder'!$N$8=0,1,IF('Entry Builder'!$D$8="Less",--(INDEX(Sims!$A544:$BO544,'Entry Builder'!$L$8)&lt;'Entry Builder'!$E$8),--(INDEX(Sims!$A544:$BO544,'Entry Builder'!$L$8)&gt;'Entry Builder'!$E$8)))</f>
        <v/>
      </c>
      <c r="C544">
        <f>IF('Entry Builder'!$N$9=0,1,IF('Entry Builder'!$D$9="Less",--(INDEX(Sims!$A544:$BO544,'Entry Builder'!$L$9)&lt;'Entry Builder'!$E$9),--(INDEX(Sims!$A544:$BO544,'Entry Builder'!$L$9)&gt;'Entry Builder'!$E$9)))</f>
        <v/>
      </c>
      <c r="D544">
        <f>IF('Entry Builder'!$N$10=0,1,IF('Entry Builder'!$D$10="Less",--(INDEX(Sims!$A544:$BO544,'Entry Builder'!$L$10)&lt;'Entry Builder'!$E$10),--(INDEX(Sims!$A544:$BO544,'Entry Builder'!$L$10)&gt;'Entry Builder'!$E$10)))</f>
        <v/>
      </c>
      <c r="E544">
        <f>IF('Entry Builder'!$N$11=0,1,IF('Entry Builder'!$D$11="Less",--(INDEX(Sims!$A544:$BO544,'Entry Builder'!$L$11)&lt;'Entry Builder'!$E$11),--(INDEX(Sims!$A544:$BO544,'Entry Builder'!$L$11)&gt;'Entry Builder'!$E$11)))</f>
        <v/>
      </c>
      <c r="F544">
        <f>IF('Entry Builder'!$N$12=0,1,IF('Entry Builder'!$D$12="Less",--(INDEX(Sims!$A544:$BO544,'Entry Builder'!$L$12)&lt;'Entry Builder'!$E$12),--(INDEX(Sims!$A544:$BO544,'Entry Builder'!$L$12)&gt;'Entry Builder'!$E$12)))</f>
        <v/>
      </c>
      <c r="G544">
        <f>6-SUM(A544:F544)</f>
        <v/>
      </c>
    </row>
    <row r="545">
      <c r="A545">
        <f>IF('Entry Builder'!$N$7=0,1,IF('Entry Builder'!$D$7="Less",--(INDEX(Sims!$A545:$BO545,'Entry Builder'!$L$7)&lt;'Entry Builder'!$E$7),--(INDEX(Sims!$A545:$BO545,'Entry Builder'!$L$7)&gt;'Entry Builder'!$E$7)))</f>
        <v/>
      </c>
      <c r="B545">
        <f>IF('Entry Builder'!$N$8=0,1,IF('Entry Builder'!$D$8="Less",--(INDEX(Sims!$A545:$BO545,'Entry Builder'!$L$8)&lt;'Entry Builder'!$E$8),--(INDEX(Sims!$A545:$BO545,'Entry Builder'!$L$8)&gt;'Entry Builder'!$E$8)))</f>
        <v/>
      </c>
      <c r="C545">
        <f>IF('Entry Builder'!$N$9=0,1,IF('Entry Builder'!$D$9="Less",--(INDEX(Sims!$A545:$BO545,'Entry Builder'!$L$9)&lt;'Entry Builder'!$E$9),--(INDEX(Sims!$A545:$BO545,'Entry Builder'!$L$9)&gt;'Entry Builder'!$E$9)))</f>
        <v/>
      </c>
      <c r="D545">
        <f>IF('Entry Builder'!$N$10=0,1,IF('Entry Builder'!$D$10="Less",--(INDEX(Sims!$A545:$BO545,'Entry Builder'!$L$10)&lt;'Entry Builder'!$E$10),--(INDEX(Sims!$A545:$BO545,'Entry Builder'!$L$10)&gt;'Entry Builder'!$E$10)))</f>
        <v/>
      </c>
      <c r="E545">
        <f>IF('Entry Builder'!$N$11=0,1,IF('Entry Builder'!$D$11="Less",--(INDEX(Sims!$A545:$BO545,'Entry Builder'!$L$11)&lt;'Entry Builder'!$E$11),--(INDEX(Sims!$A545:$BO545,'Entry Builder'!$L$11)&gt;'Entry Builder'!$E$11)))</f>
        <v/>
      </c>
      <c r="F545">
        <f>IF('Entry Builder'!$N$12=0,1,IF('Entry Builder'!$D$12="Less",--(INDEX(Sims!$A545:$BO545,'Entry Builder'!$L$12)&lt;'Entry Builder'!$E$12),--(INDEX(Sims!$A545:$BO545,'Entry Builder'!$L$12)&gt;'Entry Builder'!$E$12)))</f>
        <v/>
      </c>
      <c r="G545">
        <f>6-SUM(A545:F545)</f>
        <v/>
      </c>
    </row>
    <row r="546">
      <c r="A546">
        <f>IF('Entry Builder'!$N$7=0,1,IF('Entry Builder'!$D$7="Less",--(INDEX(Sims!$A546:$BO546,'Entry Builder'!$L$7)&lt;'Entry Builder'!$E$7),--(INDEX(Sims!$A546:$BO546,'Entry Builder'!$L$7)&gt;'Entry Builder'!$E$7)))</f>
        <v/>
      </c>
      <c r="B546">
        <f>IF('Entry Builder'!$N$8=0,1,IF('Entry Builder'!$D$8="Less",--(INDEX(Sims!$A546:$BO546,'Entry Builder'!$L$8)&lt;'Entry Builder'!$E$8),--(INDEX(Sims!$A546:$BO546,'Entry Builder'!$L$8)&gt;'Entry Builder'!$E$8)))</f>
        <v/>
      </c>
      <c r="C546">
        <f>IF('Entry Builder'!$N$9=0,1,IF('Entry Builder'!$D$9="Less",--(INDEX(Sims!$A546:$BO546,'Entry Builder'!$L$9)&lt;'Entry Builder'!$E$9),--(INDEX(Sims!$A546:$BO546,'Entry Builder'!$L$9)&gt;'Entry Builder'!$E$9)))</f>
        <v/>
      </c>
      <c r="D546">
        <f>IF('Entry Builder'!$N$10=0,1,IF('Entry Builder'!$D$10="Less",--(INDEX(Sims!$A546:$BO546,'Entry Builder'!$L$10)&lt;'Entry Builder'!$E$10),--(INDEX(Sims!$A546:$BO546,'Entry Builder'!$L$10)&gt;'Entry Builder'!$E$10)))</f>
        <v/>
      </c>
      <c r="E546">
        <f>IF('Entry Builder'!$N$11=0,1,IF('Entry Builder'!$D$11="Less",--(INDEX(Sims!$A546:$BO546,'Entry Builder'!$L$11)&lt;'Entry Builder'!$E$11),--(INDEX(Sims!$A546:$BO546,'Entry Builder'!$L$11)&gt;'Entry Builder'!$E$11)))</f>
        <v/>
      </c>
      <c r="F546">
        <f>IF('Entry Builder'!$N$12=0,1,IF('Entry Builder'!$D$12="Less",--(INDEX(Sims!$A546:$BO546,'Entry Builder'!$L$12)&lt;'Entry Builder'!$E$12),--(INDEX(Sims!$A546:$BO546,'Entry Builder'!$L$12)&gt;'Entry Builder'!$E$12)))</f>
        <v/>
      </c>
      <c r="G546">
        <f>6-SUM(A546:F546)</f>
        <v/>
      </c>
    </row>
    <row r="547">
      <c r="A547">
        <f>IF('Entry Builder'!$N$7=0,1,IF('Entry Builder'!$D$7="Less",--(INDEX(Sims!$A547:$BO547,'Entry Builder'!$L$7)&lt;'Entry Builder'!$E$7),--(INDEX(Sims!$A547:$BO547,'Entry Builder'!$L$7)&gt;'Entry Builder'!$E$7)))</f>
        <v/>
      </c>
      <c r="B547">
        <f>IF('Entry Builder'!$N$8=0,1,IF('Entry Builder'!$D$8="Less",--(INDEX(Sims!$A547:$BO547,'Entry Builder'!$L$8)&lt;'Entry Builder'!$E$8),--(INDEX(Sims!$A547:$BO547,'Entry Builder'!$L$8)&gt;'Entry Builder'!$E$8)))</f>
        <v/>
      </c>
      <c r="C547">
        <f>IF('Entry Builder'!$N$9=0,1,IF('Entry Builder'!$D$9="Less",--(INDEX(Sims!$A547:$BO547,'Entry Builder'!$L$9)&lt;'Entry Builder'!$E$9),--(INDEX(Sims!$A547:$BO547,'Entry Builder'!$L$9)&gt;'Entry Builder'!$E$9)))</f>
        <v/>
      </c>
      <c r="D547">
        <f>IF('Entry Builder'!$N$10=0,1,IF('Entry Builder'!$D$10="Less",--(INDEX(Sims!$A547:$BO547,'Entry Builder'!$L$10)&lt;'Entry Builder'!$E$10),--(INDEX(Sims!$A547:$BO547,'Entry Builder'!$L$10)&gt;'Entry Builder'!$E$10)))</f>
        <v/>
      </c>
      <c r="E547">
        <f>IF('Entry Builder'!$N$11=0,1,IF('Entry Builder'!$D$11="Less",--(INDEX(Sims!$A547:$BO547,'Entry Builder'!$L$11)&lt;'Entry Builder'!$E$11),--(INDEX(Sims!$A547:$BO547,'Entry Builder'!$L$11)&gt;'Entry Builder'!$E$11)))</f>
        <v/>
      </c>
      <c r="F547">
        <f>IF('Entry Builder'!$N$12=0,1,IF('Entry Builder'!$D$12="Less",--(INDEX(Sims!$A547:$BO547,'Entry Builder'!$L$12)&lt;'Entry Builder'!$E$12),--(INDEX(Sims!$A547:$BO547,'Entry Builder'!$L$12)&gt;'Entry Builder'!$E$12)))</f>
        <v/>
      </c>
      <c r="G547">
        <f>6-SUM(A547:F547)</f>
        <v/>
      </c>
    </row>
    <row r="548">
      <c r="A548">
        <f>IF('Entry Builder'!$N$7=0,1,IF('Entry Builder'!$D$7="Less",--(INDEX(Sims!$A548:$BO548,'Entry Builder'!$L$7)&lt;'Entry Builder'!$E$7),--(INDEX(Sims!$A548:$BO548,'Entry Builder'!$L$7)&gt;'Entry Builder'!$E$7)))</f>
        <v/>
      </c>
      <c r="B548">
        <f>IF('Entry Builder'!$N$8=0,1,IF('Entry Builder'!$D$8="Less",--(INDEX(Sims!$A548:$BO548,'Entry Builder'!$L$8)&lt;'Entry Builder'!$E$8),--(INDEX(Sims!$A548:$BO548,'Entry Builder'!$L$8)&gt;'Entry Builder'!$E$8)))</f>
        <v/>
      </c>
      <c r="C548">
        <f>IF('Entry Builder'!$N$9=0,1,IF('Entry Builder'!$D$9="Less",--(INDEX(Sims!$A548:$BO548,'Entry Builder'!$L$9)&lt;'Entry Builder'!$E$9),--(INDEX(Sims!$A548:$BO548,'Entry Builder'!$L$9)&gt;'Entry Builder'!$E$9)))</f>
        <v/>
      </c>
      <c r="D548">
        <f>IF('Entry Builder'!$N$10=0,1,IF('Entry Builder'!$D$10="Less",--(INDEX(Sims!$A548:$BO548,'Entry Builder'!$L$10)&lt;'Entry Builder'!$E$10),--(INDEX(Sims!$A548:$BO548,'Entry Builder'!$L$10)&gt;'Entry Builder'!$E$10)))</f>
        <v/>
      </c>
      <c r="E548">
        <f>IF('Entry Builder'!$N$11=0,1,IF('Entry Builder'!$D$11="Less",--(INDEX(Sims!$A548:$BO548,'Entry Builder'!$L$11)&lt;'Entry Builder'!$E$11),--(INDEX(Sims!$A548:$BO548,'Entry Builder'!$L$11)&gt;'Entry Builder'!$E$11)))</f>
        <v/>
      </c>
      <c r="F548">
        <f>IF('Entry Builder'!$N$12=0,1,IF('Entry Builder'!$D$12="Less",--(INDEX(Sims!$A548:$BO548,'Entry Builder'!$L$12)&lt;'Entry Builder'!$E$12),--(INDEX(Sims!$A548:$BO548,'Entry Builder'!$L$12)&gt;'Entry Builder'!$E$12)))</f>
        <v/>
      </c>
      <c r="G548">
        <f>6-SUM(A548:F548)</f>
        <v/>
      </c>
    </row>
    <row r="549">
      <c r="A549">
        <f>IF('Entry Builder'!$N$7=0,1,IF('Entry Builder'!$D$7="Less",--(INDEX(Sims!$A549:$BO549,'Entry Builder'!$L$7)&lt;'Entry Builder'!$E$7),--(INDEX(Sims!$A549:$BO549,'Entry Builder'!$L$7)&gt;'Entry Builder'!$E$7)))</f>
        <v/>
      </c>
      <c r="B549">
        <f>IF('Entry Builder'!$N$8=0,1,IF('Entry Builder'!$D$8="Less",--(INDEX(Sims!$A549:$BO549,'Entry Builder'!$L$8)&lt;'Entry Builder'!$E$8),--(INDEX(Sims!$A549:$BO549,'Entry Builder'!$L$8)&gt;'Entry Builder'!$E$8)))</f>
        <v/>
      </c>
      <c r="C549">
        <f>IF('Entry Builder'!$N$9=0,1,IF('Entry Builder'!$D$9="Less",--(INDEX(Sims!$A549:$BO549,'Entry Builder'!$L$9)&lt;'Entry Builder'!$E$9),--(INDEX(Sims!$A549:$BO549,'Entry Builder'!$L$9)&gt;'Entry Builder'!$E$9)))</f>
        <v/>
      </c>
      <c r="D549">
        <f>IF('Entry Builder'!$N$10=0,1,IF('Entry Builder'!$D$10="Less",--(INDEX(Sims!$A549:$BO549,'Entry Builder'!$L$10)&lt;'Entry Builder'!$E$10),--(INDEX(Sims!$A549:$BO549,'Entry Builder'!$L$10)&gt;'Entry Builder'!$E$10)))</f>
        <v/>
      </c>
      <c r="E549">
        <f>IF('Entry Builder'!$N$11=0,1,IF('Entry Builder'!$D$11="Less",--(INDEX(Sims!$A549:$BO549,'Entry Builder'!$L$11)&lt;'Entry Builder'!$E$11),--(INDEX(Sims!$A549:$BO549,'Entry Builder'!$L$11)&gt;'Entry Builder'!$E$11)))</f>
        <v/>
      </c>
      <c r="F549">
        <f>IF('Entry Builder'!$N$12=0,1,IF('Entry Builder'!$D$12="Less",--(INDEX(Sims!$A549:$BO549,'Entry Builder'!$L$12)&lt;'Entry Builder'!$E$12),--(INDEX(Sims!$A549:$BO549,'Entry Builder'!$L$12)&gt;'Entry Builder'!$E$12)))</f>
        <v/>
      </c>
      <c r="G549">
        <f>6-SUM(A549:F549)</f>
        <v/>
      </c>
    </row>
    <row r="550">
      <c r="A550">
        <f>IF('Entry Builder'!$N$7=0,1,IF('Entry Builder'!$D$7="Less",--(INDEX(Sims!$A550:$BO550,'Entry Builder'!$L$7)&lt;'Entry Builder'!$E$7),--(INDEX(Sims!$A550:$BO550,'Entry Builder'!$L$7)&gt;'Entry Builder'!$E$7)))</f>
        <v/>
      </c>
      <c r="B550">
        <f>IF('Entry Builder'!$N$8=0,1,IF('Entry Builder'!$D$8="Less",--(INDEX(Sims!$A550:$BO550,'Entry Builder'!$L$8)&lt;'Entry Builder'!$E$8),--(INDEX(Sims!$A550:$BO550,'Entry Builder'!$L$8)&gt;'Entry Builder'!$E$8)))</f>
        <v/>
      </c>
      <c r="C550">
        <f>IF('Entry Builder'!$N$9=0,1,IF('Entry Builder'!$D$9="Less",--(INDEX(Sims!$A550:$BO550,'Entry Builder'!$L$9)&lt;'Entry Builder'!$E$9),--(INDEX(Sims!$A550:$BO550,'Entry Builder'!$L$9)&gt;'Entry Builder'!$E$9)))</f>
        <v/>
      </c>
      <c r="D550">
        <f>IF('Entry Builder'!$N$10=0,1,IF('Entry Builder'!$D$10="Less",--(INDEX(Sims!$A550:$BO550,'Entry Builder'!$L$10)&lt;'Entry Builder'!$E$10),--(INDEX(Sims!$A550:$BO550,'Entry Builder'!$L$10)&gt;'Entry Builder'!$E$10)))</f>
        <v/>
      </c>
      <c r="E550">
        <f>IF('Entry Builder'!$N$11=0,1,IF('Entry Builder'!$D$11="Less",--(INDEX(Sims!$A550:$BO550,'Entry Builder'!$L$11)&lt;'Entry Builder'!$E$11),--(INDEX(Sims!$A550:$BO550,'Entry Builder'!$L$11)&gt;'Entry Builder'!$E$11)))</f>
        <v/>
      </c>
      <c r="F550">
        <f>IF('Entry Builder'!$N$12=0,1,IF('Entry Builder'!$D$12="Less",--(INDEX(Sims!$A550:$BO550,'Entry Builder'!$L$12)&lt;'Entry Builder'!$E$12),--(INDEX(Sims!$A550:$BO550,'Entry Builder'!$L$12)&gt;'Entry Builder'!$E$12)))</f>
        <v/>
      </c>
      <c r="G550">
        <f>6-SUM(A550:F550)</f>
        <v/>
      </c>
    </row>
    <row r="551">
      <c r="A551">
        <f>IF('Entry Builder'!$N$7=0,1,IF('Entry Builder'!$D$7="Less",--(INDEX(Sims!$A551:$BO551,'Entry Builder'!$L$7)&lt;'Entry Builder'!$E$7),--(INDEX(Sims!$A551:$BO551,'Entry Builder'!$L$7)&gt;'Entry Builder'!$E$7)))</f>
        <v/>
      </c>
      <c r="B551">
        <f>IF('Entry Builder'!$N$8=0,1,IF('Entry Builder'!$D$8="Less",--(INDEX(Sims!$A551:$BO551,'Entry Builder'!$L$8)&lt;'Entry Builder'!$E$8),--(INDEX(Sims!$A551:$BO551,'Entry Builder'!$L$8)&gt;'Entry Builder'!$E$8)))</f>
        <v/>
      </c>
      <c r="C551">
        <f>IF('Entry Builder'!$N$9=0,1,IF('Entry Builder'!$D$9="Less",--(INDEX(Sims!$A551:$BO551,'Entry Builder'!$L$9)&lt;'Entry Builder'!$E$9),--(INDEX(Sims!$A551:$BO551,'Entry Builder'!$L$9)&gt;'Entry Builder'!$E$9)))</f>
        <v/>
      </c>
      <c r="D551">
        <f>IF('Entry Builder'!$N$10=0,1,IF('Entry Builder'!$D$10="Less",--(INDEX(Sims!$A551:$BO551,'Entry Builder'!$L$10)&lt;'Entry Builder'!$E$10),--(INDEX(Sims!$A551:$BO551,'Entry Builder'!$L$10)&gt;'Entry Builder'!$E$10)))</f>
        <v/>
      </c>
      <c r="E551">
        <f>IF('Entry Builder'!$N$11=0,1,IF('Entry Builder'!$D$11="Less",--(INDEX(Sims!$A551:$BO551,'Entry Builder'!$L$11)&lt;'Entry Builder'!$E$11),--(INDEX(Sims!$A551:$BO551,'Entry Builder'!$L$11)&gt;'Entry Builder'!$E$11)))</f>
        <v/>
      </c>
      <c r="F551">
        <f>IF('Entry Builder'!$N$12=0,1,IF('Entry Builder'!$D$12="Less",--(INDEX(Sims!$A551:$BO551,'Entry Builder'!$L$12)&lt;'Entry Builder'!$E$12),--(INDEX(Sims!$A551:$BO551,'Entry Builder'!$L$12)&gt;'Entry Builder'!$E$12)))</f>
        <v/>
      </c>
      <c r="G551">
        <f>6-SUM(A551:F551)</f>
        <v/>
      </c>
    </row>
    <row r="552">
      <c r="A552">
        <f>IF('Entry Builder'!$N$7=0,1,IF('Entry Builder'!$D$7="Less",--(INDEX(Sims!$A552:$BO552,'Entry Builder'!$L$7)&lt;'Entry Builder'!$E$7),--(INDEX(Sims!$A552:$BO552,'Entry Builder'!$L$7)&gt;'Entry Builder'!$E$7)))</f>
        <v/>
      </c>
      <c r="B552">
        <f>IF('Entry Builder'!$N$8=0,1,IF('Entry Builder'!$D$8="Less",--(INDEX(Sims!$A552:$BO552,'Entry Builder'!$L$8)&lt;'Entry Builder'!$E$8),--(INDEX(Sims!$A552:$BO552,'Entry Builder'!$L$8)&gt;'Entry Builder'!$E$8)))</f>
        <v/>
      </c>
      <c r="C552">
        <f>IF('Entry Builder'!$N$9=0,1,IF('Entry Builder'!$D$9="Less",--(INDEX(Sims!$A552:$BO552,'Entry Builder'!$L$9)&lt;'Entry Builder'!$E$9),--(INDEX(Sims!$A552:$BO552,'Entry Builder'!$L$9)&gt;'Entry Builder'!$E$9)))</f>
        <v/>
      </c>
      <c r="D552">
        <f>IF('Entry Builder'!$N$10=0,1,IF('Entry Builder'!$D$10="Less",--(INDEX(Sims!$A552:$BO552,'Entry Builder'!$L$10)&lt;'Entry Builder'!$E$10),--(INDEX(Sims!$A552:$BO552,'Entry Builder'!$L$10)&gt;'Entry Builder'!$E$10)))</f>
        <v/>
      </c>
      <c r="E552">
        <f>IF('Entry Builder'!$N$11=0,1,IF('Entry Builder'!$D$11="Less",--(INDEX(Sims!$A552:$BO552,'Entry Builder'!$L$11)&lt;'Entry Builder'!$E$11),--(INDEX(Sims!$A552:$BO552,'Entry Builder'!$L$11)&gt;'Entry Builder'!$E$11)))</f>
        <v/>
      </c>
      <c r="F552">
        <f>IF('Entry Builder'!$N$12=0,1,IF('Entry Builder'!$D$12="Less",--(INDEX(Sims!$A552:$BO552,'Entry Builder'!$L$12)&lt;'Entry Builder'!$E$12),--(INDEX(Sims!$A552:$BO552,'Entry Builder'!$L$12)&gt;'Entry Builder'!$E$12)))</f>
        <v/>
      </c>
      <c r="G552">
        <f>6-SUM(A552:F552)</f>
        <v/>
      </c>
    </row>
    <row r="553">
      <c r="A553">
        <f>IF('Entry Builder'!$N$7=0,1,IF('Entry Builder'!$D$7="Less",--(INDEX(Sims!$A553:$BO553,'Entry Builder'!$L$7)&lt;'Entry Builder'!$E$7),--(INDEX(Sims!$A553:$BO553,'Entry Builder'!$L$7)&gt;'Entry Builder'!$E$7)))</f>
        <v/>
      </c>
      <c r="B553">
        <f>IF('Entry Builder'!$N$8=0,1,IF('Entry Builder'!$D$8="Less",--(INDEX(Sims!$A553:$BO553,'Entry Builder'!$L$8)&lt;'Entry Builder'!$E$8),--(INDEX(Sims!$A553:$BO553,'Entry Builder'!$L$8)&gt;'Entry Builder'!$E$8)))</f>
        <v/>
      </c>
      <c r="C553">
        <f>IF('Entry Builder'!$N$9=0,1,IF('Entry Builder'!$D$9="Less",--(INDEX(Sims!$A553:$BO553,'Entry Builder'!$L$9)&lt;'Entry Builder'!$E$9),--(INDEX(Sims!$A553:$BO553,'Entry Builder'!$L$9)&gt;'Entry Builder'!$E$9)))</f>
        <v/>
      </c>
      <c r="D553">
        <f>IF('Entry Builder'!$N$10=0,1,IF('Entry Builder'!$D$10="Less",--(INDEX(Sims!$A553:$BO553,'Entry Builder'!$L$10)&lt;'Entry Builder'!$E$10),--(INDEX(Sims!$A553:$BO553,'Entry Builder'!$L$10)&gt;'Entry Builder'!$E$10)))</f>
        <v/>
      </c>
      <c r="E553">
        <f>IF('Entry Builder'!$N$11=0,1,IF('Entry Builder'!$D$11="Less",--(INDEX(Sims!$A553:$BO553,'Entry Builder'!$L$11)&lt;'Entry Builder'!$E$11),--(INDEX(Sims!$A553:$BO553,'Entry Builder'!$L$11)&gt;'Entry Builder'!$E$11)))</f>
        <v/>
      </c>
      <c r="F553">
        <f>IF('Entry Builder'!$N$12=0,1,IF('Entry Builder'!$D$12="Less",--(INDEX(Sims!$A553:$BO553,'Entry Builder'!$L$12)&lt;'Entry Builder'!$E$12),--(INDEX(Sims!$A553:$BO553,'Entry Builder'!$L$12)&gt;'Entry Builder'!$E$12)))</f>
        <v/>
      </c>
      <c r="G553">
        <f>6-SUM(A553:F553)</f>
        <v/>
      </c>
    </row>
    <row r="554">
      <c r="A554">
        <f>IF('Entry Builder'!$N$7=0,1,IF('Entry Builder'!$D$7="Less",--(INDEX(Sims!$A554:$BO554,'Entry Builder'!$L$7)&lt;'Entry Builder'!$E$7),--(INDEX(Sims!$A554:$BO554,'Entry Builder'!$L$7)&gt;'Entry Builder'!$E$7)))</f>
        <v/>
      </c>
      <c r="B554">
        <f>IF('Entry Builder'!$N$8=0,1,IF('Entry Builder'!$D$8="Less",--(INDEX(Sims!$A554:$BO554,'Entry Builder'!$L$8)&lt;'Entry Builder'!$E$8),--(INDEX(Sims!$A554:$BO554,'Entry Builder'!$L$8)&gt;'Entry Builder'!$E$8)))</f>
        <v/>
      </c>
      <c r="C554">
        <f>IF('Entry Builder'!$N$9=0,1,IF('Entry Builder'!$D$9="Less",--(INDEX(Sims!$A554:$BO554,'Entry Builder'!$L$9)&lt;'Entry Builder'!$E$9),--(INDEX(Sims!$A554:$BO554,'Entry Builder'!$L$9)&gt;'Entry Builder'!$E$9)))</f>
        <v/>
      </c>
      <c r="D554">
        <f>IF('Entry Builder'!$N$10=0,1,IF('Entry Builder'!$D$10="Less",--(INDEX(Sims!$A554:$BO554,'Entry Builder'!$L$10)&lt;'Entry Builder'!$E$10),--(INDEX(Sims!$A554:$BO554,'Entry Builder'!$L$10)&gt;'Entry Builder'!$E$10)))</f>
        <v/>
      </c>
      <c r="E554">
        <f>IF('Entry Builder'!$N$11=0,1,IF('Entry Builder'!$D$11="Less",--(INDEX(Sims!$A554:$BO554,'Entry Builder'!$L$11)&lt;'Entry Builder'!$E$11),--(INDEX(Sims!$A554:$BO554,'Entry Builder'!$L$11)&gt;'Entry Builder'!$E$11)))</f>
        <v/>
      </c>
      <c r="F554">
        <f>IF('Entry Builder'!$N$12=0,1,IF('Entry Builder'!$D$12="Less",--(INDEX(Sims!$A554:$BO554,'Entry Builder'!$L$12)&lt;'Entry Builder'!$E$12),--(INDEX(Sims!$A554:$BO554,'Entry Builder'!$L$12)&gt;'Entry Builder'!$E$12)))</f>
        <v/>
      </c>
      <c r="G554">
        <f>6-SUM(A554:F554)</f>
        <v/>
      </c>
    </row>
    <row r="555">
      <c r="A555">
        <f>IF('Entry Builder'!$N$7=0,1,IF('Entry Builder'!$D$7="Less",--(INDEX(Sims!$A555:$BO555,'Entry Builder'!$L$7)&lt;'Entry Builder'!$E$7),--(INDEX(Sims!$A555:$BO555,'Entry Builder'!$L$7)&gt;'Entry Builder'!$E$7)))</f>
        <v/>
      </c>
      <c r="B555">
        <f>IF('Entry Builder'!$N$8=0,1,IF('Entry Builder'!$D$8="Less",--(INDEX(Sims!$A555:$BO555,'Entry Builder'!$L$8)&lt;'Entry Builder'!$E$8),--(INDEX(Sims!$A555:$BO555,'Entry Builder'!$L$8)&gt;'Entry Builder'!$E$8)))</f>
        <v/>
      </c>
      <c r="C555">
        <f>IF('Entry Builder'!$N$9=0,1,IF('Entry Builder'!$D$9="Less",--(INDEX(Sims!$A555:$BO555,'Entry Builder'!$L$9)&lt;'Entry Builder'!$E$9),--(INDEX(Sims!$A555:$BO555,'Entry Builder'!$L$9)&gt;'Entry Builder'!$E$9)))</f>
        <v/>
      </c>
      <c r="D555">
        <f>IF('Entry Builder'!$N$10=0,1,IF('Entry Builder'!$D$10="Less",--(INDEX(Sims!$A555:$BO555,'Entry Builder'!$L$10)&lt;'Entry Builder'!$E$10),--(INDEX(Sims!$A555:$BO555,'Entry Builder'!$L$10)&gt;'Entry Builder'!$E$10)))</f>
        <v/>
      </c>
      <c r="E555">
        <f>IF('Entry Builder'!$N$11=0,1,IF('Entry Builder'!$D$11="Less",--(INDEX(Sims!$A555:$BO555,'Entry Builder'!$L$11)&lt;'Entry Builder'!$E$11),--(INDEX(Sims!$A555:$BO555,'Entry Builder'!$L$11)&gt;'Entry Builder'!$E$11)))</f>
        <v/>
      </c>
      <c r="F555">
        <f>IF('Entry Builder'!$N$12=0,1,IF('Entry Builder'!$D$12="Less",--(INDEX(Sims!$A555:$BO555,'Entry Builder'!$L$12)&lt;'Entry Builder'!$E$12),--(INDEX(Sims!$A555:$BO555,'Entry Builder'!$L$12)&gt;'Entry Builder'!$E$12)))</f>
        <v/>
      </c>
      <c r="G555">
        <f>6-SUM(A555:F555)</f>
        <v/>
      </c>
    </row>
    <row r="556">
      <c r="A556">
        <f>IF('Entry Builder'!$N$7=0,1,IF('Entry Builder'!$D$7="Less",--(INDEX(Sims!$A556:$BO556,'Entry Builder'!$L$7)&lt;'Entry Builder'!$E$7),--(INDEX(Sims!$A556:$BO556,'Entry Builder'!$L$7)&gt;'Entry Builder'!$E$7)))</f>
        <v/>
      </c>
      <c r="B556">
        <f>IF('Entry Builder'!$N$8=0,1,IF('Entry Builder'!$D$8="Less",--(INDEX(Sims!$A556:$BO556,'Entry Builder'!$L$8)&lt;'Entry Builder'!$E$8),--(INDEX(Sims!$A556:$BO556,'Entry Builder'!$L$8)&gt;'Entry Builder'!$E$8)))</f>
        <v/>
      </c>
      <c r="C556">
        <f>IF('Entry Builder'!$N$9=0,1,IF('Entry Builder'!$D$9="Less",--(INDEX(Sims!$A556:$BO556,'Entry Builder'!$L$9)&lt;'Entry Builder'!$E$9),--(INDEX(Sims!$A556:$BO556,'Entry Builder'!$L$9)&gt;'Entry Builder'!$E$9)))</f>
        <v/>
      </c>
      <c r="D556">
        <f>IF('Entry Builder'!$N$10=0,1,IF('Entry Builder'!$D$10="Less",--(INDEX(Sims!$A556:$BO556,'Entry Builder'!$L$10)&lt;'Entry Builder'!$E$10),--(INDEX(Sims!$A556:$BO556,'Entry Builder'!$L$10)&gt;'Entry Builder'!$E$10)))</f>
        <v/>
      </c>
      <c r="E556">
        <f>IF('Entry Builder'!$N$11=0,1,IF('Entry Builder'!$D$11="Less",--(INDEX(Sims!$A556:$BO556,'Entry Builder'!$L$11)&lt;'Entry Builder'!$E$11),--(INDEX(Sims!$A556:$BO556,'Entry Builder'!$L$11)&gt;'Entry Builder'!$E$11)))</f>
        <v/>
      </c>
      <c r="F556">
        <f>IF('Entry Builder'!$N$12=0,1,IF('Entry Builder'!$D$12="Less",--(INDEX(Sims!$A556:$BO556,'Entry Builder'!$L$12)&lt;'Entry Builder'!$E$12),--(INDEX(Sims!$A556:$BO556,'Entry Builder'!$L$12)&gt;'Entry Builder'!$E$12)))</f>
        <v/>
      </c>
      <c r="G556">
        <f>6-SUM(A556:F556)</f>
        <v/>
      </c>
    </row>
    <row r="557">
      <c r="A557">
        <f>IF('Entry Builder'!$N$7=0,1,IF('Entry Builder'!$D$7="Less",--(INDEX(Sims!$A557:$BO557,'Entry Builder'!$L$7)&lt;'Entry Builder'!$E$7),--(INDEX(Sims!$A557:$BO557,'Entry Builder'!$L$7)&gt;'Entry Builder'!$E$7)))</f>
        <v/>
      </c>
      <c r="B557">
        <f>IF('Entry Builder'!$N$8=0,1,IF('Entry Builder'!$D$8="Less",--(INDEX(Sims!$A557:$BO557,'Entry Builder'!$L$8)&lt;'Entry Builder'!$E$8),--(INDEX(Sims!$A557:$BO557,'Entry Builder'!$L$8)&gt;'Entry Builder'!$E$8)))</f>
        <v/>
      </c>
      <c r="C557">
        <f>IF('Entry Builder'!$N$9=0,1,IF('Entry Builder'!$D$9="Less",--(INDEX(Sims!$A557:$BO557,'Entry Builder'!$L$9)&lt;'Entry Builder'!$E$9),--(INDEX(Sims!$A557:$BO557,'Entry Builder'!$L$9)&gt;'Entry Builder'!$E$9)))</f>
        <v/>
      </c>
      <c r="D557">
        <f>IF('Entry Builder'!$N$10=0,1,IF('Entry Builder'!$D$10="Less",--(INDEX(Sims!$A557:$BO557,'Entry Builder'!$L$10)&lt;'Entry Builder'!$E$10),--(INDEX(Sims!$A557:$BO557,'Entry Builder'!$L$10)&gt;'Entry Builder'!$E$10)))</f>
        <v/>
      </c>
      <c r="E557">
        <f>IF('Entry Builder'!$N$11=0,1,IF('Entry Builder'!$D$11="Less",--(INDEX(Sims!$A557:$BO557,'Entry Builder'!$L$11)&lt;'Entry Builder'!$E$11),--(INDEX(Sims!$A557:$BO557,'Entry Builder'!$L$11)&gt;'Entry Builder'!$E$11)))</f>
        <v/>
      </c>
      <c r="F557">
        <f>IF('Entry Builder'!$N$12=0,1,IF('Entry Builder'!$D$12="Less",--(INDEX(Sims!$A557:$BO557,'Entry Builder'!$L$12)&lt;'Entry Builder'!$E$12),--(INDEX(Sims!$A557:$BO557,'Entry Builder'!$L$12)&gt;'Entry Builder'!$E$12)))</f>
        <v/>
      </c>
      <c r="G557">
        <f>6-SUM(A557:F557)</f>
        <v/>
      </c>
    </row>
    <row r="558">
      <c r="A558">
        <f>IF('Entry Builder'!$N$7=0,1,IF('Entry Builder'!$D$7="Less",--(INDEX(Sims!$A558:$BO558,'Entry Builder'!$L$7)&lt;'Entry Builder'!$E$7),--(INDEX(Sims!$A558:$BO558,'Entry Builder'!$L$7)&gt;'Entry Builder'!$E$7)))</f>
        <v/>
      </c>
      <c r="B558">
        <f>IF('Entry Builder'!$N$8=0,1,IF('Entry Builder'!$D$8="Less",--(INDEX(Sims!$A558:$BO558,'Entry Builder'!$L$8)&lt;'Entry Builder'!$E$8),--(INDEX(Sims!$A558:$BO558,'Entry Builder'!$L$8)&gt;'Entry Builder'!$E$8)))</f>
        <v/>
      </c>
      <c r="C558">
        <f>IF('Entry Builder'!$N$9=0,1,IF('Entry Builder'!$D$9="Less",--(INDEX(Sims!$A558:$BO558,'Entry Builder'!$L$9)&lt;'Entry Builder'!$E$9),--(INDEX(Sims!$A558:$BO558,'Entry Builder'!$L$9)&gt;'Entry Builder'!$E$9)))</f>
        <v/>
      </c>
      <c r="D558">
        <f>IF('Entry Builder'!$N$10=0,1,IF('Entry Builder'!$D$10="Less",--(INDEX(Sims!$A558:$BO558,'Entry Builder'!$L$10)&lt;'Entry Builder'!$E$10),--(INDEX(Sims!$A558:$BO558,'Entry Builder'!$L$10)&gt;'Entry Builder'!$E$10)))</f>
        <v/>
      </c>
      <c r="E558">
        <f>IF('Entry Builder'!$N$11=0,1,IF('Entry Builder'!$D$11="Less",--(INDEX(Sims!$A558:$BO558,'Entry Builder'!$L$11)&lt;'Entry Builder'!$E$11),--(INDEX(Sims!$A558:$BO558,'Entry Builder'!$L$11)&gt;'Entry Builder'!$E$11)))</f>
        <v/>
      </c>
      <c r="F558">
        <f>IF('Entry Builder'!$N$12=0,1,IF('Entry Builder'!$D$12="Less",--(INDEX(Sims!$A558:$BO558,'Entry Builder'!$L$12)&lt;'Entry Builder'!$E$12),--(INDEX(Sims!$A558:$BO558,'Entry Builder'!$L$12)&gt;'Entry Builder'!$E$12)))</f>
        <v/>
      </c>
      <c r="G558">
        <f>6-SUM(A558:F558)</f>
        <v/>
      </c>
    </row>
    <row r="559">
      <c r="A559">
        <f>IF('Entry Builder'!$N$7=0,1,IF('Entry Builder'!$D$7="Less",--(INDEX(Sims!$A559:$BO559,'Entry Builder'!$L$7)&lt;'Entry Builder'!$E$7),--(INDEX(Sims!$A559:$BO559,'Entry Builder'!$L$7)&gt;'Entry Builder'!$E$7)))</f>
        <v/>
      </c>
      <c r="B559">
        <f>IF('Entry Builder'!$N$8=0,1,IF('Entry Builder'!$D$8="Less",--(INDEX(Sims!$A559:$BO559,'Entry Builder'!$L$8)&lt;'Entry Builder'!$E$8),--(INDEX(Sims!$A559:$BO559,'Entry Builder'!$L$8)&gt;'Entry Builder'!$E$8)))</f>
        <v/>
      </c>
      <c r="C559">
        <f>IF('Entry Builder'!$N$9=0,1,IF('Entry Builder'!$D$9="Less",--(INDEX(Sims!$A559:$BO559,'Entry Builder'!$L$9)&lt;'Entry Builder'!$E$9),--(INDEX(Sims!$A559:$BO559,'Entry Builder'!$L$9)&gt;'Entry Builder'!$E$9)))</f>
        <v/>
      </c>
      <c r="D559">
        <f>IF('Entry Builder'!$N$10=0,1,IF('Entry Builder'!$D$10="Less",--(INDEX(Sims!$A559:$BO559,'Entry Builder'!$L$10)&lt;'Entry Builder'!$E$10),--(INDEX(Sims!$A559:$BO559,'Entry Builder'!$L$10)&gt;'Entry Builder'!$E$10)))</f>
        <v/>
      </c>
      <c r="E559">
        <f>IF('Entry Builder'!$N$11=0,1,IF('Entry Builder'!$D$11="Less",--(INDEX(Sims!$A559:$BO559,'Entry Builder'!$L$11)&lt;'Entry Builder'!$E$11),--(INDEX(Sims!$A559:$BO559,'Entry Builder'!$L$11)&gt;'Entry Builder'!$E$11)))</f>
        <v/>
      </c>
      <c r="F559">
        <f>IF('Entry Builder'!$N$12=0,1,IF('Entry Builder'!$D$12="Less",--(INDEX(Sims!$A559:$BO559,'Entry Builder'!$L$12)&lt;'Entry Builder'!$E$12),--(INDEX(Sims!$A559:$BO559,'Entry Builder'!$L$12)&gt;'Entry Builder'!$E$12)))</f>
        <v/>
      </c>
      <c r="G559">
        <f>6-SUM(A559:F559)</f>
        <v/>
      </c>
    </row>
    <row r="560">
      <c r="A560">
        <f>IF('Entry Builder'!$N$7=0,1,IF('Entry Builder'!$D$7="Less",--(INDEX(Sims!$A560:$BO560,'Entry Builder'!$L$7)&lt;'Entry Builder'!$E$7),--(INDEX(Sims!$A560:$BO560,'Entry Builder'!$L$7)&gt;'Entry Builder'!$E$7)))</f>
        <v/>
      </c>
      <c r="B560">
        <f>IF('Entry Builder'!$N$8=0,1,IF('Entry Builder'!$D$8="Less",--(INDEX(Sims!$A560:$BO560,'Entry Builder'!$L$8)&lt;'Entry Builder'!$E$8),--(INDEX(Sims!$A560:$BO560,'Entry Builder'!$L$8)&gt;'Entry Builder'!$E$8)))</f>
        <v/>
      </c>
      <c r="C560">
        <f>IF('Entry Builder'!$N$9=0,1,IF('Entry Builder'!$D$9="Less",--(INDEX(Sims!$A560:$BO560,'Entry Builder'!$L$9)&lt;'Entry Builder'!$E$9),--(INDEX(Sims!$A560:$BO560,'Entry Builder'!$L$9)&gt;'Entry Builder'!$E$9)))</f>
        <v/>
      </c>
      <c r="D560">
        <f>IF('Entry Builder'!$N$10=0,1,IF('Entry Builder'!$D$10="Less",--(INDEX(Sims!$A560:$BO560,'Entry Builder'!$L$10)&lt;'Entry Builder'!$E$10),--(INDEX(Sims!$A560:$BO560,'Entry Builder'!$L$10)&gt;'Entry Builder'!$E$10)))</f>
        <v/>
      </c>
      <c r="E560">
        <f>IF('Entry Builder'!$N$11=0,1,IF('Entry Builder'!$D$11="Less",--(INDEX(Sims!$A560:$BO560,'Entry Builder'!$L$11)&lt;'Entry Builder'!$E$11),--(INDEX(Sims!$A560:$BO560,'Entry Builder'!$L$11)&gt;'Entry Builder'!$E$11)))</f>
        <v/>
      </c>
      <c r="F560">
        <f>IF('Entry Builder'!$N$12=0,1,IF('Entry Builder'!$D$12="Less",--(INDEX(Sims!$A560:$BO560,'Entry Builder'!$L$12)&lt;'Entry Builder'!$E$12),--(INDEX(Sims!$A560:$BO560,'Entry Builder'!$L$12)&gt;'Entry Builder'!$E$12)))</f>
        <v/>
      </c>
      <c r="G560">
        <f>6-SUM(A560:F560)</f>
        <v/>
      </c>
    </row>
    <row r="561">
      <c r="A561">
        <f>IF('Entry Builder'!$N$7=0,1,IF('Entry Builder'!$D$7="Less",--(INDEX(Sims!$A561:$BO561,'Entry Builder'!$L$7)&lt;'Entry Builder'!$E$7),--(INDEX(Sims!$A561:$BO561,'Entry Builder'!$L$7)&gt;'Entry Builder'!$E$7)))</f>
        <v/>
      </c>
      <c r="B561">
        <f>IF('Entry Builder'!$N$8=0,1,IF('Entry Builder'!$D$8="Less",--(INDEX(Sims!$A561:$BO561,'Entry Builder'!$L$8)&lt;'Entry Builder'!$E$8),--(INDEX(Sims!$A561:$BO561,'Entry Builder'!$L$8)&gt;'Entry Builder'!$E$8)))</f>
        <v/>
      </c>
      <c r="C561">
        <f>IF('Entry Builder'!$N$9=0,1,IF('Entry Builder'!$D$9="Less",--(INDEX(Sims!$A561:$BO561,'Entry Builder'!$L$9)&lt;'Entry Builder'!$E$9),--(INDEX(Sims!$A561:$BO561,'Entry Builder'!$L$9)&gt;'Entry Builder'!$E$9)))</f>
        <v/>
      </c>
      <c r="D561">
        <f>IF('Entry Builder'!$N$10=0,1,IF('Entry Builder'!$D$10="Less",--(INDEX(Sims!$A561:$BO561,'Entry Builder'!$L$10)&lt;'Entry Builder'!$E$10),--(INDEX(Sims!$A561:$BO561,'Entry Builder'!$L$10)&gt;'Entry Builder'!$E$10)))</f>
        <v/>
      </c>
      <c r="E561">
        <f>IF('Entry Builder'!$N$11=0,1,IF('Entry Builder'!$D$11="Less",--(INDEX(Sims!$A561:$BO561,'Entry Builder'!$L$11)&lt;'Entry Builder'!$E$11),--(INDEX(Sims!$A561:$BO561,'Entry Builder'!$L$11)&gt;'Entry Builder'!$E$11)))</f>
        <v/>
      </c>
      <c r="F561">
        <f>IF('Entry Builder'!$N$12=0,1,IF('Entry Builder'!$D$12="Less",--(INDEX(Sims!$A561:$BO561,'Entry Builder'!$L$12)&lt;'Entry Builder'!$E$12),--(INDEX(Sims!$A561:$BO561,'Entry Builder'!$L$12)&gt;'Entry Builder'!$E$12)))</f>
        <v/>
      </c>
      <c r="G561">
        <f>6-SUM(A561:F561)</f>
        <v/>
      </c>
    </row>
    <row r="562">
      <c r="A562">
        <f>IF('Entry Builder'!$N$7=0,1,IF('Entry Builder'!$D$7="Less",--(INDEX(Sims!$A562:$BO562,'Entry Builder'!$L$7)&lt;'Entry Builder'!$E$7),--(INDEX(Sims!$A562:$BO562,'Entry Builder'!$L$7)&gt;'Entry Builder'!$E$7)))</f>
        <v/>
      </c>
      <c r="B562">
        <f>IF('Entry Builder'!$N$8=0,1,IF('Entry Builder'!$D$8="Less",--(INDEX(Sims!$A562:$BO562,'Entry Builder'!$L$8)&lt;'Entry Builder'!$E$8),--(INDEX(Sims!$A562:$BO562,'Entry Builder'!$L$8)&gt;'Entry Builder'!$E$8)))</f>
        <v/>
      </c>
      <c r="C562">
        <f>IF('Entry Builder'!$N$9=0,1,IF('Entry Builder'!$D$9="Less",--(INDEX(Sims!$A562:$BO562,'Entry Builder'!$L$9)&lt;'Entry Builder'!$E$9),--(INDEX(Sims!$A562:$BO562,'Entry Builder'!$L$9)&gt;'Entry Builder'!$E$9)))</f>
        <v/>
      </c>
      <c r="D562">
        <f>IF('Entry Builder'!$N$10=0,1,IF('Entry Builder'!$D$10="Less",--(INDEX(Sims!$A562:$BO562,'Entry Builder'!$L$10)&lt;'Entry Builder'!$E$10),--(INDEX(Sims!$A562:$BO562,'Entry Builder'!$L$10)&gt;'Entry Builder'!$E$10)))</f>
        <v/>
      </c>
      <c r="E562">
        <f>IF('Entry Builder'!$N$11=0,1,IF('Entry Builder'!$D$11="Less",--(INDEX(Sims!$A562:$BO562,'Entry Builder'!$L$11)&lt;'Entry Builder'!$E$11),--(INDEX(Sims!$A562:$BO562,'Entry Builder'!$L$11)&gt;'Entry Builder'!$E$11)))</f>
        <v/>
      </c>
      <c r="F562">
        <f>IF('Entry Builder'!$N$12=0,1,IF('Entry Builder'!$D$12="Less",--(INDEX(Sims!$A562:$BO562,'Entry Builder'!$L$12)&lt;'Entry Builder'!$E$12),--(INDEX(Sims!$A562:$BO562,'Entry Builder'!$L$12)&gt;'Entry Builder'!$E$12)))</f>
        <v/>
      </c>
      <c r="G562">
        <f>6-SUM(A562:F562)</f>
        <v/>
      </c>
    </row>
    <row r="563">
      <c r="A563">
        <f>IF('Entry Builder'!$N$7=0,1,IF('Entry Builder'!$D$7="Less",--(INDEX(Sims!$A563:$BO563,'Entry Builder'!$L$7)&lt;'Entry Builder'!$E$7),--(INDEX(Sims!$A563:$BO563,'Entry Builder'!$L$7)&gt;'Entry Builder'!$E$7)))</f>
        <v/>
      </c>
      <c r="B563">
        <f>IF('Entry Builder'!$N$8=0,1,IF('Entry Builder'!$D$8="Less",--(INDEX(Sims!$A563:$BO563,'Entry Builder'!$L$8)&lt;'Entry Builder'!$E$8),--(INDEX(Sims!$A563:$BO563,'Entry Builder'!$L$8)&gt;'Entry Builder'!$E$8)))</f>
        <v/>
      </c>
      <c r="C563">
        <f>IF('Entry Builder'!$N$9=0,1,IF('Entry Builder'!$D$9="Less",--(INDEX(Sims!$A563:$BO563,'Entry Builder'!$L$9)&lt;'Entry Builder'!$E$9),--(INDEX(Sims!$A563:$BO563,'Entry Builder'!$L$9)&gt;'Entry Builder'!$E$9)))</f>
        <v/>
      </c>
      <c r="D563">
        <f>IF('Entry Builder'!$N$10=0,1,IF('Entry Builder'!$D$10="Less",--(INDEX(Sims!$A563:$BO563,'Entry Builder'!$L$10)&lt;'Entry Builder'!$E$10),--(INDEX(Sims!$A563:$BO563,'Entry Builder'!$L$10)&gt;'Entry Builder'!$E$10)))</f>
        <v/>
      </c>
      <c r="E563">
        <f>IF('Entry Builder'!$N$11=0,1,IF('Entry Builder'!$D$11="Less",--(INDEX(Sims!$A563:$BO563,'Entry Builder'!$L$11)&lt;'Entry Builder'!$E$11),--(INDEX(Sims!$A563:$BO563,'Entry Builder'!$L$11)&gt;'Entry Builder'!$E$11)))</f>
        <v/>
      </c>
      <c r="F563">
        <f>IF('Entry Builder'!$N$12=0,1,IF('Entry Builder'!$D$12="Less",--(INDEX(Sims!$A563:$BO563,'Entry Builder'!$L$12)&lt;'Entry Builder'!$E$12),--(INDEX(Sims!$A563:$BO563,'Entry Builder'!$L$12)&gt;'Entry Builder'!$E$12)))</f>
        <v/>
      </c>
      <c r="G563">
        <f>6-SUM(A563:F563)</f>
        <v/>
      </c>
    </row>
    <row r="564">
      <c r="A564">
        <f>IF('Entry Builder'!$N$7=0,1,IF('Entry Builder'!$D$7="Less",--(INDEX(Sims!$A564:$BO564,'Entry Builder'!$L$7)&lt;'Entry Builder'!$E$7),--(INDEX(Sims!$A564:$BO564,'Entry Builder'!$L$7)&gt;'Entry Builder'!$E$7)))</f>
        <v/>
      </c>
      <c r="B564">
        <f>IF('Entry Builder'!$N$8=0,1,IF('Entry Builder'!$D$8="Less",--(INDEX(Sims!$A564:$BO564,'Entry Builder'!$L$8)&lt;'Entry Builder'!$E$8),--(INDEX(Sims!$A564:$BO564,'Entry Builder'!$L$8)&gt;'Entry Builder'!$E$8)))</f>
        <v/>
      </c>
      <c r="C564">
        <f>IF('Entry Builder'!$N$9=0,1,IF('Entry Builder'!$D$9="Less",--(INDEX(Sims!$A564:$BO564,'Entry Builder'!$L$9)&lt;'Entry Builder'!$E$9),--(INDEX(Sims!$A564:$BO564,'Entry Builder'!$L$9)&gt;'Entry Builder'!$E$9)))</f>
        <v/>
      </c>
      <c r="D564">
        <f>IF('Entry Builder'!$N$10=0,1,IF('Entry Builder'!$D$10="Less",--(INDEX(Sims!$A564:$BO564,'Entry Builder'!$L$10)&lt;'Entry Builder'!$E$10),--(INDEX(Sims!$A564:$BO564,'Entry Builder'!$L$10)&gt;'Entry Builder'!$E$10)))</f>
        <v/>
      </c>
      <c r="E564">
        <f>IF('Entry Builder'!$N$11=0,1,IF('Entry Builder'!$D$11="Less",--(INDEX(Sims!$A564:$BO564,'Entry Builder'!$L$11)&lt;'Entry Builder'!$E$11),--(INDEX(Sims!$A564:$BO564,'Entry Builder'!$L$11)&gt;'Entry Builder'!$E$11)))</f>
        <v/>
      </c>
      <c r="F564">
        <f>IF('Entry Builder'!$N$12=0,1,IF('Entry Builder'!$D$12="Less",--(INDEX(Sims!$A564:$BO564,'Entry Builder'!$L$12)&lt;'Entry Builder'!$E$12),--(INDEX(Sims!$A564:$BO564,'Entry Builder'!$L$12)&gt;'Entry Builder'!$E$12)))</f>
        <v/>
      </c>
      <c r="G564">
        <f>6-SUM(A564:F564)</f>
        <v/>
      </c>
    </row>
    <row r="565">
      <c r="A565">
        <f>IF('Entry Builder'!$N$7=0,1,IF('Entry Builder'!$D$7="Less",--(INDEX(Sims!$A565:$BO565,'Entry Builder'!$L$7)&lt;'Entry Builder'!$E$7),--(INDEX(Sims!$A565:$BO565,'Entry Builder'!$L$7)&gt;'Entry Builder'!$E$7)))</f>
        <v/>
      </c>
      <c r="B565">
        <f>IF('Entry Builder'!$N$8=0,1,IF('Entry Builder'!$D$8="Less",--(INDEX(Sims!$A565:$BO565,'Entry Builder'!$L$8)&lt;'Entry Builder'!$E$8),--(INDEX(Sims!$A565:$BO565,'Entry Builder'!$L$8)&gt;'Entry Builder'!$E$8)))</f>
        <v/>
      </c>
      <c r="C565">
        <f>IF('Entry Builder'!$N$9=0,1,IF('Entry Builder'!$D$9="Less",--(INDEX(Sims!$A565:$BO565,'Entry Builder'!$L$9)&lt;'Entry Builder'!$E$9),--(INDEX(Sims!$A565:$BO565,'Entry Builder'!$L$9)&gt;'Entry Builder'!$E$9)))</f>
        <v/>
      </c>
      <c r="D565">
        <f>IF('Entry Builder'!$N$10=0,1,IF('Entry Builder'!$D$10="Less",--(INDEX(Sims!$A565:$BO565,'Entry Builder'!$L$10)&lt;'Entry Builder'!$E$10),--(INDEX(Sims!$A565:$BO565,'Entry Builder'!$L$10)&gt;'Entry Builder'!$E$10)))</f>
        <v/>
      </c>
      <c r="E565">
        <f>IF('Entry Builder'!$N$11=0,1,IF('Entry Builder'!$D$11="Less",--(INDEX(Sims!$A565:$BO565,'Entry Builder'!$L$11)&lt;'Entry Builder'!$E$11),--(INDEX(Sims!$A565:$BO565,'Entry Builder'!$L$11)&gt;'Entry Builder'!$E$11)))</f>
        <v/>
      </c>
      <c r="F565">
        <f>IF('Entry Builder'!$N$12=0,1,IF('Entry Builder'!$D$12="Less",--(INDEX(Sims!$A565:$BO565,'Entry Builder'!$L$12)&lt;'Entry Builder'!$E$12),--(INDEX(Sims!$A565:$BO565,'Entry Builder'!$L$12)&gt;'Entry Builder'!$E$12)))</f>
        <v/>
      </c>
      <c r="G565">
        <f>6-SUM(A565:F565)</f>
        <v/>
      </c>
    </row>
    <row r="566">
      <c r="A566">
        <f>IF('Entry Builder'!$N$7=0,1,IF('Entry Builder'!$D$7="Less",--(INDEX(Sims!$A566:$BO566,'Entry Builder'!$L$7)&lt;'Entry Builder'!$E$7),--(INDEX(Sims!$A566:$BO566,'Entry Builder'!$L$7)&gt;'Entry Builder'!$E$7)))</f>
        <v/>
      </c>
      <c r="B566">
        <f>IF('Entry Builder'!$N$8=0,1,IF('Entry Builder'!$D$8="Less",--(INDEX(Sims!$A566:$BO566,'Entry Builder'!$L$8)&lt;'Entry Builder'!$E$8),--(INDEX(Sims!$A566:$BO566,'Entry Builder'!$L$8)&gt;'Entry Builder'!$E$8)))</f>
        <v/>
      </c>
      <c r="C566">
        <f>IF('Entry Builder'!$N$9=0,1,IF('Entry Builder'!$D$9="Less",--(INDEX(Sims!$A566:$BO566,'Entry Builder'!$L$9)&lt;'Entry Builder'!$E$9),--(INDEX(Sims!$A566:$BO566,'Entry Builder'!$L$9)&gt;'Entry Builder'!$E$9)))</f>
        <v/>
      </c>
      <c r="D566">
        <f>IF('Entry Builder'!$N$10=0,1,IF('Entry Builder'!$D$10="Less",--(INDEX(Sims!$A566:$BO566,'Entry Builder'!$L$10)&lt;'Entry Builder'!$E$10),--(INDEX(Sims!$A566:$BO566,'Entry Builder'!$L$10)&gt;'Entry Builder'!$E$10)))</f>
        <v/>
      </c>
      <c r="E566">
        <f>IF('Entry Builder'!$N$11=0,1,IF('Entry Builder'!$D$11="Less",--(INDEX(Sims!$A566:$BO566,'Entry Builder'!$L$11)&lt;'Entry Builder'!$E$11),--(INDEX(Sims!$A566:$BO566,'Entry Builder'!$L$11)&gt;'Entry Builder'!$E$11)))</f>
        <v/>
      </c>
      <c r="F566">
        <f>IF('Entry Builder'!$N$12=0,1,IF('Entry Builder'!$D$12="Less",--(INDEX(Sims!$A566:$BO566,'Entry Builder'!$L$12)&lt;'Entry Builder'!$E$12),--(INDEX(Sims!$A566:$BO566,'Entry Builder'!$L$12)&gt;'Entry Builder'!$E$12)))</f>
        <v/>
      </c>
      <c r="G566">
        <f>6-SUM(A566:F566)</f>
        <v/>
      </c>
    </row>
    <row r="567">
      <c r="A567">
        <f>IF('Entry Builder'!$N$7=0,1,IF('Entry Builder'!$D$7="Less",--(INDEX(Sims!$A567:$BO567,'Entry Builder'!$L$7)&lt;'Entry Builder'!$E$7),--(INDEX(Sims!$A567:$BO567,'Entry Builder'!$L$7)&gt;'Entry Builder'!$E$7)))</f>
        <v/>
      </c>
      <c r="B567">
        <f>IF('Entry Builder'!$N$8=0,1,IF('Entry Builder'!$D$8="Less",--(INDEX(Sims!$A567:$BO567,'Entry Builder'!$L$8)&lt;'Entry Builder'!$E$8),--(INDEX(Sims!$A567:$BO567,'Entry Builder'!$L$8)&gt;'Entry Builder'!$E$8)))</f>
        <v/>
      </c>
      <c r="C567">
        <f>IF('Entry Builder'!$N$9=0,1,IF('Entry Builder'!$D$9="Less",--(INDEX(Sims!$A567:$BO567,'Entry Builder'!$L$9)&lt;'Entry Builder'!$E$9),--(INDEX(Sims!$A567:$BO567,'Entry Builder'!$L$9)&gt;'Entry Builder'!$E$9)))</f>
        <v/>
      </c>
      <c r="D567">
        <f>IF('Entry Builder'!$N$10=0,1,IF('Entry Builder'!$D$10="Less",--(INDEX(Sims!$A567:$BO567,'Entry Builder'!$L$10)&lt;'Entry Builder'!$E$10),--(INDEX(Sims!$A567:$BO567,'Entry Builder'!$L$10)&gt;'Entry Builder'!$E$10)))</f>
        <v/>
      </c>
      <c r="E567">
        <f>IF('Entry Builder'!$N$11=0,1,IF('Entry Builder'!$D$11="Less",--(INDEX(Sims!$A567:$BO567,'Entry Builder'!$L$11)&lt;'Entry Builder'!$E$11),--(INDEX(Sims!$A567:$BO567,'Entry Builder'!$L$11)&gt;'Entry Builder'!$E$11)))</f>
        <v/>
      </c>
      <c r="F567">
        <f>IF('Entry Builder'!$N$12=0,1,IF('Entry Builder'!$D$12="Less",--(INDEX(Sims!$A567:$BO567,'Entry Builder'!$L$12)&lt;'Entry Builder'!$E$12),--(INDEX(Sims!$A567:$BO567,'Entry Builder'!$L$12)&gt;'Entry Builder'!$E$12)))</f>
        <v/>
      </c>
      <c r="G567">
        <f>6-SUM(A567:F567)</f>
        <v/>
      </c>
    </row>
    <row r="568">
      <c r="A568">
        <f>IF('Entry Builder'!$N$7=0,1,IF('Entry Builder'!$D$7="Less",--(INDEX(Sims!$A568:$BO568,'Entry Builder'!$L$7)&lt;'Entry Builder'!$E$7),--(INDEX(Sims!$A568:$BO568,'Entry Builder'!$L$7)&gt;'Entry Builder'!$E$7)))</f>
        <v/>
      </c>
      <c r="B568">
        <f>IF('Entry Builder'!$N$8=0,1,IF('Entry Builder'!$D$8="Less",--(INDEX(Sims!$A568:$BO568,'Entry Builder'!$L$8)&lt;'Entry Builder'!$E$8),--(INDEX(Sims!$A568:$BO568,'Entry Builder'!$L$8)&gt;'Entry Builder'!$E$8)))</f>
        <v/>
      </c>
      <c r="C568">
        <f>IF('Entry Builder'!$N$9=0,1,IF('Entry Builder'!$D$9="Less",--(INDEX(Sims!$A568:$BO568,'Entry Builder'!$L$9)&lt;'Entry Builder'!$E$9),--(INDEX(Sims!$A568:$BO568,'Entry Builder'!$L$9)&gt;'Entry Builder'!$E$9)))</f>
        <v/>
      </c>
      <c r="D568">
        <f>IF('Entry Builder'!$N$10=0,1,IF('Entry Builder'!$D$10="Less",--(INDEX(Sims!$A568:$BO568,'Entry Builder'!$L$10)&lt;'Entry Builder'!$E$10),--(INDEX(Sims!$A568:$BO568,'Entry Builder'!$L$10)&gt;'Entry Builder'!$E$10)))</f>
        <v/>
      </c>
      <c r="E568">
        <f>IF('Entry Builder'!$N$11=0,1,IF('Entry Builder'!$D$11="Less",--(INDEX(Sims!$A568:$BO568,'Entry Builder'!$L$11)&lt;'Entry Builder'!$E$11),--(INDEX(Sims!$A568:$BO568,'Entry Builder'!$L$11)&gt;'Entry Builder'!$E$11)))</f>
        <v/>
      </c>
      <c r="F568">
        <f>IF('Entry Builder'!$N$12=0,1,IF('Entry Builder'!$D$12="Less",--(INDEX(Sims!$A568:$BO568,'Entry Builder'!$L$12)&lt;'Entry Builder'!$E$12),--(INDEX(Sims!$A568:$BO568,'Entry Builder'!$L$12)&gt;'Entry Builder'!$E$12)))</f>
        <v/>
      </c>
      <c r="G568">
        <f>6-SUM(A568:F568)</f>
        <v/>
      </c>
    </row>
    <row r="569">
      <c r="A569">
        <f>IF('Entry Builder'!$N$7=0,1,IF('Entry Builder'!$D$7="Less",--(INDEX(Sims!$A569:$BO569,'Entry Builder'!$L$7)&lt;'Entry Builder'!$E$7),--(INDEX(Sims!$A569:$BO569,'Entry Builder'!$L$7)&gt;'Entry Builder'!$E$7)))</f>
        <v/>
      </c>
      <c r="B569">
        <f>IF('Entry Builder'!$N$8=0,1,IF('Entry Builder'!$D$8="Less",--(INDEX(Sims!$A569:$BO569,'Entry Builder'!$L$8)&lt;'Entry Builder'!$E$8),--(INDEX(Sims!$A569:$BO569,'Entry Builder'!$L$8)&gt;'Entry Builder'!$E$8)))</f>
        <v/>
      </c>
      <c r="C569">
        <f>IF('Entry Builder'!$N$9=0,1,IF('Entry Builder'!$D$9="Less",--(INDEX(Sims!$A569:$BO569,'Entry Builder'!$L$9)&lt;'Entry Builder'!$E$9),--(INDEX(Sims!$A569:$BO569,'Entry Builder'!$L$9)&gt;'Entry Builder'!$E$9)))</f>
        <v/>
      </c>
      <c r="D569">
        <f>IF('Entry Builder'!$N$10=0,1,IF('Entry Builder'!$D$10="Less",--(INDEX(Sims!$A569:$BO569,'Entry Builder'!$L$10)&lt;'Entry Builder'!$E$10),--(INDEX(Sims!$A569:$BO569,'Entry Builder'!$L$10)&gt;'Entry Builder'!$E$10)))</f>
        <v/>
      </c>
      <c r="E569">
        <f>IF('Entry Builder'!$N$11=0,1,IF('Entry Builder'!$D$11="Less",--(INDEX(Sims!$A569:$BO569,'Entry Builder'!$L$11)&lt;'Entry Builder'!$E$11),--(INDEX(Sims!$A569:$BO569,'Entry Builder'!$L$11)&gt;'Entry Builder'!$E$11)))</f>
        <v/>
      </c>
      <c r="F569">
        <f>IF('Entry Builder'!$N$12=0,1,IF('Entry Builder'!$D$12="Less",--(INDEX(Sims!$A569:$BO569,'Entry Builder'!$L$12)&lt;'Entry Builder'!$E$12),--(INDEX(Sims!$A569:$BO569,'Entry Builder'!$L$12)&gt;'Entry Builder'!$E$12)))</f>
        <v/>
      </c>
      <c r="G569">
        <f>6-SUM(A569:F569)</f>
        <v/>
      </c>
    </row>
    <row r="570">
      <c r="A570">
        <f>IF('Entry Builder'!$N$7=0,1,IF('Entry Builder'!$D$7="Less",--(INDEX(Sims!$A570:$BO570,'Entry Builder'!$L$7)&lt;'Entry Builder'!$E$7),--(INDEX(Sims!$A570:$BO570,'Entry Builder'!$L$7)&gt;'Entry Builder'!$E$7)))</f>
        <v/>
      </c>
      <c r="B570">
        <f>IF('Entry Builder'!$N$8=0,1,IF('Entry Builder'!$D$8="Less",--(INDEX(Sims!$A570:$BO570,'Entry Builder'!$L$8)&lt;'Entry Builder'!$E$8),--(INDEX(Sims!$A570:$BO570,'Entry Builder'!$L$8)&gt;'Entry Builder'!$E$8)))</f>
        <v/>
      </c>
      <c r="C570">
        <f>IF('Entry Builder'!$N$9=0,1,IF('Entry Builder'!$D$9="Less",--(INDEX(Sims!$A570:$BO570,'Entry Builder'!$L$9)&lt;'Entry Builder'!$E$9),--(INDEX(Sims!$A570:$BO570,'Entry Builder'!$L$9)&gt;'Entry Builder'!$E$9)))</f>
        <v/>
      </c>
      <c r="D570">
        <f>IF('Entry Builder'!$N$10=0,1,IF('Entry Builder'!$D$10="Less",--(INDEX(Sims!$A570:$BO570,'Entry Builder'!$L$10)&lt;'Entry Builder'!$E$10),--(INDEX(Sims!$A570:$BO570,'Entry Builder'!$L$10)&gt;'Entry Builder'!$E$10)))</f>
        <v/>
      </c>
      <c r="E570">
        <f>IF('Entry Builder'!$N$11=0,1,IF('Entry Builder'!$D$11="Less",--(INDEX(Sims!$A570:$BO570,'Entry Builder'!$L$11)&lt;'Entry Builder'!$E$11),--(INDEX(Sims!$A570:$BO570,'Entry Builder'!$L$11)&gt;'Entry Builder'!$E$11)))</f>
        <v/>
      </c>
      <c r="F570">
        <f>IF('Entry Builder'!$N$12=0,1,IF('Entry Builder'!$D$12="Less",--(INDEX(Sims!$A570:$BO570,'Entry Builder'!$L$12)&lt;'Entry Builder'!$E$12),--(INDEX(Sims!$A570:$BO570,'Entry Builder'!$L$12)&gt;'Entry Builder'!$E$12)))</f>
        <v/>
      </c>
      <c r="G570">
        <f>6-SUM(A570:F570)</f>
        <v/>
      </c>
    </row>
    <row r="571">
      <c r="A571">
        <f>IF('Entry Builder'!$N$7=0,1,IF('Entry Builder'!$D$7="Less",--(INDEX(Sims!$A571:$BO571,'Entry Builder'!$L$7)&lt;'Entry Builder'!$E$7),--(INDEX(Sims!$A571:$BO571,'Entry Builder'!$L$7)&gt;'Entry Builder'!$E$7)))</f>
        <v/>
      </c>
      <c r="B571">
        <f>IF('Entry Builder'!$N$8=0,1,IF('Entry Builder'!$D$8="Less",--(INDEX(Sims!$A571:$BO571,'Entry Builder'!$L$8)&lt;'Entry Builder'!$E$8),--(INDEX(Sims!$A571:$BO571,'Entry Builder'!$L$8)&gt;'Entry Builder'!$E$8)))</f>
        <v/>
      </c>
      <c r="C571">
        <f>IF('Entry Builder'!$N$9=0,1,IF('Entry Builder'!$D$9="Less",--(INDEX(Sims!$A571:$BO571,'Entry Builder'!$L$9)&lt;'Entry Builder'!$E$9),--(INDEX(Sims!$A571:$BO571,'Entry Builder'!$L$9)&gt;'Entry Builder'!$E$9)))</f>
        <v/>
      </c>
      <c r="D571">
        <f>IF('Entry Builder'!$N$10=0,1,IF('Entry Builder'!$D$10="Less",--(INDEX(Sims!$A571:$BO571,'Entry Builder'!$L$10)&lt;'Entry Builder'!$E$10),--(INDEX(Sims!$A571:$BO571,'Entry Builder'!$L$10)&gt;'Entry Builder'!$E$10)))</f>
        <v/>
      </c>
      <c r="E571">
        <f>IF('Entry Builder'!$N$11=0,1,IF('Entry Builder'!$D$11="Less",--(INDEX(Sims!$A571:$BO571,'Entry Builder'!$L$11)&lt;'Entry Builder'!$E$11),--(INDEX(Sims!$A571:$BO571,'Entry Builder'!$L$11)&gt;'Entry Builder'!$E$11)))</f>
        <v/>
      </c>
      <c r="F571">
        <f>IF('Entry Builder'!$N$12=0,1,IF('Entry Builder'!$D$12="Less",--(INDEX(Sims!$A571:$BO571,'Entry Builder'!$L$12)&lt;'Entry Builder'!$E$12),--(INDEX(Sims!$A571:$BO571,'Entry Builder'!$L$12)&gt;'Entry Builder'!$E$12)))</f>
        <v/>
      </c>
      <c r="G571">
        <f>6-SUM(A571:F571)</f>
        <v/>
      </c>
    </row>
    <row r="572">
      <c r="A572">
        <f>IF('Entry Builder'!$N$7=0,1,IF('Entry Builder'!$D$7="Less",--(INDEX(Sims!$A572:$BO572,'Entry Builder'!$L$7)&lt;'Entry Builder'!$E$7),--(INDEX(Sims!$A572:$BO572,'Entry Builder'!$L$7)&gt;'Entry Builder'!$E$7)))</f>
        <v/>
      </c>
      <c r="B572">
        <f>IF('Entry Builder'!$N$8=0,1,IF('Entry Builder'!$D$8="Less",--(INDEX(Sims!$A572:$BO572,'Entry Builder'!$L$8)&lt;'Entry Builder'!$E$8),--(INDEX(Sims!$A572:$BO572,'Entry Builder'!$L$8)&gt;'Entry Builder'!$E$8)))</f>
        <v/>
      </c>
      <c r="C572">
        <f>IF('Entry Builder'!$N$9=0,1,IF('Entry Builder'!$D$9="Less",--(INDEX(Sims!$A572:$BO572,'Entry Builder'!$L$9)&lt;'Entry Builder'!$E$9),--(INDEX(Sims!$A572:$BO572,'Entry Builder'!$L$9)&gt;'Entry Builder'!$E$9)))</f>
        <v/>
      </c>
      <c r="D572">
        <f>IF('Entry Builder'!$N$10=0,1,IF('Entry Builder'!$D$10="Less",--(INDEX(Sims!$A572:$BO572,'Entry Builder'!$L$10)&lt;'Entry Builder'!$E$10),--(INDEX(Sims!$A572:$BO572,'Entry Builder'!$L$10)&gt;'Entry Builder'!$E$10)))</f>
        <v/>
      </c>
      <c r="E572">
        <f>IF('Entry Builder'!$N$11=0,1,IF('Entry Builder'!$D$11="Less",--(INDEX(Sims!$A572:$BO572,'Entry Builder'!$L$11)&lt;'Entry Builder'!$E$11),--(INDEX(Sims!$A572:$BO572,'Entry Builder'!$L$11)&gt;'Entry Builder'!$E$11)))</f>
        <v/>
      </c>
      <c r="F572">
        <f>IF('Entry Builder'!$N$12=0,1,IF('Entry Builder'!$D$12="Less",--(INDEX(Sims!$A572:$BO572,'Entry Builder'!$L$12)&lt;'Entry Builder'!$E$12),--(INDEX(Sims!$A572:$BO572,'Entry Builder'!$L$12)&gt;'Entry Builder'!$E$12)))</f>
        <v/>
      </c>
      <c r="G572">
        <f>6-SUM(A572:F572)</f>
        <v/>
      </c>
    </row>
    <row r="573">
      <c r="A573">
        <f>IF('Entry Builder'!$N$7=0,1,IF('Entry Builder'!$D$7="Less",--(INDEX(Sims!$A573:$BO573,'Entry Builder'!$L$7)&lt;'Entry Builder'!$E$7),--(INDEX(Sims!$A573:$BO573,'Entry Builder'!$L$7)&gt;'Entry Builder'!$E$7)))</f>
        <v/>
      </c>
      <c r="B573">
        <f>IF('Entry Builder'!$N$8=0,1,IF('Entry Builder'!$D$8="Less",--(INDEX(Sims!$A573:$BO573,'Entry Builder'!$L$8)&lt;'Entry Builder'!$E$8),--(INDEX(Sims!$A573:$BO573,'Entry Builder'!$L$8)&gt;'Entry Builder'!$E$8)))</f>
        <v/>
      </c>
      <c r="C573">
        <f>IF('Entry Builder'!$N$9=0,1,IF('Entry Builder'!$D$9="Less",--(INDEX(Sims!$A573:$BO573,'Entry Builder'!$L$9)&lt;'Entry Builder'!$E$9),--(INDEX(Sims!$A573:$BO573,'Entry Builder'!$L$9)&gt;'Entry Builder'!$E$9)))</f>
        <v/>
      </c>
      <c r="D573">
        <f>IF('Entry Builder'!$N$10=0,1,IF('Entry Builder'!$D$10="Less",--(INDEX(Sims!$A573:$BO573,'Entry Builder'!$L$10)&lt;'Entry Builder'!$E$10),--(INDEX(Sims!$A573:$BO573,'Entry Builder'!$L$10)&gt;'Entry Builder'!$E$10)))</f>
        <v/>
      </c>
      <c r="E573">
        <f>IF('Entry Builder'!$N$11=0,1,IF('Entry Builder'!$D$11="Less",--(INDEX(Sims!$A573:$BO573,'Entry Builder'!$L$11)&lt;'Entry Builder'!$E$11),--(INDEX(Sims!$A573:$BO573,'Entry Builder'!$L$11)&gt;'Entry Builder'!$E$11)))</f>
        <v/>
      </c>
      <c r="F573">
        <f>IF('Entry Builder'!$N$12=0,1,IF('Entry Builder'!$D$12="Less",--(INDEX(Sims!$A573:$BO573,'Entry Builder'!$L$12)&lt;'Entry Builder'!$E$12),--(INDEX(Sims!$A573:$BO573,'Entry Builder'!$L$12)&gt;'Entry Builder'!$E$12)))</f>
        <v/>
      </c>
      <c r="G573">
        <f>6-SUM(A573:F573)</f>
        <v/>
      </c>
    </row>
    <row r="574">
      <c r="A574">
        <f>IF('Entry Builder'!$N$7=0,1,IF('Entry Builder'!$D$7="Less",--(INDEX(Sims!$A574:$BO574,'Entry Builder'!$L$7)&lt;'Entry Builder'!$E$7),--(INDEX(Sims!$A574:$BO574,'Entry Builder'!$L$7)&gt;'Entry Builder'!$E$7)))</f>
        <v/>
      </c>
      <c r="B574">
        <f>IF('Entry Builder'!$N$8=0,1,IF('Entry Builder'!$D$8="Less",--(INDEX(Sims!$A574:$BO574,'Entry Builder'!$L$8)&lt;'Entry Builder'!$E$8),--(INDEX(Sims!$A574:$BO574,'Entry Builder'!$L$8)&gt;'Entry Builder'!$E$8)))</f>
        <v/>
      </c>
      <c r="C574">
        <f>IF('Entry Builder'!$N$9=0,1,IF('Entry Builder'!$D$9="Less",--(INDEX(Sims!$A574:$BO574,'Entry Builder'!$L$9)&lt;'Entry Builder'!$E$9),--(INDEX(Sims!$A574:$BO574,'Entry Builder'!$L$9)&gt;'Entry Builder'!$E$9)))</f>
        <v/>
      </c>
      <c r="D574">
        <f>IF('Entry Builder'!$N$10=0,1,IF('Entry Builder'!$D$10="Less",--(INDEX(Sims!$A574:$BO574,'Entry Builder'!$L$10)&lt;'Entry Builder'!$E$10),--(INDEX(Sims!$A574:$BO574,'Entry Builder'!$L$10)&gt;'Entry Builder'!$E$10)))</f>
        <v/>
      </c>
      <c r="E574">
        <f>IF('Entry Builder'!$N$11=0,1,IF('Entry Builder'!$D$11="Less",--(INDEX(Sims!$A574:$BO574,'Entry Builder'!$L$11)&lt;'Entry Builder'!$E$11),--(INDEX(Sims!$A574:$BO574,'Entry Builder'!$L$11)&gt;'Entry Builder'!$E$11)))</f>
        <v/>
      </c>
      <c r="F574">
        <f>IF('Entry Builder'!$N$12=0,1,IF('Entry Builder'!$D$12="Less",--(INDEX(Sims!$A574:$BO574,'Entry Builder'!$L$12)&lt;'Entry Builder'!$E$12),--(INDEX(Sims!$A574:$BO574,'Entry Builder'!$L$12)&gt;'Entry Builder'!$E$12)))</f>
        <v/>
      </c>
      <c r="G574">
        <f>6-SUM(A574:F574)</f>
        <v/>
      </c>
    </row>
    <row r="575">
      <c r="A575">
        <f>IF('Entry Builder'!$N$7=0,1,IF('Entry Builder'!$D$7="Less",--(INDEX(Sims!$A575:$BO575,'Entry Builder'!$L$7)&lt;'Entry Builder'!$E$7),--(INDEX(Sims!$A575:$BO575,'Entry Builder'!$L$7)&gt;'Entry Builder'!$E$7)))</f>
        <v/>
      </c>
      <c r="B575">
        <f>IF('Entry Builder'!$N$8=0,1,IF('Entry Builder'!$D$8="Less",--(INDEX(Sims!$A575:$BO575,'Entry Builder'!$L$8)&lt;'Entry Builder'!$E$8),--(INDEX(Sims!$A575:$BO575,'Entry Builder'!$L$8)&gt;'Entry Builder'!$E$8)))</f>
        <v/>
      </c>
      <c r="C575">
        <f>IF('Entry Builder'!$N$9=0,1,IF('Entry Builder'!$D$9="Less",--(INDEX(Sims!$A575:$BO575,'Entry Builder'!$L$9)&lt;'Entry Builder'!$E$9),--(INDEX(Sims!$A575:$BO575,'Entry Builder'!$L$9)&gt;'Entry Builder'!$E$9)))</f>
        <v/>
      </c>
      <c r="D575">
        <f>IF('Entry Builder'!$N$10=0,1,IF('Entry Builder'!$D$10="Less",--(INDEX(Sims!$A575:$BO575,'Entry Builder'!$L$10)&lt;'Entry Builder'!$E$10),--(INDEX(Sims!$A575:$BO575,'Entry Builder'!$L$10)&gt;'Entry Builder'!$E$10)))</f>
        <v/>
      </c>
      <c r="E575">
        <f>IF('Entry Builder'!$N$11=0,1,IF('Entry Builder'!$D$11="Less",--(INDEX(Sims!$A575:$BO575,'Entry Builder'!$L$11)&lt;'Entry Builder'!$E$11),--(INDEX(Sims!$A575:$BO575,'Entry Builder'!$L$11)&gt;'Entry Builder'!$E$11)))</f>
        <v/>
      </c>
      <c r="F575">
        <f>IF('Entry Builder'!$N$12=0,1,IF('Entry Builder'!$D$12="Less",--(INDEX(Sims!$A575:$BO575,'Entry Builder'!$L$12)&lt;'Entry Builder'!$E$12),--(INDEX(Sims!$A575:$BO575,'Entry Builder'!$L$12)&gt;'Entry Builder'!$E$12)))</f>
        <v/>
      </c>
      <c r="G575">
        <f>6-SUM(A575:F575)</f>
        <v/>
      </c>
    </row>
    <row r="576">
      <c r="A576">
        <f>IF('Entry Builder'!$N$7=0,1,IF('Entry Builder'!$D$7="Less",--(INDEX(Sims!$A576:$BO576,'Entry Builder'!$L$7)&lt;'Entry Builder'!$E$7),--(INDEX(Sims!$A576:$BO576,'Entry Builder'!$L$7)&gt;'Entry Builder'!$E$7)))</f>
        <v/>
      </c>
      <c r="B576">
        <f>IF('Entry Builder'!$N$8=0,1,IF('Entry Builder'!$D$8="Less",--(INDEX(Sims!$A576:$BO576,'Entry Builder'!$L$8)&lt;'Entry Builder'!$E$8),--(INDEX(Sims!$A576:$BO576,'Entry Builder'!$L$8)&gt;'Entry Builder'!$E$8)))</f>
        <v/>
      </c>
      <c r="C576">
        <f>IF('Entry Builder'!$N$9=0,1,IF('Entry Builder'!$D$9="Less",--(INDEX(Sims!$A576:$BO576,'Entry Builder'!$L$9)&lt;'Entry Builder'!$E$9),--(INDEX(Sims!$A576:$BO576,'Entry Builder'!$L$9)&gt;'Entry Builder'!$E$9)))</f>
        <v/>
      </c>
      <c r="D576">
        <f>IF('Entry Builder'!$N$10=0,1,IF('Entry Builder'!$D$10="Less",--(INDEX(Sims!$A576:$BO576,'Entry Builder'!$L$10)&lt;'Entry Builder'!$E$10),--(INDEX(Sims!$A576:$BO576,'Entry Builder'!$L$10)&gt;'Entry Builder'!$E$10)))</f>
        <v/>
      </c>
      <c r="E576">
        <f>IF('Entry Builder'!$N$11=0,1,IF('Entry Builder'!$D$11="Less",--(INDEX(Sims!$A576:$BO576,'Entry Builder'!$L$11)&lt;'Entry Builder'!$E$11),--(INDEX(Sims!$A576:$BO576,'Entry Builder'!$L$11)&gt;'Entry Builder'!$E$11)))</f>
        <v/>
      </c>
      <c r="F576">
        <f>IF('Entry Builder'!$N$12=0,1,IF('Entry Builder'!$D$12="Less",--(INDEX(Sims!$A576:$BO576,'Entry Builder'!$L$12)&lt;'Entry Builder'!$E$12),--(INDEX(Sims!$A576:$BO576,'Entry Builder'!$L$12)&gt;'Entry Builder'!$E$12)))</f>
        <v/>
      </c>
      <c r="G576">
        <f>6-SUM(A576:F576)</f>
        <v/>
      </c>
    </row>
    <row r="577">
      <c r="A577">
        <f>IF('Entry Builder'!$N$7=0,1,IF('Entry Builder'!$D$7="Less",--(INDEX(Sims!$A577:$BO577,'Entry Builder'!$L$7)&lt;'Entry Builder'!$E$7),--(INDEX(Sims!$A577:$BO577,'Entry Builder'!$L$7)&gt;'Entry Builder'!$E$7)))</f>
        <v/>
      </c>
      <c r="B577">
        <f>IF('Entry Builder'!$N$8=0,1,IF('Entry Builder'!$D$8="Less",--(INDEX(Sims!$A577:$BO577,'Entry Builder'!$L$8)&lt;'Entry Builder'!$E$8),--(INDEX(Sims!$A577:$BO577,'Entry Builder'!$L$8)&gt;'Entry Builder'!$E$8)))</f>
        <v/>
      </c>
      <c r="C577">
        <f>IF('Entry Builder'!$N$9=0,1,IF('Entry Builder'!$D$9="Less",--(INDEX(Sims!$A577:$BO577,'Entry Builder'!$L$9)&lt;'Entry Builder'!$E$9),--(INDEX(Sims!$A577:$BO577,'Entry Builder'!$L$9)&gt;'Entry Builder'!$E$9)))</f>
        <v/>
      </c>
      <c r="D577">
        <f>IF('Entry Builder'!$N$10=0,1,IF('Entry Builder'!$D$10="Less",--(INDEX(Sims!$A577:$BO577,'Entry Builder'!$L$10)&lt;'Entry Builder'!$E$10),--(INDEX(Sims!$A577:$BO577,'Entry Builder'!$L$10)&gt;'Entry Builder'!$E$10)))</f>
        <v/>
      </c>
      <c r="E577">
        <f>IF('Entry Builder'!$N$11=0,1,IF('Entry Builder'!$D$11="Less",--(INDEX(Sims!$A577:$BO577,'Entry Builder'!$L$11)&lt;'Entry Builder'!$E$11),--(INDEX(Sims!$A577:$BO577,'Entry Builder'!$L$11)&gt;'Entry Builder'!$E$11)))</f>
        <v/>
      </c>
      <c r="F577">
        <f>IF('Entry Builder'!$N$12=0,1,IF('Entry Builder'!$D$12="Less",--(INDEX(Sims!$A577:$BO577,'Entry Builder'!$L$12)&lt;'Entry Builder'!$E$12),--(INDEX(Sims!$A577:$BO577,'Entry Builder'!$L$12)&gt;'Entry Builder'!$E$12)))</f>
        <v/>
      </c>
      <c r="G577">
        <f>6-SUM(A577:F577)</f>
        <v/>
      </c>
    </row>
    <row r="578">
      <c r="A578">
        <f>IF('Entry Builder'!$N$7=0,1,IF('Entry Builder'!$D$7="Less",--(INDEX(Sims!$A578:$BO578,'Entry Builder'!$L$7)&lt;'Entry Builder'!$E$7),--(INDEX(Sims!$A578:$BO578,'Entry Builder'!$L$7)&gt;'Entry Builder'!$E$7)))</f>
        <v/>
      </c>
      <c r="B578">
        <f>IF('Entry Builder'!$N$8=0,1,IF('Entry Builder'!$D$8="Less",--(INDEX(Sims!$A578:$BO578,'Entry Builder'!$L$8)&lt;'Entry Builder'!$E$8),--(INDEX(Sims!$A578:$BO578,'Entry Builder'!$L$8)&gt;'Entry Builder'!$E$8)))</f>
        <v/>
      </c>
      <c r="C578">
        <f>IF('Entry Builder'!$N$9=0,1,IF('Entry Builder'!$D$9="Less",--(INDEX(Sims!$A578:$BO578,'Entry Builder'!$L$9)&lt;'Entry Builder'!$E$9),--(INDEX(Sims!$A578:$BO578,'Entry Builder'!$L$9)&gt;'Entry Builder'!$E$9)))</f>
        <v/>
      </c>
      <c r="D578">
        <f>IF('Entry Builder'!$N$10=0,1,IF('Entry Builder'!$D$10="Less",--(INDEX(Sims!$A578:$BO578,'Entry Builder'!$L$10)&lt;'Entry Builder'!$E$10),--(INDEX(Sims!$A578:$BO578,'Entry Builder'!$L$10)&gt;'Entry Builder'!$E$10)))</f>
        <v/>
      </c>
      <c r="E578">
        <f>IF('Entry Builder'!$N$11=0,1,IF('Entry Builder'!$D$11="Less",--(INDEX(Sims!$A578:$BO578,'Entry Builder'!$L$11)&lt;'Entry Builder'!$E$11),--(INDEX(Sims!$A578:$BO578,'Entry Builder'!$L$11)&gt;'Entry Builder'!$E$11)))</f>
        <v/>
      </c>
      <c r="F578">
        <f>IF('Entry Builder'!$N$12=0,1,IF('Entry Builder'!$D$12="Less",--(INDEX(Sims!$A578:$BO578,'Entry Builder'!$L$12)&lt;'Entry Builder'!$E$12),--(INDEX(Sims!$A578:$BO578,'Entry Builder'!$L$12)&gt;'Entry Builder'!$E$12)))</f>
        <v/>
      </c>
      <c r="G578">
        <f>6-SUM(A578:F578)</f>
        <v/>
      </c>
    </row>
    <row r="579">
      <c r="A579">
        <f>IF('Entry Builder'!$N$7=0,1,IF('Entry Builder'!$D$7="Less",--(INDEX(Sims!$A579:$BO579,'Entry Builder'!$L$7)&lt;'Entry Builder'!$E$7),--(INDEX(Sims!$A579:$BO579,'Entry Builder'!$L$7)&gt;'Entry Builder'!$E$7)))</f>
        <v/>
      </c>
      <c r="B579">
        <f>IF('Entry Builder'!$N$8=0,1,IF('Entry Builder'!$D$8="Less",--(INDEX(Sims!$A579:$BO579,'Entry Builder'!$L$8)&lt;'Entry Builder'!$E$8),--(INDEX(Sims!$A579:$BO579,'Entry Builder'!$L$8)&gt;'Entry Builder'!$E$8)))</f>
        <v/>
      </c>
      <c r="C579">
        <f>IF('Entry Builder'!$N$9=0,1,IF('Entry Builder'!$D$9="Less",--(INDEX(Sims!$A579:$BO579,'Entry Builder'!$L$9)&lt;'Entry Builder'!$E$9),--(INDEX(Sims!$A579:$BO579,'Entry Builder'!$L$9)&gt;'Entry Builder'!$E$9)))</f>
        <v/>
      </c>
      <c r="D579">
        <f>IF('Entry Builder'!$N$10=0,1,IF('Entry Builder'!$D$10="Less",--(INDEX(Sims!$A579:$BO579,'Entry Builder'!$L$10)&lt;'Entry Builder'!$E$10),--(INDEX(Sims!$A579:$BO579,'Entry Builder'!$L$10)&gt;'Entry Builder'!$E$10)))</f>
        <v/>
      </c>
      <c r="E579">
        <f>IF('Entry Builder'!$N$11=0,1,IF('Entry Builder'!$D$11="Less",--(INDEX(Sims!$A579:$BO579,'Entry Builder'!$L$11)&lt;'Entry Builder'!$E$11),--(INDEX(Sims!$A579:$BO579,'Entry Builder'!$L$11)&gt;'Entry Builder'!$E$11)))</f>
        <v/>
      </c>
      <c r="F579">
        <f>IF('Entry Builder'!$N$12=0,1,IF('Entry Builder'!$D$12="Less",--(INDEX(Sims!$A579:$BO579,'Entry Builder'!$L$12)&lt;'Entry Builder'!$E$12),--(INDEX(Sims!$A579:$BO579,'Entry Builder'!$L$12)&gt;'Entry Builder'!$E$12)))</f>
        <v/>
      </c>
      <c r="G579">
        <f>6-SUM(A579:F579)</f>
        <v/>
      </c>
    </row>
    <row r="580">
      <c r="A580">
        <f>IF('Entry Builder'!$N$7=0,1,IF('Entry Builder'!$D$7="Less",--(INDEX(Sims!$A580:$BO580,'Entry Builder'!$L$7)&lt;'Entry Builder'!$E$7),--(INDEX(Sims!$A580:$BO580,'Entry Builder'!$L$7)&gt;'Entry Builder'!$E$7)))</f>
        <v/>
      </c>
      <c r="B580">
        <f>IF('Entry Builder'!$N$8=0,1,IF('Entry Builder'!$D$8="Less",--(INDEX(Sims!$A580:$BO580,'Entry Builder'!$L$8)&lt;'Entry Builder'!$E$8),--(INDEX(Sims!$A580:$BO580,'Entry Builder'!$L$8)&gt;'Entry Builder'!$E$8)))</f>
        <v/>
      </c>
      <c r="C580">
        <f>IF('Entry Builder'!$N$9=0,1,IF('Entry Builder'!$D$9="Less",--(INDEX(Sims!$A580:$BO580,'Entry Builder'!$L$9)&lt;'Entry Builder'!$E$9),--(INDEX(Sims!$A580:$BO580,'Entry Builder'!$L$9)&gt;'Entry Builder'!$E$9)))</f>
        <v/>
      </c>
      <c r="D580">
        <f>IF('Entry Builder'!$N$10=0,1,IF('Entry Builder'!$D$10="Less",--(INDEX(Sims!$A580:$BO580,'Entry Builder'!$L$10)&lt;'Entry Builder'!$E$10),--(INDEX(Sims!$A580:$BO580,'Entry Builder'!$L$10)&gt;'Entry Builder'!$E$10)))</f>
        <v/>
      </c>
      <c r="E580">
        <f>IF('Entry Builder'!$N$11=0,1,IF('Entry Builder'!$D$11="Less",--(INDEX(Sims!$A580:$BO580,'Entry Builder'!$L$11)&lt;'Entry Builder'!$E$11),--(INDEX(Sims!$A580:$BO580,'Entry Builder'!$L$11)&gt;'Entry Builder'!$E$11)))</f>
        <v/>
      </c>
      <c r="F580">
        <f>IF('Entry Builder'!$N$12=0,1,IF('Entry Builder'!$D$12="Less",--(INDEX(Sims!$A580:$BO580,'Entry Builder'!$L$12)&lt;'Entry Builder'!$E$12),--(INDEX(Sims!$A580:$BO580,'Entry Builder'!$L$12)&gt;'Entry Builder'!$E$12)))</f>
        <v/>
      </c>
      <c r="G580">
        <f>6-SUM(A580:F580)</f>
        <v/>
      </c>
    </row>
    <row r="581">
      <c r="A581">
        <f>IF('Entry Builder'!$N$7=0,1,IF('Entry Builder'!$D$7="Less",--(INDEX(Sims!$A581:$BO581,'Entry Builder'!$L$7)&lt;'Entry Builder'!$E$7),--(INDEX(Sims!$A581:$BO581,'Entry Builder'!$L$7)&gt;'Entry Builder'!$E$7)))</f>
        <v/>
      </c>
      <c r="B581">
        <f>IF('Entry Builder'!$N$8=0,1,IF('Entry Builder'!$D$8="Less",--(INDEX(Sims!$A581:$BO581,'Entry Builder'!$L$8)&lt;'Entry Builder'!$E$8),--(INDEX(Sims!$A581:$BO581,'Entry Builder'!$L$8)&gt;'Entry Builder'!$E$8)))</f>
        <v/>
      </c>
      <c r="C581">
        <f>IF('Entry Builder'!$N$9=0,1,IF('Entry Builder'!$D$9="Less",--(INDEX(Sims!$A581:$BO581,'Entry Builder'!$L$9)&lt;'Entry Builder'!$E$9),--(INDEX(Sims!$A581:$BO581,'Entry Builder'!$L$9)&gt;'Entry Builder'!$E$9)))</f>
        <v/>
      </c>
      <c r="D581">
        <f>IF('Entry Builder'!$N$10=0,1,IF('Entry Builder'!$D$10="Less",--(INDEX(Sims!$A581:$BO581,'Entry Builder'!$L$10)&lt;'Entry Builder'!$E$10),--(INDEX(Sims!$A581:$BO581,'Entry Builder'!$L$10)&gt;'Entry Builder'!$E$10)))</f>
        <v/>
      </c>
      <c r="E581">
        <f>IF('Entry Builder'!$N$11=0,1,IF('Entry Builder'!$D$11="Less",--(INDEX(Sims!$A581:$BO581,'Entry Builder'!$L$11)&lt;'Entry Builder'!$E$11),--(INDEX(Sims!$A581:$BO581,'Entry Builder'!$L$11)&gt;'Entry Builder'!$E$11)))</f>
        <v/>
      </c>
      <c r="F581">
        <f>IF('Entry Builder'!$N$12=0,1,IF('Entry Builder'!$D$12="Less",--(INDEX(Sims!$A581:$BO581,'Entry Builder'!$L$12)&lt;'Entry Builder'!$E$12),--(INDEX(Sims!$A581:$BO581,'Entry Builder'!$L$12)&gt;'Entry Builder'!$E$12)))</f>
        <v/>
      </c>
      <c r="G581">
        <f>6-SUM(A581:F581)</f>
        <v/>
      </c>
    </row>
    <row r="582">
      <c r="A582">
        <f>IF('Entry Builder'!$N$7=0,1,IF('Entry Builder'!$D$7="Less",--(INDEX(Sims!$A582:$BO582,'Entry Builder'!$L$7)&lt;'Entry Builder'!$E$7),--(INDEX(Sims!$A582:$BO582,'Entry Builder'!$L$7)&gt;'Entry Builder'!$E$7)))</f>
        <v/>
      </c>
      <c r="B582">
        <f>IF('Entry Builder'!$N$8=0,1,IF('Entry Builder'!$D$8="Less",--(INDEX(Sims!$A582:$BO582,'Entry Builder'!$L$8)&lt;'Entry Builder'!$E$8),--(INDEX(Sims!$A582:$BO582,'Entry Builder'!$L$8)&gt;'Entry Builder'!$E$8)))</f>
        <v/>
      </c>
      <c r="C582">
        <f>IF('Entry Builder'!$N$9=0,1,IF('Entry Builder'!$D$9="Less",--(INDEX(Sims!$A582:$BO582,'Entry Builder'!$L$9)&lt;'Entry Builder'!$E$9),--(INDEX(Sims!$A582:$BO582,'Entry Builder'!$L$9)&gt;'Entry Builder'!$E$9)))</f>
        <v/>
      </c>
      <c r="D582">
        <f>IF('Entry Builder'!$N$10=0,1,IF('Entry Builder'!$D$10="Less",--(INDEX(Sims!$A582:$BO582,'Entry Builder'!$L$10)&lt;'Entry Builder'!$E$10),--(INDEX(Sims!$A582:$BO582,'Entry Builder'!$L$10)&gt;'Entry Builder'!$E$10)))</f>
        <v/>
      </c>
      <c r="E582">
        <f>IF('Entry Builder'!$N$11=0,1,IF('Entry Builder'!$D$11="Less",--(INDEX(Sims!$A582:$BO582,'Entry Builder'!$L$11)&lt;'Entry Builder'!$E$11),--(INDEX(Sims!$A582:$BO582,'Entry Builder'!$L$11)&gt;'Entry Builder'!$E$11)))</f>
        <v/>
      </c>
      <c r="F582">
        <f>IF('Entry Builder'!$N$12=0,1,IF('Entry Builder'!$D$12="Less",--(INDEX(Sims!$A582:$BO582,'Entry Builder'!$L$12)&lt;'Entry Builder'!$E$12),--(INDEX(Sims!$A582:$BO582,'Entry Builder'!$L$12)&gt;'Entry Builder'!$E$12)))</f>
        <v/>
      </c>
      <c r="G582">
        <f>6-SUM(A582:F582)</f>
        <v/>
      </c>
    </row>
    <row r="583">
      <c r="A583">
        <f>IF('Entry Builder'!$N$7=0,1,IF('Entry Builder'!$D$7="Less",--(INDEX(Sims!$A583:$BO583,'Entry Builder'!$L$7)&lt;'Entry Builder'!$E$7),--(INDEX(Sims!$A583:$BO583,'Entry Builder'!$L$7)&gt;'Entry Builder'!$E$7)))</f>
        <v/>
      </c>
      <c r="B583">
        <f>IF('Entry Builder'!$N$8=0,1,IF('Entry Builder'!$D$8="Less",--(INDEX(Sims!$A583:$BO583,'Entry Builder'!$L$8)&lt;'Entry Builder'!$E$8),--(INDEX(Sims!$A583:$BO583,'Entry Builder'!$L$8)&gt;'Entry Builder'!$E$8)))</f>
        <v/>
      </c>
      <c r="C583">
        <f>IF('Entry Builder'!$N$9=0,1,IF('Entry Builder'!$D$9="Less",--(INDEX(Sims!$A583:$BO583,'Entry Builder'!$L$9)&lt;'Entry Builder'!$E$9),--(INDEX(Sims!$A583:$BO583,'Entry Builder'!$L$9)&gt;'Entry Builder'!$E$9)))</f>
        <v/>
      </c>
      <c r="D583">
        <f>IF('Entry Builder'!$N$10=0,1,IF('Entry Builder'!$D$10="Less",--(INDEX(Sims!$A583:$BO583,'Entry Builder'!$L$10)&lt;'Entry Builder'!$E$10),--(INDEX(Sims!$A583:$BO583,'Entry Builder'!$L$10)&gt;'Entry Builder'!$E$10)))</f>
        <v/>
      </c>
      <c r="E583">
        <f>IF('Entry Builder'!$N$11=0,1,IF('Entry Builder'!$D$11="Less",--(INDEX(Sims!$A583:$BO583,'Entry Builder'!$L$11)&lt;'Entry Builder'!$E$11),--(INDEX(Sims!$A583:$BO583,'Entry Builder'!$L$11)&gt;'Entry Builder'!$E$11)))</f>
        <v/>
      </c>
      <c r="F583">
        <f>IF('Entry Builder'!$N$12=0,1,IF('Entry Builder'!$D$12="Less",--(INDEX(Sims!$A583:$BO583,'Entry Builder'!$L$12)&lt;'Entry Builder'!$E$12),--(INDEX(Sims!$A583:$BO583,'Entry Builder'!$L$12)&gt;'Entry Builder'!$E$12)))</f>
        <v/>
      </c>
      <c r="G583">
        <f>6-SUM(A583:F583)</f>
        <v/>
      </c>
    </row>
    <row r="584">
      <c r="A584">
        <f>IF('Entry Builder'!$N$7=0,1,IF('Entry Builder'!$D$7="Less",--(INDEX(Sims!$A584:$BO584,'Entry Builder'!$L$7)&lt;'Entry Builder'!$E$7),--(INDEX(Sims!$A584:$BO584,'Entry Builder'!$L$7)&gt;'Entry Builder'!$E$7)))</f>
        <v/>
      </c>
      <c r="B584">
        <f>IF('Entry Builder'!$N$8=0,1,IF('Entry Builder'!$D$8="Less",--(INDEX(Sims!$A584:$BO584,'Entry Builder'!$L$8)&lt;'Entry Builder'!$E$8),--(INDEX(Sims!$A584:$BO584,'Entry Builder'!$L$8)&gt;'Entry Builder'!$E$8)))</f>
        <v/>
      </c>
      <c r="C584">
        <f>IF('Entry Builder'!$N$9=0,1,IF('Entry Builder'!$D$9="Less",--(INDEX(Sims!$A584:$BO584,'Entry Builder'!$L$9)&lt;'Entry Builder'!$E$9),--(INDEX(Sims!$A584:$BO584,'Entry Builder'!$L$9)&gt;'Entry Builder'!$E$9)))</f>
        <v/>
      </c>
      <c r="D584">
        <f>IF('Entry Builder'!$N$10=0,1,IF('Entry Builder'!$D$10="Less",--(INDEX(Sims!$A584:$BO584,'Entry Builder'!$L$10)&lt;'Entry Builder'!$E$10),--(INDEX(Sims!$A584:$BO584,'Entry Builder'!$L$10)&gt;'Entry Builder'!$E$10)))</f>
        <v/>
      </c>
      <c r="E584">
        <f>IF('Entry Builder'!$N$11=0,1,IF('Entry Builder'!$D$11="Less",--(INDEX(Sims!$A584:$BO584,'Entry Builder'!$L$11)&lt;'Entry Builder'!$E$11),--(INDEX(Sims!$A584:$BO584,'Entry Builder'!$L$11)&gt;'Entry Builder'!$E$11)))</f>
        <v/>
      </c>
      <c r="F584">
        <f>IF('Entry Builder'!$N$12=0,1,IF('Entry Builder'!$D$12="Less",--(INDEX(Sims!$A584:$BO584,'Entry Builder'!$L$12)&lt;'Entry Builder'!$E$12),--(INDEX(Sims!$A584:$BO584,'Entry Builder'!$L$12)&gt;'Entry Builder'!$E$12)))</f>
        <v/>
      </c>
      <c r="G584">
        <f>6-SUM(A584:F584)</f>
        <v/>
      </c>
    </row>
    <row r="585">
      <c r="A585">
        <f>IF('Entry Builder'!$N$7=0,1,IF('Entry Builder'!$D$7="Less",--(INDEX(Sims!$A585:$BO585,'Entry Builder'!$L$7)&lt;'Entry Builder'!$E$7),--(INDEX(Sims!$A585:$BO585,'Entry Builder'!$L$7)&gt;'Entry Builder'!$E$7)))</f>
        <v/>
      </c>
      <c r="B585">
        <f>IF('Entry Builder'!$N$8=0,1,IF('Entry Builder'!$D$8="Less",--(INDEX(Sims!$A585:$BO585,'Entry Builder'!$L$8)&lt;'Entry Builder'!$E$8),--(INDEX(Sims!$A585:$BO585,'Entry Builder'!$L$8)&gt;'Entry Builder'!$E$8)))</f>
        <v/>
      </c>
      <c r="C585">
        <f>IF('Entry Builder'!$N$9=0,1,IF('Entry Builder'!$D$9="Less",--(INDEX(Sims!$A585:$BO585,'Entry Builder'!$L$9)&lt;'Entry Builder'!$E$9),--(INDEX(Sims!$A585:$BO585,'Entry Builder'!$L$9)&gt;'Entry Builder'!$E$9)))</f>
        <v/>
      </c>
      <c r="D585">
        <f>IF('Entry Builder'!$N$10=0,1,IF('Entry Builder'!$D$10="Less",--(INDEX(Sims!$A585:$BO585,'Entry Builder'!$L$10)&lt;'Entry Builder'!$E$10),--(INDEX(Sims!$A585:$BO585,'Entry Builder'!$L$10)&gt;'Entry Builder'!$E$10)))</f>
        <v/>
      </c>
      <c r="E585">
        <f>IF('Entry Builder'!$N$11=0,1,IF('Entry Builder'!$D$11="Less",--(INDEX(Sims!$A585:$BO585,'Entry Builder'!$L$11)&lt;'Entry Builder'!$E$11),--(INDEX(Sims!$A585:$BO585,'Entry Builder'!$L$11)&gt;'Entry Builder'!$E$11)))</f>
        <v/>
      </c>
      <c r="F585">
        <f>IF('Entry Builder'!$N$12=0,1,IF('Entry Builder'!$D$12="Less",--(INDEX(Sims!$A585:$BO585,'Entry Builder'!$L$12)&lt;'Entry Builder'!$E$12),--(INDEX(Sims!$A585:$BO585,'Entry Builder'!$L$12)&gt;'Entry Builder'!$E$12)))</f>
        <v/>
      </c>
      <c r="G585">
        <f>6-SUM(A585:F585)</f>
        <v/>
      </c>
    </row>
    <row r="586">
      <c r="A586">
        <f>IF('Entry Builder'!$N$7=0,1,IF('Entry Builder'!$D$7="Less",--(INDEX(Sims!$A586:$BO586,'Entry Builder'!$L$7)&lt;'Entry Builder'!$E$7),--(INDEX(Sims!$A586:$BO586,'Entry Builder'!$L$7)&gt;'Entry Builder'!$E$7)))</f>
        <v/>
      </c>
      <c r="B586">
        <f>IF('Entry Builder'!$N$8=0,1,IF('Entry Builder'!$D$8="Less",--(INDEX(Sims!$A586:$BO586,'Entry Builder'!$L$8)&lt;'Entry Builder'!$E$8),--(INDEX(Sims!$A586:$BO586,'Entry Builder'!$L$8)&gt;'Entry Builder'!$E$8)))</f>
        <v/>
      </c>
      <c r="C586">
        <f>IF('Entry Builder'!$N$9=0,1,IF('Entry Builder'!$D$9="Less",--(INDEX(Sims!$A586:$BO586,'Entry Builder'!$L$9)&lt;'Entry Builder'!$E$9),--(INDEX(Sims!$A586:$BO586,'Entry Builder'!$L$9)&gt;'Entry Builder'!$E$9)))</f>
        <v/>
      </c>
      <c r="D586">
        <f>IF('Entry Builder'!$N$10=0,1,IF('Entry Builder'!$D$10="Less",--(INDEX(Sims!$A586:$BO586,'Entry Builder'!$L$10)&lt;'Entry Builder'!$E$10),--(INDEX(Sims!$A586:$BO586,'Entry Builder'!$L$10)&gt;'Entry Builder'!$E$10)))</f>
        <v/>
      </c>
      <c r="E586">
        <f>IF('Entry Builder'!$N$11=0,1,IF('Entry Builder'!$D$11="Less",--(INDEX(Sims!$A586:$BO586,'Entry Builder'!$L$11)&lt;'Entry Builder'!$E$11),--(INDEX(Sims!$A586:$BO586,'Entry Builder'!$L$11)&gt;'Entry Builder'!$E$11)))</f>
        <v/>
      </c>
      <c r="F586">
        <f>IF('Entry Builder'!$N$12=0,1,IF('Entry Builder'!$D$12="Less",--(INDEX(Sims!$A586:$BO586,'Entry Builder'!$L$12)&lt;'Entry Builder'!$E$12),--(INDEX(Sims!$A586:$BO586,'Entry Builder'!$L$12)&gt;'Entry Builder'!$E$12)))</f>
        <v/>
      </c>
      <c r="G586">
        <f>6-SUM(A586:F586)</f>
        <v/>
      </c>
    </row>
    <row r="587">
      <c r="A587">
        <f>IF('Entry Builder'!$N$7=0,1,IF('Entry Builder'!$D$7="Less",--(INDEX(Sims!$A587:$BO587,'Entry Builder'!$L$7)&lt;'Entry Builder'!$E$7),--(INDEX(Sims!$A587:$BO587,'Entry Builder'!$L$7)&gt;'Entry Builder'!$E$7)))</f>
        <v/>
      </c>
      <c r="B587">
        <f>IF('Entry Builder'!$N$8=0,1,IF('Entry Builder'!$D$8="Less",--(INDEX(Sims!$A587:$BO587,'Entry Builder'!$L$8)&lt;'Entry Builder'!$E$8),--(INDEX(Sims!$A587:$BO587,'Entry Builder'!$L$8)&gt;'Entry Builder'!$E$8)))</f>
        <v/>
      </c>
      <c r="C587">
        <f>IF('Entry Builder'!$N$9=0,1,IF('Entry Builder'!$D$9="Less",--(INDEX(Sims!$A587:$BO587,'Entry Builder'!$L$9)&lt;'Entry Builder'!$E$9),--(INDEX(Sims!$A587:$BO587,'Entry Builder'!$L$9)&gt;'Entry Builder'!$E$9)))</f>
        <v/>
      </c>
      <c r="D587">
        <f>IF('Entry Builder'!$N$10=0,1,IF('Entry Builder'!$D$10="Less",--(INDEX(Sims!$A587:$BO587,'Entry Builder'!$L$10)&lt;'Entry Builder'!$E$10),--(INDEX(Sims!$A587:$BO587,'Entry Builder'!$L$10)&gt;'Entry Builder'!$E$10)))</f>
        <v/>
      </c>
      <c r="E587">
        <f>IF('Entry Builder'!$N$11=0,1,IF('Entry Builder'!$D$11="Less",--(INDEX(Sims!$A587:$BO587,'Entry Builder'!$L$11)&lt;'Entry Builder'!$E$11),--(INDEX(Sims!$A587:$BO587,'Entry Builder'!$L$11)&gt;'Entry Builder'!$E$11)))</f>
        <v/>
      </c>
      <c r="F587">
        <f>IF('Entry Builder'!$N$12=0,1,IF('Entry Builder'!$D$12="Less",--(INDEX(Sims!$A587:$BO587,'Entry Builder'!$L$12)&lt;'Entry Builder'!$E$12),--(INDEX(Sims!$A587:$BO587,'Entry Builder'!$L$12)&gt;'Entry Builder'!$E$12)))</f>
        <v/>
      </c>
      <c r="G587">
        <f>6-SUM(A587:F587)</f>
        <v/>
      </c>
    </row>
    <row r="588">
      <c r="A588">
        <f>IF('Entry Builder'!$N$7=0,1,IF('Entry Builder'!$D$7="Less",--(INDEX(Sims!$A588:$BO588,'Entry Builder'!$L$7)&lt;'Entry Builder'!$E$7),--(INDEX(Sims!$A588:$BO588,'Entry Builder'!$L$7)&gt;'Entry Builder'!$E$7)))</f>
        <v/>
      </c>
      <c r="B588">
        <f>IF('Entry Builder'!$N$8=0,1,IF('Entry Builder'!$D$8="Less",--(INDEX(Sims!$A588:$BO588,'Entry Builder'!$L$8)&lt;'Entry Builder'!$E$8),--(INDEX(Sims!$A588:$BO588,'Entry Builder'!$L$8)&gt;'Entry Builder'!$E$8)))</f>
        <v/>
      </c>
      <c r="C588">
        <f>IF('Entry Builder'!$N$9=0,1,IF('Entry Builder'!$D$9="Less",--(INDEX(Sims!$A588:$BO588,'Entry Builder'!$L$9)&lt;'Entry Builder'!$E$9),--(INDEX(Sims!$A588:$BO588,'Entry Builder'!$L$9)&gt;'Entry Builder'!$E$9)))</f>
        <v/>
      </c>
      <c r="D588">
        <f>IF('Entry Builder'!$N$10=0,1,IF('Entry Builder'!$D$10="Less",--(INDEX(Sims!$A588:$BO588,'Entry Builder'!$L$10)&lt;'Entry Builder'!$E$10),--(INDEX(Sims!$A588:$BO588,'Entry Builder'!$L$10)&gt;'Entry Builder'!$E$10)))</f>
        <v/>
      </c>
      <c r="E588">
        <f>IF('Entry Builder'!$N$11=0,1,IF('Entry Builder'!$D$11="Less",--(INDEX(Sims!$A588:$BO588,'Entry Builder'!$L$11)&lt;'Entry Builder'!$E$11),--(INDEX(Sims!$A588:$BO588,'Entry Builder'!$L$11)&gt;'Entry Builder'!$E$11)))</f>
        <v/>
      </c>
      <c r="F588">
        <f>IF('Entry Builder'!$N$12=0,1,IF('Entry Builder'!$D$12="Less",--(INDEX(Sims!$A588:$BO588,'Entry Builder'!$L$12)&lt;'Entry Builder'!$E$12),--(INDEX(Sims!$A588:$BO588,'Entry Builder'!$L$12)&gt;'Entry Builder'!$E$12)))</f>
        <v/>
      </c>
      <c r="G588">
        <f>6-SUM(A588:F588)</f>
        <v/>
      </c>
    </row>
    <row r="589">
      <c r="A589">
        <f>IF('Entry Builder'!$N$7=0,1,IF('Entry Builder'!$D$7="Less",--(INDEX(Sims!$A589:$BO589,'Entry Builder'!$L$7)&lt;'Entry Builder'!$E$7),--(INDEX(Sims!$A589:$BO589,'Entry Builder'!$L$7)&gt;'Entry Builder'!$E$7)))</f>
        <v/>
      </c>
      <c r="B589">
        <f>IF('Entry Builder'!$N$8=0,1,IF('Entry Builder'!$D$8="Less",--(INDEX(Sims!$A589:$BO589,'Entry Builder'!$L$8)&lt;'Entry Builder'!$E$8),--(INDEX(Sims!$A589:$BO589,'Entry Builder'!$L$8)&gt;'Entry Builder'!$E$8)))</f>
        <v/>
      </c>
      <c r="C589">
        <f>IF('Entry Builder'!$N$9=0,1,IF('Entry Builder'!$D$9="Less",--(INDEX(Sims!$A589:$BO589,'Entry Builder'!$L$9)&lt;'Entry Builder'!$E$9),--(INDEX(Sims!$A589:$BO589,'Entry Builder'!$L$9)&gt;'Entry Builder'!$E$9)))</f>
        <v/>
      </c>
      <c r="D589">
        <f>IF('Entry Builder'!$N$10=0,1,IF('Entry Builder'!$D$10="Less",--(INDEX(Sims!$A589:$BO589,'Entry Builder'!$L$10)&lt;'Entry Builder'!$E$10),--(INDEX(Sims!$A589:$BO589,'Entry Builder'!$L$10)&gt;'Entry Builder'!$E$10)))</f>
        <v/>
      </c>
      <c r="E589">
        <f>IF('Entry Builder'!$N$11=0,1,IF('Entry Builder'!$D$11="Less",--(INDEX(Sims!$A589:$BO589,'Entry Builder'!$L$11)&lt;'Entry Builder'!$E$11),--(INDEX(Sims!$A589:$BO589,'Entry Builder'!$L$11)&gt;'Entry Builder'!$E$11)))</f>
        <v/>
      </c>
      <c r="F589">
        <f>IF('Entry Builder'!$N$12=0,1,IF('Entry Builder'!$D$12="Less",--(INDEX(Sims!$A589:$BO589,'Entry Builder'!$L$12)&lt;'Entry Builder'!$E$12),--(INDEX(Sims!$A589:$BO589,'Entry Builder'!$L$12)&gt;'Entry Builder'!$E$12)))</f>
        <v/>
      </c>
      <c r="G589">
        <f>6-SUM(A589:F589)</f>
        <v/>
      </c>
    </row>
    <row r="590">
      <c r="A590">
        <f>IF('Entry Builder'!$N$7=0,1,IF('Entry Builder'!$D$7="Less",--(INDEX(Sims!$A590:$BO590,'Entry Builder'!$L$7)&lt;'Entry Builder'!$E$7),--(INDEX(Sims!$A590:$BO590,'Entry Builder'!$L$7)&gt;'Entry Builder'!$E$7)))</f>
        <v/>
      </c>
      <c r="B590">
        <f>IF('Entry Builder'!$N$8=0,1,IF('Entry Builder'!$D$8="Less",--(INDEX(Sims!$A590:$BO590,'Entry Builder'!$L$8)&lt;'Entry Builder'!$E$8),--(INDEX(Sims!$A590:$BO590,'Entry Builder'!$L$8)&gt;'Entry Builder'!$E$8)))</f>
        <v/>
      </c>
      <c r="C590">
        <f>IF('Entry Builder'!$N$9=0,1,IF('Entry Builder'!$D$9="Less",--(INDEX(Sims!$A590:$BO590,'Entry Builder'!$L$9)&lt;'Entry Builder'!$E$9),--(INDEX(Sims!$A590:$BO590,'Entry Builder'!$L$9)&gt;'Entry Builder'!$E$9)))</f>
        <v/>
      </c>
      <c r="D590">
        <f>IF('Entry Builder'!$N$10=0,1,IF('Entry Builder'!$D$10="Less",--(INDEX(Sims!$A590:$BO590,'Entry Builder'!$L$10)&lt;'Entry Builder'!$E$10),--(INDEX(Sims!$A590:$BO590,'Entry Builder'!$L$10)&gt;'Entry Builder'!$E$10)))</f>
        <v/>
      </c>
      <c r="E590">
        <f>IF('Entry Builder'!$N$11=0,1,IF('Entry Builder'!$D$11="Less",--(INDEX(Sims!$A590:$BO590,'Entry Builder'!$L$11)&lt;'Entry Builder'!$E$11),--(INDEX(Sims!$A590:$BO590,'Entry Builder'!$L$11)&gt;'Entry Builder'!$E$11)))</f>
        <v/>
      </c>
      <c r="F590">
        <f>IF('Entry Builder'!$N$12=0,1,IF('Entry Builder'!$D$12="Less",--(INDEX(Sims!$A590:$BO590,'Entry Builder'!$L$12)&lt;'Entry Builder'!$E$12),--(INDEX(Sims!$A590:$BO590,'Entry Builder'!$L$12)&gt;'Entry Builder'!$E$12)))</f>
        <v/>
      </c>
      <c r="G590">
        <f>6-SUM(A590:F590)</f>
        <v/>
      </c>
    </row>
    <row r="591">
      <c r="A591">
        <f>IF('Entry Builder'!$N$7=0,1,IF('Entry Builder'!$D$7="Less",--(INDEX(Sims!$A591:$BO591,'Entry Builder'!$L$7)&lt;'Entry Builder'!$E$7),--(INDEX(Sims!$A591:$BO591,'Entry Builder'!$L$7)&gt;'Entry Builder'!$E$7)))</f>
        <v/>
      </c>
      <c r="B591">
        <f>IF('Entry Builder'!$N$8=0,1,IF('Entry Builder'!$D$8="Less",--(INDEX(Sims!$A591:$BO591,'Entry Builder'!$L$8)&lt;'Entry Builder'!$E$8),--(INDEX(Sims!$A591:$BO591,'Entry Builder'!$L$8)&gt;'Entry Builder'!$E$8)))</f>
        <v/>
      </c>
      <c r="C591">
        <f>IF('Entry Builder'!$N$9=0,1,IF('Entry Builder'!$D$9="Less",--(INDEX(Sims!$A591:$BO591,'Entry Builder'!$L$9)&lt;'Entry Builder'!$E$9),--(INDEX(Sims!$A591:$BO591,'Entry Builder'!$L$9)&gt;'Entry Builder'!$E$9)))</f>
        <v/>
      </c>
      <c r="D591">
        <f>IF('Entry Builder'!$N$10=0,1,IF('Entry Builder'!$D$10="Less",--(INDEX(Sims!$A591:$BO591,'Entry Builder'!$L$10)&lt;'Entry Builder'!$E$10),--(INDEX(Sims!$A591:$BO591,'Entry Builder'!$L$10)&gt;'Entry Builder'!$E$10)))</f>
        <v/>
      </c>
      <c r="E591">
        <f>IF('Entry Builder'!$N$11=0,1,IF('Entry Builder'!$D$11="Less",--(INDEX(Sims!$A591:$BO591,'Entry Builder'!$L$11)&lt;'Entry Builder'!$E$11),--(INDEX(Sims!$A591:$BO591,'Entry Builder'!$L$11)&gt;'Entry Builder'!$E$11)))</f>
        <v/>
      </c>
      <c r="F591">
        <f>IF('Entry Builder'!$N$12=0,1,IF('Entry Builder'!$D$12="Less",--(INDEX(Sims!$A591:$BO591,'Entry Builder'!$L$12)&lt;'Entry Builder'!$E$12),--(INDEX(Sims!$A591:$BO591,'Entry Builder'!$L$12)&gt;'Entry Builder'!$E$12)))</f>
        <v/>
      </c>
      <c r="G591">
        <f>6-SUM(A591:F591)</f>
        <v/>
      </c>
    </row>
    <row r="592">
      <c r="A592">
        <f>IF('Entry Builder'!$N$7=0,1,IF('Entry Builder'!$D$7="Less",--(INDEX(Sims!$A592:$BO592,'Entry Builder'!$L$7)&lt;'Entry Builder'!$E$7),--(INDEX(Sims!$A592:$BO592,'Entry Builder'!$L$7)&gt;'Entry Builder'!$E$7)))</f>
        <v/>
      </c>
      <c r="B592">
        <f>IF('Entry Builder'!$N$8=0,1,IF('Entry Builder'!$D$8="Less",--(INDEX(Sims!$A592:$BO592,'Entry Builder'!$L$8)&lt;'Entry Builder'!$E$8),--(INDEX(Sims!$A592:$BO592,'Entry Builder'!$L$8)&gt;'Entry Builder'!$E$8)))</f>
        <v/>
      </c>
      <c r="C592">
        <f>IF('Entry Builder'!$N$9=0,1,IF('Entry Builder'!$D$9="Less",--(INDEX(Sims!$A592:$BO592,'Entry Builder'!$L$9)&lt;'Entry Builder'!$E$9),--(INDEX(Sims!$A592:$BO592,'Entry Builder'!$L$9)&gt;'Entry Builder'!$E$9)))</f>
        <v/>
      </c>
      <c r="D592">
        <f>IF('Entry Builder'!$N$10=0,1,IF('Entry Builder'!$D$10="Less",--(INDEX(Sims!$A592:$BO592,'Entry Builder'!$L$10)&lt;'Entry Builder'!$E$10),--(INDEX(Sims!$A592:$BO592,'Entry Builder'!$L$10)&gt;'Entry Builder'!$E$10)))</f>
        <v/>
      </c>
      <c r="E592">
        <f>IF('Entry Builder'!$N$11=0,1,IF('Entry Builder'!$D$11="Less",--(INDEX(Sims!$A592:$BO592,'Entry Builder'!$L$11)&lt;'Entry Builder'!$E$11),--(INDEX(Sims!$A592:$BO592,'Entry Builder'!$L$11)&gt;'Entry Builder'!$E$11)))</f>
        <v/>
      </c>
      <c r="F592">
        <f>IF('Entry Builder'!$N$12=0,1,IF('Entry Builder'!$D$12="Less",--(INDEX(Sims!$A592:$BO592,'Entry Builder'!$L$12)&lt;'Entry Builder'!$E$12),--(INDEX(Sims!$A592:$BO592,'Entry Builder'!$L$12)&gt;'Entry Builder'!$E$12)))</f>
        <v/>
      </c>
      <c r="G592">
        <f>6-SUM(A592:F592)</f>
        <v/>
      </c>
    </row>
    <row r="593">
      <c r="A593">
        <f>IF('Entry Builder'!$N$7=0,1,IF('Entry Builder'!$D$7="Less",--(INDEX(Sims!$A593:$BO593,'Entry Builder'!$L$7)&lt;'Entry Builder'!$E$7),--(INDEX(Sims!$A593:$BO593,'Entry Builder'!$L$7)&gt;'Entry Builder'!$E$7)))</f>
        <v/>
      </c>
      <c r="B593">
        <f>IF('Entry Builder'!$N$8=0,1,IF('Entry Builder'!$D$8="Less",--(INDEX(Sims!$A593:$BO593,'Entry Builder'!$L$8)&lt;'Entry Builder'!$E$8),--(INDEX(Sims!$A593:$BO593,'Entry Builder'!$L$8)&gt;'Entry Builder'!$E$8)))</f>
        <v/>
      </c>
      <c r="C593">
        <f>IF('Entry Builder'!$N$9=0,1,IF('Entry Builder'!$D$9="Less",--(INDEX(Sims!$A593:$BO593,'Entry Builder'!$L$9)&lt;'Entry Builder'!$E$9),--(INDEX(Sims!$A593:$BO593,'Entry Builder'!$L$9)&gt;'Entry Builder'!$E$9)))</f>
        <v/>
      </c>
      <c r="D593">
        <f>IF('Entry Builder'!$N$10=0,1,IF('Entry Builder'!$D$10="Less",--(INDEX(Sims!$A593:$BO593,'Entry Builder'!$L$10)&lt;'Entry Builder'!$E$10),--(INDEX(Sims!$A593:$BO593,'Entry Builder'!$L$10)&gt;'Entry Builder'!$E$10)))</f>
        <v/>
      </c>
      <c r="E593">
        <f>IF('Entry Builder'!$N$11=0,1,IF('Entry Builder'!$D$11="Less",--(INDEX(Sims!$A593:$BO593,'Entry Builder'!$L$11)&lt;'Entry Builder'!$E$11),--(INDEX(Sims!$A593:$BO593,'Entry Builder'!$L$11)&gt;'Entry Builder'!$E$11)))</f>
        <v/>
      </c>
      <c r="F593">
        <f>IF('Entry Builder'!$N$12=0,1,IF('Entry Builder'!$D$12="Less",--(INDEX(Sims!$A593:$BO593,'Entry Builder'!$L$12)&lt;'Entry Builder'!$E$12),--(INDEX(Sims!$A593:$BO593,'Entry Builder'!$L$12)&gt;'Entry Builder'!$E$12)))</f>
        <v/>
      </c>
      <c r="G593">
        <f>6-SUM(A593:F593)</f>
        <v/>
      </c>
    </row>
    <row r="594">
      <c r="A594">
        <f>IF('Entry Builder'!$N$7=0,1,IF('Entry Builder'!$D$7="Less",--(INDEX(Sims!$A594:$BO594,'Entry Builder'!$L$7)&lt;'Entry Builder'!$E$7),--(INDEX(Sims!$A594:$BO594,'Entry Builder'!$L$7)&gt;'Entry Builder'!$E$7)))</f>
        <v/>
      </c>
      <c r="B594">
        <f>IF('Entry Builder'!$N$8=0,1,IF('Entry Builder'!$D$8="Less",--(INDEX(Sims!$A594:$BO594,'Entry Builder'!$L$8)&lt;'Entry Builder'!$E$8),--(INDEX(Sims!$A594:$BO594,'Entry Builder'!$L$8)&gt;'Entry Builder'!$E$8)))</f>
        <v/>
      </c>
      <c r="C594">
        <f>IF('Entry Builder'!$N$9=0,1,IF('Entry Builder'!$D$9="Less",--(INDEX(Sims!$A594:$BO594,'Entry Builder'!$L$9)&lt;'Entry Builder'!$E$9),--(INDEX(Sims!$A594:$BO594,'Entry Builder'!$L$9)&gt;'Entry Builder'!$E$9)))</f>
        <v/>
      </c>
      <c r="D594">
        <f>IF('Entry Builder'!$N$10=0,1,IF('Entry Builder'!$D$10="Less",--(INDEX(Sims!$A594:$BO594,'Entry Builder'!$L$10)&lt;'Entry Builder'!$E$10),--(INDEX(Sims!$A594:$BO594,'Entry Builder'!$L$10)&gt;'Entry Builder'!$E$10)))</f>
        <v/>
      </c>
      <c r="E594">
        <f>IF('Entry Builder'!$N$11=0,1,IF('Entry Builder'!$D$11="Less",--(INDEX(Sims!$A594:$BO594,'Entry Builder'!$L$11)&lt;'Entry Builder'!$E$11),--(INDEX(Sims!$A594:$BO594,'Entry Builder'!$L$11)&gt;'Entry Builder'!$E$11)))</f>
        <v/>
      </c>
      <c r="F594">
        <f>IF('Entry Builder'!$N$12=0,1,IF('Entry Builder'!$D$12="Less",--(INDEX(Sims!$A594:$BO594,'Entry Builder'!$L$12)&lt;'Entry Builder'!$E$12),--(INDEX(Sims!$A594:$BO594,'Entry Builder'!$L$12)&gt;'Entry Builder'!$E$12)))</f>
        <v/>
      </c>
      <c r="G594">
        <f>6-SUM(A594:F594)</f>
        <v/>
      </c>
    </row>
    <row r="595">
      <c r="A595">
        <f>IF('Entry Builder'!$N$7=0,1,IF('Entry Builder'!$D$7="Less",--(INDEX(Sims!$A595:$BO595,'Entry Builder'!$L$7)&lt;'Entry Builder'!$E$7),--(INDEX(Sims!$A595:$BO595,'Entry Builder'!$L$7)&gt;'Entry Builder'!$E$7)))</f>
        <v/>
      </c>
      <c r="B595">
        <f>IF('Entry Builder'!$N$8=0,1,IF('Entry Builder'!$D$8="Less",--(INDEX(Sims!$A595:$BO595,'Entry Builder'!$L$8)&lt;'Entry Builder'!$E$8),--(INDEX(Sims!$A595:$BO595,'Entry Builder'!$L$8)&gt;'Entry Builder'!$E$8)))</f>
        <v/>
      </c>
      <c r="C595">
        <f>IF('Entry Builder'!$N$9=0,1,IF('Entry Builder'!$D$9="Less",--(INDEX(Sims!$A595:$BO595,'Entry Builder'!$L$9)&lt;'Entry Builder'!$E$9),--(INDEX(Sims!$A595:$BO595,'Entry Builder'!$L$9)&gt;'Entry Builder'!$E$9)))</f>
        <v/>
      </c>
      <c r="D595">
        <f>IF('Entry Builder'!$N$10=0,1,IF('Entry Builder'!$D$10="Less",--(INDEX(Sims!$A595:$BO595,'Entry Builder'!$L$10)&lt;'Entry Builder'!$E$10),--(INDEX(Sims!$A595:$BO595,'Entry Builder'!$L$10)&gt;'Entry Builder'!$E$10)))</f>
        <v/>
      </c>
      <c r="E595">
        <f>IF('Entry Builder'!$N$11=0,1,IF('Entry Builder'!$D$11="Less",--(INDEX(Sims!$A595:$BO595,'Entry Builder'!$L$11)&lt;'Entry Builder'!$E$11),--(INDEX(Sims!$A595:$BO595,'Entry Builder'!$L$11)&gt;'Entry Builder'!$E$11)))</f>
        <v/>
      </c>
      <c r="F595">
        <f>IF('Entry Builder'!$N$12=0,1,IF('Entry Builder'!$D$12="Less",--(INDEX(Sims!$A595:$BO595,'Entry Builder'!$L$12)&lt;'Entry Builder'!$E$12),--(INDEX(Sims!$A595:$BO595,'Entry Builder'!$L$12)&gt;'Entry Builder'!$E$12)))</f>
        <v/>
      </c>
      <c r="G595">
        <f>6-SUM(A595:F595)</f>
        <v/>
      </c>
    </row>
    <row r="596">
      <c r="A596">
        <f>IF('Entry Builder'!$N$7=0,1,IF('Entry Builder'!$D$7="Less",--(INDEX(Sims!$A596:$BO596,'Entry Builder'!$L$7)&lt;'Entry Builder'!$E$7),--(INDEX(Sims!$A596:$BO596,'Entry Builder'!$L$7)&gt;'Entry Builder'!$E$7)))</f>
        <v/>
      </c>
      <c r="B596">
        <f>IF('Entry Builder'!$N$8=0,1,IF('Entry Builder'!$D$8="Less",--(INDEX(Sims!$A596:$BO596,'Entry Builder'!$L$8)&lt;'Entry Builder'!$E$8),--(INDEX(Sims!$A596:$BO596,'Entry Builder'!$L$8)&gt;'Entry Builder'!$E$8)))</f>
        <v/>
      </c>
      <c r="C596">
        <f>IF('Entry Builder'!$N$9=0,1,IF('Entry Builder'!$D$9="Less",--(INDEX(Sims!$A596:$BO596,'Entry Builder'!$L$9)&lt;'Entry Builder'!$E$9),--(INDEX(Sims!$A596:$BO596,'Entry Builder'!$L$9)&gt;'Entry Builder'!$E$9)))</f>
        <v/>
      </c>
      <c r="D596">
        <f>IF('Entry Builder'!$N$10=0,1,IF('Entry Builder'!$D$10="Less",--(INDEX(Sims!$A596:$BO596,'Entry Builder'!$L$10)&lt;'Entry Builder'!$E$10),--(INDEX(Sims!$A596:$BO596,'Entry Builder'!$L$10)&gt;'Entry Builder'!$E$10)))</f>
        <v/>
      </c>
      <c r="E596">
        <f>IF('Entry Builder'!$N$11=0,1,IF('Entry Builder'!$D$11="Less",--(INDEX(Sims!$A596:$BO596,'Entry Builder'!$L$11)&lt;'Entry Builder'!$E$11),--(INDEX(Sims!$A596:$BO596,'Entry Builder'!$L$11)&gt;'Entry Builder'!$E$11)))</f>
        <v/>
      </c>
      <c r="F596">
        <f>IF('Entry Builder'!$N$12=0,1,IF('Entry Builder'!$D$12="Less",--(INDEX(Sims!$A596:$BO596,'Entry Builder'!$L$12)&lt;'Entry Builder'!$E$12),--(INDEX(Sims!$A596:$BO596,'Entry Builder'!$L$12)&gt;'Entry Builder'!$E$12)))</f>
        <v/>
      </c>
      <c r="G596">
        <f>6-SUM(A596:F596)</f>
        <v/>
      </c>
    </row>
    <row r="597">
      <c r="A597">
        <f>IF('Entry Builder'!$N$7=0,1,IF('Entry Builder'!$D$7="Less",--(INDEX(Sims!$A597:$BO597,'Entry Builder'!$L$7)&lt;'Entry Builder'!$E$7),--(INDEX(Sims!$A597:$BO597,'Entry Builder'!$L$7)&gt;'Entry Builder'!$E$7)))</f>
        <v/>
      </c>
      <c r="B597">
        <f>IF('Entry Builder'!$N$8=0,1,IF('Entry Builder'!$D$8="Less",--(INDEX(Sims!$A597:$BO597,'Entry Builder'!$L$8)&lt;'Entry Builder'!$E$8),--(INDEX(Sims!$A597:$BO597,'Entry Builder'!$L$8)&gt;'Entry Builder'!$E$8)))</f>
        <v/>
      </c>
      <c r="C597">
        <f>IF('Entry Builder'!$N$9=0,1,IF('Entry Builder'!$D$9="Less",--(INDEX(Sims!$A597:$BO597,'Entry Builder'!$L$9)&lt;'Entry Builder'!$E$9),--(INDEX(Sims!$A597:$BO597,'Entry Builder'!$L$9)&gt;'Entry Builder'!$E$9)))</f>
        <v/>
      </c>
      <c r="D597">
        <f>IF('Entry Builder'!$N$10=0,1,IF('Entry Builder'!$D$10="Less",--(INDEX(Sims!$A597:$BO597,'Entry Builder'!$L$10)&lt;'Entry Builder'!$E$10),--(INDEX(Sims!$A597:$BO597,'Entry Builder'!$L$10)&gt;'Entry Builder'!$E$10)))</f>
        <v/>
      </c>
      <c r="E597">
        <f>IF('Entry Builder'!$N$11=0,1,IF('Entry Builder'!$D$11="Less",--(INDEX(Sims!$A597:$BO597,'Entry Builder'!$L$11)&lt;'Entry Builder'!$E$11),--(INDEX(Sims!$A597:$BO597,'Entry Builder'!$L$11)&gt;'Entry Builder'!$E$11)))</f>
        <v/>
      </c>
      <c r="F597">
        <f>IF('Entry Builder'!$N$12=0,1,IF('Entry Builder'!$D$12="Less",--(INDEX(Sims!$A597:$BO597,'Entry Builder'!$L$12)&lt;'Entry Builder'!$E$12),--(INDEX(Sims!$A597:$BO597,'Entry Builder'!$L$12)&gt;'Entry Builder'!$E$12)))</f>
        <v/>
      </c>
      <c r="G597">
        <f>6-SUM(A597:F597)</f>
        <v/>
      </c>
    </row>
    <row r="598">
      <c r="A598">
        <f>IF('Entry Builder'!$N$7=0,1,IF('Entry Builder'!$D$7="Less",--(INDEX(Sims!$A598:$BO598,'Entry Builder'!$L$7)&lt;'Entry Builder'!$E$7),--(INDEX(Sims!$A598:$BO598,'Entry Builder'!$L$7)&gt;'Entry Builder'!$E$7)))</f>
        <v/>
      </c>
      <c r="B598">
        <f>IF('Entry Builder'!$N$8=0,1,IF('Entry Builder'!$D$8="Less",--(INDEX(Sims!$A598:$BO598,'Entry Builder'!$L$8)&lt;'Entry Builder'!$E$8),--(INDEX(Sims!$A598:$BO598,'Entry Builder'!$L$8)&gt;'Entry Builder'!$E$8)))</f>
        <v/>
      </c>
      <c r="C598">
        <f>IF('Entry Builder'!$N$9=0,1,IF('Entry Builder'!$D$9="Less",--(INDEX(Sims!$A598:$BO598,'Entry Builder'!$L$9)&lt;'Entry Builder'!$E$9),--(INDEX(Sims!$A598:$BO598,'Entry Builder'!$L$9)&gt;'Entry Builder'!$E$9)))</f>
        <v/>
      </c>
      <c r="D598">
        <f>IF('Entry Builder'!$N$10=0,1,IF('Entry Builder'!$D$10="Less",--(INDEX(Sims!$A598:$BO598,'Entry Builder'!$L$10)&lt;'Entry Builder'!$E$10),--(INDEX(Sims!$A598:$BO598,'Entry Builder'!$L$10)&gt;'Entry Builder'!$E$10)))</f>
        <v/>
      </c>
      <c r="E598">
        <f>IF('Entry Builder'!$N$11=0,1,IF('Entry Builder'!$D$11="Less",--(INDEX(Sims!$A598:$BO598,'Entry Builder'!$L$11)&lt;'Entry Builder'!$E$11),--(INDEX(Sims!$A598:$BO598,'Entry Builder'!$L$11)&gt;'Entry Builder'!$E$11)))</f>
        <v/>
      </c>
      <c r="F598">
        <f>IF('Entry Builder'!$N$12=0,1,IF('Entry Builder'!$D$12="Less",--(INDEX(Sims!$A598:$BO598,'Entry Builder'!$L$12)&lt;'Entry Builder'!$E$12),--(INDEX(Sims!$A598:$BO598,'Entry Builder'!$L$12)&gt;'Entry Builder'!$E$12)))</f>
        <v/>
      </c>
      <c r="G598">
        <f>6-SUM(A598:F598)</f>
        <v/>
      </c>
    </row>
    <row r="599">
      <c r="A599">
        <f>IF('Entry Builder'!$N$7=0,1,IF('Entry Builder'!$D$7="Less",--(INDEX(Sims!$A599:$BO599,'Entry Builder'!$L$7)&lt;'Entry Builder'!$E$7),--(INDEX(Sims!$A599:$BO599,'Entry Builder'!$L$7)&gt;'Entry Builder'!$E$7)))</f>
        <v/>
      </c>
      <c r="B599">
        <f>IF('Entry Builder'!$N$8=0,1,IF('Entry Builder'!$D$8="Less",--(INDEX(Sims!$A599:$BO599,'Entry Builder'!$L$8)&lt;'Entry Builder'!$E$8),--(INDEX(Sims!$A599:$BO599,'Entry Builder'!$L$8)&gt;'Entry Builder'!$E$8)))</f>
        <v/>
      </c>
      <c r="C599">
        <f>IF('Entry Builder'!$N$9=0,1,IF('Entry Builder'!$D$9="Less",--(INDEX(Sims!$A599:$BO599,'Entry Builder'!$L$9)&lt;'Entry Builder'!$E$9),--(INDEX(Sims!$A599:$BO599,'Entry Builder'!$L$9)&gt;'Entry Builder'!$E$9)))</f>
        <v/>
      </c>
      <c r="D599">
        <f>IF('Entry Builder'!$N$10=0,1,IF('Entry Builder'!$D$10="Less",--(INDEX(Sims!$A599:$BO599,'Entry Builder'!$L$10)&lt;'Entry Builder'!$E$10),--(INDEX(Sims!$A599:$BO599,'Entry Builder'!$L$10)&gt;'Entry Builder'!$E$10)))</f>
        <v/>
      </c>
      <c r="E599">
        <f>IF('Entry Builder'!$N$11=0,1,IF('Entry Builder'!$D$11="Less",--(INDEX(Sims!$A599:$BO599,'Entry Builder'!$L$11)&lt;'Entry Builder'!$E$11),--(INDEX(Sims!$A599:$BO599,'Entry Builder'!$L$11)&gt;'Entry Builder'!$E$11)))</f>
        <v/>
      </c>
      <c r="F599">
        <f>IF('Entry Builder'!$N$12=0,1,IF('Entry Builder'!$D$12="Less",--(INDEX(Sims!$A599:$BO599,'Entry Builder'!$L$12)&lt;'Entry Builder'!$E$12),--(INDEX(Sims!$A599:$BO599,'Entry Builder'!$L$12)&gt;'Entry Builder'!$E$12)))</f>
        <v/>
      </c>
      <c r="G599">
        <f>6-SUM(A599:F599)</f>
        <v/>
      </c>
    </row>
    <row r="600">
      <c r="A600">
        <f>IF('Entry Builder'!$N$7=0,1,IF('Entry Builder'!$D$7="Less",--(INDEX(Sims!$A600:$BO600,'Entry Builder'!$L$7)&lt;'Entry Builder'!$E$7),--(INDEX(Sims!$A600:$BO600,'Entry Builder'!$L$7)&gt;'Entry Builder'!$E$7)))</f>
        <v/>
      </c>
      <c r="B600">
        <f>IF('Entry Builder'!$N$8=0,1,IF('Entry Builder'!$D$8="Less",--(INDEX(Sims!$A600:$BO600,'Entry Builder'!$L$8)&lt;'Entry Builder'!$E$8),--(INDEX(Sims!$A600:$BO600,'Entry Builder'!$L$8)&gt;'Entry Builder'!$E$8)))</f>
        <v/>
      </c>
      <c r="C600">
        <f>IF('Entry Builder'!$N$9=0,1,IF('Entry Builder'!$D$9="Less",--(INDEX(Sims!$A600:$BO600,'Entry Builder'!$L$9)&lt;'Entry Builder'!$E$9),--(INDEX(Sims!$A600:$BO600,'Entry Builder'!$L$9)&gt;'Entry Builder'!$E$9)))</f>
        <v/>
      </c>
      <c r="D600">
        <f>IF('Entry Builder'!$N$10=0,1,IF('Entry Builder'!$D$10="Less",--(INDEX(Sims!$A600:$BO600,'Entry Builder'!$L$10)&lt;'Entry Builder'!$E$10),--(INDEX(Sims!$A600:$BO600,'Entry Builder'!$L$10)&gt;'Entry Builder'!$E$10)))</f>
        <v/>
      </c>
      <c r="E600">
        <f>IF('Entry Builder'!$N$11=0,1,IF('Entry Builder'!$D$11="Less",--(INDEX(Sims!$A600:$BO600,'Entry Builder'!$L$11)&lt;'Entry Builder'!$E$11),--(INDEX(Sims!$A600:$BO600,'Entry Builder'!$L$11)&gt;'Entry Builder'!$E$11)))</f>
        <v/>
      </c>
      <c r="F600">
        <f>IF('Entry Builder'!$N$12=0,1,IF('Entry Builder'!$D$12="Less",--(INDEX(Sims!$A600:$BO600,'Entry Builder'!$L$12)&lt;'Entry Builder'!$E$12),--(INDEX(Sims!$A600:$BO600,'Entry Builder'!$L$12)&gt;'Entry Builder'!$E$12)))</f>
        <v/>
      </c>
      <c r="G600">
        <f>6-SUM(A600:F600)</f>
        <v/>
      </c>
    </row>
    <row r="601">
      <c r="A601">
        <f>IF('Entry Builder'!$N$7=0,1,IF('Entry Builder'!$D$7="Less",--(INDEX(Sims!$A601:$BO601,'Entry Builder'!$L$7)&lt;'Entry Builder'!$E$7),--(INDEX(Sims!$A601:$BO601,'Entry Builder'!$L$7)&gt;'Entry Builder'!$E$7)))</f>
        <v/>
      </c>
      <c r="B601">
        <f>IF('Entry Builder'!$N$8=0,1,IF('Entry Builder'!$D$8="Less",--(INDEX(Sims!$A601:$BO601,'Entry Builder'!$L$8)&lt;'Entry Builder'!$E$8),--(INDEX(Sims!$A601:$BO601,'Entry Builder'!$L$8)&gt;'Entry Builder'!$E$8)))</f>
        <v/>
      </c>
      <c r="C601">
        <f>IF('Entry Builder'!$N$9=0,1,IF('Entry Builder'!$D$9="Less",--(INDEX(Sims!$A601:$BO601,'Entry Builder'!$L$9)&lt;'Entry Builder'!$E$9),--(INDEX(Sims!$A601:$BO601,'Entry Builder'!$L$9)&gt;'Entry Builder'!$E$9)))</f>
        <v/>
      </c>
      <c r="D601">
        <f>IF('Entry Builder'!$N$10=0,1,IF('Entry Builder'!$D$10="Less",--(INDEX(Sims!$A601:$BO601,'Entry Builder'!$L$10)&lt;'Entry Builder'!$E$10),--(INDEX(Sims!$A601:$BO601,'Entry Builder'!$L$10)&gt;'Entry Builder'!$E$10)))</f>
        <v/>
      </c>
      <c r="E601">
        <f>IF('Entry Builder'!$N$11=0,1,IF('Entry Builder'!$D$11="Less",--(INDEX(Sims!$A601:$BO601,'Entry Builder'!$L$11)&lt;'Entry Builder'!$E$11),--(INDEX(Sims!$A601:$BO601,'Entry Builder'!$L$11)&gt;'Entry Builder'!$E$11)))</f>
        <v/>
      </c>
      <c r="F601">
        <f>IF('Entry Builder'!$N$12=0,1,IF('Entry Builder'!$D$12="Less",--(INDEX(Sims!$A601:$BO601,'Entry Builder'!$L$12)&lt;'Entry Builder'!$E$12),--(INDEX(Sims!$A601:$BO601,'Entry Builder'!$L$12)&gt;'Entry Builder'!$E$12)))</f>
        <v/>
      </c>
      <c r="G601">
        <f>6-SUM(A601:F601)</f>
        <v/>
      </c>
    </row>
    <row r="602">
      <c r="A602">
        <f>IF('Entry Builder'!$N$7=0,1,IF('Entry Builder'!$D$7="Less",--(INDEX(Sims!$A602:$BO602,'Entry Builder'!$L$7)&lt;'Entry Builder'!$E$7),--(INDEX(Sims!$A602:$BO602,'Entry Builder'!$L$7)&gt;'Entry Builder'!$E$7)))</f>
        <v/>
      </c>
      <c r="B602">
        <f>IF('Entry Builder'!$N$8=0,1,IF('Entry Builder'!$D$8="Less",--(INDEX(Sims!$A602:$BO602,'Entry Builder'!$L$8)&lt;'Entry Builder'!$E$8),--(INDEX(Sims!$A602:$BO602,'Entry Builder'!$L$8)&gt;'Entry Builder'!$E$8)))</f>
        <v/>
      </c>
      <c r="C602">
        <f>IF('Entry Builder'!$N$9=0,1,IF('Entry Builder'!$D$9="Less",--(INDEX(Sims!$A602:$BO602,'Entry Builder'!$L$9)&lt;'Entry Builder'!$E$9),--(INDEX(Sims!$A602:$BO602,'Entry Builder'!$L$9)&gt;'Entry Builder'!$E$9)))</f>
        <v/>
      </c>
      <c r="D602">
        <f>IF('Entry Builder'!$N$10=0,1,IF('Entry Builder'!$D$10="Less",--(INDEX(Sims!$A602:$BO602,'Entry Builder'!$L$10)&lt;'Entry Builder'!$E$10),--(INDEX(Sims!$A602:$BO602,'Entry Builder'!$L$10)&gt;'Entry Builder'!$E$10)))</f>
        <v/>
      </c>
      <c r="E602">
        <f>IF('Entry Builder'!$N$11=0,1,IF('Entry Builder'!$D$11="Less",--(INDEX(Sims!$A602:$BO602,'Entry Builder'!$L$11)&lt;'Entry Builder'!$E$11),--(INDEX(Sims!$A602:$BO602,'Entry Builder'!$L$11)&gt;'Entry Builder'!$E$11)))</f>
        <v/>
      </c>
      <c r="F602">
        <f>IF('Entry Builder'!$N$12=0,1,IF('Entry Builder'!$D$12="Less",--(INDEX(Sims!$A602:$BO602,'Entry Builder'!$L$12)&lt;'Entry Builder'!$E$12),--(INDEX(Sims!$A602:$BO602,'Entry Builder'!$L$12)&gt;'Entry Builder'!$E$12)))</f>
        <v/>
      </c>
      <c r="G602">
        <f>6-SUM(A602:F602)</f>
        <v/>
      </c>
    </row>
    <row r="603">
      <c r="A603">
        <f>IF('Entry Builder'!$N$7=0,1,IF('Entry Builder'!$D$7="Less",--(INDEX(Sims!$A603:$BO603,'Entry Builder'!$L$7)&lt;'Entry Builder'!$E$7),--(INDEX(Sims!$A603:$BO603,'Entry Builder'!$L$7)&gt;'Entry Builder'!$E$7)))</f>
        <v/>
      </c>
      <c r="B603">
        <f>IF('Entry Builder'!$N$8=0,1,IF('Entry Builder'!$D$8="Less",--(INDEX(Sims!$A603:$BO603,'Entry Builder'!$L$8)&lt;'Entry Builder'!$E$8),--(INDEX(Sims!$A603:$BO603,'Entry Builder'!$L$8)&gt;'Entry Builder'!$E$8)))</f>
        <v/>
      </c>
      <c r="C603">
        <f>IF('Entry Builder'!$N$9=0,1,IF('Entry Builder'!$D$9="Less",--(INDEX(Sims!$A603:$BO603,'Entry Builder'!$L$9)&lt;'Entry Builder'!$E$9),--(INDEX(Sims!$A603:$BO603,'Entry Builder'!$L$9)&gt;'Entry Builder'!$E$9)))</f>
        <v/>
      </c>
      <c r="D603">
        <f>IF('Entry Builder'!$N$10=0,1,IF('Entry Builder'!$D$10="Less",--(INDEX(Sims!$A603:$BO603,'Entry Builder'!$L$10)&lt;'Entry Builder'!$E$10),--(INDEX(Sims!$A603:$BO603,'Entry Builder'!$L$10)&gt;'Entry Builder'!$E$10)))</f>
        <v/>
      </c>
      <c r="E603">
        <f>IF('Entry Builder'!$N$11=0,1,IF('Entry Builder'!$D$11="Less",--(INDEX(Sims!$A603:$BO603,'Entry Builder'!$L$11)&lt;'Entry Builder'!$E$11),--(INDEX(Sims!$A603:$BO603,'Entry Builder'!$L$11)&gt;'Entry Builder'!$E$11)))</f>
        <v/>
      </c>
      <c r="F603">
        <f>IF('Entry Builder'!$N$12=0,1,IF('Entry Builder'!$D$12="Less",--(INDEX(Sims!$A603:$BO603,'Entry Builder'!$L$12)&lt;'Entry Builder'!$E$12),--(INDEX(Sims!$A603:$BO603,'Entry Builder'!$L$12)&gt;'Entry Builder'!$E$12)))</f>
        <v/>
      </c>
      <c r="G603">
        <f>6-SUM(A603:F603)</f>
        <v/>
      </c>
    </row>
    <row r="604">
      <c r="A604">
        <f>IF('Entry Builder'!$N$7=0,1,IF('Entry Builder'!$D$7="Less",--(INDEX(Sims!$A604:$BO604,'Entry Builder'!$L$7)&lt;'Entry Builder'!$E$7),--(INDEX(Sims!$A604:$BO604,'Entry Builder'!$L$7)&gt;'Entry Builder'!$E$7)))</f>
        <v/>
      </c>
      <c r="B604">
        <f>IF('Entry Builder'!$N$8=0,1,IF('Entry Builder'!$D$8="Less",--(INDEX(Sims!$A604:$BO604,'Entry Builder'!$L$8)&lt;'Entry Builder'!$E$8),--(INDEX(Sims!$A604:$BO604,'Entry Builder'!$L$8)&gt;'Entry Builder'!$E$8)))</f>
        <v/>
      </c>
      <c r="C604">
        <f>IF('Entry Builder'!$N$9=0,1,IF('Entry Builder'!$D$9="Less",--(INDEX(Sims!$A604:$BO604,'Entry Builder'!$L$9)&lt;'Entry Builder'!$E$9),--(INDEX(Sims!$A604:$BO604,'Entry Builder'!$L$9)&gt;'Entry Builder'!$E$9)))</f>
        <v/>
      </c>
      <c r="D604">
        <f>IF('Entry Builder'!$N$10=0,1,IF('Entry Builder'!$D$10="Less",--(INDEX(Sims!$A604:$BO604,'Entry Builder'!$L$10)&lt;'Entry Builder'!$E$10),--(INDEX(Sims!$A604:$BO604,'Entry Builder'!$L$10)&gt;'Entry Builder'!$E$10)))</f>
        <v/>
      </c>
      <c r="E604">
        <f>IF('Entry Builder'!$N$11=0,1,IF('Entry Builder'!$D$11="Less",--(INDEX(Sims!$A604:$BO604,'Entry Builder'!$L$11)&lt;'Entry Builder'!$E$11),--(INDEX(Sims!$A604:$BO604,'Entry Builder'!$L$11)&gt;'Entry Builder'!$E$11)))</f>
        <v/>
      </c>
      <c r="F604">
        <f>IF('Entry Builder'!$N$12=0,1,IF('Entry Builder'!$D$12="Less",--(INDEX(Sims!$A604:$BO604,'Entry Builder'!$L$12)&lt;'Entry Builder'!$E$12),--(INDEX(Sims!$A604:$BO604,'Entry Builder'!$L$12)&gt;'Entry Builder'!$E$12)))</f>
        <v/>
      </c>
      <c r="G604">
        <f>6-SUM(A604:F604)</f>
        <v/>
      </c>
    </row>
    <row r="605">
      <c r="A605">
        <f>IF('Entry Builder'!$N$7=0,1,IF('Entry Builder'!$D$7="Less",--(INDEX(Sims!$A605:$BO605,'Entry Builder'!$L$7)&lt;'Entry Builder'!$E$7),--(INDEX(Sims!$A605:$BO605,'Entry Builder'!$L$7)&gt;'Entry Builder'!$E$7)))</f>
        <v/>
      </c>
      <c r="B605">
        <f>IF('Entry Builder'!$N$8=0,1,IF('Entry Builder'!$D$8="Less",--(INDEX(Sims!$A605:$BO605,'Entry Builder'!$L$8)&lt;'Entry Builder'!$E$8),--(INDEX(Sims!$A605:$BO605,'Entry Builder'!$L$8)&gt;'Entry Builder'!$E$8)))</f>
        <v/>
      </c>
      <c r="C605">
        <f>IF('Entry Builder'!$N$9=0,1,IF('Entry Builder'!$D$9="Less",--(INDEX(Sims!$A605:$BO605,'Entry Builder'!$L$9)&lt;'Entry Builder'!$E$9),--(INDEX(Sims!$A605:$BO605,'Entry Builder'!$L$9)&gt;'Entry Builder'!$E$9)))</f>
        <v/>
      </c>
      <c r="D605">
        <f>IF('Entry Builder'!$N$10=0,1,IF('Entry Builder'!$D$10="Less",--(INDEX(Sims!$A605:$BO605,'Entry Builder'!$L$10)&lt;'Entry Builder'!$E$10),--(INDEX(Sims!$A605:$BO605,'Entry Builder'!$L$10)&gt;'Entry Builder'!$E$10)))</f>
        <v/>
      </c>
      <c r="E605">
        <f>IF('Entry Builder'!$N$11=0,1,IF('Entry Builder'!$D$11="Less",--(INDEX(Sims!$A605:$BO605,'Entry Builder'!$L$11)&lt;'Entry Builder'!$E$11),--(INDEX(Sims!$A605:$BO605,'Entry Builder'!$L$11)&gt;'Entry Builder'!$E$11)))</f>
        <v/>
      </c>
      <c r="F605">
        <f>IF('Entry Builder'!$N$12=0,1,IF('Entry Builder'!$D$12="Less",--(INDEX(Sims!$A605:$BO605,'Entry Builder'!$L$12)&lt;'Entry Builder'!$E$12),--(INDEX(Sims!$A605:$BO605,'Entry Builder'!$L$12)&gt;'Entry Builder'!$E$12)))</f>
        <v/>
      </c>
      <c r="G605">
        <f>6-SUM(A605:F605)</f>
        <v/>
      </c>
    </row>
    <row r="606">
      <c r="A606">
        <f>IF('Entry Builder'!$N$7=0,1,IF('Entry Builder'!$D$7="Less",--(INDEX(Sims!$A606:$BO606,'Entry Builder'!$L$7)&lt;'Entry Builder'!$E$7),--(INDEX(Sims!$A606:$BO606,'Entry Builder'!$L$7)&gt;'Entry Builder'!$E$7)))</f>
        <v/>
      </c>
      <c r="B606">
        <f>IF('Entry Builder'!$N$8=0,1,IF('Entry Builder'!$D$8="Less",--(INDEX(Sims!$A606:$BO606,'Entry Builder'!$L$8)&lt;'Entry Builder'!$E$8),--(INDEX(Sims!$A606:$BO606,'Entry Builder'!$L$8)&gt;'Entry Builder'!$E$8)))</f>
        <v/>
      </c>
      <c r="C606">
        <f>IF('Entry Builder'!$N$9=0,1,IF('Entry Builder'!$D$9="Less",--(INDEX(Sims!$A606:$BO606,'Entry Builder'!$L$9)&lt;'Entry Builder'!$E$9),--(INDEX(Sims!$A606:$BO606,'Entry Builder'!$L$9)&gt;'Entry Builder'!$E$9)))</f>
        <v/>
      </c>
      <c r="D606">
        <f>IF('Entry Builder'!$N$10=0,1,IF('Entry Builder'!$D$10="Less",--(INDEX(Sims!$A606:$BO606,'Entry Builder'!$L$10)&lt;'Entry Builder'!$E$10),--(INDEX(Sims!$A606:$BO606,'Entry Builder'!$L$10)&gt;'Entry Builder'!$E$10)))</f>
        <v/>
      </c>
      <c r="E606">
        <f>IF('Entry Builder'!$N$11=0,1,IF('Entry Builder'!$D$11="Less",--(INDEX(Sims!$A606:$BO606,'Entry Builder'!$L$11)&lt;'Entry Builder'!$E$11),--(INDEX(Sims!$A606:$BO606,'Entry Builder'!$L$11)&gt;'Entry Builder'!$E$11)))</f>
        <v/>
      </c>
      <c r="F606">
        <f>IF('Entry Builder'!$N$12=0,1,IF('Entry Builder'!$D$12="Less",--(INDEX(Sims!$A606:$BO606,'Entry Builder'!$L$12)&lt;'Entry Builder'!$E$12),--(INDEX(Sims!$A606:$BO606,'Entry Builder'!$L$12)&gt;'Entry Builder'!$E$12)))</f>
        <v/>
      </c>
      <c r="G606">
        <f>6-SUM(A606:F606)</f>
        <v/>
      </c>
    </row>
    <row r="607">
      <c r="A607">
        <f>IF('Entry Builder'!$N$7=0,1,IF('Entry Builder'!$D$7="Less",--(INDEX(Sims!$A607:$BO607,'Entry Builder'!$L$7)&lt;'Entry Builder'!$E$7),--(INDEX(Sims!$A607:$BO607,'Entry Builder'!$L$7)&gt;'Entry Builder'!$E$7)))</f>
        <v/>
      </c>
      <c r="B607">
        <f>IF('Entry Builder'!$N$8=0,1,IF('Entry Builder'!$D$8="Less",--(INDEX(Sims!$A607:$BO607,'Entry Builder'!$L$8)&lt;'Entry Builder'!$E$8),--(INDEX(Sims!$A607:$BO607,'Entry Builder'!$L$8)&gt;'Entry Builder'!$E$8)))</f>
        <v/>
      </c>
      <c r="C607">
        <f>IF('Entry Builder'!$N$9=0,1,IF('Entry Builder'!$D$9="Less",--(INDEX(Sims!$A607:$BO607,'Entry Builder'!$L$9)&lt;'Entry Builder'!$E$9),--(INDEX(Sims!$A607:$BO607,'Entry Builder'!$L$9)&gt;'Entry Builder'!$E$9)))</f>
        <v/>
      </c>
      <c r="D607">
        <f>IF('Entry Builder'!$N$10=0,1,IF('Entry Builder'!$D$10="Less",--(INDEX(Sims!$A607:$BO607,'Entry Builder'!$L$10)&lt;'Entry Builder'!$E$10),--(INDEX(Sims!$A607:$BO607,'Entry Builder'!$L$10)&gt;'Entry Builder'!$E$10)))</f>
        <v/>
      </c>
      <c r="E607">
        <f>IF('Entry Builder'!$N$11=0,1,IF('Entry Builder'!$D$11="Less",--(INDEX(Sims!$A607:$BO607,'Entry Builder'!$L$11)&lt;'Entry Builder'!$E$11),--(INDEX(Sims!$A607:$BO607,'Entry Builder'!$L$11)&gt;'Entry Builder'!$E$11)))</f>
        <v/>
      </c>
      <c r="F607">
        <f>IF('Entry Builder'!$N$12=0,1,IF('Entry Builder'!$D$12="Less",--(INDEX(Sims!$A607:$BO607,'Entry Builder'!$L$12)&lt;'Entry Builder'!$E$12),--(INDEX(Sims!$A607:$BO607,'Entry Builder'!$L$12)&gt;'Entry Builder'!$E$12)))</f>
        <v/>
      </c>
      <c r="G607">
        <f>6-SUM(A607:F607)</f>
        <v/>
      </c>
    </row>
    <row r="608">
      <c r="A608">
        <f>IF('Entry Builder'!$N$7=0,1,IF('Entry Builder'!$D$7="Less",--(INDEX(Sims!$A608:$BO608,'Entry Builder'!$L$7)&lt;'Entry Builder'!$E$7),--(INDEX(Sims!$A608:$BO608,'Entry Builder'!$L$7)&gt;'Entry Builder'!$E$7)))</f>
        <v/>
      </c>
      <c r="B608">
        <f>IF('Entry Builder'!$N$8=0,1,IF('Entry Builder'!$D$8="Less",--(INDEX(Sims!$A608:$BO608,'Entry Builder'!$L$8)&lt;'Entry Builder'!$E$8),--(INDEX(Sims!$A608:$BO608,'Entry Builder'!$L$8)&gt;'Entry Builder'!$E$8)))</f>
        <v/>
      </c>
      <c r="C608">
        <f>IF('Entry Builder'!$N$9=0,1,IF('Entry Builder'!$D$9="Less",--(INDEX(Sims!$A608:$BO608,'Entry Builder'!$L$9)&lt;'Entry Builder'!$E$9),--(INDEX(Sims!$A608:$BO608,'Entry Builder'!$L$9)&gt;'Entry Builder'!$E$9)))</f>
        <v/>
      </c>
      <c r="D608">
        <f>IF('Entry Builder'!$N$10=0,1,IF('Entry Builder'!$D$10="Less",--(INDEX(Sims!$A608:$BO608,'Entry Builder'!$L$10)&lt;'Entry Builder'!$E$10),--(INDEX(Sims!$A608:$BO608,'Entry Builder'!$L$10)&gt;'Entry Builder'!$E$10)))</f>
        <v/>
      </c>
      <c r="E608">
        <f>IF('Entry Builder'!$N$11=0,1,IF('Entry Builder'!$D$11="Less",--(INDEX(Sims!$A608:$BO608,'Entry Builder'!$L$11)&lt;'Entry Builder'!$E$11),--(INDEX(Sims!$A608:$BO608,'Entry Builder'!$L$11)&gt;'Entry Builder'!$E$11)))</f>
        <v/>
      </c>
      <c r="F608">
        <f>IF('Entry Builder'!$N$12=0,1,IF('Entry Builder'!$D$12="Less",--(INDEX(Sims!$A608:$BO608,'Entry Builder'!$L$12)&lt;'Entry Builder'!$E$12),--(INDEX(Sims!$A608:$BO608,'Entry Builder'!$L$12)&gt;'Entry Builder'!$E$12)))</f>
        <v/>
      </c>
      <c r="G608">
        <f>6-SUM(A608:F608)</f>
        <v/>
      </c>
    </row>
    <row r="609">
      <c r="A609">
        <f>IF('Entry Builder'!$N$7=0,1,IF('Entry Builder'!$D$7="Less",--(INDEX(Sims!$A609:$BO609,'Entry Builder'!$L$7)&lt;'Entry Builder'!$E$7),--(INDEX(Sims!$A609:$BO609,'Entry Builder'!$L$7)&gt;'Entry Builder'!$E$7)))</f>
        <v/>
      </c>
      <c r="B609">
        <f>IF('Entry Builder'!$N$8=0,1,IF('Entry Builder'!$D$8="Less",--(INDEX(Sims!$A609:$BO609,'Entry Builder'!$L$8)&lt;'Entry Builder'!$E$8),--(INDEX(Sims!$A609:$BO609,'Entry Builder'!$L$8)&gt;'Entry Builder'!$E$8)))</f>
        <v/>
      </c>
      <c r="C609">
        <f>IF('Entry Builder'!$N$9=0,1,IF('Entry Builder'!$D$9="Less",--(INDEX(Sims!$A609:$BO609,'Entry Builder'!$L$9)&lt;'Entry Builder'!$E$9),--(INDEX(Sims!$A609:$BO609,'Entry Builder'!$L$9)&gt;'Entry Builder'!$E$9)))</f>
        <v/>
      </c>
      <c r="D609">
        <f>IF('Entry Builder'!$N$10=0,1,IF('Entry Builder'!$D$10="Less",--(INDEX(Sims!$A609:$BO609,'Entry Builder'!$L$10)&lt;'Entry Builder'!$E$10),--(INDEX(Sims!$A609:$BO609,'Entry Builder'!$L$10)&gt;'Entry Builder'!$E$10)))</f>
        <v/>
      </c>
      <c r="E609">
        <f>IF('Entry Builder'!$N$11=0,1,IF('Entry Builder'!$D$11="Less",--(INDEX(Sims!$A609:$BO609,'Entry Builder'!$L$11)&lt;'Entry Builder'!$E$11),--(INDEX(Sims!$A609:$BO609,'Entry Builder'!$L$11)&gt;'Entry Builder'!$E$11)))</f>
        <v/>
      </c>
      <c r="F609">
        <f>IF('Entry Builder'!$N$12=0,1,IF('Entry Builder'!$D$12="Less",--(INDEX(Sims!$A609:$BO609,'Entry Builder'!$L$12)&lt;'Entry Builder'!$E$12),--(INDEX(Sims!$A609:$BO609,'Entry Builder'!$L$12)&gt;'Entry Builder'!$E$12)))</f>
        <v/>
      </c>
      <c r="G609">
        <f>6-SUM(A609:F609)</f>
        <v/>
      </c>
    </row>
    <row r="610">
      <c r="A610">
        <f>IF('Entry Builder'!$N$7=0,1,IF('Entry Builder'!$D$7="Less",--(INDEX(Sims!$A610:$BO610,'Entry Builder'!$L$7)&lt;'Entry Builder'!$E$7),--(INDEX(Sims!$A610:$BO610,'Entry Builder'!$L$7)&gt;'Entry Builder'!$E$7)))</f>
        <v/>
      </c>
      <c r="B610">
        <f>IF('Entry Builder'!$N$8=0,1,IF('Entry Builder'!$D$8="Less",--(INDEX(Sims!$A610:$BO610,'Entry Builder'!$L$8)&lt;'Entry Builder'!$E$8),--(INDEX(Sims!$A610:$BO610,'Entry Builder'!$L$8)&gt;'Entry Builder'!$E$8)))</f>
        <v/>
      </c>
      <c r="C610">
        <f>IF('Entry Builder'!$N$9=0,1,IF('Entry Builder'!$D$9="Less",--(INDEX(Sims!$A610:$BO610,'Entry Builder'!$L$9)&lt;'Entry Builder'!$E$9),--(INDEX(Sims!$A610:$BO610,'Entry Builder'!$L$9)&gt;'Entry Builder'!$E$9)))</f>
        <v/>
      </c>
      <c r="D610">
        <f>IF('Entry Builder'!$N$10=0,1,IF('Entry Builder'!$D$10="Less",--(INDEX(Sims!$A610:$BO610,'Entry Builder'!$L$10)&lt;'Entry Builder'!$E$10),--(INDEX(Sims!$A610:$BO610,'Entry Builder'!$L$10)&gt;'Entry Builder'!$E$10)))</f>
        <v/>
      </c>
      <c r="E610">
        <f>IF('Entry Builder'!$N$11=0,1,IF('Entry Builder'!$D$11="Less",--(INDEX(Sims!$A610:$BO610,'Entry Builder'!$L$11)&lt;'Entry Builder'!$E$11),--(INDEX(Sims!$A610:$BO610,'Entry Builder'!$L$11)&gt;'Entry Builder'!$E$11)))</f>
        <v/>
      </c>
      <c r="F610">
        <f>IF('Entry Builder'!$N$12=0,1,IF('Entry Builder'!$D$12="Less",--(INDEX(Sims!$A610:$BO610,'Entry Builder'!$L$12)&lt;'Entry Builder'!$E$12),--(INDEX(Sims!$A610:$BO610,'Entry Builder'!$L$12)&gt;'Entry Builder'!$E$12)))</f>
        <v/>
      </c>
      <c r="G610">
        <f>6-SUM(A610:F610)</f>
        <v/>
      </c>
    </row>
    <row r="611">
      <c r="A611">
        <f>IF('Entry Builder'!$N$7=0,1,IF('Entry Builder'!$D$7="Less",--(INDEX(Sims!$A611:$BO611,'Entry Builder'!$L$7)&lt;'Entry Builder'!$E$7),--(INDEX(Sims!$A611:$BO611,'Entry Builder'!$L$7)&gt;'Entry Builder'!$E$7)))</f>
        <v/>
      </c>
      <c r="B611">
        <f>IF('Entry Builder'!$N$8=0,1,IF('Entry Builder'!$D$8="Less",--(INDEX(Sims!$A611:$BO611,'Entry Builder'!$L$8)&lt;'Entry Builder'!$E$8),--(INDEX(Sims!$A611:$BO611,'Entry Builder'!$L$8)&gt;'Entry Builder'!$E$8)))</f>
        <v/>
      </c>
      <c r="C611">
        <f>IF('Entry Builder'!$N$9=0,1,IF('Entry Builder'!$D$9="Less",--(INDEX(Sims!$A611:$BO611,'Entry Builder'!$L$9)&lt;'Entry Builder'!$E$9),--(INDEX(Sims!$A611:$BO611,'Entry Builder'!$L$9)&gt;'Entry Builder'!$E$9)))</f>
        <v/>
      </c>
      <c r="D611">
        <f>IF('Entry Builder'!$N$10=0,1,IF('Entry Builder'!$D$10="Less",--(INDEX(Sims!$A611:$BO611,'Entry Builder'!$L$10)&lt;'Entry Builder'!$E$10),--(INDEX(Sims!$A611:$BO611,'Entry Builder'!$L$10)&gt;'Entry Builder'!$E$10)))</f>
        <v/>
      </c>
      <c r="E611">
        <f>IF('Entry Builder'!$N$11=0,1,IF('Entry Builder'!$D$11="Less",--(INDEX(Sims!$A611:$BO611,'Entry Builder'!$L$11)&lt;'Entry Builder'!$E$11),--(INDEX(Sims!$A611:$BO611,'Entry Builder'!$L$11)&gt;'Entry Builder'!$E$11)))</f>
        <v/>
      </c>
      <c r="F611">
        <f>IF('Entry Builder'!$N$12=0,1,IF('Entry Builder'!$D$12="Less",--(INDEX(Sims!$A611:$BO611,'Entry Builder'!$L$12)&lt;'Entry Builder'!$E$12),--(INDEX(Sims!$A611:$BO611,'Entry Builder'!$L$12)&gt;'Entry Builder'!$E$12)))</f>
        <v/>
      </c>
      <c r="G611">
        <f>6-SUM(A611:F611)</f>
        <v/>
      </c>
    </row>
    <row r="612">
      <c r="A612">
        <f>IF('Entry Builder'!$N$7=0,1,IF('Entry Builder'!$D$7="Less",--(INDEX(Sims!$A612:$BO612,'Entry Builder'!$L$7)&lt;'Entry Builder'!$E$7),--(INDEX(Sims!$A612:$BO612,'Entry Builder'!$L$7)&gt;'Entry Builder'!$E$7)))</f>
        <v/>
      </c>
      <c r="B612">
        <f>IF('Entry Builder'!$N$8=0,1,IF('Entry Builder'!$D$8="Less",--(INDEX(Sims!$A612:$BO612,'Entry Builder'!$L$8)&lt;'Entry Builder'!$E$8),--(INDEX(Sims!$A612:$BO612,'Entry Builder'!$L$8)&gt;'Entry Builder'!$E$8)))</f>
        <v/>
      </c>
      <c r="C612">
        <f>IF('Entry Builder'!$N$9=0,1,IF('Entry Builder'!$D$9="Less",--(INDEX(Sims!$A612:$BO612,'Entry Builder'!$L$9)&lt;'Entry Builder'!$E$9),--(INDEX(Sims!$A612:$BO612,'Entry Builder'!$L$9)&gt;'Entry Builder'!$E$9)))</f>
        <v/>
      </c>
      <c r="D612">
        <f>IF('Entry Builder'!$N$10=0,1,IF('Entry Builder'!$D$10="Less",--(INDEX(Sims!$A612:$BO612,'Entry Builder'!$L$10)&lt;'Entry Builder'!$E$10),--(INDEX(Sims!$A612:$BO612,'Entry Builder'!$L$10)&gt;'Entry Builder'!$E$10)))</f>
        <v/>
      </c>
      <c r="E612">
        <f>IF('Entry Builder'!$N$11=0,1,IF('Entry Builder'!$D$11="Less",--(INDEX(Sims!$A612:$BO612,'Entry Builder'!$L$11)&lt;'Entry Builder'!$E$11),--(INDEX(Sims!$A612:$BO612,'Entry Builder'!$L$11)&gt;'Entry Builder'!$E$11)))</f>
        <v/>
      </c>
      <c r="F612">
        <f>IF('Entry Builder'!$N$12=0,1,IF('Entry Builder'!$D$12="Less",--(INDEX(Sims!$A612:$BO612,'Entry Builder'!$L$12)&lt;'Entry Builder'!$E$12),--(INDEX(Sims!$A612:$BO612,'Entry Builder'!$L$12)&gt;'Entry Builder'!$E$12)))</f>
        <v/>
      </c>
      <c r="G612">
        <f>6-SUM(A612:F612)</f>
        <v/>
      </c>
    </row>
    <row r="613">
      <c r="A613">
        <f>IF('Entry Builder'!$N$7=0,1,IF('Entry Builder'!$D$7="Less",--(INDEX(Sims!$A613:$BO613,'Entry Builder'!$L$7)&lt;'Entry Builder'!$E$7),--(INDEX(Sims!$A613:$BO613,'Entry Builder'!$L$7)&gt;'Entry Builder'!$E$7)))</f>
        <v/>
      </c>
      <c r="B613">
        <f>IF('Entry Builder'!$N$8=0,1,IF('Entry Builder'!$D$8="Less",--(INDEX(Sims!$A613:$BO613,'Entry Builder'!$L$8)&lt;'Entry Builder'!$E$8),--(INDEX(Sims!$A613:$BO613,'Entry Builder'!$L$8)&gt;'Entry Builder'!$E$8)))</f>
        <v/>
      </c>
      <c r="C613">
        <f>IF('Entry Builder'!$N$9=0,1,IF('Entry Builder'!$D$9="Less",--(INDEX(Sims!$A613:$BO613,'Entry Builder'!$L$9)&lt;'Entry Builder'!$E$9),--(INDEX(Sims!$A613:$BO613,'Entry Builder'!$L$9)&gt;'Entry Builder'!$E$9)))</f>
        <v/>
      </c>
      <c r="D613">
        <f>IF('Entry Builder'!$N$10=0,1,IF('Entry Builder'!$D$10="Less",--(INDEX(Sims!$A613:$BO613,'Entry Builder'!$L$10)&lt;'Entry Builder'!$E$10),--(INDEX(Sims!$A613:$BO613,'Entry Builder'!$L$10)&gt;'Entry Builder'!$E$10)))</f>
        <v/>
      </c>
      <c r="E613">
        <f>IF('Entry Builder'!$N$11=0,1,IF('Entry Builder'!$D$11="Less",--(INDEX(Sims!$A613:$BO613,'Entry Builder'!$L$11)&lt;'Entry Builder'!$E$11),--(INDEX(Sims!$A613:$BO613,'Entry Builder'!$L$11)&gt;'Entry Builder'!$E$11)))</f>
        <v/>
      </c>
      <c r="F613">
        <f>IF('Entry Builder'!$N$12=0,1,IF('Entry Builder'!$D$12="Less",--(INDEX(Sims!$A613:$BO613,'Entry Builder'!$L$12)&lt;'Entry Builder'!$E$12),--(INDEX(Sims!$A613:$BO613,'Entry Builder'!$L$12)&gt;'Entry Builder'!$E$12)))</f>
        <v/>
      </c>
      <c r="G613">
        <f>6-SUM(A613:F613)</f>
        <v/>
      </c>
    </row>
    <row r="614">
      <c r="A614">
        <f>IF('Entry Builder'!$N$7=0,1,IF('Entry Builder'!$D$7="Less",--(INDEX(Sims!$A614:$BO614,'Entry Builder'!$L$7)&lt;'Entry Builder'!$E$7),--(INDEX(Sims!$A614:$BO614,'Entry Builder'!$L$7)&gt;'Entry Builder'!$E$7)))</f>
        <v/>
      </c>
      <c r="B614">
        <f>IF('Entry Builder'!$N$8=0,1,IF('Entry Builder'!$D$8="Less",--(INDEX(Sims!$A614:$BO614,'Entry Builder'!$L$8)&lt;'Entry Builder'!$E$8),--(INDEX(Sims!$A614:$BO614,'Entry Builder'!$L$8)&gt;'Entry Builder'!$E$8)))</f>
        <v/>
      </c>
      <c r="C614">
        <f>IF('Entry Builder'!$N$9=0,1,IF('Entry Builder'!$D$9="Less",--(INDEX(Sims!$A614:$BO614,'Entry Builder'!$L$9)&lt;'Entry Builder'!$E$9),--(INDEX(Sims!$A614:$BO614,'Entry Builder'!$L$9)&gt;'Entry Builder'!$E$9)))</f>
        <v/>
      </c>
      <c r="D614">
        <f>IF('Entry Builder'!$N$10=0,1,IF('Entry Builder'!$D$10="Less",--(INDEX(Sims!$A614:$BO614,'Entry Builder'!$L$10)&lt;'Entry Builder'!$E$10),--(INDEX(Sims!$A614:$BO614,'Entry Builder'!$L$10)&gt;'Entry Builder'!$E$10)))</f>
        <v/>
      </c>
      <c r="E614">
        <f>IF('Entry Builder'!$N$11=0,1,IF('Entry Builder'!$D$11="Less",--(INDEX(Sims!$A614:$BO614,'Entry Builder'!$L$11)&lt;'Entry Builder'!$E$11),--(INDEX(Sims!$A614:$BO614,'Entry Builder'!$L$11)&gt;'Entry Builder'!$E$11)))</f>
        <v/>
      </c>
      <c r="F614">
        <f>IF('Entry Builder'!$N$12=0,1,IF('Entry Builder'!$D$12="Less",--(INDEX(Sims!$A614:$BO614,'Entry Builder'!$L$12)&lt;'Entry Builder'!$E$12),--(INDEX(Sims!$A614:$BO614,'Entry Builder'!$L$12)&gt;'Entry Builder'!$E$12)))</f>
        <v/>
      </c>
      <c r="G614">
        <f>6-SUM(A614:F614)</f>
        <v/>
      </c>
    </row>
    <row r="615">
      <c r="A615">
        <f>IF('Entry Builder'!$N$7=0,1,IF('Entry Builder'!$D$7="Less",--(INDEX(Sims!$A615:$BO615,'Entry Builder'!$L$7)&lt;'Entry Builder'!$E$7),--(INDEX(Sims!$A615:$BO615,'Entry Builder'!$L$7)&gt;'Entry Builder'!$E$7)))</f>
        <v/>
      </c>
      <c r="B615">
        <f>IF('Entry Builder'!$N$8=0,1,IF('Entry Builder'!$D$8="Less",--(INDEX(Sims!$A615:$BO615,'Entry Builder'!$L$8)&lt;'Entry Builder'!$E$8),--(INDEX(Sims!$A615:$BO615,'Entry Builder'!$L$8)&gt;'Entry Builder'!$E$8)))</f>
        <v/>
      </c>
      <c r="C615">
        <f>IF('Entry Builder'!$N$9=0,1,IF('Entry Builder'!$D$9="Less",--(INDEX(Sims!$A615:$BO615,'Entry Builder'!$L$9)&lt;'Entry Builder'!$E$9),--(INDEX(Sims!$A615:$BO615,'Entry Builder'!$L$9)&gt;'Entry Builder'!$E$9)))</f>
        <v/>
      </c>
      <c r="D615">
        <f>IF('Entry Builder'!$N$10=0,1,IF('Entry Builder'!$D$10="Less",--(INDEX(Sims!$A615:$BO615,'Entry Builder'!$L$10)&lt;'Entry Builder'!$E$10),--(INDEX(Sims!$A615:$BO615,'Entry Builder'!$L$10)&gt;'Entry Builder'!$E$10)))</f>
        <v/>
      </c>
      <c r="E615">
        <f>IF('Entry Builder'!$N$11=0,1,IF('Entry Builder'!$D$11="Less",--(INDEX(Sims!$A615:$BO615,'Entry Builder'!$L$11)&lt;'Entry Builder'!$E$11),--(INDEX(Sims!$A615:$BO615,'Entry Builder'!$L$11)&gt;'Entry Builder'!$E$11)))</f>
        <v/>
      </c>
      <c r="F615">
        <f>IF('Entry Builder'!$N$12=0,1,IF('Entry Builder'!$D$12="Less",--(INDEX(Sims!$A615:$BO615,'Entry Builder'!$L$12)&lt;'Entry Builder'!$E$12),--(INDEX(Sims!$A615:$BO615,'Entry Builder'!$L$12)&gt;'Entry Builder'!$E$12)))</f>
        <v/>
      </c>
      <c r="G615">
        <f>6-SUM(A615:F615)</f>
        <v/>
      </c>
    </row>
    <row r="616">
      <c r="A616">
        <f>IF('Entry Builder'!$N$7=0,1,IF('Entry Builder'!$D$7="Less",--(INDEX(Sims!$A616:$BO616,'Entry Builder'!$L$7)&lt;'Entry Builder'!$E$7),--(INDEX(Sims!$A616:$BO616,'Entry Builder'!$L$7)&gt;'Entry Builder'!$E$7)))</f>
        <v/>
      </c>
      <c r="B616">
        <f>IF('Entry Builder'!$N$8=0,1,IF('Entry Builder'!$D$8="Less",--(INDEX(Sims!$A616:$BO616,'Entry Builder'!$L$8)&lt;'Entry Builder'!$E$8),--(INDEX(Sims!$A616:$BO616,'Entry Builder'!$L$8)&gt;'Entry Builder'!$E$8)))</f>
        <v/>
      </c>
      <c r="C616">
        <f>IF('Entry Builder'!$N$9=0,1,IF('Entry Builder'!$D$9="Less",--(INDEX(Sims!$A616:$BO616,'Entry Builder'!$L$9)&lt;'Entry Builder'!$E$9),--(INDEX(Sims!$A616:$BO616,'Entry Builder'!$L$9)&gt;'Entry Builder'!$E$9)))</f>
        <v/>
      </c>
      <c r="D616">
        <f>IF('Entry Builder'!$N$10=0,1,IF('Entry Builder'!$D$10="Less",--(INDEX(Sims!$A616:$BO616,'Entry Builder'!$L$10)&lt;'Entry Builder'!$E$10),--(INDEX(Sims!$A616:$BO616,'Entry Builder'!$L$10)&gt;'Entry Builder'!$E$10)))</f>
        <v/>
      </c>
      <c r="E616">
        <f>IF('Entry Builder'!$N$11=0,1,IF('Entry Builder'!$D$11="Less",--(INDEX(Sims!$A616:$BO616,'Entry Builder'!$L$11)&lt;'Entry Builder'!$E$11),--(INDEX(Sims!$A616:$BO616,'Entry Builder'!$L$11)&gt;'Entry Builder'!$E$11)))</f>
        <v/>
      </c>
      <c r="F616">
        <f>IF('Entry Builder'!$N$12=0,1,IF('Entry Builder'!$D$12="Less",--(INDEX(Sims!$A616:$BO616,'Entry Builder'!$L$12)&lt;'Entry Builder'!$E$12),--(INDEX(Sims!$A616:$BO616,'Entry Builder'!$L$12)&gt;'Entry Builder'!$E$12)))</f>
        <v/>
      </c>
      <c r="G616">
        <f>6-SUM(A616:F616)</f>
        <v/>
      </c>
    </row>
    <row r="617">
      <c r="A617">
        <f>IF('Entry Builder'!$N$7=0,1,IF('Entry Builder'!$D$7="Less",--(INDEX(Sims!$A617:$BO617,'Entry Builder'!$L$7)&lt;'Entry Builder'!$E$7),--(INDEX(Sims!$A617:$BO617,'Entry Builder'!$L$7)&gt;'Entry Builder'!$E$7)))</f>
        <v/>
      </c>
      <c r="B617">
        <f>IF('Entry Builder'!$N$8=0,1,IF('Entry Builder'!$D$8="Less",--(INDEX(Sims!$A617:$BO617,'Entry Builder'!$L$8)&lt;'Entry Builder'!$E$8),--(INDEX(Sims!$A617:$BO617,'Entry Builder'!$L$8)&gt;'Entry Builder'!$E$8)))</f>
        <v/>
      </c>
      <c r="C617">
        <f>IF('Entry Builder'!$N$9=0,1,IF('Entry Builder'!$D$9="Less",--(INDEX(Sims!$A617:$BO617,'Entry Builder'!$L$9)&lt;'Entry Builder'!$E$9),--(INDEX(Sims!$A617:$BO617,'Entry Builder'!$L$9)&gt;'Entry Builder'!$E$9)))</f>
        <v/>
      </c>
      <c r="D617">
        <f>IF('Entry Builder'!$N$10=0,1,IF('Entry Builder'!$D$10="Less",--(INDEX(Sims!$A617:$BO617,'Entry Builder'!$L$10)&lt;'Entry Builder'!$E$10),--(INDEX(Sims!$A617:$BO617,'Entry Builder'!$L$10)&gt;'Entry Builder'!$E$10)))</f>
        <v/>
      </c>
      <c r="E617">
        <f>IF('Entry Builder'!$N$11=0,1,IF('Entry Builder'!$D$11="Less",--(INDEX(Sims!$A617:$BO617,'Entry Builder'!$L$11)&lt;'Entry Builder'!$E$11),--(INDEX(Sims!$A617:$BO617,'Entry Builder'!$L$11)&gt;'Entry Builder'!$E$11)))</f>
        <v/>
      </c>
      <c r="F617">
        <f>IF('Entry Builder'!$N$12=0,1,IF('Entry Builder'!$D$12="Less",--(INDEX(Sims!$A617:$BO617,'Entry Builder'!$L$12)&lt;'Entry Builder'!$E$12),--(INDEX(Sims!$A617:$BO617,'Entry Builder'!$L$12)&gt;'Entry Builder'!$E$12)))</f>
        <v/>
      </c>
      <c r="G617">
        <f>6-SUM(A617:F617)</f>
        <v/>
      </c>
    </row>
    <row r="618">
      <c r="A618">
        <f>IF('Entry Builder'!$N$7=0,1,IF('Entry Builder'!$D$7="Less",--(INDEX(Sims!$A618:$BO618,'Entry Builder'!$L$7)&lt;'Entry Builder'!$E$7),--(INDEX(Sims!$A618:$BO618,'Entry Builder'!$L$7)&gt;'Entry Builder'!$E$7)))</f>
        <v/>
      </c>
      <c r="B618">
        <f>IF('Entry Builder'!$N$8=0,1,IF('Entry Builder'!$D$8="Less",--(INDEX(Sims!$A618:$BO618,'Entry Builder'!$L$8)&lt;'Entry Builder'!$E$8),--(INDEX(Sims!$A618:$BO618,'Entry Builder'!$L$8)&gt;'Entry Builder'!$E$8)))</f>
        <v/>
      </c>
      <c r="C618">
        <f>IF('Entry Builder'!$N$9=0,1,IF('Entry Builder'!$D$9="Less",--(INDEX(Sims!$A618:$BO618,'Entry Builder'!$L$9)&lt;'Entry Builder'!$E$9),--(INDEX(Sims!$A618:$BO618,'Entry Builder'!$L$9)&gt;'Entry Builder'!$E$9)))</f>
        <v/>
      </c>
      <c r="D618">
        <f>IF('Entry Builder'!$N$10=0,1,IF('Entry Builder'!$D$10="Less",--(INDEX(Sims!$A618:$BO618,'Entry Builder'!$L$10)&lt;'Entry Builder'!$E$10),--(INDEX(Sims!$A618:$BO618,'Entry Builder'!$L$10)&gt;'Entry Builder'!$E$10)))</f>
        <v/>
      </c>
      <c r="E618">
        <f>IF('Entry Builder'!$N$11=0,1,IF('Entry Builder'!$D$11="Less",--(INDEX(Sims!$A618:$BO618,'Entry Builder'!$L$11)&lt;'Entry Builder'!$E$11),--(INDEX(Sims!$A618:$BO618,'Entry Builder'!$L$11)&gt;'Entry Builder'!$E$11)))</f>
        <v/>
      </c>
      <c r="F618">
        <f>IF('Entry Builder'!$N$12=0,1,IF('Entry Builder'!$D$12="Less",--(INDEX(Sims!$A618:$BO618,'Entry Builder'!$L$12)&lt;'Entry Builder'!$E$12),--(INDEX(Sims!$A618:$BO618,'Entry Builder'!$L$12)&gt;'Entry Builder'!$E$12)))</f>
        <v/>
      </c>
      <c r="G618">
        <f>6-SUM(A618:F618)</f>
        <v/>
      </c>
    </row>
    <row r="619">
      <c r="A619">
        <f>IF('Entry Builder'!$N$7=0,1,IF('Entry Builder'!$D$7="Less",--(INDEX(Sims!$A619:$BO619,'Entry Builder'!$L$7)&lt;'Entry Builder'!$E$7),--(INDEX(Sims!$A619:$BO619,'Entry Builder'!$L$7)&gt;'Entry Builder'!$E$7)))</f>
        <v/>
      </c>
      <c r="B619">
        <f>IF('Entry Builder'!$N$8=0,1,IF('Entry Builder'!$D$8="Less",--(INDEX(Sims!$A619:$BO619,'Entry Builder'!$L$8)&lt;'Entry Builder'!$E$8),--(INDEX(Sims!$A619:$BO619,'Entry Builder'!$L$8)&gt;'Entry Builder'!$E$8)))</f>
        <v/>
      </c>
      <c r="C619">
        <f>IF('Entry Builder'!$N$9=0,1,IF('Entry Builder'!$D$9="Less",--(INDEX(Sims!$A619:$BO619,'Entry Builder'!$L$9)&lt;'Entry Builder'!$E$9),--(INDEX(Sims!$A619:$BO619,'Entry Builder'!$L$9)&gt;'Entry Builder'!$E$9)))</f>
        <v/>
      </c>
      <c r="D619">
        <f>IF('Entry Builder'!$N$10=0,1,IF('Entry Builder'!$D$10="Less",--(INDEX(Sims!$A619:$BO619,'Entry Builder'!$L$10)&lt;'Entry Builder'!$E$10),--(INDEX(Sims!$A619:$BO619,'Entry Builder'!$L$10)&gt;'Entry Builder'!$E$10)))</f>
        <v/>
      </c>
      <c r="E619">
        <f>IF('Entry Builder'!$N$11=0,1,IF('Entry Builder'!$D$11="Less",--(INDEX(Sims!$A619:$BO619,'Entry Builder'!$L$11)&lt;'Entry Builder'!$E$11),--(INDEX(Sims!$A619:$BO619,'Entry Builder'!$L$11)&gt;'Entry Builder'!$E$11)))</f>
        <v/>
      </c>
      <c r="F619">
        <f>IF('Entry Builder'!$N$12=0,1,IF('Entry Builder'!$D$12="Less",--(INDEX(Sims!$A619:$BO619,'Entry Builder'!$L$12)&lt;'Entry Builder'!$E$12),--(INDEX(Sims!$A619:$BO619,'Entry Builder'!$L$12)&gt;'Entry Builder'!$E$12)))</f>
        <v/>
      </c>
      <c r="G619">
        <f>6-SUM(A619:F619)</f>
        <v/>
      </c>
    </row>
    <row r="620">
      <c r="A620">
        <f>IF('Entry Builder'!$N$7=0,1,IF('Entry Builder'!$D$7="Less",--(INDEX(Sims!$A620:$BO620,'Entry Builder'!$L$7)&lt;'Entry Builder'!$E$7),--(INDEX(Sims!$A620:$BO620,'Entry Builder'!$L$7)&gt;'Entry Builder'!$E$7)))</f>
        <v/>
      </c>
      <c r="B620">
        <f>IF('Entry Builder'!$N$8=0,1,IF('Entry Builder'!$D$8="Less",--(INDEX(Sims!$A620:$BO620,'Entry Builder'!$L$8)&lt;'Entry Builder'!$E$8),--(INDEX(Sims!$A620:$BO620,'Entry Builder'!$L$8)&gt;'Entry Builder'!$E$8)))</f>
        <v/>
      </c>
      <c r="C620">
        <f>IF('Entry Builder'!$N$9=0,1,IF('Entry Builder'!$D$9="Less",--(INDEX(Sims!$A620:$BO620,'Entry Builder'!$L$9)&lt;'Entry Builder'!$E$9),--(INDEX(Sims!$A620:$BO620,'Entry Builder'!$L$9)&gt;'Entry Builder'!$E$9)))</f>
        <v/>
      </c>
      <c r="D620">
        <f>IF('Entry Builder'!$N$10=0,1,IF('Entry Builder'!$D$10="Less",--(INDEX(Sims!$A620:$BO620,'Entry Builder'!$L$10)&lt;'Entry Builder'!$E$10),--(INDEX(Sims!$A620:$BO620,'Entry Builder'!$L$10)&gt;'Entry Builder'!$E$10)))</f>
        <v/>
      </c>
      <c r="E620">
        <f>IF('Entry Builder'!$N$11=0,1,IF('Entry Builder'!$D$11="Less",--(INDEX(Sims!$A620:$BO620,'Entry Builder'!$L$11)&lt;'Entry Builder'!$E$11),--(INDEX(Sims!$A620:$BO620,'Entry Builder'!$L$11)&gt;'Entry Builder'!$E$11)))</f>
        <v/>
      </c>
      <c r="F620">
        <f>IF('Entry Builder'!$N$12=0,1,IF('Entry Builder'!$D$12="Less",--(INDEX(Sims!$A620:$BO620,'Entry Builder'!$L$12)&lt;'Entry Builder'!$E$12),--(INDEX(Sims!$A620:$BO620,'Entry Builder'!$L$12)&gt;'Entry Builder'!$E$12)))</f>
        <v/>
      </c>
      <c r="G620">
        <f>6-SUM(A620:F620)</f>
        <v/>
      </c>
    </row>
    <row r="621">
      <c r="A621">
        <f>IF('Entry Builder'!$N$7=0,1,IF('Entry Builder'!$D$7="Less",--(INDEX(Sims!$A621:$BO621,'Entry Builder'!$L$7)&lt;'Entry Builder'!$E$7),--(INDEX(Sims!$A621:$BO621,'Entry Builder'!$L$7)&gt;'Entry Builder'!$E$7)))</f>
        <v/>
      </c>
      <c r="B621">
        <f>IF('Entry Builder'!$N$8=0,1,IF('Entry Builder'!$D$8="Less",--(INDEX(Sims!$A621:$BO621,'Entry Builder'!$L$8)&lt;'Entry Builder'!$E$8),--(INDEX(Sims!$A621:$BO621,'Entry Builder'!$L$8)&gt;'Entry Builder'!$E$8)))</f>
        <v/>
      </c>
      <c r="C621">
        <f>IF('Entry Builder'!$N$9=0,1,IF('Entry Builder'!$D$9="Less",--(INDEX(Sims!$A621:$BO621,'Entry Builder'!$L$9)&lt;'Entry Builder'!$E$9),--(INDEX(Sims!$A621:$BO621,'Entry Builder'!$L$9)&gt;'Entry Builder'!$E$9)))</f>
        <v/>
      </c>
      <c r="D621">
        <f>IF('Entry Builder'!$N$10=0,1,IF('Entry Builder'!$D$10="Less",--(INDEX(Sims!$A621:$BO621,'Entry Builder'!$L$10)&lt;'Entry Builder'!$E$10),--(INDEX(Sims!$A621:$BO621,'Entry Builder'!$L$10)&gt;'Entry Builder'!$E$10)))</f>
        <v/>
      </c>
      <c r="E621">
        <f>IF('Entry Builder'!$N$11=0,1,IF('Entry Builder'!$D$11="Less",--(INDEX(Sims!$A621:$BO621,'Entry Builder'!$L$11)&lt;'Entry Builder'!$E$11),--(INDEX(Sims!$A621:$BO621,'Entry Builder'!$L$11)&gt;'Entry Builder'!$E$11)))</f>
        <v/>
      </c>
      <c r="F621">
        <f>IF('Entry Builder'!$N$12=0,1,IF('Entry Builder'!$D$12="Less",--(INDEX(Sims!$A621:$BO621,'Entry Builder'!$L$12)&lt;'Entry Builder'!$E$12),--(INDEX(Sims!$A621:$BO621,'Entry Builder'!$L$12)&gt;'Entry Builder'!$E$12)))</f>
        <v/>
      </c>
      <c r="G621">
        <f>6-SUM(A621:F621)</f>
        <v/>
      </c>
    </row>
    <row r="622">
      <c r="A622">
        <f>IF('Entry Builder'!$N$7=0,1,IF('Entry Builder'!$D$7="Less",--(INDEX(Sims!$A622:$BO622,'Entry Builder'!$L$7)&lt;'Entry Builder'!$E$7),--(INDEX(Sims!$A622:$BO622,'Entry Builder'!$L$7)&gt;'Entry Builder'!$E$7)))</f>
        <v/>
      </c>
      <c r="B622">
        <f>IF('Entry Builder'!$N$8=0,1,IF('Entry Builder'!$D$8="Less",--(INDEX(Sims!$A622:$BO622,'Entry Builder'!$L$8)&lt;'Entry Builder'!$E$8),--(INDEX(Sims!$A622:$BO622,'Entry Builder'!$L$8)&gt;'Entry Builder'!$E$8)))</f>
        <v/>
      </c>
      <c r="C622">
        <f>IF('Entry Builder'!$N$9=0,1,IF('Entry Builder'!$D$9="Less",--(INDEX(Sims!$A622:$BO622,'Entry Builder'!$L$9)&lt;'Entry Builder'!$E$9),--(INDEX(Sims!$A622:$BO622,'Entry Builder'!$L$9)&gt;'Entry Builder'!$E$9)))</f>
        <v/>
      </c>
      <c r="D622">
        <f>IF('Entry Builder'!$N$10=0,1,IF('Entry Builder'!$D$10="Less",--(INDEX(Sims!$A622:$BO622,'Entry Builder'!$L$10)&lt;'Entry Builder'!$E$10),--(INDEX(Sims!$A622:$BO622,'Entry Builder'!$L$10)&gt;'Entry Builder'!$E$10)))</f>
        <v/>
      </c>
      <c r="E622">
        <f>IF('Entry Builder'!$N$11=0,1,IF('Entry Builder'!$D$11="Less",--(INDEX(Sims!$A622:$BO622,'Entry Builder'!$L$11)&lt;'Entry Builder'!$E$11),--(INDEX(Sims!$A622:$BO622,'Entry Builder'!$L$11)&gt;'Entry Builder'!$E$11)))</f>
        <v/>
      </c>
      <c r="F622">
        <f>IF('Entry Builder'!$N$12=0,1,IF('Entry Builder'!$D$12="Less",--(INDEX(Sims!$A622:$BO622,'Entry Builder'!$L$12)&lt;'Entry Builder'!$E$12),--(INDEX(Sims!$A622:$BO622,'Entry Builder'!$L$12)&gt;'Entry Builder'!$E$12)))</f>
        <v/>
      </c>
      <c r="G622">
        <f>6-SUM(A622:F622)</f>
        <v/>
      </c>
    </row>
    <row r="623">
      <c r="A623">
        <f>IF('Entry Builder'!$N$7=0,1,IF('Entry Builder'!$D$7="Less",--(INDEX(Sims!$A623:$BO623,'Entry Builder'!$L$7)&lt;'Entry Builder'!$E$7),--(INDEX(Sims!$A623:$BO623,'Entry Builder'!$L$7)&gt;'Entry Builder'!$E$7)))</f>
        <v/>
      </c>
      <c r="B623">
        <f>IF('Entry Builder'!$N$8=0,1,IF('Entry Builder'!$D$8="Less",--(INDEX(Sims!$A623:$BO623,'Entry Builder'!$L$8)&lt;'Entry Builder'!$E$8),--(INDEX(Sims!$A623:$BO623,'Entry Builder'!$L$8)&gt;'Entry Builder'!$E$8)))</f>
        <v/>
      </c>
      <c r="C623">
        <f>IF('Entry Builder'!$N$9=0,1,IF('Entry Builder'!$D$9="Less",--(INDEX(Sims!$A623:$BO623,'Entry Builder'!$L$9)&lt;'Entry Builder'!$E$9),--(INDEX(Sims!$A623:$BO623,'Entry Builder'!$L$9)&gt;'Entry Builder'!$E$9)))</f>
        <v/>
      </c>
      <c r="D623">
        <f>IF('Entry Builder'!$N$10=0,1,IF('Entry Builder'!$D$10="Less",--(INDEX(Sims!$A623:$BO623,'Entry Builder'!$L$10)&lt;'Entry Builder'!$E$10),--(INDEX(Sims!$A623:$BO623,'Entry Builder'!$L$10)&gt;'Entry Builder'!$E$10)))</f>
        <v/>
      </c>
      <c r="E623">
        <f>IF('Entry Builder'!$N$11=0,1,IF('Entry Builder'!$D$11="Less",--(INDEX(Sims!$A623:$BO623,'Entry Builder'!$L$11)&lt;'Entry Builder'!$E$11),--(INDEX(Sims!$A623:$BO623,'Entry Builder'!$L$11)&gt;'Entry Builder'!$E$11)))</f>
        <v/>
      </c>
      <c r="F623">
        <f>IF('Entry Builder'!$N$12=0,1,IF('Entry Builder'!$D$12="Less",--(INDEX(Sims!$A623:$BO623,'Entry Builder'!$L$12)&lt;'Entry Builder'!$E$12),--(INDEX(Sims!$A623:$BO623,'Entry Builder'!$L$12)&gt;'Entry Builder'!$E$12)))</f>
        <v/>
      </c>
      <c r="G623">
        <f>6-SUM(A623:F623)</f>
        <v/>
      </c>
    </row>
    <row r="624">
      <c r="A624">
        <f>IF('Entry Builder'!$N$7=0,1,IF('Entry Builder'!$D$7="Less",--(INDEX(Sims!$A624:$BO624,'Entry Builder'!$L$7)&lt;'Entry Builder'!$E$7),--(INDEX(Sims!$A624:$BO624,'Entry Builder'!$L$7)&gt;'Entry Builder'!$E$7)))</f>
        <v/>
      </c>
      <c r="B624">
        <f>IF('Entry Builder'!$N$8=0,1,IF('Entry Builder'!$D$8="Less",--(INDEX(Sims!$A624:$BO624,'Entry Builder'!$L$8)&lt;'Entry Builder'!$E$8),--(INDEX(Sims!$A624:$BO624,'Entry Builder'!$L$8)&gt;'Entry Builder'!$E$8)))</f>
        <v/>
      </c>
      <c r="C624">
        <f>IF('Entry Builder'!$N$9=0,1,IF('Entry Builder'!$D$9="Less",--(INDEX(Sims!$A624:$BO624,'Entry Builder'!$L$9)&lt;'Entry Builder'!$E$9),--(INDEX(Sims!$A624:$BO624,'Entry Builder'!$L$9)&gt;'Entry Builder'!$E$9)))</f>
        <v/>
      </c>
      <c r="D624">
        <f>IF('Entry Builder'!$N$10=0,1,IF('Entry Builder'!$D$10="Less",--(INDEX(Sims!$A624:$BO624,'Entry Builder'!$L$10)&lt;'Entry Builder'!$E$10),--(INDEX(Sims!$A624:$BO624,'Entry Builder'!$L$10)&gt;'Entry Builder'!$E$10)))</f>
        <v/>
      </c>
      <c r="E624">
        <f>IF('Entry Builder'!$N$11=0,1,IF('Entry Builder'!$D$11="Less",--(INDEX(Sims!$A624:$BO624,'Entry Builder'!$L$11)&lt;'Entry Builder'!$E$11),--(INDEX(Sims!$A624:$BO624,'Entry Builder'!$L$11)&gt;'Entry Builder'!$E$11)))</f>
        <v/>
      </c>
      <c r="F624">
        <f>IF('Entry Builder'!$N$12=0,1,IF('Entry Builder'!$D$12="Less",--(INDEX(Sims!$A624:$BO624,'Entry Builder'!$L$12)&lt;'Entry Builder'!$E$12),--(INDEX(Sims!$A624:$BO624,'Entry Builder'!$L$12)&gt;'Entry Builder'!$E$12)))</f>
        <v/>
      </c>
      <c r="G624">
        <f>6-SUM(A624:F624)</f>
        <v/>
      </c>
    </row>
    <row r="625">
      <c r="A625">
        <f>IF('Entry Builder'!$N$7=0,1,IF('Entry Builder'!$D$7="Less",--(INDEX(Sims!$A625:$BO625,'Entry Builder'!$L$7)&lt;'Entry Builder'!$E$7),--(INDEX(Sims!$A625:$BO625,'Entry Builder'!$L$7)&gt;'Entry Builder'!$E$7)))</f>
        <v/>
      </c>
      <c r="B625">
        <f>IF('Entry Builder'!$N$8=0,1,IF('Entry Builder'!$D$8="Less",--(INDEX(Sims!$A625:$BO625,'Entry Builder'!$L$8)&lt;'Entry Builder'!$E$8),--(INDEX(Sims!$A625:$BO625,'Entry Builder'!$L$8)&gt;'Entry Builder'!$E$8)))</f>
        <v/>
      </c>
      <c r="C625">
        <f>IF('Entry Builder'!$N$9=0,1,IF('Entry Builder'!$D$9="Less",--(INDEX(Sims!$A625:$BO625,'Entry Builder'!$L$9)&lt;'Entry Builder'!$E$9),--(INDEX(Sims!$A625:$BO625,'Entry Builder'!$L$9)&gt;'Entry Builder'!$E$9)))</f>
        <v/>
      </c>
      <c r="D625">
        <f>IF('Entry Builder'!$N$10=0,1,IF('Entry Builder'!$D$10="Less",--(INDEX(Sims!$A625:$BO625,'Entry Builder'!$L$10)&lt;'Entry Builder'!$E$10),--(INDEX(Sims!$A625:$BO625,'Entry Builder'!$L$10)&gt;'Entry Builder'!$E$10)))</f>
        <v/>
      </c>
      <c r="E625">
        <f>IF('Entry Builder'!$N$11=0,1,IF('Entry Builder'!$D$11="Less",--(INDEX(Sims!$A625:$BO625,'Entry Builder'!$L$11)&lt;'Entry Builder'!$E$11),--(INDEX(Sims!$A625:$BO625,'Entry Builder'!$L$11)&gt;'Entry Builder'!$E$11)))</f>
        <v/>
      </c>
      <c r="F625">
        <f>IF('Entry Builder'!$N$12=0,1,IF('Entry Builder'!$D$12="Less",--(INDEX(Sims!$A625:$BO625,'Entry Builder'!$L$12)&lt;'Entry Builder'!$E$12),--(INDEX(Sims!$A625:$BO625,'Entry Builder'!$L$12)&gt;'Entry Builder'!$E$12)))</f>
        <v/>
      </c>
      <c r="G625">
        <f>6-SUM(A625:F625)</f>
        <v/>
      </c>
    </row>
    <row r="626">
      <c r="A626">
        <f>IF('Entry Builder'!$N$7=0,1,IF('Entry Builder'!$D$7="Less",--(INDEX(Sims!$A626:$BO626,'Entry Builder'!$L$7)&lt;'Entry Builder'!$E$7),--(INDEX(Sims!$A626:$BO626,'Entry Builder'!$L$7)&gt;'Entry Builder'!$E$7)))</f>
        <v/>
      </c>
      <c r="B626">
        <f>IF('Entry Builder'!$N$8=0,1,IF('Entry Builder'!$D$8="Less",--(INDEX(Sims!$A626:$BO626,'Entry Builder'!$L$8)&lt;'Entry Builder'!$E$8),--(INDEX(Sims!$A626:$BO626,'Entry Builder'!$L$8)&gt;'Entry Builder'!$E$8)))</f>
        <v/>
      </c>
      <c r="C626">
        <f>IF('Entry Builder'!$N$9=0,1,IF('Entry Builder'!$D$9="Less",--(INDEX(Sims!$A626:$BO626,'Entry Builder'!$L$9)&lt;'Entry Builder'!$E$9),--(INDEX(Sims!$A626:$BO626,'Entry Builder'!$L$9)&gt;'Entry Builder'!$E$9)))</f>
        <v/>
      </c>
      <c r="D626">
        <f>IF('Entry Builder'!$N$10=0,1,IF('Entry Builder'!$D$10="Less",--(INDEX(Sims!$A626:$BO626,'Entry Builder'!$L$10)&lt;'Entry Builder'!$E$10),--(INDEX(Sims!$A626:$BO626,'Entry Builder'!$L$10)&gt;'Entry Builder'!$E$10)))</f>
        <v/>
      </c>
      <c r="E626">
        <f>IF('Entry Builder'!$N$11=0,1,IF('Entry Builder'!$D$11="Less",--(INDEX(Sims!$A626:$BO626,'Entry Builder'!$L$11)&lt;'Entry Builder'!$E$11),--(INDEX(Sims!$A626:$BO626,'Entry Builder'!$L$11)&gt;'Entry Builder'!$E$11)))</f>
        <v/>
      </c>
      <c r="F626">
        <f>IF('Entry Builder'!$N$12=0,1,IF('Entry Builder'!$D$12="Less",--(INDEX(Sims!$A626:$BO626,'Entry Builder'!$L$12)&lt;'Entry Builder'!$E$12),--(INDEX(Sims!$A626:$BO626,'Entry Builder'!$L$12)&gt;'Entry Builder'!$E$12)))</f>
        <v/>
      </c>
      <c r="G626">
        <f>6-SUM(A626:F626)</f>
        <v/>
      </c>
    </row>
    <row r="627">
      <c r="A627">
        <f>IF('Entry Builder'!$N$7=0,1,IF('Entry Builder'!$D$7="Less",--(INDEX(Sims!$A627:$BO627,'Entry Builder'!$L$7)&lt;'Entry Builder'!$E$7),--(INDEX(Sims!$A627:$BO627,'Entry Builder'!$L$7)&gt;'Entry Builder'!$E$7)))</f>
        <v/>
      </c>
      <c r="B627">
        <f>IF('Entry Builder'!$N$8=0,1,IF('Entry Builder'!$D$8="Less",--(INDEX(Sims!$A627:$BO627,'Entry Builder'!$L$8)&lt;'Entry Builder'!$E$8),--(INDEX(Sims!$A627:$BO627,'Entry Builder'!$L$8)&gt;'Entry Builder'!$E$8)))</f>
        <v/>
      </c>
      <c r="C627">
        <f>IF('Entry Builder'!$N$9=0,1,IF('Entry Builder'!$D$9="Less",--(INDEX(Sims!$A627:$BO627,'Entry Builder'!$L$9)&lt;'Entry Builder'!$E$9),--(INDEX(Sims!$A627:$BO627,'Entry Builder'!$L$9)&gt;'Entry Builder'!$E$9)))</f>
        <v/>
      </c>
      <c r="D627">
        <f>IF('Entry Builder'!$N$10=0,1,IF('Entry Builder'!$D$10="Less",--(INDEX(Sims!$A627:$BO627,'Entry Builder'!$L$10)&lt;'Entry Builder'!$E$10),--(INDEX(Sims!$A627:$BO627,'Entry Builder'!$L$10)&gt;'Entry Builder'!$E$10)))</f>
        <v/>
      </c>
      <c r="E627">
        <f>IF('Entry Builder'!$N$11=0,1,IF('Entry Builder'!$D$11="Less",--(INDEX(Sims!$A627:$BO627,'Entry Builder'!$L$11)&lt;'Entry Builder'!$E$11),--(INDEX(Sims!$A627:$BO627,'Entry Builder'!$L$11)&gt;'Entry Builder'!$E$11)))</f>
        <v/>
      </c>
      <c r="F627">
        <f>IF('Entry Builder'!$N$12=0,1,IF('Entry Builder'!$D$12="Less",--(INDEX(Sims!$A627:$BO627,'Entry Builder'!$L$12)&lt;'Entry Builder'!$E$12),--(INDEX(Sims!$A627:$BO627,'Entry Builder'!$L$12)&gt;'Entry Builder'!$E$12)))</f>
        <v/>
      </c>
      <c r="G627">
        <f>6-SUM(A627:F627)</f>
        <v/>
      </c>
    </row>
    <row r="628">
      <c r="A628">
        <f>IF('Entry Builder'!$N$7=0,1,IF('Entry Builder'!$D$7="Less",--(INDEX(Sims!$A628:$BO628,'Entry Builder'!$L$7)&lt;'Entry Builder'!$E$7),--(INDEX(Sims!$A628:$BO628,'Entry Builder'!$L$7)&gt;'Entry Builder'!$E$7)))</f>
        <v/>
      </c>
      <c r="B628">
        <f>IF('Entry Builder'!$N$8=0,1,IF('Entry Builder'!$D$8="Less",--(INDEX(Sims!$A628:$BO628,'Entry Builder'!$L$8)&lt;'Entry Builder'!$E$8),--(INDEX(Sims!$A628:$BO628,'Entry Builder'!$L$8)&gt;'Entry Builder'!$E$8)))</f>
        <v/>
      </c>
      <c r="C628">
        <f>IF('Entry Builder'!$N$9=0,1,IF('Entry Builder'!$D$9="Less",--(INDEX(Sims!$A628:$BO628,'Entry Builder'!$L$9)&lt;'Entry Builder'!$E$9),--(INDEX(Sims!$A628:$BO628,'Entry Builder'!$L$9)&gt;'Entry Builder'!$E$9)))</f>
        <v/>
      </c>
      <c r="D628">
        <f>IF('Entry Builder'!$N$10=0,1,IF('Entry Builder'!$D$10="Less",--(INDEX(Sims!$A628:$BO628,'Entry Builder'!$L$10)&lt;'Entry Builder'!$E$10),--(INDEX(Sims!$A628:$BO628,'Entry Builder'!$L$10)&gt;'Entry Builder'!$E$10)))</f>
        <v/>
      </c>
      <c r="E628">
        <f>IF('Entry Builder'!$N$11=0,1,IF('Entry Builder'!$D$11="Less",--(INDEX(Sims!$A628:$BO628,'Entry Builder'!$L$11)&lt;'Entry Builder'!$E$11),--(INDEX(Sims!$A628:$BO628,'Entry Builder'!$L$11)&gt;'Entry Builder'!$E$11)))</f>
        <v/>
      </c>
      <c r="F628">
        <f>IF('Entry Builder'!$N$12=0,1,IF('Entry Builder'!$D$12="Less",--(INDEX(Sims!$A628:$BO628,'Entry Builder'!$L$12)&lt;'Entry Builder'!$E$12),--(INDEX(Sims!$A628:$BO628,'Entry Builder'!$L$12)&gt;'Entry Builder'!$E$12)))</f>
        <v/>
      </c>
      <c r="G628">
        <f>6-SUM(A628:F628)</f>
        <v/>
      </c>
    </row>
    <row r="629">
      <c r="A629">
        <f>IF('Entry Builder'!$N$7=0,1,IF('Entry Builder'!$D$7="Less",--(INDEX(Sims!$A629:$BO629,'Entry Builder'!$L$7)&lt;'Entry Builder'!$E$7),--(INDEX(Sims!$A629:$BO629,'Entry Builder'!$L$7)&gt;'Entry Builder'!$E$7)))</f>
        <v/>
      </c>
      <c r="B629">
        <f>IF('Entry Builder'!$N$8=0,1,IF('Entry Builder'!$D$8="Less",--(INDEX(Sims!$A629:$BO629,'Entry Builder'!$L$8)&lt;'Entry Builder'!$E$8),--(INDEX(Sims!$A629:$BO629,'Entry Builder'!$L$8)&gt;'Entry Builder'!$E$8)))</f>
        <v/>
      </c>
      <c r="C629">
        <f>IF('Entry Builder'!$N$9=0,1,IF('Entry Builder'!$D$9="Less",--(INDEX(Sims!$A629:$BO629,'Entry Builder'!$L$9)&lt;'Entry Builder'!$E$9),--(INDEX(Sims!$A629:$BO629,'Entry Builder'!$L$9)&gt;'Entry Builder'!$E$9)))</f>
        <v/>
      </c>
      <c r="D629">
        <f>IF('Entry Builder'!$N$10=0,1,IF('Entry Builder'!$D$10="Less",--(INDEX(Sims!$A629:$BO629,'Entry Builder'!$L$10)&lt;'Entry Builder'!$E$10),--(INDEX(Sims!$A629:$BO629,'Entry Builder'!$L$10)&gt;'Entry Builder'!$E$10)))</f>
        <v/>
      </c>
      <c r="E629">
        <f>IF('Entry Builder'!$N$11=0,1,IF('Entry Builder'!$D$11="Less",--(INDEX(Sims!$A629:$BO629,'Entry Builder'!$L$11)&lt;'Entry Builder'!$E$11),--(INDEX(Sims!$A629:$BO629,'Entry Builder'!$L$11)&gt;'Entry Builder'!$E$11)))</f>
        <v/>
      </c>
      <c r="F629">
        <f>IF('Entry Builder'!$N$12=0,1,IF('Entry Builder'!$D$12="Less",--(INDEX(Sims!$A629:$BO629,'Entry Builder'!$L$12)&lt;'Entry Builder'!$E$12),--(INDEX(Sims!$A629:$BO629,'Entry Builder'!$L$12)&gt;'Entry Builder'!$E$12)))</f>
        <v/>
      </c>
      <c r="G629">
        <f>6-SUM(A629:F629)</f>
        <v/>
      </c>
    </row>
    <row r="630">
      <c r="A630">
        <f>IF('Entry Builder'!$N$7=0,1,IF('Entry Builder'!$D$7="Less",--(INDEX(Sims!$A630:$BO630,'Entry Builder'!$L$7)&lt;'Entry Builder'!$E$7),--(INDEX(Sims!$A630:$BO630,'Entry Builder'!$L$7)&gt;'Entry Builder'!$E$7)))</f>
        <v/>
      </c>
      <c r="B630">
        <f>IF('Entry Builder'!$N$8=0,1,IF('Entry Builder'!$D$8="Less",--(INDEX(Sims!$A630:$BO630,'Entry Builder'!$L$8)&lt;'Entry Builder'!$E$8),--(INDEX(Sims!$A630:$BO630,'Entry Builder'!$L$8)&gt;'Entry Builder'!$E$8)))</f>
        <v/>
      </c>
      <c r="C630">
        <f>IF('Entry Builder'!$N$9=0,1,IF('Entry Builder'!$D$9="Less",--(INDEX(Sims!$A630:$BO630,'Entry Builder'!$L$9)&lt;'Entry Builder'!$E$9),--(INDEX(Sims!$A630:$BO630,'Entry Builder'!$L$9)&gt;'Entry Builder'!$E$9)))</f>
        <v/>
      </c>
      <c r="D630">
        <f>IF('Entry Builder'!$N$10=0,1,IF('Entry Builder'!$D$10="Less",--(INDEX(Sims!$A630:$BO630,'Entry Builder'!$L$10)&lt;'Entry Builder'!$E$10),--(INDEX(Sims!$A630:$BO630,'Entry Builder'!$L$10)&gt;'Entry Builder'!$E$10)))</f>
        <v/>
      </c>
      <c r="E630">
        <f>IF('Entry Builder'!$N$11=0,1,IF('Entry Builder'!$D$11="Less",--(INDEX(Sims!$A630:$BO630,'Entry Builder'!$L$11)&lt;'Entry Builder'!$E$11),--(INDEX(Sims!$A630:$BO630,'Entry Builder'!$L$11)&gt;'Entry Builder'!$E$11)))</f>
        <v/>
      </c>
      <c r="F630">
        <f>IF('Entry Builder'!$N$12=0,1,IF('Entry Builder'!$D$12="Less",--(INDEX(Sims!$A630:$BO630,'Entry Builder'!$L$12)&lt;'Entry Builder'!$E$12),--(INDEX(Sims!$A630:$BO630,'Entry Builder'!$L$12)&gt;'Entry Builder'!$E$12)))</f>
        <v/>
      </c>
      <c r="G630">
        <f>6-SUM(A630:F630)</f>
        <v/>
      </c>
    </row>
    <row r="631">
      <c r="A631">
        <f>IF('Entry Builder'!$N$7=0,1,IF('Entry Builder'!$D$7="Less",--(INDEX(Sims!$A631:$BO631,'Entry Builder'!$L$7)&lt;'Entry Builder'!$E$7),--(INDEX(Sims!$A631:$BO631,'Entry Builder'!$L$7)&gt;'Entry Builder'!$E$7)))</f>
        <v/>
      </c>
      <c r="B631">
        <f>IF('Entry Builder'!$N$8=0,1,IF('Entry Builder'!$D$8="Less",--(INDEX(Sims!$A631:$BO631,'Entry Builder'!$L$8)&lt;'Entry Builder'!$E$8),--(INDEX(Sims!$A631:$BO631,'Entry Builder'!$L$8)&gt;'Entry Builder'!$E$8)))</f>
        <v/>
      </c>
      <c r="C631">
        <f>IF('Entry Builder'!$N$9=0,1,IF('Entry Builder'!$D$9="Less",--(INDEX(Sims!$A631:$BO631,'Entry Builder'!$L$9)&lt;'Entry Builder'!$E$9),--(INDEX(Sims!$A631:$BO631,'Entry Builder'!$L$9)&gt;'Entry Builder'!$E$9)))</f>
        <v/>
      </c>
      <c r="D631">
        <f>IF('Entry Builder'!$N$10=0,1,IF('Entry Builder'!$D$10="Less",--(INDEX(Sims!$A631:$BO631,'Entry Builder'!$L$10)&lt;'Entry Builder'!$E$10),--(INDEX(Sims!$A631:$BO631,'Entry Builder'!$L$10)&gt;'Entry Builder'!$E$10)))</f>
        <v/>
      </c>
      <c r="E631">
        <f>IF('Entry Builder'!$N$11=0,1,IF('Entry Builder'!$D$11="Less",--(INDEX(Sims!$A631:$BO631,'Entry Builder'!$L$11)&lt;'Entry Builder'!$E$11),--(INDEX(Sims!$A631:$BO631,'Entry Builder'!$L$11)&gt;'Entry Builder'!$E$11)))</f>
        <v/>
      </c>
      <c r="F631">
        <f>IF('Entry Builder'!$N$12=0,1,IF('Entry Builder'!$D$12="Less",--(INDEX(Sims!$A631:$BO631,'Entry Builder'!$L$12)&lt;'Entry Builder'!$E$12),--(INDEX(Sims!$A631:$BO631,'Entry Builder'!$L$12)&gt;'Entry Builder'!$E$12)))</f>
        <v/>
      </c>
      <c r="G631">
        <f>6-SUM(A631:F631)</f>
        <v/>
      </c>
    </row>
    <row r="632">
      <c r="A632">
        <f>IF('Entry Builder'!$N$7=0,1,IF('Entry Builder'!$D$7="Less",--(INDEX(Sims!$A632:$BO632,'Entry Builder'!$L$7)&lt;'Entry Builder'!$E$7),--(INDEX(Sims!$A632:$BO632,'Entry Builder'!$L$7)&gt;'Entry Builder'!$E$7)))</f>
        <v/>
      </c>
      <c r="B632">
        <f>IF('Entry Builder'!$N$8=0,1,IF('Entry Builder'!$D$8="Less",--(INDEX(Sims!$A632:$BO632,'Entry Builder'!$L$8)&lt;'Entry Builder'!$E$8),--(INDEX(Sims!$A632:$BO632,'Entry Builder'!$L$8)&gt;'Entry Builder'!$E$8)))</f>
        <v/>
      </c>
      <c r="C632">
        <f>IF('Entry Builder'!$N$9=0,1,IF('Entry Builder'!$D$9="Less",--(INDEX(Sims!$A632:$BO632,'Entry Builder'!$L$9)&lt;'Entry Builder'!$E$9),--(INDEX(Sims!$A632:$BO632,'Entry Builder'!$L$9)&gt;'Entry Builder'!$E$9)))</f>
        <v/>
      </c>
      <c r="D632">
        <f>IF('Entry Builder'!$N$10=0,1,IF('Entry Builder'!$D$10="Less",--(INDEX(Sims!$A632:$BO632,'Entry Builder'!$L$10)&lt;'Entry Builder'!$E$10),--(INDEX(Sims!$A632:$BO632,'Entry Builder'!$L$10)&gt;'Entry Builder'!$E$10)))</f>
        <v/>
      </c>
      <c r="E632">
        <f>IF('Entry Builder'!$N$11=0,1,IF('Entry Builder'!$D$11="Less",--(INDEX(Sims!$A632:$BO632,'Entry Builder'!$L$11)&lt;'Entry Builder'!$E$11),--(INDEX(Sims!$A632:$BO632,'Entry Builder'!$L$11)&gt;'Entry Builder'!$E$11)))</f>
        <v/>
      </c>
      <c r="F632">
        <f>IF('Entry Builder'!$N$12=0,1,IF('Entry Builder'!$D$12="Less",--(INDEX(Sims!$A632:$BO632,'Entry Builder'!$L$12)&lt;'Entry Builder'!$E$12),--(INDEX(Sims!$A632:$BO632,'Entry Builder'!$L$12)&gt;'Entry Builder'!$E$12)))</f>
        <v/>
      </c>
      <c r="G632">
        <f>6-SUM(A632:F632)</f>
        <v/>
      </c>
    </row>
    <row r="633">
      <c r="A633">
        <f>IF('Entry Builder'!$N$7=0,1,IF('Entry Builder'!$D$7="Less",--(INDEX(Sims!$A633:$BO633,'Entry Builder'!$L$7)&lt;'Entry Builder'!$E$7),--(INDEX(Sims!$A633:$BO633,'Entry Builder'!$L$7)&gt;'Entry Builder'!$E$7)))</f>
        <v/>
      </c>
      <c r="B633">
        <f>IF('Entry Builder'!$N$8=0,1,IF('Entry Builder'!$D$8="Less",--(INDEX(Sims!$A633:$BO633,'Entry Builder'!$L$8)&lt;'Entry Builder'!$E$8),--(INDEX(Sims!$A633:$BO633,'Entry Builder'!$L$8)&gt;'Entry Builder'!$E$8)))</f>
        <v/>
      </c>
      <c r="C633">
        <f>IF('Entry Builder'!$N$9=0,1,IF('Entry Builder'!$D$9="Less",--(INDEX(Sims!$A633:$BO633,'Entry Builder'!$L$9)&lt;'Entry Builder'!$E$9),--(INDEX(Sims!$A633:$BO633,'Entry Builder'!$L$9)&gt;'Entry Builder'!$E$9)))</f>
        <v/>
      </c>
      <c r="D633">
        <f>IF('Entry Builder'!$N$10=0,1,IF('Entry Builder'!$D$10="Less",--(INDEX(Sims!$A633:$BO633,'Entry Builder'!$L$10)&lt;'Entry Builder'!$E$10),--(INDEX(Sims!$A633:$BO633,'Entry Builder'!$L$10)&gt;'Entry Builder'!$E$10)))</f>
        <v/>
      </c>
      <c r="E633">
        <f>IF('Entry Builder'!$N$11=0,1,IF('Entry Builder'!$D$11="Less",--(INDEX(Sims!$A633:$BO633,'Entry Builder'!$L$11)&lt;'Entry Builder'!$E$11),--(INDEX(Sims!$A633:$BO633,'Entry Builder'!$L$11)&gt;'Entry Builder'!$E$11)))</f>
        <v/>
      </c>
      <c r="F633">
        <f>IF('Entry Builder'!$N$12=0,1,IF('Entry Builder'!$D$12="Less",--(INDEX(Sims!$A633:$BO633,'Entry Builder'!$L$12)&lt;'Entry Builder'!$E$12),--(INDEX(Sims!$A633:$BO633,'Entry Builder'!$L$12)&gt;'Entry Builder'!$E$12)))</f>
        <v/>
      </c>
      <c r="G633">
        <f>6-SUM(A633:F633)</f>
        <v/>
      </c>
    </row>
    <row r="634">
      <c r="A634">
        <f>IF('Entry Builder'!$N$7=0,1,IF('Entry Builder'!$D$7="Less",--(INDEX(Sims!$A634:$BO634,'Entry Builder'!$L$7)&lt;'Entry Builder'!$E$7),--(INDEX(Sims!$A634:$BO634,'Entry Builder'!$L$7)&gt;'Entry Builder'!$E$7)))</f>
        <v/>
      </c>
      <c r="B634">
        <f>IF('Entry Builder'!$N$8=0,1,IF('Entry Builder'!$D$8="Less",--(INDEX(Sims!$A634:$BO634,'Entry Builder'!$L$8)&lt;'Entry Builder'!$E$8),--(INDEX(Sims!$A634:$BO634,'Entry Builder'!$L$8)&gt;'Entry Builder'!$E$8)))</f>
        <v/>
      </c>
      <c r="C634">
        <f>IF('Entry Builder'!$N$9=0,1,IF('Entry Builder'!$D$9="Less",--(INDEX(Sims!$A634:$BO634,'Entry Builder'!$L$9)&lt;'Entry Builder'!$E$9),--(INDEX(Sims!$A634:$BO634,'Entry Builder'!$L$9)&gt;'Entry Builder'!$E$9)))</f>
        <v/>
      </c>
      <c r="D634">
        <f>IF('Entry Builder'!$N$10=0,1,IF('Entry Builder'!$D$10="Less",--(INDEX(Sims!$A634:$BO634,'Entry Builder'!$L$10)&lt;'Entry Builder'!$E$10),--(INDEX(Sims!$A634:$BO634,'Entry Builder'!$L$10)&gt;'Entry Builder'!$E$10)))</f>
        <v/>
      </c>
      <c r="E634">
        <f>IF('Entry Builder'!$N$11=0,1,IF('Entry Builder'!$D$11="Less",--(INDEX(Sims!$A634:$BO634,'Entry Builder'!$L$11)&lt;'Entry Builder'!$E$11),--(INDEX(Sims!$A634:$BO634,'Entry Builder'!$L$11)&gt;'Entry Builder'!$E$11)))</f>
        <v/>
      </c>
      <c r="F634">
        <f>IF('Entry Builder'!$N$12=0,1,IF('Entry Builder'!$D$12="Less",--(INDEX(Sims!$A634:$BO634,'Entry Builder'!$L$12)&lt;'Entry Builder'!$E$12),--(INDEX(Sims!$A634:$BO634,'Entry Builder'!$L$12)&gt;'Entry Builder'!$E$12)))</f>
        <v/>
      </c>
      <c r="G634">
        <f>6-SUM(A634:F634)</f>
        <v/>
      </c>
    </row>
    <row r="635">
      <c r="A635">
        <f>IF('Entry Builder'!$N$7=0,1,IF('Entry Builder'!$D$7="Less",--(INDEX(Sims!$A635:$BO635,'Entry Builder'!$L$7)&lt;'Entry Builder'!$E$7),--(INDEX(Sims!$A635:$BO635,'Entry Builder'!$L$7)&gt;'Entry Builder'!$E$7)))</f>
        <v/>
      </c>
      <c r="B635">
        <f>IF('Entry Builder'!$N$8=0,1,IF('Entry Builder'!$D$8="Less",--(INDEX(Sims!$A635:$BO635,'Entry Builder'!$L$8)&lt;'Entry Builder'!$E$8),--(INDEX(Sims!$A635:$BO635,'Entry Builder'!$L$8)&gt;'Entry Builder'!$E$8)))</f>
        <v/>
      </c>
      <c r="C635">
        <f>IF('Entry Builder'!$N$9=0,1,IF('Entry Builder'!$D$9="Less",--(INDEX(Sims!$A635:$BO635,'Entry Builder'!$L$9)&lt;'Entry Builder'!$E$9),--(INDEX(Sims!$A635:$BO635,'Entry Builder'!$L$9)&gt;'Entry Builder'!$E$9)))</f>
        <v/>
      </c>
      <c r="D635">
        <f>IF('Entry Builder'!$N$10=0,1,IF('Entry Builder'!$D$10="Less",--(INDEX(Sims!$A635:$BO635,'Entry Builder'!$L$10)&lt;'Entry Builder'!$E$10),--(INDEX(Sims!$A635:$BO635,'Entry Builder'!$L$10)&gt;'Entry Builder'!$E$10)))</f>
        <v/>
      </c>
      <c r="E635">
        <f>IF('Entry Builder'!$N$11=0,1,IF('Entry Builder'!$D$11="Less",--(INDEX(Sims!$A635:$BO635,'Entry Builder'!$L$11)&lt;'Entry Builder'!$E$11),--(INDEX(Sims!$A635:$BO635,'Entry Builder'!$L$11)&gt;'Entry Builder'!$E$11)))</f>
        <v/>
      </c>
      <c r="F635">
        <f>IF('Entry Builder'!$N$12=0,1,IF('Entry Builder'!$D$12="Less",--(INDEX(Sims!$A635:$BO635,'Entry Builder'!$L$12)&lt;'Entry Builder'!$E$12),--(INDEX(Sims!$A635:$BO635,'Entry Builder'!$L$12)&gt;'Entry Builder'!$E$12)))</f>
        <v/>
      </c>
      <c r="G635">
        <f>6-SUM(A635:F635)</f>
        <v/>
      </c>
    </row>
    <row r="636">
      <c r="A636">
        <f>IF('Entry Builder'!$N$7=0,1,IF('Entry Builder'!$D$7="Less",--(INDEX(Sims!$A636:$BO636,'Entry Builder'!$L$7)&lt;'Entry Builder'!$E$7),--(INDEX(Sims!$A636:$BO636,'Entry Builder'!$L$7)&gt;'Entry Builder'!$E$7)))</f>
        <v/>
      </c>
      <c r="B636">
        <f>IF('Entry Builder'!$N$8=0,1,IF('Entry Builder'!$D$8="Less",--(INDEX(Sims!$A636:$BO636,'Entry Builder'!$L$8)&lt;'Entry Builder'!$E$8),--(INDEX(Sims!$A636:$BO636,'Entry Builder'!$L$8)&gt;'Entry Builder'!$E$8)))</f>
        <v/>
      </c>
      <c r="C636">
        <f>IF('Entry Builder'!$N$9=0,1,IF('Entry Builder'!$D$9="Less",--(INDEX(Sims!$A636:$BO636,'Entry Builder'!$L$9)&lt;'Entry Builder'!$E$9),--(INDEX(Sims!$A636:$BO636,'Entry Builder'!$L$9)&gt;'Entry Builder'!$E$9)))</f>
        <v/>
      </c>
      <c r="D636">
        <f>IF('Entry Builder'!$N$10=0,1,IF('Entry Builder'!$D$10="Less",--(INDEX(Sims!$A636:$BO636,'Entry Builder'!$L$10)&lt;'Entry Builder'!$E$10),--(INDEX(Sims!$A636:$BO636,'Entry Builder'!$L$10)&gt;'Entry Builder'!$E$10)))</f>
        <v/>
      </c>
      <c r="E636">
        <f>IF('Entry Builder'!$N$11=0,1,IF('Entry Builder'!$D$11="Less",--(INDEX(Sims!$A636:$BO636,'Entry Builder'!$L$11)&lt;'Entry Builder'!$E$11),--(INDEX(Sims!$A636:$BO636,'Entry Builder'!$L$11)&gt;'Entry Builder'!$E$11)))</f>
        <v/>
      </c>
      <c r="F636">
        <f>IF('Entry Builder'!$N$12=0,1,IF('Entry Builder'!$D$12="Less",--(INDEX(Sims!$A636:$BO636,'Entry Builder'!$L$12)&lt;'Entry Builder'!$E$12),--(INDEX(Sims!$A636:$BO636,'Entry Builder'!$L$12)&gt;'Entry Builder'!$E$12)))</f>
        <v/>
      </c>
      <c r="G636">
        <f>6-SUM(A636:F636)</f>
        <v/>
      </c>
    </row>
    <row r="637">
      <c r="A637">
        <f>IF('Entry Builder'!$N$7=0,1,IF('Entry Builder'!$D$7="Less",--(INDEX(Sims!$A637:$BO637,'Entry Builder'!$L$7)&lt;'Entry Builder'!$E$7),--(INDEX(Sims!$A637:$BO637,'Entry Builder'!$L$7)&gt;'Entry Builder'!$E$7)))</f>
        <v/>
      </c>
      <c r="B637">
        <f>IF('Entry Builder'!$N$8=0,1,IF('Entry Builder'!$D$8="Less",--(INDEX(Sims!$A637:$BO637,'Entry Builder'!$L$8)&lt;'Entry Builder'!$E$8),--(INDEX(Sims!$A637:$BO637,'Entry Builder'!$L$8)&gt;'Entry Builder'!$E$8)))</f>
        <v/>
      </c>
      <c r="C637">
        <f>IF('Entry Builder'!$N$9=0,1,IF('Entry Builder'!$D$9="Less",--(INDEX(Sims!$A637:$BO637,'Entry Builder'!$L$9)&lt;'Entry Builder'!$E$9),--(INDEX(Sims!$A637:$BO637,'Entry Builder'!$L$9)&gt;'Entry Builder'!$E$9)))</f>
        <v/>
      </c>
      <c r="D637">
        <f>IF('Entry Builder'!$N$10=0,1,IF('Entry Builder'!$D$10="Less",--(INDEX(Sims!$A637:$BO637,'Entry Builder'!$L$10)&lt;'Entry Builder'!$E$10),--(INDEX(Sims!$A637:$BO637,'Entry Builder'!$L$10)&gt;'Entry Builder'!$E$10)))</f>
        <v/>
      </c>
      <c r="E637">
        <f>IF('Entry Builder'!$N$11=0,1,IF('Entry Builder'!$D$11="Less",--(INDEX(Sims!$A637:$BO637,'Entry Builder'!$L$11)&lt;'Entry Builder'!$E$11),--(INDEX(Sims!$A637:$BO637,'Entry Builder'!$L$11)&gt;'Entry Builder'!$E$11)))</f>
        <v/>
      </c>
      <c r="F637">
        <f>IF('Entry Builder'!$N$12=0,1,IF('Entry Builder'!$D$12="Less",--(INDEX(Sims!$A637:$BO637,'Entry Builder'!$L$12)&lt;'Entry Builder'!$E$12),--(INDEX(Sims!$A637:$BO637,'Entry Builder'!$L$12)&gt;'Entry Builder'!$E$12)))</f>
        <v/>
      </c>
      <c r="G637">
        <f>6-SUM(A637:F637)</f>
        <v/>
      </c>
    </row>
    <row r="638">
      <c r="A638">
        <f>IF('Entry Builder'!$N$7=0,1,IF('Entry Builder'!$D$7="Less",--(INDEX(Sims!$A638:$BO638,'Entry Builder'!$L$7)&lt;'Entry Builder'!$E$7),--(INDEX(Sims!$A638:$BO638,'Entry Builder'!$L$7)&gt;'Entry Builder'!$E$7)))</f>
        <v/>
      </c>
      <c r="B638">
        <f>IF('Entry Builder'!$N$8=0,1,IF('Entry Builder'!$D$8="Less",--(INDEX(Sims!$A638:$BO638,'Entry Builder'!$L$8)&lt;'Entry Builder'!$E$8),--(INDEX(Sims!$A638:$BO638,'Entry Builder'!$L$8)&gt;'Entry Builder'!$E$8)))</f>
        <v/>
      </c>
      <c r="C638">
        <f>IF('Entry Builder'!$N$9=0,1,IF('Entry Builder'!$D$9="Less",--(INDEX(Sims!$A638:$BO638,'Entry Builder'!$L$9)&lt;'Entry Builder'!$E$9),--(INDEX(Sims!$A638:$BO638,'Entry Builder'!$L$9)&gt;'Entry Builder'!$E$9)))</f>
        <v/>
      </c>
      <c r="D638">
        <f>IF('Entry Builder'!$N$10=0,1,IF('Entry Builder'!$D$10="Less",--(INDEX(Sims!$A638:$BO638,'Entry Builder'!$L$10)&lt;'Entry Builder'!$E$10),--(INDEX(Sims!$A638:$BO638,'Entry Builder'!$L$10)&gt;'Entry Builder'!$E$10)))</f>
        <v/>
      </c>
      <c r="E638">
        <f>IF('Entry Builder'!$N$11=0,1,IF('Entry Builder'!$D$11="Less",--(INDEX(Sims!$A638:$BO638,'Entry Builder'!$L$11)&lt;'Entry Builder'!$E$11),--(INDEX(Sims!$A638:$BO638,'Entry Builder'!$L$11)&gt;'Entry Builder'!$E$11)))</f>
        <v/>
      </c>
      <c r="F638">
        <f>IF('Entry Builder'!$N$12=0,1,IF('Entry Builder'!$D$12="Less",--(INDEX(Sims!$A638:$BO638,'Entry Builder'!$L$12)&lt;'Entry Builder'!$E$12),--(INDEX(Sims!$A638:$BO638,'Entry Builder'!$L$12)&gt;'Entry Builder'!$E$12)))</f>
        <v/>
      </c>
      <c r="G638">
        <f>6-SUM(A638:F638)</f>
        <v/>
      </c>
    </row>
    <row r="639">
      <c r="A639">
        <f>IF('Entry Builder'!$N$7=0,1,IF('Entry Builder'!$D$7="Less",--(INDEX(Sims!$A639:$BO639,'Entry Builder'!$L$7)&lt;'Entry Builder'!$E$7),--(INDEX(Sims!$A639:$BO639,'Entry Builder'!$L$7)&gt;'Entry Builder'!$E$7)))</f>
        <v/>
      </c>
      <c r="B639">
        <f>IF('Entry Builder'!$N$8=0,1,IF('Entry Builder'!$D$8="Less",--(INDEX(Sims!$A639:$BO639,'Entry Builder'!$L$8)&lt;'Entry Builder'!$E$8),--(INDEX(Sims!$A639:$BO639,'Entry Builder'!$L$8)&gt;'Entry Builder'!$E$8)))</f>
        <v/>
      </c>
      <c r="C639">
        <f>IF('Entry Builder'!$N$9=0,1,IF('Entry Builder'!$D$9="Less",--(INDEX(Sims!$A639:$BO639,'Entry Builder'!$L$9)&lt;'Entry Builder'!$E$9),--(INDEX(Sims!$A639:$BO639,'Entry Builder'!$L$9)&gt;'Entry Builder'!$E$9)))</f>
        <v/>
      </c>
      <c r="D639">
        <f>IF('Entry Builder'!$N$10=0,1,IF('Entry Builder'!$D$10="Less",--(INDEX(Sims!$A639:$BO639,'Entry Builder'!$L$10)&lt;'Entry Builder'!$E$10),--(INDEX(Sims!$A639:$BO639,'Entry Builder'!$L$10)&gt;'Entry Builder'!$E$10)))</f>
        <v/>
      </c>
      <c r="E639">
        <f>IF('Entry Builder'!$N$11=0,1,IF('Entry Builder'!$D$11="Less",--(INDEX(Sims!$A639:$BO639,'Entry Builder'!$L$11)&lt;'Entry Builder'!$E$11),--(INDEX(Sims!$A639:$BO639,'Entry Builder'!$L$11)&gt;'Entry Builder'!$E$11)))</f>
        <v/>
      </c>
      <c r="F639">
        <f>IF('Entry Builder'!$N$12=0,1,IF('Entry Builder'!$D$12="Less",--(INDEX(Sims!$A639:$BO639,'Entry Builder'!$L$12)&lt;'Entry Builder'!$E$12),--(INDEX(Sims!$A639:$BO639,'Entry Builder'!$L$12)&gt;'Entry Builder'!$E$12)))</f>
        <v/>
      </c>
      <c r="G639">
        <f>6-SUM(A639:F639)</f>
        <v/>
      </c>
    </row>
    <row r="640">
      <c r="A640">
        <f>IF('Entry Builder'!$N$7=0,1,IF('Entry Builder'!$D$7="Less",--(INDEX(Sims!$A640:$BO640,'Entry Builder'!$L$7)&lt;'Entry Builder'!$E$7),--(INDEX(Sims!$A640:$BO640,'Entry Builder'!$L$7)&gt;'Entry Builder'!$E$7)))</f>
        <v/>
      </c>
      <c r="B640">
        <f>IF('Entry Builder'!$N$8=0,1,IF('Entry Builder'!$D$8="Less",--(INDEX(Sims!$A640:$BO640,'Entry Builder'!$L$8)&lt;'Entry Builder'!$E$8),--(INDEX(Sims!$A640:$BO640,'Entry Builder'!$L$8)&gt;'Entry Builder'!$E$8)))</f>
        <v/>
      </c>
      <c r="C640">
        <f>IF('Entry Builder'!$N$9=0,1,IF('Entry Builder'!$D$9="Less",--(INDEX(Sims!$A640:$BO640,'Entry Builder'!$L$9)&lt;'Entry Builder'!$E$9),--(INDEX(Sims!$A640:$BO640,'Entry Builder'!$L$9)&gt;'Entry Builder'!$E$9)))</f>
        <v/>
      </c>
      <c r="D640">
        <f>IF('Entry Builder'!$N$10=0,1,IF('Entry Builder'!$D$10="Less",--(INDEX(Sims!$A640:$BO640,'Entry Builder'!$L$10)&lt;'Entry Builder'!$E$10),--(INDEX(Sims!$A640:$BO640,'Entry Builder'!$L$10)&gt;'Entry Builder'!$E$10)))</f>
        <v/>
      </c>
      <c r="E640">
        <f>IF('Entry Builder'!$N$11=0,1,IF('Entry Builder'!$D$11="Less",--(INDEX(Sims!$A640:$BO640,'Entry Builder'!$L$11)&lt;'Entry Builder'!$E$11),--(INDEX(Sims!$A640:$BO640,'Entry Builder'!$L$11)&gt;'Entry Builder'!$E$11)))</f>
        <v/>
      </c>
      <c r="F640">
        <f>IF('Entry Builder'!$N$12=0,1,IF('Entry Builder'!$D$12="Less",--(INDEX(Sims!$A640:$BO640,'Entry Builder'!$L$12)&lt;'Entry Builder'!$E$12),--(INDEX(Sims!$A640:$BO640,'Entry Builder'!$L$12)&gt;'Entry Builder'!$E$12)))</f>
        <v/>
      </c>
      <c r="G640">
        <f>6-SUM(A640:F640)</f>
        <v/>
      </c>
    </row>
    <row r="641">
      <c r="A641">
        <f>IF('Entry Builder'!$N$7=0,1,IF('Entry Builder'!$D$7="Less",--(INDEX(Sims!$A641:$BO641,'Entry Builder'!$L$7)&lt;'Entry Builder'!$E$7),--(INDEX(Sims!$A641:$BO641,'Entry Builder'!$L$7)&gt;'Entry Builder'!$E$7)))</f>
        <v/>
      </c>
      <c r="B641">
        <f>IF('Entry Builder'!$N$8=0,1,IF('Entry Builder'!$D$8="Less",--(INDEX(Sims!$A641:$BO641,'Entry Builder'!$L$8)&lt;'Entry Builder'!$E$8),--(INDEX(Sims!$A641:$BO641,'Entry Builder'!$L$8)&gt;'Entry Builder'!$E$8)))</f>
        <v/>
      </c>
      <c r="C641">
        <f>IF('Entry Builder'!$N$9=0,1,IF('Entry Builder'!$D$9="Less",--(INDEX(Sims!$A641:$BO641,'Entry Builder'!$L$9)&lt;'Entry Builder'!$E$9),--(INDEX(Sims!$A641:$BO641,'Entry Builder'!$L$9)&gt;'Entry Builder'!$E$9)))</f>
        <v/>
      </c>
      <c r="D641">
        <f>IF('Entry Builder'!$N$10=0,1,IF('Entry Builder'!$D$10="Less",--(INDEX(Sims!$A641:$BO641,'Entry Builder'!$L$10)&lt;'Entry Builder'!$E$10),--(INDEX(Sims!$A641:$BO641,'Entry Builder'!$L$10)&gt;'Entry Builder'!$E$10)))</f>
        <v/>
      </c>
      <c r="E641">
        <f>IF('Entry Builder'!$N$11=0,1,IF('Entry Builder'!$D$11="Less",--(INDEX(Sims!$A641:$BO641,'Entry Builder'!$L$11)&lt;'Entry Builder'!$E$11),--(INDEX(Sims!$A641:$BO641,'Entry Builder'!$L$11)&gt;'Entry Builder'!$E$11)))</f>
        <v/>
      </c>
      <c r="F641">
        <f>IF('Entry Builder'!$N$12=0,1,IF('Entry Builder'!$D$12="Less",--(INDEX(Sims!$A641:$BO641,'Entry Builder'!$L$12)&lt;'Entry Builder'!$E$12),--(INDEX(Sims!$A641:$BO641,'Entry Builder'!$L$12)&gt;'Entry Builder'!$E$12)))</f>
        <v/>
      </c>
      <c r="G641">
        <f>6-SUM(A641:F641)</f>
        <v/>
      </c>
    </row>
    <row r="642">
      <c r="A642">
        <f>IF('Entry Builder'!$N$7=0,1,IF('Entry Builder'!$D$7="Less",--(INDEX(Sims!$A642:$BO642,'Entry Builder'!$L$7)&lt;'Entry Builder'!$E$7),--(INDEX(Sims!$A642:$BO642,'Entry Builder'!$L$7)&gt;'Entry Builder'!$E$7)))</f>
        <v/>
      </c>
      <c r="B642">
        <f>IF('Entry Builder'!$N$8=0,1,IF('Entry Builder'!$D$8="Less",--(INDEX(Sims!$A642:$BO642,'Entry Builder'!$L$8)&lt;'Entry Builder'!$E$8),--(INDEX(Sims!$A642:$BO642,'Entry Builder'!$L$8)&gt;'Entry Builder'!$E$8)))</f>
        <v/>
      </c>
      <c r="C642">
        <f>IF('Entry Builder'!$N$9=0,1,IF('Entry Builder'!$D$9="Less",--(INDEX(Sims!$A642:$BO642,'Entry Builder'!$L$9)&lt;'Entry Builder'!$E$9),--(INDEX(Sims!$A642:$BO642,'Entry Builder'!$L$9)&gt;'Entry Builder'!$E$9)))</f>
        <v/>
      </c>
      <c r="D642">
        <f>IF('Entry Builder'!$N$10=0,1,IF('Entry Builder'!$D$10="Less",--(INDEX(Sims!$A642:$BO642,'Entry Builder'!$L$10)&lt;'Entry Builder'!$E$10),--(INDEX(Sims!$A642:$BO642,'Entry Builder'!$L$10)&gt;'Entry Builder'!$E$10)))</f>
        <v/>
      </c>
      <c r="E642">
        <f>IF('Entry Builder'!$N$11=0,1,IF('Entry Builder'!$D$11="Less",--(INDEX(Sims!$A642:$BO642,'Entry Builder'!$L$11)&lt;'Entry Builder'!$E$11),--(INDEX(Sims!$A642:$BO642,'Entry Builder'!$L$11)&gt;'Entry Builder'!$E$11)))</f>
        <v/>
      </c>
      <c r="F642">
        <f>IF('Entry Builder'!$N$12=0,1,IF('Entry Builder'!$D$12="Less",--(INDEX(Sims!$A642:$BO642,'Entry Builder'!$L$12)&lt;'Entry Builder'!$E$12),--(INDEX(Sims!$A642:$BO642,'Entry Builder'!$L$12)&gt;'Entry Builder'!$E$12)))</f>
        <v/>
      </c>
      <c r="G642">
        <f>6-SUM(A642:F642)</f>
        <v/>
      </c>
    </row>
    <row r="643">
      <c r="A643">
        <f>IF('Entry Builder'!$N$7=0,1,IF('Entry Builder'!$D$7="Less",--(INDEX(Sims!$A643:$BO643,'Entry Builder'!$L$7)&lt;'Entry Builder'!$E$7),--(INDEX(Sims!$A643:$BO643,'Entry Builder'!$L$7)&gt;'Entry Builder'!$E$7)))</f>
        <v/>
      </c>
      <c r="B643">
        <f>IF('Entry Builder'!$N$8=0,1,IF('Entry Builder'!$D$8="Less",--(INDEX(Sims!$A643:$BO643,'Entry Builder'!$L$8)&lt;'Entry Builder'!$E$8),--(INDEX(Sims!$A643:$BO643,'Entry Builder'!$L$8)&gt;'Entry Builder'!$E$8)))</f>
        <v/>
      </c>
      <c r="C643">
        <f>IF('Entry Builder'!$N$9=0,1,IF('Entry Builder'!$D$9="Less",--(INDEX(Sims!$A643:$BO643,'Entry Builder'!$L$9)&lt;'Entry Builder'!$E$9),--(INDEX(Sims!$A643:$BO643,'Entry Builder'!$L$9)&gt;'Entry Builder'!$E$9)))</f>
        <v/>
      </c>
      <c r="D643">
        <f>IF('Entry Builder'!$N$10=0,1,IF('Entry Builder'!$D$10="Less",--(INDEX(Sims!$A643:$BO643,'Entry Builder'!$L$10)&lt;'Entry Builder'!$E$10),--(INDEX(Sims!$A643:$BO643,'Entry Builder'!$L$10)&gt;'Entry Builder'!$E$10)))</f>
        <v/>
      </c>
      <c r="E643">
        <f>IF('Entry Builder'!$N$11=0,1,IF('Entry Builder'!$D$11="Less",--(INDEX(Sims!$A643:$BO643,'Entry Builder'!$L$11)&lt;'Entry Builder'!$E$11),--(INDEX(Sims!$A643:$BO643,'Entry Builder'!$L$11)&gt;'Entry Builder'!$E$11)))</f>
        <v/>
      </c>
      <c r="F643">
        <f>IF('Entry Builder'!$N$12=0,1,IF('Entry Builder'!$D$12="Less",--(INDEX(Sims!$A643:$BO643,'Entry Builder'!$L$12)&lt;'Entry Builder'!$E$12),--(INDEX(Sims!$A643:$BO643,'Entry Builder'!$L$12)&gt;'Entry Builder'!$E$12)))</f>
        <v/>
      </c>
      <c r="G643">
        <f>6-SUM(A643:F643)</f>
        <v/>
      </c>
    </row>
    <row r="644">
      <c r="A644">
        <f>IF('Entry Builder'!$N$7=0,1,IF('Entry Builder'!$D$7="Less",--(INDEX(Sims!$A644:$BO644,'Entry Builder'!$L$7)&lt;'Entry Builder'!$E$7),--(INDEX(Sims!$A644:$BO644,'Entry Builder'!$L$7)&gt;'Entry Builder'!$E$7)))</f>
        <v/>
      </c>
      <c r="B644">
        <f>IF('Entry Builder'!$N$8=0,1,IF('Entry Builder'!$D$8="Less",--(INDEX(Sims!$A644:$BO644,'Entry Builder'!$L$8)&lt;'Entry Builder'!$E$8),--(INDEX(Sims!$A644:$BO644,'Entry Builder'!$L$8)&gt;'Entry Builder'!$E$8)))</f>
        <v/>
      </c>
      <c r="C644">
        <f>IF('Entry Builder'!$N$9=0,1,IF('Entry Builder'!$D$9="Less",--(INDEX(Sims!$A644:$BO644,'Entry Builder'!$L$9)&lt;'Entry Builder'!$E$9),--(INDEX(Sims!$A644:$BO644,'Entry Builder'!$L$9)&gt;'Entry Builder'!$E$9)))</f>
        <v/>
      </c>
      <c r="D644">
        <f>IF('Entry Builder'!$N$10=0,1,IF('Entry Builder'!$D$10="Less",--(INDEX(Sims!$A644:$BO644,'Entry Builder'!$L$10)&lt;'Entry Builder'!$E$10),--(INDEX(Sims!$A644:$BO644,'Entry Builder'!$L$10)&gt;'Entry Builder'!$E$10)))</f>
        <v/>
      </c>
      <c r="E644">
        <f>IF('Entry Builder'!$N$11=0,1,IF('Entry Builder'!$D$11="Less",--(INDEX(Sims!$A644:$BO644,'Entry Builder'!$L$11)&lt;'Entry Builder'!$E$11),--(INDEX(Sims!$A644:$BO644,'Entry Builder'!$L$11)&gt;'Entry Builder'!$E$11)))</f>
        <v/>
      </c>
      <c r="F644">
        <f>IF('Entry Builder'!$N$12=0,1,IF('Entry Builder'!$D$12="Less",--(INDEX(Sims!$A644:$BO644,'Entry Builder'!$L$12)&lt;'Entry Builder'!$E$12),--(INDEX(Sims!$A644:$BO644,'Entry Builder'!$L$12)&gt;'Entry Builder'!$E$12)))</f>
        <v/>
      </c>
      <c r="G644">
        <f>6-SUM(A644:F644)</f>
        <v/>
      </c>
    </row>
    <row r="645">
      <c r="A645">
        <f>IF('Entry Builder'!$N$7=0,1,IF('Entry Builder'!$D$7="Less",--(INDEX(Sims!$A645:$BO645,'Entry Builder'!$L$7)&lt;'Entry Builder'!$E$7),--(INDEX(Sims!$A645:$BO645,'Entry Builder'!$L$7)&gt;'Entry Builder'!$E$7)))</f>
        <v/>
      </c>
      <c r="B645">
        <f>IF('Entry Builder'!$N$8=0,1,IF('Entry Builder'!$D$8="Less",--(INDEX(Sims!$A645:$BO645,'Entry Builder'!$L$8)&lt;'Entry Builder'!$E$8),--(INDEX(Sims!$A645:$BO645,'Entry Builder'!$L$8)&gt;'Entry Builder'!$E$8)))</f>
        <v/>
      </c>
      <c r="C645">
        <f>IF('Entry Builder'!$N$9=0,1,IF('Entry Builder'!$D$9="Less",--(INDEX(Sims!$A645:$BO645,'Entry Builder'!$L$9)&lt;'Entry Builder'!$E$9),--(INDEX(Sims!$A645:$BO645,'Entry Builder'!$L$9)&gt;'Entry Builder'!$E$9)))</f>
        <v/>
      </c>
      <c r="D645">
        <f>IF('Entry Builder'!$N$10=0,1,IF('Entry Builder'!$D$10="Less",--(INDEX(Sims!$A645:$BO645,'Entry Builder'!$L$10)&lt;'Entry Builder'!$E$10),--(INDEX(Sims!$A645:$BO645,'Entry Builder'!$L$10)&gt;'Entry Builder'!$E$10)))</f>
        <v/>
      </c>
      <c r="E645">
        <f>IF('Entry Builder'!$N$11=0,1,IF('Entry Builder'!$D$11="Less",--(INDEX(Sims!$A645:$BO645,'Entry Builder'!$L$11)&lt;'Entry Builder'!$E$11),--(INDEX(Sims!$A645:$BO645,'Entry Builder'!$L$11)&gt;'Entry Builder'!$E$11)))</f>
        <v/>
      </c>
      <c r="F645">
        <f>IF('Entry Builder'!$N$12=0,1,IF('Entry Builder'!$D$12="Less",--(INDEX(Sims!$A645:$BO645,'Entry Builder'!$L$12)&lt;'Entry Builder'!$E$12),--(INDEX(Sims!$A645:$BO645,'Entry Builder'!$L$12)&gt;'Entry Builder'!$E$12)))</f>
        <v/>
      </c>
      <c r="G645">
        <f>6-SUM(A645:F645)</f>
        <v/>
      </c>
    </row>
    <row r="646">
      <c r="A646">
        <f>IF('Entry Builder'!$N$7=0,1,IF('Entry Builder'!$D$7="Less",--(INDEX(Sims!$A646:$BO646,'Entry Builder'!$L$7)&lt;'Entry Builder'!$E$7),--(INDEX(Sims!$A646:$BO646,'Entry Builder'!$L$7)&gt;'Entry Builder'!$E$7)))</f>
        <v/>
      </c>
      <c r="B646">
        <f>IF('Entry Builder'!$N$8=0,1,IF('Entry Builder'!$D$8="Less",--(INDEX(Sims!$A646:$BO646,'Entry Builder'!$L$8)&lt;'Entry Builder'!$E$8),--(INDEX(Sims!$A646:$BO646,'Entry Builder'!$L$8)&gt;'Entry Builder'!$E$8)))</f>
        <v/>
      </c>
      <c r="C646">
        <f>IF('Entry Builder'!$N$9=0,1,IF('Entry Builder'!$D$9="Less",--(INDEX(Sims!$A646:$BO646,'Entry Builder'!$L$9)&lt;'Entry Builder'!$E$9),--(INDEX(Sims!$A646:$BO646,'Entry Builder'!$L$9)&gt;'Entry Builder'!$E$9)))</f>
        <v/>
      </c>
      <c r="D646">
        <f>IF('Entry Builder'!$N$10=0,1,IF('Entry Builder'!$D$10="Less",--(INDEX(Sims!$A646:$BO646,'Entry Builder'!$L$10)&lt;'Entry Builder'!$E$10),--(INDEX(Sims!$A646:$BO646,'Entry Builder'!$L$10)&gt;'Entry Builder'!$E$10)))</f>
        <v/>
      </c>
      <c r="E646">
        <f>IF('Entry Builder'!$N$11=0,1,IF('Entry Builder'!$D$11="Less",--(INDEX(Sims!$A646:$BO646,'Entry Builder'!$L$11)&lt;'Entry Builder'!$E$11),--(INDEX(Sims!$A646:$BO646,'Entry Builder'!$L$11)&gt;'Entry Builder'!$E$11)))</f>
        <v/>
      </c>
      <c r="F646">
        <f>IF('Entry Builder'!$N$12=0,1,IF('Entry Builder'!$D$12="Less",--(INDEX(Sims!$A646:$BO646,'Entry Builder'!$L$12)&lt;'Entry Builder'!$E$12),--(INDEX(Sims!$A646:$BO646,'Entry Builder'!$L$12)&gt;'Entry Builder'!$E$12)))</f>
        <v/>
      </c>
      <c r="G646">
        <f>6-SUM(A646:F646)</f>
        <v/>
      </c>
    </row>
    <row r="647">
      <c r="A647">
        <f>IF('Entry Builder'!$N$7=0,1,IF('Entry Builder'!$D$7="Less",--(INDEX(Sims!$A647:$BO647,'Entry Builder'!$L$7)&lt;'Entry Builder'!$E$7),--(INDEX(Sims!$A647:$BO647,'Entry Builder'!$L$7)&gt;'Entry Builder'!$E$7)))</f>
        <v/>
      </c>
      <c r="B647">
        <f>IF('Entry Builder'!$N$8=0,1,IF('Entry Builder'!$D$8="Less",--(INDEX(Sims!$A647:$BO647,'Entry Builder'!$L$8)&lt;'Entry Builder'!$E$8),--(INDEX(Sims!$A647:$BO647,'Entry Builder'!$L$8)&gt;'Entry Builder'!$E$8)))</f>
        <v/>
      </c>
      <c r="C647">
        <f>IF('Entry Builder'!$N$9=0,1,IF('Entry Builder'!$D$9="Less",--(INDEX(Sims!$A647:$BO647,'Entry Builder'!$L$9)&lt;'Entry Builder'!$E$9),--(INDEX(Sims!$A647:$BO647,'Entry Builder'!$L$9)&gt;'Entry Builder'!$E$9)))</f>
        <v/>
      </c>
      <c r="D647">
        <f>IF('Entry Builder'!$N$10=0,1,IF('Entry Builder'!$D$10="Less",--(INDEX(Sims!$A647:$BO647,'Entry Builder'!$L$10)&lt;'Entry Builder'!$E$10),--(INDEX(Sims!$A647:$BO647,'Entry Builder'!$L$10)&gt;'Entry Builder'!$E$10)))</f>
        <v/>
      </c>
      <c r="E647">
        <f>IF('Entry Builder'!$N$11=0,1,IF('Entry Builder'!$D$11="Less",--(INDEX(Sims!$A647:$BO647,'Entry Builder'!$L$11)&lt;'Entry Builder'!$E$11),--(INDEX(Sims!$A647:$BO647,'Entry Builder'!$L$11)&gt;'Entry Builder'!$E$11)))</f>
        <v/>
      </c>
      <c r="F647">
        <f>IF('Entry Builder'!$N$12=0,1,IF('Entry Builder'!$D$12="Less",--(INDEX(Sims!$A647:$BO647,'Entry Builder'!$L$12)&lt;'Entry Builder'!$E$12),--(INDEX(Sims!$A647:$BO647,'Entry Builder'!$L$12)&gt;'Entry Builder'!$E$12)))</f>
        <v/>
      </c>
      <c r="G647">
        <f>6-SUM(A647:F647)</f>
        <v/>
      </c>
    </row>
    <row r="648">
      <c r="A648">
        <f>IF('Entry Builder'!$N$7=0,1,IF('Entry Builder'!$D$7="Less",--(INDEX(Sims!$A648:$BO648,'Entry Builder'!$L$7)&lt;'Entry Builder'!$E$7),--(INDEX(Sims!$A648:$BO648,'Entry Builder'!$L$7)&gt;'Entry Builder'!$E$7)))</f>
        <v/>
      </c>
      <c r="B648">
        <f>IF('Entry Builder'!$N$8=0,1,IF('Entry Builder'!$D$8="Less",--(INDEX(Sims!$A648:$BO648,'Entry Builder'!$L$8)&lt;'Entry Builder'!$E$8),--(INDEX(Sims!$A648:$BO648,'Entry Builder'!$L$8)&gt;'Entry Builder'!$E$8)))</f>
        <v/>
      </c>
      <c r="C648">
        <f>IF('Entry Builder'!$N$9=0,1,IF('Entry Builder'!$D$9="Less",--(INDEX(Sims!$A648:$BO648,'Entry Builder'!$L$9)&lt;'Entry Builder'!$E$9),--(INDEX(Sims!$A648:$BO648,'Entry Builder'!$L$9)&gt;'Entry Builder'!$E$9)))</f>
        <v/>
      </c>
      <c r="D648">
        <f>IF('Entry Builder'!$N$10=0,1,IF('Entry Builder'!$D$10="Less",--(INDEX(Sims!$A648:$BO648,'Entry Builder'!$L$10)&lt;'Entry Builder'!$E$10),--(INDEX(Sims!$A648:$BO648,'Entry Builder'!$L$10)&gt;'Entry Builder'!$E$10)))</f>
        <v/>
      </c>
      <c r="E648">
        <f>IF('Entry Builder'!$N$11=0,1,IF('Entry Builder'!$D$11="Less",--(INDEX(Sims!$A648:$BO648,'Entry Builder'!$L$11)&lt;'Entry Builder'!$E$11),--(INDEX(Sims!$A648:$BO648,'Entry Builder'!$L$11)&gt;'Entry Builder'!$E$11)))</f>
        <v/>
      </c>
      <c r="F648">
        <f>IF('Entry Builder'!$N$12=0,1,IF('Entry Builder'!$D$12="Less",--(INDEX(Sims!$A648:$BO648,'Entry Builder'!$L$12)&lt;'Entry Builder'!$E$12),--(INDEX(Sims!$A648:$BO648,'Entry Builder'!$L$12)&gt;'Entry Builder'!$E$12)))</f>
        <v/>
      </c>
      <c r="G648">
        <f>6-SUM(A648:F648)</f>
        <v/>
      </c>
    </row>
    <row r="649">
      <c r="A649">
        <f>IF('Entry Builder'!$N$7=0,1,IF('Entry Builder'!$D$7="Less",--(INDEX(Sims!$A649:$BO649,'Entry Builder'!$L$7)&lt;'Entry Builder'!$E$7),--(INDEX(Sims!$A649:$BO649,'Entry Builder'!$L$7)&gt;'Entry Builder'!$E$7)))</f>
        <v/>
      </c>
      <c r="B649">
        <f>IF('Entry Builder'!$N$8=0,1,IF('Entry Builder'!$D$8="Less",--(INDEX(Sims!$A649:$BO649,'Entry Builder'!$L$8)&lt;'Entry Builder'!$E$8),--(INDEX(Sims!$A649:$BO649,'Entry Builder'!$L$8)&gt;'Entry Builder'!$E$8)))</f>
        <v/>
      </c>
      <c r="C649">
        <f>IF('Entry Builder'!$N$9=0,1,IF('Entry Builder'!$D$9="Less",--(INDEX(Sims!$A649:$BO649,'Entry Builder'!$L$9)&lt;'Entry Builder'!$E$9),--(INDEX(Sims!$A649:$BO649,'Entry Builder'!$L$9)&gt;'Entry Builder'!$E$9)))</f>
        <v/>
      </c>
      <c r="D649">
        <f>IF('Entry Builder'!$N$10=0,1,IF('Entry Builder'!$D$10="Less",--(INDEX(Sims!$A649:$BO649,'Entry Builder'!$L$10)&lt;'Entry Builder'!$E$10),--(INDEX(Sims!$A649:$BO649,'Entry Builder'!$L$10)&gt;'Entry Builder'!$E$10)))</f>
        <v/>
      </c>
      <c r="E649">
        <f>IF('Entry Builder'!$N$11=0,1,IF('Entry Builder'!$D$11="Less",--(INDEX(Sims!$A649:$BO649,'Entry Builder'!$L$11)&lt;'Entry Builder'!$E$11),--(INDEX(Sims!$A649:$BO649,'Entry Builder'!$L$11)&gt;'Entry Builder'!$E$11)))</f>
        <v/>
      </c>
      <c r="F649">
        <f>IF('Entry Builder'!$N$12=0,1,IF('Entry Builder'!$D$12="Less",--(INDEX(Sims!$A649:$BO649,'Entry Builder'!$L$12)&lt;'Entry Builder'!$E$12),--(INDEX(Sims!$A649:$BO649,'Entry Builder'!$L$12)&gt;'Entry Builder'!$E$12)))</f>
        <v/>
      </c>
      <c r="G649">
        <f>6-SUM(A649:F649)</f>
        <v/>
      </c>
    </row>
    <row r="650">
      <c r="A650">
        <f>IF('Entry Builder'!$N$7=0,1,IF('Entry Builder'!$D$7="Less",--(INDEX(Sims!$A650:$BO650,'Entry Builder'!$L$7)&lt;'Entry Builder'!$E$7),--(INDEX(Sims!$A650:$BO650,'Entry Builder'!$L$7)&gt;'Entry Builder'!$E$7)))</f>
        <v/>
      </c>
      <c r="B650">
        <f>IF('Entry Builder'!$N$8=0,1,IF('Entry Builder'!$D$8="Less",--(INDEX(Sims!$A650:$BO650,'Entry Builder'!$L$8)&lt;'Entry Builder'!$E$8),--(INDEX(Sims!$A650:$BO650,'Entry Builder'!$L$8)&gt;'Entry Builder'!$E$8)))</f>
        <v/>
      </c>
      <c r="C650">
        <f>IF('Entry Builder'!$N$9=0,1,IF('Entry Builder'!$D$9="Less",--(INDEX(Sims!$A650:$BO650,'Entry Builder'!$L$9)&lt;'Entry Builder'!$E$9),--(INDEX(Sims!$A650:$BO650,'Entry Builder'!$L$9)&gt;'Entry Builder'!$E$9)))</f>
        <v/>
      </c>
      <c r="D650">
        <f>IF('Entry Builder'!$N$10=0,1,IF('Entry Builder'!$D$10="Less",--(INDEX(Sims!$A650:$BO650,'Entry Builder'!$L$10)&lt;'Entry Builder'!$E$10),--(INDEX(Sims!$A650:$BO650,'Entry Builder'!$L$10)&gt;'Entry Builder'!$E$10)))</f>
        <v/>
      </c>
      <c r="E650">
        <f>IF('Entry Builder'!$N$11=0,1,IF('Entry Builder'!$D$11="Less",--(INDEX(Sims!$A650:$BO650,'Entry Builder'!$L$11)&lt;'Entry Builder'!$E$11),--(INDEX(Sims!$A650:$BO650,'Entry Builder'!$L$11)&gt;'Entry Builder'!$E$11)))</f>
        <v/>
      </c>
      <c r="F650">
        <f>IF('Entry Builder'!$N$12=0,1,IF('Entry Builder'!$D$12="Less",--(INDEX(Sims!$A650:$BO650,'Entry Builder'!$L$12)&lt;'Entry Builder'!$E$12),--(INDEX(Sims!$A650:$BO650,'Entry Builder'!$L$12)&gt;'Entry Builder'!$E$12)))</f>
        <v/>
      </c>
      <c r="G650">
        <f>6-SUM(A650:F650)</f>
        <v/>
      </c>
    </row>
    <row r="651">
      <c r="A651">
        <f>IF('Entry Builder'!$N$7=0,1,IF('Entry Builder'!$D$7="Less",--(INDEX(Sims!$A651:$BO651,'Entry Builder'!$L$7)&lt;'Entry Builder'!$E$7),--(INDEX(Sims!$A651:$BO651,'Entry Builder'!$L$7)&gt;'Entry Builder'!$E$7)))</f>
        <v/>
      </c>
      <c r="B651">
        <f>IF('Entry Builder'!$N$8=0,1,IF('Entry Builder'!$D$8="Less",--(INDEX(Sims!$A651:$BO651,'Entry Builder'!$L$8)&lt;'Entry Builder'!$E$8),--(INDEX(Sims!$A651:$BO651,'Entry Builder'!$L$8)&gt;'Entry Builder'!$E$8)))</f>
        <v/>
      </c>
      <c r="C651">
        <f>IF('Entry Builder'!$N$9=0,1,IF('Entry Builder'!$D$9="Less",--(INDEX(Sims!$A651:$BO651,'Entry Builder'!$L$9)&lt;'Entry Builder'!$E$9),--(INDEX(Sims!$A651:$BO651,'Entry Builder'!$L$9)&gt;'Entry Builder'!$E$9)))</f>
        <v/>
      </c>
      <c r="D651">
        <f>IF('Entry Builder'!$N$10=0,1,IF('Entry Builder'!$D$10="Less",--(INDEX(Sims!$A651:$BO651,'Entry Builder'!$L$10)&lt;'Entry Builder'!$E$10),--(INDEX(Sims!$A651:$BO651,'Entry Builder'!$L$10)&gt;'Entry Builder'!$E$10)))</f>
        <v/>
      </c>
      <c r="E651">
        <f>IF('Entry Builder'!$N$11=0,1,IF('Entry Builder'!$D$11="Less",--(INDEX(Sims!$A651:$BO651,'Entry Builder'!$L$11)&lt;'Entry Builder'!$E$11),--(INDEX(Sims!$A651:$BO651,'Entry Builder'!$L$11)&gt;'Entry Builder'!$E$11)))</f>
        <v/>
      </c>
      <c r="F651">
        <f>IF('Entry Builder'!$N$12=0,1,IF('Entry Builder'!$D$12="Less",--(INDEX(Sims!$A651:$BO651,'Entry Builder'!$L$12)&lt;'Entry Builder'!$E$12),--(INDEX(Sims!$A651:$BO651,'Entry Builder'!$L$12)&gt;'Entry Builder'!$E$12)))</f>
        <v/>
      </c>
      <c r="G651">
        <f>6-SUM(A651:F651)</f>
        <v/>
      </c>
    </row>
    <row r="652">
      <c r="A652">
        <f>IF('Entry Builder'!$N$7=0,1,IF('Entry Builder'!$D$7="Less",--(INDEX(Sims!$A652:$BO652,'Entry Builder'!$L$7)&lt;'Entry Builder'!$E$7),--(INDEX(Sims!$A652:$BO652,'Entry Builder'!$L$7)&gt;'Entry Builder'!$E$7)))</f>
        <v/>
      </c>
      <c r="B652">
        <f>IF('Entry Builder'!$N$8=0,1,IF('Entry Builder'!$D$8="Less",--(INDEX(Sims!$A652:$BO652,'Entry Builder'!$L$8)&lt;'Entry Builder'!$E$8),--(INDEX(Sims!$A652:$BO652,'Entry Builder'!$L$8)&gt;'Entry Builder'!$E$8)))</f>
        <v/>
      </c>
      <c r="C652">
        <f>IF('Entry Builder'!$N$9=0,1,IF('Entry Builder'!$D$9="Less",--(INDEX(Sims!$A652:$BO652,'Entry Builder'!$L$9)&lt;'Entry Builder'!$E$9),--(INDEX(Sims!$A652:$BO652,'Entry Builder'!$L$9)&gt;'Entry Builder'!$E$9)))</f>
        <v/>
      </c>
      <c r="D652">
        <f>IF('Entry Builder'!$N$10=0,1,IF('Entry Builder'!$D$10="Less",--(INDEX(Sims!$A652:$BO652,'Entry Builder'!$L$10)&lt;'Entry Builder'!$E$10),--(INDEX(Sims!$A652:$BO652,'Entry Builder'!$L$10)&gt;'Entry Builder'!$E$10)))</f>
        <v/>
      </c>
      <c r="E652">
        <f>IF('Entry Builder'!$N$11=0,1,IF('Entry Builder'!$D$11="Less",--(INDEX(Sims!$A652:$BO652,'Entry Builder'!$L$11)&lt;'Entry Builder'!$E$11),--(INDEX(Sims!$A652:$BO652,'Entry Builder'!$L$11)&gt;'Entry Builder'!$E$11)))</f>
        <v/>
      </c>
      <c r="F652">
        <f>IF('Entry Builder'!$N$12=0,1,IF('Entry Builder'!$D$12="Less",--(INDEX(Sims!$A652:$BO652,'Entry Builder'!$L$12)&lt;'Entry Builder'!$E$12),--(INDEX(Sims!$A652:$BO652,'Entry Builder'!$L$12)&gt;'Entry Builder'!$E$12)))</f>
        <v/>
      </c>
      <c r="G652">
        <f>6-SUM(A652:F652)</f>
        <v/>
      </c>
    </row>
    <row r="653">
      <c r="A653">
        <f>IF('Entry Builder'!$N$7=0,1,IF('Entry Builder'!$D$7="Less",--(INDEX(Sims!$A653:$BO653,'Entry Builder'!$L$7)&lt;'Entry Builder'!$E$7),--(INDEX(Sims!$A653:$BO653,'Entry Builder'!$L$7)&gt;'Entry Builder'!$E$7)))</f>
        <v/>
      </c>
      <c r="B653">
        <f>IF('Entry Builder'!$N$8=0,1,IF('Entry Builder'!$D$8="Less",--(INDEX(Sims!$A653:$BO653,'Entry Builder'!$L$8)&lt;'Entry Builder'!$E$8),--(INDEX(Sims!$A653:$BO653,'Entry Builder'!$L$8)&gt;'Entry Builder'!$E$8)))</f>
        <v/>
      </c>
      <c r="C653">
        <f>IF('Entry Builder'!$N$9=0,1,IF('Entry Builder'!$D$9="Less",--(INDEX(Sims!$A653:$BO653,'Entry Builder'!$L$9)&lt;'Entry Builder'!$E$9),--(INDEX(Sims!$A653:$BO653,'Entry Builder'!$L$9)&gt;'Entry Builder'!$E$9)))</f>
        <v/>
      </c>
      <c r="D653">
        <f>IF('Entry Builder'!$N$10=0,1,IF('Entry Builder'!$D$10="Less",--(INDEX(Sims!$A653:$BO653,'Entry Builder'!$L$10)&lt;'Entry Builder'!$E$10),--(INDEX(Sims!$A653:$BO653,'Entry Builder'!$L$10)&gt;'Entry Builder'!$E$10)))</f>
        <v/>
      </c>
      <c r="E653">
        <f>IF('Entry Builder'!$N$11=0,1,IF('Entry Builder'!$D$11="Less",--(INDEX(Sims!$A653:$BO653,'Entry Builder'!$L$11)&lt;'Entry Builder'!$E$11),--(INDEX(Sims!$A653:$BO653,'Entry Builder'!$L$11)&gt;'Entry Builder'!$E$11)))</f>
        <v/>
      </c>
      <c r="F653">
        <f>IF('Entry Builder'!$N$12=0,1,IF('Entry Builder'!$D$12="Less",--(INDEX(Sims!$A653:$BO653,'Entry Builder'!$L$12)&lt;'Entry Builder'!$E$12),--(INDEX(Sims!$A653:$BO653,'Entry Builder'!$L$12)&gt;'Entry Builder'!$E$12)))</f>
        <v/>
      </c>
      <c r="G653">
        <f>6-SUM(A653:F653)</f>
        <v/>
      </c>
    </row>
    <row r="654">
      <c r="A654">
        <f>IF('Entry Builder'!$N$7=0,1,IF('Entry Builder'!$D$7="Less",--(INDEX(Sims!$A654:$BO654,'Entry Builder'!$L$7)&lt;'Entry Builder'!$E$7),--(INDEX(Sims!$A654:$BO654,'Entry Builder'!$L$7)&gt;'Entry Builder'!$E$7)))</f>
        <v/>
      </c>
      <c r="B654">
        <f>IF('Entry Builder'!$N$8=0,1,IF('Entry Builder'!$D$8="Less",--(INDEX(Sims!$A654:$BO654,'Entry Builder'!$L$8)&lt;'Entry Builder'!$E$8),--(INDEX(Sims!$A654:$BO654,'Entry Builder'!$L$8)&gt;'Entry Builder'!$E$8)))</f>
        <v/>
      </c>
      <c r="C654">
        <f>IF('Entry Builder'!$N$9=0,1,IF('Entry Builder'!$D$9="Less",--(INDEX(Sims!$A654:$BO654,'Entry Builder'!$L$9)&lt;'Entry Builder'!$E$9),--(INDEX(Sims!$A654:$BO654,'Entry Builder'!$L$9)&gt;'Entry Builder'!$E$9)))</f>
        <v/>
      </c>
      <c r="D654">
        <f>IF('Entry Builder'!$N$10=0,1,IF('Entry Builder'!$D$10="Less",--(INDEX(Sims!$A654:$BO654,'Entry Builder'!$L$10)&lt;'Entry Builder'!$E$10),--(INDEX(Sims!$A654:$BO654,'Entry Builder'!$L$10)&gt;'Entry Builder'!$E$10)))</f>
        <v/>
      </c>
      <c r="E654">
        <f>IF('Entry Builder'!$N$11=0,1,IF('Entry Builder'!$D$11="Less",--(INDEX(Sims!$A654:$BO654,'Entry Builder'!$L$11)&lt;'Entry Builder'!$E$11),--(INDEX(Sims!$A654:$BO654,'Entry Builder'!$L$11)&gt;'Entry Builder'!$E$11)))</f>
        <v/>
      </c>
      <c r="F654">
        <f>IF('Entry Builder'!$N$12=0,1,IF('Entry Builder'!$D$12="Less",--(INDEX(Sims!$A654:$BO654,'Entry Builder'!$L$12)&lt;'Entry Builder'!$E$12),--(INDEX(Sims!$A654:$BO654,'Entry Builder'!$L$12)&gt;'Entry Builder'!$E$12)))</f>
        <v/>
      </c>
      <c r="G654">
        <f>6-SUM(A654:F654)</f>
        <v/>
      </c>
    </row>
    <row r="655">
      <c r="A655">
        <f>IF('Entry Builder'!$N$7=0,1,IF('Entry Builder'!$D$7="Less",--(INDEX(Sims!$A655:$BO655,'Entry Builder'!$L$7)&lt;'Entry Builder'!$E$7),--(INDEX(Sims!$A655:$BO655,'Entry Builder'!$L$7)&gt;'Entry Builder'!$E$7)))</f>
        <v/>
      </c>
      <c r="B655">
        <f>IF('Entry Builder'!$N$8=0,1,IF('Entry Builder'!$D$8="Less",--(INDEX(Sims!$A655:$BO655,'Entry Builder'!$L$8)&lt;'Entry Builder'!$E$8),--(INDEX(Sims!$A655:$BO655,'Entry Builder'!$L$8)&gt;'Entry Builder'!$E$8)))</f>
        <v/>
      </c>
      <c r="C655">
        <f>IF('Entry Builder'!$N$9=0,1,IF('Entry Builder'!$D$9="Less",--(INDEX(Sims!$A655:$BO655,'Entry Builder'!$L$9)&lt;'Entry Builder'!$E$9),--(INDEX(Sims!$A655:$BO655,'Entry Builder'!$L$9)&gt;'Entry Builder'!$E$9)))</f>
        <v/>
      </c>
      <c r="D655">
        <f>IF('Entry Builder'!$N$10=0,1,IF('Entry Builder'!$D$10="Less",--(INDEX(Sims!$A655:$BO655,'Entry Builder'!$L$10)&lt;'Entry Builder'!$E$10),--(INDEX(Sims!$A655:$BO655,'Entry Builder'!$L$10)&gt;'Entry Builder'!$E$10)))</f>
        <v/>
      </c>
      <c r="E655">
        <f>IF('Entry Builder'!$N$11=0,1,IF('Entry Builder'!$D$11="Less",--(INDEX(Sims!$A655:$BO655,'Entry Builder'!$L$11)&lt;'Entry Builder'!$E$11),--(INDEX(Sims!$A655:$BO655,'Entry Builder'!$L$11)&gt;'Entry Builder'!$E$11)))</f>
        <v/>
      </c>
      <c r="F655">
        <f>IF('Entry Builder'!$N$12=0,1,IF('Entry Builder'!$D$12="Less",--(INDEX(Sims!$A655:$BO655,'Entry Builder'!$L$12)&lt;'Entry Builder'!$E$12),--(INDEX(Sims!$A655:$BO655,'Entry Builder'!$L$12)&gt;'Entry Builder'!$E$12)))</f>
        <v/>
      </c>
      <c r="G655">
        <f>6-SUM(A655:F655)</f>
        <v/>
      </c>
    </row>
    <row r="656">
      <c r="A656">
        <f>IF('Entry Builder'!$N$7=0,1,IF('Entry Builder'!$D$7="Less",--(INDEX(Sims!$A656:$BO656,'Entry Builder'!$L$7)&lt;'Entry Builder'!$E$7),--(INDEX(Sims!$A656:$BO656,'Entry Builder'!$L$7)&gt;'Entry Builder'!$E$7)))</f>
        <v/>
      </c>
      <c r="B656">
        <f>IF('Entry Builder'!$N$8=0,1,IF('Entry Builder'!$D$8="Less",--(INDEX(Sims!$A656:$BO656,'Entry Builder'!$L$8)&lt;'Entry Builder'!$E$8),--(INDEX(Sims!$A656:$BO656,'Entry Builder'!$L$8)&gt;'Entry Builder'!$E$8)))</f>
        <v/>
      </c>
      <c r="C656">
        <f>IF('Entry Builder'!$N$9=0,1,IF('Entry Builder'!$D$9="Less",--(INDEX(Sims!$A656:$BO656,'Entry Builder'!$L$9)&lt;'Entry Builder'!$E$9),--(INDEX(Sims!$A656:$BO656,'Entry Builder'!$L$9)&gt;'Entry Builder'!$E$9)))</f>
        <v/>
      </c>
      <c r="D656">
        <f>IF('Entry Builder'!$N$10=0,1,IF('Entry Builder'!$D$10="Less",--(INDEX(Sims!$A656:$BO656,'Entry Builder'!$L$10)&lt;'Entry Builder'!$E$10),--(INDEX(Sims!$A656:$BO656,'Entry Builder'!$L$10)&gt;'Entry Builder'!$E$10)))</f>
        <v/>
      </c>
      <c r="E656">
        <f>IF('Entry Builder'!$N$11=0,1,IF('Entry Builder'!$D$11="Less",--(INDEX(Sims!$A656:$BO656,'Entry Builder'!$L$11)&lt;'Entry Builder'!$E$11),--(INDEX(Sims!$A656:$BO656,'Entry Builder'!$L$11)&gt;'Entry Builder'!$E$11)))</f>
        <v/>
      </c>
      <c r="F656">
        <f>IF('Entry Builder'!$N$12=0,1,IF('Entry Builder'!$D$12="Less",--(INDEX(Sims!$A656:$BO656,'Entry Builder'!$L$12)&lt;'Entry Builder'!$E$12),--(INDEX(Sims!$A656:$BO656,'Entry Builder'!$L$12)&gt;'Entry Builder'!$E$12)))</f>
        <v/>
      </c>
      <c r="G656">
        <f>6-SUM(A656:F656)</f>
        <v/>
      </c>
    </row>
    <row r="657">
      <c r="A657">
        <f>IF('Entry Builder'!$N$7=0,1,IF('Entry Builder'!$D$7="Less",--(INDEX(Sims!$A657:$BO657,'Entry Builder'!$L$7)&lt;'Entry Builder'!$E$7),--(INDEX(Sims!$A657:$BO657,'Entry Builder'!$L$7)&gt;'Entry Builder'!$E$7)))</f>
        <v/>
      </c>
      <c r="B657">
        <f>IF('Entry Builder'!$N$8=0,1,IF('Entry Builder'!$D$8="Less",--(INDEX(Sims!$A657:$BO657,'Entry Builder'!$L$8)&lt;'Entry Builder'!$E$8),--(INDEX(Sims!$A657:$BO657,'Entry Builder'!$L$8)&gt;'Entry Builder'!$E$8)))</f>
        <v/>
      </c>
      <c r="C657">
        <f>IF('Entry Builder'!$N$9=0,1,IF('Entry Builder'!$D$9="Less",--(INDEX(Sims!$A657:$BO657,'Entry Builder'!$L$9)&lt;'Entry Builder'!$E$9),--(INDEX(Sims!$A657:$BO657,'Entry Builder'!$L$9)&gt;'Entry Builder'!$E$9)))</f>
        <v/>
      </c>
      <c r="D657">
        <f>IF('Entry Builder'!$N$10=0,1,IF('Entry Builder'!$D$10="Less",--(INDEX(Sims!$A657:$BO657,'Entry Builder'!$L$10)&lt;'Entry Builder'!$E$10),--(INDEX(Sims!$A657:$BO657,'Entry Builder'!$L$10)&gt;'Entry Builder'!$E$10)))</f>
        <v/>
      </c>
      <c r="E657">
        <f>IF('Entry Builder'!$N$11=0,1,IF('Entry Builder'!$D$11="Less",--(INDEX(Sims!$A657:$BO657,'Entry Builder'!$L$11)&lt;'Entry Builder'!$E$11),--(INDEX(Sims!$A657:$BO657,'Entry Builder'!$L$11)&gt;'Entry Builder'!$E$11)))</f>
        <v/>
      </c>
      <c r="F657">
        <f>IF('Entry Builder'!$N$12=0,1,IF('Entry Builder'!$D$12="Less",--(INDEX(Sims!$A657:$BO657,'Entry Builder'!$L$12)&lt;'Entry Builder'!$E$12),--(INDEX(Sims!$A657:$BO657,'Entry Builder'!$L$12)&gt;'Entry Builder'!$E$12)))</f>
        <v/>
      </c>
      <c r="G657">
        <f>6-SUM(A657:F657)</f>
        <v/>
      </c>
    </row>
    <row r="658">
      <c r="A658">
        <f>IF('Entry Builder'!$N$7=0,1,IF('Entry Builder'!$D$7="Less",--(INDEX(Sims!$A658:$BO658,'Entry Builder'!$L$7)&lt;'Entry Builder'!$E$7),--(INDEX(Sims!$A658:$BO658,'Entry Builder'!$L$7)&gt;'Entry Builder'!$E$7)))</f>
        <v/>
      </c>
      <c r="B658">
        <f>IF('Entry Builder'!$N$8=0,1,IF('Entry Builder'!$D$8="Less",--(INDEX(Sims!$A658:$BO658,'Entry Builder'!$L$8)&lt;'Entry Builder'!$E$8),--(INDEX(Sims!$A658:$BO658,'Entry Builder'!$L$8)&gt;'Entry Builder'!$E$8)))</f>
        <v/>
      </c>
      <c r="C658">
        <f>IF('Entry Builder'!$N$9=0,1,IF('Entry Builder'!$D$9="Less",--(INDEX(Sims!$A658:$BO658,'Entry Builder'!$L$9)&lt;'Entry Builder'!$E$9),--(INDEX(Sims!$A658:$BO658,'Entry Builder'!$L$9)&gt;'Entry Builder'!$E$9)))</f>
        <v/>
      </c>
      <c r="D658">
        <f>IF('Entry Builder'!$N$10=0,1,IF('Entry Builder'!$D$10="Less",--(INDEX(Sims!$A658:$BO658,'Entry Builder'!$L$10)&lt;'Entry Builder'!$E$10),--(INDEX(Sims!$A658:$BO658,'Entry Builder'!$L$10)&gt;'Entry Builder'!$E$10)))</f>
        <v/>
      </c>
      <c r="E658">
        <f>IF('Entry Builder'!$N$11=0,1,IF('Entry Builder'!$D$11="Less",--(INDEX(Sims!$A658:$BO658,'Entry Builder'!$L$11)&lt;'Entry Builder'!$E$11),--(INDEX(Sims!$A658:$BO658,'Entry Builder'!$L$11)&gt;'Entry Builder'!$E$11)))</f>
        <v/>
      </c>
      <c r="F658">
        <f>IF('Entry Builder'!$N$12=0,1,IF('Entry Builder'!$D$12="Less",--(INDEX(Sims!$A658:$BO658,'Entry Builder'!$L$12)&lt;'Entry Builder'!$E$12),--(INDEX(Sims!$A658:$BO658,'Entry Builder'!$L$12)&gt;'Entry Builder'!$E$12)))</f>
        <v/>
      </c>
      <c r="G658">
        <f>6-SUM(A658:F658)</f>
        <v/>
      </c>
    </row>
    <row r="659">
      <c r="A659">
        <f>IF('Entry Builder'!$N$7=0,1,IF('Entry Builder'!$D$7="Less",--(INDEX(Sims!$A659:$BO659,'Entry Builder'!$L$7)&lt;'Entry Builder'!$E$7),--(INDEX(Sims!$A659:$BO659,'Entry Builder'!$L$7)&gt;'Entry Builder'!$E$7)))</f>
        <v/>
      </c>
      <c r="B659">
        <f>IF('Entry Builder'!$N$8=0,1,IF('Entry Builder'!$D$8="Less",--(INDEX(Sims!$A659:$BO659,'Entry Builder'!$L$8)&lt;'Entry Builder'!$E$8),--(INDEX(Sims!$A659:$BO659,'Entry Builder'!$L$8)&gt;'Entry Builder'!$E$8)))</f>
        <v/>
      </c>
      <c r="C659">
        <f>IF('Entry Builder'!$N$9=0,1,IF('Entry Builder'!$D$9="Less",--(INDEX(Sims!$A659:$BO659,'Entry Builder'!$L$9)&lt;'Entry Builder'!$E$9),--(INDEX(Sims!$A659:$BO659,'Entry Builder'!$L$9)&gt;'Entry Builder'!$E$9)))</f>
        <v/>
      </c>
      <c r="D659">
        <f>IF('Entry Builder'!$N$10=0,1,IF('Entry Builder'!$D$10="Less",--(INDEX(Sims!$A659:$BO659,'Entry Builder'!$L$10)&lt;'Entry Builder'!$E$10),--(INDEX(Sims!$A659:$BO659,'Entry Builder'!$L$10)&gt;'Entry Builder'!$E$10)))</f>
        <v/>
      </c>
      <c r="E659">
        <f>IF('Entry Builder'!$N$11=0,1,IF('Entry Builder'!$D$11="Less",--(INDEX(Sims!$A659:$BO659,'Entry Builder'!$L$11)&lt;'Entry Builder'!$E$11),--(INDEX(Sims!$A659:$BO659,'Entry Builder'!$L$11)&gt;'Entry Builder'!$E$11)))</f>
        <v/>
      </c>
      <c r="F659">
        <f>IF('Entry Builder'!$N$12=0,1,IF('Entry Builder'!$D$12="Less",--(INDEX(Sims!$A659:$BO659,'Entry Builder'!$L$12)&lt;'Entry Builder'!$E$12),--(INDEX(Sims!$A659:$BO659,'Entry Builder'!$L$12)&gt;'Entry Builder'!$E$12)))</f>
        <v/>
      </c>
      <c r="G659">
        <f>6-SUM(A659:F659)</f>
        <v/>
      </c>
    </row>
    <row r="660">
      <c r="A660">
        <f>IF('Entry Builder'!$N$7=0,1,IF('Entry Builder'!$D$7="Less",--(INDEX(Sims!$A660:$BO660,'Entry Builder'!$L$7)&lt;'Entry Builder'!$E$7),--(INDEX(Sims!$A660:$BO660,'Entry Builder'!$L$7)&gt;'Entry Builder'!$E$7)))</f>
        <v/>
      </c>
      <c r="B660">
        <f>IF('Entry Builder'!$N$8=0,1,IF('Entry Builder'!$D$8="Less",--(INDEX(Sims!$A660:$BO660,'Entry Builder'!$L$8)&lt;'Entry Builder'!$E$8),--(INDEX(Sims!$A660:$BO660,'Entry Builder'!$L$8)&gt;'Entry Builder'!$E$8)))</f>
        <v/>
      </c>
      <c r="C660">
        <f>IF('Entry Builder'!$N$9=0,1,IF('Entry Builder'!$D$9="Less",--(INDEX(Sims!$A660:$BO660,'Entry Builder'!$L$9)&lt;'Entry Builder'!$E$9),--(INDEX(Sims!$A660:$BO660,'Entry Builder'!$L$9)&gt;'Entry Builder'!$E$9)))</f>
        <v/>
      </c>
      <c r="D660">
        <f>IF('Entry Builder'!$N$10=0,1,IF('Entry Builder'!$D$10="Less",--(INDEX(Sims!$A660:$BO660,'Entry Builder'!$L$10)&lt;'Entry Builder'!$E$10),--(INDEX(Sims!$A660:$BO660,'Entry Builder'!$L$10)&gt;'Entry Builder'!$E$10)))</f>
        <v/>
      </c>
      <c r="E660">
        <f>IF('Entry Builder'!$N$11=0,1,IF('Entry Builder'!$D$11="Less",--(INDEX(Sims!$A660:$BO660,'Entry Builder'!$L$11)&lt;'Entry Builder'!$E$11),--(INDEX(Sims!$A660:$BO660,'Entry Builder'!$L$11)&gt;'Entry Builder'!$E$11)))</f>
        <v/>
      </c>
      <c r="F660">
        <f>IF('Entry Builder'!$N$12=0,1,IF('Entry Builder'!$D$12="Less",--(INDEX(Sims!$A660:$BO660,'Entry Builder'!$L$12)&lt;'Entry Builder'!$E$12),--(INDEX(Sims!$A660:$BO660,'Entry Builder'!$L$12)&gt;'Entry Builder'!$E$12)))</f>
        <v/>
      </c>
      <c r="G660">
        <f>6-SUM(A660:F660)</f>
        <v/>
      </c>
    </row>
    <row r="661">
      <c r="A661">
        <f>IF('Entry Builder'!$N$7=0,1,IF('Entry Builder'!$D$7="Less",--(INDEX(Sims!$A661:$BO661,'Entry Builder'!$L$7)&lt;'Entry Builder'!$E$7),--(INDEX(Sims!$A661:$BO661,'Entry Builder'!$L$7)&gt;'Entry Builder'!$E$7)))</f>
        <v/>
      </c>
      <c r="B661">
        <f>IF('Entry Builder'!$N$8=0,1,IF('Entry Builder'!$D$8="Less",--(INDEX(Sims!$A661:$BO661,'Entry Builder'!$L$8)&lt;'Entry Builder'!$E$8),--(INDEX(Sims!$A661:$BO661,'Entry Builder'!$L$8)&gt;'Entry Builder'!$E$8)))</f>
        <v/>
      </c>
      <c r="C661">
        <f>IF('Entry Builder'!$N$9=0,1,IF('Entry Builder'!$D$9="Less",--(INDEX(Sims!$A661:$BO661,'Entry Builder'!$L$9)&lt;'Entry Builder'!$E$9),--(INDEX(Sims!$A661:$BO661,'Entry Builder'!$L$9)&gt;'Entry Builder'!$E$9)))</f>
        <v/>
      </c>
      <c r="D661">
        <f>IF('Entry Builder'!$N$10=0,1,IF('Entry Builder'!$D$10="Less",--(INDEX(Sims!$A661:$BO661,'Entry Builder'!$L$10)&lt;'Entry Builder'!$E$10),--(INDEX(Sims!$A661:$BO661,'Entry Builder'!$L$10)&gt;'Entry Builder'!$E$10)))</f>
        <v/>
      </c>
      <c r="E661">
        <f>IF('Entry Builder'!$N$11=0,1,IF('Entry Builder'!$D$11="Less",--(INDEX(Sims!$A661:$BO661,'Entry Builder'!$L$11)&lt;'Entry Builder'!$E$11),--(INDEX(Sims!$A661:$BO661,'Entry Builder'!$L$11)&gt;'Entry Builder'!$E$11)))</f>
        <v/>
      </c>
      <c r="F661">
        <f>IF('Entry Builder'!$N$12=0,1,IF('Entry Builder'!$D$12="Less",--(INDEX(Sims!$A661:$BO661,'Entry Builder'!$L$12)&lt;'Entry Builder'!$E$12),--(INDEX(Sims!$A661:$BO661,'Entry Builder'!$L$12)&gt;'Entry Builder'!$E$12)))</f>
        <v/>
      </c>
      <c r="G661">
        <f>6-SUM(A661:F661)</f>
        <v/>
      </c>
    </row>
    <row r="662">
      <c r="A662">
        <f>IF('Entry Builder'!$N$7=0,1,IF('Entry Builder'!$D$7="Less",--(INDEX(Sims!$A662:$BO662,'Entry Builder'!$L$7)&lt;'Entry Builder'!$E$7),--(INDEX(Sims!$A662:$BO662,'Entry Builder'!$L$7)&gt;'Entry Builder'!$E$7)))</f>
        <v/>
      </c>
      <c r="B662">
        <f>IF('Entry Builder'!$N$8=0,1,IF('Entry Builder'!$D$8="Less",--(INDEX(Sims!$A662:$BO662,'Entry Builder'!$L$8)&lt;'Entry Builder'!$E$8),--(INDEX(Sims!$A662:$BO662,'Entry Builder'!$L$8)&gt;'Entry Builder'!$E$8)))</f>
        <v/>
      </c>
      <c r="C662">
        <f>IF('Entry Builder'!$N$9=0,1,IF('Entry Builder'!$D$9="Less",--(INDEX(Sims!$A662:$BO662,'Entry Builder'!$L$9)&lt;'Entry Builder'!$E$9),--(INDEX(Sims!$A662:$BO662,'Entry Builder'!$L$9)&gt;'Entry Builder'!$E$9)))</f>
        <v/>
      </c>
      <c r="D662">
        <f>IF('Entry Builder'!$N$10=0,1,IF('Entry Builder'!$D$10="Less",--(INDEX(Sims!$A662:$BO662,'Entry Builder'!$L$10)&lt;'Entry Builder'!$E$10),--(INDEX(Sims!$A662:$BO662,'Entry Builder'!$L$10)&gt;'Entry Builder'!$E$10)))</f>
        <v/>
      </c>
      <c r="E662">
        <f>IF('Entry Builder'!$N$11=0,1,IF('Entry Builder'!$D$11="Less",--(INDEX(Sims!$A662:$BO662,'Entry Builder'!$L$11)&lt;'Entry Builder'!$E$11),--(INDEX(Sims!$A662:$BO662,'Entry Builder'!$L$11)&gt;'Entry Builder'!$E$11)))</f>
        <v/>
      </c>
      <c r="F662">
        <f>IF('Entry Builder'!$N$12=0,1,IF('Entry Builder'!$D$12="Less",--(INDEX(Sims!$A662:$BO662,'Entry Builder'!$L$12)&lt;'Entry Builder'!$E$12),--(INDEX(Sims!$A662:$BO662,'Entry Builder'!$L$12)&gt;'Entry Builder'!$E$12)))</f>
        <v/>
      </c>
      <c r="G662">
        <f>6-SUM(A662:F662)</f>
        <v/>
      </c>
    </row>
    <row r="663">
      <c r="A663">
        <f>IF('Entry Builder'!$N$7=0,1,IF('Entry Builder'!$D$7="Less",--(INDEX(Sims!$A663:$BO663,'Entry Builder'!$L$7)&lt;'Entry Builder'!$E$7),--(INDEX(Sims!$A663:$BO663,'Entry Builder'!$L$7)&gt;'Entry Builder'!$E$7)))</f>
        <v/>
      </c>
      <c r="B663">
        <f>IF('Entry Builder'!$N$8=0,1,IF('Entry Builder'!$D$8="Less",--(INDEX(Sims!$A663:$BO663,'Entry Builder'!$L$8)&lt;'Entry Builder'!$E$8),--(INDEX(Sims!$A663:$BO663,'Entry Builder'!$L$8)&gt;'Entry Builder'!$E$8)))</f>
        <v/>
      </c>
      <c r="C663">
        <f>IF('Entry Builder'!$N$9=0,1,IF('Entry Builder'!$D$9="Less",--(INDEX(Sims!$A663:$BO663,'Entry Builder'!$L$9)&lt;'Entry Builder'!$E$9),--(INDEX(Sims!$A663:$BO663,'Entry Builder'!$L$9)&gt;'Entry Builder'!$E$9)))</f>
        <v/>
      </c>
      <c r="D663">
        <f>IF('Entry Builder'!$N$10=0,1,IF('Entry Builder'!$D$10="Less",--(INDEX(Sims!$A663:$BO663,'Entry Builder'!$L$10)&lt;'Entry Builder'!$E$10),--(INDEX(Sims!$A663:$BO663,'Entry Builder'!$L$10)&gt;'Entry Builder'!$E$10)))</f>
        <v/>
      </c>
      <c r="E663">
        <f>IF('Entry Builder'!$N$11=0,1,IF('Entry Builder'!$D$11="Less",--(INDEX(Sims!$A663:$BO663,'Entry Builder'!$L$11)&lt;'Entry Builder'!$E$11),--(INDEX(Sims!$A663:$BO663,'Entry Builder'!$L$11)&gt;'Entry Builder'!$E$11)))</f>
        <v/>
      </c>
      <c r="F663">
        <f>IF('Entry Builder'!$N$12=0,1,IF('Entry Builder'!$D$12="Less",--(INDEX(Sims!$A663:$BO663,'Entry Builder'!$L$12)&lt;'Entry Builder'!$E$12),--(INDEX(Sims!$A663:$BO663,'Entry Builder'!$L$12)&gt;'Entry Builder'!$E$12)))</f>
        <v/>
      </c>
      <c r="G663">
        <f>6-SUM(A663:F663)</f>
        <v/>
      </c>
    </row>
    <row r="664">
      <c r="A664">
        <f>IF('Entry Builder'!$N$7=0,1,IF('Entry Builder'!$D$7="Less",--(INDEX(Sims!$A664:$BO664,'Entry Builder'!$L$7)&lt;'Entry Builder'!$E$7),--(INDEX(Sims!$A664:$BO664,'Entry Builder'!$L$7)&gt;'Entry Builder'!$E$7)))</f>
        <v/>
      </c>
      <c r="B664">
        <f>IF('Entry Builder'!$N$8=0,1,IF('Entry Builder'!$D$8="Less",--(INDEX(Sims!$A664:$BO664,'Entry Builder'!$L$8)&lt;'Entry Builder'!$E$8),--(INDEX(Sims!$A664:$BO664,'Entry Builder'!$L$8)&gt;'Entry Builder'!$E$8)))</f>
        <v/>
      </c>
      <c r="C664">
        <f>IF('Entry Builder'!$N$9=0,1,IF('Entry Builder'!$D$9="Less",--(INDEX(Sims!$A664:$BO664,'Entry Builder'!$L$9)&lt;'Entry Builder'!$E$9),--(INDEX(Sims!$A664:$BO664,'Entry Builder'!$L$9)&gt;'Entry Builder'!$E$9)))</f>
        <v/>
      </c>
      <c r="D664">
        <f>IF('Entry Builder'!$N$10=0,1,IF('Entry Builder'!$D$10="Less",--(INDEX(Sims!$A664:$BO664,'Entry Builder'!$L$10)&lt;'Entry Builder'!$E$10),--(INDEX(Sims!$A664:$BO664,'Entry Builder'!$L$10)&gt;'Entry Builder'!$E$10)))</f>
        <v/>
      </c>
      <c r="E664">
        <f>IF('Entry Builder'!$N$11=0,1,IF('Entry Builder'!$D$11="Less",--(INDEX(Sims!$A664:$BO664,'Entry Builder'!$L$11)&lt;'Entry Builder'!$E$11),--(INDEX(Sims!$A664:$BO664,'Entry Builder'!$L$11)&gt;'Entry Builder'!$E$11)))</f>
        <v/>
      </c>
      <c r="F664">
        <f>IF('Entry Builder'!$N$12=0,1,IF('Entry Builder'!$D$12="Less",--(INDEX(Sims!$A664:$BO664,'Entry Builder'!$L$12)&lt;'Entry Builder'!$E$12),--(INDEX(Sims!$A664:$BO664,'Entry Builder'!$L$12)&gt;'Entry Builder'!$E$12)))</f>
        <v/>
      </c>
      <c r="G664">
        <f>6-SUM(A664:F664)</f>
        <v/>
      </c>
    </row>
    <row r="665">
      <c r="A665">
        <f>IF('Entry Builder'!$N$7=0,1,IF('Entry Builder'!$D$7="Less",--(INDEX(Sims!$A665:$BO665,'Entry Builder'!$L$7)&lt;'Entry Builder'!$E$7),--(INDEX(Sims!$A665:$BO665,'Entry Builder'!$L$7)&gt;'Entry Builder'!$E$7)))</f>
        <v/>
      </c>
      <c r="B665">
        <f>IF('Entry Builder'!$N$8=0,1,IF('Entry Builder'!$D$8="Less",--(INDEX(Sims!$A665:$BO665,'Entry Builder'!$L$8)&lt;'Entry Builder'!$E$8),--(INDEX(Sims!$A665:$BO665,'Entry Builder'!$L$8)&gt;'Entry Builder'!$E$8)))</f>
        <v/>
      </c>
      <c r="C665">
        <f>IF('Entry Builder'!$N$9=0,1,IF('Entry Builder'!$D$9="Less",--(INDEX(Sims!$A665:$BO665,'Entry Builder'!$L$9)&lt;'Entry Builder'!$E$9),--(INDEX(Sims!$A665:$BO665,'Entry Builder'!$L$9)&gt;'Entry Builder'!$E$9)))</f>
        <v/>
      </c>
      <c r="D665">
        <f>IF('Entry Builder'!$N$10=0,1,IF('Entry Builder'!$D$10="Less",--(INDEX(Sims!$A665:$BO665,'Entry Builder'!$L$10)&lt;'Entry Builder'!$E$10),--(INDEX(Sims!$A665:$BO665,'Entry Builder'!$L$10)&gt;'Entry Builder'!$E$10)))</f>
        <v/>
      </c>
      <c r="E665">
        <f>IF('Entry Builder'!$N$11=0,1,IF('Entry Builder'!$D$11="Less",--(INDEX(Sims!$A665:$BO665,'Entry Builder'!$L$11)&lt;'Entry Builder'!$E$11),--(INDEX(Sims!$A665:$BO665,'Entry Builder'!$L$11)&gt;'Entry Builder'!$E$11)))</f>
        <v/>
      </c>
      <c r="F665">
        <f>IF('Entry Builder'!$N$12=0,1,IF('Entry Builder'!$D$12="Less",--(INDEX(Sims!$A665:$BO665,'Entry Builder'!$L$12)&lt;'Entry Builder'!$E$12),--(INDEX(Sims!$A665:$BO665,'Entry Builder'!$L$12)&gt;'Entry Builder'!$E$12)))</f>
        <v/>
      </c>
      <c r="G665">
        <f>6-SUM(A665:F665)</f>
        <v/>
      </c>
    </row>
    <row r="666">
      <c r="A666">
        <f>IF('Entry Builder'!$N$7=0,1,IF('Entry Builder'!$D$7="Less",--(INDEX(Sims!$A666:$BO666,'Entry Builder'!$L$7)&lt;'Entry Builder'!$E$7),--(INDEX(Sims!$A666:$BO666,'Entry Builder'!$L$7)&gt;'Entry Builder'!$E$7)))</f>
        <v/>
      </c>
      <c r="B666">
        <f>IF('Entry Builder'!$N$8=0,1,IF('Entry Builder'!$D$8="Less",--(INDEX(Sims!$A666:$BO666,'Entry Builder'!$L$8)&lt;'Entry Builder'!$E$8),--(INDEX(Sims!$A666:$BO666,'Entry Builder'!$L$8)&gt;'Entry Builder'!$E$8)))</f>
        <v/>
      </c>
      <c r="C666">
        <f>IF('Entry Builder'!$N$9=0,1,IF('Entry Builder'!$D$9="Less",--(INDEX(Sims!$A666:$BO666,'Entry Builder'!$L$9)&lt;'Entry Builder'!$E$9),--(INDEX(Sims!$A666:$BO666,'Entry Builder'!$L$9)&gt;'Entry Builder'!$E$9)))</f>
        <v/>
      </c>
      <c r="D666">
        <f>IF('Entry Builder'!$N$10=0,1,IF('Entry Builder'!$D$10="Less",--(INDEX(Sims!$A666:$BO666,'Entry Builder'!$L$10)&lt;'Entry Builder'!$E$10),--(INDEX(Sims!$A666:$BO666,'Entry Builder'!$L$10)&gt;'Entry Builder'!$E$10)))</f>
        <v/>
      </c>
      <c r="E666">
        <f>IF('Entry Builder'!$N$11=0,1,IF('Entry Builder'!$D$11="Less",--(INDEX(Sims!$A666:$BO666,'Entry Builder'!$L$11)&lt;'Entry Builder'!$E$11),--(INDEX(Sims!$A666:$BO666,'Entry Builder'!$L$11)&gt;'Entry Builder'!$E$11)))</f>
        <v/>
      </c>
      <c r="F666">
        <f>IF('Entry Builder'!$N$12=0,1,IF('Entry Builder'!$D$12="Less",--(INDEX(Sims!$A666:$BO666,'Entry Builder'!$L$12)&lt;'Entry Builder'!$E$12),--(INDEX(Sims!$A666:$BO666,'Entry Builder'!$L$12)&gt;'Entry Builder'!$E$12)))</f>
        <v/>
      </c>
      <c r="G666">
        <f>6-SUM(A666:F666)</f>
        <v/>
      </c>
    </row>
    <row r="667">
      <c r="A667">
        <f>IF('Entry Builder'!$N$7=0,1,IF('Entry Builder'!$D$7="Less",--(INDEX(Sims!$A667:$BO667,'Entry Builder'!$L$7)&lt;'Entry Builder'!$E$7),--(INDEX(Sims!$A667:$BO667,'Entry Builder'!$L$7)&gt;'Entry Builder'!$E$7)))</f>
        <v/>
      </c>
      <c r="B667">
        <f>IF('Entry Builder'!$N$8=0,1,IF('Entry Builder'!$D$8="Less",--(INDEX(Sims!$A667:$BO667,'Entry Builder'!$L$8)&lt;'Entry Builder'!$E$8),--(INDEX(Sims!$A667:$BO667,'Entry Builder'!$L$8)&gt;'Entry Builder'!$E$8)))</f>
        <v/>
      </c>
      <c r="C667">
        <f>IF('Entry Builder'!$N$9=0,1,IF('Entry Builder'!$D$9="Less",--(INDEX(Sims!$A667:$BO667,'Entry Builder'!$L$9)&lt;'Entry Builder'!$E$9),--(INDEX(Sims!$A667:$BO667,'Entry Builder'!$L$9)&gt;'Entry Builder'!$E$9)))</f>
        <v/>
      </c>
      <c r="D667">
        <f>IF('Entry Builder'!$N$10=0,1,IF('Entry Builder'!$D$10="Less",--(INDEX(Sims!$A667:$BO667,'Entry Builder'!$L$10)&lt;'Entry Builder'!$E$10),--(INDEX(Sims!$A667:$BO667,'Entry Builder'!$L$10)&gt;'Entry Builder'!$E$10)))</f>
        <v/>
      </c>
      <c r="E667">
        <f>IF('Entry Builder'!$N$11=0,1,IF('Entry Builder'!$D$11="Less",--(INDEX(Sims!$A667:$BO667,'Entry Builder'!$L$11)&lt;'Entry Builder'!$E$11),--(INDEX(Sims!$A667:$BO667,'Entry Builder'!$L$11)&gt;'Entry Builder'!$E$11)))</f>
        <v/>
      </c>
      <c r="F667">
        <f>IF('Entry Builder'!$N$12=0,1,IF('Entry Builder'!$D$12="Less",--(INDEX(Sims!$A667:$BO667,'Entry Builder'!$L$12)&lt;'Entry Builder'!$E$12),--(INDEX(Sims!$A667:$BO667,'Entry Builder'!$L$12)&gt;'Entry Builder'!$E$12)))</f>
        <v/>
      </c>
      <c r="G667">
        <f>6-SUM(A667:F667)</f>
        <v/>
      </c>
    </row>
    <row r="668">
      <c r="A668">
        <f>IF('Entry Builder'!$N$7=0,1,IF('Entry Builder'!$D$7="Less",--(INDEX(Sims!$A668:$BO668,'Entry Builder'!$L$7)&lt;'Entry Builder'!$E$7),--(INDEX(Sims!$A668:$BO668,'Entry Builder'!$L$7)&gt;'Entry Builder'!$E$7)))</f>
        <v/>
      </c>
      <c r="B668">
        <f>IF('Entry Builder'!$N$8=0,1,IF('Entry Builder'!$D$8="Less",--(INDEX(Sims!$A668:$BO668,'Entry Builder'!$L$8)&lt;'Entry Builder'!$E$8),--(INDEX(Sims!$A668:$BO668,'Entry Builder'!$L$8)&gt;'Entry Builder'!$E$8)))</f>
        <v/>
      </c>
      <c r="C668">
        <f>IF('Entry Builder'!$N$9=0,1,IF('Entry Builder'!$D$9="Less",--(INDEX(Sims!$A668:$BO668,'Entry Builder'!$L$9)&lt;'Entry Builder'!$E$9),--(INDEX(Sims!$A668:$BO668,'Entry Builder'!$L$9)&gt;'Entry Builder'!$E$9)))</f>
        <v/>
      </c>
      <c r="D668">
        <f>IF('Entry Builder'!$N$10=0,1,IF('Entry Builder'!$D$10="Less",--(INDEX(Sims!$A668:$BO668,'Entry Builder'!$L$10)&lt;'Entry Builder'!$E$10),--(INDEX(Sims!$A668:$BO668,'Entry Builder'!$L$10)&gt;'Entry Builder'!$E$10)))</f>
        <v/>
      </c>
      <c r="E668">
        <f>IF('Entry Builder'!$N$11=0,1,IF('Entry Builder'!$D$11="Less",--(INDEX(Sims!$A668:$BO668,'Entry Builder'!$L$11)&lt;'Entry Builder'!$E$11),--(INDEX(Sims!$A668:$BO668,'Entry Builder'!$L$11)&gt;'Entry Builder'!$E$11)))</f>
        <v/>
      </c>
      <c r="F668">
        <f>IF('Entry Builder'!$N$12=0,1,IF('Entry Builder'!$D$12="Less",--(INDEX(Sims!$A668:$BO668,'Entry Builder'!$L$12)&lt;'Entry Builder'!$E$12),--(INDEX(Sims!$A668:$BO668,'Entry Builder'!$L$12)&gt;'Entry Builder'!$E$12)))</f>
        <v/>
      </c>
      <c r="G668">
        <f>6-SUM(A668:F668)</f>
        <v/>
      </c>
    </row>
    <row r="669">
      <c r="A669">
        <f>IF('Entry Builder'!$N$7=0,1,IF('Entry Builder'!$D$7="Less",--(INDEX(Sims!$A669:$BO669,'Entry Builder'!$L$7)&lt;'Entry Builder'!$E$7),--(INDEX(Sims!$A669:$BO669,'Entry Builder'!$L$7)&gt;'Entry Builder'!$E$7)))</f>
        <v/>
      </c>
      <c r="B669">
        <f>IF('Entry Builder'!$N$8=0,1,IF('Entry Builder'!$D$8="Less",--(INDEX(Sims!$A669:$BO669,'Entry Builder'!$L$8)&lt;'Entry Builder'!$E$8),--(INDEX(Sims!$A669:$BO669,'Entry Builder'!$L$8)&gt;'Entry Builder'!$E$8)))</f>
        <v/>
      </c>
      <c r="C669">
        <f>IF('Entry Builder'!$N$9=0,1,IF('Entry Builder'!$D$9="Less",--(INDEX(Sims!$A669:$BO669,'Entry Builder'!$L$9)&lt;'Entry Builder'!$E$9),--(INDEX(Sims!$A669:$BO669,'Entry Builder'!$L$9)&gt;'Entry Builder'!$E$9)))</f>
        <v/>
      </c>
      <c r="D669">
        <f>IF('Entry Builder'!$N$10=0,1,IF('Entry Builder'!$D$10="Less",--(INDEX(Sims!$A669:$BO669,'Entry Builder'!$L$10)&lt;'Entry Builder'!$E$10),--(INDEX(Sims!$A669:$BO669,'Entry Builder'!$L$10)&gt;'Entry Builder'!$E$10)))</f>
        <v/>
      </c>
      <c r="E669">
        <f>IF('Entry Builder'!$N$11=0,1,IF('Entry Builder'!$D$11="Less",--(INDEX(Sims!$A669:$BO669,'Entry Builder'!$L$11)&lt;'Entry Builder'!$E$11),--(INDEX(Sims!$A669:$BO669,'Entry Builder'!$L$11)&gt;'Entry Builder'!$E$11)))</f>
        <v/>
      </c>
      <c r="F669">
        <f>IF('Entry Builder'!$N$12=0,1,IF('Entry Builder'!$D$12="Less",--(INDEX(Sims!$A669:$BO669,'Entry Builder'!$L$12)&lt;'Entry Builder'!$E$12),--(INDEX(Sims!$A669:$BO669,'Entry Builder'!$L$12)&gt;'Entry Builder'!$E$12)))</f>
        <v/>
      </c>
      <c r="G669">
        <f>6-SUM(A669:F669)</f>
        <v/>
      </c>
    </row>
    <row r="670">
      <c r="A670">
        <f>IF('Entry Builder'!$N$7=0,1,IF('Entry Builder'!$D$7="Less",--(INDEX(Sims!$A670:$BO670,'Entry Builder'!$L$7)&lt;'Entry Builder'!$E$7),--(INDEX(Sims!$A670:$BO670,'Entry Builder'!$L$7)&gt;'Entry Builder'!$E$7)))</f>
        <v/>
      </c>
      <c r="B670">
        <f>IF('Entry Builder'!$N$8=0,1,IF('Entry Builder'!$D$8="Less",--(INDEX(Sims!$A670:$BO670,'Entry Builder'!$L$8)&lt;'Entry Builder'!$E$8),--(INDEX(Sims!$A670:$BO670,'Entry Builder'!$L$8)&gt;'Entry Builder'!$E$8)))</f>
        <v/>
      </c>
      <c r="C670">
        <f>IF('Entry Builder'!$N$9=0,1,IF('Entry Builder'!$D$9="Less",--(INDEX(Sims!$A670:$BO670,'Entry Builder'!$L$9)&lt;'Entry Builder'!$E$9),--(INDEX(Sims!$A670:$BO670,'Entry Builder'!$L$9)&gt;'Entry Builder'!$E$9)))</f>
        <v/>
      </c>
      <c r="D670">
        <f>IF('Entry Builder'!$N$10=0,1,IF('Entry Builder'!$D$10="Less",--(INDEX(Sims!$A670:$BO670,'Entry Builder'!$L$10)&lt;'Entry Builder'!$E$10),--(INDEX(Sims!$A670:$BO670,'Entry Builder'!$L$10)&gt;'Entry Builder'!$E$10)))</f>
        <v/>
      </c>
      <c r="E670">
        <f>IF('Entry Builder'!$N$11=0,1,IF('Entry Builder'!$D$11="Less",--(INDEX(Sims!$A670:$BO670,'Entry Builder'!$L$11)&lt;'Entry Builder'!$E$11),--(INDEX(Sims!$A670:$BO670,'Entry Builder'!$L$11)&gt;'Entry Builder'!$E$11)))</f>
        <v/>
      </c>
      <c r="F670">
        <f>IF('Entry Builder'!$N$12=0,1,IF('Entry Builder'!$D$12="Less",--(INDEX(Sims!$A670:$BO670,'Entry Builder'!$L$12)&lt;'Entry Builder'!$E$12),--(INDEX(Sims!$A670:$BO670,'Entry Builder'!$L$12)&gt;'Entry Builder'!$E$12)))</f>
        <v/>
      </c>
      <c r="G670">
        <f>6-SUM(A670:F670)</f>
        <v/>
      </c>
    </row>
    <row r="671">
      <c r="A671">
        <f>IF('Entry Builder'!$N$7=0,1,IF('Entry Builder'!$D$7="Less",--(INDEX(Sims!$A671:$BO671,'Entry Builder'!$L$7)&lt;'Entry Builder'!$E$7),--(INDEX(Sims!$A671:$BO671,'Entry Builder'!$L$7)&gt;'Entry Builder'!$E$7)))</f>
        <v/>
      </c>
      <c r="B671">
        <f>IF('Entry Builder'!$N$8=0,1,IF('Entry Builder'!$D$8="Less",--(INDEX(Sims!$A671:$BO671,'Entry Builder'!$L$8)&lt;'Entry Builder'!$E$8),--(INDEX(Sims!$A671:$BO671,'Entry Builder'!$L$8)&gt;'Entry Builder'!$E$8)))</f>
        <v/>
      </c>
      <c r="C671">
        <f>IF('Entry Builder'!$N$9=0,1,IF('Entry Builder'!$D$9="Less",--(INDEX(Sims!$A671:$BO671,'Entry Builder'!$L$9)&lt;'Entry Builder'!$E$9),--(INDEX(Sims!$A671:$BO671,'Entry Builder'!$L$9)&gt;'Entry Builder'!$E$9)))</f>
        <v/>
      </c>
      <c r="D671">
        <f>IF('Entry Builder'!$N$10=0,1,IF('Entry Builder'!$D$10="Less",--(INDEX(Sims!$A671:$BO671,'Entry Builder'!$L$10)&lt;'Entry Builder'!$E$10),--(INDEX(Sims!$A671:$BO671,'Entry Builder'!$L$10)&gt;'Entry Builder'!$E$10)))</f>
        <v/>
      </c>
      <c r="E671">
        <f>IF('Entry Builder'!$N$11=0,1,IF('Entry Builder'!$D$11="Less",--(INDEX(Sims!$A671:$BO671,'Entry Builder'!$L$11)&lt;'Entry Builder'!$E$11),--(INDEX(Sims!$A671:$BO671,'Entry Builder'!$L$11)&gt;'Entry Builder'!$E$11)))</f>
        <v/>
      </c>
      <c r="F671">
        <f>IF('Entry Builder'!$N$12=0,1,IF('Entry Builder'!$D$12="Less",--(INDEX(Sims!$A671:$BO671,'Entry Builder'!$L$12)&lt;'Entry Builder'!$E$12),--(INDEX(Sims!$A671:$BO671,'Entry Builder'!$L$12)&gt;'Entry Builder'!$E$12)))</f>
        <v/>
      </c>
      <c r="G671">
        <f>6-SUM(A671:F671)</f>
        <v/>
      </c>
    </row>
    <row r="672">
      <c r="A672">
        <f>IF('Entry Builder'!$N$7=0,1,IF('Entry Builder'!$D$7="Less",--(INDEX(Sims!$A672:$BO672,'Entry Builder'!$L$7)&lt;'Entry Builder'!$E$7),--(INDEX(Sims!$A672:$BO672,'Entry Builder'!$L$7)&gt;'Entry Builder'!$E$7)))</f>
        <v/>
      </c>
      <c r="B672">
        <f>IF('Entry Builder'!$N$8=0,1,IF('Entry Builder'!$D$8="Less",--(INDEX(Sims!$A672:$BO672,'Entry Builder'!$L$8)&lt;'Entry Builder'!$E$8),--(INDEX(Sims!$A672:$BO672,'Entry Builder'!$L$8)&gt;'Entry Builder'!$E$8)))</f>
        <v/>
      </c>
      <c r="C672">
        <f>IF('Entry Builder'!$N$9=0,1,IF('Entry Builder'!$D$9="Less",--(INDEX(Sims!$A672:$BO672,'Entry Builder'!$L$9)&lt;'Entry Builder'!$E$9),--(INDEX(Sims!$A672:$BO672,'Entry Builder'!$L$9)&gt;'Entry Builder'!$E$9)))</f>
        <v/>
      </c>
      <c r="D672">
        <f>IF('Entry Builder'!$N$10=0,1,IF('Entry Builder'!$D$10="Less",--(INDEX(Sims!$A672:$BO672,'Entry Builder'!$L$10)&lt;'Entry Builder'!$E$10),--(INDEX(Sims!$A672:$BO672,'Entry Builder'!$L$10)&gt;'Entry Builder'!$E$10)))</f>
        <v/>
      </c>
      <c r="E672">
        <f>IF('Entry Builder'!$N$11=0,1,IF('Entry Builder'!$D$11="Less",--(INDEX(Sims!$A672:$BO672,'Entry Builder'!$L$11)&lt;'Entry Builder'!$E$11),--(INDEX(Sims!$A672:$BO672,'Entry Builder'!$L$11)&gt;'Entry Builder'!$E$11)))</f>
        <v/>
      </c>
      <c r="F672">
        <f>IF('Entry Builder'!$N$12=0,1,IF('Entry Builder'!$D$12="Less",--(INDEX(Sims!$A672:$BO672,'Entry Builder'!$L$12)&lt;'Entry Builder'!$E$12),--(INDEX(Sims!$A672:$BO672,'Entry Builder'!$L$12)&gt;'Entry Builder'!$E$12)))</f>
        <v/>
      </c>
      <c r="G672">
        <f>6-SUM(A672:F672)</f>
        <v/>
      </c>
    </row>
    <row r="673">
      <c r="A673">
        <f>IF('Entry Builder'!$N$7=0,1,IF('Entry Builder'!$D$7="Less",--(INDEX(Sims!$A673:$BO673,'Entry Builder'!$L$7)&lt;'Entry Builder'!$E$7),--(INDEX(Sims!$A673:$BO673,'Entry Builder'!$L$7)&gt;'Entry Builder'!$E$7)))</f>
        <v/>
      </c>
      <c r="B673">
        <f>IF('Entry Builder'!$N$8=0,1,IF('Entry Builder'!$D$8="Less",--(INDEX(Sims!$A673:$BO673,'Entry Builder'!$L$8)&lt;'Entry Builder'!$E$8),--(INDEX(Sims!$A673:$BO673,'Entry Builder'!$L$8)&gt;'Entry Builder'!$E$8)))</f>
        <v/>
      </c>
      <c r="C673">
        <f>IF('Entry Builder'!$N$9=0,1,IF('Entry Builder'!$D$9="Less",--(INDEX(Sims!$A673:$BO673,'Entry Builder'!$L$9)&lt;'Entry Builder'!$E$9),--(INDEX(Sims!$A673:$BO673,'Entry Builder'!$L$9)&gt;'Entry Builder'!$E$9)))</f>
        <v/>
      </c>
      <c r="D673">
        <f>IF('Entry Builder'!$N$10=0,1,IF('Entry Builder'!$D$10="Less",--(INDEX(Sims!$A673:$BO673,'Entry Builder'!$L$10)&lt;'Entry Builder'!$E$10),--(INDEX(Sims!$A673:$BO673,'Entry Builder'!$L$10)&gt;'Entry Builder'!$E$10)))</f>
        <v/>
      </c>
      <c r="E673">
        <f>IF('Entry Builder'!$N$11=0,1,IF('Entry Builder'!$D$11="Less",--(INDEX(Sims!$A673:$BO673,'Entry Builder'!$L$11)&lt;'Entry Builder'!$E$11),--(INDEX(Sims!$A673:$BO673,'Entry Builder'!$L$11)&gt;'Entry Builder'!$E$11)))</f>
        <v/>
      </c>
      <c r="F673">
        <f>IF('Entry Builder'!$N$12=0,1,IF('Entry Builder'!$D$12="Less",--(INDEX(Sims!$A673:$BO673,'Entry Builder'!$L$12)&lt;'Entry Builder'!$E$12),--(INDEX(Sims!$A673:$BO673,'Entry Builder'!$L$12)&gt;'Entry Builder'!$E$12)))</f>
        <v/>
      </c>
      <c r="G673">
        <f>6-SUM(A673:F673)</f>
        <v/>
      </c>
    </row>
    <row r="674">
      <c r="A674">
        <f>IF('Entry Builder'!$N$7=0,1,IF('Entry Builder'!$D$7="Less",--(INDEX(Sims!$A674:$BO674,'Entry Builder'!$L$7)&lt;'Entry Builder'!$E$7),--(INDEX(Sims!$A674:$BO674,'Entry Builder'!$L$7)&gt;'Entry Builder'!$E$7)))</f>
        <v/>
      </c>
      <c r="B674">
        <f>IF('Entry Builder'!$N$8=0,1,IF('Entry Builder'!$D$8="Less",--(INDEX(Sims!$A674:$BO674,'Entry Builder'!$L$8)&lt;'Entry Builder'!$E$8),--(INDEX(Sims!$A674:$BO674,'Entry Builder'!$L$8)&gt;'Entry Builder'!$E$8)))</f>
        <v/>
      </c>
      <c r="C674">
        <f>IF('Entry Builder'!$N$9=0,1,IF('Entry Builder'!$D$9="Less",--(INDEX(Sims!$A674:$BO674,'Entry Builder'!$L$9)&lt;'Entry Builder'!$E$9),--(INDEX(Sims!$A674:$BO674,'Entry Builder'!$L$9)&gt;'Entry Builder'!$E$9)))</f>
        <v/>
      </c>
      <c r="D674">
        <f>IF('Entry Builder'!$N$10=0,1,IF('Entry Builder'!$D$10="Less",--(INDEX(Sims!$A674:$BO674,'Entry Builder'!$L$10)&lt;'Entry Builder'!$E$10),--(INDEX(Sims!$A674:$BO674,'Entry Builder'!$L$10)&gt;'Entry Builder'!$E$10)))</f>
        <v/>
      </c>
      <c r="E674">
        <f>IF('Entry Builder'!$N$11=0,1,IF('Entry Builder'!$D$11="Less",--(INDEX(Sims!$A674:$BO674,'Entry Builder'!$L$11)&lt;'Entry Builder'!$E$11),--(INDEX(Sims!$A674:$BO674,'Entry Builder'!$L$11)&gt;'Entry Builder'!$E$11)))</f>
        <v/>
      </c>
      <c r="F674">
        <f>IF('Entry Builder'!$N$12=0,1,IF('Entry Builder'!$D$12="Less",--(INDEX(Sims!$A674:$BO674,'Entry Builder'!$L$12)&lt;'Entry Builder'!$E$12),--(INDEX(Sims!$A674:$BO674,'Entry Builder'!$L$12)&gt;'Entry Builder'!$E$12)))</f>
        <v/>
      </c>
      <c r="G674">
        <f>6-SUM(A674:F674)</f>
        <v/>
      </c>
    </row>
    <row r="675">
      <c r="A675">
        <f>IF('Entry Builder'!$N$7=0,1,IF('Entry Builder'!$D$7="Less",--(INDEX(Sims!$A675:$BO675,'Entry Builder'!$L$7)&lt;'Entry Builder'!$E$7),--(INDEX(Sims!$A675:$BO675,'Entry Builder'!$L$7)&gt;'Entry Builder'!$E$7)))</f>
        <v/>
      </c>
      <c r="B675">
        <f>IF('Entry Builder'!$N$8=0,1,IF('Entry Builder'!$D$8="Less",--(INDEX(Sims!$A675:$BO675,'Entry Builder'!$L$8)&lt;'Entry Builder'!$E$8),--(INDEX(Sims!$A675:$BO675,'Entry Builder'!$L$8)&gt;'Entry Builder'!$E$8)))</f>
        <v/>
      </c>
      <c r="C675">
        <f>IF('Entry Builder'!$N$9=0,1,IF('Entry Builder'!$D$9="Less",--(INDEX(Sims!$A675:$BO675,'Entry Builder'!$L$9)&lt;'Entry Builder'!$E$9),--(INDEX(Sims!$A675:$BO675,'Entry Builder'!$L$9)&gt;'Entry Builder'!$E$9)))</f>
        <v/>
      </c>
      <c r="D675">
        <f>IF('Entry Builder'!$N$10=0,1,IF('Entry Builder'!$D$10="Less",--(INDEX(Sims!$A675:$BO675,'Entry Builder'!$L$10)&lt;'Entry Builder'!$E$10),--(INDEX(Sims!$A675:$BO675,'Entry Builder'!$L$10)&gt;'Entry Builder'!$E$10)))</f>
        <v/>
      </c>
      <c r="E675">
        <f>IF('Entry Builder'!$N$11=0,1,IF('Entry Builder'!$D$11="Less",--(INDEX(Sims!$A675:$BO675,'Entry Builder'!$L$11)&lt;'Entry Builder'!$E$11),--(INDEX(Sims!$A675:$BO675,'Entry Builder'!$L$11)&gt;'Entry Builder'!$E$11)))</f>
        <v/>
      </c>
      <c r="F675">
        <f>IF('Entry Builder'!$N$12=0,1,IF('Entry Builder'!$D$12="Less",--(INDEX(Sims!$A675:$BO675,'Entry Builder'!$L$12)&lt;'Entry Builder'!$E$12),--(INDEX(Sims!$A675:$BO675,'Entry Builder'!$L$12)&gt;'Entry Builder'!$E$12)))</f>
        <v/>
      </c>
      <c r="G675">
        <f>6-SUM(A675:F675)</f>
        <v/>
      </c>
    </row>
    <row r="676">
      <c r="A676">
        <f>IF('Entry Builder'!$N$7=0,1,IF('Entry Builder'!$D$7="Less",--(INDEX(Sims!$A676:$BO676,'Entry Builder'!$L$7)&lt;'Entry Builder'!$E$7),--(INDEX(Sims!$A676:$BO676,'Entry Builder'!$L$7)&gt;'Entry Builder'!$E$7)))</f>
        <v/>
      </c>
      <c r="B676">
        <f>IF('Entry Builder'!$N$8=0,1,IF('Entry Builder'!$D$8="Less",--(INDEX(Sims!$A676:$BO676,'Entry Builder'!$L$8)&lt;'Entry Builder'!$E$8),--(INDEX(Sims!$A676:$BO676,'Entry Builder'!$L$8)&gt;'Entry Builder'!$E$8)))</f>
        <v/>
      </c>
      <c r="C676">
        <f>IF('Entry Builder'!$N$9=0,1,IF('Entry Builder'!$D$9="Less",--(INDEX(Sims!$A676:$BO676,'Entry Builder'!$L$9)&lt;'Entry Builder'!$E$9),--(INDEX(Sims!$A676:$BO676,'Entry Builder'!$L$9)&gt;'Entry Builder'!$E$9)))</f>
        <v/>
      </c>
      <c r="D676">
        <f>IF('Entry Builder'!$N$10=0,1,IF('Entry Builder'!$D$10="Less",--(INDEX(Sims!$A676:$BO676,'Entry Builder'!$L$10)&lt;'Entry Builder'!$E$10),--(INDEX(Sims!$A676:$BO676,'Entry Builder'!$L$10)&gt;'Entry Builder'!$E$10)))</f>
        <v/>
      </c>
      <c r="E676">
        <f>IF('Entry Builder'!$N$11=0,1,IF('Entry Builder'!$D$11="Less",--(INDEX(Sims!$A676:$BO676,'Entry Builder'!$L$11)&lt;'Entry Builder'!$E$11),--(INDEX(Sims!$A676:$BO676,'Entry Builder'!$L$11)&gt;'Entry Builder'!$E$11)))</f>
        <v/>
      </c>
      <c r="F676">
        <f>IF('Entry Builder'!$N$12=0,1,IF('Entry Builder'!$D$12="Less",--(INDEX(Sims!$A676:$BO676,'Entry Builder'!$L$12)&lt;'Entry Builder'!$E$12),--(INDEX(Sims!$A676:$BO676,'Entry Builder'!$L$12)&gt;'Entry Builder'!$E$12)))</f>
        <v/>
      </c>
      <c r="G676">
        <f>6-SUM(A676:F676)</f>
        <v/>
      </c>
    </row>
    <row r="677">
      <c r="A677">
        <f>IF('Entry Builder'!$N$7=0,1,IF('Entry Builder'!$D$7="Less",--(INDEX(Sims!$A677:$BO677,'Entry Builder'!$L$7)&lt;'Entry Builder'!$E$7),--(INDEX(Sims!$A677:$BO677,'Entry Builder'!$L$7)&gt;'Entry Builder'!$E$7)))</f>
        <v/>
      </c>
      <c r="B677">
        <f>IF('Entry Builder'!$N$8=0,1,IF('Entry Builder'!$D$8="Less",--(INDEX(Sims!$A677:$BO677,'Entry Builder'!$L$8)&lt;'Entry Builder'!$E$8),--(INDEX(Sims!$A677:$BO677,'Entry Builder'!$L$8)&gt;'Entry Builder'!$E$8)))</f>
        <v/>
      </c>
      <c r="C677">
        <f>IF('Entry Builder'!$N$9=0,1,IF('Entry Builder'!$D$9="Less",--(INDEX(Sims!$A677:$BO677,'Entry Builder'!$L$9)&lt;'Entry Builder'!$E$9),--(INDEX(Sims!$A677:$BO677,'Entry Builder'!$L$9)&gt;'Entry Builder'!$E$9)))</f>
        <v/>
      </c>
      <c r="D677">
        <f>IF('Entry Builder'!$N$10=0,1,IF('Entry Builder'!$D$10="Less",--(INDEX(Sims!$A677:$BO677,'Entry Builder'!$L$10)&lt;'Entry Builder'!$E$10),--(INDEX(Sims!$A677:$BO677,'Entry Builder'!$L$10)&gt;'Entry Builder'!$E$10)))</f>
        <v/>
      </c>
      <c r="E677">
        <f>IF('Entry Builder'!$N$11=0,1,IF('Entry Builder'!$D$11="Less",--(INDEX(Sims!$A677:$BO677,'Entry Builder'!$L$11)&lt;'Entry Builder'!$E$11),--(INDEX(Sims!$A677:$BO677,'Entry Builder'!$L$11)&gt;'Entry Builder'!$E$11)))</f>
        <v/>
      </c>
      <c r="F677">
        <f>IF('Entry Builder'!$N$12=0,1,IF('Entry Builder'!$D$12="Less",--(INDEX(Sims!$A677:$BO677,'Entry Builder'!$L$12)&lt;'Entry Builder'!$E$12),--(INDEX(Sims!$A677:$BO677,'Entry Builder'!$L$12)&gt;'Entry Builder'!$E$12)))</f>
        <v/>
      </c>
      <c r="G677">
        <f>6-SUM(A677:F677)</f>
        <v/>
      </c>
    </row>
    <row r="678">
      <c r="A678">
        <f>IF('Entry Builder'!$N$7=0,1,IF('Entry Builder'!$D$7="Less",--(INDEX(Sims!$A678:$BO678,'Entry Builder'!$L$7)&lt;'Entry Builder'!$E$7),--(INDEX(Sims!$A678:$BO678,'Entry Builder'!$L$7)&gt;'Entry Builder'!$E$7)))</f>
        <v/>
      </c>
      <c r="B678">
        <f>IF('Entry Builder'!$N$8=0,1,IF('Entry Builder'!$D$8="Less",--(INDEX(Sims!$A678:$BO678,'Entry Builder'!$L$8)&lt;'Entry Builder'!$E$8),--(INDEX(Sims!$A678:$BO678,'Entry Builder'!$L$8)&gt;'Entry Builder'!$E$8)))</f>
        <v/>
      </c>
      <c r="C678">
        <f>IF('Entry Builder'!$N$9=0,1,IF('Entry Builder'!$D$9="Less",--(INDEX(Sims!$A678:$BO678,'Entry Builder'!$L$9)&lt;'Entry Builder'!$E$9),--(INDEX(Sims!$A678:$BO678,'Entry Builder'!$L$9)&gt;'Entry Builder'!$E$9)))</f>
        <v/>
      </c>
      <c r="D678">
        <f>IF('Entry Builder'!$N$10=0,1,IF('Entry Builder'!$D$10="Less",--(INDEX(Sims!$A678:$BO678,'Entry Builder'!$L$10)&lt;'Entry Builder'!$E$10),--(INDEX(Sims!$A678:$BO678,'Entry Builder'!$L$10)&gt;'Entry Builder'!$E$10)))</f>
        <v/>
      </c>
      <c r="E678">
        <f>IF('Entry Builder'!$N$11=0,1,IF('Entry Builder'!$D$11="Less",--(INDEX(Sims!$A678:$BO678,'Entry Builder'!$L$11)&lt;'Entry Builder'!$E$11),--(INDEX(Sims!$A678:$BO678,'Entry Builder'!$L$11)&gt;'Entry Builder'!$E$11)))</f>
        <v/>
      </c>
      <c r="F678">
        <f>IF('Entry Builder'!$N$12=0,1,IF('Entry Builder'!$D$12="Less",--(INDEX(Sims!$A678:$BO678,'Entry Builder'!$L$12)&lt;'Entry Builder'!$E$12),--(INDEX(Sims!$A678:$BO678,'Entry Builder'!$L$12)&gt;'Entry Builder'!$E$12)))</f>
        <v/>
      </c>
      <c r="G678">
        <f>6-SUM(A678:F678)</f>
        <v/>
      </c>
    </row>
    <row r="679">
      <c r="A679">
        <f>IF('Entry Builder'!$N$7=0,1,IF('Entry Builder'!$D$7="Less",--(INDEX(Sims!$A679:$BO679,'Entry Builder'!$L$7)&lt;'Entry Builder'!$E$7),--(INDEX(Sims!$A679:$BO679,'Entry Builder'!$L$7)&gt;'Entry Builder'!$E$7)))</f>
        <v/>
      </c>
      <c r="B679">
        <f>IF('Entry Builder'!$N$8=0,1,IF('Entry Builder'!$D$8="Less",--(INDEX(Sims!$A679:$BO679,'Entry Builder'!$L$8)&lt;'Entry Builder'!$E$8),--(INDEX(Sims!$A679:$BO679,'Entry Builder'!$L$8)&gt;'Entry Builder'!$E$8)))</f>
        <v/>
      </c>
      <c r="C679">
        <f>IF('Entry Builder'!$N$9=0,1,IF('Entry Builder'!$D$9="Less",--(INDEX(Sims!$A679:$BO679,'Entry Builder'!$L$9)&lt;'Entry Builder'!$E$9),--(INDEX(Sims!$A679:$BO679,'Entry Builder'!$L$9)&gt;'Entry Builder'!$E$9)))</f>
        <v/>
      </c>
      <c r="D679">
        <f>IF('Entry Builder'!$N$10=0,1,IF('Entry Builder'!$D$10="Less",--(INDEX(Sims!$A679:$BO679,'Entry Builder'!$L$10)&lt;'Entry Builder'!$E$10),--(INDEX(Sims!$A679:$BO679,'Entry Builder'!$L$10)&gt;'Entry Builder'!$E$10)))</f>
        <v/>
      </c>
      <c r="E679">
        <f>IF('Entry Builder'!$N$11=0,1,IF('Entry Builder'!$D$11="Less",--(INDEX(Sims!$A679:$BO679,'Entry Builder'!$L$11)&lt;'Entry Builder'!$E$11),--(INDEX(Sims!$A679:$BO679,'Entry Builder'!$L$11)&gt;'Entry Builder'!$E$11)))</f>
        <v/>
      </c>
      <c r="F679">
        <f>IF('Entry Builder'!$N$12=0,1,IF('Entry Builder'!$D$12="Less",--(INDEX(Sims!$A679:$BO679,'Entry Builder'!$L$12)&lt;'Entry Builder'!$E$12),--(INDEX(Sims!$A679:$BO679,'Entry Builder'!$L$12)&gt;'Entry Builder'!$E$12)))</f>
        <v/>
      </c>
      <c r="G679">
        <f>6-SUM(A679:F679)</f>
        <v/>
      </c>
    </row>
    <row r="680">
      <c r="A680">
        <f>IF('Entry Builder'!$N$7=0,1,IF('Entry Builder'!$D$7="Less",--(INDEX(Sims!$A680:$BO680,'Entry Builder'!$L$7)&lt;'Entry Builder'!$E$7),--(INDEX(Sims!$A680:$BO680,'Entry Builder'!$L$7)&gt;'Entry Builder'!$E$7)))</f>
        <v/>
      </c>
      <c r="B680">
        <f>IF('Entry Builder'!$N$8=0,1,IF('Entry Builder'!$D$8="Less",--(INDEX(Sims!$A680:$BO680,'Entry Builder'!$L$8)&lt;'Entry Builder'!$E$8),--(INDEX(Sims!$A680:$BO680,'Entry Builder'!$L$8)&gt;'Entry Builder'!$E$8)))</f>
        <v/>
      </c>
      <c r="C680">
        <f>IF('Entry Builder'!$N$9=0,1,IF('Entry Builder'!$D$9="Less",--(INDEX(Sims!$A680:$BO680,'Entry Builder'!$L$9)&lt;'Entry Builder'!$E$9),--(INDEX(Sims!$A680:$BO680,'Entry Builder'!$L$9)&gt;'Entry Builder'!$E$9)))</f>
        <v/>
      </c>
      <c r="D680">
        <f>IF('Entry Builder'!$N$10=0,1,IF('Entry Builder'!$D$10="Less",--(INDEX(Sims!$A680:$BO680,'Entry Builder'!$L$10)&lt;'Entry Builder'!$E$10),--(INDEX(Sims!$A680:$BO680,'Entry Builder'!$L$10)&gt;'Entry Builder'!$E$10)))</f>
        <v/>
      </c>
      <c r="E680">
        <f>IF('Entry Builder'!$N$11=0,1,IF('Entry Builder'!$D$11="Less",--(INDEX(Sims!$A680:$BO680,'Entry Builder'!$L$11)&lt;'Entry Builder'!$E$11),--(INDEX(Sims!$A680:$BO680,'Entry Builder'!$L$11)&gt;'Entry Builder'!$E$11)))</f>
        <v/>
      </c>
      <c r="F680">
        <f>IF('Entry Builder'!$N$12=0,1,IF('Entry Builder'!$D$12="Less",--(INDEX(Sims!$A680:$BO680,'Entry Builder'!$L$12)&lt;'Entry Builder'!$E$12),--(INDEX(Sims!$A680:$BO680,'Entry Builder'!$L$12)&gt;'Entry Builder'!$E$12)))</f>
        <v/>
      </c>
      <c r="G680">
        <f>6-SUM(A680:F680)</f>
        <v/>
      </c>
    </row>
    <row r="681">
      <c r="A681">
        <f>IF('Entry Builder'!$N$7=0,1,IF('Entry Builder'!$D$7="Less",--(INDEX(Sims!$A681:$BO681,'Entry Builder'!$L$7)&lt;'Entry Builder'!$E$7),--(INDEX(Sims!$A681:$BO681,'Entry Builder'!$L$7)&gt;'Entry Builder'!$E$7)))</f>
        <v/>
      </c>
      <c r="B681">
        <f>IF('Entry Builder'!$N$8=0,1,IF('Entry Builder'!$D$8="Less",--(INDEX(Sims!$A681:$BO681,'Entry Builder'!$L$8)&lt;'Entry Builder'!$E$8),--(INDEX(Sims!$A681:$BO681,'Entry Builder'!$L$8)&gt;'Entry Builder'!$E$8)))</f>
        <v/>
      </c>
      <c r="C681">
        <f>IF('Entry Builder'!$N$9=0,1,IF('Entry Builder'!$D$9="Less",--(INDEX(Sims!$A681:$BO681,'Entry Builder'!$L$9)&lt;'Entry Builder'!$E$9),--(INDEX(Sims!$A681:$BO681,'Entry Builder'!$L$9)&gt;'Entry Builder'!$E$9)))</f>
        <v/>
      </c>
      <c r="D681">
        <f>IF('Entry Builder'!$N$10=0,1,IF('Entry Builder'!$D$10="Less",--(INDEX(Sims!$A681:$BO681,'Entry Builder'!$L$10)&lt;'Entry Builder'!$E$10),--(INDEX(Sims!$A681:$BO681,'Entry Builder'!$L$10)&gt;'Entry Builder'!$E$10)))</f>
        <v/>
      </c>
      <c r="E681">
        <f>IF('Entry Builder'!$N$11=0,1,IF('Entry Builder'!$D$11="Less",--(INDEX(Sims!$A681:$BO681,'Entry Builder'!$L$11)&lt;'Entry Builder'!$E$11),--(INDEX(Sims!$A681:$BO681,'Entry Builder'!$L$11)&gt;'Entry Builder'!$E$11)))</f>
        <v/>
      </c>
      <c r="F681">
        <f>IF('Entry Builder'!$N$12=0,1,IF('Entry Builder'!$D$12="Less",--(INDEX(Sims!$A681:$BO681,'Entry Builder'!$L$12)&lt;'Entry Builder'!$E$12),--(INDEX(Sims!$A681:$BO681,'Entry Builder'!$L$12)&gt;'Entry Builder'!$E$12)))</f>
        <v/>
      </c>
      <c r="G681">
        <f>6-SUM(A681:F681)</f>
        <v/>
      </c>
    </row>
    <row r="682">
      <c r="A682">
        <f>IF('Entry Builder'!$N$7=0,1,IF('Entry Builder'!$D$7="Less",--(INDEX(Sims!$A682:$BO682,'Entry Builder'!$L$7)&lt;'Entry Builder'!$E$7),--(INDEX(Sims!$A682:$BO682,'Entry Builder'!$L$7)&gt;'Entry Builder'!$E$7)))</f>
        <v/>
      </c>
      <c r="B682">
        <f>IF('Entry Builder'!$N$8=0,1,IF('Entry Builder'!$D$8="Less",--(INDEX(Sims!$A682:$BO682,'Entry Builder'!$L$8)&lt;'Entry Builder'!$E$8),--(INDEX(Sims!$A682:$BO682,'Entry Builder'!$L$8)&gt;'Entry Builder'!$E$8)))</f>
        <v/>
      </c>
      <c r="C682">
        <f>IF('Entry Builder'!$N$9=0,1,IF('Entry Builder'!$D$9="Less",--(INDEX(Sims!$A682:$BO682,'Entry Builder'!$L$9)&lt;'Entry Builder'!$E$9),--(INDEX(Sims!$A682:$BO682,'Entry Builder'!$L$9)&gt;'Entry Builder'!$E$9)))</f>
        <v/>
      </c>
      <c r="D682">
        <f>IF('Entry Builder'!$N$10=0,1,IF('Entry Builder'!$D$10="Less",--(INDEX(Sims!$A682:$BO682,'Entry Builder'!$L$10)&lt;'Entry Builder'!$E$10),--(INDEX(Sims!$A682:$BO682,'Entry Builder'!$L$10)&gt;'Entry Builder'!$E$10)))</f>
        <v/>
      </c>
      <c r="E682">
        <f>IF('Entry Builder'!$N$11=0,1,IF('Entry Builder'!$D$11="Less",--(INDEX(Sims!$A682:$BO682,'Entry Builder'!$L$11)&lt;'Entry Builder'!$E$11),--(INDEX(Sims!$A682:$BO682,'Entry Builder'!$L$11)&gt;'Entry Builder'!$E$11)))</f>
        <v/>
      </c>
      <c r="F682">
        <f>IF('Entry Builder'!$N$12=0,1,IF('Entry Builder'!$D$12="Less",--(INDEX(Sims!$A682:$BO682,'Entry Builder'!$L$12)&lt;'Entry Builder'!$E$12),--(INDEX(Sims!$A682:$BO682,'Entry Builder'!$L$12)&gt;'Entry Builder'!$E$12)))</f>
        <v/>
      </c>
      <c r="G682">
        <f>6-SUM(A682:F682)</f>
        <v/>
      </c>
    </row>
    <row r="683">
      <c r="A683">
        <f>IF('Entry Builder'!$N$7=0,1,IF('Entry Builder'!$D$7="Less",--(INDEX(Sims!$A683:$BO683,'Entry Builder'!$L$7)&lt;'Entry Builder'!$E$7),--(INDEX(Sims!$A683:$BO683,'Entry Builder'!$L$7)&gt;'Entry Builder'!$E$7)))</f>
        <v/>
      </c>
      <c r="B683">
        <f>IF('Entry Builder'!$N$8=0,1,IF('Entry Builder'!$D$8="Less",--(INDEX(Sims!$A683:$BO683,'Entry Builder'!$L$8)&lt;'Entry Builder'!$E$8),--(INDEX(Sims!$A683:$BO683,'Entry Builder'!$L$8)&gt;'Entry Builder'!$E$8)))</f>
        <v/>
      </c>
      <c r="C683">
        <f>IF('Entry Builder'!$N$9=0,1,IF('Entry Builder'!$D$9="Less",--(INDEX(Sims!$A683:$BO683,'Entry Builder'!$L$9)&lt;'Entry Builder'!$E$9),--(INDEX(Sims!$A683:$BO683,'Entry Builder'!$L$9)&gt;'Entry Builder'!$E$9)))</f>
        <v/>
      </c>
      <c r="D683">
        <f>IF('Entry Builder'!$N$10=0,1,IF('Entry Builder'!$D$10="Less",--(INDEX(Sims!$A683:$BO683,'Entry Builder'!$L$10)&lt;'Entry Builder'!$E$10),--(INDEX(Sims!$A683:$BO683,'Entry Builder'!$L$10)&gt;'Entry Builder'!$E$10)))</f>
        <v/>
      </c>
      <c r="E683">
        <f>IF('Entry Builder'!$N$11=0,1,IF('Entry Builder'!$D$11="Less",--(INDEX(Sims!$A683:$BO683,'Entry Builder'!$L$11)&lt;'Entry Builder'!$E$11),--(INDEX(Sims!$A683:$BO683,'Entry Builder'!$L$11)&gt;'Entry Builder'!$E$11)))</f>
        <v/>
      </c>
      <c r="F683">
        <f>IF('Entry Builder'!$N$12=0,1,IF('Entry Builder'!$D$12="Less",--(INDEX(Sims!$A683:$BO683,'Entry Builder'!$L$12)&lt;'Entry Builder'!$E$12),--(INDEX(Sims!$A683:$BO683,'Entry Builder'!$L$12)&gt;'Entry Builder'!$E$12)))</f>
        <v/>
      </c>
      <c r="G683">
        <f>6-SUM(A683:F683)</f>
        <v/>
      </c>
    </row>
    <row r="684">
      <c r="A684">
        <f>IF('Entry Builder'!$N$7=0,1,IF('Entry Builder'!$D$7="Less",--(INDEX(Sims!$A684:$BO684,'Entry Builder'!$L$7)&lt;'Entry Builder'!$E$7),--(INDEX(Sims!$A684:$BO684,'Entry Builder'!$L$7)&gt;'Entry Builder'!$E$7)))</f>
        <v/>
      </c>
      <c r="B684">
        <f>IF('Entry Builder'!$N$8=0,1,IF('Entry Builder'!$D$8="Less",--(INDEX(Sims!$A684:$BO684,'Entry Builder'!$L$8)&lt;'Entry Builder'!$E$8),--(INDEX(Sims!$A684:$BO684,'Entry Builder'!$L$8)&gt;'Entry Builder'!$E$8)))</f>
        <v/>
      </c>
      <c r="C684">
        <f>IF('Entry Builder'!$N$9=0,1,IF('Entry Builder'!$D$9="Less",--(INDEX(Sims!$A684:$BO684,'Entry Builder'!$L$9)&lt;'Entry Builder'!$E$9),--(INDEX(Sims!$A684:$BO684,'Entry Builder'!$L$9)&gt;'Entry Builder'!$E$9)))</f>
        <v/>
      </c>
      <c r="D684">
        <f>IF('Entry Builder'!$N$10=0,1,IF('Entry Builder'!$D$10="Less",--(INDEX(Sims!$A684:$BO684,'Entry Builder'!$L$10)&lt;'Entry Builder'!$E$10),--(INDEX(Sims!$A684:$BO684,'Entry Builder'!$L$10)&gt;'Entry Builder'!$E$10)))</f>
        <v/>
      </c>
      <c r="E684">
        <f>IF('Entry Builder'!$N$11=0,1,IF('Entry Builder'!$D$11="Less",--(INDEX(Sims!$A684:$BO684,'Entry Builder'!$L$11)&lt;'Entry Builder'!$E$11),--(INDEX(Sims!$A684:$BO684,'Entry Builder'!$L$11)&gt;'Entry Builder'!$E$11)))</f>
        <v/>
      </c>
      <c r="F684">
        <f>IF('Entry Builder'!$N$12=0,1,IF('Entry Builder'!$D$12="Less",--(INDEX(Sims!$A684:$BO684,'Entry Builder'!$L$12)&lt;'Entry Builder'!$E$12),--(INDEX(Sims!$A684:$BO684,'Entry Builder'!$L$12)&gt;'Entry Builder'!$E$12)))</f>
        <v/>
      </c>
      <c r="G684">
        <f>6-SUM(A684:F684)</f>
        <v/>
      </c>
    </row>
    <row r="685">
      <c r="A685">
        <f>IF('Entry Builder'!$N$7=0,1,IF('Entry Builder'!$D$7="Less",--(INDEX(Sims!$A685:$BO685,'Entry Builder'!$L$7)&lt;'Entry Builder'!$E$7),--(INDEX(Sims!$A685:$BO685,'Entry Builder'!$L$7)&gt;'Entry Builder'!$E$7)))</f>
        <v/>
      </c>
      <c r="B685">
        <f>IF('Entry Builder'!$N$8=0,1,IF('Entry Builder'!$D$8="Less",--(INDEX(Sims!$A685:$BO685,'Entry Builder'!$L$8)&lt;'Entry Builder'!$E$8),--(INDEX(Sims!$A685:$BO685,'Entry Builder'!$L$8)&gt;'Entry Builder'!$E$8)))</f>
        <v/>
      </c>
      <c r="C685">
        <f>IF('Entry Builder'!$N$9=0,1,IF('Entry Builder'!$D$9="Less",--(INDEX(Sims!$A685:$BO685,'Entry Builder'!$L$9)&lt;'Entry Builder'!$E$9),--(INDEX(Sims!$A685:$BO685,'Entry Builder'!$L$9)&gt;'Entry Builder'!$E$9)))</f>
        <v/>
      </c>
      <c r="D685">
        <f>IF('Entry Builder'!$N$10=0,1,IF('Entry Builder'!$D$10="Less",--(INDEX(Sims!$A685:$BO685,'Entry Builder'!$L$10)&lt;'Entry Builder'!$E$10),--(INDEX(Sims!$A685:$BO685,'Entry Builder'!$L$10)&gt;'Entry Builder'!$E$10)))</f>
        <v/>
      </c>
      <c r="E685">
        <f>IF('Entry Builder'!$N$11=0,1,IF('Entry Builder'!$D$11="Less",--(INDEX(Sims!$A685:$BO685,'Entry Builder'!$L$11)&lt;'Entry Builder'!$E$11),--(INDEX(Sims!$A685:$BO685,'Entry Builder'!$L$11)&gt;'Entry Builder'!$E$11)))</f>
        <v/>
      </c>
      <c r="F685">
        <f>IF('Entry Builder'!$N$12=0,1,IF('Entry Builder'!$D$12="Less",--(INDEX(Sims!$A685:$BO685,'Entry Builder'!$L$12)&lt;'Entry Builder'!$E$12),--(INDEX(Sims!$A685:$BO685,'Entry Builder'!$L$12)&gt;'Entry Builder'!$E$12)))</f>
        <v/>
      </c>
      <c r="G685">
        <f>6-SUM(A685:F685)</f>
        <v/>
      </c>
    </row>
    <row r="686">
      <c r="A686">
        <f>IF('Entry Builder'!$N$7=0,1,IF('Entry Builder'!$D$7="Less",--(INDEX(Sims!$A686:$BO686,'Entry Builder'!$L$7)&lt;'Entry Builder'!$E$7),--(INDEX(Sims!$A686:$BO686,'Entry Builder'!$L$7)&gt;'Entry Builder'!$E$7)))</f>
        <v/>
      </c>
      <c r="B686">
        <f>IF('Entry Builder'!$N$8=0,1,IF('Entry Builder'!$D$8="Less",--(INDEX(Sims!$A686:$BO686,'Entry Builder'!$L$8)&lt;'Entry Builder'!$E$8),--(INDEX(Sims!$A686:$BO686,'Entry Builder'!$L$8)&gt;'Entry Builder'!$E$8)))</f>
        <v/>
      </c>
      <c r="C686">
        <f>IF('Entry Builder'!$N$9=0,1,IF('Entry Builder'!$D$9="Less",--(INDEX(Sims!$A686:$BO686,'Entry Builder'!$L$9)&lt;'Entry Builder'!$E$9),--(INDEX(Sims!$A686:$BO686,'Entry Builder'!$L$9)&gt;'Entry Builder'!$E$9)))</f>
        <v/>
      </c>
      <c r="D686">
        <f>IF('Entry Builder'!$N$10=0,1,IF('Entry Builder'!$D$10="Less",--(INDEX(Sims!$A686:$BO686,'Entry Builder'!$L$10)&lt;'Entry Builder'!$E$10),--(INDEX(Sims!$A686:$BO686,'Entry Builder'!$L$10)&gt;'Entry Builder'!$E$10)))</f>
        <v/>
      </c>
      <c r="E686">
        <f>IF('Entry Builder'!$N$11=0,1,IF('Entry Builder'!$D$11="Less",--(INDEX(Sims!$A686:$BO686,'Entry Builder'!$L$11)&lt;'Entry Builder'!$E$11),--(INDEX(Sims!$A686:$BO686,'Entry Builder'!$L$11)&gt;'Entry Builder'!$E$11)))</f>
        <v/>
      </c>
      <c r="F686">
        <f>IF('Entry Builder'!$N$12=0,1,IF('Entry Builder'!$D$12="Less",--(INDEX(Sims!$A686:$BO686,'Entry Builder'!$L$12)&lt;'Entry Builder'!$E$12),--(INDEX(Sims!$A686:$BO686,'Entry Builder'!$L$12)&gt;'Entry Builder'!$E$12)))</f>
        <v/>
      </c>
      <c r="G686">
        <f>6-SUM(A686:F686)</f>
        <v/>
      </c>
    </row>
    <row r="687">
      <c r="A687">
        <f>IF('Entry Builder'!$N$7=0,1,IF('Entry Builder'!$D$7="Less",--(INDEX(Sims!$A687:$BO687,'Entry Builder'!$L$7)&lt;'Entry Builder'!$E$7),--(INDEX(Sims!$A687:$BO687,'Entry Builder'!$L$7)&gt;'Entry Builder'!$E$7)))</f>
        <v/>
      </c>
      <c r="B687">
        <f>IF('Entry Builder'!$N$8=0,1,IF('Entry Builder'!$D$8="Less",--(INDEX(Sims!$A687:$BO687,'Entry Builder'!$L$8)&lt;'Entry Builder'!$E$8),--(INDEX(Sims!$A687:$BO687,'Entry Builder'!$L$8)&gt;'Entry Builder'!$E$8)))</f>
        <v/>
      </c>
      <c r="C687">
        <f>IF('Entry Builder'!$N$9=0,1,IF('Entry Builder'!$D$9="Less",--(INDEX(Sims!$A687:$BO687,'Entry Builder'!$L$9)&lt;'Entry Builder'!$E$9),--(INDEX(Sims!$A687:$BO687,'Entry Builder'!$L$9)&gt;'Entry Builder'!$E$9)))</f>
        <v/>
      </c>
      <c r="D687">
        <f>IF('Entry Builder'!$N$10=0,1,IF('Entry Builder'!$D$10="Less",--(INDEX(Sims!$A687:$BO687,'Entry Builder'!$L$10)&lt;'Entry Builder'!$E$10),--(INDEX(Sims!$A687:$BO687,'Entry Builder'!$L$10)&gt;'Entry Builder'!$E$10)))</f>
        <v/>
      </c>
      <c r="E687">
        <f>IF('Entry Builder'!$N$11=0,1,IF('Entry Builder'!$D$11="Less",--(INDEX(Sims!$A687:$BO687,'Entry Builder'!$L$11)&lt;'Entry Builder'!$E$11),--(INDEX(Sims!$A687:$BO687,'Entry Builder'!$L$11)&gt;'Entry Builder'!$E$11)))</f>
        <v/>
      </c>
      <c r="F687">
        <f>IF('Entry Builder'!$N$12=0,1,IF('Entry Builder'!$D$12="Less",--(INDEX(Sims!$A687:$BO687,'Entry Builder'!$L$12)&lt;'Entry Builder'!$E$12),--(INDEX(Sims!$A687:$BO687,'Entry Builder'!$L$12)&gt;'Entry Builder'!$E$12)))</f>
        <v/>
      </c>
      <c r="G687">
        <f>6-SUM(A687:F687)</f>
        <v/>
      </c>
    </row>
    <row r="688">
      <c r="A688">
        <f>IF('Entry Builder'!$N$7=0,1,IF('Entry Builder'!$D$7="Less",--(INDEX(Sims!$A688:$BO688,'Entry Builder'!$L$7)&lt;'Entry Builder'!$E$7),--(INDEX(Sims!$A688:$BO688,'Entry Builder'!$L$7)&gt;'Entry Builder'!$E$7)))</f>
        <v/>
      </c>
      <c r="B688">
        <f>IF('Entry Builder'!$N$8=0,1,IF('Entry Builder'!$D$8="Less",--(INDEX(Sims!$A688:$BO688,'Entry Builder'!$L$8)&lt;'Entry Builder'!$E$8),--(INDEX(Sims!$A688:$BO688,'Entry Builder'!$L$8)&gt;'Entry Builder'!$E$8)))</f>
        <v/>
      </c>
      <c r="C688">
        <f>IF('Entry Builder'!$N$9=0,1,IF('Entry Builder'!$D$9="Less",--(INDEX(Sims!$A688:$BO688,'Entry Builder'!$L$9)&lt;'Entry Builder'!$E$9),--(INDEX(Sims!$A688:$BO688,'Entry Builder'!$L$9)&gt;'Entry Builder'!$E$9)))</f>
        <v/>
      </c>
      <c r="D688">
        <f>IF('Entry Builder'!$N$10=0,1,IF('Entry Builder'!$D$10="Less",--(INDEX(Sims!$A688:$BO688,'Entry Builder'!$L$10)&lt;'Entry Builder'!$E$10),--(INDEX(Sims!$A688:$BO688,'Entry Builder'!$L$10)&gt;'Entry Builder'!$E$10)))</f>
        <v/>
      </c>
      <c r="E688">
        <f>IF('Entry Builder'!$N$11=0,1,IF('Entry Builder'!$D$11="Less",--(INDEX(Sims!$A688:$BO688,'Entry Builder'!$L$11)&lt;'Entry Builder'!$E$11),--(INDEX(Sims!$A688:$BO688,'Entry Builder'!$L$11)&gt;'Entry Builder'!$E$11)))</f>
        <v/>
      </c>
      <c r="F688">
        <f>IF('Entry Builder'!$N$12=0,1,IF('Entry Builder'!$D$12="Less",--(INDEX(Sims!$A688:$BO688,'Entry Builder'!$L$12)&lt;'Entry Builder'!$E$12),--(INDEX(Sims!$A688:$BO688,'Entry Builder'!$L$12)&gt;'Entry Builder'!$E$12)))</f>
        <v/>
      </c>
      <c r="G688">
        <f>6-SUM(A688:F688)</f>
        <v/>
      </c>
    </row>
    <row r="689">
      <c r="A689">
        <f>IF('Entry Builder'!$N$7=0,1,IF('Entry Builder'!$D$7="Less",--(INDEX(Sims!$A689:$BO689,'Entry Builder'!$L$7)&lt;'Entry Builder'!$E$7),--(INDEX(Sims!$A689:$BO689,'Entry Builder'!$L$7)&gt;'Entry Builder'!$E$7)))</f>
        <v/>
      </c>
      <c r="B689">
        <f>IF('Entry Builder'!$N$8=0,1,IF('Entry Builder'!$D$8="Less",--(INDEX(Sims!$A689:$BO689,'Entry Builder'!$L$8)&lt;'Entry Builder'!$E$8),--(INDEX(Sims!$A689:$BO689,'Entry Builder'!$L$8)&gt;'Entry Builder'!$E$8)))</f>
        <v/>
      </c>
      <c r="C689">
        <f>IF('Entry Builder'!$N$9=0,1,IF('Entry Builder'!$D$9="Less",--(INDEX(Sims!$A689:$BO689,'Entry Builder'!$L$9)&lt;'Entry Builder'!$E$9),--(INDEX(Sims!$A689:$BO689,'Entry Builder'!$L$9)&gt;'Entry Builder'!$E$9)))</f>
        <v/>
      </c>
      <c r="D689">
        <f>IF('Entry Builder'!$N$10=0,1,IF('Entry Builder'!$D$10="Less",--(INDEX(Sims!$A689:$BO689,'Entry Builder'!$L$10)&lt;'Entry Builder'!$E$10),--(INDEX(Sims!$A689:$BO689,'Entry Builder'!$L$10)&gt;'Entry Builder'!$E$10)))</f>
        <v/>
      </c>
      <c r="E689">
        <f>IF('Entry Builder'!$N$11=0,1,IF('Entry Builder'!$D$11="Less",--(INDEX(Sims!$A689:$BO689,'Entry Builder'!$L$11)&lt;'Entry Builder'!$E$11),--(INDEX(Sims!$A689:$BO689,'Entry Builder'!$L$11)&gt;'Entry Builder'!$E$11)))</f>
        <v/>
      </c>
      <c r="F689">
        <f>IF('Entry Builder'!$N$12=0,1,IF('Entry Builder'!$D$12="Less",--(INDEX(Sims!$A689:$BO689,'Entry Builder'!$L$12)&lt;'Entry Builder'!$E$12),--(INDEX(Sims!$A689:$BO689,'Entry Builder'!$L$12)&gt;'Entry Builder'!$E$12)))</f>
        <v/>
      </c>
      <c r="G689">
        <f>6-SUM(A689:F689)</f>
        <v/>
      </c>
    </row>
    <row r="690">
      <c r="A690">
        <f>IF('Entry Builder'!$N$7=0,1,IF('Entry Builder'!$D$7="Less",--(INDEX(Sims!$A690:$BO690,'Entry Builder'!$L$7)&lt;'Entry Builder'!$E$7),--(INDEX(Sims!$A690:$BO690,'Entry Builder'!$L$7)&gt;'Entry Builder'!$E$7)))</f>
        <v/>
      </c>
      <c r="B690">
        <f>IF('Entry Builder'!$N$8=0,1,IF('Entry Builder'!$D$8="Less",--(INDEX(Sims!$A690:$BO690,'Entry Builder'!$L$8)&lt;'Entry Builder'!$E$8),--(INDEX(Sims!$A690:$BO690,'Entry Builder'!$L$8)&gt;'Entry Builder'!$E$8)))</f>
        <v/>
      </c>
      <c r="C690">
        <f>IF('Entry Builder'!$N$9=0,1,IF('Entry Builder'!$D$9="Less",--(INDEX(Sims!$A690:$BO690,'Entry Builder'!$L$9)&lt;'Entry Builder'!$E$9),--(INDEX(Sims!$A690:$BO690,'Entry Builder'!$L$9)&gt;'Entry Builder'!$E$9)))</f>
        <v/>
      </c>
      <c r="D690">
        <f>IF('Entry Builder'!$N$10=0,1,IF('Entry Builder'!$D$10="Less",--(INDEX(Sims!$A690:$BO690,'Entry Builder'!$L$10)&lt;'Entry Builder'!$E$10),--(INDEX(Sims!$A690:$BO690,'Entry Builder'!$L$10)&gt;'Entry Builder'!$E$10)))</f>
        <v/>
      </c>
      <c r="E690">
        <f>IF('Entry Builder'!$N$11=0,1,IF('Entry Builder'!$D$11="Less",--(INDEX(Sims!$A690:$BO690,'Entry Builder'!$L$11)&lt;'Entry Builder'!$E$11),--(INDEX(Sims!$A690:$BO690,'Entry Builder'!$L$11)&gt;'Entry Builder'!$E$11)))</f>
        <v/>
      </c>
      <c r="F690">
        <f>IF('Entry Builder'!$N$12=0,1,IF('Entry Builder'!$D$12="Less",--(INDEX(Sims!$A690:$BO690,'Entry Builder'!$L$12)&lt;'Entry Builder'!$E$12),--(INDEX(Sims!$A690:$BO690,'Entry Builder'!$L$12)&gt;'Entry Builder'!$E$12)))</f>
        <v/>
      </c>
      <c r="G690">
        <f>6-SUM(A690:F690)</f>
        <v/>
      </c>
    </row>
    <row r="691">
      <c r="A691">
        <f>IF('Entry Builder'!$N$7=0,1,IF('Entry Builder'!$D$7="Less",--(INDEX(Sims!$A691:$BO691,'Entry Builder'!$L$7)&lt;'Entry Builder'!$E$7),--(INDEX(Sims!$A691:$BO691,'Entry Builder'!$L$7)&gt;'Entry Builder'!$E$7)))</f>
        <v/>
      </c>
      <c r="B691">
        <f>IF('Entry Builder'!$N$8=0,1,IF('Entry Builder'!$D$8="Less",--(INDEX(Sims!$A691:$BO691,'Entry Builder'!$L$8)&lt;'Entry Builder'!$E$8),--(INDEX(Sims!$A691:$BO691,'Entry Builder'!$L$8)&gt;'Entry Builder'!$E$8)))</f>
        <v/>
      </c>
      <c r="C691">
        <f>IF('Entry Builder'!$N$9=0,1,IF('Entry Builder'!$D$9="Less",--(INDEX(Sims!$A691:$BO691,'Entry Builder'!$L$9)&lt;'Entry Builder'!$E$9),--(INDEX(Sims!$A691:$BO691,'Entry Builder'!$L$9)&gt;'Entry Builder'!$E$9)))</f>
        <v/>
      </c>
      <c r="D691">
        <f>IF('Entry Builder'!$N$10=0,1,IF('Entry Builder'!$D$10="Less",--(INDEX(Sims!$A691:$BO691,'Entry Builder'!$L$10)&lt;'Entry Builder'!$E$10),--(INDEX(Sims!$A691:$BO691,'Entry Builder'!$L$10)&gt;'Entry Builder'!$E$10)))</f>
        <v/>
      </c>
      <c r="E691">
        <f>IF('Entry Builder'!$N$11=0,1,IF('Entry Builder'!$D$11="Less",--(INDEX(Sims!$A691:$BO691,'Entry Builder'!$L$11)&lt;'Entry Builder'!$E$11),--(INDEX(Sims!$A691:$BO691,'Entry Builder'!$L$11)&gt;'Entry Builder'!$E$11)))</f>
        <v/>
      </c>
      <c r="F691">
        <f>IF('Entry Builder'!$N$12=0,1,IF('Entry Builder'!$D$12="Less",--(INDEX(Sims!$A691:$BO691,'Entry Builder'!$L$12)&lt;'Entry Builder'!$E$12),--(INDEX(Sims!$A691:$BO691,'Entry Builder'!$L$12)&gt;'Entry Builder'!$E$12)))</f>
        <v/>
      </c>
      <c r="G691">
        <f>6-SUM(A691:F691)</f>
        <v/>
      </c>
    </row>
    <row r="692">
      <c r="A692">
        <f>IF('Entry Builder'!$N$7=0,1,IF('Entry Builder'!$D$7="Less",--(INDEX(Sims!$A692:$BO692,'Entry Builder'!$L$7)&lt;'Entry Builder'!$E$7),--(INDEX(Sims!$A692:$BO692,'Entry Builder'!$L$7)&gt;'Entry Builder'!$E$7)))</f>
        <v/>
      </c>
      <c r="B692">
        <f>IF('Entry Builder'!$N$8=0,1,IF('Entry Builder'!$D$8="Less",--(INDEX(Sims!$A692:$BO692,'Entry Builder'!$L$8)&lt;'Entry Builder'!$E$8),--(INDEX(Sims!$A692:$BO692,'Entry Builder'!$L$8)&gt;'Entry Builder'!$E$8)))</f>
        <v/>
      </c>
      <c r="C692">
        <f>IF('Entry Builder'!$N$9=0,1,IF('Entry Builder'!$D$9="Less",--(INDEX(Sims!$A692:$BO692,'Entry Builder'!$L$9)&lt;'Entry Builder'!$E$9),--(INDEX(Sims!$A692:$BO692,'Entry Builder'!$L$9)&gt;'Entry Builder'!$E$9)))</f>
        <v/>
      </c>
      <c r="D692">
        <f>IF('Entry Builder'!$N$10=0,1,IF('Entry Builder'!$D$10="Less",--(INDEX(Sims!$A692:$BO692,'Entry Builder'!$L$10)&lt;'Entry Builder'!$E$10),--(INDEX(Sims!$A692:$BO692,'Entry Builder'!$L$10)&gt;'Entry Builder'!$E$10)))</f>
        <v/>
      </c>
      <c r="E692">
        <f>IF('Entry Builder'!$N$11=0,1,IF('Entry Builder'!$D$11="Less",--(INDEX(Sims!$A692:$BO692,'Entry Builder'!$L$11)&lt;'Entry Builder'!$E$11),--(INDEX(Sims!$A692:$BO692,'Entry Builder'!$L$11)&gt;'Entry Builder'!$E$11)))</f>
        <v/>
      </c>
      <c r="F692">
        <f>IF('Entry Builder'!$N$12=0,1,IF('Entry Builder'!$D$12="Less",--(INDEX(Sims!$A692:$BO692,'Entry Builder'!$L$12)&lt;'Entry Builder'!$E$12),--(INDEX(Sims!$A692:$BO692,'Entry Builder'!$L$12)&gt;'Entry Builder'!$E$12)))</f>
        <v/>
      </c>
      <c r="G692">
        <f>6-SUM(A692:F692)</f>
        <v/>
      </c>
    </row>
    <row r="693">
      <c r="A693">
        <f>IF('Entry Builder'!$N$7=0,1,IF('Entry Builder'!$D$7="Less",--(INDEX(Sims!$A693:$BO693,'Entry Builder'!$L$7)&lt;'Entry Builder'!$E$7),--(INDEX(Sims!$A693:$BO693,'Entry Builder'!$L$7)&gt;'Entry Builder'!$E$7)))</f>
        <v/>
      </c>
      <c r="B693">
        <f>IF('Entry Builder'!$N$8=0,1,IF('Entry Builder'!$D$8="Less",--(INDEX(Sims!$A693:$BO693,'Entry Builder'!$L$8)&lt;'Entry Builder'!$E$8),--(INDEX(Sims!$A693:$BO693,'Entry Builder'!$L$8)&gt;'Entry Builder'!$E$8)))</f>
        <v/>
      </c>
      <c r="C693">
        <f>IF('Entry Builder'!$N$9=0,1,IF('Entry Builder'!$D$9="Less",--(INDEX(Sims!$A693:$BO693,'Entry Builder'!$L$9)&lt;'Entry Builder'!$E$9),--(INDEX(Sims!$A693:$BO693,'Entry Builder'!$L$9)&gt;'Entry Builder'!$E$9)))</f>
        <v/>
      </c>
      <c r="D693">
        <f>IF('Entry Builder'!$N$10=0,1,IF('Entry Builder'!$D$10="Less",--(INDEX(Sims!$A693:$BO693,'Entry Builder'!$L$10)&lt;'Entry Builder'!$E$10),--(INDEX(Sims!$A693:$BO693,'Entry Builder'!$L$10)&gt;'Entry Builder'!$E$10)))</f>
        <v/>
      </c>
      <c r="E693">
        <f>IF('Entry Builder'!$N$11=0,1,IF('Entry Builder'!$D$11="Less",--(INDEX(Sims!$A693:$BO693,'Entry Builder'!$L$11)&lt;'Entry Builder'!$E$11),--(INDEX(Sims!$A693:$BO693,'Entry Builder'!$L$11)&gt;'Entry Builder'!$E$11)))</f>
        <v/>
      </c>
      <c r="F693">
        <f>IF('Entry Builder'!$N$12=0,1,IF('Entry Builder'!$D$12="Less",--(INDEX(Sims!$A693:$BO693,'Entry Builder'!$L$12)&lt;'Entry Builder'!$E$12),--(INDEX(Sims!$A693:$BO693,'Entry Builder'!$L$12)&gt;'Entry Builder'!$E$12)))</f>
        <v/>
      </c>
      <c r="G693">
        <f>6-SUM(A693:F693)</f>
        <v/>
      </c>
    </row>
    <row r="694">
      <c r="A694">
        <f>IF('Entry Builder'!$N$7=0,1,IF('Entry Builder'!$D$7="Less",--(INDEX(Sims!$A694:$BO694,'Entry Builder'!$L$7)&lt;'Entry Builder'!$E$7),--(INDEX(Sims!$A694:$BO694,'Entry Builder'!$L$7)&gt;'Entry Builder'!$E$7)))</f>
        <v/>
      </c>
      <c r="B694">
        <f>IF('Entry Builder'!$N$8=0,1,IF('Entry Builder'!$D$8="Less",--(INDEX(Sims!$A694:$BO694,'Entry Builder'!$L$8)&lt;'Entry Builder'!$E$8),--(INDEX(Sims!$A694:$BO694,'Entry Builder'!$L$8)&gt;'Entry Builder'!$E$8)))</f>
        <v/>
      </c>
      <c r="C694">
        <f>IF('Entry Builder'!$N$9=0,1,IF('Entry Builder'!$D$9="Less",--(INDEX(Sims!$A694:$BO694,'Entry Builder'!$L$9)&lt;'Entry Builder'!$E$9),--(INDEX(Sims!$A694:$BO694,'Entry Builder'!$L$9)&gt;'Entry Builder'!$E$9)))</f>
        <v/>
      </c>
      <c r="D694">
        <f>IF('Entry Builder'!$N$10=0,1,IF('Entry Builder'!$D$10="Less",--(INDEX(Sims!$A694:$BO694,'Entry Builder'!$L$10)&lt;'Entry Builder'!$E$10),--(INDEX(Sims!$A694:$BO694,'Entry Builder'!$L$10)&gt;'Entry Builder'!$E$10)))</f>
        <v/>
      </c>
      <c r="E694">
        <f>IF('Entry Builder'!$N$11=0,1,IF('Entry Builder'!$D$11="Less",--(INDEX(Sims!$A694:$BO694,'Entry Builder'!$L$11)&lt;'Entry Builder'!$E$11),--(INDEX(Sims!$A694:$BO694,'Entry Builder'!$L$11)&gt;'Entry Builder'!$E$11)))</f>
        <v/>
      </c>
      <c r="F694">
        <f>IF('Entry Builder'!$N$12=0,1,IF('Entry Builder'!$D$12="Less",--(INDEX(Sims!$A694:$BO694,'Entry Builder'!$L$12)&lt;'Entry Builder'!$E$12),--(INDEX(Sims!$A694:$BO694,'Entry Builder'!$L$12)&gt;'Entry Builder'!$E$12)))</f>
        <v/>
      </c>
      <c r="G694">
        <f>6-SUM(A694:F694)</f>
        <v/>
      </c>
    </row>
    <row r="695">
      <c r="A695">
        <f>IF('Entry Builder'!$N$7=0,1,IF('Entry Builder'!$D$7="Less",--(INDEX(Sims!$A695:$BO695,'Entry Builder'!$L$7)&lt;'Entry Builder'!$E$7),--(INDEX(Sims!$A695:$BO695,'Entry Builder'!$L$7)&gt;'Entry Builder'!$E$7)))</f>
        <v/>
      </c>
      <c r="B695">
        <f>IF('Entry Builder'!$N$8=0,1,IF('Entry Builder'!$D$8="Less",--(INDEX(Sims!$A695:$BO695,'Entry Builder'!$L$8)&lt;'Entry Builder'!$E$8),--(INDEX(Sims!$A695:$BO695,'Entry Builder'!$L$8)&gt;'Entry Builder'!$E$8)))</f>
        <v/>
      </c>
      <c r="C695">
        <f>IF('Entry Builder'!$N$9=0,1,IF('Entry Builder'!$D$9="Less",--(INDEX(Sims!$A695:$BO695,'Entry Builder'!$L$9)&lt;'Entry Builder'!$E$9),--(INDEX(Sims!$A695:$BO695,'Entry Builder'!$L$9)&gt;'Entry Builder'!$E$9)))</f>
        <v/>
      </c>
      <c r="D695">
        <f>IF('Entry Builder'!$N$10=0,1,IF('Entry Builder'!$D$10="Less",--(INDEX(Sims!$A695:$BO695,'Entry Builder'!$L$10)&lt;'Entry Builder'!$E$10),--(INDEX(Sims!$A695:$BO695,'Entry Builder'!$L$10)&gt;'Entry Builder'!$E$10)))</f>
        <v/>
      </c>
      <c r="E695">
        <f>IF('Entry Builder'!$N$11=0,1,IF('Entry Builder'!$D$11="Less",--(INDEX(Sims!$A695:$BO695,'Entry Builder'!$L$11)&lt;'Entry Builder'!$E$11),--(INDEX(Sims!$A695:$BO695,'Entry Builder'!$L$11)&gt;'Entry Builder'!$E$11)))</f>
        <v/>
      </c>
      <c r="F695">
        <f>IF('Entry Builder'!$N$12=0,1,IF('Entry Builder'!$D$12="Less",--(INDEX(Sims!$A695:$BO695,'Entry Builder'!$L$12)&lt;'Entry Builder'!$E$12),--(INDEX(Sims!$A695:$BO695,'Entry Builder'!$L$12)&gt;'Entry Builder'!$E$12)))</f>
        <v/>
      </c>
      <c r="G695">
        <f>6-SUM(A695:F695)</f>
        <v/>
      </c>
    </row>
    <row r="696">
      <c r="A696">
        <f>IF('Entry Builder'!$N$7=0,1,IF('Entry Builder'!$D$7="Less",--(INDEX(Sims!$A696:$BO696,'Entry Builder'!$L$7)&lt;'Entry Builder'!$E$7),--(INDEX(Sims!$A696:$BO696,'Entry Builder'!$L$7)&gt;'Entry Builder'!$E$7)))</f>
        <v/>
      </c>
      <c r="B696">
        <f>IF('Entry Builder'!$N$8=0,1,IF('Entry Builder'!$D$8="Less",--(INDEX(Sims!$A696:$BO696,'Entry Builder'!$L$8)&lt;'Entry Builder'!$E$8),--(INDEX(Sims!$A696:$BO696,'Entry Builder'!$L$8)&gt;'Entry Builder'!$E$8)))</f>
        <v/>
      </c>
      <c r="C696">
        <f>IF('Entry Builder'!$N$9=0,1,IF('Entry Builder'!$D$9="Less",--(INDEX(Sims!$A696:$BO696,'Entry Builder'!$L$9)&lt;'Entry Builder'!$E$9),--(INDEX(Sims!$A696:$BO696,'Entry Builder'!$L$9)&gt;'Entry Builder'!$E$9)))</f>
        <v/>
      </c>
      <c r="D696">
        <f>IF('Entry Builder'!$N$10=0,1,IF('Entry Builder'!$D$10="Less",--(INDEX(Sims!$A696:$BO696,'Entry Builder'!$L$10)&lt;'Entry Builder'!$E$10),--(INDEX(Sims!$A696:$BO696,'Entry Builder'!$L$10)&gt;'Entry Builder'!$E$10)))</f>
        <v/>
      </c>
      <c r="E696">
        <f>IF('Entry Builder'!$N$11=0,1,IF('Entry Builder'!$D$11="Less",--(INDEX(Sims!$A696:$BO696,'Entry Builder'!$L$11)&lt;'Entry Builder'!$E$11),--(INDEX(Sims!$A696:$BO696,'Entry Builder'!$L$11)&gt;'Entry Builder'!$E$11)))</f>
        <v/>
      </c>
      <c r="F696">
        <f>IF('Entry Builder'!$N$12=0,1,IF('Entry Builder'!$D$12="Less",--(INDEX(Sims!$A696:$BO696,'Entry Builder'!$L$12)&lt;'Entry Builder'!$E$12),--(INDEX(Sims!$A696:$BO696,'Entry Builder'!$L$12)&gt;'Entry Builder'!$E$12)))</f>
        <v/>
      </c>
      <c r="G696">
        <f>6-SUM(A696:F696)</f>
        <v/>
      </c>
    </row>
    <row r="697">
      <c r="A697">
        <f>IF('Entry Builder'!$N$7=0,1,IF('Entry Builder'!$D$7="Less",--(INDEX(Sims!$A697:$BO697,'Entry Builder'!$L$7)&lt;'Entry Builder'!$E$7),--(INDEX(Sims!$A697:$BO697,'Entry Builder'!$L$7)&gt;'Entry Builder'!$E$7)))</f>
        <v/>
      </c>
      <c r="B697">
        <f>IF('Entry Builder'!$N$8=0,1,IF('Entry Builder'!$D$8="Less",--(INDEX(Sims!$A697:$BO697,'Entry Builder'!$L$8)&lt;'Entry Builder'!$E$8),--(INDEX(Sims!$A697:$BO697,'Entry Builder'!$L$8)&gt;'Entry Builder'!$E$8)))</f>
        <v/>
      </c>
      <c r="C697">
        <f>IF('Entry Builder'!$N$9=0,1,IF('Entry Builder'!$D$9="Less",--(INDEX(Sims!$A697:$BO697,'Entry Builder'!$L$9)&lt;'Entry Builder'!$E$9),--(INDEX(Sims!$A697:$BO697,'Entry Builder'!$L$9)&gt;'Entry Builder'!$E$9)))</f>
        <v/>
      </c>
      <c r="D697">
        <f>IF('Entry Builder'!$N$10=0,1,IF('Entry Builder'!$D$10="Less",--(INDEX(Sims!$A697:$BO697,'Entry Builder'!$L$10)&lt;'Entry Builder'!$E$10),--(INDEX(Sims!$A697:$BO697,'Entry Builder'!$L$10)&gt;'Entry Builder'!$E$10)))</f>
        <v/>
      </c>
      <c r="E697">
        <f>IF('Entry Builder'!$N$11=0,1,IF('Entry Builder'!$D$11="Less",--(INDEX(Sims!$A697:$BO697,'Entry Builder'!$L$11)&lt;'Entry Builder'!$E$11),--(INDEX(Sims!$A697:$BO697,'Entry Builder'!$L$11)&gt;'Entry Builder'!$E$11)))</f>
        <v/>
      </c>
      <c r="F697">
        <f>IF('Entry Builder'!$N$12=0,1,IF('Entry Builder'!$D$12="Less",--(INDEX(Sims!$A697:$BO697,'Entry Builder'!$L$12)&lt;'Entry Builder'!$E$12),--(INDEX(Sims!$A697:$BO697,'Entry Builder'!$L$12)&gt;'Entry Builder'!$E$12)))</f>
        <v/>
      </c>
      <c r="G697">
        <f>6-SUM(A697:F697)</f>
        <v/>
      </c>
    </row>
    <row r="698">
      <c r="A698">
        <f>IF('Entry Builder'!$N$7=0,1,IF('Entry Builder'!$D$7="Less",--(INDEX(Sims!$A698:$BO698,'Entry Builder'!$L$7)&lt;'Entry Builder'!$E$7),--(INDEX(Sims!$A698:$BO698,'Entry Builder'!$L$7)&gt;'Entry Builder'!$E$7)))</f>
        <v/>
      </c>
      <c r="B698">
        <f>IF('Entry Builder'!$N$8=0,1,IF('Entry Builder'!$D$8="Less",--(INDEX(Sims!$A698:$BO698,'Entry Builder'!$L$8)&lt;'Entry Builder'!$E$8),--(INDEX(Sims!$A698:$BO698,'Entry Builder'!$L$8)&gt;'Entry Builder'!$E$8)))</f>
        <v/>
      </c>
      <c r="C698">
        <f>IF('Entry Builder'!$N$9=0,1,IF('Entry Builder'!$D$9="Less",--(INDEX(Sims!$A698:$BO698,'Entry Builder'!$L$9)&lt;'Entry Builder'!$E$9),--(INDEX(Sims!$A698:$BO698,'Entry Builder'!$L$9)&gt;'Entry Builder'!$E$9)))</f>
        <v/>
      </c>
      <c r="D698">
        <f>IF('Entry Builder'!$N$10=0,1,IF('Entry Builder'!$D$10="Less",--(INDEX(Sims!$A698:$BO698,'Entry Builder'!$L$10)&lt;'Entry Builder'!$E$10),--(INDEX(Sims!$A698:$BO698,'Entry Builder'!$L$10)&gt;'Entry Builder'!$E$10)))</f>
        <v/>
      </c>
      <c r="E698">
        <f>IF('Entry Builder'!$N$11=0,1,IF('Entry Builder'!$D$11="Less",--(INDEX(Sims!$A698:$BO698,'Entry Builder'!$L$11)&lt;'Entry Builder'!$E$11),--(INDEX(Sims!$A698:$BO698,'Entry Builder'!$L$11)&gt;'Entry Builder'!$E$11)))</f>
        <v/>
      </c>
      <c r="F698">
        <f>IF('Entry Builder'!$N$12=0,1,IF('Entry Builder'!$D$12="Less",--(INDEX(Sims!$A698:$BO698,'Entry Builder'!$L$12)&lt;'Entry Builder'!$E$12),--(INDEX(Sims!$A698:$BO698,'Entry Builder'!$L$12)&gt;'Entry Builder'!$E$12)))</f>
        <v/>
      </c>
      <c r="G698">
        <f>6-SUM(A698:F698)</f>
        <v/>
      </c>
    </row>
    <row r="699">
      <c r="A699">
        <f>IF('Entry Builder'!$N$7=0,1,IF('Entry Builder'!$D$7="Less",--(INDEX(Sims!$A699:$BO699,'Entry Builder'!$L$7)&lt;'Entry Builder'!$E$7),--(INDEX(Sims!$A699:$BO699,'Entry Builder'!$L$7)&gt;'Entry Builder'!$E$7)))</f>
        <v/>
      </c>
      <c r="B699">
        <f>IF('Entry Builder'!$N$8=0,1,IF('Entry Builder'!$D$8="Less",--(INDEX(Sims!$A699:$BO699,'Entry Builder'!$L$8)&lt;'Entry Builder'!$E$8),--(INDEX(Sims!$A699:$BO699,'Entry Builder'!$L$8)&gt;'Entry Builder'!$E$8)))</f>
        <v/>
      </c>
      <c r="C699">
        <f>IF('Entry Builder'!$N$9=0,1,IF('Entry Builder'!$D$9="Less",--(INDEX(Sims!$A699:$BO699,'Entry Builder'!$L$9)&lt;'Entry Builder'!$E$9),--(INDEX(Sims!$A699:$BO699,'Entry Builder'!$L$9)&gt;'Entry Builder'!$E$9)))</f>
        <v/>
      </c>
      <c r="D699">
        <f>IF('Entry Builder'!$N$10=0,1,IF('Entry Builder'!$D$10="Less",--(INDEX(Sims!$A699:$BO699,'Entry Builder'!$L$10)&lt;'Entry Builder'!$E$10),--(INDEX(Sims!$A699:$BO699,'Entry Builder'!$L$10)&gt;'Entry Builder'!$E$10)))</f>
        <v/>
      </c>
      <c r="E699">
        <f>IF('Entry Builder'!$N$11=0,1,IF('Entry Builder'!$D$11="Less",--(INDEX(Sims!$A699:$BO699,'Entry Builder'!$L$11)&lt;'Entry Builder'!$E$11),--(INDEX(Sims!$A699:$BO699,'Entry Builder'!$L$11)&gt;'Entry Builder'!$E$11)))</f>
        <v/>
      </c>
      <c r="F699">
        <f>IF('Entry Builder'!$N$12=0,1,IF('Entry Builder'!$D$12="Less",--(INDEX(Sims!$A699:$BO699,'Entry Builder'!$L$12)&lt;'Entry Builder'!$E$12),--(INDEX(Sims!$A699:$BO699,'Entry Builder'!$L$12)&gt;'Entry Builder'!$E$12)))</f>
        <v/>
      </c>
      <c r="G699">
        <f>6-SUM(A699:F699)</f>
        <v/>
      </c>
    </row>
    <row r="700">
      <c r="A700">
        <f>IF('Entry Builder'!$N$7=0,1,IF('Entry Builder'!$D$7="Less",--(INDEX(Sims!$A700:$BO700,'Entry Builder'!$L$7)&lt;'Entry Builder'!$E$7),--(INDEX(Sims!$A700:$BO700,'Entry Builder'!$L$7)&gt;'Entry Builder'!$E$7)))</f>
        <v/>
      </c>
      <c r="B700">
        <f>IF('Entry Builder'!$N$8=0,1,IF('Entry Builder'!$D$8="Less",--(INDEX(Sims!$A700:$BO700,'Entry Builder'!$L$8)&lt;'Entry Builder'!$E$8),--(INDEX(Sims!$A700:$BO700,'Entry Builder'!$L$8)&gt;'Entry Builder'!$E$8)))</f>
        <v/>
      </c>
      <c r="C700">
        <f>IF('Entry Builder'!$N$9=0,1,IF('Entry Builder'!$D$9="Less",--(INDEX(Sims!$A700:$BO700,'Entry Builder'!$L$9)&lt;'Entry Builder'!$E$9),--(INDEX(Sims!$A700:$BO700,'Entry Builder'!$L$9)&gt;'Entry Builder'!$E$9)))</f>
        <v/>
      </c>
      <c r="D700">
        <f>IF('Entry Builder'!$N$10=0,1,IF('Entry Builder'!$D$10="Less",--(INDEX(Sims!$A700:$BO700,'Entry Builder'!$L$10)&lt;'Entry Builder'!$E$10),--(INDEX(Sims!$A700:$BO700,'Entry Builder'!$L$10)&gt;'Entry Builder'!$E$10)))</f>
        <v/>
      </c>
      <c r="E700">
        <f>IF('Entry Builder'!$N$11=0,1,IF('Entry Builder'!$D$11="Less",--(INDEX(Sims!$A700:$BO700,'Entry Builder'!$L$11)&lt;'Entry Builder'!$E$11),--(INDEX(Sims!$A700:$BO700,'Entry Builder'!$L$11)&gt;'Entry Builder'!$E$11)))</f>
        <v/>
      </c>
      <c r="F700">
        <f>IF('Entry Builder'!$N$12=0,1,IF('Entry Builder'!$D$12="Less",--(INDEX(Sims!$A700:$BO700,'Entry Builder'!$L$12)&lt;'Entry Builder'!$E$12),--(INDEX(Sims!$A700:$BO700,'Entry Builder'!$L$12)&gt;'Entry Builder'!$E$12)))</f>
        <v/>
      </c>
      <c r="G700">
        <f>6-SUM(A700:F700)</f>
        <v/>
      </c>
    </row>
    <row r="701">
      <c r="A701">
        <f>IF('Entry Builder'!$N$7=0,1,IF('Entry Builder'!$D$7="Less",--(INDEX(Sims!$A701:$BO701,'Entry Builder'!$L$7)&lt;'Entry Builder'!$E$7),--(INDEX(Sims!$A701:$BO701,'Entry Builder'!$L$7)&gt;'Entry Builder'!$E$7)))</f>
        <v/>
      </c>
      <c r="B701">
        <f>IF('Entry Builder'!$N$8=0,1,IF('Entry Builder'!$D$8="Less",--(INDEX(Sims!$A701:$BO701,'Entry Builder'!$L$8)&lt;'Entry Builder'!$E$8),--(INDEX(Sims!$A701:$BO701,'Entry Builder'!$L$8)&gt;'Entry Builder'!$E$8)))</f>
        <v/>
      </c>
      <c r="C701">
        <f>IF('Entry Builder'!$N$9=0,1,IF('Entry Builder'!$D$9="Less",--(INDEX(Sims!$A701:$BO701,'Entry Builder'!$L$9)&lt;'Entry Builder'!$E$9),--(INDEX(Sims!$A701:$BO701,'Entry Builder'!$L$9)&gt;'Entry Builder'!$E$9)))</f>
        <v/>
      </c>
      <c r="D701">
        <f>IF('Entry Builder'!$N$10=0,1,IF('Entry Builder'!$D$10="Less",--(INDEX(Sims!$A701:$BO701,'Entry Builder'!$L$10)&lt;'Entry Builder'!$E$10),--(INDEX(Sims!$A701:$BO701,'Entry Builder'!$L$10)&gt;'Entry Builder'!$E$10)))</f>
        <v/>
      </c>
      <c r="E701">
        <f>IF('Entry Builder'!$N$11=0,1,IF('Entry Builder'!$D$11="Less",--(INDEX(Sims!$A701:$BO701,'Entry Builder'!$L$11)&lt;'Entry Builder'!$E$11),--(INDEX(Sims!$A701:$BO701,'Entry Builder'!$L$11)&gt;'Entry Builder'!$E$11)))</f>
        <v/>
      </c>
      <c r="F701">
        <f>IF('Entry Builder'!$N$12=0,1,IF('Entry Builder'!$D$12="Less",--(INDEX(Sims!$A701:$BO701,'Entry Builder'!$L$12)&lt;'Entry Builder'!$E$12),--(INDEX(Sims!$A701:$BO701,'Entry Builder'!$L$12)&gt;'Entry Builder'!$E$12)))</f>
        <v/>
      </c>
      <c r="G701">
        <f>6-SUM(A701:F701)</f>
        <v/>
      </c>
    </row>
    <row r="702">
      <c r="A702">
        <f>IF('Entry Builder'!$N$7=0,1,IF('Entry Builder'!$D$7="Less",--(INDEX(Sims!$A702:$BO702,'Entry Builder'!$L$7)&lt;'Entry Builder'!$E$7),--(INDEX(Sims!$A702:$BO702,'Entry Builder'!$L$7)&gt;'Entry Builder'!$E$7)))</f>
        <v/>
      </c>
      <c r="B702">
        <f>IF('Entry Builder'!$N$8=0,1,IF('Entry Builder'!$D$8="Less",--(INDEX(Sims!$A702:$BO702,'Entry Builder'!$L$8)&lt;'Entry Builder'!$E$8),--(INDEX(Sims!$A702:$BO702,'Entry Builder'!$L$8)&gt;'Entry Builder'!$E$8)))</f>
        <v/>
      </c>
      <c r="C702">
        <f>IF('Entry Builder'!$N$9=0,1,IF('Entry Builder'!$D$9="Less",--(INDEX(Sims!$A702:$BO702,'Entry Builder'!$L$9)&lt;'Entry Builder'!$E$9),--(INDEX(Sims!$A702:$BO702,'Entry Builder'!$L$9)&gt;'Entry Builder'!$E$9)))</f>
        <v/>
      </c>
      <c r="D702">
        <f>IF('Entry Builder'!$N$10=0,1,IF('Entry Builder'!$D$10="Less",--(INDEX(Sims!$A702:$BO702,'Entry Builder'!$L$10)&lt;'Entry Builder'!$E$10),--(INDEX(Sims!$A702:$BO702,'Entry Builder'!$L$10)&gt;'Entry Builder'!$E$10)))</f>
        <v/>
      </c>
      <c r="E702">
        <f>IF('Entry Builder'!$N$11=0,1,IF('Entry Builder'!$D$11="Less",--(INDEX(Sims!$A702:$BO702,'Entry Builder'!$L$11)&lt;'Entry Builder'!$E$11),--(INDEX(Sims!$A702:$BO702,'Entry Builder'!$L$11)&gt;'Entry Builder'!$E$11)))</f>
        <v/>
      </c>
      <c r="F702">
        <f>IF('Entry Builder'!$N$12=0,1,IF('Entry Builder'!$D$12="Less",--(INDEX(Sims!$A702:$BO702,'Entry Builder'!$L$12)&lt;'Entry Builder'!$E$12),--(INDEX(Sims!$A702:$BO702,'Entry Builder'!$L$12)&gt;'Entry Builder'!$E$12)))</f>
        <v/>
      </c>
      <c r="G702">
        <f>6-SUM(A702:F702)</f>
        <v/>
      </c>
    </row>
    <row r="703">
      <c r="A703">
        <f>IF('Entry Builder'!$N$7=0,1,IF('Entry Builder'!$D$7="Less",--(INDEX(Sims!$A703:$BO703,'Entry Builder'!$L$7)&lt;'Entry Builder'!$E$7),--(INDEX(Sims!$A703:$BO703,'Entry Builder'!$L$7)&gt;'Entry Builder'!$E$7)))</f>
        <v/>
      </c>
      <c r="B703">
        <f>IF('Entry Builder'!$N$8=0,1,IF('Entry Builder'!$D$8="Less",--(INDEX(Sims!$A703:$BO703,'Entry Builder'!$L$8)&lt;'Entry Builder'!$E$8),--(INDEX(Sims!$A703:$BO703,'Entry Builder'!$L$8)&gt;'Entry Builder'!$E$8)))</f>
        <v/>
      </c>
      <c r="C703">
        <f>IF('Entry Builder'!$N$9=0,1,IF('Entry Builder'!$D$9="Less",--(INDEX(Sims!$A703:$BO703,'Entry Builder'!$L$9)&lt;'Entry Builder'!$E$9),--(INDEX(Sims!$A703:$BO703,'Entry Builder'!$L$9)&gt;'Entry Builder'!$E$9)))</f>
        <v/>
      </c>
      <c r="D703">
        <f>IF('Entry Builder'!$N$10=0,1,IF('Entry Builder'!$D$10="Less",--(INDEX(Sims!$A703:$BO703,'Entry Builder'!$L$10)&lt;'Entry Builder'!$E$10),--(INDEX(Sims!$A703:$BO703,'Entry Builder'!$L$10)&gt;'Entry Builder'!$E$10)))</f>
        <v/>
      </c>
      <c r="E703">
        <f>IF('Entry Builder'!$N$11=0,1,IF('Entry Builder'!$D$11="Less",--(INDEX(Sims!$A703:$BO703,'Entry Builder'!$L$11)&lt;'Entry Builder'!$E$11),--(INDEX(Sims!$A703:$BO703,'Entry Builder'!$L$11)&gt;'Entry Builder'!$E$11)))</f>
        <v/>
      </c>
      <c r="F703">
        <f>IF('Entry Builder'!$N$12=0,1,IF('Entry Builder'!$D$12="Less",--(INDEX(Sims!$A703:$BO703,'Entry Builder'!$L$12)&lt;'Entry Builder'!$E$12),--(INDEX(Sims!$A703:$BO703,'Entry Builder'!$L$12)&gt;'Entry Builder'!$E$12)))</f>
        <v/>
      </c>
      <c r="G703">
        <f>6-SUM(A703:F703)</f>
        <v/>
      </c>
    </row>
    <row r="704">
      <c r="A704">
        <f>IF('Entry Builder'!$N$7=0,1,IF('Entry Builder'!$D$7="Less",--(INDEX(Sims!$A704:$BO704,'Entry Builder'!$L$7)&lt;'Entry Builder'!$E$7),--(INDEX(Sims!$A704:$BO704,'Entry Builder'!$L$7)&gt;'Entry Builder'!$E$7)))</f>
        <v/>
      </c>
      <c r="B704">
        <f>IF('Entry Builder'!$N$8=0,1,IF('Entry Builder'!$D$8="Less",--(INDEX(Sims!$A704:$BO704,'Entry Builder'!$L$8)&lt;'Entry Builder'!$E$8),--(INDEX(Sims!$A704:$BO704,'Entry Builder'!$L$8)&gt;'Entry Builder'!$E$8)))</f>
        <v/>
      </c>
      <c r="C704">
        <f>IF('Entry Builder'!$N$9=0,1,IF('Entry Builder'!$D$9="Less",--(INDEX(Sims!$A704:$BO704,'Entry Builder'!$L$9)&lt;'Entry Builder'!$E$9),--(INDEX(Sims!$A704:$BO704,'Entry Builder'!$L$9)&gt;'Entry Builder'!$E$9)))</f>
        <v/>
      </c>
      <c r="D704">
        <f>IF('Entry Builder'!$N$10=0,1,IF('Entry Builder'!$D$10="Less",--(INDEX(Sims!$A704:$BO704,'Entry Builder'!$L$10)&lt;'Entry Builder'!$E$10),--(INDEX(Sims!$A704:$BO704,'Entry Builder'!$L$10)&gt;'Entry Builder'!$E$10)))</f>
        <v/>
      </c>
      <c r="E704">
        <f>IF('Entry Builder'!$N$11=0,1,IF('Entry Builder'!$D$11="Less",--(INDEX(Sims!$A704:$BO704,'Entry Builder'!$L$11)&lt;'Entry Builder'!$E$11),--(INDEX(Sims!$A704:$BO704,'Entry Builder'!$L$11)&gt;'Entry Builder'!$E$11)))</f>
        <v/>
      </c>
      <c r="F704">
        <f>IF('Entry Builder'!$N$12=0,1,IF('Entry Builder'!$D$12="Less",--(INDEX(Sims!$A704:$BO704,'Entry Builder'!$L$12)&lt;'Entry Builder'!$E$12),--(INDEX(Sims!$A704:$BO704,'Entry Builder'!$L$12)&gt;'Entry Builder'!$E$12)))</f>
        <v/>
      </c>
      <c r="G704">
        <f>6-SUM(A704:F704)</f>
        <v/>
      </c>
    </row>
    <row r="705">
      <c r="A705">
        <f>IF('Entry Builder'!$N$7=0,1,IF('Entry Builder'!$D$7="Less",--(INDEX(Sims!$A705:$BO705,'Entry Builder'!$L$7)&lt;'Entry Builder'!$E$7),--(INDEX(Sims!$A705:$BO705,'Entry Builder'!$L$7)&gt;'Entry Builder'!$E$7)))</f>
        <v/>
      </c>
      <c r="B705">
        <f>IF('Entry Builder'!$N$8=0,1,IF('Entry Builder'!$D$8="Less",--(INDEX(Sims!$A705:$BO705,'Entry Builder'!$L$8)&lt;'Entry Builder'!$E$8),--(INDEX(Sims!$A705:$BO705,'Entry Builder'!$L$8)&gt;'Entry Builder'!$E$8)))</f>
        <v/>
      </c>
      <c r="C705">
        <f>IF('Entry Builder'!$N$9=0,1,IF('Entry Builder'!$D$9="Less",--(INDEX(Sims!$A705:$BO705,'Entry Builder'!$L$9)&lt;'Entry Builder'!$E$9),--(INDEX(Sims!$A705:$BO705,'Entry Builder'!$L$9)&gt;'Entry Builder'!$E$9)))</f>
        <v/>
      </c>
      <c r="D705">
        <f>IF('Entry Builder'!$N$10=0,1,IF('Entry Builder'!$D$10="Less",--(INDEX(Sims!$A705:$BO705,'Entry Builder'!$L$10)&lt;'Entry Builder'!$E$10),--(INDEX(Sims!$A705:$BO705,'Entry Builder'!$L$10)&gt;'Entry Builder'!$E$10)))</f>
        <v/>
      </c>
      <c r="E705">
        <f>IF('Entry Builder'!$N$11=0,1,IF('Entry Builder'!$D$11="Less",--(INDEX(Sims!$A705:$BO705,'Entry Builder'!$L$11)&lt;'Entry Builder'!$E$11),--(INDEX(Sims!$A705:$BO705,'Entry Builder'!$L$11)&gt;'Entry Builder'!$E$11)))</f>
        <v/>
      </c>
      <c r="F705">
        <f>IF('Entry Builder'!$N$12=0,1,IF('Entry Builder'!$D$12="Less",--(INDEX(Sims!$A705:$BO705,'Entry Builder'!$L$12)&lt;'Entry Builder'!$E$12),--(INDEX(Sims!$A705:$BO705,'Entry Builder'!$L$12)&gt;'Entry Builder'!$E$12)))</f>
        <v/>
      </c>
      <c r="G705">
        <f>6-SUM(A705:F705)</f>
        <v/>
      </c>
    </row>
    <row r="706">
      <c r="A706">
        <f>IF('Entry Builder'!$N$7=0,1,IF('Entry Builder'!$D$7="Less",--(INDEX(Sims!$A706:$BO706,'Entry Builder'!$L$7)&lt;'Entry Builder'!$E$7),--(INDEX(Sims!$A706:$BO706,'Entry Builder'!$L$7)&gt;'Entry Builder'!$E$7)))</f>
        <v/>
      </c>
      <c r="B706">
        <f>IF('Entry Builder'!$N$8=0,1,IF('Entry Builder'!$D$8="Less",--(INDEX(Sims!$A706:$BO706,'Entry Builder'!$L$8)&lt;'Entry Builder'!$E$8),--(INDEX(Sims!$A706:$BO706,'Entry Builder'!$L$8)&gt;'Entry Builder'!$E$8)))</f>
        <v/>
      </c>
      <c r="C706">
        <f>IF('Entry Builder'!$N$9=0,1,IF('Entry Builder'!$D$9="Less",--(INDEX(Sims!$A706:$BO706,'Entry Builder'!$L$9)&lt;'Entry Builder'!$E$9),--(INDEX(Sims!$A706:$BO706,'Entry Builder'!$L$9)&gt;'Entry Builder'!$E$9)))</f>
        <v/>
      </c>
      <c r="D706">
        <f>IF('Entry Builder'!$N$10=0,1,IF('Entry Builder'!$D$10="Less",--(INDEX(Sims!$A706:$BO706,'Entry Builder'!$L$10)&lt;'Entry Builder'!$E$10),--(INDEX(Sims!$A706:$BO706,'Entry Builder'!$L$10)&gt;'Entry Builder'!$E$10)))</f>
        <v/>
      </c>
      <c r="E706">
        <f>IF('Entry Builder'!$N$11=0,1,IF('Entry Builder'!$D$11="Less",--(INDEX(Sims!$A706:$BO706,'Entry Builder'!$L$11)&lt;'Entry Builder'!$E$11),--(INDEX(Sims!$A706:$BO706,'Entry Builder'!$L$11)&gt;'Entry Builder'!$E$11)))</f>
        <v/>
      </c>
      <c r="F706">
        <f>IF('Entry Builder'!$N$12=0,1,IF('Entry Builder'!$D$12="Less",--(INDEX(Sims!$A706:$BO706,'Entry Builder'!$L$12)&lt;'Entry Builder'!$E$12),--(INDEX(Sims!$A706:$BO706,'Entry Builder'!$L$12)&gt;'Entry Builder'!$E$12)))</f>
        <v/>
      </c>
      <c r="G706">
        <f>6-SUM(A706:F706)</f>
        <v/>
      </c>
    </row>
    <row r="707">
      <c r="A707">
        <f>IF('Entry Builder'!$N$7=0,1,IF('Entry Builder'!$D$7="Less",--(INDEX(Sims!$A707:$BO707,'Entry Builder'!$L$7)&lt;'Entry Builder'!$E$7),--(INDEX(Sims!$A707:$BO707,'Entry Builder'!$L$7)&gt;'Entry Builder'!$E$7)))</f>
        <v/>
      </c>
      <c r="B707">
        <f>IF('Entry Builder'!$N$8=0,1,IF('Entry Builder'!$D$8="Less",--(INDEX(Sims!$A707:$BO707,'Entry Builder'!$L$8)&lt;'Entry Builder'!$E$8),--(INDEX(Sims!$A707:$BO707,'Entry Builder'!$L$8)&gt;'Entry Builder'!$E$8)))</f>
        <v/>
      </c>
      <c r="C707">
        <f>IF('Entry Builder'!$N$9=0,1,IF('Entry Builder'!$D$9="Less",--(INDEX(Sims!$A707:$BO707,'Entry Builder'!$L$9)&lt;'Entry Builder'!$E$9),--(INDEX(Sims!$A707:$BO707,'Entry Builder'!$L$9)&gt;'Entry Builder'!$E$9)))</f>
        <v/>
      </c>
      <c r="D707">
        <f>IF('Entry Builder'!$N$10=0,1,IF('Entry Builder'!$D$10="Less",--(INDEX(Sims!$A707:$BO707,'Entry Builder'!$L$10)&lt;'Entry Builder'!$E$10),--(INDEX(Sims!$A707:$BO707,'Entry Builder'!$L$10)&gt;'Entry Builder'!$E$10)))</f>
        <v/>
      </c>
      <c r="E707">
        <f>IF('Entry Builder'!$N$11=0,1,IF('Entry Builder'!$D$11="Less",--(INDEX(Sims!$A707:$BO707,'Entry Builder'!$L$11)&lt;'Entry Builder'!$E$11),--(INDEX(Sims!$A707:$BO707,'Entry Builder'!$L$11)&gt;'Entry Builder'!$E$11)))</f>
        <v/>
      </c>
      <c r="F707">
        <f>IF('Entry Builder'!$N$12=0,1,IF('Entry Builder'!$D$12="Less",--(INDEX(Sims!$A707:$BO707,'Entry Builder'!$L$12)&lt;'Entry Builder'!$E$12),--(INDEX(Sims!$A707:$BO707,'Entry Builder'!$L$12)&gt;'Entry Builder'!$E$12)))</f>
        <v/>
      </c>
      <c r="G707">
        <f>6-SUM(A707:F707)</f>
        <v/>
      </c>
    </row>
    <row r="708">
      <c r="A708">
        <f>IF('Entry Builder'!$N$7=0,1,IF('Entry Builder'!$D$7="Less",--(INDEX(Sims!$A708:$BO708,'Entry Builder'!$L$7)&lt;'Entry Builder'!$E$7),--(INDEX(Sims!$A708:$BO708,'Entry Builder'!$L$7)&gt;'Entry Builder'!$E$7)))</f>
        <v/>
      </c>
      <c r="B708">
        <f>IF('Entry Builder'!$N$8=0,1,IF('Entry Builder'!$D$8="Less",--(INDEX(Sims!$A708:$BO708,'Entry Builder'!$L$8)&lt;'Entry Builder'!$E$8),--(INDEX(Sims!$A708:$BO708,'Entry Builder'!$L$8)&gt;'Entry Builder'!$E$8)))</f>
        <v/>
      </c>
      <c r="C708">
        <f>IF('Entry Builder'!$N$9=0,1,IF('Entry Builder'!$D$9="Less",--(INDEX(Sims!$A708:$BO708,'Entry Builder'!$L$9)&lt;'Entry Builder'!$E$9),--(INDEX(Sims!$A708:$BO708,'Entry Builder'!$L$9)&gt;'Entry Builder'!$E$9)))</f>
        <v/>
      </c>
      <c r="D708">
        <f>IF('Entry Builder'!$N$10=0,1,IF('Entry Builder'!$D$10="Less",--(INDEX(Sims!$A708:$BO708,'Entry Builder'!$L$10)&lt;'Entry Builder'!$E$10),--(INDEX(Sims!$A708:$BO708,'Entry Builder'!$L$10)&gt;'Entry Builder'!$E$10)))</f>
        <v/>
      </c>
      <c r="E708">
        <f>IF('Entry Builder'!$N$11=0,1,IF('Entry Builder'!$D$11="Less",--(INDEX(Sims!$A708:$BO708,'Entry Builder'!$L$11)&lt;'Entry Builder'!$E$11),--(INDEX(Sims!$A708:$BO708,'Entry Builder'!$L$11)&gt;'Entry Builder'!$E$11)))</f>
        <v/>
      </c>
      <c r="F708">
        <f>IF('Entry Builder'!$N$12=0,1,IF('Entry Builder'!$D$12="Less",--(INDEX(Sims!$A708:$BO708,'Entry Builder'!$L$12)&lt;'Entry Builder'!$E$12),--(INDEX(Sims!$A708:$BO708,'Entry Builder'!$L$12)&gt;'Entry Builder'!$E$12)))</f>
        <v/>
      </c>
      <c r="G708">
        <f>6-SUM(A708:F708)</f>
        <v/>
      </c>
    </row>
    <row r="709">
      <c r="A709">
        <f>IF('Entry Builder'!$N$7=0,1,IF('Entry Builder'!$D$7="Less",--(INDEX(Sims!$A709:$BO709,'Entry Builder'!$L$7)&lt;'Entry Builder'!$E$7),--(INDEX(Sims!$A709:$BO709,'Entry Builder'!$L$7)&gt;'Entry Builder'!$E$7)))</f>
        <v/>
      </c>
      <c r="B709">
        <f>IF('Entry Builder'!$N$8=0,1,IF('Entry Builder'!$D$8="Less",--(INDEX(Sims!$A709:$BO709,'Entry Builder'!$L$8)&lt;'Entry Builder'!$E$8),--(INDEX(Sims!$A709:$BO709,'Entry Builder'!$L$8)&gt;'Entry Builder'!$E$8)))</f>
        <v/>
      </c>
      <c r="C709">
        <f>IF('Entry Builder'!$N$9=0,1,IF('Entry Builder'!$D$9="Less",--(INDEX(Sims!$A709:$BO709,'Entry Builder'!$L$9)&lt;'Entry Builder'!$E$9),--(INDEX(Sims!$A709:$BO709,'Entry Builder'!$L$9)&gt;'Entry Builder'!$E$9)))</f>
        <v/>
      </c>
      <c r="D709">
        <f>IF('Entry Builder'!$N$10=0,1,IF('Entry Builder'!$D$10="Less",--(INDEX(Sims!$A709:$BO709,'Entry Builder'!$L$10)&lt;'Entry Builder'!$E$10),--(INDEX(Sims!$A709:$BO709,'Entry Builder'!$L$10)&gt;'Entry Builder'!$E$10)))</f>
        <v/>
      </c>
      <c r="E709">
        <f>IF('Entry Builder'!$N$11=0,1,IF('Entry Builder'!$D$11="Less",--(INDEX(Sims!$A709:$BO709,'Entry Builder'!$L$11)&lt;'Entry Builder'!$E$11),--(INDEX(Sims!$A709:$BO709,'Entry Builder'!$L$11)&gt;'Entry Builder'!$E$11)))</f>
        <v/>
      </c>
      <c r="F709">
        <f>IF('Entry Builder'!$N$12=0,1,IF('Entry Builder'!$D$12="Less",--(INDEX(Sims!$A709:$BO709,'Entry Builder'!$L$12)&lt;'Entry Builder'!$E$12),--(INDEX(Sims!$A709:$BO709,'Entry Builder'!$L$12)&gt;'Entry Builder'!$E$12)))</f>
        <v/>
      </c>
      <c r="G709">
        <f>6-SUM(A709:F709)</f>
        <v/>
      </c>
    </row>
    <row r="710">
      <c r="A710">
        <f>IF('Entry Builder'!$N$7=0,1,IF('Entry Builder'!$D$7="Less",--(INDEX(Sims!$A710:$BO710,'Entry Builder'!$L$7)&lt;'Entry Builder'!$E$7),--(INDEX(Sims!$A710:$BO710,'Entry Builder'!$L$7)&gt;'Entry Builder'!$E$7)))</f>
        <v/>
      </c>
      <c r="B710">
        <f>IF('Entry Builder'!$N$8=0,1,IF('Entry Builder'!$D$8="Less",--(INDEX(Sims!$A710:$BO710,'Entry Builder'!$L$8)&lt;'Entry Builder'!$E$8),--(INDEX(Sims!$A710:$BO710,'Entry Builder'!$L$8)&gt;'Entry Builder'!$E$8)))</f>
        <v/>
      </c>
      <c r="C710">
        <f>IF('Entry Builder'!$N$9=0,1,IF('Entry Builder'!$D$9="Less",--(INDEX(Sims!$A710:$BO710,'Entry Builder'!$L$9)&lt;'Entry Builder'!$E$9),--(INDEX(Sims!$A710:$BO710,'Entry Builder'!$L$9)&gt;'Entry Builder'!$E$9)))</f>
        <v/>
      </c>
      <c r="D710">
        <f>IF('Entry Builder'!$N$10=0,1,IF('Entry Builder'!$D$10="Less",--(INDEX(Sims!$A710:$BO710,'Entry Builder'!$L$10)&lt;'Entry Builder'!$E$10),--(INDEX(Sims!$A710:$BO710,'Entry Builder'!$L$10)&gt;'Entry Builder'!$E$10)))</f>
        <v/>
      </c>
      <c r="E710">
        <f>IF('Entry Builder'!$N$11=0,1,IF('Entry Builder'!$D$11="Less",--(INDEX(Sims!$A710:$BO710,'Entry Builder'!$L$11)&lt;'Entry Builder'!$E$11),--(INDEX(Sims!$A710:$BO710,'Entry Builder'!$L$11)&gt;'Entry Builder'!$E$11)))</f>
        <v/>
      </c>
      <c r="F710">
        <f>IF('Entry Builder'!$N$12=0,1,IF('Entry Builder'!$D$12="Less",--(INDEX(Sims!$A710:$BO710,'Entry Builder'!$L$12)&lt;'Entry Builder'!$E$12),--(INDEX(Sims!$A710:$BO710,'Entry Builder'!$L$12)&gt;'Entry Builder'!$E$12)))</f>
        <v/>
      </c>
      <c r="G710">
        <f>6-SUM(A710:F710)</f>
        <v/>
      </c>
    </row>
    <row r="711">
      <c r="A711">
        <f>IF('Entry Builder'!$N$7=0,1,IF('Entry Builder'!$D$7="Less",--(INDEX(Sims!$A711:$BO711,'Entry Builder'!$L$7)&lt;'Entry Builder'!$E$7),--(INDEX(Sims!$A711:$BO711,'Entry Builder'!$L$7)&gt;'Entry Builder'!$E$7)))</f>
        <v/>
      </c>
      <c r="B711">
        <f>IF('Entry Builder'!$N$8=0,1,IF('Entry Builder'!$D$8="Less",--(INDEX(Sims!$A711:$BO711,'Entry Builder'!$L$8)&lt;'Entry Builder'!$E$8),--(INDEX(Sims!$A711:$BO711,'Entry Builder'!$L$8)&gt;'Entry Builder'!$E$8)))</f>
        <v/>
      </c>
      <c r="C711">
        <f>IF('Entry Builder'!$N$9=0,1,IF('Entry Builder'!$D$9="Less",--(INDEX(Sims!$A711:$BO711,'Entry Builder'!$L$9)&lt;'Entry Builder'!$E$9),--(INDEX(Sims!$A711:$BO711,'Entry Builder'!$L$9)&gt;'Entry Builder'!$E$9)))</f>
        <v/>
      </c>
      <c r="D711">
        <f>IF('Entry Builder'!$N$10=0,1,IF('Entry Builder'!$D$10="Less",--(INDEX(Sims!$A711:$BO711,'Entry Builder'!$L$10)&lt;'Entry Builder'!$E$10),--(INDEX(Sims!$A711:$BO711,'Entry Builder'!$L$10)&gt;'Entry Builder'!$E$10)))</f>
        <v/>
      </c>
      <c r="E711">
        <f>IF('Entry Builder'!$N$11=0,1,IF('Entry Builder'!$D$11="Less",--(INDEX(Sims!$A711:$BO711,'Entry Builder'!$L$11)&lt;'Entry Builder'!$E$11),--(INDEX(Sims!$A711:$BO711,'Entry Builder'!$L$11)&gt;'Entry Builder'!$E$11)))</f>
        <v/>
      </c>
      <c r="F711">
        <f>IF('Entry Builder'!$N$12=0,1,IF('Entry Builder'!$D$12="Less",--(INDEX(Sims!$A711:$BO711,'Entry Builder'!$L$12)&lt;'Entry Builder'!$E$12),--(INDEX(Sims!$A711:$BO711,'Entry Builder'!$L$12)&gt;'Entry Builder'!$E$12)))</f>
        <v/>
      </c>
      <c r="G711">
        <f>6-SUM(A711:F711)</f>
        <v/>
      </c>
    </row>
    <row r="712">
      <c r="A712">
        <f>IF('Entry Builder'!$N$7=0,1,IF('Entry Builder'!$D$7="Less",--(INDEX(Sims!$A712:$BO712,'Entry Builder'!$L$7)&lt;'Entry Builder'!$E$7),--(INDEX(Sims!$A712:$BO712,'Entry Builder'!$L$7)&gt;'Entry Builder'!$E$7)))</f>
        <v/>
      </c>
      <c r="B712">
        <f>IF('Entry Builder'!$N$8=0,1,IF('Entry Builder'!$D$8="Less",--(INDEX(Sims!$A712:$BO712,'Entry Builder'!$L$8)&lt;'Entry Builder'!$E$8),--(INDEX(Sims!$A712:$BO712,'Entry Builder'!$L$8)&gt;'Entry Builder'!$E$8)))</f>
        <v/>
      </c>
      <c r="C712">
        <f>IF('Entry Builder'!$N$9=0,1,IF('Entry Builder'!$D$9="Less",--(INDEX(Sims!$A712:$BO712,'Entry Builder'!$L$9)&lt;'Entry Builder'!$E$9),--(INDEX(Sims!$A712:$BO712,'Entry Builder'!$L$9)&gt;'Entry Builder'!$E$9)))</f>
        <v/>
      </c>
      <c r="D712">
        <f>IF('Entry Builder'!$N$10=0,1,IF('Entry Builder'!$D$10="Less",--(INDEX(Sims!$A712:$BO712,'Entry Builder'!$L$10)&lt;'Entry Builder'!$E$10),--(INDEX(Sims!$A712:$BO712,'Entry Builder'!$L$10)&gt;'Entry Builder'!$E$10)))</f>
        <v/>
      </c>
      <c r="E712">
        <f>IF('Entry Builder'!$N$11=0,1,IF('Entry Builder'!$D$11="Less",--(INDEX(Sims!$A712:$BO712,'Entry Builder'!$L$11)&lt;'Entry Builder'!$E$11),--(INDEX(Sims!$A712:$BO712,'Entry Builder'!$L$11)&gt;'Entry Builder'!$E$11)))</f>
        <v/>
      </c>
      <c r="F712">
        <f>IF('Entry Builder'!$N$12=0,1,IF('Entry Builder'!$D$12="Less",--(INDEX(Sims!$A712:$BO712,'Entry Builder'!$L$12)&lt;'Entry Builder'!$E$12),--(INDEX(Sims!$A712:$BO712,'Entry Builder'!$L$12)&gt;'Entry Builder'!$E$12)))</f>
        <v/>
      </c>
      <c r="G712">
        <f>6-SUM(A712:F712)</f>
        <v/>
      </c>
    </row>
    <row r="713">
      <c r="A713">
        <f>IF('Entry Builder'!$N$7=0,1,IF('Entry Builder'!$D$7="Less",--(INDEX(Sims!$A713:$BO713,'Entry Builder'!$L$7)&lt;'Entry Builder'!$E$7),--(INDEX(Sims!$A713:$BO713,'Entry Builder'!$L$7)&gt;'Entry Builder'!$E$7)))</f>
        <v/>
      </c>
      <c r="B713">
        <f>IF('Entry Builder'!$N$8=0,1,IF('Entry Builder'!$D$8="Less",--(INDEX(Sims!$A713:$BO713,'Entry Builder'!$L$8)&lt;'Entry Builder'!$E$8),--(INDEX(Sims!$A713:$BO713,'Entry Builder'!$L$8)&gt;'Entry Builder'!$E$8)))</f>
        <v/>
      </c>
      <c r="C713">
        <f>IF('Entry Builder'!$N$9=0,1,IF('Entry Builder'!$D$9="Less",--(INDEX(Sims!$A713:$BO713,'Entry Builder'!$L$9)&lt;'Entry Builder'!$E$9),--(INDEX(Sims!$A713:$BO713,'Entry Builder'!$L$9)&gt;'Entry Builder'!$E$9)))</f>
        <v/>
      </c>
      <c r="D713">
        <f>IF('Entry Builder'!$N$10=0,1,IF('Entry Builder'!$D$10="Less",--(INDEX(Sims!$A713:$BO713,'Entry Builder'!$L$10)&lt;'Entry Builder'!$E$10),--(INDEX(Sims!$A713:$BO713,'Entry Builder'!$L$10)&gt;'Entry Builder'!$E$10)))</f>
        <v/>
      </c>
      <c r="E713">
        <f>IF('Entry Builder'!$N$11=0,1,IF('Entry Builder'!$D$11="Less",--(INDEX(Sims!$A713:$BO713,'Entry Builder'!$L$11)&lt;'Entry Builder'!$E$11),--(INDEX(Sims!$A713:$BO713,'Entry Builder'!$L$11)&gt;'Entry Builder'!$E$11)))</f>
        <v/>
      </c>
      <c r="F713">
        <f>IF('Entry Builder'!$N$12=0,1,IF('Entry Builder'!$D$12="Less",--(INDEX(Sims!$A713:$BO713,'Entry Builder'!$L$12)&lt;'Entry Builder'!$E$12),--(INDEX(Sims!$A713:$BO713,'Entry Builder'!$L$12)&gt;'Entry Builder'!$E$12)))</f>
        <v/>
      </c>
      <c r="G713">
        <f>6-SUM(A713:F713)</f>
        <v/>
      </c>
    </row>
    <row r="714">
      <c r="A714">
        <f>IF('Entry Builder'!$N$7=0,1,IF('Entry Builder'!$D$7="Less",--(INDEX(Sims!$A714:$BO714,'Entry Builder'!$L$7)&lt;'Entry Builder'!$E$7),--(INDEX(Sims!$A714:$BO714,'Entry Builder'!$L$7)&gt;'Entry Builder'!$E$7)))</f>
        <v/>
      </c>
      <c r="B714">
        <f>IF('Entry Builder'!$N$8=0,1,IF('Entry Builder'!$D$8="Less",--(INDEX(Sims!$A714:$BO714,'Entry Builder'!$L$8)&lt;'Entry Builder'!$E$8),--(INDEX(Sims!$A714:$BO714,'Entry Builder'!$L$8)&gt;'Entry Builder'!$E$8)))</f>
        <v/>
      </c>
      <c r="C714">
        <f>IF('Entry Builder'!$N$9=0,1,IF('Entry Builder'!$D$9="Less",--(INDEX(Sims!$A714:$BO714,'Entry Builder'!$L$9)&lt;'Entry Builder'!$E$9),--(INDEX(Sims!$A714:$BO714,'Entry Builder'!$L$9)&gt;'Entry Builder'!$E$9)))</f>
        <v/>
      </c>
      <c r="D714">
        <f>IF('Entry Builder'!$N$10=0,1,IF('Entry Builder'!$D$10="Less",--(INDEX(Sims!$A714:$BO714,'Entry Builder'!$L$10)&lt;'Entry Builder'!$E$10),--(INDEX(Sims!$A714:$BO714,'Entry Builder'!$L$10)&gt;'Entry Builder'!$E$10)))</f>
        <v/>
      </c>
      <c r="E714">
        <f>IF('Entry Builder'!$N$11=0,1,IF('Entry Builder'!$D$11="Less",--(INDEX(Sims!$A714:$BO714,'Entry Builder'!$L$11)&lt;'Entry Builder'!$E$11),--(INDEX(Sims!$A714:$BO714,'Entry Builder'!$L$11)&gt;'Entry Builder'!$E$11)))</f>
        <v/>
      </c>
      <c r="F714">
        <f>IF('Entry Builder'!$N$12=0,1,IF('Entry Builder'!$D$12="Less",--(INDEX(Sims!$A714:$BO714,'Entry Builder'!$L$12)&lt;'Entry Builder'!$E$12),--(INDEX(Sims!$A714:$BO714,'Entry Builder'!$L$12)&gt;'Entry Builder'!$E$12)))</f>
        <v/>
      </c>
      <c r="G714">
        <f>6-SUM(A714:F714)</f>
        <v/>
      </c>
    </row>
    <row r="715">
      <c r="A715">
        <f>IF('Entry Builder'!$N$7=0,1,IF('Entry Builder'!$D$7="Less",--(INDEX(Sims!$A715:$BO715,'Entry Builder'!$L$7)&lt;'Entry Builder'!$E$7),--(INDEX(Sims!$A715:$BO715,'Entry Builder'!$L$7)&gt;'Entry Builder'!$E$7)))</f>
        <v/>
      </c>
      <c r="B715">
        <f>IF('Entry Builder'!$N$8=0,1,IF('Entry Builder'!$D$8="Less",--(INDEX(Sims!$A715:$BO715,'Entry Builder'!$L$8)&lt;'Entry Builder'!$E$8),--(INDEX(Sims!$A715:$BO715,'Entry Builder'!$L$8)&gt;'Entry Builder'!$E$8)))</f>
        <v/>
      </c>
      <c r="C715">
        <f>IF('Entry Builder'!$N$9=0,1,IF('Entry Builder'!$D$9="Less",--(INDEX(Sims!$A715:$BO715,'Entry Builder'!$L$9)&lt;'Entry Builder'!$E$9),--(INDEX(Sims!$A715:$BO715,'Entry Builder'!$L$9)&gt;'Entry Builder'!$E$9)))</f>
        <v/>
      </c>
      <c r="D715">
        <f>IF('Entry Builder'!$N$10=0,1,IF('Entry Builder'!$D$10="Less",--(INDEX(Sims!$A715:$BO715,'Entry Builder'!$L$10)&lt;'Entry Builder'!$E$10),--(INDEX(Sims!$A715:$BO715,'Entry Builder'!$L$10)&gt;'Entry Builder'!$E$10)))</f>
        <v/>
      </c>
      <c r="E715">
        <f>IF('Entry Builder'!$N$11=0,1,IF('Entry Builder'!$D$11="Less",--(INDEX(Sims!$A715:$BO715,'Entry Builder'!$L$11)&lt;'Entry Builder'!$E$11),--(INDEX(Sims!$A715:$BO715,'Entry Builder'!$L$11)&gt;'Entry Builder'!$E$11)))</f>
        <v/>
      </c>
      <c r="F715">
        <f>IF('Entry Builder'!$N$12=0,1,IF('Entry Builder'!$D$12="Less",--(INDEX(Sims!$A715:$BO715,'Entry Builder'!$L$12)&lt;'Entry Builder'!$E$12),--(INDEX(Sims!$A715:$BO715,'Entry Builder'!$L$12)&gt;'Entry Builder'!$E$12)))</f>
        <v/>
      </c>
      <c r="G715">
        <f>6-SUM(A715:F715)</f>
        <v/>
      </c>
    </row>
    <row r="716">
      <c r="A716">
        <f>IF('Entry Builder'!$N$7=0,1,IF('Entry Builder'!$D$7="Less",--(INDEX(Sims!$A716:$BO716,'Entry Builder'!$L$7)&lt;'Entry Builder'!$E$7),--(INDEX(Sims!$A716:$BO716,'Entry Builder'!$L$7)&gt;'Entry Builder'!$E$7)))</f>
        <v/>
      </c>
      <c r="B716">
        <f>IF('Entry Builder'!$N$8=0,1,IF('Entry Builder'!$D$8="Less",--(INDEX(Sims!$A716:$BO716,'Entry Builder'!$L$8)&lt;'Entry Builder'!$E$8),--(INDEX(Sims!$A716:$BO716,'Entry Builder'!$L$8)&gt;'Entry Builder'!$E$8)))</f>
        <v/>
      </c>
      <c r="C716">
        <f>IF('Entry Builder'!$N$9=0,1,IF('Entry Builder'!$D$9="Less",--(INDEX(Sims!$A716:$BO716,'Entry Builder'!$L$9)&lt;'Entry Builder'!$E$9),--(INDEX(Sims!$A716:$BO716,'Entry Builder'!$L$9)&gt;'Entry Builder'!$E$9)))</f>
        <v/>
      </c>
      <c r="D716">
        <f>IF('Entry Builder'!$N$10=0,1,IF('Entry Builder'!$D$10="Less",--(INDEX(Sims!$A716:$BO716,'Entry Builder'!$L$10)&lt;'Entry Builder'!$E$10),--(INDEX(Sims!$A716:$BO716,'Entry Builder'!$L$10)&gt;'Entry Builder'!$E$10)))</f>
        <v/>
      </c>
      <c r="E716">
        <f>IF('Entry Builder'!$N$11=0,1,IF('Entry Builder'!$D$11="Less",--(INDEX(Sims!$A716:$BO716,'Entry Builder'!$L$11)&lt;'Entry Builder'!$E$11),--(INDEX(Sims!$A716:$BO716,'Entry Builder'!$L$11)&gt;'Entry Builder'!$E$11)))</f>
        <v/>
      </c>
      <c r="F716">
        <f>IF('Entry Builder'!$N$12=0,1,IF('Entry Builder'!$D$12="Less",--(INDEX(Sims!$A716:$BO716,'Entry Builder'!$L$12)&lt;'Entry Builder'!$E$12),--(INDEX(Sims!$A716:$BO716,'Entry Builder'!$L$12)&gt;'Entry Builder'!$E$12)))</f>
        <v/>
      </c>
      <c r="G716">
        <f>6-SUM(A716:F716)</f>
        <v/>
      </c>
    </row>
    <row r="717">
      <c r="A717">
        <f>IF('Entry Builder'!$N$7=0,1,IF('Entry Builder'!$D$7="Less",--(INDEX(Sims!$A717:$BO717,'Entry Builder'!$L$7)&lt;'Entry Builder'!$E$7),--(INDEX(Sims!$A717:$BO717,'Entry Builder'!$L$7)&gt;'Entry Builder'!$E$7)))</f>
        <v/>
      </c>
      <c r="B717">
        <f>IF('Entry Builder'!$N$8=0,1,IF('Entry Builder'!$D$8="Less",--(INDEX(Sims!$A717:$BO717,'Entry Builder'!$L$8)&lt;'Entry Builder'!$E$8),--(INDEX(Sims!$A717:$BO717,'Entry Builder'!$L$8)&gt;'Entry Builder'!$E$8)))</f>
        <v/>
      </c>
      <c r="C717">
        <f>IF('Entry Builder'!$N$9=0,1,IF('Entry Builder'!$D$9="Less",--(INDEX(Sims!$A717:$BO717,'Entry Builder'!$L$9)&lt;'Entry Builder'!$E$9),--(INDEX(Sims!$A717:$BO717,'Entry Builder'!$L$9)&gt;'Entry Builder'!$E$9)))</f>
        <v/>
      </c>
      <c r="D717">
        <f>IF('Entry Builder'!$N$10=0,1,IF('Entry Builder'!$D$10="Less",--(INDEX(Sims!$A717:$BO717,'Entry Builder'!$L$10)&lt;'Entry Builder'!$E$10),--(INDEX(Sims!$A717:$BO717,'Entry Builder'!$L$10)&gt;'Entry Builder'!$E$10)))</f>
        <v/>
      </c>
      <c r="E717">
        <f>IF('Entry Builder'!$N$11=0,1,IF('Entry Builder'!$D$11="Less",--(INDEX(Sims!$A717:$BO717,'Entry Builder'!$L$11)&lt;'Entry Builder'!$E$11),--(INDEX(Sims!$A717:$BO717,'Entry Builder'!$L$11)&gt;'Entry Builder'!$E$11)))</f>
        <v/>
      </c>
      <c r="F717">
        <f>IF('Entry Builder'!$N$12=0,1,IF('Entry Builder'!$D$12="Less",--(INDEX(Sims!$A717:$BO717,'Entry Builder'!$L$12)&lt;'Entry Builder'!$E$12),--(INDEX(Sims!$A717:$BO717,'Entry Builder'!$L$12)&gt;'Entry Builder'!$E$12)))</f>
        <v/>
      </c>
      <c r="G717">
        <f>6-SUM(A717:F717)</f>
        <v/>
      </c>
    </row>
    <row r="718">
      <c r="A718">
        <f>IF('Entry Builder'!$N$7=0,1,IF('Entry Builder'!$D$7="Less",--(INDEX(Sims!$A718:$BO718,'Entry Builder'!$L$7)&lt;'Entry Builder'!$E$7),--(INDEX(Sims!$A718:$BO718,'Entry Builder'!$L$7)&gt;'Entry Builder'!$E$7)))</f>
        <v/>
      </c>
      <c r="B718">
        <f>IF('Entry Builder'!$N$8=0,1,IF('Entry Builder'!$D$8="Less",--(INDEX(Sims!$A718:$BO718,'Entry Builder'!$L$8)&lt;'Entry Builder'!$E$8),--(INDEX(Sims!$A718:$BO718,'Entry Builder'!$L$8)&gt;'Entry Builder'!$E$8)))</f>
        <v/>
      </c>
      <c r="C718">
        <f>IF('Entry Builder'!$N$9=0,1,IF('Entry Builder'!$D$9="Less",--(INDEX(Sims!$A718:$BO718,'Entry Builder'!$L$9)&lt;'Entry Builder'!$E$9),--(INDEX(Sims!$A718:$BO718,'Entry Builder'!$L$9)&gt;'Entry Builder'!$E$9)))</f>
        <v/>
      </c>
      <c r="D718">
        <f>IF('Entry Builder'!$N$10=0,1,IF('Entry Builder'!$D$10="Less",--(INDEX(Sims!$A718:$BO718,'Entry Builder'!$L$10)&lt;'Entry Builder'!$E$10),--(INDEX(Sims!$A718:$BO718,'Entry Builder'!$L$10)&gt;'Entry Builder'!$E$10)))</f>
        <v/>
      </c>
      <c r="E718">
        <f>IF('Entry Builder'!$N$11=0,1,IF('Entry Builder'!$D$11="Less",--(INDEX(Sims!$A718:$BO718,'Entry Builder'!$L$11)&lt;'Entry Builder'!$E$11),--(INDEX(Sims!$A718:$BO718,'Entry Builder'!$L$11)&gt;'Entry Builder'!$E$11)))</f>
        <v/>
      </c>
      <c r="F718">
        <f>IF('Entry Builder'!$N$12=0,1,IF('Entry Builder'!$D$12="Less",--(INDEX(Sims!$A718:$BO718,'Entry Builder'!$L$12)&lt;'Entry Builder'!$E$12),--(INDEX(Sims!$A718:$BO718,'Entry Builder'!$L$12)&gt;'Entry Builder'!$E$12)))</f>
        <v/>
      </c>
      <c r="G718">
        <f>6-SUM(A718:F718)</f>
        <v/>
      </c>
    </row>
    <row r="719">
      <c r="A719">
        <f>IF('Entry Builder'!$N$7=0,1,IF('Entry Builder'!$D$7="Less",--(INDEX(Sims!$A719:$BO719,'Entry Builder'!$L$7)&lt;'Entry Builder'!$E$7),--(INDEX(Sims!$A719:$BO719,'Entry Builder'!$L$7)&gt;'Entry Builder'!$E$7)))</f>
        <v/>
      </c>
      <c r="B719">
        <f>IF('Entry Builder'!$N$8=0,1,IF('Entry Builder'!$D$8="Less",--(INDEX(Sims!$A719:$BO719,'Entry Builder'!$L$8)&lt;'Entry Builder'!$E$8),--(INDEX(Sims!$A719:$BO719,'Entry Builder'!$L$8)&gt;'Entry Builder'!$E$8)))</f>
        <v/>
      </c>
      <c r="C719">
        <f>IF('Entry Builder'!$N$9=0,1,IF('Entry Builder'!$D$9="Less",--(INDEX(Sims!$A719:$BO719,'Entry Builder'!$L$9)&lt;'Entry Builder'!$E$9),--(INDEX(Sims!$A719:$BO719,'Entry Builder'!$L$9)&gt;'Entry Builder'!$E$9)))</f>
        <v/>
      </c>
      <c r="D719">
        <f>IF('Entry Builder'!$N$10=0,1,IF('Entry Builder'!$D$10="Less",--(INDEX(Sims!$A719:$BO719,'Entry Builder'!$L$10)&lt;'Entry Builder'!$E$10),--(INDEX(Sims!$A719:$BO719,'Entry Builder'!$L$10)&gt;'Entry Builder'!$E$10)))</f>
        <v/>
      </c>
      <c r="E719">
        <f>IF('Entry Builder'!$N$11=0,1,IF('Entry Builder'!$D$11="Less",--(INDEX(Sims!$A719:$BO719,'Entry Builder'!$L$11)&lt;'Entry Builder'!$E$11),--(INDEX(Sims!$A719:$BO719,'Entry Builder'!$L$11)&gt;'Entry Builder'!$E$11)))</f>
        <v/>
      </c>
      <c r="F719">
        <f>IF('Entry Builder'!$N$12=0,1,IF('Entry Builder'!$D$12="Less",--(INDEX(Sims!$A719:$BO719,'Entry Builder'!$L$12)&lt;'Entry Builder'!$E$12),--(INDEX(Sims!$A719:$BO719,'Entry Builder'!$L$12)&gt;'Entry Builder'!$E$12)))</f>
        <v/>
      </c>
      <c r="G719">
        <f>6-SUM(A719:F719)</f>
        <v/>
      </c>
    </row>
    <row r="720">
      <c r="A720">
        <f>IF('Entry Builder'!$N$7=0,1,IF('Entry Builder'!$D$7="Less",--(INDEX(Sims!$A720:$BO720,'Entry Builder'!$L$7)&lt;'Entry Builder'!$E$7),--(INDEX(Sims!$A720:$BO720,'Entry Builder'!$L$7)&gt;'Entry Builder'!$E$7)))</f>
        <v/>
      </c>
      <c r="B720">
        <f>IF('Entry Builder'!$N$8=0,1,IF('Entry Builder'!$D$8="Less",--(INDEX(Sims!$A720:$BO720,'Entry Builder'!$L$8)&lt;'Entry Builder'!$E$8),--(INDEX(Sims!$A720:$BO720,'Entry Builder'!$L$8)&gt;'Entry Builder'!$E$8)))</f>
        <v/>
      </c>
      <c r="C720">
        <f>IF('Entry Builder'!$N$9=0,1,IF('Entry Builder'!$D$9="Less",--(INDEX(Sims!$A720:$BO720,'Entry Builder'!$L$9)&lt;'Entry Builder'!$E$9),--(INDEX(Sims!$A720:$BO720,'Entry Builder'!$L$9)&gt;'Entry Builder'!$E$9)))</f>
        <v/>
      </c>
      <c r="D720">
        <f>IF('Entry Builder'!$N$10=0,1,IF('Entry Builder'!$D$10="Less",--(INDEX(Sims!$A720:$BO720,'Entry Builder'!$L$10)&lt;'Entry Builder'!$E$10),--(INDEX(Sims!$A720:$BO720,'Entry Builder'!$L$10)&gt;'Entry Builder'!$E$10)))</f>
        <v/>
      </c>
      <c r="E720">
        <f>IF('Entry Builder'!$N$11=0,1,IF('Entry Builder'!$D$11="Less",--(INDEX(Sims!$A720:$BO720,'Entry Builder'!$L$11)&lt;'Entry Builder'!$E$11),--(INDEX(Sims!$A720:$BO720,'Entry Builder'!$L$11)&gt;'Entry Builder'!$E$11)))</f>
        <v/>
      </c>
      <c r="F720">
        <f>IF('Entry Builder'!$N$12=0,1,IF('Entry Builder'!$D$12="Less",--(INDEX(Sims!$A720:$BO720,'Entry Builder'!$L$12)&lt;'Entry Builder'!$E$12),--(INDEX(Sims!$A720:$BO720,'Entry Builder'!$L$12)&gt;'Entry Builder'!$E$12)))</f>
        <v/>
      </c>
      <c r="G720">
        <f>6-SUM(A720:F720)</f>
        <v/>
      </c>
    </row>
    <row r="721">
      <c r="A721">
        <f>IF('Entry Builder'!$N$7=0,1,IF('Entry Builder'!$D$7="Less",--(INDEX(Sims!$A721:$BO721,'Entry Builder'!$L$7)&lt;'Entry Builder'!$E$7),--(INDEX(Sims!$A721:$BO721,'Entry Builder'!$L$7)&gt;'Entry Builder'!$E$7)))</f>
        <v/>
      </c>
      <c r="B721">
        <f>IF('Entry Builder'!$N$8=0,1,IF('Entry Builder'!$D$8="Less",--(INDEX(Sims!$A721:$BO721,'Entry Builder'!$L$8)&lt;'Entry Builder'!$E$8),--(INDEX(Sims!$A721:$BO721,'Entry Builder'!$L$8)&gt;'Entry Builder'!$E$8)))</f>
        <v/>
      </c>
      <c r="C721">
        <f>IF('Entry Builder'!$N$9=0,1,IF('Entry Builder'!$D$9="Less",--(INDEX(Sims!$A721:$BO721,'Entry Builder'!$L$9)&lt;'Entry Builder'!$E$9),--(INDEX(Sims!$A721:$BO721,'Entry Builder'!$L$9)&gt;'Entry Builder'!$E$9)))</f>
        <v/>
      </c>
      <c r="D721">
        <f>IF('Entry Builder'!$N$10=0,1,IF('Entry Builder'!$D$10="Less",--(INDEX(Sims!$A721:$BO721,'Entry Builder'!$L$10)&lt;'Entry Builder'!$E$10),--(INDEX(Sims!$A721:$BO721,'Entry Builder'!$L$10)&gt;'Entry Builder'!$E$10)))</f>
        <v/>
      </c>
      <c r="E721">
        <f>IF('Entry Builder'!$N$11=0,1,IF('Entry Builder'!$D$11="Less",--(INDEX(Sims!$A721:$BO721,'Entry Builder'!$L$11)&lt;'Entry Builder'!$E$11),--(INDEX(Sims!$A721:$BO721,'Entry Builder'!$L$11)&gt;'Entry Builder'!$E$11)))</f>
        <v/>
      </c>
      <c r="F721">
        <f>IF('Entry Builder'!$N$12=0,1,IF('Entry Builder'!$D$12="Less",--(INDEX(Sims!$A721:$BO721,'Entry Builder'!$L$12)&lt;'Entry Builder'!$E$12),--(INDEX(Sims!$A721:$BO721,'Entry Builder'!$L$12)&gt;'Entry Builder'!$E$12)))</f>
        <v/>
      </c>
      <c r="G721">
        <f>6-SUM(A721:F721)</f>
        <v/>
      </c>
    </row>
    <row r="722">
      <c r="A722">
        <f>IF('Entry Builder'!$N$7=0,1,IF('Entry Builder'!$D$7="Less",--(INDEX(Sims!$A722:$BO722,'Entry Builder'!$L$7)&lt;'Entry Builder'!$E$7),--(INDEX(Sims!$A722:$BO722,'Entry Builder'!$L$7)&gt;'Entry Builder'!$E$7)))</f>
        <v/>
      </c>
      <c r="B722">
        <f>IF('Entry Builder'!$N$8=0,1,IF('Entry Builder'!$D$8="Less",--(INDEX(Sims!$A722:$BO722,'Entry Builder'!$L$8)&lt;'Entry Builder'!$E$8),--(INDEX(Sims!$A722:$BO722,'Entry Builder'!$L$8)&gt;'Entry Builder'!$E$8)))</f>
        <v/>
      </c>
      <c r="C722">
        <f>IF('Entry Builder'!$N$9=0,1,IF('Entry Builder'!$D$9="Less",--(INDEX(Sims!$A722:$BO722,'Entry Builder'!$L$9)&lt;'Entry Builder'!$E$9),--(INDEX(Sims!$A722:$BO722,'Entry Builder'!$L$9)&gt;'Entry Builder'!$E$9)))</f>
        <v/>
      </c>
      <c r="D722">
        <f>IF('Entry Builder'!$N$10=0,1,IF('Entry Builder'!$D$10="Less",--(INDEX(Sims!$A722:$BO722,'Entry Builder'!$L$10)&lt;'Entry Builder'!$E$10),--(INDEX(Sims!$A722:$BO722,'Entry Builder'!$L$10)&gt;'Entry Builder'!$E$10)))</f>
        <v/>
      </c>
      <c r="E722">
        <f>IF('Entry Builder'!$N$11=0,1,IF('Entry Builder'!$D$11="Less",--(INDEX(Sims!$A722:$BO722,'Entry Builder'!$L$11)&lt;'Entry Builder'!$E$11),--(INDEX(Sims!$A722:$BO722,'Entry Builder'!$L$11)&gt;'Entry Builder'!$E$11)))</f>
        <v/>
      </c>
      <c r="F722">
        <f>IF('Entry Builder'!$N$12=0,1,IF('Entry Builder'!$D$12="Less",--(INDEX(Sims!$A722:$BO722,'Entry Builder'!$L$12)&lt;'Entry Builder'!$E$12),--(INDEX(Sims!$A722:$BO722,'Entry Builder'!$L$12)&gt;'Entry Builder'!$E$12)))</f>
        <v/>
      </c>
      <c r="G722">
        <f>6-SUM(A722:F722)</f>
        <v/>
      </c>
    </row>
    <row r="723">
      <c r="A723">
        <f>IF('Entry Builder'!$N$7=0,1,IF('Entry Builder'!$D$7="Less",--(INDEX(Sims!$A723:$BO723,'Entry Builder'!$L$7)&lt;'Entry Builder'!$E$7),--(INDEX(Sims!$A723:$BO723,'Entry Builder'!$L$7)&gt;'Entry Builder'!$E$7)))</f>
        <v/>
      </c>
      <c r="B723">
        <f>IF('Entry Builder'!$N$8=0,1,IF('Entry Builder'!$D$8="Less",--(INDEX(Sims!$A723:$BO723,'Entry Builder'!$L$8)&lt;'Entry Builder'!$E$8),--(INDEX(Sims!$A723:$BO723,'Entry Builder'!$L$8)&gt;'Entry Builder'!$E$8)))</f>
        <v/>
      </c>
      <c r="C723">
        <f>IF('Entry Builder'!$N$9=0,1,IF('Entry Builder'!$D$9="Less",--(INDEX(Sims!$A723:$BO723,'Entry Builder'!$L$9)&lt;'Entry Builder'!$E$9),--(INDEX(Sims!$A723:$BO723,'Entry Builder'!$L$9)&gt;'Entry Builder'!$E$9)))</f>
        <v/>
      </c>
      <c r="D723">
        <f>IF('Entry Builder'!$N$10=0,1,IF('Entry Builder'!$D$10="Less",--(INDEX(Sims!$A723:$BO723,'Entry Builder'!$L$10)&lt;'Entry Builder'!$E$10),--(INDEX(Sims!$A723:$BO723,'Entry Builder'!$L$10)&gt;'Entry Builder'!$E$10)))</f>
        <v/>
      </c>
      <c r="E723">
        <f>IF('Entry Builder'!$N$11=0,1,IF('Entry Builder'!$D$11="Less",--(INDEX(Sims!$A723:$BO723,'Entry Builder'!$L$11)&lt;'Entry Builder'!$E$11),--(INDEX(Sims!$A723:$BO723,'Entry Builder'!$L$11)&gt;'Entry Builder'!$E$11)))</f>
        <v/>
      </c>
      <c r="F723">
        <f>IF('Entry Builder'!$N$12=0,1,IF('Entry Builder'!$D$12="Less",--(INDEX(Sims!$A723:$BO723,'Entry Builder'!$L$12)&lt;'Entry Builder'!$E$12),--(INDEX(Sims!$A723:$BO723,'Entry Builder'!$L$12)&gt;'Entry Builder'!$E$12)))</f>
        <v/>
      </c>
      <c r="G723">
        <f>6-SUM(A723:F723)</f>
        <v/>
      </c>
    </row>
    <row r="724">
      <c r="A724">
        <f>IF('Entry Builder'!$N$7=0,1,IF('Entry Builder'!$D$7="Less",--(INDEX(Sims!$A724:$BO724,'Entry Builder'!$L$7)&lt;'Entry Builder'!$E$7),--(INDEX(Sims!$A724:$BO724,'Entry Builder'!$L$7)&gt;'Entry Builder'!$E$7)))</f>
        <v/>
      </c>
      <c r="B724">
        <f>IF('Entry Builder'!$N$8=0,1,IF('Entry Builder'!$D$8="Less",--(INDEX(Sims!$A724:$BO724,'Entry Builder'!$L$8)&lt;'Entry Builder'!$E$8),--(INDEX(Sims!$A724:$BO724,'Entry Builder'!$L$8)&gt;'Entry Builder'!$E$8)))</f>
        <v/>
      </c>
      <c r="C724">
        <f>IF('Entry Builder'!$N$9=0,1,IF('Entry Builder'!$D$9="Less",--(INDEX(Sims!$A724:$BO724,'Entry Builder'!$L$9)&lt;'Entry Builder'!$E$9),--(INDEX(Sims!$A724:$BO724,'Entry Builder'!$L$9)&gt;'Entry Builder'!$E$9)))</f>
        <v/>
      </c>
      <c r="D724">
        <f>IF('Entry Builder'!$N$10=0,1,IF('Entry Builder'!$D$10="Less",--(INDEX(Sims!$A724:$BO724,'Entry Builder'!$L$10)&lt;'Entry Builder'!$E$10),--(INDEX(Sims!$A724:$BO724,'Entry Builder'!$L$10)&gt;'Entry Builder'!$E$10)))</f>
        <v/>
      </c>
      <c r="E724">
        <f>IF('Entry Builder'!$N$11=0,1,IF('Entry Builder'!$D$11="Less",--(INDEX(Sims!$A724:$BO724,'Entry Builder'!$L$11)&lt;'Entry Builder'!$E$11),--(INDEX(Sims!$A724:$BO724,'Entry Builder'!$L$11)&gt;'Entry Builder'!$E$11)))</f>
        <v/>
      </c>
      <c r="F724">
        <f>IF('Entry Builder'!$N$12=0,1,IF('Entry Builder'!$D$12="Less",--(INDEX(Sims!$A724:$BO724,'Entry Builder'!$L$12)&lt;'Entry Builder'!$E$12),--(INDEX(Sims!$A724:$BO724,'Entry Builder'!$L$12)&gt;'Entry Builder'!$E$12)))</f>
        <v/>
      </c>
      <c r="G724">
        <f>6-SUM(A724:F724)</f>
        <v/>
      </c>
    </row>
    <row r="725">
      <c r="A725">
        <f>IF('Entry Builder'!$N$7=0,1,IF('Entry Builder'!$D$7="Less",--(INDEX(Sims!$A725:$BO725,'Entry Builder'!$L$7)&lt;'Entry Builder'!$E$7),--(INDEX(Sims!$A725:$BO725,'Entry Builder'!$L$7)&gt;'Entry Builder'!$E$7)))</f>
        <v/>
      </c>
      <c r="B725">
        <f>IF('Entry Builder'!$N$8=0,1,IF('Entry Builder'!$D$8="Less",--(INDEX(Sims!$A725:$BO725,'Entry Builder'!$L$8)&lt;'Entry Builder'!$E$8),--(INDEX(Sims!$A725:$BO725,'Entry Builder'!$L$8)&gt;'Entry Builder'!$E$8)))</f>
        <v/>
      </c>
      <c r="C725">
        <f>IF('Entry Builder'!$N$9=0,1,IF('Entry Builder'!$D$9="Less",--(INDEX(Sims!$A725:$BO725,'Entry Builder'!$L$9)&lt;'Entry Builder'!$E$9),--(INDEX(Sims!$A725:$BO725,'Entry Builder'!$L$9)&gt;'Entry Builder'!$E$9)))</f>
        <v/>
      </c>
      <c r="D725">
        <f>IF('Entry Builder'!$N$10=0,1,IF('Entry Builder'!$D$10="Less",--(INDEX(Sims!$A725:$BO725,'Entry Builder'!$L$10)&lt;'Entry Builder'!$E$10),--(INDEX(Sims!$A725:$BO725,'Entry Builder'!$L$10)&gt;'Entry Builder'!$E$10)))</f>
        <v/>
      </c>
      <c r="E725">
        <f>IF('Entry Builder'!$N$11=0,1,IF('Entry Builder'!$D$11="Less",--(INDEX(Sims!$A725:$BO725,'Entry Builder'!$L$11)&lt;'Entry Builder'!$E$11),--(INDEX(Sims!$A725:$BO725,'Entry Builder'!$L$11)&gt;'Entry Builder'!$E$11)))</f>
        <v/>
      </c>
      <c r="F725">
        <f>IF('Entry Builder'!$N$12=0,1,IF('Entry Builder'!$D$12="Less",--(INDEX(Sims!$A725:$BO725,'Entry Builder'!$L$12)&lt;'Entry Builder'!$E$12),--(INDEX(Sims!$A725:$BO725,'Entry Builder'!$L$12)&gt;'Entry Builder'!$E$12)))</f>
        <v/>
      </c>
      <c r="G725">
        <f>6-SUM(A725:F725)</f>
        <v/>
      </c>
    </row>
    <row r="726">
      <c r="A726">
        <f>IF('Entry Builder'!$N$7=0,1,IF('Entry Builder'!$D$7="Less",--(INDEX(Sims!$A726:$BO726,'Entry Builder'!$L$7)&lt;'Entry Builder'!$E$7),--(INDEX(Sims!$A726:$BO726,'Entry Builder'!$L$7)&gt;'Entry Builder'!$E$7)))</f>
        <v/>
      </c>
      <c r="B726">
        <f>IF('Entry Builder'!$N$8=0,1,IF('Entry Builder'!$D$8="Less",--(INDEX(Sims!$A726:$BO726,'Entry Builder'!$L$8)&lt;'Entry Builder'!$E$8),--(INDEX(Sims!$A726:$BO726,'Entry Builder'!$L$8)&gt;'Entry Builder'!$E$8)))</f>
        <v/>
      </c>
      <c r="C726">
        <f>IF('Entry Builder'!$N$9=0,1,IF('Entry Builder'!$D$9="Less",--(INDEX(Sims!$A726:$BO726,'Entry Builder'!$L$9)&lt;'Entry Builder'!$E$9),--(INDEX(Sims!$A726:$BO726,'Entry Builder'!$L$9)&gt;'Entry Builder'!$E$9)))</f>
        <v/>
      </c>
      <c r="D726">
        <f>IF('Entry Builder'!$N$10=0,1,IF('Entry Builder'!$D$10="Less",--(INDEX(Sims!$A726:$BO726,'Entry Builder'!$L$10)&lt;'Entry Builder'!$E$10),--(INDEX(Sims!$A726:$BO726,'Entry Builder'!$L$10)&gt;'Entry Builder'!$E$10)))</f>
        <v/>
      </c>
      <c r="E726">
        <f>IF('Entry Builder'!$N$11=0,1,IF('Entry Builder'!$D$11="Less",--(INDEX(Sims!$A726:$BO726,'Entry Builder'!$L$11)&lt;'Entry Builder'!$E$11),--(INDEX(Sims!$A726:$BO726,'Entry Builder'!$L$11)&gt;'Entry Builder'!$E$11)))</f>
        <v/>
      </c>
      <c r="F726">
        <f>IF('Entry Builder'!$N$12=0,1,IF('Entry Builder'!$D$12="Less",--(INDEX(Sims!$A726:$BO726,'Entry Builder'!$L$12)&lt;'Entry Builder'!$E$12),--(INDEX(Sims!$A726:$BO726,'Entry Builder'!$L$12)&gt;'Entry Builder'!$E$12)))</f>
        <v/>
      </c>
      <c r="G726">
        <f>6-SUM(A726:F726)</f>
        <v/>
      </c>
    </row>
    <row r="727">
      <c r="A727">
        <f>IF('Entry Builder'!$N$7=0,1,IF('Entry Builder'!$D$7="Less",--(INDEX(Sims!$A727:$BO727,'Entry Builder'!$L$7)&lt;'Entry Builder'!$E$7),--(INDEX(Sims!$A727:$BO727,'Entry Builder'!$L$7)&gt;'Entry Builder'!$E$7)))</f>
        <v/>
      </c>
      <c r="B727">
        <f>IF('Entry Builder'!$N$8=0,1,IF('Entry Builder'!$D$8="Less",--(INDEX(Sims!$A727:$BO727,'Entry Builder'!$L$8)&lt;'Entry Builder'!$E$8),--(INDEX(Sims!$A727:$BO727,'Entry Builder'!$L$8)&gt;'Entry Builder'!$E$8)))</f>
        <v/>
      </c>
      <c r="C727">
        <f>IF('Entry Builder'!$N$9=0,1,IF('Entry Builder'!$D$9="Less",--(INDEX(Sims!$A727:$BO727,'Entry Builder'!$L$9)&lt;'Entry Builder'!$E$9),--(INDEX(Sims!$A727:$BO727,'Entry Builder'!$L$9)&gt;'Entry Builder'!$E$9)))</f>
        <v/>
      </c>
      <c r="D727">
        <f>IF('Entry Builder'!$N$10=0,1,IF('Entry Builder'!$D$10="Less",--(INDEX(Sims!$A727:$BO727,'Entry Builder'!$L$10)&lt;'Entry Builder'!$E$10),--(INDEX(Sims!$A727:$BO727,'Entry Builder'!$L$10)&gt;'Entry Builder'!$E$10)))</f>
        <v/>
      </c>
      <c r="E727">
        <f>IF('Entry Builder'!$N$11=0,1,IF('Entry Builder'!$D$11="Less",--(INDEX(Sims!$A727:$BO727,'Entry Builder'!$L$11)&lt;'Entry Builder'!$E$11),--(INDEX(Sims!$A727:$BO727,'Entry Builder'!$L$11)&gt;'Entry Builder'!$E$11)))</f>
        <v/>
      </c>
      <c r="F727">
        <f>IF('Entry Builder'!$N$12=0,1,IF('Entry Builder'!$D$12="Less",--(INDEX(Sims!$A727:$BO727,'Entry Builder'!$L$12)&lt;'Entry Builder'!$E$12),--(INDEX(Sims!$A727:$BO727,'Entry Builder'!$L$12)&gt;'Entry Builder'!$E$12)))</f>
        <v/>
      </c>
      <c r="G727">
        <f>6-SUM(A727:F727)</f>
        <v/>
      </c>
    </row>
    <row r="728">
      <c r="A728">
        <f>IF('Entry Builder'!$N$7=0,1,IF('Entry Builder'!$D$7="Less",--(INDEX(Sims!$A728:$BO728,'Entry Builder'!$L$7)&lt;'Entry Builder'!$E$7),--(INDEX(Sims!$A728:$BO728,'Entry Builder'!$L$7)&gt;'Entry Builder'!$E$7)))</f>
        <v/>
      </c>
      <c r="B728">
        <f>IF('Entry Builder'!$N$8=0,1,IF('Entry Builder'!$D$8="Less",--(INDEX(Sims!$A728:$BO728,'Entry Builder'!$L$8)&lt;'Entry Builder'!$E$8),--(INDEX(Sims!$A728:$BO728,'Entry Builder'!$L$8)&gt;'Entry Builder'!$E$8)))</f>
        <v/>
      </c>
      <c r="C728">
        <f>IF('Entry Builder'!$N$9=0,1,IF('Entry Builder'!$D$9="Less",--(INDEX(Sims!$A728:$BO728,'Entry Builder'!$L$9)&lt;'Entry Builder'!$E$9),--(INDEX(Sims!$A728:$BO728,'Entry Builder'!$L$9)&gt;'Entry Builder'!$E$9)))</f>
        <v/>
      </c>
      <c r="D728">
        <f>IF('Entry Builder'!$N$10=0,1,IF('Entry Builder'!$D$10="Less",--(INDEX(Sims!$A728:$BO728,'Entry Builder'!$L$10)&lt;'Entry Builder'!$E$10),--(INDEX(Sims!$A728:$BO728,'Entry Builder'!$L$10)&gt;'Entry Builder'!$E$10)))</f>
        <v/>
      </c>
      <c r="E728">
        <f>IF('Entry Builder'!$N$11=0,1,IF('Entry Builder'!$D$11="Less",--(INDEX(Sims!$A728:$BO728,'Entry Builder'!$L$11)&lt;'Entry Builder'!$E$11),--(INDEX(Sims!$A728:$BO728,'Entry Builder'!$L$11)&gt;'Entry Builder'!$E$11)))</f>
        <v/>
      </c>
      <c r="F728">
        <f>IF('Entry Builder'!$N$12=0,1,IF('Entry Builder'!$D$12="Less",--(INDEX(Sims!$A728:$BO728,'Entry Builder'!$L$12)&lt;'Entry Builder'!$E$12),--(INDEX(Sims!$A728:$BO728,'Entry Builder'!$L$12)&gt;'Entry Builder'!$E$12)))</f>
        <v/>
      </c>
      <c r="G728">
        <f>6-SUM(A728:F728)</f>
        <v/>
      </c>
    </row>
    <row r="729">
      <c r="A729">
        <f>IF('Entry Builder'!$N$7=0,1,IF('Entry Builder'!$D$7="Less",--(INDEX(Sims!$A729:$BO729,'Entry Builder'!$L$7)&lt;'Entry Builder'!$E$7),--(INDEX(Sims!$A729:$BO729,'Entry Builder'!$L$7)&gt;'Entry Builder'!$E$7)))</f>
        <v/>
      </c>
      <c r="B729">
        <f>IF('Entry Builder'!$N$8=0,1,IF('Entry Builder'!$D$8="Less",--(INDEX(Sims!$A729:$BO729,'Entry Builder'!$L$8)&lt;'Entry Builder'!$E$8),--(INDEX(Sims!$A729:$BO729,'Entry Builder'!$L$8)&gt;'Entry Builder'!$E$8)))</f>
        <v/>
      </c>
      <c r="C729">
        <f>IF('Entry Builder'!$N$9=0,1,IF('Entry Builder'!$D$9="Less",--(INDEX(Sims!$A729:$BO729,'Entry Builder'!$L$9)&lt;'Entry Builder'!$E$9),--(INDEX(Sims!$A729:$BO729,'Entry Builder'!$L$9)&gt;'Entry Builder'!$E$9)))</f>
        <v/>
      </c>
      <c r="D729">
        <f>IF('Entry Builder'!$N$10=0,1,IF('Entry Builder'!$D$10="Less",--(INDEX(Sims!$A729:$BO729,'Entry Builder'!$L$10)&lt;'Entry Builder'!$E$10),--(INDEX(Sims!$A729:$BO729,'Entry Builder'!$L$10)&gt;'Entry Builder'!$E$10)))</f>
        <v/>
      </c>
      <c r="E729">
        <f>IF('Entry Builder'!$N$11=0,1,IF('Entry Builder'!$D$11="Less",--(INDEX(Sims!$A729:$BO729,'Entry Builder'!$L$11)&lt;'Entry Builder'!$E$11),--(INDEX(Sims!$A729:$BO729,'Entry Builder'!$L$11)&gt;'Entry Builder'!$E$11)))</f>
        <v/>
      </c>
      <c r="F729">
        <f>IF('Entry Builder'!$N$12=0,1,IF('Entry Builder'!$D$12="Less",--(INDEX(Sims!$A729:$BO729,'Entry Builder'!$L$12)&lt;'Entry Builder'!$E$12),--(INDEX(Sims!$A729:$BO729,'Entry Builder'!$L$12)&gt;'Entry Builder'!$E$12)))</f>
        <v/>
      </c>
      <c r="G729">
        <f>6-SUM(A729:F729)</f>
        <v/>
      </c>
    </row>
    <row r="730">
      <c r="A730">
        <f>IF('Entry Builder'!$N$7=0,1,IF('Entry Builder'!$D$7="Less",--(INDEX(Sims!$A730:$BO730,'Entry Builder'!$L$7)&lt;'Entry Builder'!$E$7),--(INDEX(Sims!$A730:$BO730,'Entry Builder'!$L$7)&gt;'Entry Builder'!$E$7)))</f>
        <v/>
      </c>
      <c r="B730">
        <f>IF('Entry Builder'!$N$8=0,1,IF('Entry Builder'!$D$8="Less",--(INDEX(Sims!$A730:$BO730,'Entry Builder'!$L$8)&lt;'Entry Builder'!$E$8),--(INDEX(Sims!$A730:$BO730,'Entry Builder'!$L$8)&gt;'Entry Builder'!$E$8)))</f>
        <v/>
      </c>
      <c r="C730">
        <f>IF('Entry Builder'!$N$9=0,1,IF('Entry Builder'!$D$9="Less",--(INDEX(Sims!$A730:$BO730,'Entry Builder'!$L$9)&lt;'Entry Builder'!$E$9),--(INDEX(Sims!$A730:$BO730,'Entry Builder'!$L$9)&gt;'Entry Builder'!$E$9)))</f>
        <v/>
      </c>
      <c r="D730">
        <f>IF('Entry Builder'!$N$10=0,1,IF('Entry Builder'!$D$10="Less",--(INDEX(Sims!$A730:$BO730,'Entry Builder'!$L$10)&lt;'Entry Builder'!$E$10),--(INDEX(Sims!$A730:$BO730,'Entry Builder'!$L$10)&gt;'Entry Builder'!$E$10)))</f>
        <v/>
      </c>
      <c r="E730">
        <f>IF('Entry Builder'!$N$11=0,1,IF('Entry Builder'!$D$11="Less",--(INDEX(Sims!$A730:$BO730,'Entry Builder'!$L$11)&lt;'Entry Builder'!$E$11),--(INDEX(Sims!$A730:$BO730,'Entry Builder'!$L$11)&gt;'Entry Builder'!$E$11)))</f>
        <v/>
      </c>
      <c r="F730">
        <f>IF('Entry Builder'!$N$12=0,1,IF('Entry Builder'!$D$12="Less",--(INDEX(Sims!$A730:$BO730,'Entry Builder'!$L$12)&lt;'Entry Builder'!$E$12),--(INDEX(Sims!$A730:$BO730,'Entry Builder'!$L$12)&gt;'Entry Builder'!$E$12)))</f>
        <v/>
      </c>
      <c r="G730">
        <f>6-SUM(A730:F730)</f>
        <v/>
      </c>
    </row>
    <row r="731">
      <c r="A731">
        <f>IF('Entry Builder'!$N$7=0,1,IF('Entry Builder'!$D$7="Less",--(INDEX(Sims!$A731:$BO731,'Entry Builder'!$L$7)&lt;'Entry Builder'!$E$7),--(INDEX(Sims!$A731:$BO731,'Entry Builder'!$L$7)&gt;'Entry Builder'!$E$7)))</f>
        <v/>
      </c>
      <c r="B731">
        <f>IF('Entry Builder'!$N$8=0,1,IF('Entry Builder'!$D$8="Less",--(INDEX(Sims!$A731:$BO731,'Entry Builder'!$L$8)&lt;'Entry Builder'!$E$8),--(INDEX(Sims!$A731:$BO731,'Entry Builder'!$L$8)&gt;'Entry Builder'!$E$8)))</f>
        <v/>
      </c>
      <c r="C731">
        <f>IF('Entry Builder'!$N$9=0,1,IF('Entry Builder'!$D$9="Less",--(INDEX(Sims!$A731:$BO731,'Entry Builder'!$L$9)&lt;'Entry Builder'!$E$9),--(INDEX(Sims!$A731:$BO731,'Entry Builder'!$L$9)&gt;'Entry Builder'!$E$9)))</f>
        <v/>
      </c>
      <c r="D731">
        <f>IF('Entry Builder'!$N$10=0,1,IF('Entry Builder'!$D$10="Less",--(INDEX(Sims!$A731:$BO731,'Entry Builder'!$L$10)&lt;'Entry Builder'!$E$10),--(INDEX(Sims!$A731:$BO731,'Entry Builder'!$L$10)&gt;'Entry Builder'!$E$10)))</f>
        <v/>
      </c>
      <c r="E731">
        <f>IF('Entry Builder'!$N$11=0,1,IF('Entry Builder'!$D$11="Less",--(INDEX(Sims!$A731:$BO731,'Entry Builder'!$L$11)&lt;'Entry Builder'!$E$11),--(INDEX(Sims!$A731:$BO731,'Entry Builder'!$L$11)&gt;'Entry Builder'!$E$11)))</f>
        <v/>
      </c>
      <c r="F731">
        <f>IF('Entry Builder'!$N$12=0,1,IF('Entry Builder'!$D$12="Less",--(INDEX(Sims!$A731:$BO731,'Entry Builder'!$L$12)&lt;'Entry Builder'!$E$12),--(INDEX(Sims!$A731:$BO731,'Entry Builder'!$L$12)&gt;'Entry Builder'!$E$12)))</f>
        <v/>
      </c>
      <c r="G731">
        <f>6-SUM(A731:F731)</f>
        <v/>
      </c>
    </row>
    <row r="732">
      <c r="A732">
        <f>IF('Entry Builder'!$N$7=0,1,IF('Entry Builder'!$D$7="Less",--(INDEX(Sims!$A732:$BO732,'Entry Builder'!$L$7)&lt;'Entry Builder'!$E$7),--(INDEX(Sims!$A732:$BO732,'Entry Builder'!$L$7)&gt;'Entry Builder'!$E$7)))</f>
        <v/>
      </c>
      <c r="B732">
        <f>IF('Entry Builder'!$N$8=0,1,IF('Entry Builder'!$D$8="Less",--(INDEX(Sims!$A732:$BO732,'Entry Builder'!$L$8)&lt;'Entry Builder'!$E$8),--(INDEX(Sims!$A732:$BO732,'Entry Builder'!$L$8)&gt;'Entry Builder'!$E$8)))</f>
        <v/>
      </c>
      <c r="C732">
        <f>IF('Entry Builder'!$N$9=0,1,IF('Entry Builder'!$D$9="Less",--(INDEX(Sims!$A732:$BO732,'Entry Builder'!$L$9)&lt;'Entry Builder'!$E$9),--(INDEX(Sims!$A732:$BO732,'Entry Builder'!$L$9)&gt;'Entry Builder'!$E$9)))</f>
        <v/>
      </c>
      <c r="D732">
        <f>IF('Entry Builder'!$N$10=0,1,IF('Entry Builder'!$D$10="Less",--(INDEX(Sims!$A732:$BO732,'Entry Builder'!$L$10)&lt;'Entry Builder'!$E$10),--(INDEX(Sims!$A732:$BO732,'Entry Builder'!$L$10)&gt;'Entry Builder'!$E$10)))</f>
        <v/>
      </c>
      <c r="E732">
        <f>IF('Entry Builder'!$N$11=0,1,IF('Entry Builder'!$D$11="Less",--(INDEX(Sims!$A732:$BO732,'Entry Builder'!$L$11)&lt;'Entry Builder'!$E$11),--(INDEX(Sims!$A732:$BO732,'Entry Builder'!$L$11)&gt;'Entry Builder'!$E$11)))</f>
        <v/>
      </c>
      <c r="F732">
        <f>IF('Entry Builder'!$N$12=0,1,IF('Entry Builder'!$D$12="Less",--(INDEX(Sims!$A732:$BO732,'Entry Builder'!$L$12)&lt;'Entry Builder'!$E$12),--(INDEX(Sims!$A732:$BO732,'Entry Builder'!$L$12)&gt;'Entry Builder'!$E$12)))</f>
        <v/>
      </c>
      <c r="G732">
        <f>6-SUM(A732:F732)</f>
        <v/>
      </c>
    </row>
    <row r="733">
      <c r="A733">
        <f>IF('Entry Builder'!$N$7=0,1,IF('Entry Builder'!$D$7="Less",--(INDEX(Sims!$A733:$BO733,'Entry Builder'!$L$7)&lt;'Entry Builder'!$E$7),--(INDEX(Sims!$A733:$BO733,'Entry Builder'!$L$7)&gt;'Entry Builder'!$E$7)))</f>
        <v/>
      </c>
      <c r="B733">
        <f>IF('Entry Builder'!$N$8=0,1,IF('Entry Builder'!$D$8="Less",--(INDEX(Sims!$A733:$BO733,'Entry Builder'!$L$8)&lt;'Entry Builder'!$E$8),--(INDEX(Sims!$A733:$BO733,'Entry Builder'!$L$8)&gt;'Entry Builder'!$E$8)))</f>
        <v/>
      </c>
      <c r="C733">
        <f>IF('Entry Builder'!$N$9=0,1,IF('Entry Builder'!$D$9="Less",--(INDEX(Sims!$A733:$BO733,'Entry Builder'!$L$9)&lt;'Entry Builder'!$E$9),--(INDEX(Sims!$A733:$BO733,'Entry Builder'!$L$9)&gt;'Entry Builder'!$E$9)))</f>
        <v/>
      </c>
      <c r="D733">
        <f>IF('Entry Builder'!$N$10=0,1,IF('Entry Builder'!$D$10="Less",--(INDEX(Sims!$A733:$BO733,'Entry Builder'!$L$10)&lt;'Entry Builder'!$E$10),--(INDEX(Sims!$A733:$BO733,'Entry Builder'!$L$10)&gt;'Entry Builder'!$E$10)))</f>
        <v/>
      </c>
      <c r="E733">
        <f>IF('Entry Builder'!$N$11=0,1,IF('Entry Builder'!$D$11="Less",--(INDEX(Sims!$A733:$BO733,'Entry Builder'!$L$11)&lt;'Entry Builder'!$E$11),--(INDEX(Sims!$A733:$BO733,'Entry Builder'!$L$11)&gt;'Entry Builder'!$E$11)))</f>
        <v/>
      </c>
      <c r="F733">
        <f>IF('Entry Builder'!$N$12=0,1,IF('Entry Builder'!$D$12="Less",--(INDEX(Sims!$A733:$BO733,'Entry Builder'!$L$12)&lt;'Entry Builder'!$E$12),--(INDEX(Sims!$A733:$BO733,'Entry Builder'!$L$12)&gt;'Entry Builder'!$E$12)))</f>
        <v/>
      </c>
      <c r="G733">
        <f>6-SUM(A733:F733)</f>
        <v/>
      </c>
    </row>
    <row r="734">
      <c r="A734">
        <f>IF('Entry Builder'!$N$7=0,1,IF('Entry Builder'!$D$7="Less",--(INDEX(Sims!$A734:$BO734,'Entry Builder'!$L$7)&lt;'Entry Builder'!$E$7),--(INDEX(Sims!$A734:$BO734,'Entry Builder'!$L$7)&gt;'Entry Builder'!$E$7)))</f>
        <v/>
      </c>
      <c r="B734">
        <f>IF('Entry Builder'!$N$8=0,1,IF('Entry Builder'!$D$8="Less",--(INDEX(Sims!$A734:$BO734,'Entry Builder'!$L$8)&lt;'Entry Builder'!$E$8),--(INDEX(Sims!$A734:$BO734,'Entry Builder'!$L$8)&gt;'Entry Builder'!$E$8)))</f>
        <v/>
      </c>
      <c r="C734">
        <f>IF('Entry Builder'!$N$9=0,1,IF('Entry Builder'!$D$9="Less",--(INDEX(Sims!$A734:$BO734,'Entry Builder'!$L$9)&lt;'Entry Builder'!$E$9),--(INDEX(Sims!$A734:$BO734,'Entry Builder'!$L$9)&gt;'Entry Builder'!$E$9)))</f>
        <v/>
      </c>
      <c r="D734">
        <f>IF('Entry Builder'!$N$10=0,1,IF('Entry Builder'!$D$10="Less",--(INDEX(Sims!$A734:$BO734,'Entry Builder'!$L$10)&lt;'Entry Builder'!$E$10),--(INDEX(Sims!$A734:$BO734,'Entry Builder'!$L$10)&gt;'Entry Builder'!$E$10)))</f>
        <v/>
      </c>
      <c r="E734">
        <f>IF('Entry Builder'!$N$11=0,1,IF('Entry Builder'!$D$11="Less",--(INDEX(Sims!$A734:$BO734,'Entry Builder'!$L$11)&lt;'Entry Builder'!$E$11),--(INDEX(Sims!$A734:$BO734,'Entry Builder'!$L$11)&gt;'Entry Builder'!$E$11)))</f>
        <v/>
      </c>
      <c r="F734">
        <f>IF('Entry Builder'!$N$12=0,1,IF('Entry Builder'!$D$12="Less",--(INDEX(Sims!$A734:$BO734,'Entry Builder'!$L$12)&lt;'Entry Builder'!$E$12),--(INDEX(Sims!$A734:$BO734,'Entry Builder'!$L$12)&gt;'Entry Builder'!$E$12)))</f>
        <v/>
      </c>
      <c r="G734">
        <f>6-SUM(A734:F734)</f>
        <v/>
      </c>
    </row>
    <row r="735">
      <c r="A735">
        <f>IF('Entry Builder'!$N$7=0,1,IF('Entry Builder'!$D$7="Less",--(INDEX(Sims!$A735:$BO735,'Entry Builder'!$L$7)&lt;'Entry Builder'!$E$7),--(INDEX(Sims!$A735:$BO735,'Entry Builder'!$L$7)&gt;'Entry Builder'!$E$7)))</f>
        <v/>
      </c>
      <c r="B735">
        <f>IF('Entry Builder'!$N$8=0,1,IF('Entry Builder'!$D$8="Less",--(INDEX(Sims!$A735:$BO735,'Entry Builder'!$L$8)&lt;'Entry Builder'!$E$8),--(INDEX(Sims!$A735:$BO735,'Entry Builder'!$L$8)&gt;'Entry Builder'!$E$8)))</f>
        <v/>
      </c>
      <c r="C735">
        <f>IF('Entry Builder'!$N$9=0,1,IF('Entry Builder'!$D$9="Less",--(INDEX(Sims!$A735:$BO735,'Entry Builder'!$L$9)&lt;'Entry Builder'!$E$9),--(INDEX(Sims!$A735:$BO735,'Entry Builder'!$L$9)&gt;'Entry Builder'!$E$9)))</f>
        <v/>
      </c>
      <c r="D735">
        <f>IF('Entry Builder'!$N$10=0,1,IF('Entry Builder'!$D$10="Less",--(INDEX(Sims!$A735:$BO735,'Entry Builder'!$L$10)&lt;'Entry Builder'!$E$10),--(INDEX(Sims!$A735:$BO735,'Entry Builder'!$L$10)&gt;'Entry Builder'!$E$10)))</f>
        <v/>
      </c>
      <c r="E735">
        <f>IF('Entry Builder'!$N$11=0,1,IF('Entry Builder'!$D$11="Less",--(INDEX(Sims!$A735:$BO735,'Entry Builder'!$L$11)&lt;'Entry Builder'!$E$11),--(INDEX(Sims!$A735:$BO735,'Entry Builder'!$L$11)&gt;'Entry Builder'!$E$11)))</f>
        <v/>
      </c>
      <c r="F735">
        <f>IF('Entry Builder'!$N$12=0,1,IF('Entry Builder'!$D$12="Less",--(INDEX(Sims!$A735:$BO735,'Entry Builder'!$L$12)&lt;'Entry Builder'!$E$12),--(INDEX(Sims!$A735:$BO735,'Entry Builder'!$L$12)&gt;'Entry Builder'!$E$12)))</f>
        <v/>
      </c>
      <c r="G735">
        <f>6-SUM(A735:F735)</f>
        <v/>
      </c>
    </row>
    <row r="736">
      <c r="A736">
        <f>IF('Entry Builder'!$N$7=0,1,IF('Entry Builder'!$D$7="Less",--(INDEX(Sims!$A736:$BO736,'Entry Builder'!$L$7)&lt;'Entry Builder'!$E$7),--(INDEX(Sims!$A736:$BO736,'Entry Builder'!$L$7)&gt;'Entry Builder'!$E$7)))</f>
        <v/>
      </c>
      <c r="B736">
        <f>IF('Entry Builder'!$N$8=0,1,IF('Entry Builder'!$D$8="Less",--(INDEX(Sims!$A736:$BO736,'Entry Builder'!$L$8)&lt;'Entry Builder'!$E$8),--(INDEX(Sims!$A736:$BO736,'Entry Builder'!$L$8)&gt;'Entry Builder'!$E$8)))</f>
        <v/>
      </c>
      <c r="C736">
        <f>IF('Entry Builder'!$N$9=0,1,IF('Entry Builder'!$D$9="Less",--(INDEX(Sims!$A736:$BO736,'Entry Builder'!$L$9)&lt;'Entry Builder'!$E$9),--(INDEX(Sims!$A736:$BO736,'Entry Builder'!$L$9)&gt;'Entry Builder'!$E$9)))</f>
        <v/>
      </c>
      <c r="D736">
        <f>IF('Entry Builder'!$N$10=0,1,IF('Entry Builder'!$D$10="Less",--(INDEX(Sims!$A736:$BO736,'Entry Builder'!$L$10)&lt;'Entry Builder'!$E$10),--(INDEX(Sims!$A736:$BO736,'Entry Builder'!$L$10)&gt;'Entry Builder'!$E$10)))</f>
        <v/>
      </c>
      <c r="E736">
        <f>IF('Entry Builder'!$N$11=0,1,IF('Entry Builder'!$D$11="Less",--(INDEX(Sims!$A736:$BO736,'Entry Builder'!$L$11)&lt;'Entry Builder'!$E$11),--(INDEX(Sims!$A736:$BO736,'Entry Builder'!$L$11)&gt;'Entry Builder'!$E$11)))</f>
        <v/>
      </c>
      <c r="F736">
        <f>IF('Entry Builder'!$N$12=0,1,IF('Entry Builder'!$D$12="Less",--(INDEX(Sims!$A736:$BO736,'Entry Builder'!$L$12)&lt;'Entry Builder'!$E$12),--(INDEX(Sims!$A736:$BO736,'Entry Builder'!$L$12)&gt;'Entry Builder'!$E$12)))</f>
        <v/>
      </c>
      <c r="G736">
        <f>6-SUM(A736:F736)</f>
        <v/>
      </c>
    </row>
    <row r="737">
      <c r="A737">
        <f>IF('Entry Builder'!$N$7=0,1,IF('Entry Builder'!$D$7="Less",--(INDEX(Sims!$A737:$BO737,'Entry Builder'!$L$7)&lt;'Entry Builder'!$E$7),--(INDEX(Sims!$A737:$BO737,'Entry Builder'!$L$7)&gt;'Entry Builder'!$E$7)))</f>
        <v/>
      </c>
      <c r="B737">
        <f>IF('Entry Builder'!$N$8=0,1,IF('Entry Builder'!$D$8="Less",--(INDEX(Sims!$A737:$BO737,'Entry Builder'!$L$8)&lt;'Entry Builder'!$E$8),--(INDEX(Sims!$A737:$BO737,'Entry Builder'!$L$8)&gt;'Entry Builder'!$E$8)))</f>
        <v/>
      </c>
      <c r="C737">
        <f>IF('Entry Builder'!$N$9=0,1,IF('Entry Builder'!$D$9="Less",--(INDEX(Sims!$A737:$BO737,'Entry Builder'!$L$9)&lt;'Entry Builder'!$E$9),--(INDEX(Sims!$A737:$BO737,'Entry Builder'!$L$9)&gt;'Entry Builder'!$E$9)))</f>
        <v/>
      </c>
      <c r="D737">
        <f>IF('Entry Builder'!$N$10=0,1,IF('Entry Builder'!$D$10="Less",--(INDEX(Sims!$A737:$BO737,'Entry Builder'!$L$10)&lt;'Entry Builder'!$E$10),--(INDEX(Sims!$A737:$BO737,'Entry Builder'!$L$10)&gt;'Entry Builder'!$E$10)))</f>
        <v/>
      </c>
      <c r="E737">
        <f>IF('Entry Builder'!$N$11=0,1,IF('Entry Builder'!$D$11="Less",--(INDEX(Sims!$A737:$BO737,'Entry Builder'!$L$11)&lt;'Entry Builder'!$E$11),--(INDEX(Sims!$A737:$BO737,'Entry Builder'!$L$11)&gt;'Entry Builder'!$E$11)))</f>
        <v/>
      </c>
      <c r="F737">
        <f>IF('Entry Builder'!$N$12=0,1,IF('Entry Builder'!$D$12="Less",--(INDEX(Sims!$A737:$BO737,'Entry Builder'!$L$12)&lt;'Entry Builder'!$E$12),--(INDEX(Sims!$A737:$BO737,'Entry Builder'!$L$12)&gt;'Entry Builder'!$E$12)))</f>
        <v/>
      </c>
      <c r="G737">
        <f>6-SUM(A737:F737)</f>
        <v/>
      </c>
    </row>
    <row r="738">
      <c r="A738">
        <f>IF('Entry Builder'!$N$7=0,1,IF('Entry Builder'!$D$7="Less",--(INDEX(Sims!$A738:$BO738,'Entry Builder'!$L$7)&lt;'Entry Builder'!$E$7),--(INDEX(Sims!$A738:$BO738,'Entry Builder'!$L$7)&gt;'Entry Builder'!$E$7)))</f>
        <v/>
      </c>
      <c r="B738">
        <f>IF('Entry Builder'!$N$8=0,1,IF('Entry Builder'!$D$8="Less",--(INDEX(Sims!$A738:$BO738,'Entry Builder'!$L$8)&lt;'Entry Builder'!$E$8),--(INDEX(Sims!$A738:$BO738,'Entry Builder'!$L$8)&gt;'Entry Builder'!$E$8)))</f>
        <v/>
      </c>
      <c r="C738">
        <f>IF('Entry Builder'!$N$9=0,1,IF('Entry Builder'!$D$9="Less",--(INDEX(Sims!$A738:$BO738,'Entry Builder'!$L$9)&lt;'Entry Builder'!$E$9),--(INDEX(Sims!$A738:$BO738,'Entry Builder'!$L$9)&gt;'Entry Builder'!$E$9)))</f>
        <v/>
      </c>
      <c r="D738">
        <f>IF('Entry Builder'!$N$10=0,1,IF('Entry Builder'!$D$10="Less",--(INDEX(Sims!$A738:$BO738,'Entry Builder'!$L$10)&lt;'Entry Builder'!$E$10),--(INDEX(Sims!$A738:$BO738,'Entry Builder'!$L$10)&gt;'Entry Builder'!$E$10)))</f>
        <v/>
      </c>
      <c r="E738">
        <f>IF('Entry Builder'!$N$11=0,1,IF('Entry Builder'!$D$11="Less",--(INDEX(Sims!$A738:$BO738,'Entry Builder'!$L$11)&lt;'Entry Builder'!$E$11),--(INDEX(Sims!$A738:$BO738,'Entry Builder'!$L$11)&gt;'Entry Builder'!$E$11)))</f>
        <v/>
      </c>
      <c r="F738">
        <f>IF('Entry Builder'!$N$12=0,1,IF('Entry Builder'!$D$12="Less",--(INDEX(Sims!$A738:$BO738,'Entry Builder'!$L$12)&lt;'Entry Builder'!$E$12),--(INDEX(Sims!$A738:$BO738,'Entry Builder'!$L$12)&gt;'Entry Builder'!$E$12)))</f>
        <v/>
      </c>
      <c r="G738">
        <f>6-SUM(A738:F738)</f>
        <v/>
      </c>
    </row>
    <row r="739">
      <c r="A739">
        <f>IF('Entry Builder'!$N$7=0,1,IF('Entry Builder'!$D$7="Less",--(INDEX(Sims!$A739:$BO739,'Entry Builder'!$L$7)&lt;'Entry Builder'!$E$7),--(INDEX(Sims!$A739:$BO739,'Entry Builder'!$L$7)&gt;'Entry Builder'!$E$7)))</f>
        <v/>
      </c>
      <c r="B739">
        <f>IF('Entry Builder'!$N$8=0,1,IF('Entry Builder'!$D$8="Less",--(INDEX(Sims!$A739:$BO739,'Entry Builder'!$L$8)&lt;'Entry Builder'!$E$8),--(INDEX(Sims!$A739:$BO739,'Entry Builder'!$L$8)&gt;'Entry Builder'!$E$8)))</f>
        <v/>
      </c>
      <c r="C739">
        <f>IF('Entry Builder'!$N$9=0,1,IF('Entry Builder'!$D$9="Less",--(INDEX(Sims!$A739:$BO739,'Entry Builder'!$L$9)&lt;'Entry Builder'!$E$9),--(INDEX(Sims!$A739:$BO739,'Entry Builder'!$L$9)&gt;'Entry Builder'!$E$9)))</f>
        <v/>
      </c>
      <c r="D739">
        <f>IF('Entry Builder'!$N$10=0,1,IF('Entry Builder'!$D$10="Less",--(INDEX(Sims!$A739:$BO739,'Entry Builder'!$L$10)&lt;'Entry Builder'!$E$10),--(INDEX(Sims!$A739:$BO739,'Entry Builder'!$L$10)&gt;'Entry Builder'!$E$10)))</f>
        <v/>
      </c>
      <c r="E739">
        <f>IF('Entry Builder'!$N$11=0,1,IF('Entry Builder'!$D$11="Less",--(INDEX(Sims!$A739:$BO739,'Entry Builder'!$L$11)&lt;'Entry Builder'!$E$11),--(INDEX(Sims!$A739:$BO739,'Entry Builder'!$L$11)&gt;'Entry Builder'!$E$11)))</f>
        <v/>
      </c>
      <c r="F739">
        <f>IF('Entry Builder'!$N$12=0,1,IF('Entry Builder'!$D$12="Less",--(INDEX(Sims!$A739:$BO739,'Entry Builder'!$L$12)&lt;'Entry Builder'!$E$12),--(INDEX(Sims!$A739:$BO739,'Entry Builder'!$L$12)&gt;'Entry Builder'!$E$12)))</f>
        <v/>
      </c>
      <c r="G739">
        <f>6-SUM(A739:F739)</f>
        <v/>
      </c>
    </row>
    <row r="740">
      <c r="A740">
        <f>IF('Entry Builder'!$N$7=0,1,IF('Entry Builder'!$D$7="Less",--(INDEX(Sims!$A740:$BO740,'Entry Builder'!$L$7)&lt;'Entry Builder'!$E$7),--(INDEX(Sims!$A740:$BO740,'Entry Builder'!$L$7)&gt;'Entry Builder'!$E$7)))</f>
        <v/>
      </c>
      <c r="B740">
        <f>IF('Entry Builder'!$N$8=0,1,IF('Entry Builder'!$D$8="Less",--(INDEX(Sims!$A740:$BO740,'Entry Builder'!$L$8)&lt;'Entry Builder'!$E$8),--(INDEX(Sims!$A740:$BO740,'Entry Builder'!$L$8)&gt;'Entry Builder'!$E$8)))</f>
        <v/>
      </c>
      <c r="C740">
        <f>IF('Entry Builder'!$N$9=0,1,IF('Entry Builder'!$D$9="Less",--(INDEX(Sims!$A740:$BO740,'Entry Builder'!$L$9)&lt;'Entry Builder'!$E$9),--(INDEX(Sims!$A740:$BO740,'Entry Builder'!$L$9)&gt;'Entry Builder'!$E$9)))</f>
        <v/>
      </c>
      <c r="D740">
        <f>IF('Entry Builder'!$N$10=0,1,IF('Entry Builder'!$D$10="Less",--(INDEX(Sims!$A740:$BO740,'Entry Builder'!$L$10)&lt;'Entry Builder'!$E$10),--(INDEX(Sims!$A740:$BO740,'Entry Builder'!$L$10)&gt;'Entry Builder'!$E$10)))</f>
        <v/>
      </c>
      <c r="E740">
        <f>IF('Entry Builder'!$N$11=0,1,IF('Entry Builder'!$D$11="Less",--(INDEX(Sims!$A740:$BO740,'Entry Builder'!$L$11)&lt;'Entry Builder'!$E$11),--(INDEX(Sims!$A740:$BO740,'Entry Builder'!$L$11)&gt;'Entry Builder'!$E$11)))</f>
        <v/>
      </c>
      <c r="F740">
        <f>IF('Entry Builder'!$N$12=0,1,IF('Entry Builder'!$D$12="Less",--(INDEX(Sims!$A740:$BO740,'Entry Builder'!$L$12)&lt;'Entry Builder'!$E$12),--(INDEX(Sims!$A740:$BO740,'Entry Builder'!$L$12)&gt;'Entry Builder'!$E$12)))</f>
        <v/>
      </c>
      <c r="G740">
        <f>6-SUM(A740:F740)</f>
        <v/>
      </c>
    </row>
    <row r="741">
      <c r="A741">
        <f>IF('Entry Builder'!$N$7=0,1,IF('Entry Builder'!$D$7="Less",--(INDEX(Sims!$A741:$BO741,'Entry Builder'!$L$7)&lt;'Entry Builder'!$E$7),--(INDEX(Sims!$A741:$BO741,'Entry Builder'!$L$7)&gt;'Entry Builder'!$E$7)))</f>
        <v/>
      </c>
      <c r="B741">
        <f>IF('Entry Builder'!$N$8=0,1,IF('Entry Builder'!$D$8="Less",--(INDEX(Sims!$A741:$BO741,'Entry Builder'!$L$8)&lt;'Entry Builder'!$E$8),--(INDEX(Sims!$A741:$BO741,'Entry Builder'!$L$8)&gt;'Entry Builder'!$E$8)))</f>
        <v/>
      </c>
      <c r="C741">
        <f>IF('Entry Builder'!$N$9=0,1,IF('Entry Builder'!$D$9="Less",--(INDEX(Sims!$A741:$BO741,'Entry Builder'!$L$9)&lt;'Entry Builder'!$E$9),--(INDEX(Sims!$A741:$BO741,'Entry Builder'!$L$9)&gt;'Entry Builder'!$E$9)))</f>
        <v/>
      </c>
      <c r="D741">
        <f>IF('Entry Builder'!$N$10=0,1,IF('Entry Builder'!$D$10="Less",--(INDEX(Sims!$A741:$BO741,'Entry Builder'!$L$10)&lt;'Entry Builder'!$E$10),--(INDEX(Sims!$A741:$BO741,'Entry Builder'!$L$10)&gt;'Entry Builder'!$E$10)))</f>
        <v/>
      </c>
      <c r="E741">
        <f>IF('Entry Builder'!$N$11=0,1,IF('Entry Builder'!$D$11="Less",--(INDEX(Sims!$A741:$BO741,'Entry Builder'!$L$11)&lt;'Entry Builder'!$E$11),--(INDEX(Sims!$A741:$BO741,'Entry Builder'!$L$11)&gt;'Entry Builder'!$E$11)))</f>
        <v/>
      </c>
      <c r="F741">
        <f>IF('Entry Builder'!$N$12=0,1,IF('Entry Builder'!$D$12="Less",--(INDEX(Sims!$A741:$BO741,'Entry Builder'!$L$12)&lt;'Entry Builder'!$E$12),--(INDEX(Sims!$A741:$BO741,'Entry Builder'!$L$12)&gt;'Entry Builder'!$E$12)))</f>
        <v/>
      </c>
      <c r="G741">
        <f>6-SUM(A741:F741)</f>
        <v/>
      </c>
    </row>
    <row r="742">
      <c r="A742">
        <f>IF('Entry Builder'!$N$7=0,1,IF('Entry Builder'!$D$7="Less",--(INDEX(Sims!$A742:$BO742,'Entry Builder'!$L$7)&lt;'Entry Builder'!$E$7),--(INDEX(Sims!$A742:$BO742,'Entry Builder'!$L$7)&gt;'Entry Builder'!$E$7)))</f>
        <v/>
      </c>
      <c r="B742">
        <f>IF('Entry Builder'!$N$8=0,1,IF('Entry Builder'!$D$8="Less",--(INDEX(Sims!$A742:$BO742,'Entry Builder'!$L$8)&lt;'Entry Builder'!$E$8),--(INDEX(Sims!$A742:$BO742,'Entry Builder'!$L$8)&gt;'Entry Builder'!$E$8)))</f>
        <v/>
      </c>
      <c r="C742">
        <f>IF('Entry Builder'!$N$9=0,1,IF('Entry Builder'!$D$9="Less",--(INDEX(Sims!$A742:$BO742,'Entry Builder'!$L$9)&lt;'Entry Builder'!$E$9),--(INDEX(Sims!$A742:$BO742,'Entry Builder'!$L$9)&gt;'Entry Builder'!$E$9)))</f>
        <v/>
      </c>
      <c r="D742">
        <f>IF('Entry Builder'!$N$10=0,1,IF('Entry Builder'!$D$10="Less",--(INDEX(Sims!$A742:$BO742,'Entry Builder'!$L$10)&lt;'Entry Builder'!$E$10),--(INDEX(Sims!$A742:$BO742,'Entry Builder'!$L$10)&gt;'Entry Builder'!$E$10)))</f>
        <v/>
      </c>
      <c r="E742">
        <f>IF('Entry Builder'!$N$11=0,1,IF('Entry Builder'!$D$11="Less",--(INDEX(Sims!$A742:$BO742,'Entry Builder'!$L$11)&lt;'Entry Builder'!$E$11),--(INDEX(Sims!$A742:$BO742,'Entry Builder'!$L$11)&gt;'Entry Builder'!$E$11)))</f>
        <v/>
      </c>
      <c r="F742">
        <f>IF('Entry Builder'!$N$12=0,1,IF('Entry Builder'!$D$12="Less",--(INDEX(Sims!$A742:$BO742,'Entry Builder'!$L$12)&lt;'Entry Builder'!$E$12),--(INDEX(Sims!$A742:$BO742,'Entry Builder'!$L$12)&gt;'Entry Builder'!$E$12)))</f>
        <v/>
      </c>
      <c r="G742">
        <f>6-SUM(A742:F742)</f>
        <v/>
      </c>
    </row>
    <row r="743">
      <c r="A743">
        <f>IF('Entry Builder'!$N$7=0,1,IF('Entry Builder'!$D$7="Less",--(INDEX(Sims!$A743:$BO743,'Entry Builder'!$L$7)&lt;'Entry Builder'!$E$7),--(INDEX(Sims!$A743:$BO743,'Entry Builder'!$L$7)&gt;'Entry Builder'!$E$7)))</f>
        <v/>
      </c>
      <c r="B743">
        <f>IF('Entry Builder'!$N$8=0,1,IF('Entry Builder'!$D$8="Less",--(INDEX(Sims!$A743:$BO743,'Entry Builder'!$L$8)&lt;'Entry Builder'!$E$8),--(INDEX(Sims!$A743:$BO743,'Entry Builder'!$L$8)&gt;'Entry Builder'!$E$8)))</f>
        <v/>
      </c>
      <c r="C743">
        <f>IF('Entry Builder'!$N$9=0,1,IF('Entry Builder'!$D$9="Less",--(INDEX(Sims!$A743:$BO743,'Entry Builder'!$L$9)&lt;'Entry Builder'!$E$9),--(INDEX(Sims!$A743:$BO743,'Entry Builder'!$L$9)&gt;'Entry Builder'!$E$9)))</f>
        <v/>
      </c>
      <c r="D743">
        <f>IF('Entry Builder'!$N$10=0,1,IF('Entry Builder'!$D$10="Less",--(INDEX(Sims!$A743:$BO743,'Entry Builder'!$L$10)&lt;'Entry Builder'!$E$10),--(INDEX(Sims!$A743:$BO743,'Entry Builder'!$L$10)&gt;'Entry Builder'!$E$10)))</f>
        <v/>
      </c>
      <c r="E743">
        <f>IF('Entry Builder'!$N$11=0,1,IF('Entry Builder'!$D$11="Less",--(INDEX(Sims!$A743:$BO743,'Entry Builder'!$L$11)&lt;'Entry Builder'!$E$11),--(INDEX(Sims!$A743:$BO743,'Entry Builder'!$L$11)&gt;'Entry Builder'!$E$11)))</f>
        <v/>
      </c>
      <c r="F743">
        <f>IF('Entry Builder'!$N$12=0,1,IF('Entry Builder'!$D$12="Less",--(INDEX(Sims!$A743:$BO743,'Entry Builder'!$L$12)&lt;'Entry Builder'!$E$12),--(INDEX(Sims!$A743:$BO743,'Entry Builder'!$L$12)&gt;'Entry Builder'!$E$12)))</f>
        <v/>
      </c>
      <c r="G743">
        <f>6-SUM(A743:F743)</f>
        <v/>
      </c>
    </row>
    <row r="744">
      <c r="A744">
        <f>IF('Entry Builder'!$N$7=0,1,IF('Entry Builder'!$D$7="Less",--(INDEX(Sims!$A744:$BO744,'Entry Builder'!$L$7)&lt;'Entry Builder'!$E$7),--(INDEX(Sims!$A744:$BO744,'Entry Builder'!$L$7)&gt;'Entry Builder'!$E$7)))</f>
        <v/>
      </c>
      <c r="B744">
        <f>IF('Entry Builder'!$N$8=0,1,IF('Entry Builder'!$D$8="Less",--(INDEX(Sims!$A744:$BO744,'Entry Builder'!$L$8)&lt;'Entry Builder'!$E$8),--(INDEX(Sims!$A744:$BO744,'Entry Builder'!$L$8)&gt;'Entry Builder'!$E$8)))</f>
        <v/>
      </c>
      <c r="C744">
        <f>IF('Entry Builder'!$N$9=0,1,IF('Entry Builder'!$D$9="Less",--(INDEX(Sims!$A744:$BO744,'Entry Builder'!$L$9)&lt;'Entry Builder'!$E$9),--(INDEX(Sims!$A744:$BO744,'Entry Builder'!$L$9)&gt;'Entry Builder'!$E$9)))</f>
        <v/>
      </c>
      <c r="D744">
        <f>IF('Entry Builder'!$N$10=0,1,IF('Entry Builder'!$D$10="Less",--(INDEX(Sims!$A744:$BO744,'Entry Builder'!$L$10)&lt;'Entry Builder'!$E$10),--(INDEX(Sims!$A744:$BO744,'Entry Builder'!$L$10)&gt;'Entry Builder'!$E$10)))</f>
        <v/>
      </c>
      <c r="E744">
        <f>IF('Entry Builder'!$N$11=0,1,IF('Entry Builder'!$D$11="Less",--(INDEX(Sims!$A744:$BO744,'Entry Builder'!$L$11)&lt;'Entry Builder'!$E$11),--(INDEX(Sims!$A744:$BO744,'Entry Builder'!$L$11)&gt;'Entry Builder'!$E$11)))</f>
        <v/>
      </c>
      <c r="F744">
        <f>IF('Entry Builder'!$N$12=0,1,IF('Entry Builder'!$D$12="Less",--(INDEX(Sims!$A744:$BO744,'Entry Builder'!$L$12)&lt;'Entry Builder'!$E$12),--(INDEX(Sims!$A744:$BO744,'Entry Builder'!$L$12)&gt;'Entry Builder'!$E$12)))</f>
        <v/>
      </c>
      <c r="G744">
        <f>6-SUM(A744:F744)</f>
        <v/>
      </c>
    </row>
    <row r="745">
      <c r="A745">
        <f>IF('Entry Builder'!$N$7=0,1,IF('Entry Builder'!$D$7="Less",--(INDEX(Sims!$A745:$BO745,'Entry Builder'!$L$7)&lt;'Entry Builder'!$E$7),--(INDEX(Sims!$A745:$BO745,'Entry Builder'!$L$7)&gt;'Entry Builder'!$E$7)))</f>
        <v/>
      </c>
      <c r="B745">
        <f>IF('Entry Builder'!$N$8=0,1,IF('Entry Builder'!$D$8="Less",--(INDEX(Sims!$A745:$BO745,'Entry Builder'!$L$8)&lt;'Entry Builder'!$E$8),--(INDEX(Sims!$A745:$BO745,'Entry Builder'!$L$8)&gt;'Entry Builder'!$E$8)))</f>
        <v/>
      </c>
      <c r="C745">
        <f>IF('Entry Builder'!$N$9=0,1,IF('Entry Builder'!$D$9="Less",--(INDEX(Sims!$A745:$BO745,'Entry Builder'!$L$9)&lt;'Entry Builder'!$E$9),--(INDEX(Sims!$A745:$BO745,'Entry Builder'!$L$9)&gt;'Entry Builder'!$E$9)))</f>
        <v/>
      </c>
      <c r="D745">
        <f>IF('Entry Builder'!$N$10=0,1,IF('Entry Builder'!$D$10="Less",--(INDEX(Sims!$A745:$BO745,'Entry Builder'!$L$10)&lt;'Entry Builder'!$E$10),--(INDEX(Sims!$A745:$BO745,'Entry Builder'!$L$10)&gt;'Entry Builder'!$E$10)))</f>
        <v/>
      </c>
      <c r="E745">
        <f>IF('Entry Builder'!$N$11=0,1,IF('Entry Builder'!$D$11="Less",--(INDEX(Sims!$A745:$BO745,'Entry Builder'!$L$11)&lt;'Entry Builder'!$E$11),--(INDEX(Sims!$A745:$BO745,'Entry Builder'!$L$11)&gt;'Entry Builder'!$E$11)))</f>
        <v/>
      </c>
      <c r="F745">
        <f>IF('Entry Builder'!$N$12=0,1,IF('Entry Builder'!$D$12="Less",--(INDEX(Sims!$A745:$BO745,'Entry Builder'!$L$12)&lt;'Entry Builder'!$E$12),--(INDEX(Sims!$A745:$BO745,'Entry Builder'!$L$12)&gt;'Entry Builder'!$E$12)))</f>
        <v/>
      </c>
      <c r="G745">
        <f>6-SUM(A745:F745)</f>
        <v/>
      </c>
    </row>
    <row r="746">
      <c r="A746">
        <f>IF('Entry Builder'!$N$7=0,1,IF('Entry Builder'!$D$7="Less",--(INDEX(Sims!$A746:$BO746,'Entry Builder'!$L$7)&lt;'Entry Builder'!$E$7),--(INDEX(Sims!$A746:$BO746,'Entry Builder'!$L$7)&gt;'Entry Builder'!$E$7)))</f>
        <v/>
      </c>
      <c r="B746">
        <f>IF('Entry Builder'!$N$8=0,1,IF('Entry Builder'!$D$8="Less",--(INDEX(Sims!$A746:$BO746,'Entry Builder'!$L$8)&lt;'Entry Builder'!$E$8),--(INDEX(Sims!$A746:$BO746,'Entry Builder'!$L$8)&gt;'Entry Builder'!$E$8)))</f>
        <v/>
      </c>
      <c r="C746">
        <f>IF('Entry Builder'!$N$9=0,1,IF('Entry Builder'!$D$9="Less",--(INDEX(Sims!$A746:$BO746,'Entry Builder'!$L$9)&lt;'Entry Builder'!$E$9),--(INDEX(Sims!$A746:$BO746,'Entry Builder'!$L$9)&gt;'Entry Builder'!$E$9)))</f>
        <v/>
      </c>
      <c r="D746">
        <f>IF('Entry Builder'!$N$10=0,1,IF('Entry Builder'!$D$10="Less",--(INDEX(Sims!$A746:$BO746,'Entry Builder'!$L$10)&lt;'Entry Builder'!$E$10),--(INDEX(Sims!$A746:$BO746,'Entry Builder'!$L$10)&gt;'Entry Builder'!$E$10)))</f>
        <v/>
      </c>
      <c r="E746">
        <f>IF('Entry Builder'!$N$11=0,1,IF('Entry Builder'!$D$11="Less",--(INDEX(Sims!$A746:$BO746,'Entry Builder'!$L$11)&lt;'Entry Builder'!$E$11),--(INDEX(Sims!$A746:$BO746,'Entry Builder'!$L$11)&gt;'Entry Builder'!$E$11)))</f>
        <v/>
      </c>
      <c r="F746">
        <f>IF('Entry Builder'!$N$12=0,1,IF('Entry Builder'!$D$12="Less",--(INDEX(Sims!$A746:$BO746,'Entry Builder'!$L$12)&lt;'Entry Builder'!$E$12),--(INDEX(Sims!$A746:$BO746,'Entry Builder'!$L$12)&gt;'Entry Builder'!$E$12)))</f>
        <v/>
      </c>
      <c r="G746">
        <f>6-SUM(A746:F746)</f>
        <v/>
      </c>
    </row>
    <row r="747">
      <c r="A747">
        <f>IF('Entry Builder'!$N$7=0,1,IF('Entry Builder'!$D$7="Less",--(INDEX(Sims!$A747:$BO747,'Entry Builder'!$L$7)&lt;'Entry Builder'!$E$7),--(INDEX(Sims!$A747:$BO747,'Entry Builder'!$L$7)&gt;'Entry Builder'!$E$7)))</f>
        <v/>
      </c>
      <c r="B747">
        <f>IF('Entry Builder'!$N$8=0,1,IF('Entry Builder'!$D$8="Less",--(INDEX(Sims!$A747:$BO747,'Entry Builder'!$L$8)&lt;'Entry Builder'!$E$8),--(INDEX(Sims!$A747:$BO747,'Entry Builder'!$L$8)&gt;'Entry Builder'!$E$8)))</f>
        <v/>
      </c>
      <c r="C747">
        <f>IF('Entry Builder'!$N$9=0,1,IF('Entry Builder'!$D$9="Less",--(INDEX(Sims!$A747:$BO747,'Entry Builder'!$L$9)&lt;'Entry Builder'!$E$9),--(INDEX(Sims!$A747:$BO747,'Entry Builder'!$L$9)&gt;'Entry Builder'!$E$9)))</f>
        <v/>
      </c>
      <c r="D747">
        <f>IF('Entry Builder'!$N$10=0,1,IF('Entry Builder'!$D$10="Less",--(INDEX(Sims!$A747:$BO747,'Entry Builder'!$L$10)&lt;'Entry Builder'!$E$10),--(INDEX(Sims!$A747:$BO747,'Entry Builder'!$L$10)&gt;'Entry Builder'!$E$10)))</f>
        <v/>
      </c>
      <c r="E747">
        <f>IF('Entry Builder'!$N$11=0,1,IF('Entry Builder'!$D$11="Less",--(INDEX(Sims!$A747:$BO747,'Entry Builder'!$L$11)&lt;'Entry Builder'!$E$11),--(INDEX(Sims!$A747:$BO747,'Entry Builder'!$L$11)&gt;'Entry Builder'!$E$11)))</f>
        <v/>
      </c>
      <c r="F747">
        <f>IF('Entry Builder'!$N$12=0,1,IF('Entry Builder'!$D$12="Less",--(INDEX(Sims!$A747:$BO747,'Entry Builder'!$L$12)&lt;'Entry Builder'!$E$12),--(INDEX(Sims!$A747:$BO747,'Entry Builder'!$L$12)&gt;'Entry Builder'!$E$12)))</f>
        <v/>
      </c>
      <c r="G747">
        <f>6-SUM(A747:F747)</f>
        <v/>
      </c>
    </row>
    <row r="748">
      <c r="A748">
        <f>IF('Entry Builder'!$N$7=0,1,IF('Entry Builder'!$D$7="Less",--(INDEX(Sims!$A748:$BO748,'Entry Builder'!$L$7)&lt;'Entry Builder'!$E$7),--(INDEX(Sims!$A748:$BO748,'Entry Builder'!$L$7)&gt;'Entry Builder'!$E$7)))</f>
        <v/>
      </c>
      <c r="B748">
        <f>IF('Entry Builder'!$N$8=0,1,IF('Entry Builder'!$D$8="Less",--(INDEX(Sims!$A748:$BO748,'Entry Builder'!$L$8)&lt;'Entry Builder'!$E$8),--(INDEX(Sims!$A748:$BO748,'Entry Builder'!$L$8)&gt;'Entry Builder'!$E$8)))</f>
        <v/>
      </c>
      <c r="C748">
        <f>IF('Entry Builder'!$N$9=0,1,IF('Entry Builder'!$D$9="Less",--(INDEX(Sims!$A748:$BO748,'Entry Builder'!$L$9)&lt;'Entry Builder'!$E$9),--(INDEX(Sims!$A748:$BO748,'Entry Builder'!$L$9)&gt;'Entry Builder'!$E$9)))</f>
        <v/>
      </c>
      <c r="D748">
        <f>IF('Entry Builder'!$N$10=0,1,IF('Entry Builder'!$D$10="Less",--(INDEX(Sims!$A748:$BO748,'Entry Builder'!$L$10)&lt;'Entry Builder'!$E$10),--(INDEX(Sims!$A748:$BO748,'Entry Builder'!$L$10)&gt;'Entry Builder'!$E$10)))</f>
        <v/>
      </c>
      <c r="E748">
        <f>IF('Entry Builder'!$N$11=0,1,IF('Entry Builder'!$D$11="Less",--(INDEX(Sims!$A748:$BO748,'Entry Builder'!$L$11)&lt;'Entry Builder'!$E$11),--(INDEX(Sims!$A748:$BO748,'Entry Builder'!$L$11)&gt;'Entry Builder'!$E$11)))</f>
        <v/>
      </c>
      <c r="F748">
        <f>IF('Entry Builder'!$N$12=0,1,IF('Entry Builder'!$D$12="Less",--(INDEX(Sims!$A748:$BO748,'Entry Builder'!$L$12)&lt;'Entry Builder'!$E$12),--(INDEX(Sims!$A748:$BO748,'Entry Builder'!$L$12)&gt;'Entry Builder'!$E$12)))</f>
        <v/>
      </c>
      <c r="G748">
        <f>6-SUM(A748:F748)</f>
        <v/>
      </c>
    </row>
    <row r="749">
      <c r="A749">
        <f>IF('Entry Builder'!$N$7=0,1,IF('Entry Builder'!$D$7="Less",--(INDEX(Sims!$A749:$BO749,'Entry Builder'!$L$7)&lt;'Entry Builder'!$E$7),--(INDEX(Sims!$A749:$BO749,'Entry Builder'!$L$7)&gt;'Entry Builder'!$E$7)))</f>
        <v/>
      </c>
      <c r="B749">
        <f>IF('Entry Builder'!$N$8=0,1,IF('Entry Builder'!$D$8="Less",--(INDEX(Sims!$A749:$BO749,'Entry Builder'!$L$8)&lt;'Entry Builder'!$E$8),--(INDEX(Sims!$A749:$BO749,'Entry Builder'!$L$8)&gt;'Entry Builder'!$E$8)))</f>
        <v/>
      </c>
      <c r="C749">
        <f>IF('Entry Builder'!$N$9=0,1,IF('Entry Builder'!$D$9="Less",--(INDEX(Sims!$A749:$BO749,'Entry Builder'!$L$9)&lt;'Entry Builder'!$E$9),--(INDEX(Sims!$A749:$BO749,'Entry Builder'!$L$9)&gt;'Entry Builder'!$E$9)))</f>
        <v/>
      </c>
      <c r="D749">
        <f>IF('Entry Builder'!$N$10=0,1,IF('Entry Builder'!$D$10="Less",--(INDEX(Sims!$A749:$BO749,'Entry Builder'!$L$10)&lt;'Entry Builder'!$E$10),--(INDEX(Sims!$A749:$BO749,'Entry Builder'!$L$10)&gt;'Entry Builder'!$E$10)))</f>
        <v/>
      </c>
      <c r="E749">
        <f>IF('Entry Builder'!$N$11=0,1,IF('Entry Builder'!$D$11="Less",--(INDEX(Sims!$A749:$BO749,'Entry Builder'!$L$11)&lt;'Entry Builder'!$E$11),--(INDEX(Sims!$A749:$BO749,'Entry Builder'!$L$11)&gt;'Entry Builder'!$E$11)))</f>
        <v/>
      </c>
      <c r="F749">
        <f>IF('Entry Builder'!$N$12=0,1,IF('Entry Builder'!$D$12="Less",--(INDEX(Sims!$A749:$BO749,'Entry Builder'!$L$12)&lt;'Entry Builder'!$E$12),--(INDEX(Sims!$A749:$BO749,'Entry Builder'!$L$12)&gt;'Entry Builder'!$E$12)))</f>
        <v/>
      </c>
      <c r="G749">
        <f>6-SUM(A749:F749)</f>
        <v/>
      </c>
    </row>
    <row r="750">
      <c r="A750">
        <f>IF('Entry Builder'!$N$7=0,1,IF('Entry Builder'!$D$7="Less",--(INDEX(Sims!$A750:$BO750,'Entry Builder'!$L$7)&lt;'Entry Builder'!$E$7),--(INDEX(Sims!$A750:$BO750,'Entry Builder'!$L$7)&gt;'Entry Builder'!$E$7)))</f>
        <v/>
      </c>
      <c r="B750">
        <f>IF('Entry Builder'!$N$8=0,1,IF('Entry Builder'!$D$8="Less",--(INDEX(Sims!$A750:$BO750,'Entry Builder'!$L$8)&lt;'Entry Builder'!$E$8),--(INDEX(Sims!$A750:$BO750,'Entry Builder'!$L$8)&gt;'Entry Builder'!$E$8)))</f>
        <v/>
      </c>
      <c r="C750">
        <f>IF('Entry Builder'!$N$9=0,1,IF('Entry Builder'!$D$9="Less",--(INDEX(Sims!$A750:$BO750,'Entry Builder'!$L$9)&lt;'Entry Builder'!$E$9),--(INDEX(Sims!$A750:$BO750,'Entry Builder'!$L$9)&gt;'Entry Builder'!$E$9)))</f>
        <v/>
      </c>
      <c r="D750">
        <f>IF('Entry Builder'!$N$10=0,1,IF('Entry Builder'!$D$10="Less",--(INDEX(Sims!$A750:$BO750,'Entry Builder'!$L$10)&lt;'Entry Builder'!$E$10),--(INDEX(Sims!$A750:$BO750,'Entry Builder'!$L$10)&gt;'Entry Builder'!$E$10)))</f>
        <v/>
      </c>
      <c r="E750">
        <f>IF('Entry Builder'!$N$11=0,1,IF('Entry Builder'!$D$11="Less",--(INDEX(Sims!$A750:$BO750,'Entry Builder'!$L$11)&lt;'Entry Builder'!$E$11),--(INDEX(Sims!$A750:$BO750,'Entry Builder'!$L$11)&gt;'Entry Builder'!$E$11)))</f>
        <v/>
      </c>
      <c r="F750">
        <f>IF('Entry Builder'!$N$12=0,1,IF('Entry Builder'!$D$12="Less",--(INDEX(Sims!$A750:$BO750,'Entry Builder'!$L$12)&lt;'Entry Builder'!$E$12),--(INDEX(Sims!$A750:$BO750,'Entry Builder'!$L$12)&gt;'Entry Builder'!$E$12)))</f>
        <v/>
      </c>
      <c r="G750">
        <f>6-SUM(A750:F750)</f>
        <v/>
      </c>
    </row>
    <row r="751">
      <c r="A751">
        <f>IF('Entry Builder'!$N$7=0,1,IF('Entry Builder'!$D$7="Less",--(INDEX(Sims!$A751:$BO751,'Entry Builder'!$L$7)&lt;'Entry Builder'!$E$7),--(INDEX(Sims!$A751:$BO751,'Entry Builder'!$L$7)&gt;'Entry Builder'!$E$7)))</f>
        <v/>
      </c>
      <c r="B751">
        <f>IF('Entry Builder'!$N$8=0,1,IF('Entry Builder'!$D$8="Less",--(INDEX(Sims!$A751:$BO751,'Entry Builder'!$L$8)&lt;'Entry Builder'!$E$8),--(INDEX(Sims!$A751:$BO751,'Entry Builder'!$L$8)&gt;'Entry Builder'!$E$8)))</f>
        <v/>
      </c>
      <c r="C751">
        <f>IF('Entry Builder'!$N$9=0,1,IF('Entry Builder'!$D$9="Less",--(INDEX(Sims!$A751:$BO751,'Entry Builder'!$L$9)&lt;'Entry Builder'!$E$9),--(INDEX(Sims!$A751:$BO751,'Entry Builder'!$L$9)&gt;'Entry Builder'!$E$9)))</f>
        <v/>
      </c>
      <c r="D751">
        <f>IF('Entry Builder'!$N$10=0,1,IF('Entry Builder'!$D$10="Less",--(INDEX(Sims!$A751:$BO751,'Entry Builder'!$L$10)&lt;'Entry Builder'!$E$10),--(INDEX(Sims!$A751:$BO751,'Entry Builder'!$L$10)&gt;'Entry Builder'!$E$10)))</f>
        <v/>
      </c>
      <c r="E751">
        <f>IF('Entry Builder'!$N$11=0,1,IF('Entry Builder'!$D$11="Less",--(INDEX(Sims!$A751:$BO751,'Entry Builder'!$L$11)&lt;'Entry Builder'!$E$11),--(INDEX(Sims!$A751:$BO751,'Entry Builder'!$L$11)&gt;'Entry Builder'!$E$11)))</f>
        <v/>
      </c>
      <c r="F751">
        <f>IF('Entry Builder'!$N$12=0,1,IF('Entry Builder'!$D$12="Less",--(INDEX(Sims!$A751:$BO751,'Entry Builder'!$L$12)&lt;'Entry Builder'!$E$12),--(INDEX(Sims!$A751:$BO751,'Entry Builder'!$L$12)&gt;'Entry Builder'!$E$12)))</f>
        <v/>
      </c>
      <c r="G751">
        <f>6-SUM(A751:F751)</f>
        <v/>
      </c>
    </row>
    <row r="752">
      <c r="A752">
        <f>IF('Entry Builder'!$N$7=0,1,IF('Entry Builder'!$D$7="Less",--(INDEX(Sims!$A752:$BO752,'Entry Builder'!$L$7)&lt;'Entry Builder'!$E$7),--(INDEX(Sims!$A752:$BO752,'Entry Builder'!$L$7)&gt;'Entry Builder'!$E$7)))</f>
        <v/>
      </c>
      <c r="B752">
        <f>IF('Entry Builder'!$N$8=0,1,IF('Entry Builder'!$D$8="Less",--(INDEX(Sims!$A752:$BO752,'Entry Builder'!$L$8)&lt;'Entry Builder'!$E$8),--(INDEX(Sims!$A752:$BO752,'Entry Builder'!$L$8)&gt;'Entry Builder'!$E$8)))</f>
        <v/>
      </c>
      <c r="C752">
        <f>IF('Entry Builder'!$N$9=0,1,IF('Entry Builder'!$D$9="Less",--(INDEX(Sims!$A752:$BO752,'Entry Builder'!$L$9)&lt;'Entry Builder'!$E$9),--(INDEX(Sims!$A752:$BO752,'Entry Builder'!$L$9)&gt;'Entry Builder'!$E$9)))</f>
        <v/>
      </c>
      <c r="D752">
        <f>IF('Entry Builder'!$N$10=0,1,IF('Entry Builder'!$D$10="Less",--(INDEX(Sims!$A752:$BO752,'Entry Builder'!$L$10)&lt;'Entry Builder'!$E$10),--(INDEX(Sims!$A752:$BO752,'Entry Builder'!$L$10)&gt;'Entry Builder'!$E$10)))</f>
        <v/>
      </c>
      <c r="E752">
        <f>IF('Entry Builder'!$N$11=0,1,IF('Entry Builder'!$D$11="Less",--(INDEX(Sims!$A752:$BO752,'Entry Builder'!$L$11)&lt;'Entry Builder'!$E$11),--(INDEX(Sims!$A752:$BO752,'Entry Builder'!$L$11)&gt;'Entry Builder'!$E$11)))</f>
        <v/>
      </c>
      <c r="F752">
        <f>IF('Entry Builder'!$N$12=0,1,IF('Entry Builder'!$D$12="Less",--(INDEX(Sims!$A752:$BO752,'Entry Builder'!$L$12)&lt;'Entry Builder'!$E$12),--(INDEX(Sims!$A752:$BO752,'Entry Builder'!$L$12)&gt;'Entry Builder'!$E$12)))</f>
        <v/>
      </c>
      <c r="G752">
        <f>6-SUM(A752:F752)</f>
        <v/>
      </c>
    </row>
    <row r="753">
      <c r="A753">
        <f>IF('Entry Builder'!$N$7=0,1,IF('Entry Builder'!$D$7="Less",--(INDEX(Sims!$A753:$BO753,'Entry Builder'!$L$7)&lt;'Entry Builder'!$E$7),--(INDEX(Sims!$A753:$BO753,'Entry Builder'!$L$7)&gt;'Entry Builder'!$E$7)))</f>
        <v/>
      </c>
      <c r="B753">
        <f>IF('Entry Builder'!$N$8=0,1,IF('Entry Builder'!$D$8="Less",--(INDEX(Sims!$A753:$BO753,'Entry Builder'!$L$8)&lt;'Entry Builder'!$E$8),--(INDEX(Sims!$A753:$BO753,'Entry Builder'!$L$8)&gt;'Entry Builder'!$E$8)))</f>
        <v/>
      </c>
      <c r="C753">
        <f>IF('Entry Builder'!$N$9=0,1,IF('Entry Builder'!$D$9="Less",--(INDEX(Sims!$A753:$BO753,'Entry Builder'!$L$9)&lt;'Entry Builder'!$E$9),--(INDEX(Sims!$A753:$BO753,'Entry Builder'!$L$9)&gt;'Entry Builder'!$E$9)))</f>
        <v/>
      </c>
      <c r="D753">
        <f>IF('Entry Builder'!$N$10=0,1,IF('Entry Builder'!$D$10="Less",--(INDEX(Sims!$A753:$BO753,'Entry Builder'!$L$10)&lt;'Entry Builder'!$E$10),--(INDEX(Sims!$A753:$BO753,'Entry Builder'!$L$10)&gt;'Entry Builder'!$E$10)))</f>
        <v/>
      </c>
      <c r="E753">
        <f>IF('Entry Builder'!$N$11=0,1,IF('Entry Builder'!$D$11="Less",--(INDEX(Sims!$A753:$BO753,'Entry Builder'!$L$11)&lt;'Entry Builder'!$E$11),--(INDEX(Sims!$A753:$BO753,'Entry Builder'!$L$11)&gt;'Entry Builder'!$E$11)))</f>
        <v/>
      </c>
      <c r="F753">
        <f>IF('Entry Builder'!$N$12=0,1,IF('Entry Builder'!$D$12="Less",--(INDEX(Sims!$A753:$BO753,'Entry Builder'!$L$12)&lt;'Entry Builder'!$E$12),--(INDEX(Sims!$A753:$BO753,'Entry Builder'!$L$12)&gt;'Entry Builder'!$E$12)))</f>
        <v/>
      </c>
      <c r="G753">
        <f>6-SUM(A753:F753)</f>
        <v/>
      </c>
    </row>
    <row r="754">
      <c r="A754">
        <f>IF('Entry Builder'!$N$7=0,1,IF('Entry Builder'!$D$7="Less",--(INDEX(Sims!$A754:$BO754,'Entry Builder'!$L$7)&lt;'Entry Builder'!$E$7),--(INDEX(Sims!$A754:$BO754,'Entry Builder'!$L$7)&gt;'Entry Builder'!$E$7)))</f>
        <v/>
      </c>
      <c r="B754">
        <f>IF('Entry Builder'!$N$8=0,1,IF('Entry Builder'!$D$8="Less",--(INDEX(Sims!$A754:$BO754,'Entry Builder'!$L$8)&lt;'Entry Builder'!$E$8),--(INDEX(Sims!$A754:$BO754,'Entry Builder'!$L$8)&gt;'Entry Builder'!$E$8)))</f>
        <v/>
      </c>
      <c r="C754">
        <f>IF('Entry Builder'!$N$9=0,1,IF('Entry Builder'!$D$9="Less",--(INDEX(Sims!$A754:$BO754,'Entry Builder'!$L$9)&lt;'Entry Builder'!$E$9),--(INDEX(Sims!$A754:$BO754,'Entry Builder'!$L$9)&gt;'Entry Builder'!$E$9)))</f>
        <v/>
      </c>
      <c r="D754">
        <f>IF('Entry Builder'!$N$10=0,1,IF('Entry Builder'!$D$10="Less",--(INDEX(Sims!$A754:$BO754,'Entry Builder'!$L$10)&lt;'Entry Builder'!$E$10),--(INDEX(Sims!$A754:$BO754,'Entry Builder'!$L$10)&gt;'Entry Builder'!$E$10)))</f>
        <v/>
      </c>
      <c r="E754">
        <f>IF('Entry Builder'!$N$11=0,1,IF('Entry Builder'!$D$11="Less",--(INDEX(Sims!$A754:$BO754,'Entry Builder'!$L$11)&lt;'Entry Builder'!$E$11),--(INDEX(Sims!$A754:$BO754,'Entry Builder'!$L$11)&gt;'Entry Builder'!$E$11)))</f>
        <v/>
      </c>
      <c r="F754">
        <f>IF('Entry Builder'!$N$12=0,1,IF('Entry Builder'!$D$12="Less",--(INDEX(Sims!$A754:$BO754,'Entry Builder'!$L$12)&lt;'Entry Builder'!$E$12),--(INDEX(Sims!$A754:$BO754,'Entry Builder'!$L$12)&gt;'Entry Builder'!$E$12)))</f>
        <v/>
      </c>
      <c r="G754">
        <f>6-SUM(A754:F754)</f>
        <v/>
      </c>
    </row>
    <row r="755">
      <c r="A755">
        <f>IF('Entry Builder'!$N$7=0,1,IF('Entry Builder'!$D$7="Less",--(INDEX(Sims!$A755:$BO755,'Entry Builder'!$L$7)&lt;'Entry Builder'!$E$7),--(INDEX(Sims!$A755:$BO755,'Entry Builder'!$L$7)&gt;'Entry Builder'!$E$7)))</f>
        <v/>
      </c>
      <c r="B755">
        <f>IF('Entry Builder'!$N$8=0,1,IF('Entry Builder'!$D$8="Less",--(INDEX(Sims!$A755:$BO755,'Entry Builder'!$L$8)&lt;'Entry Builder'!$E$8),--(INDEX(Sims!$A755:$BO755,'Entry Builder'!$L$8)&gt;'Entry Builder'!$E$8)))</f>
        <v/>
      </c>
      <c r="C755">
        <f>IF('Entry Builder'!$N$9=0,1,IF('Entry Builder'!$D$9="Less",--(INDEX(Sims!$A755:$BO755,'Entry Builder'!$L$9)&lt;'Entry Builder'!$E$9),--(INDEX(Sims!$A755:$BO755,'Entry Builder'!$L$9)&gt;'Entry Builder'!$E$9)))</f>
        <v/>
      </c>
      <c r="D755">
        <f>IF('Entry Builder'!$N$10=0,1,IF('Entry Builder'!$D$10="Less",--(INDEX(Sims!$A755:$BO755,'Entry Builder'!$L$10)&lt;'Entry Builder'!$E$10),--(INDEX(Sims!$A755:$BO755,'Entry Builder'!$L$10)&gt;'Entry Builder'!$E$10)))</f>
        <v/>
      </c>
      <c r="E755">
        <f>IF('Entry Builder'!$N$11=0,1,IF('Entry Builder'!$D$11="Less",--(INDEX(Sims!$A755:$BO755,'Entry Builder'!$L$11)&lt;'Entry Builder'!$E$11),--(INDEX(Sims!$A755:$BO755,'Entry Builder'!$L$11)&gt;'Entry Builder'!$E$11)))</f>
        <v/>
      </c>
      <c r="F755">
        <f>IF('Entry Builder'!$N$12=0,1,IF('Entry Builder'!$D$12="Less",--(INDEX(Sims!$A755:$BO755,'Entry Builder'!$L$12)&lt;'Entry Builder'!$E$12),--(INDEX(Sims!$A755:$BO755,'Entry Builder'!$L$12)&gt;'Entry Builder'!$E$12)))</f>
        <v/>
      </c>
      <c r="G755">
        <f>6-SUM(A755:F755)</f>
        <v/>
      </c>
    </row>
    <row r="756">
      <c r="A756">
        <f>IF('Entry Builder'!$N$7=0,1,IF('Entry Builder'!$D$7="Less",--(INDEX(Sims!$A756:$BO756,'Entry Builder'!$L$7)&lt;'Entry Builder'!$E$7),--(INDEX(Sims!$A756:$BO756,'Entry Builder'!$L$7)&gt;'Entry Builder'!$E$7)))</f>
        <v/>
      </c>
      <c r="B756">
        <f>IF('Entry Builder'!$N$8=0,1,IF('Entry Builder'!$D$8="Less",--(INDEX(Sims!$A756:$BO756,'Entry Builder'!$L$8)&lt;'Entry Builder'!$E$8),--(INDEX(Sims!$A756:$BO756,'Entry Builder'!$L$8)&gt;'Entry Builder'!$E$8)))</f>
        <v/>
      </c>
      <c r="C756">
        <f>IF('Entry Builder'!$N$9=0,1,IF('Entry Builder'!$D$9="Less",--(INDEX(Sims!$A756:$BO756,'Entry Builder'!$L$9)&lt;'Entry Builder'!$E$9),--(INDEX(Sims!$A756:$BO756,'Entry Builder'!$L$9)&gt;'Entry Builder'!$E$9)))</f>
        <v/>
      </c>
      <c r="D756">
        <f>IF('Entry Builder'!$N$10=0,1,IF('Entry Builder'!$D$10="Less",--(INDEX(Sims!$A756:$BO756,'Entry Builder'!$L$10)&lt;'Entry Builder'!$E$10),--(INDEX(Sims!$A756:$BO756,'Entry Builder'!$L$10)&gt;'Entry Builder'!$E$10)))</f>
        <v/>
      </c>
      <c r="E756">
        <f>IF('Entry Builder'!$N$11=0,1,IF('Entry Builder'!$D$11="Less",--(INDEX(Sims!$A756:$BO756,'Entry Builder'!$L$11)&lt;'Entry Builder'!$E$11),--(INDEX(Sims!$A756:$BO756,'Entry Builder'!$L$11)&gt;'Entry Builder'!$E$11)))</f>
        <v/>
      </c>
      <c r="F756">
        <f>IF('Entry Builder'!$N$12=0,1,IF('Entry Builder'!$D$12="Less",--(INDEX(Sims!$A756:$BO756,'Entry Builder'!$L$12)&lt;'Entry Builder'!$E$12),--(INDEX(Sims!$A756:$BO756,'Entry Builder'!$L$12)&gt;'Entry Builder'!$E$12)))</f>
        <v/>
      </c>
      <c r="G756">
        <f>6-SUM(A756:F756)</f>
        <v/>
      </c>
    </row>
    <row r="757">
      <c r="A757">
        <f>IF('Entry Builder'!$N$7=0,1,IF('Entry Builder'!$D$7="Less",--(INDEX(Sims!$A757:$BO757,'Entry Builder'!$L$7)&lt;'Entry Builder'!$E$7),--(INDEX(Sims!$A757:$BO757,'Entry Builder'!$L$7)&gt;'Entry Builder'!$E$7)))</f>
        <v/>
      </c>
      <c r="B757">
        <f>IF('Entry Builder'!$N$8=0,1,IF('Entry Builder'!$D$8="Less",--(INDEX(Sims!$A757:$BO757,'Entry Builder'!$L$8)&lt;'Entry Builder'!$E$8),--(INDEX(Sims!$A757:$BO757,'Entry Builder'!$L$8)&gt;'Entry Builder'!$E$8)))</f>
        <v/>
      </c>
      <c r="C757">
        <f>IF('Entry Builder'!$N$9=0,1,IF('Entry Builder'!$D$9="Less",--(INDEX(Sims!$A757:$BO757,'Entry Builder'!$L$9)&lt;'Entry Builder'!$E$9),--(INDEX(Sims!$A757:$BO757,'Entry Builder'!$L$9)&gt;'Entry Builder'!$E$9)))</f>
        <v/>
      </c>
      <c r="D757">
        <f>IF('Entry Builder'!$N$10=0,1,IF('Entry Builder'!$D$10="Less",--(INDEX(Sims!$A757:$BO757,'Entry Builder'!$L$10)&lt;'Entry Builder'!$E$10),--(INDEX(Sims!$A757:$BO757,'Entry Builder'!$L$10)&gt;'Entry Builder'!$E$10)))</f>
        <v/>
      </c>
      <c r="E757">
        <f>IF('Entry Builder'!$N$11=0,1,IF('Entry Builder'!$D$11="Less",--(INDEX(Sims!$A757:$BO757,'Entry Builder'!$L$11)&lt;'Entry Builder'!$E$11),--(INDEX(Sims!$A757:$BO757,'Entry Builder'!$L$11)&gt;'Entry Builder'!$E$11)))</f>
        <v/>
      </c>
      <c r="F757">
        <f>IF('Entry Builder'!$N$12=0,1,IF('Entry Builder'!$D$12="Less",--(INDEX(Sims!$A757:$BO757,'Entry Builder'!$L$12)&lt;'Entry Builder'!$E$12),--(INDEX(Sims!$A757:$BO757,'Entry Builder'!$L$12)&gt;'Entry Builder'!$E$12)))</f>
        <v/>
      </c>
      <c r="G757">
        <f>6-SUM(A757:F757)</f>
        <v/>
      </c>
    </row>
    <row r="758">
      <c r="A758">
        <f>IF('Entry Builder'!$N$7=0,1,IF('Entry Builder'!$D$7="Less",--(INDEX(Sims!$A758:$BO758,'Entry Builder'!$L$7)&lt;'Entry Builder'!$E$7),--(INDEX(Sims!$A758:$BO758,'Entry Builder'!$L$7)&gt;'Entry Builder'!$E$7)))</f>
        <v/>
      </c>
      <c r="B758">
        <f>IF('Entry Builder'!$N$8=0,1,IF('Entry Builder'!$D$8="Less",--(INDEX(Sims!$A758:$BO758,'Entry Builder'!$L$8)&lt;'Entry Builder'!$E$8),--(INDEX(Sims!$A758:$BO758,'Entry Builder'!$L$8)&gt;'Entry Builder'!$E$8)))</f>
        <v/>
      </c>
      <c r="C758">
        <f>IF('Entry Builder'!$N$9=0,1,IF('Entry Builder'!$D$9="Less",--(INDEX(Sims!$A758:$BO758,'Entry Builder'!$L$9)&lt;'Entry Builder'!$E$9),--(INDEX(Sims!$A758:$BO758,'Entry Builder'!$L$9)&gt;'Entry Builder'!$E$9)))</f>
        <v/>
      </c>
      <c r="D758">
        <f>IF('Entry Builder'!$N$10=0,1,IF('Entry Builder'!$D$10="Less",--(INDEX(Sims!$A758:$BO758,'Entry Builder'!$L$10)&lt;'Entry Builder'!$E$10),--(INDEX(Sims!$A758:$BO758,'Entry Builder'!$L$10)&gt;'Entry Builder'!$E$10)))</f>
        <v/>
      </c>
      <c r="E758">
        <f>IF('Entry Builder'!$N$11=0,1,IF('Entry Builder'!$D$11="Less",--(INDEX(Sims!$A758:$BO758,'Entry Builder'!$L$11)&lt;'Entry Builder'!$E$11),--(INDEX(Sims!$A758:$BO758,'Entry Builder'!$L$11)&gt;'Entry Builder'!$E$11)))</f>
        <v/>
      </c>
      <c r="F758">
        <f>IF('Entry Builder'!$N$12=0,1,IF('Entry Builder'!$D$12="Less",--(INDEX(Sims!$A758:$BO758,'Entry Builder'!$L$12)&lt;'Entry Builder'!$E$12),--(INDEX(Sims!$A758:$BO758,'Entry Builder'!$L$12)&gt;'Entry Builder'!$E$12)))</f>
        <v/>
      </c>
      <c r="G758">
        <f>6-SUM(A758:F758)</f>
        <v/>
      </c>
    </row>
    <row r="759">
      <c r="A759">
        <f>IF('Entry Builder'!$N$7=0,1,IF('Entry Builder'!$D$7="Less",--(INDEX(Sims!$A759:$BO759,'Entry Builder'!$L$7)&lt;'Entry Builder'!$E$7),--(INDEX(Sims!$A759:$BO759,'Entry Builder'!$L$7)&gt;'Entry Builder'!$E$7)))</f>
        <v/>
      </c>
      <c r="B759">
        <f>IF('Entry Builder'!$N$8=0,1,IF('Entry Builder'!$D$8="Less",--(INDEX(Sims!$A759:$BO759,'Entry Builder'!$L$8)&lt;'Entry Builder'!$E$8),--(INDEX(Sims!$A759:$BO759,'Entry Builder'!$L$8)&gt;'Entry Builder'!$E$8)))</f>
        <v/>
      </c>
      <c r="C759">
        <f>IF('Entry Builder'!$N$9=0,1,IF('Entry Builder'!$D$9="Less",--(INDEX(Sims!$A759:$BO759,'Entry Builder'!$L$9)&lt;'Entry Builder'!$E$9),--(INDEX(Sims!$A759:$BO759,'Entry Builder'!$L$9)&gt;'Entry Builder'!$E$9)))</f>
        <v/>
      </c>
      <c r="D759">
        <f>IF('Entry Builder'!$N$10=0,1,IF('Entry Builder'!$D$10="Less",--(INDEX(Sims!$A759:$BO759,'Entry Builder'!$L$10)&lt;'Entry Builder'!$E$10),--(INDEX(Sims!$A759:$BO759,'Entry Builder'!$L$10)&gt;'Entry Builder'!$E$10)))</f>
        <v/>
      </c>
      <c r="E759">
        <f>IF('Entry Builder'!$N$11=0,1,IF('Entry Builder'!$D$11="Less",--(INDEX(Sims!$A759:$BO759,'Entry Builder'!$L$11)&lt;'Entry Builder'!$E$11),--(INDEX(Sims!$A759:$BO759,'Entry Builder'!$L$11)&gt;'Entry Builder'!$E$11)))</f>
        <v/>
      </c>
      <c r="F759">
        <f>IF('Entry Builder'!$N$12=0,1,IF('Entry Builder'!$D$12="Less",--(INDEX(Sims!$A759:$BO759,'Entry Builder'!$L$12)&lt;'Entry Builder'!$E$12),--(INDEX(Sims!$A759:$BO759,'Entry Builder'!$L$12)&gt;'Entry Builder'!$E$12)))</f>
        <v/>
      </c>
      <c r="G759">
        <f>6-SUM(A759:F759)</f>
        <v/>
      </c>
    </row>
    <row r="760">
      <c r="A760">
        <f>IF('Entry Builder'!$N$7=0,1,IF('Entry Builder'!$D$7="Less",--(INDEX(Sims!$A760:$BO760,'Entry Builder'!$L$7)&lt;'Entry Builder'!$E$7),--(INDEX(Sims!$A760:$BO760,'Entry Builder'!$L$7)&gt;'Entry Builder'!$E$7)))</f>
        <v/>
      </c>
      <c r="B760">
        <f>IF('Entry Builder'!$N$8=0,1,IF('Entry Builder'!$D$8="Less",--(INDEX(Sims!$A760:$BO760,'Entry Builder'!$L$8)&lt;'Entry Builder'!$E$8),--(INDEX(Sims!$A760:$BO760,'Entry Builder'!$L$8)&gt;'Entry Builder'!$E$8)))</f>
        <v/>
      </c>
      <c r="C760">
        <f>IF('Entry Builder'!$N$9=0,1,IF('Entry Builder'!$D$9="Less",--(INDEX(Sims!$A760:$BO760,'Entry Builder'!$L$9)&lt;'Entry Builder'!$E$9),--(INDEX(Sims!$A760:$BO760,'Entry Builder'!$L$9)&gt;'Entry Builder'!$E$9)))</f>
        <v/>
      </c>
      <c r="D760">
        <f>IF('Entry Builder'!$N$10=0,1,IF('Entry Builder'!$D$10="Less",--(INDEX(Sims!$A760:$BO760,'Entry Builder'!$L$10)&lt;'Entry Builder'!$E$10),--(INDEX(Sims!$A760:$BO760,'Entry Builder'!$L$10)&gt;'Entry Builder'!$E$10)))</f>
        <v/>
      </c>
      <c r="E760">
        <f>IF('Entry Builder'!$N$11=0,1,IF('Entry Builder'!$D$11="Less",--(INDEX(Sims!$A760:$BO760,'Entry Builder'!$L$11)&lt;'Entry Builder'!$E$11),--(INDEX(Sims!$A760:$BO760,'Entry Builder'!$L$11)&gt;'Entry Builder'!$E$11)))</f>
        <v/>
      </c>
      <c r="F760">
        <f>IF('Entry Builder'!$N$12=0,1,IF('Entry Builder'!$D$12="Less",--(INDEX(Sims!$A760:$BO760,'Entry Builder'!$L$12)&lt;'Entry Builder'!$E$12),--(INDEX(Sims!$A760:$BO760,'Entry Builder'!$L$12)&gt;'Entry Builder'!$E$12)))</f>
        <v/>
      </c>
      <c r="G760">
        <f>6-SUM(A760:F760)</f>
        <v/>
      </c>
    </row>
    <row r="761">
      <c r="A761">
        <f>IF('Entry Builder'!$N$7=0,1,IF('Entry Builder'!$D$7="Less",--(INDEX(Sims!$A761:$BO761,'Entry Builder'!$L$7)&lt;'Entry Builder'!$E$7),--(INDEX(Sims!$A761:$BO761,'Entry Builder'!$L$7)&gt;'Entry Builder'!$E$7)))</f>
        <v/>
      </c>
      <c r="B761">
        <f>IF('Entry Builder'!$N$8=0,1,IF('Entry Builder'!$D$8="Less",--(INDEX(Sims!$A761:$BO761,'Entry Builder'!$L$8)&lt;'Entry Builder'!$E$8),--(INDEX(Sims!$A761:$BO761,'Entry Builder'!$L$8)&gt;'Entry Builder'!$E$8)))</f>
        <v/>
      </c>
      <c r="C761">
        <f>IF('Entry Builder'!$N$9=0,1,IF('Entry Builder'!$D$9="Less",--(INDEX(Sims!$A761:$BO761,'Entry Builder'!$L$9)&lt;'Entry Builder'!$E$9),--(INDEX(Sims!$A761:$BO761,'Entry Builder'!$L$9)&gt;'Entry Builder'!$E$9)))</f>
        <v/>
      </c>
      <c r="D761">
        <f>IF('Entry Builder'!$N$10=0,1,IF('Entry Builder'!$D$10="Less",--(INDEX(Sims!$A761:$BO761,'Entry Builder'!$L$10)&lt;'Entry Builder'!$E$10),--(INDEX(Sims!$A761:$BO761,'Entry Builder'!$L$10)&gt;'Entry Builder'!$E$10)))</f>
        <v/>
      </c>
      <c r="E761">
        <f>IF('Entry Builder'!$N$11=0,1,IF('Entry Builder'!$D$11="Less",--(INDEX(Sims!$A761:$BO761,'Entry Builder'!$L$11)&lt;'Entry Builder'!$E$11),--(INDEX(Sims!$A761:$BO761,'Entry Builder'!$L$11)&gt;'Entry Builder'!$E$11)))</f>
        <v/>
      </c>
      <c r="F761">
        <f>IF('Entry Builder'!$N$12=0,1,IF('Entry Builder'!$D$12="Less",--(INDEX(Sims!$A761:$BO761,'Entry Builder'!$L$12)&lt;'Entry Builder'!$E$12),--(INDEX(Sims!$A761:$BO761,'Entry Builder'!$L$12)&gt;'Entry Builder'!$E$12)))</f>
        <v/>
      </c>
      <c r="G761">
        <f>6-SUM(A761:F761)</f>
        <v/>
      </c>
    </row>
    <row r="762">
      <c r="A762">
        <f>IF('Entry Builder'!$N$7=0,1,IF('Entry Builder'!$D$7="Less",--(INDEX(Sims!$A762:$BO762,'Entry Builder'!$L$7)&lt;'Entry Builder'!$E$7),--(INDEX(Sims!$A762:$BO762,'Entry Builder'!$L$7)&gt;'Entry Builder'!$E$7)))</f>
        <v/>
      </c>
      <c r="B762">
        <f>IF('Entry Builder'!$N$8=0,1,IF('Entry Builder'!$D$8="Less",--(INDEX(Sims!$A762:$BO762,'Entry Builder'!$L$8)&lt;'Entry Builder'!$E$8),--(INDEX(Sims!$A762:$BO762,'Entry Builder'!$L$8)&gt;'Entry Builder'!$E$8)))</f>
        <v/>
      </c>
      <c r="C762">
        <f>IF('Entry Builder'!$N$9=0,1,IF('Entry Builder'!$D$9="Less",--(INDEX(Sims!$A762:$BO762,'Entry Builder'!$L$9)&lt;'Entry Builder'!$E$9),--(INDEX(Sims!$A762:$BO762,'Entry Builder'!$L$9)&gt;'Entry Builder'!$E$9)))</f>
        <v/>
      </c>
      <c r="D762">
        <f>IF('Entry Builder'!$N$10=0,1,IF('Entry Builder'!$D$10="Less",--(INDEX(Sims!$A762:$BO762,'Entry Builder'!$L$10)&lt;'Entry Builder'!$E$10),--(INDEX(Sims!$A762:$BO762,'Entry Builder'!$L$10)&gt;'Entry Builder'!$E$10)))</f>
        <v/>
      </c>
      <c r="E762">
        <f>IF('Entry Builder'!$N$11=0,1,IF('Entry Builder'!$D$11="Less",--(INDEX(Sims!$A762:$BO762,'Entry Builder'!$L$11)&lt;'Entry Builder'!$E$11),--(INDEX(Sims!$A762:$BO762,'Entry Builder'!$L$11)&gt;'Entry Builder'!$E$11)))</f>
        <v/>
      </c>
      <c r="F762">
        <f>IF('Entry Builder'!$N$12=0,1,IF('Entry Builder'!$D$12="Less",--(INDEX(Sims!$A762:$BO762,'Entry Builder'!$L$12)&lt;'Entry Builder'!$E$12),--(INDEX(Sims!$A762:$BO762,'Entry Builder'!$L$12)&gt;'Entry Builder'!$E$12)))</f>
        <v/>
      </c>
      <c r="G762">
        <f>6-SUM(A762:F762)</f>
        <v/>
      </c>
    </row>
    <row r="763">
      <c r="A763">
        <f>IF('Entry Builder'!$N$7=0,1,IF('Entry Builder'!$D$7="Less",--(INDEX(Sims!$A763:$BO763,'Entry Builder'!$L$7)&lt;'Entry Builder'!$E$7),--(INDEX(Sims!$A763:$BO763,'Entry Builder'!$L$7)&gt;'Entry Builder'!$E$7)))</f>
        <v/>
      </c>
      <c r="B763">
        <f>IF('Entry Builder'!$N$8=0,1,IF('Entry Builder'!$D$8="Less",--(INDEX(Sims!$A763:$BO763,'Entry Builder'!$L$8)&lt;'Entry Builder'!$E$8),--(INDEX(Sims!$A763:$BO763,'Entry Builder'!$L$8)&gt;'Entry Builder'!$E$8)))</f>
        <v/>
      </c>
      <c r="C763">
        <f>IF('Entry Builder'!$N$9=0,1,IF('Entry Builder'!$D$9="Less",--(INDEX(Sims!$A763:$BO763,'Entry Builder'!$L$9)&lt;'Entry Builder'!$E$9),--(INDEX(Sims!$A763:$BO763,'Entry Builder'!$L$9)&gt;'Entry Builder'!$E$9)))</f>
        <v/>
      </c>
      <c r="D763">
        <f>IF('Entry Builder'!$N$10=0,1,IF('Entry Builder'!$D$10="Less",--(INDEX(Sims!$A763:$BO763,'Entry Builder'!$L$10)&lt;'Entry Builder'!$E$10),--(INDEX(Sims!$A763:$BO763,'Entry Builder'!$L$10)&gt;'Entry Builder'!$E$10)))</f>
        <v/>
      </c>
      <c r="E763">
        <f>IF('Entry Builder'!$N$11=0,1,IF('Entry Builder'!$D$11="Less",--(INDEX(Sims!$A763:$BO763,'Entry Builder'!$L$11)&lt;'Entry Builder'!$E$11),--(INDEX(Sims!$A763:$BO763,'Entry Builder'!$L$11)&gt;'Entry Builder'!$E$11)))</f>
        <v/>
      </c>
      <c r="F763">
        <f>IF('Entry Builder'!$N$12=0,1,IF('Entry Builder'!$D$12="Less",--(INDEX(Sims!$A763:$BO763,'Entry Builder'!$L$12)&lt;'Entry Builder'!$E$12),--(INDEX(Sims!$A763:$BO763,'Entry Builder'!$L$12)&gt;'Entry Builder'!$E$12)))</f>
        <v/>
      </c>
      <c r="G763">
        <f>6-SUM(A763:F763)</f>
        <v/>
      </c>
    </row>
    <row r="764">
      <c r="A764">
        <f>IF('Entry Builder'!$N$7=0,1,IF('Entry Builder'!$D$7="Less",--(INDEX(Sims!$A764:$BO764,'Entry Builder'!$L$7)&lt;'Entry Builder'!$E$7),--(INDEX(Sims!$A764:$BO764,'Entry Builder'!$L$7)&gt;'Entry Builder'!$E$7)))</f>
        <v/>
      </c>
      <c r="B764">
        <f>IF('Entry Builder'!$N$8=0,1,IF('Entry Builder'!$D$8="Less",--(INDEX(Sims!$A764:$BO764,'Entry Builder'!$L$8)&lt;'Entry Builder'!$E$8),--(INDEX(Sims!$A764:$BO764,'Entry Builder'!$L$8)&gt;'Entry Builder'!$E$8)))</f>
        <v/>
      </c>
      <c r="C764">
        <f>IF('Entry Builder'!$N$9=0,1,IF('Entry Builder'!$D$9="Less",--(INDEX(Sims!$A764:$BO764,'Entry Builder'!$L$9)&lt;'Entry Builder'!$E$9),--(INDEX(Sims!$A764:$BO764,'Entry Builder'!$L$9)&gt;'Entry Builder'!$E$9)))</f>
        <v/>
      </c>
      <c r="D764">
        <f>IF('Entry Builder'!$N$10=0,1,IF('Entry Builder'!$D$10="Less",--(INDEX(Sims!$A764:$BO764,'Entry Builder'!$L$10)&lt;'Entry Builder'!$E$10),--(INDEX(Sims!$A764:$BO764,'Entry Builder'!$L$10)&gt;'Entry Builder'!$E$10)))</f>
        <v/>
      </c>
      <c r="E764">
        <f>IF('Entry Builder'!$N$11=0,1,IF('Entry Builder'!$D$11="Less",--(INDEX(Sims!$A764:$BO764,'Entry Builder'!$L$11)&lt;'Entry Builder'!$E$11),--(INDEX(Sims!$A764:$BO764,'Entry Builder'!$L$11)&gt;'Entry Builder'!$E$11)))</f>
        <v/>
      </c>
      <c r="F764">
        <f>IF('Entry Builder'!$N$12=0,1,IF('Entry Builder'!$D$12="Less",--(INDEX(Sims!$A764:$BO764,'Entry Builder'!$L$12)&lt;'Entry Builder'!$E$12),--(INDEX(Sims!$A764:$BO764,'Entry Builder'!$L$12)&gt;'Entry Builder'!$E$12)))</f>
        <v/>
      </c>
      <c r="G764">
        <f>6-SUM(A764:F764)</f>
        <v/>
      </c>
    </row>
    <row r="765">
      <c r="A765">
        <f>IF('Entry Builder'!$N$7=0,1,IF('Entry Builder'!$D$7="Less",--(INDEX(Sims!$A765:$BO765,'Entry Builder'!$L$7)&lt;'Entry Builder'!$E$7),--(INDEX(Sims!$A765:$BO765,'Entry Builder'!$L$7)&gt;'Entry Builder'!$E$7)))</f>
        <v/>
      </c>
      <c r="B765">
        <f>IF('Entry Builder'!$N$8=0,1,IF('Entry Builder'!$D$8="Less",--(INDEX(Sims!$A765:$BO765,'Entry Builder'!$L$8)&lt;'Entry Builder'!$E$8),--(INDEX(Sims!$A765:$BO765,'Entry Builder'!$L$8)&gt;'Entry Builder'!$E$8)))</f>
        <v/>
      </c>
      <c r="C765">
        <f>IF('Entry Builder'!$N$9=0,1,IF('Entry Builder'!$D$9="Less",--(INDEX(Sims!$A765:$BO765,'Entry Builder'!$L$9)&lt;'Entry Builder'!$E$9),--(INDEX(Sims!$A765:$BO765,'Entry Builder'!$L$9)&gt;'Entry Builder'!$E$9)))</f>
        <v/>
      </c>
      <c r="D765">
        <f>IF('Entry Builder'!$N$10=0,1,IF('Entry Builder'!$D$10="Less",--(INDEX(Sims!$A765:$BO765,'Entry Builder'!$L$10)&lt;'Entry Builder'!$E$10),--(INDEX(Sims!$A765:$BO765,'Entry Builder'!$L$10)&gt;'Entry Builder'!$E$10)))</f>
        <v/>
      </c>
      <c r="E765">
        <f>IF('Entry Builder'!$N$11=0,1,IF('Entry Builder'!$D$11="Less",--(INDEX(Sims!$A765:$BO765,'Entry Builder'!$L$11)&lt;'Entry Builder'!$E$11),--(INDEX(Sims!$A765:$BO765,'Entry Builder'!$L$11)&gt;'Entry Builder'!$E$11)))</f>
        <v/>
      </c>
      <c r="F765">
        <f>IF('Entry Builder'!$N$12=0,1,IF('Entry Builder'!$D$12="Less",--(INDEX(Sims!$A765:$BO765,'Entry Builder'!$L$12)&lt;'Entry Builder'!$E$12),--(INDEX(Sims!$A765:$BO765,'Entry Builder'!$L$12)&gt;'Entry Builder'!$E$12)))</f>
        <v/>
      </c>
      <c r="G765">
        <f>6-SUM(A765:F765)</f>
        <v/>
      </c>
    </row>
    <row r="766">
      <c r="A766">
        <f>IF('Entry Builder'!$N$7=0,1,IF('Entry Builder'!$D$7="Less",--(INDEX(Sims!$A766:$BO766,'Entry Builder'!$L$7)&lt;'Entry Builder'!$E$7),--(INDEX(Sims!$A766:$BO766,'Entry Builder'!$L$7)&gt;'Entry Builder'!$E$7)))</f>
        <v/>
      </c>
      <c r="B766">
        <f>IF('Entry Builder'!$N$8=0,1,IF('Entry Builder'!$D$8="Less",--(INDEX(Sims!$A766:$BO766,'Entry Builder'!$L$8)&lt;'Entry Builder'!$E$8),--(INDEX(Sims!$A766:$BO766,'Entry Builder'!$L$8)&gt;'Entry Builder'!$E$8)))</f>
        <v/>
      </c>
      <c r="C766">
        <f>IF('Entry Builder'!$N$9=0,1,IF('Entry Builder'!$D$9="Less",--(INDEX(Sims!$A766:$BO766,'Entry Builder'!$L$9)&lt;'Entry Builder'!$E$9),--(INDEX(Sims!$A766:$BO766,'Entry Builder'!$L$9)&gt;'Entry Builder'!$E$9)))</f>
        <v/>
      </c>
      <c r="D766">
        <f>IF('Entry Builder'!$N$10=0,1,IF('Entry Builder'!$D$10="Less",--(INDEX(Sims!$A766:$BO766,'Entry Builder'!$L$10)&lt;'Entry Builder'!$E$10),--(INDEX(Sims!$A766:$BO766,'Entry Builder'!$L$10)&gt;'Entry Builder'!$E$10)))</f>
        <v/>
      </c>
      <c r="E766">
        <f>IF('Entry Builder'!$N$11=0,1,IF('Entry Builder'!$D$11="Less",--(INDEX(Sims!$A766:$BO766,'Entry Builder'!$L$11)&lt;'Entry Builder'!$E$11),--(INDEX(Sims!$A766:$BO766,'Entry Builder'!$L$11)&gt;'Entry Builder'!$E$11)))</f>
        <v/>
      </c>
      <c r="F766">
        <f>IF('Entry Builder'!$N$12=0,1,IF('Entry Builder'!$D$12="Less",--(INDEX(Sims!$A766:$BO766,'Entry Builder'!$L$12)&lt;'Entry Builder'!$E$12),--(INDEX(Sims!$A766:$BO766,'Entry Builder'!$L$12)&gt;'Entry Builder'!$E$12)))</f>
        <v/>
      </c>
      <c r="G766">
        <f>6-SUM(A766:F766)</f>
        <v/>
      </c>
    </row>
    <row r="767">
      <c r="A767">
        <f>IF('Entry Builder'!$N$7=0,1,IF('Entry Builder'!$D$7="Less",--(INDEX(Sims!$A767:$BO767,'Entry Builder'!$L$7)&lt;'Entry Builder'!$E$7),--(INDEX(Sims!$A767:$BO767,'Entry Builder'!$L$7)&gt;'Entry Builder'!$E$7)))</f>
        <v/>
      </c>
      <c r="B767">
        <f>IF('Entry Builder'!$N$8=0,1,IF('Entry Builder'!$D$8="Less",--(INDEX(Sims!$A767:$BO767,'Entry Builder'!$L$8)&lt;'Entry Builder'!$E$8),--(INDEX(Sims!$A767:$BO767,'Entry Builder'!$L$8)&gt;'Entry Builder'!$E$8)))</f>
        <v/>
      </c>
      <c r="C767">
        <f>IF('Entry Builder'!$N$9=0,1,IF('Entry Builder'!$D$9="Less",--(INDEX(Sims!$A767:$BO767,'Entry Builder'!$L$9)&lt;'Entry Builder'!$E$9),--(INDEX(Sims!$A767:$BO767,'Entry Builder'!$L$9)&gt;'Entry Builder'!$E$9)))</f>
        <v/>
      </c>
      <c r="D767">
        <f>IF('Entry Builder'!$N$10=0,1,IF('Entry Builder'!$D$10="Less",--(INDEX(Sims!$A767:$BO767,'Entry Builder'!$L$10)&lt;'Entry Builder'!$E$10),--(INDEX(Sims!$A767:$BO767,'Entry Builder'!$L$10)&gt;'Entry Builder'!$E$10)))</f>
        <v/>
      </c>
      <c r="E767">
        <f>IF('Entry Builder'!$N$11=0,1,IF('Entry Builder'!$D$11="Less",--(INDEX(Sims!$A767:$BO767,'Entry Builder'!$L$11)&lt;'Entry Builder'!$E$11),--(INDEX(Sims!$A767:$BO767,'Entry Builder'!$L$11)&gt;'Entry Builder'!$E$11)))</f>
        <v/>
      </c>
      <c r="F767">
        <f>IF('Entry Builder'!$N$12=0,1,IF('Entry Builder'!$D$12="Less",--(INDEX(Sims!$A767:$BO767,'Entry Builder'!$L$12)&lt;'Entry Builder'!$E$12),--(INDEX(Sims!$A767:$BO767,'Entry Builder'!$L$12)&gt;'Entry Builder'!$E$12)))</f>
        <v/>
      </c>
      <c r="G767">
        <f>6-SUM(A767:F767)</f>
        <v/>
      </c>
    </row>
    <row r="768">
      <c r="A768">
        <f>IF('Entry Builder'!$N$7=0,1,IF('Entry Builder'!$D$7="Less",--(INDEX(Sims!$A768:$BO768,'Entry Builder'!$L$7)&lt;'Entry Builder'!$E$7),--(INDEX(Sims!$A768:$BO768,'Entry Builder'!$L$7)&gt;'Entry Builder'!$E$7)))</f>
        <v/>
      </c>
      <c r="B768">
        <f>IF('Entry Builder'!$N$8=0,1,IF('Entry Builder'!$D$8="Less",--(INDEX(Sims!$A768:$BO768,'Entry Builder'!$L$8)&lt;'Entry Builder'!$E$8),--(INDEX(Sims!$A768:$BO768,'Entry Builder'!$L$8)&gt;'Entry Builder'!$E$8)))</f>
        <v/>
      </c>
      <c r="C768">
        <f>IF('Entry Builder'!$N$9=0,1,IF('Entry Builder'!$D$9="Less",--(INDEX(Sims!$A768:$BO768,'Entry Builder'!$L$9)&lt;'Entry Builder'!$E$9),--(INDEX(Sims!$A768:$BO768,'Entry Builder'!$L$9)&gt;'Entry Builder'!$E$9)))</f>
        <v/>
      </c>
      <c r="D768">
        <f>IF('Entry Builder'!$N$10=0,1,IF('Entry Builder'!$D$10="Less",--(INDEX(Sims!$A768:$BO768,'Entry Builder'!$L$10)&lt;'Entry Builder'!$E$10),--(INDEX(Sims!$A768:$BO768,'Entry Builder'!$L$10)&gt;'Entry Builder'!$E$10)))</f>
        <v/>
      </c>
      <c r="E768">
        <f>IF('Entry Builder'!$N$11=0,1,IF('Entry Builder'!$D$11="Less",--(INDEX(Sims!$A768:$BO768,'Entry Builder'!$L$11)&lt;'Entry Builder'!$E$11),--(INDEX(Sims!$A768:$BO768,'Entry Builder'!$L$11)&gt;'Entry Builder'!$E$11)))</f>
        <v/>
      </c>
      <c r="F768">
        <f>IF('Entry Builder'!$N$12=0,1,IF('Entry Builder'!$D$12="Less",--(INDEX(Sims!$A768:$BO768,'Entry Builder'!$L$12)&lt;'Entry Builder'!$E$12),--(INDEX(Sims!$A768:$BO768,'Entry Builder'!$L$12)&gt;'Entry Builder'!$E$12)))</f>
        <v/>
      </c>
      <c r="G768">
        <f>6-SUM(A768:F768)</f>
        <v/>
      </c>
    </row>
    <row r="769">
      <c r="A769">
        <f>IF('Entry Builder'!$N$7=0,1,IF('Entry Builder'!$D$7="Less",--(INDEX(Sims!$A769:$BO769,'Entry Builder'!$L$7)&lt;'Entry Builder'!$E$7),--(INDEX(Sims!$A769:$BO769,'Entry Builder'!$L$7)&gt;'Entry Builder'!$E$7)))</f>
        <v/>
      </c>
      <c r="B769">
        <f>IF('Entry Builder'!$N$8=0,1,IF('Entry Builder'!$D$8="Less",--(INDEX(Sims!$A769:$BO769,'Entry Builder'!$L$8)&lt;'Entry Builder'!$E$8),--(INDEX(Sims!$A769:$BO769,'Entry Builder'!$L$8)&gt;'Entry Builder'!$E$8)))</f>
        <v/>
      </c>
      <c r="C769">
        <f>IF('Entry Builder'!$N$9=0,1,IF('Entry Builder'!$D$9="Less",--(INDEX(Sims!$A769:$BO769,'Entry Builder'!$L$9)&lt;'Entry Builder'!$E$9),--(INDEX(Sims!$A769:$BO769,'Entry Builder'!$L$9)&gt;'Entry Builder'!$E$9)))</f>
        <v/>
      </c>
      <c r="D769">
        <f>IF('Entry Builder'!$N$10=0,1,IF('Entry Builder'!$D$10="Less",--(INDEX(Sims!$A769:$BO769,'Entry Builder'!$L$10)&lt;'Entry Builder'!$E$10),--(INDEX(Sims!$A769:$BO769,'Entry Builder'!$L$10)&gt;'Entry Builder'!$E$10)))</f>
        <v/>
      </c>
      <c r="E769">
        <f>IF('Entry Builder'!$N$11=0,1,IF('Entry Builder'!$D$11="Less",--(INDEX(Sims!$A769:$BO769,'Entry Builder'!$L$11)&lt;'Entry Builder'!$E$11),--(INDEX(Sims!$A769:$BO769,'Entry Builder'!$L$11)&gt;'Entry Builder'!$E$11)))</f>
        <v/>
      </c>
      <c r="F769">
        <f>IF('Entry Builder'!$N$12=0,1,IF('Entry Builder'!$D$12="Less",--(INDEX(Sims!$A769:$BO769,'Entry Builder'!$L$12)&lt;'Entry Builder'!$E$12),--(INDEX(Sims!$A769:$BO769,'Entry Builder'!$L$12)&gt;'Entry Builder'!$E$12)))</f>
        <v/>
      </c>
      <c r="G769">
        <f>6-SUM(A769:F769)</f>
        <v/>
      </c>
    </row>
    <row r="770">
      <c r="A770">
        <f>IF('Entry Builder'!$N$7=0,1,IF('Entry Builder'!$D$7="Less",--(INDEX(Sims!$A770:$BO770,'Entry Builder'!$L$7)&lt;'Entry Builder'!$E$7),--(INDEX(Sims!$A770:$BO770,'Entry Builder'!$L$7)&gt;'Entry Builder'!$E$7)))</f>
        <v/>
      </c>
      <c r="B770">
        <f>IF('Entry Builder'!$N$8=0,1,IF('Entry Builder'!$D$8="Less",--(INDEX(Sims!$A770:$BO770,'Entry Builder'!$L$8)&lt;'Entry Builder'!$E$8),--(INDEX(Sims!$A770:$BO770,'Entry Builder'!$L$8)&gt;'Entry Builder'!$E$8)))</f>
        <v/>
      </c>
      <c r="C770">
        <f>IF('Entry Builder'!$N$9=0,1,IF('Entry Builder'!$D$9="Less",--(INDEX(Sims!$A770:$BO770,'Entry Builder'!$L$9)&lt;'Entry Builder'!$E$9),--(INDEX(Sims!$A770:$BO770,'Entry Builder'!$L$9)&gt;'Entry Builder'!$E$9)))</f>
        <v/>
      </c>
      <c r="D770">
        <f>IF('Entry Builder'!$N$10=0,1,IF('Entry Builder'!$D$10="Less",--(INDEX(Sims!$A770:$BO770,'Entry Builder'!$L$10)&lt;'Entry Builder'!$E$10),--(INDEX(Sims!$A770:$BO770,'Entry Builder'!$L$10)&gt;'Entry Builder'!$E$10)))</f>
        <v/>
      </c>
      <c r="E770">
        <f>IF('Entry Builder'!$N$11=0,1,IF('Entry Builder'!$D$11="Less",--(INDEX(Sims!$A770:$BO770,'Entry Builder'!$L$11)&lt;'Entry Builder'!$E$11),--(INDEX(Sims!$A770:$BO770,'Entry Builder'!$L$11)&gt;'Entry Builder'!$E$11)))</f>
        <v/>
      </c>
      <c r="F770">
        <f>IF('Entry Builder'!$N$12=0,1,IF('Entry Builder'!$D$12="Less",--(INDEX(Sims!$A770:$BO770,'Entry Builder'!$L$12)&lt;'Entry Builder'!$E$12),--(INDEX(Sims!$A770:$BO770,'Entry Builder'!$L$12)&gt;'Entry Builder'!$E$12)))</f>
        <v/>
      </c>
      <c r="G770">
        <f>6-SUM(A770:F770)</f>
        <v/>
      </c>
    </row>
    <row r="771">
      <c r="A771">
        <f>IF('Entry Builder'!$N$7=0,1,IF('Entry Builder'!$D$7="Less",--(INDEX(Sims!$A771:$BO771,'Entry Builder'!$L$7)&lt;'Entry Builder'!$E$7),--(INDEX(Sims!$A771:$BO771,'Entry Builder'!$L$7)&gt;'Entry Builder'!$E$7)))</f>
        <v/>
      </c>
      <c r="B771">
        <f>IF('Entry Builder'!$N$8=0,1,IF('Entry Builder'!$D$8="Less",--(INDEX(Sims!$A771:$BO771,'Entry Builder'!$L$8)&lt;'Entry Builder'!$E$8),--(INDEX(Sims!$A771:$BO771,'Entry Builder'!$L$8)&gt;'Entry Builder'!$E$8)))</f>
        <v/>
      </c>
      <c r="C771">
        <f>IF('Entry Builder'!$N$9=0,1,IF('Entry Builder'!$D$9="Less",--(INDEX(Sims!$A771:$BO771,'Entry Builder'!$L$9)&lt;'Entry Builder'!$E$9),--(INDEX(Sims!$A771:$BO771,'Entry Builder'!$L$9)&gt;'Entry Builder'!$E$9)))</f>
        <v/>
      </c>
      <c r="D771">
        <f>IF('Entry Builder'!$N$10=0,1,IF('Entry Builder'!$D$10="Less",--(INDEX(Sims!$A771:$BO771,'Entry Builder'!$L$10)&lt;'Entry Builder'!$E$10),--(INDEX(Sims!$A771:$BO771,'Entry Builder'!$L$10)&gt;'Entry Builder'!$E$10)))</f>
        <v/>
      </c>
      <c r="E771">
        <f>IF('Entry Builder'!$N$11=0,1,IF('Entry Builder'!$D$11="Less",--(INDEX(Sims!$A771:$BO771,'Entry Builder'!$L$11)&lt;'Entry Builder'!$E$11),--(INDEX(Sims!$A771:$BO771,'Entry Builder'!$L$11)&gt;'Entry Builder'!$E$11)))</f>
        <v/>
      </c>
      <c r="F771">
        <f>IF('Entry Builder'!$N$12=0,1,IF('Entry Builder'!$D$12="Less",--(INDEX(Sims!$A771:$BO771,'Entry Builder'!$L$12)&lt;'Entry Builder'!$E$12),--(INDEX(Sims!$A771:$BO771,'Entry Builder'!$L$12)&gt;'Entry Builder'!$E$12)))</f>
        <v/>
      </c>
      <c r="G771">
        <f>6-SUM(A771:F771)</f>
        <v/>
      </c>
    </row>
    <row r="772">
      <c r="A772">
        <f>IF('Entry Builder'!$N$7=0,1,IF('Entry Builder'!$D$7="Less",--(INDEX(Sims!$A772:$BO772,'Entry Builder'!$L$7)&lt;'Entry Builder'!$E$7),--(INDEX(Sims!$A772:$BO772,'Entry Builder'!$L$7)&gt;'Entry Builder'!$E$7)))</f>
        <v/>
      </c>
      <c r="B772">
        <f>IF('Entry Builder'!$N$8=0,1,IF('Entry Builder'!$D$8="Less",--(INDEX(Sims!$A772:$BO772,'Entry Builder'!$L$8)&lt;'Entry Builder'!$E$8),--(INDEX(Sims!$A772:$BO772,'Entry Builder'!$L$8)&gt;'Entry Builder'!$E$8)))</f>
        <v/>
      </c>
      <c r="C772">
        <f>IF('Entry Builder'!$N$9=0,1,IF('Entry Builder'!$D$9="Less",--(INDEX(Sims!$A772:$BO772,'Entry Builder'!$L$9)&lt;'Entry Builder'!$E$9),--(INDEX(Sims!$A772:$BO772,'Entry Builder'!$L$9)&gt;'Entry Builder'!$E$9)))</f>
        <v/>
      </c>
      <c r="D772">
        <f>IF('Entry Builder'!$N$10=0,1,IF('Entry Builder'!$D$10="Less",--(INDEX(Sims!$A772:$BO772,'Entry Builder'!$L$10)&lt;'Entry Builder'!$E$10),--(INDEX(Sims!$A772:$BO772,'Entry Builder'!$L$10)&gt;'Entry Builder'!$E$10)))</f>
        <v/>
      </c>
      <c r="E772">
        <f>IF('Entry Builder'!$N$11=0,1,IF('Entry Builder'!$D$11="Less",--(INDEX(Sims!$A772:$BO772,'Entry Builder'!$L$11)&lt;'Entry Builder'!$E$11),--(INDEX(Sims!$A772:$BO772,'Entry Builder'!$L$11)&gt;'Entry Builder'!$E$11)))</f>
        <v/>
      </c>
      <c r="F772">
        <f>IF('Entry Builder'!$N$12=0,1,IF('Entry Builder'!$D$12="Less",--(INDEX(Sims!$A772:$BO772,'Entry Builder'!$L$12)&lt;'Entry Builder'!$E$12),--(INDEX(Sims!$A772:$BO772,'Entry Builder'!$L$12)&gt;'Entry Builder'!$E$12)))</f>
        <v/>
      </c>
      <c r="G772">
        <f>6-SUM(A772:F772)</f>
        <v/>
      </c>
    </row>
    <row r="773">
      <c r="A773">
        <f>IF('Entry Builder'!$N$7=0,1,IF('Entry Builder'!$D$7="Less",--(INDEX(Sims!$A773:$BO773,'Entry Builder'!$L$7)&lt;'Entry Builder'!$E$7),--(INDEX(Sims!$A773:$BO773,'Entry Builder'!$L$7)&gt;'Entry Builder'!$E$7)))</f>
        <v/>
      </c>
      <c r="B773">
        <f>IF('Entry Builder'!$N$8=0,1,IF('Entry Builder'!$D$8="Less",--(INDEX(Sims!$A773:$BO773,'Entry Builder'!$L$8)&lt;'Entry Builder'!$E$8),--(INDEX(Sims!$A773:$BO773,'Entry Builder'!$L$8)&gt;'Entry Builder'!$E$8)))</f>
        <v/>
      </c>
      <c r="C773">
        <f>IF('Entry Builder'!$N$9=0,1,IF('Entry Builder'!$D$9="Less",--(INDEX(Sims!$A773:$BO773,'Entry Builder'!$L$9)&lt;'Entry Builder'!$E$9),--(INDEX(Sims!$A773:$BO773,'Entry Builder'!$L$9)&gt;'Entry Builder'!$E$9)))</f>
        <v/>
      </c>
      <c r="D773">
        <f>IF('Entry Builder'!$N$10=0,1,IF('Entry Builder'!$D$10="Less",--(INDEX(Sims!$A773:$BO773,'Entry Builder'!$L$10)&lt;'Entry Builder'!$E$10),--(INDEX(Sims!$A773:$BO773,'Entry Builder'!$L$10)&gt;'Entry Builder'!$E$10)))</f>
        <v/>
      </c>
      <c r="E773">
        <f>IF('Entry Builder'!$N$11=0,1,IF('Entry Builder'!$D$11="Less",--(INDEX(Sims!$A773:$BO773,'Entry Builder'!$L$11)&lt;'Entry Builder'!$E$11),--(INDEX(Sims!$A773:$BO773,'Entry Builder'!$L$11)&gt;'Entry Builder'!$E$11)))</f>
        <v/>
      </c>
      <c r="F773">
        <f>IF('Entry Builder'!$N$12=0,1,IF('Entry Builder'!$D$12="Less",--(INDEX(Sims!$A773:$BO773,'Entry Builder'!$L$12)&lt;'Entry Builder'!$E$12),--(INDEX(Sims!$A773:$BO773,'Entry Builder'!$L$12)&gt;'Entry Builder'!$E$12)))</f>
        <v/>
      </c>
      <c r="G773">
        <f>6-SUM(A773:F773)</f>
        <v/>
      </c>
    </row>
    <row r="774">
      <c r="A774">
        <f>IF('Entry Builder'!$N$7=0,1,IF('Entry Builder'!$D$7="Less",--(INDEX(Sims!$A774:$BO774,'Entry Builder'!$L$7)&lt;'Entry Builder'!$E$7),--(INDEX(Sims!$A774:$BO774,'Entry Builder'!$L$7)&gt;'Entry Builder'!$E$7)))</f>
        <v/>
      </c>
      <c r="B774">
        <f>IF('Entry Builder'!$N$8=0,1,IF('Entry Builder'!$D$8="Less",--(INDEX(Sims!$A774:$BO774,'Entry Builder'!$L$8)&lt;'Entry Builder'!$E$8),--(INDEX(Sims!$A774:$BO774,'Entry Builder'!$L$8)&gt;'Entry Builder'!$E$8)))</f>
        <v/>
      </c>
      <c r="C774">
        <f>IF('Entry Builder'!$N$9=0,1,IF('Entry Builder'!$D$9="Less",--(INDEX(Sims!$A774:$BO774,'Entry Builder'!$L$9)&lt;'Entry Builder'!$E$9),--(INDEX(Sims!$A774:$BO774,'Entry Builder'!$L$9)&gt;'Entry Builder'!$E$9)))</f>
        <v/>
      </c>
      <c r="D774">
        <f>IF('Entry Builder'!$N$10=0,1,IF('Entry Builder'!$D$10="Less",--(INDEX(Sims!$A774:$BO774,'Entry Builder'!$L$10)&lt;'Entry Builder'!$E$10),--(INDEX(Sims!$A774:$BO774,'Entry Builder'!$L$10)&gt;'Entry Builder'!$E$10)))</f>
        <v/>
      </c>
      <c r="E774">
        <f>IF('Entry Builder'!$N$11=0,1,IF('Entry Builder'!$D$11="Less",--(INDEX(Sims!$A774:$BO774,'Entry Builder'!$L$11)&lt;'Entry Builder'!$E$11),--(INDEX(Sims!$A774:$BO774,'Entry Builder'!$L$11)&gt;'Entry Builder'!$E$11)))</f>
        <v/>
      </c>
      <c r="F774">
        <f>IF('Entry Builder'!$N$12=0,1,IF('Entry Builder'!$D$12="Less",--(INDEX(Sims!$A774:$BO774,'Entry Builder'!$L$12)&lt;'Entry Builder'!$E$12),--(INDEX(Sims!$A774:$BO774,'Entry Builder'!$L$12)&gt;'Entry Builder'!$E$12)))</f>
        <v/>
      </c>
      <c r="G774">
        <f>6-SUM(A774:F774)</f>
        <v/>
      </c>
    </row>
    <row r="775">
      <c r="A775">
        <f>IF('Entry Builder'!$N$7=0,1,IF('Entry Builder'!$D$7="Less",--(INDEX(Sims!$A775:$BO775,'Entry Builder'!$L$7)&lt;'Entry Builder'!$E$7),--(INDEX(Sims!$A775:$BO775,'Entry Builder'!$L$7)&gt;'Entry Builder'!$E$7)))</f>
        <v/>
      </c>
      <c r="B775">
        <f>IF('Entry Builder'!$N$8=0,1,IF('Entry Builder'!$D$8="Less",--(INDEX(Sims!$A775:$BO775,'Entry Builder'!$L$8)&lt;'Entry Builder'!$E$8),--(INDEX(Sims!$A775:$BO775,'Entry Builder'!$L$8)&gt;'Entry Builder'!$E$8)))</f>
        <v/>
      </c>
      <c r="C775">
        <f>IF('Entry Builder'!$N$9=0,1,IF('Entry Builder'!$D$9="Less",--(INDEX(Sims!$A775:$BO775,'Entry Builder'!$L$9)&lt;'Entry Builder'!$E$9),--(INDEX(Sims!$A775:$BO775,'Entry Builder'!$L$9)&gt;'Entry Builder'!$E$9)))</f>
        <v/>
      </c>
      <c r="D775">
        <f>IF('Entry Builder'!$N$10=0,1,IF('Entry Builder'!$D$10="Less",--(INDEX(Sims!$A775:$BO775,'Entry Builder'!$L$10)&lt;'Entry Builder'!$E$10),--(INDEX(Sims!$A775:$BO775,'Entry Builder'!$L$10)&gt;'Entry Builder'!$E$10)))</f>
        <v/>
      </c>
      <c r="E775">
        <f>IF('Entry Builder'!$N$11=0,1,IF('Entry Builder'!$D$11="Less",--(INDEX(Sims!$A775:$BO775,'Entry Builder'!$L$11)&lt;'Entry Builder'!$E$11),--(INDEX(Sims!$A775:$BO775,'Entry Builder'!$L$11)&gt;'Entry Builder'!$E$11)))</f>
        <v/>
      </c>
      <c r="F775">
        <f>IF('Entry Builder'!$N$12=0,1,IF('Entry Builder'!$D$12="Less",--(INDEX(Sims!$A775:$BO775,'Entry Builder'!$L$12)&lt;'Entry Builder'!$E$12),--(INDEX(Sims!$A775:$BO775,'Entry Builder'!$L$12)&gt;'Entry Builder'!$E$12)))</f>
        <v/>
      </c>
      <c r="G775">
        <f>6-SUM(A775:F775)</f>
        <v/>
      </c>
    </row>
    <row r="776">
      <c r="A776">
        <f>IF('Entry Builder'!$N$7=0,1,IF('Entry Builder'!$D$7="Less",--(INDEX(Sims!$A776:$BO776,'Entry Builder'!$L$7)&lt;'Entry Builder'!$E$7),--(INDEX(Sims!$A776:$BO776,'Entry Builder'!$L$7)&gt;'Entry Builder'!$E$7)))</f>
        <v/>
      </c>
      <c r="B776">
        <f>IF('Entry Builder'!$N$8=0,1,IF('Entry Builder'!$D$8="Less",--(INDEX(Sims!$A776:$BO776,'Entry Builder'!$L$8)&lt;'Entry Builder'!$E$8),--(INDEX(Sims!$A776:$BO776,'Entry Builder'!$L$8)&gt;'Entry Builder'!$E$8)))</f>
        <v/>
      </c>
      <c r="C776">
        <f>IF('Entry Builder'!$N$9=0,1,IF('Entry Builder'!$D$9="Less",--(INDEX(Sims!$A776:$BO776,'Entry Builder'!$L$9)&lt;'Entry Builder'!$E$9),--(INDEX(Sims!$A776:$BO776,'Entry Builder'!$L$9)&gt;'Entry Builder'!$E$9)))</f>
        <v/>
      </c>
      <c r="D776">
        <f>IF('Entry Builder'!$N$10=0,1,IF('Entry Builder'!$D$10="Less",--(INDEX(Sims!$A776:$BO776,'Entry Builder'!$L$10)&lt;'Entry Builder'!$E$10),--(INDEX(Sims!$A776:$BO776,'Entry Builder'!$L$10)&gt;'Entry Builder'!$E$10)))</f>
        <v/>
      </c>
      <c r="E776">
        <f>IF('Entry Builder'!$N$11=0,1,IF('Entry Builder'!$D$11="Less",--(INDEX(Sims!$A776:$BO776,'Entry Builder'!$L$11)&lt;'Entry Builder'!$E$11),--(INDEX(Sims!$A776:$BO776,'Entry Builder'!$L$11)&gt;'Entry Builder'!$E$11)))</f>
        <v/>
      </c>
      <c r="F776">
        <f>IF('Entry Builder'!$N$12=0,1,IF('Entry Builder'!$D$12="Less",--(INDEX(Sims!$A776:$BO776,'Entry Builder'!$L$12)&lt;'Entry Builder'!$E$12),--(INDEX(Sims!$A776:$BO776,'Entry Builder'!$L$12)&gt;'Entry Builder'!$E$12)))</f>
        <v/>
      </c>
      <c r="G776">
        <f>6-SUM(A776:F776)</f>
        <v/>
      </c>
    </row>
    <row r="777">
      <c r="A777">
        <f>IF('Entry Builder'!$N$7=0,1,IF('Entry Builder'!$D$7="Less",--(INDEX(Sims!$A777:$BO777,'Entry Builder'!$L$7)&lt;'Entry Builder'!$E$7),--(INDEX(Sims!$A777:$BO777,'Entry Builder'!$L$7)&gt;'Entry Builder'!$E$7)))</f>
        <v/>
      </c>
      <c r="B777">
        <f>IF('Entry Builder'!$N$8=0,1,IF('Entry Builder'!$D$8="Less",--(INDEX(Sims!$A777:$BO777,'Entry Builder'!$L$8)&lt;'Entry Builder'!$E$8),--(INDEX(Sims!$A777:$BO777,'Entry Builder'!$L$8)&gt;'Entry Builder'!$E$8)))</f>
        <v/>
      </c>
      <c r="C777">
        <f>IF('Entry Builder'!$N$9=0,1,IF('Entry Builder'!$D$9="Less",--(INDEX(Sims!$A777:$BO777,'Entry Builder'!$L$9)&lt;'Entry Builder'!$E$9),--(INDEX(Sims!$A777:$BO777,'Entry Builder'!$L$9)&gt;'Entry Builder'!$E$9)))</f>
        <v/>
      </c>
      <c r="D777">
        <f>IF('Entry Builder'!$N$10=0,1,IF('Entry Builder'!$D$10="Less",--(INDEX(Sims!$A777:$BO777,'Entry Builder'!$L$10)&lt;'Entry Builder'!$E$10),--(INDEX(Sims!$A777:$BO777,'Entry Builder'!$L$10)&gt;'Entry Builder'!$E$10)))</f>
        <v/>
      </c>
      <c r="E777">
        <f>IF('Entry Builder'!$N$11=0,1,IF('Entry Builder'!$D$11="Less",--(INDEX(Sims!$A777:$BO777,'Entry Builder'!$L$11)&lt;'Entry Builder'!$E$11),--(INDEX(Sims!$A777:$BO777,'Entry Builder'!$L$11)&gt;'Entry Builder'!$E$11)))</f>
        <v/>
      </c>
      <c r="F777">
        <f>IF('Entry Builder'!$N$12=0,1,IF('Entry Builder'!$D$12="Less",--(INDEX(Sims!$A777:$BO777,'Entry Builder'!$L$12)&lt;'Entry Builder'!$E$12),--(INDEX(Sims!$A777:$BO777,'Entry Builder'!$L$12)&gt;'Entry Builder'!$E$12)))</f>
        <v/>
      </c>
      <c r="G777">
        <f>6-SUM(A777:F777)</f>
        <v/>
      </c>
    </row>
    <row r="778">
      <c r="A778">
        <f>IF('Entry Builder'!$N$7=0,1,IF('Entry Builder'!$D$7="Less",--(INDEX(Sims!$A778:$BO778,'Entry Builder'!$L$7)&lt;'Entry Builder'!$E$7),--(INDEX(Sims!$A778:$BO778,'Entry Builder'!$L$7)&gt;'Entry Builder'!$E$7)))</f>
        <v/>
      </c>
      <c r="B778">
        <f>IF('Entry Builder'!$N$8=0,1,IF('Entry Builder'!$D$8="Less",--(INDEX(Sims!$A778:$BO778,'Entry Builder'!$L$8)&lt;'Entry Builder'!$E$8),--(INDEX(Sims!$A778:$BO778,'Entry Builder'!$L$8)&gt;'Entry Builder'!$E$8)))</f>
        <v/>
      </c>
      <c r="C778">
        <f>IF('Entry Builder'!$N$9=0,1,IF('Entry Builder'!$D$9="Less",--(INDEX(Sims!$A778:$BO778,'Entry Builder'!$L$9)&lt;'Entry Builder'!$E$9),--(INDEX(Sims!$A778:$BO778,'Entry Builder'!$L$9)&gt;'Entry Builder'!$E$9)))</f>
        <v/>
      </c>
      <c r="D778">
        <f>IF('Entry Builder'!$N$10=0,1,IF('Entry Builder'!$D$10="Less",--(INDEX(Sims!$A778:$BO778,'Entry Builder'!$L$10)&lt;'Entry Builder'!$E$10),--(INDEX(Sims!$A778:$BO778,'Entry Builder'!$L$10)&gt;'Entry Builder'!$E$10)))</f>
        <v/>
      </c>
      <c r="E778">
        <f>IF('Entry Builder'!$N$11=0,1,IF('Entry Builder'!$D$11="Less",--(INDEX(Sims!$A778:$BO778,'Entry Builder'!$L$11)&lt;'Entry Builder'!$E$11),--(INDEX(Sims!$A778:$BO778,'Entry Builder'!$L$11)&gt;'Entry Builder'!$E$11)))</f>
        <v/>
      </c>
      <c r="F778">
        <f>IF('Entry Builder'!$N$12=0,1,IF('Entry Builder'!$D$12="Less",--(INDEX(Sims!$A778:$BO778,'Entry Builder'!$L$12)&lt;'Entry Builder'!$E$12),--(INDEX(Sims!$A778:$BO778,'Entry Builder'!$L$12)&gt;'Entry Builder'!$E$12)))</f>
        <v/>
      </c>
      <c r="G778">
        <f>6-SUM(A778:F778)</f>
        <v/>
      </c>
    </row>
    <row r="779">
      <c r="A779">
        <f>IF('Entry Builder'!$N$7=0,1,IF('Entry Builder'!$D$7="Less",--(INDEX(Sims!$A779:$BO779,'Entry Builder'!$L$7)&lt;'Entry Builder'!$E$7),--(INDEX(Sims!$A779:$BO779,'Entry Builder'!$L$7)&gt;'Entry Builder'!$E$7)))</f>
        <v/>
      </c>
      <c r="B779">
        <f>IF('Entry Builder'!$N$8=0,1,IF('Entry Builder'!$D$8="Less",--(INDEX(Sims!$A779:$BO779,'Entry Builder'!$L$8)&lt;'Entry Builder'!$E$8),--(INDEX(Sims!$A779:$BO779,'Entry Builder'!$L$8)&gt;'Entry Builder'!$E$8)))</f>
        <v/>
      </c>
      <c r="C779">
        <f>IF('Entry Builder'!$N$9=0,1,IF('Entry Builder'!$D$9="Less",--(INDEX(Sims!$A779:$BO779,'Entry Builder'!$L$9)&lt;'Entry Builder'!$E$9),--(INDEX(Sims!$A779:$BO779,'Entry Builder'!$L$9)&gt;'Entry Builder'!$E$9)))</f>
        <v/>
      </c>
      <c r="D779">
        <f>IF('Entry Builder'!$N$10=0,1,IF('Entry Builder'!$D$10="Less",--(INDEX(Sims!$A779:$BO779,'Entry Builder'!$L$10)&lt;'Entry Builder'!$E$10),--(INDEX(Sims!$A779:$BO779,'Entry Builder'!$L$10)&gt;'Entry Builder'!$E$10)))</f>
        <v/>
      </c>
      <c r="E779">
        <f>IF('Entry Builder'!$N$11=0,1,IF('Entry Builder'!$D$11="Less",--(INDEX(Sims!$A779:$BO779,'Entry Builder'!$L$11)&lt;'Entry Builder'!$E$11),--(INDEX(Sims!$A779:$BO779,'Entry Builder'!$L$11)&gt;'Entry Builder'!$E$11)))</f>
        <v/>
      </c>
      <c r="F779">
        <f>IF('Entry Builder'!$N$12=0,1,IF('Entry Builder'!$D$12="Less",--(INDEX(Sims!$A779:$BO779,'Entry Builder'!$L$12)&lt;'Entry Builder'!$E$12),--(INDEX(Sims!$A779:$BO779,'Entry Builder'!$L$12)&gt;'Entry Builder'!$E$12)))</f>
        <v/>
      </c>
      <c r="G779">
        <f>6-SUM(A779:F779)</f>
        <v/>
      </c>
    </row>
    <row r="780">
      <c r="A780">
        <f>IF('Entry Builder'!$N$7=0,1,IF('Entry Builder'!$D$7="Less",--(INDEX(Sims!$A780:$BO780,'Entry Builder'!$L$7)&lt;'Entry Builder'!$E$7),--(INDEX(Sims!$A780:$BO780,'Entry Builder'!$L$7)&gt;'Entry Builder'!$E$7)))</f>
        <v/>
      </c>
      <c r="B780">
        <f>IF('Entry Builder'!$N$8=0,1,IF('Entry Builder'!$D$8="Less",--(INDEX(Sims!$A780:$BO780,'Entry Builder'!$L$8)&lt;'Entry Builder'!$E$8),--(INDEX(Sims!$A780:$BO780,'Entry Builder'!$L$8)&gt;'Entry Builder'!$E$8)))</f>
        <v/>
      </c>
      <c r="C780">
        <f>IF('Entry Builder'!$N$9=0,1,IF('Entry Builder'!$D$9="Less",--(INDEX(Sims!$A780:$BO780,'Entry Builder'!$L$9)&lt;'Entry Builder'!$E$9),--(INDEX(Sims!$A780:$BO780,'Entry Builder'!$L$9)&gt;'Entry Builder'!$E$9)))</f>
        <v/>
      </c>
      <c r="D780">
        <f>IF('Entry Builder'!$N$10=0,1,IF('Entry Builder'!$D$10="Less",--(INDEX(Sims!$A780:$BO780,'Entry Builder'!$L$10)&lt;'Entry Builder'!$E$10),--(INDEX(Sims!$A780:$BO780,'Entry Builder'!$L$10)&gt;'Entry Builder'!$E$10)))</f>
        <v/>
      </c>
      <c r="E780">
        <f>IF('Entry Builder'!$N$11=0,1,IF('Entry Builder'!$D$11="Less",--(INDEX(Sims!$A780:$BO780,'Entry Builder'!$L$11)&lt;'Entry Builder'!$E$11),--(INDEX(Sims!$A780:$BO780,'Entry Builder'!$L$11)&gt;'Entry Builder'!$E$11)))</f>
        <v/>
      </c>
      <c r="F780">
        <f>IF('Entry Builder'!$N$12=0,1,IF('Entry Builder'!$D$12="Less",--(INDEX(Sims!$A780:$BO780,'Entry Builder'!$L$12)&lt;'Entry Builder'!$E$12),--(INDEX(Sims!$A780:$BO780,'Entry Builder'!$L$12)&gt;'Entry Builder'!$E$12)))</f>
        <v/>
      </c>
      <c r="G780">
        <f>6-SUM(A780:F780)</f>
        <v/>
      </c>
    </row>
    <row r="781">
      <c r="A781">
        <f>IF('Entry Builder'!$N$7=0,1,IF('Entry Builder'!$D$7="Less",--(INDEX(Sims!$A781:$BO781,'Entry Builder'!$L$7)&lt;'Entry Builder'!$E$7),--(INDEX(Sims!$A781:$BO781,'Entry Builder'!$L$7)&gt;'Entry Builder'!$E$7)))</f>
        <v/>
      </c>
      <c r="B781">
        <f>IF('Entry Builder'!$N$8=0,1,IF('Entry Builder'!$D$8="Less",--(INDEX(Sims!$A781:$BO781,'Entry Builder'!$L$8)&lt;'Entry Builder'!$E$8),--(INDEX(Sims!$A781:$BO781,'Entry Builder'!$L$8)&gt;'Entry Builder'!$E$8)))</f>
        <v/>
      </c>
      <c r="C781">
        <f>IF('Entry Builder'!$N$9=0,1,IF('Entry Builder'!$D$9="Less",--(INDEX(Sims!$A781:$BO781,'Entry Builder'!$L$9)&lt;'Entry Builder'!$E$9),--(INDEX(Sims!$A781:$BO781,'Entry Builder'!$L$9)&gt;'Entry Builder'!$E$9)))</f>
        <v/>
      </c>
      <c r="D781">
        <f>IF('Entry Builder'!$N$10=0,1,IF('Entry Builder'!$D$10="Less",--(INDEX(Sims!$A781:$BO781,'Entry Builder'!$L$10)&lt;'Entry Builder'!$E$10),--(INDEX(Sims!$A781:$BO781,'Entry Builder'!$L$10)&gt;'Entry Builder'!$E$10)))</f>
        <v/>
      </c>
      <c r="E781">
        <f>IF('Entry Builder'!$N$11=0,1,IF('Entry Builder'!$D$11="Less",--(INDEX(Sims!$A781:$BO781,'Entry Builder'!$L$11)&lt;'Entry Builder'!$E$11),--(INDEX(Sims!$A781:$BO781,'Entry Builder'!$L$11)&gt;'Entry Builder'!$E$11)))</f>
        <v/>
      </c>
      <c r="F781">
        <f>IF('Entry Builder'!$N$12=0,1,IF('Entry Builder'!$D$12="Less",--(INDEX(Sims!$A781:$BO781,'Entry Builder'!$L$12)&lt;'Entry Builder'!$E$12),--(INDEX(Sims!$A781:$BO781,'Entry Builder'!$L$12)&gt;'Entry Builder'!$E$12)))</f>
        <v/>
      </c>
      <c r="G781">
        <f>6-SUM(A781:F781)</f>
        <v/>
      </c>
    </row>
    <row r="782">
      <c r="A782">
        <f>IF('Entry Builder'!$N$7=0,1,IF('Entry Builder'!$D$7="Less",--(INDEX(Sims!$A782:$BO782,'Entry Builder'!$L$7)&lt;'Entry Builder'!$E$7),--(INDEX(Sims!$A782:$BO782,'Entry Builder'!$L$7)&gt;'Entry Builder'!$E$7)))</f>
        <v/>
      </c>
      <c r="B782">
        <f>IF('Entry Builder'!$N$8=0,1,IF('Entry Builder'!$D$8="Less",--(INDEX(Sims!$A782:$BO782,'Entry Builder'!$L$8)&lt;'Entry Builder'!$E$8),--(INDEX(Sims!$A782:$BO782,'Entry Builder'!$L$8)&gt;'Entry Builder'!$E$8)))</f>
        <v/>
      </c>
      <c r="C782">
        <f>IF('Entry Builder'!$N$9=0,1,IF('Entry Builder'!$D$9="Less",--(INDEX(Sims!$A782:$BO782,'Entry Builder'!$L$9)&lt;'Entry Builder'!$E$9),--(INDEX(Sims!$A782:$BO782,'Entry Builder'!$L$9)&gt;'Entry Builder'!$E$9)))</f>
        <v/>
      </c>
      <c r="D782">
        <f>IF('Entry Builder'!$N$10=0,1,IF('Entry Builder'!$D$10="Less",--(INDEX(Sims!$A782:$BO782,'Entry Builder'!$L$10)&lt;'Entry Builder'!$E$10),--(INDEX(Sims!$A782:$BO782,'Entry Builder'!$L$10)&gt;'Entry Builder'!$E$10)))</f>
        <v/>
      </c>
      <c r="E782">
        <f>IF('Entry Builder'!$N$11=0,1,IF('Entry Builder'!$D$11="Less",--(INDEX(Sims!$A782:$BO782,'Entry Builder'!$L$11)&lt;'Entry Builder'!$E$11),--(INDEX(Sims!$A782:$BO782,'Entry Builder'!$L$11)&gt;'Entry Builder'!$E$11)))</f>
        <v/>
      </c>
      <c r="F782">
        <f>IF('Entry Builder'!$N$12=0,1,IF('Entry Builder'!$D$12="Less",--(INDEX(Sims!$A782:$BO782,'Entry Builder'!$L$12)&lt;'Entry Builder'!$E$12),--(INDEX(Sims!$A782:$BO782,'Entry Builder'!$L$12)&gt;'Entry Builder'!$E$12)))</f>
        <v/>
      </c>
      <c r="G782">
        <f>6-SUM(A782:F782)</f>
        <v/>
      </c>
    </row>
    <row r="783">
      <c r="A783">
        <f>IF('Entry Builder'!$N$7=0,1,IF('Entry Builder'!$D$7="Less",--(INDEX(Sims!$A783:$BO783,'Entry Builder'!$L$7)&lt;'Entry Builder'!$E$7),--(INDEX(Sims!$A783:$BO783,'Entry Builder'!$L$7)&gt;'Entry Builder'!$E$7)))</f>
        <v/>
      </c>
      <c r="B783">
        <f>IF('Entry Builder'!$N$8=0,1,IF('Entry Builder'!$D$8="Less",--(INDEX(Sims!$A783:$BO783,'Entry Builder'!$L$8)&lt;'Entry Builder'!$E$8),--(INDEX(Sims!$A783:$BO783,'Entry Builder'!$L$8)&gt;'Entry Builder'!$E$8)))</f>
        <v/>
      </c>
      <c r="C783">
        <f>IF('Entry Builder'!$N$9=0,1,IF('Entry Builder'!$D$9="Less",--(INDEX(Sims!$A783:$BO783,'Entry Builder'!$L$9)&lt;'Entry Builder'!$E$9),--(INDEX(Sims!$A783:$BO783,'Entry Builder'!$L$9)&gt;'Entry Builder'!$E$9)))</f>
        <v/>
      </c>
      <c r="D783">
        <f>IF('Entry Builder'!$N$10=0,1,IF('Entry Builder'!$D$10="Less",--(INDEX(Sims!$A783:$BO783,'Entry Builder'!$L$10)&lt;'Entry Builder'!$E$10),--(INDEX(Sims!$A783:$BO783,'Entry Builder'!$L$10)&gt;'Entry Builder'!$E$10)))</f>
        <v/>
      </c>
      <c r="E783">
        <f>IF('Entry Builder'!$N$11=0,1,IF('Entry Builder'!$D$11="Less",--(INDEX(Sims!$A783:$BO783,'Entry Builder'!$L$11)&lt;'Entry Builder'!$E$11),--(INDEX(Sims!$A783:$BO783,'Entry Builder'!$L$11)&gt;'Entry Builder'!$E$11)))</f>
        <v/>
      </c>
      <c r="F783">
        <f>IF('Entry Builder'!$N$12=0,1,IF('Entry Builder'!$D$12="Less",--(INDEX(Sims!$A783:$BO783,'Entry Builder'!$L$12)&lt;'Entry Builder'!$E$12),--(INDEX(Sims!$A783:$BO783,'Entry Builder'!$L$12)&gt;'Entry Builder'!$E$12)))</f>
        <v/>
      </c>
      <c r="G783">
        <f>6-SUM(A783:F783)</f>
        <v/>
      </c>
    </row>
    <row r="784">
      <c r="A784">
        <f>IF('Entry Builder'!$N$7=0,1,IF('Entry Builder'!$D$7="Less",--(INDEX(Sims!$A784:$BO784,'Entry Builder'!$L$7)&lt;'Entry Builder'!$E$7),--(INDEX(Sims!$A784:$BO784,'Entry Builder'!$L$7)&gt;'Entry Builder'!$E$7)))</f>
        <v/>
      </c>
      <c r="B784">
        <f>IF('Entry Builder'!$N$8=0,1,IF('Entry Builder'!$D$8="Less",--(INDEX(Sims!$A784:$BO784,'Entry Builder'!$L$8)&lt;'Entry Builder'!$E$8),--(INDEX(Sims!$A784:$BO784,'Entry Builder'!$L$8)&gt;'Entry Builder'!$E$8)))</f>
        <v/>
      </c>
      <c r="C784">
        <f>IF('Entry Builder'!$N$9=0,1,IF('Entry Builder'!$D$9="Less",--(INDEX(Sims!$A784:$BO784,'Entry Builder'!$L$9)&lt;'Entry Builder'!$E$9),--(INDEX(Sims!$A784:$BO784,'Entry Builder'!$L$9)&gt;'Entry Builder'!$E$9)))</f>
        <v/>
      </c>
      <c r="D784">
        <f>IF('Entry Builder'!$N$10=0,1,IF('Entry Builder'!$D$10="Less",--(INDEX(Sims!$A784:$BO784,'Entry Builder'!$L$10)&lt;'Entry Builder'!$E$10),--(INDEX(Sims!$A784:$BO784,'Entry Builder'!$L$10)&gt;'Entry Builder'!$E$10)))</f>
        <v/>
      </c>
      <c r="E784">
        <f>IF('Entry Builder'!$N$11=0,1,IF('Entry Builder'!$D$11="Less",--(INDEX(Sims!$A784:$BO784,'Entry Builder'!$L$11)&lt;'Entry Builder'!$E$11),--(INDEX(Sims!$A784:$BO784,'Entry Builder'!$L$11)&gt;'Entry Builder'!$E$11)))</f>
        <v/>
      </c>
      <c r="F784">
        <f>IF('Entry Builder'!$N$12=0,1,IF('Entry Builder'!$D$12="Less",--(INDEX(Sims!$A784:$BO784,'Entry Builder'!$L$12)&lt;'Entry Builder'!$E$12),--(INDEX(Sims!$A784:$BO784,'Entry Builder'!$L$12)&gt;'Entry Builder'!$E$12)))</f>
        <v/>
      </c>
      <c r="G784">
        <f>6-SUM(A784:F784)</f>
        <v/>
      </c>
    </row>
    <row r="785">
      <c r="A785">
        <f>IF('Entry Builder'!$N$7=0,1,IF('Entry Builder'!$D$7="Less",--(INDEX(Sims!$A785:$BO785,'Entry Builder'!$L$7)&lt;'Entry Builder'!$E$7),--(INDEX(Sims!$A785:$BO785,'Entry Builder'!$L$7)&gt;'Entry Builder'!$E$7)))</f>
        <v/>
      </c>
      <c r="B785">
        <f>IF('Entry Builder'!$N$8=0,1,IF('Entry Builder'!$D$8="Less",--(INDEX(Sims!$A785:$BO785,'Entry Builder'!$L$8)&lt;'Entry Builder'!$E$8),--(INDEX(Sims!$A785:$BO785,'Entry Builder'!$L$8)&gt;'Entry Builder'!$E$8)))</f>
        <v/>
      </c>
      <c r="C785">
        <f>IF('Entry Builder'!$N$9=0,1,IF('Entry Builder'!$D$9="Less",--(INDEX(Sims!$A785:$BO785,'Entry Builder'!$L$9)&lt;'Entry Builder'!$E$9),--(INDEX(Sims!$A785:$BO785,'Entry Builder'!$L$9)&gt;'Entry Builder'!$E$9)))</f>
        <v/>
      </c>
      <c r="D785">
        <f>IF('Entry Builder'!$N$10=0,1,IF('Entry Builder'!$D$10="Less",--(INDEX(Sims!$A785:$BO785,'Entry Builder'!$L$10)&lt;'Entry Builder'!$E$10),--(INDEX(Sims!$A785:$BO785,'Entry Builder'!$L$10)&gt;'Entry Builder'!$E$10)))</f>
        <v/>
      </c>
      <c r="E785">
        <f>IF('Entry Builder'!$N$11=0,1,IF('Entry Builder'!$D$11="Less",--(INDEX(Sims!$A785:$BO785,'Entry Builder'!$L$11)&lt;'Entry Builder'!$E$11),--(INDEX(Sims!$A785:$BO785,'Entry Builder'!$L$11)&gt;'Entry Builder'!$E$11)))</f>
        <v/>
      </c>
      <c r="F785">
        <f>IF('Entry Builder'!$N$12=0,1,IF('Entry Builder'!$D$12="Less",--(INDEX(Sims!$A785:$BO785,'Entry Builder'!$L$12)&lt;'Entry Builder'!$E$12),--(INDEX(Sims!$A785:$BO785,'Entry Builder'!$L$12)&gt;'Entry Builder'!$E$12)))</f>
        <v/>
      </c>
      <c r="G785">
        <f>6-SUM(A785:F785)</f>
        <v/>
      </c>
    </row>
    <row r="786">
      <c r="A786">
        <f>IF('Entry Builder'!$N$7=0,1,IF('Entry Builder'!$D$7="Less",--(INDEX(Sims!$A786:$BO786,'Entry Builder'!$L$7)&lt;'Entry Builder'!$E$7),--(INDEX(Sims!$A786:$BO786,'Entry Builder'!$L$7)&gt;'Entry Builder'!$E$7)))</f>
        <v/>
      </c>
      <c r="B786">
        <f>IF('Entry Builder'!$N$8=0,1,IF('Entry Builder'!$D$8="Less",--(INDEX(Sims!$A786:$BO786,'Entry Builder'!$L$8)&lt;'Entry Builder'!$E$8),--(INDEX(Sims!$A786:$BO786,'Entry Builder'!$L$8)&gt;'Entry Builder'!$E$8)))</f>
        <v/>
      </c>
      <c r="C786">
        <f>IF('Entry Builder'!$N$9=0,1,IF('Entry Builder'!$D$9="Less",--(INDEX(Sims!$A786:$BO786,'Entry Builder'!$L$9)&lt;'Entry Builder'!$E$9),--(INDEX(Sims!$A786:$BO786,'Entry Builder'!$L$9)&gt;'Entry Builder'!$E$9)))</f>
        <v/>
      </c>
      <c r="D786">
        <f>IF('Entry Builder'!$N$10=0,1,IF('Entry Builder'!$D$10="Less",--(INDEX(Sims!$A786:$BO786,'Entry Builder'!$L$10)&lt;'Entry Builder'!$E$10),--(INDEX(Sims!$A786:$BO786,'Entry Builder'!$L$10)&gt;'Entry Builder'!$E$10)))</f>
        <v/>
      </c>
      <c r="E786">
        <f>IF('Entry Builder'!$N$11=0,1,IF('Entry Builder'!$D$11="Less",--(INDEX(Sims!$A786:$BO786,'Entry Builder'!$L$11)&lt;'Entry Builder'!$E$11),--(INDEX(Sims!$A786:$BO786,'Entry Builder'!$L$11)&gt;'Entry Builder'!$E$11)))</f>
        <v/>
      </c>
      <c r="F786">
        <f>IF('Entry Builder'!$N$12=0,1,IF('Entry Builder'!$D$12="Less",--(INDEX(Sims!$A786:$BO786,'Entry Builder'!$L$12)&lt;'Entry Builder'!$E$12),--(INDEX(Sims!$A786:$BO786,'Entry Builder'!$L$12)&gt;'Entry Builder'!$E$12)))</f>
        <v/>
      </c>
      <c r="G786">
        <f>6-SUM(A786:F786)</f>
        <v/>
      </c>
    </row>
    <row r="787">
      <c r="A787">
        <f>IF('Entry Builder'!$N$7=0,1,IF('Entry Builder'!$D$7="Less",--(INDEX(Sims!$A787:$BO787,'Entry Builder'!$L$7)&lt;'Entry Builder'!$E$7),--(INDEX(Sims!$A787:$BO787,'Entry Builder'!$L$7)&gt;'Entry Builder'!$E$7)))</f>
        <v/>
      </c>
      <c r="B787">
        <f>IF('Entry Builder'!$N$8=0,1,IF('Entry Builder'!$D$8="Less",--(INDEX(Sims!$A787:$BO787,'Entry Builder'!$L$8)&lt;'Entry Builder'!$E$8),--(INDEX(Sims!$A787:$BO787,'Entry Builder'!$L$8)&gt;'Entry Builder'!$E$8)))</f>
        <v/>
      </c>
      <c r="C787">
        <f>IF('Entry Builder'!$N$9=0,1,IF('Entry Builder'!$D$9="Less",--(INDEX(Sims!$A787:$BO787,'Entry Builder'!$L$9)&lt;'Entry Builder'!$E$9),--(INDEX(Sims!$A787:$BO787,'Entry Builder'!$L$9)&gt;'Entry Builder'!$E$9)))</f>
        <v/>
      </c>
      <c r="D787">
        <f>IF('Entry Builder'!$N$10=0,1,IF('Entry Builder'!$D$10="Less",--(INDEX(Sims!$A787:$BO787,'Entry Builder'!$L$10)&lt;'Entry Builder'!$E$10),--(INDEX(Sims!$A787:$BO787,'Entry Builder'!$L$10)&gt;'Entry Builder'!$E$10)))</f>
        <v/>
      </c>
      <c r="E787">
        <f>IF('Entry Builder'!$N$11=0,1,IF('Entry Builder'!$D$11="Less",--(INDEX(Sims!$A787:$BO787,'Entry Builder'!$L$11)&lt;'Entry Builder'!$E$11),--(INDEX(Sims!$A787:$BO787,'Entry Builder'!$L$11)&gt;'Entry Builder'!$E$11)))</f>
        <v/>
      </c>
      <c r="F787">
        <f>IF('Entry Builder'!$N$12=0,1,IF('Entry Builder'!$D$12="Less",--(INDEX(Sims!$A787:$BO787,'Entry Builder'!$L$12)&lt;'Entry Builder'!$E$12),--(INDEX(Sims!$A787:$BO787,'Entry Builder'!$L$12)&gt;'Entry Builder'!$E$12)))</f>
        <v/>
      </c>
      <c r="G787">
        <f>6-SUM(A787:F787)</f>
        <v/>
      </c>
    </row>
    <row r="788">
      <c r="A788">
        <f>IF('Entry Builder'!$N$7=0,1,IF('Entry Builder'!$D$7="Less",--(INDEX(Sims!$A788:$BO788,'Entry Builder'!$L$7)&lt;'Entry Builder'!$E$7),--(INDEX(Sims!$A788:$BO788,'Entry Builder'!$L$7)&gt;'Entry Builder'!$E$7)))</f>
        <v/>
      </c>
      <c r="B788">
        <f>IF('Entry Builder'!$N$8=0,1,IF('Entry Builder'!$D$8="Less",--(INDEX(Sims!$A788:$BO788,'Entry Builder'!$L$8)&lt;'Entry Builder'!$E$8),--(INDEX(Sims!$A788:$BO788,'Entry Builder'!$L$8)&gt;'Entry Builder'!$E$8)))</f>
        <v/>
      </c>
      <c r="C788">
        <f>IF('Entry Builder'!$N$9=0,1,IF('Entry Builder'!$D$9="Less",--(INDEX(Sims!$A788:$BO788,'Entry Builder'!$L$9)&lt;'Entry Builder'!$E$9),--(INDEX(Sims!$A788:$BO788,'Entry Builder'!$L$9)&gt;'Entry Builder'!$E$9)))</f>
        <v/>
      </c>
      <c r="D788">
        <f>IF('Entry Builder'!$N$10=0,1,IF('Entry Builder'!$D$10="Less",--(INDEX(Sims!$A788:$BO788,'Entry Builder'!$L$10)&lt;'Entry Builder'!$E$10),--(INDEX(Sims!$A788:$BO788,'Entry Builder'!$L$10)&gt;'Entry Builder'!$E$10)))</f>
        <v/>
      </c>
      <c r="E788">
        <f>IF('Entry Builder'!$N$11=0,1,IF('Entry Builder'!$D$11="Less",--(INDEX(Sims!$A788:$BO788,'Entry Builder'!$L$11)&lt;'Entry Builder'!$E$11),--(INDEX(Sims!$A788:$BO788,'Entry Builder'!$L$11)&gt;'Entry Builder'!$E$11)))</f>
        <v/>
      </c>
      <c r="F788">
        <f>IF('Entry Builder'!$N$12=0,1,IF('Entry Builder'!$D$12="Less",--(INDEX(Sims!$A788:$BO788,'Entry Builder'!$L$12)&lt;'Entry Builder'!$E$12),--(INDEX(Sims!$A788:$BO788,'Entry Builder'!$L$12)&gt;'Entry Builder'!$E$12)))</f>
        <v/>
      </c>
      <c r="G788">
        <f>6-SUM(A788:F788)</f>
        <v/>
      </c>
    </row>
    <row r="789">
      <c r="A789">
        <f>IF('Entry Builder'!$N$7=0,1,IF('Entry Builder'!$D$7="Less",--(INDEX(Sims!$A789:$BO789,'Entry Builder'!$L$7)&lt;'Entry Builder'!$E$7),--(INDEX(Sims!$A789:$BO789,'Entry Builder'!$L$7)&gt;'Entry Builder'!$E$7)))</f>
        <v/>
      </c>
      <c r="B789">
        <f>IF('Entry Builder'!$N$8=0,1,IF('Entry Builder'!$D$8="Less",--(INDEX(Sims!$A789:$BO789,'Entry Builder'!$L$8)&lt;'Entry Builder'!$E$8),--(INDEX(Sims!$A789:$BO789,'Entry Builder'!$L$8)&gt;'Entry Builder'!$E$8)))</f>
        <v/>
      </c>
      <c r="C789">
        <f>IF('Entry Builder'!$N$9=0,1,IF('Entry Builder'!$D$9="Less",--(INDEX(Sims!$A789:$BO789,'Entry Builder'!$L$9)&lt;'Entry Builder'!$E$9),--(INDEX(Sims!$A789:$BO789,'Entry Builder'!$L$9)&gt;'Entry Builder'!$E$9)))</f>
        <v/>
      </c>
      <c r="D789">
        <f>IF('Entry Builder'!$N$10=0,1,IF('Entry Builder'!$D$10="Less",--(INDEX(Sims!$A789:$BO789,'Entry Builder'!$L$10)&lt;'Entry Builder'!$E$10),--(INDEX(Sims!$A789:$BO789,'Entry Builder'!$L$10)&gt;'Entry Builder'!$E$10)))</f>
        <v/>
      </c>
      <c r="E789">
        <f>IF('Entry Builder'!$N$11=0,1,IF('Entry Builder'!$D$11="Less",--(INDEX(Sims!$A789:$BO789,'Entry Builder'!$L$11)&lt;'Entry Builder'!$E$11),--(INDEX(Sims!$A789:$BO789,'Entry Builder'!$L$11)&gt;'Entry Builder'!$E$11)))</f>
        <v/>
      </c>
      <c r="F789">
        <f>IF('Entry Builder'!$N$12=0,1,IF('Entry Builder'!$D$12="Less",--(INDEX(Sims!$A789:$BO789,'Entry Builder'!$L$12)&lt;'Entry Builder'!$E$12),--(INDEX(Sims!$A789:$BO789,'Entry Builder'!$L$12)&gt;'Entry Builder'!$E$12)))</f>
        <v/>
      </c>
      <c r="G789">
        <f>6-SUM(A789:F789)</f>
        <v/>
      </c>
    </row>
    <row r="790">
      <c r="A790">
        <f>IF('Entry Builder'!$N$7=0,1,IF('Entry Builder'!$D$7="Less",--(INDEX(Sims!$A790:$BO790,'Entry Builder'!$L$7)&lt;'Entry Builder'!$E$7),--(INDEX(Sims!$A790:$BO790,'Entry Builder'!$L$7)&gt;'Entry Builder'!$E$7)))</f>
        <v/>
      </c>
      <c r="B790">
        <f>IF('Entry Builder'!$N$8=0,1,IF('Entry Builder'!$D$8="Less",--(INDEX(Sims!$A790:$BO790,'Entry Builder'!$L$8)&lt;'Entry Builder'!$E$8),--(INDEX(Sims!$A790:$BO790,'Entry Builder'!$L$8)&gt;'Entry Builder'!$E$8)))</f>
        <v/>
      </c>
      <c r="C790">
        <f>IF('Entry Builder'!$N$9=0,1,IF('Entry Builder'!$D$9="Less",--(INDEX(Sims!$A790:$BO790,'Entry Builder'!$L$9)&lt;'Entry Builder'!$E$9),--(INDEX(Sims!$A790:$BO790,'Entry Builder'!$L$9)&gt;'Entry Builder'!$E$9)))</f>
        <v/>
      </c>
      <c r="D790">
        <f>IF('Entry Builder'!$N$10=0,1,IF('Entry Builder'!$D$10="Less",--(INDEX(Sims!$A790:$BO790,'Entry Builder'!$L$10)&lt;'Entry Builder'!$E$10),--(INDEX(Sims!$A790:$BO790,'Entry Builder'!$L$10)&gt;'Entry Builder'!$E$10)))</f>
        <v/>
      </c>
      <c r="E790">
        <f>IF('Entry Builder'!$N$11=0,1,IF('Entry Builder'!$D$11="Less",--(INDEX(Sims!$A790:$BO790,'Entry Builder'!$L$11)&lt;'Entry Builder'!$E$11),--(INDEX(Sims!$A790:$BO790,'Entry Builder'!$L$11)&gt;'Entry Builder'!$E$11)))</f>
        <v/>
      </c>
      <c r="F790">
        <f>IF('Entry Builder'!$N$12=0,1,IF('Entry Builder'!$D$12="Less",--(INDEX(Sims!$A790:$BO790,'Entry Builder'!$L$12)&lt;'Entry Builder'!$E$12),--(INDEX(Sims!$A790:$BO790,'Entry Builder'!$L$12)&gt;'Entry Builder'!$E$12)))</f>
        <v/>
      </c>
      <c r="G790">
        <f>6-SUM(A790:F790)</f>
        <v/>
      </c>
    </row>
    <row r="791">
      <c r="A791">
        <f>IF('Entry Builder'!$N$7=0,1,IF('Entry Builder'!$D$7="Less",--(INDEX(Sims!$A791:$BO791,'Entry Builder'!$L$7)&lt;'Entry Builder'!$E$7),--(INDEX(Sims!$A791:$BO791,'Entry Builder'!$L$7)&gt;'Entry Builder'!$E$7)))</f>
        <v/>
      </c>
      <c r="B791">
        <f>IF('Entry Builder'!$N$8=0,1,IF('Entry Builder'!$D$8="Less",--(INDEX(Sims!$A791:$BO791,'Entry Builder'!$L$8)&lt;'Entry Builder'!$E$8),--(INDEX(Sims!$A791:$BO791,'Entry Builder'!$L$8)&gt;'Entry Builder'!$E$8)))</f>
        <v/>
      </c>
      <c r="C791">
        <f>IF('Entry Builder'!$N$9=0,1,IF('Entry Builder'!$D$9="Less",--(INDEX(Sims!$A791:$BO791,'Entry Builder'!$L$9)&lt;'Entry Builder'!$E$9),--(INDEX(Sims!$A791:$BO791,'Entry Builder'!$L$9)&gt;'Entry Builder'!$E$9)))</f>
        <v/>
      </c>
      <c r="D791">
        <f>IF('Entry Builder'!$N$10=0,1,IF('Entry Builder'!$D$10="Less",--(INDEX(Sims!$A791:$BO791,'Entry Builder'!$L$10)&lt;'Entry Builder'!$E$10),--(INDEX(Sims!$A791:$BO791,'Entry Builder'!$L$10)&gt;'Entry Builder'!$E$10)))</f>
        <v/>
      </c>
      <c r="E791">
        <f>IF('Entry Builder'!$N$11=0,1,IF('Entry Builder'!$D$11="Less",--(INDEX(Sims!$A791:$BO791,'Entry Builder'!$L$11)&lt;'Entry Builder'!$E$11),--(INDEX(Sims!$A791:$BO791,'Entry Builder'!$L$11)&gt;'Entry Builder'!$E$11)))</f>
        <v/>
      </c>
      <c r="F791">
        <f>IF('Entry Builder'!$N$12=0,1,IF('Entry Builder'!$D$12="Less",--(INDEX(Sims!$A791:$BO791,'Entry Builder'!$L$12)&lt;'Entry Builder'!$E$12),--(INDEX(Sims!$A791:$BO791,'Entry Builder'!$L$12)&gt;'Entry Builder'!$E$12)))</f>
        <v/>
      </c>
      <c r="G791">
        <f>6-SUM(A791:F791)</f>
        <v/>
      </c>
    </row>
    <row r="792">
      <c r="A792">
        <f>IF('Entry Builder'!$N$7=0,1,IF('Entry Builder'!$D$7="Less",--(INDEX(Sims!$A792:$BO792,'Entry Builder'!$L$7)&lt;'Entry Builder'!$E$7),--(INDEX(Sims!$A792:$BO792,'Entry Builder'!$L$7)&gt;'Entry Builder'!$E$7)))</f>
        <v/>
      </c>
      <c r="B792">
        <f>IF('Entry Builder'!$N$8=0,1,IF('Entry Builder'!$D$8="Less",--(INDEX(Sims!$A792:$BO792,'Entry Builder'!$L$8)&lt;'Entry Builder'!$E$8),--(INDEX(Sims!$A792:$BO792,'Entry Builder'!$L$8)&gt;'Entry Builder'!$E$8)))</f>
        <v/>
      </c>
      <c r="C792">
        <f>IF('Entry Builder'!$N$9=0,1,IF('Entry Builder'!$D$9="Less",--(INDEX(Sims!$A792:$BO792,'Entry Builder'!$L$9)&lt;'Entry Builder'!$E$9),--(INDEX(Sims!$A792:$BO792,'Entry Builder'!$L$9)&gt;'Entry Builder'!$E$9)))</f>
        <v/>
      </c>
      <c r="D792">
        <f>IF('Entry Builder'!$N$10=0,1,IF('Entry Builder'!$D$10="Less",--(INDEX(Sims!$A792:$BO792,'Entry Builder'!$L$10)&lt;'Entry Builder'!$E$10),--(INDEX(Sims!$A792:$BO792,'Entry Builder'!$L$10)&gt;'Entry Builder'!$E$10)))</f>
        <v/>
      </c>
      <c r="E792">
        <f>IF('Entry Builder'!$N$11=0,1,IF('Entry Builder'!$D$11="Less",--(INDEX(Sims!$A792:$BO792,'Entry Builder'!$L$11)&lt;'Entry Builder'!$E$11),--(INDEX(Sims!$A792:$BO792,'Entry Builder'!$L$11)&gt;'Entry Builder'!$E$11)))</f>
        <v/>
      </c>
      <c r="F792">
        <f>IF('Entry Builder'!$N$12=0,1,IF('Entry Builder'!$D$12="Less",--(INDEX(Sims!$A792:$BO792,'Entry Builder'!$L$12)&lt;'Entry Builder'!$E$12),--(INDEX(Sims!$A792:$BO792,'Entry Builder'!$L$12)&gt;'Entry Builder'!$E$12)))</f>
        <v/>
      </c>
      <c r="G792">
        <f>6-SUM(A792:F792)</f>
        <v/>
      </c>
    </row>
    <row r="793">
      <c r="A793">
        <f>IF('Entry Builder'!$N$7=0,1,IF('Entry Builder'!$D$7="Less",--(INDEX(Sims!$A793:$BO793,'Entry Builder'!$L$7)&lt;'Entry Builder'!$E$7),--(INDEX(Sims!$A793:$BO793,'Entry Builder'!$L$7)&gt;'Entry Builder'!$E$7)))</f>
        <v/>
      </c>
      <c r="B793">
        <f>IF('Entry Builder'!$N$8=0,1,IF('Entry Builder'!$D$8="Less",--(INDEX(Sims!$A793:$BO793,'Entry Builder'!$L$8)&lt;'Entry Builder'!$E$8),--(INDEX(Sims!$A793:$BO793,'Entry Builder'!$L$8)&gt;'Entry Builder'!$E$8)))</f>
        <v/>
      </c>
      <c r="C793">
        <f>IF('Entry Builder'!$N$9=0,1,IF('Entry Builder'!$D$9="Less",--(INDEX(Sims!$A793:$BO793,'Entry Builder'!$L$9)&lt;'Entry Builder'!$E$9),--(INDEX(Sims!$A793:$BO793,'Entry Builder'!$L$9)&gt;'Entry Builder'!$E$9)))</f>
        <v/>
      </c>
      <c r="D793">
        <f>IF('Entry Builder'!$N$10=0,1,IF('Entry Builder'!$D$10="Less",--(INDEX(Sims!$A793:$BO793,'Entry Builder'!$L$10)&lt;'Entry Builder'!$E$10),--(INDEX(Sims!$A793:$BO793,'Entry Builder'!$L$10)&gt;'Entry Builder'!$E$10)))</f>
        <v/>
      </c>
      <c r="E793">
        <f>IF('Entry Builder'!$N$11=0,1,IF('Entry Builder'!$D$11="Less",--(INDEX(Sims!$A793:$BO793,'Entry Builder'!$L$11)&lt;'Entry Builder'!$E$11),--(INDEX(Sims!$A793:$BO793,'Entry Builder'!$L$11)&gt;'Entry Builder'!$E$11)))</f>
        <v/>
      </c>
      <c r="F793">
        <f>IF('Entry Builder'!$N$12=0,1,IF('Entry Builder'!$D$12="Less",--(INDEX(Sims!$A793:$BO793,'Entry Builder'!$L$12)&lt;'Entry Builder'!$E$12),--(INDEX(Sims!$A793:$BO793,'Entry Builder'!$L$12)&gt;'Entry Builder'!$E$12)))</f>
        <v/>
      </c>
      <c r="G793">
        <f>6-SUM(A793:F793)</f>
        <v/>
      </c>
    </row>
    <row r="794">
      <c r="A794">
        <f>IF('Entry Builder'!$N$7=0,1,IF('Entry Builder'!$D$7="Less",--(INDEX(Sims!$A794:$BO794,'Entry Builder'!$L$7)&lt;'Entry Builder'!$E$7),--(INDEX(Sims!$A794:$BO794,'Entry Builder'!$L$7)&gt;'Entry Builder'!$E$7)))</f>
        <v/>
      </c>
      <c r="B794">
        <f>IF('Entry Builder'!$N$8=0,1,IF('Entry Builder'!$D$8="Less",--(INDEX(Sims!$A794:$BO794,'Entry Builder'!$L$8)&lt;'Entry Builder'!$E$8),--(INDEX(Sims!$A794:$BO794,'Entry Builder'!$L$8)&gt;'Entry Builder'!$E$8)))</f>
        <v/>
      </c>
      <c r="C794">
        <f>IF('Entry Builder'!$N$9=0,1,IF('Entry Builder'!$D$9="Less",--(INDEX(Sims!$A794:$BO794,'Entry Builder'!$L$9)&lt;'Entry Builder'!$E$9),--(INDEX(Sims!$A794:$BO794,'Entry Builder'!$L$9)&gt;'Entry Builder'!$E$9)))</f>
        <v/>
      </c>
      <c r="D794">
        <f>IF('Entry Builder'!$N$10=0,1,IF('Entry Builder'!$D$10="Less",--(INDEX(Sims!$A794:$BO794,'Entry Builder'!$L$10)&lt;'Entry Builder'!$E$10),--(INDEX(Sims!$A794:$BO794,'Entry Builder'!$L$10)&gt;'Entry Builder'!$E$10)))</f>
        <v/>
      </c>
      <c r="E794">
        <f>IF('Entry Builder'!$N$11=0,1,IF('Entry Builder'!$D$11="Less",--(INDEX(Sims!$A794:$BO794,'Entry Builder'!$L$11)&lt;'Entry Builder'!$E$11),--(INDEX(Sims!$A794:$BO794,'Entry Builder'!$L$11)&gt;'Entry Builder'!$E$11)))</f>
        <v/>
      </c>
      <c r="F794">
        <f>IF('Entry Builder'!$N$12=0,1,IF('Entry Builder'!$D$12="Less",--(INDEX(Sims!$A794:$BO794,'Entry Builder'!$L$12)&lt;'Entry Builder'!$E$12),--(INDEX(Sims!$A794:$BO794,'Entry Builder'!$L$12)&gt;'Entry Builder'!$E$12)))</f>
        <v/>
      </c>
      <c r="G794">
        <f>6-SUM(A794:F794)</f>
        <v/>
      </c>
    </row>
    <row r="795">
      <c r="A795">
        <f>IF('Entry Builder'!$N$7=0,1,IF('Entry Builder'!$D$7="Less",--(INDEX(Sims!$A795:$BO795,'Entry Builder'!$L$7)&lt;'Entry Builder'!$E$7),--(INDEX(Sims!$A795:$BO795,'Entry Builder'!$L$7)&gt;'Entry Builder'!$E$7)))</f>
        <v/>
      </c>
      <c r="B795">
        <f>IF('Entry Builder'!$N$8=0,1,IF('Entry Builder'!$D$8="Less",--(INDEX(Sims!$A795:$BO795,'Entry Builder'!$L$8)&lt;'Entry Builder'!$E$8),--(INDEX(Sims!$A795:$BO795,'Entry Builder'!$L$8)&gt;'Entry Builder'!$E$8)))</f>
        <v/>
      </c>
      <c r="C795">
        <f>IF('Entry Builder'!$N$9=0,1,IF('Entry Builder'!$D$9="Less",--(INDEX(Sims!$A795:$BO795,'Entry Builder'!$L$9)&lt;'Entry Builder'!$E$9),--(INDEX(Sims!$A795:$BO795,'Entry Builder'!$L$9)&gt;'Entry Builder'!$E$9)))</f>
        <v/>
      </c>
      <c r="D795">
        <f>IF('Entry Builder'!$N$10=0,1,IF('Entry Builder'!$D$10="Less",--(INDEX(Sims!$A795:$BO795,'Entry Builder'!$L$10)&lt;'Entry Builder'!$E$10),--(INDEX(Sims!$A795:$BO795,'Entry Builder'!$L$10)&gt;'Entry Builder'!$E$10)))</f>
        <v/>
      </c>
      <c r="E795">
        <f>IF('Entry Builder'!$N$11=0,1,IF('Entry Builder'!$D$11="Less",--(INDEX(Sims!$A795:$BO795,'Entry Builder'!$L$11)&lt;'Entry Builder'!$E$11),--(INDEX(Sims!$A795:$BO795,'Entry Builder'!$L$11)&gt;'Entry Builder'!$E$11)))</f>
        <v/>
      </c>
      <c r="F795">
        <f>IF('Entry Builder'!$N$12=0,1,IF('Entry Builder'!$D$12="Less",--(INDEX(Sims!$A795:$BO795,'Entry Builder'!$L$12)&lt;'Entry Builder'!$E$12),--(INDEX(Sims!$A795:$BO795,'Entry Builder'!$L$12)&gt;'Entry Builder'!$E$12)))</f>
        <v/>
      </c>
      <c r="G795">
        <f>6-SUM(A795:F795)</f>
        <v/>
      </c>
    </row>
    <row r="796">
      <c r="A796">
        <f>IF('Entry Builder'!$N$7=0,1,IF('Entry Builder'!$D$7="Less",--(INDEX(Sims!$A796:$BO796,'Entry Builder'!$L$7)&lt;'Entry Builder'!$E$7),--(INDEX(Sims!$A796:$BO796,'Entry Builder'!$L$7)&gt;'Entry Builder'!$E$7)))</f>
        <v/>
      </c>
      <c r="B796">
        <f>IF('Entry Builder'!$N$8=0,1,IF('Entry Builder'!$D$8="Less",--(INDEX(Sims!$A796:$BO796,'Entry Builder'!$L$8)&lt;'Entry Builder'!$E$8),--(INDEX(Sims!$A796:$BO796,'Entry Builder'!$L$8)&gt;'Entry Builder'!$E$8)))</f>
        <v/>
      </c>
      <c r="C796">
        <f>IF('Entry Builder'!$N$9=0,1,IF('Entry Builder'!$D$9="Less",--(INDEX(Sims!$A796:$BO796,'Entry Builder'!$L$9)&lt;'Entry Builder'!$E$9),--(INDEX(Sims!$A796:$BO796,'Entry Builder'!$L$9)&gt;'Entry Builder'!$E$9)))</f>
        <v/>
      </c>
      <c r="D796">
        <f>IF('Entry Builder'!$N$10=0,1,IF('Entry Builder'!$D$10="Less",--(INDEX(Sims!$A796:$BO796,'Entry Builder'!$L$10)&lt;'Entry Builder'!$E$10),--(INDEX(Sims!$A796:$BO796,'Entry Builder'!$L$10)&gt;'Entry Builder'!$E$10)))</f>
        <v/>
      </c>
      <c r="E796">
        <f>IF('Entry Builder'!$N$11=0,1,IF('Entry Builder'!$D$11="Less",--(INDEX(Sims!$A796:$BO796,'Entry Builder'!$L$11)&lt;'Entry Builder'!$E$11),--(INDEX(Sims!$A796:$BO796,'Entry Builder'!$L$11)&gt;'Entry Builder'!$E$11)))</f>
        <v/>
      </c>
      <c r="F796">
        <f>IF('Entry Builder'!$N$12=0,1,IF('Entry Builder'!$D$12="Less",--(INDEX(Sims!$A796:$BO796,'Entry Builder'!$L$12)&lt;'Entry Builder'!$E$12),--(INDEX(Sims!$A796:$BO796,'Entry Builder'!$L$12)&gt;'Entry Builder'!$E$12)))</f>
        <v/>
      </c>
      <c r="G796">
        <f>6-SUM(A796:F796)</f>
        <v/>
      </c>
    </row>
    <row r="797">
      <c r="A797">
        <f>IF('Entry Builder'!$N$7=0,1,IF('Entry Builder'!$D$7="Less",--(INDEX(Sims!$A797:$BO797,'Entry Builder'!$L$7)&lt;'Entry Builder'!$E$7),--(INDEX(Sims!$A797:$BO797,'Entry Builder'!$L$7)&gt;'Entry Builder'!$E$7)))</f>
        <v/>
      </c>
      <c r="B797">
        <f>IF('Entry Builder'!$N$8=0,1,IF('Entry Builder'!$D$8="Less",--(INDEX(Sims!$A797:$BO797,'Entry Builder'!$L$8)&lt;'Entry Builder'!$E$8),--(INDEX(Sims!$A797:$BO797,'Entry Builder'!$L$8)&gt;'Entry Builder'!$E$8)))</f>
        <v/>
      </c>
      <c r="C797">
        <f>IF('Entry Builder'!$N$9=0,1,IF('Entry Builder'!$D$9="Less",--(INDEX(Sims!$A797:$BO797,'Entry Builder'!$L$9)&lt;'Entry Builder'!$E$9),--(INDEX(Sims!$A797:$BO797,'Entry Builder'!$L$9)&gt;'Entry Builder'!$E$9)))</f>
        <v/>
      </c>
      <c r="D797">
        <f>IF('Entry Builder'!$N$10=0,1,IF('Entry Builder'!$D$10="Less",--(INDEX(Sims!$A797:$BO797,'Entry Builder'!$L$10)&lt;'Entry Builder'!$E$10),--(INDEX(Sims!$A797:$BO797,'Entry Builder'!$L$10)&gt;'Entry Builder'!$E$10)))</f>
        <v/>
      </c>
      <c r="E797">
        <f>IF('Entry Builder'!$N$11=0,1,IF('Entry Builder'!$D$11="Less",--(INDEX(Sims!$A797:$BO797,'Entry Builder'!$L$11)&lt;'Entry Builder'!$E$11),--(INDEX(Sims!$A797:$BO797,'Entry Builder'!$L$11)&gt;'Entry Builder'!$E$11)))</f>
        <v/>
      </c>
      <c r="F797">
        <f>IF('Entry Builder'!$N$12=0,1,IF('Entry Builder'!$D$12="Less",--(INDEX(Sims!$A797:$BO797,'Entry Builder'!$L$12)&lt;'Entry Builder'!$E$12),--(INDEX(Sims!$A797:$BO797,'Entry Builder'!$L$12)&gt;'Entry Builder'!$E$12)))</f>
        <v/>
      </c>
      <c r="G797">
        <f>6-SUM(A797:F797)</f>
        <v/>
      </c>
    </row>
    <row r="798">
      <c r="A798">
        <f>IF('Entry Builder'!$N$7=0,1,IF('Entry Builder'!$D$7="Less",--(INDEX(Sims!$A798:$BO798,'Entry Builder'!$L$7)&lt;'Entry Builder'!$E$7),--(INDEX(Sims!$A798:$BO798,'Entry Builder'!$L$7)&gt;'Entry Builder'!$E$7)))</f>
        <v/>
      </c>
      <c r="B798">
        <f>IF('Entry Builder'!$N$8=0,1,IF('Entry Builder'!$D$8="Less",--(INDEX(Sims!$A798:$BO798,'Entry Builder'!$L$8)&lt;'Entry Builder'!$E$8),--(INDEX(Sims!$A798:$BO798,'Entry Builder'!$L$8)&gt;'Entry Builder'!$E$8)))</f>
        <v/>
      </c>
      <c r="C798">
        <f>IF('Entry Builder'!$N$9=0,1,IF('Entry Builder'!$D$9="Less",--(INDEX(Sims!$A798:$BO798,'Entry Builder'!$L$9)&lt;'Entry Builder'!$E$9),--(INDEX(Sims!$A798:$BO798,'Entry Builder'!$L$9)&gt;'Entry Builder'!$E$9)))</f>
        <v/>
      </c>
      <c r="D798">
        <f>IF('Entry Builder'!$N$10=0,1,IF('Entry Builder'!$D$10="Less",--(INDEX(Sims!$A798:$BO798,'Entry Builder'!$L$10)&lt;'Entry Builder'!$E$10),--(INDEX(Sims!$A798:$BO798,'Entry Builder'!$L$10)&gt;'Entry Builder'!$E$10)))</f>
        <v/>
      </c>
      <c r="E798">
        <f>IF('Entry Builder'!$N$11=0,1,IF('Entry Builder'!$D$11="Less",--(INDEX(Sims!$A798:$BO798,'Entry Builder'!$L$11)&lt;'Entry Builder'!$E$11),--(INDEX(Sims!$A798:$BO798,'Entry Builder'!$L$11)&gt;'Entry Builder'!$E$11)))</f>
        <v/>
      </c>
      <c r="F798">
        <f>IF('Entry Builder'!$N$12=0,1,IF('Entry Builder'!$D$12="Less",--(INDEX(Sims!$A798:$BO798,'Entry Builder'!$L$12)&lt;'Entry Builder'!$E$12),--(INDEX(Sims!$A798:$BO798,'Entry Builder'!$L$12)&gt;'Entry Builder'!$E$12)))</f>
        <v/>
      </c>
      <c r="G798">
        <f>6-SUM(A798:F798)</f>
        <v/>
      </c>
    </row>
    <row r="799">
      <c r="A799">
        <f>IF('Entry Builder'!$N$7=0,1,IF('Entry Builder'!$D$7="Less",--(INDEX(Sims!$A799:$BO799,'Entry Builder'!$L$7)&lt;'Entry Builder'!$E$7),--(INDEX(Sims!$A799:$BO799,'Entry Builder'!$L$7)&gt;'Entry Builder'!$E$7)))</f>
        <v/>
      </c>
      <c r="B799">
        <f>IF('Entry Builder'!$N$8=0,1,IF('Entry Builder'!$D$8="Less",--(INDEX(Sims!$A799:$BO799,'Entry Builder'!$L$8)&lt;'Entry Builder'!$E$8),--(INDEX(Sims!$A799:$BO799,'Entry Builder'!$L$8)&gt;'Entry Builder'!$E$8)))</f>
        <v/>
      </c>
      <c r="C799">
        <f>IF('Entry Builder'!$N$9=0,1,IF('Entry Builder'!$D$9="Less",--(INDEX(Sims!$A799:$BO799,'Entry Builder'!$L$9)&lt;'Entry Builder'!$E$9),--(INDEX(Sims!$A799:$BO799,'Entry Builder'!$L$9)&gt;'Entry Builder'!$E$9)))</f>
        <v/>
      </c>
      <c r="D799">
        <f>IF('Entry Builder'!$N$10=0,1,IF('Entry Builder'!$D$10="Less",--(INDEX(Sims!$A799:$BO799,'Entry Builder'!$L$10)&lt;'Entry Builder'!$E$10),--(INDEX(Sims!$A799:$BO799,'Entry Builder'!$L$10)&gt;'Entry Builder'!$E$10)))</f>
        <v/>
      </c>
      <c r="E799">
        <f>IF('Entry Builder'!$N$11=0,1,IF('Entry Builder'!$D$11="Less",--(INDEX(Sims!$A799:$BO799,'Entry Builder'!$L$11)&lt;'Entry Builder'!$E$11),--(INDEX(Sims!$A799:$BO799,'Entry Builder'!$L$11)&gt;'Entry Builder'!$E$11)))</f>
        <v/>
      </c>
      <c r="F799">
        <f>IF('Entry Builder'!$N$12=0,1,IF('Entry Builder'!$D$12="Less",--(INDEX(Sims!$A799:$BO799,'Entry Builder'!$L$12)&lt;'Entry Builder'!$E$12),--(INDEX(Sims!$A799:$BO799,'Entry Builder'!$L$12)&gt;'Entry Builder'!$E$12)))</f>
        <v/>
      </c>
      <c r="G799">
        <f>6-SUM(A799:F799)</f>
        <v/>
      </c>
    </row>
    <row r="800">
      <c r="A800">
        <f>IF('Entry Builder'!$N$7=0,1,IF('Entry Builder'!$D$7="Less",--(INDEX(Sims!$A800:$BO800,'Entry Builder'!$L$7)&lt;'Entry Builder'!$E$7),--(INDEX(Sims!$A800:$BO800,'Entry Builder'!$L$7)&gt;'Entry Builder'!$E$7)))</f>
        <v/>
      </c>
      <c r="B800">
        <f>IF('Entry Builder'!$N$8=0,1,IF('Entry Builder'!$D$8="Less",--(INDEX(Sims!$A800:$BO800,'Entry Builder'!$L$8)&lt;'Entry Builder'!$E$8),--(INDEX(Sims!$A800:$BO800,'Entry Builder'!$L$8)&gt;'Entry Builder'!$E$8)))</f>
        <v/>
      </c>
      <c r="C800">
        <f>IF('Entry Builder'!$N$9=0,1,IF('Entry Builder'!$D$9="Less",--(INDEX(Sims!$A800:$BO800,'Entry Builder'!$L$9)&lt;'Entry Builder'!$E$9),--(INDEX(Sims!$A800:$BO800,'Entry Builder'!$L$9)&gt;'Entry Builder'!$E$9)))</f>
        <v/>
      </c>
      <c r="D800">
        <f>IF('Entry Builder'!$N$10=0,1,IF('Entry Builder'!$D$10="Less",--(INDEX(Sims!$A800:$BO800,'Entry Builder'!$L$10)&lt;'Entry Builder'!$E$10),--(INDEX(Sims!$A800:$BO800,'Entry Builder'!$L$10)&gt;'Entry Builder'!$E$10)))</f>
        <v/>
      </c>
      <c r="E800">
        <f>IF('Entry Builder'!$N$11=0,1,IF('Entry Builder'!$D$11="Less",--(INDEX(Sims!$A800:$BO800,'Entry Builder'!$L$11)&lt;'Entry Builder'!$E$11),--(INDEX(Sims!$A800:$BO800,'Entry Builder'!$L$11)&gt;'Entry Builder'!$E$11)))</f>
        <v/>
      </c>
      <c r="F800">
        <f>IF('Entry Builder'!$N$12=0,1,IF('Entry Builder'!$D$12="Less",--(INDEX(Sims!$A800:$BO800,'Entry Builder'!$L$12)&lt;'Entry Builder'!$E$12),--(INDEX(Sims!$A800:$BO800,'Entry Builder'!$L$12)&gt;'Entry Builder'!$E$12)))</f>
        <v/>
      </c>
      <c r="G800">
        <f>6-SUM(A800:F800)</f>
        <v/>
      </c>
    </row>
    <row r="801">
      <c r="A801">
        <f>IF('Entry Builder'!$N$7=0,1,IF('Entry Builder'!$D$7="Less",--(INDEX(Sims!$A801:$BO801,'Entry Builder'!$L$7)&lt;'Entry Builder'!$E$7),--(INDEX(Sims!$A801:$BO801,'Entry Builder'!$L$7)&gt;'Entry Builder'!$E$7)))</f>
        <v/>
      </c>
      <c r="B801">
        <f>IF('Entry Builder'!$N$8=0,1,IF('Entry Builder'!$D$8="Less",--(INDEX(Sims!$A801:$BO801,'Entry Builder'!$L$8)&lt;'Entry Builder'!$E$8),--(INDEX(Sims!$A801:$BO801,'Entry Builder'!$L$8)&gt;'Entry Builder'!$E$8)))</f>
        <v/>
      </c>
      <c r="C801">
        <f>IF('Entry Builder'!$N$9=0,1,IF('Entry Builder'!$D$9="Less",--(INDEX(Sims!$A801:$BO801,'Entry Builder'!$L$9)&lt;'Entry Builder'!$E$9),--(INDEX(Sims!$A801:$BO801,'Entry Builder'!$L$9)&gt;'Entry Builder'!$E$9)))</f>
        <v/>
      </c>
      <c r="D801">
        <f>IF('Entry Builder'!$N$10=0,1,IF('Entry Builder'!$D$10="Less",--(INDEX(Sims!$A801:$BO801,'Entry Builder'!$L$10)&lt;'Entry Builder'!$E$10),--(INDEX(Sims!$A801:$BO801,'Entry Builder'!$L$10)&gt;'Entry Builder'!$E$10)))</f>
        <v/>
      </c>
      <c r="E801">
        <f>IF('Entry Builder'!$N$11=0,1,IF('Entry Builder'!$D$11="Less",--(INDEX(Sims!$A801:$BO801,'Entry Builder'!$L$11)&lt;'Entry Builder'!$E$11),--(INDEX(Sims!$A801:$BO801,'Entry Builder'!$L$11)&gt;'Entry Builder'!$E$11)))</f>
        <v/>
      </c>
      <c r="F801">
        <f>IF('Entry Builder'!$N$12=0,1,IF('Entry Builder'!$D$12="Less",--(INDEX(Sims!$A801:$BO801,'Entry Builder'!$L$12)&lt;'Entry Builder'!$E$12),--(INDEX(Sims!$A801:$BO801,'Entry Builder'!$L$12)&gt;'Entry Builder'!$E$12)))</f>
        <v/>
      </c>
      <c r="G801">
        <f>6-SUM(A801:F801)</f>
        <v/>
      </c>
    </row>
    <row r="802">
      <c r="A802">
        <f>IF('Entry Builder'!$N$7=0,1,IF('Entry Builder'!$D$7="Less",--(INDEX(Sims!$A802:$BO802,'Entry Builder'!$L$7)&lt;'Entry Builder'!$E$7),--(INDEX(Sims!$A802:$BO802,'Entry Builder'!$L$7)&gt;'Entry Builder'!$E$7)))</f>
        <v/>
      </c>
      <c r="B802">
        <f>IF('Entry Builder'!$N$8=0,1,IF('Entry Builder'!$D$8="Less",--(INDEX(Sims!$A802:$BO802,'Entry Builder'!$L$8)&lt;'Entry Builder'!$E$8),--(INDEX(Sims!$A802:$BO802,'Entry Builder'!$L$8)&gt;'Entry Builder'!$E$8)))</f>
        <v/>
      </c>
      <c r="C802">
        <f>IF('Entry Builder'!$N$9=0,1,IF('Entry Builder'!$D$9="Less",--(INDEX(Sims!$A802:$BO802,'Entry Builder'!$L$9)&lt;'Entry Builder'!$E$9),--(INDEX(Sims!$A802:$BO802,'Entry Builder'!$L$9)&gt;'Entry Builder'!$E$9)))</f>
        <v/>
      </c>
      <c r="D802">
        <f>IF('Entry Builder'!$N$10=0,1,IF('Entry Builder'!$D$10="Less",--(INDEX(Sims!$A802:$BO802,'Entry Builder'!$L$10)&lt;'Entry Builder'!$E$10),--(INDEX(Sims!$A802:$BO802,'Entry Builder'!$L$10)&gt;'Entry Builder'!$E$10)))</f>
        <v/>
      </c>
      <c r="E802">
        <f>IF('Entry Builder'!$N$11=0,1,IF('Entry Builder'!$D$11="Less",--(INDEX(Sims!$A802:$BO802,'Entry Builder'!$L$11)&lt;'Entry Builder'!$E$11),--(INDEX(Sims!$A802:$BO802,'Entry Builder'!$L$11)&gt;'Entry Builder'!$E$11)))</f>
        <v/>
      </c>
      <c r="F802">
        <f>IF('Entry Builder'!$N$12=0,1,IF('Entry Builder'!$D$12="Less",--(INDEX(Sims!$A802:$BO802,'Entry Builder'!$L$12)&lt;'Entry Builder'!$E$12),--(INDEX(Sims!$A802:$BO802,'Entry Builder'!$L$12)&gt;'Entry Builder'!$E$12)))</f>
        <v/>
      </c>
      <c r="G802">
        <f>6-SUM(A802:F802)</f>
        <v/>
      </c>
    </row>
    <row r="803">
      <c r="A803">
        <f>IF('Entry Builder'!$N$7=0,1,IF('Entry Builder'!$D$7="Less",--(INDEX(Sims!$A803:$BO803,'Entry Builder'!$L$7)&lt;'Entry Builder'!$E$7),--(INDEX(Sims!$A803:$BO803,'Entry Builder'!$L$7)&gt;'Entry Builder'!$E$7)))</f>
        <v/>
      </c>
      <c r="B803">
        <f>IF('Entry Builder'!$N$8=0,1,IF('Entry Builder'!$D$8="Less",--(INDEX(Sims!$A803:$BO803,'Entry Builder'!$L$8)&lt;'Entry Builder'!$E$8),--(INDEX(Sims!$A803:$BO803,'Entry Builder'!$L$8)&gt;'Entry Builder'!$E$8)))</f>
        <v/>
      </c>
      <c r="C803">
        <f>IF('Entry Builder'!$N$9=0,1,IF('Entry Builder'!$D$9="Less",--(INDEX(Sims!$A803:$BO803,'Entry Builder'!$L$9)&lt;'Entry Builder'!$E$9),--(INDEX(Sims!$A803:$BO803,'Entry Builder'!$L$9)&gt;'Entry Builder'!$E$9)))</f>
        <v/>
      </c>
      <c r="D803">
        <f>IF('Entry Builder'!$N$10=0,1,IF('Entry Builder'!$D$10="Less",--(INDEX(Sims!$A803:$BO803,'Entry Builder'!$L$10)&lt;'Entry Builder'!$E$10),--(INDEX(Sims!$A803:$BO803,'Entry Builder'!$L$10)&gt;'Entry Builder'!$E$10)))</f>
        <v/>
      </c>
      <c r="E803">
        <f>IF('Entry Builder'!$N$11=0,1,IF('Entry Builder'!$D$11="Less",--(INDEX(Sims!$A803:$BO803,'Entry Builder'!$L$11)&lt;'Entry Builder'!$E$11),--(INDEX(Sims!$A803:$BO803,'Entry Builder'!$L$11)&gt;'Entry Builder'!$E$11)))</f>
        <v/>
      </c>
      <c r="F803">
        <f>IF('Entry Builder'!$N$12=0,1,IF('Entry Builder'!$D$12="Less",--(INDEX(Sims!$A803:$BO803,'Entry Builder'!$L$12)&lt;'Entry Builder'!$E$12),--(INDEX(Sims!$A803:$BO803,'Entry Builder'!$L$12)&gt;'Entry Builder'!$E$12)))</f>
        <v/>
      </c>
      <c r="G803">
        <f>6-SUM(A803:F803)</f>
        <v/>
      </c>
    </row>
    <row r="804">
      <c r="A804">
        <f>IF('Entry Builder'!$N$7=0,1,IF('Entry Builder'!$D$7="Less",--(INDEX(Sims!$A804:$BO804,'Entry Builder'!$L$7)&lt;'Entry Builder'!$E$7),--(INDEX(Sims!$A804:$BO804,'Entry Builder'!$L$7)&gt;'Entry Builder'!$E$7)))</f>
        <v/>
      </c>
      <c r="B804">
        <f>IF('Entry Builder'!$N$8=0,1,IF('Entry Builder'!$D$8="Less",--(INDEX(Sims!$A804:$BO804,'Entry Builder'!$L$8)&lt;'Entry Builder'!$E$8),--(INDEX(Sims!$A804:$BO804,'Entry Builder'!$L$8)&gt;'Entry Builder'!$E$8)))</f>
        <v/>
      </c>
      <c r="C804">
        <f>IF('Entry Builder'!$N$9=0,1,IF('Entry Builder'!$D$9="Less",--(INDEX(Sims!$A804:$BO804,'Entry Builder'!$L$9)&lt;'Entry Builder'!$E$9),--(INDEX(Sims!$A804:$BO804,'Entry Builder'!$L$9)&gt;'Entry Builder'!$E$9)))</f>
        <v/>
      </c>
      <c r="D804">
        <f>IF('Entry Builder'!$N$10=0,1,IF('Entry Builder'!$D$10="Less",--(INDEX(Sims!$A804:$BO804,'Entry Builder'!$L$10)&lt;'Entry Builder'!$E$10),--(INDEX(Sims!$A804:$BO804,'Entry Builder'!$L$10)&gt;'Entry Builder'!$E$10)))</f>
        <v/>
      </c>
      <c r="E804">
        <f>IF('Entry Builder'!$N$11=0,1,IF('Entry Builder'!$D$11="Less",--(INDEX(Sims!$A804:$BO804,'Entry Builder'!$L$11)&lt;'Entry Builder'!$E$11),--(INDEX(Sims!$A804:$BO804,'Entry Builder'!$L$11)&gt;'Entry Builder'!$E$11)))</f>
        <v/>
      </c>
      <c r="F804">
        <f>IF('Entry Builder'!$N$12=0,1,IF('Entry Builder'!$D$12="Less",--(INDEX(Sims!$A804:$BO804,'Entry Builder'!$L$12)&lt;'Entry Builder'!$E$12),--(INDEX(Sims!$A804:$BO804,'Entry Builder'!$L$12)&gt;'Entry Builder'!$E$12)))</f>
        <v/>
      </c>
      <c r="G804">
        <f>6-SUM(A804:F804)</f>
        <v/>
      </c>
    </row>
    <row r="805">
      <c r="A805">
        <f>IF('Entry Builder'!$N$7=0,1,IF('Entry Builder'!$D$7="Less",--(INDEX(Sims!$A805:$BO805,'Entry Builder'!$L$7)&lt;'Entry Builder'!$E$7),--(INDEX(Sims!$A805:$BO805,'Entry Builder'!$L$7)&gt;'Entry Builder'!$E$7)))</f>
        <v/>
      </c>
      <c r="B805">
        <f>IF('Entry Builder'!$N$8=0,1,IF('Entry Builder'!$D$8="Less",--(INDEX(Sims!$A805:$BO805,'Entry Builder'!$L$8)&lt;'Entry Builder'!$E$8),--(INDEX(Sims!$A805:$BO805,'Entry Builder'!$L$8)&gt;'Entry Builder'!$E$8)))</f>
        <v/>
      </c>
      <c r="C805">
        <f>IF('Entry Builder'!$N$9=0,1,IF('Entry Builder'!$D$9="Less",--(INDEX(Sims!$A805:$BO805,'Entry Builder'!$L$9)&lt;'Entry Builder'!$E$9),--(INDEX(Sims!$A805:$BO805,'Entry Builder'!$L$9)&gt;'Entry Builder'!$E$9)))</f>
        <v/>
      </c>
      <c r="D805">
        <f>IF('Entry Builder'!$N$10=0,1,IF('Entry Builder'!$D$10="Less",--(INDEX(Sims!$A805:$BO805,'Entry Builder'!$L$10)&lt;'Entry Builder'!$E$10),--(INDEX(Sims!$A805:$BO805,'Entry Builder'!$L$10)&gt;'Entry Builder'!$E$10)))</f>
        <v/>
      </c>
      <c r="E805">
        <f>IF('Entry Builder'!$N$11=0,1,IF('Entry Builder'!$D$11="Less",--(INDEX(Sims!$A805:$BO805,'Entry Builder'!$L$11)&lt;'Entry Builder'!$E$11),--(INDEX(Sims!$A805:$BO805,'Entry Builder'!$L$11)&gt;'Entry Builder'!$E$11)))</f>
        <v/>
      </c>
      <c r="F805">
        <f>IF('Entry Builder'!$N$12=0,1,IF('Entry Builder'!$D$12="Less",--(INDEX(Sims!$A805:$BO805,'Entry Builder'!$L$12)&lt;'Entry Builder'!$E$12),--(INDEX(Sims!$A805:$BO805,'Entry Builder'!$L$12)&gt;'Entry Builder'!$E$12)))</f>
        <v/>
      </c>
      <c r="G805">
        <f>6-SUM(A805:F805)</f>
        <v/>
      </c>
    </row>
    <row r="806">
      <c r="A806">
        <f>IF('Entry Builder'!$N$7=0,1,IF('Entry Builder'!$D$7="Less",--(INDEX(Sims!$A806:$BO806,'Entry Builder'!$L$7)&lt;'Entry Builder'!$E$7),--(INDEX(Sims!$A806:$BO806,'Entry Builder'!$L$7)&gt;'Entry Builder'!$E$7)))</f>
        <v/>
      </c>
      <c r="B806">
        <f>IF('Entry Builder'!$N$8=0,1,IF('Entry Builder'!$D$8="Less",--(INDEX(Sims!$A806:$BO806,'Entry Builder'!$L$8)&lt;'Entry Builder'!$E$8),--(INDEX(Sims!$A806:$BO806,'Entry Builder'!$L$8)&gt;'Entry Builder'!$E$8)))</f>
        <v/>
      </c>
      <c r="C806">
        <f>IF('Entry Builder'!$N$9=0,1,IF('Entry Builder'!$D$9="Less",--(INDEX(Sims!$A806:$BO806,'Entry Builder'!$L$9)&lt;'Entry Builder'!$E$9),--(INDEX(Sims!$A806:$BO806,'Entry Builder'!$L$9)&gt;'Entry Builder'!$E$9)))</f>
        <v/>
      </c>
      <c r="D806">
        <f>IF('Entry Builder'!$N$10=0,1,IF('Entry Builder'!$D$10="Less",--(INDEX(Sims!$A806:$BO806,'Entry Builder'!$L$10)&lt;'Entry Builder'!$E$10),--(INDEX(Sims!$A806:$BO806,'Entry Builder'!$L$10)&gt;'Entry Builder'!$E$10)))</f>
        <v/>
      </c>
      <c r="E806">
        <f>IF('Entry Builder'!$N$11=0,1,IF('Entry Builder'!$D$11="Less",--(INDEX(Sims!$A806:$BO806,'Entry Builder'!$L$11)&lt;'Entry Builder'!$E$11),--(INDEX(Sims!$A806:$BO806,'Entry Builder'!$L$11)&gt;'Entry Builder'!$E$11)))</f>
        <v/>
      </c>
      <c r="F806">
        <f>IF('Entry Builder'!$N$12=0,1,IF('Entry Builder'!$D$12="Less",--(INDEX(Sims!$A806:$BO806,'Entry Builder'!$L$12)&lt;'Entry Builder'!$E$12),--(INDEX(Sims!$A806:$BO806,'Entry Builder'!$L$12)&gt;'Entry Builder'!$E$12)))</f>
        <v/>
      </c>
      <c r="G806">
        <f>6-SUM(A806:F806)</f>
        <v/>
      </c>
    </row>
    <row r="807">
      <c r="A807">
        <f>IF('Entry Builder'!$N$7=0,1,IF('Entry Builder'!$D$7="Less",--(INDEX(Sims!$A807:$BO807,'Entry Builder'!$L$7)&lt;'Entry Builder'!$E$7),--(INDEX(Sims!$A807:$BO807,'Entry Builder'!$L$7)&gt;'Entry Builder'!$E$7)))</f>
        <v/>
      </c>
      <c r="B807">
        <f>IF('Entry Builder'!$N$8=0,1,IF('Entry Builder'!$D$8="Less",--(INDEX(Sims!$A807:$BO807,'Entry Builder'!$L$8)&lt;'Entry Builder'!$E$8),--(INDEX(Sims!$A807:$BO807,'Entry Builder'!$L$8)&gt;'Entry Builder'!$E$8)))</f>
        <v/>
      </c>
      <c r="C807">
        <f>IF('Entry Builder'!$N$9=0,1,IF('Entry Builder'!$D$9="Less",--(INDEX(Sims!$A807:$BO807,'Entry Builder'!$L$9)&lt;'Entry Builder'!$E$9),--(INDEX(Sims!$A807:$BO807,'Entry Builder'!$L$9)&gt;'Entry Builder'!$E$9)))</f>
        <v/>
      </c>
      <c r="D807">
        <f>IF('Entry Builder'!$N$10=0,1,IF('Entry Builder'!$D$10="Less",--(INDEX(Sims!$A807:$BO807,'Entry Builder'!$L$10)&lt;'Entry Builder'!$E$10),--(INDEX(Sims!$A807:$BO807,'Entry Builder'!$L$10)&gt;'Entry Builder'!$E$10)))</f>
        <v/>
      </c>
      <c r="E807">
        <f>IF('Entry Builder'!$N$11=0,1,IF('Entry Builder'!$D$11="Less",--(INDEX(Sims!$A807:$BO807,'Entry Builder'!$L$11)&lt;'Entry Builder'!$E$11),--(INDEX(Sims!$A807:$BO807,'Entry Builder'!$L$11)&gt;'Entry Builder'!$E$11)))</f>
        <v/>
      </c>
      <c r="F807">
        <f>IF('Entry Builder'!$N$12=0,1,IF('Entry Builder'!$D$12="Less",--(INDEX(Sims!$A807:$BO807,'Entry Builder'!$L$12)&lt;'Entry Builder'!$E$12),--(INDEX(Sims!$A807:$BO807,'Entry Builder'!$L$12)&gt;'Entry Builder'!$E$12)))</f>
        <v/>
      </c>
      <c r="G807">
        <f>6-SUM(A807:F807)</f>
        <v/>
      </c>
    </row>
    <row r="808">
      <c r="A808">
        <f>IF('Entry Builder'!$N$7=0,1,IF('Entry Builder'!$D$7="Less",--(INDEX(Sims!$A808:$BO808,'Entry Builder'!$L$7)&lt;'Entry Builder'!$E$7),--(INDEX(Sims!$A808:$BO808,'Entry Builder'!$L$7)&gt;'Entry Builder'!$E$7)))</f>
        <v/>
      </c>
      <c r="B808">
        <f>IF('Entry Builder'!$N$8=0,1,IF('Entry Builder'!$D$8="Less",--(INDEX(Sims!$A808:$BO808,'Entry Builder'!$L$8)&lt;'Entry Builder'!$E$8),--(INDEX(Sims!$A808:$BO808,'Entry Builder'!$L$8)&gt;'Entry Builder'!$E$8)))</f>
        <v/>
      </c>
      <c r="C808">
        <f>IF('Entry Builder'!$N$9=0,1,IF('Entry Builder'!$D$9="Less",--(INDEX(Sims!$A808:$BO808,'Entry Builder'!$L$9)&lt;'Entry Builder'!$E$9),--(INDEX(Sims!$A808:$BO808,'Entry Builder'!$L$9)&gt;'Entry Builder'!$E$9)))</f>
        <v/>
      </c>
      <c r="D808">
        <f>IF('Entry Builder'!$N$10=0,1,IF('Entry Builder'!$D$10="Less",--(INDEX(Sims!$A808:$BO808,'Entry Builder'!$L$10)&lt;'Entry Builder'!$E$10),--(INDEX(Sims!$A808:$BO808,'Entry Builder'!$L$10)&gt;'Entry Builder'!$E$10)))</f>
        <v/>
      </c>
      <c r="E808">
        <f>IF('Entry Builder'!$N$11=0,1,IF('Entry Builder'!$D$11="Less",--(INDEX(Sims!$A808:$BO808,'Entry Builder'!$L$11)&lt;'Entry Builder'!$E$11),--(INDEX(Sims!$A808:$BO808,'Entry Builder'!$L$11)&gt;'Entry Builder'!$E$11)))</f>
        <v/>
      </c>
      <c r="F808">
        <f>IF('Entry Builder'!$N$12=0,1,IF('Entry Builder'!$D$12="Less",--(INDEX(Sims!$A808:$BO808,'Entry Builder'!$L$12)&lt;'Entry Builder'!$E$12),--(INDEX(Sims!$A808:$BO808,'Entry Builder'!$L$12)&gt;'Entry Builder'!$E$12)))</f>
        <v/>
      </c>
      <c r="G808">
        <f>6-SUM(A808:F808)</f>
        <v/>
      </c>
    </row>
    <row r="809">
      <c r="A809">
        <f>IF('Entry Builder'!$N$7=0,1,IF('Entry Builder'!$D$7="Less",--(INDEX(Sims!$A809:$BO809,'Entry Builder'!$L$7)&lt;'Entry Builder'!$E$7),--(INDEX(Sims!$A809:$BO809,'Entry Builder'!$L$7)&gt;'Entry Builder'!$E$7)))</f>
        <v/>
      </c>
      <c r="B809">
        <f>IF('Entry Builder'!$N$8=0,1,IF('Entry Builder'!$D$8="Less",--(INDEX(Sims!$A809:$BO809,'Entry Builder'!$L$8)&lt;'Entry Builder'!$E$8),--(INDEX(Sims!$A809:$BO809,'Entry Builder'!$L$8)&gt;'Entry Builder'!$E$8)))</f>
        <v/>
      </c>
      <c r="C809">
        <f>IF('Entry Builder'!$N$9=0,1,IF('Entry Builder'!$D$9="Less",--(INDEX(Sims!$A809:$BO809,'Entry Builder'!$L$9)&lt;'Entry Builder'!$E$9),--(INDEX(Sims!$A809:$BO809,'Entry Builder'!$L$9)&gt;'Entry Builder'!$E$9)))</f>
        <v/>
      </c>
      <c r="D809">
        <f>IF('Entry Builder'!$N$10=0,1,IF('Entry Builder'!$D$10="Less",--(INDEX(Sims!$A809:$BO809,'Entry Builder'!$L$10)&lt;'Entry Builder'!$E$10),--(INDEX(Sims!$A809:$BO809,'Entry Builder'!$L$10)&gt;'Entry Builder'!$E$10)))</f>
        <v/>
      </c>
      <c r="E809">
        <f>IF('Entry Builder'!$N$11=0,1,IF('Entry Builder'!$D$11="Less",--(INDEX(Sims!$A809:$BO809,'Entry Builder'!$L$11)&lt;'Entry Builder'!$E$11),--(INDEX(Sims!$A809:$BO809,'Entry Builder'!$L$11)&gt;'Entry Builder'!$E$11)))</f>
        <v/>
      </c>
      <c r="F809">
        <f>IF('Entry Builder'!$N$12=0,1,IF('Entry Builder'!$D$12="Less",--(INDEX(Sims!$A809:$BO809,'Entry Builder'!$L$12)&lt;'Entry Builder'!$E$12),--(INDEX(Sims!$A809:$BO809,'Entry Builder'!$L$12)&gt;'Entry Builder'!$E$12)))</f>
        <v/>
      </c>
      <c r="G809">
        <f>6-SUM(A809:F809)</f>
        <v/>
      </c>
    </row>
    <row r="810">
      <c r="A810">
        <f>IF('Entry Builder'!$N$7=0,1,IF('Entry Builder'!$D$7="Less",--(INDEX(Sims!$A810:$BO810,'Entry Builder'!$L$7)&lt;'Entry Builder'!$E$7),--(INDEX(Sims!$A810:$BO810,'Entry Builder'!$L$7)&gt;'Entry Builder'!$E$7)))</f>
        <v/>
      </c>
      <c r="B810">
        <f>IF('Entry Builder'!$N$8=0,1,IF('Entry Builder'!$D$8="Less",--(INDEX(Sims!$A810:$BO810,'Entry Builder'!$L$8)&lt;'Entry Builder'!$E$8),--(INDEX(Sims!$A810:$BO810,'Entry Builder'!$L$8)&gt;'Entry Builder'!$E$8)))</f>
        <v/>
      </c>
      <c r="C810">
        <f>IF('Entry Builder'!$N$9=0,1,IF('Entry Builder'!$D$9="Less",--(INDEX(Sims!$A810:$BO810,'Entry Builder'!$L$9)&lt;'Entry Builder'!$E$9),--(INDEX(Sims!$A810:$BO810,'Entry Builder'!$L$9)&gt;'Entry Builder'!$E$9)))</f>
        <v/>
      </c>
      <c r="D810">
        <f>IF('Entry Builder'!$N$10=0,1,IF('Entry Builder'!$D$10="Less",--(INDEX(Sims!$A810:$BO810,'Entry Builder'!$L$10)&lt;'Entry Builder'!$E$10),--(INDEX(Sims!$A810:$BO810,'Entry Builder'!$L$10)&gt;'Entry Builder'!$E$10)))</f>
        <v/>
      </c>
      <c r="E810">
        <f>IF('Entry Builder'!$N$11=0,1,IF('Entry Builder'!$D$11="Less",--(INDEX(Sims!$A810:$BO810,'Entry Builder'!$L$11)&lt;'Entry Builder'!$E$11),--(INDEX(Sims!$A810:$BO810,'Entry Builder'!$L$11)&gt;'Entry Builder'!$E$11)))</f>
        <v/>
      </c>
      <c r="F810">
        <f>IF('Entry Builder'!$N$12=0,1,IF('Entry Builder'!$D$12="Less",--(INDEX(Sims!$A810:$BO810,'Entry Builder'!$L$12)&lt;'Entry Builder'!$E$12),--(INDEX(Sims!$A810:$BO810,'Entry Builder'!$L$12)&gt;'Entry Builder'!$E$12)))</f>
        <v/>
      </c>
      <c r="G810">
        <f>6-SUM(A810:F810)</f>
        <v/>
      </c>
    </row>
    <row r="811">
      <c r="A811">
        <f>IF('Entry Builder'!$N$7=0,1,IF('Entry Builder'!$D$7="Less",--(INDEX(Sims!$A811:$BO811,'Entry Builder'!$L$7)&lt;'Entry Builder'!$E$7),--(INDEX(Sims!$A811:$BO811,'Entry Builder'!$L$7)&gt;'Entry Builder'!$E$7)))</f>
        <v/>
      </c>
      <c r="B811">
        <f>IF('Entry Builder'!$N$8=0,1,IF('Entry Builder'!$D$8="Less",--(INDEX(Sims!$A811:$BO811,'Entry Builder'!$L$8)&lt;'Entry Builder'!$E$8),--(INDEX(Sims!$A811:$BO811,'Entry Builder'!$L$8)&gt;'Entry Builder'!$E$8)))</f>
        <v/>
      </c>
      <c r="C811">
        <f>IF('Entry Builder'!$N$9=0,1,IF('Entry Builder'!$D$9="Less",--(INDEX(Sims!$A811:$BO811,'Entry Builder'!$L$9)&lt;'Entry Builder'!$E$9),--(INDEX(Sims!$A811:$BO811,'Entry Builder'!$L$9)&gt;'Entry Builder'!$E$9)))</f>
        <v/>
      </c>
      <c r="D811">
        <f>IF('Entry Builder'!$N$10=0,1,IF('Entry Builder'!$D$10="Less",--(INDEX(Sims!$A811:$BO811,'Entry Builder'!$L$10)&lt;'Entry Builder'!$E$10),--(INDEX(Sims!$A811:$BO811,'Entry Builder'!$L$10)&gt;'Entry Builder'!$E$10)))</f>
        <v/>
      </c>
      <c r="E811">
        <f>IF('Entry Builder'!$N$11=0,1,IF('Entry Builder'!$D$11="Less",--(INDEX(Sims!$A811:$BO811,'Entry Builder'!$L$11)&lt;'Entry Builder'!$E$11),--(INDEX(Sims!$A811:$BO811,'Entry Builder'!$L$11)&gt;'Entry Builder'!$E$11)))</f>
        <v/>
      </c>
      <c r="F811">
        <f>IF('Entry Builder'!$N$12=0,1,IF('Entry Builder'!$D$12="Less",--(INDEX(Sims!$A811:$BO811,'Entry Builder'!$L$12)&lt;'Entry Builder'!$E$12),--(INDEX(Sims!$A811:$BO811,'Entry Builder'!$L$12)&gt;'Entry Builder'!$E$12)))</f>
        <v/>
      </c>
      <c r="G811">
        <f>6-SUM(A811:F811)</f>
        <v/>
      </c>
    </row>
    <row r="812">
      <c r="A812">
        <f>IF('Entry Builder'!$N$7=0,1,IF('Entry Builder'!$D$7="Less",--(INDEX(Sims!$A812:$BO812,'Entry Builder'!$L$7)&lt;'Entry Builder'!$E$7),--(INDEX(Sims!$A812:$BO812,'Entry Builder'!$L$7)&gt;'Entry Builder'!$E$7)))</f>
        <v/>
      </c>
      <c r="B812">
        <f>IF('Entry Builder'!$N$8=0,1,IF('Entry Builder'!$D$8="Less",--(INDEX(Sims!$A812:$BO812,'Entry Builder'!$L$8)&lt;'Entry Builder'!$E$8),--(INDEX(Sims!$A812:$BO812,'Entry Builder'!$L$8)&gt;'Entry Builder'!$E$8)))</f>
        <v/>
      </c>
      <c r="C812">
        <f>IF('Entry Builder'!$N$9=0,1,IF('Entry Builder'!$D$9="Less",--(INDEX(Sims!$A812:$BO812,'Entry Builder'!$L$9)&lt;'Entry Builder'!$E$9),--(INDEX(Sims!$A812:$BO812,'Entry Builder'!$L$9)&gt;'Entry Builder'!$E$9)))</f>
        <v/>
      </c>
      <c r="D812">
        <f>IF('Entry Builder'!$N$10=0,1,IF('Entry Builder'!$D$10="Less",--(INDEX(Sims!$A812:$BO812,'Entry Builder'!$L$10)&lt;'Entry Builder'!$E$10),--(INDEX(Sims!$A812:$BO812,'Entry Builder'!$L$10)&gt;'Entry Builder'!$E$10)))</f>
        <v/>
      </c>
      <c r="E812">
        <f>IF('Entry Builder'!$N$11=0,1,IF('Entry Builder'!$D$11="Less",--(INDEX(Sims!$A812:$BO812,'Entry Builder'!$L$11)&lt;'Entry Builder'!$E$11),--(INDEX(Sims!$A812:$BO812,'Entry Builder'!$L$11)&gt;'Entry Builder'!$E$11)))</f>
        <v/>
      </c>
      <c r="F812">
        <f>IF('Entry Builder'!$N$12=0,1,IF('Entry Builder'!$D$12="Less",--(INDEX(Sims!$A812:$BO812,'Entry Builder'!$L$12)&lt;'Entry Builder'!$E$12),--(INDEX(Sims!$A812:$BO812,'Entry Builder'!$L$12)&gt;'Entry Builder'!$E$12)))</f>
        <v/>
      </c>
      <c r="G812">
        <f>6-SUM(A812:F812)</f>
        <v/>
      </c>
    </row>
    <row r="813">
      <c r="A813">
        <f>IF('Entry Builder'!$N$7=0,1,IF('Entry Builder'!$D$7="Less",--(INDEX(Sims!$A813:$BO813,'Entry Builder'!$L$7)&lt;'Entry Builder'!$E$7),--(INDEX(Sims!$A813:$BO813,'Entry Builder'!$L$7)&gt;'Entry Builder'!$E$7)))</f>
        <v/>
      </c>
      <c r="B813">
        <f>IF('Entry Builder'!$N$8=0,1,IF('Entry Builder'!$D$8="Less",--(INDEX(Sims!$A813:$BO813,'Entry Builder'!$L$8)&lt;'Entry Builder'!$E$8),--(INDEX(Sims!$A813:$BO813,'Entry Builder'!$L$8)&gt;'Entry Builder'!$E$8)))</f>
        <v/>
      </c>
      <c r="C813">
        <f>IF('Entry Builder'!$N$9=0,1,IF('Entry Builder'!$D$9="Less",--(INDEX(Sims!$A813:$BO813,'Entry Builder'!$L$9)&lt;'Entry Builder'!$E$9),--(INDEX(Sims!$A813:$BO813,'Entry Builder'!$L$9)&gt;'Entry Builder'!$E$9)))</f>
        <v/>
      </c>
      <c r="D813">
        <f>IF('Entry Builder'!$N$10=0,1,IF('Entry Builder'!$D$10="Less",--(INDEX(Sims!$A813:$BO813,'Entry Builder'!$L$10)&lt;'Entry Builder'!$E$10),--(INDEX(Sims!$A813:$BO813,'Entry Builder'!$L$10)&gt;'Entry Builder'!$E$10)))</f>
        <v/>
      </c>
      <c r="E813">
        <f>IF('Entry Builder'!$N$11=0,1,IF('Entry Builder'!$D$11="Less",--(INDEX(Sims!$A813:$BO813,'Entry Builder'!$L$11)&lt;'Entry Builder'!$E$11),--(INDEX(Sims!$A813:$BO813,'Entry Builder'!$L$11)&gt;'Entry Builder'!$E$11)))</f>
        <v/>
      </c>
      <c r="F813">
        <f>IF('Entry Builder'!$N$12=0,1,IF('Entry Builder'!$D$12="Less",--(INDEX(Sims!$A813:$BO813,'Entry Builder'!$L$12)&lt;'Entry Builder'!$E$12),--(INDEX(Sims!$A813:$BO813,'Entry Builder'!$L$12)&gt;'Entry Builder'!$E$12)))</f>
        <v/>
      </c>
      <c r="G813">
        <f>6-SUM(A813:F813)</f>
        <v/>
      </c>
    </row>
    <row r="814">
      <c r="A814">
        <f>IF('Entry Builder'!$N$7=0,1,IF('Entry Builder'!$D$7="Less",--(INDEX(Sims!$A814:$BO814,'Entry Builder'!$L$7)&lt;'Entry Builder'!$E$7),--(INDEX(Sims!$A814:$BO814,'Entry Builder'!$L$7)&gt;'Entry Builder'!$E$7)))</f>
        <v/>
      </c>
      <c r="B814">
        <f>IF('Entry Builder'!$N$8=0,1,IF('Entry Builder'!$D$8="Less",--(INDEX(Sims!$A814:$BO814,'Entry Builder'!$L$8)&lt;'Entry Builder'!$E$8),--(INDEX(Sims!$A814:$BO814,'Entry Builder'!$L$8)&gt;'Entry Builder'!$E$8)))</f>
        <v/>
      </c>
      <c r="C814">
        <f>IF('Entry Builder'!$N$9=0,1,IF('Entry Builder'!$D$9="Less",--(INDEX(Sims!$A814:$BO814,'Entry Builder'!$L$9)&lt;'Entry Builder'!$E$9),--(INDEX(Sims!$A814:$BO814,'Entry Builder'!$L$9)&gt;'Entry Builder'!$E$9)))</f>
        <v/>
      </c>
      <c r="D814">
        <f>IF('Entry Builder'!$N$10=0,1,IF('Entry Builder'!$D$10="Less",--(INDEX(Sims!$A814:$BO814,'Entry Builder'!$L$10)&lt;'Entry Builder'!$E$10),--(INDEX(Sims!$A814:$BO814,'Entry Builder'!$L$10)&gt;'Entry Builder'!$E$10)))</f>
        <v/>
      </c>
      <c r="E814">
        <f>IF('Entry Builder'!$N$11=0,1,IF('Entry Builder'!$D$11="Less",--(INDEX(Sims!$A814:$BO814,'Entry Builder'!$L$11)&lt;'Entry Builder'!$E$11),--(INDEX(Sims!$A814:$BO814,'Entry Builder'!$L$11)&gt;'Entry Builder'!$E$11)))</f>
        <v/>
      </c>
      <c r="F814">
        <f>IF('Entry Builder'!$N$12=0,1,IF('Entry Builder'!$D$12="Less",--(INDEX(Sims!$A814:$BO814,'Entry Builder'!$L$12)&lt;'Entry Builder'!$E$12),--(INDEX(Sims!$A814:$BO814,'Entry Builder'!$L$12)&gt;'Entry Builder'!$E$12)))</f>
        <v/>
      </c>
      <c r="G814">
        <f>6-SUM(A814:F814)</f>
        <v/>
      </c>
    </row>
    <row r="815">
      <c r="A815">
        <f>IF('Entry Builder'!$N$7=0,1,IF('Entry Builder'!$D$7="Less",--(INDEX(Sims!$A815:$BO815,'Entry Builder'!$L$7)&lt;'Entry Builder'!$E$7),--(INDEX(Sims!$A815:$BO815,'Entry Builder'!$L$7)&gt;'Entry Builder'!$E$7)))</f>
        <v/>
      </c>
      <c r="B815">
        <f>IF('Entry Builder'!$N$8=0,1,IF('Entry Builder'!$D$8="Less",--(INDEX(Sims!$A815:$BO815,'Entry Builder'!$L$8)&lt;'Entry Builder'!$E$8),--(INDEX(Sims!$A815:$BO815,'Entry Builder'!$L$8)&gt;'Entry Builder'!$E$8)))</f>
        <v/>
      </c>
      <c r="C815">
        <f>IF('Entry Builder'!$N$9=0,1,IF('Entry Builder'!$D$9="Less",--(INDEX(Sims!$A815:$BO815,'Entry Builder'!$L$9)&lt;'Entry Builder'!$E$9),--(INDEX(Sims!$A815:$BO815,'Entry Builder'!$L$9)&gt;'Entry Builder'!$E$9)))</f>
        <v/>
      </c>
      <c r="D815">
        <f>IF('Entry Builder'!$N$10=0,1,IF('Entry Builder'!$D$10="Less",--(INDEX(Sims!$A815:$BO815,'Entry Builder'!$L$10)&lt;'Entry Builder'!$E$10),--(INDEX(Sims!$A815:$BO815,'Entry Builder'!$L$10)&gt;'Entry Builder'!$E$10)))</f>
        <v/>
      </c>
      <c r="E815">
        <f>IF('Entry Builder'!$N$11=0,1,IF('Entry Builder'!$D$11="Less",--(INDEX(Sims!$A815:$BO815,'Entry Builder'!$L$11)&lt;'Entry Builder'!$E$11),--(INDEX(Sims!$A815:$BO815,'Entry Builder'!$L$11)&gt;'Entry Builder'!$E$11)))</f>
        <v/>
      </c>
      <c r="F815">
        <f>IF('Entry Builder'!$N$12=0,1,IF('Entry Builder'!$D$12="Less",--(INDEX(Sims!$A815:$BO815,'Entry Builder'!$L$12)&lt;'Entry Builder'!$E$12),--(INDEX(Sims!$A815:$BO815,'Entry Builder'!$L$12)&gt;'Entry Builder'!$E$12)))</f>
        <v/>
      </c>
      <c r="G815">
        <f>6-SUM(A815:F815)</f>
        <v/>
      </c>
    </row>
    <row r="816">
      <c r="A816">
        <f>IF('Entry Builder'!$N$7=0,1,IF('Entry Builder'!$D$7="Less",--(INDEX(Sims!$A816:$BO816,'Entry Builder'!$L$7)&lt;'Entry Builder'!$E$7),--(INDEX(Sims!$A816:$BO816,'Entry Builder'!$L$7)&gt;'Entry Builder'!$E$7)))</f>
        <v/>
      </c>
      <c r="B816">
        <f>IF('Entry Builder'!$N$8=0,1,IF('Entry Builder'!$D$8="Less",--(INDEX(Sims!$A816:$BO816,'Entry Builder'!$L$8)&lt;'Entry Builder'!$E$8),--(INDEX(Sims!$A816:$BO816,'Entry Builder'!$L$8)&gt;'Entry Builder'!$E$8)))</f>
        <v/>
      </c>
      <c r="C816">
        <f>IF('Entry Builder'!$N$9=0,1,IF('Entry Builder'!$D$9="Less",--(INDEX(Sims!$A816:$BO816,'Entry Builder'!$L$9)&lt;'Entry Builder'!$E$9),--(INDEX(Sims!$A816:$BO816,'Entry Builder'!$L$9)&gt;'Entry Builder'!$E$9)))</f>
        <v/>
      </c>
      <c r="D816">
        <f>IF('Entry Builder'!$N$10=0,1,IF('Entry Builder'!$D$10="Less",--(INDEX(Sims!$A816:$BO816,'Entry Builder'!$L$10)&lt;'Entry Builder'!$E$10),--(INDEX(Sims!$A816:$BO816,'Entry Builder'!$L$10)&gt;'Entry Builder'!$E$10)))</f>
        <v/>
      </c>
      <c r="E816">
        <f>IF('Entry Builder'!$N$11=0,1,IF('Entry Builder'!$D$11="Less",--(INDEX(Sims!$A816:$BO816,'Entry Builder'!$L$11)&lt;'Entry Builder'!$E$11),--(INDEX(Sims!$A816:$BO816,'Entry Builder'!$L$11)&gt;'Entry Builder'!$E$11)))</f>
        <v/>
      </c>
      <c r="F816">
        <f>IF('Entry Builder'!$N$12=0,1,IF('Entry Builder'!$D$12="Less",--(INDEX(Sims!$A816:$BO816,'Entry Builder'!$L$12)&lt;'Entry Builder'!$E$12),--(INDEX(Sims!$A816:$BO816,'Entry Builder'!$L$12)&gt;'Entry Builder'!$E$12)))</f>
        <v/>
      </c>
      <c r="G816">
        <f>6-SUM(A816:F816)</f>
        <v/>
      </c>
    </row>
    <row r="817">
      <c r="A817">
        <f>IF('Entry Builder'!$N$7=0,1,IF('Entry Builder'!$D$7="Less",--(INDEX(Sims!$A817:$BO817,'Entry Builder'!$L$7)&lt;'Entry Builder'!$E$7),--(INDEX(Sims!$A817:$BO817,'Entry Builder'!$L$7)&gt;'Entry Builder'!$E$7)))</f>
        <v/>
      </c>
      <c r="B817">
        <f>IF('Entry Builder'!$N$8=0,1,IF('Entry Builder'!$D$8="Less",--(INDEX(Sims!$A817:$BO817,'Entry Builder'!$L$8)&lt;'Entry Builder'!$E$8),--(INDEX(Sims!$A817:$BO817,'Entry Builder'!$L$8)&gt;'Entry Builder'!$E$8)))</f>
        <v/>
      </c>
      <c r="C817">
        <f>IF('Entry Builder'!$N$9=0,1,IF('Entry Builder'!$D$9="Less",--(INDEX(Sims!$A817:$BO817,'Entry Builder'!$L$9)&lt;'Entry Builder'!$E$9),--(INDEX(Sims!$A817:$BO817,'Entry Builder'!$L$9)&gt;'Entry Builder'!$E$9)))</f>
        <v/>
      </c>
      <c r="D817">
        <f>IF('Entry Builder'!$N$10=0,1,IF('Entry Builder'!$D$10="Less",--(INDEX(Sims!$A817:$BO817,'Entry Builder'!$L$10)&lt;'Entry Builder'!$E$10),--(INDEX(Sims!$A817:$BO817,'Entry Builder'!$L$10)&gt;'Entry Builder'!$E$10)))</f>
        <v/>
      </c>
      <c r="E817">
        <f>IF('Entry Builder'!$N$11=0,1,IF('Entry Builder'!$D$11="Less",--(INDEX(Sims!$A817:$BO817,'Entry Builder'!$L$11)&lt;'Entry Builder'!$E$11),--(INDEX(Sims!$A817:$BO817,'Entry Builder'!$L$11)&gt;'Entry Builder'!$E$11)))</f>
        <v/>
      </c>
      <c r="F817">
        <f>IF('Entry Builder'!$N$12=0,1,IF('Entry Builder'!$D$12="Less",--(INDEX(Sims!$A817:$BO817,'Entry Builder'!$L$12)&lt;'Entry Builder'!$E$12),--(INDEX(Sims!$A817:$BO817,'Entry Builder'!$L$12)&gt;'Entry Builder'!$E$12)))</f>
        <v/>
      </c>
      <c r="G817">
        <f>6-SUM(A817:F817)</f>
        <v/>
      </c>
    </row>
    <row r="818">
      <c r="A818">
        <f>IF('Entry Builder'!$N$7=0,1,IF('Entry Builder'!$D$7="Less",--(INDEX(Sims!$A818:$BO818,'Entry Builder'!$L$7)&lt;'Entry Builder'!$E$7),--(INDEX(Sims!$A818:$BO818,'Entry Builder'!$L$7)&gt;'Entry Builder'!$E$7)))</f>
        <v/>
      </c>
      <c r="B818">
        <f>IF('Entry Builder'!$N$8=0,1,IF('Entry Builder'!$D$8="Less",--(INDEX(Sims!$A818:$BO818,'Entry Builder'!$L$8)&lt;'Entry Builder'!$E$8),--(INDEX(Sims!$A818:$BO818,'Entry Builder'!$L$8)&gt;'Entry Builder'!$E$8)))</f>
        <v/>
      </c>
      <c r="C818">
        <f>IF('Entry Builder'!$N$9=0,1,IF('Entry Builder'!$D$9="Less",--(INDEX(Sims!$A818:$BO818,'Entry Builder'!$L$9)&lt;'Entry Builder'!$E$9),--(INDEX(Sims!$A818:$BO818,'Entry Builder'!$L$9)&gt;'Entry Builder'!$E$9)))</f>
        <v/>
      </c>
      <c r="D818">
        <f>IF('Entry Builder'!$N$10=0,1,IF('Entry Builder'!$D$10="Less",--(INDEX(Sims!$A818:$BO818,'Entry Builder'!$L$10)&lt;'Entry Builder'!$E$10),--(INDEX(Sims!$A818:$BO818,'Entry Builder'!$L$10)&gt;'Entry Builder'!$E$10)))</f>
        <v/>
      </c>
      <c r="E818">
        <f>IF('Entry Builder'!$N$11=0,1,IF('Entry Builder'!$D$11="Less",--(INDEX(Sims!$A818:$BO818,'Entry Builder'!$L$11)&lt;'Entry Builder'!$E$11),--(INDEX(Sims!$A818:$BO818,'Entry Builder'!$L$11)&gt;'Entry Builder'!$E$11)))</f>
        <v/>
      </c>
      <c r="F818">
        <f>IF('Entry Builder'!$N$12=0,1,IF('Entry Builder'!$D$12="Less",--(INDEX(Sims!$A818:$BO818,'Entry Builder'!$L$12)&lt;'Entry Builder'!$E$12),--(INDEX(Sims!$A818:$BO818,'Entry Builder'!$L$12)&gt;'Entry Builder'!$E$12)))</f>
        <v/>
      </c>
      <c r="G818">
        <f>6-SUM(A818:F818)</f>
        <v/>
      </c>
    </row>
    <row r="819">
      <c r="A819">
        <f>IF('Entry Builder'!$N$7=0,1,IF('Entry Builder'!$D$7="Less",--(INDEX(Sims!$A819:$BO819,'Entry Builder'!$L$7)&lt;'Entry Builder'!$E$7),--(INDEX(Sims!$A819:$BO819,'Entry Builder'!$L$7)&gt;'Entry Builder'!$E$7)))</f>
        <v/>
      </c>
      <c r="B819">
        <f>IF('Entry Builder'!$N$8=0,1,IF('Entry Builder'!$D$8="Less",--(INDEX(Sims!$A819:$BO819,'Entry Builder'!$L$8)&lt;'Entry Builder'!$E$8),--(INDEX(Sims!$A819:$BO819,'Entry Builder'!$L$8)&gt;'Entry Builder'!$E$8)))</f>
        <v/>
      </c>
      <c r="C819">
        <f>IF('Entry Builder'!$N$9=0,1,IF('Entry Builder'!$D$9="Less",--(INDEX(Sims!$A819:$BO819,'Entry Builder'!$L$9)&lt;'Entry Builder'!$E$9),--(INDEX(Sims!$A819:$BO819,'Entry Builder'!$L$9)&gt;'Entry Builder'!$E$9)))</f>
        <v/>
      </c>
      <c r="D819">
        <f>IF('Entry Builder'!$N$10=0,1,IF('Entry Builder'!$D$10="Less",--(INDEX(Sims!$A819:$BO819,'Entry Builder'!$L$10)&lt;'Entry Builder'!$E$10),--(INDEX(Sims!$A819:$BO819,'Entry Builder'!$L$10)&gt;'Entry Builder'!$E$10)))</f>
        <v/>
      </c>
      <c r="E819">
        <f>IF('Entry Builder'!$N$11=0,1,IF('Entry Builder'!$D$11="Less",--(INDEX(Sims!$A819:$BO819,'Entry Builder'!$L$11)&lt;'Entry Builder'!$E$11),--(INDEX(Sims!$A819:$BO819,'Entry Builder'!$L$11)&gt;'Entry Builder'!$E$11)))</f>
        <v/>
      </c>
      <c r="F819">
        <f>IF('Entry Builder'!$N$12=0,1,IF('Entry Builder'!$D$12="Less",--(INDEX(Sims!$A819:$BO819,'Entry Builder'!$L$12)&lt;'Entry Builder'!$E$12),--(INDEX(Sims!$A819:$BO819,'Entry Builder'!$L$12)&gt;'Entry Builder'!$E$12)))</f>
        <v/>
      </c>
      <c r="G819">
        <f>6-SUM(A819:F819)</f>
        <v/>
      </c>
    </row>
    <row r="820">
      <c r="A820">
        <f>IF('Entry Builder'!$N$7=0,1,IF('Entry Builder'!$D$7="Less",--(INDEX(Sims!$A820:$BO820,'Entry Builder'!$L$7)&lt;'Entry Builder'!$E$7),--(INDEX(Sims!$A820:$BO820,'Entry Builder'!$L$7)&gt;'Entry Builder'!$E$7)))</f>
        <v/>
      </c>
      <c r="B820">
        <f>IF('Entry Builder'!$N$8=0,1,IF('Entry Builder'!$D$8="Less",--(INDEX(Sims!$A820:$BO820,'Entry Builder'!$L$8)&lt;'Entry Builder'!$E$8),--(INDEX(Sims!$A820:$BO820,'Entry Builder'!$L$8)&gt;'Entry Builder'!$E$8)))</f>
        <v/>
      </c>
      <c r="C820">
        <f>IF('Entry Builder'!$N$9=0,1,IF('Entry Builder'!$D$9="Less",--(INDEX(Sims!$A820:$BO820,'Entry Builder'!$L$9)&lt;'Entry Builder'!$E$9),--(INDEX(Sims!$A820:$BO820,'Entry Builder'!$L$9)&gt;'Entry Builder'!$E$9)))</f>
        <v/>
      </c>
      <c r="D820">
        <f>IF('Entry Builder'!$N$10=0,1,IF('Entry Builder'!$D$10="Less",--(INDEX(Sims!$A820:$BO820,'Entry Builder'!$L$10)&lt;'Entry Builder'!$E$10),--(INDEX(Sims!$A820:$BO820,'Entry Builder'!$L$10)&gt;'Entry Builder'!$E$10)))</f>
        <v/>
      </c>
      <c r="E820">
        <f>IF('Entry Builder'!$N$11=0,1,IF('Entry Builder'!$D$11="Less",--(INDEX(Sims!$A820:$BO820,'Entry Builder'!$L$11)&lt;'Entry Builder'!$E$11),--(INDEX(Sims!$A820:$BO820,'Entry Builder'!$L$11)&gt;'Entry Builder'!$E$11)))</f>
        <v/>
      </c>
      <c r="F820">
        <f>IF('Entry Builder'!$N$12=0,1,IF('Entry Builder'!$D$12="Less",--(INDEX(Sims!$A820:$BO820,'Entry Builder'!$L$12)&lt;'Entry Builder'!$E$12),--(INDEX(Sims!$A820:$BO820,'Entry Builder'!$L$12)&gt;'Entry Builder'!$E$12)))</f>
        <v/>
      </c>
      <c r="G820">
        <f>6-SUM(A820:F820)</f>
        <v/>
      </c>
    </row>
    <row r="821">
      <c r="A821">
        <f>IF('Entry Builder'!$N$7=0,1,IF('Entry Builder'!$D$7="Less",--(INDEX(Sims!$A821:$BO821,'Entry Builder'!$L$7)&lt;'Entry Builder'!$E$7),--(INDEX(Sims!$A821:$BO821,'Entry Builder'!$L$7)&gt;'Entry Builder'!$E$7)))</f>
        <v/>
      </c>
      <c r="B821">
        <f>IF('Entry Builder'!$N$8=0,1,IF('Entry Builder'!$D$8="Less",--(INDEX(Sims!$A821:$BO821,'Entry Builder'!$L$8)&lt;'Entry Builder'!$E$8),--(INDEX(Sims!$A821:$BO821,'Entry Builder'!$L$8)&gt;'Entry Builder'!$E$8)))</f>
        <v/>
      </c>
      <c r="C821">
        <f>IF('Entry Builder'!$N$9=0,1,IF('Entry Builder'!$D$9="Less",--(INDEX(Sims!$A821:$BO821,'Entry Builder'!$L$9)&lt;'Entry Builder'!$E$9),--(INDEX(Sims!$A821:$BO821,'Entry Builder'!$L$9)&gt;'Entry Builder'!$E$9)))</f>
        <v/>
      </c>
      <c r="D821">
        <f>IF('Entry Builder'!$N$10=0,1,IF('Entry Builder'!$D$10="Less",--(INDEX(Sims!$A821:$BO821,'Entry Builder'!$L$10)&lt;'Entry Builder'!$E$10),--(INDEX(Sims!$A821:$BO821,'Entry Builder'!$L$10)&gt;'Entry Builder'!$E$10)))</f>
        <v/>
      </c>
      <c r="E821">
        <f>IF('Entry Builder'!$N$11=0,1,IF('Entry Builder'!$D$11="Less",--(INDEX(Sims!$A821:$BO821,'Entry Builder'!$L$11)&lt;'Entry Builder'!$E$11),--(INDEX(Sims!$A821:$BO821,'Entry Builder'!$L$11)&gt;'Entry Builder'!$E$11)))</f>
        <v/>
      </c>
      <c r="F821">
        <f>IF('Entry Builder'!$N$12=0,1,IF('Entry Builder'!$D$12="Less",--(INDEX(Sims!$A821:$BO821,'Entry Builder'!$L$12)&lt;'Entry Builder'!$E$12),--(INDEX(Sims!$A821:$BO821,'Entry Builder'!$L$12)&gt;'Entry Builder'!$E$12)))</f>
        <v/>
      </c>
      <c r="G821">
        <f>6-SUM(A821:F821)</f>
        <v/>
      </c>
    </row>
    <row r="822">
      <c r="A822">
        <f>IF('Entry Builder'!$N$7=0,1,IF('Entry Builder'!$D$7="Less",--(INDEX(Sims!$A822:$BO822,'Entry Builder'!$L$7)&lt;'Entry Builder'!$E$7),--(INDEX(Sims!$A822:$BO822,'Entry Builder'!$L$7)&gt;'Entry Builder'!$E$7)))</f>
        <v/>
      </c>
      <c r="B822">
        <f>IF('Entry Builder'!$N$8=0,1,IF('Entry Builder'!$D$8="Less",--(INDEX(Sims!$A822:$BO822,'Entry Builder'!$L$8)&lt;'Entry Builder'!$E$8),--(INDEX(Sims!$A822:$BO822,'Entry Builder'!$L$8)&gt;'Entry Builder'!$E$8)))</f>
        <v/>
      </c>
      <c r="C822">
        <f>IF('Entry Builder'!$N$9=0,1,IF('Entry Builder'!$D$9="Less",--(INDEX(Sims!$A822:$BO822,'Entry Builder'!$L$9)&lt;'Entry Builder'!$E$9),--(INDEX(Sims!$A822:$BO822,'Entry Builder'!$L$9)&gt;'Entry Builder'!$E$9)))</f>
        <v/>
      </c>
      <c r="D822">
        <f>IF('Entry Builder'!$N$10=0,1,IF('Entry Builder'!$D$10="Less",--(INDEX(Sims!$A822:$BO822,'Entry Builder'!$L$10)&lt;'Entry Builder'!$E$10),--(INDEX(Sims!$A822:$BO822,'Entry Builder'!$L$10)&gt;'Entry Builder'!$E$10)))</f>
        <v/>
      </c>
      <c r="E822">
        <f>IF('Entry Builder'!$N$11=0,1,IF('Entry Builder'!$D$11="Less",--(INDEX(Sims!$A822:$BO822,'Entry Builder'!$L$11)&lt;'Entry Builder'!$E$11),--(INDEX(Sims!$A822:$BO822,'Entry Builder'!$L$11)&gt;'Entry Builder'!$E$11)))</f>
        <v/>
      </c>
      <c r="F822">
        <f>IF('Entry Builder'!$N$12=0,1,IF('Entry Builder'!$D$12="Less",--(INDEX(Sims!$A822:$BO822,'Entry Builder'!$L$12)&lt;'Entry Builder'!$E$12),--(INDEX(Sims!$A822:$BO822,'Entry Builder'!$L$12)&gt;'Entry Builder'!$E$12)))</f>
        <v/>
      </c>
      <c r="G822">
        <f>6-SUM(A822:F822)</f>
        <v/>
      </c>
    </row>
    <row r="823">
      <c r="A823">
        <f>IF('Entry Builder'!$N$7=0,1,IF('Entry Builder'!$D$7="Less",--(INDEX(Sims!$A823:$BO823,'Entry Builder'!$L$7)&lt;'Entry Builder'!$E$7),--(INDEX(Sims!$A823:$BO823,'Entry Builder'!$L$7)&gt;'Entry Builder'!$E$7)))</f>
        <v/>
      </c>
      <c r="B823">
        <f>IF('Entry Builder'!$N$8=0,1,IF('Entry Builder'!$D$8="Less",--(INDEX(Sims!$A823:$BO823,'Entry Builder'!$L$8)&lt;'Entry Builder'!$E$8),--(INDEX(Sims!$A823:$BO823,'Entry Builder'!$L$8)&gt;'Entry Builder'!$E$8)))</f>
        <v/>
      </c>
      <c r="C823">
        <f>IF('Entry Builder'!$N$9=0,1,IF('Entry Builder'!$D$9="Less",--(INDEX(Sims!$A823:$BO823,'Entry Builder'!$L$9)&lt;'Entry Builder'!$E$9),--(INDEX(Sims!$A823:$BO823,'Entry Builder'!$L$9)&gt;'Entry Builder'!$E$9)))</f>
        <v/>
      </c>
      <c r="D823">
        <f>IF('Entry Builder'!$N$10=0,1,IF('Entry Builder'!$D$10="Less",--(INDEX(Sims!$A823:$BO823,'Entry Builder'!$L$10)&lt;'Entry Builder'!$E$10),--(INDEX(Sims!$A823:$BO823,'Entry Builder'!$L$10)&gt;'Entry Builder'!$E$10)))</f>
        <v/>
      </c>
      <c r="E823">
        <f>IF('Entry Builder'!$N$11=0,1,IF('Entry Builder'!$D$11="Less",--(INDEX(Sims!$A823:$BO823,'Entry Builder'!$L$11)&lt;'Entry Builder'!$E$11),--(INDEX(Sims!$A823:$BO823,'Entry Builder'!$L$11)&gt;'Entry Builder'!$E$11)))</f>
        <v/>
      </c>
      <c r="F823">
        <f>IF('Entry Builder'!$N$12=0,1,IF('Entry Builder'!$D$12="Less",--(INDEX(Sims!$A823:$BO823,'Entry Builder'!$L$12)&lt;'Entry Builder'!$E$12),--(INDEX(Sims!$A823:$BO823,'Entry Builder'!$L$12)&gt;'Entry Builder'!$E$12)))</f>
        <v/>
      </c>
      <c r="G823">
        <f>6-SUM(A823:F823)</f>
        <v/>
      </c>
    </row>
    <row r="824">
      <c r="A824">
        <f>IF('Entry Builder'!$N$7=0,1,IF('Entry Builder'!$D$7="Less",--(INDEX(Sims!$A824:$BO824,'Entry Builder'!$L$7)&lt;'Entry Builder'!$E$7),--(INDEX(Sims!$A824:$BO824,'Entry Builder'!$L$7)&gt;'Entry Builder'!$E$7)))</f>
        <v/>
      </c>
      <c r="B824">
        <f>IF('Entry Builder'!$N$8=0,1,IF('Entry Builder'!$D$8="Less",--(INDEX(Sims!$A824:$BO824,'Entry Builder'!$L$8)&lt;'Entry Builder'!$E$8),--(INDEX(Sims!$A824:$BO824,'Entry Builder'!$L$8)&gt;'Entry Builder'!$E$8)))</f>
        <v/>
      </c>
      <c r="C824">
        <f>IF('Entry Builder'!$N$9=0,1,IF('Entry Builder'!$D$9="Less",--(INDEX(Sims!$A824:$BO824,'Entry Builder'!$L$9)&lt;'Entry Builder'!$E$9),--(INDEX(Sims!$A824:$BO824,'Entry Builder'!$L$9)&gt;'Entry Builder'!$E$9)))</f>
        <v/>
      </c>
      <c r="D824">
        <f>IF('Entry Builder'!$N$10=0,1,IF('Entry Builder'!$D$10="Less",--(INDEX(Sims!$A824:$BO824,'Entry Builder'!$L$10)&lt;'Entry Builder'!$E$10),--(INDEX(Sims!$A824:$BO824,'Entry Builder'!$L$10)&gt;'Entry Builder'!$E$10)))</f>
        <v/>
      </c>
      <c r="E824">
        <f>IF('Entry Builder'!$N$11=0,1,IF('Entry Builder'!$D$11="Less",--(INDEX(Sims!$A824:$BO824,'Entry Builder'!$L$11)&lt;'Entry Builder'!$E$11),--(INDEX(Sims!$A824:$BO824,'Entry Builder'!$L$11)&gt;'Entry Builder'!$E$11)))</f>
        <v/>
      </c>
      <c r="F824">
        <f>IF('Entry Builder'!$N$12=0,1,IF('Entry Builder'!$D$12="Less",--(INDEX(Sims!$A824:$BO824,'Entry Builder'!$L$12)&lt;'Entry Builder'!$E$12),--(INDEX(Sims!$A824:$BO824,'Entry Builder'!$L$12)&gt;'Entry Builder'!$E$12)))</f>
        <v/>
      </c>
      <c r="G824">
        <f>6-SUM(A824:F824)</f>
        <v/>
      </c>
    </row>
    <row r="825">
      <c r="A825">
        <f>IF('Entry Builder'!$N$7=0,1,IF('Entry Builder'!$D$7="Less",--(INDEX(Sims!$A825:$BO825,'Entry Builder'!$L$7)&lt;'Entry Builder'!$E$7),--(INDEX(Sims!$A825:$BO825,'Entry Builder'!$L$7)&gt;'Entry Builder'!$E$7)))</f>
        <v/>
      </c>
      <c r="B825">
        <f>IF('Entry Builder'!$N$8=0,1,IF('Entry Builder'!$D$8="Less",--(INDEX(Sims!$A825:$BO825,'Entry Builder'!$L$8)&lt;'Entry Builder'!$E$8),--(INDEX(Sims!$A825:$BO825,'Entry Builder'!$L$8)&gt;'Entry Builder'!$E$8)))</f>
        <v/>
      </c>
      <c r="C825">
        <f>IF('Entry Builder'!$N$9=0,1,IF('Entry Builder'!$D$9="Less",--(INDEX(Sims!$A825:$BO825,'Entry Builder'!$L$9)&lt;'Entry Builder'!$E$9),--(INDEX(Sims!$A825:$BO825,'Entry Builder'!$L$9)&gt;'Entry Builder'!$E$9)))</f>
        <v/>
      </c>
      <c r="D825">
        <f>IF('Entry Builder'!$N$10=0,1,IF('Entry Builder'!$D$10="Less",--(INDEX(Sims!$A825:$BO825,'Entry Builder'!$L$10)&lt;'Entry Builder'!$E$10),--(INDEX(Sims!$A825:$BO825,'Entry Builder'!$L$10)&gt;'Entry Builder'!$E$10)))</f>
        <v/>
      </c>
      <c r="E825">
        <f>IF('Entry Builder'!$N$11=0,1,IF('Entry Builder'!$D$11="Less",--(INDEX(Sims!$A825:$BO825,'Entry Builder'!$L$11)&lt;'Entry Builder'!$E$11),--(INDEX(Sims!$A825:$BO825,'Entry Builder'!$L$11)&gt;'Entry Builder'!$E$11)))</f>
        <v/>
      </c>
      <c r="F825">
        <f>IF('Entry Builder'!$N$12=0,1,IF('Entry Builder'!$D$12="Less",--(INDEX(Sims!$A825:$BO825,'Entry Builder'!$L$12)&lt;'Entry Builder'!$E$12),--(INDEX(Sims!$A825:$BO825,'Entry Builder'!$L$12)&gt;'Entry Builder'!$E$12)))</f>
        <v/>
      </c>
      <c r="G825">
        <f>6-SUM(A825:F825)</f>
        <v/>
      </c>
    </row>
    <row r="826">
      <c r="A826">
        <f>IF('Entry Builder'!$N$7=0,1,IF('Entry Builder'!$D$7="Less",--(INDEX(Sims!$A826:$BO826,'Entry Builder'!$L$7)&lt;'Entry Builder'!$E$7),--(INDEX(Sims!$A826:$BO826,'Entry Builder'!$L$7)&gt;'Entry Builder'!$E$7)))</f>
        <v/>
      </c>
      <c r="B826">
        <f>IF('Entry Builder'!$N$8=0,1,IF('Entry Builder'!$D$8="Less",--(INDEX(Sims!$A826:$BO826,'Entry Builder'!$L$8)&lt;'Entry Builder'!$E$8),--(INDEX(Sims!$A826:$BO826,'Entry Builder'!$L$8)&gt;'Entry Builder'!$E$8)))</f>
        <v/>
      </c>
      <c r="C826">
        <f>IF('Entry Builder'!$N$9=0,1,IF('Entry Builder'!$D$9="Less",--(INDEX(Sims!$A826:$BO826,'Entry Builder'!$L$9)&lt;'Entry Builder'!$E$9),--(INDEX(Sims!$A826:$BO826,'Entry Builder'!$L$9)&gt;'Entry Builder'!$E$9)))</f>
        <v/>
      </c>
      <c r="D826">
        <f>IF('Entry Builder'!$N$10=0,1,IF('Entry Builder'!$D$10="Less",--(INDEX(Sims!$A826:$BO826,'Entry Builder'!$L$10)&lt;'Entry Builder'!$E$10),--(INDEX(Sims!$A826:$BO826,'Entry Builder'!$L$10)&gt;'Entry Builder'!$E$10)))</f>
        <v/>
      </c>
      <c r="E826">
        <f>IF('Entry Builder'!$N$11=0,1,IF('Entry Builder'!$D$11="Less",--(INDEX(Sims!$A826:$BO826,'Entry Builder'!$L$11)&lt;'Entry Builder'!$E$11),--(INDEX(Sims!$A826:$BO826,'Entry Builder'!$L$11)&gt;'Entry Builder'!$E$11)))</f>
        <v/>
      </c>
      <c r="F826">
        <f>IF('Entry Builder'!$N$12=0,1,IF('Entry Builder'!$D$12="Less",--(INDEX(Sims!$A826:$BO826,'Entry Builder'!$L$12)&lt;'Entry Builder'!$E$12),--(INDEX(Sims!$A826:$BO826,'Entry Builder'!$L$12)&gt;'Entry Builder'!$E$12)))</f>
        <v/>
      </c>
      <c r="G826">
        <f>6-SUM(A826:F826)</f>
        <v/>
      </c>
    </row>
    <row r="827">
      <c r="A827">
        <f>IF('Entry Builder'!$N$7=0,1,IF('Entry Builder'!$D$7="Less",--(INDEX(Sims!$A827:$BO827,'Entry Builder'!$L$7)&lt;'Entry Builder'!$E$7),--(INDEX(Sims!$A827:$BO827,'Entry Builder'!$L$7)&gt;'Entry Builder'!$E$7)))</f>
        <v/>
      </c>
      <c r="B827">
        <f>IF('Entry Builder'!$N$8=0,1,IF('Entry Builder'!$D$8="Less",--(INDEX(Sims!$A827:$BO827,'Entry Builder'!$L$8)&lt;'Entry Builder'!$E$8),--(INDEX(Sims!$A827:$BO827,'Entry Builder'!$L$8)&gt;'Entry Builder'!$E$8)))</f>
        <v/>
      </c>
      <c r="C827">
        <f>IF('Entry Builder'!$N$9=0,1,IF('Entry Builder'!$D$9="Less",--(INDEX(Sims!$A827:$BO827,'Entry Builder'!$L$9)&lt;'Entry Builder'!$E$9),--(INDEX(Sims!$A827:$BO827,'Entry Builder'!$L$9)&gt;'Entry Builder'!$E$9)))</f>
        <v/>
      </c>
      <c r="D827">
        <f>IF('Entry Builder'!$N$10=0,1,IF('Entry Builder'!$D$10="Less",--(INDEX(Sims!$A827:$BO827,'Entry Builder'!$L$10)&lt;'Entry Builder'!$E$10),--(INDEX(Sims!$A827:$BO827,'Entry Builder'!$L$10)&gt;'Entry Builder'!$E$10)))</f>
        <v/>
      </c>
      <c r="E827">
        <f>IF('Entry Builder'!$N$11=0,1,IF('Entry Builder'!$D$11="Less",--(INDEX(Sims!$A827:$BO827,'Entry Builder'!$L$11)&lt;'Entry Builder'!$E$11),--(INDEX(Sims!$A827:$BO827,'Entry Builder'!$L$11)&gt;'Entry Builder'!$E$11)))</f>
        <v/>
      </c>
      <c r="F827">
        <f>IF('Entry Builder'!$N$12=0,1,IF('Entry Builder'!$D$12="Less",--(INDEX(Sims!$A827:$BO827,'Entry Builder'!$L$12)&lt;'Entry Builder'!$E$12),--(INDEX(Sims!$A827:$BO827,'Entry Builder'!$L$12)&gt;'Entry Builder'!$E$12)))</f>
        <v/>
      </c>
      <c r="G827">
        <f>6-SUM(A827:F827)</f>
        <v/>
      </c>
    </row>
    <row r="828">
      <c r="A828">
        <f>IF('Entry Builder'!$N$7=0,1,IF('Entry Builder'!$D$7="Less",--(INDEX(Sims!$A828:$BO828,'Entry Builder'!$L$7)&lt;'Entry Builder'!$E$7),--(INDEX(Sims!$A828:$BO828,'Entry Builder'!$L$7)&gt;'Entry Builder'!$E$7)))</f>
        <v/>
      </c>
      <c r="B828">
        <f>IF('Entry Builder'!$N$8=0,1,IF('Entry Builder'!$D$8="Less",--(INDEX(Sims!$A828:$BO828,'Entry Builder'!$L$8)&lt;'Entry Builder'!$E$8),--(INDEX(Sims!$A828:$BO828,'Entry Builder'!$L$8)&gt;'Entry Builder'!$E$8)))</f>
        <v/>
      </c>
      <c r="C828">
        <f>IF('Entry Builder'!$N$9=0,1,IF('Entry Builder'!$D$9="Less",--(INDEX(Sims!$A828:$BO828,'Entry Builder'!$L$9)&lt;'Entry Builder'!$E$9),--(INDEX(Sims!$A828:$BO828,'Entry Builder'!$L$9)&gt;'Entry Builder'!$E$9)))</f>
        <v/>
      </c>
      <c r="D828">
        <f>IF('Entry Builder'!$N$10=0,1,IF('Entry Builder'!$D$10="Less",--(INDEX(Sims!$A828:$BO828,'Entry Builder'!$L$10)&lt;'Entry Builder'!$E$10),--(INDEX(Sims!$A828:$BO828,'Entry Builder'!$L$10)&gt;'Entry Builder'!$E$10)))</f>
        <v/>
      </c>
      <c r="E828">
        <f>IF('Entry Builder'!$N$11=0,1,IF('Entry Builder'!$D$11="Less",--(INDEX(Sims!$A828:$BO828,'Entry Builder'!$L$11)&lt;'Entry Builder'!$E$11),--(INDEX(Sims!$A828:$BO828,'Entry Builder'!$L$11)&gt;'Entry Builder'!$E$11)))</f>
        <v/>
      </c>
      <c r="F828">
        <f>IF('Entry Builder'!$N$12=0,1,IF('Entry Builder'!$D$12="Less",--(INDEX(Sims!$A828:$BO828,'Entry Builder'!$L$12)&lt;'Entry Builder'!$E$12),--(INDEX(Sims!$A828:$BO828,'Entry Builder'!$L$12)&gt;'Entry Builder'!$E$12)))</f>
        <v/>
      </c>
      <c r="G828">
        <f>6-SUM(A828:F828)</f>
        <v/>
      </c>
    </row>
    <row r="829">
      <c r="A829">
        <f>IF('Entry Builder'!$N$7=0,1,IF('Entry Builder'!$D$7="Less",--(INDEX(Sims!$A829:$BO829,'Entry Builder'!$L$7)&lt;'Entry Builder'!$E$7),--(INDEX(Sims!$A829:$BO829,'Entry Builder'!$L$7)&gt;'Entry Builder'!$E$7)))</f>
        <v/>
      </c>
      <c r="B829">
        <f>IF('Entry Builder'!$N$8=0,1,IF('Entry Builder'!$D$8="Less",--(INDEX(Sims!$A829:$BO829,'Entry Builder'!$L$8)&lt;'Entry Builder'!$E$8),--(INDEX(Sims!$A829:$BO829,'Entry Builder'!$L$8)&gt;'Entry Builder'!$E$8)))</f>
        <v/>
      </c>
      <c r="C829">
        <f>IF('Entry Builder'!$N$9=0,1,IF('Entry Builder'!$D$9="Less",--(INDEX(Sims!$A829:$BO829,'Entry Builder'!$L$9)&lt;'Entry Builder'!$E$9),--(INDEX(Sims!$A829:$BO829,'Entry Builder'!$L$9)&gt;'Entry Builder'!$E$9)))</f>
        <v/>
      </c>
      <c r="D829">
        <f>IF('Entry Builder'!$N$10=0,1,IF('Entry Builder'!$D$10="Less",--(INDEX(Sims!$A829:$BO829,'Entry Builder'!$L$10)&lt;'Entry Builder'!$E$10),--(INDEX(Sims!$A829:$BO829,'Entry Builder'!$L$10)&gt;'Entry Builder'!$E$10)))</f>
        <v/>
      </c>
      <c r="E829">
        <f>IF('Entry Builder'!$N$11=0,1,IF('Entry Builder'!$D$11="Less",--(INDEX(Sims!$A829:$BO829,'Entry Builder'!$L$11)&lt;'Entry Builder'!$E$11),--(INDEX(Sims!$A829:$BO829,'Entry Builder'!$L$11)&gt;'Entry Builder'!$E$11)))</f>
        <v/>
      </c>
      <c r="F829">
        <f>IF('Entry Builder'!$N$12=0,1,IF('Entry Builder'!$D$12="Less",--(INDEX(Sims!$A829:$BO829,'Entry Builder'!$L$12)&lt;'Entry Builder'!$E$12),--(INDEX(Sims!$A829:$BO829,'Entry Builder'!$L$12)&gt;'Entry Builder'!$E$12)))</f>
        <v/>
      </c>
      <c r="G829">
        <f>6-SUM(A829:F829)</f>
        <v/>
      </c>
    </row>
    <row r="830">
      <c r="A830">
        <f>IF('Entry Builder'!$N$7=0,1,IF('Entry Builder'!$D$7="Less",--(INDEX(Sims!$A830:$BO830,'Entry Builder'!$L$7)&lt;'Entry Builder'!$E$7),--(INDEX(Sims!$A830:$BO830,'Entry Builder'!$L$7)&gt;'Entry Builder'!$E$7)))</f>
        <v/>
      </c>
      <c r="B830">
        <f>IF('Entry Builder'!$N$8=0,1,IF('Entry Builder'!$D$8="Less",--(INDEX(Sims!$A830:$BO830,'Entry Builder'!$L$8)&lt;'Entry Builder'!$E$8),--(INDEX(Sims!$A830:$BO830,'Entry Builder'!$L$8)&gt;'Entry Builder'!$E$8)))</f>
        <v/>
      </c>
      <c r="C830">
        <f>IF('Entry Builder'!$N$9=0,1,IF('Entry Builder'!$D$9="Less",--(INDEX(Sims!$A830:$BO830,'Entry Builder'!$L$9)&lt;'Entry Builder'!$E$9),--(INDEX(Sims!$A830:$BO830,'Entry Builder'!$L$9)&gt;'Entry Builder'!$E$9)))</f>
        <v/>
      </c>
      <c r="D830">
        <f>IF('Entry Builder'!$N$10=0,1,IF('Entry Builder'!$D$10="Less",--(INDEX(Sims!$A830:$BO830,'Entry Builder'!$L$10)&lt;'Entry Builder'!$E$10),--(INDEX(Sims!$A830:$BO830,'Entry Builder'!$L$10)&gt;'Entry Builder'!$E$10)))</f>
        <v/>
      </c>
      <c r="E830">
        <f>IF('Entry Builder'!$N$11=0,1,IF('Entry Builder'!$D$11="Less",--(INDEX(Sims!$A830:$BO830,'Entry Builder'!$L$11)&lt;'Entry Builder'!$E$11),--(INDEX(Sims!$A830:$BO830,'Entry Builder'!$L$11)&gt;'Entry Builder'!$E$11)))</f>
        <v/>
      </c>
      <c r="F830">
        <f>IF('Entry Builder'!$N$12=0,1,IF('Entry Builder'!$D$12="Less",--(INDEX(Sims!$A830:$BO830,'Entry Builder'!$L$12)&lt;'Entry Builder'!$E$12),--(INDEX(Sims!$A830:$BO830,'Entry Builder'!$L$12)&gt;'Entry Builder'!$E$12)))</f>
        <v/>
      </c>
      <c r="G830">
        <f>6-SUM(A830:F830)</f>
        <v/>
      </c>
    </row>
    <row r="831">
      <c r="A831">
        <f>IF('Entry Builder'!$N$7=0,1,IF('Entry Builder'!$D$7="Less",--(INDEX(Sims!$A831:$BO831,'Entry Builder'!$L$7)&lt;'Entry Builder'!$E$7),--(INDEX(Sims!$A831:$BO831,'Entry Builder'!$L$7)&gt;'Entry Builder'!$E$7)))</f>
        <v/>
      </c>
      <c r="B831">
        <f>IF('Entry Builder'!$N$8=0,1,IF('Entry Builder'!$D$8="Less",--(INDEX(Sims!$A831:$BO831,'Entry Builder'!$L$8)&lt;'Entry Builder'!$E$8),--(INDEX(Sims!$A831:$BO831,'Entry Builder'!$L$8)&gt;'Entry Builder'!$E$8)))</f>
        <v/>
      </c>
      <c r="C831">
        <f>IF('Entry Builder'!$N$9=0,1,IF('Entry Builder'!$D$9="Less",--(INDEX(Sims!$A831:$BO831,'Entry Builder'!$L$9)&lt;'Entry Builder'!$E$9),--(INDEX(Sims!$A831:$BO831,'Entry Builder'!$L$9)&gt;'Entry Builder'!$E$9)))</f>
        <v/>
      </c>
      <c r="D831">
        <f>IF('Entry Builder'!$N$10=0,1,IF('Entry Builder'!$D$10="Less",--(INDEX(Sims!$A831:$BO831,'Entry Builder'!$L$10)&lt;'Entry Builder'!$E$10),--(INDEX(Sims!$A831:$BO831,'Entry Builder'!$L$10)&gt;'Entry Builder'!$E$10)))</f>
        <v/>
      </c>
      <c r="E831">
        <f>IF('Entry Builder'!$N$11=0,1,IF('Entry Builder'!$D$11="Less",--(INDEX(Sims!$A831:$BO831,'Entry Builder'!$L$11)&lt;'Entry Builder'!$E$11),--(INDEX(Sims!$A831:$BO831,'Entry Builder'!$L$11)&gt;'Entry Builder'!$E$11)))</f>
        <v/>
      </c>
      <c r="F831">
        <f>IF('Entry Builder'!$N$12=0,1,IF('Entry Builder'!$D$12="Less",--(INDEX(Sims!$A831:$BO831,'Entry Builder'!$L$12)&lt;'Entry Builder'!$E$12),--(INDEX(Sims!$A831:$BO831,'Entry Builder'!$L$12)&gt;'Entry Builder'!$E$12)))</f>
        <v/>
      </c>
      <c r="G831">
        <f>6-SUM(A831:F831)</f>
        <v/>
      </c>
    </row>
    <row r="832">
      <c r="A832">
        <f>IF('Entry Builder'!$N$7=0,1,IF('Entry Builder'!$D$7="Less",--(INDEX(Sims!$A832:$BO832,'Entry Builder'!$L$7)&lt;'Entry Builder'!$E$7),--(INDEX(Sims!$A832:$BO832,'Entry Builder'!$L$7)&gt;'Entry Builder'!$E$7)))</f>
        <v/>
      </c>
      <c r="B832">
        <f>IF('Entry Builder'!$N$8=0,1,IF('Entry Builder'!$D$8="Less",--(INDEX(Sims!$A832:$BO832,'Entry Builder'!$L$8)&lt;'Entry Builder'!$E$8),--(INDEX(Sims!$A832:$BO832,'Entry Builder'!$L$8)&gt;'Entry Builder'!$E$8)))</f>
        <v/>
      </c>
      <c r="C832">
        <f>IF('Entry Builder'!$N$9=0,1,IF('Entry Builder'!$D$9="Less",--(INDEX(Sims!$A832:$BO832,'Entry Builder'!$L$9)&lt;'Entry Builder'!$E$9),--(INDEX(Sims!$A832:$BO832,'Entry Builder'!$L$9)&gt;'Entry Builder'!$E$9)))</f>
        <v/>
      </c>
      <c r="D832">
        <f>IF('Entry Builder'!$N$10=0,1,IF('Entry Builder'!$D$10="Less",--(INDEX(Sims!$A832:$BO832,'Entry Builder'!$L$10)&lt;'Entry Builder'!$E$10),--(INDEX(Sims!$A832:$BO832,'Entry Builder'!$L$10)&gt;'Entry Builder'!$E$10)))</f>
        <v/>
      </c>
      <c r="E832">
        <f>IF('Entry Builder'!$N$11=0,1,IF('Entry Builder'!$D$11="Less",--(INDEX(Sims!$A832:$BO832,'Entry Builder'!$L$11)&lt;'Entry Builder'!$E$11),--(INDEX(Sims!$A832:$BO832,'Entry Builder'!$L$11)&gt;'Entry Builder'!$E$11)))</f>
        <v/>
      </c>
      <c r="F832">
        <f>IF('Entry Builder'!$N$12=0,1,IF('Entry Builder'!$D$12="Less",--(INDEX(Sims!$A832:$BO832,'Entry Builder'!$L$12)&lt;'Entry Builder'!$E$12),--(INDEX(Sims!$A832:$BO832,'Entry Builder'!$L$12)&gt;'Entry Builder'!$E$12)))</f>
        <v/>
      </c>
      <c r="G832">
        <f>6-SUM(A832:F832)</f>
        <v/>
      </c>
    </row>
    <row r="833">
      <c r="A833">
        <f>IF('Entry Builder'!$N$7=0,1,IF('Entry Builder'!$D$7="Less",--(INDEX(Sims!$A833:$BO833,'Entry Builder'!$L$7)&lt;'Entry Builder'!$E$7),--(INDEX(Sims!$A833:$BO833,'Entry Builder'!$L$7)&gt;'Entry Builder'!$E$7)))</f>
        <v/>
      </c>
      <c r="B833">
        <f>IF('Entry Builder'!$N$8=0,1,IF('Entry Builder'!$D$8="Less",--(INDEX(Sims!$A833:$BO833,'Entry Builder'!$L$8)&lt;'Entry Builder'!$E$8),--(INDEX(Sims!$A833:$BO833,'Entry Builder'!$L$8)&gt;'Entry Builder'!$E$8)))</f>
        <v/>
      </c>
      <c r="C833">
        <f>IF('Entry Builder'!$N$9=0,1,IF('Entry Builder'!$D$9="Less",--(INDEX(Sims!$A833:$BO833,'Entry Builder'!$L$9)&lt;'Entry Builder'!$E$9),--(INDEX(Sims!$A833:$BO833,'Entry Builder'!$L$9)&gt;'Entry Builder'!$E$9)))</f>
        <v/>
      </c>
      <c r="D833">
        <f>IF('Entry Builder'!$N$10=0,1,IF('Entry Builder'!$D$10="Less",--(INDEX(Sims!$A833:$BO833,'Entry Builder'!$L$10)&lt;'Entry Builder'!$E$10),--(INDEX(Sims!$A833:$BO833,'Entry Builder'!$L$10)&gt;'Entry Builder'!$E$10)))</f>
        <v/>
      </c>
      <c r="E833">
        <f>IF('Entry Builder'!$N$11=0,1,IF('Entry Builder'!$D$11="Less",--(INDEX(Sims!$A833:$BO833,'Entry Builder'!$L$11)&lt;'Entry Builder'!$E$11),--(INDEX(Sims!$A833:$BO833,'Entry Builder'!$L$11)&gt;'Entry Builder'!$E$11)))</f>
        <v/>
      </c>
      <c r="F833">
        <f>IF('Entry Builder'!$N$12=0,1,IF('Entry Builder'!$D$12="Less",--(INDEX(Sims!$A833:$BO833,'Entry Builder'!$L$12)&lt;'Entry Builder'!$E$12),--(INDEX(Sims!$A833:$BO833,'Entry Builder'!$L$12)&gt;'Entry Builder'!$E$12)))</f>
        <v/>
      </c>
      <c r="G833">
        <f>6-SUM(A833:F833)</f>
        <v/>
      </c>
    </row>
    <row r="834">
      <c r="A834">
        <f>IF('Entry Builder'!$N$7=0,1,IF('Entry Builder'!$D$7="Less",--(INDEX(Sims!$A834:$BO834,'Entry Builder'!$L$7)&lt;'Entry Builder'!$E$7),--(INDEX(Sims!$A834:$BO834,'Entry Builder'!$L$7)&gt;'Entry Builder'!$E$7)))</f>
        <v/>
      </c>
      <c r="B834">
        <f>IF('Entry Builder'!$N$8=0,1,IF('Entry Builder'!$D$8="Less",--(INDEX(Sims!$A834:$BO834,'Entry Builder'!$L$8)&lt;'Entry Builder'!$E$8),--(INDEX(Sims!$A834:$BO834,'Entry Builder'!$L$8)&gt;'Entry Builder'!$E$8)))</f>
        <v/>
      </c>
      <c r="C834">
        <f>IF('Entry Builder'!$N$9=0,1,IF('Entry Builder'!$D$9="Less",--(INDEX(Sims!$A834:$BO834,'Entry Builder'!$L$9)&lt;'Entry Builder'!$E$9),--(INDEX(Sims!$A834:$BO834,'Entry Builder'!$L$9)&gt;'Entry Builder'!$E$9)))</f>
        <v/>
      </c>
      <c r="D834">
        <f>IF('Entry Builder'!$N$10=0,1,IF('Entry Builder'!$D$10="Less",--(INDEX(Sims!$A834:$BO834,'Entry Builder'!$L$10)&lt;'Entry Builder'!$E$10),--(INDEX(Sims!$A834:$BO834,'Entry Builder'!$L$10)&gt;'Entry Builder'!$E$10)))</f>
        <v/>
      </c>
      <c r="E834">
        <f>IF('Entry Builder'!$N$11=0,1,IF('Entry Builder'!$D$11="Less",--(INDEX(Sims!$A834:$BO834,'Entry Builder'!$L$11)&lt;'Entry Builder'!$E$11),--(INDEX(Sims!$A834:$BO834,'Entry Builder'!$L$11)&gt;'Entry Builder'!$E$11)))</f>
        <v/>
      </c>
      <c r="F834">
        <f>IF('Entry Builder'!$N$12=0,1,IF('Entry Builder'!$D$12="Less",--(INDEX(Sims!$A834:$BO834,'Entry Builder'!$L$12)&lt;'Entry Builder'!$E$12),--(INDEX(Sims!$A834:$BO834,'Entry Builder'!$L$12)&gt;'Entry Builder'!$E$12)))</f>
        <v/>
      </c>
      <c r="G834">
        <f>6-SUM(A834:F834)</f>
        <v/>
      </c>
    </row>
    <row r="835">
      <c r="A835">
        <f>IF('Entry Builder'!$N$7=0,1,IF('Entry Builder'!$D$7="Less",--(INDEX(Sims!$A835:$BO835,'Entry Builder'!$L$7)&lt;'Entry Builder'!$E$7),--(INDEX(Sims!$A835:$BO835,'Entry Builder'!$L$7)&gt;'Entry Builder'!$E$7)))</f>
        <v/>
      </c>
      <c r="B835">
        <f>IF('Entry Builder'!$N$8=0,1,IF('Entry Builder'!$D$8="Less",--(INDEX(Sims!$A835:$BO835,'Entry Builder'!$L$8)&lt;'Entry Builder'!$E$8),--(INDEX(Sims!$A835:$BO835,'Entry Builder'!$L$8)&gt;'Entry Builder'!$E$8)))</f>
        <v/>
      </c>
      <c r="C835">
        <f>IF('Entry Builder'!$N$9=0,1,IF('Entry Builder'!$D$9="Less",--(INDEX(Sims!$A835:$BO835,'Entry Builder'!$L$9)&lt;'Entry Builder'!$E$9),--(INDEX(Sims!$A835:$BO835,'Entry Builder'!$L$9)&gt;'Entry Builder'!$E$9)))</f>
        <v/>
      </c>
      <c r="D835">
        <f>IF('Entry Builder'!$N$10=0,1,IF('Entry Builder'!$D$10="Less",--(INDEX(Sims!$A835:$BO835,'Entry Builder'!$L$10)&lt;'Entry Builder'!$E$10),--(INDEX(Sims!$A835:$BO835,'Entry Builder'!$L$10)&gt;'Entry Builder'!$E$10)))</f>
        <v/>
      </c>
      <c r="E835">
        <f>IF('Entry Builder'!$N$11=0,1,IF('Entry Builder'!$D$11="Less",--(INDEX(Sims!$A835:$BO835,'Entry Builder'!$L$11)&lt;'Entry Builder'!$E$11),--(INDEX(Sims!$A835:$BO835,'Entry Builder'!$L$11)&gt;'Entry Builder'!$E$11)))</f>
        <v/>
      </c>
      <c r="F835">
        <f>IF('Entry Builder'!$N$12=0,1,IF('Entry Builder'!$D$12="Less",--(INDEX(Sims!$A835:$BO835,'Entry Builder'!$L$12)&lt;'Entry Builder'!$E$12),--(INDEX(Sims!$A835:$BO835,'Entry Builder'!$L$12)&gt;'Entry Builder'!$E$12)))</f>
        <v/>
      </c>
      <c r="G835">
        <f>6-SUM(A835:F835)</f>
        <v/>
      </c>
    </row>
    <row r="836">
      <c r="A836">
        <f>IF('Entry Builder'!$N$7=0,1,IF('Entry Builder'!$D$7="Less",--(INDEX(Sims!$A836:$BO836,'Entry Builder'!$L$7)&lt;'Entry Builder'!$E$7),--(INDEX(Sims!$A836:$BO836,'Entry Builder'!$L$7)&gt;'Entry Builder'!$E$7)))</f>
        <v/>
      </c>
      <c r="B836">
        <f>IF('Entry Builder'!$N$8=0,1,IF('Entry Builder'!$D$8="Less",--(INDEX(Sims!$A836:$BO836,'Entry Builder'!$L$8)&lt;'Entry Builder'!$E$8),--(INDEX(Sims!$A836:$BO836,'Entry Builder'!$L$8)&gt;'Entry Builder'!$E$8)))</f>
        <v/>
      </c>
      <c r="C836">
        <f>IF('Entry Builder'!$N$9=0,1,IF('Entry Builder'!$D$9="Less",--(INDEX(Sims!$A836:$BO836,'Entry Builder'!$L$9)&lt;'Entry Builder'!$E$9),--(INDEX(Sims!$A836:$BO836,'Entry Builder'!$L$9)&gt;'Entry Builder'!$E$9)))</f>
        <v/>
      </c>
      <c r="D836">
        <f>IF('Entry Builder'!$N$10=0,1,IF('Entry Builder'!$D$10="Less",--(INDEX(Sims!$A836:$BO836,'Entry Builder'!$L$10)&lt;'Entry Builder'!$E$10),--(INDEX(Sims!$A836:$BO836,'Entry Builder'!$L$10)&gt;'Entry Builder'!$E$10)))</f>
        <v/>
      </c>
      <c r="E836">
        <f>IF('Entry Builder'!$N$11=0,1,IF('Entry Builder'!$D$11="Less",--(INDEX(Sims!$A836:$BO836,'Entry Builder'!$L$11)&lt;'Entry Builder'!$E$11),--(INDEX(Sims!$A836:$BO836,'Entry Builder'!$L$11)&gt;'Entry Builder'!$E$11)))</f>
        <v/>
      </c>
      <c r="F836">
        <f>IF('Entry Builder'!$N$12=0,1,IF('Entry Builder'!$D$12="Less",--(INDEX(Sims!$A836:$BO836,'Entry Builder'!$L$12)&lt;'Entry Builder'!$E$12),--(INDEX(Sims!$A836:$BO836,'Entry Builder'!$L$12)&gt;'Entry Builder'!$E$12)))</f>
        <v/>
      </c>
      <c r="G836">
        <f>6-SUM(A836:F836)</f>
        <v/>
      </c>
    </row>
    <row r="837">
      <c r="A837">
        <f>IF('Entry Builder'!$N$7=0,1,IF('Entry Builder'!$D$7="Less",--(INDEX(Sims!$A837:$BO837,'Entry Builder'!$L$7)&lt;'Entry Builder'!$E$7),--(INDEX(Sims!$A837:$BO837,'Entry Builder'!$L$7)&gt;'Entry Builder'!$E$7)))</f>
        <v/>
      </c>
      <c r="B837">
        <f>IF('Entry Builder'!$N$8=0,1,IF('Entry Builder'!$D$8="Less",--(INDEX(Sims!$A837:$BO837,'Entry Builder'!$L$8)&lt;'Entry Builder'!$E$8),--(INDEX(Sims!$A837:$BO837,'Entry Builder'!$L$8)&gt;'Entry Builder'!$E$8)))</f>
        <v/>
      </c>
      <c r="C837">
        <f>IF('Entry Builder'!$N$9=0,1,IF('Entry Builder'!$D$9="Less",--(INDEX(Sims!$A837:$BO837,'Entry Builder'!$L$9)&lt;'Entry Builder'!$E$9),--(INDEX(Sims!$A837:$BO837,'Entry Builder'!$L$9)&gt;'Entry Builder'!$E$9)))</f>
        <v/>
      </c>
      <c r="D837">
        <f>IF('Entry Builder'!$N$10=0,1,IF('Entry Builder'!$D$10="Less",--(INDEX(Sims!$A837:$BO837,'Entry Builder'!$L$10)&lt;'Entry Builder'!$E$10),--(INDEX(Sims!$A837:$BO837,'Entry Builder'!$L$10)&gt;'Entry Builder'!$E$10)))</f>
        <v/>
      </c>
      <c r="E837">
        <f>IF('Entry Builder'!$N$11=0,1,IF('Entry Builder'!$D$11="Less",--(INDEX(Sims!$A837:$BO837,'Entry Builder'!$L$11)&lt;'Entry Builder'!$E$11),--(INDEX(Sims!$A837:$BO837,'Entry Builder'!$L$11)&gt;'Entry Builder'!$E$11)))</f>
        <v/>
      </c>
      <c r="F837">
        <f>IF('Entry Builder'!$N$12=0,1,IF('Entry Builder'!$D$12="Less",--(INDEX(Sims!$A837:$BO837,'Entry Builder'!$L$12)&lt;'Entry Builder'!$E$12),--(INDEX(Sims!$A837:$BO837,'Entry Builder'!$L$12)&gt;'Entry Builder'!$E$12)))</f>
        <v/>
      </c>
      <c r="G837">
        <f>6-SUM(A837:F837)</f>
        <v/>
      </c>
    </row>
    <row r="838">
      <c r="A838">
        <f>IF('Entry Builder'!$N$7=0,1,IF('Entry Builder'!$D$7="Less",--(INDEX(Sims!$A838:$BO838,'Entry Builder'!$L$7)&lt;'Entry Builder'!$E$7),--(INDEX(Sims!$A838:$BO838,'Entry Builder'!$L$7)&gt;'Entry Builder'!$E$7)))</f>
        <v/>
      </c>
      <c r="B838">
        <f>IF('Entry Builder'!$N$8=0,1,IF('Entry Builder'!$D$8="Less",--(INDEX(Sims!$A838:$BO838,'Entry Builder'!$L$8)&lt;'Entry Builder'!$E$8),--(INDEX(Sims!$A838:$BO838,'Entry Builder'!$L$8)&gt;'Entry Builder'!$E$8)))</f>
        <v/>
      </c>
      <c r="C838">
        <f>IF('Entry Builder'!$N$9=0,1,IF('Entry Builder'!$D$9="Less",--(INDEX(Sims!$A838:$BO838,'Entry Builder'!$L$9)&lt;'Entry Builder'!$E$9),--(INDEX(Sims!$A838:$BO838,'Entry Builder'!$L$9)&gt;'Entry Builder'!$E$9)))</f>
        <v/>
      </c>
      <c r="D838">
        <f>IF('Entry Builder'!$N$10=0,1,IF('Entry Builder'!$D$10="Less",--(INDEX(Sims!$A838:$BO838,'Entry Builder'!$L$10)&lt;'Entry Builder'!$E$10),--(INDEX(Sims!$A838:$BO838,'Entry Builder'!$L$10)&gt;'Entry Builder'!$E$10)))</f>
        <v/>
      </c>
      <c r="E838">
        <f>IF('Entry Builder'!$N$11=0,1,IF('Entry Builder'!$D$11="Less",--(INDEX(Sims!$A838:$BO838,'Entry Builder'!$L$11)&lt;'Entry Builder'!$E$11),--(INDEX(Sims!$A838:$BO838,'Entry Builder'!$L$11)&gt;'Entry Builder'!$E$11)))</f>
        <v/>
      </c>
      <c r="F838">
        <f>IF('Entry Builder'!$N$12=0,1,IF('Entry Builder'!$D$12="Less",--(INDEX(Sims!$A838:$BO838,'Entry Builder'!$L$12)&lt;'Entry Builder'!$E$12),--(INDEX(Sims!$A838:$BO838,'Entry Builder'!$L$12)&gt;'Entry Builder'!$E$12)))</f>
        <v/>
      </c>
      <c r="G838">
        <f>6-SUM(A838:F838)</f>
        <v/>
      </c>
    </row>
    <row r="839">
      <c r="A839">
        <f>IF('Entry Builder'!$N$7=0,1,IF('Entry Builder'!$D$7="Less",--(INDEX(Sims!$A839:$BO839,'Entry Builder'!$L$7)&lt;'Entry Builder'!$E$7),--(INDEX(Sims!$A839:$BO839,'Entry Builder'!$L$7)&gt;'Entry Builder'!$E$7)))</f>
        <v/>
      </c>
      <c r="B839">
        <f>IF('Entry Builder'!$N$8=0,1,IF('Entry Builder'!$D$8="Less",--(INDEX(Sims!$A839:$BO839,'Entry Builder'!$L$8)&lt;'Entry Builder'!$E$8),--(INDEX(Sims!$A839:$BO839,'Entry Builder'!$L$8)&gt;'Entry Builder'!$E$8)))</f>
        <v/>
      </c>
      <c r="C839">
        <f>IF('Entry Builder'!$N$9=0,1,IF('Entry Builder'!$D$9="Less",--(INDEX(Sims!$A839:$BO839,'Entry Builder'!$L$9)&lt;'Entry Builder'!$E$9),--(INDEX(Sims!$A839:$BO839,'Entry Builder'!$L$9)&gt;'Entry Builder'!$E$9)))</f>
        <v/>
      </c>
      <c r="D839">
        <f>IF('Entry Builder'!$N$10=0,1,IF('Entry Builder'!$D$10="Less",--(INDEX(Sims!$A839:$BO839,'Entry Builder'!$L$10)&lt;'Entry Builder'!$E$10),--(INDEX(Sims!$A839:$BO839,'Entry Builder'!$L$10)&gt;'Entry Builder'!$E$10)))</f>
        <v/>
      </c>
      <c r="E839">
        <f>IF('Entry Builder'!$N$11=0,1,IF('Entry Builder'!$D$11="Less",--(INDEX(Sims!$A839:$BO839,'Entry Builder'!$L$11)&lt;'Entry Builder'!$E$11),--(INDEX(Sims!$A839:$BO839,'Entry Builder'!$L$11)&gt;'Entry Builder'!$E$11)))</f>
        <v/>
      </c>
      <c r="F839">
        <f>IF('Entry Builder'!$N$12=0,1,IF('Entry Builder'!$D$12="Less",--(INDEX(Sims!$A839:$BO839,'Entry Builder'!$L$12)&lt;'Entry Builder'!$E$12),--(INDEX(Sims!$A839:$BO839,'Entry Builder'!$L$12)&gt;'Entry Builder'!$E$12)))</f>
        <v/>
      </c>
      <c r="G839">
        <f>6-SUM(A839:F839)</f>
        <v/>
      </c>
    </row>
    <row r="840">
      <c r="A840">
        <f>IF('Entry Builder'!$N$7=0,1,IF('Entry Builder'!$D$7="Less",--(INDEX(Sims!$A840:$BO840,'Entry Builder'!$L$7)&lt;'Entry Builder'!$E$7),--(INDEX(Sims!$A840:$BO840,'Entry Builder'!$L$7)&gt;'Entry Builder'!$E$7)))</f>
        <v/>
      </c>
      <c r="B840">
        <f>IF('Entry Builder'!$N$8=0,1,IF('Entry Builder'!$D$8="Less",--(INDEX(Sims!$A840:$BO840,'Entry Builder'!$L$8)&lt;'Entry Builder'!$E$8),--(INDEX(Sims!$A840:$BO840,'Entry Builder'!$L$8)&gt;'Entry Builder'!$E$8)))</f>
        <v/>
      </c>
      <c r="C840">
        <f>IF('Entry Builder'!$N$9=0,1,IF('Entry Builder'!$D$9="Less",--(INDEX(Sims!$A840:$BO840,'Entry Builder'!$L$9)&lt;'Entry Builder'!$E$9),--(INDEX(Sims!$A840:$BO840,'Entry Builder'!$L$9)&gt;'Entry Builder'!$E$9)))</f>
        <v/>
      </c>
      <c r="D840">
        <f>IF('Entry Builder'!$N$10=0,1,IF('Entry Builder'!$D$10="Less",--(INDEX(Sims!$A840:$BO840,'Entry Builder'!$L$10)&lt;'Entry Builder'!$E$10),--(INDEX(Sims!$A840:$BO840,'Entry Builder'!$L$10)&gt;'Entry Builder'!$E$10)))</f>
        <v/>
      </c>
      <c r="E840">
        <f>IF('Entry Builder'!$N$11=0,1,IF('Entry Builder'!$D$11="Less",--(INDEX(Sims!$A840:$BO840,'Entry Builder'!$L$11)&lt;'Entry Builder'!$E$11),--(INDEX(Sims!$A840:$BO840,'Entry Builder'!$L$11)&gt;'Entry Builder'!$E$11)))</f>
        <v/>
      </c>
      <c r="F840">
        <f>IF('Entry Builder'!$N$12=0,1,IF('Entry Builder'!$D$12="Less",--(INDEX(Sims!$A840:$BO840,'Entry Builder'!$L$12)&lt;'Entry Builder'!$E$12),--(INDEX(Sims!$A840:$BO840,'Entry Builder'!$L$12)&gt;'Entry Builder'!$E$12)))</f>
        <v/>
      </c>
      <c r="G840">
        <f>6-SUM(A840:F840)</f>
        <v/>
      </c>
    </row>
    <row r="841">
      <c r="A841">
        <f>IF('Entry Builder'!$N$7=0,1,IF('Entry Builder'!$D$7="Less",--(INDEX(Sims!$A841:$BO841,'Entry Builder'!$L$7)&lt;'Entry Builder'!$E$7),--(INDEX(Sims!$A841:$BO841,'Entry Builder'!$L$7)&gt;'Entry Builder'!$E$7)))</f>
        <v/>
      </c>
      <c r="B841">
        <f>IF('Entry Builder'!$N$8=0,1,IF('Entry Builder'!$D$8="Less",--(INDEX(Sims!$A841:$BO841,'Entry Builder'!$L$8)&lt;'Entry Builder'!$E$8),--(INDEX(Sims!$A841:$BO841,'Entry Builder'!$L$8)&gt;'Entry Builder'!$E$8)))</f>
        <v/>
      </c>
      <c r="C841">
        <f>IF('Entry Builder'!$N$9=0,1,IF('Entry Builder'!$D$9="Less",--(INDEX(Sims!$A841:$BO841,'Entry Builder'!$L$9)&lt;'Entry Builder'!$E$9),--(INDEX(Sims!$A841:$BO841,'Entry Builder'!$L$9)&gt;'Entry Builder'!$E$9)))</f>
        <v/>
      </c>
      <c r="D841">
        <f>IF('Entry Builder'!$N$10=0,1,IF('Entry Builder'!$D$10="Less",--(INDEX(Sims!$A841:$BO841,'Entry Builder'!$L$10)&lt;'Entry Builder'!$E$10),--(INDEX(Sims!$A841:$BO841,'Entry Builder'!$L$10)&gt;'Entry Builder'!$E$10)))</f>
        <v/>
      </c>
      <c r="E841">
        <f>IF('Entry Builder'!$N$11=0,1,IF('Entry Builder'!$D$11="Less",--(INDEX(Sims!$A841:$BO841,'Entry Builder'!$L$11)&lt;'Entry Builder'!$E$11),--(INDEX(Sims!$A841:$BO841,'Entry Builder'!$L$11)&gt;'Entry Builder'!$E$11)))</f>
        <v/>
      </c>
      <c r="F841">
        <f>IF('Entry Builder'!$N$12=0,1,IF('Entry Builder'!$D$12="Less",--(INDEX(Sims!$A841:$BO841,'Entry Builder'!$L$12)&lt;'Entry Builder'!$E$12),--(INDEX(Sims!$A841:$BO841,'Entry Builder'!$L$12)&gt;'Entry Builder'!$E$12)))</f>
        <v/>
      </c>
      <c r="G841">
        <f>6-SUM(A841:F841)</f>
        <v/>
      </c>
    </row>
    <row r="842">
      <c r="A842">
        <f>IF('Entry Builder'!$N$7=0,1,IF('Entry Builder'!$D$7="Less",--(INDEX(Sims!$A842:$BO842,'Entry Builder'!$L$7)&lt;'Entry Builder'!$E$7),--(INDEX(Sims!$A842:$BO842,'Entry Builder'!$L$7)&gt;'Entry Builder'!$E$7)))</f>
        <v/>
      </c>
      <c r="B842">
        <f>IF('Entry Builder'!$N$8=0,1,IF('Entry Builder'!$D$8="Less",--(INDEX(Sims!$A842:$BO842,'Entry Builder'!$L$8)&lt;'Entry Builder'!$E$8),--(INDEX(Sims!$A842:$BO842,'Entry Builder'!$L$8)&gt;'Entry Builder'!$E$8)))</f>
        <v/>
      </c>
      <c r="C842">
        <f>IF('Entry Builder'!$N$9=0,1,IF('Entry Builder'!$D$9="Less",--(INDEX(Sims!$A842:$BO842,'Entry Builder'!$L$9)&lt;'Entry Builder'!$E$9),--(INDEX(Sims!$A842:$BO842,'Entry Builder'!$L$9)&gt;'Entry Builder'!$E$9)))</f>
        <v/>
      </c>
      <c r="D842">
        <f>IF('Entry Builder'!$N$10=0,1,IF('Entry Builder'!$D$10="Less",--(INDEX(Sims!$A842:$BO842,'Entry Builder'!$L$10)&lt;'Entry Builder'!$E$10),--(INDEX(Sims!$A842:$BO842,'Entry Builder'!$L$10)&gt;'Entry Builder'!$E$10)))</f>
        <v/>
      </c>
      <c r="E842">
        <f>IF('Entry Builder'!$N$11=0,1,IF('Entry Builder'!$D$11="Less",--(INDEX(Sims!$A842:$BO842,'Entry Builder'!$L$11)&lt;'Entry Builder'!$E$11),--(INDEX(Sims!$A842:$BO842,'Entry Builder'!$L$11)&gt;'Entry Builder'!$E$11)))</f>
        <v/>
      </c>
      <c r="F842">
        <f>IF('Entry Builder'!$N$12=0,1,IF('Entry Builder'!$D$12="Less",--(INDEX(Sims!$A842:$BO842,'Entry Builder'!$L$12)&lt;'Entry Builder'!$E$12),--(INDEX(Sims!$A842:$BO842,'Entry Builder'!$L$12)&gt;'Entry Builder'!$E$12)))</f>
        <v/>
      </c>
      <c r="G842">
        <f>6-SUM(A842:F842)</f>
        <v/>
      </c>
    </row>
    <row r="843">
      <c r="A843">
        <f>IF('Entry Builder'!$N$7=0,1,IF('Entry Builder'!$D$7="Less",--(INDEX(Sims!$A843:$BO843,'Entry Builder'!$L$7)&lt;'Entry Builder'!$E$7),--(INDEX(Sims!$A843:$BO843,'Entry Builder'!$L$7)&gt;'Entry Builder'!$E$7)))</f>
        <v/>
      </c>
      <c r="B843">
        <f>IF('Entry Builder'!$N$8=0,1,IF('Entry Builder'!$D$8="Less",--(INDEX(Sims!$A843:$BO843,'Entry Builder'!$L$8)&lt;'Entry Builder'!$E$8),--(INDEX(Sims!$A843:$BO843,'Entry Builder'!$L$8)&gt;'Entry Builder'!$E$8)))</f>
        <v/>
      </c>
      <c r="C843">
        <f>IF('Entry Builder'!$N$9=0,1,IF('Entry Builder'!$D$9="Less",--(INDEX(Sims!$A843:$BO843,'Entry Builder'!$L$9)&lt;'Entry Builder'!$E$9),--(INDEX(Sims!$A843:$BO843,'Entry Builder'!$L$9)&gt;'Entry Builder'!$E$9)))</f>
        <v/>
      </c>
      <c r="D843">
        <f>IF('Entry Builder'!$N$10=0,1,IF('Entry Builder'!$D$10="Less",--(INDEX(Sims!$A843:$BO843,'Entry Builder'!$L$10)&lt;'Entry Builder'!$E$10),--(INDEX(Sims!$A843:$BO843,'Entry Builder'!$L$10)&gt;'Entry Builder'!$E$10)))</f>
        <v/>
      </c>
      <c r="E843">
        <f>IF('Entry Builder'!$N$11=0,1,IF('Entry Builder'!$D$11="Less",--(INDEX(Sims!$A843:$BO843,'Entry Builder'!$L$11)&lt;'Entry Builder'!$E$11),--(INDEX(Sims!$A843:$BO843,'Entry Builder'!$L$11)&gt;'Entry Builder'!$E$11)))</f>
        <v/>
      </c>
      <c r="F843">
        <f>IF('Entry Builder'!$N$12=0,1,IF('Entry Builder'!$D$12="Less",--(INDEX(Sims!$A843:$BO843,'Entry Builder'!$L$12)&lt;'Entry Builder'!$E$12),--(INDEX(Sims!$A843:$BO843,'Entry Builder'!$L$12)&gt;'Entry Builder'!$E$12)))</f>
        <v/>
      </c>
      <c r="G843">
        <f>6-SUM(A843:F843)</f>
        <v/>
      </c>
    </row>
    <row r="844">
      <c r="A844">
        <f>IF('Entry Builder'!$N$7=0,1,IF('Entry Builder'!$D$7="Less",--(INDEX(Sims!$A844:$BO844,'Entry Builder'!$L$7)&lt;'Entry Builder'!$E$7),--(INDEX(Sims!$A844:$BO844,'Entry Builder'!$L$7)&gt;'Entry Builder'!$E$7)))</f>
        <v/>
      </c>
      <c r="B844">
        <f>IF('Entry Builder'!$N$8=0,1,IF('Entry Builder'!$D$8="Less",--(INDEX(Sims!$A844:$BO844,'Entry Builder'!$L$8)&lt;'Entry Builder'!$E$8),--(INDEX(Sims!$A844:$BO844,'Entry Builder'!$L$8)&gt;'Entry Builder'!$E$8)))</f>
        <v/>
      </c>
      <c r="C844">
        <f>IF('Entry Builder'!$N$9=0,1,IF('Entry Builder'!$D$9="Less",--(INDEX(Sims!$A844:$BO844,'Entry Builder'!$L$9)&lt;'Entry Builder'!$E$9),--(INDEX(Sims!$A844:$BO844,'Entry Builder'!$L$9)&gt;'Entry Builder'!$E$9)))</f>
        <v/>
      </c>
      <c r="D844">
        <f>IF('Entry Builder'!$N$10=0,1,IF('Entry Builder'!$D$10="Less",--(INDEX(Sims!$A844:$BO844,'Entry Builder'!$L$10)&lt;'Entry Builder'!$E$10),--(INDEX(Sims!$A844:$BO844,'Entry Builder'!$L$10)&gt;'Entry Builder'!$E$10)))</f>
        <v/>
      </c>
      <c r="E844">
        <f>IF('Entry Builder'!$N$11=0,1,IF('Entry Builder'!$D$11="Less",--(INDEX(Sims!$A844:$BO844,'Entry Builder'!$L$11)&lt;'Entry Builder'!$E$11),--(INDEX(Sims!$A844:$BO844,'Entry Builder'!$L$11)&gt;'Entry Builder'!$E$11)))</f>
        <v/>
      </c>
      <c r="F844">
        <f>IF('Entry Builder'!$N$12=0,1,IF('Entry Builder'!$D$12="Less",--(INDEX(Sims!$A844:$BO844,'Entry Builder'!$L$12)&lt;'Entry Builder'!$E$12),--(INDEX(Sims!$A844:$BO844,'Entry Builder'!$L$12)&gt;'Entry Builder'!$E$12)))</f>
        <v/>
      </c>
      <c r="G844">
        <f>6-SUM(A844:F844)</f>
        <v/>
      </c>
    </row>
    <row r="845">
      <c r="A845">
        <f>IF('Entry Builder'!$N$7=0,1,IF('Entry Builder'!$D$7="Less",--(INDEX(Sims!$A845:$BO845,'Entry Builder'!$L$7)&lt;'Entry Builder'!$E$7),--(INDEX(Sims!$A845:$BO845,'Entry Builder'!$L$7)&gt;'Entry Builder'!$E$7)))</f>
        <v/>
      </c>
      <c r="B845">
        <f>IF('Entry Builder'!$N$8=0,1,IF('Entry Builder'!$D$8="Less",--(INDEX(Sims!$A845:$BO845,'Entry Builder'!$L$8)&lt;'Entry Builder'!$E$8),--(INDEX(Sims!$A845:$BO845,'Entry Builder'!$L$8)&gt;'Entry Builder'!$E$8)))</f>
        <v/>
      </c>
      <c r="C845">
        <f>IF('Entry Builder'!$N$9=0,1,IF('Entry Builder'!$D$9="Less",--(INDEX(Sims!$A845:$BO845,'Entry Builder'!$L$9)&lt;'Entry Builder'!$E$9),--(INDEX(Sims!$A845:$BO845,'Entry Builder'!$L$9)&gt;'Entry Builder'!$E$9)))</f>
        <v/>
      </c>
      <c r="D845">
        <f>IF('Entry Builder'!$N$10=0,1,IF('Entry Builder'!$D$10="Less",--(INDEX(Sims!$A845:$BO845,'Entry Builder'!$L$10)&lt;'Entry Builder'!$E$10),--(INDEX(Sims!$A845:$BO845,'Entry Builder'!$L$10)&gt;'Entry Builder'!$E$10)))</f>
        <v/>
      </c>
      <c r="E845">
        <f>IF('Entry Builder'!$N$11=0,1,IF('Entry Builder'!$D$11="Less",--(INDEX(Sims!$A845:$BO845,'Entry Builder'!$L$11)&lt;'Entry Builder'!$E$11),--(INDEX(Sims!$A845:$BO845,'Entry Builder'!$L$11)&gt;'Entry Builder'!$E$11)))</f>
        <v/>
      </c>
      <c r="F845">
        <f>IF('Entry Builder'!$N$12=0,1,IF('Entry Builder'!$D$12="Less",--(INDEX(Sims!$A845:$BO845,'Entry Builder'!$L$12)&lt;'Entry Builder'!$E$12),--(INDEX(Sims!$A845:$BO845,'Entry Builder'!$L$12)&gt;'Entry Builder'!$E$12)))</f>
        <v/>
      </c>
      <c r="G845">
        <f>6-SUM(A845:F845)</f>
        <v/>
      </c>
    </row>
    <row r="846">
      <c r="A846">
        <f>IF('Entry Builder'!$N$7=0,1,IF('Entry Builder'!$D$7="Less",--(INDEX(Sims!$A846:$BO846,'Entry Builder'!$L$7)&lt;'Entry Builder'!$E$7),--(INDEX(Sims!$A846:$BO846,'Entry Builder'!$L$7)&gt;'Entry Builder'!$E$7)))</f>
        <v/>
      </c>
      <c r="B846">
        <f>IF('Entry Builder'!$N$8=0,1,IF('Entry Builder'!$D$8="Less",--(INDEX(Sims!$A846:$BO846,'Entry Builder'!$L$8)&lt;'Entry Builder'!$E$8),--(INDEX(Sims!$A846:$BO846,'Entry Builder'!$L$8)&gt;'Entry Builder'!$E$8)))</f>
        <v/>
      </c>
      <c r="C846">
        <f>IF('Entry Builder'!$N$9=0,1,IF('Entry Builder'!$D$9="Less",--(INDEX(Sims!$A846:$BO846,'Entry Builder'!$L$9)&lt;'Entry Builder'!$E$9),--(INDEX(Sims!$A846:$BO846,'Entry Builder'!$L$9)&gt;'Entry Builder'!$E$9)))</f>
        <v/>
      </c>
      <c r="D846">
        <f>IF('Entry Builder'!$N$10=0,1,IF('Entry Builder'!$D$10="Less",--(INDEX(Sims!$A846:$BO846,'Entry Builder'!$L$10)&lt;'Entry Builder'!$E$10),--(INDEX(Sims!$A846:$BO846,'Entry Builder'!$L$10)&gt;'Entry Builder'!$E$10)))</f>
        <v/>
      </c>
      <c r="E846">
        <f>IF('Entry Builder'!$N$11=0,1,IF('Entry Builder'!$D$11="Less",--(INDEX(Sims!$A846:$BO846,'Entry Builder'!$L$11)&lt;'Entry Builder'!$E$11),--(INDEX(Sims!$A846:$BO846,'Entry Builder'!$L$11)&gt;'Entry Builder'!$E$11)))</f>
        <v/>
      </c>
      <c r="F846">
        <f>IF('Entry Builder'!$N$12=0,1,IF('Entry Builder'!$D$12="Less",--(INDEX(Sims!$A846:$BO846,'Entry Builder'!$L$12)&lt;'Entry Builder'!$E$12),--(INDEX(Sims!$A846:$BO846,'Entry Builder'!$L$12)&gt;'Entry Builder'!$E$12)))</f>
        <v/>
      </c>
      <c r="G846">
        <f>6-SUM(A846:F846)</f>
        <v/>
      </c>
    </row>
    <row r="847">
      <c r="A847">
        <f>IF('Entry Builder'!$N$7=0,1,IF('Entry Builder'!$D$7="Less",--(INDEX(Sims!$A847:$BO847,'Entry Builder'!$L$7)&lt;'Entry Builder'!$E$7),--(INDEX(Sims!$A847:$BO847,'Entry Builder'!$L$7)&gt;'Entry Builder'!$E$7)))</f>
        <v/>
      </c>
      <c r="B847">
        <f>IF('Entry Builder'!$N$8=0,1,IF('Entry Builder'!$D$8="Less",--(INDEX(Sims!$A847:$BO847,'Entry Builder'!$L$8)&lt;'Entry Builder'!$E$8),--(INDEX(Sims!$A847:$BO847,'Entry Builder'!$L$8)&gt;'Entry Builder'!$E$8)))</f>
        <v/>
      </c>
      <c r="C847">
        <f>IF('Entry Builder'!$N$9=0,1,IF('Entry Builder'!$D$9="Less",--(INDEX(Sims!$A847:$BO847,'Entry Builder'!$L$9)&lt;'Entry Builder'!$E$9),--(INDEX(Sims!$A847:$BO847,'Entry Builder'!$L$9)&gt;'Entry Builder'!$E$9)))</f>
        <v/>
      </c>
      <c r="D847">
        <f>IF('Entry Builder'!$N$10=0,1,IF('Entry Builder'!$D$10="Less",--(INDEX(Sims!$A847:$BO847,'Entry Builder'!$L$10)&lt;'Entry Builder'!$E$10),--(INDEX(Sims!$A847:$BO847,'Entry Builder'!$L$10)&gt;'Entry Builder'!$E$10)))</f>
        <v/>
      </c>
      <c r="E847">
        <f>IF('Entry Builder'!$N$11=0,1,IF('Entry Builder'!$D$11="Less",--(INDEX(Sims!$A847:$BO847,'Entry Builder'!$L$11)&lt;'Entry Builder'!$E$11),--(INDEX(Sims!$A847:$BO847,'Entry Builder'!$L$11)&gt;'Entry Builder'!$E$11)))</f>
        <v/>
      </c>
      <c r="F847">
        <f>IF('Entry Builder'!$N$12=0,1,IF('Entry Builder'!$D$12="Less",--(INDEX(Sims!$A847:$BO847,'Entry Builder'!$L$12)&lt;'Entry Builder'!$E$12),--(INDEX(Sims!$A847:$BO847,'Entry Builder'!$L$12)&gt;'Entry Builder'!$E$12)))</f>
        <v/>
      </c>
      <c r="G847">
        <f>6-SUM(A847:F847)</f>
        <v/>
      </c>
    </row>
    <row r="848">
      <c r="A848">
        <f>IF('Entry Builder'!$N$7=0,1,IF('Entry Builder'!$D$7="Less",--(INDEX(Sims!$A848:$BO848,'Entry Builder'!$L$7)&lt;'Entry Builder'!$E$7),--(INDEX(Sims!$A848:$BO848,'Entry Builder'!$L$7)&gt;'Entry Builder'!$E$7)))</f>
        <v/>
      </c>
      <c r="B848">
        <f>IF('Entry Builder'!$N$8=0,1,IF('Entry Builder'!$D$8="Less",--(INDEX(Sims!$A848:$BO848,'Entry Builder'!$L$8)&lt;'Entry Builder'!$E$8),--(INDEX(Sims!$A848:$BO848,'Entry Builder'!$L$8)&gt;'Entry Builder'!$E$8)))</f>
        <v/>
      </c>
      <c r="C848">
        <f>IF('Entry Builder'!$N$9=0,1,IF('Entry Builder'!$D$9="Less",--(INDEX(Sims!$A848:$BO848,'Entry Builder'!$L$9)&lt;'Entry Builder'!$E$9),--(INDEX(Sims!$A848:$BO848,'Entry Builder'!$L$9)&gt;'Entry Builder'!$E$9)))</f>
        <v/>
      </c>
      <c r="D848">
        <f>IF('Entry Builder'!$N$10=0,1,IF('Entry Builder'!$D$10="Less",--(INDEX(Sims!$A848:$BO848,'Entry Builder'!$L$10)&lt;'Entry Builder'!$E$10),--(INDEX(Sims!$A848:$BO848,'Entry Builder'!$L$10)&gt;'Entry Builder'!$E$10)))</f>
        <v/>
      </c>
      <c r="E848">
        <f>IF('Entry Builder'!$N$11=0,1,IF('Entry Builder'!$D$11="Less",--(INDEX(Sims!$A848:$BO848,'Entry Builder'!$L$11)&lt;'Entry Builder'!$E$11),--(INDEX(Sims!$A848:$BO848,'Entry Builder'!$L$11)&gt;'Entry Builder'!$E$11)))</f>
        <v/>
      </c>
      <c r="F848">
        <f>IF('Entry Builder'!$N$12=0,1,IF('Entry Builder'!$D$12="Less",--(INDEX(Sims!$A848:$BO848,'Entry Builder'!$L$12)&lt;'Entry Builder'!$E$12),--(INDEX(Sims!$A848:$BO848,'Entry Builder'!$L$12)&gt;'Entry Builder'!$E$12)))</f>
        <v/>
      </c>
      <c r="G848">
        <f>6-SUM(A848:F848)</f>
        <v/>
      </c>
    </row>
    <row r="849">
      <c r="A849">
        <f>IF('Entry Builder'!$N$7=0,1,IF('Entry Builder'!$D$7="Less",--(INDEX(Sims!$A849:$BO849,'Entry Builder'!$L$7)&lt;'Entry Builder'!$E$7),--(INDEX(Sims!$A849:$BO849,'Entry Builder'!$L$7)&gt;'Entry Builder'!$E$7)))</f>
        <v/>
      </c>
      <c r="B849">
        <f>IF('Entry Builder'!$N$8=0,1,IF('Entry Builder'!$D$8="Less",--(INDEX(Sims!$A849:$BO849,'Entry Builder'!$L$8)&lt;'Entry Builder'!$E$8),--(INDEX(Sims!$A849:$BO849,'Entry Builder'!$L$8)&gt;'Entry Builder'!$E$8)))</f>
        <v/>
      </c>
      <c r="C849">
        <f>IF('Entry Builder'!$N$9=0,1,IF('Entry Builder'!$D$9="Less",--(INDEX(Sims!$A849:$BO849,'Entry Builder'!$L$9)&lt;'Entry Builder'!$E$9),--(INDEX(Sims!$A849:$BO849,'Entry Builder'!$L$9)&gt;'Entry Builder'!$E$9)))</f>
        <v/>
      </c>
      <c r="D849">
        <f>IF('Entry Builder'!$N$10=0,1,IF('Entry Builder'!$D$10="Less",--(INDEX(Sims!$A849:$BO849,'Entry Builder'!$L$10)&lt;'Entry Builder'!$E$10),--(INDEX(Sims!$A849:$BO849,'Entry Builder'!$L$10)&gt;'Entry Builder'!$E$10)))</f>
        <v/>
      </c>
      <c r="E849">
        <f>IF('Entry Builder'!$N$11=0,1,IF('Entry Builder'!$D$11="Less",--(INDEX(Sims!$A849:$BO849,'Entry Builder'!$L$11)&lt;'Entry Builder'!$E$11),--(INDEX(Sims!$A849:$BO849,'Entry Builder'!$L$11)&gt;'Entry Builder'!$E$11)))</f>
        <v/>
      </c>
      <c r="F849">
        <f>IF('Entry Builder'!$N$12=0,1,IF('Entry Builder'!$D$12="Less",--(INDEX(Sims!$A849:$BO849,'Entry Builder'!$L$12)&lt;'Entry Builder'!$E$12),--(INDEX(Sims!$A849:$BO849,'Entry Builder'!$L$12)&gt;'Entry Builder'!$E$12)))</f>
        <v/>
      </c>
      <c r="G849">
        <f>6-SUM(A849:F849)</f>
        <v/>
      </c>
    </row>
    <row r="850">
      <c r="A850">
        <f>IF('Entry Builder'!$N$7=0,1,IF('Entry Builder'!$D$7="Less",--(INDEX(Sims!$A850:$BO850,'Entry Builder'!$L$7)&lt;'Entry Builder'!$E$7),--(INDEX(Sims!$A850:$BO850,'Entry Builder'!$L$7)&gt;'Entry Builder'!$E$7)))</f>
        <v/>
      </c>
      <c r="B850">
        <f>IF('Entry Builder'!$N$8=0,1,IF('Entry Builder'!$D$8="Less",--(INDEX(Sims!$A850:$BO850,'Entry Builder'!$L$8)&lt;'Entry Builder'!$E$8),--(INDEX(Sims!$A850:$BO850,'Entry Builder'!$L$8)&gt;'Entry Builder'!$E$8)))</f>
        <v/>
      </c>
      <c r="C850">
        <f>IF('Entry Builder'!$N$9=0,1,IF('Entry Builder'!$D$9="Less",--(INDEX(Sims!$A850:$BO850,'Entry Builder'!$L$9)&lt;'Entry Builder'!$E$9),--(INDEX(Sims!$A850:$BO850,'Entry Builder'!$L$9)&gt;'Entry Builder'!$E$9)))</f>
        <v/>
      </c>
      <c r="D850">
        <f>IF('Entry Builder'!$N$10=0,1,IF('Entry Builder'!$D$10="Less",--(INDEX(Sims!$A850:$BO850,'Entry Builder'!$L$10)&lt;'Entry Builder'!$E$10),--(INDEX(Sims!$A850:$BO850,'Entry Builder'!$L$10)&gt;'Entry Builder'!$E$10)))</f>
        <v/>
      </c>
      <c r="E850">
        <f>IF('Entry Builder'!$N$11=0,1,IF('Entry Builder'!$D$11="Less",--(INDEX(Sims!$A850:$BO850,'Entry Builder'!$L$11)&lt;'Entry Builder'!$E$11),--(INDEX(Sims!$A850:$BO850,'Entry Builder'!$L$11)&gt;'Entry Builder'!$E$11)))</f>
        <v/>
      </c>
      <c r="F850">
        <f>IF('Entry Builder'!$N$12=0,1,IF('Entry Builder'!$D$12="Less",--(INDEX(Sims!$A850:$BO850,'Entry Builder'!$L$12)&lt;'Entry Builder'!$E$12),--(INDEX(Sims!$A850:$BO850,'Entry Builder'!$L$12)&gt;'Entry Builder'!$E$12)))</f>
        <v/>
      </c>
      <c r="G850">
        <f>6-SUM(A850:F850)</f>
        <v/>
      </c>
    </row>
    <row r="851">
      <c r="A851">
        <f>IF('Entry Builder'!$N$7=0,1,IF('Entry Builder'!$D$7="Less",--(INDEX(Sims!$A851:$BO851,'Entry Builder'!$L$7)&lt;'Entry Builder'!$E$7),--(INDEX(Sims!$A851:$BO851,'Entry Builder'!$L$7)&gt;'Entry Builder'!$E$7)))</f>
        <v/>
      </c>
      <c r="B851">
        <f>IF('Entry Builder'!$N$8=0,1,IF('Entry Builder'!$D$8="Less",--(INDEX(Sims!$A851:$BO851,'Entry Builder'!$L$8)&lt;'Entry Builder'!$E$8),--(INDEX(Sims!$A851:$BO851,'Entry Builder'!$L$8)&gt;'Entry Builder'!$E$8)))</f>
        <v/>
      </c>
      <c r="C851">
        <f>IF('Entry Builder'!$N$9=0,1,IF('Entry Builder'!$D$9="Less",--(INDEX(Sims!$A851:$BO851,'Entry Builder'!$L$9)&lt;'Entry Builder'!$E$9),--(INDEX(Sims!$A851:$BO851,'Entry Builder'!$L$9)&gt;'Entry Builder'!$E$9)))</f>
        <v/>
      </c>
      <c r="D851">
        <f>IF('Entry Builder'!$N$10=0,1,IF('Entry Builder'!$D$10="Less",--(INDEX(Sims!$A851:$BO851,'Entry Builder'!$L$10)&lt;'Entry Builder'!$E$10),--(INDEX(Sims!$A851:$BO851,'Entry Builder'!$L$10)&gt;'Entry Builder'!$E$10)))</f>
        <v/>
      </c>
      <c r="E851">
        <f>IF('Entry Builder'!$N$11=0,1,IF('Entry Builder'!$D$11="Less",--(INDEX(Sims!$A851:$BO851,'Entry Builder'!$L$11)&lt;'Entry Builder'!$E$11),--(INDEX(Sims!$A851:$BO851,'Entry Builder'!$L$11)&gt;'Entry Builder'!$E$11)))</f>
        <v/>
      </c>
      <c r="F851">
        <f>IF('Entry Builder'!$N$12=0,1,IF('Entry Builder'!$D$12="Less",--(INDEX(Sims!$A851:$BO851,'Entry Builder'!$L$12)&lt;'Entry Builder'!$E$12),--(INDEX(Sims!$A851:$BO851,'Entry Builder'!$L$12)&gt;'Entry Builder'!$E$12)))</f>
        <v/>
      </c>
      <c r="G851">
        <f>6-SUM(A851:F851)</f>
        <v/>
      </c>
    </row>
    <row r="852">
      <c r="A852">
        <f>IF('Entry Builder'!$N$7=0,1,IF('Entry Builder'!$D$7="Less",--(INDEX(Sims!$A852:$BO852,'Entry Builder'!$L$7)&lt;'Entry Builder'!$E$7),--(INDEX(Sims!$A852:$BO852,'Entry Builder'!$L$7)&gt;'Entry Builder'!$E$7)))</f>
        <v/>
      </c>
      <c r="B852">
        <f>IF('Entry Builder'!$N$8=0,1,IF('Entry Builder'!$D$8="Less",--(INDEX(Sims!$A852:$BO852,'Entry Builder'!$L$8)&lt;'Entry Builder'!$E$8),--(INDEX(Sims!$A852:$BO852,'Entry Builder'!$L$8)&gt;'Entry Builder'!$E$8)))</f>
        <v/>
      </c>
      <c r="C852">
        <f>IF('Entry Builder'!$N$9=0,1,IF('Entry Builder'!$D$9="Less",--(INDEX(Sims!$A852:$BO852,'Entry Builder'!$L$9)&lt;'Entry Builder'!$E$9),--(INDEX(Sims!$A852:$BO852,'Entry Builder'!$L$9)&gt;'Entry Builder'!$E$9)))</f>
        <v/>
      </c>
      <c r="D852">
        <f>IF('Entry Builder'!$N$10=0,1,IF('Entry Builder'!$D$10="Less",--(INDEX(Sims!$A852:$BO852,'Entry Builder'!$L$10)&lt;'Entry Builder'!$E$10),--(INDEX(Sims!$A852:$BO852,'Entry Builder'!$L$10)&gt;'Entry Builder'!$E$10)))</f>
        <v/>
      </c>
      <c r="E852">
        <f>IF('Entry Builder'!$N$11=0,1,IF('Entry Builder'!$D$11="Less",--(INDEX(Sims!$A852:$BO852,'Entry Builder'!$L$11)&lt;'Entry Builder'!$E$11),--(INDEX(Sims!$A852:$BO852,'Entry Builder'!$L$11)&gt;'Entry Builder'!$E$11)))</f>
        <v/>
      </c>
      <c r="F852">
        <f>IF('Entry Builder'!$N$12=0,1,IF('Entry Builder'!$D$12="Less",--(INDEX(Sims!$A852:$BO852,'Entry Builder'!$L$12)&lt;'Entry Builder'!$E$12),--(INDEX(Sims!$A852:$BO852,'Entry Builder'!$L$12)&gt;'Entry Builder'!$E$12)))</f>
        <v/>
      </c>
      <c r="G852">
        <f>6-SUM(A852:F852)</f>
        <v/>
      </c>
    </row>
    <row r="853">
      <c r="A853">
        <f>IF('Entry Builder'!$N$7=0,1,IF('Entry Builder'!$D$7="Less",--(INDEX(Sims!$A853:$BO853,'Entry Builder'!$L$7)&lt;'Entry Builder'!$E$7),--(INDEX(Sims!$A853:$BO853,'Entry Builder'!$L$7)&gt;'Entry Builder'!$E$7)))</f>
        <v/>
      </c>
      <c r="B853">
        <f>IF('Entry Builder'!$N$8=0,1,IF('Entry Builder'!$D$8="Less",--(INDEX(Sims!$A853:$BO853,'Entry Builder'!$L$8)&lt;'Entry Builder'!$E$8),--(INDEX(Sims!$A853:$BO853,'Entry Builder'!$L$8)&gt;'Entry Builder'!$E$8)))</f>
        <v/>
      </c>
      <c r="C853">
        <f>IF('Entry Builder'!$N$9=0,1,IF('Entry Builder'!$D$9="Less",--(INDEX(Sims!$A853:$BO853,'Entry Builder'!$L$9)&lt;'Entry Builder'!$E$9),--(INDEX(Sims!$A853:$BO853,'Entry Builder'!$L$9)&gt;'Entry Builder'!$E$9)))</f>
        <v/>
      </c>
      <c r="D853">
        <f>IF('Entry Builder'!$N$10=0,1,IF('Entry Builder'!$D$10="Less",--(INDEX(Sims!$A853:$BO853,'Entry Builder'!$L$10)&lt;'Entry Builder'!$E$10),--(INDEX(Sims!$A853:$BO853,'Entry Builder'!$L$10)&gt;'Entry Builder'!$E$10)))</f>
        <v/>
      </c>
      <c r="E853">
        <f>IF('Entry Builder'!$N$11=0,1,IF('Entry Builder'!$D$11="Less",--(INDEX(Sims!$A853:$BO853,'Entry Builder'!$L$11)&lt;'Entry Builder'!$E$11),--(INDEX(Sims!$A853:$BO853,'Entry Builder'!$L$11)&gt;'Entry Builder'!$E$11)))</f>
        <v/>
      </c>
      <c r="F853">
        <f>IF('Entry Builder'!$N$12=0,1,IF('Entry Builder'!$D$12="Less",--(INDEX(Sims!$A853:$BO853,'Entry Builder'!$L$12)&lt;'Entry Builder'!$E$12),--(INDEX(Sims!$A853:$BO853,'Entry Builder'!$L$12)&gt;'Entry Builder'!$E$12)))</f>
        <v/>
      </c>
      <c r="G853">
        <f>6-SUM(A853:F853)</f>
        <v/>
      </c>
    </row>
    <row r="854">
      <c r="A854">
        <f>IF('Entry Builder'!$N$7=0,1,IF('Entry Builder'!$D$7="Less",--(INDEX(Sims!$A854:$BO854,'Entry Builder'!$L$7)&lt;'Entry Builder'!$E$7),--(INDEX(Sims!$A854:$BO854,'Entry Builder'!$L$7)&gt;'Entry Builder'!$E$7)))</f>
        <v/>
      </c>
      <c r="B854">
        <f>IF('Entry Builder'!$N$8=0,1,IF('Entry Builder'!$D$8="Less",--(INDEX(Sims!$A854:$BO854,'Entry Builder'!$L$8)&lt;'Entry Builder'!$E$8),--(INDEX(Sims!$A854:$BO854,'Entry Builder'!$L$8)&gt;'Entry Builder'!$E$8)))</f>
        <v/>
      </c>
      <c r="C854">
        <f>IF('Entry Builder'!$N$9=0,1,IF('Entry Builder'!$D$9="Less",--(INDEX(Sims!$A854:$BO854,'Entry Builder'!$L$9)&lt;'Entry Builder'!$E$9),--(INDEX(Sims!$A854:$BO854,'Entry Builder'!$L$9)&gt;'Entry Builder'!$E$9)))</f>
        <v/>
      </c>
      <c r="D854">
        <f>IF('Entry Builder'!$N$10=0,1,IF('Entry Builder'!$D$10="Less",--(INDEX(Sims!$A854:$BO854,'Entry Builder'!$L$10)&lt;'Entry Builder'!$E$10),--(INDEX(Sims!$A854:$BO854,'Entry Builder'!$L$10)&gt;'Entry Builder'!$E$10)))</f>
        <v/>
      </c>
      <c r="E854">
        <f>IF('Entry Builder'!$N$11=0,1,IF('Entry Builder'!$D$11="Less",--(INDEX(Sims!$A854:$BO854,'Entry Builder'!$L$11)&lt;'Entry Builder'!$E$11),--(INDEX(Sims!$A854:$BO854,'Entry Builder'!$L$11)&gt;'Entry Builder'!$E$11)))</f>
        <v/>
      </c>
      <c r="F854">
        <f>IF('Entry Builder'!$N$12=0,1,IF('Entry Builder'!$D$12="Less",--(INDEX(Sims!$A854:$BO854,'Entry Builder'!$L$12)&lt;'Entry Builder'!$E$12),--(INDEX(Sims!$A854:$BO854,'Entry Builder'!$L$12)&gt;'Entry Builder'!$E$12)))</f>
        <v/>
      </c>
      <c r="G854">
        <f>6-SUM(A854:F854)</f>
        <v/>
      </c>
    </row>
    <row r="855">
      <c r="A855">
        <f>IF('Entry Builder'!$N$7=0,1,IF('Entry Builder'!$D$7="Less",--(INDEX(Sims!$A855:$BO855,'Entry Builder'!$L$7)&lt;'Entry Builder'!$E$7),--(INDEX(Sims!$A855:$BO855,'Entry Builder'!$L$7)&gt;'Entry Builder'!$E$7)))</f>
        <v/>
      </c>
      <c r="B855">
        <f>IF('Entry Builder'!$N$8=0,1,IF('Entry Builder'!$D$8="Less",--(INDEX(Sims!$A855:$BO855,'Entry Builder'!$L$8)&lt;'Entry Builder'!$E$8),--(INDEX(Sims!$A855:$BO855,'Entry Builder'!$L$8)&gt;'Entry Builder'!$E$8)))</f>
        <v/>
      </c>
      <c r="C855">
        <f>IF('Entry Builder'!$N$9=0,1,IF('Entry Builder'!$D$9="Less",--(INDEX(Sims!$A855:$BO855,'Entry Builder'!$L$9)&lt;'Entry Builder'!$E$9),--(INDEX(Sims!$A855:$BO855,'Entry Builder'!$L$9)&gt;'Entry Builder'!$E$9)))</f>
        <v/>
      </c>
      <c r="D855">
        <f>IF('Entry Builder'!$N$10=0,1,IF('Entry Builder'!$D$10="Less",--(INDEX(Sims!$A855:$BO855,'Entry Builder'!$L$10)&lt;'Entry Builder'!$E$10),--(INDEX(Sims!$A855:$BO855,'Entry Builder'!$L$10)&gt;'Entry Builder'!$E$10)))</f>
        <v/>
      </c>
      <c r="E855">
        <f>IF('Entry Builder'!$N$11=0,1,IF('Entry Builder'!$D$11="Less",--(INDEX(Sims!$A855:$BO855,'Entry Builder'!$L$11)&lt;'Entry Builder'!$E$11),--(INDEX(Sims!$A855:$BO855,'Entry Builder'!$L$11)&gt;'Entry Builder'!$E$11)))</f>
        <v/>
      </c>
      <c r="F855">
        <f>IF('Entry Builder'!$N$12=0,1,IF('Entry Builder'!$D$12="Less",--(INDEX(Sims!$A855:$BO855,'Entry Builder'!$L$12)&lt;'Entry Builder'!$E$12),--(INDEX(Sims!$A855:$BO855,'Entry Builder'!$L$12)&gt;'Entry Builder'!$E$12)))</f>
        <v/>
      </c>
      <c r="G855">
        <f>6-SUM(A855:F855)</f>
        <v/>
      </c>
    </row>
    <row r="856">
      <c r="A856">
        <f>IF('Entry Builder'!$N$7=0,1,IF('Entry Builder'!$D$7="Less",--(INDEX(Sims!$A856:$BO856,'Entry Builder'!$L$7)&lt;'Entry Builder'!$E$7),--(INDEX(Sims!$A856:$BO856,'Entry Builder'!$L$7)&gt;'Entry Builder'!$E$7)))</f>
        <v/>
      </c>
      <c r="B856">
        <f>IF('Entry Builder'!$N$8=0,1,IF('Entry Builder'!$D$8="Less",--(INDEX(Sims!$A856:$BO856,'Entry Builder'!$L$8)&lt;'Entry Builder'!$E$8),--(INDEX(Sims!$A856:$BO856,'Entry Builder'!$L$8)&gt;'Entry Builder'!$E$8)))</f>
        <v/>
      </c>
      <c r="C856">
        <f>IF('Entry Builder'!$N$9=0,1,IF('Entry Builder'!$D$9="Less",--(INDEX(Sims!$A856:$BO856,'Entry Builder'!$L$9)&lt;'Entry Builder'!$E$9),--(INDEX(Sims!$A856:$BO856,'Entry Builder'!$L$9)&gt;'Entry Builder'!$E$9)))</f>
        <v/>
      </c>
      <c r="D856">
        <f>IF('Entry Builder'!$N$10=0,1,IF('Entry Builder'!$D$10="Less",--(INDEX(Sims!$A856:$BO856,'Entry Builder'!$L$10)&lt;'Entry Builder'!$E$10),--(INDEX(Sims!$A856:$BO856,'Entry Builder'!$L$10)&gt;'Entry Builder'!$E$10)))</f>
        <v/>
      </c>
      <c r="E856">
        <f>IF('Entry Builder'!$N$11=0,1,IF('Entry Builder'!$D$11="Less",--(INDEX(Sims!$A856:$BO856,'Entry Builder'!$L$11)&lt;'Entry Builder'!$E$11),--(INDEX(Sims!$A856:$BO856,'Entry Builder'!$L$11)&gt;'Entry Builder'!$E$11)))</f>
        <v/>
      </c>
      <c r="F856">
        <f>IF('Entry Builder'!$N$12=0,1,IF('Entry Builder'!$D$12="Less",--(INDEX(Sims!$A856:$BO856,'Entry Builder'!$L$12)&lt;'Entry Builder'!$E$12),--(INDEX(Sims!$A856:$BO856,'Entry Builder'!$L$12)&gt;'Entry Builder'!$E$12)))</f>
        <v/>
      </c>
      <c r="G856">
        <f>6-SUM(A856:F856)</f>
        <v/>
      </c>
    </row>
    <row r="857">
      <c r="A857">
        <f>IF('Entry Builder'!$N$7=0,1,IF('Entry Builder'!$D$7="Less",--(INDEX(Sims!$A857:$BO857,'Entry Builder'!$L$7)&lt;'Entry Builder'!$E$7),--(INDEX(Sims!$A857:$BO857,'Entry Builder'!$L$7)&gt;'Entry Builder'!$E$7)))</f>
        <v/>
      </c>
      <c r="B857">
        <f>IF('Entry Builder'!$N$8=0,1,IF('Entry Builder'!$D$8="Less",--(INDEX(Sims!$A857:$BO857,'Entry Builder'!$L$8)&lt;'Entry Builder'!$E$8),--(INDEX(Sims!$A857:$BO857,'Entry Builder'!$L$8)&gt;'Entry Builder'!$E$8)))</f>
        <v/>
      </c>
      <c r="C857">
        <f>IF('Entry Builder'!$N$9=0,1,IF('Entry Builder'!$D$9="Less",--(INDEX(Sims!$A857:$BO857,'Entry Builder'!$L$9)&lt;'Entry Builder'!$E$9),--(INDEX(Sims!$A857:$BO857,'Entry Builder'!$L$9)&gt;'Entry Builder'!$E$9)))</f>
        <v/>
      </c>
      <c r="D857">
        <f>IF('Entry Builder'!$N$10=0,1,IF('Entry Builder'!$D$10="Less",--(INDEX(Sims!$A857:$BO857,'Entry Builder'!$L$10)&lt;'Entry Builder'!$E$10),--(INDEX(Sims!$A857:$BO857,'Entry Builder'!$L$10)&gt;'Entry Builder'!$E$10)))</f>
        <v/>
      </c>
      <c r="E857">
        <f>IF('Entry Builder'!$N$11=0,1,IF('Entry Builder'!$D$11="Less",--(INDEX(Sims!$A857:$BO857,'Entry Builder'!$L$11)&lt;'Entry Builder'!$E$11),--(INDEX(Sims!$A857:$BO857,'Entry Builder'!$L$11)&gt;'Entry Builder'!$E$11)))</f>
        <v/>
      </c>
      <c r="F857">
        <f>IF('Entry Builder'!$N$12=0,1,IF('Entry Builder'!$D$12="Less",--(INDEX(Sims!$A857:$BO857,'Entry Builder'!$L$12)&lt;'Entry Builder'!$E$12),--(INDEX(Sims!$A857:$BO857,'Entry Builder'!$L$12)&gt;'Entry Builder'!$E$12)))</f>
        <v/>
      </c>
      <c r="G857">
        <f>6-SUM(A857:F857)</f>
        <v/>
      </c>
    </row>
    <row r="858">
      <c r="A858">
        <f>IF('Entry Builder'!$N$7=0,1,IF('Entry Builder'!$D$7="Less",--(INDEX(Sims!$A858:$BO858,'Entry Builder'!$L$7)&lt;'Entry Builder'!$E$7),--(INDEX(Sims!$A858:$BO858,'Entry Builder'!$L$7)&gt;'Entry Builder'!$E$7)))</f>
        <v/>
      </c>
      <c r="B858">
        <f>IF('Entry Builder'!$N$8=0,1,IF('Entry Builder'!$D$8="Less",--(INDEX(Sims!$A858:$BO858,'Entry Builder'!$L$8)&lt;'Entry Builder'!$E$8),--(INDEX(Sims!$A858:$BO858,'Entry Builder'!$L$8)&gt;'Entry Builder'!$E$8)))</f>
        <v/>
      </c>
      <c r="C858">
        <f>IF('Entry Builder'!$N$9=0,1,IF('Entry Builder'!$D$9="Less",--(INDEX(Sims!$A858:$BO858,'Entry Builder'!$L$9)&lt;'Entry Builder'!$E$9),--(INDEX(Sims!$A858:$BO858,'Entry Builder'!$L$9)&gt;'Entry Builder'!$E$9)))</f>
        <v/>
      </c>
      <c r="D858">
        <f>IF('Entry Builder'!$N$10=0,1,IF('Entry Builder'!$D$10="Less",--(INDEX(Sims!$A858:$BO858,'Entry Builder'!$L$10)&lt;'Entry Builder'!$E$10),--(INDEX(Sims!$A858:$BO858,'Entry Builder'!$L$10)&gt;'Entry Builder'!$E$10)))</f>
        <v/>
      </c>
      <c r="E858">
        <f>IF('Entry Builder'!$N$11=0,1,IF('Entry Builder'!$D$11="Less",--(INDEX(Sims!$A858:$BO858,'Entry Builder'!$L$11)&lt;'Entry Builder'!$E$11),--(INDEX(Sims!$A858:$BO858,'Entry Builder'!$L$11)&gt;'Entry Builder'!$E$11)))</f>
        <v/>
      </c>
      <c r="F858">
        <f>IF('Entry Builder'!$N$12=0,1,IF('Entry Builder'!$D$12="Less",--(INDEX(Sims!$A858:$BO858,'Entry Builder'!$L$12)&lt;'Entry Builder'!$E$12),--(INDEX(Sims!$A858:$BO858,'Entry Builder'!$L$12)&gt;'Entry Builder'!$E$12)))</f>
        <v/>
      </c>
      <c r="G858">
        <f>6-SUM(A858:F858)</f>
        <v/>
      </c>
    </row>
    <row r="859">
      <c r="A859">
        <f>IF('Entry Builder'!$N$7=0,1,IF('Entry Builder'!$D$7="Less",--(INDEX(Sims!$A859:$BO859,'Entry Builder'!$L$7)&lt;'Entry Builder'!$E$7),--(INDEX(Sims!$A859:$BO859,'Entry Builder'!$L$7)&gt;'Entry Builder'!$E$7)))</f>
        <v/>
      </c>
      <c r="B859">
        <f>IF('Entry Builder'!$N$8=0,1,IF('Entry Builder'!$D$8="Less",--(INDEX(Sims!$A859:$BO859,'Entry Builder'!$L$8)&lt;'Entry Builder'!$E$8),--(INDEX(Sims!$A859:$BO859,'Entry Builder'!$L$8)&gt;'Entry Builder'!$E$8)))</f>
        <v/>
      </c>
      <c r="C859">
        <f>IF('Entry Builder'!$N$9=0,1,IF('Entry Builder'!$D$9="Less",--(INDEX(Sims!$A859:$BO859,'Entry Builder'!$L$9)&lt;'Entry Builder'!$E$9),--(INDEX(Sims!$A859:$BO859,'Entry Builder'!$L$9)&gt;'Entry Builder'!$E$9)))</f>
        <v/>
      </c>
      <c r="D859">
        <f>IF('Entry Builder'!$N$10=0,1,IF('Entry Builder'!$D$10="Less",--(INDEX(Sims!$A859:$BO859,'Entry Builder'!$L$10)&lt;'Entry Builder'!$E$10),--(INDEX(Sims!$A859:$BO859,'Entry Builder'!$L$10)&gt;'Entry Builder'!$E$10)))</f>
        <v/>
      </c>
      <c r="E859">
        <f>IF('Entry Builder'!$N$11=0,1,IF('Entry Builder'!$D$11="Less",--(INDEX(Sims!$A859:$BO859,'Entry Builder'!$L$11)&lt;'Entry Builder'!$E$11),--(INDEX(Sims!$A859:$BO859,'Entry Builder'!$L$11)&gt;'Entry Builder'!$E$11)))</f>
        <v/>
      </c>
      <c r="F859">
        <f>IF('Entry Builder'!$N$12=0,1,IF('Entry Builder'!$D$12="Less",--(INDEX(Sims!$A859:$BO859,'Entry Builder'!$L$12)&lt;'Entry Builder'!$E$12),--(INDEX(Sims!$A859:$BO859,'Entry Builder'!$L$12)&gt;'Entry Builder'!$E$12)))</f>
        <v/>
      </c>
      <c r="G859">
        <f>6-SUM(A859:F859)</f>
        <v/>
      </c>
    </row>
    <row r="860">
      <c r="A860">
        <f>IF('Entry Builder'!$N$7=0,1,IF('Entry Builder'!$D$7="Less",--(INDEX(Sims!$A860:$BO860,'Entry Builder'!$L$7)&lt;'Entry Builder'!$E$7),--(INDEX(Sims!$A860:$BO860,'Entry Builder'!$L$7)&gt;'Entry Builder'!$E$7)))</f>
        <v/>
      </c>
      <c r="B860">
        <f>IF('Entry Builder'!$N$8=0,1,IF('Entry Builder'!$D$8="Less",--(INDEX(Sims!$A860:$BO860,'Entry Builder'!$L$8)&lt;'Entry Builder'!$E$8),--(INDEX(Sims!$A860:$BO860,'Entry Builder'!$L$8)&gt;'Entry Builder'!$E$8)))</f>
        <v/>
      </c>
      <c r="C860">
        <f>IF('Entry Builder'!$N$9=0,1,IF('Entry Builder'!$D$9="Less",--(INDEX(Sims!$A860:$BO860,'Entry Builder'!$L$9)&lt;'Entry Builder'!$E$9),--(INDEX(Sims!$A860:$BO860,'Entry Builder'!$L$9)&gt;'Entry Builder'!$E$9)))</f>
        <v/>
      </c>
      <c r="D860">
        <f>IF('Entry Builder'!$N$10=0,1,IF('Entry Builder'!$D$10="Less",--(INDEX(Sims!$A860:$BO860,'Entry Builder'!$L$10)&lt;'Entry Builder'!$E$10),--(INDEX(Sims!$A860:$BO860,'Entry Builder'!$L$10)&gt;'Entry Builder'!$E$10)))</f>
        <v/>
      </c>
      <c r="E860">
        <f>IF('Entry Builder'!$N$11=0,1,IF('Entry Builder'!$D$11="Less",--(INDEX(Sims!$A860:$BO860,'Entry Builder'!$L$11)&lt;'Entry Builder'!$E$11),--(INDEX(Sims!$A860:$BO860,'Entry Builder'!$L$11)&gt;'Entry Builder'!$E$11)))</f>
        <v/>
      </c>
      <c r="F860">
        <f>IF('Entry Builder'!$N$12=0,1,IF('Entry Builder'!$D$12="Less",--(INDEX(Sims!$A860:$BO860,'Entry Builder'!$L$12)&lt;'Entry Builder'!$E$12),--(INDEX(Sims!$A860:$BO860,'Entry Builder'!$L$12)&gt;'Entry Builder'!$E$12)))</f>
        <v/>
      </c>
      <c r="G860">
        <f>6-SUM(A860:F860)</f>
        <v/>
      </c>
    </row>
    <row r="861">
      <c r="A861">
        <f>IF('Entry Builder'!$N$7=0,1,IF('Entry Builder'!$D$7="Less",--(INDEX(Sims!$A861:$BO861,'Entry Builder'!$L$7)&lt;'Entry Builder'!$E$7),--(INDEX(Sims!$A861:$BO861,'Entry Builder'!$L$7)&gt;'Entry Builder'!$E$7)))</f>
        <v/>
      </c>
      <c r="B861">
        <f>IF('Entry Builder'!$N$8=0,1,IF('Entry Builder'!$D$8="Less",--(INDEX(Sims!$A861:$BO861,'Entry Builder'!$L$8)&lt;'Entry Builder'!$E$8),--(INDEX(Sims!$A861:$BO861,'Entry Builder'!$L$8)&gt;'Entry Builder'!$E$8)))</f>
        <v/>
      </c>
      <c r="C861">
        <f>IF('Entry Builder'!$N$9=0,1,IF('Entry Builder'!$D$9="Less",--(INDEX(Sims!$A861:$BO861,'Entry Builder'!$L$9)&lt;'Entry Builder'!$E$9),--(INDEX(Sims!$A861:$BO861,'Entry Builder'!$L$9)&gt;'Entry Builder'!$E$9)))</f>
        <v/>
      </c>
      <c r="D861">
        <f>IF('Entry Builder'!$N$10=0,1,IF('Entry Builder'!$D$10="Less",--(INDEX(Sims!$A861:$BO861,'Entry Builder'!$L$10)&lt;'Entry Builder'!$E$10),--(INDEX(Sims!$A861:$BO861,'Entry Builder'!$L$10)&gt;'Entry Builder'!$E$10)))</f>
        <v/>
      </c>
      <c r="E861">
        <f>IF('Entry Builder'!$N$11=0,1,IF('Entry Builder'!$D$11="Less",--(INDEX(Sims!$A861:$BO861,'Entry Builder'!$L$11)&lt;'Entry Builder'!$E$11),--(INDEX(Sims!$A861:$BO861,'Entry Builder'!$L$11)&gt;'Entry Builder'!$E$11)))</f>
        <v/>
      </c>
      <c r="F861">
        <f>IF('Entry Builder'!$N$12=0,1,IF('Entry Builder'!$D$12="Less",--(INDEX(Sims!$A861:$BO861,'Entry Builder'!$L$12)&lt;'Entry Builder'!$E$12),--(INDEX(Sims!$A861:$BO861,'Entry Builder'!$L$12)&gt;'Entry Builder'!$E$12)))</f>
        <v/>
      </c>
      <c r="G861">
        <f>6-SUM(A861:F861)</f>
        <v/>
      </c>
    </row>
    <row r="862">
      <c r="A862">
        <f>IF('Entry Builder'!$N$7=0,1,IF('Entry Builder'!$D$7="Less",--(INDEX(Sims!$A862:$BO862,'Entry Builder'!$L$7)&lt;'Entry Builder'!$E$7),--(INDEX(Sims!$A862:$BO862,'Entry Builder'!$L$7)&gt;'Entry Builder'!$E$7)))</f>
        <v/>
      </c>
      <c r="B862">
        <f>IF('Entry Builder'!$N$8=0,1,IF('Entry Builder'!$D$8="Less",--(INDEX(Sims!$A862:$BO862,'Entry Builder'!$L$8)&lt;'Entry Builder'!$E$8),--(INDEX(Sims!$A862:$BO862,'Entry Builder'!$L$8)&gt;'Entry Builder'!$E$8)))</f>
        <v/>
      </c>
      <c r="C862">
        <f>IF('Entry Builder'!$N$9=0,1,IF('Entry Builder'!$D$9="Less",--(INDEX(Sims!$A862:$BO862,'Entry Builder'!$L$9)&lt;'Entry Builder'!$E$9),--(INDEX(Sims!$A862:$BO862,'Entry Builder'!$L$9)&gt;'Entry Builder'!$E$9)))</f>
        <v/>
      </c>
      <c r="D862">
        <f>IF('Entry Builder'!$N$10=0,1,IF('Entry Builder'!$D$10="Less",--(INDEX(Sims!$A862:$BO862,'Entry Builder'!$L$10)&lt;'Entry Builder'!$E$10),--(INDEX(Sims!$A862:$BO862,'Entry Builder'!$L$10)&gt;'Entry Builder'!$E$10)))</f>
        <v/>
      </c>
      <c r="E862">
        <f>IF('Entry Builder'!$N$11=0,1,IF('Entry Builder'!$D$11="Less",--(INDEX(Sims!$A862:$BO862,'Entry Builder'!$L$11)&lt;'Entry Builder'!$E$11),--(INDEX(Sims!$A862:$BO862,'Entry Builder'!$L$11)&gt;'Entry Builder'!$E$11)))</f>
        <v/>
      </c>
      <c r="F862">
        <f>IF('Entry Builder'!$N$12=0,1,IF('Entry Builder'!$D$12="Less",--(INDEX(Sims!$A862:$BO862,'Entry Builder'!$L$12)&lt;'Entry Builder'!$E$12),--(INDEX(Sims!$A862:$BO862,'Entry Builder'!$L$12)&gt;'Entry Builder'!$E$12)))</f>
        <v/>
      </c>
      <c r="G862">
        <f>6-SUM(A862:F862)</f>
        <v/>
      </c>
    </row>
    <row r="863">
      <c r="A863">
        <f>IF('Entry Builder'!$N$7=0,1,IF('Entry Builder'!$D$7="Less",--(INDEX(Sims!$A863:$BO863,'Entry Builder'!$L$7)&lt;'Entry Builder'!$E$7),--(INDEX(Sims!$A863:$BO863,'Entry Builder'!$L$7)&gt;'Entry Builder'!$E$7)))</f>
        <v/>
      </c>
      <c r="B863">
        <f>IF('Entry Builder'!$N$8=0,1,IF('Entry Builder'!$D$8="Less",--(INDEX(Sims!$A863:$BO863,'Entry Builder'!$L$8)&lt;'Entry Builder'!$E$8),--(INDEX(Sims!$A863:$BO863,'Entry Builder'!$L$8)&gt;'Entry Builder'!$E$8)))</f>
        <v/>
      </c>
      <c r="C863">
        <f>IF('Entry Builder'!$N$9=0,1,IF('Entry Builder'!$D$9="Less",--(INDEX(Sims!$A863:$BO863,'Entry Builder'!$L$9)&lt;'Entry Builder'!$E$9),--(INDEX(Sims!$A863:$BO863,'Entry Builder'!$L$9)&gt;'Entry Builder'!$E$9)))</f>
        <v/>
      </c>
      <c r="D863">
        <f>IF('Entry Builder'!$N$10=0,1,IF('Entry Builder'!$D$10="Less",--(INDEX(Sims!$A863:$BO863,'Entry Builder'!$L$10)&lt;'Entry Builder'!$E$10),--(INDEX(Sims!$A863:$BO863,'Entry Builder'!$L$10)&gt;'Entry Builder'!$E$10)))</f>
        <v/>
      </c>
      <c r="E863">
        <f>IF('Entry Builder'!$N$11=0,1,IF('Entry Builder'!$D$11="Less",--(INDEX(Sims!$A863:$BO863,'Entry Builder'!$L$11)&lt;'Entry Builder'!$E$11),--(INDEX(Sims!$A863:$BO863,'Entry Builder'!$L$11)&gt;'Entry Builder'!$E$11)))</f>
        <v/>
      </c>
      <c r="F863">
        <f>IF('Entry Builder'!$N$12=0,1,IF('Entry Builder'!$D$12="Less",--(INDEX(Sims!$A863:$BO863,'Entry Builder'!$L$12)&lt;'Entry Builder'!$E$12),--(INDEX(Sims!$A863:$BO863,'Entry Builder'!$L$12)&gt;'Entry Builder'!$E$12)))</f>
        <v/>
      </c>
      <c r="G863">
        <f>6-SUM(A863:F863)</f>
        <v/>
      </c>
    </row>
    <row r="864">
      <c r="A864">
        <f>IF('Entry Builder'!$N$7=0,1,IF('Entry Builder'!$D$7="Less",--(INDEX(Sims!$A864:$BO864,'Entry Builder'!$L$7)&lt;'Entry Builder'!$E$7),--(INDEX(Sims!$A864:$BO864,'Entry Builder'!$L$7)&gt;'Entry Builder'!$E$7)))</f>
        <v/>
      </c>
      <c r="B864">
        <f>IF('Entry Builder'!$N$8=0,1,IF('Entry Builder'!$D$8="Less",--(INDEX(Sims!$A864:$BO864,'Entry Builder'!$L$8)&lt;'Entry Builder'!$E$8),--(INDEX(Sims!$A864:$BO864,'Entry Builder'!$L$8)&gt;'Entry Builder'!$E$8)))</f>
        <v/>
      </c>
      <c r="C864">
        <f>IF('Entry Builder'!$N$9=0,1,IF('Entry Builder'!$D$9="Less",--(INDEX(Sims!$A864:$BO864,'Entry Builder'!$L$9)&lt;'Entry Builder'!$E$9),--(INDEX(Sims!$A864:$BO864,'Entry Builder'!$L$9)&gt;'Entry Builder'!$E$9)))</f>
        <v/>
      </c>
      <c r="D864">
        <f>IF('Entry Builder'!$N$10=0,1,IF('Entry Builder'!$D$10="Less",--(INDEX(Sims!$A864:$BO864,'Entry Builder'!$L$10)&lt;'Entry Builder'!$E$10),--(INDEX(Sims!$A864:$BO864,'Entry Builder'!$L$10)&gt;'Entry Builder'!$E$10)))</f>
        <v/>
      </c>
      <c r="E864">
        <f>IF('Entry Builder'!$N$11=0,1,IF('Entry Builder'!$D$11="Less",--(INDEX(Sims!$A864:$BO864,'Entry Builder'!$L$11)&lt;'Entry Builder'!$E$11),--(INDEX(Sims!$A864:$BO864,'Entry Builder'!$L$11)&gt;'Entry Builder'!$E$11)))</f>
        <v/>
      </c>
      <c r="F864">
        <f>IF('Entry Builder'!$N$12=0,1,IF('Entry Builder'!$D$12="Less",--(INDEX(Sims!$A864:$BO864,'Entry Builder'!$L$12)&lt;'Entry Builder'!$E$12),--(INDEX(Sims!$A864:$BO864,'Entry Builder'!$L$12)&gt;'Entry Builder'!$E$12)))</f>
        <v/>
      </c>
      <c r="G864">
        <f>6-SUM(A864:F864)</f>
        <v/>
      </c>
    </row>
    <row r="865">
      <c r="A865">
        <f>IF('Entry Builder'!$N$7=0,1,IF('Entry Builder'!$D$7="Less",--(INDEX(Sims!$A865:$BO865,'Entry Builder'!$L$7)&lt;'Entry Builder'!$E$7),--(INDEX(Sims!$A865:$BO865,'Entry Builder'!$L$7)&gt;'Entry Builder'!$E$7)))</f>
        <v/>
      </c>
      <c r="B865">
        <f>IF('Entry Builder'!$N$8=0,1,IF('Entry Builder'!$D$8="Less",--(INDEX(Sims!$A865:$BO865,'Entry Builder'!$L$8)&lt;'Entry Builder'!$E$8),--(INDEX(Sims!$A865:$BO865,'Entry Builder'!$L$8)&gt;'Entry Builder'!$E$8)))</f>
        <v/>
      </c>
      <c r="C865">
        <f>IF('Entry Builder'!$N$9=0,1,IF('Entry Builder'!$D$9="Less",--(INDEX(Sims!$A865:$BO865,'Entry Builder'!$L$9)&lt;'Entry Builder'!$E$9),--(INDEX(Sims!$A865:$BO865,'Entry Builder'!$L$9)&gt;'Entry Builder'!$E$9)))</f>
        <v/>
      </c>
      <c r="D865">
        <f>IF('Entry Builder'!$N$10=0,1,IF('Entry Builder'!$D$10="Less",--(INDEX(Sims!$A865:$BO865,'Entry Builder'!$L$10)&lt;'Entry Builder'!$E$10),--(INDEX(Sims!$A865:$BO865,'Entry Builder'!$L$10)&gt;'Entry Builder'!$E$10)))</f>
        <v/>
      </c>
      <c r="E865">
        <f>IF('Entry Builder'!$N$11=0,1,IF('Entry Builder'!$D$11="Less",--(INDEX(Sims!$A865:$BO865,'Entry Builder'!$L$11)&lt;'Entry Builder'!$E$11),--(INDEX(Sims!$A865:$BO865,'Entry Builder'!$L$11)&gt;'Entry Builder'!$E$11)))</f>
        <v/>
      </c>
      <c r="F865">
        <f>IF('Entry Builder'!$N$12=0,1,IF('Entry Builder'!$D$12="Less",--(INDEX(Sims!$A865:$BO865,'Entry Builder'!$L$12)&lt;'Entry Builder'!$E$12),--(INDEX(Sims!$A865:$BO865,'Entry Builder'!$L$12)&gt;'Entry Builder'!$E$12)))</f>
        <v/>
      </c>
      <c r="G865">
        <f>6-SUM(A865:F865)</f>
        <v/>
      </c>
    </row>
    <row r="866">
      <c r="A866">
        <f>IF('Entry Builder'!$N$7=0,1,IF('Entry Builder'!$D$7="Less",--(INDEX(Sims!$A866:$BO866,'Entry Builder'!$L$7)&lt;'Entry Builder'!$E$7),--(INDEX(Sims!$A866:$BO866,'Entry Builder'!$L$7)&gt;'Entry Builder'!$E$7)))</f>
        <v/>
      </c>
      <c r="B866">
        <f>IF('Entry Builder'!$N$8=0,1,IF('Entry Builder'!$D$8="Less",--(INDEX(Sims!$A866:$BO866,'Entry Builder'!$L$8)&lt;'Entry Builder'!$E$8),--(INDEX(Sims!$A866:$BO866,'Entry Builder'!$L$8)&gt;'Entry Builder'!$E$8)))</f>
        <v/>
      </c>
      <c r="C866">
        <f>IF('Entry Builder'!$N$9=0,1,IF('Entry Builder'!$D$9="Less",--(INDEX(Sims!$A866:$BO866,'Entry Builder'!$L$9)&lt;'Entry Builder'!$E$9),--(INDEX(Sims!$A866:$BO866,'Entry Builder'!$L$9)&gt;'Entry Builder'!$E$9)))</f>
        <v/>
      </c>
      <c r="D866">
        <f>IF('Entry Builder'!$N$10=0,1,IF('Entry Builder'!$D$10="Less",--(INDEX(Sims!$A866:$BO866,'Entry Builder'!$L$10)&lt;'Entry Builder'!$E$10),--(INDEX(Sims!$A866:$BO866,'Entry Builder'!$L$10)&gt;'Entry Builder'!$E$10)))</f>
        <v/>
      </c>
      <c r="E866">
        <f>IF('Entry Builder'!$N$11=0,1,IF('Entry Builder'!$D$11="Less",--(INDEX(Sims!$A866:$BO866,'Entry Builder'!$L$11)&lt;'Entry Builder'!$E$11),--(INDEX(Sims!$A866:$BO866,'Entry Builder'!$L$11)&gt;'Entry Builder'!$E$11)))</f>
        <v/>
      </c>
      <c r="F866">
        <f>IF('Entry Builder'!$N$12=0,1,IF('Entry Builder'!$D$12="Less",--(INDEX(Sims!$A866:$BO866,'Entry Builder'!$L$12)&lt;'Entry Builder'!$E$12),--(INDEX(Sims!$A866:$BO866,'Entry Builder'!$L$12)&gt;'Entry Builder'!$E$12)))</f>
        <v/>
      </c>
      <c r="G866">
        <f>6-SUM(A866:F866)</f>
        <v/>
      </c>
    </row>
    <row r="867">
      <c r="A867">
        <f>IF('Entry Builder'!$N$7=0,1,IF('Entry Builder'!$D$7="Less",--(INDEX(Sims!$A867:$BO867,'Entry Builder'!$L$7)&lt;'Entry Builder'!$E$7),--(INDEX(Sims!$A867:$BO867,'Entry Builder'!$L$7)&gt;'Entry Builder'!$E$7)))</f>
        <v/>
      </c>
      <c r="B867">
        <f>IF('Entry Builder'!$N$8=0,1,IF('Entry Builder'!$D$8="Less",--(INDEX(Sims!$A867:$BO867,'Entry Builder'!$L$8)&lt;'Entry Builder'!$E$8),--(INDEX(Sims!$A867:$BO867,'Entry Builder'!$L$8)&gt;'Entry Builder'!$E$8)))</f>
        <v/>
      </c>
      <c r="C867">
        <f>IF('Entry Builder'!$N$9=0,1,IF('Entry Builder'!$D$9="Less",--(INDEX(Sims!$A867:$BO867,'Entry Builder'!$L$9)&lt;'Entry Builder'!$E$9),--(INDEX(Sims!$A867:$BO867,'Entry Builder'!$L$9)&gt;'Entry Builder'!$E$9)))</f>
        <v/>
      </c>
      <c r="D867">
        <f>IF('Entry Builder'!$N$10=0,1,IF('Entry Builder'!$D$10="Less",--(INDEX(Sims!$A867:$BO867,'Entry Builder'!$L$10)&lt;'Entry Builder'!$E$10),--(INDEX(Sims!$A867:$BO867,'Entry Builder'!$L$10)&gt;'Entry Builder'!$E$10)))</f>
        <v/>
      </c>
      <c r="E867">
        <f>IF('Entry Builder'!$N$11=0,1,IF('Entry Builder'!$D$11="Less",--(INDEX(Sims!$A867:$BO867,'Entry Builder'!$L$11)&lt;'Entry Builder'!$E$11),--(INDEX(Sims!$A867:$BO867,'Entry Builder'!$L$11)&gt;'Entry Builder'!$E$11)))</f>
        <v/>
      </c>
      <c r="F867">
        <f>IF('Entry Builder'!$N$12=0,1,IF('Entry Builder'!$D$12="Less",--(INDEX(Sims!$A867:$BO867,'Entry Builder'!$L$12)&lt;'Entry Builder'!$E$12),--(INDEX(Sims!$A867:$BO867,'Entry Builder'!$L$12)&gt;'Entry Builder'!$E$12)))</f>
        <v/>
      </c>
      <c r="G867">
        <f>6-SUM(A867:F867)</f>
        <v/>
      </c>
    </row>
    <row r="868">
      <c r="A868">
        <f>IF('Entry Builder'!$N$7=0,1,IF('Entry Builder'!$D$7="Less",--(INDEX(Sims!$A868:$BO868,'Entry Builder'!$L$7)&lt;'Entry Builder'!$E$7),--(INDEX(Sims!$A868:$BO868,'Entry Builder'!$L$7)&gt;'Entry Builder'!$E$7)))</f>
        <v/>
      </c>
      <c r="B868">
        <f>IF('Entry Builder'!$N$8=0,1,IF('Entry Builder'!$D$8="Less",--(INDEX(Sims!$A868:$BO868,'Entry Builder'!$L$8)&lt;'Entry Builder'!$E$8),--(INDEX(Sims!$A868:$BO868,'Entry Builder'!$L$8)&gt;'Entry Builder'!$E$8)))</f>
        <v/>
      </c>
      <c r="C868">
        <f>IF('Entry Builder'!$N$9=0,1,IF('Entry Builder'!$D$9="Less",--(INDEX(Sims!$A868:$BO868,'Entry Builder'!$L$9)&lt;'Entry Builder'!$E$9),--(INDEX(Sims!$A868:$BO868,'Entry Builder'!$L$9)&gt;'Entry Builder'!$E$9)))</f>
        <v/>
      </c>
      <c r="D868">
        <f>IF('Entry Builder'!$N$10=0,1,IF('Entry Builder'!$D$10="Less",--(INDEX(Sims!$A868:$BO868,'Entry Builder'!$L$10)&lt;'Entry Builder'!$E$10),--(INDEX(Sims!$A868:$BO868,'Entry Builder'!$L$10)&gt;'Entry Builder'!$E$10)))</f>
        <v/>
      </c>
      <c r="E868">
        <f>IF('Entry Builder'!$N$11=0,1,IF('Entry Builder'!$D$11="Less",--(INDEX(Sims!$A868:$BO868,'Entry Builder'!$L$11)&lt;'Entry Builder'!$E$11),--(INDEX(Sims!$A868:$BO868,'Entry Builder'!$L$11)&gt;'Entry Builder'!$E$11)))</f>
        <v/>
      </c>
      <c r="F868">
        <f>IF('Entry Builder'!$N$12=0,1,IF('Entry Builder'!$D$12="Less",--(INDEX(Sims!$A868:$BO868,'Entry Builder'!$L$12)&lt;'Entry Builder'!$E$12),--(INDEX(Sims!$A868:$BO868,'Entry Builder'!$L$12)&gt;'Entry Builder'!$E$12)))</f>
        <v/>
      </c>
      <c r="G868">
        <f>6-SUM(A868:F868)</f>
        <v/>
      </c>
    </row>
    <row r="869">
      <c r="A869">
        <f>IF('Entry Builder'!$N$7=0,1,IF('Entry Builder'!$D$7="Less",--(INDEX(Sims!$A869:$BO869,'Entry Builder'!$L$7)&lt;'Entry Builder'!$E$7),--(INDEX(Sims!$A869:$BO869,'Entry Builder'!$L$7)&gt;'Entry Builder'!$E$7)))</f>
        <v/>
      </c>
      <c r="B869">
        <f>IF('Entry Builder'!$N$8=0,1,IF('Entry Builder'!$D$8="Less",--(INDEX(Sims!$A869:$BO869,'Entry Builder'!$L$8)&lt;'Entry Builder'!$E$8),--(INDEX(Sims!$A869:$BO869,'Entry Builder'!$L$8)&gt;'Entry Builder'!$E$8)))</f>
        <v/>
      </c>
      <c r="C869">
        <f>IF('Entry Builder'!$N$9=0,1,IF('Entry Builder'!$D$9="Less",--(INDEX(Sims!$A869:$BO869,'Entry Builder'!$L$9)&lt;'Entry Builder'!$E$9),--(INDEX(Sims!$A869:$BO869,'Entry Builder'!$L$9)&gt;'Entry Builder'!$E$9)))</f>
        <v/>
      </c>
      <c r="D869">
        <f>IF('Entry Builder'!$N$10=0,1,IF('Entry Builder'!$D$10="Less",--(INDEX(Sims!$A869:$BO869,'Entry Builder'!$L$10)&lt;'Entry Builder'!$E$10),--(INDEX(Sims!$A869:$BO869,'Entry Builder'!$L$10)&gt;'Entry Builder'!$E$10)))</f>
        <v/>
      </c>
      <c r="E869">
        <f>IF('Entry Builder'!$N$11=0,1,IF('Entry Builder'!$D$11="Less",--(INDEX(Sims!$A869:$BO869,'Entry Builder'!$L$11)&lt;'Entry Builder'!$E$11),--(INDEX(Sims!$A869:$BO869,'Entry Builder'!$L$11)&gt;'Entry Builder'!$E$11)))</f>
        <v/>
      </c>
      <c r="F869">
        <f>IF('Entry Builder'!$N$12=0,1,IF('Entry Builder'!$D$12="Less",--(INDEX(Sims!$A869:$BO869,'Entry Builder'!$L$12)&lt;'Entry Builder'!$E$12),--(INDEX(Sims!$A869:$BO869,'Entry Builder'!$L$12)&gt;'Entry Builder'!$E$12)))</f>
        <v/>
      </c>
      <c r="G869">
        <f>6-SUM(A869:F869)</f>
        <v/>
      </c>
    </row>
    <row r="870">
      <c r="A870">
        <f>IF('Entry Builder'!$N$7=0,1,IF('Entry Builder'!$D$7="Less",--(INDEX(Sims!$A870:$BO870,'Entry Builder'!$L$7)&lt;'Entry Builder'!$E$7),--(INDEX(Sims!$A870:$BO870,'Entry Builder'!$L$7)&gt;'Entry Builder'!$E$7)))</f>
        <v/>
      </c>
      <c r="B870">
        <f>IF('Entry Builder'!$N$8=0,1,IF('Entry Builder'!$D$8="Less",--(INDEX(Sims!$A870:$BO870,'Entry Builder'!$L$8)&lt;'Entry Builder'!$E$8),--(INDEX(Sims!$A870:$BO870,'Entry Builder'!$L$8)&gt;'Entry Builder'!$E$8)))</f>
        <v/>
      </c>
      <c r="C870">
        <f>IF('Entry Builder'!$N$9=0,1,IF('Entry Builder'!$D$9="Less",--(INDEX(Sims!$A870:$BO870,'Entry Builder'!$L$9)&lt;'Entry Builder'!$E$9),--(INDEX(Sims!$A870:$BO870,'Entry Builder'!$L$9)&gt;'Entry Builder'!$E$9)))</f>
        <v/>
      </c>
      <c r="D870">
        <f>IF('Entry Builder'!$N$10=0,1,IF('Entry Builder'!$D$10="Less",--(INDEX(Sims!$A870:$BO870,'Entry Builder'!$L$10)&lt;'Entry Builder'!$E$10),--(INDEX(Sims!$A870:$BO870,'Entry Builder'!$L$10)&gt;'Entry Builder'!$E$10)))</f>
        <v/>
      </c>
      <c r="E870">
        <f>IF('Entry Builder'!$N$11=0,1,IF('Entry Builder'!$D$11="Less",--(INDEX(Sims!$A870:$BO870,'Entry Builder'!$L$11)&lt;'Entry Builder'!$E$11),--(INDEX(Sims!$A870:$BO870,'Entry Builder'!$L$11)&gt;'Entry Builder'!$E$11)))</f>
        <v/>
      </c>
      <c r="F870">
        <f>IF('Entry Builder'!$N$12=0,1,IF('Entry Builder'!$D$12="Less",--(INDEX(Sims!$A870:$BO870,'Entry Builder'!$L$12)&lt;'Entry Builder'!$E$12),--(INDEX(Sims!$A870:$BO870,'Entry Builder'!$L$12)&gt;'Entry Builder'!$E$12)))</f>
        <v/>
      </c>
      <c r="G870">
        <f>6-SUM(A870:F870)</f>
        <v/>
      </c>
    </row>
    <row r="871">
      <c r="A871">
        <f>IF('Entry Builder'!$N$7=0,1,IF('Entry Builder'!$D$7="Less",--(INDEX(Sims!$A871:$BO871,'Entry Builder'!$L$7)&lt;'Entry Builder'!$E$7),--(INDEX(Sims!$A871:$BO871,'Entry Builder'!$L$7)&gt;'Entry Builder'!$E$7)))</f>
        <v/>
      </c>
      <c r="B871">
        <f>IF('Entry Builder'!$N$8=0,1,IF('Entry Builder'!$D$8="Less",--(INDEX(Sims!$A871:$BO871,'Entry Builder'!$L$8)&lt;'Entry Builder'!$E$8),--(INDEX(Sims!$A871:$BO871,'Entry Builder'!$L$8)&gt;'Entry Builder'!$E$8)))</f>
        <v/>
      </c>
      <c r="C871">
        <f>IF('Entry Builder'!$N$9=0,1,IF('Entry Builder'!$D$9="Less",--(INDEX(Sims!$A871:$BO871,'Entry Builder'!$L$9)&lt;'Entry Builder'!$E$9),--(INDEX(Sims!$A871:$BO871,'Entry Builder'!$L$9)&gt;'Entry Builder'!$E$9)))</f>
        <v/>
      </c>
      <c r="D871">
        <f>IF('Entry Builder'!$N$10=0,1,IF('Entry Builder'!$D$10="Less",--(INDEX(Sims!$A871:$BO871,'Entry Builder'!$L$10)&lt;'Entry Builder'!$E$10),--(INDEX(Sims!$A871:$BO871,'Entry Builder'!$L$10)&gt;'Entry Builder'!$E$10)))</f>
        <v/>
      </c>
      <c r="E871">
        <f>IF('Entry Builder'!$N$11=0,1,IF('Entry Builder'!$D$11="Less",--(INDEX(Sims!$A871:$BO871,'Entry Builder'!$L$11)&lt;'Entry Builder'!$E$11),--(INDEX(Sims!$A871:$BO871,'Entry Builder'!$L$11)&gt;'Entry Builder'!$E$11)))</f>
        <v/>
      </c>
      <c r="F871">
        <f>IF('Entry Builder'!$N$12=0,1,IF('Entry Builder'!$D$12="Less",--(INDEX(Sims!$A871:$BO871,'Entry Builder'!$L$12)&lt;'Entry Builder'!$E$12),--(INDEX(Sims!$A871:$BO871,'Entry Builder'!$L$12)&gt;'Entry Builder'!$E$12)))</f>
        <v/>
      </c>
      <c r="G871">
        <f>6-SUM(A871:F871)</f>
        <v/>
      </c>
    </row>
    <row r="872">
      <c r="A872">
        <f>IF('Entry Builder'!$N$7=0,1,IF('Entry Builder'!$D$7="Less",--(INDEX(Sims!$A872:$BO872,'Entry Builder'!$L$7)&lt;'Entry Builder'!$E$7),--(INDEX(Sims!$A872:$BO872,'Entry Builder'!$L$7)&gt;'Entry Builder'!$E$7)))</f>
        <v/>
      </c>
      <c r="B872">
        <f>IF('Entry Builder'!$N$8=0,1,IF('Entry Builder'!$D$8="Less",--(INDEX(Sims!$A872:$BO872,'Entry Builder'!$L$8)&lt;'Entry Builder'!$E$8),--(INDEX(Sims!$A872:$BO872,'Entry Builder'!$L$8)&gt;'Entry Builder'!$E$8)))</f>
        <v/>
      </c>
      <c r="C872">
        <f>IF('Entry Builder'!$N$9=0,1,IF('Entry Builder'!$D$9="Less",--(INDEX(Sims!$A872:$BO872,'Entry Builder'!$L$9)&lt;'Entry Builder'!$E$9),--(INDEX(Sims!$A872:$BO872,'Entry Builder'!$L$9)&gt;'Entry Builder'!$E$9)))</f>
        <v/>
      </c>
      <c r="D872">
        <f>IF('Entry Builder'!$N$10=0,1,IF('Entry Builder'!$D$10="Less",--(INDEX(Sims!$A872:$BO872,'Entry Builder'!$L$10)&lt;'Entry Builder'!$E$10),--(INDEX(Sims!$A872:$BO872,'Entry Builder'!$L$10)&gt;'Entry Builder'!$E$10)))</f>
        <v/>
      </c>
      <c r="E872">
        <f>IF('Entry Builder'!$N$11=0,1,IF('Entry Builder'!$D$11="Less",--(INDEX(Sims!$A872:$BO872,'Entry Builder'!$L$11)&lt;'Entry Builder'!$E$11),--(INDEX(Sims!$A872:$BO872,'Entry Builder'!$L$11)&gt;'Entry Builder'!$E$11)))</f>
        <v/>
      </c>
      <c r="F872">
        <f>IF('Entry Builder'!$N$12=0,1,IF('Entry Builder'!$D$12="Less",--(INDEX(Sims!$A872:$BO872,'Entry Builder'!$L$12)&lt;'Entry Builder'!$E$12),--(INDEX(Sims!$A872:$BO872,'Entry Builder'!$L$12)&gt;'Entry Builder'!$E$12)))</f>
        <v/>
      </c>
      <c r="G872">
        <f>6-SUM(A872:F872)</f>
        <v/>
      </c>
    </row>
    <row r="873">
      <c r="A873">
        <f>IF('Entry Builder'!$N$7=0,1,IF('Entry Builder'!$D$7="Less",--(INDEX(Sims!$A873:$BO873,'Entry Builder'!$L$7)&lt;'Entry Builder'!$E$7),--(INDEX(Sims!$A873:$BO873,'Entry Builder'!$L$7)&gt;'Entry Builder'!$E$7)))</f>
        <v/>
      </c>
      <c r="B873">
        <f>IF('Entry Builder'!$N$8=0,1,IF('Entry Builder'!$D$8="Less",--(INDEX(Sims!$A873:$BO873,'Entry Builder'!$L$8)&lt;'Entry Builder'!$E$8),--(INDEX(Sims!$A873:$BO873,'Entry Builder'!$L$8)&gt;'Entry Builder'!$E$8)))</f>
        <v/>
      </c>
      <c r="C873">
        <f>IF('Entry Builder'!$N$9=0,1,IF('Entry Builder'!$D$9="Less",--(INDEX(Sims!$A873:$BO873,'Entry Builder'!$L$9)&lt;'Entry Builder'!$E$9),--(INDEX(Sims!$A873:$BO873,'Entry Builder'!$L$9)&gt;'Entry Builder'!$E$9)))</f>
        <v/>
      </c>
      <c r="D873">
        <f>IF('Entry Builder'!$N$10=0,1,IF('Entry Builder'!$D$10="Less",--(INDEX(Sims!$A873:$BO873,'Entry Builder'!$L$10)&lt;'Entry Builder'!$E$10),--(INDEX(Sims!$A873:$BO873,'Entry Builder'!$L$10)&gt;'Entry Builder'!$E$10)))</f>
        <v/>
      </c>
      <c r="E873">
        <f>IF('Entry Builder'!$N$11=0,1,IF('Entry Builder'!$D$11="Less",--(INDEX(Sims!$A873:$BO873,'Entry Builder'!$L$11)&lt;'Entry Builder'!$E$11),--(INDEX(Sims!$A873:$BO873,'Entry Builder'!$L$11)&gt;'Entry Builder'!$E$11)))</f>
        <v/>
      </c>
      <c r="F873">
        <f>IF('Entry Builder'!$N$12=0,1,IF('Entry Builder'!$D$12="Less",--(INDEX(Sims!$A873:$BO873,'Entry Builder'!$L$12)&lt;'Entry Builder'!$E$12),--(INDEX(Sims!$A873:$BO873,'Entry Builder'!$L$12)&gt;'Entry Builder'!$E$12)))</f>
        <v/>
      </c>
      <c r="G873">
        <f>6-SUM(A873:F873)</f>
        <v/>
      </c>
    </row>
    <row r="874">
      <c r="A874">
        <f>IF('Entry Builder'!$N$7=0,1,IF('Entry Builder'!$D$7="Less",--(INDEX(Sims!$A874:$BO874,'Entry Builder'!$L$7)&lt;'Entry Builder'!$E$7),--(INDEX(Sims!$A874:$BO874,'Entry Builder'!$L$7)&gt;'Entry Builder'!$E$7)))</f>
        <v/>
      </c>
      <c r="B874">
        <f>IF('Entry Builder'!$N$8=0,1,IF('Entry Builder'!$D$8="Less",--(INDEX(Sims!$A874:$BO874,'Entry Builder'!$L$8)&lt;'Entry Builder'!$E$8),--(INDEX(Sims!$A874:$BO874,'Entry Builder'!$L$8)&gt;'Entry Builder'!$E$8)))</f>
        <v/>
      </c>
      <c r="C874">
        <f>IF('Entry Builder'!$N$9=0,1,IF('Entry Builder'!$D$9="Less",--(INDEX(Sims!$A874:$BO874,'Entry Builder'!$L$9)&lt;'Entry Builder'!$E$9),--(INDEX(Sims!$A874:$BO874,'Entry Builder'!$L$9)&gt;'Entry Builder'!$E$9)))</f>
        <v/>
      </c>
      <c r="D874">
        <f>IF('Entry Builder'!$N$10=0,1,IF('Entry Builder'!$D$10="Less",--(INDEX(Sims!$A874:$BO874,'Entry Builder'!$L$10)&lt;'Entry Builder'!$E$10),--(INDEX(Sims!$A874:$BO874,'Entry Builder'!$L$10)&gt;'Entry Builder'!$E$10)))</f>
        <v/>
      </c>
      <c r="E874">
        <f>IF('Entry Builder'!$N$11=0,1,IF('Entry Builder'!$D$11="Less",--(INDEX(Sims!$A874:$BO874,'Entry Builder'!$L$11)&lt;'Entry Builder'!$E$11),--(INDEX(Sims!$A874:$BO874,'Entry Builder'!$L$11)&gt;'Entry Builder'!$E$11)))</f>
        <v/>
      </c>
      <c r="F874">
        <f>IF('Entry Builder'!$N$12=0,1,IF('Entry Builder'!$D$12="Less",--(INDEX(Sims!$A874:$BO874,'Entry Builder'!$L$12)&lt;'Entry Builder'!$E$12),--(INDEX(Sims!$A874:$BO874,'Entry Builder'!$L$12)&gt;'Entry Builder'!$E$12)))</f>
        <v/>
      </c>
      <c r="G874">
        <f>6-SUM(A874:F874)</f>
        <v/>
      </c>
    </row>
    <row r="875">
      <c r="A875">
        <f>IF('Entry Builder'!$N$7=0,1,IF('Entry Builder'!$D$7="Less",--(INDEX(Sims!$A875:$BO875,'Entry Builder'!$L$7)&lt;'Entry Builder'!$E$7),--(INDEX(Sims!$A875:$BO875,'Entry Builder'!$L$7)&gt;'Entry Builder'!$E$7)))</f>
        <v/>
      </c>
      <c r="B875">
        <f>IF('Entry Builder'!$N$8=0,1,IF('Entry Builder'!$D$8="Less",--(INDEX(Sims!$A875:$BO875,'Entry Builder'!$L$8)&lt;'Entry Builder'!$E$8),--(INDEX(Sims!$A875:$BO875,'Entry Builder'!$L$8)&gt;'Entry Builder'!$E$8)))</f>
        <v/>
      </c>
      <c r="C875">
        <f>IF('Entry Builder'!$N$9=0,1,IF('Entry Builder'!$D$9="Less",--(INDEX(Sims!$A875:$BO875,'Entry Builder'!$L$9)&lt;'Entry Builder'!$E$9),--(INDEX(Sims!$A875:$BO875,'Entry Builder'!$L$9)&gt;'Entry Builder'!$E$9)))</f>
        <v/>
      </c>
      <c r="D875">
        <f>IF('Entry Builder'!$N$10=0,1,IF('Entry Builder'!$D$10="Less",--(INDEX(Sims!$A875:$BO875,'Entry Builder'!$L$10)&lt;'Entry Builder'!$E$10),--(INDEX(Sims!$A875:$BO875,'Entry Builder'!$L$10)&gt;'Entry Builder'!$E$10)))</f>
        <v/>
      </c>
      <c r="E875">
        <f>IF('Entry Builder'!$N$11=0,1,IF('Entry Builder'!$D$11="Less",--(INDEX(Sims!$A875:$BO875,'Entry Builder'!$L$11)&lt;'Entry Builder'!$E$11),--(INDEX(Sims!$A875:$BO875,'Entry Builder'!$L$11)&gt;'Entry Builder'!$E$11)))</f>
        <v/>
      </c>
      <c r="F875">
        <f>IF('Entry Builder'!$N$12=0,1,IF('Entry Builder'!$D$12="Less",--(INDEX(Sims!$A875:$BO875,'Entry Builder'!$L$12)&lt;'Entry Builder'!$E$12),--(INDEX(Sims!$A875:$BO875,'Entry Builder'!$L$12)&gt;'Entry Builder'!$E$12)))</f>
        <v/>
      </c>
      <c r="G875">
        <f>6-SUM(A875:F875)</f>
        <v/>
      </c>
    </row>
    <row r="876">
      <c r="A876">
        <f>IF('Entry Builder'!$N$7=0,1,IF('Entry Builder'!$D$7="Less",--(INDEX(Sims!$A876:$BO876,'Entry Builder'!$L$7)&lt;'Entry Builder'!$E$7),--(INDEX(Sims!$A876:$BO876,'Entry Builder'!$L$7)&gt;'Entry Builder'!$E$7)))</f>
        <v/>
      </c>
      <c r="B876">
        <f>IF('Entry Builder'!$N$8=0,1,IF('Entry Builder'!$D$8="Less",--(INDEX(Sims!$A876:$BO876,'Entry Builder'!$L$8)&lt;'Entry Builder'!$E$8),--(INDEX(Sims!$A876:$BO876,'Entry Builder'!$L$8)&gt;'Entry Builder'!$E$8)))</f>
        <v/>
      </c>
      <c r="C876">
        <f>IF('Entry Builder'!$N$9=0,1,IF('Entry Builder'!$D$9="Less",--(INDEX(Sims!$A876:$BO876,'Entry Builder'!$L$9)&lt;'Entry Builder'!$E$9),--(INDEX(Sims!$A876:$BO876,'Entry Builder'!$L$9)&gt;'Entry Builder'!$E$9)))</f>
        <v/>
      </c>
      <c r="D876">
        <f>IF('Entry Builder'!$N$10=0,1,IF('Entry Builder'!$D$10="Less",--(INDEX(Sims!$A876:$BO876,'Entry Builder'!$L$10)&lt;'Entry Builder'!$E$10),--(INDEX(Sims!$A876:$BO876,'Entry Builder'!$L$10)&gt;'Entry Builder'!$E$10)))</f>
        <v/>
      </c>
      <c r="E876">
        <f>IF('Entry Builder'!$N$11=0,1,IF('Entry Builder'!$D$11="Less",--(INDEX(Sims!$A876:$BO876,'Entry Builder'!$L$11)&lt;'Entry Builder'!$E$11),--(INDEX(Sims!$A876:$BO876,'Entry Builder'!$L$11)&gt;'Entry Builder'!$E$11)))</f>
        <v/>
      </c>
      <c r="F876">
        <f>IF('Entry Builder'!$N$12=0,1,IF('Entry Builder'!$D$12="Less",--(INDEX(Sims!$A876:$BO876,'Entry Builder'!$L$12)&lt;'Entry Builder'!$E$12),--(INDEX(Sims!$A876:$BO876,'Entry Builder'!$L$12)&gt;'Entry Builder'!$E$12)))</f>
        <v/>
      </c>
      <c r="G876">
        <f>6-SUM(A876:F876)</f>
        <v/>
      </c>
    </row>
    <row r="877">
      <c r="A877">
        <f>IF('Entry Builder'!$N$7=0,1,IF('Entry Builder'!$D$7="Less",--(INDEX(Sims!$A877:$BO877,'Entry Builder'!$L$7)&lt;'Entry Builder'!$E$7),--(INDEX(Sims!$A877:$BO877,'Entry Builder'!$L$7)&gt;'Entry Builder'!$E$7)))</f>
        <v/>
      </c>
      <c r="B877">
        <f>IF('Entry Builder'!$N$8=0,1,IF('Entry Builder'!$D$8="Less",--(INDEX(Sims!$A877:$BO877,'Entry Builder'!$L$8)&lt;'Entry Builder'!$E$8),--(INDEX(Sims!$A877:$BO877,'Entry Builder'!$L$8)&gt;'Entry Builder'!$E$8)))</f>
        <v/>
      </c>
      <c r="C877">
        <f>IF('Entry Builder'!$N$9=0,1,IF('Entry Builder'!$D$9="Less",--(INDEX(Sims!$A877:$BO877,'Entry Builder'!$L$9)&lt;'Entry Builder'!$E$9),--(INDEX(Sims!$A877:$BO877,'Entry Builder'!$L$9)&gt;'Entry Builder'!$E$9)))</f>
        <v/>
      </c>
      <c r="D877">
        <f>IF('Entry Builder'!$N$10=0,1,IF('Entry Builder'!$D$10="Less",--(INDEX(Sims!$A877:$BO877,'Entry Builder'!$L$10)&lt;'Entry Builder'!$E$10),--(INDEX(Sims!$A877:$BO877,'Entry Builder'!$L$10)&gt;'Entry Builder'!$E$10)))</f>
        <v/>
      </c>
      <c r="E877">
        <f>IF('Entry Builder'!$N$11=0,1,IF('Entry Builder'!$D$11="Less",--(INDEX(Sims!$A877:$BO877,'Entry Builder'!$L$11)&lt;'Entry Builder'!$E$11),--(INDEX(Sims!$A877:$BO877,'Entry Builder'!$L$11)&gt;'Entry Builder'!$E$11)))</f>
        <v/>
      </c>
      <c r="F877">
        <f>IF('Entry Builder'!$N$12=0,1,IF('Entry Builder'!$D$12="Less",--(INDEX(Sims!$A877:$BO877,'Entry Builder'!$L$12)&lt;'Entry Builder'!$E$12),--(INDEX(Sims!$A877:$BO877,'Entry Builder'!$L$12)&gt;'Entry Builder'!$E$12)))</f>
        <v/>
      </c>
      <c r="G877">
        <f>6-SUM(A877:F877)</f>
        <v/>
      </c>
    </row>
    <row r="878">
      <c r="A878">
        <f>IF('Entry Builder'!$N$7=0,1,IF('Entry Builder'!$D$7="Less",--(INDEX(Sims!$A878:$BO878,'Entry Builder'!$L$7)&lt;'Entry Builder'!$E$7),--(INDEX(Sims!$A878:$BO878,'Entry Builder'!$L$7)&gt;'Entry Builder'!$E$7)))</f>
        <v/>
      </c>
      <c r="B878">
        <f>IF('Entry Builder'!$N$8=0,1,IF('Entry Builder'!$D$8="Less",--(INDEX(Sims!$A878:$BO878,'Entry Builder'!$L$8)&lt;'Entry Builder'!$E$8),--(INDEX(Sims!$A878:$BO878,'Entry Builder'!$L$8)&gt;'Entry Builder'!$E$8)))</f>
        <v/>
      </c>
      <c r="C878">
        <f>IF('Entry Builder'!$N$9=0,1,IF('Entry Builder'!$D$9="Less",--(INDEX(Sims!$A878:$BO878,'Entry Builder'!$L$9)&lt;'Entry Builder'!$E$9),--(INDEX(Sims!$A878:$BO878,'Entry Builder'!$L$9)&gt;'Entry Builder'!$E$9)))</f>
        <v/>
      </c>
      <c r="D878">
        <f>IF('Entry Builder'!$N$10=0,1,IF('Entry Builder'!$D$10="Less",--(INDEX(Sims!$A878:$BO878,'Entry Builder'!$L$10)&lt;'Entry Builder'!$E$10),--(INDEX(Sims!$A878:$BO878,'Entry Builder'!$L$10)&gt;'Entry Builder'!$E$10)))</f>
        <v/>
      </c>
      <c r="E878">
        <f>IF('Entry Builder'!$N$11=0,1,IF('Entry Builder'!$D$11="Less",--(INDEX(Sims!$A878:$BO878,'Entry Builder'!$L$11)&lt;'Entry Builder'!$E$11),--(INDEX(Sims!$A878:$BO878,'Entry Builder'!$L$11)&gt;'Entry Builder'!$E$11)))</f>
        <v/>
      </c>
      <c r="F878">
        <f>IF('Entry Builder'!$N$12=0,1,IF('Entry Builder'!$D$12="Less",--(INDEX(Sims!$A878:$BO878,'Entry Builder'!$L$12)&lt;'Entry Builder'!$E$12),--(INDEX(Sims!$A878:$BO878,'Entry Builder'!$L$12)&gt;'Entry Builder'!$E$12)))</f>
        <v/>
      </c>
      <c r="G878">
        <f>6-SUM(A878:F878)</f>
        <v/>
      </c>
    </row>
    <row r="879">
      <c r="A879">
        <f>IF('Entry Builder'!$N$7=0,1,IF('Entry Builder'!$D$7="Less",--(INDEX(Sims!$A879:$BO879,'Entry Builder'!$L$7)&lt;'Entry Builder'!$E$7),--(INDEX(Sims!$A879:$BO879,'Entry Builder'!$L$7)&gt;'Entry Builder'!$E$7)))</f>
        <v/>
      </c>
      <c r="B879">
        <f>IF('Entry Builder'!$N$8=0,1,IF('Entry Builder'!$D$8="Less",--(INDEX(Sims!$A879:$BO879,'Entry Builder'!$L$8)&lt;'Entry Builder'!$E$8),--(INDEX(Sims!$A879:$BO879,'Entry Builder'!$L$8)&gt;'Entry Builder'!$E$8)))</f>
        <v/>
      </c>
      <c r="C879">
        <f>IF('Entry Builder'!$N$9=0,1,IF('Entry Builder'!$D$9="Less",--(INDEX(Sims!$A879:$BO879,'Entry Builder'!$L$9)&lt;'Entry Builder'!$E$9),--(INDEX(Sims!$A879:$BO879,'Entry Builder'!$L$9)&gt;'Entry Builder'!$E$9)))</f>
        <v/>
      </c>
      <c r="D879">
        <f>IF('Entry Builder'!$N$10=0,1,IF('Entry Builder'!$D$10="Less",--(INDEX(Sims!$A879:$BO879,'Entry Builder'!$L$10)&lt;'Entry Builder'!$E$10),--(INDEX(Sims!$A879:$BO879,'Entry Builder'!$L$10)&gt;'Entry Builder'!$E$10)))</f>
        <v/>
      </c>
      <c r="E879">
        <f>IF('Entry Builder'!$N$11=0,1,IF('Entry Builder'!$D$11="Less",--(INDEX(Sims!$A879:$BO879,'Entry Builder'!$L$11)&lt;'Entry Builder'!$E$11),--(INDEX(Sims!$A879:$BO879,'Entry Builder'!$L$11)&gt;'Entry Builder'!$E$11)))</f>
        <v/>
      </c>
      <c r="F879">
        <f>IF('Entry Builder'!$N$12=0,1,IF('Entry Builder'!$D$12="Less",--(INDEX(Sims!$A879:$BO879,'Entry Builder'!$L$12)&lt;'Entry Builder'!$E$12),--(INDEX(Sims!$A879:$BO879,'Entry Builder'!$L$12)&gt;'Entry Builder'!$E$12)))</f>
        <v/>
      </c>
      <c r="G879">
        <f>6-SUM(A879:F879)</f>
        <v/>
      </c>
    </row>
    <row r="880">
      <c r="A880">
        <f>IF('Entry Builder'!$N$7=0,1,IF('Entry Builder'!$D$7="Less",--(INDEX(Sims!$A880:$BO880,'Entry Builder'!$L$7)&lt;'Entry Builder'!$E$7),--(INDEX(Sims!$A880:$BO880,'Entry Builder'!$L$7)&gt;'Entry Builder'!$E$7)))</f>
        <v/>
      </c>
      <c r="B880">
        <f>IF('Entry Builder'!$N$8=0,1,IF('Entry Builder'!$D$8="Less",--(INDEX(Sims!$A880:$BO880,'Entry Builder'!$L$8)&lt;'Entry Builder'!$E$8),--(INDEX(Sims!$A880:$BO880,'Entry Builder'!$L$8)&gt;'Entry Builder'!$E$8)))</f>
        <v/>
      </c>
      <c r="C880">
        <f>IF('Entry Builder'!$N$9=0,1,IF('Entry Builder'!$D$9="Less",--(INDEX(Sims!$A880:$BO880,'Entry Builder'!$L$9)&lt;'Entry Builder'!$E$9),--(INDEX(Sims!$A880:$BO880,'Entry Builder'!$L$9)&gt;'Entry Builder'!$E$9)))</f>
        <v/>
      </c>
      <c r="D880">
        <f>IF('Entry Builder'!$N$10=0,1,IF('Entry Builder'!$D$10="Less",--(INDEX(Sims!$A880:$BO880,'Entry Builder'!$L$10)&lt;'Entry Builder'!$E$10),--(INDEX(Sims!$A880:$BO880,'Entry Builder'!$L$10)&gt;'Entry Builder'!$E$10)))</f>
        <v/>
      </c>
      <c r="E880">
        <f>IF('Entry Builder'!$N$11=0,1,IF('Entry Builder'!$D$11="Less",--(INDEX(Sims!$A880:$BO880,'Entry Builder'!$L$11)&lt;'Entry Builder'!$E$11),--(INDEX(Sims!$A880:$BO880,'Entry Builder'!$L$11)&gt;'Entry Builder'!$E$11)))</f>
        <v/>
      </c>
      <c r="F880">
        <f>IF('Entry Builder'!$N$12=0,1,IF('Entry Builder'!$D$12="Less",--(INDEX(Sims!$A880:$BO880,'Entry Builder'!$L$12)&lt;'Entry Builder'!$E$12),--(INDEX(Sims!$A880:$BO880,'Entry Builder'!$L$12)&gt;'Entry Builder'!$E$12)))</f>
        <v/>
      </c>
      <c r="G880">
        <f>6-SUM(A880:F880)</f>
        <v/>
      </c>
    </row>
    <row r="881">
      <c r="A881">
        <f>IF('Entry Builder'!$N$7=0,1,IF('Entry Builder'!$D$7="Less",--(INDEX(Sims!$A881:$BO881,'Entry Builder'!$L$7)&lt;'Entry Builder'!$E$7),--(INDEX(Sims!$A881:$BO881,'Entry Builder'!$L$7)&gt;'Entry Builder'!$E$7)))</f>
        <v/>
      </c>
      <c r="B881">
        <f>IF('Entry Builder'!$N$8=0,1,IF('Entry Builder'!$D$8="Less",--(INDEX(Sims!$A881:$BO881,'Entry Builder'!$L$8)&lt;'Entry Builder'!$E$8),--(INDEX(Sims!$A881:$BO881,'Entry Builder'!$L$8)&gt;'Entry Builder'!$E$8)))</f>
        <v/>
      </c>
      <c r="C881">
        <f>IF('Entry Builder'!$N$9=0,1,IF('Entry Builder'!$D$9="Less",--(INDEX(Sims!$A881:$BO881,'Entry Builder'!$L$9)&lt;'Entry Builder'!$E$9),--(INDEX(Sims!$A881:$BO881,'Entry Builder'!$L$9)&gt;'Entry Builder'!$E$9)))</f>
        <v/>
      </c>
      <c r="D881">
        <f>IF('Entry Builder'!$N$10=0,1,IF('Entry Builder'!$D$10="Less",--(INDEX(Sims!$A881:$BO881,'Entry Builder'!$L$10)&lt;'Entry Builder'!$E$10),--(INDEX(Sims!$A881:$BO881,'Entry Builder'!$L$10)&gt;'Entry Builder'!$E$10)))</f>
        <v/>
      </c>
      <c r="E881">
        <f>IF('Entry Builder'!$N$11=0,1,IF('Entry Builder'!$D$11="Less",--(INDEX(Sims!$A881:$BO881,'Entry Builder'!$L$11)&lt;'Entry Builder'!$E$11),--(INDEX(Sims!$A881:$BO881,'Entry Builder'!$L$11)&gt;'Entry Builder'!$E$11)))</f>
        <v/>
      </c>
      <c r="F881">
        <f>IF('Entry Builder'!$N$12=0,1,IF('Entry Builder'!$D$12="Less",--(INDEX(Sims!$A881:$BO881,'Entry Builder'!$L$12)&lt;'Entry Builder'!$E$12),--(INDEX(Sims!$A881:$BO881,'Entry Builder'!$L$12)&gt;'Entry Builder'!$E$12)))</f>
        <v/>
      </c>
      <c r="G881">
        <f>6-SUM(A881:F881)</f>
        <v/>
      </c>
    </row>
    <row r="882">
      <c r="A882">
        <f>IF('Entry Builder'!$N$7=0,1,IF('Entry Builder'!$D$7="Less",--(INDEX(Sims!$A882:$BO882,'Entry Builder'!$L$7)&lt;'Entry Builder'!$E$7),--(INDEX(Sims!$A882:$BO882,'Entry Builder'!$L$7)&gt;'Entry Builder'!$E$7)))</f>
        <v/>
      </c>
      <c r="B882">
        <f>IF('Entry Builder'!$N$8=0,1,IF('Entry Builder'!$D$8="Less",--(INDEX(Sims!$A882:$BO882,'Entry Builder'!$L$8)&lt;'Entry Builder'!$E$8),--(INDEX(Sims!$A882:$BO882,'Entry Builder'!$L$8)&gt;'Entry Builder'!$E$8)))</f>
        <v/>
      </c>
      <c r="C882">
        <f>IF('Entry Builder'!$N$9=0,1,IF('Entry Builder'!$D$9="Less",--(INDEX(Sims!$A882:$BO882,'Entry Builder'!$L$9)&lt;'Entry Builder'!$E$9),--(INDEX(Sims!$A882:$BO882,'Entry Builder'!$L$9)&gt;'Entry Builder'!$E$9)))</f>
        <v/>
      </c>
      <c r="D882">
        <f>IF('Entry Builder'!$N$10=0,1,IF('Entry Builder'!$D$10="Less",--(INDEX(Sims!$A882:$BO882,'Entry Builder'!$L$10)&lt;'Entry Builder'!$E$10),--(INDEX(Sims!$A882:$BO882,'Entry Builder'!$L$10)&gt;'Entry Builder'!$E$10)))</f>
        <v/>
      </c>
      <c r="E882">
        <f>IF('Entry Builder'!$N$11=0,1,IF('Entry Builder'!$D$11="Less",--(INDEX(Sims!$A882:$BO882,'Entry Builder'!$L$11)&lt;'Entry Builder'!$E$11),--(INDEX(Sims!$A882:$BO882,'Entry Builder'!$L$11)&gt;'Entry Builder'!$E$11)))</f>
        <v/>
      </c>
      <c r="F882">
        <f>IF('Entry Builder'!$N$12=0,1,IF('Entry Builder'!$D$12="Less",--(INDEX(Sims!$A882:$BO882,'Entry Builder'!$L$12)&lt;'Entry Builder'!$E$12),--(INDEX(Sims!$A882:$BO882,'Entry Builder'!$L$12)&gt;'Entry Builder'!$E$12)))</f>
        <v/>
      </c>
      <c r="G882">
        <f>6-SUM(A882:F882)</f>
        <v/>
      </c>
    </row>
    <row r="883">
      <c r="A883">
        <f>IF('Entry Builder'!$N$7=0,1,IF('Entry Builder'!$D$7="Less",--(INDEX(Sims!$A883:$BO883,'Entry Builder'!$L$7)&lt;'Entry Builder'!$E$7),--(INDEX(Sims!$A883:$BO883,'Entry Builder'!$L$7)&gt;'Entry Builder'!$E$7)))</f>
        <v/>
      </c>
      <c r="B883">
        <f>IF('Entry Builder'!$N$8=0,1,IF('Entry Builder'!$D$8="Less",--(INDEX(Sims!$A883:$BO883,'Entry Builder'!$L$8)&lt;'Entry Builder'!$E$8),--(INDEX(Sims!$A883:$BO883,'Entry Builder'!$L$8)&gt;'Entry Builder'!$E$8)))</f>
        <v/>
      </c>
      <c r="C883">
        <f>IF('Entry Builder'!$N$9=0,1,IF('Entry Builder'!$D$9="Less",--(INDEX(Sims!$A883:$BO883,'Entry Builder'!$L$9)&lt;'Entry Builder'!$E$9),--(INDEX(Sims!$A883:$BO883,'Entry Builder'!$L$9)&gt;'Entry Builder'!$E$9)))</f>
        <v/>
      </c>
      <c r="D883">
        <f>IF('Entry Builder'!$N$10=0,1,IF('Entry Builder'!$D$10="Less",--(INDEX(Sims!$A883:$BO883,'Entry Builder'!$L$10)&lt;'Entry Builder'!$E$10),--(INDEX(Sims!$A883:$BO883,'Entry Builder'!$L$10)&gt;'Entry Builder'!$E$10)))</f>
        <v/>
      </c>
      <c r="E883">
        <f>IF('Entry Builder'!$N$11=0,1,IF('Entry Builder'!$D$11="Less",--(INDEX(Sims!$A883:$BO883,'Entry Builder'!$L$11)&lt;'Entry Builder'!$E$11),--(INDEX(Sims!$A883:$BO883,'Entry Builder'!$L$11)&gt;'Entry Builder'!$E$11)))</f>
        <v/>
      </c>
      <c r="F883">
        <f>IF('Entry Builder'!$N$12=0,1,IF('Entry Builder'!$D$12="Less",--(INDEX(Sims!$A883:$BO883,'Entry Builder'!$L$12)&lt;'Entry Builder'!$E$12),--(INDEX(Sims!$A883:$BO883,'Entry Builder'!$L$12)&gt;'Entry Builder'!$E$12)))</f>
        <v/>
      </c>
      <c r="G883">
        <f>6-SUM(A883:F883)</f>
        <v/>
      </c>
    </row>
    <row r="884">
      <c r="A884">
        <f>IF('Entry Builder'!$N$7=0,1,IF('Entry Builder'!$D$7="Less",--(INDEX(Sims!$A884:$BO884,'Entry Builder'!$L$7)&lt;'Entry Builder'!$E$7),--(INDEX(Sims!$A884:$BO884,'Entry Builder'!$L$7)&gt;'Entry Builder'!$E$7)))</f>
        <v/>
      </c>
      <c r="B884">
        <f>IF('Entry Builder'!$N$8=0,1,IF('Entry Builder'!$D$8="Less",--(INDEX(Sims!$A884:$BO884,'Entry Builder'!$L$8)&lt;'Entry Builder'!$E$8),--(INDEX(Sims!$A884:$BO884,'Entry Builder'!$L$8)&gt;'Entry Builder'!$E$8)))</f>
        <v/>
      </c>
      <c r="C884">
        <f>IF('Entry Builder'!$N$9=0,1,IF('Entry Builder'!$D$9="Less",--(INDEX(Sims!$A884:$BO884,'Entry Builder'!$L$9)&lt;'Entry Builder'!$E$9),--(INDEX(Sims!$A884:$BO884,'Entry Builder'!$L$9)&gt;'Entry Builder'!$E$9)))</f>
        <v/>
      </c>
      <c r="D884">
        <f>IF('Entry Builder'!$N$10=0,1,IF('Entry Builder'!$D$10="Less",--(INDEX(Sims!$A884:$BO884,'Entry Builder'!$L$10)&lt;'Entry Builder'!$E$10),--(INDEX(Sims!$A884:$BO884,'Entry Builder'!$L$10)&gt;'Entry Builder'!$E$10)))</f>
        <v/>
      </c>
      <c r="E884">
        <f>IF('Entry Builder'!$N$11=0,1,IF('Entry Builder'!$D$11="Less",--(INDEX(Sims!$A884:$BO884,'Entry Builder'!$L$11)&lt;'Entry Builder'!$E$11),--(INDEX(Sims!$A884:$BO884,'Entry Builder'!$L$11)&gt;'Entry Builder'!$E$11)))</f>
        <v/>
      </c>
      <c r="F884">
        <f>IF('Entry Builder'!$N$12=0,1,IF('Entry Builder'!$D$12="Less",--(INDEX(Sims!$A884:$BO884,'Entry Builder'!$L$12)&lt;'Entry Builder'!$E$12),--(INDEX(Sims!$A884:$BO884,'Entry Builder'!$L$12)&gt;'Entry Builder'!$E$12)))</f>
        <v/>
      </c>
      <c r="G884">
        <f>6-SUM(A884:F884)</f>
        <v/>
      </c>
    </row>
    <row r="885">
      <c r="A885">
        <f>IF('Entry Builder'!$N$7=0,1,IF('Entry Builder'!$D$7="Less",--(INDEX(Sims!$A885:$BO885,'Entry Builder'!$L$7)&lt;'Entry Builder'!$E$7),--(INDEX(Sims!$A885:$BO885,'Entry Builder'!$L$7)&gt;'Entry Builder'!$E$7)))</f>
        <v/>
      </c>
      <c r="B885">
        <f>IF('Entry Builder'!$N$8=0,1,IF('Entry Builder'!$D$8="Less",--(INDEX(Sims!$A885:$BO885,'Entry Builder'!$L$8)&lt;'Entry Builder'!$E$8),--(INDEX(Sims!$A885:$BO885,'Entry Builder'!$L$8)&gt;'Entry Builder'!$E$8)))</f>
        <v/>
      </c>
      <c r="C885">
        <f>IF('Entry Builder'!$N$9=0,1,IF('Entry Builder'!$D$9="Less",--(INDEX(Sims!$A885:$BO885,'Entry Builder'!$L$9)&lt;'Entry Builder'!$E$9),--(INDEX(Sims!$A885:$BO885,'Entry Builder'!$L$9)&gt;'Entry Builder'!$E$9)))</f>
        <v/>
      </c>
      <c r="D885">
        <f>IF('Entry Builder'!$N$10=0,1,IF('Entry Builder'!$D$10="Less",--(INDEX(Sims!$A885:$BO885,'Entry Builder'!$L$10)&lt;'Entry Builder'!$E$10),--(INDEX(Sims!$A885:$BO885,'Entry Builder'!$L$10)&gt;'Entry Builder'!$E$10)))</f>
        <v/>
      </c>
      <c r="E885">
        <f>IF('Entry Builder'!$N$11=0,1,IF('Entry Builder'!$D$11="Less",--(INDEX(Sims!$A885:$BO885,'Entry Builder'!$L$11)&lt;'Entry Builder'!$E$11),--(INDEX(Sims!$A885:$BO885,'Entry Builder'!$L$11)&gt;'Entry Builder'!$E$11)))</f>
        <v/>
      </c>
      <c r="F885">
        <f>IF('Entry Builder'!$N$12=0,1,IF('Entry Builder'!$D$12="Less",--(INDEX(Sims!$A885:$BO885,'Entry Builder'!$L$12)&lt;'Entry Builder'!$E$12),--(INDEX(Sims!$A885:$BO885,'Entry Builder'!$L$12)&gt;'Entry Builder'!$E$12)))</f>
        <v/>
      </c>
      <c r="G885">
        <f>6-SUM(A885:F885)</f>
        <v/>
      </c>
    </row>
    <row r="886">
      <c r="A886">
        <f>IF('Entry Builder'!$N$7=0,1,IF('Entry Builder'!$D$7="Less",--(INDEX(Sims!$A886:$BO886,'Entry Builder'!$L$7)&lt;'Entry Builder'!$E$7),--(INDEX(Sims!$A886:$BO886,'Entry Builder'!$L$7)&gt;'Entry Builder'!$E$7)))</f>
        <v/>
      </c>
      <c r="B886">
        <f>IF('Entry Builder'!$N$8=0,1,IF('Entry Builder'!$D$8="Less",--(INDEX(Sims!$A886:$BO886,'Entry Builder'!$L$8)&lt;'Entry Builder'!$E$8),--(INDEX(Sims!$A886:$BO886,'Entry Builder'!$L$8)&gt;'Entry Builder'!$E$8)))</f>
        <v/>
      </c>
      <c r="C886">
        <f>IF('Entry Builder'!$N$9=0,1,IF('Entry Builder'!$D$9="Less",--(INDEX(Sims!$A886:$BO886,'Entry Builder'!$L$9)&lt;'Entry Builder'!$E$9),--(INDEX(Sims!$A886:$BO886,'Entry Builder'!$L$9)&gt;'Entry Builder'!$E$9)))</f>
        <v/>
      </c>
      <c r="D886">
        <f>IF('Entry Builder'!$N$10=0,1,IF('Entry Builder'!$D$10="Less",--(INDEX(Sims!$A886:$BO886,'Entry Builder'!$L$10)&lt;'Entry Builder'!$E$10),--(INDEX(Sims!$A886:$BO886,'Entry Builder'!$L$10)&gt;'Entry Builder'!$E$10)))</f>
        <v/>
      </c>
      <c r="E886">
        <f>IF('Entry Builder'!$N$11=0,1,IF('Entry Builder'!$D$11="Less",--(INDEX(Sims!$A886:$BO886,'Entry Builder'!$L$11)&lt;'Entry Builder'!$E$11),--(INDEX(Sims!$A886:$BO886,'Entry Builder'!$L$11)&gt;'Entry Builder'!$E$11)))</f>
        <v/>
      </c>
      <c r="F886">
        <f>IF('Entry Builder'!$N$12=0,1,IF('Entry Builder'!$D$12="Less",--(INDEX(Sims!$A886:$BO886,'Entry Builder'!$L$12)&lt;'Entry Builder'!$E$12),--(INDEX(Sims!$A886:$BO886,'Entry Builder'!$L$12)&gt;'Entry Builder'!$E$12)))</f>
        <v/>
      </c>
      <c r="G886">
        <f>6-SUM(A886:F886)</f>
        <v/>
      </c>
    </row>
    <row r="887">
      <c r="A887">
        <f>IF('Entry Builder'!$N$7=0,1,IF('Entry Builder'!$D$7="Less",--(INDEX(Sims!$A887:$BO887,'Entry Builder'!$L$7)&lt;'Entry Builder'!$E$7),--(INDEX(Sims!$A887:$BO887,'Entry Builder'!$L$7)&gt;'Entry Builder'!$E$7)))</f>
        <v/>
      </c>
      <c r="B887">
        <f>IF('Entry Builder'!$N$8=0,1,IF('Entry Builder'!$D$8="Less",--(INDEX(Sims!$A887:$BO887,'Entry Builder'!$L$8)&lt;'Entry Builder'!$E$8),--(INDEX(Sims!$A887:$BO887,'Entry Builder'!$L$8)&gt;'Entry Builder'!$E$8)))</f>
        <v/>
      </c>
      <c r="C887">
        <f>IF('Entry Builder'!$N$9=0,1,IF('Entry Builder'!$D$9="Less",--(INDEX(Sims!$A887:$BO887,'Entry Builder'!$L$9)&lt;'Entry Builder'!$E$9),--(INDEX(Sims!$A887:$BO887,'Entry Builder'!$L$9)&gt;'Entry Builder'!$E$9)))</f>
        <v/>
      </c>
      <c r="D887">
        <f>IF('Entry Builder'!$N$10=0,1,IF('Entry Builder'!$D$10="Less",--(INDEX(Sims!$A887:$BO887,'Entry Builder'!$L$10)&lt;'Entry Builder'!$E$10),--(INDEX(Sims!$A887:$BO887,'Entry Builder'!$L$10)&gt;'Entry Builder'!$E$10)))</f>
        <v/>
      </c>
      <c r="E887">
        <f>IF('Entry Builder'!$N$11=0,1,IF('Entry Builder'!$D$11="Less",--(INDEX(Sims!$A887:$BO887,'Entry Builder'!$L$11)&lt;'Entry Builder'!$E$11),--(INDEX(Sims!$A887:$BO887,'Entry Builder'!$L$11)&gt;'Entry Builder'!$E$11)))</f>
        <v/>
      </c>
      <c r="F887">
        <f>IF('Entry Builder'!$N$12=0,1,IF('Entry Builder'!$D$12="Less",--(INDEX(Sims!$A887:$BO887,'Entry Builder'!$L$12)&lt;'Entry Builder'!$E$12),--(INDEX(Sims!$A887:$BO887,'Entry Builder'!$L$12)&gt;'Entry Builder'!$E$12)))</f>
        <v/>
      </c>
      <c r="G887">
        <f>6-SUM(A887:F887)</f>
        <v/>
      </c>
    </row>
    <row r="888">
      <c r="A888">
        <f>IF('Entry Builder'!$N$7=0,1,IF('Entry Builder'!$D$7="Less",--(INDEX(Sims!$A888:$BO888,'Entry Builder'!$L$7)&lt;'Entry Builder'!$E$7),--(INDEX(Sims!$A888:$BO888,'Entry Builder'!$L$7)&gt;'Entry Builder'!$E$7)))</f>
        <v/>
      </c>
      <c r="B888">
        <f>IF('Entry Builder'!$N$8=0,1,IF('Entry Builder'!$D$8="Less",--(INDEX(Sims!$A888:$BO888,'Entry Builder'!$L$8)&lt;'Entry Builder'!$E$8),--(INDEX(Sims!$A888:$BO888,'Entry Builder'!$L$8)&gt;'Entry Builder'!$E$8)))</f>
        <v/>
      </c>
      <c r="C888">
        <f>IF('Entry Builder'!$N$9=0,1,IF('Entry Builder'!$D$9="Less",--(INDEX(Sims!$A888:$BO888,'Entry Builder'!$L$9)&lt;'Entry Builder'!$E$9),--(INDEX(Sims!$A888:$BO888,'Entry Builder'!$L$9)&gt;'Entry Builder'!$E$9)))</f>
        <v/>
      </c>
      <c r="D888">
        <f>IF('Entry Builder'!$N$10=0,1,IF('Entry Builder'!$D$10="Less",--(INDEX(Sims!$A888:$BO888,'Entry Builder'!$L$10)&lt;'Entry Builder'!$E$10),--(INDEX(Sims!$A888:$BO888,'Entry Builder'!$L$10)&gt;'Entry Builder'!$E$10)))</f>
        <v/>
      </c>
      <c r="E888">
        <f>IF('Entry Builder'!$N$11=0,1,IF('Entry Builder'!$D$11="Less",--(INDEX(Sims!$A888:$BO888,'Entry Builder'!$L$11)&lt;'Entry Builder'!$E$11),--(INDEX(Sims!$A888:$BO888,'Entry Builder'!$L$11)&gt;'Entry Builder'!$E$11)))</f>
        <v/>
      </c>
      <c r="F888">
        <f>IF('Entry Builder'!$N$12=0,1,IF('Entry Builder'!$D$12="Less",--(INDEX(Sims!$A888:$BO888,'Entry Builder'!$L$12)&lt;'Entry Builder'!$E$12),--(INDEX(Sims!$A888:$BO888,'Entry Builder'!$L$12)&gt;'Entry Builder'!$E$12)))</f>
        <v/>
      </c>
      <c r="G888">
        <f>6-SUM(A888:F888)</f>
        <v/>
      </c>
    </row>
    <row r="889">
      <c r="A889">
        <f>IF('Entry Builder'!$N$7=0,1,IF('Entry Builder'!$D$7="Less",--(INDEX(Sims!$A889:$BO889,'Entry Builder'!$L$7)&lt;'Entry Builder'!$E$7),--(INDEX(Sims!$A889:$BO889,'Entry Builder'!$L$7)&gt;'Entry Builder'!$E$7)))</f>
        <v/>
      </c>
      <c r="B889">
        <f>IF('Entry Builder'!$N$8=0,1,IF('Entry Builder'!$D$8="Less",--(INDEX(Sims!$A889:$BO889,'Entry Builder'!$L$8)&lt;'Entry Builder'!$E$8),--(INDEX(Sims!$A889:$BO889,'Entry Builder'!$L$8)&gt;'Entry Builder'!$E$8)))</f>
        <v/>
      </c>
      <c r="C889">
        <f>IF('Entry Builder'!$N$9=0,1,IF('Entry Builder'!$D$9="Less",--(INDEX(Sims!$A889:$BO889,'Entry Builder'!$L$9)&lt;'Entry Builder'!$E$9),--(INDEX(Sims!$A889:$BO889,'Entry Builder'!$L$9)&gt;'Entry Builder'!$E$9)))</f>
        <v/>
      </c>
      <c r="D889">
        <f>IF('Entry Builder'!$N$10=0,1,IF('Entry Builder'!$D$10="Less",--(INDEX(Sims!$A889:$BO889,'Entry Builder'!$L$10)&lt;'Entry Builder'!$E$10),--(INDEX(Sims!$A889:$BO889,'Entry Builder'!$L$10)&gt;'Entry Builder'!$E$10)))</f>
        <v/>
      </c>
      <c r="E889">
        <f>IF('Entry Builder'!$N$11=0,1,IF('Entry Builder'!$D$11="Less",--(INDEX(Sims!$A889:$BO889,'Entry Builder'!$L$11)&lt;'Entry Builder'!$E$11),--(INDEX(Sims!$A889:$BO889,'Entry Builder'!$L$11)&gt;'Entry Builder'!$E$11)))</f>
        <v/>
      </c>
      <c r="F889">
        <f>IF('Entry Builder'!$N$12=0,1,IF('Entry Builder'!$D$12="Less",--(INDEX(Sims!$A889:$BO889,'Entry Builder'!$L$12)&lt;'Entry Builder'!$E$12),--(INDEX(Sims!$A889:$BO889,'Entry Builder'!$L$12)&gt;'Entry Builder'!$E$12)))</f>
        <v/>
      </c>
      <c r="G889">
        <f>6-SUM(A889:F889)</f>
        <v/>
      </c>
    </row>
    <row r="890">
      <c r="A890">
        <f>IF('Entry Builder'!$N$7=0,1,IF('Entry Builder'!$D$7="Less",--(INDEX(Sims!$A890:$BO890,'Entry Builder'!$L$7)&lt;'Entry Builder'!$E$7),--(INDEX(Sims!$A890:$BO890,'Entry Builder'!$L$7)&gt;'Entry Builder'!$E$7)))</f>
        <v/>
      </c>
      <c r="B890">
        <f>IF('Entry Builder'!$N$8=0,1,IF('Entry Builder'!$D$8="Less",--(INDEX(Sims!$A890:$BO890,'Entry Builder'!$L$8)&lt;'Entry Builder'!$E$8),--(INDEX(Sims!$A890:$BO890,'Entry Builder'!$L$8)&gt;'Entry Builder'!$E$8)))</f>
        <v/>
      </c>
      <c r="C890">
        <f>IF('Entry Builder'!$N$9=0,1,IF('Entry Builder'!$D$9="Less",--(INDEX(Sims!$A890:$BO890,'Entry Builder'!$L$9)&lt;'Entry Builder'!$E$9),--(INDEX(Sims!$A890:$BO890,'Entry Builder'!$L$9)&gt;'Entry Builder'!$E$9)))</f>
        <v/>
      </c>
      <c r="D890">
        <f>IF('Entry Builder'!$N$10=0,1,IF('Entry Builder'!$D$10="Less",--(INDEX(Sims!$A890:$BO890,'Entry Builder'!$L$10)&lt;'Entry Builder'!$E$10),--(INDEX(Sims!$A890:$BO890,'Entry Builder'!$L$10)&gt;'Entry Builder'!$E$10)))</f>
        <v/>
      </c>
      <c r="E890">
        <f>IF('Entry Builder'!$N$11=0,1,IF('Entry Builder'!$D$11="Less",--(INDEX(Sims!$A890:$BO890,'Entry Builder'!$L$11)&lt;'Entry Builder'!$E$11),--(INDEX(Sims!$A890:$BO890,'Entry Builder'!$L$11)&gt;'Entry Builder'!$E$11)))</f>
        <v/>
      </c>
      <c r="F890">
        <f>IF('Entry Builder'!$N$12=0,1,IF('Entry Builder'!$D$12="Less",--(INDEX(Sims!$A890:$BO890,'Entry Builder'!$L$12)&lt;'Entry Builder'!$E$12),--(INDEX(Sims!$A890:$BO890,'Entry Builder'!$L$12)&gt;'Entry Builder'!$E$12)))</f>
        <v/>
      </c>
      <c r="G890">
        <f>6-SUM(A890:F890)</f>
        <v/>
      </c>
    </row>
    <row r="891">
      <c r="A891">
        <f>IF('Entry Builder'!$N$7=0,1,IF('Entry Builder'!$D$7="Less",--(INDEX(Sims!$A891:$BO891,'Entry Builder'!$L$7)&lt;'Entry Builder'!$E$7),--(INDEX(Sims!$A891:$BO891,'Entry Builder'!$L$7)&gt;'Entry Builder'!$E$7)))</f>
        <v/>
      </c>
      <c r="B891">
        <f>IF('Entry Builder'!$N$8=0,1,IF('Entry Builder'!$D$8="Less",--(INDEX(Sims!$A891:$BO891,'Entry Builder'!$L$8)&lt;'Entry Builder'!$E$8),--(INDEX(Sims!$A891:$BO891,'Entry Builder'!$L$8)&gt;'Entry Builder'!$E$8)))</f>
        <v/>
      </c>
      <c r="C891">
        <f>IF('Entry Builder'!$N$9=0,1,IF('Entry Builder'!$D$9="Less",--(INDEX(Sims!$A891:$BO891,'Entry Builder'!$L$9)&lt;'Entry Builder'!$E$9),--(INDEX(Sims!$A891:$BO891,'Entry Builder'!$L$9)&gt;'Entry Builder'!$E$9)))</f>
        <v/>
      </c>
      <c r="D891">
        <f>IF('Entry Builder'!$N$10=0,1,IF('Entry Builder'!$D$10="Less",--(INDEX(Sims!$A891:$BO891,'Entry Builder'!$L$10)&lt;'Entry Builder'!$E$10),--(INDEX(Sims!$A891:$BO891,'Entry Builder'!$L$10)&gt;'Entry Builder'!$E$10)))</f>
        <v/>
      </c>
      <c r="E891">
        <f>IF('Entry Builder'!$N$11=0,1,IF('Entry Builder'!$D$11="Less",--(INDEX(Sims!$A891:$BO891,'Entry Builder'!$L$11)&lt;'Entry Builder'!$E$11),--(INDEX(Sims!$A891:$BO891,'Entry Builder'!$L$11)&gt;'Entry Builder'!$E$11)))</f>
        <v/>
      </c>
      <c r="F891">
        <f>IF('Entry Builder'!$N$12=0,1,IF('Entry Builder'!$D$12="Less",--(INDEX(Sims!$A891:$BO891,'Entry Builder'!$L$12)&lt;'Entry Builder'!$E$12),--(INDEX(Sims!$A891:$BO891,'Entry Builder'!$L$12)&gt;'Entry Builder'!$E$12)))</f>
        <v/>
      </c>
      <c r="G891">
        <f>6-SUM(A891:F891)</f>
        <v/>
      </c>
    </row>
    <row r="892">
      <c r="A892">
        <f>IF('Entry Builder'!$N$7=0,1,IF('Entry Builder'!$D$7="Less",--(INDEX(Sims!$A892:$BO892,'Entry Builder'!$L$7)&lt;'Entry Builder'!$E$7),--(INDEX(Sims!$A892:$BO892,'Entry Builder'!$L$7)&gt;'Entry Builder'!$E$7)))</f>
        <v/>
      </c>
      <c r="B892">
        <f>IF('Entry Builder'!$N$8=0,1,IF('Entry Builder'!$D$8="Less",--(INDEX(Sims!$A892:$BO892,'Entry Builder'!$L$8)&lt;'Entry Builder'!$E$8),--(INDEX(Sims!$A892:$BO892,'Entry Builder'!$L$8)&gt;'Entry Builder'!$E$8)))</f>
        <v/>
      </c>
      <c r="C892">
        <f>IF('Entry Builder'!$N$9=0,1,IF('Entry Builder'!$D$9="Less",--(INDEX(Sims!$A892:$BO892,'Entry Builder'!$L$9)&lt;'Entry Builder'!$E$9),--(INDEX(Sims!$A892:$BO892,'Entry Builder'!$L$9)&gt;'Entry Builder'!$E$9)))</f>
        <v/>
      </c>
      <c r="D892">
        <f>IF('Entry Builder'!$N$10=0,1,IF('Entry Builder'!$D$10="Less",--(INDEX(Sims!$A892:$BO892,'Entry Builder'!$L$10)&lt;'Entry Builder'!$E$10),--(INDEX(Sims!$A892:$BO892,'Entry Builder'!$L$10)&gt;'Entry Builder'!$E$10)))</f>
        <v/>
      </c>
      <c r="E892">
        <f>IF('Entry Builder'!$N$11=0,1,IF('Entry Builder'!$D$11="Less",--(INDEX(Sims!$A892:$BO892,'Entry Builder'!$L$11)&lt;'Entry Builder'!$E$11),--(INDEX(Sims!$A892:$BO892,'Entry Builder'!$L$11)&gt;'Entry Builder'!$E$11)))</f>
        <v/>
      </c>
      <c r="F892">
        <f>IF('Entry Builder'!$N$12=0,1,IF('Entry Builder'!$D$12="Less",--(INDEX(Sims!$A892:$BO892,'Entry Builder'!$L$12)&lt;'Entry Builder'!$E$12),--(INDEX(Sims!$A892:$BO892,'Entry Builder'!$L$12)&gt;'Entry Builder'!$E$12)))</f>
        <v/>
      </c>
      <c r="G892">
        <f>6-SUM(A892:F892)</f>
        <v/>
      </c>
    </row>
    <row r="893">
      <c r="A893">
        <f>IF('Entry Builder'!$N$7=0,1,IF('Entry Builder'!$D$7="Less",--(INDEX(Sims!$A893:$BO893,'Entry Builder'!$L$7)&lt;'Entry Builder'!$E$7),--(INDEX(Sims!$A893:$BO893,'Entry Builder'!$L$7)&gt;'Entry Builder'!$E$7)))</f>
        <v/>
      </c>
      <c r="B893">
        <f>IF('Entry Builder'!$N$8=0,1,IF('Entry Builder'!$D$8="Less",--(INDEX(Sims!$A893:$BO893,'Entry Builder'!$L$8)&lt;'Entry Builder'!$E$8),--(INDEX(Sims!$A893:$BO893,'Entry Builder'!$L$8)&gt;'Entry Builder'!$E$8)))</f>
        <v/>
      </c>
      <c r="C893">
        <f>IF('Entry Builder'!$N$9=0,1,IF('Entry Builder'!$D$9="Less",--(INDEX(Sims!$A893:$BO893,'Entry Builder'!$L$9)&lt;'Entry Builder'!$E$9),--(INDEX(Sims!$A893:$BO893,'Entry Builder'!$L$9)&gt;'Entry Builder'!$E$9)))</f>
        <v/>
      </c>
      <c r="D893">
        <f>IF('Entry Builder'!$N$10=0,1,IF('Entry Builder'!$D$10="Less",--(INDEX(Sims!$A893:$BO893,'Entry Builder'!$L$10)&lt;'Entry Builder'!$E$10),--(INDEX(Sims!$A893:$BO893,'Entry Builder'!$L$10)&gt;'Entry Builder'!$E$10)))</f>
        <v/>
      </c>
      <c r="E893">
        <f>IF('Entry Builder'!$N$11=0,1,IF('Entry Builder'!$D$11="Less",--(INDEX(Sims!$A893:$BO893,'Entry Builder'!$L$11)&lt;'Entry Builder'!$E$11),--(INDEX(Sims!$A893:$BO893,'Entry Builder'!$L$11)&gt;'Entry Builder'!$E$11)))</f>
        <v/>
      </c>
      <c r="F893">
        <f>IF('Entry Builder'!$N$12=0,1,IF('Entry Builder'!$D$12="Less",--(INDEX(Sims!$A893:$BO893,'Entry Builder'!$L$12)&lt;'Entry Builder'!$E$12),--(INDEX(Sims!$A893:$BO893,'Entry Builder'!$L$12)&gt;'Entry Builder'!$E$12)))</f>
        <v/>
      </c>
      <c r="G893">
        <f>6-SUM(A893:F893)</f>
        <v/>
      </c>
    </row>
    <row r="894">
      <c r="A894">
        <f>IF('Entry Builder'!$N$7=0,1,IF('Entry Builder'!$D$7="Less",--(INDEX(Sims!$A894:$BO894,'Entry Builder'!$L$7)&lt;'Entry Builder'!$E$7),--(INDEX(Sims!$A894:$BO894,'Entry Builder'!$L$7)&gt;'Entry Builder'!$E$7)))</f>
        <v/>
      </c>
      <c r="B894">
        <f>IF('Entry Builder'!$N$8=0,1,IF('Entry Builder'!$D$8="Less",--(INDEX(Sims!$A894:$BO894,'Entry Builder'!$L$8)&lt;'Entry Builder'!$E$8),--(INDEX(Sims!$A894:$BO894,'Entry Builder'!$L$8)&gt;'Entry Builder'!$E$8)))</f>
        <v/>
      </c>
      <c r="C894">
        <f>IF('Entry Builder'!$N$9=0,1,IF('Entry Builder'!$D$9="Less",--(INDEX(Sims!$A894:$BO894,'Entry Builder'!$L$9)&lt;'Entry Builder'!$E$9),--(INDEX(Sims!$A894:$BO894,'Entry Builder'!$L$9)&gt;'Entry Builder'!$E$9)))</f>
        <v/>
      </c>
      <c r="D894">
        <f>IF('Entry Builder'!$N$10=0,1,IF('Entry Builder'!$D$10="Less",--(INDEX(Sims!$A894:$BO894,'Entry Builder'!$L$10)&lt;'Entry Builder'!$E$10),--(INDEX(Sims!$A894:$BO894,'Entry Builder'!$L$10)&gt;'Entry Builder'!$E$10)))</f>
        <v/>
      </c>
      <c r="E894">
        <f>IF('Entry Builder'!$N$11=0,1,IF('Entry Builder'!$D$11="Less",--(INDEX(Sims!$A894:$BO894,'Entry Builder'!$L$11)&lt;'Entry Builder'!$E$11),--(INDEX(Sims!$A894:$BO894,'Entry Builder'!$L$11)&gt;'Entry Builder'!$E$11)))</f>
        <v/>
      </c>
      <c r="F894">
        <f>IF('Entry Builder'!$N$12=0,1,IF('Entry Builder'!$D$12="Less",--(INDEX(Sims!$A894:$BO894,'Entry Builder'!$L$12)&lt;'Entry Builder'!$E$12),--(INDEX(Sims!$A894:$BO894,'Entry Builder'!$L$12)&gt;'Entry Builder'!$E$12)))</f>
        <v/>
      </c>
      <c r="G894">
        <f>6-SUM(A894:F894)</f>
        <v/>
      </c>
    </row>
    <row r="895">
      <c r="A895">
        <f>IF('Entry Builder'!$N$7=0,1,IF('Entry Builder'!$D$7="Less",--(INDEX(Sims!$A895:$BO895,'Entry Builder'!$L$7)&lt;'Entry Builder'!$E$7),--(INDEX(Sims!$A895:$BO895,'Entry Builder'!$L$7)&gt;'Entry Builder'!$E$7)))</f>
        <v/>
      </c>
      <c r="B895">
        <f>IF('Entry Builder'!$N$8=0,1,IF('Entry Builder'!$D$8="Less",--(INDEX(Sims!$A895:$BO895,'Entry Builder'!$L$8)&lt;'Entry Builder'!$E$8),--(INDEX(Sims!$A895:$BO895,'Entry Builder'!$L$8)&gt;'Entry Builder'!$E$8)))</f>
        <v/>
      </c>
      <c r="C895">
        <f>IF('Entry Builder'!$N$9=0,1,IF('Entry Builder'!$D$9="Less",--(INDEX(Sims!$A895:$BO895,'Entry Builder'!$L$9)&lt;'Entry Builder'!$E$9),--(INDEX(Sims!$A895:$BO895,'Entry Builder'!$L$9)&gt;'Entry Builder'!$E$9)))</f>
        <v/>
      </c>
      <c r="D895">
        <f>IF('Entry Builder'!$N$10=0,1,IF('Entry Builder'!$D$10="Less",--(INDEX(Sims!$A895:$BO895,'Entry Builder'!$L$10)&lt;'Entry Builder'!$E$10),--(INDEX(Sims!$A895:$BO895,'Entry Builder'!$L$10)&gt;'Entry Builder'!$E$10)))</f>
        <v/>
      </c>
      <c r="E895">
        <f>IF('Entry Builder'!$N$11=0,1,IF('Entry Builder'!$D$11="Less",--(INDEX(Sims!$A895:$BO895,'Entry Builder'!$L$11)&lt;'Entry Builder'!$E$11),--(INDEX(Sims!$A895:$BO895,'Entry Builder'!$L$11)&gt;'Entry Builder'!$E$11)))</f>
        <v/>
      </c>
      <c r="F895">
        <f>IF('Entry Builder'!$N$12=0,1,IF('Entry Builder'!$D$12="Less",--(INDEX(Sims!$A895:$BO895,'Entry Builder'!$L$12)&lt;'Entry Builder'!$E$12),--(INDEX(Sims!$A895:$BO895,'Entry Builder'!$L$12)&gt;'Entry Builder'!$E$12)))</f>
        <v/>
      </c>
      <c r="G895">
        <f>6-SUM(A895:F895)</f>
        <v/>
      </c>
    </row>
    <row r="896">
      <c r="A896">
        <f>IF('Entry Builder'!$N$7=0,1,IF('Entry Builder'!$D$7="Less",--(INDEX(Sims!$A896:$BO896,'Entry Builder'!$L$7)&lt;'Entry Builder'!$E$7),--(INDEX(Sims!$A896:$BO896,'Entry Builder'!$L$7)&gt;'Entry Builder'!$E$7)))</f>
        <v/>
      </c>
      <c r="B896">
        <f>IF('Entry Builder'!$N$8=0,1,IF('Entry Builder'!$D$8="Less",--(INDEX(Sims!$A896:$BO896,'Entry Builder'!$L$8)&lt;'Entry Builder'!$E$8),--(INDEX(Sims!$A896:$BO896,'Entry Builder'!$L$8)&gt;'Entry Builder'!$E$8)))</f>
        <v/>
      </c>
      <c r="C896">
        <f>IF('Entry Builder'!$N$9=0,1,IF('Entry Builder'!$D$9="Less",--(INDEX(Sims!$A896:$BO896,'Entry Builder'!$L$9)&lt;'Entry Builder'!$E$9),--(INDEX(Sims!$A896:$BO896,'Entry Builder'!$L$9)&gt;'Entry Builder'!$E$9)))</f>
        <v/>
      </c>
      <c r="D896">
        <f>IF('Entry Builder'!$N$10=0,1,IF('Entry Builder'!$D$10="Less",--(INDEX(Sims!$A896:$BO896,'Entry Builder'!$L$10)&lt;'Entry Builder'!$E$10),--(INDEX(Sims!$A896:$BO896,'Entry Builder'!$L$10)&gt;'Entry Builder'!$E$10)))</f>
        <v/>
      </c>
      <c r="E896">
        <f>IF('Entry Builder'!$N$11=0,1,IF('Entry Builder'!$D$11="Less",--(INDEX(Sims!$A896:$BO896,'Entry Builder'!$L$11)&lt;'Entry Builder'!$E$11),--(INDEX(Sims!$A896:$BO896,'Entry Builder'!$L$11)&gt;'Entry Builder'!$E$11)))</f>
        <v/>
      </c>
      <c r="F896">
        <f>IF('Entry Builder'!$N$12=0,1,IF('Entry Builder'!$D$12="Less",--(INDEX(Sims!$A896:$BO896,'Entry Builder'!$L$12)&lt;'Entry Builder'!$E$12),--(INDEX(Sims!$A896:$BO896,'Entry Builder'!$L$12)&gt;'Entry Builder'!$E$12)))</f>
        <v/>
      </c>
      <c r="G896">
        <f>6-SUM(A896:F896)</f>
        <v/>
      </c>
    </row>
    <row r="897">
      <c r="A897">
        <f>IF('Entry Builder'!$N$7=0,1,IF('Entry Builder'!$D$7="Less",--(INDEX(Sims!$A897:$BO897,'Entry Builder'!$L$7)&lt;'Entry Builder'!$E$7),--(INDEX(Sims!$A897:$BO897,'Entry Builder'!$L$7)&gt;'Entry Builder'!$E$7)))</f>
        <v/>
      </c>
      <c r="B897">
        <f>IF('Entry Builder'!$N$8=0,1,IF('Entry Builder'!$D$8="Less",--(INDEX(Sims!$A897:$BO897,'Entry Builder'!$L$8)&lt;'Entry Builder'!$E$8),--(INDEX(Sims!$A897:$BO897,'Entry Builder'!$L$8)&gt;'Entry Builder'!$E$8)))</f>
        <v/>
      </c>
      <c r="C897">
        <f>IF('Entry Builder'!$N$9=0,1,IF('Entry Builder'!$D$9="Less",--(INDEX(Sims!$A897:$BO897,'Entry Builder'!$L$9)&lt;'Entry Builder'!$E$9),--(INDEX(Sims!$A897:$BO897,'Entry Builder'!$L$9)&gt;'Entry Builder'!$E$9)))</f>
        <v/>
      </c>
      <c r="D897">
        <f>IF('Entry Builder'!$N$10=0,1,IF('Entry Builder'!$D$10="Less",--(INDEX(Sims!$A897:$BO897,'Entry Builder'!$L$10)&lt;'Entry Builder'!$E$10),--(INDEX(Sims!$A897:$BO897,'Entry Builder'!$L$10)&gt;'Entry Builder'!$E$10)))</f>
        <v/>
      </c>
      <c r="E897">
        <f>IF('Entry Builder'!$N$11=0,1,IF('Entry Builder'!$D$11="Less",--(INDEX(Sims!$A897:$BO897,'Entry Builder'!$L$11)&lt;'Entry Builder'!$E$11),--(INDEX(Sims!$A897:$BO897,'Entry Builder'!$L$11)&gt;'Entry Builder'!$E$11)))</f>
        <v/>
      </c>
      <c r="F897">
        <f>IF('Entry Builder'!$N$12=0,1,IF('Entry Builder'!$D$12="Less",--(INDEX(Sims!$A897:$BO897,'Entry Builder'!$L$12)&lt;'Entry Builder'!$E$12),--(INDEX(Sims!$A897:$BO897,'Entry Builder'!$L$12)&gt;'Entry Builder'!$E$12)))</f>
        <v/>
      </c>
      <c r="G897">
        <f>6-SUM(A897:F897)</f>
        <v/>
      </c>
    </row>
    <row r="898">
      <c r="A898">
        <f>IF('Entry Builder'!$N$7=0,1,IF('Entry Builder'!$D$7="Less",--(INDEX(Sims!$A898:$BO898,'Entry Builder'!$L$7)&lt;'Entry Builder'!$E$7),--(INDEX(Sims!$A898:$BO898,'Entry Builder'!$L$7)&gt;'Entry Builder'!$E$7)))</f>
        <v/>
      </c>
      <c r="B898">
        <f>IF('Entry Builder'!$N$8=0,1,IF('Entry Builder'!$D$8="Less",--(INDEX(Sims!$A898:$BO898,'Entry Builder'!$L$8)&lt;'Entry Builder'!$E$8),--(INDEX(Sims!$A898:$BO898,'Entry Builder'!$L$8)&gt;'Entry Builder'!$E$8)))</f>
        <v/>
      </c>
      <c r="C898">
        <f>IF('Entry Builder'!$N$9=0,1,IF('Entry Builder'!$D$9="Less",--(INDEX(Sims!$A898:$BO898,'Entry Builder'!$L$9)&lt;'Entry Builder'!$E$9),--(INDEX(Sims!$A898:$BO898,'Entry Builder'!$L$9)&gt;'Entry Builder'!$E$9)))</f>
        <v/>
      </c>
      <c r="D898">
        <f>IF('Entry Builder'!$N$10=0,1,IF('Entry Builder'!$D$10="Less",--(INDEX(Sims!$A898:$BO898,'Entry Builder'!$L$10)&lt;'Entry Builder'!$E$10),--(INDEX(Sims!$A898:$BO898,'Entry Builder'!$L$10)&gt;'Entry Builder'!$E$10)))</f>
        <v/>
      </c>
      <c r="E898">
        <f>IF('Entry Builder'!$N$11=0,1,IF('Entry Builder'!$D$11="Less",--(INDEX(Sims!$A898:$BO898,'Entry Builder'!$L$11)&lt;'Entry Builder'!$E$11),--(INDEX(Sims!$A898:$BO898,'Entry Builder'!$L$11)&gt;'Entry Builder'!$E$11)))</f>
        <v/>
      </c>
      <c r="F898">
        <f>IF('Entry Builder'!$N$12=0,1,IF('Entry Builder'!$D$12="Less",--(INDEX(Sims!$A898:$BO898,'Entry Builder'!$L$12)&lt;'Entry Builder'!$E$12),--(INDEX(Sims!$A898:$BO898,'Entry Builder'!$L$12)&gt;'Entry Builder'!$E$12)))</f>
        <v/>
      </c>
      <c r="G898">
        <f>6-SUM(A898:F898)</f>
        <v/>
      </c>
    </row>
    <row r="899">
      <c r="A899">
        <f>IF('Entry Builder'!$N$7=0,1,IF('Entry Builder'!$D$7="Less",--(INDEX(Sims!$A899:$BO899,'Entry Builder'!$L$7)&lt;'Entry Builder'!$E$7),--(INDEX(Sims!$A899:$BO899,'Entry Builder'!$L$7)&gt;'Entry Builder'!$E$7)))</f>
        <v/>
      </c>
      <c r="B899">
        <f>IF('Entry Builder'!$N$8=0,1,IF('Entry Builder'!$D$8="Less",--(INDEX(Sims!$A899:$BO899,'Entry Builder'!$L$8)&lt;'Entry Builder'!$E$8),--(INDEX(Sims!$A899:$BO899,'Entry Builder'!$L$8)&gt;'Entry Builder'!$E$8)))</f>
        <v/>
      </c>
      <c r="C899">
        <f>IF('Entry Builder'!$N$9=0,1,IF('Entry Builder'!$D$9="Less",--(INDEX(Sims!$A899:$BO899,'Entry Builder'!$L$9)&lt;'Entry Builder'!$E$9),--(INDEX(Sims!$A899:$BO899,'Entry Builder'!$L$9)&gt;'Entry Builder'!$E$9)))</f>
        <v/>
      </c>
      <c r="D899">
        <f>IF('Entry Builder'!$N$10=0,1,IF('Entry Builder'!$D$10="Less",--(INDEX(Sims!$A899:$BO899,'Entry Builder'!$L$10)&lt;'Entry Builder'!$E$10),--(INDEX(Sims!$A899:$BO899,'Entry Builder'!$L$10)&gt;'Entry Builder'!$E$10)))</f>
        <v/>
      </c>
      <c r="E899">
        <f>IF('Entry Builder'!$N$11=0,1,IF('Entry Builder'!$D$11="Less",--(INDEX(Sims!$A899:$BO899,'Entry Builder'!$L$11)&lt;'Entry Builder'!$E$11),--(INDEX(Sims!$A899:$BO899,'Entry Builder'!$L$11)&gt;'Entry Builder'!$E$11)))</f>
        <v/>
      </c>
      <c r="F899">
        <f>IF('Entry Builder'!$N$12=0,1,IF('Entry Builder'!$D$12="Less",--(INDEX(Sims!$A899:$BO899,'Entry Builder'!$L$12)&lt;'Entry Builder'!$E$12),--(INDEX(Sims!$A899:$BO899,'Entry Builder'!$L$12)&gt;'Entry Builder'!$E$12)))</f>
        <v/>
      </c>
      <c r="G899">
        <f>6-SUM(A899:F899)</f>
        <v/>
      </c>
    </row>
    <row r="900">
      <c r="A900">
        <f>IF('Entry Builder'!$N$7=0,1,IF('Entry Builder'!$D$7="Less",--(INDEX(Sims!$A900:$BO900,'Entry Builder'!$L$7)&lt;'Entry Builder'!$E$7),--(INDEX(Sims!$A900:$BO900,'Entry Builder'!$L$7)&gt;'Entry Builder'!$E$7)))</f>
        <v/>
      </c>
      <c r="B900">
        <f>IF('Entry Builder'!$N$8=0,1,IF('Entry Builder'!$D$8="Less",--(INDEX(Sims!$A900:$BO900,'Entry Builder'!$L$8)&lt;'Entry Builder'!$E$8),--(INDEX(Sims!$A900:$BO900,'Entry Builder'!$L$8)&gt;'Entry Builder'!$E$8)))</f>
        <v/>
      </c>
      <c r="C900">
        <f>IF('Entry Builder'!$N$9=0,1,IF('Entry Builder'!$D$9="Less",--(INDEX(Sims!$A900:$BO900,'Entry Builder'!$L$9)&lt;'Entry Builder'!$E$9),--(INDEX(Sims!$A900:$BO900,'Entry Builder'!$L$9)&gt;'Entry Builder'!$E$9)))</f>
        <v/>
      </c>
      <c r="D900">
        <f>IF('Entry Builder'!$N$10=0,1,IF('Entry Builder'!$D$10="Less",--(INDEX(Sims!$A900:$BO900,'Entry Builder'!$L$10)&lt;'Entry Builder'!$E$10),--(INDEX(Sims!$A900:$BO900,'Entry Builder'!$L$10)&gt;'Entry Builder'!$E$10)))</f>
        <v/>
      </c>
      <c r="E900">
        <f>IF('Entry Builder'!$N$11=0,1,IF('Entry Builder'!$D$11="Less",--(INDEX(Sims!$A900:$BO900,'Entry Builder'!$L$11)&lt;'Entry Builder'!$E$11),--(INDEX(Sims!$A900:$BO900,'Entry Builder'!$L$11)&gt;'Entry Builder'!$E$11)))</f>
        <v/>
      </c>
      <c r="F900">
        <f>IF('Entry Builder'!$N$12=0,1,IF('Entry Builder'!$D$12="Less",--(INDEX(Sims!$A900:$BO900,'Entry Builder'!$L$12)&lt;'Entry Builder'!$E$12),--(INDEX(Sims!$A900:$BO900,'Entry Builder'!$L$12)&gt;'Entry Builder'!$E$12)))</f>
        <v/>
      </c>
      <c r="G900">
        <f>6-SUM(A900:F900)</f>
        <v/>
      </c>
    </row>
    <row r="901">
      <c r="A901">
        <f>IF('Entry Builder'!$N$7=0,1,IF('Entry Builder'!$D$7="Less",--(INDEX(Sims!$A901:$BO901,'Entry Builder'!$L$7)&lt;'Entry Builder'!$E$7),--(INDEX(Sims!$A901:$BO901,'Entry Builder'!$L$7)&gt;'Entry Builder'!$E$7)))</f>
        <v/>
      </c>
      <c r="B901">
        <f>IF('Entry Builder'!$N$8=0,1,IF('Entry Builder'!$D$8="Less",--(INDEX(Sims!$A901:$BO901,'Entry Builder'!$L$8)&lt;'Entry Builder'!$E$8),--(INDEX(Sims!$A901:$BO901,'Entry Builder'!$L$8)&gt;'Entry Builder'!$E$8)))</f>
        <v/>
      </c>
      <c r="C901">
        <f>IF('Entry Builder'!$N$9=0,1,IF('Entry Builder'!$D$9="Less",--(INDEX(Sims!$A901:$BO901,'Entry Builder'!$L$9)&lt;'Entry Builder'!$E$9),--(INDEX(Sims!$A901:$BO901,'Entry Builder'!$L$9)&gt;'Entry Builder'!$E$9)))</f>
        <v/>
      </c>
      <c r="D901">
        <f>IF('Entry Builder'!$N$10=0,1,IF('Entry Builder'!$D$10="Less",--(INDEX(Sims!$A901:$BO901,'Entry Builder'!$L$10)&lt;'Entry Builder'!$E$10),--(INDEX(Sims!$A901:$BO901,'Entry Builder'!$L$10)&gt;'Entry Builder'!$E$10)))</f>
        <v/>
      </c>
      <c r="E901">
        <f>IF('Entry Builder'!$N$11=0,1,IF('Entry Builder'!$D$11="Less",--(INDEX(Sims!$A901:$BO901,'Entry Builder'!$L$11)&lt;'Entry Builder'!$E$11),--(INDEX(Sims!$A901:$BO901,'Entry Builder'!$L$11)&gt;'Entry Builder'!$E$11)))</f>
        <v/>
      </c>
      <c r="F901">
        <f>IF('Entry Builder'!$N$12=0,1,IF('Entry Builder'!$D$12="Less",--(INDEX(Sims!$A901:$BO901,'Entry Builder'!$L$12)&lt;'Entry Builder'!$E$12),--(INDEX(Sims!$A901:$BO901,'Entry Builder'!$L$12)&gt;'Entry Builder'!$E$12)))</f>
        <v/>
      </c>
      <c r="G901">
        <f>6-SUM(A901:F901)</f>
        <v/>
      </c>
    </row>
    <row r="902">
      <c r="A902">
        <f>IF('Entry Builder'!$N$7=0,1,IF('Entry Builder'!$D$7="Less",--(INDEX(Sims!$A902:$BO902,'Entry Builder'!$L$7)&lt;'Entry Builder'!$E$7),--(INDEX(Sims!$A902:$BO902,'Entry Builder'!$L$7)&gt;'Entry Builder'!$E$7)))</f>
        <v/>
      </c>
      <c r="B902">
        <f>IF('Entry Builder'!$N$8=0,1,IF('Entry Builder'!$D$8="Less",--(INDEX(Sims!$A902:$BO902,'Entry Builder'!$L$8)&lt;'Entry Builder'!$E$8),--(INDEX(Sims!$A902:$BO902,'Entry Builder'!$L$8)&gt;'Entry Builder'!$E$8)))</f>
        <v/>
      </c>
      <c r="C902">
        <f>IF('Entry Builder'!$N$9=0,1,IF('Entry Builder'!$D$9="Less",--(INDEX(Sims!$A902:$BO902,'Entry Builder'!$L$9)&lt;'Entry Builder'!$E$9),--(INDEX(Sims!$A902:$BO902,'Entry Builder'!$L$9)&gt;'Entry Builder'!$E$9)))</f>
        <v/>
      </c>
      <c r="D902">
        <f>IF('Entry Builder'!$N$10=0,1,IF('Entry Builder'!$D$10="Less",--(INDEX(Sims!$A902:$BO902,'Entry Builder'!$L$10)&lt;'Entry Builder'!$E$10),--(INDEX(Sims!$A902:$BO902,'Entry Builder'!$L$10)&gt;'Entry Builder'!$E$10)))</f>
        <v/>
      </c>
      <c r="E902">
        <f>IF('Entry Builder'!$N$11=0,1,IF('Entry Builder'!$D$11="Less",--(INDEX(Sims!$A902:$BO902,'Entry Builder'!$L$11)&lt;'Entry Builder'!$E$11),--(INDEX(Sims!$A902:$BO902,'Entry Builder'!$L$11)&gt;'Entry Builder'!$E$11)))</f>
        <v/>
      </c>
      <c r="F902">
        <f>IF('Entry Builder'!$N$12=0,1,IF('Entry Builder'!$D$12="Less",--(INDEX(Sims!$A902:$BO902,'Entry Builder'!$L$12)&lt;'Entry Builder'!$E$12),--(INDEX(Sims!$A902:$BO902,'Entry Builder'!$L$12)&gt;'Entry Builder'!$E$12)))</f>
        <v/>
      </c>
      <c r="G902">
        <f>6-SUM(A902:F902)</f>
        <v/>
      </c>
    </row>
    <row r="903">
      <c r="A903">
        <f>IF('Entry Builder'!$N$7=0,1,IF('Entry Builder'!$D$7="Less",--(INDEX(Sims!$A903:$BO903,'Entry Builder'!$L$7)&lt;'Entry Builder'!$E$7),--(INDEX(Sims!$A903:$BO903,'Entry Builder'!$L$7)&gt;'Entry Builder'!$E$7)))</f>
        <v/>
      </c>
      <c r="B903">
        <f>IF('Entry Builder'!$N$8=0,1,IF('Entry Builder'!$D$8="Less",--(INDEX(Sims!$A903:$BO903,'Entry Builder'!$L$8)&lt;'Entry Builder'!$E$8),--(INDEX(Sims!$A903:$BO903,'Entry Builder'!$L$8)&gt;'Entry Builder'!$E$8)))</f>
        <v/>
      </c>
      <c r="C903">
        <f>IF('Entry Builder'!$N$9=0,1,IF('Entry Builder'!$D$9="Less",--(INDEX(Sims!$A903:$BO903,'Entry Builder'!$L$9)&lt;'Entry Builder'!$E$9),--(INDEX(Sims!$A903:$BO903,'Entry Builder'!$L$9)&gt;'Entry Builder'!$E$9)))</f>
        <v/>
      </c>
      <c r="D903">
        <f>IF('Entry Builder'!$N$10=0,1,IF('Entry Builder'!$D$10="Less",--(INDEX(Sims!$A903:$BO903,'Entry Builder'!$L$10)&lt;'Entry Builder'!$E$10),--(INDEX(Sims!$A903:$BO903,'Entry Builder'!$L$10)&gt;'Entry Builder'!$E$10)))</f>
        <v/>
      </c>
      <c r="E903">
        <f>IF('Entry Builder'!$N$11=0,1,IF('Entry Builder'!$D$11="Less",--(INDEX(Sims!$A903:$BO903,'Entry Builder'!$L$11)&lt;'Entry Builder'!$E$11),--(INDEX(Sims!$A903:$BO903,'Entry Builder'!$L$11)&gt;'Entry Builder'!$E$11)))</f>
        <v/>
      </c>
      <c r="F903">
        <f>IF('Entry Builder'!$N$12=0,1,IF('Entry Builder'!$D$12="Less",--(INDEX(Sims!$A903:$BO903,'Entry Builder'!$L$12)&lt;'Entry Builder'!$E$12),--(INDEX(Sims!$A903:$BO903,'Entry Builder'!$L$12)&gt;'Entry Builder'!$E$12)))</f>
        <v/>
      </c>
      <c r="G903">
        <f>6-SUM(A903:F903)</f>
        <v/>
      </c>
    </row>
    <row r="904">
      <c r="A904">
        <f>IF('Entry Builder'!$N$7=0,1,IF('Entry Builder'!$D$7="Less",--(INDEX(Sims!$A904:$BO904,'Entry Builder'!$L$7)&lt;'Entry Builder'!$E$7),--(INDEX(Sims!$A904:$BO904,'Entry Builder'!$L$7)&gt;'Entry Builder'!$E$7)))</f>
        <v/>
      </c>
      <c r="B904">
        <f>IF('Entry Builder'!$N$8=0,1,IF('Entry Builder'!$D$8="Less",--(INDEX(Sims!$A904:$BO904,'Entry Builder'!$L$8)&lt;'Entry Builder'!$E$8),--(INDEX(Sims!$A904:$BO904,'Entry Builder'!$L$8)&gt;'Entry Builder'!$E$8)))</f>
        <v/>
      </c>
      <c r="C904">
        <f>IF('Entry Builder'!$N$9=0,1,IF('Entry Builder'!$D$9="Less",--(INDEX(Sims!$A904:$BO904,'Entry Builder'!$L$9)&lt;'Entry Builder'!$E$9),--(INDEX(Sims!$A904:$BO904,'Entry Builder'!$L$9)&gt;'Entry Builder'!$E$9)))</f>
        <v/>
      </c>
      <c r="D904">
        <f>IF('Entry Builder'!$N$10=0,1,IF('Entry Builder'!$D$10="Less",--(INDEX(Sims!$A904:$BO904,'Entry Builder'!$L$10)&lt;'Entry Builder'!$E$10),--(INDEX(Sims!$A904:$BO904,'Entry Builder'!$L$10)&gt;'Entry Builder'!$E$10)))</f>
        <v/>
      </c>
      <c r="E904">
        <f>IF('Entry Builder'!$N$11=0,1,IF('Entry Builder'!$D$11="Less",--(INDEX(Sims!$A904:$BO904,'Entry Builder'!$L$11)&lt;'Entry Builder'!$E$11),--(INDEX(Sims!$A904:$BO904,'Entry Builder'!$L$11)&gt;'Entry Builder'!$E$11)))</f>
        <v/>
      </c>
      <c r="F904">
        <f>IF('Entry Builder'!$N$12=0,1,IF('Entry Builder'!$D$12="Less",--(INDEX(Sims!$A904:$BO904,'Entry Builder'!$L$12)&lt;'Entry Builder'!$E$12),--(INDEX(Sims!$A904:$BO904,'Entry Builder'!$L$12)&gt;'Entry Builder'!$E$12)))</f>
        <v/>
      </c>
      <c r="G904">
        <f>6-SUM(A904:F904)</f>
        <v/>
      </c>
    </row>
    <row r="905">
      <c r="A905">
        <f>IF('Entry Builder'!$N$7=0,1,IF('Entry Builder'!$D$7="Less",--(INDEX(Sims!$A905:$BO905,'Entry Builder'!$L$7)&lt;'Entry Builder'!$E$7),--(INDEX(Sims!$A905:$BO905,'Entry Builder'!$L$7)&gt;'Entry Builder'!$E$7)))</f>
        <v/>
      </c>
      <c r="B905">
        <f>IF('Entry Builder'!$N$8=0,1,IF('Entry Builder'!$D$8="Less",--(INDEX(Sims!$A905:$BO905,'Entry Builder'!$L$8)&lt;'Entry Builder'!$E$8),--(INDEX(Sims!$A905:$BO905,'Entry Builder'!$L$8)&gt;'Entry Builder'!$E$8)))</f>
        <v/>
      </c>
      <c r="C905">
        <f>IF('Entry Builder'!$N$9=0,1,IF('Entry Builder'!$D$9="Less",--(INDEX(Sims!$A905:$BO905,'Entry Builder'!$L$9)&lt;'Entry Builder'!$E$9),--(INDEX(Sims!$A905:$BO905,'Entry Builder'!$L$9)&gt;'Entry Builder'!$E$9)))</f>
        <v/>
      </c>
      <c r="D905">
        <f>IF('Entry Builder'!$N$10=0,1,IF('Entry Builder'!$D$10="Less",--(INDEX(Sims!$A905:$BO905,'Entry Builder'!$L$10)&lt;'Entry Builder'!$E$10),--(INDEX(Sims!$A905:$BO905,'Entry Builder'!$L$10)&gt;'Entry Builder'!$E$10)))</f>
        <v/>
      </c>
      <c r="E905">
        <f>IF('Entry Builder'!$N$11=0,1,IF('Entry Builder'!$D$11="Less",--(INDEX(Sims!$A905:$BO905,'Entry Builder'!$L$11)&lt;'Entry Builder'!$E$11),--(INDEX(Sims!$A905:$BO905,'Entry Builder'!$L$11)&gt;'Entry Builder'!$E$11)))</f>
        <v/>
      </c>
      <c r="F905">
        <f>IF('Entry Builder'!$N$12=0,1,IF('Entry Builder'!$D$12="Less",--(INDEX(Sims!$A905:$BO905,'Entry Builder'!$L$12)&lt;'Entry Builder'!$E$12),--(INDEX(Sims!$A905:$BO905,'Entry Builder'!$L$12)&gt;'Entry Builder'!$E$12)))</f>
        <v/>
      </c>
      <c r="G905">
        <f>6-SUM(A905:F905)</f>
        <v/>
      </c>
    </row>
    <row r="906">
      <c r="A906">
        <f>IF('Entry Builder'!$N$7=0,1,IF('Entry Builder'!$D$7="Less",--(INDEX(Sims!$A906:$BO906,'Entry Builder'!$L$7)&lt;'Entry Builder'!$E$7),--(INDEX(Sims!$A906:$BO906,'Entry Builder'!$L$7)&gt;'Entry Builder'!$E$7)))</f>
        <v/>
      </c>
      <c r="B906">
        <f>IF('Entry Builder'!$N$8=0,1,IF('Entry Builder'!$D$8="Less",--(INDEX(Sims!$A906:$BO906,'Entry Builder'!$L$8)&lt;'Entry Builder'!$E$8),--(INDEX(Sims!$A906:$BO906,'Entry Builder'!$L$8)&gt;'Entry Builder'!$E$8)))</f>
        <v/>
      </c>
      <c r="C906">
        <f>IF('Entry Builder'!$N$9=0,1,IF('Entry Builder'!$D$9="Less",--(INDEX(Sims!$A906:$BO906,'Entry Builder'!$L$9)&lt;'Entry Builder'!$E$9),--(INDEX(Sims!$A906:$BO906,'Entry Builder'!$L$9)&gt;'Entry Builder'!$E$9)))</f>
        <v/>
      </c>
      <c r="D906">
        <f>IF('Entry Builder'!$N$10=0,1,IF('Entry Builder'!$D$10="Less",--(INDEX(Sims!$A906:$BO906,'Entry Builder'!$L$10)&lt;'Entry Builder'!$E$10),--(INDEX(Sims!$A906:$BO906,'Entry Builder'!$L$10)&gt;'Entry Builder'!$E$10)))</f>
        <v/>
      </c>
      <c r="E906">
        <f>IF('Entry Builder'!$N$11=0,1,IF('Entry Builder'!$D$11="Less",--(INDEX(Sims!$A906:$BO906,'Entry Builder'!$L$11)&lt;'Entry Builder'!$E$11),--(INDEX(Sims!$A906:$BO906,'Entry Builder'!$L$11)&gt;'Entry Builder'!$E$11)))</f>
        <v/>
      </c>
      <c r="F906">
        <f>IF('Entry Builder'!$N$12=0,1,IF('Entry Builder'!$D$12="Less",--(INDEX(Sims!$A906:$BO906,'Entry Builder'!$L$12)&lt;'Entry Builder'!$E$12),--(INDEX(Sims!$A906:$BO906,'Entry Builder'!$L$12)&gt;'Entry Builder'!$E$12)))</f>
        <v/>
      </c>
      <c r="G906">
        <f>6-SUM(A906:F906)</f>
        <v/>
      </c>
    </row>
    <row r="907">
      <c r="A907">
        <f>IF('Entry Builder'!$N$7=0,1,IF('Entry Builder'!$D$7="Less",--(INDEX(Sims!$A907:$BO907,'Entry Builder'!$L$7)&lt;'Entry Builder'!$E$7),--(INDEX(Sims!$A907:$BO907,'Entry Builder'!$L$7)&gt;'Entry Builder'!$E$7)))</f>
        <v/>
      </c>
      <c r="B907">
        <f>IF('Entry Builder'!$N$8=0,1,IF('Entry Builder'!$D$8="Less",--(INDEX(Sims!$A907:$BO907,'Entry Builder'!$L$8)&lt;'Entry Builder'!$E$8),--(INDEX(Sims!$A907:$BO907,'Entry Builder'!$L$8)&gt;'Entry Builder'!$E$8)))</f>
        <v/>
      </c>
      <c r="C907">
        <f>IF('Entry Builder'!$N$9=0,1,IF('Entry Builder'!$D$9="Less",--(INDEX(Sims!$A907:$BO907,'Entry Builder'!$L$9)&lt;'Entry Builder'!$E$9),--(INDEX(Sims!$A907:$BO907,'Entry Builder'!$L$9)&gt;'Entry Builder'!$E$9)))</f>
        <v/>
      </c>
      <c r="D907">
        <f>IF('Entry Builder'!$N$10=0,1,IF('Entry Builder'!$D$10="Less",--(INDEX(Sims!$A907:$BO907,'Entry Builder'!$L$10)&lt;'Entry Builder'!$E$10),--(INDEX(Sims!$A907:$BO907,'Entry Builder'!$L$10)&gt;'Entry Builder'!$E$10)))</f>
        <v/>
      </c>
      <c r="E907">
        <f>IF('Entry Builder'!$N$11=0,1,IF('Entry Builder'!$D$11="Less",--(INDEX(Sims!$A907:$BO907,'Entry Builder'!$L$11)&lt;'Entry Builder'!$E$11),--(INDEX(Sims!$A907:$BO907,'Entry Builder'!$L$11)&gt;'Entry Builder'!$E$11)))</f>
        <v/>
      </c>
      <c r="F907">
        <f>IF('Entry Builder'!$N$12=0,1,IF('Entry Builder'!$D$12="Less",--(INDEX(Sims!$A907:$BO907,'Entry Builder'!$L$12)&lt;'Entry Builder'!$E$12),--(INDEX(Sims!$A907:$BO907,'Entry Builder'!$L$12)&gt;'Entry Builder'!$E$12)))</f>
        <v/>
      </c>
      <c r="G907">
        <f>6-SUM(A907:F907)</f>
        <v/>
      </c>
    </row>
    <row r="908">
      <c r="A908">
        <f>IF('Entry Builder'!$N$7=0,1,IF('Entry Builder'!$D$7="Less",--(INDEX(Sims!$A908:$BO908,'Entry Builder'!$L$7)&lt;'Entry Builder'!$E$7),--(INDEX(Sims!$A908:$BO908,'Entry Builder'!$L$7)&gt;'Entry Builder'!$E$7)))</f>
        <v/>
      </c>
      <c r="B908">
        <f>IF('Entry Builder'!$N$8=0,1,IF('Entry Builder'!$D$8="Less",--(INDEX(Sims!$A908:$BO908,'Entry Builder'!$L$8)&lt;'Entry Builder'!$E$8),--(INDEX(Sims!$A908:$BO908,'Entry Builder'!$L$8)&gt;'Entry Builder'!$E$8)))</f>
        <v/>
      </c>
      <c r="C908">
        <f>IF('Entry Builder'!$N$9=0,1,IF('Entry Builder'!$D$9="Less",--(INDEX(Sims!$A908:$BO908,'Entry Builder'!$L$9)&lt;'Entry Builder'!$E$9),--(INDEX(Sims!$A908:$BO908,'Entry Builder'!$L$9)&gt;'Entry Builder'!$E$9)))</f>
        <v/>
      </c>
      <c r="D908">
        <f>IF('Entry Builder'!$N$10=0,1,IF('Entry Builder'!$D$10="Less",--(INDEX(Sims!$A908:$BO908,'Entry Builder'!$L$10)&lt;'Entry Builder'!$E$10),--(INDEX(Sims!$A908:$BO908,'Entry Builder'!$L$10)&gt;'Entry Builder'!$E$10)))</f>
        <v/>
      </c>
      <c r="E908">
        <f>IF('Entry Builder'!$N$11=0,1,IF('Entry Builder'!$D$11="Less",--(INDEX(Sims!$A908:$BO908,'Entry Builder'!$L$11)&lt;'Entry Builder'!$E$11),--(INDEX(Sims!$A908:$BO908,'Entry Builder'!$L$11)&gt;'Entry Builder'!$E$11)))</f>
        <v/>
      </c>
      <c r="F908">
        <f>IF('Entry Builder'!$N$12=0,1,IF('Entry Builder'!$D$12="Less",--(INDEX(Sims!$A908:$BO908,'Entry Builder'!$L$12)&lt;'Entry Builder'!$E$12),--(INDEX(Sims!$A908:$BO908,'Entry Builder'!$L$12)&gt;'Entry Builder'!$E$12)))</f>
        <v/>
      </c>
      <c r="G908">
        <f>6-SUM(A908:F908)</f>
        <v/>
      </c>
    </row>
    <row r="909">
      <c r="A909">
        <f>IF('Entry Builder'!$N$7=0,1,IF('Entry Builder'!$D$7="Less",--(INDEX(Sims!$A909:$BO909,'Entry Builder'!$L$7)&lt;'Entry Builder'!$E$7),--(INDEX(Sims!$A909:$BO909,'Entry Builder'!$L$7)&gt;'Entry Builder'!$E$7)))</f>
        <v/>
      </c>
      <c r="B909">
        <f>IF('Entry Builder'!$N$8=0,1,IF('Entry Builder'!$D$8="Less",--(INDEX(Sims!$A909:$BO909,'Entry Builder'!$L$8)&lt;'Entry Builder'!$E$8),--(INDEX(Sims!$A909:$BO909,'Entry Builder'!$L$8)&gt;'Entry Builder'!$E$8)))</f>
        <v/>
      </c>
      <c r="C909">
        <f>IF('Entry Builder'!$N$9=0,1,IF('Entry Builder'!$D$9="Less",--(INDEX(Sims!$A909:$BO909,'Entry Builder'!$L$9)&lt;'Entry Builder'!$E$9),--(INDEX(Sims!$A909:$BO909,'Entry Builder'!$L$9)&gt;'Entry Builder'!$E$9)))</f>
        <v/>
      </c>
      <c r="D909">
        <f>IF('Entry Builder'!$N$10=0,1,IF('Entry Builder'!$D$10="Less",--(INDEX(Sims!$A909:$BO909,'Entry Builder'!$L$10)&lt;'Entry Builder'!$E$10),--(INDEX(Sims!$A909:$BO909,'Entry Builder'!$L$10)&gt;'Entry Builder'!$E$10)))</f>
        <v/>
      </c>
      <c r="E909">
        <f>IF('Entry Builder'!$N$11=0,1,IF('Entry Builder'!$D$11="Less",--(INDEX(Sims!$A909:$BO909,'Entry Builder'!$L$11)&lt;'Entry Builder'!$E$11),--(INDEX(Sims!$A909:$BO909,'Entry Builder'!$L$11)&gt;'Entry Builder'!$E$11)))</f>
        <v/>
      </c>
      <c r="F909">
        <f>IF('Entry Builder'!$N$12=0,1,IF('Entry Builder'!$D$12="Less",--(INDEX(Sims!$A909:$BO909,'Entry Builder'!$L$12)&lt;'Entry Builder'!$E$12),--(INDEX(Sims!$A909:$BO909,'Entry Builder'!$L$12)&gt;'Entry Builder'!$E$12)))</f>
        <v/>
      </c>
      <c r="G909">
        <f>6-SUM(A909:F909)</f>
        <v/>
      </c>
    </row>
    <row r="910">
      <c r="A910">
        <f>IF('Entry Builder'!$N$7=0,1,IF('Entry Builder'!$D$7="Less",--(INDEX(Sims!$A910:$BO910,'Entry Builder'!$L$7)&lt;'Entry Builder'!$E$7),--(INDEX(Sims!$A910:$BO910,'Entry Builder'!$L$7)&gt;'Entry Builder'!$E$7)))</f>
        <v/>
      </c>
      <c r="B910">
        <f>IF('Entry Builder'!$N$8=0,1,IF('Entry Builder'!$D$8="Less",--(INDEX(Sims!$A910:$BO910,'Entry Builder'!$L$8)&lt;'Entry Builder'!$E$8),--(INDEX(Sims!$A910:$BO910,'Entry Builder'!$L$8)&gt;'Entry Builder'!$E$8)))</f>
        <v/>
      </c>
      <c r="C910">
        <f>IF('Entry Builder'!$N$9=0,1,IF('Entry Builder'!$D$9="Less",--(INDEX(Sims!$A910:$BO910,'Entry Builder'!$L$9)&lt;'Entry Builder'!$E$9),--(INDEX(Sims!$A910:$BO910,'Entry Builder'!$L$9)&gt;'Entry Builder'!$E$9)))</f>
        <v/>
      </c>
      <c r="D910">
        <f>IF('Entry Builder'!$N$10=0,1,IF('Entry Builder'!$D$10="Less",--(INDEX(Sims!$A910:$BO910,'Entry Builder'!$L$10)&lt;'Entry Builder'!$E$10),--(INDEX(Sims!$A910:$BO910,'Entry Builder'!$L$10)&gt;'Entry Builder'!$E$10)))</f>
        <v/>
      </c>
      <c r="E910">
        <f>IF('Entry Builder'!$N$11=0,1,IF('Entry Builder'!$D$11="Less",--(INDEX(Sims!$A910:$BO910,'Entry Builder'!$L$11)&lt;'Entry Builder'!$E$11),--(INDEX(Sims!$A910:$BO910,'Entry Builder'!$L$11)&gt;'Entry Builder'!$E$11)))</f>
        <v/>
      </c>
      <c r="F910">
        <f>IF('Entry Builder'!$N$12=0,1,IF('Entry Builder'!$D$12="Less",--(INDEX(Sims!$A910:$BO910,'Entry Builder'!$L$12)&lt;'Entry Builder'!$E$12),--(INDEX(Sims!$A910:$BO910,'Entry Builder'!$L$12)&gt;'Entry Builder'!$E$12)))</f>
        <v/>
      </c>
      <c r="G910">
        <f>6-SUM(A910:F910)</f>
        <v/>
      </c>
    </row>
    <row r="911">
      <c r="A911">
        <f>IF('Entry Builder'!$N$7=0,1,IF('Entry Builder'!$D$7="Less",--(INDEX(Sims!$A911:$BO911,'Entry Builder'!$L$7)&lt;'Entry Builder'!$E$7),--(INDEX(Sims!$A911:$BO911,'Entry Builder'!$L$7)&gt;'Entry Builder'!$E$7)))</f>
        <v/>
      </c>
      <c r="B911">
        <f>IF('Entry Builder'!$N$8=0,1,IF('Entry Builder'!$D$8="Less",--(INDEX(Sims!$A911:$BO911,'Entry Builder'!$L$8)&lt;'Entry Builder'!$E$8),--(INDEX(Sims!$A911:$BO911,'Entry Builder'!$L$8)&gt;'Entry Builder'!$E$8)))</f>
        <v/>
      </c>
      <c r="C911">
        <f>IF('Entry Builder'!$N$9=0,1,IF('Entry Builder'!$D$9="Less",--(INDEX(Sims!$A911:$BO911,'Entry Builder'!$L$9)&lt;'Entry Builder'!$E$9),--(INDEX(Sims!$A911:$BO911,'Entry Builder'!$L$9)&gt;'Entry Builder'!$E$9)))</f>
        <v/>
      </c>
      <c r="D911">
        <f>IF('Entry Builder'!$N$10=0,1,IF('Entry Builder'!$D$10="Less",--(INDEX(Sims!$A911:$BO911,'Entry Builder'!$L$10)&lt;'Entry Builder'!$E$10),--(INDEX(Sims!$A911:$BO911,'Entry Builder'!$L$10)&gt;'Entry Builder'!$E$10)))</f>
        <v/>
      </c>
      <c r="E911">
        <f>IF('Entry Builder'!$N$11=0,1,IF('Entry Builder'!$D$11="Less",--(INDEX(Sims!$A911:$BO911,'Entry Builder'!$L$11)&lt;'Entry Builder'!$E$11),--(INDEX(Sims!$A911:$BO911,'Entry Builder'!$L$11)&gt;'Entry Builder'!$E$11)))</f>
        <v/>
      </c>
      <c r="F911">
        <f>IF('Entry Builder'!$N$12=0,1,IF('Entry Builder'!$D$12="Less",--(INDEX(Sims!$A911:$BO911,'Entry Builder'!$L$12)&lt;'Entry Builder'!$E$12),--(INDEX(Sims!$A911:$BO911,'Entry Builder'!$L$12)&gt;'Entry Builder'!$E$12)))</f>
        <v/>
      </c>
      <c r="G911">
        <f>6-SUM(A911:F911)</f>
        <v/>
      </c>
    </row>
    <row r="912">
      <c r="A912">
        <f>IF('Entry Builder'!$N$7=0,1,IF('Entry Builder'!$D$7="Less",--(INDEX(Sims!$A912:$BO912,'Entry Builder'!$L$7)&lt;'Entry Builder'!$E$7),--(INDEX(Sims!$A912:$BO912,'Entry Builder'!$L$7)&gt;'Entry Builder'!$E$7)))</f>
        <v/>
      </c>
      <c r="B912">
        <f>IF('Entry Builder'!$N$8=0,1,IF('Entry Builder'!$D$8="Less",--(INDEX(Sims!$A912:$BO912,'Entry Builder'!$L$8)&lt;'Entry Builder'!$E$8),--(INDEX(Sims!$A912:$BO912,'Entry Builder'!$L$8)&gt;'Entry Builder'!$E$8)))</f>
        <v/>
      </c>
      <c r="C912">
        <f>IF('Entry Builder'!$N$9=0,1,IF('Entry Builder'!$D$9="Less",--(INDEX(Sims!$A912:$BO912,'Entry Builder'!$L$9)&lt;'Entry Builder'!$E$9),--(INDEX(Sims!$A912:$BO912,'Entry Builder'!$L$9)&gt;'Entry Builder'!$E$9)))</f>
        <v/>
      </c>
      <c r="D912">
        <f>IF('Entry Builder'!$N$10=0,1,IF('Entry Builder'!$D$10="Less",--(INDEX(Sims!$A912:$BO912,'Entry Builder'!$L$10)&lt;'Entry Builder'!$E$10),--(INDEX(Sims!$A912:$BO912,'Entry Builder'!$L$10)&gt;'Entry Builder'!$E$10)))</f>
        <v/>
      </c>
      <c r="E912">
        <f>IF('Entry Builder'!$N$11=0,1,IF('Entry Builder'!$D$11="Less",--(INDEX(Sims!$A912:$BO912,'Entry Builder'!$L$11)&lt;'Entry Builder'!$E$11),--(INDEX(Sims!$A912:$BO912,'Entry Builder'!$L$11)&gt;'Entry Builder'!$E$11)))</f>
        <v/>
      </c>
      <c r="F912">
        <f>IF('Entry Builder'!$N$12=0,1,IF('Entry Builder'!$D$12="Less",--(INDEX(Sims!$A912:$BO912,'Entry Builder'!$L$12)&lt;'Entry Builder'!$E$12),--(INDEX(Sims!$A912:$BO912,'Entry Builder'!$L$12)&gt;'Entry Builder'!$E$12)))</f>
        <v/>
      </c>
      <c r="G912">
        <f>6-SUM(A912:F912)</f>
        <v/>
      </c>
    </row>
    <row r="913">
      <c r="A913">
        <f>IF('Entry Builder'!$N$7=0,1,IF('Entry Builder'!$D$7="Less",--(INDEX(Sims!$A913:$BO913,'Entry Builder'!$L$7)&lt;'Entry Builder'!$E$7),--(INDEX(Sims!$A913:$BO913,'Entry Builder'!$L$7)&gt;'Entry Builder'!$E$7)))</f>
        <v/>
      </c>
      <c r="B913">
        <f>IF('Entry Builder'!$N$8=0,1,IF('Entry Builder'!$D$8="Less",--(INDEX(Sims!$A913:$BO913,'Entry Builder'!$L$8)&lt;'Entry Builder'!$E$8),--(INDEX(Sims!$A913:$BO913,'Entry Builder'!$L$8)&gt;'Entry Builder'!$E$8)))</f>
        <v/>
      </c>
      <c r="C913">
        <f>IF('Entry Builder'!$N$9=0,1,IF('Entry Builder'!$D$9="Less",--(INDEX(Sims!$A913:$BO913,'Entry Builder'!$L$9)&lt;'Entry Builder'!$E$9),--(INDEX(Sims!$A913:$BO913,'Entry Builder'!$L$9)&gt;'Entry Builder'!$E$9)))</f>
        <v/>
      </c>
      <c r="D913">
        <f>IF('Entry Builder'!$N$10=0,1,IF('Entry Builder'!$D$10="Less",--(INDEX(Sims!$A913:$BO913,'Entry Builder'!$L$10)&lt;'Entry Builder'!$E$10),--(INDEX(Sims!$A913:$BO913,'Entry Builder'!$L$10)&gt;'Entry Builder'!$E$10)))</f>
        <v/>
      </c>
      <c r="E913">
        <f>IF('Entry Builder'!$N$11=0,1,IF('Entry Builder'!$D$11="Less",--(INDEX(Sims!$A913:$BO913,'Entry Builder'!$L$11)&lt;'Entry Builder'!$E$11),--(INDEX(Sims!$A913:$BO913,'Entry Builder'!$L$11)&gt;'Entry Builder'!$E$11)))</f>
        <v/>
      </c>
      <c r="F913">
        <f>IF('Entry Builder'!$N$12=0,1,IF('Entry Builder'!$D$12="Less",--(INDEX(Sims!$A913:$BO913,'Entry Builder'!$L$12)&lt;'Entry Builder'!$E$12),--(INDEX(Sims!$A913:$BO913,'Entry Builder'!$L$12)&gt;'Entry Builder'!$E$12)))</f>
        <v/>
      </c>
      <c r="G913">
        <f>6-SUM(A913:F913)</f>
        <v/>
      </c>
    </row>
    <row r="914">
      <c r="A914">
        <f>IF('Entry Builder'!$N$7=0,1,IF('Entry Builder'!$D$7="Less",--(INDEX(Sims!$A914:$BO914,'Entry Builder'!$L$7)&lt;'Entry Builder'!$E$7),--(INDEX(Sims!$A914:$BO914,'Entry Builder'!$L$7)&gt;'Entry Builder'!$E$7)))</f>
        <v/>
      </c>
      <c r="B914">
        <f>IF('Entry Builder'!$N$8=0,1,IF('Entry Builder'!$D$8="Less",--(INDEX(Sims!$A914:$BO914,'Entry Builder'!$L$8)&lt;'Entry Builder'!$E$8),--(INDEX(Sims!$A914:$BO914,'Entry Builder'!$L$8)&gt;'Entry Builder'!$E$8)))</f>
        <v/>
      </c>
      <c r="C914">
        <f>IF('Entry Builder'!$N$9=0,1,IF('Entry Builder'!$D$9="Less",--(INDEX(Sims!$A914:$BO914,'Entry Builder'!$L$9)&lt;'Entry Builder'!$E$9),--(INDEX(Sims!$A914:$BO914,'Entry Builder'!$L$9)&gt;'Entry Builder'!$E$9)))</f>
        <v/>
      </c>
      <c r="D914">
        <f>IF('Entry Builder'!$N$10=0,1,IF('Entry Builder'!$D$10="Less",--(INDEX(Sims!$A914:$BO914,'Entry Builder'!$L$10)&lt;'Entry Builder'!$E$10),--(INDEX(Sims!$A914:$BO914,'Entry Builder'!$L$10)&gt;'Entry Builder'!$E$10)))</f>
        <v/>
      </c>
      <c r="E914">
        <f>IF('Entry Builder'!$N$11=0,1,IF('Entry Builder'!$D$11="Less",--(INDEX(Sims!$A914:$BO914,'Entry Builder'!$L$11)&lt;'Entry Builder'!$E$11),--(INDEX(Sims!$A914:$BO914,'Entry Builder'!$L$11)&gt;'Entry Builder'!$E$11)))</f>
        <v/>
      </c>
      <c r="F914">
        <f>IF('Entry Builder'!$N$12=0,1,IF('Entry Builder'!$D$12="Less",--(INDEX(Sims!$A914:$BO914,'Entry Builder'!$L$12)&lt;'Entry Builder'!$E$12),--(INDEX(Sims!$A914:$BO914,'Entry Builder'!$L$12)&gt;'Entry Builder'!$E$12)))</f>
        <v/>
      </c>
      <c r="G914">
        <f>6-SUM(A914:F914)</f>
        <v/>
      </c>
    </row>
    <row r="915">
      <c r="A915">
        <f>IF('Entry Builder'!$N$7=0,1,IF('Entry Builder'!$D$7="Less",--(INDEX(Sims!$A915:$BO915,'Entry Builder'!$L$7)&lt;'Entry Builder'!$E$7),--(INDEX(Sims!$A915:$BO915,'Entry Builder'!$L$7)&gt;'Entry Builder'!$E$7)))</f>
        <v/>
      </c>
      <c r="B915">
        <f>IF('Entry Builder'!$N$8=0,1,IF('Entry Builder'!$D$8="Less",--(INDEX(Sims!$A915:$BO915,'Entry Builder'!$L$8)&lt;'Entry Builder'!$E$8),--(INDEX(Sims!$A915:$BO915,'Entry Builder'!$L$8)&gt;'Entry Builder'!$E$8)))</f>
        <v/>
      </c>
      <c r="C915">
        <f>IF('Entry Builder'!$N$9=0,1,IF('Entry Builder'!$D$9="Less",--(INDEX(Sims!$A915:$BO915,'Entry Builder'!$L$9)&lt;'Entry Builder'!$E$9),--(INDEX(Sims!$A915:$BO915,'Entry Builder'!$L$9)&gt;'Entry Builder'!$E$9)))</f>
        <v/>
      </c>
      <c r="D915">
        <f>IF('Entry Builder'!$N$10=0,1,IF('Entry Builder'!$D$10="Less",--(INDEX(Sims!$A915:$BO915,'Entry Builder'!$L$10)&lt;'Entry Builder'!$E$10),--(INDEX(Sims!$A915:$BO915,'Entry Builder'!$L$10)&gt;'Entry Builder'!$E$10)))</f>
        <v/>
      </c>
      <c r="E915">
        <f>IF('Entry Builder'!$N$11=0,1,IF('Entry Builder'!$D$11="Less",--(INDEX(Sims!$A915:$BO915,'Entry Builder'!$L$11)&lt;'Entry Builder'!$E$11),--(INDEX(Sims!$A915:$BO915,'Entry Builder'!$L$11)&gt;'Entry Builder'!$E$11)))</f>
        <v/>
      </c>
      <c r="F915">
        <f>IF('Entry Builder'!$N$12=0,1,IF('Entry Builder'!$D$12="Less",--(INDEX(Sims!$A915:$BO915,'Entry Builder'!$L$12)&lt;'Entry Builder'!$E$12),--(INDEX(Sims!$A915:$BO915,'Entry Builder'!$L$12)&gt;'Entry Builder'!$E$12)))</f>
        <v/>
      </c>
      <c r="G915">
        <f>6-SUM(A915:F915)</f>
        <v/>
      </c>
    </row>
    <row r="916">
      <c r="A916">
        <f>IF('Entry Builder'!$N$7=0,1,IF('Entry Builder'!$D$7="Less",--(INDEX(Sims!$A916:$BO916,'Entry Builder'!$L$7)&lt;'Entry Builder'!$E$7),--(INDEX(Sims!$A916:$BO916,'Entry Builder'!$L$7)&gt;'Entry Builder'!$E$7)))</f>
        <v/>
      </c>
      <c r="B916">
        <f>IF('Entry Builder'!$N$8=0,1,IF('Entry Builder'!$D$8="Less",--(INDEX(Sims!$A916:$BO916,'Entry Builder'!$L$8)&lt;'Entry Builder'!$E$8),--(INDEX(Sims!$A916:$BO916,'Entry Builder'!$L$8)&gt;'Entry Builder'!$E$8)))</f>
        <v/>
      </c>
      <c r="C916">
        <f>IF('Entry Builder'!$N$9=0,1,IF('Entry Builder'!$D$9="Less",--(INDEX(Sims!$A916:$BO916,'Entry Builder'!$L$9)&lt;'Entry Builder'!$E$9),--(INDEX(Sims!$A916:$BO916,'Entry Builder'!$L$9)&gt;'Entry Builder'!$E$9)))</f>
        <v/>
      </c>
      <c r="D916">
        <f>IF('Entry Builder'!$N$10=0,1,IF('Entry Builder'!$D$10="Less",--(INDEX(Sims!$A916:$BO916,'Entry Builder'!$L$10)&lt;'Entry Builder'!$E$10),--(INDEX(Sims!$A916:$BO916,'Entry Builder'!$L$10)&gt;'Entry Builder'!$E$10)))</f>
        <v/>
      </c>
      <c r="E916">
        <f>IF('Entry Builder'!$N$11=0,1,IF('Entry Builder'!$D$11="Less",--(INDEX(Sims!$A916:$BO916,'Entry Builder'!$L$11)&lt;'Entry Builder'!$E$11),--(INDEX(Sims!$A916:$BO916,'Entry Builder'!$L$11)&gt;'Entry Builder'!$E$11)))</f>
        <v/>
      </c>
      <c r="F916">
        <f>IF('Entry Builder'!$N$12=0,1,IF('Entry Builder'!$D$12="Less",--(INDEX(Sims!$A916:$BO916,'Entry Builder'!$L$12)&lt;'Entry Builder'!$E$12),--(INDEX(Sims!$A916:$BO916,'Entry Builder'!$L$12)&gt;'Entry Builder'!$E$12)))</f>
        <v/>
      </c>
      <c r="G916">
        <f>6-SUM(A916:F916)</f>
        <v/>
      </c>
    </row>
    <row r="917">
      <c r="A917">
        <f>IF('Entry Builder'!$N$7=0,1,IF('Entry Builder'!$D$7="Less",--(INDEX(Sims!$A917:$BO917,'Entry Builder'!$L$7)&lt;'Entry Builder'!$E$7),--(INDEX(Sims!$A917:$BO917,'Entry Builder'!$L$7)&gt;'Entry Builder'!$E$7)))</f>
        <v/>
      </c>
      <c r="B917">
        <f>IF('Entry Builder'!$N$8=0,1,IF('Entry Builder'!$D$8="Less",--(INDEX(Sims!$A917:$BO917,'Entry Builder'!$L$8)&lt;'Entry Builder'!$E$8),--(INDEX(Sims!$A917:$BO917,'Entry Builder'!$L$8)&gt;'Entry Builder'!$E$8)))</f>
        <v/>
      </c>
      <c r="C917">
        <f>IF('Entry Builder'!$N$9=0,1,IF('Entry Builder'!$D$9="Less",--(INDEX(Sims!$A917:$BO917,'Entry Builder'!$L$9)&lt;'Entry Builder'!$E$9),--(INDEX(Sims!$A917:$BO917,'Entry Builder'!$L$9)&gt;'Entry Builder'!$E$9)))</f>
        <v/>
      </c>
      <c r="D917">
        <f>IF('Entry Builder'!$N$10=0,1,IF('Entry Builder'!$D$10="Less",--(INDEX(Sims!$A917:$BO917,'Entry Builder'!$L$10)&lt;'Entry Builder'!$E$10),--(INDEX(Sims!$A917:$BO917,'Entry Builder'!$L$10)&gt;'Entry Builder'!$E$10)))</f>
        <v/>
      </c>
      <c r="E917">
        <f>IF('Entry Builder'!$N$11=0,1,IF('Entry Builder'!$D$11="Less",--(INDEX(Sims!$A917:$BO917,'Entry Builder'!$L$11)&lt;'Entry Builder'!$E$11),--(INDEX(Sims!$A917:$BO917,'Entry Builder'!$L$11)&gt;'Entry Builder'!$E$11)))</f>
        <v/>
      </c>
      <c r="F917">
        <f>IF('Entry Builder'!$N$12=0,1,IF('Entry Builder'!$D$12="Less",--(INDEX(Sims!$A917:$BO917,'Entry Builder'!$L$12)&lt;'Entry Builder'!$E$12),--(INDEX(Sims!$A917:$BO917,'Entry Builder'!$L$12)&gt;'Entry Builder'!$E$12)))</f>
        <v/>
      </c>
      <c r="G917">
        <f>6-SUM(A917:F917)</f>
        <v/>
      </c>
    </row>
    <row r="918">
      <c r="A918">
        <f>IF('Entry Builder'!$N$7=0,1,IF('Entry Builder'!$D$7="Less",--(INDEX(Sims!$A918:$BO918,'Entry Builder'!$L$7)&lt;'Entry Builder'!$E$7),--(INDEX(Sims!$A918:$BO918,'Entry Builder'!$L$7)&gt;'Entry Builder'!$E$7)))</f>
        <v/>
      </c>
      <c r="B918">
        <f>IF('Entry Builder'!$N$8=0,1,IF('Entry Builder'!$D$8="Less",--(INDEX(Sims!$A918:$BO918,'Entry Builder'!$L$8)&lt;'Entry Builder'!$E$8),--(INDEX(Sims!$A918:$BO918,'Entry Builder'!$L$8)&gt;'Entry Builder'!$E$8)))</f>
        <v/>
      </c>
      <c r="C918">
        <f>IF('Entry Builder'!$N$9=0,1,IF('Entry Builder'!$D$9="Less",--(INDEX(Sims!$A918:$BO918,'Entry Builder'!$L$9)&lt;'Entry Builder'!$E$9),--(INDEX(Sims!$A918:$BO918,'Entry Builder'!$L$9)&gt;'Entry Builder'!$E$9)))</f>
        <v/>
      </c>
      <c r="D918">
        <f>IF('Entry Builder'!$N$10=0,1,IF('Entry Builder'!$D$10="Less",--(INDEX(Sims!$A918:$BO918,'Entry Builder'!$L$10)&lt;'Entry Builder'!$E$10),--(INDEX(Sims!$A918:$BO918,'Entry Builder'!$L$10)&gt;'Entry Builder'!$E$10)))</f>
        <v/>
      </c>
      <c r="E918">
        <f>IF('Entry Builder'!$N$11=0,1,IF('Entry Builder'!$D$11="Less",--(INDEX(Sims!$A918:$BO918,'Entry Builder'!$L$11)&lt;'Entry Builder'!$E$11),--(INDEX(Sims!$A918:$BO918,'Entry Builder'!$L$11)&gt;'Entry Builder'!$E$11)))</f>
        <v/>
      </c>
      <c r="F918">
        <f>IF('Entry Builder'!$N$12=0,1,IF('Entry Builder'!$D$12="Less",--(INDEX(Sims!$A918:$BO918,'Entry Builder'!$L$12)&lt;'Entry Builder'!$E$12),--(INDEX(Sims!$A918:$BO918,'Entry Builder'!$L$12)&gt;'Entry Builder'!$E$12)))</f>
        <v/>
      </c>
      <c r="G918">
        <f>6-SUM(A918:F918)</f>
        <v/>
      </c>
    </row>
    <row r="919">
      <c r="A919">
        <f>IF('Entry Builder'!$N$7=0,1,IF('Entry Builder'!$D$7="Less",--(INDEX(Sims!$A919:$BO919,'Entry Builder'!$L$7)&lt;'Entry Builder'!$E$7),--(INDEX(Sims!$A919:$BO919,'Entry Builder'!$L$7)&gt;'Entry Builder'!$E$7)))</f>
        <v/>
      </c>
      <c r="B919">
        <f>IF('Entry Builder'!$N$8=0,1,IF('Entry Builder'!$D$8="Less",--(INDEX(Sims!$A919:$BO919,'Entry Builder'!$L$8)&lt;'Entry Builder'!$E$8),--(INDEX(Sims!$A919:$BO919,'Entry Builder'!$L$8)&gt;'Entry Builder'!$E$8)))</f>
        <v/>
      </c>
      <c r="C919">
        <f>IF('Entry Builder'!$N$9=0,1,IF('Entry Builder'!$D$9="Less",--(INDEX(Sims!$A919:$BO919,'Entry Builder'!$L$9)&lt;'Entry Builder'!$E$9),--(INDEX(Sims!$A919:$BO919,'Entry Builder'!$L$9)&gt;'Entry Builder'!$E$9)))</f>
        <v/>
      </c>
      <c r="D919">
        <f>IF('Entry Builder'!$N$10=0,1,IF('Entry Builder'!$D$10="Less",--(INDEX(Sims!$A919:$BO919,'Entry Builder'!$L$10)&lt;'Entry Builder'!$E$10),--(INDEX(Sims!$A919:$BO919,'Entry Builder'!$L$10)&gt;'Entry Builder'!$E$10)))</f>
        <v/>
      </c>
      <c r="E919">
        <f>IF('Entry Builder'!$N$11=0,1,IF('Entry Builder'!$D$11="Less",--(INDEX(Sims!$A919:$BO919,'Entry Builder'!$L$11)&lt;'Entry Builder'!$E$11),--(INDEX(Sims!$A919:$BO919,'Entry Builder'!$L$11)&gt;'Entry Builder'!$E$11)))</f>
        <v/>
      </c>
      <c r="F919">
        <f>IF('Entry Builder'!$N$12=0,1,IF('Entry Builder'!$D$12="Less",--(INDEX(Sims!$A919:$BO919,'Entry Builder'!$L$12)&lt;'Entry Builder'!$E$12),--(INDEX(Sims!$A919:$BO919,'Entry Builder'!$L$12)&gt;'Entry Builder'!$E$12)))</f>
        <v/>
      </c>
      <c r="G919">
        <f>6-SUM(A919:F919)</f>
        <v/>
      </c>
    </row>
    <row r="920">
      <c r="A920">
        <f>IF('Entry Builder'!$N$7=0,1,IF('Entry Builder'!$D$7="Less",--(INDEX(Sims!$A920:$BO920,'Entry Builder'!$L$7)&lt;'Entry Builder'!$E$7),--(INDEX(Sims!$A920:$BO920,'Entry Builder'!$L$7)&gt;'Entry Builder'!$E$7)))</f>
        <v/>
      </c>
      <c r="B920">
        <f>IF('Entry Builder'!$N$8=0,1,IF('Entry Builder'!$D$8="Less",--(INDEX(Sims!$A920:$BO920,'Entry Builder'!$L$8)&lt;'Entry Builder'!$E$8),--(INDEX(Sims!$A920:$BO920,'Entry Builder'!$L$8)&gt;'Entry Builder'!$E$8)))</f>
        <v/>
      </c>
      <c r="C920">
        <f>IF('Entry Builder'!$N$9=0,1,IF('Entry Builder'!$D$9="Less",--(INDEX(Sims!$A920:$BO920,'Entry Builder'!$L$9)&lt;'Entry Builder'!$E$9),--(INDEX(Sims!$A920:$BO920,'Entry Builder'!$L$9)&gt;'Entry Builder'!$E$9)))</f>
        <v/>
      </c>
      <c r="D920">
        <f>IF('Entry Builder'!$N$10=0,1,IF('Entry Builder'!$D$10="Less",--(INDEX(Sims!$A920:$BO920,'Entry Builder'!$L$10)&lt;'Entry Builder'!$E$10),--(INDEX(Sims!$A920:$BO920,'Entry Builder'!$L$10)&gt;'Entry Builder'!$E$10)))</f>
        <v/>
      </c>
      <c r="E920">
        <f>IF('Entry Builder'!$N$11=0,1,IF('Entry Builder'!$D$11="Less",--(INDEX(Sims!$A920:$BO920,'Entry Builder'!$L$11)&lt;'Entry Builder'!$E$11),--(INDEX(Sims!$A920:$BO920,'Entry Builder'!$L$11)&gt;'Entry Builder'!$E$11)))</f>
        <v/>
      </c>
      <c r="F920">
        <f>IF('Entry Builder'!$N$12=0,1,IF('Entry Builder'!$D$12="Less",--(INDEX(Sims!$A920:$BO920,'Entry Builder'!$L$12)&lt;'Entry Builder'!$E$12),--(INDEX(Sims!$A920:$BO920,'Entry Builder'!$L$12)&gt;'Entry Builder'!$E$12)))</f>
        <v/>
      </c>
      <c r="G920">
        <f>6-SUM(A920:F920)</f>
        <v/>
      </c>
    </row>
    <row r="921">
      <c r="A921">
        <f>IF('Entry Builder'!$N$7=0,1,IF('Entry Builder'!$D$7="Less",--(INDEX(Sims!$A921:$BO921,'Entry Builder'!$L$7)&lt;'Entry Builder'!$E$7),--(INDEX(Sims!$A921:$BO921,'Entry Builder'!$L$7)&gt;'Entry Builder'!$E$7)))</f>
        <v/>
      </c>
      <c r="B921">
        <f>IF('Entry Builder'!$N$8=0,1,IF('Entry Builder'!$D$8="Less",--(INDEX(Sims!$A921:$BO921,'Entry Builder'!$L$8)&lt;'Entry Builder'!$E$8),--(INDEX(Sims!$A921:$BO921,'Entry Builder'!$L$8)&gt;'Entry Builder'!$E$8)))</f>
        <v/>
      </c>
      <c r="C921">
        <f>IF('Entry Builder'!$N$9=0,1,IF('Entry Builder'!$D$9="Less",--(INDEX(Sims!$A921:$BO921,'Entry Builder'!$L$9)&lt;'Entry Builder'!$E$9),--(INDEX(Sims!$A921:$BO921,'Entry Builder'!$L$9)&gt;'Entry Builder'!$E$9)))</f>
        <v/>
      </c>
      <c r="D921">
        <f>IF('Entry Builder'!$N$10=0,1,IF('Entry Builder'!$D$10="Less",--(INDEX(Sims!$A921:$BO921,'Entry Builder'!$L$10)&lt;'Entry Builder'!$E$10),--(INDEX(Sims!$A921:$BO921,'Entry Builder'!$L$10)&gt;'Entry Builder'!$E$10)))</f>
        <v/>
      </c>
      <c r="E921">
        <f>IF('Entry Builder'!$N$11=0,1,IF('Entry Builder'!$D$11="Less",--(INDEX(Sims!$A921:$BO921,'Entry Builder'!$L$11)&lt;'Entry Builder'!$E$11),--(INDEX(Sims!$A921:$BO921,'Entry Builder'!$L$11)&gt;'Entry Builder'!$E$11)))</f>
        <v/>
      </c>
      <c r="F921">
        <f>IF('Entry Builder'!$N$12=0,1,IF('Entry Builder'!$D$12="Less",--(INDEX(Sims!$A921:$BO921,'Entry Builder'!$L$12)&lt;'Entry Builder'!$E$12),--(INDEX(Sims!$A921:$BO921,'Entry Builder'!$L$12)&gt;'Entry Builder'!$E$12)))</f>
        <v/>
      </c>
      <c r="G921">
        <f>6-SUM(A921:F921)</f>
        <v/>
      </c>
    </row>
    <row r="922">
      <c r="A922">
        <f>IF('Entry Builder'!$N$7=0,1,IF('Entry Builder'!$D$7="Less",--(INDEX(Sims!$A922:$BO922,'Entry Builder'!$L$7)&lt;'Entry Builder'!$E$7),--(INDEX(Sims!$A922:$BO922,'Entry Builder'!$L$7)&gt;'Entry Builder'!$E$7)))</f>
        <v/>
      </c>
      <c r="B922">
        <f>IF('Entry Builder'!$N$8=0,1,IF('Entry Builder'!$D$8="Less",--(INDEX(Sims!$A922:$BO922,'Entry Builder'!$L$8)&lt;'Entry Builder'!$E$8),--(INDEX(Sims!$A922:$BO922,'Entry Builder'!$L$8)&gt;'Entry Builder'!$E$8)))</f>
        <v/>
      </c>
      <c r="C922">
        <f>IF('Entry Builder'!$N$9=0,1,IF('Entry Builder'!$D$9="Less",--(INDEX(Sims!$A922:$BO922,'Entry Builder'!$L$9)&lt;'Entry Builder'!$E$9),--(INDEX(Sims!$A922:$BO922,'Entry Builder'!$L$9)&gt;'Entry Builder'!$E$9)))</f>
        <v/>
      </c>
      <c r="D922">
        <f>IF('Entry Builder'!$N$10=0,1,IF('Entry Builder'!$D$10="Less",--(INDEX(Sims!$A922:$BO922,'Entry Builder'!$L$10)&lt;'Entry Builder'!$E$10),--(INDEX(Sims!$A922:$BO922,'Entry Builder'!$L$10)&gt;'Entry Builder'!$E$10)))</f>
        <v/>
      </c>
      <c r="E922">
        <f>IF('Entry Builder'!$N$11=0,1,IF('Entry Builder'!$D$11="Less",--(INDEX(Sims!$A922:$BO922,'Entry Builder'!$L$11)&lt;'Entry Builder'!$E$11),--(INDEX(Sims!$A922:$BO922,'Entry Builder'!$L$11)&gt;'Entry Builder'!$E$11)))</f>
        <v/>
      </c>
      <c r="F922">
        <f>IF('Entry Builder'!$N$12=0,1,IF('Entry Builder'!$D$12="Less",--(INDEX(Sims!$A922:$BO922,'Entry Builder'!$L$12)&lt;'Entry Builder'!$E$12),--(INDEX(Sims!$A922:$BO922,'Entry Builder'!$L$12)&gt;'Entry Builder'!$E$12)))</f>
        <v/>
      </c>
      <c r="G922">
        <f>6-SUM(A922:F922)</f>
        <v/>
      </c>
    </row>
    <row r="923">
      <c r="A923">
        <f>IF('Entry Builder'!$N$7=0,1,IF('Entry Builder'!$D$7="Less",--(INDEX(Sims!$A923:$BO923,'Entry Builder'!$L$7)&lt;'Entry Builder'!$E$7),--(INDEX(Sims!$A923:$BO923,'Entry Builder'!$L$7)&gt;'Entry Builder'!$E$7)))</f>
        <v/>
      </c>
      <c r="B923">
        <f>IF('Entry Builder'!$N$8=0,1,IF('Entry Builder'!$D$8="Less",--(INDEX(Sims!$A923:$BO923,'Entry Builder'!$L$8)&lt;'Entry Builder'!$E$8),--(INDEX(Sims!$A923:$BO923,'Entry Builder'!$L$8)&gt;'Entry Builder'!$E$8)))</f>
        <v/>
      </c>
      <c r="C923">
        <f>IF('Entry Builder'!$N$9=0,1,IF('Entry Builder'!$D$9="Less",--(INDEX(Sims!$A923:$BO923,'Entry Builder'!$L$9)&lt;'Entry Builder'!$E$9),--(INDEX(Sims!$A923:$BO923,'Entry Builder'!$L$9)&gt;'Entry Builder'!$E$9)))</f>
        <v/>
      </c>
      <c r="D923">
        <f>IF('Entry Builder'!$N$10=0,1,IF('Entry Builder'!$D$10="Less",--(INDEX(Sims!$A923:$BO923,'Entry Builder'!$L$10)&lt;'Entry Builder'!$E$10),--(INDEX(Sims!$A923:$BO923,'Entry Builder'!$L$10)&gt;'Entry Builder'!$E$10)))</f>
        <v/>
      </c>
      <c r="E923">
        <f>IF('Entry Builder'!$N$11=0,1,IF('Entry Builder'!$D$11="Less",--(INDEX(Sims!$A923:$BO923,'Entry Builder'!$L$11)&lt;'Entry Builder'!$E$11),--(INDEX(Sims!$A923:$BO923,'Entry Builder'!$L$11)&gt;'Entry Builder'!$E$11)))</f>
        <v/>
      </c>
      <c r="F923">
        <f>IF('Entry Builder'!$N$12=0,1,IF('Entry Builder'!$D$12="Less",--(INDEX(Sims!$A923:$BO923,'Entry Builder'!$L$12)&lt;'Entry Builder'!$E$12),--(INDEX(Sims!$A923:$BO923,'Entry Builder'!$L$12)&gt;'Entry Builder'!$E$12)))</f>
        <v/>
      </c>
      <c r="G923">
        <f>6-SUM(A923:F923)</f>
        <v/>
      </c>
    </row>
    <row r="924">
      <c r="A924">
        <f>IF('Entry Builder'!$N$7=0,1,IF('Entry Builder'!$D$7="Less",--(INDEX(Sims!$A924:$BO924,'Entry Builder'!$L$7)&lt;'Entry Builder'!$E$7),--(INDEX(Sims!$A924:$BO924,'Entry Builder'!$L$7)&gt;'Entry Builder'!$E$7)))</f>
        <v/>
      </c>
      <c r="B924">
        <f>IF('Entry Builder'!$N$8=0,1,IF('Entry Builder'!$D$8="Less",--(INDEX(Sims!$A924:$BO924,'Entry Builder'!$L$8)&lt;'Entry Builder'!$E$8),--(INDEX(Sims!$A924:$BO924,'Entry Builder'!$L$8)&gt;'Entry Builder'!$E$8)))</f>
        <v/>
      </c>
      <c r="C924">
        <f>IF('Entry Builder'!$N$9=0,1,IF('Entry Builder'!$D$9="Less",--(INDEX(Sims!$A924:$BO924,'Entry Builder'!$L$9)&lt;'Entry Builder'!$E$9),--(INDEX(Sims!$A924:$BO924,'Entry Builder'!$L$9)&gt;'Entry Builder'!$E$9)))</f>
        <v/>
      </c>
      <c r="D924">
        <f>IF('Entry Builder'!$N$10=0,1,IF('Entry Builder'!$D$10="Less",--(INDEX(Sims!$A924:$BO924,'Entry Builder'!$L$10)&lt;'Entry Builder'!$E$10),--(INDEX(Sims!$A924:$BO924,'Entry Builder'!$L$10)&gt;'Entry Builder'!$E$10)))</f>
        <v/>
      </c>
      <c r="E924">
        <f>IF('Entry Builder'!$N$11=0,1,IF('Entry Builder'!$D$11="Less",--(INDEX(Sims!$A924:$BO924,'Entry Builder'!$L$11)&lt;'Entry Builder'!$E$11),--(INDEX(Sims!$A924:$BO924,'Entry Builder'!$L$11)&gt;'Entry Builder'!$E$11)))</f>
        <v/>
      </c>
      <c r="F924">
        <f>IF('Entry Builder'!$N$12=0,1,IF('Entry Builder'!$D$12="Less",--(INDEX(Sims!$A924:$BO924,'Entry Builder'!$L$12)&lt;'Entry Builder'!$E$12),--(INDEX(Sims!$A924:$BO924,'Entry Builder'!$L$12)&gt;'Entry Builder'!$E$12)))</f>
        <v/>
      </c>
      <c r="G924">
        <f>6-SUM(A924:F924)</f>
        <v/>
      </c>
    </row>
    <row r="925">
      <c r="A925">
        <f>IF('Entry Builder'!$N$7=0,1,IF('Entry Builder'!$D$7="Less",--(INDEX(Sims!$A925:$BO925,'Entry Builder'!$L$7)&lt;'Entry Builder'!$E$7),--(INDEX(Sims!$A925:$BO925,'Entry Builder'!$L$7)&gt;'Entry Builder'!$E$7)))</f>
        <v/>
      </c>
      <c r="B925">
        <f>IF('Entry Builder'!$N$8=0,1,IF('Entry Builder'!$D$8="Less",--(INDEX(Sims!$A925:$BO925,'Entry Builder'!$L$8)&lt;'Entry Builder'!$E$8),--(INDEX(Sims!$A925:$BO925,'Entry Builder'!$L$8)&gt;'Entry Builder'!$E$8)))</f>
        <v/>
      </c>
      <c r="C925">
        <f>IF('Entry Builder'!$N$9=0,1,IF('Entry Builder'!$D$9="Less",--(INDEX(Sims!$A925:$BO925,'Entry Builder'!$L$9)&lt;'Entry Builder'!$E$9),--(INDEX(Sims!$A925:$BO925,'Entry Builder'!$L$9)&gt;'Entry Builder'!$E$9)))</f>
        <v/>
      </c>
      <c r="D925">
        <f>IF('Entry Builder'!$N$10=0,1,IF('Entry Builder'!$D$10="Less",--(INDEX(Sims!$A925:$BO925,'Entry Builder'!$L$10)&lt;'Entry Builder'!$E$10),--(INDEX(Sims!$A925:$BO925,'Entry Builder'!$L$10)&gt;'Entry Builder'!$E$10)))</f>
        <v/>
      </c>
      <c r="E925">
        <f>IF('Entry Builder'!$N$11=0,1,IF('Entry Builder'!$D$11="Less",--(INDEX(Sims!$A925:$BO925,'Entry Builder'!$L$11)&lt;'Entry Builder'!$E$11),--(INDEX(Sims!$A925:$BO925,'Entry Builder'!$L$11)&gt;'Entry Builder'!$E$11)))</f>
        <v/>
      </c>
      <c r="F925">
        <f>IF('Entry Builder'!$N$12=0,1,IF('Entry Builder'!$D$12="Less",--(INDEX(Sims!$A925:$BO925,'Entry Builder'!$L$12)&lt;'Entry Builder'!$E$12),--(INDEX(Sims!$A925:$BO925,'Entry Builder'!$L$12)&gt;'Entry Builder'!$E$12)))</f>
        <v/>
      </c>
      <c r="G925">
        <f>6-SUM(A925:F925)</f>
        <v/>
      </c>
    </row>
    <row r="926">
      <c r="A926">
        <f>IF('Entry Builder'!$N$7=0,1,IF('Entry Builder'!$D$7="Less",--(INDEX(Sims!$A926:$BO926,'Entry Builder'!$L$7)&lt;'Entry Builder'!$E$7),--(INDEX(Sims!$A926:$BO926,'Entry Builder'!$L$7)&gt;'Entry Builder'!$E$7)))</f>
        <v/>
      </c>
      <c r="B926">
        <f>IF('Entry Builder'!$N$8=0,1,IF('Entry Builder'!$D$8="Less",--(INDEX(Sims!$A926:$BO926,'Entry Builder'!$L$8)&lt;'Entry Builder'!$E$8),--(INDEX(Sims!$A926:$BO926,'Entry Builder'!$L$8)&gt;'Entry Builder'!$E$8)))</f>
        <v/>
      </c>
      <c r="C926">
        <f>IF('Entry Builder'!$N$9=0,1,IF('Entry Builder'!$D$9="Less",--(INDEX(Sims!$A926:$BO926,'Entry Builder'!$L$9)&lt;'Entry Builder'!$E$9),--(INDEX(Sims!$A926:$BO926,'Entry Builder'!$L$9)&gt;'Entry Builder'!$E$9)))</f>
        <v/>
      </c>
      <c r="D926">
        <f>IF('Entry Builder'!$N$10=0,1,IF('Entry Builder'!$D$10="Less",--(INDEX(Sims!$A926:$BO926,'Entry Builder'!$L$10)&lt;'Entry Builder'!$E$10),--(INDEX(Sims!$A926:$BO926,'Entry Builder'!$L$10)&gt;'Entry Builder'!$E$10)))</f>
        <v/>
      </c>
      <c r="E926">
        <f>IF('Entry Builder'!$N$11=0,1,IF('Entry Builder'!$D$11="Less",--(INDEX(Sims!$A926:$BO926,'Entry Builder'!$L$11)&lt;'Entry Builder'!$E$11),--(INDEX(Sims!$A926:$BO926,'Entry Builder'!$L$11)&gt;'Entry Builder'!$E$11)))</f>
        <v/>
      </c>
      <c r="F926">
        <f>IF('Entry Builder'!$N$12=0,1,IF('Entry Builder'!$D$12="Less",--(INDEX(Sims!$A926:$BO926,'Entry Builder'!$L$12)&lt;'Entry Builder'!$E$12),--(INDEX(Sims!$A926:$BO926,'Entry Builder'!$L$12)&gt;'Entry Builder'!$E$12)))</f>
        <v/>
      </c>
      <c r="G926">
        <f>6-SUM(A926:F926)</f>
        <v/>
      </c>
    </row>
    <row r="927">
      <c r="A927">
        <f>IF('Entry Builder'!$N$7=0,1,IF('Entry Builder'!$D$7="Less",--(INDEX(Sims!$A927:$BO927,'Entry Builder'!$L$7)&lt;'Entry Builder'!$E$7),--(INDEX(Sims!$A927:$BO927,'Entry Builder'!$L$7)&gt;'Entry Builder'!$E$7)))</f>
        <v/>
      </c>
      <c r="B927">
        <f>IF('Entry Builder'!$N$8=0,1,IF('Entry Builder'!$D$8="Less",--(INDEX(Sims!$A927:$BO927,'Entry Builder'!$L$8)&lt;'Entry Builder'!$E$8),--(INDEX(Sims!$A927:$BO927,'Entry Builder'!$L$8)&gt;'Entry Builder'!$E$8)))</f>
        <v/>
      </c>
      <c r="C927">
        <f>IF('Entry Builder'!$N$9=0,1,IF('Entry Builder'!$D$9="Less",--(INDEX(Sims!$A927:$BO927,'Entry Builder'!$L$9)&lt;'Entry Builder'!$E$9),--(INDEX(Sims!$A927:$BO927,'Entry Builder'!$L$9)&gt;'Entry Builder'!$E$9)))</f>
        <v/>
      </c>
      <c r="D927">
        <f>IF('Entry Builder'!$N$10=0,1,IF('Entry Builder'!$D$10="Less",--(INDEX(Sims!$A927:$BO927,'Entry Builder'!$L$10)&lt;'Entry Builder'!$E$10),--(INDEX(Sims!$A927:$BO927,'Entry Builder'!$L$10)&gt;'Entry Builder'!$E$10)))</f>
        <v/>
      </c>
      <c r="E927">
        <f>IF('Entry Builder'!$N$11=0,1,IF('Entry Builder'!$D$11="Less",--(INDEX(Sims!$A927:$BO927,'Entry Builder'!$L$11)&lt;'Entry Builder'!$E$11),--(INDEX(Sims!$A927:$BO927,'Entry Builder'!$L$11)&gt;'Entry Builder'!$E$11)))</f>
        <v/>
      </c>
      <c r="F927">
        <f>IF('Entry Builder'!$N$12=0,1,IF('Entry Builder'!$D$12="Less",--(INDEX(Sims!$A927:$BO927,'Entry Builder'!$L$12)&lt;'Entry Builder'!$E$12),--(INDEX(Sims!$A927:$BO927,'Entry Builder'!$L$12)&gt;'Entry Builder'!$E$12)))</f>
        <v/>
      </c>
      <c r="G927">
        <f>6-SUM(A927:F927)</f>
        <v/>
      </c>
    </row>
    <row r="928">
      <c r="A928">
        <f>IF('Entry Builder'!$N$7=0,1,IF('Entry Builder'!$D$7="Less",--(INDEX(Sims!$A928:$BO928,'Entry Builder'!$L$7)&lt;'Entry Builder'!$E$7),--(INDEX(Sims!$A928:$BO928,'Entry Builder'!$L$7)&gt;'Entry Builder'!$E$7)))</f>
        <v/>
      </c>
      <c r="B928">
        <f>IF('Entry Builder'!$N$8=0,1,IF('Entry Builder'!$D$8="Less",--(INDEX(Sims!$A928:$BO928,'Entry Builder'!$L$8)&lt;'Entry Builder'!$E$8),--(INDEX(Sims!$A928:$BO928,'Entry Builder'!$L$8)&gt;'Entry Builder'!$E$8)))</f>
        <v/>
      </c>
      <c r="C928">
        <f>IF('Entry Builder'!$N$9=0,1,IF('Entry Builder'!$D$9="Less",--(INDEX(Sims!$A928:$BO928,'Entry Builder'!$L$9)&lt;'Entry Builder'!$E$9),--(INDEX(Sims!$A928:$BO928,'Entry Builder'!$L$9)&gt;'Entry Builder'!$E$9)))</f>
        <v/>
      </c>
      <c r="D928">
        <f>IF('Entry Builder'!$N$10=0,1,IF('Entry Builder'!$D$10="Less",--(INDEX(Sims!$A928:$BO928,'Entry Builder'!$L$10)&lt;'Entry Builder'!$E$10),--(INDEX(Sims!$A928:$BO928,'Entry Builder'!$L$10)&gt;'Entry Builder'!$E$10)))</f>
        <v/>
      </c>
      <c r="E928">
        <f>IF('Entry Builder'!$N$11=0,1,IF('Entry Builder'!$D$11="Less",--(INDEX(Sims!$A928:$BO928,'Entry Builder'!$L$11)&lt;'Entry Builder'!$E$11),--(INDEX(Sims!$A928:$BO928,'Entry Builder'!$L$11)&gt;'Entry Builder'!$E$11)))</f>
        <v/>
      </c>
      <c r="F928">
        <f>IF('Entry Builder'!$N$12=0,1,IF('Entry Builder'!$D$12="Less",--(INDEX(Sims!$A928:$BO928,'Entry Builder'!$L$12)&lt;'Entry Builder'!$E$12),--(INDEX(Sims!$A928:$BO928,'Entry Builder'!$L$12)&gt;'Entry Builder'!$E$12)))</f>
        <v/>
      </c>
      <c r="G928">
        <f>6-SUM(A928:F928)</f>
        <v/>
      </c>
    </row>
    <row r="929">
      <c r="A929">
        <f>IF('Entry Builder'!$N$7=0,1,IF('Entry Builder'!$D$7="Less",--(INDEX(Sims!$A929:$BO929,'Entry Builder'!$L$7)&lt;'Entry Builder'!$E$7),--(INDEX(Sims!$A929:$BO929,'Entry Builder'!$L$7)&gt;'Entry Builder'!$E$7)))</f>
        <v/>
      </c>
      <c r="B929">
        <f>IF('Entry Builder'!$N$8=0,1,IF('Entry Builder'!$D$8="Less",--(INDEX(Sims!$A929:$BO929,'Entry Builder'!$L$8)&lt;'Entry Builder'!$E$8),--(INDEX(Sims!$A929:$BO929,'Entry Builder'!$L$8)&gt;'Entry Builder'!$E$8)))</f>
        <v/>
      </c>
      <c r="C929">
        <f>IF('Entry Builder'!$N$9=0,1,IF('Entry Builder'!$D$9="Less",--(INDEX(Sims!$A929:$BO929,'Entry Builder'!$L$9)&lt;'Entry Builder'!$E$9),--(INDEX(Sims!$A929:$BO929,'Entry Builder'!$L$9)&gt;'Entry Builder'!$E$9)))</f>
        <v/>
      </c>
      <c r="D929">
        <f>IF('Entry Builder'!$N$10=0,1,IF('Entry Builder'!$D$10="Less",--(INDEX(Sims!$A929:$BO929,'Entry Builder'!$L$10)&lt;'Entry Builder'!$E$10),--(INDEX(Sims!$A929:$BO929,'Entry Builder'!$L$10)&gt;'Entry Builder'!$E$10)))</f>
        <v/>
      </c>
      <c r="E929">
        <f>IF('Entry Builder'!$N$11=0,1,IF('Entry Builder'!$D$11="Less",--(INDEX(Sims!$A929:$BO929,'Entry Builder'!$L$11)&lt;'Entry Builder'!$E$11),--(INDEX(Sims!$A929:$BO929,'Entry Builder'!$L$11)&gt;'Entry Builder'!$E$11)))</f>
        <v/>
      </c>
      <c r="F929">
        <f>IF('Entry Builder'!$N$12=0,1,IF('Entry Builder'!$D$12="Less",--(INDEX(Sims!$A929:$BO929,'Entry Builder'!$L$12)&lt;'Entry Builder'!$E$12),--(INDEX(Sims!$A929:$BO929,'Entry Builder'!$L$12)&gt;'Entry Builder'!$E$12)))</f>
        <v/>
      </c>
      <c r="G929">
        <f>6-SUM(A929:F929)</f>
        <v/>
      </c>
    </row>
    <row r="930">
      <c r="A930">
        <f>IF('Entry Builder'!$N$7=0,1,IF('Entry Builder'!$D$7="Less",--(INDEX(Sims!$A930:$BO930,'Entry Builder'!$L$7)&lt;'Entry Builder'!$E$7),--(INDEX(Sims!$A930:$BO930,'Entry Builder'!$L$7)&gt;'Entry Builder'!$E$7)))</f>
        <v/>
      </c>
      <c r="B930">
        <f>IF('Entry Builder'!$N$8=0,1,IF('Entry Builder'!$D$8="Less",--(INDEX(Sims!$A930:$BO930,'Entry Builder'!$L$8)&lt;'Entry Builder'!$E$8),--(INDEX(Sims!$A930:$BO930,'Entry Builder'!$L$8)&gt;'Entry Builder'!$E$8)))</f>
        <v/>
      </c>
      <c r="C930">
        <f>IF('Entry Builder'!$N$9=0,1,IF('Entry Builder'!$D$9="Less",--(INDEX(Sims!$A930:$BO930,'Entry Builder'!$L$9)&lt;'Entry Builder'!$E$9),--(INDEX(Sims!$A930:$BO930,'Entry Builder'!$L$9)&gt;'Entry Builder'!$E$9)))</f>
        <v/>
      </c>
      <c r="D930">
        <f>IF('Entry Builder'!$N$10=0,1,IF('Entry Builder'!$D$10="Less",--(INDEX(Sims!$A930:$BO930,'Entry Builder'!$L$10)&lt;'Entry Builder'!$E$10),--(INDEX(Sims!$A930:$BO930,'Entry Builder'!$L$10)&gt;'Entry Builder'!$E$10)))</f>
        <v/>
      </c>
      <c r="E930">
        <f>IF('Entry Builder'!$N$11=0,1,IF('Entry Builder'!$D$11="Less",--(INDEX(Sims!$A930:$BO930,'Entry Builder'!$L$11)&lt;'Entry Builder'!$E$11),--(INDEX(Sims!$A930:$BO930,'Entry Builder'!$L$11)&gt;'Entry Builder'!$E$11)))</f>
        <v/>
      </c>
      <c r="F930">
        <f>IF('Entry Builder'!$N$12=0,1,IF('Entry Builder'!$D$12="Less",--(INDEX(Sims!$A930:$BO930,'Entry Builder'!$L$12)&lt;'Entry Builder'!$E$12),--(INDEX(Sims!$A930:$BO930,'Entry Builder'!$L$12)&gt;'Entry Builder'!$E$12)))</f>
        <v/>
      </c>
      <c r="G930">
        <f>6-SUM(A930:F930)</f>
        <v/>
      </c>
    </row>
    <row r="931">
      <c r="A931">
        <f>IF('Entry Builder'!$N$7=0,1,IF('Entry Builder'!$D$7="Less",--(INDEX(Sims!$A931:$BO931,'Entry Builder'!$L$7)&lt;'Entry Builder'!$E$7),--(INDEX(Sims!$A931:$BO931,'Entry Builder'!$L$7)&gt;'Entry Builder'!$E$7)))</f>
        <v/>
      </c>
      <c r="B931">
        <f>IF('Entry Builder'!$N$8=0,1,IF('Entry Builder'!$D$8="Less",--(INDEX(Sims!$A931:$BO931,'Entry Builder'!$L$8)&lt;'Entry Builder'!$E$8),--(INDEX(Sims!$A931:$BO931,'Entry Builder'!$L$8)&gt;'Entry Builder'!$E$8)))</f>
        <v/>
      </c>
      <c r="C931">
        <f>IF('Entry Builder'!$N$9=0,1,IF('Entry Builder'!$D$9="Less",--(INDEX(Sims!$A931:$BO931,'Entry Builder'!$L$9)&lt;'Entry Builder'!$E$9),--(INDEX(Sims!$A931:$BO931,'Entry Builder'!$L$9)&gt;'Entry Builder'!$E$9)))</f>
        <v/>
      </c>
      <c r="D931">
        <f>IF('Entry Builder'!$N$10=0,1,IF('Entry Builder'!$D$10="Less",--(INDEX(Sims!$A931:$BO931,'Entry Builder'!$L$10)&lt;'Entry Builder'!$E$10),--(INDEX(Sims!$A931:$BO931,'Entry Builder'!$L$10)&gt;'Entry Builder'!$E$10)))</f>
        <v/>
      </c>
      <c r="E931">
        <f>IF('Entry Builder'!$N$11=0,1,IF('Entry Builder'!$D$11="Less",--(INDEX(Sims!$A931:$BO931,'Entry Builder'!$L$11)&lt;'Entry Builder'!$E$11),--(INDEX(Sims!$A931:$BO931,'Entry Builder'!$L$11)&gt;'Entry Builder'!$E$11)))</f>
        <v/>
      </c>
      <c r="F931">
        <f>IF('Entry Builder'!$N$12=0,1,IF('Entry Builder'!$D$12="Less",--(INDEX(Sims!$A931:$BO931,'Entry Builder'!$L$12)&lt;'Entry Builder'!$E$12),--(INDEX(Sims!$A931:$BO931,'Entry Builder'!$L$12)&gt;'Entry Builder'!$E$12)))</f>
        <v/>
      </c>
      <c r="G931">
        <f>6-SUM(A931:F931)</f>
        <v/>
      </c>
    </row>
    <row r="932">
      <c r="A932">
        <f>IF('Entry Builder'!$N$7=0,1,IF('Entry Builder'!$D$7="Less",--(INDEX(Sims!$A932:$BO932,'Entry Builder'!$L$7)&lt;'Entry Builder'!$E$7),--(INDEX(Sims!$A932:$BO932,'Entry Builder'!$L$7)&gt;'Entry Builder'!$E$7)))</f>
        <v/>
      </c>
      <c r="B932">
        <f>IF('Entry Builder'!$N$8=0,1,IF('Entry Builder'!$D$8="Less",--(INDEX(Sims!$A932:$BO932,'Entry Builder'!$L$8)&lt;'Entry Builder'!$E$8),--(INDEX(Sims!$A932:$BO932,'Entry Builder'!$L$8)&gt;'Entry Builder'!$E$8)))</f>
        <v/>
      </c>
      <c r="C932">
        <f>IF('Entry Builder'!$N$9=0,1,IF('Entry Builder'!$D$9="Less",--(INDEX(Sims!$A932:$BO932,'Entry Builder'!$L$9)&lt;'Entry Builder'!$E$9),--(INDEX(Sims!$A932:$BO932,'Entry Builder'!$L$9)&gt;'Entry Builder'!$E$9)))</f>
        <v/>
      </c>
      <c r="D932">
        <f>IF('Entry Builder'!$N$10=0,1,IF('Entry Builder'!$D$10="Less",--(INDEX(Sims!$A932:$BO932,'Entry Builder'!$L$10)&lt;'Entry Builder'!$E$10),--(INDEX(Sims!$A932:$BO932,'Entry Builder'!$L$10)&gt;'Entry Builder'!$E$10)))</f>
        <v/>
      </c>
      <c r="E932">
        <f>IF('Entry Builder'!$N$11=0,1,IF('Entry Builder'!$D$11="Less",--(INDEX(Sims!$A932:$BO932,'Entry Builder'!$L$11)&lt;'Entry Builder'!$E$11),--(INDEX(Sims!$A932:$BO932,'Entry Builder'!$L$11)&gt;'Entry Builder'!$E$11)))</f>
        <v/>
      </c>
      <c r="F932">
        <f>IF('Entry Builder'!$N$12=0,1,IF('Entry Builder'!$D$12="Less",--(INDEX(Sims!$A932:$BO932,'Entry Builder'!$L$12)&lt;'Entry Builder'!$E$12),--(INDEX(Sims!$A932:$BO932,'Entry Builder'!$L$12)&gt;'Entry Builder'!$E$12)))</f>
        <v/>
      </c>
      <c r="G932">
        <f>6-SUM(A932:F932)</f>
        <v/>
      </c>
    </row>
    <row r="933">
      <c r="A933">
        <f>IF('Entry Builder'!$N$7=0,1,IF('Entry Builder'!$D$7="Less",--(INDEX(Sims!$A933:$BO933,'Entry Builder'!$L$7)&lt;'Entry Builder'!$E$7),--(INDEX(Sims!$A933:$BO933,'Entry Builder'!$L$7)&gt;'Entry Builder'!$E$7)))</f>
        <v/>
      </c>
      <c r="B933">
        <f>IF('Entry Builder'!$N$8=0,1,IF('Entry Builder'!$D$8="Less",--(INDEX(Sims!$A933:$BO933,'Entry Builder'!$L$8)&lt;'Entry Builder'!$E$8),--(INDEX(Sims!$A933:$BO933,'Entry Builder'!$L$8)&gt;'Entry Builder'!$E$8)))</f>
        <v/>
      </c>
      <c r="C933">
        <f>IF('Entry Builder'!$N$9=0,1,IF('Entry Builder'!$D$9="Less",--(INDEX(Sims!$A933:$BO933,'Entry Builder'!$L$9)&lt;'Entry Builder'!$E$9),--(INDEX(Sims!$A933:$BO933,'Entry Builder'!$L$9)&gt;'Entry Builder'!$E$9)))</f>
        <v/>
      </c>
      <c r="D933">
        <f>IF('Entry Builder'!$N$10=0,1,IF('Entry Builder'!$D$10="Less",--(INDEX(Sims!$A933:$BO933,'Entry Builder'!$L$10)&lt;'Entry Builder'!$E$10),--(INDEX(Sims!$A933:$BO933,'Entry Builder'!$L$10)&gt;'Entry Builder'!$E$10)))</f>
        <v/>
      </c>
      <c r="E933">
        <f>IF('Entry Builder'!$N$11=0,1,IF('Entry Builder'!$D$11="Less",--(INDEX(Sims!$A933:$BO933,'Entry Builder'!$L$11)&lt;'Entry Builder'!$E$11),--(INDEX(Sims!$A933:$BO933,'Entry Builder'!$L$11)&gt;'Entry Builder'!$E$11)))</f>
        <v/>
      </c>
      <c r="F933">
        <f>IF('Entry Builder'!$N$12=0,1,IF('Entry Builder'!$D$12="Less",--(INDEX(Sims!$A933:$BO933,'Entry Builder'!$L$12)&lt;'Entry Builder'!$E$12),--(INDEX(Sims!$A933:$BO933,'Entry Builder'!$L$12)&gt;'Entry Builder'!$E$12)))</f>
        <v/>
      </c>
      <c r="G933">
        <f>6-SUM(A933:F933)</f>
        <v/>
      </c>
    </row>
    <row r="934">
      <c r="A934">
        <f>IF('Entry Builder'!$N$7=0,1,IF('Entry Builder'!$D$7="Less",--(INDEX(Sims!$A934:$BO934,'Entry Builder'!$L$7)&lt;'Entry Builder'!$E$7),--(INDEX(Sims!$A934:$BO934,'Entry Builder'!$L$7)&gt;'Entry Builder'!$E$7)))</f>
        <v/>
      </c>
      <c r="B934">
        <f>IF('Entry Builder'!$N$8=0,1,IF('Entry Builder'!$D$8="Less",--(INDEX(Sims!$A934:$BO934,'Entry Builder'!$L$8)&lt;'Entry Builder'!$E$8),--(INDEX(Sims!$A934:$BO934,'Entry Builder'!$L$8)&gt;'Entry Builder'!$E$8)))</f>
        <v/>
      </c>
      <c r="C934">
        <f>IF('Entry Builder'!$N$9=0,1,IF('Entry Builder'!$D$9="Less",--(INDEX(Sims!$A934:$BO934,'Entry Builder'!$L$9)&lt;'Entry Builder'!$E$9),--(INDEX(Sims!$A934:$BO934,'Entry Builder'!$L$9)&gt;'Entry Builder'!$E$9)))</f>
        <v/>
      </c>
      <c r="D934">
        <f>IF('Entry Builder'!$N$10=0,1,IF('Entry Builder'!$D$10="Less",--(INDEX(Sims!$A934:$BO934,'Entry Builder'!$L$10)&lt;'Entry Builder'!$E$10),--(INDEX(Sims!$A934:$BO934,'Entry Builder'!$L$10)&gt;'Entry Builder'!$E$10)))</f>
        <v/>
      </c>
      <c r="E934">
        <f>IF('Entry Builder'!$N$11=0,1,IF('Entry Builder'!$D$11="Less",--(INDEX(Sims!$A934:$BO934,'Entry Builder'!$L$11)&lt;'Entry Builder'!$E$11),--(INDEX(Sims!$A934:$BO934,'Entry Builder'!$L$11)&gt;'Entry Builder'!$E$11)))</f>
        <v/>
      </c>
      <c r="F934">
        <f>IF('Entry Builder'!$N$12=0,1,IF('Entry Builder'!$D$12="Less",--(INDEX(Sims!$A934:$BO934,'Entry Builder'!$L$12)&lt;'Entry Builder'!$E$12),--(INDEX(Sims!$A934:$BO934,'Entry Builder'!$L$12)&gt;'Entry Builder'!$E$12)))</f>
        <v/>
      </c>
      <c r="G934">
        <f>6-SUM(A934:F934)</f>
        <v/>
      </c>
    </row>
    <row r="935">
      <c r="A935">
        <f>IF('Entry Builder'!$N$7=0,1,IF('Entry Builder'!$D$7="Less",--(INDEX(Sims!$A935:$BO935,'Entry Builder'!$L$7)&lt;'Entry Builder'!$E$7),--(INDEX(Sims!$A935:$BO935,'Entry Builder'!$L$7)&gt;'Entry Builder'!$E$7)))</f>
        <v/>
      </c>
      <c r="B935">
        <f>IF('Entry Builder'!$N$8=0,1,IF('Entry Builder'!$D$8="Less",--(INDEX(Sims!$A935:$BO935,'Entry Builder'!$L$8)&lt;'Entry Builder'!$E$8),--(INDEX(Sims!$A935:$BO935,'Entry Builder'!$L$8)&gt;'Entry Builder'!$E$8)))</f>
        <v/>
      </c>
      <c r="C935">
        <f>IF('Entry Builder'!$N$9=0,1,IF('Entry Builder'!$D$9="Less",--(INDEX(Sims!$A935:$BO935,'Entry Builder'!$L$9)&lt;'Entry Builder'!$E$9),--(INDEX(Sims!$A935:$BO935,'Entry Builder'!$L$9)&gt;'Entry Builder'!$E$9)))</f>
        <v/>
      </c>
      <c r="D935">
        <f>IF('Entry Builder'!$N$10=0,1,IF('Entry Builder'!$D$10="Less",--(INDEX(Sims!$A935:$BO935,'Entry Builder'!$L$10)&lt;'Entry Builder'!$E$10),--(INDEX(Sims!$A935:$BO935,'Entry Builder'!$L$10)&gt;'Entry Builder'!$E$10)))</f>
        <v/>
      </c>
      <c r="E935">
        <f>IF('Entry Builder'!$N$11=0,1,IF('Entry Builder'!$D$11="Less",--(INDEX(Sims!$A935:$BO935,'Entry Builder'!$L$11)&lt;'Entry Builder'!$E$11),--(INDEX(Sims!$A935:$BO935,'Entry Builder'!$L$11)&gt;'Entry Builder'!$E$11)))</f>
        <v/>
      </c>
      <c r="F935">
        <f>IF('Entry Builder'!$N$12=0,1,IF('Entry Builder'!$D$12="Less",--(INDEX(Sims!$A935:$BO935,'Entry Builder'!$L$12)&lt;'Entry Builder'!$E$12),--(INDEX(Sims!$A935:$BO935,'Entry Builder'!$L$12)&gt;'Entry Builder'!$E$12)))</f>
        <v/>
      </c>
      <c r="G935">
        <f>6-SUM(A935:F935)</f>
        <v/>
      </c>
    </row>
    <row r="936">
      <c r="A936">
        <f>IF('Entry Builder'!$N$7=0,1,IF('Entry Builder'!$D$7="Less",--(INDEX(Sims!$A936:$BO936,'Entry Builder'!$L$7)&lt;'Entry Builder'!$E$7),--(INDEX(Sims!$A936:$BO936,'Entry Builder'!$L$7)&gt;'Entry Builder'!$E$7)))</f>
        <v/>
      </c>
      <c r="B936">
        <f>IF('Entry Builder'!$N$8=0,1,IF('Entry Builder'!$D$8="Less",--(INDEX(Sims!$A936:$BO936,'Entry Builder'!$L$8)&lt;'Entry Builder'!$E$8),--(INDEX(Sims!$A936:$BO936,'Entry Builder'!$L$8)&gt;'Entry Builder'!$E$8)))</f>
        <v/>
      </c>
      <c r="C936">
        <f>IF('Entry Builder'!$N$9=0,1,IF('Entry Builder'!$D$9="Less",--(INDEX(Sims!$A936:$BO936,'Entry Builder'!$L$9)&lt;'Entry Builder'!$E$9),--(INDEX(Sims!$A936:$BO936,'Entry Builder'!$L$9)&gt;'Entry Builder'!$E$9)))</f>
        <v/>
      </c>
      <c r="D936">
        <f>IF('Entry Builder'!$N$10=0,1,IF('Entry Builder'!$D$10="Less",--(INDEX(Sims!$A936:$BO936,'Entry Builder'!$L$10)&lt;'Entry Builder'!$E$10),--(INDEX(Sims!$A936:$BO936,'Entry Builder'!$L$10)&gt;'Entry Builder'!$E$10)))</f>
        <v/>
      </c>
      <c r="E936">
        <f>IF('Entry Builder'!$N$11=0,1,IF('Entry Builder'!$D$11="Less",--(INDEX(Sims!$A936:$BO936,'Entry Builder'!$L$11)&lt;'Entry Builder'!$E$11),--(INDEX(Sims!$A936:$BO936,'Entry Builder'!$L$11)&gt;'Entry Builder'!$E$11)))</f>
        <v/>
      </c>
      <c r="F936">
        <f>IF('Entry Builder'!$N$12=0,1,IF('Entry Builder'!$D$12="Less",--(INDEX(Sims!$A936:$BO936,'Entry Builder'!$L$12)&lt;'Entry Builder'!$E$12),--(INDEX(Sims!$A936:$BO936,'Entry Builder'!$L$12)&gt;'Entry Builder'!$E$12)))</f>
        <v/>
      </c>
      <c r="G936">
        <f>6-SUM(A936:F936)</f>
        <v/>
      </c>
    </row>
    <row r="937">
      <c r="A937">
        <f>IF('Entry Builder'!$N$7=0,1,IF('Entry Builder'!$D$7="Less",--(INDEX(Sims!$A937:$BO937,'Entry Builder'!$L$7)&lt;'Entry Builder'!$E$7),--(INDEX(Sims!$A937:$BO937,'Entry Builder'!$L$7)&gt;'Entry Builder'!$E$7)))</f>
        <v/>
      </c>
      <c r="B937">
        <f>IF('Entry Builder'!$N$8=0,1,IF('Entry Builder'!$D$8="Less",--(INDEX(Sims!$A937:$BO937,'Entry Builder'!$L$8)&lt;'Entry Builder'!$E$8),--(INDEX(Sims!$A937:$BO937,'Entry Builder'!$L$8)&gt;'Entry Builder'!$E$8)))</f>
        <v/>
      </c>
      <c r="C937">
        <f>IF('Entry Builder'!$N$9=0,1,IF('Entry Builder'!$D$9="Less",--(INDEX(Sims!$A937:$BO937,'Entry Builder'!$L$9)&lt;'Entry Builder'!$E$9),--(INDEX(Sims!$A937:$BO937,'Entry Builder'!$L$9)&gt;'Entry Builder'!$E$9)))</f>
        <v/>
      </c>
      <c r="D937">
        <f>IF('Entry Builder'!$N$10=0,1,IF('Entry Builder'!$D$10="Less",--(INDEX(Sims!$A937:$BO937,'Entry Builder'!$L$10)&lt;'Entry Builder'!$E$10),--(INDEX(Sims!$A937:$BO937,'Entry Builder'!$L$10)&gt;'Entry Builder'!$E$10)))</f>
        <v/>
      </c>
      <c r="E937">
        <f>IF('Entry Builder'!$N$11=0,1,IF('Entry Builder'!$D$11="Less",--(INDEX(Sims!$A937:$BO937,'Entry Builder'!$L$11)&lt;'Entry Builder'!$E$11),--(INDEX(Sims!$A937:$BO937,'Entry Builder'!$L$11)&gt;'Entry Builder'!$E$11)))</f>
        <v/>
      </c>
      <c r="F937">
        <f>IF('Entry Builder'!$N$12=0,1,IF('Entry Builder'!$D$12="Less",--(INDEX(Sims!$A937:$BO937,'Entry Builder'!$L$12)&lt;'Entry Builder'!$E$12),--(INDEX(Sims!$A937:$BO937,'Entry Builder'!$L$12)&gt;'Entry Builder'!$E$12)))</f>
        <v/>
      </c>
      <c r="G937">
        <f>6-SUM(A937:F937)</f>
        <v/>
      </c>
    </row>
    <row r="938">
      <c r="A938">
        <f>IF('Entry Builder'!$N$7=0,1,IF('Entry Builder'!$D$7="Less",--(INDEX(Sims!$A938:$BO938,'Entry Builder'!$L$7)&lt;'Entry Builder'!$E$7),--(INDEX(Sims!$A938:$BO938,'Entry Builder'!$L$7)&gt;'Entry Builder'!$E$7)))</f>
        <v/>
      </c>
      <c r="B938">
        <f>IF('Entry Builder'!$N$8=0,1,IF('Entry Builder'!$D$8="Less",--(INDEX(Sims!$A938:$BO938,'Entry Builder'!$L$8)&lt;'Entry Builder'!$E$8),--(INDEX(Sims!$A938:$BO938,'Entry Builder'!$L$8)&gt;'Entry Builder'!$E$8)))</f>
        <v/>
      </c>
      <c r="C938">
        <f>IF('Entry Builder'!$N$9=0,1,IF('Entry Builder'!$D$9="Less",--(INDEX(Sims!$A938:$BO938,'Entry Builder'!$L$9)&lt;'Entry Builder'!$E$9),--(INDEX(Sims!$A938:$BO938,'Entry Builder'!$L$9)&gt;'Entry Builder'!$E$9)))</f>
        <v/>
      </c>
      <c r="D938">
        <f>IF('Entry Builder'!$N$10=0,1,IF('Entry Builder'!$D$10="Less",--(INDEX(Sims!$A938:$BO938,'Entry Builder'!$L$10)&lt;'Entry Builder'!$E$10),--(INDEX(Sims!$A938:$BO938,'Entry Builder'!$L$10)&gt;'Entry Builder'!$E$10)))</f>
        <v/>
      </c>
      <c r="E938">
        <f>IF('Entry Builder'!$N$11=0,1,IF('Entry Builder'!$D$11="Less",--(INDEX(Sims!$A938:$BO938,'Entry Builder'!$L$11)&lt;'Entry Builder'!$E$11),--(INDEX(Sims!$A938:$BO938,'Entry Builder'!$L$11)&gt;'Entry Builder'!$E$11)))</f>
        <v/>
      </c>
      <c r="F938">
        <f>IF('Entry Builder'!$N$12=0,1,IF('Entry Builder'!$D$12="Less",--(INDEX(Sims!$A938:$BO938,'Entry Builder'!$L$12)&lt;'Entry Builder'!$E$12),--(INDEX(Sims!$A938:$BO938,'Entry Builder'!$L$12)&gt;'Entry Builder'!$E$12)))</f>
        <v/>
      </c>
      <c r="G938">
        <f>6-SUM(A938:F938)</f>
        <v/>
      </c>
    </row>
    <row r="939">
      <c r="A939">
        <f>IF('Entry Builder'!$N$7=0,1,IF('Entry Builder'!$D$7="Less",--(INDEX(Sims!$A939:$BO939,'Entry Builder'!$L$7)&lt;'Entry Builder'!$E$7),--(INDEX(Sims!$A939:$BO939,'Entry Builder'!$L$7)&gt;'Entry Builder'!$E$7)))</f>
        <v/>
      </c>
      <c r="B939">
        <f>IF('Entry Builder'!$N$8=0,1,IF('Entry Builder'!$D$8="Less",--(INDEX(Sims!$A939:$BO939,'Entry Builder'!$L$8)&lt;'Entry Builder'!$E$8),--(INDEX(Sims!$A939:$BO939,'Entry Builder'!$L$8)&gt;'Entry Builder'!$E$8)))</f>
        <v/>
      </c>
      <c r="C939">
        <f>IF('Entry Builder'!$N$9=0,1,IF('Entry Builder'!$D$9="Less",--(INDEX(Sims!$A939:$BO939,'Entry Builder'!$L$9)&lt;'Entry Builder'!$E$9),--(INDEX(Sims!$A939:$BO939,'Entry Builder'!$L$9)&gt;'Entry Builder'!$E$9)))</f>
        <v/>
      </c>
      <c r="D939">
        <f>IF('Entry Builder'!$N$10=0,1,IF('Entry Builder'!$D$10="Less",--(INDEX(Sims!$A939:$BO939,'Entry Builder'!$L$10)&lt;'Entry Builder'!$E$10),--(INDEX(Sims!$A939:$BO939,'Entry Builder'!$L$10)&gt;'Entry Builder'!$E$10)))</f>
        <v/>
      </c>
      <c r="E939">
        <f>IF('Entry Builder'!$N$11=0,1,IF('Entry Builder'!$D$11="Less",--(INDEX(Sims!$A939:$BO939,'Entry Builder'!$L$11)&lt;'Entry Builder'!$E$11),--(INDEX(Sims!$A939:$BO939,'Entry Builder'!$L$11)&gt;'Entry Builder'!$E$11)))</f>
        <v/>
      </c>
      <c r="F939">
        <f>IF('Entry Builder'!$N$12=0,1,IF('Entry Builder'!$D$12="Less",--(INDEX(Sims!$A939:$BO939,'Entry Builder'!$L$12)&lt;'Entry Builder'!$E$12),--(INDEX(Sims!$A939:$BO939,'Entry Builder'!$L$12)&gt;'Entry Builder'!$E$12)))</f>
        <v/>
      </c>
      <c r="G939">
        <f>6-SUM(A939:F939)</f>
        <v/>
      </c>
    </row>
    <row r="940">
      <c r="A940">
        <f>IF('Entry Builder'!$N$7=0,1,IF('Entry Builder'!$D$7="Less",--(INDEX(Sims!$A940:$BO940,'Entry Builder'!$L$7)&lt;'Entry Builder'!$E$7),--(INDEX(Sims!$A940:$BO940,'Entry Builder'!$L$7)&gt;'Entry Builder'!$E$7)))</f>
        <v/>
      </c>
      <c r="B940">
        <f>IF('Entry Builder'!$N$8=0,1,IF('Entry Builder'!$D$8="Less",--(INDEX(Sims!$A940:$BO940,'Entry Builder'!$L$8)&lt;'Entry Builder'!$E$8),--(INDEX(Sims!$A940:$BO940,'Entry Builder'!$L$8)&gt;'Entry Builder'!$E$8)))</f>
        <v/>
      </c>
      <c r="C940">
        <f>IF('Entry Builder'!$N$9=0,1,IF('Entry Builder'!$D$9="Less",--(INDEX(Sims!$A940:$BO940,'Entry Builder'!$L$9)&lt;'Entry Builder'!$E$9),--(INDEX(Sims!$A940:$BO940,'Entry Builder'!$L$9)&gt;'Entry Builder'!$E$9)))</f>
        <v/>
      </c>
      <c r="D940">
        <f>IF('Entry Builder'!$N$10=0,1,IF('Entry Builder'!$D$10="Less",--(INDEX(Sims!$A940:$BO940,'Entry Builder'!$L$10)&lt;'Entry Builder'!$E$10),--(INDEX(Sims!$A940:$BO940,'Entry Builder'!$L$10)&gt;'Entry Builder'!$E$10)))</f>
        <v/>
      </c>
      <c r="E940">
        <f>IF('Entry Builder'!$N$11=0,1,IF('Entry Builder'!$D$11="Less",--(INDEX(Sims!$A940:$BO940,'Entry Builder'!$L$11)&lt;'Entry Builder'!$E$11),--(INDEX(Sims!$A940:$BO940,'Entry Builder'!$L$11)&gt;'Entry Builder'!$E$11)))</f>
        <v/>
      </c>
      <c r="F940">
        <f>IF('Entry Builder'!$N$12=0,1,IF('Entry Builder'!$D$12="Less",--(INDEX(Sims!$A940:$BO940,'Entry Builder'!$L$12)&lt;'Entry Builder'!$E$12),--(INDEX(Sims!$A940:$BO940,'Entry Builder'!$L$12)&gt;'Entry Builder'!$E$12)))</f>
        <v/>
      </c>
      <c r="G940">
        <f>6-SUM(A940:F940)</f>
        <v/>
      </c>
    </row>
    <row r="941">
      <c r="A941">
        <f>IF('Entry Builder'!$N$7=0,1,IF('Entry Builder'!$D$7="Less",--(INDEX(Sims!$A941:$BO941,'Entry Builder'!$L$7)&lt;'Entry Builder'!$E$7),--(INDEX(Sims!$A941:$BO941,'Entry Builder'!$L$7)&gt;'Entry Builder'!$E$7)))</f>
        <v/>
      </c>
      <c r="B941">
        <f>IF('Entry Builder'!$N$8=0,1,IF('Entry Builder'!$D$8="Less",--(INDEX(Sims!$A941:$BO941,'Entry Builder'!$L$8)&lt;'Entry Builder'!$E$8),--(INDEX(Sims!$A941:$BO941,'Entry Builder'!$L$8)&gt;'Entry Builder'!$E$8)))</f>
        <v/>
      </c>
      <c r="C941">
        <f>IF('Entry Builder'!$N$9=0,1,IF('Entry Builder'!$D$9="Less",--(INDEX(Sims!$A941:$BO941,'Entry Builder'!$L$9)&lt;'Entry Builder'!$E$9),--(INDEX(Sims!$A941:$BO941,'Entry Builder'!$L$9)&gt;'Entry Builder'!$E$9)))</f>
        <v/>
      </c>
      <c r="D941">
        <f>IF('Entry Builder'!$N$10=0,1,IF('Entry Builder'!$D$10="Less",--(INDEX(Sims!$A941:$BO941,'Entry Builder'!$L$10)&lt;'Entry Builder'!$E$10),--(INDEX(Sims!$A941:$BO941,'Entry Builder'!$L$10)&gt;'Entry Builder'!$E$10)))</f>
        <v/>
      </c>
      <c r="E941">
        <f>IF('Entry Builder'!$N$11=0,1,IF('Entry Builder'!$D$11="Less",--(INDEX(Sims!$A941:$BO941,'Entry Builder'!$L$11)&lt;'Entry Builder'!$E$11),--(INDEX(Sims!$A941:$BO941,'Entry Builder'!$L$11)&gt;'Entry Builder'!$E$11)))</f>
        <v/>
      </c>
      <c r="F941">
        <f>IF('Entry Builder'!$N$12=0,1,IF('Entry Builder'!$D$12="Less",--(INDEX(Sims!$A941:$BO941,'Entry Builder'!$L$12)&lt;'Entry Builder'!$E$12),--(INDEX(Sims!$A941:$BO941,'Entry Builder'!$L$12)&gt;'Entry Builder'!$E$12)))</f>
        <v/>
      </c>
      <c r="G941">
        <f>6-SUM(A941:F941)</f>
        <v/>
      </c>
    </row>
    <row r="942">
      <c r="A942">
        <f>IF('Entry Builder'!$N$7=0,1,IF('Entry Builder'!$D$7="Less",--(INDEX(Sims!$A942:$BO942,'Entry Builder'!$L$7)&lt;'Entry Builder'!$E$7),--(INDEX(Sims!$A942:$BO942,'Entry Builder'!$L$7)&gt;'Entry Builder'!$E$7)))</f>
        <v/>
      </c>
      <c r="B942">
        <f>IF('Entry Builder'!$N$8=0,1,IF('Entry Builder'!$D$8="Less",--(INDEX(Sims!$A942:$BO942,'Entry Builder'!$L$8)&lt;'Entry Builder'!$E$8),--(INDEX(Sims!$A942:$BO942,'Entry Builder'!$L$8)&gt;'Entry Builder'!$E$8)))</f>
        <v/>
      </c>
      <c r="C942">
        <f>IF('Entry Builder'!$N$9=0,1,IF('Entry Builder'!$D$9="Less",--(INDEX(Sims!$A942:$BO942,'Entry Builder'!$L$9)&lt;'Entry Builder'!$E$9),--(INDEX(Sims!$A942:$BO942,'Entry Builder'!$L$9)&gt;'Entry Builder'!$E$9)))</f>
        <v/>
      </c>
      <c r="D942">
        <f>IF('Entry Builder'!$N$10=0,1,IF('Entry Builder'!$D$10="Less",--(INDEX(Sims!$A942:$BO942,'Entry Builder'!$L$10)&lt;'Entry Builder'!$E$10),--(INDEX(Sims!$A942:$BO942,'Entry Builder'!$L$10)&gt;'Entry Builder'!$E$10)))</f>
        <v/>
      </c>
      <c r="E942">
        <f>IF('Entry Builder'!$N$11=0,1,IF('Entry Builder'!$D$11="Less",--(INDEX(Sims!$A942:$BO942,'Entry Builder'!$L$11)&lt;'Entry Builder'!$E$11),--(INDEX(Sims!$A942:$BO942,'Entry Builder'!$L$11)&gt;'Entry Builder'!$E$11)))</f>
        <v/>
      </c>
      <c r="F942">
        <f>IF('Entry Builder'!$N$12=0,1,IF('Entry Builder'!$D$12="Less",--(INDEX(Sims!$A942:$BO942,'Entry Builder'!$L$12)&lt;'Entry Builder'!$E$12),--(INDEX(Sims!$A942:$BO942,'Entry Builder'!$L$12)&gt;'Entry Builder'!$E$12)))</f>
        <v/>
      </c>
      <c r="G942">
        <f>6-SUM(A942:F942)</f>
        <v/>
      </c>
    </row>
    <row r="943">
      <c r="A943">
        <f>IF('Entry Builder'!$N$7=0,1,IF('Entry Builder'!$D$7="Less",--(INDEX(Sims!$A943:$BO943,'Entry Builder'!$L$7)&lt;'Entry Builder'!$E$7),--(INDEX(Sims!$A943:$BO943,'Entry Builder'!$L$7)&gt;'Entry Builder'!$E$7)))</f>
        <v/>
      </c>
      <c r="B943">
        <f>IF('Entry Builder'!$N$8=0,1,IF('Entry Builder'!$D$8="Less",--(INDEX(Sims!$A943:$BO943,'Entry Builder'!$L$8)&lt;'Entry Builder'!$E$8),--(INDEX(Sims!$A943:$BO943,'Entry Builder'!$L$8)&gt;'Entry Builder'!$E$8)))</f>
        <v/>
      </c>
      <c r="C943">
        <f>IF('Entry Builder'!$N$9=0,1,IF('Entry Builder'!$D$9="Less",--(INDEX(Sims!$A943:$BO943,'Entry Builder'!$L$9)&lt;'Entry Builder'!$E$9),--(INDEX(Sims!$A943:$BO943,'Entry Builder'!$L$9)&gt;'Entry Builder'!$E$9)))</f>
        <v/>
      </c>
      <c r="D943">
        <f>IF('Entry Builder'!$N$10=0,1,IF('Entry Builder'!$D$10="Less",--(INDEX(Sims!$A943:$BO943,'Entry Builder'!$L$10)&lt;'Entry Builder'!$E$10),--(INDEX(Sims!$A943:$BO943,'Entry Builder'!$L$10)&gt;'Entry Builder'!$E$10)))</f>
        <v/>
      </c>
      <c r="E943">
        <f>IF('Entry Builder'!$N$11=0,1,IF('Entry Builder'!$D$11="Less",--(INDEX(Sims!$A943:$BO943,'Entry Builder'!$L$11)&lt;'Entry Builder'!$E$11),--(INDEX(Sims!$A943:$BO943,'Entry Builder'!$L$11)&gt;'Entry Builder'!$E$11)))</f>
        <v/>
      </c>
      <c r="F943">
        <f>IF('Entry Builder'!$N$12=0,1,IF('Entry Builder'!$D$12="Less",--(INDEX(Sims!$A943:$BO943,'Entry Builder'!$L$12)&lt;'Entry Builder'!$E$12),--(INDEX(Sims!$A943:$BO943,'Entry Builder'!$L$12)&gt;'Entry Builder'!$E$12)))</f>
        <v/>
      </c>
      <c r="G943">
        <f>6-SUM(A943:F943)</f>
        <v/>
      </c>
    </row>
    <row r="944">
      <c r="A944">
        <f>IF('Entry Builder'!$N$7=0,1,IF('Entry Builder'!$D$7="Less",--(INDEX(Sims!$A944:$BO944,'Entry Builder'!$L$7)&lt;'Entry Builder'!$E$7),--(INDEX(Sims!$A944:$BO944,'Entry Builder'!$L$7)&gt;'Entry Builder'!$E$7)))</f>
        <v/>
      </c>
      <c r="B944">
        <f>IF('Entry Builder'!$N$8=0,1,IF('Entry Builder'!$D$8="Less",--(INDEX(Sims!$A944:$BO944,'Entry Builder'!$L$8)&lt;'Entry Builder'!$E$8),--(INDEX(Sims!$A944:$BO944,'Entry Builder'!$L$8)&gt;'Entry Builder'!$E$8)))</f>
        <v/>
      </c>
      <c r="C944">
        <f>IF('Entry Builder'!$N$9=0,1,IF('Entry Builder'!$D$9="Less",--(INDEX(Sims!$A944:$BO944,'Entry Builder'!$L$9)&lt;'Entry Builder'!$E$9),--(INDEX(Sims!$A944:$BO944,'Entry Builder'!$L$9)&gt;'Entry Builder'!$E$9)))</f>
        <v/>
      </c>
      <c r="D944">
        <f>IF('Entry Builder'!$N$10=0,1,IF('Entry Builder'!$D$10="Less",--(INDEX(Sims!$A944:$BO944,'Entry Builder'!$L$10)&lt;'Entry Builder'!$E$10),--(INDEX(Sims!$A944:$BO944,'Entry Builder'!$L$10)&gt;'Entry Builder'!$E$10)))</f>
        <v/>
      </c>
      <c r="E944">
        <f>IF('Entry Builder'!$N$11=0,1,IF('Entry Builder'!$D$11="Less",--(INDEX(Sims!$A944:$BO944,'Entry Builder'!$L$11)&lt;'Entry Builder'!$E$11),--(INDEX(Sims!$A944:$BO944,'Entry Builder'!$L$11)&gt;'Entry Builder'!$E$11)))</f>
        <v/>
      </c>
      <c r="F944">
        <f>IF('Entry Builder'!$N$12=0,1,IF('Entry Builder'!$D$12="Less",--(INDEX(Sims!$A944:$BO944,'Entry Builder'!$L$12)&lt;'Entry Builder'!$E$12),--(INDEX(Sims!$A944:$BO944,'Entry Builder'!$L$12)&gt;'Entry Builder'!$E$12)))</f>
        <v/>
      </c>
      <c r="G944">
        <f>6-SUM(A944:F944)</f>
        <v/>
      </c>
    </row>
    <row r="945">
      <c r="A945">
        <f>IF('Entry Builder'!$N$7=0,1,IF('Entry Builder'!$D$7="Less",--(INDEX(Sims!$A945:$BO945,'Entry Builder'!$L$7)&lt;'Entry Builder'!$E$7),--(INDEX(Sims!$A945:$BO945,'Entry Builder'!$L$7)&gt;'Entry Builder'!$E$7)))</f>
        <v/>
      </c>
      <c r="B945">
        <f>IF('Entry Builder'!$N$8=0,1,IF('Entry Builder'!$D$8="Less",--(INDEX(Sims!$A945:$BO945,'Entry Builder'!$L$8)&lt;'Entry Builder'!$E$8),--(INDEX(Sims!$A945:$BO945,'Entry Builder'!$L$8)&gt;'Entry Builder'!$E$8)))</f>
        <v/>
      </c>
      <c r="C945">
        <f>IF('Entry Builder'!$N$9=0,1,IF('Entry Builder'!$D$9="Less",--(INDEX(Sims!$A945:$BO945,'Entry Builder'!$L$9)&lt;'Entry Builder'!$E$9),--(INDEX(Sims!$A945:$BO945,'Entry Builder'!$L$9)&gt;'Entry Builder'!$E$9)))</f>
        <v/>
      </c>
      <c r="D945">
        <f>IF('Entry Builder'!$N$10=0,1,IF('Entry Builder'!$D$10="Less",--(INDEX(Sims!$A945:$BO945,'Entry Builder'!$L$10)&lt;'Entry Builder'!$E$10),--(INDEX(Sims!$A945:$BO945,'Entry Builder'!$L$10)&gt;'Entry Builder'!$E$10)))</f>
        <v/>
      </c>
      <c r="E945">
        <f>IF('Entry Builder'!$N$11=0,1,IF('Entry Builder'!$D$11="Less",--(INDEX(Sims!$A945:$BO945,'Entry Builder'!$L$11)&lt;'Entry Builder'!$E$11),--(INDEX(Sims!$A945:$BO945,'Entry Builder'!$L$11)&gt;'Entry Builder'!$E$11)))</f>
        <v/>
      </c>
      <c r="F945">
        <f>IF('Entry Builder'!$N$12=0,1,IF('Entry Builder'!$D$12="Less",--(INDEX(Sims!$A945:$BO945,'Entry Builder'!$L$12)&lt;'Entry Builder'!$E$12),--(INDEX(Sims!$A945:$BO945,'Entry Builder'!$L$12)&gt;'Entry Builder'!$E$12)))</f>
        <v/>
      </c>
      <c r="G945">
        <f>6-SUM(A945:F945)</f>
        <v/>
      </c>
    </row>
    <row r="946">
      <c r="A946">
        <f>IF('Entry Builder'!$N$7=0,1,IF('Entry Builder'!$D$7="Less",--(INDEX(Sims!$A946:$BO946,'Entry Builder'!$L$7)&lt;'Entry Builder'!$E$7),--(INDEX(Sims!$A946:$BO946,'Entry Builder'!$L$7)&gt;'Entry Builder'!$E$7)))</f>
        <v/>
      </c>
      <c r="B946">
        <f>IF('Entry Builder'!$N$8=0,1,IF('Entry Builder'!$D$8="Less",--(INDEX(Sims!$A946:$BO946,'Entry Builder'!$L$8)&lt;'Entry Builder'!$E$8),--(INDEX(Sims!$A946:$BO946,'Entry Builder'!$L$8)&gt;'Entry Builder'!$E$8)))</f>
        <v/>
      </c>
      <c r="C946">
        <f>IF('Entry Builder'!$N$9=0,1,IF('Entry Builder'!$D$9="Less",--(INDEX(Sims!$A946:$BO946,'Entry Builder'!$L$9)&lt;'Entry Builder'!$E$9),--(INDEX(Sims!$A946:$BO946,'Entry Builder'!$L$9)&gt;'Entry Builder'!$E$9)))</f>
        <v/>
      </c>
      <c r="D946">
        <f>IF('Entry Builder'!$N$10=0,1,IF('Entry Builder'!$D$10="Less",--(INDEX(Sims!$A946:$BO946,'Entry Builder'!$L$10)&lt;'Entry Builder'!$E$10),--(INDEX(Sims!$A946:$BO946,'Entry Builder'!$L$10)&gt;'Entry Builder'!$E$10)))</f>
        <v/>
      </c>
      <c r="E946">
        <f>IF('Entry Builder'!$N$11=0,1,IF('Entry Builder'!$D$11="Less",--(INDEX(Sims!$A946:$BO946,'Entry Builder'!$L$11)&lt;'Entry Builder'!$E$11),--(INDEX(Sims!$A946:$BO946,'Entry Builder'!$L$11)&gt;'Entry Builder'!$E$11)))</f>
        <v/>
      </c>
      <c r="F946">
        <f>IF('Entry Builder'!$N$12=0,1,IF('Entry Builder'!$D$12="Less",--(INDEX(Sims!$A946:$BO946,'Entry Builder'!$L$12)&lt;'Entry Builder'!$E$12),--(INDEX(Sims!$A946:$BO946,'Entry Builder'!$L$12)&gt;'Entry Builder'!$E$12)))</f>
        <v/>
      </c>
      <c r="G946">
        <f>6-SUM(A946:F946)</f>
        <v/>
      </c>
    </row>
    <row r="947">
      <c r="A947">
        <f>IF('Entry Builder'!$N$7=0,1,IF('Entry Builder'!$D$7="Less",--(INDEX(Sims!$A947:$BO947,'Entry Builder'!$L$7)&lt;'Entry Builder'!$E$7),--(INDEX(Sims!$A947:$BO947,'Entry Builder'!$L$7)&gt;'Entry Builder'!$E$7)))</f>
        <v/>
      </c>
      <c r="B947">
        <f>IF('Entry Builder'!$N$8=0,1,IF('Entry Builder'!$D$8="Less",--(INDEX(Sims!$A947:$BO947,'Entry Builder'!$L$8)&lt;'Entry Builder'!$E$8),--(INDEX(Sims!$A947:$BO947,'Entry Builder'!$L$8)&gt;'Entry Builder'!$E$8)))</f>
        <v/>
      </c>
      <c r="C947">
        <f>IF('Entry Builder'!$N$9=0,1,IF('Entry Builder'!$D$9="Less",--(INDEX(Sims!$A947:$BO947,'Entry Builder'!$L$9)&lt;'Entry Builder'!$E$9),--(INDEX(Sims!$A947:$BO947,'Entry Builder'!$L$9)&gt;'Entry Builder'!$E$9)))</f>
        <v/>
      </c>
      <c r="D947">
        <f>IF('Entry Builder'!$N$10=0,1,IF('Entry Builder'!$D$10="Less",--(INDEX(Sims!$A947:$BO947,'Entry Builder'!$L$10)&lt;'Entry Builder'!$E$10),--(INDEX(Sims!$A947:$BO947,'Entry Builder'!$L$10)&gt;'Entry Builder'!$E$10)))</f>
        <v/>
      </c>
      <c r="E947">
        <f>IF('Entry Builder'!$N$11=0,1,IF('Entry Builder'!$D$11="Less",--(INDEX(Sims!$A947:$BO947,'Entry Builder'!$L$11)&lt;'Entry Builder'!$E$11),--(INDEX(Sims!$A947:$BO947,'Entry Builder'!$L$11)&gt;'Entry Builder'!$E$11)))</f>
        <v/>
      </c>
      <c r="F947">
        <f>IF('Entry Builder'!$N$12=0,1,IF('Entry Builder'!$D$12="Less",--(INDEX(Sims!$A947:$BO947,'Entry Builder'!$L$12)&lt;'Entry Builder'!$E$12),--(INDEX(Sims!$A947:$BO947,'Entry Builder'!$L$12)&gt;'Entry Builder'!$E$12)))</f>
        <v/>
      </c>
      <c r="G947">
        <f>6-SUM(A947:F947)</f>
        <v/>
      </c>
    </row>
    <row r="948">
      <c r="A948">
        <f>IF('Entry Builder'!$N$7=0,1,IF('Entry Builder'!$D$7="Less",--(INDEX(Sims!$A948:$BO948,'Entry Builder'!$L$7)&lt;'Entry Builder'!$E$7),--(INDEX(Sims!$A948:$BO948,'Entry Builder'!$L$7)&gt;'Entry Builder'!$E$7)))</f>
        <v/>
      </c>
      <c r="B948">
        <f>IF('Entry Builder'!$N$8=0,1,IF('Entry Builder'!$D$8="Less",--(INDEX(Sims!$A948:$BO948,'Entry Builder'!$L$8)&lt;'Entry Builder'!$E$8),--(INDEX(Sims!$A948:$BO948,'Entry Builder'!$L$8)&gt;'Entry Builder'!$E$8)))</f>
        <v/>
      </c>
      <c r="C948">
        <f>IF('Entry Builder'!$N$9=0,1,IF('Entry Builder'!$D$9="Less",--(INDEX(Sims!$A948:$BO948,'Entry Builder'!$L$9)&lt;'Entry Builder'!$E$9),--(INDEX(Sims!$A948:$BO948,'Entry Builder'!$L$9)&gt;'Entry Builder'!$E$9)))</f>
        <v/>
      </c>
      <c r="D948">
        <f>IF('Entry Builder'!$N$10=0,1,IF('Entry Builder'!$D$10="Less",--(INDEX(Sims!$A948:$BO948,'Entry Builder'!$L$10)&lt;'Entry Builder'!$E$10),--(INDEX(Sims!$A948:$BO948,'Entry Builder'!$L$10)&gt;'Entry Builder'!$E$10)))</f>
        <v/>
      </c>
      <c r="E948">
        <f>IF('Entry Builder'!$N$11=0,1,IF('Entry Builder'!$D$11="Less",--(INDEX(Sims!$A948:$BO948,'Entry Builder'!$L$11)&lt;'Entry Builder'!$E$11),--(INDEX(Sims!$A948:$BO948,'Entry Builder'!$L$11)&gt;'Entry Builder'!$E$11)))</f>
        <v/>
      </c>
      <c r="F948">
        <f>IF('Entry Builder'!$N$12=0,1,IF('Entry Builder'!$D$12="Less",--(INDEX(Sims!$A948:$BO948,'Entry Builder'!$L$12)&lt;'Entry Builder'!$E$12),--(INDEX(Sims!$A948:$BO948,'Entry Builder'!$L$12)&gt;'Entry Builder'!$E$12)))</f>
        <v/>
      </c>
      <c r="G948">
        <f>6-SUM(A948:F948)</f>
        <v/>
      </c>
    </row>
    <row r="949">
      <c r="A949">
        <f>IF('Entry Builder'!$N$7=0,1,IF('Entry Builder'!$D$7="Less",--(INDEX(Sims!$A949:$BO949,'Entry Builder'!$L$7)&lt;'Entry Builder'!$E$7),--(INDEX(Sims!$A949:$BO949,'Entry Builder'!$L$7)&gt;'Entry Builder'!$E$7)))</f>
        <v/>
      </c>
      <c r="B949">
        <f>IF('Entry Builder'!$N$8=0,1,IF('Entry Builder'!$D$8="Less",--(INDEX(Sims!$A949:$BO949,'Entry Builder'!$L$8)&lt;'Entry Builder'!$E$8),--(INDEX(Sims!$A949:$BO949,'Entry Builder'!$L$8)&gt;'Entry Builder'!$E$8)))</f>
        <v/>
      </c>
      <c r="C949">
        <f>IF('Entry Builder'!$N$9=0,1,IF('Entry Builder'!$D$9="Less",--(INDEX(Sims!$A949:$BO949,'Entry Builder'!$L$9)&lt;'Entry Builder'!$E$9),--(INDEX(Sims!$A949:$BO949,'Entry Builder'!$L$9)&gt;'Entry Builder'!$E$9)))</f>
        <v/>
      </c>
      <c r="D949">
        <f>IF('Entry Builder'!$N$10=0,1,IF('Entry Builder'!$D$10="Less",--(INDEX(Sims!$A949:$BO949,'Entry Builder'!$L$10)&lt;'Entry Builder'!$E$10),--(INDEX(Sims!$A949:$BO949,'Entry Builder'!$L$10)&gt;'Entry Builder'!$E$10)))</f>
        <v/>
      </c>
      <c r="E949">
        <f>IF('Entry Builder'!$N$11=0,1,IF('Entry Builder'!$D$11="Less",--(INDEX(Sims!$A949:$BO949,'Entry Builder'!$L$11)&lt;'Entry Builder'!$E$11),--(INDEX(Sims!$A949:$BO949,'Entry Builder'!$L$11)&gt;'Entry Builder'!$E$11)))</f>
        <v/>
      </c>
      <c r="F949">
        <f>IF('Entry Builder'!$N$12=0,1,IF('Entry Builder'!$D$12="Less",--(INDEX(Sims!$A949:$BO949,'Entry Builder'!$L$12)&lt;'Entry Builder'!$E$12),--(INDEX(Sims!$A949:$BO949,'Entry Builder'!$L$12)&gt;'Entry Builder'!$E$12)))</f>
        <v/>
      </c>
      <c r="G949">
        <f>6-SUM(A949:F949)</f>
        <v/>
      </c>
    </row>
    <row r="950">
      <c r="A950">
        <f>IF('Entry Builder'!$N$7=0,1,IF('Entry Builder'!$D$7="Less",--(INDEX(Sims!$A950:$BO950,'Entry Builder'!$L$7)&lt;'Entry Builder'!$E$7),--(INDEX(Sims!$A950:$BO950,'Entry Builder'!$L$7)&gt;'Entry Builder'!$E$7)))</f>
        <v/>
      </c>
      <c r="B950">
        <f>IF('Entry Builder'!$N$8=0,1,IF('Entry Builder'!$D$8="Less",--(INDEX(Sims!$A950:$BO950,'Entry Builder'!$L$8)&lt;'Entry Builder'!$E$8),--(INDEX(Sims!$A950:$BO950,'Entry Builder'!$L$8)&gt;'Entry Builder'!$E$8)))</f>
        <v/>
      </c>
      <c r="C950">
        <f>IF('Entry Builder'!$N$9=0,1,IF('Entry Builder'!$D$9="Less",--(INDEX(Sims!$A950:$BO950,'Entry Builder'!$L$9)&lt;'Entry Builder'!$E$9),--(INDEX(Sims!$A950:$BO950,'Entry Builder'!$L$9)&gt;'Entry Builder'!$E$9)))</f>
        <v/>
      </c>
      <c r="D950">
        <f>IF('Entry Builder'!$N$10=0,1,IF('Entry Builder'!$D$10="Less",--(INDEX(Sims!$A950:$BO950,'Entry Builder'!$L$10)&lt;'Entry Builder'!$E$10),--(INDEX(Sims!$A950:$BO950,'Entry Builder'!$L$10)&gt;'Entry Builder'!$E$10)))</f>
        <v/>
      </c>
      <c r="E950">
        <f>IF('Entry Builder'!$N$11=0,1,IF('Entry Builder'!$D$11="Less",--(INDEX(Sims!$A950:$BO950,'Entry Builder'!$L$11)&lt;'Entry Builder'!$E$11),--(INDEX(Sims!$A950:$BO950,'Entry Builder'!$L$11)&gt;'Entry Builder'!$E$11)))</f>
        <v/>
      </c>
      <c r="F950">
        <f>IF('Entry Builder'!$N$12=0,1,IF('Entry Builder'!$D$12="Less",--(INDEX(Sims!$A950:$BO950,'Entry Builder'!$L$12)&lt;'Entry Builder'!$E$12),--(INDEX(Sims!$A950:$BO950,'Entry Builder'!$L$12)&gt;'Entry Builder'!$E$12)))</f>
        <v/>
      </c>
      <c r="G950">
        <f>6-SUM(A950:F950)</f>
        <v/>
      </c>
    </row>
    <row r="951">
      <c r="A951">
        <f>IF('Entry Builder'!$N$7=0,1,IF('Entry Builder'!$D$7="Less",--(INDEX(Sims!$A951:$BO951,'Entry Builder'!$L$7)&lt;'Entry Builder'!$E$7),--(INDEX(Sims!$A951:$BO951,'Entry Builder'!$L$7)&gt;'Entry Builder'!$E$7)))</f>
        <v/>
      </c>
      <c r="B951">
        <f>IF('Entry Builder'!$N$8=0,1,IF('Entry Builder'!$D$8="Less",--(INDEX(Sims!$A951:$BO951,'Entry Builder'!$L$8)&lt;'Entry Builder'!$E$8),--(INDEX(Sims!$A951:$BO951,'Entry Builder'!$L$8)&gt;'Entry Builder'!$E$8)))</f>
        <v/>
      </c>
      <c r="C951">
        <f>IF('Entry Builder'!$N$9=0,1,IF('Entry Builder'!$D$9="Less",--(INDEX(Sims!$A951:$BO951,'Entry Builder'!$L$9)&lt;'Entry Builder'!$E$9),--(INDEX(Sims!$A951:$BO951,'Entry Builder'!$L$9)&gt;'Entry Builder'!$E$9)))</f>
        <v/>
      </c>
      <c r="D951">
        <f>IF('Entry Builder'!$N$10=0,1,IF('Entry Builder'!$D$10="Less",--(INDEX(Sims!$A951:$BO951,'Entry Builder'!$L$10)&lt;'Entry Builder'!$E$10),--(INDEX(Sims!$A951:$BO951,'Entry Builder'!$L$10)&gt;'Entry Builder'!$E$10)))</f>
        <v/>
      </c>
      <c r="E951">
        <f>IF('Entry Builder'!$N$11=0,1,IF('Entry Builder'!$D$11="Less",--(INDEX(Sims!$A951:$BO951,'Entry Builder'!$L$11)&lt;'Entry Builder'!$E$11),--(INDEX(Sims!$A951:$BO951,'Entry Builder'!$L$11)&gt;'Entry Builder'!$E$11)))</f>
        <v/>
      </c>
      <c r="F951">
        <f>IF('Entry Builder'!$N$12=0,1,IF('Entry Builder'!$D$12="Less",--(INDEX(Sims!$A951:$BO951,'Entry Builder'!$L$12)&lt;'Entry Builder'!$E$12),--(INDEX(Sims!$A951:$BO951,'Entry Builder'!$L$12)&gt;'Entry Builder'!$E$12)))</f>
        <v/>
      </c>
      <c r="G951">
        <f>6-SUM(A951:F951)</f>
        <v/>
      </c>
    </row>
    <row r="952">
      <c r="A952">
        <f>IF('Entry Builder'!$N$7=0,1,IF('Entry Builder'!$D$7="Less",--(INDEX(Sims!$A952:$BO952,'Entry Builder'!$L$7)&lt;'Entry Builder'!$E$7),--(INDEX(Sims!$A952:$BO952,'Entry Builder'!$L$7)&gt;'Entry Builder'!$E$7)))</f>
        <v/>
      </c>
      <c r="B952">
        <f>IF('Entry Builder'!$N$8=0,1,IF('Entry Builder'!$D$8="Less",--(INDEX(Sims!$A952:$BO952,'Entry Builder'!$L$8)&lt;'Entry Builder'!$E$8),--(INDEX(Sims!$A952:$BO952,'Entry Builder'!$L$8)&gt;'Entry Builder'!$E$8)))</f>
        <v/>
      </c>
      <c r="C952">
        <f>IF('Entry Builder'!$N$9=0,1,IF('Entry Builder'!$D$9="Less",--(INDEX(Sims!$A952:$BO952,'Entry Builder'!$L$9)&lt;'Entry Builder'!$E$9),--(INDEX(Sims!$A952:$BO952,'Entry Builder'!$L$9)&gt;'Entry Builder'!$E$9)))</f>
        <v/>
      </c>
      <c r="D952">
        <f>IF('Entry Builder'!$N$10=0,1,IF('Entry Builder'!$D$10="Less",--(INDEX(Sims!$A952:$BO952,'Entry Builder'!$L$10)&lt;'Entry Builder'!$E$10),--(INDEX(Sims!$A952:$BO952,'Entry Builder'!$L$10)&gt;'Entry Builder'!$E$10)))</f>
        <v/>
      </c>
      <c r="E952">
        <f>IF('Entry Builder'!$N$11=0,1,IF('Entry Builder'!$D$11="Less",--(INDEX(Sims!$A952:$BO952,'Entry Builder'!$L$11)&lt;'Entry Builder'!$E$11),--(INDEX(Sims!$A952:$BO952,'Entry Builder'!$L$11)&gt;'Entry Builder'!$E$11)))</f>
        <v/>
      </c>
      <c r="F952">
        <f>IF('Entry Builder'!$N$12=0,1,IF('Entry Builder'!$D$12="Less",--(INDEX(Sims!$A952:$BO952,'Entry Builder'!$L$12)&lt;'Entry Builder'!$E$12),--(INDEX(Sims!$A952:$BO952,'Entry Builder'!$L$12)&gt;'Entry Builder'!$E$12)))</f>
        <v/>
      </c>
      <c r="G952">
        <f>6-SUM(A952:F952)</f>
        <v/>
      </c>
    </row>
    <row r="953">
      <c r="A953">
        <f>IF('Entry Builder'!$N$7=0,1,IF('Entry Builder'!$D$7="Less",--(INDEX(Sims!$A953:$BO953,'Entry Builder'!$L$7)&lt;'Entry Builder'!$E$7),--(INDEX(Sims!$A953:$BO953,'Entry Builder'!$L$7)&gt;'Entry Builder'!$E$7)))</f>
        <v/>
      </c>
      <c r="B953">
        <f>IF('Entry Builder'!$N$8=0,1,IF('Entry Builder'!$D$8="Less",--(INDEX(Sims!$A953:$BO953,'Entry Builder'!$L$8)&lt;'Entry Builder'!$E$8),--(INDEX(Sims!$A953:$BO953,'Entry Builder'!$L$8)&gt;'Entry Builder'!$E$8)))</f>
        <v/>
      </c>
      <c r="C953">
        <f>IF('Entry Builder'!$N$9=0,1,IF('Entry Builder'!$D$9="Less",--(INDEX(Sims!$A953:$BO953,'Entry Builder'!$L$9)&lt;'Entry Builder'!$E$9),--(INDEX(Sims!$A953:$BO953,'Entry Builder'!$L$9)&gt;'Entry Builder'!$E$9)))</f>
        <v/>
      </c>
      <c r="D953">
        <f>IF('Entry Builder'!$N$10=0,1,IF('Entry Builder'!$D$10="Less",--(INDEX(Sims!$A953:$BO953,'Entry Builder'!$L$10)&lt;'Entry Builder'!$E$10),--(INDEX(Sims!$A953:$BO953,'Entry Builder'!$L$10)&gt;'Entry Builder'!$E$10)))</f>
        <v/>
      </c>
      <c r="E953">
        <f>IF('Entry Builder'!$N$11=0,1,IF('Entry Builder'!$D$11="Less",--(INDEX(Sims!$A953:$BO953,'Entry Builder'!$L$11)&lt;'Entry Builder'!$E$11),--(INDEX(Sims!$A953:$BO953,'Entry Builder'!$L$11)&gt;'Entry Builder'!$E$11)))</f>
        <v/>
      </c>
      <c r="F953">
        <f>IF('Entry Builder'!$N$12=0,1,IF('Entry Builder'!$D$12="Less",--(INDEX(Sims!$A953:$BO953,'Entry Builder'!$L$12)&lt;'Entry Builder'!$E$12),--(INDEX(Sims!$A953:$BO953,'Entry Builder'!$L$12)&gt;'Entry Builder'!$E$12)))</f>
        <v/>
      </c>
      <c r="G953">
        <f>6-SUM(A953:F953)</f>
        <v/>
      </c>
    </row>
    <row r="954">
      <c r="A954">
        <f>IF('Entry Builder'!$N$7=0,1,IF('Entry Builder'!$D$7="Less",--(INDEX(Sims!$A954:$BO954,'Entry Builder'!$L$7)&lt;'Entry Builder'!$E$7),--(INDEX(Sims!$A954:$BO954,'Entry Builder'!$L$7)&gt;'Entry Builder'!$E$7)))</f>
        <v/>
      </c>
      <c r="B954">
        <f>IF('Entry Builder'!$N$8=0,1,IF('Entry Builder'!$D$8="Less",--(INDEX(Sims!$A954:$BO954,'Entry Builder'!$L$8)&lt;'Entry Builder'!$E$8),--(INDEX(Sims!$A954:$BO954,'Entry Builder'!$L$8)&gt;'Entry Builder'!$E$8)))</f>
        <v/>
      </c>
      <c r="C954">
        <f>IF('Entry Builder'!$N$9=0,1,IF('Entry Builder'!$D$9="Less",--(INDEX(Sims!$A954:$BO954,'Entry Builder'!$L$9)&lt;'Entry Builder'!$E$9),--(INDEX(Sims!$A954:$BO954,'Entry Builder'!$L$9)&gt;'Entry Builder'!$E$9)))</f>
        <v/>
      </c>
      <c r="D954">
        <f>IF('Entry Builder'!$N$10=0,1,IF('Entry Builder'!$D$10="Less",--(INDEX(Sims!$A954:$BO954,'Entry Builder'!$L$10)&lt;'Entry Builder'!$E$10),--(INDEX(Sims!$A954:$BO954,'Entry Builder'!$L$10)&gt;'Entry Builder'!$E$10)))</f>
        <v/>
      </c>
      <c r="E954">
        <f>IF('Entry Builder'!$N$11=0,1,IF('Entry Builder'!$D$11="Less",--(INDEX(Sims!$A954:$BO954,'Entry Builder'!$L$11)&lt;'Entry Builder'!$E$11),--(INDEX(Sims!$A954:$BO954,'Entry Builder'!$L$11)&gt;'Entry Builder'!$E$11)))</f>
        <v/>
      </c>
      <c r="F954">
        <f>IF('Entry Builder'!$N$12=0,1,IF('Entry Builder'!$D$12="Less",--(INDEX(Sims!$A954:$BO954,'Entry Builder'!$L$12)&lt;'Entry Builder'!$E$12),--(INDEX(Sims!$A954:$BO954,'Entry Builder'!$L$12)&gt;'Entry Builder'!$E$12)))</f>
        <v/>
      </c>
      <c r="G954">
        <f>6-SUM(A954:F954)</f>
        <v/>
      </c>
    </row>
    <row r="955">
      <c r="A955">
        <f>IF('Entry Builder'!$N$7=0,1,IF('Entry Builder'!$D$7="Less",--(INDEX(Sims!$A955:$BO955,'Entry Builder'!$L$7)&lt;'Entry Builder'!$E$7),--(INDEX(Sims!$A955:$BO955,'Entry Builder'!$L$7)&gt;'Entry Builder'!$E$7)))</f>
        <v/>
      </c>
      <c r="B955">
        <f>IF('Entry Builder'!$N$8=0,1,IF('Entry Builder'!$D$8="Less",--(INDEX(Sims!$A955:$BO955,'Entry Builder'!$L$8)&lt;'Entry Builder'!$E$8),--(INDEX(Sims!$A955:$BO955,'Entry Builder'!$L$8)&gt;'Entry Builder'!$E$8)))</f>
        <v/>
      </c>
      <c r="C955">
        <f>IF('Entry Builder'!$N$9=0,1,IF('Entry Builder'!$D$9="Less",--(INDEX(Sims!$A955:$BO955,'Entry Builder'!$L$9)&lt;'Entry Builder'!$E$9),--(INDEX(Sims!$A955:$BO955,'Entry Builder'!$L$9)&gt;'Entry Builder'!$E$9)))</f>
        <v/>
      </c>
      <c r="D955">
        <f>IF('Entry Builder'!$N$10=0,1,IF('Entry Builder'!$D$10="Less",--(INDEX(Sims!$A955:$BO955,'Entry Builder'!$L$10)&lt;'Entry Builder'!$E$10),--(INDEX(Sims!$A955:$BO955,'Entry Builder'!$L$10)&gt;'Entry Builder'!$E$10)))</f>
        <v/>
      </c>
      <c r="E955">
        <f>IF('Entry Builder'!$N$11=0,1,IF('Entry Builder'!$D$11="Less",--(INDEX(Sims!$A955:$BO955,'Entry Builder'!$L$11)&lt;'Entry Builder'!$E$11),--(INDEX(Sims!$A955:$BO955,'Entry Builder'!$L$11)&gt;'Entry Builder'!$E$11)))</f>
        <v/>
      </c>
      <c r="F955">
        <f>IF('Entry Builder'!$N$12=0,1,IF('Entry Builder'!$D$12="Less",--(INDEX(Sims!$A955:$BO955,'Entry Builder'!$L$12)&lt;'Entry Builder'!$E$12),--(INDEX(Sims!$A955:$BO955,'Entry Builder'!$L$12)&gt;'Entry Builder'!$E$12)))</f>
        <v/>
      </c>
      <c r="G955">
        <f>6-SUM(A955:F955)</f>
        <v/>
      </c>
    </row>
    <row r="956">
      <c r="A956">
        <f>IF('Entry Builder'!$N$7=0,1,IF('Entry Builder'!$D$7="Less",--(INDEX(Sims!$A956:$BO956,'Entry Builder'!$L$7)&lt;'Entry Builder'!$E$7),--(INDEX(Sims!$A956:$BO956,'Entry Builder'!$L$7)&gt;'Entry Builder'!$E$7)))</f>
        <v/>
      </c>
      <c r="B956">
        <f>IF('Entry Builder'!$N$8=0,1,IF('Entry Builder'!$D$8="Less",--(INDEX(Sims!$A956:$BO956,'Entry Builder'!$L$8)&lt;'Entry Builder'!$E$8),--(INDEX(Sims!$A956:$BO956,'Entry Builder'!$L$8)&gt;'Entry Builder'!$E$8)))</f>
        <v/>
      </c>
      <c r="C956">
        <f>IF('Entry Builder'!$N$9=0,1,IF('Entry Builder'!$D$9="Less",--(INDEX(Sims!$A956:$BO956,'Entry Builder'!$L$9)&lt;'Entry Builder'!$E$9),--(INDEX(Sims!$A956:$BO956,'Entry Builder'!$L$9)&gt;'Entry Builder'!$E$9)))</f>
        <v/>
      </c>
      <c r="D956">
        <f>IF('Entry Builder'!$N$10=0,1,IF('Entry Builder'!$D$10="Less",--(INDEX(Sims!$A956:$BO956,'Entry Builder'!$L$10)&lt;'Entry Builder'!$E$10),--(INDEX(Sims!$A956:$BO956,'Entry Builder'!$L$10)&gt;'Entry Builder'!$E$10)))</f>
        <v/>
      </c>
      <c r="E956">
        <f>IF('Entry Builder'!$N$11=0,1,IF('Entry Builder'!$D$11="Less",--(INDEX(Sims!$A956:$BO956,'Entry Builder'!$L$11)&lt;'Entry Builder'!$E$11),--(INDEX(Sims!$A956:$BO956,'Entry Builder'!$L$11)&gt;'Entry Builder'!$E$11)))</f>
        <v/>
      </c>
      <c r="F956">
        <f>IF('Entry Builder'!$N$12=0,1,IF('Entry Builder'!$D$12="Less",--(INDEX(Sims!$A956:$BO956,'Entry Builder'!$L$12)&lt;'Entry Builder'!$E$12),--(INDEX(Sims!$A956:$BO956,'Entry Builder'!$L$12)&gt;'Entry Builder'!$E$12)))</f>
        <v/>
      </c>
      <c r="G956">
        <f>6-SUM(A956:F956)</f>
        <v/>
      </c>
    </row>
    <row r="957">
      <c r="A957">
        <f>IF('Entry Builder'!$N$7=0,1,IF('Entry Builder'!$D$7="Less",--(INDEX(Sims!$A957:$BO957,'Entry Builder'!$L$7)&lt;'Entry Builder'!$E$7),--(INDEX(Sims!$A957:$BO957,'Entry Builder'!$L$7)&gt;'Entry Builder'!$E$7)))</f>
        <v/>
      </c>
      <c r="B957">
        <f>IF('Entry Builder'!$N$8=0,1,IF('Entry Builder'!$D$8="Less",--(INDEX(Sims!$A957:$BO957,'Entry Builder'!$L$8)&lt;'Entry Builder'!$E$8),--(INDEX(Sims!$A957:$BO957,'Entry Builder'!$L$8)&gt;'Entry Builder'!$E$8)))</f>
        <v/>
      </c>
      <c r="C957">
        <f>IF('Entry Builder'!$N$9=0,1,IF('Entry Builder'!$D$9="Less",--(INDEX(Sims!$A957:$BO957,'Entry Builder'!$L$9)&lt;'Entry Builder'!$E$9),--(INDEX(Sims!$A957:$BO957,'Entry Builder'!$L$9)&gt;'Entry Builder'!$E$9)))</f>
        <v/>
      </c>
      <c r="D957">
        <f>IF('Entry Builder'!$N$10=0,1,IF('Entry Builder'!$D$10="Less",--(INDEX(Sims!$A957:$BO957,'Entry Builder'!$L$10)&lt;'Entry Builder'!$E$10),--(INDEX(Sims!$A957:$BO957,'Entry Builder'!$L$10)&gt;'Entry Builder'!$E$10)))</f>
        <v/>
      </c>
      <c r="E957">
        <f>IF('Entry Builder'!$N$11=0,1,IF('Entry Builder'!$D$11="Less",--(INDEX(Sims!$A957:$BO957,'Entry Builder'!$L$11)&lt;'Entry Builder'!$E$11),--(INDEX(Sims!$A957:$BO957,'Entry Builder'!$L$11)&gt;'Entry Builder'!$E$11)))</f>
        <v/>
      </c>
      <c r="F957">
        <f>IF('Entry Builder'!$N$12=0,1,IF('Entry Builder'!$D$12="Less",--(INDEX(Sims!$A957:$BO957,'Entry Builder'!$L$12)&lt;'Entry Builder'!$E$12),--(INDEX(Sims!$A957:$BO957,'Entry Builder'!$L$12)&gt;'Entry Builder'!$E$12)))</f>
        <v/>
      </c>
      <c r="G957">
        <f>6-SUM(A957:F957)</f>
        <v/>
      </c>
    </row>
    <row r="958">
      <c r="A958">
        <f>IF('Entry Builder'!$N$7=0,1,IF('Entry Builder'!$D$7="Less",--(INDEX(Sims!$A958:$BO958,'Entry Builder'!$L$7)&lt;'Entry Builder'!$E$7),--(INDEX(Sims!$A958:$BO958,'Entry Builder'!$L$7)&gt;'Entry Builder'!$E$7)))</f>
        <v/>
      </c>
      <c r="B958">
        <f>IF('Entry Builder'!$N$8=0,1,IF('Entry Builder'!$D$8="Less",--(INDEX(Sims!$A958:$BO958,'Entry Builder'!$L$8)&lt;'Entry Builder'!$E$8),--(INDEX(Sims!$A958:$BO958,'Entry Builder'!$L$8)&gt;'Entry Builder'!$E$8)))</f>
        <v/>
      </c>
      <c r="C958">
        <f>IF('Entry Builder'!$N$9=0,1,IF('Entry Builder'!$D$9="Less",--(INDEX(Sims!$A958:$BO958,'Entry Builder'!$L$9)&lt;'Entry Builder'!$E$9),--(INDEX(Sims!$A958:$BO958,'Entry Builder'!$L$9)&gt;'Entry Builder'!$E$9)))</f>
        <v/>
      </c>
      <c r="D958">
        <f>IF('Entry Builder'!$N$10=0,1,IF('Entry Builder'!$D$10="Less",--(INDEX(Sims!$A958:$BO958,'Entry Builder'!$L$10)&lt;'Entry Builder'!$E$10),--(INDEX(Sims!$A958:$BO958,'Entry Builder'!$L$10)&gt;'Entry Builder'!$E$10)))</f>
        <v/>
      </c>
      <c r="E958">
        <f>IF('Entry Builder'!$N$11=0,1,IF('Entry Builder'!$D$11="Less",--(INDEX(Sims!$A958:$BO958,'Entry Builder'!$L$11)&lt;'Entry Builder'!$E$11),--(INDEX(Sims!$A958:$BO958,'Entry Builder'!$L$11)&gt;'Entry Builder'!$E$11)))</f>
        <v/>
      </c>
      <c r="F958">
        <f>IF('Entry Builder'!$N$12=0,1,IF('Entry Builder'!$D$12="Less",--(INDEX(Sims!$A958:$BO958,'Entry Builder'!$L$12)&lt;'Entry Builder'!$E$12),--(INDEX(Sims!$A958:$BO958,'Entry Builder'!$L$12)&gt;'Entry Builder'!$E$12)))</f>
        <v/>
      </c>
      <c r="G958">
        <f>6-SUM(A958:F958)</f>
        <v/>
      </c>
    </row>
    <row r="959">
      <c r="A959">
        <f>IF('Entry Builder'!$N$7=0,1,IF('Entry Builder'!$D$7="Less",--(INDEX(Sims!$A959:$BO959,'Entry Builder'!$L$7)&lt;'Entry Builder'!$E$7),--(INDEX(Sims!$A959:$BO959,'Entry Builder'!$L$7)&gt;'Entry Builder'!$E$7)))</f>
        <v/>
      </c>
      <c r="B959">
        <f>IF('Entry Builder'!$N$8=0,1,IF('Entry Builder'!$D$8="Less",--(INDEX(Sims!$A959:$BO959,'Entry Builder'!$L$8)&lt;'Entry Builder'!$E$8),--(INDEX(Sims!$A959:$BO959,'Entry Builder'!$L$8)&gt;'Entry Builder'!$E$8)))</f>
        <v/>
      </c>
      <c r="C959">
        <f>IF('Entry Builder'!$N$9=0,1,IF('Entry Builder'!$D$9="Less",--(INDEX(Sims!$A959:$BO959,'Entry Builder'!$L$9)&lt;'Entry Builder'!$E$9),--(INDEX(Sims!$A959:$BO959,'Entry Builder'!$L$9)&gt;'Entry Builder'!$E$9)))</f>
        <v/>
      </c>
      <c r="D959">
        <f>IF('Entry Builder'!$N$10=0,1,IF('Entry Builder'!$D$10="Less",--(INDEX(Sims!$A959:$BO959,'Entry Builder'!$L$10)&lt;'Entry Builder'!$E$10),--(INDEX(Sims!$A959:$BO959,'Entry Builder'!$L$10)&gt;'Entry Builder'!$E$10)))</f>
        <v/>
      </c>
      <c r="E959">
        <f>IF('Entry Builder'!$N$11=0,1,IF('Entry Builder'!$D$11="Less",--(INDEX(Sims!$A959:$BO959,'Entry Builder'!$L$11)&lt;'Entry Builder'!$E$11),--(INDEX(Sims!$A959:$BO959,'Entry Builder'!$L$11)&gt;'Entry Builder'!$E$11)))</f>
        <v/>
      </c>
      <c r="F959">
        <f>IF('Entry Builder'!$N$12=0,1,IF('Entry Builder'!$D$12="Less",--(INDEX(Sims!$A959:$BO959,'Entry Builder'!$L$12)&lt;'Entry Builder'!$E$12),--(INDEX(Sims!$A959:$BO959,'Entry Builder'!$L$12)&gt;'Entry Builder'!$E$12)))</f>
        <v/>
      </c>
      <c r="G959">
        <f>6-SUM(A959:F959)</f>
        <v/>
      </c>
    </row>
    <row r="960">
      <c r="A960">
        <f>IF('Entry Builder'!$N$7=0,1,IF('Entry Builder'!$D$7="Less",--(INDEX(Sims!$A960:$BO960,'Entry Builder'!$L$7)&lt;'Entry Builder'!$E$7),--(INDEX(Sims!$A960:$BO960,'Entry Builder'!$L$7)&gt;'Entry Builder'!$E$7)))</f>
        <v/>
      </c>
      <c r="B960">
        <f>IF('Entry Builder'!$N$8=0,1,IF('Entry Builder'!$D$8="Less",--(INDEX(Sims!$A960:$BO960,'Entry Builder'!$L$8)&lt;'Entry Builder'!$E$8),--(INDEX(Sims!$A960:$BO960,'Entry Builder'!$L$8)&gt;'Entry Builder'!$E$8)))</f>
        <v/>
      </c>
      <c r="C960">
        <f>IF('Entry Builder'!$N$9=0,1,IF('Entry Builder'!$D$9="Less",--(INDEX(Sims!$A960:$BO960,'Entry Builder'!$L$9)&lt;'Entry Builder'!$E$9),--(INDEX(Sims!$A960:$BO960,'Entry Builder'!$L$9)&gt;'Entry Builder'!$E$9)))</f>
        <v/>
      </c>
      <c r="D960">
        <f>IF('Entry Builder'!$N$10=0,1,IF('Entry Builder'!$D$10="Less",--(INDEX(Sims!$A960:$BO960,'Entry Builder'!$L$10)&lt;'Entry Builder'!$E$10),--(INDEX(Sims!$A960:$BO960,'Entry Builder'!$L$10)&gt;'Entry Builder'!$E$10)))</f>
        <v/>
      </c>
      <c r="E960">
        <f>IF('Entry Builder'!$N$11=0,1,IF('Entry Builder'!$D$11="Less",--(INDEX(Sims!$A960:$BO960,'Entry Builder'!$L$11)&lt;'Entry Builder'!$E$11),--(INDEX(Sims!$A960:$BO960,'Entry Builder'!$L$11)&gt;'Entry Builder'!$E$11)))</f>
        <v/>
      </c>
      <c r="F960">
        <f>IF('Entry Builder'!$N$12=0,1,IF('Entry Builder'!$D$12="Less",--(INDEX(Sims!$A960:$BO960,'Entry Builder'!$L$12)&lt;'Entry Builder'!$E$12),--(INDEX(Sims!$A960:$BO960,'Entry Builder'!$L$12)&gt;'Entry Builder'!$E$12)))</f>
        <v/>
      </c>
      <c r="G960">
        <f>6-SUM(A960:F960)</f>
        <v/>
      </c>
    </row>
    <row r="961">
      <c r="A961">
        <f>IF('Entry Builder'!$N$7=0,1,IF('Entry Builder'!$D$7="Less",--(INDEX(Sims!$A961:$BO961,'Entry Builder'!$L$7)&lt;'Entry Builder'!$E$7),--(INDEX(Sims!$A961:$BO961,'Entry Builder'!$L$7)&gt;'Entry Builder'!$E$7)))</f>
        <v/>
      </c>
      <c r="B961">
        <f>IF('Entry Builder'!$N$8=0,1,IF('Entry Builder'!$D$8="Less",--(INDEX(Sims!$A961:$BO961,'Entry Builder'!$L$8)&lt;'Entry Builder'!$E$8),--(INDEX(Sims!$A961:$BO961,'Entry Builder'!$L$8)&gt;'Entry Builder'!$E$8)))</f>
        <v/>
      </c>
      <c r="C961">
        <f>IF('Entry Builder'!$N$9=0,1,IF('Entry Builder'!$D$9="Less",--(INDEX(Sims!$A961:$BO961,'Entry Builder'!$L$9)&lt;'Entry Builder'!$E$9),--(INDEX(Sims!$A961:$BO961,'Entry Builder'!$L$9)&gt;'Entry Builder'!$E$9)))</f>
        <v/>
      </c>
      <c r="D961">
        <f>IF('Entry Builder'!$N$10=0,1,IF('Entry Builder'!$D$10="Less",--(INDEX(Sims!$A961:$BO961,'Entry Builder'!$L$10)&lt;'Entry Builder'!$E$10),--(INDEX(Sims!$A961:$BO961,'Entry Builder'!$L$10)&gt;'Entry Builder'!$E$10)))</f>
        <v/>
      </c>
      <c r="E961">
        <f>IF('Entry Builder'!$N$11=0,1,IF('Entry Builder'!$D$11="Less",--(INDEX(Sims!$A961:$BO961,'Entry Builder'!$L$11)&lt;'Entry Builder'!$E$11),--(INDEX(Sims!$A961:$BO961,'Entry Builder'!$L$11)&gt;'Entry Builder'!$E$11)))</f>
        <v/>
      </c>
      <c r="F961">
        <f>IF('Entry Builder'!$N$12=0,1,IF('Entry Builder'!$D$12="Less",--(INDEX(Sims!$A961:$BO961,'Entry Builder'!$L$12)&lt;'Entry Builder'!$E$12),--(INDEX(Sims!$A961:$BO961,'Entry Builder'!$L$12)&gt;'Entry Builder'!$E$12)))</f>
        <v/>
      </c>
      <c r="G961">
        <f>6-SUM(A961:F961)</f>
        <v/>
      </c>
    </row>
    <row r="962">
      <c r="A962">
        <f>IF('Entry Builder'!$N$7=0,1,IF('Entry Builder'!$D$7="Less",--(INDEX(Sims!$A962:$BO962,'Entry Builder'!$L$7)&lt;'Entry Builder'!$E$7),--(INDEX(Sims!$A962:$BO962,'Entry Builder'!$L$7)&gt;'Entry Builder'!$E$7)))</f>
        <v/>
      </c>
      <c r="B962">
        <f>IF('Entry Builder'!$N$8=0,1,IF('Entry Builder'!$D$8="Less",--(INDEX(Sims!$A962:$BO962,'Entry Builder'!$L$8)&lt;'Entry Builder'!$E$8),--(INDEX(Sims!$A962:$BO962,'Entry Builder'!$L$8)&gt;'Entry Builder'!$E$8)))</f>
        <v/>
      </c>
      <c r="C962">
        <f>IF('Entry Builder'!$N$9=0,1,IF('Entry Builder'!$D$9="Less",--(INDEX(Sims!$A962:$BO962,'Entry Builder'!$L$9)&lt;'Entry Builder'!$E$9),--(INDEX(Sims!$A962:$BO962,'Entry Builder'!$L$9)&gt;'Entry Builder'!$E$9)))</f>
        <v/>
      </c>
      <c r="D962">
        <f>IF('Entry Builder'!$N$10=0,1,IF('Entry Builder'!$D$10="Less",--(INDEX(Sims!$A962:$BO962,'Entry Builder'!$L$10)&lt;'Entry Builder'!$E$10),--(INDEX(Sims!$A962:$BO962,'Entry Builder'!$L$10)&gt;'Entry Builder'!$E$10)))</f>
        <v/>
      </c>
      <c r="E962">
        <f>IF('Entry Builder'!$N$11=0,1,IF('Entry Builder'!$D$11="Less",--(INDEX(Sims!$A962:$BO962,'Entry Builder'!$L$11)&lt;'Entry Builder'!$E$11),--(INDEX(Sims!$A962:$BO962,'Entry Builder'!$L$11)&gt;'Entry Builder'!$E$11)))</f>
        <v/>
      </c>
      <c r="F962">
        <f>IF('Entry Builder'!$N$12=0,1,IF('Entry Builder'!$D$12="Less",--(INDEX(Sims!$A962:$BO962,'Entry Builder'!$L$12)&lt;'Entry Builder'!$E$12),--(INDEX(Sims!$A962:$BO962,'Entry Builder'!$L$12)&gt;'Entry Builder'!$E$12)))</f>
        <v/>
      </c>
      <c r="G962">
        <f>6-SUM(A962:F962)</f>
        <v/>
      </c>
    </row>
    <row r="963">
      <c r="A963">
        <f>IF('Entry Builder'!$N$7=0,1,IF('Entry Builder'!$D$7="Less",--(INDEX(Sims!$A963:$BO963,'Entry Builder'!$L$7)&lt;'Entry Builder'!$E$7),--(INDEX(Sims!$A963:$BO963,'Entry Builder'!$L$7)&gt;'Entry Builder'!$E$7)))</f>
        <v/>
      </c>
      <c r="B963">
        <f>IF('Entry Builder'!$N$8=0,1,IF('Entry Builder'!$D$8="Less",--(INDEX(Sims!$A963:$BO963,'Entry Builder'!$L$8)&lt;'Entry Builder'!$E$8),--(INDEX(Sims!$A963:$BO963,'Entry Builder'!$L$8)&gt;'Entry Builder'!$E$8)))</f>
        <v/>
      </c>
      <c r="C963">
        <f>IF('Entry Builder'!$N$9=0,1,IF('Entry Builder'!$D$9="Less",--(INDEX(Sims!$A963:$BO963,'Entry Builder'!$L$9)&lt;'Entry Builder'!$E$9),--(INDEX(Sims!$A963:$BO963,'Entry Builder'!$L$9)&gt;'Entry Builder'!$E$9)))</f>
        <v/>
      </c>
      <c r="D963">
        <f>IF('Entry Builder'!$N$10=0,1,IF('Entry Builder'!$D$10="Less",--(INDEX(Sims!$A963:$BO963,'Entry Builder'!$L$10)&lt;'Entry Builder'!$E$10),--(INDEX(Sims!$A963:$BO963,'Entry Builder'!$L$10)&gt;'Entry Builder'!$E$10)))</f>
        <v/>
      </c>
      <c r="E963">
        <f>IF('Entry Builder'!$N$11=0,1,IF('Entry Builder'!$D$11="Less",--(INDEX(Sims!$A963:$BO963,'Entry Builder'!$L$11)&lt;'Entry Builder'!$E$11),--(INDEX(Sims!$A963:$BO963,'Entry Builder'!$L$11)&gt;'Entry Builder'!$E$11)))</f>
        <v/>
      </c>
      <c r="F963">
        <f>IF('Entry Builder'!$N$12=0,1,IF('Entry Builder'!$D$12="Less",--(INDEX(Sims!$A963:$BO963,'Entry Builder'!$L$12)&lt;'Entry Builder'!$E$12),--(INDEX(Sims!$A963:$BO963,'Entry Builder'!$L$12)&gt;'Entry Builder'!$E$12)))</f>
        <v/>
      </c>
      <c r="G963">
        <f>6-SUM(A963:F963)</f>
        <v/>
      </c>
    </row>
    <row r="964">
      <c r="A964">
        <f>IF('Entry Builder'!$N$7=0,1,IF('Entry Builder'!$D$7="Less",--(INDEX(Sims!$A964:$BO964,'Entry Builder'!$L$7)&lt;'Entry Builder'!$E$7),--(INDEX(Sims!$A964:$BO964,'Entry Builder'!$L$7)&gt;'Entry Builder'!$E$7)))</f>
        <v/>
      </c>
      <c r="B964">
        <f>IF('Entry Builder'!$N$8=0,1,IF('Entry Builder'!$D$8="Less",--(INDEX(Sims!$A964:$BO964,'Entry Builder'!$L$8)&lt;'Entry Builder'!$E$8),--(INDEX(Sims!$A964:$BO964,'Entry Builder'!$L$8)&gt;'Entry Builder'!$E$8)))</f>
        <v/>
      </c>
      <c r="C964">
        <f>IF('Entry Builder'!$N$9=0,1,IF('Entry Builder'!$D$9="Less",--(INDEX(Sims!$A964:$BO964,'Entry Builder'!$L$9)&lt;'Entry Builder'!$E$9),--(INDEX(Sims!$A964:$BO964,'Entry Builder'!$L$9)&gt;'Entry Builder'!$E$9)))</f>
        <v/>
      </c>
      <c r="D964">
        <f>IF('Entry Builder'!$N$10=0,1,IF('Entry Builder'!$D$10="Less",--(INDEX(Sims!$A964:$BO964,'Entry Builder'!$L$10)&lt;'Entry Builder'!$E$10),--(INDEX(Sims!$A964:$BO964,'Entry Builder'!$L$10)&gt;'Entry Builder'!$E$10)))</f>
        <v/>
      </c>
      <c r="E964">
        <f>IF('Entry Builder'!$N$11=0,1,IF('Entry Builder'!$D$11="Less",--(INDEX(Sims!$A964:$BO964,'Entry Builder'!$L$11)&lt;'Entry Builder'!$E$11),--(INDEX(Sims!$A964:$BO964,'Entry Builder'!$L$11)&gt;'Entry Builder'!$E$11)))</f>
        <v/>
      </c>
      <c r="F964">
        <f>IF('Entry Builder'!$N$12=0,1,IF('Entry Builder'!$D$12="Less",--(INDEX(Sims!$A964:$BO964,'Entry Builder'!$L$12)&lt;'Entry Builder'!$E$12),--(INDEX(Sims!$A964:$BO964,'Entry Builder'!$L$12)&gt;'Entry Builder'!$E$12)))</f>
        <v/>
      </c>
      <c r="G964">
        <f>6-SUM(A964:F964)</f>
        <v/>
      </c>
    </row>
    <row r="965">
      <c r="A965">
        <f>IF('Entry Builder'!$N$7=0,1,IF('Entry Builder'!$D$7="Less",--(INDEX(Sims!$A965:$BO965,'Entry Builder'!$L$7)&lt;'Entry Builder'!$E$7),--(INDEX(Sims!$A965:$BO965,'Entry Builder'!$L$7)&gt;'Entry Builder'!$E$7)))</f>
        <v/>
      </c>
      <c r="B965">
        <f>IF('Entry Builder'!$N$8=0,1,IF('Entry Builder'!$D$8="Less",--(INDEX(Sims!$A965:$BO965,'Entry Builder'!$L$8)&lt;'Entry Builder'!$E$8),--(INDEX(Sims!$A965:$BO965,'Entry Builder'!$L$8)&gt;'Entry Builder'!$E$8)))</f>
        <v/>
      </c>
      <c r="C965">
        <f>IF('Entry Builder'!$N$9=0,1,IF('Entry Builder'!$D$9="Less",--(INDEX(Sims!$A965:$BO965,'Entry Builder'!$L$9)&lt;'Entry Builder'!$E$9),--(INDEX(Sims!$A965:$BO965,'Entry Builder'!$L$9)&gt;'Entry Builder'!$E$9)))</f>
        <v/>
      </c>
      <c r="D965">
        <f>IF('Entry Builder'!$N$10=0,1,IF('Entry Builder'!$D$10="Less",--(INDEX(Sims!$A965:$BO965,'Entry Builder'!$L$10)&lt;'Entry Builder'!$E$10),--(INDEX(Sims!$A965:$BO965,'Entry Builder'!$L$10)&gt;'Entry Builder'!$E$10)))</f>
        <v/>
      </c>
      <c r="E965">
        <f>IF('Entry Builder'!$N$11=0,1,IF('Entry Builder'!$D$11="Less",--(INDEX(Sims!$A965:$BO965,'Entry Builder'!$L$11)&lt;'Entry Builder'!$E$11),--(INDEX(Sims!$A965:$BO965,'Entry Builder'!$L$11)&gt;'Entry Builder'!$E$11)))</f>
        <v/>
      </c>
      <c r="F965">
        <f>IF('Entry Builder'!$N$12=0,1,IF('Entry Builder'!$D$12="Less",--(INDEX(Sims!$A965:$BO965,'Entry Builder'!$L$12)&lt;'Entry Builder'!$E$12),--(INDEX(Sims!$A965:$BO965,'Entry Builder'!$L$12)&gt;'Entry Builder'!$E$12)))</f>
        <v/>
      </c>
      <c r="G965">
        <f>6-SUM(A965:F965)</f>
        <v/>
      </c>
    </row>
    <row r="966">
      <c r="A966">
        <f>IF('Entry Builder'!$N$7=0,1,IF('Entry Builder'!$D$7="Less",--(INDEX(Sims!$A966:$BO966,'Entry Builder'!$L$7)&lt;'Entry Builder'!$E$7),--(INDEX(Sims!$A966:$BO966,'Entry Builder'!$L$7)&gt;'Entry Builder'!$E$7)))</f>
        <v/>
      </c>
      <c r="B966">
        <f>IF('Entry Builder'!$N$8=0,1,IF('Entry Builder'!$D$8="Less",--(INDEX(Sims!$A966:$BO966,'Entry Builder'!$L$8)&lt;'Entry Builder'!$E$8),--(INDEX(Sims!$A966:$BO966,'Entry Builder'!$L$8)&gt;'Entry Builder'!$E$8)))</f>
        <v/>
      </c>
      <c r="C966">
        <f>IF('Entry Builder'!$N$9=0,1,IF('Entry Builder'!$D$9="Less",--(INDEX(Sims!$A966:$BO966,'Entry Builder'!$L$9)&lt;'Entry Builder'!$E$9),--(INDEX(Sims!$A966:$BO966,'Entry Builder'!$L$9)&gt;'Entry Builder'!$E$9)))</f>
        <v/>
      </c>
      <c r="D966">
        <f>IF('Entry Builder'!$N$10=0,1,IF('Entry Builder'!$D$10="Less",--(INDEX(Sims!$A966:$BO966,'Entry Builder'!$L$10)&lt;'Entry Builder'!$E$10),--(INDEX(Sims!$A966:$BO966,'Entry Builder'!$L$10)&gt;'Entry Builder'!$E$10)))</f>
        <v/>
      </c>
      <c r="E966">
        <f>IF('Entry Builder'!$N$11=0,1,IF('Entry Builder'!$D$11="Less",--(INDEX(Sims!$A966:$BO966,'Entry Builder'!$L$11)&lt;'Entry Builder'!$E$11),--(INDEX(Sims!$A966:$BO966,'Entry Builder'!$L$11)&gt;'Entry Builder'!$E$11)))</f>
        <v/>
      </c>
      <c r="F966">
        <f>IF('Entry Builder'!$N$12=0,1,IF('Entry Builder'!$D$12="Less",--(INDEX(Sims!$A966:$BO966,'Entry Builder'!$L$12)&lt;'Entry Builder'!$E$12),--(INDEX(Sims!$A966:$BO966,'Entry Builder'!$L$12)&gt;'Entry Builder'!$E$12)))</f>
        <v/>
      </c>
      <c r="G966">
        <f>6-SUM(A966:F966)</f>
        <v/>
      </c>
    </row>
    <row r="967">
      <c r="A967">
        <f>IF('Entry Builder'!$N$7=0,1,IF('Entry Builder'!$D$7="Less",--(INDEX(Sims!$A967:$BO967,'Entry Builder'!$L$7)&lt;'Entry Builder'!$E$7),--(INDEX(Sims!$A967:$BO967,'Entry Builder'!$L$7)&gt;'Entry Builder'!$E$7)))</f>
        <v/>
      </c>
      <c r="B967">
        <f>IF('Entry Builder'!$N$8=0,1,IF('Entry Builder'!$D$8="Less",--(INDEX(Sims!$A967:$BO967,'Entry Builder'!$L$8)&lt;'Entry Builder'!$E$8),--(INDEX(Sims!$A967:$BO967,'Entry Builder'!$L$8)&gt;'Entry Builder'!$E$8)))</f>
        <v/>
      </c>
      <c r="C967">
        <f>IF('Entry Builder'!$N$9=0,1,IF('Entry Builder'!$D$9="Less",--(INDEX(Sims!$A967:$BO967,'Entry Builder'!$L$9)&lt;'Entry Builder'!$E$9),--(INDEX(Sims!$A967:$BO967,'Entry Builder'!$L$9)&gt;'Entry Builder'!$E$9)))</f>
        <v/>
      </c>
      <c r="D967">
        <f>IF('Entry Builder'!$N$10=0,1,IF('Entry Builder'!$D$10="Less",--(INDEX(Sims!$A967:$BO967,'Entry Builder'!$L$10)&lt;'Entry Builder'!$E$10),--(INDEX(Sims!$A967:$BO967,'Entry Builder'!$L$10)&gt;'Entry Builder'!$E$10)))</f>
        <v/>
      </c>
      <c r="E967">
        <f>IF('Entry Builder'!$N$11=0,1,IF('Entry Builder'!$D$11="Less",--(INDEX(Sims!$A967:$BO967,'Entry Builder'!$L$11)&lt;'Entry Builder'!$E$11),--(INDEX(Sims!$A967:$BO967,'Entry Builder'!$L$11)&gt;'Entry Builder'!$E$11)))</f>
        <v/>
      </c>
      <c r="F967">
        <f>IF('Entry Builder'!$N$12=0,1,IF('Entry Builder'!$D$12="Less",--(INDEX(Sims!$A967:$BO967,'Entry Builder'!$L$12)&lt;'Entry Builder'!$E$12),--(INDEX(Sims!$A967:$BO967,'Entry Builder'!$L$12)&gt;'Entry Builder'!$E$12)))</f>
        <v/>
      </c>
      <c r="G967">
        <f>6-SUM(A967:F967)</f>
        <v/>
      </c>
    </row>
    <row r="968">
      <c r="A968">
        <f>IF('Entry Builder'!$N$7=0,1,IF('Entry Builder'!$D$7="Less",--(INDEX(Sims!$A968:$BO968,'Entry Builder'!$L$7)&lt;'Entry Builder'!$E$7),--(INDEX(Sims!$A968:$BO968,'Entry Builder'!$L$7)&gt;'Entry Builder'!$E$7)))</f>
        <v/>
      </c>
      <c r="B968">
        <f>IF('Entry Builder'!$N$8=0,1,IF('Entry Builder'!$D$8="Less",--(INDEX(Sims!$A968:$BO968,'Entry Builder'!$L$8)&lt;'Entry Builder'!$E$8),--(INDEX(Sims!$A968:$BO968,'Entry Builder'!$L$8)&gt;'Entry Builder'!$E$8)))</f>
        <v/>
      </c>
      <c r="C968">
        <f>IF('Entry Builder'!$N$9=0,1,IF('Entry Builder'!$D$9="Less",--(INDEX(Sims!$A968:$BO968,'Entry Builder'!$L$9)&lt;'Entry Builder'!$E$9),--(INDEX(Sims!$A968:$BO968,'Entry Builder'!$L$9)&gt;'Entry Builder'!$E$9)))</f>
        <v/>
      </c>
      <c r="D968">
        <f>IF('Entry Builder'!$N$10=0,1,IF('Entry Builder'!$D$10="Less",--(INDEX(Sims!$A968:$BO968,'Entry Builder'!$L$10)&lt;'Entry Builder'!$E$10),--(INDEX(Sims!$A968:$BO968,'Entry Builder'!$L$10)&gt;'Entry Builder'!$E$10)))</f>
        <v/>
      </c>
      <c r="E968">
        <f>IF('Entry Builder'!$N$11=0,1,IF('Entry Builder'!$D$11="Less",--(INDEX(Sims!$A968:$BO968,'Entry Builder'!$L$11)&lt;'Entry Builder'!$E$11),--(INDEX(Sims!$A968:$BO968,'Entry Builder'!$L$11)&gt;'Entry Builder'!$E$11)))</f>
        <v/>
      </c>
      <c r="F968">
        <f>IF('Entry Builder'!$N$12=0,1,IF('Entry Builder'!$D$12="Less",--(INDEX(Sims!$A968:$BO968,'Entry Builder'!$L$12)&lt;'Entry Builder'!$E$12),--(INDEX(Sims!$A968:$BO968,'Entry Builder'!$L$12)&gt;'Entry Builder'!$E$12)))</f>
        <v/>
      </c>
      <c r="G968">
        <f>6-SUM(A968:F968)</f>
        <v/>
      </c>
    </row>
    <row r="969">
      <c r="A969">
        <f>IF('Entry Builder'!$N$7=0,1,IF('Entry Builder'!$D$7="Less",--(INDEX(Sims!$A969:$BO969,'Entry Builder'!$L$7)&lt;'Entry Builder'!$E$7),--(INDEX(Sims!$A969:$BO969,'Entry Builder'!$L$7)&gt;'Entry Builder'!$E$7)))</f>
        <v/>
      </c>
      <c r="B969">
        <f>IF('Entry Builder'!$N$8=0,1,IF('Entry Builder'!$D$8="Less",--(INDEX(Sims!$A969:$BO969,'Entry Builder'!$L$8)&lt;'Entry Builder'!$E$8),--(INDEX(Sims!$A969:$BO969,'Entry Builder'!$L$8)&gt;'Entry Builder'!$E$8)))</f>
        <v/>
      </c>
      <c r="C969">
        <f>IF('Entry Builder'!$N$9=0,1,IF('Entry Builder'!$D$9="Less",--(INDEX(Sims!$A969:$BO969,'Entry Builder'!$L$9)&lt;'Entry Builder'!$E$9),--(INDEX(Sims!$A969:$BO969,'Entry Builder'!$L$9)&gt;'Entry Builder'!$E$9)))</f>
        <v/>
      </c>
      <c r="D969">
        <f>IF('Entry Builder'!$N$10=0,1,IF('Entry Builder'!$D$10="Less",--(INDEX(Sims!$A969:$BO969,'Entry Builder'!$L$10)&lt;'Entry Builder'!$E$10),--(INDEX(Sims!$A969:$BO969,'Entry Builder'!$L$10)&gt;'Entry Builder'!$E$10)))</f>
        <v/>
      </c>
      <c r="E969">
        <f>IF('Entry Builder'!$N$11=0,1,IF('Entry Builder'!$D$11="Less",--(INDEX(Sims!$A969:$BO969,'Entry Builder'!$L$11)&lt;'Entry Builder'!$E$11),--(INDEX(Sims!$A969:$BO969,'Entry Builder'!$L$11)&gt;'Entry Builder'!$E$11)))</f>
        <v/>
      </c>
      <c r="F969">
        <f>IF('Entry Builder'!$N$12=0,1,IF('Entry Builder'!$D$12="Less",--(INDEX(Sims!$A969:$BO969,'Entry Builder'!$L$12)&lt;'Entry Builder'!$E$12),--(INDEX(Sims!$A969:$BO969,'Entry Builder'!$L$12)&gt;'Entry Builder'!$E$12)))</f>
        <v/>
      </c>
      <c r="G969">
        <f>6-SUM(A969:F969)</f>
        <v/>
      </c>
    </row>
    <row r="970">
      <c r="A970">
        <f>IF('Entry Builder'!$N$7=0,1,IF('Entry Builder'!$D$7="Less",--(INDEX(Sims!$A970:$BO970,'Entry Builder'!$L$7)&lt;'Entry Builder'!$E$7),--(INDEX(Sims!$A970:$BO970,'Entry Builder'!$L$7)&gt;'Entry Builder'!$E$7)))</f>
        <v/>
      </c>
      <c r="B970">
        <f>IF('Entry Builder'!$N$8=0,1,IF('Entry Builder'!$D$8="Less",--(INDEX(Sims!$A970:$BO970,'Entry Builder'!$L$8)&lt;'Entry Builder'!$E$8),--(INDEX(Sims!$A970:$BO970,'Entry Builder'!$L$8)&gt;'Entry Builder'!$E$8)))</f>
        <v/>
      </c>
      <c r="C970">
        <f>IF('Entry Builder'!$N$9=0,1,IF('Entry Builder'!$D$9="Less",--(INDEX(Sims!$A970:$BO970,'Entry Builder'!$L$9)&lt;'Entry Builder'!$E$9),--(INDEX(Sims!$A970:$BO970,'Entry Builder'!$L$9)&gt;'Entry Builder'!$E$9)))</f>
        <v/>
      </c>
      <c r="D970">
        <f>IF('Entry Builder'!$N$10=0,1,IF('Entry Builder'!$D$10="Less",--(INDEX(Sims!$A970:$BO970,'Entry Builder'!$L$10)&lt;'Entry Builder'!$E$10),--(INDEX(Sims!$A970:$BO970,'Entry Builder'!$L$10)&gt;'Entry Builder'!$E$10)))</f>
        <v/>
      </c>
      <c r="E970">
        <f>IF('Entry Builder'!$N$11=0,1,IF('Entry Builder'!$D$11="Less",--(INDEX(Sims!$A970:$BO970,'Entry Builder'!$L$11)&lt;'Entry Builder'!$E$11),--(INDEX(Sims!$A970:$BO970,'Entry Builder'!$L$11)&gt;'Entry Builder'!$E$11)))</f>
        <v/>
      </c>
      <c r="F970">
        <f>IF('Entry Builder'!$N$12=0,1,IF('Entry Builder'!$D$12="Less",--(INDEX(Sims!$A970:$BO970,'Entry Builder'!$L$12)&lt;'Entry Builder'!$E$12),--(INDEX(Sims!$A970:$BO970,'Entry Builder'!$L$12)&gt;'Entry Builder'!$E$12)))</f>
        <v/>
      </c>
      <c r="G970">
        <f>6-SUM(A970:F970)</f>
        <v/>
      </c>
    </row>
    <row r="971">
      <c r="A971">
        <f>IF('Entry Builder'!$N$7=0,1,IF('Entry Builder'!$D$7="Less",--(INDEX(Sims!$A971:$BO971,'Entry Builder'!$L$7)&lt;'Entry Builder'!$E$7),--(INDEX(Sims!$A971:$BO971,'Entry Builder'!$L$7)&gt;'Entry Builder'!$E$7)))</f>
        <v/>
      </c>
      <c r="B971">
        <f>IF('Entry Builder'!$N$8=0,1,IF('Entry Builder'!$D$8="Less",--(INDEX(Sims!$A971:$BO971,'Entry Builder'!$L$8)&lt;'Entry Builder'!$E$8),--(INDEX(Sims!$A971:$BO971,'Entry Builder'!$L$8)&gt;'Entry Builder'!$E$8)))</f>
        <v/>
      </c>
      <c r="C971">
        <f>IF('Entry Builder'!$N$9=0,1,IF('Entry Builder'!$D$9="Less",--(INDEX(Sims!$A971:$BO971,'Entry Builder'!$L$9)&lt;'Entry Builder'!$E$9),--(INDEX(Sims!$A971:$BO971,'Entry Builder'!$L$9)&gt;'Entry Builder'!$E$9)))</f>
        <v/>
      </c>
      <c r="D971">
        <f>IF('Entry Builder'!$N$10=0,1,IF('Entry Builder'!$D$10="Less",--(INDEX(Sims!$A971:$BO971,'Entry Builder'!$L$10)&lt;'Entry Builder'!$E$10),--(INDEX(Sims!$A971:$BO971,'Entry Builder'!$L$10)&gt;'Entry Builder'!$E$10)))</f>
        <v/>
      </c>
      <c r="E971">
        <f>IF('Entry Builder'!$N$11=0,1,IF('Entry Builder'!$D$11="Less",--(INDEX(Sims!$A971:$BO971,'Entry Builder'!$L$11)&lt;'Entry Builder'!$E$11),--(INDEX(Sims!$A971:$BO971,'Entry Builder'!$L$11)&gt;'Entry Builder'!$E$11)))</f>
        <v/>
      </c>
      <c r="F971">
        <f>IF('Entry Builder'!$N$12=0,1,IF('Entry Builder'!$D$12="Less",--(INDEX(Sims!$A971:$BO971,'Entry Builder'!$L$12)&lt;'Entry Builder'!$E$12),--(INDEX(Sims!$A971:$BO971,'Entry Builder'!$L$12)&gt;'Entry Builder'!$E$12)))</f>
        <v/>
      </c>
      <c r="G971">
        <f>6-SUM(A971:F971)</f>
        <v/>
      </c>
    </row>
    <row r="972">
      <c r="A972">
        <f>IF('Entry Builder'!$N$7=0,1,IF('Entry Builder'!$D$7="Less",--(INDEX(Sims!$A972:$BO972,'Entry Builder'!$L$7)&lt;'Entry Builder'!$E$7),--(INDEX(Sims!$A972:$BO972,'Entry Builder'!$L$7)&gt;'Entry Builder'!$E$7)))</f>
        <v/>
      </c>
      <c r="B972">
        <f>IF('Entry Builder'!$N$8=0,1,IF('Entry Builder'!$D$8="Less",--(INDEX(Sims!$A972:$BO972,'Entry Builder'!$L$8)&lt;'Entry Builder'!$E$8),--(INDEX(Sims!$A972:$BO972,'Entry Builder'!$L$8)&gt;'Entry Builder'!$E$8)))</f>
        <v/>
      </c>
      <c r="C972">
        <f>IF('Entry Builder'!$N$9=0,1,IF('Entry Builder'!$D$9="Less",--(INDEX(Sims!$A972:$BO972,'Entry Builder'!$L$9)&lt;'Entry Builder'!$E$9),--(INDEX(Sims!$A972:$BO972,'Entry Builder'!$L$9)&gt;'Entry Builder'!$E$9)))</f>
        <v/>
      </c>
      <c r="D972">
        <f>IF('Entry Builder'!$N$10=0,1,IF('Entry Builder'!$D$10="Less",--(INDEX(Sims!$A972:$BO972,'Entry Builder'!$L$10)&lt;'Entry Builder'!$E$10),--(INDEX(Sims!$A972:$BO972,'Entry Builder'!$L$10)&gt;'Entry Builder'!$E$10)))</f>
        <v/>
      </c>
      <c r="E972">
        <f>IF('Entry Builder'!$N$11=0,1,IF('Entry Builder'!$D$11="Less",--(INDEX(Sims!$A972:$BO972,'Entry Builder'!$L$11)&lt;'Entry Builder'!$E$11),--(INDEX(Sims!$A972:$BO972,'Entry Builder'!$L$11)&gt;'Entry Builder'!$E$11)))</f>
        <v/>
      </c>
      <c r="F972">
        <f>IF('Entry Builder'!$N$12=0,1,IF('Entry Builder'!$D$12="Less",--(INDEX(Sims!$A972:$BO972,'Entry Builder'!$L$12)&lt;'Entry Builder'!$E$12),--(INDEX(Sims!$A972:$BO972,'Entry Builder'!$L$12)&gt;'Entry Builder'!$E$12)))</f>
        <v/>
      </c>
      <c r="G972">
        <f>6-SUM(A972:F972)</f>
        <v/>
      </c>
    </row>
    <row r="973">
      <c r="A973">
        <f>IF('Entry Builder'!$N$7=0,1,IF('Entry Builder'!$D$7="Less",--(INDEX(Sims!$A973:$BO973,'Entry Builder'!$L$7)&lt;'Entry Builder'!$E$7),--(INDEX(Sims!$A973:$BO973,'Entry Builder'!$L$7)&gt;'Entry Builder'!$E$7)))</f>
        <v/>
      </c>
      <c r="B973">
        <f>IF('Entry Builder'!$N$8=0,1,IF('Entry Builder'!$D$8="Less",--(INDEX(Sims!$A973:$BO973,'Entry Builder'!$L$8)&lt;'Entry Builder'!$E$8),--(INDEX(Sims!$A973:$BO973,'Entry Builder'!$L$8)&gt;'Entry Builder'!$E$8)))</f>
        <v/>
      </c>
      <c r="C973">
        <f>IF('Entry Builder'!$N$9=0,1,IF('Entry Builder'!$D$9="Less",--(INDEX(Sims!$A973:$BO973,'Entry Builder'!$L$9)&lt;'Entry Builder'!$E$9),--(INDEX(Sims!$A973:$BO973,'Entry Builder'!$L$9)&gt;'Entry Builder'!$E$9)))</f>
        <v/>
      </c>
      <c r="D973">
        <f>IF('Entry Builder'!$N$10=0,1,IF('Entry Builder'!$D$10="Less",--(INDEX(Sims!$A973:$BO973,'Entry Builder'!$L$10)&lt;'Entry Builder'!$E$10),--(INDEX(Sims!$A973:$BO973,'Entry Builder'!$L$10)&gt;'Entry Builder'!$E$10)))</f>
        <v/>
      </c>
      <c r="E973">
        <f>IF('Entry Builder'!$N$11=0,1,IF('Entry Builder'!$D$11="Less",--(INDEX(Sims!$A973:$BO973,'Entry Builder'!$L$11)&lt;'Entry Builder'!$E$11),--(INDEX(Sims!$A973:$BO973,'Entry Builder'!$L$11)&gt;'Entry Builder'!$E$11)))</f>
        <v/>
      </c>
      <c r="F973">
        <f>IF('Entry Builder'!$N$12=0,1,IF('Entry Builder'!$D$12="Less",--(INDEX(Sims!$A973:$BO973,'Entry Builder'!$L$12)&lt;'Entry Builder'!$E$12),--(INDEX(Sims!$A973:$BO973,'Entry Builder'!$L$12)&gt;'Entry Builder'!$E$12)))</f>
        <v/>
      </c>
      <c r="G973">
        <f>6-SUM(A973:F973)</f>
        <v/>
      </c>
    </row>
    <row r="974">
      <c r="A974">
        <f>IF('Entry Builder'!$N$7=0,1,IF('Entry Builder'!$D$7="Less",--(INDEX(Sims!$A974:$BO974,'Entry Builder'!$L$7)&lt;'Entry Builder'!$E$7),--(INDEX(Sims!$A974:$BO974,'Entry Builder'!$L$7)&gt;'Entry Builder'!$E$7)))</f>
        <v/>
      </c>
      <c r="B974">
        <f>IF('Entry Builder'!$N$8=0,1,IF('Entry Builder'!$D$8="Less",--(INDEX(Sims!$A974:$BO974,'Entry Builder'!$L$8)&lt;'Entry Builder'!$E$8),--(INDEX(Sims!$A974:$BO974,'Entry Builder'!$L$8)&gt;'Entry Builder'!$E$8)))</f>
        <v/>
      </c>
      <c r="C974">
        <f>IF('Entry Builder'!$N$9=0,1,IF('Entry Builder'!$D$9="Less",--(INDEX(Sims!$A974:$BO974,'Entry Builder'!$L$9)&lt;'Entry Builder'!$E$9),--(INDEX(Sims!$A974:$BO974,'Entry Builder'!$L$9)&gt;'Entry Builder'!$E$9)))</f>
        <v/>
      </c>
      <c r="D974">
        <f>IF('Entry Builder'!$N$10=0,1,IF('Entry Builder'!$D$10="Less",--(INDEX(Sims!$A974:$BO974,'Entry Builder'!$L$10)&lt;'Entry Builder'!$E$10),--(INDEX(Sims!$A974:$BO974,'Entry Builder'!$L$10)&gt;'Entry Builder'!$E$10)))</f>
        <v/>
      </c>
      <c r="E974">
        <f>IF('Entry Builder'!$N$11=0,1,IF('Entry Builder'!$D$11="Less",--(INDEX(Sims!$A974:$BO974,'Entry Builder'!$L$11)&lt;'Entry Builder'!$E$11),--(INDEX(Sims!$A974:$BO974,'Entry Builder'!$L$11)&gt;'Entry Builder'!$E$11)))</f>
        <v/>
      </c>
      <c r="F974">
        <f>IF('Entry Builder'!$N$12=0,1,IF('Entry Builder'!$D$12="Less",--(INDEX(Sims!$A974:$BO974,'Entry Builder'!$L$12)&lt;'Entry Builder'!$E$12),--(INDEX(Sims!$A974:$BO974,'Entry Builder'!$L$12)&gt;'Entry Builder'!$E$12)))</f>
        <v/>
      </c>
      <c r="G974">
        <f>6-SUM(A974:F974)</f>
        <v/>
      </c>
    </row>
    <row r="975">
      <c r="A975">
        <f>IF('Entry Builder'!$N$7=0,1,IF('Entry Builder'!$D$7="Less",--(INDEX(Sims!$A975:$BO975,'Entry Builder'!$L$7)&lt;'Entry Builder'!$E$7),--(INDEX(Sims!$A975:$BO975,'Entry Builder'!$L$7)&gt;'Entry Builder'!$E$7)))</f>
        <v/>
      </c>
      <c r="B975">
        <f>IF('Entry Builder'!$N$8=0,1,IF('Entry Builder'!$D$8="Less",--(INDEX(Sims!$A975:$BO975,'Entry Builder'!$L$8)&lt;'Entry Builder'!$E$8),--(INDEX(Sims!$A975:$BO975,'Entry Builder'!$L$8)&gt;'Entry Builder'!$E$8)))</f>
        <v/>
      </c>
      <c r="C975">
        <f>IF('Entry Builder'!$N$9=0,1,IF('Entry Builder'!$D$9="Less",--(INDEX(Sims!$A975:$BO975,'Entry Builder'!$L$9)&lt;'Entry Builder'!$E$9),--(INDEX(Sims!$A975:$BO975,'Entry Builder'!$L$9)&gt;'Entry Builder'!$E$9)))</f>
        <v/>
      </c>
      <c r="D975">
        <f>IF('Entry Builder'!$N$10=0,1,IF('Entry Builder'!$D$10="Less",--(INDEX(Sims!$A975:$BO975,'Entry Builder'!$L$10)&lt;'Entry Builder'!$E$10),--(INDEX(Sims!$A975:$BO975,'Entry Builder'!$L$10)&gt;'Entry Builder'!$E$10)))</f>
        <v/>
      </c>
      <c r="E975">
        <f>IF('Entry Builder'!$N$11=0,1,IF('Entry Builder'!$D$11="Less",--(INDEX(Sims!$A975:$BO975,'Entry Builder'!$L$11)&lt;'Entry Builder'!$E$11),--(INDEX(Sims!$A975:$BO975,'Entry Builder'!$L$11)&gt;'Entry Builder'!$E$11)))</f>
        <v/>
      </c>
      <c r="F975">
        <f>IF('Entry Builder'!$N$12=0,1,IF('Entry Builder'!$D$12="Less",--(INDEX(Sims!$A975:$BO975,'Entry Builder'!$L$12)&lt;'Entry Builder'!$E$12),--(INDEX(Sims!$A975:$BO975,'Entry Builder'!$L$12)&gt;'Entry Builder'!$E$12)))</f>
        <v/>
      </c>
      <c r="G975">
        <f>6-SUM(A975:F975)</f>
        <v/>
      </c>
    </row>
    <row r="976">
      <c r="A976">
        <f>IF('Entry Builder'!$N$7=0,1,IF('Entry Builder'!$D$7="Less",--(INDEX(Sims!$A976:$BO976,'Entry Builder'!$L$7)&lt;'Entry Builder'!$E$7),--(INDEX(Sims!$A976:$BO976,'Entry Builder'!$L$7)&gt;'Entry Builder'!$E$7)))</f>
        <v/>
      </c>
      <c r="B976">
        <f>IF('Entry Builder'!$N$8=0,1,IF('Entry Builder'!$D$8="Less",--(INDEX(Sims!$A976:$BO976,'Entry Builder'!$L$8)&lt;'Entry Builder'!$E$8),--(INDEX(Sims!$A976:$BO976,'Entry Builder'!$L$8)&gt;'Entry Builder'!$E$8)))</f>
        <v/>
      </c>
      <c r="C976">
        <f>IF('Entry Builder'!$N$9=0,1,IF('Entry Builder'!$D$9="Less",--(INDEX(Sims!$A976:$BO976,'Entry Builder'!$L$9)&lt;'Entry Builder'!$E$9),--(INDEX(Sims!$A976:$BO976,'Entry Builder'!$L$9)&gt;'Entry Builder'!$E$9)))</f>
        <v/>
      </c>
      <c r="D976">
        <f>IF('Entry Builder'!$N$10=0,1,IF('Entry Builder'!$D$10="Less",--(INDEX(Sims!$A976:$BO976,'Entry Builder'!$L$10)&lt;'Entry Builder'!$E$10),--(INDEX(Sims!$A976:$BO976,'Entry Builder'!$L$10)&gt;'Entry Builder'!$E$10)))</f>
        <v/>
      </c>
      <c r="E976">
        <f>IF('Entry Builder'!$N$11=0,1,IF('Entry Builder'!$D$11="Less",--(INDEX(Sims!$A976:$BO976,'Entry Builder'!$L$11)&lt;'Entry Builder'!$E$11),--(INDEX(Sims!$A976:$BO976,'Entry Builder'!$L$11)&gt;'Entry Builder'!$E$11)))</f>
        <v/>
      </c>
      <c r="F976">
        <f>IF('Entry Builder'!$N$12=0,1,IF('Entry Builder'!$D$12="Less",--(INDEX(Sims!$A976:$BO976,'Entry Builder'!$L$12)&lt;'Entry Builder'!$E$12),--(INDEX(Sims!$A976:$BO976,'Entry Builder'!$L$12)&gt;'Entry Builder'!$E$12)))</f>
        <v/>
      </c>
      <c r="G976">
        <f>6-SUM(A976:F976)</f>
        <v/>
      </c>
    </row>
    <row r="977">
      <c r="A977">
        <f>IF('Entry Builder'!$N$7=0,1,IF('Entry Builder'!$D$7="Less",--(INDEX(Sims!$A977:$BO977,'Entry Builder'!$L$7)&lt;'Entry Builder'!$E$7),--(INDEX(Sims!$A977:$BO977,'Entry Builder'!$L$7)&gt;'Entry Builder'!$E$7)))</f>
        <v/>
      </c>
      <c r="B977">
        <f>IF('Entry Builder'!$N$8=0,1,IF('Entry Builder'!$D$8="Less",--(INDEX(Sims!$A977:$BO977,'Entry Builder'!$L$8)&lt;'Entry Builder'!$E$8),--(INDEX(Sims!$A977:$BO977,'Entry Builder'!$L$8)&gt;'Entry Builder'!$E$8)))</f>
        <v/>
      </c>
      <c r="C977">
        <f>IF('Entry Builder'!$N$9=0,1,IF('Entry Builder'!$D$9="Less",--(INDEX(Sims!$A977:$BO977,'Entry Builder'!$L$9)&lt;'Entry Builder'!$E$9),--(INDEX(Sims!$A977:$BO977,'Entry Builder'!$L$9)&gt;'Entry Builder'!$E$9)))</f>
        <v/>
      </c>
      <c r="D977">
        <f>IF('Entry Builder'!$N$10=0,1,IF('Entry Builder'!$D$10="Less",--(INDEX(Sims!$A977:$BO977,'Entry Builder'!$L$10)&lt;'Entry Builder'!$E$10),--(INDEX(Sims!$A977:$BO977,'Entry Builder'!$L$10)&gt;'Entry Builder'!$E$10)))</f>
        <v/>
      </c>
      <c r="E977">
        <f>IF('Entry Builder'!$N$11=0,1,IF('Entry Builder'!$D$11="Less",--(INDEX(Sims!$A977:$BO977,'Entry Builder'!$L$11)&lt;'Entry Builder'!$E$11),--(INDEX(Sims!$A977:$BO977,'Entry Builder'!$L$11)&gt;'Entry Builder'!$E$11)))</f>
        <v/>
      </c>
      <c r="F977">
        <f>IF('Entry Builder'!$N$12=0,1,IF('Entry Builder'!$D$12="Less",--(INDEX(Sims!$A977:$BO977,'Entry Builder'!$L$12)&lt;'Entry Builder'!$E$12),--(INDEX(Sims!$A977:$BO977,'Entry Builder'!$L$12)&gt;'Entry Builder'!$E$12)))</f>
        <v/>
      </c>
      <c r="G977">
        <f>6-SUM(A977:F977)</f>
        <v/>
      </c>
    </row>
    <row r="978">
      <c r="A978">
        <f>IF('Entry Builder'!$N$7=0,1,IF('Entry Builder'!$D$7="Less",--(INDEX(Sims!$A978:$BO978,'Entry Builder'!$L$7)&lt;'Entry Builder'!$E$7),--(INDEX(Sims!$A978:$BO978,'Entry Builder'!$L$7)&gt;'Entry Builder'!$E$7)))</f>
        <v/>
      </c>
      <c r="B978">
        <f>IF('Entry Builder'!$N$8=0,1,IF('Entry Builder'!$D$8="Less",--(INDEX(Sims!$A978:$BO978,'Entry Builder'!$L$8)&lt;'Entry Builder'!$E$8),--(INDEX(Sims!$A978:$BO978,'Entry Builder'!$L$8)&gt;'Entry Builder'!$E$8)))</f>
        <v/>
      </c>
      <c r="C978">
        <f>IF('Entry Builder'!$N$9=0,1,IF('Entry Builder'!$D$9="Less",--(INDEX(Sims!$A978:$BO978,'Entry Builder'!$L$9)&lt;'Entry Builder'!$E$9),--(INDEX(Sims!$A978:$BO978,'Entry Builder'!$L$9)&gt;'Entry Builder'!$E$9)))</f>
        <v/>
      </c>
      <c r="D978">
        <f>IF('Entry Builder'!$N$10=0,1,IF('Entry Builder'!$D$10="Less",--(INDEX(Sims!$A978:$BO978,'Entry Builder'!$L$10)&lt;'Entry Builder'!$E$10),--(INDEX(Sims!$A978:$BO978,'Entry Builder'!$L$10)&gt;'Entry Builder'!$E$10)))</f>
        <v/>
      </c>
      <c r="E978">
        <f>IF('Entry Builder'!$N$11=0,1,IF('Entry Builder'!$D$11="Less",--(INDEX(Sims!$A978:$BO978,'Entry Builder'!$L$11)&lt;'Entry Builder'!$E$11),--(INDEX(Sims!$A978:$BO978,'Entry Builder'!$L$11)&gt;'Entry Builder'!$E$11)))</f>
        <v/>
      </c>
      <c r="F978">
        <f>IF('Entry Builder'!$N$12=0,1,IF('Entry Builder'!$D$12="Less",--(INDEX(Sims!$A978:$BO978,'Entry Builder'!$L$12)&lt;'Entry Builder'!$E$12),--(INDEX(Sims!$A978:$BO978,'Entry Builder'!$L$12)&gt;'Entry Builder'!$E$12)))</f>
        <v/>
      </c>
      <c r="G978">
        <f>6-SUM(A978:F978)</f>
        <v/>
      </c>
    </row>
    <row r="979">
      <c r="A979">
        <f>IF('Entry Builder'!$N$7=0,1,IF('Entry Builder'!$D$7="Less",--(INDEX(Sims!$A979:$BO979,'Entry Builder'!$L$7)&lt;'Entry Builder'!$E$7),--(INDEX(Sims!$A979:$BO979,'Entry Builder'!$L$7)&gt;'Entry Builder'!$E$7)))</f>
        <v/>
      </c>
      <c r="B979">
        <f>IF('Entry Builder'!$N$8=0,1,IF('Entry Builder'!$D$8="Less",--(INDEX(Sims!$A979:$BO979,'Entry Builder'!$L$8)&lt;'Entry Builder'!$E$8),--(INDEX(Sims!$A979:$BO979,'Entry Builder'!$L$8)&gt;'Entry Builder'!$E$8)))</f>
        <v/>
      </c>
      <c r="C979">
        <f>IF('Entry Builder'!$N$9=0,1,IF('Entry Builder'!$D$9="Less",--(INDEX(Sims!$A979:$BO979,'Entry Builder'!$L$9)&lt;'Entry Builder'!$E$9),--(INDEX(Sims!$A979:$BO979,'Entry Builder'!$L$9)&gt;'Entry Builder'!$E$9)))</f>
        <v/>
      </c>
      <c r="D979">
        <f>IF('Entry Builder'!$N$10=0,1,IF('Entry Builder'!$D$10="Less",--(INDEX(Sims!$A979:$BO979,'Entry Builder'!$L$10)&lt;'Entry Builder'!$E$10),--(INDEX(Sims!$A979:$BO979,'Entry Builder'!$L$10)&gt;'Entry Builder'!$E$10)))</f>
        <v/>
      </c>
      <c r="E979">
        <f>IF('Entry Builder'!$N$11=0,1,IF('Entry Builder'!$D$11="Less",--(INDEX(Sims!$A979:$BO979,'Entry Builder'!$L$11)&lt;'Entry Builder'!$E$11),--(INDEX(Sims!$A979:$BO979,'Entry Builder'!$L$11)&gt;'Entry Builder'!$E$11)))</f>
        <v/>
      </c>
      <c r="F979">
        <f>IF('Entry Builder'!$N$12=0,1,IF('Entry Builder'!$D$12="Less",--(INDEX(Sims!$A979:$BO979,'Entry Builder'!$L$12)&lt;'Entry Builder'!$E$12),--(INDEX(Sims!$A979:$BO979,'Entry Builder'!$L$12)&gt;'Entry Builder'!$E$12)))</f>
        <v/>
      </c>
      <c r="G979">
        <f>6-SUM(A979:F979)</f>
        <v/>
      </c>
    </row>
    <row r="980">
      <c r="A980">
        <f>IF('Entry Builder'!$N$7=0,1,IF('Entry Builder'!$D$7="Less",--(INDEX(Sims!$A980:$BO980,'Entry Builder'!$L$7)&lt;'Entry Builder'!$E$7),--(INDEX(Sims!$A980:$BO980,'Entry Builder'!$L$7)&gt;'Entry Builder'!$E$7)))</f>
        <v/>
      </c>
      <c r="B980">
        <f>IF('Entry Builder'!$N$8=0,1,IF('Entry Builder'!$D$8="Less",--(INDEX(Sims!$A980:$BO980,'Entry Builder'!$L$8)&lt;'Entry Builder'!$E$8),--(INDEX(Sims!$A980:$BO980,'Entry Builder'!$L$8)&gt;'Entry Builder'!$E$8)))</f>
        <v/>
      </c>
      <c r="C980">
        <f>IF('Entry Builder'!$N$9=0,1,IF('Entry Builder'!$D$9="Less",--(INDEX(Sims!$A980:$BO980,'Entry Builder'!$L$9)&lt;'Entry Builder'!$E$9),--(INDEX(Sims!$A980:$BO980,'Entry Builder'!$L$9)&gt;'Entry Builder'!$E$9)))</f>
        <v/>
      </c>
      <c r="D980">
        <f>IF('Entry Builder'!$N$10=0,1,IF('Entry Builder'!$D$10="Less",--(INDEX(Sims!$A980:$BO980,'Entry Builder'!$L$10)&lt;'Entry Builder'!$E$10),--(INDEX(Sims!$A980:$BO980,'Entry Builder'!$L$10)&gt;'Entry Builder'!$E$10)))</f>
        <v/>
      </c>
      <c r="E980">
        <f>IF('Entry Builder'!$N$11=0,1,IF('Entry Builder'!$D$11="Less",--(INDEX(Sims!$A980:$BO980,'Entry Builder'!$L$11)&lt;'Entry Builder'!$E$11),--(INDEX(Sims!$A980:$BO980,'Entry Builder'!$L$11)&gt;'Entry Builder'!$E$11)))</f>
        <v/>
      </c>
      <c r="F980">
        <f>IF('Entry Builder'!$N$12=0,1,IF('Entry Builder'!$D$12="Less",--(INDEX(Sims!$A980:$BO980,'Entry Builder'!$L$12)&lt;'Entry Builder'!$E$12),--(INDEX(Sims!$A980:$BO980,'Entry Builder'!$L$12)&gt;'Entry Builder'!$E$12)))</f>
        <v/>
      </c>
      <c r="G980">
        <f>6-SUM(A980:F980)</f>
        <v/>
      </c>
    </row>
    <row r="981">
      <c r="A981">
        <f>IF('Entry Builder'!$N$7=0,1,IF('Entry Builder'!$D$7="Less",--(INDEX(Sims!$A981:$BO981,'Entry Builder'!$L$7)&lt;'Entry Builder'!$E$7),--(INDEX(Sims!$A981:$BO981,'Entry Builder'!$L$7)&gt;'Entry Builder'!$E$7)))</f>
        <v/>
      </c>
      <c r="B981">
        <f>IF('Entry Builder'!$N$8=0,1,IF('Entry Builder'!$D$8="Less",--(INDEX(Sims!$A981:$BO981,'Entry Builder'!$L$8)&lt;'Entry Builder'!$E$8),--(INDEX(Sims!$A981:$BO981,'Entry Builder'!$L$8)&gt;'Entry Builder'!$E$8)))</f>
        <v/>
      </c>
      <c r="C981">
        <f>IF('Entry Builder'!$N$9=0,1,IF('Entry Builder'!$D$9="Less",--(INDEX(Sims!$A981:$BO981,'Entry Builder'!$L$9)&lt;'Entry Builder'!$E$9),--(INDEX(Sims!$A981:$BO981,'Entry Builder'!$L$9)&gt;'Entry Builder'!$E$9)))</f>
        <v/>
      </c>
      <c r="D981">
        <f>IF('Entry Builder'!$N$10=0,1,IF('Entry Builder'!$D$10="Less",--(INDEX(Sims!$A981:$BO981,'Entry Builder'!$L$10)&lt;'Entry Builder'!$E$10),--(INDEX(Sims!$A981:$BO981,'Entry Builder'!$L$10)&gt;'Entry Builder'!$E$10)))</f>
        <v/>
      </c>
      <c r="E981">
        <f>IF('Entry Builder'!$N$11=0,1,IF('Entry Builder'!$D$11="Less",--(INDEX(Sims!$A981:$BO981,'Entry Builder'!$L$11)&lt;'Entry Builder'!$E$11),--(INDEX(Sims!$A981:$BO981,'Entry Builder'!$L$11)&gt;'Entry Builder'!$E$11)))</f>
        <v/>
      </c>
      <c r="F981">
        <f>IF('Entry Builder'!$N$12=0,1,IF('Entry Builder'!$D$12="Less",--(INDEX(Sims!$A981:$BO981,'Entry Builder'!$L$12)&lt;'Entry Builder'!$E$12),--(INDEX(Sims!$A981:$BO981,'Entry Builder'!$L$12)&gt;'Entry Builder'!$E$12)))</f>
        <v/>
      </c>
      <c r="G981">
        <f>6-SUM(A981:F981)</f>
        <v/>
      </c>
    </row>
    <row r="982">
      <c r="A982">
        <f>IF('Entry Builder'!$N$7=0,1,IF('Entry Builder'!$D$7="Less",--(INDEX(Sims!$A982:$BO982,'Entry Builder'!$L$7)&lt;'Entry Builder'!$E$7),--(INDEX(Sims!$A982:$BO982,'Entry Builder'!$L$7)&gt;'Entry Builder'!$E$7)))</f>
        <v/>
      </c>
      <c r="B982">
        <f>IF('Entry Builder'!$N$8=0,1,IF('Entry Builder'!$D$8="Less",--(INDEX(Sims!$A982:$BO982,'Entry Builder'!$L$8)&lt;'Entry Builder'!$E$8),--(INDEX(Sims!$A982:$BO982,'Entry Builder'!$L$8)&gt;'Entry Builder'!$E$8)))</f>
        <v/>
      </c>
      <c r="C982">
        <f>IF('Entry Builder'!$N$9=0,1,IF('Entry Builder'!$D$9="Less",--(INDEX(Sims!$A982:$BO982,'Entry Builder'!$L$9)&lt;'Entry Builder'!$E$9),--(INDEX(Sims!$A982:$BO982,'Entry Builder'!$L$9)&gt;'Entry Builder'!$E$9)))</f>
        <v/>
      </c>
      <c r="D982">
        <f>IF('Entry Builder'!$N$10=0,1,IF('Entry Builder'!$D$10="Less",--(INDEX(Sims!$A982:$BO982,'Entry Builder'!$L$10)&lt;'Entry Builder'!$E$10),--(INDEX(Sims!$A982:$BO982,'Entry Builder'!$L$10)&gt;'Entry Builder'!$E$10)))</f>
        <v/>
      </c>
      <c r="E982">
        <f>IF('Entry Builder'!$N$11=0,1,IF('Entry Builder'!$D$11="Less",--(INDEX(Sims!$A982:$BO982,'Entry Builder'!$L$11)&lt;'Entry Builder'!$E$11),--(INDEX(Sims!$A982:$BO982,'Entry Builder'!$L$11)&gt;'Entry Builder'!$E$11)))</f>
        <v/>
      </c>
      <c r="F982">
        <f>IF('Entry Builder'!$N$12=0,1,IF('Entry Builder'!$D$12="Less",--(INDEX(Sims!$A982:$BO982,'Entry Builder'!$L$12)&lt;'Entry Builder'!$E$12),--(INDEX(Sims!$A982:$BO982,'Entry Builder'!$L$12)&gt;'Entry Builder'!$E$12)))</f>
        <v/>
      </c>
      <c r="G982">
        <f>6-SUM(A982:F982)</f>
        <v/>
      </c>
    </row>
    <row r="983">
      <c r="A983">
        <f>IF('Entry Builder'!$N$7=0,1,IF('Entry Builder'!$D$7="Less",--(INDEX(Sims!$A983:$BO983,'Entry Builder'!$L$7)&lt;'Entry Builder'!$E$7),--(INDEX(Sims!$A983:$BO983,'Entry Builder'!$L$7)&gt;'Entry Builder'!$E$7)))</f>
        <v/>
      </c>
      <c r="B983">
        <f>IF('Entry Builder'!$N$8=0,1,IF('Entry Builder'!$D$8="Less",--(INDEX(Sims!$A983:$BO983,'Entry Builder'!$L$8)&lt;'Entry Builder'!$E$8),--(INDEX(Sims!$A983:$BO983,'Entry Builder'!$L$8)&gt;'Entry Builder'!$E$8)))</f>
        <v/>
      </c>
      <c r="C983">
        <f>IF('Entry Builder'!$N$9=0,1,IF('Entry Builder'!$D$9="Less",--(INDEX(Sims!$A983:$BO983,'Entry Builder'!$L$9)&lt;'Entry Builder'!$E$9),--(INDEX(Sims!$A983:$BO983,'Entry Builder'!$L$9)&gt;'Entry Builder'!$E$9)))</f>
        <v/>
      </c>
      <c r="D983">
        <f>IF('Entry Builder'!$N$10=0,1,IF('Entry Builder'!$D$10="Less",--(INDEX(Sims!$A983:$BO983,'Entry Builder'!$L$10)&lt;'Entry Builder'!$E$10),--(INDEX(Sims!$A983:$BO983,'Entry Builder'!$L$10)&gt;'Entry Builder'!$E$10)))</f>
        <v/>
      </c>
      <c r="E983">
        <f>IF('Entry Builder'!$N$11=0,1,IF('Entry Builder'!$D$11="Less",--(INDEX(Sims!$A983:$BO983,'Entry Builder'!$L$11)&lt;'Entry Builder'!$E$11),--(INDEX(Sims!$A983:$BO983,'Entry Builder'!$L$11)&gt;'Entry Builder'!$E$11)))</f>
        <v/>
      </c>
      <c r="F983">
        <f>IF('Entry Builder'!$N$12=0,1,IF('Entry Builder'!$D$12="Less",--(INDEX(Sims!$A983:$BO983,'Entry Builder'!$L$12)&lt;'Entry Builder'!$E$12),--(INDEX(Sims!$A983:$BO983,'Entry Builder'!$L$12)&gt;'Entry Builder'!$E$12)))</f>
        <v/>
      </c>
      <c r="G983">
        <f>6-SUM(A983:F983)</f>
        <v/>
      </c>
    </row>
    <row r="984">
      <c r="A984">
        <f>IF('Entry Builder'!$N$7=0,1,IF('Entry Builder'!$D$7="Less",--(INDEX(Sims!$A984:$BO984,'Entry Builder'!$L$7)&lt;'Entry Builder'!$E$7),--(INDEX(Sims!$A984:$BO984,'Entry Builder'!$L$7)&gt;'Entry Builder'!$E$7)))</f>
        <v/>
      </c>
      <c r="B984">
        <f>IF('Entry Builder'!$N$8=0,1,IF('Entry Builder'!$D$8="Less",--(INDEX(Sims!$A984:$BO984,'Entry Builder'!$L$8)&lt;'Entry Builder'!$E$8),--(INDEX(Sims!$A984:$BO984,'Entry Builder'!$L$8)&gt;'Entry Builder'!$E$8)))</f>
        <v/>
      </c>
      <c r="C984">
        <f>IF('Entry Builder'!$N$9=0,1,IF('Entry Builder'!$D$9="Less",--(INDEX(Sims!$A984:$BO984,'Entry Builder'!$L$9)&lt;'Entry Builder'!$E$9),--(INDEX(Sims!$A984:$BO984,'Entry Builder'!$L$9)&gt;'Entry Builder'!$E$9)))</f>
        <v/>
      </c>
      <c r="D984">
        <f>IF('Entry Builder'!$N$10=0,1,IF('Entry Builder'!$D$10="Less",--(INDEX(Sims!$A984:$BO984,'Entry Builder'!$L$10)&lt;'Entry Builder'!$E$10),--(INDEX(Sims!$A984:$BO984,'Entry Builder'!$L$10)&gt;'Entry Builder'!$E$10)))</f>
        <v/>
      </c>
      <c r="E984">
        <f>IF('Entry Builder'!$N$11=0,1,IF('Entry Builder'!$D$11="Less",--(INDEX(Sims!$A984:$BO984,'Entry Builder'!$L$11)&lt;'Entry Builder'!$E$11),--(INDEX(Sims!$A984:$BO984,'Entry Builder'!$L$11)&gt;'Entry Builder'!$E$11)))</f>
        <v/>
      </c>
      <c r="F984">
        <f>IF('Entry Builder'!$N$12=0,1,IF('Entry Builder'!$D$12="Less",--(INDEX(Sims!$A984:$BO984,'Entry Builder'!$L$12)&lt;'Entry Builder'!$E$12),--(INDEX(Sims!$A984:$BO984,'Entry Builder'!$L$12)&gt;'Entry Builder'!$E$12)))</f>
        <v/>
      </c>
      <c r="G984">
        <f>6-SUM(A984:F984)</f>
        <v/>
      </c>
    </row>
    <row r="985">
      <c r="A985">
        <f>IF('Entry Builder'!$N$7=0,1,IF('Entry Builder'!$D$7="Less",--(INDEX(Sims!$A985:$BO985,'Entry Builder'!$L$7)&lt;'Entry Builder'!$E$7),--(INDEX(Sims!$A985:$BO985,'Entry Builder'!$L$7)&gt;'Entry Builder'!$E$7)))</f>
        <v/>
      </c>
      <c r="B985">
        <f>IF('Entry Builder'!$N$8=0,1,IF('Entry Builder'!$D$8="Less",--(INDEX(Sims!$A985:$BO985,'Entry Builder'!$L$8)&lt;'Entry Builder'!$E$8),--(INDEX(Sims!$A985:$BO985,'Entry Builder'!$L$8)&gt;'Entry Builder'!$E$8)))</f>
        <v/>
      </c>
      <c r="C985">
        <f>IF('Entry Builder'!$N$9=0,1,IF('Entry Builder'!$D$9="Less",--(INDEX(Sims!$A985:$BO985,'Entry Builder'!$L$9)&lt;'Entry Builder'!$E$9),--(INDEX(Sims!$A985:$BO985,'Entry Builder'!$L$9)&gt;'Entry Builder'!$E$9)))</f>
        <v/>
      </c>
      <c r="D985">
        <f>IF('Entry Builder'!$N$10=0,1,IF('Entry Builder'!$D$10="Less",--(INDEX(Sims!$A985:$BO985,'Entry Builder'!$L$10)&lt;'Entry Builder'!$E$10),--(INDEX(Sims!$A985:$BO985,'Entry Builder'!$L$10)&gt;'Entry Builder'!$E$10)))</f>
        <v/>
      </c>
      <c r="E985">
        <f>IF('Entry Builder'!$N$11=0,1,IF('Entry Builder'!$D$11="Less",--(INDEX(Sims!$A985:$BO985,'Entry Builder'!$L$11)&lt;'Entry Builder'!$E$11),--(INDEX(Sims!$A985:$BO985,'Entry Builder'!$L$11)&gt;'Entry Builder'!$E$11)))</f>
        <v/>
      </c>
      <c r="F985">
        <f>IF('Entry Builder'!$N$12=0,1,IF('Entry Builder'!$D$12="Less",--(INDEX(Sims!$A985:$BO985,'Entry Builder'!$L$12)&lt;'Entry Builder'!$E$12),--(INDEX(Sims!$A985:$BO985,'Entry Builder'!$L$12)&gt;'Entry Builder'!$E$12)))</f>
        <v/>
      </c>
      <c r="G985">
        <f>6-SUM(A985:F985)</f>
        <v/>
      </c>
    </row>
    <row r="986">
      <c r="A986">
        <f>IF('Entry Builder'!$N$7=0,1,IF('Entry Builder'!$D$7="Less",--(INDEX(Sims!$A986:$BO986,'Entry Builder'!$L$7)&lt;'Entry Builder'!$E$7),--(INDEX(Sims!$A986:$BO986,'Entry Builder'!$L$7)&gt;'Entry Builder'!$E$7)))</f>
        <v/>
      </c>
      <c r="B986">
        <f>IF('Entry Builder'!$N$8=0,1,IF('Entry Builder'!$D$8="Less",--(INDEX(Sims!$A986:$BO986,'Entry Builder'!$L$8)&lt;'Entry Builder'!$E$8),--(INDEX(Sims!$A986:$BO986,'Entry Builder'!$L$8)&gt;'Entry Builder'!$E$8)))</f>
        <v/>
      </c>
      <c r="C986">
        <f>IF('Entry Builder'!$N$9=0,1,IF('Entry Builder'!$D$9="Less",--(INDEX(Sims!$A986:$BO986,'Entry Builder'!$L$9)&lt;'Entry Builder'!$E$9),--(INDEX(Sims!$A986:$BO986,'Entry Builder'!$L$9)&gt;'Entry Builder'!$E$9)))</f>
        <v/>
      </c>
      <c r="D986">
        <f>IF('Entry Builder'!$N$10=0,1,IF('Entry Builder'!$D$10="Less",--(INDEX(Sims!$A986:$BO986,'Entry Builder'!$L$10)&lt;'Entry Builder'!$E$10),--(INDEX(Sims!$A986:$BO986,'Entry Builder'!$L$10)&gt;'Entry Builder'!$E$10)))</f>
        <v/>
      </c>
      <c r="E986">
        <f>IF('Entry Builder'!$N$11=0,1,IF('Entry Builder'!$D$11="Less",--(INDEX(Sims!$A986:$BO986,'Entry Builder'!$L$11)&lt;'Entry Builder'!$E$11),--(INDEX(Sims!$A986:$BO986,'Entry Builder'!$L$11)&gt;'Entry Builder'!$E$11)))</f>
        <v/>
      </c>
      <c r="F986">
        <f>IF('Entry Builder'!$N$12=0,1,IF('Entry Builder'!$D$12="Less",--(INDEX(Sims!$A986:$BO986,'Entry Builder'!$L$12)&lt;'Entry Builder'!$E$12),--(INDEX(Sims!$A986:$BO986,'Entry Builder'!$L$12)&gt;'Entry Builder'!$E$12)))</f>
        <v/>
      </c>
      <c r="G986">
        <f>6-SUM(A986:F986)</f>
        <v/>
      </c>
    </row>
    <row r="987">
      <c r="A987">
        <f>IF('Entry Builder'!$N$7=0,1,IF('Entry Builder'!$D$7="Less",--(INDEX(Sims!$A987:$BO987,'Entry Builder'!$L$7)&lt;'Entry Builder'!$E$7),--(INDEX(Sims!$A987:$BO987,'Entry Builder'!$L$7)&gt;'Entry Builder'!$E$7)))</f>
        <v/>
      </c>
      <c r="B987">
        <f>IF('Entry Builder'!$N$8=0,1,IF('Entry Builder'!$D$8="Less",--(INDEX(Sims!$A987:$BO987,'Entry Builder'!$L$8)&lt;'Entry Builder'!$E$8),--(INDEX(Sims!$A987:$BO987,'Entry Builder'!$L$8)&gt;'Entry Builder'!$E$8)))</f>
        <v/>
      </c>
      <c r="C987">
        <f>IF('Entry Builder'!$N$9=0,1,IF('Entry Builder'!$D$9="Less",--(INDEX(Sims!$A987:$BO987,'Entry Builder'!$L$9)&lt;'Entry Builder'!$E$9),--(INDEX(Sims!$A987:$BO987,'Entry Builder'!$L$9)&gt;'Entry Builder'!$E$9)))</f>
        <v/>
      </c>
      <c r="D987">
        <f>IF('Entry Builder'!$N$10=0,1,IF('Entry Builder'!$D$10="Less",--(INDEX(Sims!$A987:$BO987,'Entry Builder'!$L$10)&lt;'Entry Builder'!$E$10),--(INDEX(Sims!$A987:$BO987,'Entry Builder'!$L$10)&gt;'Entry Builder'!$E$10)))</f>
        <v/>
      </c>
      <c r="E987">
        <f>IF('Entry Builder'!$N$11=0,1,IF('Entry Builder'!$D$11="Less",--(INDEX(Sims!$A987:$BO987,'Entry Builder'!$L$11)&lt;'Entry Builder'!$E$11),--(INDEX(Sims!$A987:$BO987,'Entry Builder'!$L$11)&gt;'Entry Builder'!$E$11)))</f>
        <v/>
      </c>
      <c r="F987">
        <f>IF('Entry Builder'!$N$12=0,1,IF('Entry Builder'!$D$12="Less",--(INDEX(Sims!$A987:$BO987,'Entry Builder'!$L$12)&lt;'Entry Builder'!$E$12),--(INDEX(Sims!$A987:$BO987,'Entry Builder'!$L$12)&gt;'Entry Builder'!$E$12)))</f>
        <v/>
      </c>
      <c r="G987">
        <f>6-SUM(A987:F987)</f>
        <v/>
      </c>
    </row>
    <row r="988">
      <c r="A988">
        <f>IF('Entry Builder'!$N$7=0,1,IF('Entry Builder'!$D$7="Less",--(INDEX(Sims!$A988:$BO988,'Entry Builder'!$L$7)&lt;'Entry Builder'!$E$7),--(INDEX(Sims!$A988:$BO988,'Entry Builder'!$L$7)&gt;'Entry Builder'!$E$7)))</f>
        <v/>
      </c>
      <c r="B988">
        <f>IF('Entry Builder'!$N$8=0,1,IF('Entry Builder'!$D$8="Less",--(INDEX(Sims!$A988:$BO988,'Entry Builder'!$L$8)&lt;'Entry Builder'!$E$8),--(INDEX(Sims!$A988:$BO988,'Entry Builder'!$L$8)&gt;'Entry Builder'!$E$8)))</f>
        <v/>
      </c>
      <c r="C988">
        <f>IF('Entry Builder'!$N$9=0,1,IF('Entry Builder'!$D$9="Less",--(INDEX(Sims!$A988:$BO988,'Entry Builder'!$L$9)&lt;'Entry Builder'!$E$9),--(INDEX(Sims!$A988:$BO988,'Entry Builder'!$L$9)&gt;'Entry Builder'!$E$9)))</f>
        <v/>
      </c>
      <c r="D988">
        <f>IF('Entry Builder'!$N$10=0,1,IF('Entry Builder'!$D$10="Less",--(INDEX(Sims!$A988:$BO988,'Entry Builder'!$L$10)&lt;'Entry Builder'!$E$10),--(INDEX(Sims!$A988:$BO988,'Entry Builder'!$L$10)&gt;'Entry Builder'!$E$10)))</f>
        <v/>
      </c>
      <c r="E988">
        <f>IF('Entry Builder'!$N$11=0,1,IF('Entry Builder'!$D$11="Less",--(INDEX(Sims!$A988:$BO988,'Entry Builder'!$L$11)&lt;'Entry Builder'!$E$11),--(INDEX(Sims!$A988:$BO988,'Entry Builder'!$L$11)&gt;'Entry Builder'!$E$11)))</f>
        <v/>
      </c>
      <c r="F988">
        <f>IF('Entry Builder'!$N$12=0,1,IF('Entry Builder'!$D$12="Less",--(INDEX(Sims!$A988:$BO988,'Entry Builder'!$L$12)&lt;'Entry Builder'!$E$12),--(INDEX(Sims!$A988:$BO988,'Entry Builder'!$L$12)&gt;'Entry Builder'!$E$12)))</f>
        <v/>
      </c>
      <c r="G988">
        <f>6-SUM(A988:F988)</f>
        <v/>
      </c>
    </row>
    <row r="989">
      <c r="A989">
        <f>IF('Entry Builder'!$N$7=0,1,IF('Entry Builder'!$D$7="Less",--(INDEX(Sims!$A989:$BO989,'Entry Builder'!$L$7)&lt;'Entry Builder'!$E$7),--(INDEX(Sims!$A989:$BO989,'Entry Builder'!$L$7)&gt;'Entry Builder'!$E$7)))</f>
        <v/>
      </c>
      <c r="B989">
        <f>IF('Entry Builder'!$N$8=0,1,IF('Entry Builder'!$D$8="Less",--(INDEX(Sims!$A989:$BO989,'Entry Builder'!$L$8)&lt;'Entry Builder'!$E$8),--(INDEX(Sims!$A989:$BO989,'Entry Builder'!$L$8)&gt;'Entry Builder'!$E$8)))</f>
        <v/>
      </c>
      <c r="C989">
        <f>IF('Entry Builder'!$N$9=0,1,IF('Entry Builder'!$D$9="Less",--(INDEX(Sims!$A989:$BO989,'Entry Builder'!$L$9)&lt;'Entry Builder'!$E$9),--(INDEX(Sims!$A989:$BO989,'Entry Builder'!$L$9)&gt;'Entry Builder'!$E$9)))</f>
        <v/>
      </c>
      <c r="D989">
        <f>IF('Entry Builder'!$N$10=0,1,IF('Entry Builder'!$D$10="Less",--(INDEX(Sims!$A989:$BO989,'Entry Builder'!$L$10)&lt;'Entry Builder'!$E$10),--(INDEX(Sims!$A989:$BO989,'Entry Builder'!$L$10)&gt;'Entry Builder'!$E$10)))</f>
        <v/>
      </c>
      <c r="E989">
        <f>IF('Entry Builder'!$N$11=0,1,IF('Entry Builder'!$D$11="Less",--(INDEX(Sims!$A989:$BO989,'Entry Builder'!$L$11)&lt;'Entry Builder'!$E$11),--(INDEX(Sims!$A989:$BO989,'Entry Builder'!$L$11)&gt;'Entry Builder'!$E$11)))</f>
        <v/>
      </c>
      <c r="F989">
        <f>IF('Entry Builder'!$N$12=0,1,IF('Entry Builder'!$D$12="Less",--(INDEX(Sims!$A989:$BO989,'Entry Builder'!$L$12)&lt;'Entry Builder'!$E$12),--(INDEX(Sims!$A989:$BO989,'Entry Builder'!$L$12)&gt;'Entry Builder'!$E$12)))</f>
        <v/>
      </c>
      <c r="G989">
        <f>6-SUM(A989:F989)</f>
        <v/>
      </c>
    </row>
    <row r="990">
      <c r="A990">
        <f>IF('Entry Builder'!$N$7=0,1,IF('Entry Builder'!$D$7="Less",--(INDEX(Sims!$A990:$BO990,'Entry Builder'!$L$7)&lt;'Entry Builder'!$E$7),--(INDEX(Sims!$A990:$BO990,'Entry Builder'!$L$7)&gt;'Entry Builder'!$E$7)))</f>
        <v/>
      </c>
      <c r="B990">
        <f>IF('Entry Builder'!$N$8=0,1,IF('Entry Builder'!$D$8="Less",--(INDEX(Sims!$A990:$BO990,'Entry Builder'!$L$8)&lt;'Entry Builder'!$E$8),--(INDEX(Sims!$A990:$BO990,'Entry Builder'!$L$8)&gt;'Entry Builder'!$E$8)))</f>
        <v/>
      </c>
      <c r="C990">
        <f>IF('Entry Builder'!$N$9=0,1,IF('Entry Builder'!$D$9="Less",--(INDEX(Sims!$A990:$BO990,'Entry Builder'!$L$9)&lt;'Entry Builder'!$E$9),--(INDEX(Sims!$A990:$BO990,'Entry Builder'!$L$9)&gt;'Entry Builder'!$E$9)))</f>
        <v/>
      </c>
      <c r="D990">
        <f>IF('Entry Builder'!$N$10=0,1,IF('Entry Builder'!$D$10="Less",--(INDEX(Sims!$A990:$BO990,'Entry Builder'!$L$10)&lt;'Entry Builder'!$E$10),--(INDEX(Sims!$A990:$BO990,'Entry Builder'!$L$10)&gt;'Entry Builder'!$E$10)))</f>
        <v/>
      </c>
      <c r="E990">
        <f>IF('Entry Builder'!$N$11=0,1,IF('Entry Builder'!$D$11="Less",--(INDEX(Sims!$A990:$BO990,'Entry Builder'!$L$11)&lt;'Entry Builder'!$E$11),--(INDEX(Sims!$A990:$BO990,'Entry Builder'!$L$11)&gt;'Entry Builder'!$E$11)))</f>
        <v/>
      </c>
      <c r="F990">
        <f>IF('Entry Builder'!$N$12=0,1,IF('Entry Builder'!$D$12="Less",--(INDEX(Sims!$A990:$BO990,'Entry Builder'!$L$12)&lt;'Entry Builder'!$E$12),--(INDEX(Sims!$A990:$BO990,'Entry Builder'!$L$12)&gt;'Entry Builder'!$E$12)))</f>
        <v/>
      </c>
      <c r="G990">
        <f>6-SUM(A990:F990)</f>
        <v/>
      </c>
    </row>
    <row r="991">
      <c r="A991">
        <f>IF('Entry Builder'!$N$7=0,1,IF('Entry Builder'!$D$7="Less",--(INDEX(Sims!$A991:$BO991,'Entry Builder'!$L$7)&lt;'Entry Builder'!$E$7),--(INDEX(Sims!$A991:$BO991,'Entry Builder'!$L$7)&gt;'Entry Builder'!$E$7)))</f>
        <v/>
      </c>
      <c r="B991">
        <f>IF('Entry Builder'!$N$8=0,1,IF('Entry Builder'!$D$8="Less",--(INDEX(Sims!$A991:$BO991,'Entry Builder'!$L$8)&lt;'Entry Builder'!$E$8),--(INDEX(Sims!$A991:$BO991,'Entry Builder'!$L$8)&gt;'Entry Builder'!$E$8)))</f>
        <v/>
      </c>
      <c r="C991">
        <f>IF('Entry Builder'!$N$9=0,1,IF('Entry Builder'!$D$9="Less",--(INDEX(Sims!$A991:$BO991,'Entry Builder'!$L$9)&lt;'Entry Builder'!$E$9),--(INDEX(Sims!$A991:$BO991,'Entry Builder'!$L$9)&gt;'Entry Builder'!$E$9)))</f>
        <v/>
      </c>
      <c r="D991">
        <f>IF('Entry Builder'!$N$10=0,1,IF('Entry Builder'!$D$10="Less",--(INDEX(Sims!$A991:$BO991,'Entry Builder'!$L$10)&lt;'Entry Builder'!$E$10),--(INDEX(Sims!$A991:$BO991,'Entry Builder'!$L$10)&gt;'Entry Builder'!$E$10)))</f>
        <v/>
      </c>
      <c r="E991">
        <f>IF('Entry Builder'!$N$11=0,1,IF('Entry Builder'!$D$11="Less",--(INDEX(Sims!$A991:$BO991,'Entry Builder'!$L$11)&lt;'Entry Builder'!$E$11),--(INDEX(Sims!$A991:$BO991,'Entry Builder'!$L$11)&gt;'Entry Builder'!$E$11)))</f>
        <v/>
      </c>
      <c r="F991">
        <f>IF('Entry Builder'!$N$12=0,1,IF('Entry Builder'!$D$12="Less",--(INDEX(Sims!$A991:$BO991,'Entry Builder'!$L$12)&lt;'Entry Builder'!$E$12),--(INDEX(Sims!$A991:$BO991,'Entry Builder'!$L$12)&gt;'Entry Builder'!$E$12)))</f>
        <v/>
      </c>
      <c r="G991">
        <f>6-SUM(A991:F991)</f>
        <v/>
      </c>
    </row>
    <row r="992">
      <c r="A992">
        <f>IF('Entry Builder'!$N$7=0,1,IF('Entry Builder'!$D$7="Less",--(INDEX(Sims!$A992:$BO992,'Entry Builder'!$L$7)&lt;'Entry Builder'!$E$7),--(INDEX(Sims!$A992:$BO992,'Entry Builder'!$L$7)&gt;'Entry Builder'!$E$7)))</f>
        <v/>
      </c>
      <c r="B992">
        <f>IF('Entry Builder'!$N$8=0,1,IF('Entry Builder'!$D$8="Less",--(INDEX(Sims!$A992:$BO992,'Entry Builder'!$L$8)&lt;'Entry Builder'!$E$8),--(INDEX(Sims!$A992:$BO992,'Entry Builder'!$L$8)&gt;'Entry Builder'!$E$8)))</f>
        <v/>
      </c>
      <c r="C992">
        <f>IF('Entry Builder'!$N$9=0,1,IF('Entry Builder'!$D$9="Less",--(INDEX(Sims!$A992:$BO992,'Entry Builder'!$L$9)&lt;'Entry Builder'!$E$9),--(INDEX(Sims!$A992:$BO992,'Entry Builder'!$L$9)&gt;'Entry Builder'!$E$9)))</f>
        <v/>
      </c>
      <c r="D992">
        <f>IF('Entry Builder'!$N$10=0,1,IF('Entry Builder'!$D$10="Less",--(INDEX(Sims!$A992:$BO992,'Entry Builder'!$L$10)&lt;'Entry Builder'!$E$10),--(INDEX(Sims!$A992:$BO992,'Entry Builder'!$L$10)&gt;'Entry Builder'!$E$10)))</f>
        <v/>
      </c>
      <c r="E992">
        <f>IF('Entry Builder'!$N$11=0,1,IF('Entry Builder'!$D$11="Less",--(INDEX(Sims!$A992:$BO992,'Entry Builder'!$L$11)&lt;'Entry Builder'!$E$11),--(INDEX(Sims!$A992:$BO992,'Entry Builder'!$L$11)&gt;'Entry Builder'!$E$11)))</f>
        <v/>
      </c>
      <c r="F992">
        <f>IF('Entry Builder'!$N$12=0,1,IF('Entry Builder'!$D$12="Less",--(INDEX(Sims!$A992:$BO992,'Entry Builder'!$L$12)&lt;'Entry Builder'!$E$12),--(INDEX(Sims!$A992:$BO992,'Entry Builder'!$L$12)&gt;'Entry Builder'!$E$12)))</f>
        <v/>
      </c>
      <c r="G992">
        <f>6-SUM(A992:F992)</f>
        <v/>
      </c>
    </row>
    <row r="993">
      <c r="A993">
        <f>IF('Entry Builder'!$N$7=0,1,IF('Entry Builder'!$D$7="Less",--(INDEX(Sims!$A993:$BO993,'Entry Builder'!$L$7)&lt;'Entry Builder'!$E$7),--(INDEX(Sims!$A993:$BO993,'Entry Builder'!$L$7)&gt;'Entry Builder'!$E$7)))</f>
        <v/>
      </c>
      <c r="B993">
        <f>IF('Entry Builder'!$N$8=0,1,IF('Entry Builder'!$D$8="Less",--(INDEX(Sims!$A993:$BO993,'Entry Builder'!$L$8)&lt;'Entry Builder'!$E$8),--(INDEX(Sims!$A993:$BO993,'Entry Builder'!$L$8)&gt;'Entry Builder'!$E$8)))</f>
        <v/>
      </c>
      <c r="C993">
        <f>IF('Entry Builder'!$N$9=0,1,IF('Entry Builder'!$D$9="Less",--(INDEX(Sims!$A993:$BO993,'Entry Builder'!$L$9)&lt;'Entry Builder'!$E$9),--(INDEX(Sims!$A993:$BO993,'Entry Builder'!$L$9)&gt;'Entry Builder'!$E$9)))</f>
        <v/>
      </c>
      <c r="D993">
        <f>IF('Entry Builder'!$N$10=0,1,IF('Entry Builder'!$D$10="Less",--(INDEX(Sims!$A993:$BO993,'Entry Builder'!$L$10)&lt;'Entry Builder'!$E$10),--(INDEX(Sims!$A993:$BO993,'Entry Builder'!$L$10)&gt;'Entry Builder'!$E$10)))</f>
        <v/>
      </c>
      <c r="E993">
        <f>IF('Entry Builder'!$N$11=0,1,IF('Entry Builder'!$D$11="Less",--(INDEX(Sims!$A993:$BO993,'Entry Builder'!$L$11)&lt;'Entry Builder'!$E$11),--(INDEX(Sims!$A993:$BO993,'Entry Builder'!$L$11)&gt;'Entry Builder'!$E$11)))</f>
        <v/>
      </c>
      <c r="F993">
        <f>IF('Entry Builder'!$N$12=0,1,IF('Entry Builder'!$D$12="Less",--(INDEX(Sims!$A993:$BO993,'Entry Builder'!$L$12)&lt;'Entry Builder'!$E$12),--(INDEX(Sims!$A993:$BO993,'Entry Builder'!$L$12)&gt;'Entry Builder'!$E$12)))</f>
        <v/>
      </c>
      <c r="G993">
        <f>6-SUM(A993:F993)</f>
        <v/>
      </c>
    </row>
    <row r="994">
      <c r="A994">
        <f>IF('Entry Builder'!$N$7=0,1,IF('Entry Builder'!$D$7="Less",--(INDEX(Sims!$A994:$BO994,'Entry Builder'!$L$7)&lt;'Entry Builder'!$E$7),--(INDEX(Sims!$A994:$BO994,'Entry Builder'!$L$7)&gt;'Entry Builder'!$E$7)))</f>
        <v/>
      </c>
      <c r="B994">
        <f>IF('Entry Builder'!$N$8=0,1,IF('Entry Builder'!$D$8="Less",--(INDEX(Sims!$A994:$BO994,'Entry Builder'!$L$8)&lt;'Entry Builder'!$E$8),--(INDEX(Sims!$A994:$BO994,'Entry Builder'!$L$8)&gt;'Entry Builder'!$E$8)))</f>
        <v/>
      </c>
      <c r="C994">
        <f>IF('Entry Builder'!$N$9=0,1,IF('Entry Builder'!$D$9="Less",--(INDEX(Sims!$A994:$BO994,'Entry Builder'!$L$9)&lt;'Entry Builder'!$E$9),--(INDEX(Sims!$A994:$BO994,'Entry Builder'!$L$9)&gt;'Entry Builder'!$E$9)))</f>
        <v/>
      </c>
      <c r="D994">
        <f>IF('Entry Builder'!$N$10=0,1,IF('Entry Builder'!$D$10="Less",--(INDEX(Sims!$A994:$BO994,'Entry Builder'!$L$10)&lt;'Entry Builder'!$E$10),--(INDEX(Sims!$A994:$BO994,'Entry Builder'!$L$10)&gt;'Entry Builder'!$E$10)))</f>
        <v/>
      </c>
      <c r="E994">
        <f>IF('Entry Builder'!$N$11=0,1,IF('Entry Builder'!$D$11="Less",--(INDEX(Sims!$A994:$BO994,'Entry Builder'!$L$11)&lt;'Entry Builder'!$E$11),--(INDEX(Sims!$A994:$BO994,'Entry Builder'!$L$11)&gt;'Entry Builder'!$E$11)))</f>
        <v/>
      </c>
      <c r="F994">
        <f>IF('Entry Builder'!$N$12=0,1,IF('Entry Builder'!$D$12="Less",--(INDEX(Sims!$A994:$BO994,'Entry Builder'!$L$12)&lt;'Entry Builder'!$E$12),--(INDEX(Sims!$A994:$BO994,'Entry Builder'!$L$12)&gt;'Entry Builder'!$E$12)))</f>
        <v/>
      </c>
      <c r="G994">
        <f>6-SUM(A994:F994)</f>
        <v/>
      </c>
    </row>
    <row r="995">
      <c r="A995">
        <f>IF('Entry Builder'!$N$7=0,1,IF('Entry Builder'!$D$7="Less",--(INDEX(Sims!$A995:$BO995,'Entry Builder'!$L$7)&lt;'Entry Builder'!$E$7),--(INDEX(Sims!$A995:$BO995,'Entry Builder'!$L$7)&gt;'Entry Builder'!$E$7)))</f>
        <v/>
      </c>
      <c r="B995">
        <f>IF('Entry Builder'!$N$8=0,1,IF('Entry Builder'!$D$8="Less",--(INDEX(Sims!$A995:$BO995,'Entry Builder'!$L$8)&lt;'Entry Builder'!$E$8),--(INDEX(Sims!$A995:$BO995,'Entry Builder'!$L$8)&gt;'Entry Builder'!$E$8)))</f>
        <v/>
      </c>
      <c r="C995">
        <f>IF('Entry Builder'!$N$9=0,1,IF('Entry Builder'!$D$9="Less",--(INDEX(Sims!$A995:$BO995,'Entry Builder'!$L$9)&lt;'Entry Builder'!$E$9),--(INDEX(Sims!$A995:$BO995,'Entry Builder'!$L$9)&gt;'Entry Builder'!$E$9)))</f>
        <v/>
      </c>
      <c r="D995">
        <f>IF('Entry Builder'!$N$10=0,1,IF('Entry Builder'!$D$10="Less",--(INDEX(Sims!$A995:$BO995,'Entry Builder'!$L$10)&lt;'Entry Builder'!$E$10),--(INDEX(Sims!$A995:$BO995,'Entry Builder'!$L$10)&gt;'Entry Builder'!$E$10)))</f>
        <v/>
      </c>
      <c r="E995">
        <f>IF('Entry Builder'!$N$11=0,1,IF('Entry Builder'!$D$11="Less",--(INDEX(Sims!$A995:$BO995,'Entry Builder'!$L$11)&lt;'Entry Builder'!$E$11),--(INDEX(Sims!$A995:$BO995,'Entry Builder'!$L$11)&gt;'Entry Builder'!$E$11)))</f>
        <v/>
      </c>
      <c r="F995">
        <f>IF('Entry Builder'!$N$12=0,1,IF('Entry Builder'!$D$12="Less",--(INDEX(Sims!$A995:$BO995,'Entry Builder'!$L$12)&lt;'Entry Builder'!$E$12),--(INDEX(Sims!$A995:$BO995,'Entry Builder'!$L$12)&gt;'Entry Builder'!$E$12)))</f>
        <v/>
      </c>
      <c r="G995">
        <f>6-SUM(A995:F995)</f>
        <v/>
      </c>
    </row>
    <row r="996">
      <c r="A996">
        <f>IF('Entry Builder'!$N$7=0,1,IF('Entry Builder'!$D$7="Less",--(INDEX(Sims!$A996:$BO996,'Entry Builder'!$L$7)&lt;'Entry Builder'!$E$7),--(INDEX(Sims!$A996:$BO996,'Entry Builder'!$L$7)&gt;'Entry Builder'!$E$7)))</f>
        <v/>
      </c>
      <c r="B996">
        <f>IF('Entry Builder'!$N$8=0,1,IF('Entry Builder'!$D$8="Less",--(INDEX(Sims!$A996:$BO996,'Entry Builder'!$L$8)&lt;'Entry Builder'!$E$8),--(INDEX(Sims!$A996:$BO996,'Entry Builder'!$L$8)&gt;'Entry Builder'!$E$8)))</f>
        <v/>
      </c>
      <c r="C996">
        <f>IF('Entry Builder'!$N$9=0,1,IF('Entry Builder'!$D$9="Less",--(INDEX(Sims!$A996:$BO996,'Entry Builder'!$L$9)&lt;'Entry Builder'!$E$9),--(INDEX(Sims!$A996:$BO996,'Entry Builder'!$L$9)&gt;'Entry Builder'!$E$9)))</f>
        <v/>
      </c>
      <c r="D996">
        <f>IF('Entry Builder'!$N$10=0,1,IF('Entry Builder'!$D$10="Less",--(INDEX(Sims!$A996:$BO996,'Entry Builder'!$L$10)&lt;'Entry Builder'!$E$10),--(INDEX(Sims!$A996:$BO996,'Entry Builder'!$L$10)&gt;'Entry Builder'!$E$10)))</f>
        <v/>
      </c>
      <c r="E996">
        <f>IF('Entry Builder'!$N$11=0,1,IF('Entry Builder'!$D$11="Less",--(INDEX(Sims!$A996:$BO996,'Entry Builder'!$L$11)&lt;'Entry Builder'!$E$11),--(INDEX(Sims!$A996:$BO996,'Entry Builder'!$L$11)&gt;'Entry Builder'!$E$11)))</f>
        <v/>
      </c>
      <c r="F996">
        <f>IF('Entry Builder'!$N$12=0,1,IF('Entry Builder'!$D$12="Less",--(INDEX(Sims!$A996:$BO996,'Entry Builder'!$L$12)&lt;'Entry Builder'!$E$12),--(INDEX(Sims!$A996:$BO996,'Entry Builder'!$L$12)&gt;'Entry Builder'!$E$12)))</f>
        <v/>
      </c>
      <c r="G996">
        <f>6-SUM(A996:F996)</f>
        <v/>
      </c>
    </row>
    <row r="997">
      <c r="A997">
        <f>IF('Entry Builder'!$N$7=0,1,IF('Entry Builder'!$D$7="Less",--(INDEX(Sims!$A997:$BO997,'Entry Builder'!$L$7)&lt;'Entry Builder'!$E$7),--(INDEX(Sims!$A997:$BO997,'Entry Builder'!$L$7)&gt;'Entry Builder'!$E$7)))</f>
        <v/>
      </c>
      <c r="B997">
        <f>IF('Entry Builder'!$N$8=0,1,IF('Entry Builder'!$D$8="Less",--(INDEX(Sims!$A997:$BO997,'Entry Builder'!$L$8)&lt;'Entry Builder'!$E$8),--(INDEX(Sims!$A997:$BO997,'Entry Builder'!$L$8)&gt;'Entry Builder'!$E$8)))</f>
        <v/>
      </c>
      <c r="C997">
        <f>IF('Entry Builder'!$N$9=0,1,IF('Entry Builder'!$D$9="Less",--(INDEX(Sims!$A997:$BO997,'Entry Builder'!$L$9)&lt;'Entry Builder'!$E$9),--(INDEX(Sims!$A997:$BO997,'Entry Builder'!$L$9)&gt;'Entry Builder'!$E$9)))</f>
        <v/>
      </c>
      <c r="D997">
        <f>IF('Entry Builder'!$N$10=0,1,IF('Entry Builder'!$D$10="Less",--(INDEX(Sims!$A997:$BO997,'Entry Builder'!$L$10)&lt;'Entry Builder'!$E$10),--(INDEX(Sims!$A997:$BO997,'Entry Builder'!$L$10)&gt;'Entry Builder'!$E$10)))</f>
        <v/>
      </c>
      <c r="E997">
        <f>IF('Entry Builder'!$N$11=0,1,IF('Entry Builder'!$D$11="Less",--(INDEX(Sims!$A997:$BO997,'Entry Builder'!$L$11)&lt;'Entry Builder'!$E$11),--(INDEX(Sims!$A997:$BO997,'Entry Builder'!$L$11)&gt;'Entry Builder'!$E$11)))</f>
        <v/>
      </c>
      <c r="F997">
        <f>IF('Entry Builder'!$N$12=0,1,IF('Entry Builder'!$D$12="Less",--(INDEX(Sims!$A997:$BO997,'Entry Builder'!$L$12)&lt;'Entry Builder'!$E$12),--(INDEX(Sims!$A997:$BO997,'Entry Builder'!$L$12)&gt;'Entry Builder'!$E$12)))</f>
        <v/>
      </c>
      <c r="G997">
        <f>6-SUM(A997:F997)</f>
        <v/>
      </c>
    </row>
    <row r="998">
      <c r="A998">
        <f>IF('Entry Builder'!$N$7=0,1,IF('Entry Builder'!$D$7="Less",--(INDEX(Sims!$A998:$BO998,'Entry Builder'!$L$7)&lt;'Entry Builder'!$E$7),--(INDEX(Sims!$A998:$BO998,'Entry Builder'!$L$7)&gt;'Entry Builder'!$E$7)))</f>
        <v/>
      </c>
      <c r="B998">
        <f>IF('Entry Builder'!$N$8=0,1,IF('Entry Builder'!$D$8="Less",--(INDEX(Sims!$A998:$BO998,'Entry Builder'!$L$8)&lt;'Entry Builder'!$E$8),--(INDEX(Sims!$A998:$BO998,'Entry Builder'!$L$8)&gt;'Entry Builder'!$E$8)))</f>
        <v/>
      </c>
      <c r="C998">
        <f>IF('Entry Builder'!$N$9=0,1,IF('Entry Builder'!$D$9="Less",--(INDEX(Sims!$A998:$BO998,'Entry Builder'!$L$9)&lt;'Entry Builder'!$E$9),--(INDEX(Sims!$A998:$BO998,'Entry Builder'!$L$9)&gt;'Entry Builder'!$E$9)))</f>
        <v/>
      </c>
      <c r="D998">
        <f>IF('Entry Builder'!$N$10=0,1,IF('Entry Builder'!$D$10="Less",--(INDEX(Sims!$A998:$BO998,'Entry Builder'!$L$10)&lt;'Entry Builder'!$E$10),--(INDEX(Sims!$A998:$BO998,'Entry Builder'!$L$10)&gt;'Entry Builder'!$E$10)))</f>
        <v/>
      </c>
      <c r="E998">
        <f>IF('Entry Builder'!$N$11=0,1,IF('Entry Builder'!$D$11="Less",--(INDEX(Sims!$A998:$BO998,'Entry Builder'!$L$11)&lt;'Entry Builder'!$E$11),--(INDEX(Sims!$A998:$BO998,'Entry Builder'!$L$11)&gt;'Entry Builder'!$E$11)))</f>
        <v/>
      </c>
      <c r="F998">
        <f>IF('Entry Builder'!$N$12=0,1,IF('Entry Builder'!$D$12="Less",--(INDEX(Sims!$A998:$BO998,'Entry Builder'!$L$12)&lt;'Entry Builder'!$E$12),--(INDEX(Sims!$A998:$BO998,'Entry Builder'!$L$12)&gt;'Entry Builder'!$E$12)))</f>
        <v/>
      </c>
      <c r="G998">
        <f>6-SUM(A998:F998)</f>
        <v/>
      </c>
    </row>
    <row r="999">
      <c r="A999">
        <f>IF('Entry Builder'!$N$7=0,1,IF('Entry Builder'!$D$7="Less",--(INDEX(Sims!$A999:$BO999,'Entry Builder'!$L$7)&lt;'Entry Builder'!$E$7),--(INDEX(Sims!$A999:$BO999,'Entry Builder'!$L$7)&gt;'Entry Builder'!$E$7)))</f>
        <v/>
      </c>
      <c r="B999">
        <f>IF('Entry Builder'!$N$8=0,1,IF('Entry Builder'!$D$8="Less",--(INDEX(Sims!$A999:$BO999,'Entry Builder'!$L$8)&lt;'Entry Builder'!$E$8),--(INDEX(Sims!$A999:$BO999,'Entry Builder'!$L$8)&gt;'Entry Builder'!$E$8)))</f>
        <v/>
      </c>
      <c r="C999">
        <f>IF('Entry Builder'!$N$9=0,1,IF('Entry Builder'!$D$9="Less",--(INDEX(Sims!$A999:$BO999,'Entry Builder'!$L$9)&lt;'Entry Builder'!$E$9),--(INDEX(Sims!$A999:$BO999,'Entry Builder'!$L$9)&gt;'Entry Builder'!$E$9)))</f>
        <v/>
      </c>
      <c r="D999">
        <f>IF('Entry Builder'!$N$10=0,1,IF('Entry Builder'!$D$10="Less",--(INDEX(Sims!$A999:$BO999,'Entry Builder'!$L$10)&lt;'Entry Builder'!$E$10),--(INDEX(Sims!$A999:$BO999,'Entry Builder'!$L$10)&gt;'Entry Builder'!$E$10)))</f>
        <v/>
      </c>
      <c r="E999">
        <f>IF('Entry Builder'!$N$11=0,1,IF('Entry Builder'!$D$11="Less",--(INDEX(Sims!$A999:$BO999,'Entry Builder'!$L$11)&lt;'Entry Builder'!$E$11),--(INDEX(Sims!$A999:$BO999,'Entry Builder'!$L$11)&gt;'Entry Builder'!$E$11)))</f>
        <v/>
      </c>
      <c r="F999">
        <f>IF('Entry Builder'!$N$12=0,1,IF('Entry Builder'!$D$12="Less",--(INDEX(Sims!$A999:$BO999,'Entry Builder'!$L$12)&lt;'Entry Builder'!$E$12),--(INDEX(Sims!$A999:$BO999,'Entry Builder'!$L$12)&gt;'Entry Builder'!$E$12)))</f>
        <v/>
      </c>
      <c r="G999">
        <f>6-SUM(A999:F999)</f>
        <v/>
      </c>
    </row>
    <row r="1000">
      <c r="A1000">
        <f>IF('Entry Builder'!$N$7=0,1,IF('Entry Builder'!$D$7="Less",--(INDEX(Sims!$A1000:$BO1000,'Entry Builder'!$L$7)&lt;'Entry Builder'!$E$7),--(INDEX(Sims!$A1000:$BO1000,'Entry Builder'!$L$7)&gt;'Entry Builder'!$E$7)))</f>
        <v/>
      </c>
      <c r="B1000">
        <f>IF('Entry Builder'!$N$8=0,1,IF('Entry Builder'!$D$8="Less",--(INDEX(Sims!$A1000:$BO1000,'Entry Builder'!$L$8)&lt;'Entry Builder'!$E$8),--(INDEX(Sims!$A1000:$BO1000,'Entry Builder'!$L$8)&gt;'Entry Builder'!$E$8)))</f>
        <v/>
      </c>
      <c r="C1000">
        <f>IF('Entry Builder'!$N$9=0,1,IF('Entry Builder'!$D$9="Less",--(INDEX(Sims!$A1000:$BO1000,'Entry Builder'!$L$9)&lt;'Entry Builder'!$E$9),--(INDEX(Sims!$A1000:$BO1000,'Entry Builder'!$L$9)&gt;'Entry Builder'!$E$9)))</f>
        <v/>
      </c>
      <c r="D1000">
        <f>IF('Entry Builder'!$N$10=0,1,IF('Entry Builder'!$D$10="Less",--(INDEX(Sims!$A1000:$BO1000,'Entry Builder'!$L$10)&lt;'Entry Builder'!$E$10),--(INDEX(Sims!$A1000:$BO1000,'Entry Builder'!$L$10)&gt;'Entry Builder'!$E$10)))</f>
        <v/>
      </c>
      <c r="E1000">
        <f>IF('Entry Builder'!$N$11=0,1,IF('Entry Builder'!$D$11="Less",--(INDEX(Sims!$A1000:$BO1000,'Entry Builder'!$L$11)&lt;'Entry Builder'!$E$11),--(INDEX(Sims!$A1000:$BO1000,'Entry Builder'!$L$11)&gt;'Entry Builder'!$E$11)))</f>
        <v/>
      </c>
      <c r="F1000">
        <f>IF('Entry Builder'!$N$12=0,1,IF('Entry Builder'!$D$12="Less",--(INDEX(Sims!$A1000:$BO1000,'Entry Builder'!$L$12)&lt;'Entry Builder'!$E$12),--(INDEX(Sims!$A1000:$BO1000,'Entry Builder'!$L$12)&gt;'Entry Builder'!$E$12)))</f>
        <v/>
      </c>
      <c r="G1000">
        <f>6-SUM(A1000:F1000)</f>
        <v/>
      </c>
    </row>
    <row r="1001">
      <c r="A1001">
        <f>IF('Entry Builder'!$N$7=0,1,IF('Entry Builder'!$D$7="Less",--(INDEX(Sims!$A1001:$BO1001,'Entry Builder'!$L$7)&lt;'Entry Builder'!$E$7),--(INDEX(Sims!$A1001:$BO1001,'Entry Builder'!$L$7)&gt;'Entry Builder'!$E$7)))</f>
        <v/>
      </c>
      <c r="B1001">
        <f>IF('Entry Builder'!$N$8=0,1,IF('Entry Builder'!$D$8="Less",--(INDEX(Sims!$A1001:$BO1001,'Entry Builder'!$L$8)&lt;'Entry Builder'!$E$8),--(INDEX(Sims!$A1001:$BO1001,'Entry Builder'!$L$8)&gt;'Entry Builder'!$E$8)))</f>
        <v/>
      </c>
      <c r="C1001">
        <f>IF('Entry Builder'!$N$9=0,1,IF('Entry Builder'!$D$9="Less",--(INDEX(Sims!$A1001:$BO1001,'Entry Builder'!$L$9)&lt;'Entry Builder'!$E$9),--(INDEX(Sims!$A1001:$BO1001,'Entry Builder'!$L$9)&gt;'Entry Builder'!$E$9)))</f>
        <v/>
      </c>
      <c r="D1001">
        <f>IF('Entry Builder'!$N$10=0,1,IF('Entry Builder'!$D$10="Less",--(INDEX(Sims!$A1001:$BO1001,'Entry Builder'!$L$10)&lt;'Entry Builder'!$E$10),--(INDEX(Sims!$A1001:$BO1001,'Entry Builder'!$L$10)&gt;'Entry Builder'!$E$10)))</f>
        <v/>
      </c>
      <c r="E1001">
        <f>IF('Entry Builder'!$N$11=0,1,IF('Entry Builder'!$D$11="Less",--(INDEX(Sims!$A1001:$BO1001,'Entry Builder'!$L$11)&lt;'Entry Builder'!$E$11),--(INDEX(Sims!$A1001:$BO1001,'Entry Builder'!$L$11)&gt;'Entry Builder'!$E$11)))</f>
        <v/>
      </c>
      <c r="F1001">
        <f>IF('Entry Builder'!$N$12=0,1,IF('Entry Builder'!$D$12="Less",--(INDEX(Sims!$A1001:$BO1001,'Entry Builder'!$L$12)&lt;'Entry Builder'!$E$12),--(INDEX(Sims!$A1001:$BO1001,'Entry Builder'!$L$12)&gt;'Entry Builder'!$E$12)))</f>
        <v/>
      </c>
      <c r="G1001">
        <f>6-SUM(A1001:F1001)</f>
        <v/>
      </c>
    </row>
    <row r="1002">
      <c r="A1002">
        <f>IF('Entry Builder'!$N$7=0,1,IF('Entry Builder'!$D$7="Less",--(INDEX(Sims!$A1002:$BO1002,'Entry Builder'!$L$7)&lt;'Entry Builder'!$E$7),--(INDEX(Sims!$A1002:$BO1002,'Entry Builder'!$L$7)&gt;'Entry Builder'!$E$7)))</f>
        <v/>
      </c>
      <c r="B1002">
        <f>IF('Entry Builder'!$N$8=0,1,IF('Entry Builder'!$D$8="Less",--(INDEX(Sims!$A1002:$BO1002,'Entry Builder'!$L$8)&lt;'Entry Builder'!$E$8),--(INDEX(Sims!$A1002:$BO1002,'Entry Builder'!$L$8)&gt;'Entry Builder'!$E$8)))</f>
        <v/>
      </c>
      <c r="C1002">
        <f>IF('Entry Builder'!$N$9=0,1,IF('Entry Builder'!$D$9="Less",--(INDEX(Sims!$A1002:$BO1002,'Entry Builder'!$L$9)&lt;'Entry Builder'!$E$9),--(INDEX(Sims!$A1002:$BO1002,'Entry Builder'!$L$9)&gt;'Entry Builder'!$E$9)))</f>
        <v/>
      </c>
      <c r="D1002">
        <f>IF('Entry Builder'!$N$10=0,1,IF('Entry Builder'!$D$10="Less",--(INDEX(Sims!$A1002:$BO1002,'Entry Builder'!$L$10)&lt;'Entry Builder'!$E$10),--(INDEX(Sims!$A1002:$BO1002,'Entry Builder'!$L$10)&gt;'Entry Builder'!$E$10)))</f>
        <v/>
      </c>
      <c r="E1002">
        <f>IF('Entry Builder'!$N$11=0,1,IF('Entry Builder'!$D$11="Less",--(INDEX(Sims!$A1002:$BO1002,'Entry Builder'!$L$11)&lt;'Entry Builder'!$E$11),--(INDEX(Sims!$A1002:$BO1002,'Entry Builder'!$L$11)&gt;'Entry Builder'!$E$11)))</f>
        <v/>
      </c>
      <c r="F1002">
        <f>IF('Entry Builder'!$N$12=0,1,IF('Entry Builder'!$D$12="Less",--(INDEX(Sims!$A1002:$BO1002,'Entry Builder'!$L$12)&lt;'Entry Builder'!$E$12),--(INDEX(Sims!$A1002:$BO1002,'Entry Builder'!$L$12)&gt;'Entry Builder'!$E$12)))</f>
        <v/>
      </c>
      <c r="G1002">
        <f>6-SUM(A1002:F1002)</f>
        <v/>
      </c>
    </row>
    <row r="1003">
      <c r="A1003">
        <f>IF('Entry Builder'!$N$7=0,1,IF('Entry Builder'!$D$7="Less",--(INDEX(Sims!$A1003:$BO1003,'Entry Builder'!$L$7)&lt;'Entry Builder'!$E$7),--(INDEX(Sims!$A1003:$BO1003,'Entry Builder'!$L$7)&gt;'Entry Builder'!$E$7)))</f>
        <v/>
      </c>
      <c r="B1003">
        <f>IF('Entry Builder'!$N$8=0,1,IF('Entry Builder'!$D$8="Less",--(INDEX(Sims!$A1003:$BO1003,'Entry Builder'!$L$8)&lt;'Entry Builder'!$E$8),--(INDEX(Sims!$A1003:$BO1003,'Entry Builder'!$L$8)&gt;'Entry Builder'!$E$8)))</f>
        <v/>
      </c>
      <c r="C1003">
        <f>IF('Entry Builder'!$N$9=0,1,IF('Entry Builder'!$D$9="Less",--(INDEX(Sims!$A1003:$BO1003,'Entry Builder'!$L$9)&lt;'Entry Builder'!$E$9),--(INDEX(Sims!$A1003:$BO1003,'Entry Builder'!$L$9)&gt;'Entry Builder'!$E$9)))</f>
        <v/>
      </c>
      <c r="D1003">
        <f>IF('Entry Builder'!$N$10=0,1,IF('Entry Builder'!$D$10="Less",--(INDEX(Sims!$A1003:$BO1003,'Entry Builder'!$L$10)&lt;'Entry Builder'!$E$10),--(INDEX(Sims!$A1003:$BO1003,'Entry Builder'!$L$10)&gt;'Entry Builder'!$E$10)))</f>
        <v/>
      </c>
      <c r="E1003">
        <f>IF('Entry Builder'!$N$11=0,1,IF('Entry Builder'!$D$11="Less",--(INDEX(Sims!$A1003:$BO1003,'Entry Builder'!$L$11)&lt;'Entry Builder'!$E$11),--(INDEX(Sims!$A1003:$BO1003,'Entry Builder'!$L$11)&gt;'Entry Builder'!$E$11)))</f>
        <v/>
      </c>
      <c r="F1003">
        <f>IF('Entry Builder'!$N$12=0,1,IF('Entry Builder'!$D$12="Less",--(INDEX(Sims!$A1003:$BO1003,'Entry Builder'!$L$12)&lt;'Entry Builder'!$E$12),--(INDEX(Sims!$A1003:$BO1003,'Entry Builder'!$L$12)&gt;'Entry Builder'!$E$12)))</f>
        <v/>
      </c>
      <c r="G1003">
        <f>6-SUM(A1003:F1003)</f>
        <v/>
      </c>
    </row>
    <row r="1004">
      <c r="A1004">
        <f>IF('Entry Builder'!$N$7=0,1,IF('Entry Builder'!$D$7="Less",--(INDEX(Sims!$A1004:$BO1004,'Entry Builder'!$L$7)&lt;'Entry Builder'!$E$7),--(INDEX(Sims!$A1004:$BO1004,'Entry Builder'!$L$7)&gt;'Entry Builder'!$E$7)))</f>
        <v/>
      </c>
      <c r="B1004">
        <f>IF('Entry Builder'!$N$8=0,1,IF('Entry Builder'!$D$8="Less",--(INDEX(Sims!$A1004:$BO1004,'Entry Builder'!$L$8)&lt;'Entry Builder'!$E$8),--(INDEX(Sims!$A1004:$BO1004,'Entry Builder'!$L$8)&gt;'Entry Builder'!$E$8)))</f>
        <v/>
      </c>
      <c r="C1004">
        <f>IF('Entry Builder'!$N$9=0,1,IF('Entry Builder'!$D$9="Less",--(INDEX(Sims!$A1004:$BO1004,'Entry Builder'!$L$9)&lt;'Entry Builder'!$E$9),--(INDEX(Sims!$A1004:$BO1004,'Entry Builder'!$L$9)&gt;'Entry Builder'!$E$9)))</f>
        <v/>
      </c>
      <c r="D1004">
        <f>IF('Entry Builder'!$N$10=0,1,IF('Entry Builder'!$D$10="Less",--(INDEX(Sims!$A1004:$BO1004,'Entry Builder'!$L$10)&lt;'Entry Builder'!$E$10),--(INDEX(Sims!$A1004:$BO1004,'Entry Builder'!$L$10)&gt;'Entry Builder'!$E$10)))</f>
        <v/>
      </c>
      <c r="E1004">
        <f>IF('Entry Builder'!$N$11=0,1,IF('Entry Builder'!$D$11="Less",--(INDEX(Sims!$A1004:$BO1004,'Entry Builder'!$L$11)&lt;'Entry Builder'!$E$11),--(INDEX(Sims!$A1004:$BO1004,'Entry Builder'!$L$11)&gt;'Entry Builder'!$E$11)))</f>
        <v/>
      </c>
      <c r="F1004">
        <f>IF('Entry Builder'!$N$12=0,1,IF('Entry Builder'!$D$12="Less",--(INDEX(Sims!$A1004:$BO1004,'Entry Builder'!$L$12)&lt;'Entry Builder'!$E$12),--(INDEX(Sims!$A1004:$BO1004,'Entry Builder'!$L$12)&gt;'Entry Builder'!$E$12)))</f>
        <v/>
      </c>
      <c r="G1004">
        <f>6-SUM(A1004:F1004)</f>
        <v/>
      </c>
    </row>
    <row r="1005">
      <c r="A1005">
        <f>IF('Entry Builder'!$N$7=0,1,IF('Entry Builder'!$D$7="Less",--(INDEX(Sims!$A1005:$BO1005,'Entry Builder'!$L$7)&lt;'Entry Builder'!$E$7),--(INDEX(Sims!$A1005:$BO1005,'Entry Builder'!$L$7)&gt;'Entry Builder'!$E$7)))</f>
        <v/>
      </c>
      <c r="B1005">
        <f>IF('Entry Builder'!$N$8=0,1,IF('Entry Builder'!$D$8="Less",--(INDEX(Sims!$A1005:$BO1005,'Entry Builder'!$L$8)&lt;'Entry Builder'!$E$8),--(INDEX(Sims!$A1005:$BO1005,'Entry Builder'!$L$8)&gt;'Entry Builder'!$E$8)))</f>
        <v/>
      </c>
      <c r="C1005">
        <f>IF('Entry Builder'!$N$9=0,1,IF('Entry Builder'!$D$9="Less",--(INDEX(Sims!$A1005:$BO1005,'Entry Builder'!$L$9)&lt;'Entry Builder'!$E$9),--(INDEX(Sims!$A1005:$BO1005,'Entry Builder'!$L$9)&gt;'Entry Builder'!$E$9)))</f>
        <v/>
      </c>
      <c r="D1005">
        <f>IF('Entry Builder'!$N$10=0,1,IF('Entry Builder'!$D$10="Less",--(INDEX(Sims!$A1005:$BO1005,'Entry Builder'!$L$10)&lt;'Entry Builder'!$E$10),--(INDEX(Sims!$A1005:$BO1005,'Entry Builder'!$L$10)&gt;'Entry Builder'!$E$10)))</f>
        <v/>
      </c>
      <c r="E1005">
        <f>IF('Entry Builder'!$N$11=0,1,IF('Entry Builder'!$D$11="Less",--(INDEX(Sims!$A1005:$BO1005,'Entry Builder'!$L$11)&lt;'Entry Builder'!$E$11),--(INDEX(Sims!$A1005:$BO1005,'Entry Builder'!$L$11)&gt;'Entry Builder'!$E$11)))</f>
        <v/>
      </c>
      <c r="F1005">
        <f>IF('Entry Builder'!$N$12=0,1,IF('Entry Builder'!$D$12="Less",--(INDEX(Sims!$A1005:$BO1005,'Entry Builder'!$L$12)&lt;'Entry Builder'!$E$12),--(INDEX(Sims!$A1005:$BO1005,'Entry Builder'!$L$12)&gt;'Entry Builder'!$E$12)))</f>
        <v/>
      </c>
      <c r="G1005">
        <f>6-SUM(A1005:F1005)</f>
        <v/>
      </c>
    </row>
    <row r="1006">
      <c r="A1006">
        <f>IF('Entry Builder'!$N$7=0,1,IF('Entry Builder'!$D$7="Less",--(INDEX(Sims!$A1006:$BO1006,'Entry Builder'!$L$7)&lt;'Entry Builder'!$E$7),--(INDEX(Sims!$A1006:$BO1006,'Entry Builder'!$L$7)&gt;'Entry Builder'!$E$7)))</f>
        <v/>
      </c>
      <c r="B1006">
        <f>IF('Entry Builder'!$N$8=0,1,IF('Entry Builder'!$D$8="Less",--(INDEX(Sims!$A1006:$BO1006,'Entry Builder'!$L$8)&lt;'Entry Builder'!$E$8),--(INDEX(Sims!$A1006:$BO1006,'Entry Builder'!$L$8)&gt;'Entry Builder'!$E$8)))</f>
        <v/>
      </c>
      <c r="C1006">
        <f>IF('Entry Builder'!$N$9=0,1,IF('Entry Builder'!$D$9="Less",--(INDEX(Sims!$A1006:$BO1006,'Entry Builder'!$L$9)&lt;'Entry Builder'!$E$9),--(INDEX(Sims!$A1006:$BO1006,'Entry Builder'!$L$9)&gt;'Entry Builder'!$E$9)))</f>
        <v/>
      </c>
      <c r="D1006">
        <f>IF('Entry Builder'!$N$10=0,1,IF('Entry Builder'!$D$10="Less",--(INDEX(Sims!$A1006:$BO1006,'Entry Builder'!$L$10)&lt;'Entry Builder'!$E$10),--(INDEX(Sims!$A1006:$BO1006,'Entry Builder'!$L$10)&gt;'Entry Builder'!$E$10)))</f>
        <v/>
      </c>
      <c r="E1006">
        <f>IF('Entry Builder'!$N$11=0,1,IF('Entry Builder'!$D$11="Less",--(INDEX(Sims!$A1006:$BO1006,'Entry Builder'!$L$11)&lt;'Entry Builder'!$E$11),--(INDEX(Sims!$A1006:$BO1006,'Entry Builder'!$L$11)&gt;'Entry Builder'!$E$11)))</f>
        <v/>
      </c>
      <c r="F1006">
        <f>IF('Entry Builder'!$N$12=0,1,IF('Entry Builder'!$D$12="Less",--(INDEX(Sims!$A1006:$BO1006,'Entry Builder'!$L$12)&lt;'Entry Builder'!$E$12),--(INDEX(Sims!$A1006:$BO1006,'Entry Builder'!$L$12)&gt;'Entry Builder'!$E$12)))</f>
        <v/>
      </c>
      <c r="G1006">
        <f>6-SUM(A1006:F1006)</f>
        <v/>
      </c>
    </row>
    <row r="1007">
      <c r="A1007">
        <f>IF('Entry Builder'!$N$7=0,1,IF('Entry Builder'!$D$7="Less",--(INDEX(Sims!$A1007:$BO1007,'Entry Builder'!$L$7)&lt;'Entry Builder'!$E$7),--(INDEX(Sims!$A1007:$BO1007,'Entry Builder'!$L$7)&gt;'Entry Builder'!$E$7)))</f>
        <v/>
      </c>
      <c r="B1007">
        <f>IF('Entry Builder'!$N$8=0,1,IF('Entry Builder'!$D$8="Less",--(INDEX(Sims!$A1007:$BO1007,'Entry Builder'!$L$8)&lt;'Entry Builder'!$E$8),--(INDEX(Sims!$A1007:$BO1007,'Entry Builder'!$L$8)&gt;'Entry Builder'!$E$8)))</f>
        <v/>
      </c>
      <c r="C1007">
        <f>IF('Entry Builder'!$N$9=0,1,IF('Entry Builder'!$D$9="Less",--(INDEX(Sims!$A1007:$BO1007,'Entry Builder'!$L$9)&lt;'Entry Builder'!$E$9),--(INDEX(Sims!$A1007:$BO1007,'Entry Builder'!$L$9)&gt;'Entry Builder'!$E$9)))</f>
        <v/>
      </c>
      <c r="D1007">
        <f>IF('Entry Builder'!$N$10=0,1,IF('Entry Builder'!$D$10="Less",--(INDEX(Sims!$A1007:$BO1007,'Entry Builder'!$L$10)&lt;'Entry Builder'!$E$10),--(INDEX(Sims!$A1007:$BO1007,'Entry Builder'!$L$10)&gt;'Entry Builder'!$E$10)))</f>
        <v/>
      </c>
      <c r="E1007">
        <f>IF('Entry Builder'!$N$11=0,1,IF('Entry Builder'!$D$11="Less",--(INDEX(Sims!$A1007:$BO1007,'Entry Builder'!$L$11)&lt;'Entry Builder'!$E$11),--(INDEX(Sims!$A1007:$BO1007,'Entry Builder'!$L$11)&gt;'Entry Builder'!$E$11)))</f>
        <v/>
      </c>
      <c r="F1007">
        <f>IF('Entry Builder'!$N$12=0,1,IF('Entry Builder'!$D$12="Less",--(INDEX(Sims!$A1007:$BO1007,'Entry Builder'!$L$12)&lt;'Entry Builder'!$E$12),--(INDEX(Sims!$A1007:$BO1007,'Entry Builder'!$L$12)&gt;'Entry Builder'!$E$12)))</f>
        <v/>
      </c>
      <c r="G1007">
        <f>6-SUM(A1007:F1007)</f>
        <v/>
      </c>
    </row>
    <row r="1008">
      <c r="A1008">
        <f>IF('Entry Builder'!$N$7=0,1,IF('Entry Builder'!$D$7="Less",--(INDEX(Sims!$A1008:$BO1008,'Entry Builder'!$L$7)&lt;'Entry Builder'!$E$7),--(INDEX(Sims!$A1008:$BO1008,'Entry Builder'!$L$7)&gt;'Entry Builder'!$E$7)))</f>
        <v/>
      </c>
      <c r="B1008">
        <f>IF('Entry Builder'!$N$8=0,1,IF('Entry Builder'!$D$8="Less",--(INDEX(Sims!$A1008:$BO1008,'Entry Builder'!$L$8)&lt;'Entry Builder'!$E$8),--(INDEX(Sims!$A1008:$BO1008,'Entry Builder'!$L$8)&gt;'Entry Builder'!$E$8)))</f>
        <v/>
      </c>
      <c r="C1008">
        <f>IF('Entry Builder'!$N$9=0,1,IF('Entry Builder'!$D$9="Less",--(INDEX(Sims!$A1008:$BO1008,'Entry Builder'!$L$9)&lt;'Entry Builder'!$E$9),--(INDEX(Sims!$A1008:$BO1008,'Entry Builder'!$L$9)&gt;'Entry Builder'!$E$9)))</f>
        <v/>
      </c>
      <c r="D1008">
        <f>IF('Entry Builder'!$N$10=0,1,IF('Entry Builder'!$D$10="Less",--(INDEX(Sims!$A1008:$BO1008,'Entry Builder'!$L$10)&lt;'Entry Builder'!$E$10),--(INDEX(Sims!$A1008:$BO1008,'Entry Builder'!$L$10)&gt;'Entry Builder'!$E$10)))</f>
        <v/>
      </c>
      <c r="E1008">
        <f>IF('Entry Builder'!$N$11=0,1,IF('Entry Builder'!$D$11="Less",--(INDEX(Sims!$A1008:$BO1008,'Entry Builder'!$L$11)&lt;'Entry Builder'!$E$11),--(INDEX(Sims!$A1008:$BO1008,'Entry Builder'!$L$11)&gt;'Entry Builder'!$E$11)))</f>
        <v/>
      </c>
      <c r="F1008">
        <f>IF('Entry Builder'!$N$12=0,1,IF('Entry Builder'!$D$12="Less",--(INDEX(Sims!$A1008:$BO1008,'Entry Builder'!$L$12)&lt;'Entry Builder'!$E$12),--(INDEX(Sims!$A1008:$BO1008,'Entry Builder'!$L$12)&gt;'Entry Builder'!$E$12)))</f>
        <v/>
      </c>
      <c r="G1008">
        <f>6-SUM(A1008:F1008)</f>
        <v/>
      </c>
    </row>
    <row r="1009">
      <c r="A1009">
        <f>IF('Entry Builder'!$N$7=0,1,IF('Entry Builder'!$D$7="Less",--(INDEX(Sims!$A1009:$BO1009,'Entry Builder'!$L$7)&lt;'Entry Builder'!$E$7),--(INDEX(Sims!$A1009:$BO1009,'Entry Builder'!$L$7)&gt;'Entry Builder'!$E$7)))</f>
        <v/>
      </c>
      <c r="B1009">
        <f>IF('Entry Builder'!$N$8=0,1,IF('Entry Builder'!$D$8="Less",--(INDEX(Sims!$A1009:$BO1009,'Entry Builder'!$L$8)&lt;'Entry Builder'!$E$8),--(INDEX(Sims!$A1009:$BO1009,'Entry Builder'!$L$8)&gt;'Entry Builder'!$E$8)))</f>
        <v/>
      </c>
      <c r="C1009">
        <f>IF('Entry Builder'!$N$9=0,1,IF('Entry Builder'!$D$9="Less",--(INDEX(Sims!$A1009:$BO1009,'Entry Builder'!$L$9)&lt;'Entry Builder'!$E$9),--(INDEX(Sims!$A1009:$BO1009,'Entry Builder'!$L$9)&gt;'Entry Builder'!$E$9)))</f>
        <v/>
      </c>
      <c r="D1009">
        <f>IF('Entry Builder'!$N$10=0,1,IF('Entry Builder'!$D$10="Less",--(INDEX(Sims!$A1009:$BO1009,'Entry Builder'!$L$10)&lt;'Entry Builder'!$E$10),--(INDEX(Sims!$A1009:$BO1009,'Entry Builder'!$L$10)&gt;'Entry Builder'!$E$10)))</f>
        <v/>
      </c>
      <c r="E1009">
        <f>IF('Entry Builder'!$N$11=0,1,IF('Entry Builder'!$D$11="Less",--(INDEX(Sims!$A1009:$BO1009,'Entry Builder'!$L$11)&lt;'Entry Builder'!$E$11),--(INDEX(Sims!$A1009:$BO1009,'Entry Builder'!$L$11)&gt;'Entry Builder'!$E$11)))</f>
        <v/>
      </c>
      <c r="F1009">
        <f>IF('Entry Builder'!$N$12=0,1,IF('Entry Builder'!$D$12="Less",--(INDEX(Sims!$A1009:$BO1009,'Entry Builder'!$L$12)&lt;'Entry Builder'!$E$12),--(INDEX(Sims!$A1009:$BO1009,'Entry Builder'!$L$12)&gt;'Entry Builder'!$E$12)))</f>
        <v/>
      </c>
      <c r="G1009">
        <f>6-SUM(A1009:F1009)</f>
        <v/>
      </c>
    </row>
    <row r="1010">
      <c r="A1010">
        <f>IF('Entry Builder'!$N$7=0,1,IF('Entry Builder'!$D$7="Less",--(INDEX(Sims!$A1010:$BO1010,'Entry Builder'!$L$7)&lt;'Entry Builder'!$E$7),--(INDEX(Sims!$A1010:$BO1010,'Entry Builder'!$L$7)&gt;'Entry Builder'!$E$7)))</f>
        <v/>
      </c>
      <c r="B1010">
        <f>IF('Entry Builder'!$N$8=0,1,IF('Entry Builder'!$D$8="Less",--(INDEX(Sims!$A1010:$BO1010,'Entry Builder'!$L$8)&lt;'Entry Builder'!$E$8),--(INDEX(Sims!$A1010:$BO1010,'Entry Builder'!$L$8)&gt;'Entry Builder'!$E$8)))</f>
        <v/>
      </c>
      <c r="C1010">
        <f>IF('Entry Builder'!$N$9=0,1,IF('Entry Builder'!$D$9="Less",--(INDEX(Sims!$A1010:$BO1010,'Entry Builder'!$L$9)&lt;'Entry Builder'!$E$9),--(INDEX(Sims!$A1010:$BO1010,'Entry Builder'!$L$9)&gt;'Entry Builder'!$E$9)))</f>
        <v/>
      </c>
      <c r="D1010">
        <f>IF('Entry Builder'!$N$10=0,1,IF('Entry Builder'!$D$10="Less",--(INDEX(Sims!$A1010:$BO1010,'Entry Builder'!$L$10)&lt;'Entry Builder'!$E$10),--(INDEX(Sims!$A1010:$BO1010,'Entry Builder'!$L$10)&gt;'Entry Builder'!$E$10)))</f>
        <v/>
      </c>
      <c r="E1010">
        <f>IF('Entry Builder'!$N$11=0,1,IF('Entry Builder'!$D$11="Less",--(INDEX(Sims!$A1010:$BO1010,'Entry Builder'!$L$11)&lt;'Entry Builder'!$E$11),--(INDEX(Sims!$A1010:$BO1010,'Entry Builder'!$L$11)&gt;'Entry Builder'!$E$11)))</f>
        <v/>
      </c>
      <c r="F1010">
        <f>IF('Entry Builder'!$N$12=0,1,IF('Entry Builder'!$D$12="Less",--(INDEX(Sims!$A1010:$BO1010,'Entry Builder'!$L$12)&lt;'Entry Builder'!$E$12),--(INDEX(Sims!$A1010:$BO1010,'Entry Builder'!$L$12)&gt;'Entry Builder'!$E$12)))</f>
        <v/>
      </c>
      <c r="G1010">
        <f>6-SUM(A1010:F1010)</f>
        <v/>
      </c>
    </row>
    <row r="1011">
      <c r="A1011">
        <f>IF('Entry Builder'!$N$7=0,1,IF('Entry Builder'!$D$7="Less",--(INDEX(Sims!$A1011:$BO1011,'Entry Builder'!$L$7)&lt;'Entry Builder'!$E$7),--(INDEX(Sims!$A1011:$BO1011,'Entry Builder'!$L$7)&gt;'Entry Builder'!$E$7)))</f>
        <v/>
      </c>
      <c r="B1011">
        <f>IF('Entry Builder'!$N$8=0,1,IF('Entry Builder'!$D$8="Less",--(INDEX(Sims!$A1011:$BO1011,'Entry Builder'!$L$8)&lt;'Entry Builder'!$E$8),--(INDEX(Sims!$A1011:$BO1011,'Entry Builder'!$L$8)&gt;'Entry Builder'!$E$8)))</f>
        <v/>
      </c>
      <c r="C1011">
        <f>IF('Entry Builder'!$N$9=0,1,IF('Entry Builder'!$D$9="Less",--(INDEX(Sims!$A1011:$BO1011,'Entry Builder'!$L$9)&lt;'Entry Builder'!$E$9),--(INDEX(Sims!$A1011:$BO1011,'Entry Builder'!$L$9)&gt;'Entry Builder'!$E$9)))</f>
        <v/>
      </c>
      <c r="D1011">
        <f>IF('Entry Builder'!$N$10=0,1,IF('Entry Builder'!$D$10="Less",--(INDEX(Sims!$A1011:$BO1011,'Entry Builder'!$L$10)&lt;'Entry Builder'!$E$10),--(INDEX(Sims!$A1011:$BO1011,'Entry Builder'!$L$10)&gt;'Entry Builder'!$E$10)))</f>
        <v/>
      </c>
      <c r="E1011">
        <f>IF('Entry Builder'!$N$11=0,1,IF('Entry Builder'!$D$11="Less",--(INDEX(Sims!$A1011:$BO1011,'Entry Builder'!$L$11)&lt;'Entry Builder'!$E$11),--(INDEX(Sims!$A1011:$BO1011,'Entry Builder'!$L$11)&gt;'Entry Builder'!$E$11)))</f>
        <v/>
      </c>
      <c r="F1011">
        <f>IF('Entry Builder'!$N$12=0,1,IF('Entry Builder'!$D$12="Less",--(INDEX(Sims!$A1011:$BO1011,'Entry Builder'!$L$12)&lt;'Entry Builder'!$E$12),--(INDEX(Sims!$A1011:$BO1011,'Entry Builder'!$L$12)&gt;'Entry Builder'!$E$12)))</f>
        <v/>
      </c>
      <c r="G1011">
        <f>6-SUM(A1011:F1011)</f>
        <v/>
      </c>
    </row>
    <row r="1012">
      <c r="A1012">
        <f>IF('Entry Builder'!$N$7=0,1,IF('Entry Builder'!$D$7="Less",--(INDEX(Sims!$A1012:$BO1012,'Entry Builder'!$L$7)&lt;'Entry Builder'!$E$7),--(INDEX(Sims!$A1012:$BO1012,'Entry Builder'!$L$7)&gt;'Entry Builder'!$E$7)))</f>
        <v/>
      </c>
      <c r="B1012">
        <f>IF('Entry Builder'!$N$8=0,1,IF('Entry Builder'!$D$8="Less",--(INDEX(Sims!$A1012:$BO1012,'Entry Builder'!$L$8)&lt;'Entry Builder'!$E$8),--(INDEX(Sims!$A1012:$BO1012,'Entry Builder'!$L$8)&gt;'Entry Builder'!$E$8)))</f>
        <v/>
      </c>
      <c r="C1012">
        <f>IF('Entry Builder'!$N$9=0,1,IF('Entry Builder'!$D$9="Less",--(INDEX(Sims!$A1012:$BO1012,'Entry Builder'!$L$9)&lt;'Entry Builder'!$E$9),--(INDEX(Sims!$A1012:$BO1012,'Entry Builder'!$L$9)&gt;'Entry Builder'!$E$9)))</f>
        <v/>
      </c>
      <c r="D1012">
        <f>IF('Entry Builder'!$N$10=0,1,IF('Entry Builder'!$D$10="Less",--(INDEX(Sims!$A1012:$BO1012,'Entry Builder'!$L$10)&lt;'Entry Builder'!$E$10),--(INDEX(Sims!$A1012:$BO1012,'Entry Builder'!$L$10)&gt;'Entry Builder'!$E$10)))</f>
        <v/>
      </c>
      <c r="E1012">
        <f>IF('Entry Builder'!$N$11=0,1,IF('Entry Builder'!$D$11="Less",--(INDEX(Sims!$A1012:$BO1012,'Entry Builder'!$L$11)&lt;'Entry Builder'!$E$11),--(INDEX(Sims!$A1012:$BO1012,'Entry Builder'!$L$11)&gt;'Entry Builder'!$E$11)))</f>
        <v/>
      </c>
      <c r="F1012">
        <f>IF('Entry Builder'!$N$12=0,1,IF('Entry Builder'!$D$12="Less",--(INDEX(Sims!$A1012:$BO1012,'Entry Builder'!$L$12)&lt;'Entry Builder'!$E$12),--(INDEX(Sims!$A1012:$BO1012,'Entry Builder'!$L$12)&gt;'Entry Builder'!$E$12)))</f>
        <v/>
      </c>
      <c r="G1012">
        <f>6-SUM(A1012:F1012)</f>
        <v/>
      </c>
    </row>
    <row r="1013">
      <c r="A1013">
        <f>IF('Entry Builder'!$N$7=0,1,IF('Entry Builder'!$D$7="Less",--(INDEX(Sims!$A1013:$BO1013,'Entry Builder'!$L$7)&lt;'Entry Builder'!$E$7),--(INDEX(Sims!$A1013:$BO1013,'Entry Builder'!$L$7)&gt;'Entry Builder'!$E$7)))</f>
        <v/>
      </c>
      <c r="B1013">
        <f>IF('Entry Builder'!$N$8=0,1,IF('Entry Builder'!$D$8="Less",--(INDEX(Sims!$A1013:$BO1013,'Entry Builder'!$L$8)&lt;'Entry Builder'!$E$8),--(INDEX(Sims!$A1013:$BO1013,'Entry Builder'!$L$8)&gt;'Entry Builder'!$E$8)))</f>
        <v/>
      </c>
      <c r="C1013">
        <f>IF('Entry Builder'!$N$9=0,1,IF('Entry Builder'!$D$9="Less",--(INDEX(Sims!$A1013:$BO1013,'Entry Builder'!$L$9)&lt;'Entry Builder'!$E$9),--(INDEX(Sims!$A1013:$BO1013,'Entry Builder'!$L$9)&gt;'Entry Builder'!$E$9)))</f>
        <v/>
      </c>
      <c r="D1013">
        <f>IF('Entry Builder'!$N$10=0,1,IF('Entry Builder'!$D$10="Less",--(INDEX(Sims!$A1013:$BO1013,'Entry Builder'!$L$10)&lt;'Entry Builder'!$E$10),--(INDEX(Sims!$A1013:$BO1013,'Entry Builder'!$L$10)&gt;'Entry Builder'!$E$10)))</f>
        <v/>
      </c>
      <c r="E1013">
        <f>IF('Entry Builder'!$N$11=0,1,IF('Entry Builder'!$D$11="Less",--(INDEX(Sims!$A1013:$BO1013,'Entry Builder'!$L$11)&lt;'Entry Builder'!$E$11),--(INDEX(Sims!$A1013:$BO1013,'Entry Builder'!$L$11)&gt;'Entry Builder'!$E$11)))</f>
        <v/>
      </c>
      <c r="F1013">
        <f>IF('Entry Builder'!$N$12=0,1,IF('Entry Builder'!$D$12="Less",--(INDEX(Sims!$A1013:$BO1013,'Entry Builder'!$L$12)&lt;'Entry Builder'!$E$12),--(INDEX(Sims!$A1013:$BO1013,'Entry Builder'!$L$12)&gt;'Entry Builder'!$E$12)))</f>
        <v/>
      </c>
      <c r="G1013">
        <f>6-SUM(A1013:F1013)</f>
        <v/>
      </c>
    </row>
    <row r="1014">
      <c r="A1014">
        <f>IF('Entry Builder'!$N$7=0,1,IF('Entry Builder'!$D$7="Less",--(INDEX(Sims!$A1014:$BO1014,'Entry Builder'!$L$7)&lt;'Entry Builder'!$E$7),--(INDEX(Sims!$A1014:$BO1014,'Entry Builder'!$L$7)&gt;'Entry Builder'!$E$7)))</f>
        <v/>
      </c>
      <c r="B1014">
        <f>IF('Entry Builder'!$N$8=0,1,IF('Entry Builder'!$D$8="Less",--(INDEX(Sims!$A1014:$BO1014,'Entry Builder'!$L$8)&lt;'Entry Builder'!$E$8),--(INDEX(Sims!$A1014:$BO1014,'Entry Builder'!$L$8)&gt;'Entry Builder'!$E$8)))</f>
        <v/>
      </c>
      <c r="C1014">
        <f>IF('Entry Builder'!$N$9=0,1,IF('Entry Builder'!$D$9="Less",--(INDEX(Sims!$A1014:$BO1014,'Entry Builder'!$L$9)&lt;'Entry Builder'!$E$9),--(INDEX(Sims!$A1014:$BO1014,'Entry Builder'!$L$9)&gt;'Entry Builder'!$E$9)))</f>
        <v/>
      </c>
      <c r="D1014">
        <f>IF('Entry Builder'!$N$10=0,1,IF('Entry Builder'!$D$10="Less",--(INDEX(Sims!$A1014:$BO1014,'Entry Builder'!$L$10)&lt;'Entry Builder'!$E$10),--(INDEX(Sims!$A1014:$BO1014,'Entry Builder'!$L$10)&gt;'Entry Builder'!$E$10)))</f>
        <v/>
      </c>
      <c r="E1014">
        <f>IF('Entry Builder'!$N$11=0,1,IF('Entry Builder'!$D$11="Less",--(INDEX(Sims!$A1014:$BO1014,'Entry Builder'!$L$11)&lt;'Entry Builder'!$E$11),--(INDEX(Sims!$A1014:$BO1014,'Entry Builder'!$L$11)&gt;'Entry Builder'!$E$11)))</f>
        <v/>
      </c>
      <c r="F1014">
        <f>IF('Entry Builder'!$N$12=0,1,IF('Entry Builder'!$D$12="Less",--(INDEX(Sims!$A1014:$BO1014,'Entry Builder'!$L$12)&lt;'Entry Builder'!$E$12),--(INDEX(Sims!$A1014:$BO1014,'Entry Builder'!$L$12)&gt;'Entry Builder'!$E$12)))</f>
        <v/>
      </c>
      <c r="G1014">
        <f>6-SUM(A1014:F1014)</f>
        <v/>
      </c>
    </row>
    <row r="1015">
      <c r="A1015">
        <f>IF('Entry Builder'!$N$7=0,1,IF('Entry Builder'!$D$7="Less",--(INDEX(Sims!$A1015:$BO1015,'Entry Builder'!$L$7)&lt;'Entry Builder'!$E$7),--(INDEX(Sims!$A1015:$BO1015,'Entry Builder'!$L$7)&gt;'Entry Builder'!$E$7)))</f>
        <v/>
      </c>
      <c r="B1015">
        <f>IF('Entry Builder'!$N$8=0,1,IF('Entry Builder'!$D$8="Less",--(INDEX(Sims!$A1015:$BO1015,'Entry Builder'!$L$8)&lt;'Entry Builder'!$E$8),--(INDEX(Sims!$A1015:$BO1015,'Entry Builder'!$L$8)&gt;'Entry Builder'!$E$8)))</f>
        <v/>
      </c>
      <c r="C1015">
        <f>IF('Entry Builder'!$N$9=0,1,IF('Entry Builder'!$D$9="Less",--(INDEX(Sims!$A1015:$BO1015,'Entry Builder'!$L$9)&lt;'Entry Builder'!$E$9),--(INDEX(Sims!$A1015:$BO1015,'Entry Builder'!$L$9)&gt;'Entry Builder'!$E$9)))</f>
        <v/>
      </c>
      <c r="D1015">
        <f>IF('Entry Builder'!$N$10=0,1,IF('Entry Builder'!$D$10="Less",--(INDEX(Sims!$A1015:$BO1015,'Entry Builder'!$L$10)&lt;'Entry Builder'!$E$10),--(INDEX(Sims!$A1015:$BO1015,'Entry Builder'!$L$10)&gt;'Entry Builder'!$E$10)))</f>
        <v/>
      </c>
      <c r="E1015">
        <f>IF('Entry Builder'!$N$11=0,1,IF('Entry Builder'!$D$11="Less",--(INDEX(Sims!$A1015:$BO1015,'Entry Builder'!$L$11)&lt;'Entry Builder'!$E$11),--(INDEX(Sims!$A1015:$BO1015,'Entry Builder'!$L$11)&gt;'Entry Builder'!$E$11)))</f>
        <v/>
      </c>
      <c r="F1015">
        <f>IF('Entry Builder'!$N$12=0,1,IF('Entry Builder'!$D$12="Less",--(INDEX(Sims!$A1015:$BO1015,'Entry Builder'!$L$12)&lt;'Entry Builder'!$E$12),--(INDEX(Sims!$A1015:$BO1015,'Entry Builder'!$L$12)&gt;'Entry Builder'!$E$12)))</f>
        <v/>
      </c>
      <c r="G1015">
        <f>6-SUM(A1015:F1015)</f>
        <v/>
      </c>
    </row>
    <row r="1016">
      <c r="A1016">
        <f>IF('Entry Builder'!$N$7=0,1,IF('Entry Builder'!$D$7="Less",--(INDEX(Sims!$A1016:$BO1016,'Entry Builder'!$L$7)&lt;'Entry Builder'!$E$7),--(INDEX(Sims!$A1016:$BO1016,'Entry Builder'!$L$7)&gt;'Entry Builder'!$E$7)))</f>
        <v/>
      </c>
      <c r="B1016">
        <f>IF('Entry Builder'!$N$8=0,1,IF('Entry Builder'!$D$8="Less",--(INDEX(Sims!$A1016:$BO1016,'Entry Builder'!$L$8)&lt;'Entry Builder'!$E$8),--(INDEX(Sims!$A1016:$BO1016,'Entry Builder'!$L$8)&gt;'Entry Builder'!$E$8)))</f>
        <v/>
      </c>
      <c r="C1016">
        <f>IF('Entry Builder'!$N$9=0,1,IF('Entry Builder'!$D$9="Less",--(INDEX(Sims!$A1016:$BO1016,'Entry Builder'!$L$9)&lt;'Entry Builder'!$E$9),--(INDEX(Sims!$A1016:$BO1016,'Entry Builder'!$L$9)&gt;'Entry Builder'!$E$9)))</f>
        <v/>
      </c>
      <c r="D1016">
        <f>IF('Entry Builder'!$N$10=0,1,IF('Entry Builder'!$D$10="Less",--(INDEX(Sims!$A1016:$BO1016,'Entry Builder'!$L$10)&lt;'Entry Builder'!$E$10),--(INDEX(Sims!$A1016:$BO1016,'Entry Builder'!$L$10)&gt;'Entry Builder'!$E$10)))</f>
        <v/>
      </c>
      <c r="E1016">
        <f>IF('Entry Builder'!$N$11=0,1,IF('Entry Builder'!$D$11="Less",--(INDEX(Sims!$A1016:$BO1016,'Entry Builder'!$L$11)&lt;'Entry Builder'!$E$11),--(INDEX(Sims!$A1016:$BO1016,'Entry Builder'!$L$11)&gt;'Entry Builder'!$E$11)))</f>
        <v/>
      </c>
      <c r="F1016">
        <f>IF('Entry Builder'!$N$12=0,1,IF('Entry Builder'!$D$12="Less",--(INDEX(Sims!$A1016:$BO1016,'Entry Builder'!$L$12)&lt;'Entry Builder'!$E$12),--(INDEX(Sims!$A1016:$BO1016,'Entry Builder'!$L$12)&gt;'Entry Builder'!$E$12)))</f>
        <v/>
      </c>
      <c r="G1016">
        <f>6-SUM(A1016:F1016)</f>
        <v/>
      </c>
    </row>
    <row r="1017">
      <c r="A1017">
        <f>IF('Entry Builder'!$N$7=0,1,IF('Entry Builder'!$D$7="Less",--(INDEX(Sims!$A1017:$BO1017,'Entry Builder'!$L$7)&lt;'Entry Builder'!$E$7),--(INDEX(Sims!$A1017:$BO1017,'Entry Builder'!$L$7)&gt;'Entry Builder'!$E$7)))</f>
        <v/>
      </c>
      <c r="B1017">
        <f>IF('Entry Builder'!$N$8=0,1,IF('Entry Builder'!$D$8="Less",--(INDEX(Sims!$A1017:$BO1017,'Entry Builder'!$L$8)&lt;'Entry Builder'!$E$8),--(INDEX(Sims!$A1017:$BO1017,'Entry Builder'!$L$8)&gt;'Entry Builder'!$E$8)))</f>
        <v/>
      </c>
      <c r="C1017">
        <f>IF('Entry Builder'!$N$9=0,1,IF('Entry Builder'!$D$9="Less",--(INDEX(Sims!$A1017:$BO1017,'Entry Builder'!$L$9)&lt;'Entry Builder'!$E$9),--(INDEX(Sims!$A1017:$BO1017,'Entry Builder'!$L$9)&gt;'Entry Builder'!$E$9)))</f>
        <v/>
      </c>
      <c r="D1017">
        <f>IF('Entry Builder'!$N$10=0,1,IF('Entry Builder'!$D$10="Less",--(INDEX(Sims!$A1017:$BO1017,'Entry Builder'!$L$10)&lt;'Entry Builder'!$E$10),--(INDEX(Sims!$A1017:$BO1017,'Entry Builder'!$L$10)&gt;'Entry Builder'!$E$10)))</f>
        <v/>
      </c>
      <c r="E1017">
        <f>IF('Entry Builder'!$N$11=0,1,IF('Entry Builder'!$D$11="Less",--(INDEX(Sims!$A1017:$BO1017,'Entry Builder'!$L$11)&lt;'Entry Builder'!$E$11),--(INDEX(Sims!$A1017:$BO1017,'Entry Builder'!$L$11)&gt;'Entry Builder'!$E$11)))</f>
        <v/>
      </c>
      <c r="F1017">
        <f>IF('Entry Builder'!$N$12=0,1,IF('Entry Builder'!$D$12="Less",--(INDEX(Sims!$A1017:$BO1017,'Entry Builder'!$L$12)&lt;'Entry Builder'!$E$12),--(INDEX(Sims!$A1017:$BO1017,'Entry Builder'!$L$12)&gt;'Entry Builder'!$E$12)))</f>
        <v/>
      </c>
      <c r="G1017">
        <f>6-SUM(A1017:F1017)</f>
        <v/>
      </c>
    </row>
    <row r="1018">
      <c r="A1018">
        <f>IF('Entry Builder'!$N$7=0,1,IF('Entry Builder'!$D$7="Less",--(INDEX(Sims!$A1018:$BO1018,'Entry Builder'!$L$7)&lt;'Entry Builder'!$E$7),--(INDEX(Sims!$A1018:$BO1018,'Entry Builder'!$L$7)&gt;'Entry Builder'!$E$7)))</f>
        <v/>
      </c>
      <c r="B1018">
        <f>IF('Entry Builder'!$N$8=0,1,IF('Entry Builder'!$D$8="Less",--(INDEX(Sims!$A1018:$BO1018,'Entry Builder'!$L$8)&lt;'Entry Builder'!$E$8),--(INDEX(Sims!$A1018:$BO1018,'Entry Builder'!$L$8)&gt;'Entry Builder'!$E$8)))</f>
        <v/>
      </c>
      <c r="C1018">
        <f>IF('Entry Builder'!$N$9=0,1,IF('Entry Builder'!$D$9="Less",--(INDEX(Sims!$A1018:$BO1018,'Entry Builder'!$L$9)&lt;'Entry Builder'!$E$9),--(INDEX(Sims!$A1018:$BO1018,'Entry Builder'!$L$9)&gt;'Entry Builder'!$E$9)))</f>
        <v/>
      </c>
      <c r="D1018">
        <f>IF('Entry Builder'!$N$10=0,1,IF('Entry Builder'!$D$10="Less",--(INDEX(Sims!$A1018:$BO1018,'Entry Builder'!$L$10)&lt;'Entry Builder'!$E$10),--(INDEX(Sims!$A1018:$BO1018,'Entry Builder'!$L$10)&gt;'Entry Builder'!$E$10)))</f>
        <v/>
      </c>
      <c r="E1018">
        <f>IF('Entry Builder'!$N$11=0,1,IF('Entry Builder'!$D$11="Less",--(INDEX(Sims!$A1018:$BO1018,'Entry Builder'!$L$11)&lt;'Entry Builder'!$E$11),--(INDEX(Sims!$A1018:$BO1018,'Entry Builder'!$L$11)&gt;'Entry Builder'!$E$11)))</f>
        <v/>
      </c>
      <c r="F1018">
        <f>IF('Entry Builder'!$N$12=0,1,IF('Entry Builder'!$D$12="Less",--(INDEX(Sims!$A1018:$BO1018,'Entry Builder'!$L$12)&lt;'Entry Builder'!$E$12),--(INDEX(Sims!$A1018:$BO1018,'Entry Builder'!$L$12)&gt;'Entry Builder'!$E$12)))</f>
        <v/>
      </c>
      <c r="G1018">
        <f>6-SUM(A1018:F1018)</f>
        <v/>
      </c>
    </row>
    <row r="1019">
      <c r="A1019">
        <f>IF('Entry Builder'!$N$7=0,1,IF('Entry Builder'!$D$7="Less",--(INDEX(Sims!$A1019:$BO1019,'Entry Builder'!$L$7)&lt;'Entry Builder'!$E$7),--(INDEX(Sims!$A1019:$BO1019,'Entry Builder'!$L$7)&gt;'Entry Builder'!$E$7)))</f>
        <v/>
      </c>
      <c r="B1019">
        <f>IF('Entry Builder'!$N$8=0,1,IF('Entry Builder'!$D$8="Less",--(INDEX(Sims!$A1019:$BO1019,'Entry Builder'!$L$8)&lt;'Entry Builder'!$E$8),--(INDEX(Sims!$A1019:$BO1019,'Entry Builder'!$L$8)&gt;'Entry Builder'!$E$8)))</f>
        <v/>
      </c>
      <c r="C1019">
        <f>IF('Entry Builder'!$N$9=0,1,IF('Entry Builder'!$D$9="Less",--(INDEX(Sims!$A1019:$BO1019,'Entry Builder'!$L$9)&lt;'Entry Builder'!$E$9),--(INDEX(Sims!$A1019:$BO1019,'Entry Builder'!$L$9)&gt;'Entry Builder'!$E$9)))</f>
        <v/>
      </c>
      <c r="D1019">
        <f>IF('Entry Builder'!$N$10=0,1,IF('Entry Builder'!$D$10="Less",--(INDEX(Sims!$A1019:$BO1019,'Entry Builder'!$L$10)&lt;'Entry Builder'!$E$10),--(INDEX(Sims!$A1019:$BO1019,'Entry Builder'!$L$10)&gt;'Entry Builder'!$E$10)))</f>
        <v/>
      </c>
      <c r="E1019">
        <f>IF('Entry Builder'!$N$11=0,1,IF('Entry Builder'!$D$11="Less",--(INDEX(Sims!$A1019:$BO1019,'Entry Builder'!$L$11)&lt;'Entry Builder'!$E$11),--(INDEX(Sims!$A1019:$BO1019,'Entry Builder'!$L$11)&gt;'Entry Builder'!$E$11)))</f>
        <v/>
      </c>
      <c r="F1019">
        <f>IF('Entry Builder'!$N$12=0,1,IF('Entry Builder'!$D$12="Less",--(INDEX(Sims!$A1019:$BO1019,'Entry Builder'!$L$12)&lt;'Entry Builder'!$E$12),--(INDEX(Sims!$A1019:$BO1019,'Entry Builder'!$L$12)&gt;'Entry Builder'!$E$12)))</f>
        <v/>
      </c>
      <c r="G1019">
        <f>6-SUM(A1019:F1019)</f>
        <v/>
      </c>
    </row>
    <row r="1020">
      <c r="A1020">
        <f>IF('Entry Builder'!$N$7=0,1,IF('Entry Builder'!$D$7="Less",--(INDEX(Sims!$A1020:$BO1020,'Entry Builder'!$L$7)&lt;'Entry Builder'!$E$7),--(INDEX(Sims!$A1020:$BO1020,'Entry Builder'!$L$7)&gt;'Entry Builder'!$E$7)))</f>
        <v/>
      </c>
      <c r="B1020">
        <f>IF('Entry Builder'!$N$8=0,1,IF('Entry Builder'!$D$8="Less",--(INDEX(Sims!$A1020:$BO1020,'Entry Builder'!$L$8)&lt;'Entry Builder'!$E$8),--(INDEX(Sims!$A1020:$BO1020,'Entry Builder'!$L$8)&gt;'Entry Builder'!$E$8)))</f>
        <v/>
      </c>
      <c r="C1020">
        <f>IF('Entry Builder'!$N$9=0,1,IF('Entry Builder'!$D$9="Less",--(INDEX(Sims!$A1020:$BO1020,'Entry Builder'!$L$9)&lt;'Entry Builder'!$E$9),--(INDEX(Sims!$A1020:$BO1020,'Entry Builder'!$L$9)&gt;'Entry Builder'!$E$9)))</f>
        <v/>
      </c>
      <c r="D1020">
        <f>IF('Entry Builder'!$N$10=0,1,IF('Entry Builder'!$D$10="Less",--(INDEX(Sims!$A1020:$BO1020,'Entry Builder'!$L$10)&lt;'Entry Builder'!$E$10),--(INDEX(Sims!$A1020:$BO1020,'Entry Builder'!$L$10)&gt;'Entry Builder'!$E$10)))</f>
        <v/>
      </c>
      <c r="E1020">
        <f>IF('Entry Builder'!$N$11=0,1,IF('Entry Builder'!$D$11="Less",--(INDEX(Sims!$A1020:$BO1020,'Entry Builder'!$L$11)&lt;'Entry Builder'!$E$11),--(INDEX(Sims!$A1020:$BO1020,'Entry Builder'!$L$11)&gt;'Entry Builder'!$E$11)))</f>
        <v/>
      </c>
      <c r="F1020">
        <f>IF('Entry Builder'!$N$12=0,1,IF('Entry Builder'!$D$12="Less",--(INDEX(Sims!$A1020:$BO1020,'Entry Builder'!$L$12)&lt;'Entry Builder'!$E$12),--(INDEX(Sims!$A1020:$BO1020,'Entry Builder'!$L$12)&gt;'Entry Builder'!$E$12)))</f>
        <v/>
      </c>
      <c r="G1020">
        <f>6-SUM(A1020:F1020)</f>
        <v/>
      </c>
    </row>
    <row r="1021">
      <c r="A1021">
        <f>IF('Entry Builder'!$N$7=0,1,IF('Entry Builder'!$D$7="Less",--(INDEX(Sims!$A1021:$BO1021,'Entry Builder'!$L$7)&lt;'Entry Builder'!$E$7),--(INDEX(Sims!$A1021:$BO1021,'Entry Builder'!$L$7)&gt;'Entry Builder'!$E$7)))</f>
        <v/>
      </c>
      <c r="B1021">
        <f>IF('Entry Builder'!$N$8=0,1,IF('Entry Builder'!$D$8="Less",--(INDEX(Sims!$A1021:$BO1021,'Entry Builder'!$L$8)&lt;'Entry Builder'!$E$8),--(INDEX(Sims!$A1021:$BO1021,'Entry Builder'!$L$8)&gt;'Entry Builder'!$E$8)))</f>
        <v/>
      </c>
      <c r="C1021">
        <f>IF('Entry Builder'!$N$9=0,1,IF('Entry Builder'!$D$9="Less",--(INDEX(Sims!$A1021:$BO1021,'Entry Builder'!$L$9)&lt;'Entry Builder'!$E$9),--(INDEX(Sims!$A1021:$BO1021,'Entry Builder'!$L$9)&gt;'Entry Builder'!$E$9)))</f>
        <v/>
      </c>
      <c r="D1021">
        <f>IF('Entry Builder'!$N$10=0,1,IF('Entry Builder'!$D$10="Less",--(INDEX(Sims!$A1021:$BO1021,'Entry Builder'!$L$10)&lt;'Entry Builder'!$E$10),--(INDEX(Sims!$A1021:$BO1021,'Entry Builder'!$L$10)&gt;'Entry Builder'!$E$10)))</f>
        <v/>
      </c>
      <c r="E1021">
        <f>IF('Entry Builder'!$N$11=0,1,IF('Entry Builder'!$D$11="Less",--(INDEX(Sims!$A1021:$BO1021,'Entry Builder'!$L$11)&lt;'Entry Builder'!$E$11),--(INDEX(Sims!$A1021:$BO1021,'Entry Builder'!$L$11)&gt;'Entry Builder'!$E$11)))</f>
        <v/>
      </c>
      <c r="F1021">
        <f>IF('Entry Builder'!$N$12=0,1,IF('Entry Builder'!$D$12="Less",--(INDEX(Sims!$A1021:$BO1021,'Entry Builder'!$L$12)&lt;'Entry Builder'!$E$12),--(INDEX(Sims!$A1021:$BO1021,'Entry Builder'!$L$12)&gt;'Entry Builder'!$E$12)))</f>
        <v/>
      </c>
      <c r="G1021">
        <f>6-SUM(A1021:F1021)</f>
        <v/>
      </c>
    </row>
    <row r="1022">
      <c r="A1022">
        <f>IF('Entry Builder'!$N$7=0,1,IF('Entry Builder'!$D$7="Less",--(INDEX(Sims!$A1022:$BO1022,'Entry Builder'!$L$7)&lt;'Entry Builder'!$E$7),--(INDEX(Sims!$A1022:$BO1022,'Entry Builder'!$L$7)&gt;'Entry Builder'!$E$7)))</f>
        <v/>
      </c>
      <c r="B1022">
        <f>IF('Entry Builder'!$N$8=0,1,IF('Entry Builder'!$D$8="Less",--(INDEX(Sims!$A1022:$BO1022,'Entry Builder'!$L$8)&lt;'Entry Builder'!$E$8),--(INDEX(Sims!$A1022:$BO1022,'Entry Builder'!$L$8)&gt;'Entry Builder'!$E$8)))</f>
        <v/>
      </c>
      <c r="C1022">
        <f>IF('Entry Builder'!$N$9=0,1,IF('Entry Builder'!$D$9="Less",--(INDEX(Sims!$A1022:$BO1022,'Entry Builder'!$L$9)&lt;'Entry Builder'!$E$9),--(INDEX(Sims!$A1022:$BO1022,'Entry Builder'!$L$9)&gt;'Entry Builder'!$E$9)))</f>
        <v/>
      </c>
      <c r="D1022">
        <f>IF('Entry Builder'!$N$10=0,1,IF('Entry Builder'!$D$10="Less",--(INDEX(Sims!$A1022:$BO1022,'Entry Builder'!$L$10)&lt;'Entry Builder'!$E$10),--(INDEX(Sims!$A1022:$BO1022,'Entry Builder'!$L$10)&gt;'Entry Builder'!$E$10)))</f>
        <v/>
      </c>
      <c r="E1022">
        <f>IF('Entry Builder'!$N$11=0,1,IF('Entry Builder'!$D$11="Less",--(INDEX(Sims!$A1022:$BO1022,'Entry Builder'!$L$11)&lt;'Entry Builder'!$E$11),--(INDEX(Sims!$A1022:$BO1022,'Entry Builder'!$L$11)&gt;'Entry Builder'!$E$11)))</f>
        <v/>
      </c>
      <c r="F1022">
        <f>IF('Entry Builder'!$N$12=0,1,IF('Entry Builder'!$D$12="Less",--(INDEX(Sims!$A1022:$BO1022,'Entry Builder'!$L$12)&lt;'Entry Builder'!$E$12),--(INDEX(Sims!$A1022:$BO1022,'Entry Builder'!$L$12)&gt;'Entry Builder'!$E$12)))</f>
        <v/>
      </c>
      <c r="G1022">
        <f>6-SUM(A1022:F1022)</f>
        <v/>
      </c>
    </row>
    <row r="1023">
      <c r="A1023">
        <f>IF('Entry Builder'!$N$7=0,1,IF('Entry Builder'!$D$7="Less",--(INDEX(Sims!$A1023:$BO1023,'Entry Builder'!$L$7)&lt;'Entry Builder'!$E$7),--(INDEX(Sims!$A1023:$BO1023,'Entry Builder'!$L$7)&gt;'Entry Builder'!$E$7)))</f>
        <v/>
      </c>
      <c r="B1023">
        <f>IF('Entry Builder'!$N$8=0,1,IF('Entry Builder'!$D$8="Less",--(INDEX(Sims!$A1023:$BO1023,'Entry Builder'!$L$8)&lt;'Entry Builder'!$E$8),--(INDEX(Sims!$A1023:$BO1023,'Entry Builder'!$L$8)&gt;'Entry Builder'!$E$8)))</f>
        <v/>
      </c>
      <c r="C1023">
        <f>IF('Entry Builder'!$N$9=0,1,IF('Entry Builder'!$D$9="Less",--(INDEX(Sims!$A1023:$BO1023,'Entry Builder'!$L$9)&lt;'Entry Builder'!$E$9),--(INDEX(Sims!$A1023:$BO1023,'Entry Builder'!$L$9)&gt;'Entry Builder'!$E$9)))</f>
        <v/>
      </c>
      <c r="D1023">
        <f>IF('Entry Builder'!$N$10=0,1,IF('Entry Builder'!$D$10="Less",--(INDEX(Sims!$A1023:$BO1023,'Entry Builder'!$L$10)&lt;'Entry Builder'!$E$10),--(INDEX(Sims!$A1023:$BO1023,'Entry Builder'!$L$10)&gt;'Entry Builder'!$E$10)))</f>
        <v/>
      </c>
      <c r="E1023">
        <f>IF('Entry Builder'!$N$11=0,1,IF('Entry Builder'!$D$11="Less",--(INDEX(Sims!$A1023:$BO1023,'Entry Builder'!$L$11)&lt;'Entry Builder'!$E$11),--(INDEX(Sims!$A1023:$BO1023,'Entry Builder'!$L$11)&gt;'Entry Builder'!$E$11)))</f>
        <v/>
      </c>
      <c r="F1023">
        <f>IF('Entry Builder'!$N$12=0,1,IF('Entry Builder'!$D$12="Less",--(INDEX(Sims!$A1023:$BO1023,'Entry Builder'!$L$12)&lt;'Entry Builder'!$E$12),--(INDEX(Sims!$A1023:$BO1023,'Entry Builder'!$L$12)&gt;'Entry Builder'!$E$12)))</f>
        <v/>
      </c>
      <c r="G1023">
        <f>6-SUM(A1023:F1023)</f>
        <v/>
      </c>
    </row>
    <row r="1024">
      <c r="A1024">
        <f>IF('Entry Builder'!$N$7=0,1,IF('Entry Builder'!$D$7="Less",--(INDEX(Sims!$A1024:$BO1024,'Entry Builder'!$L$7)&lt;'Entry Builder'!$E$7),--(INDEX(Sims!$A1024:$BO1024,'Entry Builder'!$L$7)&gt;'Entry Builder'!$E$7)))</f>
        <v/>
      </c>
      <c r="B1024">
        <f>IF('Entry Builder'!$N$8=0,1,IF('Entry Builder'!$D$8="Less",--(INDEX(Sims!$A1024:$BO1024,'Entry Builder'!$L$8)&lt;'Entry Builder'!$E$8),--(INDEX(Sims!$A1024:$BO1024,'Entry Builder'!$L$8)&gt;'Entry Builder'!$E$8)))</f>
        <v/>
      </c>
      <c r="C1024">
        <f>IF('Entry Builder'!$N$9=0,1,IF('Entry Builder'!$D$9="Less",--(INDEX(Sims!$A1024:$BO1024,'Entry Builder'!$L$9)&lt;'Entry Builder'!$E$9),--(INDEX(Sims!$A1024:$BO1024,'Entry Builder'!$L$9)&gt;'Entry Builder'!$E$9)))</f>
        <v/>
      </c>
      <c r="D1024">
        <f>IF('Entry Builder'!$N$10=0,1,IF('Entry Builder'!$D$10="Less",--(INDEX(Sims!$A1024:$BO1024,'Entry Builder'!$L$10)&lt;'Entry Builder'!$E$10),--(INDEX(Sims!$A1024:$BO1024,'Entry Builder'!$L$10)&gt;'Entry Builder'!$E$10)))</f>
        <v/>
      </c>
      <c r="E1024">
        <f>IF('Entry Builder'!$N$11=0,1,IF('Entry Builder'!$D$11="Less",--(INDEX(Sims!$A1024:$BO1024,'Entry Builder'!$L$11)&lt;'Entry Builder'!$E$11),--(INDEX(Sims!$A1024:$BO1024,'Entry Builder'!$L$11)&gt;'Entry Builder'!$E$11)))</f>
        <v/>
      </c>
      <c r="F1024">
        <f>IF('Entry Builder'!$N$12=0,1,IF('Entry Builder'!$D$12="Less",--(INDEX(Sims!$A1024:$BO1024,'Entry Builder'!$L$12)&lt;'Entry Builder'!$E$12),--(INDEX(Sims!$A1024:$BO1024,'Entry Builder'!$L$12)&gt;'Entry Builder'!$E$12)))</f>
        <v/>
      </c>
      <c r="G1024">
        <f>6-SUM(A1024:F1024)</f>
        <v/>
      </c>
    </row>
    <row r="1025">
      <c r="A1025">
        <f>IF('Entry Builder'!$N$7=0,1,IF('Entry Builder'!$D$7="Less",--(INDEX(Sims!$A1025:$BO1025,'Entry Builder'!$L$7)&lt;'Entry Builder'!$E$7),--(INDEX(Sims!$A1025:$BO1025,'Entry Builder'!$L$7)&gt;'Entry Builder'!$E$7)))</f>
        <v/>
      </c>
      <c r="B1025">
        <f>IF('Entry Builder'!$N$8=0,1,IF('Entry Builder'!$D$8="Less",--(INDEX(Sims!$A1025:$BO1025,'Entry Builder'!$L$8)&lt;'Entry Builder'!$E$8),--(INDEX(Sims!$A1025:$BO1025,'Entry Builder'!$L$8)&gt;'Entry Builder'!$E$8)))</f>
        <v/>
      </c>
      <c r="C1025">
        <f>IF('Entry Builder'!$N$9=0,1,IF('Entry Builder'!$D$9="Less",--(INDEX(Sims!$A1025:$BO1025,'Entry Builder'!$L$9)&lt;'Entry Builder'!$E$9),--(INDEX(Sims!$A1025:$BO1025,'Entry Builder'!$L$9)&gt;'Entry Builder'!$E$9)))</f>
        <v/>
      </c>
      <c r="D1025">
        <f>IF('Entry Builder'!$N$10=0,1,IF('Entry Builder'!$D$10="Less",--(INDEX(Sims!$A1025:$BO1025,'Entry Builder'!$L$10)&lt;'Entry Builder'!$E$10),--(INDEX(Sims!$A1025:$BO1025,'Entry Builder'!$L$10)&gt;'Entry Builder'!$E$10)))</f>
        <v/>
      </c>
      <c r="E1025">
        <f>IF('Entry Builder'!$N$11=0,1,IF('Entry Builder'!$D$11="Less",--(INDEX(Sims!$A1025:$BO1025,'Entry Builder'!$L$11)&lt;'Entry Builder'!$E$11),--(INDEX(Sims!$A1025:$BO1025,'Entry Builder'!$L$11)&gt;'Entry Builder'!$E$11)))</f>
        <v/>
      </c>
      <c r="F1025">
        <f>IF('Entry Builder'!$N$12=0,1,IF('Entry Builder'!$D$12="Less",--(INDEX(Sims!$A1025:$BO1025,'Entry Builder'!$L$12)&lt;'Entry Builder'!$E$12),--(INDEX(Sims!$A1025:$BO1025,'Entry Builder'!$L$12)&gt;'Entry Builder'!$E$12)))</f>
        <v/>
      </c>
      <c r="G1025">
        <f>6-SUM(A1025:F1025)</f>
        <v/>
      </c>
    </row>
    <row r="1026">
      <c r="A1026">
        <f>IF('Entry Builder'!$N$7=0,1,IF('Entry Builder'!$D$7="Less",--(INDEX(Sims!$A1026:$BO1026,'Entry Builder'!$L$7)&lt;'Entry Builder'!$E$7),--(INDEX(Sims!$A1026:$BO1026,'Entry Builder'!$L$7)&gt;'Entry Builder'!$E$7)))</f>
        <v/>
      </c>
      <c r="B1026">
        <f>IF('Entry Builder'!$N$8=0,1,IF('Entry Builder'!$D$8="Less",--(INDEX(Sims!$A1026:$BO1026,'Entry Builder'!$L$8)&lt;'Entry Builder'!$E$8),--(INDEX(Sims!$A1026:$BO1026,'Entry Builder'!$L$8)&gt;'Entry Builder'!$E$8)))</f>
        <v/>
      </c>
      <c r="C1026">
        <f>IF('Entry Builder'!$N$9=0,1,IF('Entry Builder'!$D$9="Less",--(INDEX(Sims!$A1026:$BO1026,'Entry Builder'!$L$9)&lt;'Entry Builder'!$E$9),--(INDEX(Sims!$A1026:$BO1026,'Entry Builder'!$L$9)&gt;'Entry Builder'!$E$9)))</f>
        <v/>
      </c>
      <c r="D1026">
        <f>IF('Entry Builder'!$N$10=0,1,IF('Entry Builder'!$D$10="Less",--(INDEX(Sims!$A1026:$BO1026,'Entry Builder'!$L$10)&lt;'Entry Builder'!$E$10),--(INDEX(Sims!$A1026:$BO1026,'Entry Builder'!$L$10)&gt;'Entry Builder'!$E$10)))</f>
        <v/>
      </c>
      <c r="E1026">
        <f>IF('Entry Builder'!$N$11=0,1,IF('Entry Builder'!$D$11="Less",--(INDEX(Sims!$A1026:$BO1026,'Entry Builder'!$L$11)&lt;'Entry Builder'!$E$11),--(INDEX(Sims!$A1026:$BO1026,'Entry Builder'!$L$11)&gt;'Entry Builder'!$E$11)))</f>
        <v/>
      </c>
      <c r="F1026">
        <f>IF('Entry Builder'!$N$12=0,1,IF('Entry Builder'!$D$12="Less",--(INDEX(Sims!$A1026:$BO1026,'Entry Builder'!$L$12)&lt;'Entry Builder'!$E$12),--(INDEX(Sims!$A1026:$BO1026,'Entry Builder'!$L$12)&gt;'Entry Builder'!$E$12)))</f>
        <v/>
      </c>
      <c r="G1026">
        <f>6-SUM(A1026:F1026)</f>
        <v/>
      </c>
    </row>
    <row r="1027">
      <c r="A1027">
        <f>IF('Entry Builder'!$N$7=0,1,IF('Entry Builder'!$D$7="Less",--(INDEX(Sims!$A1027:$BO1027,'Entry Builder'!$L$7)&lt;'Entry Builder'!$E$7),--(INDEX(Sims!$A1027:$BO1027,'Entry Builder'!$L$7)&gt;'Entry Builder'!$E$7)))</f>
        <v/>
      </c>
      <c r="B1027">
        <f>IF('Entry Builder'!$N$8=0,1,IF('Entry Builder'!$D$8="Less",--(INDEX(Sims!$A1027:$BO1027,'Entry Builder'!$L$8)&lt;'Entry Builder'!$E$8),--(INDEX(Sims!$A1027:$BO1027,'Entry Builder'!$L$8)&gt;'Entry Builder'!$E$8)))</f>
        <v/>
      </c>
      <c r="C1027">
        <f>IF('Entry Builder'!$N$9=0,1,IF('Entry Builder'!$D$9="Less",--(INDEX(Sims!$A1027:$BO1027,'Entry Builder'!$L$9)&lt;'Entry Builder'!$E$9),--(INDEX(Sims!$A1027:$BO1027,'Entry Builder'!$L$9)&gt;'Entry Builder'!$E$9)))</f>
        <v/>
      </c>
      <c r="D1027">
        <f>IF('Entry Builder'!$N$10=0,1,IF('Entry Builder'!$D$10="Less",--(INDEX(Sims!$A1027:$BO1027,'Entry Builder'!$L$10)&lt;'Entry Builder'!$E$10),--(INDEX(Sims!$A1027:$BO1027,'Entry Builder'!$L$10)&gt;'Entry Builder'!$E$10)))</f>
        <v/>
      </c>
      <c r="E1027">
        <f>IF('Entry Builder'!$N$11=0,1,IF('Entry Builder'!$D$11="Less",--(INDEX(Sims!$A1027:$BO1027,'Entry Builder'!$L$11)&lt;'Entry Builder'!$E$11),--(INDEX(Sims!$A1027:$BO1027,'Entry Builder'!$L$11)&gt;'Entry Builder'!$E$11)))</f>
        <v/>
      </c>
      <c r="F1027">
        <f>IF('Entry Builder'!$N$12=0,1,IF('Entry Builder'!$D$12="Less",--(INDEX(Sims!$A1027:$BO1027,'Entry Builder'!$L$12)&lt;'Entry Builder'!$E$12),--(INDEX(Sims!$A1027:$BO1027,'Entry Builder'!$L$12)&gt;'Entry Builder'!$E$12)))</f>
        <v/>
      </c>
      <c r="G1027">
        <f>6-SUM(A1027:F1027)</f>
        <v/>
      </c>
    </row>
    <row r="1028">
      <c r="A1028">
        <f>IF('Entry Builder'!$N$7=0,1,IF('Entry Builder'!$D$7="Less",--(INDEX(Sims!$A1028:$BO1028,'Entry Builder'!$L$7)&lt;'Entry Builder'!$E$7),--(INDEX(Sims!$A1028:$BO1028,'Entry Builder'!$L$7)&gt;'Entry Builder'!$E$7)))</f>
        <v/>
      </c>
      <c r="B1028">
        <f>IF('Entry Builder'!$N$8=0,1,IF('Entry Builder'!$D$8="Less",--(INDEX(Sims!$A1028:$BO1028,'Entry Builder'!$L$8)&lt;'Entry Builder'!$E$8),--(INDEX(Sims!$A1028:$BO1028,'Entry Builder'!$L$8)&gt;'Entry Builder'!$E$8)))</f>
        <v/>
      </c>
      <c r="C1028">
        <f>IF('Entry Builder'!$N$9=0,1,IF('Entry Builder'!$D$9="Less",--(INDEX(Sims!$A1028:$BO1028,'Entry Builder'!$L$9)&lt;'Entry Builder'!$E$9),--(INDEX(Sims!$A1028:$BO1028,'Entry Builder'!$L$9)&gt;'Entry Builder'!$E$9)))</f>
        <v/>
      </c>
      <c r="D1028">
        <f>IF('Entry Builder'!$N$10=0,1,IF('Entry Builder'!$D$10="Less",--(INDEX(Sims!$A1028:$BO1028,'Entry Builder'!$L$10)&lt;'Entry Builder'!$E$10),--(INDEX(Sims!$A1028:$BO1028,'Entry Builder'!$L$10)&gt;'Entry Builder'!$E$10)))</f>
        <v/>
      </c>
      <c r="E1028">
        <f>IF('Entry Builder'!$N$11=0,1,IF('Entry Builder'!$D$11="Less",--(INDEX(Sims!$A1028:$BO1028,'Entry Builder'!$L$11)&lt;'Entry Builder'!$E$11),--(INDEX(Sims!$A1028:$BO1028,'Entry Builder'!$L$11)&gt;'Entry Builder'!$E$11)))</f>
        <v/>
      </c>
      <c r="F1028">
        <f>IF('Entry Builder'!$N$12=0,1,IF('Entry Builder'!$D$12="Less",--(INDEX(Sims!$A1028:$BO1028,'Entry Builder'!$L$12)&lt;'Entry Builder'!$E$12),--(INDEX(Sims!$A1028:$BO1028,'Entry Builder'!$L$12)&gt;'Entry Builder'!$E$12)))</f>
        <v/>
      </c>
      <c r="G1028">
        <f>6-SUM(A1028:F1028)</f>
        <v/>
      </c>
    </row>
    <row r="1029">
      <c r="A1029">
        <f>IF('Entry Builder'!$N$7=0,1,IF('Entry Builder'!$D$7="Less",--(INDEX(Sims!$A1029:$BO1029,'Entry Builder'!$L$7)&lt;'Entry Builder'!$E$7),--(INDEX(Sims!$A1029:$BO1029,'Entry Builder'!$L$7)&gt;'Entry Builder'!$E$7)))</f>
        <v/>
      </c>
      <c r="B1029">
        <f>IF('Entry Builder'!$N$8=0,1,IF('Entry Builder'!$D$8="Less",--(INDEX(Sims!$A1029:$BO1029,'Entry Builder'!$L$8)&lt;'Entry Builder'!$E$8),--(INDEX(Sims!$A1029:$BO1029,'Entry Builder'!$L$8)&gt;'Entry Builder'!$E$8)))</f>
        <v/>
      </c>
      <c r="C1029">
        <f>IF('Entry Builder'!$N$9=0,1,IF('Entry Builder'!$D$9="Less",--(INDEX(Sims!$A1029:$BO1029,'Entry Builder'!$L$9)&lt;'Entry Builder'!$E$9),--(INDEX(Sims!$A1029:$BO1029,'Entry Builder'!$L$9)&gt;'Entry Builder'!$E$9)))</f>
        <v/>
      </c>
      <c r="D1029">
        <f>IF('Entry Builder'!$N$10=0,1,IF('Entry Builder'!$D$10="Less",--(INDEX(Sims!$A1029:$BO1029,'Entry Builder'!$L$10)&lt;'Entry Builder'!$E$10),--(INDEX(Sims!$A1029:$BO1029,'Entry Builder'!$L$10)&gt;'Entry Builder'!$E$10)))</f>
        <v/>
      </c>
      <c r="E1029">
        <f>IF('Entry Builder'!$N$11=0,1,IF('Entry Builder'!$D$11="Less",--(INDEX(Sims!$A1029:$BO1029,'Entry Builder'!$L$11)&lt;'Entry Builder'!$E$11),--(INDEX(Sims!$A1029:$BO1029,'Entry Builder'!$L$11)&gt;'Entry Builder'!$E$11)))</f>
        <v/>
      </c>
      <c r="F1029">
        <f>IF('Entry Builder'!$N$12=0,1,IF('Entry Builder'!$D$12="Less",--(INDEX(Sims!$A1029:$BO1029,'Entry Builder'!$L$12)&lt;'Entry Builder'!$E$12),--(INDEX(Sims!$A1029:$BO1029,'Entry Builder'!$L$12)&gt;'Entry Builder'!$E$12)))</f>
        <v/>
      </c>
      <c r="G1029">
        <f>6-SUM(A1029:F1029)</f>
        <v/>
      </c>
    </row>
    <row r="1030">
      <c r="A1030">
        <f>IF('Entry Builder'!$N$7=0,1,IF('Entry Builder'!$D$7="Less",--(INDEX(Sims!$A1030:$BO1030,'Entry Builder'!$L$7)&lt;'Entry Builder'!$E$7),--(INDEX(Sims!$A1030:$BO1030,'Entry Builder'!$L$7)&gt;'Entry Builder'!$E$7)))</f>
        <v/>
      </c>
      <c r="B1030">
        <f>IF('Entry Builder'!$N$8=0,1,IF('Entry Builder'!$D$8="Less",--(INDEX(Sims!$A1030:$BO1030,'Entry Builder'!$L$8)&lt;'Entry Builder'!$E$8),--(INDEX(Sims!$A1030:$BO1030,'Entry Builder'!$L$8)&gt;'Entry Builder'!$E$8)))</f>
        <v/>
      </c>
      <c r="C1030">
        <f>IF('Entry Builder'!$N$9=0,1,IF('Entry Builder'!$D$9="Less",--(INDEX(Sims!$A1030:$BO1030,'Entry Builder'!$L$9)&lt;'Entry Builder'!$E$9),--(INDEX(Sims!$A1030:$BO1030,'Entry Builder'!$L$9)&gt;'Entry Builder'!$E$9)))</f>
        <v/>
      </c>
      <c r="D1030">
        <f>IF('Entry Builder'!$N$10=0,1,IF('Entry Builder'!$D$10="Less",--(INDEX(Sims!$A1030:$BO1030,'Entry Builder'!$L$10)&lt;'Entry Builder'!$E$10),--(INDEX(Sims!$A1030:$BO1030,'Entry Builder'!$L$10)&gt;'Entry Builder'!$E$10)))</f>
        <v/>
      </c>
      <c r="E1030">
        <f>IF('Entry Builder'!$N$11=0,1,IF('Entry Builder'!$D$11="Less",--(INDEX(Sims!$A1030:$BO1030,'Entry Builder'!$L$11)&lt;'Entry Builder'!$E$11),--(INDEX(Sims!$A1030:$BO1030,'Entry Builder'!$L$11)&gt;'Entry Builder'!$E$11)))</f>
        <v/>
      </c>
      <c r="F1030">
        <f>IF('Entry Builder'!$N$12=0,1,IF('Entry Builder'!$D$12="Less",--(INDEX(Sims!$A1030:$BO1030,'Entry Builder'!$L$12)&lt;'Entry Builder'!$E$12),--(INDEX(Sims!$A1030:$BO1030,'Entry Builder'!$L$12)&gt;'Entry Builder'!$E$12)))</f>
        <v/>
      </c>
      <c r="G1030">
        <f>6-SUM(A1030:F1030)</f>
        <v/>
      </c>
    </row>
    <row r="1031">
      <c r="A1031">
        <f>IF('Entry Builder'!$N$7=0,1,IF('Entry Builder'!$D$7="Less",--(INDEX(Sims!$A1031:$BO1031,'Entry Builder'!$L$7)&lt;'Entry Builder'!$E$7),--(INDEX(Sims!$A1031:$BO1031,'Entry Builder'!$L$7)&gt;'Entry Builder'!$E$7)))</f>
        <v/>
      </c>
      <c r="B1031">
        <f>IF('Entry Builder'!$N$8=0,1,IF('Entry Builder'!$D$8="Less",--(INDEX(Sims!$A1031:$BO1031,'Entry Builder'!$L$8)&lt;'Entry Builder'!$E$8),--(INDEX(Sims!$A1031:$BO1031,'Entry Builder'!$L$8)&gt;'Entry Builder'!$E$8)))</f>
        <v/>
      </c>
      <c r="C1031">
        <f>IF('Entry Builder'!$N$9=0,1,IF('Entry Builder'!$D$9="Less",--(INDEX(Sims!$A1031:$BO1031,'Entry Builder'!$L$9)&lt;'Entry Builder'!$E$9),--(INDEX(Sims!$A1031:$BO1031,'Entry Builder'!$L$9)&gt;'Entry Builder'!$E$9)))</f>
        <v/>
      </c>
      <c r="D1031">
        <f>IF('Entry Builder'!$N$10=0,1,IF('Entry Builder'!$D$10="Less",--(INDEX(Sims!$A1031:$BO1031,'Entry Builder'!$L$10)&lt;'Entry Builder'!$E$10),--(INDEX(Sims!$A1031:$BO1031,'Entry Builder'!$L$10)&gt;'Entry Builder'!$E$10)))</f>
        <v/>
      </c>
      <c r="E1031">
        <f>IF('Entry Builder'!$N$11=0,1,IF('Entry Builder'!$D$11="Less",--(INDEX(Sims!$A1031:$BO1031,'Entry Builder'!$L$11)&lt;'Entry Builder'!$E$11),--(INDEX(Sims!$A1031:$BO1031,'Entry Builder'!$L$11)&gt;'Entry Builder'!$E$11)))</f>
        <v/>
      </c>
      <c r="F1031">
        <f>IF('Entry Builder'!$N$12=0,1,IF('Entry Builder'!$D$12="Less",--(INDEX(Sims!$A1031:$BO1031,'Entry Builder'!$L$12)&lt;'Entry Builder'!$E$12),--(INDEX(Sims!$A1031:$BO1031,'Entry Builder'!$L$12)&gt;'Entry Builder'!$E$12)))</f>
        <v/>
      </c>
      <c r="G1031">
        <f>6-SUM(A1031:F1031)</f>
        <v/>
      </c>
    </row>
    <row r="1032">
      <c r="A1032">
        <f>IF('Entry Builder'!$N$7=0,1,IF('Entry Builder'!$D$7="Less",--(INDEX(Sims!$A1032:$BO1032,'Entry Builder'!$L$7)&lt;'Entry Builder'!$E$7),--(INDEX(Sims!$A1032:$BO1032,'Entry Builder'!$L$7)&gt;'Entry Builder'!$E$7)))</f>
        <v/>
      </c>
      <c r="B1032">
        <f>IF('Entry Builder'!$N$8=0,1,IF('Entry Builder'!$D$8="Less",--(INDEX(Sims!$A1032:$BO1032,'Entry Builder'!$L$8)&lt;'Entry Builder'!$E$8),--(INDEX(Sims!$A1032:$BO1032,'Entry Builder'!$L$8)&gt;'Entry Builder'!$E$8)))</f>
        <v/>
      </c>
      <c r="C1032">
        <f>IF('Entry Builder'!$N$9=0,1,IF('Entry Builder'!$D$9="Less",--(INDEX(Sims!$A1032:$BO1032,'Entry Builder'!$L$9)&lt;'Entry Builder'!$E$9),--(INDEX(Sims!$A1032:$BO1032,'Entry Builder'!$L$9)&gt;'Entry Builder'!$E$9)))</f>
        <v/>
      </c>
      <c r="D1032">
        <f>IF('Entry Builder'!$N$10=0,1,IF('Entry Builder'!$D$10="Less",--(INDEX(Sims!$A1032:$BO1032,'Entry Builder'!$L$10)&lt;'Entry Builder'!$E$10),--(INDEX(Sims!$A1032:$BO1032,'Entry Builder'!$L$10)&gt;'Entry Builder'!$E$10)))</f>
        <v/>
      </c>
      <c r="E1032">
        <f>IF('Entry Builder'!$N$11=0,1,IF('Entry Builder'!$D$11="Less",--(INDEX(Sims!$A1032:$BO1032,'Entry Builder'!$L$11)&lt;'Entry Builder'!$E$11),--(INDEX(Sims!$A1032:$BO1032,'Entry Builder'!$L$11)&gt;'Entry Builder'!$E$11)))</f>
        <v/>
      </c>
      <c r="F1032">
        <f>IF('Entry Builder'!$N$12=0,1,IF('Entry Builder'!$D$12="Less",--(INDEX(Sims!$A1032:$BO1032,'Entry Builder'!$L$12)&lt;'Entry Builder'!$E$12),--(INDEX(Sims!$A1032:$BO1032,'Entry Builder'!$L$12)&gt;'Entry Builder'!$E$12)))</f>
        <v/>
      </c>
      <c r="G1032">
        <f>6-SUM(A1032:F1032)</f>
        <v/>
      </c>
    </row>
    <row r="1033">
      <c r="A1033">
        <f>IF('Entry Builder'!$N$7=0,1,IF('Entry Builder'!$D$7="Less",--(INDEX(Sims!$A1033:$BO1033,'Entry Builder'!$L$7)&lt;'Entry Builder'!$E$7),--(INDEX(Sims!$A1033:$BO1033,'Entry Builder'!$L$7)&gt;'Entry Builder'!$E$7)))</f>
        <v/>
      </c>
      <c r="B1033">
        <f>IF('Entry Builder'!$N$8=0,1,IF('Entry Builder'!$D$8="Less",--(INDEX(Sims!$A1033:$BO1033,'Entry Builder'!$L$8)&lt;'Entry Builder'!$E$8),--(INDEX(Sims!$A1033:$BO1033,'Entry Builder'!$L$8)&gt;'Entry Builder'!$E$8)))</f>
        <v/>
      </c>
      <c r="C1033">
        <f>IF('Entry Builder'!$N$9=0,1,IF('Entry Builder'!$D$9="Less",--(INDEX(Sims!$A1033:$BO1033,'Entry Builder'!$L$9)&lt;'Entry Builder'!$E$9),--(INDEX(Sims!$A1033:$BO1033,'Entry Builder'!$L$9)&gt;'Entry Builder'!$E$9)))</f>
        <v/>
      </c>
      <c r="D1033">
        <f>IF('Entry Builder'!$N$10=0,1,IF('Entry Builder'!$D$10="Less",--(INDEX(Sims!$A1033:$BO1033,'Entry Builder'!$L$10)&lt;'Entry Builder'!$E$10),--(INDEX(Sims!$A1033:$BO1033,'Entry Builder'!$L$10)&gt;'Entry Builder'!$E$10)))</f>
        <v/>
      </c>
      <c r="E1033">
        <f>IF('Entry Builder'!$N$11=0,1,IF('Entry Builder'!$D$11="Less",--(INDEX(Sims!$A1033:$BO1033,'Entry Builder'!$L$11)&lt;'Entry Builder'!$E$11),--(INDEX(Sims!$A1033:$BO1033,'Entry Builder'!$L$11)&gt;'Entry Builder'!$E$11)))</f>
        <v/>
      </c>
      <c r="F1033">
        <f>IF('Entry Builder'!$N$12=0,1,IF('Entry Builder'!$D$12="Less",--(INDEX(Sims!$A1033:$BO1033,'Entry Builder'!$L$12)&lt;'Entry Builder'!$E$12),--(INDEX(Sims!$A1033:$BO1033,'Entry Builder'!$L$12)&gt;'Entry Builder'!$E$12)))</f>
        <v/>
      </c>
      <c r="G1033">
        <f>6-SUM(A1033:F1033)</f>
        <v/>
      </c>
    </row>
    <row r="1034">
      <c r="A1034">
        <f>IF('Entry Builder'!$N$7=0,1,IF('Entry Builder'!$D$7="Less",--(INDEX(Sims!$A1034:$BO1034,'Entry Builder'!$L$7)&lt;'Entry Builder'!$E$7),--(INDEX(Sims!$A1034:$BO1034,'Entry Builder'!$L$7)&gt;'Entry Builder'!$E$7)))</f>
        <v/>
      </c>
      <c r="B1034">
        <f>IF('Entry Builder'!$N$8=0,1,IF('Entry Builder'!$D$8="Less",--(INDEX(Sims!$A1034:$BO1034,'Entry Builder'!$L$8)&lt;'Entry Builder'!$E$8),--(INDEX(Sims!$A1034:$BO1034,'Entry Builder'!$L$8)&gt;'Entry Builder'!$E$8)))</f>
        <v/>
      </c>
      <c r="C1034">
        <f>IF('Entry Builder'!$N$9=0,1,IF('Entry Builder'!$D$9="Less",--(INDEX(Sims!$A1034:$BO1034,'Entry Builder'!$L$9)&lt;'Entry Builder'!$E$9),--(INDEX(Sims!$A1034:$BO1034,'Entry Builder'!$L$9)&gt;'Entry Builder'!$E$9)))</f>
        <v/>
      </c>
      <c r="D1034">
        <f>IF('Entry Builder'!$N$10=0,1,IF('Entry Builder'!$D$10="Less",--(INDEX(Sims!$A1034:$BO1034,'Entry Builder'!$L$10)&lt;'Entry Builder'!$E$10),--(INDEX(Sims!$A1034:$BO1034,'Entry Builder'!$L$10)&gt;'Entry Builder'!$E$10)))</f>
        <v/>
      </c>
      <c r="E1034">
        <f>IF('Entry Builder'!$N$11=0,1,IF('Entry Builder'!$D$11="Less",--(INDEX(Sims!$A1034:$BO1034,'Entry Builder'!$L$11)&lt;'Entry Builder'!$E$11),--(INDEX(Sims!$A1034:$BO1034,'Entry Builder'!$L$11)&gt;'Entry Builder'!$E$11)))</f>
        <v/>
      </c>
      <c r="F1034">
        <f>IF('Entry Builder'!$N$12=0,1,IF('Entry Builder'!$D$12="Less",--(INDEX(Sims!$A1034:$BO1034,'Entry Builder'!$L$12)&lt;'Entry Builder'!$E$12),--(INDEX(Sims!$A1034:$BO1034,'Entry Builder'!$L$12)&gt;'Entry Builder'!$E$12)))</f>
        <v/>
      </c>
      <c r="G1034">
        <f>6-SUM(A1034:F1034)</f>
        <v/>
      </c>
    </row>
    <row r="1035">
      <c r="A1035">
        <f>IF('Entry Builder'!$N$7=0,1,IF('Entry Builder'!$D$7="Less",--(INDEX(Sims!$A1035:$BO1035,'Entry Builder'!$L$7)&lt;'Entry Builder'!$E$7),--(INDEX(Sims!$A1035:$BO1035,'Entry Builder'!$L$7)&gt;'Entry Builder'!$E$7)))</f>
        <v/>
      </c>
      <c r="B1035">
        <f>IF('Entry Builder'!$N$8=0,1,IF('Entry Builder'!$D$8="Less",--(INDEX(Sims!$A1035:$BO1035,'Entry Builder'!$L$8)&lt;'Entry Builder'!$E$8),--(INDEX(Sims!$A1035:$BO1035,'Entry Builder'!$L$8)&gt;'Entry Builder'!$E$8)))</f>
        <v/>
      </c>
      <c r="C1035">
        <f>IF('Entry Builder'!$N$9=0,1,IF('Entry Builder'!$D$9="Less",--(INDEX(Sims!$A1035:$BO1035,'Entry Builder'!$L$9)&lt;'Entry Builder'!$E$9),--(INDEX(Sims!$A1035:$BO1035,'Entry Builder'!$L$9)&gt;'Entry Builder'!$E$9)))</f>
        <v/>
      </c>
      <c r="D1035">
        <f>IF('Entry Builder'!$N$10=0,1,IF('Entry Builder'!$D$10="Less",--(INDEX(Sims!$A1035:$BO1035,'Entry Builder'!$L$10)&lt;'Entry Builder'!$E$10),--(INDEX(Sims!$A1035:$BO1035,'Entry Builder'!$L$10)&gt;'Entry Builder'!$E$10)))</f>
        <v/>
      </c>
      <c r="E1035">
        <f>IF('Entry Builder'!$N$11=0,1,IF('Entry Builder'!$D$11="Less",--(INDEX(Sims!$A1035:$BO1035,'Entry Builder'!$L$11)&lt;'Entry Builder'!$E$11),--(INDEX(Sims!$A1035:$BO1035,'Entry Builder'!$L$11)&gt;'Entry Builder'!$E$11)))</f>
        <v/>
      </c>
      <c r="F1035">
        <f>IF('Entry Builder'!$N$12=0,1,IF('Entry Builder'!$D$12="Less",--(INDEX(Sims!$A1035:$BO1035,'Entry Builder'!$L$12)&lt;'Entry Builder'!$E$12),--(INDEX(Sims!$A1035:$BO1035,'Entry Builder'!$L$12)&gt;'Entry Builder'!$E$12)))</f>
        <v/>
      </c>
      <c r="G1035">
        <f>6-SUM(A1035:F1035)</f>
        <v/>
      </c>
    </row>
    <row r="1036">
      <c r="A1036">
        <f>IF('Entry Builder'!$N$7=0,1,IF('Entry Builder'!$D$7="Less",--(INDEX(Sims!$A1036:$BO1036,'Entry Builder'!$L$7)&lt;'Entry Builder'!$E$7),--(INDEX(Sims!$A1036:$BO1036,'Entry Builder'!$L$7)&gt;'Entry Builder'!$E$7)))</f>
        <v/>
      </c>
      <c r="B1036">
        <f>IF('Entry Builder'!$N$8=0,1,IF('Entry Builder'!$D$8="Less",--(INDEX(Sims!$A1036:$BO1036,'Entry Builder'!$L$8)&lt;'Entry Builder'!$E$8),--(INDEX(Sims!$A1036:$BO1036,'Entry Builder'!$L$8)&gt;'Entry Builder'!$E$8)))</f>
        <v/>
      </c>
      <c r="C1036">
        <f>IF('Entry Builder'!$N$9=0,1,IF('Entry Builder'!$D$9="Less",--(INDEX(Sims!$A1036:$BO1036,'Entry Builder'!$L$9)&lt;'Entry Builder'!$E$9),--(INDEX(Sims!$A1036:$BO1036,'Entry Builder'!$L$9)&gt;'Entry Builder'!$E$9)))</f>
        <v/>
      </c>
      <c r="D1036">
        <f>IF('Entry Builder'!$N$10=0,1,IF('Entry Builder'!$D$10="Less",--(INDEX(Sims!$A1036:$BO1036,'Entry Builder'!$L$10)&lt;'Entry Builder'!$E$10),--(INDEX(Sims!$A1036:$BO1036,'Entry Builder'!$L$10)&gt;'Entry Builder'!$E$10)))</f>
        <v/>
      </c>
      <c r="E1036">
        <f>IF('Entry Builder'!$N$11=0,1,IF('Entry Builder'!$D$11="Less",--(INDEX(Sims!$A1036:$BO1036,'Entry Builder'!$L$11)&lt;'Entry Builder'!$E$11),--(INDEX(Sims!$A1036:$BO1036,'Entry Builder'!$L$11)&gt;'Entry Builder'!$E$11)))</f>
        <v/>
      </c>
      <c r="F1036">
        <f>IF('Entry Builder'!$N$12=0,1,IF('Entry Builder'!$D$12="Less",--(INDEX(Sims!$A1036:$BO1036,'Entry Builder'!$L$12)&lt;'Entry Builder'!$E$12),--(INDEX(Sims!$A1036:$BO1036,'Entry Builder'!$L$12)&gt;'Entry Builder'!$E$12)))</f>
        <v/>
      </c>
      <c r="G1036">
        <f>6-SUM(A1036:F1036)</f>
        <v/>
      </c>
    </row>
    <row r="1037">
      <c r="A1037">
        <f>IF('Entry Builder'!$N$7=0,1,IF('Entry Builder'!$D$7="Less",--(INDEX(Sims!$A1037:$BO1037,'Entry Builder'!$L$7)&lt;'Entry Builder'!$E$7),--(INDEX(Sims!$A1037:$BO1037,'Entry Builder'!$L$7)&gt;'Entry Builder'!$E$7)))</f>
        <v/>
      </c>
      <c r="B1037">
        <f>IF('Entry Builder'!$N$8=0,1,IF('Entry Builder'!$D$8="Less",--(INDEX(Sims!$A1037:$BO1037,'Entry Builder'!$L$8)&lt;'Entry Builder'!$E$8),--(INDEX(Sims!$A1037:$BO1037,'Entry Builder'!$L$8)&gt;'Entry Builder'!$E$8)))</f>
        <v/>
      </c>
      <c r="C1037">
        <f>IF('Entry Builder'!$N$9=0,1,IF('Entry Builder'!$D$9="Less",--(INDEX(Sims!$A1037:$BO1037,'Entry Builder'!$L$9)&lt;'Entry Builder'!$E$9),--(INDEX(Sims!$A1037:$BO1037,'Entry Builder'!$L$9)&gt;'Entry Builder'!$E$9)))</f>
        <v/>
      </c>
      <c r="D1037">
        <f>IF('Entry Builder'!$N$10=0,1,IF('Entry Builder'!$D$10="Less",--(INDEX(Sims!$A1037:$BO1037,'Entry Builder'!$L$10)&lt;'Entry Builder'!$E$10),--(INDEX(Sims!$A1037:$BO1037,'Entry Builder'!$L$10)&gt;'Entry Builder'!$E$10)))</f>
        <v/>
      </c>
      <c r="E1037">
        <f>IF('Entry Builder'!$N$11=0,1,IF('Entry Builder'!$D$11="Less",--(INDEX(Sims!$A1037:$BO1037,'Entry Builder'!$L$11)&lt;'Entry Builder'!$E$11),--(INDEX(Sims!$A1037:$BO1037,'Entry Builder'!$L$11)&gt;'Entry Builder'!$E$11)))</f>
        <v/>
      </c>
      <c r="F1037">
        <f>IF('Entry Builder'!$N$12=0,1,IF('Entry Builder'!$D$12="Less",--(INDEX(Sims!$A1037:$BO1037,'Entry Builder'!$L$12)&lt;'Entry Builder'!$E$12),--(INDEX(Sims!$A1037:$BO1037,'Entry Builder'!$L$12)&gt;'Entry Builder'!$E$12)))</f>
        <v/>
      </c>
      <c r="G1037">
        <f>6-SUM(A1037:F1037)</f>
        <v/>
      </c>
    </row>
    <row r="1038">
      <c r="A1038">
        <f>IF('Entry Builder'!$N$7=0,1,IF('Entry Builder'!$D$7="Less",--(INDEX(Sims!$A1038:$BO1038,'Entry Builder'!$L$7)&lt;'Entry Builder'!$E$7),--(INDEX(Sims!$A1038:$BO1038,'Entry Builder'!$L$7)&gt;'Entry Builder'!$E$7)))</f>
        <v/>
      </c>
      <c r="B1038">
        <f>IF('Entry Builder'!$N$8=0,1,IF('Entry Builder'!$D$8="Less",--(INDEX(Sims!$A1038:$BO1038,'Entry Builder'!$L$8)&lt;'Entry Builder'!$E$8),--(INDEX(Sims!$A1038:$BO1038,'Entry Builder'!$L$8)&gt;'Entry Builder'!$E$8)))</f>
        <v/>
      </c>
      <c r="C1038">
        <f>IF('Entry Builder'!$N$9=0,1,IF('Entry Builder'!$D$9="Less",--(INDEX(Sims!$A1038:$BO1038,'Entry Builder'!$L$9)&lt;'Entry Builder'!$E$9),--(INDEX(Sims!$A1038:$BO1038,'Entry Builder'!$L$9)&gt;'Entry Builder'!$E$9)))</f>
        <v/>
      </c>
      <c r="D1038">
        <f>IF('Entry Builder'!$N$10=0,1,IF('Entry Builder'!$D$10="Less",--(INDEX(Sims!$A1038:$BO1038,'Entry Builder'!$L$10)&lt;'Entry Builder'!$E$10),--(INDEX(Sims!$A1038:$BO1038,'Entry Builder'!$L$10)&gt;'Entry Builder'!$E$10)))</f>
        <v/>
      </c>
      <c r="E1038">
        <f>IF('Entry Builder'!$N$11=0,1,IF('Entry Builder'!$D$11="Less",--(INDEX(Sims!$A1038:$BO1038,'Entry Builder'!$L$11)&lt;'Entry Builder'!$E$11),--(INDEX(Sims!$A1038:$BO1038,'Entry Builder'!$L$11)&gt;'Entry Builder'!$E$11)))</f>
        <v/>
      </c>
      <c r="F1038">
        <f>IF('Entry Builder'!$N$12=0,1,IF('Entry Builder'!$D$12="Less",--(INDEX(Sims!$A1038:$BO1038,'Entry Builder'!$L$12)&lt;'Entry Builder'!$E$12),--(INDEX(Sims!$A1038:$BO1038,'Entry Builder'!$L$12)&gt;'Entry Builder'!$E$12)))</f>
        <v/>
      </c>
      <c r="G1038">
        <f>6-SUM(A1038:F1038)</f>
        <v/>
      </c>
    </row>
    <row r="1039">
      <c r="A1039">
        <f>IF('Entry Builder'!$N$7=0,1,IF('Entry Builder'!$D$7="Less",--(INDEX(Sims!$A1039:$BO1039,'Entry Builder'!$L$7)&lt;'Entry Builder'!$E$7),--(INDEX(Sims!$A1039:$BO1039,'Entry Builder'!$L$7)&gt;'Entry Builder'!$E$7)))</f>
        <v/>
      </c>
      <c r="B1039">
        <f>IF('Entry Builder'!$N$8=0,1,IF('Entry Builder'!$D$8="Less",--(INDEX(Sims!$A1039:$BO1039,'Entry Builder'!$L$8)&lt;'Entry Builder'!$E$8),--(INDEX(Sims!$A1039:$BO1039,'Entry Builder'!$L$8)&gt;'Entry Builder'!$E$8)))</f>
        <v/>
      </c>
      <c r="C1039">
        <f>IF('Entry Builder'!$N$9=0,1,IF('Entry Builder'!$D$9="Less",--(INDEX(Sims!$A1039:$BO1039,'Entry Builder'!$L$9)&lt;'Entry Builder'!$E$9),--(INDEX(Sims!$A1039:$BO1039,'Entry Builder'!$L$9)&gt;'Entry Builder'!$E$9)))</f>
        <v/>
      </c>
      <c r="D1039">
        <f>IF('Entry Builder'!$N$10=0,1,IF('Entry Builder'!$D$10="Less",--(INDEX(Sims!$A1039:$BO1039,'Entry Builder'!$L$10)&lt;'Entry Builder'!$E$10),--(INDEX(Sims!$A1039:$BO1039,'Entry Builder'!$L$10)&gt;'Entry Builder'!$E$10)))</f>
        <v/>
      </c>
      <c r="E1039">
        <f>IF('Entry Builder'!$N$11=0,1,IF('Entry Builder'!$D$11="Less",--(INDEX(Sims!$A1039:$BO1039,'Entry Builder'!$L$11)&lt;'Entry Builder'!$E$11),--(INDEX(Sims!$A1039:$BO1039,'Entry Builder'!$L$11)&gt;'Entry Builder'!$E$11)))</f>
        <v/>
      </c>
      <c r="F1039">
        <f>IF('Entry Builder'!$N$12=0,1,IF('Entry Builder'!$D$12="Less",--(INDEX(Sims!$A1039:$BO1039,'Entry Builder'!$L$12)&lt;'Entry Builder'!$E$12),--(INDEX(Sims!$A1039:$BO1039,'Entry Builder'!$L$12)&gt;'Entry Builder'!$E$12)))</f>
        <v/>
      </c>
      <c r="G1039">
        <f>6-SUM(A1039:F1039)</f>
        <v/>
      </c>
    </row>
    <row r="1040">
      <c r="A1040">
        <f>IF('Entry Builder'!$N$7=0,1,IF('Entry Builder'!$D$7="Less",--(INDEX(Sims!$A1040:$BO1040,'Entry Builder'!$L$7)&lt;'Entry Builder'!$E$7),--(INDEX(Sims!$A1040:$BO1040,'Entry Builder'!$L$7)&gt;'Entry Builder'!$E$7)))</f>
        <v/>
      </c>
      <c r="B1040">
        <f>IF('Entry Builder'!$N$8=0,1,IF('Entry Builder'!$D$8="Less",--(INDEX(Sims!$A1040:$BO1040,'Entry Builder'!$L$8)&lt;'Entry Builder'!$E$8),--(INDEX(Sims!$A1040:$BO1040,'Entry Builder'!$L$8)&gt;'Entry Builder'!$E$8)))</f>
        <v/>
      </c>
      <c r="C1040">
        <f>IF('Entry Builder'!$N$9=0,1,IF('Entry Builder'!$D$9="Less",--(INDEX(Sims!$A1040:$BO1040,'Entry Builder'!$L$9)&lt;'Entry Builder'!$E$9),--(INDEX(Sims!$A1040:$BO1040,'Entry Builder'!$L$9)&gt;'Entry Builder'!$E$9)))</f>
        <v/>
      </c>
      <c r="D1040">
        <f>IF('Entry Builder'!$N$10=0,1,IF('Entry Builder'!$D$10="Less",--(INDEX(Sims!$A1040:$BO1040,'Entry Builder'!$L$10)&lt;'Entry Builder'!$E$10),--(INDEX(Sims!$A1040:$BO1040,'Entry Builder'!$L$10)&gt;'Entry Builder'!$E$10)))</f>
        <v/>
      </c>
      <c r="E1040">
        <f>IF('Entry Builder'!$N$11=0,1,IF('Entry Builder'!$D$11="Less",--(INDEX(Sims!$A1040:$BO1040,'Entry Builder'!$L$11)&lt;'Entry Builder'!$E$11),--(INDEX(Sims!$A1040:$BO1040,'Entry Builder'!$L$11)&gt;'Entry Builder'!$E$11)))</f>
        <v/>
      </c>
      <c r="F1040">
        <f>IF('Entry Builder'!$N$12=0,1,IF('Entry Builder'!$D$12="Less",--(INDEX(Sims!$A1040:$BO1040,'Entry Builder'!$L$12)&lt;'Entry Builder'!$E$12),--(INDEX(Sims!$A1040:$BO1040,'Entry Builder'!$L$12)&gt;'Entry Builder'!$E$12)))</f>
        <v/>
      </c>
      <c r="G1040">
        <f>6-SUM(A1040:F1040)</f>
        <v/>
      </c>
    </row>
    <row r="1041">
      <c r="A1041">
        <f>IF('Entry Builder'!$N$7=0,1,IF('Entry Builder'!$D$7="Less",--(INDEX(Sims!$A1041:$BO1041,'Entry Builder'!$L$7)&lt;'Entry Builder'!$E$7),--(INDEX(Sims!$A1041:$BO1041,'Entry Builder'!$L$7)&gt;'Entry Builder'!$E$7)))</f>
        <v/>
      </c>
      <c r="B1041">
        <f>IF('Entry Builder'!$N$8=0,1,IF('Entry Builder'!$D$8="Less",--(INDEX(Sims!$A1041:$BO1041,'Entry Builder'!$L$8)&lt;'Entry Builder'!$E$8),--(INDEX(Sims!$A1041:$BO1041,'Entry Builder'!$L$8)&gt;'Entry Builder'!$E$8)))</f>
        <v/>
      </c>
      <c r="C1041">
        <f>IF('Entry Builder'!$N$9=0,1,IF('Entry Builder'!$D$9="Less",--(INDEX(Sims!$A1041:$BO1041,'Entry Builder'!$L$9)&lt;'Entry Builder'!$E$9),--(INDEX(Sims!$A1041:$BO1041,'Entry Builder'!$L$9)&gt;'Entry Builder'!$E$9)))</f>
        <v/>
      </c>
      <c r="D1041">
        <f>IF('Entry Builder'!$N$10=0,1,IF('Entry Builder'!$D$10="Less",--(INDEX(Sims!$A1041:$BO1041,'Entry Builder'!$L$10)&lt;'Entry Builder'!$E$10),--(INDEX(Sims!$A1041:$BO1041,'Entry Builder'!$L$10)&gt;'Entry Builder'!$E$10)))</f>
        <v/>
      </c>
      <c r="E1041">
        <f>IF('Entry Builder'!$N$11=0,1,IF('Entry Builder'!$D$11="Less",--(INDEX(Sims!$A1041:$BO1041,'Entry Builder'!$L$11)&lt;'Entry Builder'!$E$11),--(INDEX(Sims!$A1041:$BO1041,'Entry Builder'!$L$11)&gt;'Entry Builder'!$E$11)))</f>
        <v/>
      </c>
      <c r="F1041">
        <f>IF('Entry Builder'!$N$12=0,1,IF('Entry Builder'!$D$12="Less",--(INDEX(Sims!$A1041:$BO1041,'Entry Builder'!$L$12)&lt;'Entry Builder'!$E$12),--(INDEX(Sims!$A1041:$BO1041,'Entry Builder'!$L$12)&gt;'Entry Builder'!$E$12)))</f>
        <v/>
      </c>
      <c r="G1041">
        <f>6-SUM(A1041:F1041)</f>
        <v/>
      </c>
    </row>
    <row r="1042">
      <c r="A1042">
        <f>IF('Entry Builder'!$N$7=0,1,IF('Entry Builder'!$D$7="Less",--(INDEX(Sims!$A1042:$BO1042,'Entry Builder'!$L$7)&lt;'Entry Builder'!$E$7),--(INDEX(Sims!$A1042:$BO1042,'Entry Builder'!$L$7)&gt;'Entry Builder'!$E$7)))</f>
        <v/>
      </c>
      <c r="B1042">
        <f>IF('Entry Builder'!$N$8=0,1,IF('Entry Builder'!$D$8="Less",--(INDEX(Sims!$A1042:$BO1042,'Entry Builder'!$L$8)&lt;'Entry Builder'!$E$8),--(INDEX(Sims!$A1042:$BO1042,'Entry Builder'!$L$8)&gt;'Entry Builder'!$E$8)))</f>
        <v/>
      </c>
      <c r="C1042">
        <f>IF('Entry Builder'!$N$9=0,1,IF('Entry Builder'!$D$9="Less",--(INDEX(Sims!$A1042:$BO1042,'Entry Builder'!$L$9)&lt;'Entry Builder'!$E$9),--(INDEX(Sims!$A1042:$BO1042,'Entry Builder'!$L$9)&gt;'Entry Builder'!$E$9)))</f>
        <v/>
      </c>
      <c r="D1042">
        <f>IF('Entry Builder'!$N$10=0,1,IF('Entry Builder'!$D$10="Less",--(INDEX(Sims!$A1042:$BO1042,'Entry Builder'!$L$10)&lt;'Entry Builder'!$E$10),--(INDEX(Sims!$A1042:$BO1042,'Entry Builder'!$L$10)&gt;'Entry Builder'!$E$10)))</f>
        <v/>
      </c>
      <c r="E1042">
        <f>IF('Entry Builder'!$N$11=0,1,IF('Entry Builder'!$D$11="Less",--(INDEX(Sims!$A1042:$BO1042,'Entry Builder'!$L$11)&lt;'Entry Builder'!$E$11),--(INDEX(Sims!$A1042:$BO1042,'Entry Builder'!$L$11)&gt;'Entry Builder'!$E$11)))</f>
        <v/>
      </c>
      <c r="F1042">
        <f>IF('Entry Builder'!$N$12=0,1,IF('Entry Builder'!$D$12="Less",--(INDEX(Sims!$A1042:$BO1042,'Entry Builder'!$L$12)&lt;'Entry Builder'!$E$12),--(INDEX(Sims!$A1042:$BO1042,'Entry Builder'!$L$12)&gt;'Entry Builder'!$E$12)))</f>
        <v/>
      </c>
      <c r="G1042">
        <f>6-SUM(A1042:F1042)</f>
        <v/>
      </c>
    </row>
    <row r="1043">
      <c r="A1043">
        <f>IF('Entry Builder'!$N$7=0,1,IF('Entry Builder'!$D$7="Less",--(INDEX(Sims!$A1043:$BO1043,'Entry Builder'!$L$7)&lt;'Entry Builder'!$E$7),--(INDEX(Sims!$A1043:$BO1043,'Entry Builder'!$L$7)&gt;'Entry Builder'!$E$7)))</f>
        <v/>
      </c>
      <c r="B1043">
        <f>IF('Entry Builder'!$N$8=0,1,IF('Entry Builder'!$D$8="Less",--(INDEX(Sims!$A1043:$BO1043,'Entry Builder'!$L$8)&lt;'Entry Builder'!$E$8),--(INDEX(Sims!$A1043:$BO1043,'Entry Builder'!$L$8)&gt;'Entry Builder'!$E$8)))</f>
        <v/>
      </c>
      <c r="C1043">
        <f>IF('Entry Builder'!$N$9=0,1,IF('Entry Builder'!$D$9="Less",--(INDEX(Sims!$A1043:$BO1043,'Entry Builder'!$L$9)&lt;'Entry Builder'!$E$9),--(INDEX(Sims!$A1043:$BO1043,'Entry Builder'!$L$9)&gt;'Entry Builder'!$E$9)))</f>
        <v/>
      </c>
      <c r="D1043">
        <f>IF('Entry Builder'!$N$10=0,1,IF('Entry Builder'!$D$10="Less",--(INDEX(Sims!$A1043:$BO1043,'Entry Builder'!$L$10)&lt;'Entry Builder'!$E$10),--(INDEX(Sims!$A1043:$BO1043,'Entry Builder'!$L$10)&gt;'Entry Builder'!$E$10)))</f>
        <v/>
      </c>
      <c r="E1043">
        <f>IF('Entry Builder'!$N$11=0,1,IF('Entry Builder'!$D$11="Less",--(INDEX(Sims!$A1043:$BO1043,'Entry Builder'!$L$11)&lt;'Entry Builder'!$E$11),--(INDEX(Sims!$A1043:$BO1043,'Entry Builder'!$L$11)&gt;'Entry Builder'!$E$11)))</f>
        <v/>
      </c>
      <c r="F1043">
        <f>IF('Entry Builder'!$N$12=0,1,IF('Entry Builder'!$D$12="Less",--(INDEX(Sims!$A1043:$BO1043,'Entry Builder'!$L$12)&lt;'Entry Builder'!$E$12),--(INDEX(Sims!$A1043:$BO1043,'Entry Builder'!$L$12)&gt;'Entry Builder'!$E$12)))</f>
        <v/>
      </c>
      <c r="G1043">
        <f>6-SUM(A1043:F1043)</f>
        <v/>
      </c>
    </row>
    <row r="1044">
      <c r="A1044">
        <f>IF('Entry Builder'!$N$7=0,1,IF('Entry Builder'!$D$7="Less",--(INDEX(Sims!$A1044:$BO1044,'Entry Builder'!$L$7)&lt;'Entry Builder'!$E$7),--(INDEX(Sims!$A1044:$BO1044,'Entry Builder'!$L$7)&gt;'Entry Builder'!$E$7)))</f>
        <v/>
      </c>
      <c r="B1044">
        <f>IF('Entry Builder'!$N$8=0,1,IF('Entry Builder'!$D$8="Less",--(INDEX(Sims!$A1044:$BO1044,'Entry Builder'!$L$8)&lt;'Entry Builder'!$E$8),--(INDEX(Sims!$A1044:$BO1044,'Entry Builder'!$L$8)&gt;'Entry Builder'!$E$8)))</f>
        <v/>
      </c>
      <c r="C1044">
        <f>IF('Entry Builder'!$N$9=0,1,IF('Entry Builder'!$D$9="Less",--(INDEX(Sims!$A1044:$BO1044,'Entry Builder'!$L$9)&lt;'Entry Builder'!$E$9),--(INDEX(Sims!$A1044:$BO1044,'Entry Builder'!$L$9)&gt;'Entry Builder'!$E$9)))</f>
        <v/>
      </c>
      <c r="D1044">
        <f>IF('Entry Builder'!$N$10=0,1,IF('Entry Builder'!$D$10="Less",--(INDEX(Sims!$A1044:$BO1044,'Entry Builder'!$L$10)&lt;'Entry Builder'!$E$10),--(INDEX(Sims!$A1044:$BO1044,'Entry Builder'!$L$10)&gt;'Entry Builder'!$E$10)))</f>
        <v/>
      </c>
      <c r="E1044">
        <f>IF('Entry Builder'!$N$11=0,1,IF('Entry Builder'!$D$11="Less",--(INDEX(Sims!$A1044:$BO1044,'Entry Builder'!$L$11)&lt;'Entry Builder'!$E$11),--(INDEX(Sims!$A1044:$BO1044,'Entry Builder'!$L$11)&gt;'Entry Builder'!$E$11)))</f>
        <v/>
      </c>
      <c r="F1044">
        <f>IF('Entry Builder'!$N$12=0,1,IF('Entry Builder'!$D$12="Less",--(INDEX(Sims!$A1044:$BO1044,'Entry Builder'!$L$12)&lt;'Entry Builder'!$E$12),--(INDEX(Sims!$A1044:$BO1044,'Entry Builder'!$L$12)&gt;'Entry Builder'!$E$12)))</f>
        <v/>
      </c>
      <c r="G1044">
        <f>6-SUM(A1044:F1044)</f>
        <v/>
      </c>
    </row>
    <row r="1045">
      <c r="A1045">
        <f>IF('Entry Builder'!$N$7=0,1,IF('Entry Builder'!$D$7="Less",--(INDEX(Sims!$A1045:$BO1045,'Entry Builder'!$L$7)&lt;'Entry Builder'!$E$7),--(INDEX(Sims!$A1045:$BO1045,'Entry Builder'!$L$7)&gt;'Entry Builder'!$E$7)))</f>
        <v/>
      </c>
      <c r="B1045">
        <f>IF('Entry Builder'!$N$8=0,1,IF('Entry Builder'!$D$8="Less",--(INDEX(Sims!$A1045:$BO1045,'Entry Builder'!$L$8)&lt;'Entry Builder'!$E$8),--(INDEX(Sims!$A1045:$BO1045,'Entry Builder'!$L$8)&gt;'Entry Builder'!$E$8)))</f>
        <v/>
      </c>
      <c r="C1045">
        <f>IF('Entry Builder'!$N$9=0,1,IF('Entry Builder'!$D$9="Less",--(INDEX(Sims!$A1045:$BO1045,'Entry Builder'!$L$9)&lt;'Entry Builder'!$E$9),--(INDEX(Sims!$A1045:$BO1045,'Entry Builder'!$L$9)&gt;'Entry Builder'!$E$9)))</f>
        <v/>
      </c>
      <c r="D1045">
        <f>IF('Entry Builder'!$N$10=0,1,IF('Entry Builder'!$D$10="Less",--(INDEX(Sims!$A1045:$BO1045,'Entry Builder'!$L$10)&lt;'Entry Builder'!$E$10),--(INDEX(Sims!$A1045:$BO1045,'Entry Builder'!$L$10)&gt;'Entry Builder'!$E$10)))</f>
        <v/>
      </c>
      <c r="E1045">
        <f>IF('Entry Builder'!$N$11=0,1,IF('Entry Builder'!$D$11="Less",--(INDEX(Sims!$A1045:$BO1045,'Entry Builder'!$L$11)&lt;'Entry Builder'!$E$11),--(INDEX(Sims!$A1045:$BO1045,'Entry Builder'!$L$11)&gt;'Entry Builder'!$E$11)))</f>
        <v/>
      </c>
      <c r="F1045">
        <f>IF('Entry Builder'!$N$12=0,1,IF('Entry Builder'!$D$12="Less",--(INDEX(Sims!$A1045:$BO1045,'Entry Builder'!$L$12)&lt;'Entry Builder'!$E$12),--(INDEX(Sims!$A1045:$BO1045,'Entry Builder'!$L$12)&gt;'Entry Builder'!$E$12)))</f>
        <v/>
      </c>
      <c r="G1045">
        <f>6-SUM(A1045:F1045)</f>
        <v/>
      </c>
    </row>
    <row r="1046">
      <c r="A1046">
        <f>IF('Entry Builder'!$N$7=0,1,IF('Entry Builder'!$D$7="Less",--(INDEX(Sims!$A1046:$BO1046,'Entry Builder'!$L$7)&lt;'Entry Builder'!$E$7),--(INDEX(Sims!$A1046:$BO1046,'Entry Builder'!$L$7)&gt;'Entry Builder'!$E$7)))</f>
        <v/>
      </c>
      <c r="B1046">
        <f>IF('Entry Builder'!$N$8=0,1,IF('Entry Builder'!$D$8="Less",--(INDEX(Sims!$A1046:$BO1046,'Entry Builder'!$L$8)&lt;'Entry Builder'!$E$8),--(INDEX(Sims!$A1046:$BO1046,'Entry Builder'!$L$8)&gt;'Entry Builder'!$E$8)))</f>
        <v/>
      </c>
      <c r="C1046">
        <f>IF('Entry Builder'!$N$9=0,1,IF('Entry Builder'!$D$9="Less",--(INDEX(Sims!$A1046:$BO1046,'Entry Builder'!$L$9)&lt;'Entry Builder'!$E$9),--(INDEX(Sims!$A1046:$BO1046,'Entry Builder'!$L$9)&gt;'Entry Builder'!$E$9)))</f>
        <v/>
      </c>
      <c r="D1046">
        <f>IF('Entry Builder'!$N$10=0,1,IF('Entry Builder'!$D$10="Less",--(INDEX(Sims!$A1046:$BO1046,'Entry Builder'!$L$10)&lt;'Entry Builder'!$E$10),--(INDEX(Sims!$A1046:$BO1046,'Entry Builder'!$L$10)&gt;'Entry Builder'!$E$10)))</f>
        <v/>
      </c>
      <c r="E1046">
        <f>IF('Entry Builder'!$N$11=0,1,IF('Entry Builder'!$D$11="Less",--(INDEX(Sims!$A1046:$BO1046,'Entry Builder'!$L$11)&lt;'Entry Builder'!$E$11),--(INDEX(Sims!$A1046:$BO1046,'Entry Builder'!$L$11)&gt;'Entry Builder'!$E$11)))</f>
        <v/>
      </c>
      <c r="F1046">
        <f>IF('Entry Builder'!$N$12=0,1,IF('Entry Builder'!$D$12="Less",--(INDEX(Sims!$A1046:$BO1046,'Entry Builder'!$L$12)&lt;'Entry Builder'!$E$12),--(INDEX(Sims!$A1046:$BO1046,'Entry Builder'!$L$12)&gt;'Entry Builder'!$E$12)))</f>
        <v/>
      </c>
      <c r="G1046">
        <f>6-SUM(A1046:F1046)</f>
        <v/>
      </c>
    </row>
    <row r="1047">
      <c r="A1047">
        <f>IF('Entry Builder'!$N$7=0,1,IF('Entry Builder'!$D$7="Less",--(INDEX(Sims!$A1047:$BO1047,'Entry Builder'!$L$7)&lt;'Entry Builder'!$E$7),--(INDEX(Sims!$A1047:$BO1047,'Entry Builder'!$L$7)&gt;'Entry Builder'!$E$7)))</f>
        <v/>
      </c>
      <c r="B1047">
        <f>IF('Entry Builder'!$N$8=0,1,IF('Entry Builder'!$D$8="Less",--(INDEX(Sims!$A1047:$BO1047,'Entry Builder'!$L$8)&lt;'Entry Builder'!$E$8),--(INDEX(Sims!$A1047:$BO1047,'Entry Builder'!$L$8)&gt;'Entry Builder'!$E$8)))</f>
        <v/>
      </c>
      <c r="C1047">
        <f>IF('Entry Builder'!$N$9=0,1,IF('Entry Builder'!$D$9="Less",--(INDEX(Sims!$A1047:$BO1047,'Entry Builder'!$L$9)&lt;'Entry Builder'!$E$9),--(INDEX(Sims!$A1047:$BO1047,'Entry Builder'!$L$9)&gt;'Entry Builder'!$E$9)))</f>
        <v/>
      </c>
      <c r="D1047">
        <f>IF('Entry Builder'!$N$10=0,1,IF('Entry Builder'!$D$10="Less",--(INDEX(Sims!$A1047:$BO1047,'Entry Builder'!$L$10)&lt;'Entry Builder'!$E$10),--(INDEX(Sims!$A1047:$BO1047,'Entry Builder'!$L$10)&gt;'Entry Builder'!$E$10)))</f>
        <v/>
      </c>
      <c r="E1047">
        <f>IF('Entry Builder'!$N$11=0,1,IF('Entry Builder'!$D$11="Less",--(INDEX(Sims!$A1047:$BO1047,'Entry Builder'!$L$11)&lt;'Entry Builder'!$E$11),--(INDEX(Sims!$A1047:$BO1047,'Entry Builder'!$L$11)&gt;'Entry Builder'!$E$11)))</f>
        <v/>
      </c>
      <c r="F1047">
        <f>IF('Entry Builder'!$N$12=0,1,IF('Entry Builder'!$D$12="Less",--(INDEX(Sims!$A1047:$BO1047,'Entry Builder'!$L$12)&lt;'Entry Builder'!$E$12),--(INDEX(Sims!$A1047:$BO1047,'Entry Builder'!$L$12)&gt;'Entry Builder'!$E$12)))</f>
        <v/>
      </c>
      <c r="G1047">
        <f>6-SUM(A1047:F1047)</f>
        <v/>
      </c>
    </row>
    <row r="1048">
      <c r="A1048">
        <f>IF('Entry Builder'!$N$7=0,1,IF('Entry Builder'!$D$7="Less",--(INDEX(Sims!$A1048:$BO1048,'Entry Builder'!$L$7)&lt;'Entry Builder'!$E$7),--(INDEX(Sims!$A1048:$BO1048,'Entry Builder'!$L$7)&gt;'Entry Builder'!$E$7)))</f>
        <v/>
      </c>
      <c r="B1048">
        <f>IF('Entry Builder'!$N$8=0,1,IF('Entry Builder'!$D$8="Less",--(INDEX(Sims!$A1048:$BO1048,'Entry Builder'!$L$8)&lt;'Entry Builder'!$E$8),--(INDEX(Sims!$A1048:$BO1048,'Entry Builder'!$L$8)&gt;'Entry Builder'!$E$8)))</f>
        <v/>
      </c>
      <c r="C1048">
        <f>IF('Entry Builder'!$N$9=0,1,IF('Entry Builder'!$D$9="Less",--(INDEX(Sims!$A1048:$BO1048,'Entry Builder'!$L$9)&lt;'Entry Builder'!$E$9),--(INDEX(Sims!$A1048:$BO1048,'Entry Builder'!$L$9)&gt;'Entry Builder'!$E$9)))</f>
        <v/>
      </c>
      <c r="D1048">
        <f>IF('Entry Builder'!$N$10=0,1,IF('Entry Builder'!$D$10="Less",--(INDEX(Sims!$A1048:$BO1048,'Entry Builder'!$L$10)&lt;'Entry Builder'!$E$10),--(INDEX(Sims!$A1048:$BO1048,'Entry Builder'!$L$10)&gt;'Entry Builder'!$E$10)))</f>
        <v/>
      </c>
      <c r="E1048">
        <f>IF('Entry Builder'!$N$11=0,1,IF('Entry Builder'!$D$11="Less",--(INDEX(Sims!$A1048:$BO1048,'Entry Builder'!$L$11)&lt;'Entry Builder'!$E$11),--(INDEX(Sims!$A1048:$BO1048,'Entry Builder'!$L$11)&gt;'Entry Builder'!$E$11)))</f>
        <v/>
      </c>
      <c r="F1048">
        <f>IF('Entry Builder'!$N$12=0,1,IF('Entry Builder'!$D$12="Less",--(INDEX(Sims!$A1048:$BO1048,'Entry Builder'!$L$12)&lt;'Entry Builder'!$E$12),--(INDEX(Sims!$A1048:$BO1048,'Entry Builder'!$L$12)&gt;'Entry Builder'!$E$12)))</f>
        <v/>
      </c>
      <c r="G1048">
        <f>6-SUM(A1048:F1048)</f>
        <v/>
      </c>
    </row>
    <row r="1049">
      <c r="A1049">
        <f>IF('Entry Builder'!$N$7=0,1,IF('Entry Builder'!$D$7="Less",--(INDEX(Sims!$A1049:$BO1049,'Entry Builder'!$L$7)&lt;'Entry Builder'!$E$7),--(INDEX(Sims!$A1049:$BO1049,'Entry Builder'!$L$7)&gt;'Entry Builder'!$E$7)))</f>
        <v/>
      </c>
      <c r="B1049">
        <f>IF('Entry Builder'!$N$8=0,1,IF('Entry Builder'!$D$8="Less",--(INDEX(Sims!$A1049:$BO1049,'Entry Builder'!$L$8)&lt;'Entry Builder'!$E$8),--(INDEX(Sims!$A1049:$BO1049,'Entry Builder'!$L$8)&gt;'Entry Builder'!$E$8)))</f>
        <v/>
      </c>
      <c r="C1049">
        <f>IF('Entry Builder'!$N$9=0,1,IF('Entry Builder'!$D$9="Less",--(INDEX(Sims!$A1049:$BO1049,'Entry Builder'!$L$9)&lt;'Entry Builder'!$E$9),--(INDEX(Sims!$A1049:$BO1049,'Entry Builder'!$L$9)&gt;'Entry Builder'!$E$9)))</f>
        <v/>
      </c>
      <c r="D1049">
        <f>IF('Entry Builder'!$N$10=0,1,IF('Entry Builder'!$D$10="Less",--(INDEX(Sims!$A1049:$BO1049,'Entry Builder'!$L$10)&lt;'Entry Builder'!$E$10),--(INDEX(Sims!$A1049:$BO1049,'Entry Builder'!$L$10)&gt;'Entry Builder'!$E$10)))</f>
        <v/>
      </c>
      <c r="E1049">
        <f>IF('Entry Builder'!$N$11=0,1,IF('Entry Builder'!$D$11="Less",--(INDEX(Sims!$A1049:$BO1049,'Entry Builder'!$L$11)&lt;'Entry Builder'!$E$11),--(INDEX(Sims!$A1049:$BO1049,'Entry Builder'!$L$11)&gt;'Entry Builder'!$E$11)))</f>
        <v/>
      </c>
      <c r="F1049">
        <f>IF('Entry Builder'!$N$12=0,1,IF('Entry Builder'!$D$12="Less",--(INDEX(Sims!$A1049:$BO1049,'Entry Builder'!$L$12)&lt;'Entry Builder'!$E$12),--(INDEX(Sims!$A1049:$BO1049,'Entry Builder'!$L$12)&gt;'Entry Builder'!$E$12)))</f>
        <v/>
      </c>
      <c r="G1049">
        <f>6-SUM(A1049:F1049)</f>
        <v/>
      </c>
    </row>
    <row r="1050">
      <c r="A1050">
        <f>IF('Entry Builder'!$N$7=0,1,IF('Entry Builder'!$D$7="Less",--(INDEX(Sims!$A1050:$BO1050,'Entry Builder'!$L$7)&lt;'Entry Builder'!$E$7),--(INDEX(Sims!$A1050:$BO1050,'Entry Builder'!$L$7)&gt;'Entry Builder'!$E$7)))</f>
        <v/>
      </c>
      <c r="B1050">
        <f>IF('Entry Builder'!$N$8=0,1,IF('Entry Builder'!$D$8="Less",--(INDEX(Sims!$A1050:$BO1050,'Entry Builder'!$L$8)&lt;'Entry Builder'!$E$8),--(INDEX(Sims!$A1050:$BO1050,'Entry Builder'!$L$8)&gt;'Entry Builder'!$E$8)))</f>
        <v/>
      </c>
      <c r="C1050">
        <f>IF('Entry Builder'!$N$9=0,1,IF('Entry Builder'!$D$9="Less",--(INDEX(Sims!$A1050:$BO1050,'Entry Builder'!$L$9)&lt;'Entry Builder'!$E$9),--(INDEX(Sims!$A1050:$BO1050,'Entry Builder'!$L$9)&gt;'Entry Builder'!$E$9)))</f>
        <v/>
      </c>
      <c r="D1050">
        <f>IF('Entry Builder'!$N$10=0,1,IF('Entry Builder'!$D$10="Less",--(INDEX(Sims!$A1050:$BO1050,'Entry Builder'!$L$10)&lt;'Entry Builder'!$E$10),--(INDEX(Sims!$A1050:$BO1050,'Entry Builder'!$L$10)&gt;'Entry Builder'!$E$10)))</f>
        <v/>
      </c>
      <c r="E1050">
        <f>IF('Entry Builder'!$N$11=0,1,IF('Entry Builder'!$D$11="Less",--(INDEX(Sims!$A1050:$BO1050,'Entry Builder'!$L$11)&lt;'Entry Builder'!$E$11),--(INDEX(Sims!$A1050:$BO1050,'Entry Builder'!$L$11)&gt;'Entry Builder'!$E$11)))</f>
        <v/>
      </c>
      <c r="F1050">
        <f>IF('Entry Builder'!$N$12=0,1,IF('Entry Builder'!$D$12="Less",--(INDEX(Sims!$A1050:$BO1050,'Entry Builder'!$L$12)&lt;'Entry Builder'!$E$12),--(INDEX(Sims!$A1050:$BO1050,'Entry Builder'!$L$12)&gt;'Entry Builder'!$E$12)))</f>
        <v/>
      </c>
      <c r="G1050">
        <f>6-SUM(A1050:F1050)</f>
        <v/>
      </c>
    </row>
    <row r="1051">
      <c r="A1051">
        <f>IF('Entry Builder'!$N$7=0,1,IF('Entry Builder'!$D$7="Less",--(INDEX(Sims!$A1051:$BO1051,'Entry Builder'!$L$7)&lt;'Entry Builder'!$E$7),--(INDEX(Sims!$A1051:$BO1051,'Entry Builder'!$L$7)&gt;'Entry Builder'!$E$7)))</f>
        <v/>
      </c>
      <c r="B1051">
        <f>IF('Entry Builder'!$N$8=0,1,IF('Entry Builder'!$D$8="Less",--(INDEX(Sims!$A1051:$BO1051,'Entry Builder'!$L$8)&lt;'Entry Builder'!$E$8),--(INDEX(Sims!$A1051:$BO1051,'Entry Builder'!$L$8)&gt;'Entry Builder'!$E$8)))</f>
        <v/>
      </c>
      <c r="C1051">
        <f>IF('Entry Builder'!$N$9=0,1,IF('Entry Builder'!$D$9="Less",--(INDEX(Sims!$A1051:$BO1051,'Entry Builder'!$L$9)&lt;'Entry Builder'!$E$9),--(INDEX(Sims!$A1051:$BO1051,'Entry Builder'!$L$9)&gt;'Entry Builder'!$E$9)))</f>
        <v/>
      </c>
      <c r="D1051">
        <f>IF('Entry Builder'!$N$10=0,1,IF('Entry Builder'!$D$10="Less",--(INDEX(Sims!$A1051:$BO1051,'Entry Builder'!$L$10)&lt;'Entry Builder'!$E$10),--(INDEX(Sims!$A1051:$BO1051,'Entry Builder'!$L$10)&gt;'Entry Builder'!$E$10)))</f>
        <v/>
      </c>
      <c r="E1051">
        <f>IF('Entry Builder'!$N$11=0,1,IF('Entry Builder'!$D$11="Less",--(INDEX(Sims!$A1051:$BO1051,'Entry Builder'!$L$11)&lt;'Entry Builder'!$E$11),--(INDEX(Sims!$A1051:$BO1051,'Entry Builder'!$L$11)&gt;'Entry Builder'!$E$11)))</f>
        <v/>
      </c>
      <c r="F1051">
        <f>IF('Entry Builder'!$N$12=0,1,IF('Entry Builder'!$D$12="Less",--(INDEX(Sims!$A1051:$BO1051,'Entry Builder'!$L$12)&lt;'Entry Builder'!$E$12),--(INDEX(Sims!$A1051:$BO1051,'Entry Builder'!$L$12)&gt;'Entry Builder'!$E$12)))</f>
        <v/>
      </c>
      <c r="G1051">
        <f>6-SUM(A1051:F1051)</f>
        <v/>
      </c>
    </row>
    <row r="1052">
      <c r="A1052">
        <f>IF('Entry Builder'!$N$7=0,1,IF('Entry Builder'!$D$7="Less",--(INDEX(Sims!$A1052:$BO1052,'Entry Builder'!$L$7)&lt;'Entry Builder'!$E$7),--(INDEX(Sims!$A1052:$BO1052,'Entry Builder'!$L$7)&gt;'Entry Builder'!$E$7)))</f>
        <v/>
      </c>
      <c r="B1052">
        <f>IF('Entry Builder'!$N$8=0,1,IF('Entry Builder'!$D$8="Less",--(INDEX(Sims!$A1052:$BO1052,'Entry Builder'!$L$8)&lt;'Entry Builder'!$E$8),--(INDEX(Sims!$A1052:$BO1052,'Entry Builder'!$L$8)&gt;'Entry Builder'!$E$8)))</f>
        <v/>
      </c>
      <c r="C1052">
        <f>IF('Entry Builder'!$N$9=0,1,IF('Entry Builder'!$D$9="Less",--(INDEX(Sims!$A1052:$BO1052,'Entry Builder'!$L$9)&lt;'Entry Builder'!$E$9),--(INDEX(Sims!$A1052:$BO1052,'Entry Builder'!$L$9)&gt;'Entry Builder'!$E$9)))</f>
        <v/>
      </c>
      <c r="D1052">
        <f>IF('Entry Builder'!$N$10=0,1,IF('Entry Builder'!$D$10="Less",--(INDEX(Sims!$A1052:$BO1052,'Entry Builder'!$L$10)&lt;'Entry Builder'!$E$10),--(INDEX(Sims!$A1052:$BO1052,'Entry Builder'!$L$10)&gt;'Entry Builder'!$E$10)))</f>
        <v/>
      </c>
      <c r="E1052">
        <f>IF('Entry Builder'!$N$11=0,1,IF('Entry Builder'!$D$11="Less",--(INDEX(Sims!$A1052:$BO1052,'Entry Builder'!$L$11)&lt;'Entry Builder'!$E$11),--(INDEX(Sims!$A1052:$BO1052,'Entry Builder'!$L$11)&gt;'Entry Builder'!$E$11)))</f>
        <v/>
      </c>
      <c r="F1052">
        <f>IF('Entry Builder'!$N$12=0,1,IF('Entry Builder'!$D$12="Less",--(INDEX(Sims!$A1052:$BO1052,'Entry Builder'!$L$12)&lt;'Entry Builder'!$E$12),--(INDEX(Sims!$A1052:$BO1052,'Entry Builder'!$L$12)&gt;'Entry Builder'!$E$12)))</f>
        <v/>
      </c>
      <c r="G1052">
        <f>6-SUM(A1052:F1052)</f>
        <v/>
      </c>
    </row>
    <row r="1053">
      <c r="A1053">
        <f>IF('Entry Builder'!$N$7=0,1,IF('Entry Builder'!$D$7="Less",--(INDEX(Sims!$A1053:$BO1053,'Entry Builder'!$L$7)&lt;'Entry Builder'!$E$7),--(INDEX(Sims!$A1053:$BO1053,'Entry Builder'!$L$7)&gt;'Entry Builder'!$E$7)))</f>
        <v/>
      </c>
      <c r="B1053">
        <f>IF('Entry Builder'!$N$8=0,1,IF('Entry Builder'!$D$8="Less",--(INDEX(Sims!$A1053:$BO1053,'Entry Builder'!$L$8)&lt;'Entry Builder'!$E$8),--(INDEX(Sims!$A1053:$BO1053,'Entry Builder'!$L$8)&gt;'Entry Builder'!$E$8)))</f>
        <v/>
      </c>
      <c r="C1053">
        <f>IF('Entry Builder'!$N$9=0,1,IF('Entry Builder'!$D$9="Less",--(INDEX(Sims!$A1053:$BO1053,'Entry Builder'!$L$9)&lt;'Entry Builder'!$E$9),--(INDEX(Sims!$A1053:$BO1053,'Entry Builder'!$L$9)&gt;'Entry Builder'!$E$9)))</f>
        <v/>
      </c>
      <c r="D1053">
        <f>IF('Entry Builder'!$N$10=0,1,IF('Entry Builder'!$D$10="Less",--(INDEX(Sims!$A1053:$BO1053,'Entry Builder'!$L$10)&lt;'Entry Builder'!$E$10),--(INDEX(Sims!$A1053:$BO1053,'Entry Builder'!$L$10)&gt;'Entry Builder'!$E$10)))</f>
        <v/>
      </c>
      <c r="E1053">
        <f>IF('Entry Builder'!$N$11=0,1,IF('Entry Builder'!$D$11="Less",--(INDEX(Sims!$A1053:$BO1053,'Entry Builder'!$L$11)&lt;'Entry Builder'!$E$11),--(INDEX(Sims!$A1053:$BO1053,'Entry Builder'!$L$11)&gt;'Entry Builder'!$E$11)))</f>
        <v/>
      </c>
      <c r="F1053">
        <f>IF('Entry Builder'!$N$12=0,1,IF('Entry Builder'!$D$12="Less",--(INDEX(Sims!$A1053:$BO1053,'Entry Builder'!$L$12)&lt;'Entry Builder'!$E$12),--(INDEX(Sims!$A1053:$BO1053,'Entry Builder'!$L$12)&gt;'Entry Builder'!$E$12)))</f>
        <v/>
      </c>
      <c r="G1053">
        <f>6-SUM(A1053:F1053)</f>
        <v/>
      </c>
    </row>
    <row r="1054">
      <c r="A1054">
        <f>IF('Entry Builder'!$N$7=0,1,IF('Entry Builder'!$D$7="Less",--(INDEX(Sims!$A1054:$BO1054,'Entry Builder'!$L$7)&lt;'Entry Builder'!$E$7),--(INDEX(Sims!$A1054:$BO1054,'Entry Builder'!$L$7)&gt;'Entry Builder'!$E$7)))</f>
        <v/>
      </c>
      <c r="B1054">
        <f>IF('Entry Builder'!$N$8=0,1,IF('Entry Builder'!$D$8="Less",--(INDEX(Sims!$A1054:$BO1054,'Entry Builder'!$L$8)&lt;'Entry Builder'!$E$8),--(INDEX(Sims!$A1054:$BO1054,'Entry Builder'!$L$8)&gt;'Entry Builder'!$E$8)))</f>
        <v/>
      </c>
      <c r="C1054">
        <f>IF('Entry Builder'!$N$9=0,1,IF('Entry Builder'!$D$9="Less",--(INDEX(Sims!$A1054:$BO1054,'Entry Builder'!$L$9)&lt;'Entry Builder'!$E$9),--(INDEX(Sims!$A1054:$BO1054,'Entry Builder'!$L$9)&gt;'Entry Builder'!$E$9)))</f>
        <v/>
      </c>
      <c r="D1054">
        <f>IF('Entry Builder'!$N$10=0,1,IF('Entry Builder'!$D$10="Less",--(INDEX(Sims!$A1054:$BO1054,'Entry Builder'!$L$10)&lt;'Entry Builder'!$E$10),--(INDEX(Sims!$A1054:$BO1054,'Entry Builder'!$L$10)&gt;'Entry Builder'!$E$10)))</f>
        <v/>
      </c>
      <c r="E1054">
        <f>IF('Entry Builder'!$N$11=0,1,IF('Entry Builder'!$D$11="Less",--(INDEX(Sims!$A1054:$BO1054,'Entry Builder'!$L$11)&lt;'Entry Builder'!$E$11),--(INDEX(Sims!$A1054:$BO1054,'Entry Builder'!$L$11)&gt;'Entry Builder'!$E$11)))</f>
        <v/>
      </c>
      <c r="F1054">
        <f>IF('Entry Builder'!$N$12=0,1,IF('Entry Builder'!$D$12="Less",--(INDEX(Sims!$A1054:$BO1054,'Entry Builder'!$L$12)&lt;'Entry Builder'!$E$12),--(INDEX(Sims!$A1054:$BO1054,'Entry Builder'!$L$12)&gt;'Entry Builder'!$E$12)))</f>
        <v/>
      </c>
      <c r="G1054">
        <f>6-SUM(A1054:F1054)</f>
        <v/>
      </c>
    </row>
    <row r="1055">
      <c r="A1055">
        <f>IF('Entry Builder'!$N$7=0,1,IF('Entry Builder'!$D$7="Less",--(INDEX(Sims!$A1055:$BO1055,'Entry Builder'!$L$7)&lt;'Entry Builder'!$E$7),--(INDEX(Sims!$A1055:$BO1055,'Entry Builder'!$L$7)&gt;'Entry Builder'!$E$7)))</f>
        <v/>
      </c>
      <c r="B1055">
        <f>IF('Entry Builder'!$N$8=0,1,IF('Entry Builder'!$D$8="Less",--(INDEX(Sims!$A1055:$BO1055,'Entry Builder'!$L$8)&lt;'Entry Builder'!$E$8),--(INDEX(Sims!$A1055:$BO1055,'Entry Builder'!$L$8)&gt;'Entry Builder'!$E$8)))</f>
        <v/>
      </c>
      <c r="C1055">
        <f>IF('Entry Builder'!$N$9=0,1,IF('Entry Builder'!$D$9="Less",--(INDEX(Sims!$A1055:$BO1055,'Entry Builder'!$L$9)&lt;'Entry Builder'!$E$9),--(INDEX(Sims!$A1055:$BO1055,'Entry Builder'!$L$9)&gt;'Entry Builder'!$E$9)))</f>
        <v/>
      </c>
      <c r="D1055">
        <f>IF('Entry Builder'!$N$10=0,1,IF('Entry Builder'!$D$10="Less",--(INDEX(Sims!$A1055:$BO1055,'Entry Builder'!$L$10)&lt;'Entry Builder'!$E$10),--(INDEX(Sims!$A1055:$BO1055,'Entry Builder'!$L$10)&gt;'Entry Builder'!$E$10)))</f>
        <v/>
      </c>
      <c r="E1055">
        <f>IF('Entry Builder'!$N$11=0,1,IF('Entry Builder'!$D$11="Less",--(INDEX(Sims!$A1055:$BO1055,'Entry Builder'!$L$11)&lt;'Entry Builder'!$E$11),--(INDEX(Sims!$A1055:$BO1055,'Entry Builder'!$L$11)&gt;'Entry Builder'!$E$11)))</f>
        <v/>
      </c>
      <c r="F1055">
        <f>IF('Entry Builder'!$N$12=0,1,IF('Entry Builder'!$D$12="Less",--(INDEX(Sims!$A1055:$BO1055,'Entry Builder'!$L$12)&lt;'Entry Builder'!$E$12),--(INDEX(Sims!$A1055:$BO1055,'Entry Builder'!$L$12)&gt;'Entry Builder'!$E$12)))</f>
        <v/>
      </c>
      <c r="G1055">
        <f>6-SUM(A1055:F1055)</f>
        <v/>
      </c>
    </row>
    <row r="1056">
      <c r="A1056">
        <f>IF('Entry Builder'!$N$7=0,1,IF('Entry Builder'!$D$7="Less",--(INDEX(Sims!$A1056:$BO1056,'Entry Builder'!$L$7)&lt;'Entry Builder'!$E$7),--(INDEX(Sims!$A1056:$BO1056,'Entry Builder'!$L$7)&gt;'Entry Builder'!$E$7)))</f>
        <v/>
      </c>
      <c r="B1056">
        <f>IF('Entry Builder'!$N$8=0,1,IF('Entry Builder'!$D$8="Less",--(INDEX(Sims!$A1056:$BO1056,'Entry Builder'!$L$8)&lt;'Entry Builder'!$E$8),--(INDEX(Sims!$A1056:$BO1056,'Entry Builder'!$L$8)&gt;'Entry Builder'!$E$8)))</f>
        <v/>
      </c>
      <c r="C1056">
        <f>IF('Entry Builder'!$N$9=0,1,IF('Entry Builder'!$D$9="Less",--(INDEX(Sims!$A1056:$BO1056,'Entry Builder'!$L$9)&lt;'Entry Builder'!$E$9),--(INDEX(Sims!$A1056:$BO1056,'Entry Builder'!$L$9)&gt;'Entry Builder'!$E$9)))</f>
        <v/>
      </c>
      <c r="D1056">
        <f>IF('Entry Builder'!$N$10=0,1,IF('Entry Builder'!$D$10="Less",--(INDEX(Sims!$A1056:$BO1056,'Entry Builder'!$L$10)&lt;'Entry Builder'!$E$10),--(INDEX(Sims!$A1056:$BO1056,'Entry Builder'!$L$10)&gt;'Entry Builder'!$E$10)))</f>
        <v/>
      </c>
      <c r="E1056">
        <f>IF('Entry Builder'!$N$11=0,1,IF('Entry Builder'!$D$11="Less",--(INDEX(Sims!$A1056:$BO1056,'Entry Builder'!$L$11)&lt;'Entry Builder'!$E$11),--(INDEX(Sims!$A1056:$BO1056,'Entry Builder'!$L$11)&gt;'Entry Builder'!$E$11)))</f>
        <v/>
      </c>
      <c r="F1056">
        <f>IF('Entry Builder'!$N$12=0,1,IF('Entry Builder'!$D$12="Less",--(INDEX(Sims!$A1056:$BO1056,'Entry Builder'!$L$12)&lt;'Entry Builder'!$E$12),--(INDEX(Sims!$A1056:$BO1056,'Entry Builder'!$L$12)&gt;'Entry Builder'!$E$12)))</f>
        <v/>
      </c>
      <c r="G1056">
        <f>6-SUM(A1056:F1056)</f>
        <v/>
      </c>
    </row>
    <row r="1057">
      <c r="A1057">
        <f>IF('Entry Builder'!$N$7=0,1,IF('Entry Builder'!$D$7="Less",--(INDEX(Sims!$A1057:$BO1057,'Entry Builder'!$L$7)&lt;'Entry Builder'!$E$7),--(INDEX(Sims!$A1057:$BO1057,'Entry Builder'!$L$7)&gt;'Entry Builder'!$E$7)))</f>
        <v/>
      </c>
      <c r="B1057">
        <f>IF('Entry Builder'!$N$8=0,1,IF('Entry Builder'!$D$8="Less",--(INDEX(Sims!$A1057:$BO1057,'Entry Builder'!$L$8)&lt;'Entry Builder'!$E$8),--(INDEX(Sims!$A1057:$BO1057,'Entry Builder'!$L$8)&gt;'Entry Builder'!$E$8)))</f>
        <v/>
      </c>
      <c r="C1057">
        <f>IF('Entry Builder'!$N$9=0,1,IF('Entry Builder'!$D$9="Less",--(INDEX(Sims!$A1057:$BO1057,'Entry Builder'!$L$9)&lt;'Entry Builder'!$E$9),--(INDEX(Sims!$A1057:$BO1057,'Entry Builder'!$L$9)&gt;'Entry Builder'!$E$9)))</f>
        <v/>
      </c>
      <c r="D1057">
        <f>IF('Entry Builder'!$N$10=0,1,IF('Entry Builder'!$D$10="Less",--(INDEX(Sims!$A1057:$BO1057,'Entry Builder'!$L$10)&lt;'Entry Builder'!$E$10),--(INDEX(Sims!$A1057:$BO1057,'Entry Builder'!$L$10)&gt;'Entry Builder'!$E$10)))</f>
        <v/>
      </c>
      <c r="E1057">
        <f>IF('Entry Builder'!$N$11=0,1,IF('Entry Builder'!$D$11="Less",--(INDEX(Sims!$A1057:$BO1057,'Entry Builder'!$L$11)&lt;'Entry Builder'!$E$11),--(INDEX(Sims!$A1057:$BO1057,'Entry Builder'!$L$11)&gt;'Entry Builder'!$E$11)))</f>
        <v/>
      </c>
      <c r="F1057">
        <f>IF('Entry Builder'!$N$12=0,1,IF('Entry Builder'!$D$12="Less",--(INDEX(Sims!$A1057:$BO1057,'Entry Builder'!$L$12)&lt;'Entry Builder'!$E$12),--(INDEX(Sims!$A1057:$BO1057,'Entry Builder'!$L$12)&gt;'Entry Builder'!$E$12)))</f>
        <v/>
      </c>
      <c r="G1057">
        <f>6-SUM(A1057:F1057)</f>
        <v/>
      </c>
    </row>
    <row r="1058">
      <c r="A1058">
        <f>IF('Entry Builder'!$N$7=0,1,IF('Entry Builder'!$D$7="Less",--(INDEX(Sims!$A1058:$BO1058,'Entry Builder'!$L$7)&lt;'Entry Builder'!$E$7),--(INDEX(Sims!$A1058:$BO1058,'Entry Builder'!$L$7)&gt;'Entry Builder'!$E$7)))</f>
        <v/>
      </c>
      <c r="B1058">
        <f>IF('Entry Builder'!$N$8=0,1,IF('Entry Builder'!$D$8="Less",--(INDEX(Sims!$A1058:$BO1058,'Entry Builder'!$L$8)&lt;'Entry Builder'!$E$8),--(INDEX(Sims!$A1058:$BO1058,'Entry Builder'!$L$8)&gt;'Entry Builder'!$E$8)))</f>
        <v/>
      </c>
      <c r="C1058">
        <f>IF('Entry Builder'!$N$9=0,1,IF('Entry Builder'!$D$9="Less",--(INDEX(Sims!$A1058:$BO1058,'Entry Builder'!$L$9)&lt;'Entry Builder'!$E$9),--(INDEX(Sims!$A1058:$BO1058,'Entry Builder'!$L$9)&gt;'Entry Builder'!$E$9)))</f>
        <v/>
      </c>
      <c r="D1058">
        <f>IF('Entry Builder'!$N$10=0,1,IF('Entry Builder'!$D$10="Less",--(INDEX(Sims!$A1058:$BO1058,'Entry Builder'!$L$10)&lt;'Entry Builder'!$E$10),--(INDEX(Sims!$A1058:$BO1058,'Entry Builder'!$L$10)&gt;'Entry Builder'!$E$10)))</f>
        <v/>
      </c>
      <c r="E1058">
        <f>IF('Entry Builder'!$N$11=0,1,IF('Entry Builder'!$D$11="Less",--(INDEX(Sims!$A1058:$BO1058,'Entry Builder'!$L$11)&lt;'Entry Builder'!$E$11),--(INDEX(Sims!$A1058:$BO1058,'Entry Builder'!$L$11)&gt;'Entry Builder'!$E$11)))</f>
        <v/>
      </c>
      <c r="F1058">
        <f>IF('Entry Builder'!$N$12=0,1,IF('Entry Builder'!$D$12="Less",--(INDEX(Sims!$A1058:$BO1058,'Entry Builder'!$L$12)&lt;'Entry Builder'!$E$12),--(INDEX(Sims!$A1058:$BO1058,'Entry Builder'!$L$12)&gt;'Entry Builder'!$E$12)))</f>
        <v/>
      </c>
      <c r="G1058">
        <f>6-SUM(A1058:F1058)</f>
        <v/>
      </c>
    </row>
    <row r="1059">
      <c r="A1059">
        <f>IF('Entry Builder'!$N$7=0,1,IF('Entry Builder'!$D$7="Less",--(INDEX(Sims!$A1059:$BO1059,'Entry Builder'!$L$7)&lt;'Entry Builder'!$E$7),--(INDEX(Sims!$A1059:$BO1059,'Entry Builder'!$L$7)&gt;'Entry Builder'!$E$7)))</f>
        <v/>
      </c>
      <c r="B1059">
        <f>IF('Entry Builder'!$N$8=0,1,IF('Entry Builder'!$D$8="Less",--(INDEX(Sims!$A1059:$BO1059,'Entry Builder'!$L$8)&lt;'Entry Builder'!$E$8),--(INDEX(Sims!$A1059:$BO1059,'Entry Builder'!$L$8)&gt;'Entry Builder'!$E$8)))</f>
        <v/>
      </c>
      <c r="C1059">
        <f>IF('Entry Builder'!$N$9=0,1,IF('Entry Builder'!$D$9="Less",--(INDEX(Sims!$A1059:$BO1059,'Entry Builder'!$L$9)&lt;'Entry Builder'!$E$9),--(INDEX(Sims!$A1059:$BO1059,'Entry Builder'!$L$9)&gt;'Entry Builder'!$E$9)))</f>
        <v/>
      </c>
      <c r="D1059">
        <f>IF('Entry Builder'!$N$10=0,1,IF('Entry Builder'!$D$10="Less",--(INDEX(Sims!$A1059:$BO1059,'Entry Builder'!$L$10)&lt;'Entry Builder'!$E$10),--(INDEX(Sims!$A1059:$BO1059,'Entry Builder'!$L$10)&gt;'Entry Builder'!$E$10)))</f>
        <v/>
      </c>
      <c r="E1059">
        <f>IF('Entry Builder'!$N$11=0,1,IF('Entry Builder'!$D$11="Less",--(INDEX(Sims!$A1059:$BO1059,'Entry Builder'!$L$11)&lt;'Entry Builder'!$E$11),--(INDEX(Sims!$A1059:$BO1059,'Entry Builder'!$L$11)&gt;'Entry Builder'!$E$11)))</f>
        <v/>
      </c>
      <c r="F1059">
        <f>IF('Entry Builder'!$N$12=0,1,IF('Entry Builder'!$D$12="Less",--(INDEX(Sims!$A1059:$BO1059,'Entry Builder'!$L$12)&lt;'Entry Builder'!$E$12),--(INDEX(Sims!$A1059:$BO1059,'Entry Builder'!$L$12)&gt;'Entry Builder'!$E$12)))</f>
        <v/>
      </c>
      <c r="G1059">
        <f>6-SUM(A1059:F1059)</f>
        <v/>
      </c>
    </row>
    <row r="1060">
      <c r="A1060">
        <f>IF('Entry Builder'!$N$7=0,1,IF('Entry Builder'!$D$7="Less",--(INDEX(Sims!$A1060:$BO1060,'Entry Builder'!$L$7)&lt;'Entry Builder'!$E$7),--(INDEX(Sims!$A1060:$BO1060,'Entry Builder'!$L$7)&gt;'Entry Builder'!$E$7)))</f>
        <v/>
      </c>
      <c r="B1060">
        <f>IF('Entry Builder'!$N$8=0,1,IF('Entry Builder'!$D$8="Less",--(INDEX(Sims!$A1060:$BO1060,'Entry Builder'!$L$8)&lt;'Entry Builder'!$E$8),--(INDEX(Sims!$A1060:$BO1060,'Entry Builder'!$L$8)&gt;'Entry Builder'!$E$8)))</f>
        <v/>
      </c>
      <c r="C1060">
        <f>IF('Entry Builder'!$N$9=0,1,IF('Entry Builder'!$D$9="Less",--(INDEX(Sims!$A1060:$BO1060,'Entry Builder'!$L$9)&lt;'Entry Builder'!$E$9),--(INDEX(Sims!$A1060:$BO1060,'Entry Builder'!$L$9)&gt;'Entry Builder'!$E$9)))</f>
        <v/>
      </c>
      <c r="D1060">
        <f>IF('Entry Builder'!$N$10=0,1,IF('Entry Builder'!$D$10="Less",--(INDEX(Sims!$A1060:$BO1060,'Entry Builder'!$L$10)&lt;'Entry Builder'!$E$10),--(INDEX(Sims!$A1060:$BO1060,'Entry Builder'!$L$10)&gt;'Entry Builder'!$E$10)))</f>
        <v/>
      </c>
      <c r="E1060">
        <f>IF('Entry Builder'!$N$11=0,1,IF('Entry Builder'!$D$11="Less",--(INDEX(Sims!$A1060:$BO1060,'Entry Builder'!$L$11)&lt;'Entry Builder'!$E$11),--(INDEX(Sims!$A1060:$BO1060,'Entry Builder'!$L$11)&gt;'Entry Builder'!$E$11)))</f>
        <v/>
      </c>
      <c r="F1060">
        <f>IF('Entry Builder'!$N$12=0,1,IF('Entry Builder'!$D$12="Less",--(INDEX(Sims!$A1060:$BO1060,'Entry Builder'!$L$12)&lt;'Entry Builder'!$E$12),--(INDEX(Sims!$A1060:$BO1060,'Entry Builder'!$L$12)&gt;'Entry Builder'!$E$12)))</f>
        <v/>
      </c>
      <c r="G1060">
        <f>6-SUM(A1060:F1060)</f>
        <v/>
      </c>
    </row>
    <row r="1061">
      <c r="A1061">
        <f>IF('Entry Builder'!$N$7=0,1,IF('Entry Builder'!$D$7="Less",--(INDEX(Sims!$A1061:$BO1061,'Entry Builder'!$L$7)&lt;'Entry Builder'!$E$7),--(INDEX(Sims!$A1061:$BO1061,'Entry Builder'!$L$7)&gt;'Entry Builder'!$E$7)))</f>
        <v/>
      </c>
      <c r="B1061">
        <f>IF('Entry Builder'!$N$8=0,1,IF('Entry Builder'!$D$8="Less",--(INDEX(Sims!$A1061:$BO1061,'Entry Builder'!$L$8)&lt;'Entry Builder'!$E$8),--(INDEX(Sims!$A1061:$BO1061,'Entry Builder'!$L$8)&gt;'Entry Builder'!$E$8)))</f>
        <v/>
      </c>
      <c r="C1061">
        <f>IF('Entry Builder'!$N$9=0,1,IF('Entry Builder'!$D$9="Less",--(INDEX(Sims!$A1061:$BO1061,'Entry Builder'!$L$9)&lt;'Entry Builder'!$E$9),--(INDEX(Sims!$A1061:$BO1061,'Entry Builder'!$L$9)&gt;'Entry Builder'!$E$9)))</f>
        <v/>
      </c>
      <c r="D1061">
        <f>IF('Entry Builder'!$N$10=0,1,IF('Entry Builder'!$D$10="Less",--(INDEX(Sims!$A1061:$BO1061,'Entry Builder'!$L$10)&lt;'Entry Builder'!$E$10),--(INDEX(Sims!$A1061:$BO1061,'Entry Builder'!$L$10)&gt;'Entry Builder'!$E$10)))</f>
        <v/>
      </c>
      <c r="E1061">
        <f>IF('Entry Builder'!$N$11=0,1,IF('Entry Builder'!$D$11="Less",--(INDEX(Sims!$A1061:$BO1061,'Entry Builder'!$L$11)&lt;'Entry Builder'!$E$11),--(INDEX(Sims!$A1061:$BO1061,'Entry Builder'!$L$11)&gt;'Entry Builder'!$E$11)))</f>
        <v/>
      </c>
      <c r="F1061">
        <f>IF('Entry Builder'!$N$12=0,1,IF('Entry Builder'!$D$12="Less",--(INDEX(Sims!$A1061:$BO1061,'Entry Builder'!$L$12)&lt;'Entry Builder'!$E$12),--(INDEX(Sims!$A1061:$BO1061,'Entry Builder'!$L$12)&gt;'Entry Builder'!$E$12)))</f>
        <v/>
      </c>
      <c r="G1061">
        <f>6-SUM(A1061:F1061)</f>
        <v/>
      </c>
    </row>
    <row r="1062">
      <c r="A1062">
        <f>IF('Entry Builder'!$N$7=0,1,IF('Entry Builder'!$D$7="Less",--(INDEX(Sims!$A1062:$BO1062,'Entry Builder'!$L$7)&lt;'Entry Builder'!$E$7),--(INDEX(Sims!$A1062:$BO1062,'Entry Builder'!$L$7)&gt;'Entry Builder'!$E$7)))</f>
        <v/>
      </c>
      <c r="B1062">
        <f>IF('Entry Builder'!$N$8=0,1,IF('Entry Builder'!$D$8="Less",--(INDEX(Sims!$A1062:$BO1062,'Entry Builder'!$L$8)&lt;'Entry Builder'!$E$8),--(INDEX(Sims!$A1062:$BO1062,'Entry Builder'!$L$8)&gt;'Entry Builder'!$E$8)))</f>
        <v/>
      </c>
      <c r="C1062">
        <f>IF('Entry Builder'!$N$9=0,1,IF('Entry Builder'!$D$9="Less",--(INDEX(Sims!$A1062:$BO1062,'Entry Builder'!$L$9)&lt;'Entry Builder'!$E$9),--(INDEX(Sims!$A1062:$BO1062,'Entry Builder'!$L$9)&gt;'Entry Builder'!$E$9)))</f>
        <v/>
      </c>
      <c r="D1062">
        <f>IF('Entry Builder'!$N$10=0,1,IF('Entry Builder'!$D$10="Less",--(INDEX(Sims!$A1062:$BO1062,'Entry Builder'!$L$10)&lt;'Entry Builder'!$E$10),--(INDEX(Sims!$A1062:$BO1062,'Entry Builder'!$L$10)&gt;'Entry Builder'!$E$10)))</f>
        <v/>
      </c>
      <c r="E1062">
        <f>IF('Entry Builder'!$N$11=0,1,IF('Entry Builder'!$D$11="Less",--(INDEX(Sims!$A1062:$BO1062,'Entry Builder'!$L$11)&lt;'Entry Builder'!$E$11),--(INDEX(Sims!$A1062:$BO1062,'Entry Builder'!$L$11)&gt;'Entry Builder'!$E$11)))</f>
        <v/>
      </c>
      <c r="F1062">
        <f>IF('Entry Builder'!$N$12=0,1,IF('Entry Builder'!$D$12="Less",--(INDEX(Sims!$A1062:$BO1062,'Entry Builder'!$L$12)&lt;'Entry Builder'!$E$12),--(INDEX(Sims!$A1062:$BO1062,'Entry Builder'!$L$12)&gt;'Entry Builder'!$E$12)))</f>
        <v/>
      </c>
      <c r="G1062">
        <f>6-SUM(A1062:F1062)</f>
        <v/>
      </c>
    </row>
    <row r="1063">
      <c r="A1063">
        <f>IF('Entry Builder'!$N$7=0,1,IF('Entry Builder'!$D$7="Less",--(INDEX(Sims!$A1063:$BO1063,'Entry Builder'!$L$7)&lt;'Entry Builder'!$E$7),--(INDEX(Sims!$A1063:$BO1063,'Entry Builder'!$L$7)&gt;'Entry Builder'!$E$7)))</f>
        <v/>
      </c>
      <c r="B1063">
        <f>IF('Entry Builder'!$N$8=0,1,IF('Entry Builder'!$D$8="Less",--(INDEX(Sims!$A1063:$BO1063,'Entry Builder'!$L$8)&lt;'Entry Builder'!$E$8),--(INDEX(Sims!$A1063:$BO1063,'Entry Builder'!$L$8)&gt;'Entry Builder'!$E$8)))</f>
        <v/>
      </c>
      <c r="C1063">
        <f>IF('Entry Builder'!$N$9=0,1,IF('Entry Builder'!$D$9="Less",--(INDEX(Sims!$A1063:$BO1063,'Entry Builder'!$L$9)&lt;'Entry Builder'!$E$9),--(INDEX(Sims!$A1063:$BO1063,'Entry Builder'!$L$9)&gt;'Entry Builder'!$E$9)))</f>
        <v/>
      </c>
      <c r="D1063">
        <f>IF('Entry Builder'!$N$10=0,1,IF('Entry Builder'!$D$10="Less",--(INDEX(Sims!$A1063:$BO1063,'Entry Builder'!$L$10)&lt;'Entry Builder'!$E$10),--(INDEX(Sims!$A1063:$BO1063,'Entry Builder'!$L$10)&gt;'Entry Builder'!$E$10)))</f>
        <v/>
      </c>
      <c r="E1063">
        <f>IF('Entry Builder'!$N$11=0,1,IF('Entry Builder'!$D$11="Less",--(INDEX(Sims!$A1063:$BO1063,'Entry Builder'!$L$11)&lt;'Entry Builder'!$E$11),--(INDEX(Sims!$A1063:$BO1063,'Entry Builder'!$L$11)&gt;'Entry Builder'!$E$11)))</f>
        <v/>
      </c>
      <c r="F1063">
        <f>IF('Entry Builder'!$N$12=0,1,IF('Entry Builder'!$D$12="Less",--(INDEX(Sims!$A1063:$BO1063,'Entry Builder'!$L$12)&lt;'Entry Builder'!$E$12),--(INDEX(Sims!$A1063:$BO1063,'Entry Builder'!$L$12)&gt;'Entry Builder'!$E$12)))</f>
        <v/>
      </c>
      <c r="G1063">
        <f>6-SUM(A1063:F1063)</f>
        <v/>
      </c>
    </row>
    <row r="1064">
      <c r="A1064">
        <f>IF('Entry Builder'!$N$7=0,1,IF('Entry Builder'!$D$7="Less",--(INDEX(Sims!$A1064:$BO1064,'Entry Builder'!$L$7)&lt;'Entry Builder'!$E$7),--(INDEX(Sims!$A1064:$BO1064,'Entry Builder'!$L$7)&gt;'Entry Builder'!$E$7)))</f>
        <v/>
      </c>
      <c r="B1064">
        <f>IF('Entry Builder'!$N$8=0,1,IF('Entry Builder'!$D$8="Less",--(INDEX(Sims!$A1064:$BO1064,'Entry Builder'!$L$8)&lt;'Entry Builder'!$E$8),--(INDEX(Sims!$A1064:$BO1064,'Entry Builder'!$L$8)&gt;'Entry Builder'!$E$8)))</f>
        <v/>
      </c>
      <c r="C1064">
        <f>IF('Entry Builder'!$N$9=0,1,IF('Entry Builder'!$D$9="Less",--(INDEX(Sims!$A1064:$BO1064,'Entry Builder'!$L$9)&lt;'Entry Builder'!$E$9),--(INDEX(Sims!$A1064:$BO1064,'Entry Builder'!$L$9)&gt;'Entry Builder'!$E$9)))</f>
        <v/>
      </c>
      <c r="D1064">
        <f>IF('Entry Builder'!$N$10=0,1,IF('Entry Builder'!$D$10="Less",--(INDEX(Sims!$A1064:$BO1064,'Entry Builder'!$L$10)&lt;'Entry Builder'!$E$10),--(INDEX(Sims!$A1064:$BO1064,'Entry Builder'!$L$10)&gt;'Entry Builder'!$E$10)))</f>
        <v/>
      </c>
      <c r="E1064">
        <f>IF('Entry Builder'!$N$11=0,1,IF('Entry Builder'!$D$11="Less",--(INDEX(Sims!$A1064:$BO1064,'Entry Builder'!$L$11)&lt;'Entry Builder'!$E$11),--(INDEX(Sims!$A1064:$BO1064,'Entry Builder'!$L$11)&gt;'Entry Builder'!$E$11)))</f>
        <v/>
      </c>
      <c r="F1064">
        <f>IF('Entry Builder'!$N$12=0,1,IF('Entry Builder'!$D$12="Less",--(INDEX(Sims!$A1064:$BO1064,'Entry Builder'!$L$12)&lt;'Entry Builder'!$E$12),--(INDEX(Sims!$A1064:$BO1064,'Entry Builder'!$L$12)&gt;'Entry Builder'!$E$12)))</f>
        <v/>
      </c>
      <c r="G1064">
        <f>6-SUM(A1064:F1064)</f>
        <v/>
      </c>
    </row>
    <row r="1065">
      <c r="A1065">
        <f>IF('Entry Builder'!$N$7=0,1,IF('Entry Builder'!$D$7="Less",--(INDEX(Sims!$A1065:$BO1065,'Entry Builder'!$L$7)&lt;'Entry Builder'!$E$7),--(INDEX(Sims!$A1065:$BO1065,'Entry Builder'!$L$7)&gt;'Entry Builder'!$E$7)))</f>
        <v/>
      </c>
      <c r="B1065">
        <f>IF('Entry Builder'!$N$8=0,1,IF('Entry Builder'!$D$8="Less",--(INDEX(Sims!$A1065:$BO1065,'Entry Builder'!$L$8)&lt;'Entry Builder'!$E$8),--(INDEX(Sims!$A1065:$BO1065,'Entry Builder'!$L$8)&gt;'Entry Builder'!$E$8)))</f>
        <v/>
      </c>
      <c r="C1065">
        <f>IF('Entry Builder'!$N$9=0,1,IF('Entry Builder'!$D$9="Less",--(INDEX(Sims!$A1065:$BO1065,'Entry Builder'!$L$9)&lt;'Entry Builder'!$E$9),--(INDEX(Sims!$A1065:$BO1065,'Entry Builder'!$L$9)&gt;'Entry Builder'!$E$9)))</f>
        <v/>
      </c>
      <c r="D1065">
        <f>IF('Entry Builder'!$N$10=0,1,IF('Entry Builder'!$D$10="Less",--(INDEX(Sims!$A1065:$BO1065,'Entry Builder'!$L$10)&lt;'Entry Builder'!$E$10),--(INDEX(Sims!$A1065:$BO1065,'Entry Builder'!$L$10)&gt;'Entry Builder'!$E$10)))</f>
        <v/>
      </c>
      <c r="E1065">
        <f>IF('Entry Builder'!$N$11=0,1,IF('Entry Builder'!$D$11="Less",--(INDEX(Sims!$A1065:$BO1065,'Entry Builder'!$L$11)&lt;'Entry Builder'!$E$11),--(INDEX(Sims!$A1065:$BO1065,'Entry Builder'!$L$11)&gt;'Entry Builder'!$E$11)))</f>
        <v/>
      </c>
      <c r="F1065">
        <f>IF('Entry Builder'!$N$12=0,1,IF('Entry Builder'!$D$12="Less",--(INDEX(Sims!$A1065:$BO1065,'Entry Builder'!$L$12)&lt;'Entry Builder'!$E$12),--(INDEX(Sims!$A1065:$BO1065,'Entry Builder'!$L$12)&gt;'Entry Builder'!$E$12)))</f>
        <v/>
      </c>
      <c r="G1065">
        <f>6-SUM(A1065:F1065)</f>
        <v/>
      </c>
    </row>
    <row r="1066">
      <c r="A1066">
        <f>IF('Entry Builder'!$N$7=0,1,IF('Entry Builder'!$D$7="Less",--(INDEX(Sims!$A1066:$BO1066,'Entry Builder'!$L$7)&lt;'Entry Builder'!$E$7),--(INDEX(Sims!$A1066:$BO1066,'Entry Builder'!$L$7)&gt;'Entry Builder'!$E$7)))</f>
        <v/>
      </c>
      <c r="B1066">
        <f>IF('Entry Builder'!$N$8=0,1,IF('Entry Builder'!$D$8="Less",--(INDEX(Sims!$A1066:$BO1066,'Entry Builder'!$L$8)&lt;'Entry Builder'!$E$8),--(INDEX(Sims!$A1066:$BO1066,'Entry Builder'!$L$8)&gt;'Entry Builder'!$E$8)))</f>
        <v/>
      </c>
      <c r="C1066">
        <f>IF('Entry Builder'!$N$9=0,1,IF('Entry Builder'!$D$9="Less",--(INDEX(Sims!$A1066:$BO1066,'Entry Builder'!$L$9)&lt;'Entry Builder'!$E$9),--(INDEX(Sims!$A1066:$BO1066,'Entry Builder'!$L$9)&gt;'Entry Builder'!$E$9)))</f>
        <v/>
      </c>
      <c r="D1066">
        <f>IF('Entry Builder'!$N$10=0,1,IF('Entry Builder'!$D$10="Less",--(INDEX(Sims!$A1066:$BO1066,'Entry Builder'!$L$10)&lt;'Entry Builder'!$E$10),--(INDEX(Sims!$A1066:$BO1066,'Entry Builder'!$L$10)&gt;'Entry Builder'!$E$10)))</f>
        <v/>
      </c>
      <c r="E1066">
        <f>IF('Entry Builder'!$N$11=0,1,IF('Entry Builder'!$D$11="Less",--(INDEX(Sims!$A1066:$BO1066,'Entry Builder'!$L$11)&lt;'Entry Builder'!$E$11),--(INDEX(Sims!$A1066:$BO1066,'Entry Builder'!$L$11)&gt;'Entry Builder'!$E$11)))</f>
        <v/>
      </c>
      <c r="F1066">
        <f>IF('Entry Builder'!$N$12=0,1,IF('Entry Builder'!$D$12="Less",--(INDEX(Sims!$A1066:$BO1066,'Entry Builder'!$L$12)&lt;'Entry Builder'!$E$12),--(INDEX(Sims!$A1066:$BO1066,'Entry Builder'!$L$12)&gt;'Entry Builder'!$E$12)))</f>
        <v/>
      </c>
      <c r="G1066">
        <f>6-SUM(A1066:F1066)</f>
        <v/>
      </c>
    </row>
    <row r="1067">
      <c r="A1067">
        <f>IF('Entry Builder'!$N$7=0,1,IF('Entry Builder'!$D$7="Less",--(INDEX(Sims!$A1067:$BO1067,'Entry Builder'!$L$7)&lt;'Entry Builder'!$E$7),--(INDEX(Sims!$A1067:$BO1067,'Entry Builder'!$L$7)&gt;'Entry Builder'!$E$7)))</f>
        <v/>
      </c>
      <c r="B1067">
        <f>IF('Entry Builder'!$N$8=0,1,IF('Entry Builder'!$D$8="Less",--(INDEX(Sims!$A1067:$BO1067,'Entry Builder'!$L$8)&lt;'Entry Builder'!$E$8),--(INDEX(Sims!$A1067:$BO1067,'Entry Builder'!$L$8)&gt;'Entry Builder'!$E$8)))</f>
        <v/>
      </c>
      <c r="C1067">
        <f>IF('Entry Builder'!$N$9=0,1,IF('Entry Builder'!$D$9="Less",--(INDEX(Sims!$A1067:$BO1067,'Entry Builder'!$L$9)&lt;'Entry Builder'!$E$9),--(INDEX(Sims!$A1067:$BO1067,'Entry Builder'!$L$9)&gt;'Entry Builder'!$E$9)))</f>
        <v/>
      </c>
      <c r="D1067">
        <f>IF('Entry Builder'!$N$10=0,1,IF('Entry Builder'!$D$10="Less",--(INDEX(Sims!$A1067:$BO1067,'Entry Builder'!$L$10)&lt;'Entry Builder'!$E$10),--(INDEX(Sims!$A1067:$BO1067,'Entry Builder'!$L$10)&gt;'Entry Builder'!$E$10)))</f>
        <v/>
      </c>
      <c r="E1067">
        <f>IF('Entry Builder'!$N$11=0,1,IF('Entry Builder'!$D$11="Less",--(INDEX(Sims!$A1067:$BO1067,'Entry Builder'!$L$11)&lt;'Entry Builder'!$E$11),--(INDEX(Sims!$A1067:$BO1067,'Entry Builder'!$L$11)&gt;'Entry Builder'!$E$11)))</f>
        <v/>
      </c>
      <c r="F1067">
        <f>IF('Entry Builder'!$N$12=0,1,IF('Entry Builder'!$D$12="Less",--(INDEX(Sims!$A1067:$BO1067,'Entry Builder'!$L$12)&lt;'Entry Builder'!$E$12),--(INDEX(Sims!$A1067:$BO1067,'Entry Builder'!$L$12)&gt;'Entry Builder'!$E$12)))</f>
        <v/>
      </c>
      <c r="G1067">
        <f>6-SUM(A1067:F1067)</f>
        <v/>
      </c>
    </row>
    <row r="1068">
      <c r="A1068">
        <f>IF('Entry Builder'!$N$7=0,1,IF('Entry Builder'!$D$7="Less",--(INDEX(Sims!$A1068:$BO1068,'Entry Builder'!$L$7)&lt;'Entry Builder'!$E$7),--(INDEX(Sims!$A1068:$BO1068,'Entry Builder'!$L$7)&gt;'Entry Builder'!$E$7)))</f>
        <v/>
      </c>
      <c r="B1068">
        <f>IF('Entry Builder'!$N$8=0,1,IF('Entry Builder'!$D$8="Less",--(INDEX(Sims!$A1068:$BO1068,'Entry Builder'!$L$8)&lt;'Entry Builder'!$E$8),--(INDEX(Sims!$A1068:$BO1068,'Entry Builder'!$L$8)&gt;'Entry Builder'!$E$8)))</f>
        <v/>
      </c>
      <c r="C1068">
        <f>IF('Entry Builder'!$N$9=0,1,IF('Entry Builder'!$D$9="Less",--(INDEX(Sims!$A1068:$BO1068,'Entry Builder'!$L$9)&lt;'Entry Builder'!$E$9),--(INDEX(Sims!$A1068:$BO1068,'Entry Builder'!$L$9)&gt;'Entry Builder'!$E$9)))</f>
        <v/>
      </c>
      <c r="D1068">
        <f>IF('Entry Builder'!$N$10=0,1,IF('Entry Builder'!$D$10="Less",--(INDEX(Sims!$A1068:$BO1068,'Entry Builder'!$L$10)&lt;'Entry Builder'!$E$10),--(INDEX(Sims!$A1068:$BO1068,'Entry Builder'!$L$10)&gt;'Entry Builder'!$E$10)))</f>
        <v/>
      </c>
      <c r="E1068">
        <f>IF('Entry Builder'!$N$11=0,1,IF('Entry Builder'!$D$11="Less",--(INDEX(Sims!$A1068:$BO1068,'Entry Builder'!$L$11)&lt;'Entry Builder'!$E$11),--(INDEX(Sims!$A1068:$BO1068,'Entry Builder'!$L$11)&gt;'Entry Builder'!$E$11)))</f>
        <v/>
      </c>
      <c r="F1068">
        <f>IF('Entry Builder'!$N$12=0,1,IF('Entry Builder'!$D$12="Less",--(INDEX(Sims!$A1068:$BO1068,'Entry Builder'!$L$12)&lt;'Entry Builder'!$E$12),--(INDEX(Sims!$A1068:$BO1068,'Entry Builder'!$L$12)&gt;'Entry Builder'!$E$12)))</f>
        <v/>
      </c>
      <c r="G1068">
        <f>6-SUM(A1068:F1068)</f>
        <v/>
      </c>
    </row>
    <row r="1069">
      <c r="A1069">
        <f>IF('Entry Builder'!$N$7=0,1,IF('Entry Builder'!$D$7="Less",--(INDEX(Sims!$A1069:$BO1069,'Entry Builder'!$L$7)&lt;'Entry Builder'!$E$7),--(INDEX(Sims!$A1069:$BO1069,'Entry Builder'!$L$7)&gt;'Entry Builder'!$E$7)))</f>
        <v/>
      </c>
      <c r="B1069">
        <f>IF('Entry Builder'!$N$8=0,1,IF('Entry Builder'!$D$8="Less",--(INDEX(Sims!$A1069:$BO1069,'Entry Builder'!$L$8)&lt;'Entry Builder'!$E$8),--(INDEX(Sims!$A1069:$BO1069,'Entry Builder'!$L$8)&gt;'Entry Builder'!$E$8)))</f>
        <v/>
      </c>
      <c r="C1069">
        <f>IF('Entry Builder'!$N$9=0,1,IF('Entry Builder'!$D$9="Less",--(INDEX(Sims!$A1069:$BO1069,'Entry Builder'!$L$9)&lt;'Entry Builder'!$E$9),--(INDEX(Sims!$A1069:$BO1069,'Entry Builder'!$L$9)&gt;'Entry Builder'!$E$9)))</f>
        <v/>
      </c>
      <c r="D1069">
        <f>IF('Entry Builder'!$N$10=0,1,IF('Entry Builder'!$D$10="Less",--(INDEX(Sims!$A1069:$BO1069,'Entry Builder'!$L$10)&lt;'Entry Builder'!$E$10),--(INDEX(Sims!$A1069:$BO1069,'Entry Builder'!$L$10)&gt;'Entry Builder'!$E$10)))</f>
        <v/>
      </c>
      <c r="E1069">
        <f>IF('Entry Builder'!$N$11=0,1,IF('Entry Builder'!$D$11="Less",--(INDEX(Sims!$A1069:$BO1069,'Entry Builder'!$L$11)&lt;'Entry Builder'!$E$11),--(INDEX(Sims!$A1069:$BO1069,'Entry Builder'!$L$11)&gt;'Entry Builder'!$E$11)))</f>
        <v/>
      </c>
      <c r="F1069">
        <f>IF('Entry Builder'!$N$12=0,1,IF('Entry Builder'!$D$12="Less",--(INDEX(Sims!$A1069:$BO1069,'Entry Builder'!$L$12)&lt;'Entry Builder'!$E$12),--(INDEX(Sims!$A1069:$BO1069,'Entry Builder'!$L$12)&gt;'Entry Builder'!$E$12)))</f>
        <v/>
      </c>
      <c r="G1069">
        <f>6-SUM(A1069:F1069)</f>
        <v/>
      </c>
    </row>
    <row r="1070">
      <c r="A1070">
        <f>IF('Entry Builder'!$N$7=0,1,IF('Entry Builder'!$D$7="Less",--(INDEX(Sims!$A1070:$BO1070,'Entry Builder'!$L$7)&lt;'Entry Builder'!$E$7),--(INDEX(Sims!$A1070:$BO1070,'Entry Builder'!$L$7)&gt;'Entry Builder'!$E$7)))</f>
        <v/>
      </c>
      <c r="B1070">
        <f>IF('Entry Builder'!$N$8=0,1,IF('Entry Builder'!$D$8="Less",--(INDEX(Sims!$A1070:$BO1070,'Entry Builder'!$L$8)&lt;'Entry Builder'!$E$8),--(INDEX(Sims!$A1070:$BO1070,'Entry Builder'!$L$8)&gt;'Entry Builder'!$E$8)))</f>
        <v/>
      </c>
      <c r="C1070">
        <f>IF('Entry Builder'!$N$9=0,1,IF('Entry Builder'!$D$9="Less",--(INDEX(Sims!$A1070:$BO1070,'Entry Builder'!$L$9)&lt;'Entry Builder'!$E$9),--(INDEX(Sims!$A1070:$BO1070,'Entry Builder'!$L$9)&gt;'Entry Builder'!$E$9)))</f>
        <v/>
      </c>
      <c r="D1070">
        <f>IF('Entry Builder'!$N$10=0,1,IF('Entry Builder'!$D$10="Less",--(INDEX(Sims!$A1070:$BO1070,'Entry Builder'!$L$10)&lt;'Entry Builder'!$E$10),--(INDEX(Sims!$A1070:$BO1070,'Entry Builder'!$L$10)&gt;'Entry Builder'!$E$10)))</f>
        <v/>
      </c>
      <c r="E1070">
        <f>IF('Entry Builder'!$N$11=0,1,IF('Entry Builder'!$D$11="Less",--(INDEX(Sims!$A1070:$BO1070,'Entry Builder'!$L$11)&lt;'Entry Builder'!$E$11),--(INDEX(Sims!$A1070:$BO1070,'Entry Builder'!$L$11)&gt;'Entry Builder'!$E$11)))</f>
        <v/>
      </c>
      <c r="F1070">
        <f>IF('Entry Builder'!$N$12=0,1,IF('Entry Builder'!$D$12="Less",--(INDEX(Sims!$A1070:$BO1070,'Entry Builder'!$L$12)&lt;'Entry Builder'!$E$12),--(INDEX(Sims!$A1070:$BO1070,'Entry Builder'!$L$12)&gt;'Entry Builder'!$E$12)))</f>
        <v/>
      </c>
      <c r="G1070">
        <f>6-SUM(A1070:F1070)</f>
        <v/>
      </c>
    </row>
    <row r="1071">
      <c r="A1071">
        <f>IF('Entry Builder'!$N$7=0,1,IF('Entry Builder'!$D$7="Less",--(INDEX(Sims!$A1071:$BO1071,'Entry Builder'!$L$7)&lt;'Entry Builder'!$E$7),--(INDEX(Sims!$A1071:$BO1071,'Entry Builder'!$L$7)&gt;'Entry Builder'!$E$7)))</f>
        <v/>
      </c>
      <c r="B1071">
        <f>IF('Entry Builder'!$N$8=0,1,IF('Entry Builder'!$D$8="Less",--(INDEX(Sims!$A1071:$BO1071,'Entry Builder'!$L$8)&lt;'Entry Builder'!$E$8),--(INDEX(Sims!$A1071:$BO1071,'Entry Builder'!$L$8)&gt;'Entry Builder'!$E$8)))</f>
        <v/>
      </c>
      <c r="C1071">
        <f>IF('Entry Builder'!$N$9=0,1,IF('Entry Builder'!$D$9="Less",--(INDEX(Sims!$A1071:$BO1071,'Entry Builder'!$L$9)&lt;'Entry Builder'!$E$9),--(INDEX(Sims!$A1071:$BO1071,'Entry Builder'!$L$9)&gt;'Entry Builder'!$E$9)))</f>
        <v/>
      </c>
      <c r="D1071">
        <f>IF('Entry Builder'!$N$10=0,1,IF('Entry Builder'!$D$10="Less",--(INDEX(Sims!$A1071:$BO1071,'Entry Builder'!$L$10)&lt;'Entry Builder'!$E$10),--(INDEX(Sims!$A1071:$BO1071,'Entry Builder'!$L$10)&gt;'Entry Builder'!$E$10)))</f>
        <v/>
      </c>
      <c r="E1071">
        <f>IF('Entry Builder'!$N$11=0,1,IF('Entry Builder'!$D$11="Less",--(INDEX(Sims!$A1071:$BO1071,'Entry Builder'!$L$11)&lt;'Entry Builder'!$E$11),--(INDEX(Sims!$A1071:$BO1071,'Entry Builder'!$L$11)&gt;'Entry Builder'!$E$11)))</f>
        <v/>
      </c>
      <c r="F1071">
        <f>IF('Entry Builder'!$N$12=0,1,IF('Entry Builder'!$D$12="Less",--(INDEX(Sims!$A1071:$BO1071,'Entry Builder'!$L$12)&lt;'Entry Builder'!$E$12),--(INDEX(Sims!$A1071:$BO1071,'Entry Builder'!$L$12)&gt;'Entry Builder'!$E$12)))</f>
        <v/>
      </c>
      <c r="G1071">
        <f>6-SUM(A1071:F1071)</f>
        <v/>
      </c>
    </row>
    <row r="1072">
      <c r="A1072">
        <f>IF('Entry Builder'!$N$7=0,1,IF('Entry Builder'!$D$7="Less",--(INDEX(Sims!$A1072:$BO1072,'Entry Builder'!$L$7)&lt;'Entry Builder'!$E$7),--(INDEX(Sims!$A1072:$BO1072,'Entry Builder'!$L$7)&gt;'Entry Builder'!$E$7)))</f>
        <v/>
      </c>
      <c r="B1072">
        <f>IF('Entry Builder'!$N$8=0,1,IF('Entry Builder'!$D$8="Less",--(INDEX(Sims!$A1072:$BO1072,'Entry Builder'!$L$8)&lt;'Entry Builder'!$E$8),--(INDEX(Sims!$A1072:$BO1072,'Entry Builder'!$L$8)&gt;'Entry Builder'!$E$8)))</f>
        <v/>
      </c>
      <c r="C1072">
        <f>IF('Entry Builder'!$N$9=0,1,IF('Entry Builder'!$D$9="Less",--(INDEX(Sims!$A1072:$BO1072,'Entry Builder'!$L$9)&lt;'Entry Builder'!$E$9),--(INDEX(Sims!$A1072:$BO1072,'Entry Builder'!$L$9)&gt;'Entry Builder'!$E$9)))</f>
        <v/>
      </c>
      <c r="D1072">
        <f>IF('Entry Builder'!$N$10=0,1,IF('Entry Builder'!$D$10="Less",--(INDEX(Sims!$A1072:$BO1072,'Entry Builder'!$L$10)&lt;'Entry Builder'!$E$10),--(INDEX(Sims!$A1072:$BO1072,'Entry Builder'!$L$10)&gt;'Entry Builder'!$E$10)))</f>
        <v/>
      </c>
      <c r="E1072">
        <f>IF('Entry Builder'!$N$11=0,1,IF('Entry Builder'!$D$11="Less",--(INDEX(Sims!$A1072:$BO1072,'Entry Builder'!$L$11)&lt;'Entry Builder'!$E$11),--(INDEX(Sims!$A1072:$BO1072,'Entry Builder'!$L$11)&gt;'Entry Builder'!$E$11)))</f>
        <v/>
      </c>
      <c r="F1072">
        <f>IF('Entry Builder'!$N$12=0,1,IF('Entry Builder'!$D$12="Less",--(INDEX(Sims!$A1072:$BO1072,'Entry Builder'!$L$12)&lt;'Entry Builder'!$E$12),--(INDEX(Sims!$A1072:$BO1072,'Entry Builder'!$L$12)&gt;'Entry Builder'!$E$12)))</f>
        <v/>
      </c>
      <c r="G1072">
        <f>6-SUM(A1072:F1072)</f>
        <v/>
      </c>
    </row>
    <row r="1073">
      <c r="A1073">
        <f>IF('Entry Builder'!$N$7=0,1,IF('Entry Builder'!$D$7="Less",--(INDEX(Sims!$A1073:$BO1073,'Entry Builder'!$L$7)&lt;'Entry Builder'!$E$7),--(INDEX(Sims!$A1073:$BO1073,'Entry Builder'!$L$7)&gt;'Entry Builder'!$E$7)))</f>
        <v/>
      </c>
      <c r="B1073">
        <f>IF('Entry Builder'!$N$8=0,1,IF('Entry Builder'!$D$8="Less",--(INDEX(Sims!$A1073:$BO1073,'Entry Builder'!$L$8)&lt;'Entry Builder'!$E$8),--(INDEX(Sims!$A1073:$BO1073,'Entry Builder'!$L$8)&gt;'Entry Builder'!$E$8)))</f>
        <v/>
      </c>
      <c r="C1073">
        <f>IF('Entry Builder'!$N$9=0,1,IF('Entry Builder'!$D$9="Less",--(INDEX(Sims!$A1073:$BO1073,'Entry Builder'!$L$9)&lt;'Entry Builder'!$E$9),--(INDEX(Sims!$A1073:$BO1073,'Entry Builder'!$L$9)&gt;'Entry Builder'!$E$9)))</f>
        <v/>
      </c>
      <c r="D1073">
        <f>IF('Entry Builder'!$N$10=0,1,IF('Entry Builder'!$D$10="Less",--(INDEX(Sims!$A1073:$BO1073,'Entry Builder'!$L$10)&lt;'Entry Builder'!$E$10),--(INDEX(Sims!$A1073:$BO1073,'Entry Builder'!$L$10)&gt;'Entry Builder'!$E$10)))</f>
        <v/>
      </c>
      <c r="E1073">
        <f>IF('Entry Builder'!$N$11=0,1,IF('Entry Builder'!$D$11="Less",--(INDEX(Sims!$A1073:$BO1073,'Entry Builder'!$L$11)&lt;'Entry Builder'!$E$11),--(INDEX(Sims!$A1073:$BO1073,'Entry Builder'!$L$11)&gt;'Entry Builder'!$E$11)))</f>
        <v/>
      </c>
      <c r="F1073">
        <f>IF('Entry Builder'!$N$12=0,1,IF('Entry Builder'!$D$12="Less",--(INDEX(Sims!$A1073:$BO1073,'Entry Builder'!$L$12)&lt;'Entry Builder'!$E$12),--(INDEX(Sims!$A1073:$BO1073,'Entry Builder'!$L$12)&gt;'Entry Builder'!$E$12)))</f>
        <v/>
      </c>
      <c r="G1073">
        <f>6-SUM(A1073:F1073)</f>
        <v/>
      </c>
    </row>
    <row r="1074">
      <c r="A1074">
        <f>IF('Entry Builder'!$N$7=0,1,IF('Entry Builder'!$D$7="Less",--(INDEX(Sims!$A1074:$BO1074,'Entry Builder'!$L$7)&lt;'Entry Builder'!$E$7),--(INDEX(Sims!$A1074:$BO1074,'Entry Builder'!$L$7)&gt;'Entry Builder'!$E$7)))</f>
        <v/>
      </c>
      <c r="B1074">
        <f>IF('Entry Builder'!$N$8=0,1,IF('Entry Builder'!$D$8="Less",--(INDEX(Sims!$A1074:$BO1074,'Entry Builder'!$L$8)&lt;'Entry Builder'!$E$8),--(INDEX(Sims!$A1074:$BO1074,'Entry Builder'!$L$8)&gt;'Entry Builder'!$E$8)))</f>
        <v/>
      </c>
      <c r="C1074">
        <f>IF('Entry Builder'!$N$9=0,1,IF('Entry Builder'!$D$9="Less",--(INDEX(Sims!$A1074:$BO1074,'Entry Builder'!$L$9)&lt;'Entry Builder'!$E$9),--(INDEX(Sims!$A1074:$BO1074,'Entry Builder'!$L$9)&gt;'Entry Builder'!$E$9)))</f>
        <v/>
      </c>
      <c r="D1074">
        <f>IF('Entry Builder'!$N$10=0,1,IF('Entry Builder'!$D$10="Less",--(INDEX(Sims!$A1074:$BO1074,'Entry Builder'!$L$10)&lt;'Entry Builder'!$E$10),--(INDEX(Sims!$A1074:$BO1074,'Entry Builder'!$L$10)&gt;'Entry Builder'!$E$10)))</f>
        <v/>
      </c>
      <c r="E1074">
        <f>IF('Entry Builder'!$N$11=0,1,IF('Entry Builder'!$D$11="Less",--(INDEX(Sims!$A1074:$BO1074,'Entry Builder'!$L$11)&lt;'Entry Builder'!$E$11),--(INDEX(Sims!$A1074:$BO1074,'Entry Builder'!$L$11)&gt;'Entry Builder'!$E$11)))</f>
        <v/>
      </c>
      <c r="F1074">
        <f>IF('Entry Builder'!$N$12=0,1,IF('Entry Builder'!$D$12="Less",--(INDEX(Sims!$A1074:$BO1074,'Entry Builder'!$L$12)&lt;'Entry Builder'!$E$12),--(INDEX(Sims!$A1074:$BO1074,'Entry Builder'!$L$12)&gt;'Entry Builder'!$E$12)))</f>
        <v/>
      </c>
      <c r="G1074">
        <f>6-SUM(A1074:F1074)</f>
        <v/>
      </c>
    </row>
    <row r="1075">
      <c r="A1075">
        <f>IF('Entry Builder'!$N$7=0,1,IF('Entry Builder'!$D$7="Less",--(INDEX(Sims!$A1075:$BO1075,'Entry Builder'!$L$7)&lt;'Entry Builder'!$E$7),--(INDEX(Sims!$A1075:$BO1075,'Entry Builder'!$L$7)&gt;'Entry Builder'!$E$7)))</f>
        <v/>
      </c>
      <c r="B1075">
        <f>IF('Entry Builder'!$N$8=0,1,IF('Entry Builder'!$D$8="Less",--(INDEX(Sims!$A1075:$BO1075,'Entry Builder'!$L$8)&lt;'Entry Builder'!$E$8),--(INDEX(Sims!$A1075:$BO1075,'Entry Builder'!$L$8)&gt;'Entry Builder'!$E$8)))</f>
        <v/>
      </c>
      <c r="C1075">
        <f>IF('Entry Builder'!$N$9=0,1,IF('Entry Builder'!$D$9="Less",--(INDEX(Sims!$A1075:$BO1075,'Entry Builder'!$L$9)&lt;'Entry Builder'!$E$9),--(INDEX(Sims!$A1075:$BO1075,'Entry Builder'!$L$9)&gt;'Entry Builder'!$E$9)))</f>
        <v/>
      </c>
      <c r="D1075">
        <f>IF('Entry Builder'!$N$10=0,1,IF('Entry Builder'!$D$10="Less",--(INDEX(Sims!$A1075:$BO1075,'Entry Builder'!$L$10)&lt;'Entry Builder'!$E$10),--(INDEX(Sims!$A1075:$BO1075,'Entry Builder'!$L$10)&gt;'Entry Builder'!$E$10)))</f>
        <v/>
      </c>
      <c r="E1075">
        <f>IF('Entry Builder'!$N$11=0,1,IF('Entry Builder'!$D$11="Less",--(INDEX(Sims!$A1075:$BO1075,'Entry Builder'!$L$11)&lt;'Entry Builder'!$E$11),--(INDEX(Sims!$A1075:$BO1075,'Entry Builder'!$L$11)&gt;'Entry Builder'!$E$11)))</f>
        <v/>
      </c>
      <c r="F1075">
        <f>IF('Entry Builder'!$N$12=0,1,IF('Entry Builder'!$D$12="Less",--(INDEX(Sims!$A1075:$BO1075,'Entry Builder'!$L$12)&lt;'Entry Builder'!$E$12),--(INDEX(Sims!$A1075:$BO1075,'Entry Builder'!$L$12)&gt;'Entry Builder'!$E$12)))</f>
        <v/>
      </c>
      <c r="G1075">
        <f>6-SUM(A1075:F1075)</f>
        <v/>
      </c>
    </row>
    <row r="1076">
      <c r="A1076">
        <f>IF('Entry Builder'!$N$7=0,1,IF('Entry Builder'!$D$7="Less",--(INDEX(Sims!$A1076:$BO1076,'Entry Builder'!$L$7)&lt;'Entry Builder'!$E$7),--(INDEX(Sims!$A1076:$BO1076,'Entry Builder'!$L$7)&gt;'Entry Builder'!$E$7)))</f>
        <v/>
      </c>
      <c r="B1076">
        <f>IF('Entry Builder'!$N$8=0,1,IF('Entry Builder'!$D$8="Less",--(INDEX(Sims!$A1076:$BO1076,'Entry Builder'!$L$8)&lt;'Entry Builder'!$E$8),--(INDEX(Sims!$A1076:$BO1076,'Entry Builder'!$L$8)&gt;'Entry Builder'!$E$8)))</f>
        <v/>
      </c>
      <c r="C1076">
        <f>IF('Entry Builder'!$N$9=0,1,IF('Entry Builder'!$D$9="Less",--(INDEX(Sims!$A1076:$BO1076,'Entry Builder'!$L$9)&lt;'Entry Builder'!$E$9),--(INDEX(Sims!$A1076:$BO1076,'Entry Builder'!$L$9)&gt;'Entry Builder'!$E$9)))</f>
        <v/>
      </c>
      <c r="D1076">
        <f>IF('Entry Builder'!$N$10=0,1,IF('Entry Builder'!$D$10="Less",--(INDEX(Sims!$A1076:$BO1076,'Entry Builder'!$L$10)&lt;'Entry Builder'!$E$10),--(INDEX(Sims!$A1076:$BO1076,'Entry Builder'!$L$10)&gt;'Entry Builder'!$E$10)))</f>
        <v/>
      </c>
      <c r="E1076">
        <f>IF('Entry Builder'!$N$11=0,1,IF('Entry Builder'!$D$11="Less",--(INDEX(Sims!$A1076:$BO1076,'Entry Builder'!$L$11)&lt;'Entry Builder'!$E$11),--(INDEX(Sims!$A1076:$BO1076,'Entry Builder'!$L$11)&gt;'Entry Builder'!$E$11)))</f>
        <v/>
      </c>
      <c r="F1076">
        <f>IF('Entry Builder'!$N$12=0,1,IF('Entry Builder'!$D$12="Less",--(INDEX(Sims!$A1076:$BO1076,'Entry Builder'!$L$12)&lt;'Entry Builder'!$E$12),--(INDEX(Sims!$A1076:$BO1076,'Entry Builder'!$L$12)&gt;'Entry Builder'!$E$12)))</f>
        <v/>
      </c>
      <c r="G1076">
        <f>6-SUM(A1076:F1076)</f>
        <v/>
      </c>
    </row>
    <row r="1077">
      <c r="A1077">
        <f>IF('Entry Builder'!$N$7=0,1,IF('Entry Builder'!$D$7="Less",--(INDEX(Sims!$A1077:$BO1077,'Entry Builder'!$L$7)&lt;'Entry Builder'!$E$7),--(INDEX(Sims!$A1077:$BO1077,'Entry Builder'!$L$7)&gt;'Entry Builder'!$E$7)))</f>
        <v/>
      </c>
      <c r="B1077">
        <f>IF('Entry Builder'!$N$8=0,1,IF('Entry Builder'!$D$8="Less",--(INDEX(Sims!$A1077:$BO1077,'Entry Builder'!$L$8)&lt;'Entry Builder'!$E$8),--(INDEX(Sims!$A1077:$BO1077,'Entry Builder'!$L$8)&gt;'Entry Builder'!$E$8)))</f>
        <v/>
      </c>
      <c r="C1077">
        <f>IF('Entry Builder'!$N$9=0,1,IF('Entry Builder'!$D$9="Less",--(INDEX(Sims!$A1077:$BO1077,'Entry Builder'!$L$9)&lt;'Entry Builder'!$E$9),--(INDEX(Sims!$A1077:$BO1077,'Entry Builder'!$L$9)&gt;'Entry Builder'!$E$9)))</f>
        <v/>
      </c>
      <c r="D1077">
        <f>IF('Entry Builder'!$N$10=0,1,IF('Entry Builder'!$D$10="Less",--(INDEX(Sims!$A1077:$BO1077,'Entry Builder'!$L$10)&lt;'Entry Builder'!$E$10),--(INDEX(Sims!$A1077:$BO1077,'Entry Builder'!$L$10)&gt;'Entry Builder'!$E$10)))</f>
        <v/>
      </c>
      <c r="E1077">
        <f>IF('Entry Builder'!$N$11=0,1,IF('Entry Builder'!$D$11="Less",--(INDEX(Sims!$A1077:$BO1077,'Entry Builder'!$L$11)&lt;'Entry Builder'!$E$11),--(INDEX(Sims!$A1077:$BO1077,'Entry Builder'!$L$11)&gt;'Entry Builder'!$E$11)))</f>
        <v/>
      </c>
      <c r="F1077">
        <f>IF('Entry Builder'!$N$12=0,1,IF('Entry Builder'!$D$12="Less",--(INDEX(Sims!$A1077:$BO1077,'Entry Builder'!$L$12)&lt;'Entry Builder'!$E$12),--(INDEX(Sims!$A1077:$BO1077,'Entry Builder'!$L$12)&gt;'Entry Builder'!$E$12)))</f>
        <v/>
      </c>
      <c r="G1077">
        <f>6-SUM(A1077:F1077)</f>
        <v/>
      </c>
    </row>
    <row r="1078">
      <c r="A1078">
        <f>IF('Entry Builder'!$N$7=0,1,IF('Entry Builder'!$D$7="Less",--(INDEX(Sims!$A1078:$BO1078,'Entry Builder'!$L$7)&lt;'Entry Builder'!$E$7),--(INDEX(Sims!$A1078:$BO1078,'Entry Builder'!$L$7)&gt;'Entry Builder'!$E$7)))</f>
        <v/>
      </c>
      <c r="B1078">
        <f>IF('Entry Builder'!$N$8=0,1,IF('Entry Builder'!$D$8="Less",--(INDEX(Sims!$A1078:$BO1078,'Entry Builder'!$L$8)&lt;'Entry Builder'!$E$8),--(INDEX(Sims!$A1078:$BO1078,'Entry Builder'!$L$8)&gt;'Entry Builder'!$E$8)))</f>
        <v/>
      </c>
      <c r="C1078">
        <f>IF('Entry Builder'!$N$9=0,1,IF('Entry Builder'!$D$9="Less",--(INDEX(Sims!$A1078:$BO1078,'Entry Builder'!$L$9)&lt;'Entry Builder'!$E$9),--(INDEX(Sims!$A1078:$BO1078,'Entry Builder'!$L$9)&gt;'Entry Builder'!$E$9)))</f>
        <v/>
      </c>
      <c r="D1078">
        <f>IF('Entry Builder'!$N$10=0,1,IF('Entry Builder'!$D$10="Less",--(INDEX(Sims!$A1078:$BO1078,'Entry Builder'!$L$10)&lt;'Entry Builder'!$E$10),--(INDEX(Sims!$A1078:$BO1078,'Entry Builder'!$L$10)&gt;'Entry Builder'!$E$10)))</f>
        <v/>
      </c>
      <c r="E1078">
        <f>IF('Entry Builder'!$N$11=0,1,IF('Entry Builder'!$D$11="Less",--(INDEX(Sims!$A1078:$BO1078,'Entry Builder'!$L$11)&lt;'Entry Builder'!$E$11),--(INDEX(Sims!$A1078:$BO1078,'Entry Builder'!$L$11)&gt;'Entry Builder'!$E$11)))</f>
        <v/>
      </c>
      <c r="F1078">
        <f>IF('Entry Builder'!$N$12=0,1,IF('Entry Builder'!$D$12="Less",--(INDEX(Sims!$A1078:$BO1078,'Entry Builder'!$L$12)&lt;'Entry Builder'!$E$12),--(INDEX(Sims!$A1078:$BO1078,'Entry Builder'!$L$12)&gt;'Entry Builder'!$E$12)))</f>
        <v/>
      </c>
      <c r="G1078">
        <f>6-SUM(A1078:F1078)</f>
        <v/>
      </c>
    </row>
    <row r="1079">
      <c r="A1079">
        <f>IF('Entry Builder'!$N$7=0,1,IF('Entry Builder'!$D$7="Less",--(INDEX(Sims!$A1079:$BO1079,'Entry Builder'!$L$7)&lt;'Entry Builder'!$E$7),--(INDEX(Sims!$A1079:$BO1079,'Entry Builder'!$L$7)&gt;'Entry Builder'!$E$7)))</f>
        <v/>
      </c>
      <c r="B1079">
        <f>IF('Entry Builder'!$N$8=0,1,IF('Entry Builder'!$D$8="Less",--(INDEX(Sims!$A1079:$BO1079,'Entry Builder'!$L$8)&lt;'Entry Builder'!$E$8),--(INDEX(Sims!$A1079:$BO1079,'Entry Builder'!$L$8)&gt;'Entry Builder'!$E$8)))</f>
        <v/>
      </c>
      <c r="C1079">
        <f>IF('Entry Builder'!$N$9=0,1,IF('Entry Builder'!$D$9="Less",--(INDEX(Sims!$A1079:$BO1079,'Entry Builder'!$L$9)&lt;'Entry Builder'!$E$9),--(INDEX(Sims!$A1079:$BO1079,'Entry Builder'!$L$9)&gt;'Entry Builder'!$E$9)))</f>
        <v/>
      </c>
      <c r="D1079">
        <f>IF('Entry Builder'!$N$10=0,1,IF('Entry Builder'!$D$10="Less",--(INDEX(Sims!$A1079:$BO1079,'Entry Builder'!$L$10)&lt;'Entry Builder'!$E$10),--(INDEX(Sims!$A1079:$BO1079,'Entry Builder'!$L$10)&gt;'Entry Builder'!$E$10)))</f>
        <v/>
      </c>
      <c r="E1079">
        <f>IF('Entry Builder'!$N$11=0,1,IF('Entry Builder'!$D$11="Less",--(INDEX(Sims!$A1079:$BO1079,'Entry Builder'!$L$11)&lt;'Entry Builder'!$E$11),--(INDEX(Sims!$A1079:$BO1079,'Entry Builder'!$L$11)&gt;'Entry Builder'!$E$11)))</f>
        <v/>
      </c>
      <c r="F1079">
        <f>IF('Entry Builder'!$N$12=0,1,IF('Entry Builder'!$D$12="Less",--(INDEX(Sims!$A1079:$BO1079,'Entry Builder'!$L$12)&lt;'Entry Builder'!$E$12),--(INDEX(Sims!$A1079:$BO1079,'Entry Builder'!$L$12)&gt;'Entry Builder'!$E$12)))</f>
        <v/>
      </c>
      <c r="G1079">
        <f>6-SUM(A1079:F1079)</f>
        <v/>
      </c>
    </row>
    <row r="1080">
      <c r="A1080">
        <f>IF('Entry Builder'!$N$7=0,1,IF('Entry Builder'!$D$7="Less",--(INDEX(Sims!$A1080:$BO1080,'Entry Builder'!$L$7)&lt;'Entry Builder'!$E$7),--(INDEX(Sims!$A1080:$BO1080,'Entry Builder'!$L$7)&gt;'Entry Builder'!$E$7)))</f>
        <v/>
      </c>
      <c r="B1080">
        <f>IF('Entry Builder'!$N$8=0,1,IF('Entry Builder'!$D$8="Less",--(INDEX(Sims!$A1080:$BO1080,'Entry Builder'!$L$8)&lt;'Entry Builder'!$E$8),--(INDEX(Sims!$A1080:$BO1080,'Entry Builder'!$L$8)&gt;'Entry Builder'!$E$8)))</f>
        <v/>
      </c>
      <c r="C1080">
        <f>IF('Entry Builder'!$N$9=0,1,IF('Entry Builder'!$D$9="Less",--(INDEX(Sims!$A1080:$BO1080,'Entry Builder'!$L$9)&lt;'Entry Builder'!$E$9),--(INDEX(Sims!$A1080:$BO1080,'Entry Builder'!$L$9)&gt;'Entry Builder'!$E$9)))</f>
        <v/>
      </c>
      <c r="D1080">
        <f>IF('Entry Builder'!$N$10=0,1,IF('Entry Builder'!$D$10="Less",--(INDEX(Sims!$A1080:$BO1080,'Entry Builder'!$L$10)&lt;'Entry Builder'!$E$10),--(INDEX(Sims!$A1080:$BO1080,'Entry Builder'!$L$10)&gt;'Entry Builder'!$E$10)))</f>
        <v/>
      </c>
      <c r="E1080">
        <f>IF('Entry Builder'!$N$11=0,1,IF('Entry Builder'!$D$11="Less",--(INDEX(Sims!$A1080:$BO1080,'Entry Builder'!$L$11)&lt;'Entry Builder'!$E$11),--(INDEX(Sims!$A1080:$BO1080,'Entry Builder'!$L$11)&gt;'Entry Builder'!$E$11)))</f>
        <v/>
      </c>
      <c r="F1080">
        <f>IF('Entry Builder'!$N$12=0,1,IF('Entry Builder'!$D$12="Less",--(INDEX(Sims!$A1080:$BO1080,'Entry Builder'!$L$12)&lt;'Entry Builder'!$E$12),--(INDEX(Sims!$A1080:$BO1080,'Entry Builder'!$L$12)&gt;'Entry Builder'!$E$12)))</f>
        <v/>
      </c>
      <c r="G1080">
        <f>6-SUM(A1080:F1080)</f>
        <v/>
      </c>
    </row>
    <row r="1081">
      <c r="A1081">
        <f>IF('Entry Builder'!$N$7=0,1,IF('Entry Builder'!$D$7="Less",--(INDEX(Sims!$A1081:$BO1081,'Entry Builder'!$L$7)&lt;'Entry Builder'!$E$7),--(INDEX(Sims!$A1081:$BO1081,'Entry Builder'!$L$7)&gt;'Entry Builder'!$E$7)))</f>
        <v/>
      </c>
      <c r="B1081">
        <f>IF('Entry Builder'!$N$8=0,1,IF('Entry Builder'!$D$8="Less",--(INDEX(Sims!$A1081:$BO1081,'Entry Builder'!$L$8)&lt;'Entry Builder'!$E$8),--(INDEX(Sims!$A1081:$BO1081,'Entry Builder'!$L$8)&gt;'Entry Builder'!$E$8)))</f>
        <v/>
      </c>
      <c r="C1081">
        <f>IF('Entry Builder'!$N$9=0,1,IF('Entry Builder'!$D$9="Less",--(INDEX(Sims!$A1081:$BO1081,'Entry Builder'!$L$9)&lt;'Entry Builder'!$E$9),--(INDEX(Sims!$A1081:$BO1081,'Entry Builder'!$L$9)&gt;'Entry Builder'!$E$9)))</f>
        <v/>
      </c>
      <c r="D1081">
        <f>IF('Entry Builder'!$N$10=0,1,IF('Entry Builder'!$D$10="Less",--(INDEX(Sims!$A1081:$BO1081,'Entry Builder'!$L$10)&lt;'Entry Builder'!$E$10),--(INDEX(Sims!$A1081:$BO1081,'Entry Builder'!$L$10)&gt;'Entry Builder'!$E$10)))</f>
        <v/>
      </c>
      <c r="E1081">
        <f>IF('Entry Builder'!$N$11=0,1,IF('Entry Builder'!$D$11="Less",--(INDEX(Sims!$A1081:$BO1081,'Entry Builder'!$L$11)&lt;'Entry Builder'!$E$11),--(INDEX(Sims!$A1081:$BO1081,'Entry Builder'!$L$11)&gt;'Entry Builder'!$E$11)))</f>
        <v/>
      </c>
      <c r="F1081">
        <f>IF('Entry Builder'!$N$12=0,1,IF('Entry Builder'!$D$12="Less",--(INDEX(Sims!$A1081:$BO1081,'Entry Builder'!$L$12)&lt;'Entry Builder'!$E$12),--(INDEX(Sims!$A1081:$BO1081,'Entry Builder'!$L$12)&gt;'Entry Builder'!$E$12)))</f>
        <v/>
      </c>
      <c r="G1081">
        <f>6-SUM(A1081:F1081)</f>
        <v/>
      </c>
    </row>
    <row r="1082">
      <c r="A1082">
        <f>IF('Entry Builder'!$N$7=0,1,IF('Entry Builder'!$D$7="Less",--(INDEX(Sims!$A1082:$BO1082,'Entry Builder'!$L$7)&lt;'Entry Builder'!$E$7),--(INDEX(Sims!$A1082:$BO1082,'Entry Builder'!$L$7)&gt;'Entry Builder'!$E$7)))</f>
        <v/>
      </c>
      <c r="B1082">
        <f>IF('Entry Builder'!$N$8=0,1,IF('Entry Builder'!$D$8="Less",--(INDEX(Sims!$A1082:$BO1082,'Entry Builder'!$L$8)&lt;'Entry Builder'!$E$8),--(INDEX(Sims!$A1082:$BO1082,'Entry Builder'!$L$8)&gt;'Entry Builder'!$E$8)))</f>
        <v/>
      </c>
      <c r="C1082">
        <f>IF('Entry Builder'!$N$9=0,1,IF('Entry Builder'!$D$9="Less",--(INDEX(Sims!$A1082:$BO1082,'Entry Builder'!$L$9)&lt;'Entry Builder'!$E$9),--(INDEX(Sims!$A1082:$BO1082,'Entry Builder'!$L$9)&gt;'Entry Builder'!$E$9)))</f>
        <v/>
      </c>
      <c r="D1082">
        <f>IF('Entry Builder'!$N$10=0,1,IF('Entry Builder'!$D$10="Less",--(INDEX(Sims!$A1082:$BO1082,'Entry Builder'!$L$10)&lt;'Entry Builder'!$E$10),--(INDEX(Sims!$A1082:$BO1082,'Entry Builder'!$L$10)&gt;'Entry Builder'!$E$10)))</f>
        <v/>
      </c>
      <c r="E1082">
        <f>IF('Entry Builder'!$N$11=0,1,IF('Entry Builder'!$D$11="Less",--(INDEX(Sims!$A1082:$BO1082,'Entry Builder'!$L$11)&lt;'Entry Builder'!$E$11),--(INDEX(Sims!$A1082:$BO1082,'Entry Builder'!$L$11)&gt;'Entry Builder'!$E$11)))</f>
        <v/>
      </c>
      <c r="F1082">
        <f>IF('Entry Builder'!$N$12=0,1,IF('Entry Builder'!$D$12="Less",--(INDEX(Sims!$A1082:$BO1082,'Entry Builder'!$L$12)&lt;'Entry Builder'!$E$12),--(INDEX(Sims!$A1082:$BO1082,'Entry Builder'!$L$12)&gt;'Entry Builder'!$E$12)))</f>
        <v/>
      </c>
      <c r="G1082">
        <f>6-SUM(A1082:F1082)</f>
        <v/>
      </c>
    </row>
    <row r="1083">
      <c r="A1083">
        <f>IF('Entry Builder'!$N$7=0,1,IF('Entry Builder'!$D$7="Less",--(INDEX(Sims!$A1083:$BO1083,'Entry Builder'!$L$7)&lt;'Entry Builder'!$E$7),--(INDEX(Sims!$A1083:$BO1083,'Entry Builder'!$L$7)&gt;'Entry Builder'!$E$7)))</f>
        <v/>
      </c>
      <c r="B1083">
        <f>IF('Entry Builder'!$N$8=0,1,IF('Entry Builder'!$D$8="Less",--(INDEX(Sims!$A1083:$BO1083,'Entry Builder'!$L$8)&lt;'Entry Builder'!$E$8),--(INDEX(Sims!$A1083:$BO1083,'Entry Builder'!$L$8)&gt;'Entry Builder'!$E$8)))</f>
        <v/>
      </c>
      <c r="C1083">
        <f>IF('Entry Builder'!$N$9=0,1,IF('Entry Builder'!$D$9="Less",--(INDEX(Sims!$A1083:$BO1083,'Entry Builder'!$L$9)&lt;'Entry Builder'!$E$9),--(INDEX(Sims!$A1083:$BO1083,'Entry Builder'!$L$9)&gt;'Entry Builder'!$E$9)))</f>
        <v/>
      </c>
      <c r="D1083">
        <f>IF('Entry Builder'!$N$10=0,1,IF('Entry Builder'!$D$10="Less",--(INDEX(Sims!$A1083:$BO1083,'Entry Builder'!$L$10)&lt;'Entry Builder'!$E$10),--(INDEX(Sims!$A1083:$BO1083,'Entry Builder'!$L$10)&gt;'Entry Builder'!$E$10)))</f>
        <v/>
      </c>
      <c r="E1083">
        <f>IF('Entry Builder'!$N$11=0,1,IF('Entry Builder'!$D$11="Less",--(INDEX(Sims!$A1083:$BO1083,'Entry Builder'!$L$11)&lt;'Entry Builder'!$E$11),--(INDEX(Sims!$A1083:$BO1083,'Entry Builder'!$L$11)&gt;'Entry Builder'!$E$11)))</f>
        <v/>
      </c>
      <c r="F1083">
        <f>IF('Entry Builder'!$N$12=0,1,IF('Entry Builder'!$D$12="Less",--(INDEX(Sims!$A1083:$BO1083,'Entry Builder'!$L$12)&lt;'Entry Builder'!$E$12),--(INDEX(Sims!$A1083:$BO1083,'Entry Builder'!$L$12)&gt;'Entry Builder'!$E$12)))</f>
        <v/>
      </c>
      <c r="G1083">
        <f>6-SUM(A1083:F1083)</f>
        <v/>
      </c>
    </row>
    <row r="1084">
      <c r="A1084">
        <f>IF('Entry Builder'!$N$7=0,1,IF('Entry Builder'!$D$7="Less",--(INDEX(Sims!$A1084:$BO1084,'Entry Builder'!$L$7)&lt;'Entry Builder'!$E$7),--(INDEX(Sims!$A1084:$BO1084,'Entry Builder'!$L$7)&gt;'Entry Builder'!$E$7)))</f>
        <v/>
      </c>
      <c r="B1084">
        <f>IF('Entry Builder'!$N$8=0,1,IF('Entry Builder'!$D$8="Less",--(INDEX(Sims!$A1084:$BO1084,'Entry Builder'!$L$8)&lt;'Entry Builder'!$E$8),--(INDEX(Sims!$A1084:$BO1084,'Entry Builder'!$L$8)&gt;'Entry Builder'!$E$8)))</f>
        <v/>
      </c>
      <c r="C1084">
        <f>IF('Entry Builder'!$N$9=0,1,IF('Entry Builder'!$D$9="Less",--(INDEX(Sims!$A1084:$BO1084,'Entry Builder'!$L$9)&lt;'Entry Builder'!$E$9),--(INDEX(Sims!$A1084:$BO1084,'Entry Builder'!$L$9)&gt;'Entry Builder'!$E$9)))</f>
        <v/>
      </c>
      <c r="D1084">
        <f>IF('Entry Builder'!$N$10=0,1,IF('Entry Builder'!$D$10="Less",--(INDEX(Sims!$A1084:$BO1084,'Entry Builder'!$L$10)&lt;'Entry Builder'!$E$10),--(INDEX(Sims!$A1084:$BO1084,'Entry Builder'!$L$10)&gt;'Entry Builder'!$E$10)))</f>
        <v/>
      </c>
      <c r="E1084">
        <f>IF('Entry Builder'!$N$11=0,1,IF('Entry Builder'!$D$11="Less",--(INDEX(Sims!$A1084:$BO1084,'Entry Builder'!$L$11)&lt;'Entry Builder'!$E$11),--(INDEX(Sims!$A1084:$BO1084,'Entry Builder'!$L$11)&gt;'Entry Builder'!$E$11)))</f>
        <v/>
      </c>
      <c r="F1084">
        <f>IF('Entry Builder'!$N$12=0,1,IF('Entry Builder'!$D$12="Less",--(INDEX(Sims!$A1084:$BO1084,'Entry Builder'!$L$12)&lt;'Entry Builder'!$E$12),--(INDEX(Sims!$A1084:$BO1084,'Entry Builder'!$L$12)&gt;'Entry Builder'!$E$12)))</f>
        <v/>
      </c>
      <c r="G1084">
        <f>6-SUM(A1084:F1084)</f>
        <v/>
      </c>
    </row>
    <row r="1085">
      <c r="A1085">
        <f>IF('Entry Builder'!$N$7=0,1,IF('Entry Builder'!$D$7="Less",--(INDEX(Sims!$A1085:$BO1085,'Entry Builder'!$L$7)&lt;'Entry Builder'!$E$7),--(INDEX(Sims!$A1085:$BO1085,'Entry Builder'!$L$7)&gt;'Entry Builder'!$E$7)))</f>
        <v/>
      </c>
      <c r="B1085">
        <f>IF('Entry Builder'!$N$8=0,1,IF('Entry Builder'!$D$8="Less",--(INDEX(Sims!$A1085:$BO1085,'Entry Builder'!$L$8)&lt;'Entry Builder'!$E$8),--(INDEX(Sims!$A1085:$BO1085,'Entry Builder'!$L$8)&gt;'Entry Builder'!$E$8)))</f>
        <v/>
      </c>
      <c r="C1085">
        <f>IF('Entry Builder'!$N$9=0,1,IF('Entry Builder'!$D$9="Less",--(INDEX(Sims!$A1085:$BO1085,'Entry Builder'!$L$9)&lt;'Entry Builder'!$E$9),--(INDEX(Sims!$A1085:$BO1085,'Entry Builder'!$L$9)&gt;'Entry Builder'!$E$9)))</f>
        <v/>
      </c>
      <c r="D1085">
        <f>IF('Entry Builder'!$N$10=0,1,IF('Entry Builder'!$D$10="Less",--(INDEX(Sims!$A1085:$BO1085,'Entry Builder'!$L$10)&lt;'Entry Builder'!$E$10),--(INDEX(Sims!$A1085:$BO1085,'Entry Builder'!$L$10)&gt;'Entry Builder'!$E$10)))</f>
        <v/>
      </c>
      <c r="E1085">
        <f>IF('Entry Builder'!$N$11=0,1,IF('Entry Builder'!$D$11="Less",--(INDEX(Sims!$A1085:$BO1085,'Entry Builder'!$L$11)&lt;'Entry Builder'!$E$11),--(INDEX(Sims!$A1085:$BO1085,'Entry Builder'!$L$11)&gt;'Entry Builder'!$E$11)))</f>
        <v/>
      </c>
      <c r="F1085">
        <f>IF('Entry Builder'!$N$12=0,1,IF('Entry Builder'!$D$12="Less",--(INDEX(Sims!$A1085:$BO1085,'Entry Builder'!$L$12)&lt;'Entry Builder'!$E$12),--(INDEX(Sims!$A1085:$BO1085,'Entry Builder'!$L$12)&gt;'Entry Builder'!$E$12)))</f>
        <v/>
      </c>
      <c r="G1085">
        <f>6-SUM(A1085:F1085)</f>
        <v/>
      </c>
    </row>
    <row r="1086">
      <c r="A1086">
        <f>IF('Entry Builder'!$N$7=0,1,IF('Entry Builder'!$D$7="Less",--(INDEX(Sims!$A1086:$BO1086,'Entry Builder'!$L$7)&lt;'Entry Builder'!$E$7),--(INDEX(Sims!$A1086:$BO1086,'Entry Builder'!$L$7)&gt;'Entry Builder'!$E$7)))</f>
        <v/>
      </c>
      <c r="B1086">
        <f>IF('Entry Builder'!$N$8=0,1,IF('Entry Builder'!$D$8="Less",--(INDEX(Sims!$A1086:$BO1086,'Entry Builder'!$L$8)&lt;'Entry Builder'!$E$8),--(INDEX(Sims!$A1086:$BO1086,'Entry Builder'!$L$8)&gt;'Entry Builder'!$E$8)))</f>
        <v/>
      </c>
      <c r="C1086">
        <f>IF('Entry Builder'!$N$9=0,1,IF('Entry Builder'!$D$9="Less",--(INDEX(Sims!$A1086:$BO1086,'Entry Builder'!$L$9)&lt;'Entry Builder'!$E$9),--(INDEX(Sims!$A1086:$BO1086,'Entry Builder'!$L$9)&gt;'Entry Builder'!$E$9)))</f>
        <v/>
      </c>
      <c r="D1086">
        <f>IF('Entry Builder'!$N$10=0,1,IF('Entry Builder'!$D$10="Less",--(INDEX(Sims!$A1086:$BO1086,'Entry Builder'!$L$10)&lt;'Entry Builder'!$E$10),--(INDEX(Sims!$A1086:$BO1086,'Entry Builder'!$L$10)&gt;'Entry Builder'!$E$10)))</f>
        <v/>
      </c>
      <c r="E1086">
        <f>IF('Entry Builder'!$N$11=0,1,IF('Entry Builder'!$D$11="Less",--(INDEX(Sims!$A1086:$BO1086,'Entry Builder'!$L$11)&lt;'Entry Builder'!$E$11),--(INDEX(Sims!$A1086:$BO1086,'Entry Builder'!$L$11)&gt;'Entry Builder'!$E$11)))</f>
        <v/>
      </c>
      <c r="F1086">
        <f>IF('Entry Builder'!$N$12=0,1,IF('Entry Builder'!$D$12="Less",--(INDEX(Sims!$A1086:$BO1086,'Entry Builder'!$L$12)&lt;'Entry Builder'!$E$12),--(INDEX(Sims!$A1086:$BO1086,'Entry Builder'!$L$12)&gt;'Entry Builder'!$E$12)))</f>
        <v/>
      </c>
      <c r="G1086">
        <f>6-SUM(A1086:F1086)</f>
        <v/>
      </c>
    </row>
    <row r="1087">
      <c r="A1087">
        <f>IF('Entry Builder'!$N$7=0,1,IF('Entry Builder'!$D$7="Less",--(INDEX(Sims!$A1087:$BO1087,'Entry Builder'!$L$7)&lt;'Entry Builder'!$E$7),--(INDEX(Sims!$A1087:$BO1087,'Entry Builder'!$L$7)&gt;'Entry Builder'!$E$7)))</f>
        <v/>
      </c>
      <c r="B1087">
        <f>IF('Entry Builder'!$N$8=0,1,IF('Entry Builder'!$D$8="Less",--(INDEX(Sims!$A1087:$BO1087,'Entry Builder'!$L$8)&lt;'Entry Builder'!$E$8),--(INDEX(Sims!$A1087:$BO1087,'Entry Builder'!$L$8)&gt;'Entry Builder'!$E$8)))</f>
        <v/>
      </c>
      <c r="C1087">
        <f>IF('Entry Builder'!$N$9=0,1,IF('Entry Builder'!$D$9="Less",--(INDEX(Sims!$A1087:$BO1087,'Entry Builder'!$L$9)&lt;'Entry Builder'!$E$9),--(INDEX(Sims!$A1087:$BO1087,'Entry Builder'!$L$9)&gt;'Entry Builder'!$E$9)))</f>
        <v/>
      </c>
      <c r="D1087">
        <f>IF('Entry Builder'!$N$10=0,1,IF('Entry Builder'!$D$10="Less",--(INDEX(Sims!$A1087:$BO1087,'Entry Builder'!$L$10)&lt;'Entry Builder'!$E$10),--(INDEX(Sims!$A1087:$BO1087,'Entry Builder'!$L$10)&gt;'Entry Builder'!$E$10)))</f>
        <v/>
      </c>
      <c r="E1087">
        <f>IF('Entry Builder'!$N$11=0,1,IF('Entry Builder'!$D$11="Less",--(INDEX(Sims!$A1087:$BO1087,'Entry Builder'!$L$11)&lt;'Entry Builder'!$E$11),--(INDEX(Sims!$A1087:$BO1087,'Entry Builder'!$L$11)&gt;'Entry Builder'!$E$11)))</f>
        <v/>
      </c>
      <c r="F1087">
        <f>IF('Entry Builder'!$N$12=0,1,IF('Entry Builder'!$D$12="Less",--(INDEX(Sims!$A1087:$BO1087,'Entry Builder'!$L$12)&lt;'Entry Builder'!$E$12),--(INDEX(Sims!$A1087:$BO1087,'Entry Builder'!$L$12)&gt;'Entry Builder'!$E$12)))</f>
        <v/>
      </c>
      <c r="G1087">
        <f>6-SUM(A1087:F1087)</f>
        <v/>
      </c>
    </row>
    <row r="1088">
      <c r="A1088">
        <f>IF('Entry Builder'!$N$7=0,1,IF('Entry Builder'!$D$7="Less",--(INDEX(Sims!$A1088:$BO1088,'Entry Builder'!$L$7)&lt;'Entry Builder'!$E$7),--(INDEX(Sims!$A1088:$BO1088,'Entry Builder'!$L$7)&gt;'Entry Builder'!$E$7)))</f>
        <v/>
      </c>
      <c r="B1088">
        <f>IF('Entry Builder'!$N$8=0,1,IF('Entry Builder'!$D$8="Less",--(INDEX(Sims!$A1088:$BO1088,'Entry Builder'!$L$8)&lt;'Entry Builder'!$E$8),--(INDEX(Sims!$A1088:$BO1088,'Entry Builder'!$L$8)&gt;'Entry Builder'!$E$8)))</f>
        <v/>
      </c>
      <c r="C1088">
        <f>IF('Entry Builder'!$N$9=0,1,IF('Entry Builder'!$D$9="Less",--(INDEX(Sims!$A1088:$BO1088,'Entry Builder'!$L$9)&lt;'Entry Builder'!$E$9),--(INDEX(Sims!$A1088:$BO1088,'Entry Builder'!$L$9)&gt;'Entry Builder'!$E$9)))</f>
        <v/>
      </c>
      <c r="D1088">
        <f>IF('Entry Builder'!$N$10=0,1,IF('Entry Builder'!$D$10="Less",--(INDEX(Sims!$A1088:$BO1088,'Entry Builder'!$L$10)&lt;'Entry Builder'!$E$10),--(INDEX(Sims!$A1088:$BO1088,'Entry Builder'!$L$10)&gt;'Entry Builder'!$E$10)))</f>
        <v/>
      </c>
      <c r="E1088">
        <f>IF('Entry Builder'!$N$11=0,1,IF('Entry Builder'!$D$11="Less",--(INDEX(Sims!$A1088:$BO1088,'Entry Builder'!$L$11)&lt;'Entry Builder'!$E$11),--(INDEX(Sims!$A1088:$BO1088,'Entry Builder'!$L$11)&gt;'Entry Builder'!$E$11)))</f>
        <v/>
      </c>
      <c r="F1088">
        <f>IF('Entry Builder'!$N$12=0,1,IF('Entry Builder'!$D$12="Less",--(INDEX(Sims!$A1088:$BO1088,'Entry Builder'!$L$12)&lt;'Entry Builder'!$E$12),--(INDEX(Sims!$A1088:$BO1088,'Entry Builder'!$L$12)&gt;'Entry Builder'!$E$12)))</f>
        <v/>
      </c>
      <c r="G1088">
        <f>6-SUM(A1088:F1088)</f>
        <v/>
      </c>
    </row>
    <row r="1089">
      <c r="A1089">
        <f>IF('Entry Builder'!$N$7=0,1,IF('Entry Builder'!$D$7="Less",--(INDEX(Sims!$A1089:$BO1089,'Entry Builder'!$L$7)&lt;'Entry Builder'!$E$7),--(INDEX(Sims!$A1089:$BO1089,'Entry Builder'!$L$7)&gt;'Entry Builder'!$E$7)))</f>
        <v/>
      </c>
      <c r="B1089">
        <f>IF('Entry Builder'!$N$8=0,1,IF('Entry Builder'!$D$8="Less",--(INDEX(Sims!$A1089:$BO1089,'Entry Builder'!$L$8)&lt;'Entry Builder'!$E$8),--(INDEX(Sims!$A1089:$BO1089,'Entry Builder'!$L$8)&gt;'Entry Builder'!$E$8)))</f>
        <v/>
      </c>
      <c r="C1089">
        <f>IF('Entry Builder'!$N$9=0,1,IF('Entry Builder'!$D$9="Less",--(INDEX(Sims!$A1089:$BO1089,'Entry Builder'!$L$9)&lt;'Entry Builder'!$E$9),--(INDEX(Sims!$A1089:$BO1089,'Entry Builder'!$L$9)&gt;'Entry Builder'!$E$9)))</f>
        <v/>
      </c>
      <c r="D1089">
        <f>IF('Entry Builder'!$N$10=0,1,IF('Entry Builder'!$D$10="Less",--(INDEX(Sims!$A1089:$BO1089,'Entry Builder'!$L$10)&lt;'Entry Builder'!$E$10),--(INDEX(Sims!$A1089:$BO1089,'Entry Builder'!$L$10)&gt;'Entry Builder'!$E$10)))</f>
        <v/>
      </c>
      <c r="E1089">
        <f>IF('Entry Builder'!$N$11=0,1,IF('Entry Builder'!$D$11="Less",--(INDEX(Sims!$A1089:$BO1089,'Entry Builder'!$L$11)&lt;'Entry Builder'!$E$11),--(INDEX(Sims!$A1089:$BO1089,'Entry Builder'!$L$11)&gt;'Entry Builder'!$E$11)))</f>
        <v/>
      </c>
      <c r="F1089">
        <f>IF('Entry Builder'!$N$12=0,1,IF('Entry Builder'!$D$12="Less",--(INDEX(Sims!$A1089:$BO1089,'Entry Builder'!$L$12)&lt;'Entry Builder'!$E$12),--(INDEX(Sims!$A1089:$BO1089,'Entry Builder'!$L$12)&gt;'Entry Builder'!$E$12)))</f>
        <v/>
      </c>
      <c r="G1089">
        <f>6-SUM(A1089:F1089)</f>
        <v/>
      </c>
    </row>
    <row r="1090">
      <c r="A1090">
        <f>IF('Entry Builder'!$N$7=0,1,IF('Entry Builder'!$D$7="Less",--(INDEX(Sims!$A1090:$BO1090,'Entry Builder'!$L$7)&lt;'Entry Builder'!$E$7),--(INDEX(Sims!$A1090:$BO1090,'Entry Builder'!$L$7)&gt;'Entry Builder'!$E$7)))</f>
        <v/>
      </c>
      <c r="B1090">
        <f>IF('Entry Builder'!$N$8=0,1,IF('Entry Builder'!$D$8="Less",--(INDEX(Sims!$A1090:$BO1090,'Entry Builder'!$L$8)&lt;'Entry Builder'!$E$8),--(INDEX(Sims!$A1090:$BO1090,'Entry Builder'!$L$8)&gt;'Entry Builder'!$E$8)))</f>
        <v/>
      </c>
      <c r="C1090">
        <f>IF('Entry Builder'!$N$9=0,1,IF('Entry Builder'!$D$9="Less",--(INDEX(Sims!$A1090:$BO1090,'Entry Builder'!$L$9)&lt;'Entry Builder'!$E$9),--(INDEX(Sims!$A1090:$BO1090,'Entry Builder'!$L$9)&gt;'Entry Builder'!$E$9)))</f>
        <v/>
      </c>
      <c r="D1090">
        <f>IF('Entry Builder'!$N$10=0,1,IF('Entry Builder'!$D$10="Less",--(INDEX(Sims!$A1090:$BO1090,'Entry Builder'!$L$10)&lt;'Entry Builder'!$E$10),--(INDEX(Sims!$A1090:$BO1090,'Entry Builder'!$L$10)&gt;'Entry Builder'!$E$10)))</f>
        <v/>
      </c>
      <c r="E1090">
        <f>IF('Entry Builder'!$N$11=0,1,IF('Entry Builder'!$D$11="Less",--(INDEX(Sims!$A1090:$BO1090,'Entry Builder'!$L$11)&lt;'Entry Builder'!$E$11),--(INDEX(Sims!$A1090:$BO1090,'Entry Builder'!$L$11)&gt;'Entry Builder'!$E$11)))</f>
        <v/>
      </c>
      <c r="F1090">
        <f>IF('Entry Builder'!$N$12=0,1,IF('Entry Builder'!$D$12="Less",--(INDEX(Sims!$A1090:$BO1090,'Entry Builder'!$L$12)&lt;'Entry Builder'!$E$12),--(INDEX(Sims!$A1090:$BO1090,'Entry Builder'!$L$12)&gt;'Entry Builder'!$E$12)))</f>
        <v/>
      </c>
      <c r="G1090">
        <f>6-SUM(A1090:F1090)</f>
        <v/>
      </c>
    </row>
    <row r="1091">
      <c r="A1091">
        <f>IF('Entry Builder'!$N$7=0,1,IF('Entry Builder'!$D$7="Less",--(INDEX(Sims!$A1091:$BO1091,'Entry Builder'!$L$7)&lt;'Entry Builder'!$E$7),--(INDEX(Sims!$A1091:$BO1091,'Entry Builder'!$L$7)&gt;'Entry Builder'!$E$7)))</f>
        <v/>
      </c>
      <c r="B1091">
        <f>IF('Entry Builder'!$N$8=0,1,IF('Entry Builder'!$D$8="Less",--(INDEX(Sims!$A1091:$BO1091,'Entry Builder'!$L$8)&lt;'Entry Builder'!$E$8),--(INDEX(Sims!$A1091:$BO1091,'Entry Builder'!$L$8)&gt;'Entry Builder'!$E$8)))</f>
        <v/>
      </c>
      <c r="C1091">
        <f>IF('Entry Builder'!$N$9=0,1,IF('Entry Builder'!$D$9="Less",--(INDEX(Sims!$A1091:$BO1091,'Entry Builder'!$L$9)&lt;'Entry Builder'!$E$9),--(INDEX(Sims!$A1091:$BO1091,'Entry Builder'!$L$9)&gt;'Entry Builder'!$E$9)))</f>
        <v/>
      </c>
      <c r="D1091">
        <f>IF('Entry Builder'!$N$10=0,1,IF('Entry Builder'!$D$10="Less",--(INDEX(Sims!$A1091:$BO1091,'Entry Builder'!$L$10)&lt;'Entry Builder'!$E$10),--(INDEX(Sims!$A1091:$BO1091,'Entry Builder'!$L$10)&gt;'Entry Builder'!$E$10)))</f>
        <v/>
      </c>
      <c r="E1091">
        <f>IF('Entry Builder'!$N$11=0,1,IF('Entry Builder'!$D$11="Less",--(INDEX(Sims!$A1091:$BO1091,'Entry Builder'!$L$11)&lt;'Entry Builder'!$E$11),--(INDEX(Sims!$A1091:$BO1091,'Entry Builder'!$L$11)&gt;'Entry Builder'!$E$11)))</f>
        <v/>
      </c>
      <c r="F1091">
        <f>IF('Entry Builder'!$N$12=0,1,IF('Entry Builder'!$D$12="Less",--(INDEX(Sims!$A1091:$BO1091,'Entry Builder'!$L$12)&lt;'Entry Builder'!$E$12),--(INDEX(Sims!$A1091:$BO1091,'Entry Builder'!$L$12)&gt;'Entry Builder'!$E$12)))</f>
        <v/>
      </c>
      <c r="G1091">
        <f>6-SUM(A1091:F1091)</f>
        <v/>
      </c>
    </row>
    <row r="1092">
      <c r="A1092">
        <f>IF('Entry Builder'!$N$7=0,1,IF('Entry Builder'!$D$7="Less",--(INDEX(Sims!$A1092:$BO1092,'Entry Builder'!$L$7)&lt;'Entry Builder'!$E$7),--(INDEX(Sims!$A1092:$BO1092,'Entry Builder'!$L$7)&gt;'Entry Builder'!$E$7)))</f>
        <v/>
      </c>
      <c r="B1092">
        <f>IF('Entry Builder'!$N$8=0,1,IF('Entry Builder'!$D$8="Less",--(INDEX(Sims!$A1092:$BO1092,'Entry Builder'!$L$8)&lt;'Entry Builder'!$E$8),--(INDEX(Sims!$A1092:$BO1092,'Entry Builder'!$L$8)&gt;'Entry Builder'!$E$8)))</f>
        <v/>
      </c>
      <c r="C1092">
        <f>IF('Entry Builder'!$N$9=0,1,IF('Entry Builder'!$D$9="Less",--(INDEX(Sims!$A1092:$BO1092,'Entry Builder'!$L$9)&lt;'Entry Builder'!$E$9),--(INDEX(Sims!$A1092:$BO1092,'Entry Builder'!$L$9)&gt;'Entry Builder'!$E$9)))</f>
        <v/>
      </c>
      <c r="D1092">
        <f>IF('Entry Builder'!$N$10=0,1,IF('Entry Builder'!$D$10="Less",--(INDEX(Sims!$A1092:$BO1092,'Entry Builder'!$L$10)&lt;'Entry Builder'!$E$10),--(INDEX(Sims!$A1092:$BO1092,'Entry Builder'!$L$10)&gt;'Entry Builder'!$E$10)))</f>
        <v/>
      </c>
      <c r="E1092">
        <f>IF('Entry Builder'!$N$11=0,1,IF('Entry Builder'!$D$11="Less",--(INDEX(Sims!$A1092:$BO1092,'Entry Builder'!$L$11)&lt;'Entry Builder'!$E$11),--(INDEX(Sims!$A1092:$BO1092,'Entry Builder'!$L$11)&gt;'Entry Builder'!$E$11)))</f>
        <v/>
      </c>
      <c r="F1092">
        <f>IF('Entry Builder'!$N$12=0,1,IF('Entry Builder'!$D$12="Less",--(INDEX(Sims!$A1092:$BO1092,'Entry Builder'!$L$12)&lt;'Entry Builder'!$E$12),--(INDEX(Sims!$A1092:$BO1092,'Entry Builder'!$L$12)&gt;'Entry Builder'!$E$12)))</f>
        <v/>
      </c>
      <c r="G1092">
        <f>6-SUM(A1092:F1092)</f>
        <v/>
      </c>
    </row>
    <row r="1093">
      <c r="A1093">
        <f>IF('Entry Builder'!$N$7=0,1,IF('Entry Builder'!$D$7="Less",--(INDEX(Sims!$A1093:$BO1093,'Entry Builder'!$L$7)&lt;'Entry Builder'!$E$7),--(INDEX(Sims!$A1093:$BO1093,'Entry Builder'!$L$7)&gt;'Entry Builder'!$E$7)))</f>
        <v/>
      </c>
      <c r="B1093">
        <f>IF('Entry Builder'!$N$8=0,1,IF('Entry Builder'!$D$8="Less",--(INDEX(Sims!$A1093:$BO1093,'Entry Builder'!$L$8)&lt;'Entry Builder'!$E$8),--(INDEX(Sims!$A1093:$BO1093,'Entry Builder'!$L$8)&gt;'Entry Builder'!$E$8)))</f>
        <v/>
      </c>
      <c r="C1093">
        <f>IF('Entry Builder'!$N$9=0,1,IF('Entry Builder'!$D$9="Less",--(INDEX(Sims!$A1093:$BO1093,'Entry Builder'!$L$9)&lt;'Entry Builder'!$E$9),--(INDEX(Sims!$A1093:$BO1093,'Entry Builder'!$L$9)&gt;'Entry Builder'!$E$9)))</f>
        <v/>
      </c>
      <c r="D1093">
        <f>IF('Entry Builder'!$N$10=0,1,IF('Entry Builder'!$D$10="Less",--(INDEX(Sims!$A1093:$BO1093,'Entry Builder'!$L$10)&lt;'Entry Builder'!$E$10),--(INDEX(Sims!$A1093:$BO1093,'Entry Builder'!$L$10)&gt;'Entry Builder'!$E$10)))</f>
        <v/>
      </c>
      <c r="E1093">
        <f>IF('Entry Builder'!$N$11=0,1,IF('Entry Builder'!$D$11="Less",--(INDEX(Sims!$A1093:$BO1093,'Entry Builder'!$L$11)&lt;'Entry Builder'!$E$11),--(INDEX(Sims!$A1093:$BO1093,'Entry Builder'!$L$11)&gt;'Entry Builder'!$E$11)))</f>
        <v/>
      </c>
      <c r="F1093">
        <f>IF('Entry Builder'!$N$12=0,1,IF('Entry Builder'!$D$12="Less",--(INDEX(Sims!$A1093:$BO1093,'Entry Builder'!$L$12)&lt;'Entry Builder'!$E$12),--(INDEX(Sims!$A1093:$BO1093,'Entry Builder'!$L$12)&gt;'Entry Builder'!$E$12)))</f>
        <v/>
      </c>
      <c r="G1093">
        <f>6-SUM(A1093:F1093)</f>
        <v/>
      </c>
    </row>
    <row r="1094">
      <c r="A1094">
        <f>IF('Entry Builder'!$N$7=0,1,IF('Entry Builder'!$D$7="Less",--(INDEX(Sims!$A1094:$BO1094,'Entry Builder'!$L$7)&lt;'Entry Builder'!$E$7),--(INDEX(Sims!$A1094:$BO1094,'Entry Builder'!$L$7)&gt;'Entry Builder'!$E$7)))</f>
        <v/>
      </c>
      <c r="B1094">
        <f>IF('Entry Builder'!$N$8=0,1,IF('Entry Builder'!$D$8="Less",--(INDEX(Sims!$A1094:$BO1094,'Entry Builder'!$L$8)&lt;'Entry Builder'!$E$8),--(INDEX(Sims!$A1094:$BO1094,'Entry Builder'!$L$8)&gt;'Entry Builder'!$E$8)))</f>
        <v/>
      </c>
      <c r="C1094">
        <f>IF('Entry Builder'!$N$9=0,1,IF('Entry Builder'!$D$9="Less",--(INDEX(Sims!$A1094:$BO1094,'Entry Builder'!$L$9)&lt;'Entry Builder'!$E$9),--(INDEX(Sims!$A1094:$BO1094,'Entry Builder'!$L$9)&gt;'Entry Builder'!$E$9)))</f>
        <v/>
      </c>
      <c r="D1094">
        <f>IF('Entry Builder'!$N$10=0,1,IF('Entry Builder'!$D$10="Less",--(INDEX(Sims!$A1094:$BO1094,'Entry Builder'!$L$10)&lt;'Entry Builder'!$E$10),--(INDEX(Sims!$A1094:$BO1094,'Entry Builder'!$L$10)&gt;'Entry Builder'!$E$10)))</f>
        <v/>
      </c>
      <c r="E1094">
        <f>IF('Entry Builder'!$N$11=0,1,IF('Entry Builder'!$D$11="Less",--(INDEX(Sims!$A1094:$BO1094,'Entry Builder'!$L$11)&lt;'Entry Builder'!$E$11),--(INDEX(Sims!$A1094:$BO1094,'Entry Builder'!$L$11)&gt;'Entry Builder'!$E$11)))</f>
        <v/>
      </c>
      <c r="F1094">
        <f>IF('Entry Builder'!$N$12=0,1,IF('Entry Builder'!$D$12="Less",--(INDEX(Sims!$A1094:$BO1094,'Entry Builder'!$L$12)&lt;'Entry Builder'!$E$12),--(INDEX(Sims!$A1094:$BO1094,'Entry Builder'!$L$12)&gt;'Entry Builder'!$E$12)))</f>
        <v/>
      </c>
      <c r="G1094">
        <f>6-SUM(A1094:F1094)</f>
        <v/>
      </c>
    </row>
    <row r="1095">
      <c r="A1095">
        <f>IF('Entry Builder'!$N$7=0,1,IF('Entry Builder'!$D$7="Less",--(INDEX(Sims!$A1095:$BO1095,'Entry Builder'!$L$7)&lt;'Entry Builder'!$E$7),--(INDEX(Sims!$A1095:$BO1095,'Entry Builder'!$L$7)&gt;'Entry Builder'!$E$7)))</f>
        <v/>
      </c>
      <c r="B1095">
        <f>IF('Entry Builder'!$N$8=0,1,IF('Entry Builder'!$D$8="Less",--(INDEX(Sims!$A1095:$BO1095,'Entry Builder'!$L$8)&lt;'Entry Builder'!$E$8),--(INDEX(Sims!$A1095:$BO1095,'Entry Builder'!$L$8)&gt;'Entry Builder'!$E$8)))</f>
        <v/>
      </c>
      <c r="C1095">
        <f>IF('Entry Builder'!$N$9=0,1,IF('Entry Builder'!$D$9="Less",--(INDEX(Sims!$A1095:$BO1095,'Entry Builder'!$L$9)&lt;'Entry Builder'!$E$9),--(INDEX(Sims!$A1095:$BO1095,'Entry Builder'!$L$9)&gt;'Entry Builder'!$E$9)))</f>
        <v/>
      </c>
      <c r="D1095">
        <f>IF('Entry Builder'!$N$10=0,1,IF('Entry Builder'!$D$10="Less",--(INDEX(Sims!$A1095:$BO1095,'Entry Builder'!$L$10)&lt;'Entry Builder'!$E$10),--(INDEX(Sims!$A1095:$BO1095,'Entry Builder'!$L$10)&gt;'Entry Builder'!$E$10)))</f>
        <v/>
      </c>
      <c r="E1095">
        <f>IF('Entry Builder'!$N$11=0,1,IF('Entry Builder'!$D$11="Less",--(INDEX(Sims!$A1095:$BO1095,'Entry Builder'!$L$11)&lt;'Entry Builder'!$E$11),--(INDEX(Sims!$A1095:$BO1095,'Entry Builder'!$L$11)&gt;'Entry Builder'!$E$11)))</f>
        <v/>
      </c>
      <c r="F1095">
        <f>IF('Entry Builder'!$N$12=0,1,IF('Entry Builder'!$D$12="Less",--(INDEX(Sims!$A1095:$BO1095,'Entry Builder'!$L$12)&lt;'Entry Builder'!$E$12),--(INDEX(Sims!$A1095:$BO1095,'Entry Builder'!$L$12)&gt;'Entry Builder'!$E$12)))</f>
        <v/>
      </c>
      <c r="G1095">
        <f>6-SUM(A1095:F1095)</f>
        <v/>
      </c>
    </row>
    <row r="1096">
      <c r="A1096">
        <f>IF('Entry Builder'!$N$7=0,1,IF('Entry Builder'!$D$7="Less",--(INDEX(Sims!$A1096:$BO1096,'Entry Builder'!$L$7)&lt;'Entry Builder'!$E$7),--(INDEX(Sims!$A1096:$BO1096,'Entry Builder'!$L$7)&gt;'Entry Builder'!$E$7)))</f>
        <v/>
      </c>
      <c r="B1096">
        <f>IF('Entry Builder'!$N$8=0,1,IF('Entry Builder'!$D$8="Less",--(INDEX(Sims!$A1096:$BO1096,'Entry Builder'!$L$8)&lt;'Entry Builder'!$E$8),--(INDEX(Sims!$A1096:$BO1096,'Entry Builder'!$L$8)&gt;'Entry Builder'!$E$8)))</f>
        <v/>
      </c>
      <c r="C1096">
        <f>IF('Entry Builder'!$N$9=0,1,IF('Entry Builder'!$D$9="Less",--(INDEX(Sims!$A1096:$BO1096,'Entry Builder'!$L$9)&lt;'Entry Builder'!$E$9),--(INDEX(Sims!$A1096:$BO1096,'Entry Builder'!$L$9)&gt;'Entry Builder'!$E$9)))</f>
        <v/>
      </c>
      <c r="D1096">
        <f>IF('Entry Builder'!$N$10=0,1,IF('Entry Builder'!$D$10="Less",--(INDEX(Sims!$A1096:$BO1096,'Entry Builder'!$L$10)&lt;'Entry Builder'!$E$10),--(INDEX(Sims!$A1096:$BO1096,'Entry Builder'!$L$10)&gt;'Entry Builder'!$E$10)))</f>
        <v/>
      </c>
      <c r="E1096">
        <f>IF('Entry Builder'!$N$11=0,1,IF('Entry Builder'!$D$11="Less",--(INDEX(Sims!$A1096:$BO1096,'Entry Builder'!$L$11)&lt;'Entry Builder'!$E$11),--(INDEX(Sims!$A1096:$BO1096,'Entry Builder'!$L$11)&gt;'Entry Builder'!$E$11)))</f>
        <v/>
      </c>
      <c r="F1096">
        <f>IF('Entry Builder'!$N$12=0,1,IF('Entry Builder'!$D$12="Less",--(INDEX(Sims!$A1096:$BO1096,'Entry Builder'!$L$12)&lt;'Entry Builder'!$E$12),--(INDEX(Sims!$A1096:$BO1096,'Entry Builder'!$L$12)&gt;'Entry Builder'!$E$12)))</f>
        <v/>
      </c>
      <c r="G1096">
        <f>6-SUM(A1096:F1096)</f>
        <v/>
      </c>
    </row>
    <row r="1097">
      <c r="A1097">
        <f>IF('Entry Builder'!$N$7=0,1,IF('Entry Builder'!$D$7="Less",--(INDEX(Sims!$A1097:$BO1097,'Entry Builder'!$L$7)&lt;'Entry Builder'!$E$7),--(INDEX(Sims!$A1097:$BO1097,'Entry Builder'!$L$7)&gt;'Entry Builder'!$E$7)))</f>
        <v/>
      </c>
      <c r="B1097">
        <f>IF('Entry Builder'!$N$8=0,1,IF('Entry Builder'!$D$8="Less",--(INDEX(Sims!$A1097:$BO1097,'Entry Builder'!$L$8)&lt;'Entry Builder'!$E$8),--(INDEX(Sims!$A1097:$BO1097,'Entry Builder'!$L$8)&gt;'Entry Builder'!$E$8)))</f>
        <v/>
      </c>
      <c r="C1097">
        <f>IF('Entry Builder'!$N$9=0,1,IF('Entry Builder'!$D$9="Less",--(INDEX(Sims!$A1097:$BO1097,'Entry Builder'!$L$9)&lt;'Entry Builder'!$E$9),--(INDEX(Sims!$A1097:$BO1097,'Entry Builder'!$L$9)&gt;'Entry Builder'!$E$9)))</f>
        <v/>
      </c>
      <c r="D1097">
        <f>IF('Entry Builder'!$N$10=0,1,IF('Entry Builder'!$D$10="Less",--(INDEX(Sims!$A1097:$BO1097,'Entry Builder'!$L$10)&lt;'Entry Builder'!$E$10),--(INDEX(Sims!$A1097:$BO1097,'Entry Builder'!$L$10)&gt;'Entry Builder'!$E$10)))</f>
        <v/>
      </c>
      <c r="E1097">
        <f>IF('Entry Builder'!$N$11=0,1,IF('Entry Builder'!$D$11="Less",--(INDEX(Sims!$A1097:$BO1097,'Entry Builder'!$L$11)&lt;'Entry Builder'!$E$11),--(INDEX(Sims!$A1097:$BO1097,'Entry Builder'!$L$11)&gt;'Entry Builder'!$E$11)))</f>
        <v/>
      </c>
      <c r="F1097">
        <f>IF('Entry Builder'!$N$12=0,1,IF('Entry Builder'!$D$12="Less",--(INDEX(Sims!$A1097:$BO1097,'Entry Builder'!$L$12)&lt;'Entry Builder'!$E$12),--(INDEX(Sims!$A1097:$BO1097,'Entry Builder'!$L$12)&gt;'Entry Builder'!$E$12)))</f>
        <v/>
      </c>
      <c r="G1097">
        <f>6-SUM(A1097:F1097)</f>
        <v/>
      </c>
    </row>
    <row r="1098">
      <c r="A1098">
        <f>IF('Entry Builder'!$N$7=0,1,IF('Entry Builder'!$D$7="Less",--(INDEX(Sims!$A1098:$BO1098,'Entry Builder'!$L$7)&lt;'Entry Builder'!$E$7),--(INDEX(Sims!$A1098:$BO1098,'Entry Builder'!$L$7)&gt;'Entry Builder'!$E$7)))</f>
        <v/>
      </c>
      <c r="B1098">
        <f>IF('Entry Builder'!$N$8=0,1,IF('Entry Builder'!$D$8="Less",--(INDEX(Sims!$A1098:$BO1098,'Entry Builder'!$L$8)&lt;'Entry Builder'!$E$8),--(INDEX(Sims!$A1098:$BO1098,'Entry Builder'!$L$8)&gt;'Entry Builder'!$E$8)))</f>
        <v/>
      </c>
      <c r="C1098">
        <f>IF('Entry Builder'!$N$9=0,1,IF('Entry Builder'!$D$9="Less",--(INDEX(Sims!$A1098:$BO1098,'Entry Builder'!$L$9)&lt;'Entry Builder'!$E$9),--(INDEX(Sims!$A1098:$BO1098,'Entry Builder'!$L$9)&gt;'Entry Builder'!$E$9)))</f>
        <v/>
      </c>
      <c r="D1098">
        <f>IF('Entry Builder'!$N$10=0,1,IF('Entry Builder'!$D$10="Less",--(INDEX(Sims!$A1098:$BO1098,'Entry Builder'!$L$10)&lt;'Entry Builder'!$E$10),--(INDEX(Sims!$A1098:$BO1098,'Entry Builder'!$L$10)&gt;'Entry Builder'!$E$10)))</f>
        <v/>
      </c>
      <c r="E1098">
        <f>IF('Entry Builder'!$N$11=0,1,IF('Entry Builder'!$D$11="Less",--(INDEX(Sims!$A1098:$BO1098,'Entry Builder'!$L$11)&lt;'Entry Builder'!$E$11),--(INDEX(Sims!$A1098:$BO1098,'Entry Builder'!$L$11)&gt;'Entry Builder'!$E$11)))</f>
        <v/>
      </c>
      <c r="F1098">
        <f>IF('Entry Builder'!$N$12=0,1,IF('Entry Builder'!$D$12="Less",--(INDEX(Sims!$A1098:$BO1098,'Entry Builder'!$L$12)&lt;'Entry Builder'!$E$12),--(INDEX(Sims!$A1098:$BO1098,'Entry Builder'!$L$12)&gt;'Entry Builder'!$E$12)))</f>
        <v/>
      </c>
      <c r="G1098">
        <f>6-SUM(A1098:F1098)</f>
        <v/>
      </c>
    </row>
    <row r="1099">
      <c r="A1099">
        <f>IF('Entry Builder'!$N$7=0,1,IF('Entry Builder'!$D$7="Less",--(INDEX(Sims!$A1099:$BO1099,'Entry Builder'!$L$7)&lt;'Entry Builder'!$E$7),--(INDEX(Sims!$A1099:$BO1099,'Entry Builder'!$L$7)&gt;'Entry Builder'!$E$7)))</f>
        <v/>
      </c>
      <c r="B1099">
        <f>IF('Entry Builder'!$N$8=0,1,IF('Entry Builder'!$D$8="Less",--(INDEX(Sims!$A1099:$BO1099,'Entry Builder'!$L$8)&lt;'Entry Builder'!$E$8),--(INDEX(Sims!$A1099:$BO1099,'Entry Builder'!$L$8)&gt;'Entry Builder'!$E$8)))</f>
        <v/>
      </c>
      <c r="C1099">
        <f>IF('Entry Builder'!$N$9=0,1,IF('Entry Builder'!$D$9="Less",--(INDEX(Sims!$A1099:$BO1099,'Entry Builder'!$L$9)&lt;'Entry Builder'!$E$9),--(INDEX(Sims!$A1099:$BO1099,'Entry Builder'!$L$9)&gt;'Entry Builder'!$E$9)))</f>
        <v/>
      </c>
      <c r="D1099">
        <f>IF('Entry Builder'!$N$10=0,1,IF('Entry Builder'!$D$10="Less",--(INDEX(Sims!$A1099:$BO1099,'Entry Builder'!$L$10)&lt;'Entry Builder'!$E$10),--(INDEX(Sims!$A1099:$BO1099,'Entry Builder'!$L$10)&gt;'Entry Builder'!$E$10)))</f>
        <v/>
      </c>
      <c r="E1099">
        <f>IF('Entry Builder'!$N$11=0,1,IF('Entry Builder'!$D$11="Less",--(INDEX(Sims!$A1099:$BO1099,'Entry Builder'!$L$11)&lt;'Entry Builder'!$E$11),--(INDEX(Sims!$A1099:$BO1099,'Entry Builder'!$L$11)&gt;'Entry Builder'!$E$11)))</f>
        <v/>
      </c>
      <c r="F1099">
        <f>IF('Entry Builder'!$N$12=0,1,IF('Entry Builder'!$D$12="Less",--(INDEX(Sims!$A1099:$BO1099,'Entry Builder'!$L$12)&lt;'Entry Builder'!$E$12),--(INDEX(Sims!$A1099:$BO1099,'Entry Builder'!$L$12)&gt;'Entry Builder'!$E$12)))</f>
        <v/>
      </c>
      <c r="G1099">
        <f>6-SUM(A1099:F1099)</f>
        <v/>
      </c>
    </row>
    <row r="1100">
      <c r="A1100">
        <f>IF('Entry Builder'!$N$7=0,1,IF('Entry Builder'!$D$7="Less",--(INDEX(Sims!$A1100:$BO1100,'Entry Builder'!$L$7)&lt;'Entry Builder'!$E$7),--(INDEX(Sims!$A1100:$BO1100,'Entry Builder'!$L$7)&gt;'Entry Builder'!$E$7)))</f>
        <v/>
      </c>
      <c r="B1100">
        <f>IF('Entry Builder'!$N$8=0,1,IF('Entry Builder'!$D$8="Less",--(INDEX(Sims!$A1100:$BO1100,'Entry Builder'!$L$8)&lt;'Entry Builder'!$E$8),--(INDEX(Sims!$A1100:$BO1100,'Entry Builder'!$L$8)&gt;'Entry Builder'!$E$8)))</f>
        <v/>
      </c>
      <c r="C1100">
        <f>IF('Entry Builder'!$N$9=0,1,IF('Entry Builder'!$D$9="Less",--(INDEX(Sims!$A1100:$BO1100,'Entry Builder'!$L$9)&lt;'Entry Builder'!$E$9),--(INDEX(Sims!$A1100:$BO1100,'Entry Builder'!$L$9)&gt;'Entry Builder'!$E$9)))</f>
        <v/>
      </c>
      <c r="D1100">
        <f>IF('Entry Builder'!$N$10=0,1,IF('Entry Builder'!$D$10="Less",--(INDEX(Sims!$A1100:$BO1100,'Entry Builder'!$L$10)&lt;'Entry Builder'!$E$10),--(INDEX(Sims!$A1100:$BO1100,'Entry Builder'!$L$10)&gt;'Entry Builder'!$E$10)))</f>
        <v/>
      </c>
      <c r="E1100">
        <f>IF('Entry Builder'!$N$11=0,1,IF('Entry Builder'!$D$11="Less",--(INDEX(Sims!$A1100:$BO1100,'Entry Builder'!$L$11)&lt;'Entry Builder'!$E$11),--(INDEX(Sims!$A1100:$BO1100,'Entry Builder'!$L$11)&gt;'Entry Builder'!$E$11)))</f>
        <v/>
      </c>
      <c r="F1100">
        <f>IF('Entry Builder'!$N$12=0,1,IF('Entry Builder'!$D$12="Less",--(INDEX(Sims!$A1100:$BO1100,'Entry Builder'!$L$12)&lt;'Entry Builder'!$E$12),--(INDEX(Sims!$A1100:$BO1100,'Entry Builder'!$L$12)&gt;'Entry Builder'!$E$12)))</f>
        <v/>
      </c>
      <c r="G1100">
        <f>6-SUM(A1100:F1100)</f>
        <v/>
      </c>
    </row>
    <row r="1101">
      <c r="A1101">
        <f>IF('Entry Builder'!$N$7=0,1,IF('Entry Builder'!$D$7="Less",--(INDEX(Sims!$A1101:$BO1101,'Entry Builder'!$L$7)&lt;'Entry Builder'!$E$7),--(INDEX(Sims!$A1101:$BO1101,'Entry Builder'!$L$7)&gt;'Entry Builder'!$E$7)))</f>
        <v/>
      </c>
      <c r="B1101">
        <f>IF('Entry Builder'!$N$8=0,1,IF('Entry Builder'!$D$8="Less",--(INDEX(Sims!$A1101:$BO1101,'Entry Builder'!$L$8)&lt;'Entry Builder'!$E$8),--(INDEX(Sims!$A1101:$BO1101,'Entry Builder'!$L$8)&gt;'Entry Builder'!$E$8)))</f>
        <v/>
      </c>
      <c r="C1101">
        <f>IF('Entry Builder'!$N$9=0,1,IF('Entry Builder'!$D$9="Less",--(INDEX(Sims!$A1101:$BO1101,'Entry Builder'!$L$9)&lt;'Entry Builder'!$E$9),--(INDEX(Sims!$A1101:$BO1101,'Entry Builder'!$L$9)&gt;'Entry Builder'!$E$9)))</f>
        <v/>
      </c>
      <c r="D1101">
        <f>IF('Entry Builder'!$N$10=0,1,IF('Entry Builder'!$D$10="Less",--(INDEX(Sims!$A1101:$BO1101,'Entry Builder'!$L$10)&lt;'Entry Builder'!$E$10),--(INDEX(Sims!$A1101:$BO1101,'Entry Builder'!$L$10)&gt;'Entry Builder'!$E$10)))</f>
        <v/>
      </c>
      <c r="E1101">
        <f>IF('Entry Builder'!$N$11=0,1,IF('Entry Builder'!$D$11="Less",--(INDEX(Sims!$A1101:$BO1101,'Entry Builder'!$L$11)&lt;'Entry Builder'!$E$11),--(INDEX(Sims!$A1101:$BO1101,'Entry Builder'!$L$11)&gt;'Entry Builder'!$E$11)))</f>
        <v/>
      </c>
      <c r="F1101">
        <f>IF('Entry Builder'!$N$12=0,1,IF('Entry Builder'!$D$12="Less",--(INDEX(Sims!$A1101:$BO1101,'Entry Builder'!$L$12)&lt;'Entry Builder'!$E$12),--(INDEX(Sims!$A1101:$BO1101,'Entry Builder'!$L$12)&gt;'Entry Builder'!$E$12)))</f>
        <v/>
      </c>
      <c r="G1101">
        <f>6-SUM(A1101:F1101)</f>
        <v/>
      </c>
    </row>
    <row r="1102">
      <c r="A1102">
        <f>IF('Entry Builder'!$N$7=0,1,IF('Entry Builder'!$D$7="Less",--(INDEX(Sims!$A1102:$BO1102,'Entry Builder'!$L$7)&lt;'Entry Builder'!$E$7),--(INDEX(Sims!$A1102:$BO1102,'Entry Builder'!$L$7)&gt;'Entry Builder'!$E$7)))</f>
        <v/>
      </c>
      <c r="B1102">
        <f>IF('Entry Builder'!$N$8=0,1,IF('Entry Builder'!$D$8="Less",--(INDEX(Sims!$A1102:$BO1102,'Entry Builder'!$L$8)&lt;'Entry Builder'!$E$8),--(INDEX(Sims!$A1102:$BO1102,'Entry Builder'!$L$8)&gt;'Entry Builder'!$E$8)))</f>
        <v/>
      </c>
      <c r="C1102">
        <f>IF('Entry Builder'!$N$9=0,1,IF('Entry Builder'!$D$9="Less",--(INDEX(Sims!$A1102:$BO1102,'Entry Builder'!$L$9)&lt;'Entry Builder'!$E$9),--(INDEX(Sims!$A1102:$BO1102,'Entry Builder'!$L$9)&gt;'Entry Builder'!$E$9)))</f>
        <v/>
      </c>
      <c r="D1102">
        <f>IF('Entry Builder'!$N$10=0,1,IF('Entry Builder'!$D$10="Less",--(INDEX(Sims!$A1102:$BO1102,'Entry Builder'!$L$10)&lt;'Entry Builder'!$E$10),--(INDEX(Sims!$A1102:$BO1102,'Entry Builder'!$L$10)&gt;'Entry Builder'!$E$10)))</f>
        <v/>
      </c>
      <c r="E1102">
        <f>IF('Entry Builder'!$N$11=0,1,IF('Entry Builder'!$D$11="Less",--(INDEX(Sims!$A1102:$BO1102,'Entry Builder'!$L$11)&lt;'Entry Builder'!$E$11),--(INDEX(Sims!$A1102:$BO1102,'Entry Builder'!$L$11)&gt;'Entry Builder'!$E$11)))</f>
        <v/>
      </c>
      <c r="F1102">
        <f>IF('Entry Builder'!$N$12=0,1,IF('Entry Builder'!$D$12="Less",--(INDEX(Sims!$A1102:$BO1102,'Entry Builder'!$L$12)&lt;'Entry Builder'!$E$12),--(INDEX(Sims!$A1102:$BO1102,'Entry Builder'!$L$12)&gt;'Entry Builder'!$E$12)))</f>
        <v/>
      </c>
      <c r="G1102">
        <f>6-SUM(A1102:F1102)</f>
        <v/>
      </c>
    </row>
    <row r="1103">
      <c r="A1103">
        <f>IF('Entry Builder'!$N$7=0,1,IF('Entry Builder'!$D$7="Less",--(INDEX(Sims!$A1103:$BO1103,'Entry Builder'!$L$7)&lt;'Entry Builder'!$E$7),--(INDEX(Sims!$A1103:$BO1103,'Entry Builder'!$L$7)&gt;'Entry Builder'!$E$7)))</f>
        <v/>
      </c>
      <c r="B1103">
        <f>IF('Entry Builder'!$N$8=0,1,IF('Entry Builder'!$D$8="Less",--(INDEX(Sims!$A1103:$BO1103,'Entry Builder'!$L$8)&lt;'Entry Builder'!$E$8),--(INDEX(Sims!$A1103:$BO1103,'Entry Builder'!$L$8)&gt;'Entry Builder'!$E$8)))</f>
        <v/>
      </c>
      <c r="C1103">
        <f>IF('Entry Builder'!$N$9=0,1,IF('Entry Builder'!$D$9="Less",--(INDEX(Sims!$A1103:$BO1103,'Entry Builder'!$L$9)&lt;'Entry Builder'!$E$9),--(INDEX(Sims!$A1103:$BO1103,'Entry Builder'!$L$9)&gt;'Entry Builder'!$E$9)))</f>
        <v/>
      </c>
      <c r="D1103">
        <f>IF('Entry Builder'!$N$10=0,1,IF('Entry Builder'!$D$10="Less",--(INDEX(Sims!$A1103:$BO1103,'Entry Builder'!$L$10)&lt;'Entry Builder'!$E$10),--(INDEX(Sims!$A1103:$BO1103,'Entry Builder'!$L$10)&gt;'Entry Builder'!$E$10)))</f>
        <v/>
      </c>
      <c r="E1103">
        <f>IF('Entry Builder'!$N$11=0,1,IF('Entry Builder'!$D$11="Less",--(INDEX(Sims!$A1103:$BO1103,'Entry Builder'!$L$11)&lt;'Entry Builder'!$E$11),--(INDEX(Sims!$A1103:$BO1103,'Entry Builder'!$L$11)&gt;'Entry Builder'!$E$11)))</f>
        <v/>
      </c>
      <c r="F1103">
        <f>IF('Entry Builder'!$N$12=0,1,IF('Entry Builder'!$D$12="Less",--(INDEX(Sims!$A1103:$BO1103,'Entry Builder'!$L$12)&lt;'Entry Builder'!$E$12),--(INDEX(Sims!$A1103:$BO1103,'Entry Builder'!$L$12)&gt;'Entry Builder'!$E$12)))</f>
        <v/>
      </c>
      <c r="G1103">
        <f>6-SUM(A1103:F1103)</f>
        <v/>
      </c>
    </row>
    <row r="1104">
      <c r="A1104">
        <f>IF('Entry Builder'!$N$7=0,1,IF('Entry Builder'!$D$7="Less",--(INDEX(Sims!$A1104:$BO1104,'Entry Builder'!$L$7)&lt;'Entry Builder'!$E$7),--(INDEX(Sims!$A1104:$BO1104,'Entry Builder'!$L$7)&gt;'Entry Builder'!$E$7)))</f>
        <v/>
      </c>
      <c r="B1104">
        <f>IF('Entry Builder'!$N$8=0,1,IF('Entry Builder'!$D$8="Less",--(INDEX(Sims!$A1104:$BO1104,'Entry Builder'!$L$8)&lt;'Entry Builder'!$E$8),--(INDEX(Sims!$A1104:$BO1104,'Entry Builder'!$L$8)&gt;'Entry Builder'!$E$8)))</f>
        <v/>
      </c>
      <c r="C1104">
        <f>IF('Entry Builder'!$N$9=0,1,IF('Entry Builder'!$D$9="Less",--(INDEX(Sims!$A1104:$BO1104,'Entry Builder'!$L$9)&lt;'Entry Builder'!$E$9),--(INDEX(Sims!$A1104:$BO1104,'Entry Builder'!$L$9)&gt;'Entry Builder'!$E$9)))</f>
        <v/>
      </c>
      <c r="D1104">
        <f>IF('Entry Builder'!$N$10=0,1,IF('Entry Builder'!$D$10="Less",--(INDEX(Sims!$A1104:$BO1104,'Entry Builder'!$L$10)&lt;'Entry Builder'!$E$10),--(INDEX(Sims!$A1104:$BO1104,'Entry Builder'!$L$10)&gt;'Entry Builder'!$E$10)))</f>
        <v/>
      </c>
      <c r="E1104">
        <f>IF('Entry Builder'!$N$11=0,1,IF('Entry Builder'!$D$11="Less",--(INDEX(Sims!$A1104:$BO1104,'Entry Builder'!$L$11)&lt;'Entry Builder'!$E$11),--(INDEX(Sims!$A1104:$BO1104,'Entry Builder'!$L$11)&gt;'Entry Builder'!$E$11)))</f>
        <v/>
      </c>
      <c r="F1104">
        <f>IF('Entry Builder'!$N$12=0,1,IF('Entry Builder'!$D$12="Less",--(INDEX(Sims!$A1104:$BO1104,'Entry Builder'!$L$12)&lt;'Entry Builder'!$E$12),--(INDEX(Sims!$A1104:$BO1104,'Entry Builder'!$L$12)&gt;'Entry Builder'!$E$12)))</f>
        <v/>
      </c>
      <c r="G1104">
        <f>6-SUM(A1104:F1104)</f>
        <v/>
      </c>
    </row>
    <row r="1105">
      <c r="A1105">
        <f>IF('Entry Builder'!$N$7=0,1,IF('Entry Builder'!$D$7="Less",--(INDEX(Sims!$A1105:$BO1105,'Entry Builder'!$L$7)&lt;'Entry Builder'!$E$7),--(INDEX(Sims!$A1105:$BO1105,'Entry Builder'!$L$7)&gt;'Entry Builder'!$E$7)))</f>
        <v/>
      </c>
      <c r="B1105">
        <f>IF('Entry Builder'!$N$8=0,1,IF('Entry Builder'!$D$8="Less",--(INDEX(Sims!$A1105:$BO1105,'Entry Builder'!$L$8)&lt;'Entry Builder'!$E$8),--(INDEX(Sims!$A1105:$BO1105,'Entry Builder'!$L$8)&gt;'Entry Builder'!$E$8)))</f>
        <v/>
      </c>
      <c r="C1105">
        <f>IF('Entry Builder'!$N$9=0,1,IF('Entry Builder'!$D$9="Less",--(INDEX(Sims!$A1105:$BO1105,'Entry Builder'!$L$9)&lt;'Entry Builder'!$E$9),--(INDEX(Sims!$A1105:$BO1105,'Entry Builder'!$L$9)&gt;'Entry Builder'!$E$9)))</f>
        <v/>
      </c>
      <c r="D1105">
        <f>IF('Entry Builder'!$N$10=0,1,IF('Entry Builder'!$D$10="Less",--(INDEX(Sims!$A1105:$BO1105,'Entry Builder'!$L$10)&lt;'Entry Builder'!$E$10),--(INDEX(Sims!$A1105:$BO1105,'Entry Builder'!$L$10)&gt;'Entry Builder'!$E$10)))</f>
        <v/>
      </c>
      <c r="E1105">
        <f>IF('Entry Builder'!$N$11=0,1,IF('Entry Builder'!$D$11="Less",--(INDEX(Sims!$A1105:$BO1105,'Entry Builder'!$L$11)&lt;'Entry Builder'!$E$11),--(INDEX(Sims!$A1105:$BO1105,'Entry Builder'!$L$11)&gt;'Entry Builder'!$E$11)))</f>
        <v/>
      </c>
      <c r="F1105">
        <f>IF('Entry Builder'!$N$12=0,1,IF('Entry Builder'!$D$12="Less",--(INDEX(Sims!$A1105:$BO1105,'Entry Builder'!$L$12)&lt;'Entry Builder'!$E$12),--(INDEX(Sims!$A1105:$BO1105,'Entry Builder'!$L$12)&gt;'Entry Builder'!$E$12)))</f>
        <v/>
      </c>
      <c r="G1105">
        <f>6-SUM(A1105:F1105)</f>
        <v/>
      </c>
    </row>
    <row r="1106">
      <c r="A1106">
        <f>IF('Entry Builder'!$N$7=0,1,IF('Entry Builder'!$D$7="Less",--(INDEX(Sims!$A1106:$BO1106,'Entry Builder'!$L$7)&lt;'Entry Builder'!$E$7),--(INDEX(Sims!$A1106:$BO1106,'Entry Builder'!$L$7)&gt;'Entry Builder'!$E$7)))</f>
        <v/>
      </c>
      <c r="B1106">
        <f>IF('Entry Builder'!$N$8=0,1,IF('Entry Builder'!$D$8="Less",--(INDEX(Sims!$A1106:$BO1106,'Entry Builder'!$L$8)&lt;'Entry Builder'!$E$8),--(INDEX(Sims!$A1106:$BO1106,'Entry Builder'!$L$8)&gt;'Entry Builder'!$E$8)))</f>
        <v/>
      </c>
      <c r="C1106">
        <f>IF('Entry Builder'!$N$9=0,1,IF('Entry Builder'!$D$9="Less",--(INDEX(Sims!$A1106:$BO1106,'Entry Builder'!$L$9)&lt;'Entry Builder'!$E$9),--(INDEX(Sims!$A1106:$BO1106,'Entry Builder'!$L$9)&gt;'Entry Builder'!$E$9)))</f>
        <v/>
      </c>
      <c r="D1106">
        <f>IF('Entry Builder'!$N$10=0,1,IF('Entry Builder'!$D$10="Less",--(INDEX(Sims!$A1106:$BO1106,'Entry Builder'!$L$10)&lt;'Entry Builder'!$E$10),--(INDEX(Sims!$A1106:$BO1106,'Entry Builder'!$L$10)&gt;'Entry Builder'!$E$10)))</f>
        <v/>
      </c>
      <c r="E1106">
        <f>IF('Entry Builder'!$N$11=0,1,IF('Entry Builder'!$D$11="Less",--(INDEX(Sims!$A1106:$BO1106,'Entry Builder'!$L$11)&lt;'Entry Builder'!$E$11),--(INDEX(Sims!$A1106:$BO1106,'Entry Builder'!$L$11)&gt;'Entry Builder'!$E$11)))</f>
        <v/>
      </c>
      <c r="F1106">
        <f>IF('Entry Builder'!$N$12=0,1,IF('Entry Builder'!$D$12="Less",--(INDEX(Sims!$A1106:$BO1106,'Entry Builder'!$L$12)&lt;'Entry Builder'!$E$12),--(INDEX(Sims!$A1106:$BO1106,'Entry Builder'!$L$12)&gt;'Entry Builder'!$E$12)))</f>
        <v/>
      </c>
      <c r="G1106">
        <f>6-SUM(A1106:F1106)</f>
        <v/>
      </c>
    </row>
    <row r="1107">
      <c r="A1107">
        <f>IF('Entry Builder'!$N$7=0,1,IF('Entry Builder'!$D$7="Less",--(INDEX(Sims!$A1107:$BO1107,'Entry Builder'!$L$7)&lt;'Entry Builder'!$E$7),--(INDEX(Sims!$A1107:$BO1107,'Entry Builder'!$L$7)&gt;'Entry Builder'!$E$7)))</f>
        <v/>
      </c>
      <c r="B1107">
        <f>IF('Entry Builder'!$N$8=0,1,IF('Entry Builder'!$D$8="Less",--(INDEX(Sims!$A1107:$BO1107,'Entry Builder'!$L$8)&lt;'Entry Builder'!$E$8),--(INDEX(Sims!$A1107:$BO1107,'Entry Builder'!$L$8)&gt;'Entry Builder'!$E$8)))</f>
        <v/>
      </c>
      <c r="C1107">
        <f>IF('Entry Builder'!$N$9=0,1,IF('Entry Builder'!$D$9="Less",--(INDEX(Sims!$A1107:$BO1107,'Entry Builder'!$L$9)&lt;'Entry Builder'!$E$9),--(INDEX(Sims!$A1107:$BO1107,'Entry Builder'!$L$9)&gt;'Entry Builder'!$E$9)))</f>
        <v/>
      </c>
      <c r="D1107">
        <f>IF('Entry Builder'!$N$10=0,1,IF('Entry Builder'!$D$10="Less",--(INDEX(Sims!$A1107:$BO1107,'Entry Builder'!$L$10)&lt;'Entry Builder'!$E$10),--(INDEX(Sims!$A1107:$BO1107,'Entry Builder'!$L$10)&gt;'Entry Builder'!$E$10)))</f>
        <v/>
      </c>
      <c r="E1107">
        <f>IF('Entry Builder'!$N$11=0,1,IF('Entry Builder'!$D$11="Less",--(INDEX(Sims!$A1107:$BO1107,'Entry Builder'!$L$11)&lt;'Entry Builder'!$E$11),--(INDEX(Sims!$A1107:$BO1107,'Entry Builder'!$L$11)&gt;'Entry Builder'!$E$11)))</f>
        <v/>
      </c>
      <c r="F1107">
        <f>IF('Entry Builder'!$N$12=0,1,IF('Entry Builder'!$D$12="Less",--(INDEX(Sims!$A1107:$BO1107,'Entry Builder'!$L$12)&lt;'Entry Builder'!$E$12),--(INDEX(Sims!$A1107:$BO1107,'Entry Builder'!$L$12)&gt;'Entry Builder'!$E$12)))</f>
        <v/>
      </c>
      <c r="G1107">
        <f>6-SUM(A1107:F1107)</f>
        <v/>
      </c>
    </row>
    <row r="1108">
      <c r="A1108">
        <f>IF('Entry Builder'!$N$7=0,1,IF('Entry Builder'!$D$7="Less",--(INDEX(Sims!$A1108:$BO1108,'Entry Builder'!$L$7)&lt;'Entry Builder'!$E$7),--(INDEX(Sims!$A1108:$BO1108,'Entry Builder'!$L$7)&gt;'Entry Builder'!$E$7)))</f>
        <v/>
      </c>
      <c r="B1108">
        <f>IF('Entry Builder'!$N$8=0,1,IF('Entry Builder'!$D$8="Less",--(INDEX(Sims!$A1108:$BO1108,'Entry Builder'!$L$8)&lt;'Entry Builder'!$E$8),--(INDEX(Sims!$A1108:$BO1108,'Entry Builder'!$L$8)&gt;'Entry Builder'!$E$8)))</f>
        <v/>
      </c>
      <c r="C1108">
        <f>IF('Entry Builder'!$N$9=0,1,IF('Entry Builder'!$D$9="Less",--(INDEX(Sims!$A1108:$BO1108,'Entry Builder'!$L$9)&lt;'Entry Builder'!$E$9),--(INDEX(Sims!$A1108:$BO1108,'Entry Builder'!$L$9)&gt;'Entry Builder'!$E$9)))</f>
        <v/>
      </c>
      <c r="D1108">
        <f>IF('Entry Builder'!$N$10=0,1,IF('Entry Builder'!$D$10="Less",--(INDEX(Sims!$A1108:$BO1108,'Entry Builder'!$L$10)&lt;'Entry Builder'!$E$10),--(INDEX(Sims!$A1108:$BO1108,'Entry Builder'!$L$10)&gt;'Entry Builder'!$E$10)))</f>
        <v/>
      </c>
      <c r="E1108">
        <f>IF('Entry Builder'!$N$11=0,1,IF('Entry Builder'!$D$11="Less",--(INDEX(Sims!$A1108:$BO1108,'Entry Builder'!$L$11)&lt;'Entry Builder'!$E$11),--(INDEX(Sims!$A1108:$BO1108,'Entry Builder'!$L$11)&gt;'Entry Builder'!$E$11)))</f>
        <v/>
      </c>
      <c r="F1108">
        <f>IF('Entry Builder'!$N$12=0,1,IF('Entry Builder'!$D$12="Less",--(INDEX(Sims!$A1108:$BO1108,'Entry Builder'!$L$12)&lt;'Entry Builder'!$E$12),--(INDEX(Sims!$A1108:$BO1108,'Entry Builder'!$L$12)&gt;'Entry Builder'!$E$12)))</f>
        <v/>
      </c>
      <c r="G1108">
        <f>6-SUM(A1108:F1108)</f>
        <v/>
      </c>
    </row>
    <row r="1109">
      <c r="A1109">
        <f>IF('Entry Builder'!$N$7=0,1,IF('Entry Builder'!$D$7="Less",--(INDEX(Sims!$A1109:$BO1109,'Entry Builder'!$L$7)&lt;'Entry Builder'!$E$7),--(INDEX(Sims!$A1109:$BO1109,'Entry Builder'!$L$7)&gt;'Entry Builder'!$E$7)))</f>
        <v/>
      </c>
      <c r="B1109">
        <f>IF('Entry Builder'!$N$8=0,1,IF('Entry Builder'!$D$8="Less",--(INDEX(Sims!$A1109:$BO1109,'Entry Builder'!$L$8)&lt;'Entry Builder'!$E$8),--(INDEX(Sims!$A1109:$BO1109,'Entry Builder'!$L$8)&gt;'Entry Builder'!$E$8)))</f>
        <v/>
      </c>
      <c r="C1109">
        <f>IF('Entry Builder'!$N$9=0,1,IF('Entry Builder'!$D$9="Less",--(INDEX(Sims!$A1109:$BO1109,'Entry Builder'!$L$9)&lt;'Entry Builder'!$E$9),--(INDEX(Sims!$A1109:$BO1109,'Entry Builder'!$L$9)&gt;'Entry Builder'!$E$9)))</f>
        <v/>
      </c>
      <c r="D1109">
        <f>IF('Entry Builder'!$N$10=0,1,IF('Entry Builder'!$D$10="Less",--(INDEX(Sims!$A1109:$BO1109,'Entry Builder'!$L$10)&lt;'Entry Builder'!$E$10),--(INDEX(Sims!$A1109:$BO1109,'Entry Builder'!$L$10)&gt;'Entry Builder'!$E$10)))</f>
        <v/>
      </c>
      <c r="E1109">
        <f>IF('Entry Builder'!$N$11=0,1,IF('Entry Builder'!$D$11="Less",--(INDEX(Sims!$A1109:$BO1109,'Entry Builder'!$L$11)&lt;'Entry Builder'!$E$11),--(INDEX(Sims!$A1109:$BO1109,'Entry Builder'!$L$11)&gt;'Entry Builder'!$E$11)))</f>
        <v/>
      </c>
      <c r="F1109">
        <f>IF('Entry Builder'!$N$12=0,1,IF('Entry Builder'!$D$12="Less",--(INDEX(Sims!$A1109:$BO1109,'Entry Builder'!$L$12)&lt;'Entry Builder'!$E$12),--(INDEX(Sims!$A1109:$BO1109,'Entry Builder'!$L$12)&gt;'Entry Builder'!$E$12)))</f>
        <v/>
      </c>
      <c r="G1109">
        <f>6-SUM(A1109:F1109)</f>
        <v/>
      </c>
    </row>
    <row r="1110">
      <c r="A1110">
        <f>IF('Entry Builder'!$N$7=0,1,IF('Entry Builder'!$D$7="Less",--(INDEX(Sims!$A1110:$BO1110,'Entry Builder'!$L$7)&lt;'Entry Builder'!$E$7),--(INDEX(Sims!$A1110:$BO1110,'Entry Builder'!$L$7)&gt;'Entry Builder'!$E$7)))</f>
        <v/>
      </c>
      <c r="B1110">
        <f>IF('Entry Builder'!$N$8=0,1,IF('Entry Builder'!$D$8="Less",--(INDEX(Sims!$A1110:$BO1110,'Entry Builder'!$L$8)&lt;'Entry Builder'!$E$8),--(INDEX(Sims!$A1110:$BO1110,'Entry Builder'!$L$8)&gt;'Entry Builder'!$E$8)))</f>
        <v/>
      </c>
      <c r="C1110">
        <f>IF('Entry Builder'!$N$9=0,1,IF('Entry Builder'!$D$9="Less",--(INDEX(Sims!$A1110:$BO1110,'Entry Builder'!$L$9)&lt;'Entry Builder'!$E$9),--(INDEX(Sims!$A1110:$BO1110,'Entry Builder'!$L$9)&gt;'Entry Builder'!$E$9)))</f>
        <v/>
      </c>
      <c r="D1110">
        <f>IF('Entry Builder'!$N$10=0,1,IF('Entry Builder'!$D$10="Less",--(INDEX(Sims!$A1110:$BO1110,'Entry Builder'!$L$10)&lt;'Entry Builder'!$E$10),--(INDEX(Sims!$A1110:$BO1110,'Entry Builder'!$L$10)&gt;'Entry Builder'!$E$10)))</f>
        <v/>
      </c>
      <c r="E1110">
        <f>IF('Entry Builder'!$N$11=0,1,IF('Entry Builder'!$D$11="Less",--(INDEX(Sims!$A1110:$BO1110,'Entry Builder'!$L$11)&lt;'Entry Builder'!$E$11),--(INDEX(Sims!$A1110:$BO1110,'Entry Builder'!$L$11)&gt;'Entry Builder'!$E$11)))</f>
        <v/>
      </c>
      <c r="F1110">
        <f>IF('Entry Builder'!$N$12=0,1,IF('Entry Builder'!$D$12="Less",--(INDEX(Sims!$A1110:$BO1110,'Entry Builder'!$L$12)&lt;'Entry Builder'!$E$12),--(INDEX(Sims!$A1110:$BO1110,'Entry Builder'!$L$12)&gt;'Entry Builder'!$E$12)))</f>
        <v/>
      </c>
      <c r="G1110">
        <f>6-SUM(A1110:F1110)</f>
        <v/>
      </c>
    </row>
    <row r="1111">
      <c r="A1111">
        <f>IF('Entry Builder'!$N$7=0,1,IF('Entry Builder'!$D$7="Less",--(INDEX(Sims!$A1111:$BO1111,'Entry Builder'!$L$7)&lt;'Entry Builder'!$E$7),--(INDEX(Sims!$A1111:$BO1111,'Entry Builder'!$L$7)&gt;'Entry Builder'!$E$7)))</f>
        <v/>
      </c>
      <c r="B1111">
        <f>IF('Entry Builder'!$N$8=0,1,IF('Entry Builder'!$D$8="Less",--(INDEX(Sims!$A1111:$BO1111,'Entry Builder'!$L$8)&lt;'Entry Builder'!$E$8),--(INDEX(Sims!$A1111:$BO1111,'Entry Builder'!$L$8)&gt;'Entry Builder'!$E$8)))</f>
        <v/>
      </c>
      <c r="C1111">
        <f>IF('Entry Builder'!$N$9=0,1,IF('Entry Builder'!$D$9="Less",--(INDEX(Sims!$A1111:$BO1111,'Entry Builder'!$L$9)&lt;'Entry Builder'!$E$9),--(INDEX(Sims!$A1111:$BO1111,'Entry Builder'!$L$9)&gt;'Entry Builder'!$E$9)))</f>
        <v/>
      </c>
      <c r="D1111">
        <f>IF('Entry Builder'!$N$10=0,1,IF('Entry Builder'!$D$10="Less",--(INDEX(Sims!$A1111:$BO1111,'Entry Builder'!$L$10)&lt;'Entry Builder'!$E$10),--(INDEX(Sims!$A1111:$BO1111,'Entry Builder'!$L$10)&gt;'Entry Builder'!$E$10)))</f>
        <v/>
      </c>
      <c r="E1111">
        <f>IF('Entry Builder'!$N$11=0,1,IF('Entry Builder'!$D$11="Less",--(INDEX(Sims!$A1111:$BO1111,'Entry Builder'!$L$11)&lt;'Entry Builder'!$E$11),--(INDEX(Sims!$A1111:$BO1111,'Entry Builder'!$L$11)&gt;'Entry Builder'!$E$11)))</f>
        <v/>
      </c>
      <c r="F1111">
        <f>IF('Entry Builder'!$N$12=0,1,IF('Entry Builder'!$D$12="Less",--(INDEX(Sims!$A1111:$BO1111,'Entry Builder'!$L$12)&lt;'Entry Builder'!$E$12),--(INDEX(Sims!$A1111:$BO1111,'Entry Builder'!$L$12)&gt;'Entry Builder'!$E$12)))</f>
        <v/>
      </c>
      <c r="G1111">
        <f>6-SUM(A1111:F1111)</f>
        <v/>
      </c>
    </row>
    <row r="1112">
      <c r="A1112">
        <f>IF('Entry Builder'!$N$7=0,1,IF('Entry Builder'!$D$7="Less",--(INDEX(Sims!$A1112:$BO1112,'Entry Builder'!$L$7)&lt;'Entry Builder'!$E$7),--(INDEX(Sims!$A1112:$BO1112,'Entry Builder'!$L$7)&gt;'Entry Builder'!$E$7)))</f>
        <v/>
      </c>
      <c r="B1112">
        <f>IF('Entry Builder'!$N$8=0,1,IF('Entry Builder'!$D$8="Less",--(INDEX(Sims!$A1112:$BO1112,'Entry Builder'!$L$8)&lt;'Entry Builder'!$E$8),--(INDEX(Sims!$A1112:$BO1112,'Entry Builder'!$L$8)&gt;'Entry Builder'!$E$8)))</f>
        <v/>
      </c>
      <c r="C1112">
        <f>IF('Entry Builder'!$N$9=0,1,IF('Entry Builder'!$D$9="Less",--(INDEX(Sims!$A1112:$BO1112,'Entry Builder'!$L$9)&lt;'Entry Builder'!$E$9),--(INDEX(Sims!$A1112:$BO1112,'Entry Builder'!$L$9)&gt;'Entry Builder'!$E$9)))</f>
        <v/>
      </c>
      <c r="D1112">
        <f>IF('Entry Builder'!$N$10=0,1,IF('Entry Builder'!$D$10="Less",--(INDEX(Sims!$A1112:$BO1112,'Entry Builder'!$L$10)&lt;'Entry Builder'!$E$10),--(INDEX(Sims!$A1112:$BO1112,'Entry Builder'!$L$10)&gt;'Entry Builder'!$E$10)))</f>
        <v/>
      </c>
      <c r="E1112">
        <f>IF('Entry Builder'!$N$11=0,1,IF('Entry Builder'!$D$11="Less",--(INDEX(Sims!$A1112:$BO1112,'Entry Builder'!$L$11)&lt;'Entry Builder'!$E$11),--(INDEX(Sims!$A1112:$BO1112,'Entry Builder'!$L$11)&gt;'Entry Builder'!$E$11)))</f>
        <v/>
      </c>
      <c r="F1112">
        <f>IF('Entry Builder'!$N$12=0,1,IF('Entry Builder'!$D$12="Less",--(INDEX(Sims!$A1112:$BO1112,'Entry Builder'!$L$12)&lt;'Entry Builder'!$E$12),--(INDEX(Sims!$A1112:$BO1112,'Entry Builder'!$L$12)&gt;'Entry Builder'!$E$12)))</f>
        <v/>
      </c>
      <c r="G1112">
        <f>6-SUM(A1112:F1112)</f>
        <v/>
      </c>
    </row>
    <row r="1113">
      <c r="A1113">
        <f>IF('Entry Builder'!$N$7=0,1,IF('Entry Builder'!$D$7="Less",--(INDEX(Sims!$A1113:$BO1113,'Entry Builder'!$L$7)&lt;'Entry Builder'!$E$7),--(INDEX(Sims!$A1113:$BO1113,'Entry Builder'!$L$7)&gt;'Entry Builder'!$E$7)))</f>
        <v/>
      </c>
      <c r="B1113">
        <f>IF('Entry Builder'!$N$8=0,1,IF('Entry Builder'!$D$8="Less",--(INDEX(Sims!$A1113:$BO1113,'Entry Builder'!$L$8)&lt;'Entry Builder'!$E$8),--(INDEX(Sims!$A1113:$BO1113,'Entry Builder'!$L$8)&gt;'Entry Builder'!$E$8)))</f>
        <v/>
      </c>
      <c r="C1113">
        <f>IF('Entry Builder'!$N$9=0,1,IF('Entry Builder'!$D$9="Less",--(INDEX(Sims!$A1113:$BO1113,'Entry Builder'!$L$9)&lt;'Entry Builder'!$E$9),--(INDEX(Sims!$A1113:$BO1113,'Entry Builder'!$L$9)&gt;'Entry Builder'!$E$9)))</f>
        <v/>
      </c>
      <c r="D1113">
        <f>IF('Entry Builder'!$N$10=0,1,IF('Entry Builder'!$D$10="Less",--(INDEX(Sims!$A1113:$BO1113,'Entry Builder'!$L$10)&lt;'Entry Builder'!$E$10),--(INDEX(Sims!$A1113:$BO1113,'Entry Builder'!$L$10)&gt;'Entry Builder'!$E$10)))</f>
        <v/>
      </c>
      <c r="E1113">
        <f>IF('Entry Builder'!$N$11=0,1,IF('Entry Builder'!$D$11="Less",--(INDEX(Sims!$A1113:$BO1113,'Entry Builder'!$L$11)&lt;'Entry Builder'!$E$11),--(INDEX(Sims!$A1113:$BO1113,'Entry Builder'!$L$11)&gt;'Entry Builder'!$E$11)))</f>
        <v/>
      </c>
      <c r="F1113">
        <f>IF('Entry Builder'!$N$12=0,1,IF('Entry Builder'!$D$12="Less",--(INDEX(Sims!$A1113:$BO1113,'Entry Builder'!$L$12)&lt;'Entry Builder'!$E$12),--(INDEX(Sims!$A1113:$BO1113,'Entry Builder'!$L$12)&gt;'Entry Builder'!$E$12)))</f>
        <v/>
      </c>
      <c r="G1113">
        <f>6-SUM(A1113:F1113)</f>
        <v/>
      </c>
    </row>
    <row r="1114">
      <c r="A1114">
        <f>IF('Entry Builder'!$N$7=0,1,IF('Entry Builder'!$D$7="Less",--(INDEX(Sims!$A1114:$BO1114,'Entry Builder'!$L$7)&lt;'Entry Builder'!$E$7),--(INDEX(Sims!$A1114:$BO1114,'Entry Builder'!$L$7)&gt;'Entry Builder'!$E$7)))</f>
        <v/>
      </c>
      <c r="B1114">
        <f>IF('Entry Builder'!$N$8=0,1,IF('Entry Builder'!$D$8="Less",--(INDEX(Sims!$A1114:$BO1114,'Entry Builder'!$L$8)&lt;'Entry Builder'!$E$8),--(INDEX(Sims!$A1114:$BO1114,'Entry Builder'!$L$8)&gt;'Entry Builder'!$E$8)))</f>
        <v/>
      </c>
      <c r="C1114">
        <f>IF('Entry Builder'!$N$9=0,1,IF('Entry Builder'!$D$9="Less",--(INDEX(Sims!$A1114:$BO1114,'Entry Builder'!$L$9)&lt;'Entry Builder'!$E$9),--(INDEX(Sims!$A1114:$BO1114,'Entry Builder'!$L$9)&gt;'Entry Builder'!$E$9)))</f>
        <v/>
      </c>
      <c r="D1114">
        <f>IF('Entry Builder'!$N$10=0,1,IF('Entry Builder'!$D$10="Less",--(INDEX(Sims!$A1114:$BO1114,'Entry Builder'!$L$10)&lt;'Entry Builder'!$E$10),--(INDEX(Sims!$A1114:$BO1114,'Entry Builder'!$L$10)&gt;'Entry Builder'!$E$10)))</f>
        <v/>
      </c>
      <c r="E1114">
        <f>IF('Entry Builder'!$N$11=0,1,IF('Entry Builder'!$D$11="Less",--(INDEX(Sims!$A1114:$BO1114,'Entry Builder'!$L$11)&lt;'Entry Builder'!$E$11),--(INDEX(Sims!$A1114:$BO1114,'Entry Builder'!$L$11)&gt;'Entry Builder'!$E$11)))</f>
        <v/>
      </c>
      <c r="F1114">
        <f>IF('Entry Builder'!$N$12=0,1,IF('Entry Builder'!$D$12="Less",--(INDEX(Sims!$A1114:$BO1114,'Entry Builder'!$L$12)&lt;'Entry Builder'!$E$12),--(INDEX(Sims!$A1114:$BO1114,'Entry Builder'!$L$12)&gt;'Entry Builder'!$E$12)))</f>
        <v/>
      </c>
      <c r="G1114">
        <f>6-SUM(A1114:F1114)</f>
        <v/>
      </c>
    </row>
    <row r="1115">
      <c r="A1115">
        <f>IF('Entry Builder'!$N$7=0,1,IF('Entry Builder'!$D$7="Less",--(INDEX(Sims!$A1115:$BO1115,'Entry Builder'!$L$7)&lt;'Entry Builder'!$E$7),--(INDEX(Sims!$A1115:$BO1115,'Entry Builder'!$L$7)&gt;'Entry Builder'!$E$7)))</f>
        <v/>
      </c>
      <c r="B1115">
        <f>IF('Entry Builder'!$N$8=0,1,IF('Entry Builder'!$D$8="Less",--(INDEX(Sims!$A1115:$BO1115,'Entry Builder'!$L$8)&lt;'Entry Builder'!$E$8),--(INDEX(Sims!$A1115:$BO1115,'Entry Builder'!$L$8)&gt;'Entry Builder'!$E$8)))</f>
        <v/>
      </c>
      <c r="C1115">
        <f>IF('Entry Builder'!$N$9=0,1,IF('Entry Builder'!$D$9="Less",--(INDEX(Sims!$A1115:$BO1115,'Entry Builder'!$L$9)&lt;'Entry Builder'!$E$9),--(INDEX(Sims!$A1115:$BO1115,'Entry Builder'!$L$9)&gt;'Entry Builder'!$E$9)))</f>
        <v/>
      </c>
      <c r="D1115">
        <f>IF('Entry Builder'!$N$10=0,1,IF('Entry Builder'!$D$10="Less",--(INDEX(Sims!$A1115:$BO1115,'Entry Builder'!$L$10)&lt;'Entry Builder'!$E$10),--(INDEX(Sims!$A1115:$BO1115,'Entry Builder'!$L$10)&gt;'Entry Builder'!$E$10)))</f>
        <v/>
      </c>
      <c r="E1115">
        <f>IF('Entry Builder'!$N$11=0,1,IF('Entry Builder'!$D$11="Less",--(INDEX(Sims!$A1115:$BO1115,'Entry Builder'!$L$11)&lt;'Entry Builder'!$E$11),--(INDEX(Sims!$A1115:$BO1115,'Entry Builder'!$L$11)&gt;'Entry Builder'!$E$11)))</f>
        <v/>
      </c>
      <c r="F1115">
        <f>IF('Entry Builder'!$N$12=0,1,IF('Entry Builder'!$D$12="Less",--(INDEX(Sims!$A1115:$BO1115,'Entry Builder'!$L$12)&lt;'Entry Builder'!$E$12),--(INDEX(Sims!$A1115:$BO1115,'Entry Builder'!$L$12)&gt;'Entry Builder'!$E$12)))</f>
        <v/>
      </c>
      <c r="G1115">
        <f>6-SUM(A1115:F1115)</f>
        <v/>
      </c>
    </row>
    <row r="1116">
      <c r="A1116">
        <f>IF('Entry Builder'!$N$7=0,1,IF('Entry Builder'!$D$7="Less",--(INDEX(Sims!$A1116:$BO1116,'Entry Builder'!$L$7)&lt;'Entry Builder'!$E$7),--(INDEX(Sims!$A1116:$BO1116,'Entry Builder'!$L$7)&gt;'Entry Builder'!$E$7)))</f>
        <v/>
      </c>
      <c r="B1116">
        <f>IF('Entry Builder'!$N$8=0,1,IF('Entry Builder'!$D$8="Less",--(INDEX(Sims!$A1116:$BO1116,'Entry Builder'!$L$8)&lt;'Entry Builder'!$E$8),--(INDEX(Sims!$A1116:$BO1116,'Entry Builder'!$L$8)&gt;'Entry Builder'!$E$8)))</f>
        <v/>
      </c>
      <c r="C1116">
        <f>IF('Entry Builder'!$N$9=0,1,IF('Entry Builder'!$D$9="Less",--(INDEX(Sims!$A1116:$BO1116,'Entry Builder'!$L$9)&lt;'Entry Builder'!$E$9),--(INDEX(Sims!$A1116:$BO1116,'Entry Builder'!$L$9)&gt;'Entry Builder'!$E$9)))</f>
        <v/>
      </c>
      <c r="D1116">
        <f>IF('Entry Builder'!$N$10=0,1,IF('Entry Builder'!$D$10="Less",--(INDEX(Sims!$A1116:$BO1116,'Entry Builder'!$L$10)&lt;'Entry Builder'!$E$10),--(INDEX(Sims!$A1116:$BO1116,'Entry Builder'!$L$10)&gt;'Entry Builder'!$E$10)))</f>
        <v/>
      </c>
      <c r="E1116">
        <f>IF('Entry Builder'!$N$11=0,1,IF('Entry Builder'!$D$11="Less",--(INDEX(Sims!$A1116:$BO1116,'Entry Builder'!$L$11)&lt;'Entry Builder'!$E$11),--(INDEX(Sims!$A1116:$BO1116,'Entry Builder'!$L$11)&gt;'Entry Builder'!$E$11)))</f>
        <v/>
      </c>
      <c r="F1116">
        <f>IF('Entry Builder'!$N$12=0,1,IF('Entry Builder'!$D$12="Less",--(INDEX(Sims!$A1116:$BO1116,'Entry Builder'!$L$12)&lt;'Entry Builder'!$E$12),--(INDEX(Sims!$A1116:$BO1116,'Entry Builder'!$L$12)&gt;'Entry Builder'!$E$12)))</f>
        <v/>
      </c>
      <c r="G1116">
        <f>6-SUM(A1116:F1116)</f>
        <v/>
      </c>
    </row>
    <row r="1117">
      <c r="A1117">
        <f>IF('Entry Builder'!$N$7=0,1,IF('Entry Builder'!$D$7="Less",--(INDEX(Sims!$A1117:$BO1117,'Entry Builder'!$L$7)&lt;'Entry Builder'!$E$7),--(INDEX(Sims!$A1117:$BO1117,'Entry Builder'!$L$7)&gt;'Entry Builder'!$E$7)))</f>
        <v/>
      </c>
      <c r="B1117">
        <f>IF('Entry Builder'!$N$8=0,1,IF('Entry Builder'!$D$8="Less",--(INDEX(Sims!$A1117:$BO1117,'Entry Builder'!$L$8)&lt;'Entry Builder'!$E$8),--(INDEX(Sims!$A1117:$BO1117,'Entry Builder'!$L$8)&gt;'Entry Builder'!$E$8)))</f>
        <v/>
      </c>
      <c r="C1117">
        <f>IF('Entry Builder'!$N$9=0,1,IF('Entry Builder'!$D$9="Less",--(INDEX(Sims!$A1117:$BO1117,'Entry Builder'!$L$9)&lt;'Entry Builder'!$E$9),--(INDEX(Sims!$A1117:$BO1117,'Entry Builder'!$L$9)&gt;'Entry Builder'!$E$9)))</f>
        <v/>
      </c>
      <c r="D1117">
        <f>IF('Entry Builder'!$N$10=0,1,IF('Entry Builder'!$D$10="Less",--(INDEX(Sims!$A1117:$BO1117,'Entry Builder'!$L$10)&lt;'Entry Builder'!$E$10),--(INDEX(Sims!$A1117:$BO1117,'Entry Builder'!$L$10)&gt;'Entry Builder'!$E$10)))</f>
        <v/>
      </c>
      <c r="E1117">
        <f>IF('Entry Builder'!$N$11=0,1,IF('Entry Builder'!$D$11="Less",--(INDEX(Sims!$A1117:$BO1117,'Entry Builder'!$L$11)&lt;'Entry Builder'!$E$11),--(INDEX(Sims!$A1117:$BO1117,'Entry Builder'!$L$11)&gt;'Entry Builder'!$E$11)))</f>
        <v/>
      </c>
      <c r="F1117">
        <f>IF('Entry Builder'!$N$12=0,1,IF('Entry Builder'!$D$12="Less",--(INDEX(Sims!$A1117:$BO1117,'Entry Builder'!$L$12)&lt;'Entry Builder'!$E$12),--(INDEX(Sims!$A1117:$BO1117,'Entry Builder'!$L$12)&gt;'Entry Builder'!$E$12)))</f>
        <v/>
      </c>
      <c r="G1117">
        <f>6-SUM(A1117:F1117)</f>
        <v/>
      </c>
    </row>
    <row r="1118">
      <c r="A1118">
        <f>IF('Entry Builder'!$N$7=0,1,IF('Entry Builder'!$D$7="Less",--(INDEX(Sims!$A1118:$BO1118,'Entry Builder'!$L$7)&lt;'Entry Builder'!$E$7),--(INDEX(Sims!$A1118:$BO1118,'Entry Builder'!$L$7)&gt;'Entry Builder'!$E$7)))</f>
        <v/>
      </c>
      <c r="B1118">
        <f>IF('Entry Builder'!$N$8=0,1,IF('Entry Builder'!$D$8="Less",--(INDEX(Sims!$A1118:$BO1118,'Entry Builder'!$L$8)&lt;'Entry Builder'!$E$8),--(INDEX(Sims!$A1118:$BO1118,'Entry Builder'!$L$8)&gt;'Entry Builder'!$E$8)))</f>
        <v/>
      </c>
      <c r="C1118">
        <f>IF('Entry Builder'!$N$9=0,1,IF('Entry Builder'!$D$9="Less",--(INDEX(Sims!$A1118:$BO1118,'Entry Builder'!$L$9)&lt;'Entry Builder'!$E$9),--(INDEX(Sims!$A1118:$BO1118,'Entry Builder'!$L$9)&gt;'Entry Builder'!$E$9)))</f>
        <v/>
      </c>
      <c r="D1118">
        <f>IF('Entry Builder'!$N$10=0,1,IF('Entry Builder'!$D$10="Less",--(INDEX(Sims!$A1118:$BO1118,'Entry Builder'!$L$10)&lt;'Entry Builder'!$E$10),--(INDEX(Sims!$A1118:$BO1118,'Entry Builder'!$L$10)&gt;'Entry Builder'!$E$10)))</f>
        <v/>
      </c>
      <c r="E1118">
        <f>IF('Entry Builder'!$N$11=0,1,IF('Entry Builder'!$D$11="Less",--(INDEX(Sims!$A1118:$BO1118,'Entry Builder'!$L$11)&lt;'Entry Builder'!$E$11),--(INDEX(Sims!$A1118:$BO1118,'Entry Builder'!$L$11)&gt;'Entry Builder'!$E$11)))</f>
        <v/>
      </c>
      <c r="F1118">
        <f>IF('Entry Builder'!$N$12=0,1,IF('Entry Builder'!$D$12="Less",--(INDEX(Sims!$A1118:$BO1118,'Entry Builder'!$L$12)&lt;'Entry Builder'!$E$12),--(INDEX(Sims!$A1118:$BO1118,'Entry Builder'!$L$12)&gt;'Entry Builder'!$E$12)))</f>
        <v/>
      </c>
      <c r="G1118">
        <f>6-SUM(A1118:F1118)</f>
        <v/>
      </c>
    </row>
    <row r="1119">
      <c r="A1119">
        <f>IF('Entry Builder'!$N$7=0,1,IF('Entry Builder'!$D$7="Less",--(INDEX(Sims!$A1119:$BO1119,'Entry Builder'!$L$7)&lt;'Entry Builder'!$E$7),--(INDEX(Sims!$A1119:$BO1119,'Entry Builder'!$L$7)&gt;'Entry Builder'!$E$7)))</f>
        <v/>
      </c>
      <c r="B1119">
        <f>IF('Entry Builder'!$N$8=0,1,IF('Entry Builder'!$D$8="Less",--(INDEX(Sims!$A1119:$BO1119,'Entry Builder'!$L$8)&lt;'Entry Builder'!$E$8),--(INDEX(Sims!$A1119:$BO1119,'Entry Builder'!$L$8)&gt;'Entry Builder'!$E$8)))</f>
        <v/>
      </c>
      <c r="C1119">
        <f>IF('Entry Builder'!$N$9=0,1,IF('Entry Builder'!$D$9="Less",--(INDEX(Sims!$A1119:$BO1119,'Entry Builder'!$L$9)&lt;'Entry Builder'!$E$9),--(INDEX(Sims!$A1119:$BO1119,'Entry Builder'!$L$9)&gt;'Entry Builder'!$E$9)))</f>
        <v/>
      </c>
      <c r="D1119">
        <f>IF('Entry Builder'!$N$10=0,1,IF('Entry Builder'!$D$10="Less",--(INDEX(Sims!$A1119:$BO1119,'Entry Builder'!$L$10)&lt;'Entry Builder'!$E$10),--(INDEX(Sims!$A1119:$BO1119,'Entry Builder'!$L$10)&gt;'Entry Builder'!$E$10)))</f>
        <v/>
      </c>
      <c r="E1119">
        <f>IF('Entry Builder'!$N$11=0,1,IF('Entry Builder'!$D$11="Less",--(INDEX(Sims!$A1119:$BO1119,'Entry Builder'!$L$11)&lt;'Entry Builder'!$E$11),--(INDEX(Sims!$A1119:$BO1119,'Entry Builder'!$L$11)&gt;'Entry Builder'!$E$11)))</f>
        <v/>
      </c>
      <c r="F1119">
        <f>IF('Entry Builder'!$N$12=0,1,IF('Entry Builder'!$D$12="Less",--(INDEX(Sims!$A1119:$BO1119,'Entry Builder'!$L$12)&lt;'Entry Builder'!$E$12),--(INDEX(Sims!$A1119:$BO1119,'Entry Builder'!$L$12)&gt;'Entry Builder'!$E$12)))</f>
        <v/>
      </c>
      <c r="G1119">
        <f>6-SUM(A1119:F1119)</f>
        <v/>
      </c>
    </row>
    <row r="1120">
      <c r="A1120">
        <f>IF('Entry Builder'!$N$7=0,1,IF('Entry Builder'!$D$7="Less",--(INDEX(Sims!$A1120:$BO1120,'Entry Builder'!$L$7)&lt;'Entry Builder'!$E$7),--(INDEX(Sims!$A1120:$BO1120,'Entry Builder'!$L$7)&gt;'Entry Builder'!$E$7)))</f>
        <v/>
      </c>
      <c r="B1120">
        <f>IF('Entry Builder'!$N$8=0,1,IF('Entry Builder'!$D$8="Less",--(INDEX(Sims!$A1120:$BO1120,'Entry Builder'!$L$8)&lt;'Entry Builder'!$E$8),--(INDEX(Sims!$A1120:$BO1120,'Entry Builder'!$L$8)&gt;'Entry Builder'!$E$8)))</f>
        <v/>
      </c>
      <c r="C1120">
        <f>IF('Entry Builder'!$N$9=0,1,IF('Entry Builder'!$D$9="Less",--(INDEX(Sims!$A1120:$BO1120,'Entry Builder'!$L$9)&lt;'Entry Builder'!$E$9),--(INDEX(Sims!$A1120:$BO1120,'Entry Builder'!$L$9)&gt;'Entry Builder'!$E$9)))</f>
        <v/>
      </c>
      <c r="D1120">
        <f>IF('Entry Builder'!$N$10=0,1,IF('Entry Builder'!$D$10="Less",--(INDEX(Sims!$A1120:$BO1120,'Entry Builder'!$L$10)&lt;'Entry Builder'!$E$10),--(INDEX(Sims!$A1120:$BO1120,'Entry Builder'!$L$10)&gt;'Entry Builder'!$E$10)))</f>
        <v/>
      </c>
      <c r="E1120">
        <f>IF('Entry Builder'!$N$11=0,1,IF('Entry Builder'!$D$11="Less",--(INDEX(Sims!$A1120:$BO1120,'Entry Builder'!$L$11)&lt;'Entry Builder'!$E$11),--(INDEX(Sims!$A1120:$BO1120,'Entry Builder'!$L$11)&gt;'Entry Builder'!$E$11)))</f>
        <v/>
      </c>
      <c r="F1120">
        <f>IF('Entry Builder'!$N$12=0,1,IF('Entry Builder'!$D$12="Less",--(INDEX(Sims!$A1120:$BO1120,'Entry Builder'!$L$12)&lt;'Entry Builder'!$E$12),--(INDEX(Sims!$A1120:$BO1120,'Entry Builder'!$L$12)&gt;'Entry Builder'!$E$12)))</f>
        <v/>
      </c>
      <c r="G1120">
        <f>6-SUM(A1120:F1120)</f>
        <v/>
      </c>
    </row>
    <row r="1121">
      <c r="A1121">
        <f>IF('Entry Builder'!$N$7=0,1,IF('Entry Builder'!$D$7="Less",--(INDEX(Sims!$A1121:$BO1121,'Entry Builder'!$L$7)&lt;'Entry Builder'!$E$7),--(INDEX(Sims!$A1121:$BO1121,'Entry Builder'!$L$7)&gt;'Entry Builder'!$E$7)))</f>
        <v/>
      </c>
      <c r="B1121">
        <f>IF('Entry Builder'!$N$8=0,1,IF('Entry Builder'!$D$8="Less",--(INDEX(Sims!$A1121:$BO1121,'Entry Builder'!$L$8)&lt;'Entry Builder'!$E$8),--(INDEX(Sims!$A1121:$BO1121,'Entry Builder'!$L$8)&gt;'Entry Builder'!$E$8)))</f>
        <v/>
      </c>
      <c r="C1121">
        <f>IF('Entry Builder'!$N$9=0,1,IF('Entry Builder'!$D$9="Less",--(INDEX(Sims!$A1121:$BO1121,'Entry Builder'!$L$9)&lt;'Entry Builder'!$E$9),--(INDEX(Sims!$A1121:$BO1121,'Entry Builder'!$L$9)&gt;'Entry Builder'!$E$9)))</f>
        <v/>
      </c>
      <c r="D1121">
        <f>IF('Entry Builder'!$N$10=0,1,IF('Entry Builder'!$D$10="Less",--(INDEX(Sims!$A1121:$BO1121,'Entry Builder'!$L$10)&lt;'Entry Builder'!$E$10),--(INDEX(Sims!$A1121:$BO1121,'Entry Builder'!$L$10)&gt;'Entry Builder'!$E$10)))</f>
        <v/>
      </c>
      <c r="E1121">
        <f>IF('Entry Builder'!$N$11=0,1,IF('Entry Builder'!$D$11="Less",--(INDEX(Sims!$A1121:$BO1121,'Entry Builder'!$L$11)&lt;'Entry Builder'!$E$11),--(INDEX(Sims!$A1121:$BO1121,'Entry Builder'!$L$11)&gt;'Entry Builder'!$E$11)))</f>
        <v/>
      </c>
      <c r="F1121">
        <f>IF('Entry Builder'!$N$12=0,1,IF('Entry Builder'!$D$12="Less",--(INDEX(Sims!$A1121:$BO1121,'Entry Builder'!$L$12)&lt;'Entry Builder'!$E$12),--(INDEX(Sims!$A1121:$BO1121,'Entry Builder'!$L$12)&gt;'Entry Builder'!$E$12)))</f>
        <v/>
      </c>
      <c r="G1121">
        <f>6-SUM(A1121:F1121)</f>
        <v/>
      </c>
    </row>
    <row r="1122">
      <c r="A1122">
        <f>IF('Entry Builder'!$N$7=0,1,IF('Entry Builder'!$D$7="Less",--(INDEX(Sims!$A1122:$BO1122,'Entry Builder'!$L$7)&lt;'Entry Builder'!$E$7),--(INDEX(Sims!$A1122:$BO1122,'Entry Builder'!$L$7)&gt;'Entry Builder'!$E$7)))</f>
        <v/>
      </c>
      <c r="B1122">
        <f>IF('Entry Builder'!$N$8=0,1,IF('Entry Builder'!$D$8="Less",--(INDEX(Sims!$A1122:$BO1122,'Entry Builder'!$L$8)&lt;'Entry Builder'!$E$8),--(INDEX(Sims!$A1122:$BO1122,'Entry Builder'!$L$8)&gt;'Entry Builder'!$E$8)))</f>
        <v/>
      </c>
      <c r="C1122">
        <f>IF('Entry Builder'!$N$9=0,1,IF('Entry Builder'!$D$9="Less",--(INDEX(Sims!$A1122:$BO1122,'Entry Builder'!$L$9)&lt;'Entry Builder'!$E$9),--(INDEX(Sims!$A1122:$BO1122,'Entry Builder'!$L$9)&gt;'Entry Builder'!$E$9)))</f>
        <v/>
      </c>
      <c r="D1122">
        <f>IF('Entry Builder'!$N$10=0,1,IF('Entry Builder'!$D$10="Less",--(INDEX(Sims!$A1122:$BO1122,'Entry Builder'!$L$10)&lt;'Entry Builder'!$E$10),--(INDEX(Sims!$A1122:$BO1122,'Entry Builder'!$L$10)&gt;'Entry Builder'!$E$10)))</f>
        <v/>
      </c>
      <c r="E1122">
        <f>IF('Entry Builder'!$N$11=0,1,IF('Entry Builder'!$D$11="Less",--(INDEX(Sims!$A1122:$BO1122,'Entry Builder'!$L$11)&lt;'Entry Builder'!$E$11),--(INDEX(Sims!$A1122:$BO1122,'Entry Builder'!$L$11)&gt;'Entry Builder'!$E$11)))</f>
        <v/>
      </c>
      <c r="F1122">
        <f>IF('Entry Builder'!$N$12=0,1,IF('Entry Builder'!$D$12="Less",--(INDEX(Sims!$A1122:$BO1122,'Entry Builder'!$L$12)&lt;'Entry Builder'!$E$12),--(INDEX(Sims!$A1122:$BO1122,'Entry Builder'!$L$12)&gt;'Entry Builder'!$E$12)))</f>
        <v/>
      </c>
      <c r="G1122">
        <f>6-SUM(A1122:F1122)</f>
        <v/>
      </c>
    </row>
    <row r="1123">
      <c r="A1123">
        <f>IF('Entry Builder'!$N$7=0,1,IF('Entry Builder'!$D$7="Less",--(INDEX(Sims!$A1123:$BO1123,'Entry Builder'!$L$7)&lt;'Entry Builder'!$E$7),--(INDEX(Sims!$A1123:$BO1123,'Entry Builder'!$L$7)&gt;'Entry Builder'!$E$7)))</f>
        <v/>
      </c>
      <c r="B1123">
        <f>IF('Entry Builder'!$N$8=0,1,IF('Entry Builder'!$D$8="Less",--(INDEX(Sims!$A1123:$BO1123,'Entry Builder'!$L$8)&lt;'Entry Builder'!$E$8),--(INDEX(Sims!$A1123:$BO1123,'Entry Builder'!$L$8)&gt;'Entry Builder'!$E$8)))</f>
        <v/>
      </c>
      <c r="C1123">
        <f>IF('Entry Builder'!$N$9=0,1,IF('Entry Builder'!$D$9="Less",--(INDEX(Sims!$A1123:$BO1123,'Entry Builder'!$L$9)&lt;'Entry Builder'!$E$9),--(INDEX(Sims!$A1123:$BO1123,'Entry Builder'!$L$9)&gt;'Entry Builder'!$E$9)))</f>
        <v/>
      </c>
      <c r="D1123">
        <f>IF('Entry Builder'!$N$10=0,1,IF('Entry Builder'!$D$10="Less",--(INDEX(Sims!$A1123:$BO1123,'Entry Builder'!$L$10)&lt;'Entry Builder'!$E$10),--(INDEX(Sims!$A1123:$BO1123,'Entry Builder'!$L$10)&gt;'Entry Builder'!$E$10)))</f>
        <v/>
      </c>
      <c r="E1123">
        <f>IF('Entry Builder'!$N$11=0,1,IF('Entry Builder'!$D$11="Less",--(INDEX(Sims!$A1123:$BO1123,'Entry Builder'!$L$11)&lt;'Entry Builder'!$E$11),--(INDEX(Sims!$A1123:$BO1123,'Entry Builder'!$L$11)&gt;'Entry Builder'!$E$11)))</f>
        <v/>
      </c>
      <c r="F1123">
        <f>IF('Entry Builder'!$N$12=0,1,IF('Entry Builder'!$D$12="Less",--(INDEX(Sims!$A1123:$BO1123,'Entry Builder'!$L$12)&lt;'Entry Builder'!$E$12),--(INDEX(Sims!$A1123:$BO1123,'Entry Builder'!$L$12)&gt;'Entry Builder'!$E$12)))</f>
        <v/>
      </c>
      <c r="G1123">
        <f>6-SUM(A1123:F1123)</f>
        <v/>
      </c>
    </row>
    <row r="1124">
      <c r="A1124">
        <f>IF('Entry Builder'!$N$7=0,1,IF('Entry Builder'!$D$7="Less",--(INDEX(Sims!$A1124:$BO1124,'Entry Builder'!$L$7)&lt;'Entry Builder'!$E$7),--(INDEX(Sims!$A1124:$BO1124,'Entry Builder'!$L$7)&gt;'Entry Builder'!$E$7)))</f>
        <v/>
      </c>
      <c r="B1124">
        <f>IF('Entry Builder'!$N$8=0,1,IF('Entry Builder'!$D$8="Less",--(INDEX(Sims!$A1124:$BO1124,'Entry Builder'!$L$8)&lt;'Entry Builder'!$E$8),--(INDEX(Sims!$A1124:$BO1124,'Entry Builder'!$L$8)&gt;'Entry Builder'!$E$8)))</f>
        <v/>
      </c>
      <c r="C1124">
        <f>IF('Entry Builder'!$N$9=0,1,IF('Entry Builder'!$D$9="Less",--(INDEX(Sims!$A1124:$BO1124,'Entry Builder'!$L$9)&lt;'Entry Builder'!$E$9),--(INDEX(Sims!$A1124:$BO1124,'Entry Builder'!$L$9)&gt;'Entry Builder'!$E$9)))</f>
        <v/>
      </c>
      <c r="D1124">
        <f>IF('Entry Builder'!$N$10=0,1,IF('Entry Builder'!$D$10="Less",--(INDEX(Sims!$A1124:$BO1124,'Entry Builder'!$L$10)&lt;'Entry Builder'!$E$10),--(INDEX(Sims!$A1124:$BO1124,'Entry Builder'!$L$10)&gt;'Entry Builder'!$E$10)))</f>
        <v/>
      </c>
      <c r="E1124">
        <f>IF('Entry Builder'!$N$11=0,1,IF('Entry Builder'!$D$11="Less",--(INDEX(Sims!$A1124:$BO1124,'Entry Builder'!$L$11)&lt;'Entry Builder'!$E$11),--(INDEX(Sims!$A1124:$BO1124,'Entry Builder'!$L$11)&gt;'Entry Builder'!$E$11)))</f>
        <v/>
      </c>
      <c r="F1124">
        <f>IF('Entry Builder'!$N$12=0,1,IF('Entry Builder'!$D$12="Less",--(INDEX(Sims!$A1124:$BO1124,'Entry Builder'!$L$12)&lt;'Entry Builder'!$E$12),--(INDEX(Sims!$A1124:$BO1124,'Entry Builder'!$L$12)&gt;'Entry Builder'!$E$12)))</f>
        <v/>
      </c>
      <c r="G1124">
        <f>6-SUM(A1124:F1124)</f>
        <v/>
      </c>
    </row>
    <row r="1125">
      <c r="A1125">
        <f>IF('Entry Builder'!$N$7=0,1,IF('Entry Builder'!$D$7="Less",--(INDEX(Sims!$A1125:$BO1125,'Entry Builder'!$L$7)&lt;'Entry Builder'!$E$7),--(INDEX(Sims!$A1125:$BO1125,'Entry Builder'!$L$7)&gt;'Entry Builder'!$E$7)))</f>
        <v/>
      </c>
      <c r="B1125">
        <f>IF('Entry Builder'!$N$8=0,1,IF('Entry Builder'!$D$8="Less",--(INDEX(Sims!$A1125:$BO1125,'Entry Builder'!$L$8)&lt;'Entry Builder'!$E$8),--(INDEX(Sims!$A1125:$BO1125,'Entry Builder'!$L$8)&gt;'Entry Builder'!$E$8)))</f>
        <v/>
      </c>
      <c r="C1125">
        <f>IF('Entry Builder'!$N$9=0,1,IF('Entry Builder'!$D$9="Less",--(INDEX(Sims!$A1125:$BO1125,'Entry Builder'!$L$9)&lt;'Entry Builder'!$E$9),--(INDEX(Sims!$A1125:$BO1125,'Entry Builder'!$L$9)&gt;'Entry Builder'!$E$9)))</f>
        <v/>
      </c>
      <c r="D1125">
        <f>IF('Entry Builder'!$N$10=0,1,IF('Entry Builder'!$D$10="Less",--(INDEX(Sims!$A1125:$BO1125,'Entry Builder'!$L$10)&lt;'Entry Builder'!$E$10),--(INDEX(Sims!$A1125:$BO1125,'Entry Builder'!$L$10)&gt;'Entry Builder'!$E$10)))</f>
        <v/>
      </c>
      <c r="E1125">
        <f>IF('Entry Builder'!$N$11=0,1,IF('Entry Builder'!$D$11="Less",--(INDEX(Sims!$A1125:$BO1125,'Entry Builder'!$L$11)&lt;'Entry Builder'!$E$11),--(INDEX(Sims!$A1125:$BO1125,'Entry Builder'!$L$11)&gt;'Entry Builder'!$E$11)))</f>
        <v/>
      </c>
      <c r="F1125">
        <f>IF('Entry Builder'!$N$12=0,1,IF('Entry Builder'!$D$12="Less",--(INDEX(Sims!$A1125:$BO1125,'Entry Builder'!$L$12)&lt;'Entry Builder'!$E$12),--(INDEX(Sims!$A1125:$BO1125,'Entry Builder'!$L$12)&gt;'Entry Builder'!$E$12)))</f>
        <v/>
      </c>
      <c r="G1125">
        <f>6-SUM(A1125:F1125)</f>
        <v/>
      </c>
    </row>
    <row r="1126">
      <c r="A1126">
        <f>IF('Entry Builder'!$N$7=0,1,IF('Entry Builder'!$D$7="Less",--(INDEX(Sims!$A1126:$BO1126,'Entry Builder'!$L$7)&lt;'Entry Builder'!$E$7),--(INDEX(Sims!$A1126:$BO1126,'Entry Builder'!$L$7)&gt;'Entry Builder'!$E$7)))</f>
        <v/>
      </c>
      <c r="B1126">
        <f>IF('Entry Builder'!$N$8=0,1,IF('Entry Builder'!$D$8="Less",--(INDEX(Sims!$A1126:$BO1126,'Entry Builder'!$L$8)&lt;'Entry Builder'!$E$8),--(INDEX(Sims!$A1126:$BO1126,'Entry Builder'!$L$8)&gt;'Entry Builder'!$E$8)))</f>
        <v/>
      </c>
      <c r="C1126">
        <f>IF('Entry Builder'!$N$9=0,1,IF('Entry Builder'!$D$9="Less",--(INDEX(Sims!$A1126:$BO1126,'Entry Builder'!$L$9)&lt;'Entry Builder'!$E$9),--(INDEX(Sims!$A1126:$BO1126,'Entry Builder'!$L$9)&gt;'Entry Builder'!$E$9)))</f>
        <v/>
      </c>
      <c r="D1126">
        <f>IF('Entry Builder'!$N$10=0,1,IF('Entry Builder'!$D$10="Less",--(INDEX(Sims!$A1126:$BO1126,'Entry Builder'!$L$10)&lt;'Entry Builder'!$E$10),--(INDEX(Sims!$A1126:$BO1126,'Entry Builder'!$L$10)&gt;'Entry Builder'!$E$10)))</f>
        <v/>
      </c>
      <c r="E1126">
        <f>IF('Entry Builder'!$N$11=0,1,IF('Entry Builder'!$D$11="Less",--(INDEX(Sims!$A1126:$BO1126,'Entry Builder'!$L$11)&lt;'Entry Builder'!$E$11),--(INDEX(Sims!$A1126:$BO1126,'Entry Builder'!$L$11)&gt;'Entry Builder'!$E$11)))</f>
        <v/>
      </c>
      <c r="F1126">
        <f>IF('Entry Builder'!$N$12=0,1,IF('Entry Builder'!$D$12="Less",--(INDEX(Sims!$A1126:$BO1126,'Entry Builder'!$L$12)&lt;'Entry Builder'!$E$12),--(INDEX(Sims!$A1126:$BO1126,'Entry Builder'!$L$12)&gt;'Entry Builder'!$E$12)))</f>
        <v/>
      </c>
      <c r="G1126">
        <f>6-SUM(A1126:F1126)</f>
        <v/>
      </c>
    </row>
    <row r="1127">
      <c r="A1127">
        <f>IF('Entry Builder'!$N$7=0,1,IF('Entry Builder'!$D$7="Less",--(INDEX(Sims!$A1127:$BO1127,'Entry Builder'!$L$7)&lt;'Entry Builder'!$E$7),--(INDEX(Sims!$A1127:$BO1127,'Entry Builder'!$L$7)&gt;'Entry Builder'!$E$7)))</f>
        <v/>
      </c>
      <c r="B1127">
        <f>IF('Entry Builder'!$N$8=0,1,IF('Entry Builder'!$D$8="Less",--(INDEX(Sims!$A1127:$BO1127,'Entry Builder'!$L$8)&lt;'Entry Builder'!$E$8),--(INDEX(Sims!$A1127:$BO1127,'Entry Builder'!$L$8)&gt;'Entry Builder'!$E$8)))</f>
        <v/>
      </c>
      <c r="C1127">
        <f>IF('Entry Builder'!$N$9=0,1,IF('Entry Builder'!$D$9="Less",--(INDEX(Sims!$A1127:$BO1127,'Entry Builder'!$L$9)&lt;'Entry Builder'!$E$9),--(INDEX(Sims!$A1127:$BO1127,'Entry Builder'!$L$9)&gt;'Entry Builder'!$E$9)))</f>
        <v/>
      </c>
      <c r="D1127">
        <f>IF('Entry Builder'!$N$10=0,1,IF('Entry Builder'!$D$10="Less",--(INDEX(Sims!$A1127:$BO1127,'Entry Builder'!$L$10)&lt;'Entry Builder'!$E$10),--(INDEX(Sims!$A1127:$BO1127,'Entry Builder'!$L$10)&gt;'Entry Builder'!$E$10)))</f>
        <v/>
      </c>
      <c r="E1127">
        <f>IF('Entry Builder'!$N$11=0,1,IF('Entry Builder'!$D$11="Less",--(INDEX(Sims!$A1127:$BO1127,'Entry Builder'!$L$11)&lt;'Entry Builder'!$E$11),--(INDEX(Sims!$A1127:$BO1127,'Entry Builder'!$L$11)&gt;'Entry Builder'!$E$11)))</f>
        <v/>
      </c>
      <c r="F1127">
        <f>IF('Entry Builder'!$N$12=0,1,IF('Entry Builder'!$D$12="Less",--(INDEX(Sims!$A1127:$BO1127,'Entry Builder'!$L$12)&lt;'Entry Builder'!$E$12),--(INDEX(Sims!$A1127:$BO1127,'Entry Builder'!$L$12)&gt;'Entry Builder'!$E$12)))</f>
        <v/>
      </c>
      <c r="G1127">
        <f>6-SUM(A1127:F1127)</f>
        <v/>
      </c>
    </row>
    <row r="1128">
      <c r="A1128">
        <f>IF('Entry Builder'!$N$7=0,1,IF('Entry Builder'!$D$7="Less",--(INDEX(Sims!$A1128:$BO1128,'Entry Builder'!$L$7)&lt;'Entry Builder'!$E$7),--(INDEX(Sims!$A1128:$BO1128,'Entry Builder'!$L$7)&gt;'Entry Builder'!$E$7)))</f>
        <v/>
      </c>
      <c r="B1128">
        <f>IF('Entry Builder'!$N$8=0,1,IF('Entry Builder'!$D$8="Less",--(INDEX(Sims!$A1128:$BO1128,'Entry Builder'!$L$8)&lt;'Entry Builder'!$E$8),--(INDEX(Sims!$A1128:$BO1128,'Entry Builder'!$L$8)&gt;'Entry Builder'!$E$8)))</f>
        <v/>
      </c>
      <c r="C1128">
        <f>IF('Entry Builder'!$N$9=0,1,IF('Entry Builder'!$D$9="Less",--(INDEX(Sims!$A1128:$BO1128,'Entry Builder'!$L$9)&lt;'Entry Builder'!$E$9),--(INDEX(Sims!$A1128:$BO1128,'Entry Builder'!$L$9)&gt;'Entry Builder'!$E$9)))</f>
        <v/>
      </c>
      <c r="D1128">
        <f>IF('Entry Builder'!$N$10=0,1,IF('Entry Builder'!$D$10="Less",--(INDEX(Sims!$A1128:$BO1128,'Entry Builder'!$L$10)&lt;'Entry Builder'!$E$10),--(INDEX(Sims!$A1128:$BO1128,'Entry Builder'!$L$10)&gt;'Entry Builder'!$E$10)))</f>
        <v/>
      </c>
      <c r="E1128">
        <f>IF('Entry Builder'!$N$11=0,1,IF('Entry Builder'!$D$11="Less",--(INDEX(Sims!$A1128:$BO1128,'Entry Builder'!$L$11)&lt;'Entry Builder'!$E$11),--(INDEX(Sims!$A1128:$BO1128,'Entry Builder'!$L$11)&gt;'Entry Builder'!$E$11)))</f>
        <v/>
      </c>
      <c r="F1128">
        <f>IF('Entry Builder'!$N$12=0,1,IF('Entry Builder'!$D$12="Less",--(INDEX(Sims!$A1128:$BO1128,'Entry Builder'!$L$12)&lt;'Entry Builder'!$E$12),--(INDEX(Sims!$A1128:$BO1128,'Entry Builder'!$L$12)&gt;'Entry Builder'!$E$12)))</f>
        <v/>
      </c>
      <c r="G1128">
        <f>6-SUM(A1128:F1128)</f>
        <v/>
      </c>
    </row>
    <row r="1129">
      <c r="A1129">
        <f>IF('Entry Builder'!$N$7=0,1,IF('Entry Builder'!$D$7="Less",--(INDEX(Sims!$A1129:$BO1129,'Entry Builder'!$L$7)&lt;'Entry Builder'!$E$7),--(INDEX(Sims!$A1129:$BO1129,'Entry Builder'!$L$7)&gt;'Entry Builder'!$E$7)))</f>
        <v/>
      </c>
      <c r="B1129">
        <f>IF('Entry Builder'!$N$8=0,1,IF('Entry Builder'!$D$8="Less",--(INDEX(Sims!$A1129:$BO1129,'Entry Builder'!$L$8)&lt;'Entry Builder'!$E$8),--(INDEX(Sims!$A1129:$BO1129,'Entry Builder'!$L$8)&gt;'Entry Builder'!$E$8)))</f>
        <v/>
      </c>
      <c r="C1129">
        <f>IF('Entry Builder'!$N$9=0,1,IF('Entry Builder'!$D$9="Less",--(INDEX(Sims!$A1129:$BO1129,'Entry Builder'!$L$9)&lt;'Entry Builder'!$E$9),--(INDEX(Sims!$A1129:$BO1129,'Entry Builder'!$L$9)&gt;'Entry Builder'!$E$9)))</f>
        <v/>
      </c>
      <c r="D1129">
        <f>IF('Entry Builder'!$N$10=0,1,IF('Entry Builder'!$D$10="Less",--(INDEX(Sims!$A1129:$BO1129,'Entry Builder'!$L$10)&lt;'Entry Builder'!$E$10),--(INDEX(Sims!$A1129:$BO1129,'Entry Builder'!$L$10)&gt;'Entry Builder'!$E$10)))</f>
        <v/>
      </c>
      <c r="E1129">
        <f>IF('Entry Builder'!$N$11=0,1,IF('Entry Builder'!$D$11="Less",--(INDEX(Sims!$A1129:$BO1129,'Entry Builder'!$L$11)&lt;'Entry Builder'!$E$11),--(INDEX(Sims!$A1129:$BO1129,'Entry Builder'!$L$11)&gt;'Entry Builder'!$E$11)))</f>
        <v/>
      </c>
      <c r="F1129">
        <f>IF('Entry Builder'!$N$12=0,1,IF('Entry Builder'!$D$12="Less",--(INDEX(Sims!$A1129:$BO1129,'Entry Builder'!$L$12)&lt;'Entry Builder'!$E$12),--(INDEX(Sims!$A1129:$BO1129,'Entry Builder'!$L$12)&gt;'Entry Builder'!$E$12)))</f>
        <v/>
      </c>
      <c r="G1129">
        <f>6-SUM(A1129:F1129)</f>
        <v/>
      </c>
    </row>
    <row r="1130">
      <c r="A1130">
        <f>IF('Entry Builder'!$N$7=0,1,IF('Entry Builder'!$D$7="Less",--(INDEX(Sims!$A1130:$BO1130,'Entry Builder'!$L$7)&lt;'Entry Builder'!$E$7),--(INDEX(Sims!$A1130:$BO1130,'Entry Builder'!$L$7)&gt;'Entry Builder'!$E$7)))</f>
        <v/>
      </c>
      <c r="B1130">
        <f>IF('Entry Builder'!$N$8=0,1,IF('Entry Builder'!$D$8="Less",--(INDEX(Sims!$A1130:$BO1130,'Entry Builder'!$L$8)&lt;'Entry Builder'!$E$8),--(INDEX(Sims!$A1130:$BO1130,'Entry Builder'!$L$8)&gt;'Entry Builder'!$E$8)))</f>
        <v/>
      </c>
      <c r="C1130">
        <f>IF('Entry Builder'!$N$9=0,1,IF('Entry Builder'!$D$9="Less",--(INDEX(Sims!$A1130:$BO1130,'Entry Builder'!$L$9)&lt;'Entry Builder'!$E$9),--(INDEX(Sims!$A1130:$BO1130,'Entry Builder'!$L$9)&gt;'Entry Builder'!$E$9)))</f>
        <v/>
      </c>
      <c r="D1130">
        <f>IF('Entry Builder'!$N$10=0,1,IF('Entry Builder'!$D$10="Less",--(INDEX(Sims!$A1130:$BO1130,'Entry Builder'!$L$10)&lt;'Entry Builder'!$E$10),--(INDEX(Sims!$A1130:$BO1130,'Entry Builder'!$L$10)&gt;'Entry Builder'!$E$10)))</f>
        <v/>
      </c>
      <c r="E1130">
        <f>IF('Entry Builder'!$N$11=0,1,IF('Entry Builder'!$D$11="Less",--(INDEX(Sims!$A1130:$BO1130,'Entry Builder'!$L$11)&lt;'Entry Builder'!$E$11),--(INDEX(Sims!$A1130:$BO1130,'Entry Builder'!$L$11)&gt;'Entry Builder'!$E$11)))</f>
        <v/>
      </c>
      <c r="F1130">
        <f>IF('Entry Builder'!$N$12=0,1,IF('Entry Builder'!$D$12="Less",--(INDEX(Sims!$A1130:$BO1130,'Entry Builder'!$L$12)&lt;'Entry Builder'!$E$12),--(INDEX(Sims!$A1130:$BO1130,'Entry Builder'!$L$12)&gt;'Entry Builder'!$E$12)))</f>
        <v/>
      </c>
      <c r="G1130">
        <f>6-SUM(A1130:F1130)</f>
        <v/>
      </c>
    </row>
    <row r="1131">
      <c r="A1131">
        <f>IF('Entry Builder'!$N$7=0,1,IF('Entry Builder'!$D$7="Less",--(INDEX(Sims!$A1131:$BO1131,'Entry Builder'!$L$7)&lt;'Entry Builder'!$E$7),--(INDEX(Sims!$A1131:$BO1131,'Entry Builder'!$L$7)&gt;'Entry Builder'!$E$7)))</f>
        <v/>
      </c>
      <c r="B1131">
        <f>IF('Entry Builder'!$N$8=0,1,IF('Entry Builder'!$D$8="Less",--(INDEX(Sims!$A1131:$BO1131,'Entry Builder'!$L$8)&lt;'Entry Builder'!$E$8),--(INDEX(Sims!$A1131:$BO1131,'Entry Builder'!$L$8)&gt;'Entry Builder'!$E$8)))</f>
        <v/>
      </c>
      <c r="C1131">
        <f>IF('Entry Builder'!$N$9=0,1,IF('Entry Builder'!$D$9="Less",--(INDEX(Sims!$A1131:$BO1131,'Entry Builder'!$L$9)&lt;'Entry Builder'!$E$9),--(INDEX(Sims!$A1131:$BO1131,'Entry Builder'!$L$9)&gt;'Entry Builder'!$E$9)))</f>
        <v/>
      </c>
      <c r="D1131">
        <f>IF('Entry Builder'!$N$10=0,1,IF('Entry Builder'!$D$10="Less",--(INDEX(Sims!$A1131:$BO1131,'Entry Builder'!$L$10)&lt;'Entry Builder'!$E$10),--(INDEX(Sims!$A1131:$BO1131,'Entry Builder'!$L$10)&gt;'Entry Builder'!$E$10)))</f>
        <v/>
      </c>
      <c r="E1131">
        <f>IF('Entry Builder'!$N$11=0,1,IF('Entry Builder'!$D$11="Less",--(INDEX(Sims!$A1131:$BO1131,'Entry Builder'!$L$11)&lt;'Entry Builder'!$E$11),--(INDEX(Sims!$A1131:$BO1131,'Entry Builder'!$L$11)&gt;'Entry Builder'!$E$11)))</f>
        <v/>
      </c>
      <c r="F1131">
        <f>IF('Entry Builder'!$N$12=0,1,IF('Entry Builder'!$D$12="Less",--(INDEX(Sims!$A1131:$BO1131,'Entry Builder'!$L$12)&lt;'Entry Builder'!$E$12),--(INDEX(Sims!$A1131:$BO1131,'Entry Builder'!$L$12)&gt;'Entry Builder'!$E$12)))</f>
        <v/>
      </c>
      <c r="G1131">
        <f>6-SUM(A1131:F1131)</f>
        <v/>
      </c>
    </row>
    <row r="1132">
      <c r="A1132">
        <f>IF('Entry Builder'!$N$7=0,1,IF('Entry Builder'!$D$7="Less",--(INDEX(Sims!$A1132:$BO1132,'Entry Builder'!$L$7)&lt;'Entry Builder'!$E$7),--(INDEX(Sims!$A1132:$BO1132,'Entry Builder'!$L$7)&gt;'Entry Builder'!$E$7)))</f>
        <v/>
      </c>
      <c r="B1132">
        <f>IF('Entry Builder'!$N$8=0,1,IF('Entry Builder'!$D$8="Less",--(INDEX(Sims!$A1132:$BO1132,'Entry Builder'!$L$8)&lt;'Entry Builder'!$E$8),--(INDEX(Sims!$A1132:$BO1132,'Entry Builder'!$L$8)&gt;'Entry Builder'!$E$8)))</f>
        <v/>
      </c>
      <c r="C1132">
        <f>IF('Entry Builder'!$N$9=0,1,IF('Entry Builder'!$D$9="Less",--(INDEX(Sims!$A1132:$BO1132,'Entry Builder'!$L$9)&lt;'Entry Builder'!$E$9),--(INDEX(Sims!$A1132:$BO1132,'Entry Builder'!$L$9)&gt;'Entry Builder'!$E$9)))</f>
        <v/>
      </c>
      <c r="D1132">
        <f>IF('Entry Builder'!$N$10=0,1,IF('Entry Builder'!$D$10="Less",--(INDEX(Sims!$A1132:$BO1132,'Entry Builder'!$L$10)&lt;'Entry Builder'!$E$10),--(INDEX(Sims!$A1132:$BO1132,'Entry Builder'!$L$10)&gt;'Entry Builder'!$E$10)))</f>
        <v/>
      </c>
      <c r="E1132">
        <f>IF('Entry Builder'!$N$11=0,1,IF('Entry Builder'!$D$11="Less",--(INDEX(Sims!$A1132:$BO1132,'Entry Builder'!$L$11)&lt;'Entry Builder'!$E$11),--(INDEX(Sims!$A1132:$BO1132,'Entry Builder'!$L$11)&gt;'Entry Builder'!$E$11)))</f>
        <v/>
      </c>
      <c r="F1132">
        <f>IF('Entry Builder'!$N$12=0,1,IF('Entry Builder'!$D$12="Less",--(INDEX(Sims!$A1132:$BO1132,'Entry Builder'!$L$12)&lt;'Entry Builder'!$E$12),--(INDEX(Sims!$A1132:$BO1132,'Entry Builder'!$L$12)&gt;'Entry Builder'!$E$12)))</f>
        <v/>
      </c>
      <c r="G1132">
        <f>6-SUM(A1132:F1132)</f>
        <v/>
      </c>
    </row>
    <row r="1133">
      <c r="A1133">
        <f>IF('Entry Builder'!$N$7=0,1,IF('Entry Builder'!$D$7="Less",--(INDEX(Sims!$A1133:$BO1133,'Entry Builder'!$L$7)&lt;'Entry Builder'!$E$7),--(INDEX(Sims!$A1133:$BO1133,'Entry Builder'!$L$7)&gt;'Entry Builder'!$E$7)))</f>
        <v/>
      </c>
      <c r="B1133">
        <f>IF('Entry Builder'!$N$8=0,1,IF('Entry Builder'!$D$8="Less",--(INDEX(Sims!$A1133:$BO1133,'Entry Builder'!$L$8)&lt;'Entry Builder'!$E$8),--(INDEX(Sims!$A1133:$BO1133,'Entry Builder'!$L$8)&gt;'Entry Builder'!$E$8)))</f>
        <v/>
      </c>
      <c r="C1133">
        <f>IF('Entry Builder'!$N$9=0,1,IF('Entry Builder'!$D$9="Less",--(INDEX(Sims!$A1133:$BO1133,'Entry Builder'!$L$9)&lt;'Entry Builder'!$E$9),--(INDEX(Sims!$A1133:$BO1133,'Entry Builder'!$L$9)&gt;'Entry Builder'!$E$9)))</f>
        <v/>
      </c>
      <c r="D1133">
        <f>IF('Entry Builder'!$N$10=0,1,IF('Entry Builder'!$D$10="Less",--(INDEX(Sims!$A1133:$BO1133,'Entry Builder'!$L$10)&lt;'Entry Builder'!$E$10),--(INDEX(Sims!$A1133:$BO1133,'Entry Builder'!$L$10)&gt;'Entry Builder'!$E$10)))</f>
        <v/>
      </c>
      <c r="E1133">
        <f>IF('Entry Builder'!$N$11=0,1,IF('Entry Builder'!$D$11="Less",--(INDEX(Sims!$A1133:$BO1133,'Entry Builder'!$L$11)&lt;'Entry Builder'!$E$11),--(INDEX(Sims!$A1133:$BO1133,'Entry Builder'!$L$11)&gt;'Entry Builder'!$E$11)))</f>
        <v/>
      </c>
      <c r="F1133">
        <f>IF('Entry Builder'!$N$12=0,1,IF('Entry Builder'!$D$12="Less",--(INDEX(Sims!$A1133:$BO1133,'Entry Builder'!$L$12)&lt;'Entry Builder'!$E$12),--(INDEX(Sims!$A1133:$BO1133,'Entry Builder'!$L$12)&gt;'Entry Builder'!$E$12)))</f>
        <v/>
      </c>
      <c r="G1133">
        <f>6-SUM(A1133:F1133)</f>
        <v/>
      </c>
    </row>
    <row r="1134">
      <c r="A1134">
        <f>IF('Entry Builder'!$N$7=0,1,IF('Entry Builder'!$D$7="Less",--(INDEX(Sims!$A1134:$BO1134,'Entry Builder'!$L$7)&lt;'Entry Builder'!$E$7),--(INDEX(Sims!$A1134:$BO1134,'Entry Builder'!$L$7)&gt;'Entry Builder'!$E$7)))</f>
        <v/>
      </c>
      <c r="B1134">
        <f>IF('Entry Builder'!$N$8=0,1,IF('Entry Builder'!$D$8="Less",--(INDEX(Sims!$A1134:$BO1134,'Entry Builder'!$L$8)&lt;'Entry Builder'!$E$8),--(INDEX(Sims!$A1134:$BO1134,'Entry Builder'!$L$8)&gt;'Entry Builder'!$E$8)))</f>
        <v/>
      </c>
      <c r="C1134">
        <f>IF('Entry Builder'!$N$9=0,1,IF('Entry Builder'!$D$9="Less",--(INDEX(Sims!$A1134:$BO1134,'Entry Builder'!$L$9)&lt;'Entry Builder'!$E$9),--(INDEX(Sims!$A1134:$BO1134,'Entry Builder'!$L$9)&gt;'Entry Builder'!$E$9)))</f>
        <v/>
      </c>
      <c r="D1134">
        <f>IF('Entry Builder'!$N$10=0,1,IF('Entry Builder'!$D$10="Less",--(INDEX(Sims!$A1134:$BO1134,'Entry Builder'!$L$10)&lt;'Entry Builder'!$E$10),--(INDEX(Sims!$A1134:$BO1134,'Entry Builder'!$L$10)&gt;'Entry Builder'!$E$10)))</f>
        <v/>
      </c>
      <c r="E1134">
        <f>IF('Entry Builder'!$N$11=0,1,IF('Entry Builder'!$D$11="Less",--(INDEX(Sims!$A1134:$BO1134,'Entry Builder'!$L$11)&lt;'Entry Builder'!$E$11),--(INDEX(Sims!$A1134:$BO1134,'Entry Builder'!$L$11)&gt;'Entry Builder'!$E$11)))</f>
        <v/>
      </c>
      <c r="F1134">
        <f>IF('Entry Builder'!$N$12=0,1,IF('Entry Builder'!$D$12="Less",--(INDEX(Sims!$A1134:$BO1134,'Entry Builder'!$L$12)&lt;'Entry Builder'!$E$12),--(INDEX(Sims!$A1134:$BO1134,'Entry Builder'!$L$12)&gt;'Entry Builder'!$E$12)))</f>
        <v/>
      </c>
      <c r="G1134">
        <f>6-SUM(A1134:F1134)</f>
        <v/>
      </c>
    </row>
    <row r="1135">
      <c r="A1135">
        <f>IF('Entry Builder'!$N$7=0,1,IF('Entry Builder'!$D$7="Less",--(INDEX(Sims!$A1135:$BO1135,'Entry Builder'!$L$7)&lt;'Entry Builder'!$E$7),--(INDEX(Sims!$A1135:$BO1135,'Entry Builder'!$L$7)&gt;'Entry Builder'!$E$7)))</f>
        <v/>
      </c>
      <c r="B1135">
        <f>IF('Entry Builder'!$N$8=0,1,IF('Entry Builder'!$D$8="Less",--(INDEX(Sims!$A1135:$BO1135,'Entry Builder'!$L$8)&lt;'Entry Builder'!$E$8),--(INDEX(Sims!$A1135:$BO1135,'Entry Builder'!$L$8)&gt;'Entry Builder'!$E$8)))</f>
        <v/>
      </c>
      <c r="C1135">
        <f>IF('Entry Builder'!$N$9=0,1,IF('Entry Builder'!$D$9="Less",--(INDEX(Sims!$A1135:$BO1135,'Entry Builder'!$L$9)&lt;'Entry Builder'!$E$9),--(INDEX(Sims!$A1135:$BO1135,'Entry Builder'!$L$9)&gt;'Entry Builder'!$E$9)))</f>
        <v/>
      </c>
      <c r="D1135">
        <f>IF('Entry Builder'!$N$10=0,1,IF('Entry Builder'!$D$10="Less",--(INDEX(Sims!$A1135:$BO1135,'Entry Builder'!$L$10)&lt;'Entry Builder'!$E$10),--(INDEX(Sims!$A1135:$BO1135,'Entry Builder'!$L$10)&gt;'Entry Builder'!$E$10)))</f>
        <v/>
      </c>
      <c r="E1135">
        <f>IF('Entry Builder'!$N$11=0,1,IF('Entry Builder'!$D$11="Less",--(INDEX(Sims!$A1135:$BO1135,'Entry Builder'!$L$11)&lt;'Entry Builder'!$E$11),--(INDEX(Sims!$A1135:$BO1135,'Entry Builder'!$L$11)&gt;'Entry Builder'!$E$11)))</f>
        <v/>
      </c>
      <c r="F1135">
        <f>IF('Entry Builder'!$N$12=0,1,IF('Entry Builder'!$D$12="Less",--(INDEX(Sims!$A1135:$BO1135,'Entry Builder'!$L$12)&lt;'Entry Builder'!$E$12),--(INDEX(Sims!$A1135:$BO1135,'Entry Builder'!$L$12)&gt;'Entry Builder'!$E$12)))</f>
        <v/>
      </c>
      <c r="G1135">
        <f>6-SUM(A1135:F1135)</f>
        <v/>
      </c>
    </row>
    <row r="1136">
      <c r="A1136">
        <f>IF('Entry Builder'!$N$7=0,1,IF('Entry Builder'!$D$7="Less",--(INDEX(Sims!$A1136:$BO1136,'Entry Builder'!$L$7)&lt;'Entry Builder'!$E$7),--(INDEX(Sims!$A1136:$BO1136,'Entry Builder'!$L$7)&gt;'Entry Builder'!$E$7)))</f>
        <v/>
      </c>
      <c r="B1136">
        <f>IF('Entry Builder'!$N$8=0,1,IF('Entry Builder'!$D$8="Less",--(INDEX(Sims!$A1136:$BO1136,'Entry Builder'!$L$8)&lt;'Entry Builder'!$E$8),--(INDEX(Sims!$A1136:$BO1136,'Entry Builder'!$L$8)&gt;'Entry Builder'!$E$8)))</f>
        <v/>
      </c>
      <c r="C1136">
        <f>IF('Entry Builder'!$N$9=0,1,IF('Entry Builder'!$D$9="Less",--(INDEX(Sims!$A1136:$BO1136,'Entry Builder'!$L$9)&lt;'Entry Builder'!$E$9),--(INDEX(Sims!$A1136:$BO1136,'Entry Builder'!$L$9)&gt;'Entry Builder'!$E$9)))</f>
        <v/>
      </c>
      <c r="D1136">
        <f>IF('Entry Builder'!$N$10=0,1,IF('Entry Builder'!$D$10="Less",--(INDEX(Sims!$A1136:$BO1136,'Entry Builder'!$L$10)&lt;'Entry Builder'!$E$10),--(INDEX(Sims!$A1136:$BO1136,'Entry Builder'!$L$10)&gt;'Entry Builder'!$E$10)))</f>
        <v/>
      </c>
      <c r="E1136">
        <f>IF('Entry Builder'!$N$11=0,1,IF('Entry Builder'!$D$11="Less",--(INDEX(Sims!$A1136:$BO1136,'Entry Builder'!$L$11)&lt;'Entry Builder'!$E$11),--(INDEX(Sims!$A1136:$BO1136,'Entry Builder'!$L$11)&gt;'Entry Builder'!$E$11)))</f>
        <v/>
      </c>
      <c r="F1136">
        <f>IF('Entry Builder'!$N$12=0,1,IF('Entry Builder'!$D$12="Less",--(INDEX(Sims!$A1136:$BO1136,'Entry Builder'!$L$12)&lt;'Entry Builder'!$E$12),--(INDEX(Sims!$A1136:$BO1136,'Entry Builder'!$L$12)&gt;'Entry Builder'!$E$12)))</f>
        <v/>
      </c>
      <c r="G1136">
        <f>6-SUM(A1136:F1136)</f>
        <v/>
      </c>
    </row>
    <row r="1137">
      <c r="A1137">
        <f>IF('Entry Builder'!$N$7=0,1,IF('Entry Builder'!$D$7="Less",--(INDEX(Sims!$A1137:$BO1137,'Entry Builder'!$L$7)&lt;'Entry Builder'!$E$7),--(INDEX(Sims!$A1137:$BO1137,'Entry Builder'!$L$7)&gt;'Entry Builder'!$E$7)))</f>
        <v/>
      </c>
      <c r="B1137">
        <f>IF('Entry Builder'!$N$8=0,1,IF('Entry Builder'!$D$8="Less",--(INDEX(Sims!$A1137:$BO1137,'Entry Builder'!$L$8)&lt;'Entry Builder'!$E$8),--(INDEX(Sims!$A1137:$BO1137,'Entry Builder'!$L$8)&gt;'Entry Builder'!$E$8)))</f>
        <v/>
      </c>
      <c r="C1137">
        <f>IF('Entry Builder'!$N$9=0,1,IF('Entry Builder'!$D$9="Less",--(INDEX(Sims!$A1137:$BO1137,'Entry Builder'!$L$9)&lt;'Entry Builder'!$E$9),--(INDEX(Sims!$A1137:$BO1137,'Entry Builder'!$L$9)&gt;'Entry Builder'!$E$9)))</f>
        <v/>
      </c>
      <c r="D1137">
        <f>IF('Entry Builder'!$N$10=0,1,IF('Entry Builder'!$D$10="Less",--(INDEX(Sims!$A1137:$BO1137,'Entry Builder'!$L$10)&lt;'Entry Builder'!$E$10),--(INDEX(Sims!$A1137:$BO1137,'Entry Builder'!$L$10)&gt;'Entry Builder'!$E$10)))</f>
        <v/>
      </c>
      <c r="E1137">
        <f>IF('Entry Builder'!$N$11=0,1,IF('Entry Builder'!$D$11="Less",--(INDEX(Sims!$A1137:$BO1137,'Entry Builder'!$L$11)&lt;'Entry Builder'!$E$11),--(INDEX(Sims!$A1137:$BO1137,'Entry Builder'!$L$11)&gt;'Entry Builder'!$E$11)))</f>
        <v/>
      </c>
      <c r="F1137">
        <f>IF('Entry Builder'!$N$12=0,1,IF('Entry Builder'!$D$12="Less",--(INDEX(Sims!$A1137:$BO1137,'Entry Builder'!$L$12)&lt;'Entry Builder'!$E$12),--(INDEX(Sims!$A1137:$BO1137,'Entry Builder'!$L$12)&gt;'Entry Builder'!$E$12)))</f>
        <v/>
      </c>
      <c r="G1137">
        <f>6-SUM(A1137:F1137)</f>
        <v/>
      </c>
    </row>
    <row r="1138">
      <c r="A1138">
        <f>IF('Entry Builder'!$N$7=0,1,IF('Entry Builder'!$D$7="Less",--(INDEX(Sims!$A1138:$BO1138,'Entry Builder'!$L$7)&lt;'Entry Builder'!$E$7),--(INDEX(Sims!$A1138:$BO1138,'Entry Builder'!$L$7)&gt;'Entry Builder'!$E$7)))</f>
        <v/>
      </c>
      <c r="B1138">
        <f>IF('Entry Builder'!$N$8=0,1,IF('Entry Builder'!$D$8="Less",--(INDEX(Sims!$A1138:$BO1138,'Entry Builder'!$L$8)&lt;'Entry Builder'!$E$8),--(INDEX(Sims!$A1138:$BO1138,'Entry Builder'!$L$8)&gt;'Entry Builder'!$E$8)))</f>
        <v/>
      </c>
      <c r="C1138">
        <f>IF('Entry Builder'!$N$9=0,1,IF('Entry Builder'!$D$9="Less",--(INDEX(Sims!$A1138:$BO1138,'Entry Builder'!$L$9)&lt;'Entry Builder'!$E$9),--(INDEX(Sims!$A1138:$BO1138,'Entry Builder'!$L$9)&gt;'Entry Builder'!$E$9)))</f>
        <v/>
      </c>
      <c r="D1138">
        <f>IF('Entry Builder'!$N$10=0,1,IF('Entry Builder'!$D$10="Less",--(INDEX(Sims!$A1138:$BO1138,'Entry Builder'!$L$10)&lt;'Entry Builder'!$E$10),--(INDEX(Sims!$A1138:$BO1138,'Entry Builder'!$L$10)&gt;'Entry Builder'!$E$10)))</f>
        <v/>
      </c>
      <c r="E1138">
        <f>IF('Entry Builder'!$N$11=0,1,IF('Entry Builder'!$D$11="Less",--(INDEX(Sims!$A1138:$BO1138,'Entry Builder'!$L$11)&lt;'Entry Builder'!$E$11),--(INDEX(Sims!$A1138:$BO1138,'Entry Builder'!$L$11)&gt;'Entry Builder'!$E$11)))</f>
        <v/>
      </c>
      <c r="F1138">
        <f>IF('Entry Builder'!$N$12=0,1,IF('Entry Builder'!$D$12="Less",--(INDEX(Sims!$A1138:$BO1138,'Entry Builder'!$L$12)&lt;'Entry Builder'!$E$12),--(INDEX(Sims!$A1138:$BO1138,'Entry Builder'!$L$12)&gt;'Entry Builder'!$E$12)))</f>
        <v/>
      </c>
      <c r="G1138">
        <f>6-SUM(A1138:F1138)</f>
        <v/>
      </c>
    </row>
    <row r="1139">
      <c r="A1139">
        <f>IF('Entry Builder'!$N$7=0,1,IF('Entry Builder'!$D$7="Less",--(INDEX(Sims!$A1139:$BO1139,'Entry Builder'!$L$7)&lt;'Entry Builder'!$E$7),--(INDEX(Sims!$A1139:$BO1139,'Entry Builder'!$L$7)&gt;'Entry Builder'!$E$7)))</f>
        <v/>
      </c>
      <c r="B1139">
        <f>IF('Entry Builder'!$N$8=0,1,IF('Entry Builder'!$D$8="Less",--(INDEX(Sims!$A1139:$BO1139,'Entry Builder'!$L$8)&lt;'Entry Builder'!$E$8),--(INDEX(Sims!$A1139:$BO1139,'Entry Builder'!$L$8)&gt;'Entry Builder'!$E$8)))</f>
        <v/>
      </c>
      <c r="C1139">
        <f>IF('Entry Builder'!$N$9=0,1,IF('Entry Builder'!$D$9="Less",--(INDEX(Sims!$A1139:$BO1139,'Entry Builder'!$L$9)&lt;'Entry Builder'!$E$9),--(INDEX(Sims!$A1139:$BO1139,'Entry Builder'!$L$9)&gt;'Entry Builder'!$E$9)))</f>
        <v/>
      </c>
      <c r="D1139">
        <f>IF('Entry Builder'!$N$10=0,1,IF('Entry Builder'!$D$10="Less",--(INDEX(Sims!$A1139:$BO1139,'Entry Builder'!$L$10)&lt;'Entry Builder'!$E$10),--(INDEX(Sims!$A1139:$BO1139,'Entry Builder'!$L$10)&gt;'Entry Builder'!$E$10)))</f>
        <v/>
      </c>
      <c r="E1139">
        <f>IF('Entry Builder'!$N$11=0,1,IF('Entry Builder'!$D$11="Less",--(INDEX(Sims!$A1139:$BO1139,'Entry Builder'!$L$11)&lt;'Entry Builder'!$E$11),--(INDEX(Sims!$A1139:$BO1139,'Entry Builder'!$L$11)&gt;'Entry Builder'!$E$11)))</f>
        <v/>
      </c>
      <c r="F1139">
        <f>IF('Entry Builder'!$N$12=0,1,IF('Entry Builder'!$D$12="Less",--(INDEX(Sims!$A1139:$BO1139,'Entry Builder'!$L$12)&lt;'Entry Builder'!$E$12),--(INDEX(Sims!$A1139:$BO1139,'Entry Builder'!$L$12)&gt;'Entry Builder'!$E$12)))</f>
        <v/>
      </c>
      <c r="G1139">
        <f>6-SUM(A1139:F1139)</f>
        <v/>
      </c>
    </row>
    <row r="1140">
      <c r="A1140">
        <f>IF('Entry Builder'!$N$7=0,1,IF('Entry Builder'!$D$7="Less",--(INDEX(Sims!$A1140:$BO1140,'Entry Builder'!$L$7)&lt;'Entry Builder'!$E$7),--(INDEX(Sims!$A1140:$BO1140,'Entry Builder'!$L$7)&gt;'Entry Builder'!$E$7)))</f>
        <v/>
      </c>
      <c r="B1140">
        <f>IF('Entry Builder'!$N$8=0,1,IF('Entry Builder'!$D$8="Less",--(INDEX(Sims!$A1140:$BO1140,'Entry Builder'!$L$8)&lt;'Entry Builder'!$E$8),--(INDEX(Sims!$A1140:$BO1140,'Entry Builder'!$L$8)&gt;'Entry Builder'!$E$8)))</f>
        <v/>
      </c>
      <c r="C1140">
        <f>IF('Entry Builder'!$N$9=0,1,IF('Entry Builder'!$D$9="Less",--(INDEX(Sims!$A1140:$BO1140,'Entry Builder'!$L$9)&lt;'Entry Builder'!$E$9),--(INDEX(Sims!$A1140:$BO1140,'Entry Builder'!$L$9)&gt;'Entry Builder'!$E$9)))</f>
        <v/>
      </c>
      <c r="D1140">
        <f>IF('Entry Builder'!$N$10=0,1,IF('Entry Builder'!$D$10="Less",--(INDEX(Sims!$A1140:$BO1140,'Entry Builder'!$L$10)&lt;'Entry Builder'!$E$10),--(INDEX(Sims!$A1140:$BO1140,'Entry Builder'!$L$10)&gt;'Entry Builder'!$E$10)))</f>
        <v/>
      </c>
      <c r="E1140">
        <f>IF('Entry Builder'!$N$11=0,1,IF('Entry Builder'!$D$11="Less",--(INDEX(Sims!$A1140:$BO1140,'Entry Builder'!$L$11)&lt;'Entry Builder'!$E$11),--(INDEX(Sims!$A1140:$BO1140,'Entry Builder'!$L$11)&gt;'Entry Builder'!$E$11)))</f>
        <v/>
      </c>
      <c r="F1140">
        <f>IF('Entry Builder'!$N$12=0,1,IF('Entry Builder'!$D$12="Less",--(INDEX(Sims!$A1140:$BO1140,'Entry Builder'!$L$12)&lt;'Entry Builder'!$E$12),--(INDEX(Sims!$A1140:$BO1140,'Entry Builder'!$L$12)&gt;'Entry Builder'!$E$12)))</f>
        <v/>
      </c>
      <c r="G1140">
        <f>6-SUM(A1140:F1140)</f>
        <v/>
      </c>
    </row>
    <row r="1141">
      <c r="A1141">
        <f>IF('Entry Builder'!$N$7=0,1,IF('Entry Builder'!$D$7="Less",--(INDEX(Sims!$A1141:$BO1141,'Entry Builder'!$L$7)&lt;'Entry Builder'!$E$7),--(INDEX(Sims!$A1141:$BO1141,'Entry Builder'!$L$7)&gt;'Entry Builder'!$E$7)))</f>
        <v/>
      </c>
      <c r="B1141">
        <f>IF('Entry Builder'!$N$8=0,1,IF('Entry Builder'!$D$8="Less",--(INDEX(Sims!$A1141:$BO1141,'Entry Builder'!$L$8)&lt;'Entry Builder'!$E$8),--(INDEX(Sims!$A1141:$BO1141,'Entry Builder'!$L$8)&gt;'Entry Builder'!$E$8)))</f>
        <v/>
      </c>
      <c r="C1141">
        <f>IF('Entry Builder'!$N$9=0,1,IF('Entry Builder'!$D$9="Less",--(INDEX(Sims!$A1141:$BO1141,'Entry Builder'!$L$9)&lt;'Entry Builder'!$E$9),--(INDEX(Sims!$A1141:$BO1141,'Entry Builder'!$L$9)&gt;'Entry Builder'!$E$9)))</f>
        <v/>
      </c>
      <c r="D1141">
        <f>IF('Entry Builder'!$N$10=0,1,IF('Entry Builder'!$D$10="Less",--(INDEX(Sims!$A1141:$BO1141,'Entry Builder'!$L$10)&lt;'Entry Builder'!$E$10),--(INDEX(Sims!$A1141:$BO1141,'Entry Builder'!$L$10)&gt;'Entry Builder'!$E$10)))</f>
        <v/>
      </c>
      <c r="E1141">
        <f>IF('Entry Builder'!$N$11=0,1,IF('Entry Builder'!$D$11="Less",--(INDEX(Sims!$A1141:$BO1141,'Entry Builder'!$L$11)&lt;'Entry Builder'!$E$11),--(INDEX(Sims!$A1141:$BO1141,'Entry Builder'!$L$11)&gt;'Entry Builder'!$E$11)))</f>
        <v/>
      </c>
      <c r="F1141">
        <f>IF('Entry Builder'!$N$12=0,1,IF('Entry Builder'!$D$12="Less",--(INDEX(Sims!$A1141:$BO1141,'Entry Builder'!$L$12)&lt;'Entry Builder'!$E$12),--(INDEX(Sims!$A1141:$BO1141,'Entry Builder'!$L$12)&gt;'Entry Builder'!$E$12)))</f>
        <v/>
      </c>
      <c r="G1141">
        <f>6-SUM(A1141:F1141)</f>
        <v/>
      </c>
    </row>
    <row r="1142">
      <c r="A1142">
        <f>IF('Entry Builder'!$N$7=0,1,IF('Entry Builder'!$D$7="Less",--(INDEX(Sims!$A1142:$BO1142,'Entry Builder'!$L$7)&lt;'Entry Builder'!$E$7),--(INDEX(Sims!$A1142:$BO1142,'Entry Builder'!$L$7)&gt;'Entry Builder'!$E$7)))</f>
        <v/>
      </c>
      <c r="B1142">
        <f>IF('Entry Builder'!$N$8=0,1,IF('Entry Builder'!$D$8="Less",--(INDEX(Sims!$A1142:$BO1142,'Entry Builder'!$L$8)&lt;'Entry Builder'!$E$8),--(INDEX(Sims!$A1142:$BO1142,'Entry Builder'!$L$8)&gt;'Entry Builder'!$E$8)))</f>
        <v/>
      </c>
      <c r="C1142">
        <f>IF('Entry Builder'!$N$9=0,1,IF('Entry Builder'!$D$9="Less",--(INDEX(Sims!$A1142:$BO1142,'Entry Builder'!$L$9)&lt;'Entry Builder'!$E$9),--(INDEX(Sims!$A1142:$BO1142,'Entry Builder'!$L$9)&gt;'Entry Builder'!$E$9)))</f>
        <v/>
      </c>
      <c r="D1142">
        <f>IF('Entry Builder'!$N$10=0,1,IF('Entry Builder'!$D$10="Less",--(INDEX(Sims!$A1142:$BO1142,'Entry Builder'!$L$10)&lt;'Entry Builder'!$E$10),--(INDEX(Sims!$A1142:$BO1142,'Entry Builder'!$L$10)&gt;'Entry Builder'!$E$10)))</f>
        <v/>
      </c>
      <c r="E1142">
        <f>IF('Entry Builder'!$N$11=0,1,IF('Entry Builder'!$D$11="Less",--(INDEX(Sims!$A1142:$BO1142,'Entry Builder'!$L$11)&lt;'Entry Builder'!$E$11),--(INDEX(Sims!$A1142:$BO1142,'Entry Builder'!$L$11)&gt;'Entry Builder'!$E$11)))</f>
        <v/>
      </c>
      <c r="F1142">
        <f>IF('Entry Builder'!$N$12=0,1,IF('Entry Builder'!$D$12="Less",--(INDEX(Sims!$A1142:$BO1142,'Entry Builder'!$L$12)&lt;'Entry Builder'!$E$12),--(INDEX(Sims!$A1142:$BO1142,'Entry Builder'!$L$12)&gt;'Entry Builder'!$E$12)))</f>
        <v/>
      </c>
      <c r="G1142">
        <f>6-SUM(A1142:F1142)</f>
        <v/>
      </c>
    </row>
    <row r="1143">
      <c r="A1143">
        <f>IF('Entry Builder'!$N$7=0,1,IF('Entry Builder'!$D$7="Less",--(INDEX(Sims!$A1143:$BO1143,'Entry Builder'!$L$7)&lt;'Entry Builder'!$E$7),--(INDEX(Sims!$A1143:$BO1143,'Entry Builder'!$L$7)&gt;'Entry Builder'!$E$7)))</f>
        <v/>
      </c>
      <c r="B1143">
        <f>IF('Entry Builder'!$N$8=0,1,IF('Entry Builder'!$D$8="Less",--(INDEX(Sims!$A1143:$BO1143,'Entry Builder'!$L$8)&lt;'Entry Builder'!$E$8),--(INDEX(Sims!$A1143:$BO1143,'Entry Builder'!$L$8)&gt;'Entry Builder'!$E$8)))</f>
        <v/>
      </c>
      <c r="C1143">
        <f>IF('Entry Builder'!$N$9=0,1,IF('Entry Builder'!$D$9="Less",--(INDEX(Sims!$A1143:$BO1143,'Entry Builder'!$L$9)&lt;'Entry Builder'!$E$9),--(INDEX(Sims!$A1143:$BO1143,'Entry Builder'!$L$9)&gt;'Entry Builder'!$E$9)))</f>
        <v/>
      </c>
      <c r="D1143">
        <f>IF('Entry Builder'!$N$10=0,1,IF('Entry Builder'!$D$10="Less",--(INDEX(Sims!$A1143:$BO1143,'Entry Builder'!$L$10)&lt;'Entry Builder'!$E$10),--(INDEX(Sims!$A1143:$BO1143,'Entry Builder'!$L$10)&gt;'Entry Builder'!$E$10)))</f>
        <v/>
      </c>
      <c r="E1143">
        <f>IF('Entry Builder'!$N$11=0,1,IF('Entry Builder'!$D$11="Less",--(INDEX(Sims!$A1143:$BO1143,'Entry Builder'!$L$11)&lt;'Entry Builder'!$E$11),--(INDEX(Sims!$A1143:$BO1143,'Entry Builder'!$L$11)&gt;'Entry Builder'!$E$11)))</f>
        <v/>
      </c>
      <c r="F1143">
        <f>IF('Entry Builder'!$N$12=0,1,IF('Entry Builder'!$D$12="Less",--(INDEX(Sims!$A1143:$BO1143,'Entry Builder'!$L$12)&lt;'Entry Builder'!$E$12),--(INDEX(Sims!$A1143:$BO1143,'Entry Builder'!$L$12)&gt;'Entry Builder'!$E$12)))</f>
        <v/>
      </c>
      <c r="G1143">
        <f>6-SUM(A1143:F1143)</f>
        <v/>
      </c>
    </row>
    <row r="1144">
      <c r="A1144">
        <f>IF('Entry Builder'!$N$7=0,1,IF('Entry Builder'!$D$7="Less",--(INDEX(Sims!$A1144:$BO1144,'Entry Builder'!$L$7)&lt;'Entry Builder'!$E$7),--(INDEX(Sims!$A1144:$BO1144,'Entry Builder'!$L$7)&gt;'Entry Builder'!$E$7)))</f>
        <v/>
      </c>
      <c r="B1144">
        <f>IF('Entry Builder'!$N$8=0,1,IF('Entry Builder'!$D$8="Less",--(INDEX(Sims!$A1144:$BO1144,'Entry Builder'!$L$8)&lt;'Entry Builder'!$E$8),--(INDEX(Sims!$A1144:$BO1144,'Entry Builder'!$L$8)&gt;'Entry Builder'!$E$8)))</f>
        <v/>
      </c>
      <c r="C1144">
        <f>IF('Entry Builder'!$N$9=0,1,IF('Entry Builder'!$D$9="Less",--(INDEX(Sims!$A1144:$BO1144,'Entry Builder'!$L$9)&lt;'Entry Builder'!$E$9),--(INDEX(Sims!$A1144:$BO1144,'Entry Builder'!$L$9)&gt;'Entry Builder'!$E$9)))</f>
        <v/>
      </c>
      <c r="D1144">
        <f>IF('Entry Builder'!$N$10=0,1,IF('Entry Builder'!$D$10="Less",--(INDEX(Sims!$A1144:$BO1144,'Entry Builder'!$L$10)&lt;'Entry Builder'!$E$10),--(INDEX(Sims!$A1144:$BO1144,'Entry Builder'!$L$10)&gt;'Entry Builder'!$E$10)))</f>
        <v/>
      </c>
      <c r="E1144">
        <f>IF('Entry Builder'!$N$11=0,1,IF('Entry Builder'!$D$11="Less",--(INDEX(Sims!$A1144:$BO1144,'Entry Builder'!$L$11)&lt;'Entry Builder'!$E$11),--(INDEX(Sims!$A1144:$BO1144,'Entry Builder'!$L$11)&gt;'Entry Builder'!$E$11)))</f>
        <v/>
      </c>
      <c r="F1144">
        <f>IF('Entry Builder'!$N$12=0,1,IF('Entry Builder'!$D$12="Less",--(INDEX(Sims!$A1144:$BO1144,'Entry Builder'!$L$12)&lt;'Entry Builder'!$E$12),--(INDEX(Sims!$A1144:$BO1144,'Entry Builder'!$L$12)&gt;'Entry Builder'!$E$12)))</f>
        <v/>
      </c>
      <c r="G1144">
        <f>6-SUM(A1144:F1144)</f>
        <v/>
      </c>
    </row>
    <row r="1145">
      <c r="A1145">
        <f>IF('Entry Builder'!$N$7=0,1,IF('Entry Builder'!$D$7="Less",--(INDEX(Sims!$A1145:$BO1145,'Entry Builder'!$L$7)&lt;'Entry Builder'!$E$7),--(INDEX(Sims!$A1145:$BO1145,'Entry Builder'!$L$7)&gt;'Entry Builder'!$E$7)))</f>
        <v/>
      </c>
      <c r="B1145">
        <f>IF('Entry Builder'!$N$8=0,1,IF('Entry Builder'!$D$8="Less",--(INDEX(Sims!$A1145:$BO1145,'Entry Builder'!$L$8)&lt;'Entry Builder'!$E$8),--(INDEX(Sims!$A1145:$BO1145,'Entry Builder'!$L$8)&gt;'Entry Builder'!$E$8)))</f>
        <v/>
      </c>
      <c r="C1145">
        <f>IF('Entry Builder'!$N$9=0,1,IF('Entry Builder'!$D$9="Less",--(INDEX(Sims!$A1145:$BO1145,'Entry Builder'!$L$9)&lt;'Entry Builder'!$E$9),--(INDEX(Sims!$A1145:$BO1145,'Entry Builder'!$L$9)&gt;'Entry Builder'!$E$9)))</f>
        <v/>
      </c>
      <c r="D1145">
        <f>IF('Entry Builder'!$N$10=0,1,IF('Entry Builder'!$D$10="Less",--(INDEX(Sims!$A1145:$BO1145,'Entry Builder'!$L$10)&lt;'Entry Builder'!$E$10),--(INDEX(Sims!$A1145:$BO1145,'Entry Builder'!$L$10)&gt;'Entry Builder'!$E$10)))</f>
        <v/>
      </c>
      <c r="E1145">
        <f>IF('Entry Builder'!$N$11=0,1,IF('Entry Builder'!$D$11="Less",--(INDEX(Sims!$A1145:$BO1145,'Entry Builder'!$L$11)&lt;'Entry Builder'!$E$11),--(INDEX(Sims!$A1145:$BO1145,'Entry Builder'!$L$11)&gt;'Entry Builder'!$E$11)))</f>
        <v/>
      </c>
      <c r="F1145">
        <f>IF('Entry Builder'!$N$12=0,1,IF('Entry Builder'!$D$12="Less",--(INDEX(Sims!$A1145:$BO1145,'Entry Builder'!$L$12)&lt;'Entry Builder'!$E$12),--(INDEX(Sims!$A1145:$BO1145,'Entry Builder'!$L$12)&gt;'Entry Builder'!$E$12)))</f>
        <v/>
      </c>
      <c r="G1145">
        <f>6-SUM(A1145:F1145)</f>
        <v/>
      </c>
    </row>
    <row r="1146">
      <c r="A1146">
        <f>IF('Entry Builder'!$N$7=0,1,IF('Entry Builder'!$D$7="Less",--(INDEX(Sims!$A1146:$BO1146,'Entry Builder'!$L$7)&lt;'Entry Builder'!$E$7),--(INDEX(Sims!$A1146:$BO1146,'Entry Builder'!$L$7)&gt;'Entry Builder'!$E$7)))</f>
        <v/>
      </c>
      <c r="B1146">
        <f>IF('Entry Builder'!$N$8=0,1,IF('Entry Builder'!$D$8="Less",--(INDEX(Sims!$A1146:$BO1146,'Entry Builder'!$L$8)&lt;'Entry Builder'!$E$8),--(INDEX(Sims!$A1146:$BO1146,'Entry Builder'!$L$8)&gt;'Entry Builder'!$E$8)))</f>
        <v/>
      </c>
      <c r="C1146">
        <f>IF('Entry Builder'!$N$9=0,1,IF('Entry Builder'!$D$9="Less",--(INDEX(Sims!$A1146:$BO1146,'Entry Builder'!$L$9)&lt;'Entry Builder'!$E$9),--(INDEX(Sims!$A1146:$BO1146,'Entry Builder'!$L$9)&gt;'Entry Builder'!$E$9)))</f>
        <v/>
      </c>
      <c r="D1146">
        <f>IF('Entry Builder'!$N$10=0,1,IF('Entry Builder'!$D$10="Less",--(INDEX(Sims!$A1146:$BO1146,'Entry Builder'!$L$10)&lt;'Entry Builder'!$E$10),--(INDEX(Sims!$A1146:$BO1146,'Entry Builder'!$L$10)&gt;'Entry Builder'!$E$10)))</f>
        <v/>
      </c>
      <c r="E1146">
        <f>IF('Entry Builder'!$N$11=0,1,IF('Entry Builder'!$D$11="Less",--(INDEX(Sims!$A1146:$BO1146,'Entry Builder'!$L$11)&lt;'Entry Builder'!$E$11),--(INDEX(Sims!$A1146:$BO1146,'Entry Builder'!$L$11)&gt;'Entry Builder'!$E$11)))</f>
        <v/>
      </c>
      <c r="F1146">
        <f>IF('Entry Builder'!$N$12=0,1,IF('Entry Builder'!$D$12="Less",--(INDEX(Sims!$A1146:$BO1146,'Entry Builder'!$L$12)&lt;'Entry Builder'!$E$12),--(INDEX(Sims!$A1146:$BO1146,'Entry Builder'!$L$12)&gt;'Entry Builder'!$E$12)))</f>
        <v/>
      </c>
      <c r="G1146">
        <f>6-SUM(A1146:F1146)</f>
        <v/>
      </c>
    </row>
    <row r="1147">
      <c r="A1147">
        <f>IF('Entry Builder'!$N$7=0,1,IF('Entry Builder'!$D$7="Less",--(INDEX(Sims!$A1147:$BO1147,'Entry Builder'!$L$7)&lt;'Entry Builder'!$E$7),--(INDEX(Sims!$A1147:$BO1147,'Entry Builder'!$L$7)&gt;'Entry Builder'!$E$7)))</f>
        <v/>
      </c>
      <c r="B1147">
        <f>IF('Entry Builder'!$N$8=0,1,IF('Entry Builder'!$D$8="Less",--(INDEX(Sims!$A1147:$BO1147,'Entry Builder'!$L$8)&lt;'Entry Builder'!$E$8),--(INDEX(Sims!$A1147:$BO1147,'Entry Builder'!$L$8)&gt;'Entry Builder'!$E$8)))</f>
        <v/>
      </c>
      <c r="C1147">
        <f>IF('Entry Builder'!$N$9=0,1,IF('Entry Builder'!$D$9="Less",--(INDEX(Sims!$A1147:$BO1147,'Entry Builder'!$L$9)&lt;'Entry Builder'!$E$9),--(INDEX(Sims!$A1147:$BO1147,'Entry Builder'!$L$9)&gt;'Entry Builder'!$E$9)))</f>
        <v/>
      </c>
      <c r="D1147">
        <f>IF('Entry Builder'!$N$10=0,1,IF('Entry Builder'!$D$10="Less",--(INDEX(Sims!$A1147:$BO1147,'Entry Builder'!$L$10)&lt;'Entry Builder'!$E$10),--(INDEX(Sims!$A1147:$BO1147,'Entry Builder'!$L$10)&gt;'Entry Builder'!$E$10)))</f>
        <v/>
      </c>
      <c r="E1147">
        <f>IF('Entry Builder'!$N$11=0,1,IF('Entry Builder'!$D$11="Less",--(INDEX(Sims!$A1147:$BO1147,'Entry Builder'!$L$11)&lt;'Entry Builder'!$E$11),--(INDEX(Sims!$A1147:$BO1147,'Entry Builder'!$L$11)&gt;'Entry Builder'!$E$11)))</f>
        <v/>
      </c>
      <c r="F1147">
        <f>IF('Entry Builder'!$N$12=0,1,IF('Entry Builder'!$D$12="Less",--(INDEX(Sims!$A1147:$BO1147,'Entry Builder'!$L$12)&lt;'Entry Builder'!$E$12),--(INDEX(Sims!$A1147:$BO1147,'Entry Builder'!$L$12)&gt;'Entry Builder'!$E$12)))</f>
        <v/>
      </c>
      <c r="G1147">
        <f>6-SUM(A1147:F1147)</f>
        <v/>
      </c>
    </row>
    <row r="1148">
      <c r="A1148">
        <f>IF('Entry Builder'!$N$7=0,1,IF('Entry Builder'!$D$7="Less",--(INDEX(Sims!$A1148:$BO1148,'Entry Builder'!$L$7)&lt;'Entry Builder'!$E$7),--(INDEX(Sims!$A1148:$BO1148,'Entry Builder'!$L$7)&gt;'Entry Builder'!$E$7)))</f>
        <v/>
      </c>
      <c r="B1148">
        <f>IF('Entry Builder'!$N$8=0,1,IF('Entry Builder'!$D$8="Less",--(INDEX(Sims!$A1148:$BO1148,'Entry Builder'!$L$8)&lt;'Entry Builder'!$E$8),--(INDEX(Sims!$A1148:$BO1148,'Entry Builder'!$L$8)&gt;'Entry Builder'!$E$8)))</f>
        <v/>
      </c>
      <c r="C1148">
        <f>IF('Entry Builder'!$N$9=0,1,IF('Entry Builder'!$D$9="Less",--(INDEX(Sims!$A1148:$BO1148,'Entry Builder'!$L$9)&lt;'Entry Builder'!$E$9),--(INDEX(Sims!$A1148:$BO1148,'Entry Builder'!$L$9)&gt;'Entry Builder'!$E$9)))</f>
        <v/>
      </c>
      <c r="D1148">
        <f>IF('Entry Builder'!$N$10=0,1,IF('Entry Builder'!$D$10="Less",--(INDEX(Sims!$A1148:$BO1148,'Entry Builder'!$L$10)&lt;'Entry Builder'!$E$10),--(INDEX(Sims!$A1148:$BO1148,'Entry Builder'!$L$10)&gt;'Entry Builder'!$E$10)))</f>
        <v/>
      </c>
      <c r="E1148">
        <f>IF('Entry Builder'!$N$11=0,1,IF('Entry Builder'!$D$11="Less",--(INDEX(Sims!$A1148:$BO1148,'Entry Builder'!$L$11)&lt;'Entry Builder'!$E$11),--(INDEX(Sims!$A1148:$BO1148,'Entry Builder'!$L$11)&gt;'Entry Builder'!$E$11)))</f>
        <v/>
      </c>
      <c r="F1148">
        <f>IF('Entry Builder'!$N$12=0,1,IF('Entry Builder'!$D$12="Less",--(INDEX(Sims!$A1148:$BO1148,'Entry Builder'!$L$12)&lt;'Entry Builder'!$E$12),--(INDEX(Sims!$A1148:$BO1148,'Entry Builder'!$L$12)&gt;'Entry Builder'!$E$12)))</f>
        <v/>
      </c>
      <c r="G1148">
        <f>6-SUM(A1148:F1148)</f>
        <v/>
      </c>
    </row>
    <row r="1149">
      <c r="A1149">
        <f>IF('Entry Builder'!$N$7=0,1,IF('Entry Builder'!$D$7="Less",--(INDEX(Sims!$A1149:$BO1149,'Entry Builder'!$L$7)&lt;'Entry Builder'!$E$7),--(INDEX(Sims!$A1149:$BO1149,'Entry Builder'!$L$7)&gt;'Entry Builder'!$E$7)))</f>
        <v/>
      </c>
      <c r="B1149">
        <f>IF('Entry Builder'!$N$8=0,1,IF('Entry Builder'!$D$8="Less",--(INDEX(Sims!$A1149:$BO1149,'Entry Builder'!$L$8)&lt;'Entry Builder'!$E$8),--(INDEX(Sims!$A1149:$BO1149,'Entry Builder'!$L$8)&gt;'Entry Builder'!$E$8)))</f>
        <v/>
      </c>
      <c r="C1149">
        <f>IF('Entry Builder'!$N$9=0,1,IF('Entry Builder'!$D$9="Less",--(INDEX(Sims!$A1149:$BO1149,'Entry Builder'!$L$9)&lt;'Entry Builder'!$E$9),--(INDEX(Sims!$A1149:$BO1149,'Entry Builder'!$L$9)&gt;'Entry Builder'!$E$9)))</f>
        <v/>
      </c>
      <c r="D1149">
        <f>IF('Entry Builder'!$N$10=0,1,IF('Entry Builder'!$D$10="Less",--(INDEX(Sims!$A1149:$BO1149,'Entry Builder'!$L$10)&lt;'Entry Builder'!$E$10),--(INDEX(Sims!$A1149:$BO1149,'Entry Builder'!$L$10)&gt;'Entry Builder'!$E$10)))</f>
        <v/>
      </c>
      <c r="E1149">
        <f>IF('Entry Builder'!$N$11=0,1,IF('Entry Builder'!$D$11="Less",--(INDEX(Sims!$A1149:$BO1149,'Entry Builder'!$L$11)&lt;'Entry Builder'!$E$11),--(INDEX(Sims!$A1149:$BO1149,'Entry Builder'!$L$11)&gt;'Entry Builder'!$E$11)))</f>
        <v/>
      </c>
      <c r="F1149">
        <f>IF('Entry Builder'!$N$12=0,1,IF('Entry Builder'!$D$12="Less",--(INDEX(Sims!$A1149:$BO1149,'Entry Builder'!$L$12)&lt;'Entry Builder'!$E$12),--(INDEX(Sims!$A1149:$BO1149,'Entry Builder'!$L$12)&gt;'Entry Builder'!$E$12)))</f>
        <v/>
      </c>
      <c r="G1149">
        <f>6-SUM(A1149:F1149)</f>
        <v/>
      </c>
    </row>
    <row r="1150">
      <c r="A1150">
        <f>IF('Entry Builder'!$N$7=0,1,IF('Entry Builder'!$D$7="Less",--(INDEX(Sims!$A1150:$BO1150,'Entry Builder'!$L$7)&lt;'Entry Builder'!$E$7),--(INDEX(Sims!$A1150:$BO1150,'Entry Builder'!$L$7)&gt;'Entry Builder'!$E$7)))</f>
        <v/>
      </c>
      <c r="B1150">
        <f>IF('Entry Builder'!$N$8=0,1,IF('Entry Builder'!$D$8="Less",--(INDEX(Sims!$A1150:$BO1150,'Entry Builder'!$L$8)&lt;'Entry Builder'!$E$8),--(INDEX(Sims!$A1150:$BO1150,'Entry Builder'!$L$8)&gt;'Entry Builder'!$E$8)))</f>
        <v/>
      </c>
      <c r="C1150">
        <f>IF('Entry Builder'!$N$9=0,1,IF('Entry Builder'!$D$9="Less",--(INDEX(Sims!$A1150:$BO1150,'Entry Builder'!$L$9)&lt;'Entry Builder'!$E$9),--(INDEX(Sims!$A1150:$BO1150,'Entry Builder'!$L$9)&gt;'Entry Builder'!$E$9)))</f>
        <v/>
      </c>
      <c r="D1150">
        <f>IF('Entry Builder'!$N$10=0,1,IF('Entry Builder'!$D$10="Less",--(INDEX(Sims!$A1150:$BO1150,'Entry Builder'!$L$10)&lt;'Entry Builder'!$E$10),--(INDEX(Sims!$A1150:$BO1150,'Entry Builder'!$L$10)&gt;'Entry Builder'!$E$10)))</f>
        <v/>
      </c>
      <c r="E1150">
        <f>IF('Entry Builder'!$N$11=0,1,IF('Entry Builder'!$D$11="Less",--(INDEX(Sims!$A1150:$BO1150,'Entry Builder'!$L$11)&lt;'Entry Builder'!$E$11),--(INDEX(Sims!$A1150:$BO1150,'Entry Builder'!$L$11)&gt;'Entry Builder'!$E$11)))</f>
        <v/>
      </c>
      <c r="F1150">
        <f>IF('Entry Builder'!$N$12=0,1,IF('Entry Builder'!$D$12="Less",--(INDEX(Sims!$A1150:$BO1150,'Entry Builder'!$L$12)&lt;'Entry Builder'!$E$12),--(INDEX(Sims!$A1150:$BO1150,'Entry Builder'!$L$12)&gt;'Entry Builder'!$E$12)))</f>
        <v/>
      </c>
      <c r="G1150">
        <f>6-SUM(A1150:F1150)</f>
        <v/>
      </c>
    </row>
    <row r="1151">
      <c r="A1151">
        <f>IF('Entry Builder'!$N$7=0,1,IF('Entry Builder'!$D$7="Less",--(INDEX(Sims!$A1151:$BO1151,'Entry Builder'!$L$7)&lt;'Entry Builder'!$E$7),--(INDEX(Sims!$A1151:$BO1151,'Entry Builder'!$L$7)&gt;'Entry Builder'!$E$7)))</f>
        <v/>
      </c>
      <c r="B1151">
        <f>IF('Entry Builder'!$N$8=0,1,IF('Entry Builder'!$D$8="Less",--(INDEX(Sims!$A1151:$BO1151,'Entry Builder'!$L$8)&lt;'Entry Builder'!$E$8),--(INDEX(Sims!$A1151:$BO1151,'Entry Builder'!$L$8)&gt;'Entry Builder'!$E$8)))</f>
        <v/>
      </c>
      <c r="C1151">
        <f>IF('Entry Builder'!$N$9=0,1,IF('Entry Builder'!$D$9="Less",--(INDEX(Sims!$A1151:$BO1151,'Entry Builder'!$L$9)&lt;'Entry Builder'!$E$9),--(INDEX(Sims!$A1151:$BO1151,'Entry Builder'!$L$9)&gt;'Entry Builder'!$E$9)))</f>
        <v/>
      </c>
      <c r="D1151">
        <f>IF('Entry Builder'!$N$10=0,1,IF('Entry Builder'!$D$10="Less",--(INDEX(Sims!$A1151:$BO1151,'Entry Builder'!$L$10)&lt;'Entry Builder'!$E$10),--(INDEX(Sims!$A1151:$BO1151,'Entry Builder'!$L$10)&gt;'Entry Builder'!$E$10)))</f>
        <v/>
      </c>
      <c r="E1151">
        <f>IF('Entry Builder'!$N$11=0,1,IF('Entry Builder'!$D$11="Less",--(INDEX(Sims!$A1151:$BO1151,'Entry Builder'!$L$11)&lt;'Entry Builder'!$E$11),--(INDEX(Sims!$A1151:$BO1151,'Entry Builder'!$L$11)&gt;'Entry Builder'!$E$11)))</f>
        <v/>
      </c>
      <c r="F1151">
        <f>IF('Entry Builder'!$N$12=0,1,IF('Entry Builder'!$D$12="Less",--(INDEX(Sims!$A1151:$BO1151,'Entry Builder'!$L$12)&lt;'Entry Builder'!$E$12),--(INDEX(Sims!$A1151:$BO1151,'Entry Builder'!$L$12)&gt;'Entry Builder'!$E$12)))</f>
        <v/>
      </c>
      <c r="G1151">
        <f>6-SUM(A1151:F1151)</f>
        <v/>
      </c>
    </row>
    <row r="1152">
      <c r="A1152">
        <f>IF('Entry Builder'!$N$7=0,1,IF('Entry Builder'!$D$7="Less",--(INDEX(Sims!$A1152:$BO1152,'Entry Builder'!$L$7)&lt;'Entry Builder'!$E$7),--(INDEX(Sims!$A1152:$BO1152,'Entry Builder'!$L$7)&gt;'Entry Builder'!$E$7)))</f>
        <v/>
      </c>
      <c r="B1152">
        <f>IF('Entry Builder'!$N$8=0,1,IF('Entry Builder'!$D$8="Less",--(INDEX(Sims!$A1152:$BO1152,'Entry Builder'!$L$8)&lt;'Entry Builder'!$E$8),--(INDEX(Sims!$A1152:$BO1152,'Entry Builder'!$L$8)&gt;'Entry Builder'!$E$8)))</f>
        <v/>
      </c>
      <c r="C1152">
        <f>IF('Entry Builder'!$N$9=0,1,IF('Entry Builder'!$D$9="Less",--(INDEX(Sims!$A1152:$BO1152,'Entry Builder'!$L$9)&lt;'Entry Builder'!$E$9),--(INDEX(Sims!$A1152:$BO1152,'Entry Builder'!$L$9)&gt;'Entry Builder'!$E$9)))</f>
        <v/>
      </c>
      <c r="D1152">
        <f>IF('Entry Builder'!$N$10=0,1,IF('Entry Builder'!$D$10="Less",--(INDEX(Sims!$A1152:$BO1152,'Entry Builder'!$L$10)&lt;'Entry Builder'!$E$10),--(INDEX(Sims!$A1152:$BO1152,'Entry Builder'!$L$10)&gt;'Entry Builder'!$E$10)))</f>
        <v/>
      </c>
      <c r="E1152">
        <f>IF('Entry Builder'!$N$11=0,1,IF('Entry Builder'!$D$11="Less",--(INDEX(Sims!$A1152:$BO1152,'Entry Builder'!$L$11)&lt;'Entry Builder'!$E$11),--(INDEX(Sims!$A1152:$BO1152,'Entry Builder'!$L$11)&gt;'Entry Builder'!$E$11)))</f>
        <v/>
      </c>
      <c r="F1152">
        <f>IF('Entry Builder'!$N$12=0,1,IF('Entry Builder'!$D$12="Less",--(INDEX(Sims!$A1152:$BO1152,'Entry Builder'!$L$12)&lt;'Entry Builder'!$E$12),--(INDEX(Sims!$A1152:$BO1152,'Entry Builder'!$L$12)&gt;'Entry Builder'!$E$12)))</f>
        <v/>
      </c>
      <c r="G1152">
        <f>6-SUM(A1152:F1152)</f>
        <v/>
      </c>
    </row>
    <row r="1153">
      <c r="A1153">
        <f>IF('Entry Builder'!$N$7=0,1,IF('Entry Builder'!$D$7="Less",--(INDEX(Sims!$A1153:$BO1153,'Entry Builder'!$L$7)&lt;'Entry Builder'!$E$7),--(INDEX(Sims!$A1153:$BO1153,'Entry Builder'!$L$7)&gt;'Entry Builder'!$E$7)))</f>
        <v/>
      </c>
      <c r="B1153">
        <f>IF('Entry Builder'!$N$8=0,1,IF('Entry Builder'!$D$8="Less",--(INDEX(Sims!$A1153:$BO1153,'Entry Builder'!$L$8)&lt;'Entry Builder'!$E$8),--(INDEX(Sims!$A1153:$BO1153,'Entry Builder'!$L$8)&gt;'Entry Builder'!$E$8)))</f>
        <v/>
      </c>
      <c r="C1153">
        <f>IF('Entry Builder'!$N$9=0,1,IF('Entry Builder'!$D$9="Less",--(INDEX(Sims!$A1153:$BO1153,'Entry Builder'!$L$9)&lt;'Entry Builder'!$E$9),--(INDEX(Sims!$A1153:$BO1153,'Entry Builder'!$L$9)&gt;'Entry Builder'!$E$9)))</f>
        <v/>
      </c>
      <c r="D1153">
        <f>IF('Entry Builder'!$N$10=0,1,IF('Entry Builder'!$D$10="Less",--(INDEX(Sims!$A1153:$BO1153,'Entry Builder'!$L$10)&lt;'Entry Builder'!$E$10),--(INDEX(Sims!$A1153:$BO1153,'Entry Builder'!$L$10)&gt;'Entry Builder'!$E$10)))</f>
        <v/>
      </c>
      <c r="E1153">
        <f>IF('Entry Builder'!$N$11=0,1,IF('Entry Builder'!$D$11="Less",--(INDEX(Sims!$A1153:$BO1153,'Entry Builder'!$L$11)&lt;'Entry Builder'!$E$11),--(INDEX(Sims!$A1153:$BO1153,'Entry Builder'!$L$11)&gt;'Entry Builder'!$E$11)))</f>
        <v/>
      </c>
      <c r="F1153">
        <f>IF('Entry Builder'!$N$12=0,1,IF('Entry Builder'!$D$12="Less",--(INDEX(Sims!$A1153:$BO1153,'Entry Builder'!$L$12)&lt;'Entry Builder'!$E$12),--(INDEX(Sims!$A1153:$BO1153,'Entry Builder'!$L$12)&gt;'Entry Builder'!$E$12)))</f>
        <v/>
      </c>
      <c r="G1153">
        <f>6-SUM(A1153:F1153)</f>
        <v/>
      </c>
    </row>
    <row r="1154">
      <c r="A1154">
        <f>IF('Entry Builder'!$N$7=0,1,IF('Entry Builder'!$D$7="Less",--(INDEX(Sims!$A1154:$BO1154,'Entry Builder'!$L$7)&lt;'Entry Builder'!$E$7),--(INDEX(Sims!$A1154:$BO1154,'Entry Builder'!$L$7)&gt;'Entry Builder'!$E$7)))</f>
        <v/>
      </c>
      <c r="B1154">
        <f>IF('Entry Builder'!$N$8=0,1,IF('Entry Builder'!$D$8="Less",--(INDEX(Sims!$A1154:$BO1154,'Entry Builder'!$L$8)&lt;'Entry Builder'!$E$8),--(INDEX(Sims!$A1154:$BO1154,'Entry Builder'!$L$8)&gt;'Entry Builder'!$E$8)))</f>
        <v/>
      </c>
      <c r="C1154">
        <f>IF('Entry Builder'!$N$9=0,1,IF('Entry Builder'!$D$9="Less",--(INDEX(Sims!$A1154:$BO1154,'Entry Builder'!$L$9)&lt;'Entry Builder'!$E$9),--(INDEX(Sims!$A1154:$BO1154,'Entry Builder'!$L$9)&gt;'Entry Builder'!$E$9)))</f>
        <v/>
      </c>
      <c r="D1154">
        <f>IF('Entry Builder'!$N$10=0,1,IF('Entry Builder'!$D$10="Less",--(INDEX(Sims!$A1154:$BO1154,'Entry Builder'!$L$10)&lt;'Entry Builder'!$E$10),--(INDEX(Sims!$A1154:$BO1154,'Entry Builder'!$L$10)&gt;'Entry Builder'!$E$10)))</f>
        <v/>
      </c>
      <c r="E1154">
        <f>IF('Entry Builder'!$N$11=0,1,IF('Entry Builder'!$D$11="Less",--(INDEX(Sims!$A1154:$BO1154,'Entry Builder'!$L$11)&lt;'Entry Builder'!$E$11),--(INDEX(Sims!$A1154:$BO1154,'Entry Builder'!$L$11)&gt;'Entry Builder'!$E$11)))</f>
        <v/>
      </c>
      <c r="F1154">
        <f>IF('Entry Builder'!$N$12=0,1,IF('Entry Builder'!$D$12="Less",--(INDEX(Sims!$A1154:$BO1154,'Entry Builder'!$L$12)&lt;'Entry Builder'!$E$12),--(INDEX(Sims!$A1154:$BO1154,'Entry Builder'!$L$12)&gt;'Entry Builder'!$E$12)))</f>
        <v/>
      </c>
      <c r="G1154">
        <f>6-SUM(A1154:F1154)</f>
        <v/>
      </c>
    </row>
    <row r="1155">
      <c r="A1155">
        <f>IF('Entry Builder'!$N$7=0,1,IF('Entry Builder'!$D$7="Less",--(INDEX(Sims!$A1155:$BO1155,'Entry Builder'!$L$7)&lt;'Entry Builder'!$E$7),--(INDEX(Sims!$A1155:$BO1155,'Entry Builder'!$L$7)&gt;'Entry Builder'!$E$7)))</f>
        <v/>
      </c>
      <c r="B1155">
        <f>IF('Entry Builder'!$N$8=0,1,IF('Entry Builder'!$D$8="Less",--(INDEX(Sims!$A1155:$BO1155,'Entry Builder'!$L$8)&lt;'Entry Builder'!$E$8),--(INDEX(Sims!$A1155:$BO1155,'Entry Builder'!$L$8)&gt;'Entry Builder'!$E$8)))</f>
        <v/>
      </c>
      <c r="C1155">
        <f>IF('Entry Builder'!$N$9=0,1,IF('Entry Builder'!$D$9="Less",--(INDEX(Sims!$A1155:$BO1155,'Entry Builder'!$L$9)&lt;'Entry Builder'!$E$9),--(INDEX(Sims!$A1155:$BO1155,'Entry Builder'!$L$9)&gt;'Entry Builder'!$E$9)))</f>
        <v/>
      </c>
      <c r="D1155">
        <f>IF('Entry Builder'!$N$10=0,1,IF('Entry Builder'!$D$10="Less",--(INDEX(Sims!$A1155:$BO1155,'Entry Builder'!$L$10)&lt;'Entry Builder'!$E$10),--(INDEX(Sims!$A1155:$BO1155,'Entry Builder'!$L$10)&gt;'Entry Builder'!$E$10)))</f>
        <v/>
      </c>
      <c r="E1155">
        <f>IF('Entry Builder'!$N$11=0,1,IF('Entry Builder'!$D$11="Less",--(INDEX(Sims!$A1155:$BO1155,'Entry Builder'!$L$11)&lt;'Entry Builder'!$E$11),--(INDEX(Sims!$A1155:$BO1155,'Entry Builder'!$L$11)&gt;'Entry Builder'!$E$11)))</f>
        <v/>
      </c>
      <c r="F1155">
        <f>IF('Entry Builder'!$N$12=0,1,IF('Entry Builder'!$D$12="Less",--(INDEX(Sims!$A1155:$BO1155,'Entry Builder'!$L$12)&lt;'Entry Builder'!$E$12),--(INDEX(Sims!$A1155:$BO1155,'Entry Builder'!$L$12)&gt;'Entry Builder'!$E$12)))</f>
        <v/>
      </c>
      <c r="G1155">
        <f>6-SUM(A1155:F1155)</f>
        <v/>
      </c>
    </row>
    <row r="1156">
      <c r="A1156">
        <f>IF('Entry Builder'!$N$7=0,1,IF('Entry Builder'!$D$7="Less",--(INDEX(Sims!$A1156:$BO1156,'Entry Builder'!$L$7)&lt;'Entry Builder'!$E$7),--(INDEX(Sims!$A1156:$BO1156,'Entry Builder'!$L$7)&gt;'Entry Builder'!$E$7)))</f>
        <v/>
      </c>
      <c r="B1156">
        <f>IF('Entry Builder'!$N$8=0,1,IF('Entry Builder'!$D$8="Less",--(INDEX(Sims!$A1156:$BO1156,'Entry Builder'!$L$8)&lt;'Entry Builder'!$E$8),--(INDEX(Sims!$A1156:$BO1156,'Entry Builder'!$L$8)&gt;'Entry Builder'!$E$8)))</f>
        <v/>
      </c>
      <c r="C1156">
        <f>IF('Entry Builder'!$N$9=0,1,IF('Entry Builder'!$D$9="Less",--(INDEX(Sims!$A1156:$BO1156,'Entry Builder'!$L$9)&lt;'Entry Builder'!$E$9),--(INDEX(Sims!$A1156:$BO1156,'Entry Builder'!$L$9)&gt;'Entry Builder'!$E$9)))</f>
        <v/>
      </c>
      <c r="D1156">
        <f>IF('Entry Builder'!$N$10=0,1,IF('Entry Builder'!$D$10="Less",--(INDEX(Sims!$A1156:$BO1156,'Entry Builder'!$L$10)&lt;'Entry Builder'!$E$10),--(INDEX(Sims!$A1156:$BO1156,'Entry Builder'!$L$10)&gt;'Entry Builder'!$E$10)))</f>
        <v/>
      </c>
      <c r="E1156">
        <f>IF('Entry Builder'!$N$11=0,1,IF('Entry Builder'!$D$11="Less",--(INDEX(Sims!$A1156:$BO1156,'Entry Builder'!$L$11)&lt;'Entry Builder'!$E$11),--(INDEX(Sims!$A1156:$BO1156,'Entry Builder'!$L$11)&gt;'Entry Builder'!$E$11)))</f>
        <v/>
      </c>
      <c r="F1156">
        <f>IF('Entry Builder'!$N$12=0,1,IF('Entry Builder'!$D$12="Less",--(INDEX(Sims!$A1156:$BO1156,'Entry Builder'!$L$12)&lt;'Entry Builder'!$E$12),--(INDEX(Sims!$A1156:$BO1156,'Entry Builder'!$L$12)&gt;'Entry Builder'!$E$12)))</f>
        <v/>
      </c>
      <c r="G1156">
        <f>6-SUM(A1156:F1156)</f>
        <v/>
      </c>
    </row>
    <row r="1157">
      <c r="A1157">
        <f>IF('Entry Builder'!$N$7=0,1,IF('Entry Builder'!$D$7="Less",--(INDEX(Sims!$A1157:$BO1157,'Entry Builder'!$L$7)&lt;'Entry Builder'!$E$7),--(INDEX(Sims!$A1157:$BO1157,'Entry Builder'!$L$7)&gt;'Entry Builder'!$E$7)))</f>
        <v/>
      </c>
      <c r="B1157">
        <f>IF('Entry Builder'!$N$8=0,1,IF('Entry Builder'!$D$8="Less",--(INDEX(Sims!$A1157:$BO1157,'Entry Builder'!$L$8)&lt;'Entry Builder'!$E$8),--(INDEX(Sims!$A1157:$BO1157,'Entry Builder'!$L$8)&gt;'Entry Builder'!$E$8)))</f>
        <v/>
      </c>
      <c r="C1157">
        <f>IF('Entry Builder'!$N$9=0,1,IF('Entry Builder'!$D$9="Less",--(INDEX(Sims!$A1157:$BO1157,'Entry Builder'!$L$9)&lt;'Entry Builder'!$E$9),--(INDEX(Sims!$A1157:$BO1157,'Entry Builder'!$L$9)&gt;'Entry Builder'!$E$9)))</f>
        <v/>
      </c>
      <c r="D1157">
        <f>IF('Entry Builder'!$N$10=0,1,IF('Entry Builder'!$D$10="Less",--(INDEX(Sims!$A1157:$BO1157,'Entry Builder'!$L$10)&lt;'Entry Builder'!$E$10),--(INDEX(Sims!$A1157:$BO1157,'Entry Builder'!$L$10)&gt;'Entry Builder'!$E$10)))</f>
        <v/>
      </c>
      <c r="E1157">
        <f>IF('Entry Builder'!$N$11=0,1,IF('Entry Builder'!$D$11="Less",--(INDEX(Sims!$A1157:$BO1157,'Entry Builder'!$L$11)&lt;'Entry Builder'!$E$11),--(INDEX(Sims!$A1157:$BO1157,'Entry Builder'!$L$11)&gt;'Entry Builder'!$E$11)))</f>
        <v/>
      </c>
      <c r="F1157">
        <f>IF('Entry Builder'!$N$12=0,1,IF('Entry Builder'!$D$12="Less",--(INDEX(Sims!$A1157:$BO1157,'Entry Builder'!$L$12)&lt;'Entry Builder'!$E$12),--(INDEX(Sims!$A1157:$BO1157,'Entry Builder'!$L$12)&gt;'Entry Builder'!$E$12)))</f>
        <v/>
      </c>
      <c r="G1157">
        <f>6-SUM(A1157:F1157)</f>
        <v/>
      </c>
    </row>
    <row r="1158">
      <c r="A1158">
        <f>IF('Entry Builder'!$N$7=0,1,IF('Entry Builder'!$D$7="Less",--(INDEX(Sims!$A1158:$BO1158,'Entry Builder'!$L$7)&lt;'Entry Builder'!$E$7),--(INDEX(Sims!$A1158:$BO1158,'Entry Builder'!$L$7)&gt;'Entry Builder'!$E$7)))</f>
        <v/>
      </c>
      <c r="B1158">
        <f>IF('Entry Builder'!$N$8=0,1,IF('Entry Builder'!$D$8="Less",--(INDEX(Sims!$A1158:$BO1158,'Entry Builder'!$L$8)&lt;'Entry Builder'!$E$8),--(INDEX(Sims!$A1158:$BO1158,'Entry Builder'!$L$8)&gt;'Entry Builder'!$E$8)))</f>
        <v/>
      </c>
      <c r="C1158">
        <f>IF('Entry Builder'!$N$9=0,1,IF('Entry Builder'!$D$9="Less",--(INDEX(Sims!$A1158:$BO1158,'Entry Builder'!$L$9)&lt;'Entry Builder'!$E$9),--(INDEX(Sims!$A1158:$BO1158,'Entry Builder'!$L$9)&gt;'Entry Builder'!$E$9)))</f>
        <v/>
      </c>
      <c r="D1158">
        <f>IF('Entry Builder'!$N$10=0,1,IF('Entry Builder'!$D$10="Less",--(INDEX(Sims!$A1158:$BO1158,'Entry Builder'!$L$10)&lt;'Entry Builder'!$E$10),--(INDEX(Sims!$A1158:$BO1158,'Entry Builder'!$L$10)&gt;'Entry Builder'!$E$10)))</f>
        <v/>
      </c>
      <c r="E1158">
        <f>IF('Entry Builder'!$N$11=0,1,IF('Entry Builder'!$D$11="Less",--(INDEX(Sims!$A1158:$BO1158,'Entry Builder'!$L$11)&lt;'Entry Builder'!$E$11),--(INDEX(Sims!$A1158:$BO1158,'Entry Builder'!$L$11)&gt;'Entry Builder'!$E$11)))</f>
        <v/>
      </c>
      <c r="F1158">
        <f>IF('Entry Builder'!$N$12=0,1,IF('Entry Builder'!$D$12="Less",--(INDEX(Sims!$A1158:$BO1158,'Entry Builder'!$L$12)&lt;'Entry Builder'!$E$12),--(INDEX(Sims!$A1158:$BO1158,'Entry Builder'!$L$12)&gt;'Entry Builder'!$E$12)))</f>
        <v/>
      </c>
      <c r="G1158">
        <f>6-SUM(A1158:F1158)</f>
        <v/>
      </c>
    </row>
    <row r="1159">
      <c r="A1159">
        <f>IF('Entry Builder'!$N$7=0,1,IF('Entry Builder'!$D$7="Less",--(INDEX(Sims!$A1159:$BO1159,'Entry Builder'!$L$7)&lt;'Entry Builder'!$E$7),--(INDEX(Sims!$A1159:$BO1159,'Entry Builder'!$L$7)&gt;'Entry Builder'!$E$7)))</f>
        <v/>
      </c>
      <c r="B1159">
        <f>IF('Entry Builder'!$N$8=0,1,IF('Entry Builder'!$D$8="Less",--(INDEX(Sims!$A1159:$BO1159,'Entry Builder'!$L$8)&lt;'Entry Builder'!$E$8),--(INDEX(Sims!$A1159:$BO1159,'Entry Builder'!$L$8)&gt;'Entry Builder'!$E$8)))</f>
        <v/>
      </c>
      <c r="C1159">
        <f>IF('Entry Builder'!$N$9=0,1,IF('Entry Builder'!$D$9="Less",--(INDEX(Sims!$A1159:$BO1159,'Entry Builder'!$L$9)&lt;'Entry Builder'!$E$9),--(INDEX(Sims!$A1159:$BO1159,'Entry Builder'!$L$9)&gt;'Entry Builder'!$E$9)))</f>
        <v/>
      </c>
      <c r="D1159">
        <f>IF('Entry Builder'!$N$10=0,1,IF('Entry Builder'!$D$10="Less",--(INDEX(Sims!$A1159:$BO1159,'Entry Builder'!$L$10)&lt;'Entry Builder'!$E$10),--(INDEX(Sims!$A1159:$BO1159,'Entry Builder'!$L$10)&gt;'Entry Builder'!$E$10)))</f>
        <v/>
      </c>
      <c r="E1159">
        <f>IF('Entry Builder'!$N$11=0,1,IF('Entry Builder'!$D$11="Less",--(INDEX(Sims!$A1159:$BO1159,'Entry Builder'!$L$11)&lt;'Entry Builder'!$E$11),--(INDEX(Sims!$A1159:$BO1159,'Entry Builder'!$L$11)&gt;'Entry Builder'!$E$11)))</f>
        <v/>
      </c>
      <c r="F1159">
        <f>IF('Entry Builder'!$N$12=0,1,IF('Entry Builder'!$D$12="Less",--(INDEX(Sims!$A1159:$BO1159,'Entry Builder'!$L$12)&lt;'Entry Builder'!$E$12),--(INDEX(Sims!$A1159:$BO1159,'Entry Builder'!$L$12)&gt;'Entry Builder'!$E$12)))</f>
        <v/>
      </c>
      <c r="G1159">
        <f>6-SUM(A1159:F1159)</f>
        <v/>
      </c>
    </row>
    <row r="1160">
      <c r="A1160">
        <f>IF('Entry Builder'!$N$7=0,1,IF('Entry Builder'!$D$7="Less",--(INDEX(Sims!$A1160:$BO1160,'Entry Builder'!$L$7)&lt;'Entry Builder'!$E$7),--(INDEX(Sims!$A1160:$BO1160,'Entry Builder'!$L$7)&gt;'Entry Builder'!$E$7)))</f>
        <v/>
      </c>
      <c r="B1160">
        <f>IF('Entry Builder'!$N$8=0,1,IF('Entry Builder'!$D$8="Less",--(INDEX(Sims!$A1160:$BO1160,'Entry Builder'!$L$8)&lt;'Entry Builder'!$E$8),--(INDEX(Sims!$A1160:$BO1160,'Entry Builder'!$L$8)&gt;'Entry Builder'!$E$8)))</f>
        <v/>
      </c>
      <c r="C1160">
        <f>IF('Entry Builder'!$N$9=0,1,IF('Entry Builder'!$D$9="Less",--(INDEX(Sims!$A1160:$BO1160,'Entry Builder'!$L$9)&lt;'Entry Builder'!$E$9),--(INDEX(Sims!$A1160:$BO1160,'Entry Builder'!$L$9)&gt;'Entry Builder'!$E$9)))</f>
        <v/>
      </c>
      <c r="D1160">
        <f>IF('Entry Builder'!$N$10=0,1,IF('Entry Builder'!$D$10="Less",--(INDEX(Sims!$A1160:$BO1160,'Entry Builder'!$L$10)&lt;'Entry Builder'!$E$10),--(INDEX(Sims!$A1160:$BO1160,'Entry Builder'!$L$10)&gt;'Entry Builder'!$E$10)))</f>
        <v/>
      </c>
      <c r="E1160">
        <f>IF('Entry Builder'!$N$11=0,1,IF('Entry Builder'!$D$11="Less",--(INDEX(Sims!$A1160:$BO1160,'Entry Builder'!$L$11)&lt;'Entry Builder'!$E$11),--(INDEX(Sims!$A1160:$BO1160,'Entry Builder'!$L$11)&gt;'Entry Builder'!$E$11)))</f>
        <v/>
      </c>
      <c r="F1160">
        <f>IF('Entry Builder'!$N$12=0,1,IF('Entry Builder'!$D$12="Less",--(INDEX(Sims!$A1160:$BO1160,'Entry Builder'!$L$12)&lt;'Entry Builder'!$E$12),--(INDEX(Sims!$A1160:$BO1160,'Entry Builder'!$L$12)&gt;'Entry Builder'!$E$12)))</f>
        <v/>
      </c>
      <c r="G1160">
        <f>6-SUM(A1160:F1160)</f>
        <v/>
      </c>
    </row>
    <row r="1161">
      <c r="A1161">
        <f>IF('Entry Builder'!$N$7=0,1,IF('Entry Builder'!$D$7="Less",--(INDEX(Sims!$A1161:$BO1161,'Entry Builder'!$L$7)&lt;'Entry Builder'!$E$7),--(INDEX(Sims!$A1161:$BO1161,'Entry Builder'!$L$7)&gt;'Entry Builder'!$E$7)))</f>
        <v/>
      </c>
      <c r="B1161">
        <f>IF('Entry Builder'!$N$8=0,1,IF('Entry Builder'!$D$8="Less",--(INDEX(Sims!$A1161:$BO1161,'Entry Builder'!$L$8)&lt;'Entry Builder'!$E$8),--(INDEX(Sims!$A1161:$BO1161,'Entry Builder'!$L$8)&gt;'Entry Builder'!$E$8)))</f>
        <v/>
      </c>
      <c r="C1161">
        <f>IF('Entry Builder'!$N$9=0,1,IF('Entry Builder'!$D$9="Less",--(INDEX(Sims!$A1161:$BO1161,'Entry Builder'!$L$9)&lt;'Entry Builder'!$E$9),--(INDEX(Sims!$A1161:$BO1161,'Entry Builder'!$L$9)&gt;'Entry Builder'!$E$9)))</f>
        <v/>
      </c>
      <c r="D1161">
        <f>IF('Entry Builder'!$N$10=0,1,IF('Entry Builder'!$D$10="Less",--(INDEX(Sims!$A1161:$BO1161,'Entry Builder'!$L$10)&lt;'Entry Builder'!$E$10),--(INDEX(Sims!$A1161:$BO1161,'Entry Builder'!$L$10)&gt;'Entry Builder'!$E$10)))</f>
        <v/>
      </c>
      <c r="E1161">
        <f>IF('Entry Builder'!$N$11=0,1,IF('Entry Builder'!$D$11="Less",--(INDEX(Sims!$A1161:$BO1161,'Entry Builder'!$L$11)&lt;'Entry Builder'!$E$11),--(INDEX(Sims!$A1161:$BO1161,'Entry Builder'!$L$11)&gt;'Entry Builder'!$E$11)))</f>
        <v/>
      </c>
      <c r="F1161">
        <f>IF('Entry Builder'!$N$12=0,1,IF('Entry Builder'!$D$12="Less",--(INDEX(Sims!$A1161:$BO1161,'Entry Builder'!$L$12)&lt;'Entry Builder'!$E$12),--(INDEX(Sims!$A1161:$BO1161,'Entry Builder'!$L$12)&gt;'Entry Builder'!$E$12)))</f>
        <v/>
      </c>
      <c r="G1161">
        <f>6-SUM(A1161:F1161)</f>
        <v/>
      </c>
    </row>
    <row r="1162">
      <c r="A1162">
        <f>IF('Entry Builder'!$N$7=0,1,IF('Entry Builder'!$D$7="Less",--(INDEX(Sims!$A1162:$BO1162,'Entry Builder'!$L$7)&lt;'Entry Builder'!$E$7),--(INDEX(Sims!$A1162:$BO1162,'Entry Builder'!$L$7)&gt;'Entry Builder'!$E$7)))</f>
        <v/>
      </c>
      <c r="B1162">
        <f>IF('Entry Builder'!$N$8=0,1,IF('Entry Builder'!$D$8="Less",--(INDEX(Sims!$A1162:$BO1162,'Entry Builder'!$L$8)&lt;'Entry Builder'!$E$8),--(INDEX(Sims!$A1162:$BO1162,'Entry Builder'!$L$8)&gt;'Entry Builder'!$E$8)))</f>
        <v/>
      </c>
      <c r="C1162">
        <f>IF('Entry Builder'!$N$9=0,1,IF('Entry Builder'!$D$9="Less",--(INDEX(Sims!$A1162:$BO1162,'Entry Builder'!$L$9)&lt;'Entry Builder'!$E$9),--(INDEX(Sims!$A1162:$BO1162,'Entry Builder'!$L$9)&gt;'Entry Builder'!$E$9)))</f>
        <v/>
      </c>
      <c r="D1162">
        <f>IF('Entry Builder'!$N$10=0,1,IF('Entry Builder'!$D$10="Less",--(INDEX(Sims!$A1162:$BO1162,'Entry Builder'!$L$10)&lt;'Entry Builder'!$E$10),--(INDEX(Sims!$A1162:$BO1162,'Entry Builder'!$L$10)&gt;'Entry Builder'!$E$10)))</f>
        <v/>
      </c>
      <c r="E1162">
        <f>IF('Entry Builder'!$N$11=0,1,IF('Entry Builder'!$D$11="Less",--(INDEX(Sims!$A1162:$BO1162,'Entry Builder'!$L$11)&lt;'Entry Builder'!$E$11),--(INDEX(Sims!$A1162:$BO1162,'Entry Builder'!$L$11)&gt;'Entry Builder'!$E$11)))</f>
        <v/>
      </c>
      <c r="F1162">
        <f>IF('Entry Builder'!$N$12=0,1,IF('Entry Builder'!$D$12="Less",--(INDEX(Sims!$A1162:$BO1162,'Entry Builder'!$L$12)&lt;'Entry Builder'!$E$12),--(INDEX(Sims!$A1162:$BO1162,'Entry Builder'!$L$12)&gt;'Entry Builder'!$E$12)))</f>
        <v/>
      </c>
      <c r="G1162">
        <f>6-SUM(A1162:F1162)</f>
        <v/>
      </c>
    </row>
    <row r="1163">
      <c r="A1163">
        <f>IF('Entry Builder'!$N$7=0,1,IF('Entry Builder'!$D$7="Less",--(INDEX(Sims!$A1163:$BO1163,'Entry Builder'!$L$7)&lt;'Entry Builder'!$E$7),--(INDEX(Sims!$A1163:$BO1163,'Entry Builder'!$L$7)&gt;'Entry Builder'!$E$7)))</f>
        <v/>
      </c>
      <c r="B1163">
        <f>IF('Entry Builder'!$N$8=0,1,IF('Entry Builder'!$D$8="Less",--(INDEX(Sims!$A1163:$BO1163,'Entry Builder'!$L$8)&lt;'Entry Builder'!$E$8),--(INDEX(Sims!$A1163:$BO1163,'Entry Builder'!$L$8)&gt;'Entry Builder'!$E$8)))</f>
        <v/>
      </c>
      <c r="C1163">
        <f>IF('Entry Builder'!$N$9=0,1,IF('Entry Builder'!$D$9="Less",--(INDEX(Sims!$A1163:$BO1163,'Entry Builder'!$L$9)&lt;'Entry Builder'!$E$9),--(INDEX(Sims!$A1163:$BO1163,'Entry Builder'!$L$9)&gt;'Entry Builder'!$E$9)))</f>
        <v/>
      </c>
      <c r="D1163">
        <f>IF('Entry Builder'!$N$10=0,1,IF('Entry Builder'!$D$10="Less",--(INDEX(Sims!$A1163:$BO1163,'Entry Builder'!$L$10)&lt;'Entry Builder'!$E$10),--(INDEX(Sims!$A1163:$BO1163,'Entry Builder'!$L$10)&gt;'Entry Builder'!$E$10)))</f>
        <v/>
      </c>
      <c r="E1163">
        <f>IF('Entry Builder'!$N$11=0,1,IF('Entry Builder'!$D$11="Less",--(INDEX(Sims!$A1163:$BO1163,'Entry Builder'!$L$11)&lt;'Entry Builder'!$E$11),--(INDEX(Sims!$A1163:$BO1163,'Entry Builder'!$L$11)&gt;'Entry Builder'!$E$11)))</f>
        <v/>
      </c>
      <c r="F1163">
        <f>IF('Entry Builder'!$N$12=0,1,IF('Entry Builder'!$D$12="Less",--(INDEX(Sims!$A1163:$BO1163,'Entry Builder'!$L$12)&lt;'Entry Builder'!$E$12),--(INDEX(Sims!$A1163:$BO1163,'Entry Builder'!$L$12)&gt;'Entry Builder'!$E$12)))</f>
        <v/>
      </c>
      <c r="G1163">
        <f>6-SUM(A1163:F1163)</f>
        <v/>
      </c>
    </row>
    <row r="1164">
      <c r="A1164">
        <f>IF('Entry Builder'!$N$7=0,1,IF('Entry Builder'!$D$7="Less",--(INDEX(Sims!$A1164:$BO1164,'Entry Builder'!$L$7)&lt;'Entry Builder'!$E$7),--(INDEX(Sims!$A1164:$BO1164,'Entry Builder'!$L$7)&gt;'Entry Builder'!$E$7)))</f>
        <v/>
      </c>
      <c r="B1164">
        <f>IF('Entry Builder'!$N$8=0,1,IF('Entry Builder'!$D$8="Less",--(INDEX(Sims!$A1164:$BO1164,'Entry Builder'!$L$8)&lt;'Entry Builder'!$E$8),--(INDEX(Sims!$A1164:$BO1164,'Entry Builder'!$L$8)&gt;'Entry Builder'!$E$8)))</f>
        <v/>
      </c>
      <c r="C1164">
        <f>IF('Entry Builder'!$N$9=0,1,IF('Entry Builder'!$D$9="Less",--(INDEX(Sims!$A1164:$BO1164,'Entry Builder'!$L$9)&lt;'Entry Builder'!$E$9),--(INDEX(Sims!$A1164:$BO1164,'Entry Builder'!$L$9)&gt;'Entry Builder'!$E$9)))</f>
        <v/>
      </c>
      <c r="D1164">
        <f>IF('Entry Builder'!$N$10=0,1,IF('Entry Builder'!$D$10="Less",--(INDEX(Sims!$A1164:$BO1164,'Entry Builder'!$L$10)&lt;'Entry Builder'!$E$10),--(INDEX(Sims!$A1164:$BO1164,'Entry Builder'!$L$10)&gt;'Entry Builder'!$E$10)))</f>
        <v/>
      </c>
      <c r="E1164">
        <f>IF('Entry Builder'!$N$11=0,1,IF('Entry Builder'!$D$11="Less",--(INDEX(Sims!$A1164:$BO1164,'Entry Builder'!$L$11)&lt;'Entry Builder'!$E$11),--(INDEX(Sims!$A1164:$BO1164,'Entry Builder'!$L$11)&gt;'Entry Builder'!$E$11)))</f>
        <v/>
      </c>
      <c r="F1164">
        <f>IF('Entry Builder'!$N$12=0,1,IF('Entry Builder'!$D$12="Less",--(INDEX(Sims!$A1164:$BO1164,'Entry Builder'!$L$12)&lt;'Entry Builder'!$E$12),--(INDEX(Sims!$A1164:$BO1164,'Entry Builder'!$L$12)&gt;'Entry Builder'!$E$12)))</f>
        <v/>
      </c>
      <c r="G1164">
        <f>6-SUM(A1164:F1164)</f>
        <v/>
      </c>
    </row>
    <row r="1165">
      <c r="A1165">
        <f>IF('Entry Builder'!$N$7=0,1,IF('Entry Builder'!$D$7="Less",--(INDEX(Sims!$A1165:$BO1165,'Entry Builder'!$L$7)&lt;'Entry Builder'!$E$7),--(INDEX(Sims!$A1165:$BO1165,'Entry Builder'!$L$7)&gt;'Entry Builder'!$E$7)))</f>
        <v/>
      </c>
      <c r="B1165">
        <f>IF('Entry Builder'!$N$8=0,1,IF('Entry Builder'!$D$8="Less",--(INDEX(Sims!$A1165:$BO1165,'Entry Builder'!$L$8)&lt;'Entry Builder'!$E$8),--(INDEX(Sims!$A1165:$BO1165,'Entry Builder'!$L$8)&gt;'Entry Builder'!$E$8)))</f>
        <v/>
      </c>
      <c r="C1165">
        <f>IF('Entry Builder'!$N$9=0,1,IF('Entry Builder'!$D$9="Less",--(INDEX(Sims!$A1165:$BO1165,'Entry Builder'!$L$9)&lt;'Entry Builder'!$E$9),--(INDEX(Sims!$A1165:$BO1165,'Entry Builder'!$L$9)&gt;'Entry Builder'!$E$9)))</f>
        <v/>
      </c>
      <c r="D1165">
        <f>IF('Entry Builder'!$N$10=0,1,IF('Entry Builder'!$D$10="Less",--(INDEX(Sims!$A1165:$BO1165,'Entry Builder'!$L$10)&lt;'Entry Builder'!$E$10),--(INDEX(Sims!$A1165:$BO1165,'Entry Builder'!$L$10)&gt;'Entry Builder'!$E$10)))</f>
        <v/>
      </c>
      <c r="E1165">
        <f>IF('Entry Builder'!$N$11=0,1,IF('Entry Builder'!$D$11="Less",--(INDEX(Sims!$A1165:$BO1165,'Entry Builder'!$L$11)&lt;'Entry Builder'!$E$11),--(INDEX(Sims!$A1165:$BO1165,'Entry Builder'!$L$11)&gt;'Entry Builder'!$E$11)))</f>
        <v/>
      </c>
      <c r="F1165">
        <f>IF('Entry Builder'!$N$12=0,1,IF('Entry Builder'!$D$12="Less",--(INDEX(Sims!$A1165:$BO1165,'Entry Builder'!$L$12)&lt;'Entry Builder'!$E$12),--(INDEX(Sims!$A1165:$BO1165,'Entry Builder'!$L$12)&gt;'Entry Builder'!$E$12)))</f>
        <v/>
      </c>
      <c r="G1165">
        <f>6-SUM(A1165:F1165)</f>
        <v/>
      </c>
    </row>
    <row r="1166">
      <c r="A1166">
        <f>IF('Entry Builder'!$N$7=0,1,IF('Entry Builder'!$D$7="Less",--(INDEX(Sims!$A1166:$BO1166,'Entry Builder'!$L$7)&lt;'Entry Builder'!$E$7),--(INDEX(Sims!$A1166:$BO1166,'Entry Builder'!$L$7)&gt;'Entry Builder'!$E$7)))</f>
        <v/>
      </c>
      <c r="B1166">
        <f>IF('Entry Builder'!$N$8=0,1,IF('Entry Builder'!$D$8="Less",--(INDEX(Sims!$A1166:$BO1166,'Entry Builder'!$L$8)&lt;'Entry Builder'!$E$8),--(INDEX(Sims!$A1166:$BO1166,'Entry Builder'!$L$8)&gt;'Entry Builder'!$E$8)))</f>
        <v/>
      </c>
      <c r="C1166">
        <f>IF('Entry Builder'!$N$9=0,1,IF('Entry Builder'!$D$9="Less",--(INDEX(Sims!$A1166:$BO1166,'Entry Builder'!$L$9)&lt;'Entry Builder'!$E$9),--(INDEX(Sims!$A1166:$BO1166,'Entry Builder'!$L$9)&gt;'Entry Builder'!$E$9)))</f>
        <v/>
      </c>
      <c r="D1166">
        <f>IF('Entry Builder'!$N$10=0,1,IF('Entry Builder'!$D$10="Less",--(INDEX(Sims!$A1166:$BO1166,'Entry Builder'!$L$10)&lt;'Entry Builder'!$E$10),--(INDEX(Sims!$A1166:$BO1166,'Entry Builder'!$L$10)&gt;'Entry Builder'!$E$10)))</f>
        <v/>
      </c>
      <c r="E1166">
        <f>IF('Entry Builder'!$N$11=0,1,IF('Entry Builder'!$D$11="Less",--(INDEX(Sims!$A1166:$BO1166,'Entry Builder'!$L$11)&lt;'Entry Builder'!$E$11),--(INDEX(Sims!$A1166:$BO1166,'Entry Builder'!$L$11)&gt;'Entry Builder'!$E$11)))</f>
        <v/>
      </c>
      <c r="F1166">
        <f>IF('Entry Builder'!$N$12=0,1,IF('Entry Builder'!$D$12="Less",--(INDEX(Sims!$A1166:$BO1166,'Entry Builder'!$L$12)&lt;'Entry Builder'!$E$12),--(INDEX(Sims!$A1166:$BO1166,'Entry Builder'!$L$12)&gt;'Entry Builder'!$E$12)))</f>
        <v/>
      </c>
      <c r="G1166">
        <f>6-SUM(A1166:F1166)</f>
        <v/>
      </c>
    </row>
    <row r="1167">
      <c r="A1167">
        <f>IF('Entry Builder'!$N$7=0,1,IF('Entry Builder'!$D$7="Less",--(INDEX(Sims!$A1167:$BO1167,'Entry Builder'!$L$7)&lt;'Entry Builder'!$E$7),--(INDEX(Sims!$A1167:$BO1167,'Entry Builder'!$L$7)&gt;'Entry Builder'!$E$7)))</f>
        <v/>
      </c>
      <c r="B1167">
        <f>IF('Entry Builder'!$N$8=0,1,IF('Entry Builder'!$D$8="Less",--(INDEX(Sims!$A1167:$BO1167,'Entry Builder'!$L$8)&lt;'Entry Builder'!$E$8),--(INDEX(Sims!$A1167:$BO1167,'Entry Builder'!$L$8)&gt;'Entry Builder'!$E$8)))</f>
        <v/>
      </c>
      <c r="C1167">
        <f>IF('Entry Builder'!$N$9=0,1,IF('Entry Builder'!$D$9="Less",--(INDEX(Sims!$A1167:$BO1167,'Entry Builder'!$L$9)&lt;'Entry Builder'!$E$9),--(INDEX(Sims!$A1167:$BO1167,'Entry Builder'!$L$9)&gt;'Entry Builder'!$E$9)))</f>
        <v/>
      </c>
      <c r="D1167">
        <f>IF('Entry Builder'!$N$10=0,1,IF('Entry Builder'!$D$10="Less",--(INDEX(Sims!$A1167:$BO1167,'Entry Builder'!$L$10)&lt;'Entry Builder'!$E$10),--(INDEX(Sims!$A1167:$BO1167,'Entry Builder'!$L$10)&gt;'Entry Builder'!$E$10)))</f>
        <v/>
      </c>
      <c r="E1167">
        <f>IF('Entry Builder'!$N$11=0,1,IF('Entry Builder'!$D$11="Less",--(INDEX(Sims!$A1167:$BO1167,'Entry Builder'!$L$11)&lt;'Entry Builder'!$E$11),--(INDEX(Sims!$A1167:$BO1167,'Entry Builder'!$L$11)&gt;'Entry Builder'!$E$11)))</f>
        <v/>
      </c>
      <c r="F1167">
        <f>IF('Entry Builder'!$N$12=0,1,IF('Entry Builder'!$D$12="Less",--(INDEX(Sims!$A1167:$BO1167,'Entry Builder'!$L$12)&lt;'Entry Builder'!$E$12),--(INDEX(Sims!$A1167:$BO1167,'Entry Builder'!$L$12)&gt;'Entry Builder'!$E$12)))</f>
        <v/>
      </c>
      <c r="G1167">
        <f>6-SUM(A1167:F1167)</f>
        <v/>
      </c>
    </row>
    <row r="1168">
      <c r="A1168">
        <f>IF('Entry Builder'!$N$7=0,1,IF('Entry Builder'!$D$7="Less",--(INDEX(Sims!$A1168:$BO1168,'Entry Builder'!$L$7)&lt;'Entry Builder'!$E$7),--(INDEX(Sims!$A1168:$BO1168,'Entry Builder'!$L$7)&gt;'Entry Builder'!$E$7)))</f>
        <v/>
      </c>
      <c r="B1168">
        <f>IF('Entry Builder'!$N$8=0,1,IF('Entry Builder'!$D$8="Less",--(INDEX(Sims!$A1168:$BO1168,'Entry Builder'!$L$8)&lt;'Entry Builder'!$E$8),--(INDEX(Sims!$A1168:$BO1168,'Entry Builder'!$L$8)&gt;'Entry Builder'!$E$8)))</f>
        <v/>
      </c>
      <c r="C1168">
        <f>IF('Entry Builder'!$N$9=0,1,IF('Entry Builder'!$D$9="Less",--(INDEX(Sims!$A1168:$BO1168,'Entry Builder'!$L$9)&lt;'Entry Builder'!$E$9),--(INDEX(Sims!$A1168:$BO1168,'Entry Builder'!$L$9)&gt;'Entry Builder'!$E$9)))</f>
        <v/>
      </c>
      <c r="D1168">
        <f>IF('Entry Builder'!$N$10=0,1,IF('Entry Builder'!$D$10="Less",--(INDEX(Sims!$A1168:$BO1168,'Entry Builder'!$L$10)&lt;'Entry Builder'!$E$10),--(INDEX(Sims!$A1168:$BO1168,'Entry Builder'!$L$10)&gt;'Entry Builder'!$E$10)))</f>
        <v/>
      </c>
      <c r="E1168">
        <f>IF('Entry Builder'!$N$11=0,1,IF('Entry Builder'!$D$11="Less",--(INDEX(Sims!$A1168:$BO1168,'Entry Builder'!$L$11)&lt;'Entry Builder'!$E$11),--(INDEX(Sims!$A1168:$BO1168,'Entry Builder'!$L$11)&gt;'Entry Builder'!$E$11)))</f>
        <v/>
      </c>
      <c r="F1168">
        <f>IF('Entry Builder'!$N$12=0,1,IF('Entry Builder'!$D$12="Less",--(INDEX(Sims!$A1168:$BO1168,'Entry Builder'!$L$12)&lt;'Entry Builder'!$E$12),--(INDEX(Sims!$A1168:$BO1168,'Entry Builder'!$L$12)&gt;'Entry Builder'!$E$12)))</f>
        <v/>
      </c>
      <c r="G1168">
        <f>6-SUM(A1168:F1168)</f>
        <v/>
      </c>
    </row>
    <row r="1169">
      <c r="A1169">
        <f>IF('Entry Builder'!$N$7=0,1,IF('Entry Builder'!$D$7="Less",--(INDEX(Sims!$A1169:$BO1169,'Entry Builder'!$L$7)&lt;'Entry Builder'!$E$7),--(INDEX(Sims!$A1169:$BO1169,'Entry Builder'!$L$7)&gt;'Entry Builder'!$E$7)))</f>
        <v/>
      </c>
      <c r="B1169">
        <f>IF('Entry Builder'!$N$8=0,1,IF('Entry Builder'!$D$8="Less",--(INDEX(Sims!$A1169:$BO1169,'Entry Builder'!$L$8)&lt;'Entry Builder'!$E$8),--(INDEX(Sims!$A1169:$BO1169,'Entry Builder'!$L$8)&gt;'Entry Builder'!$E$8)))</f>
        <v/>
      </c>
      <c r="C1169">
        <f>IF('Entry Builder'!$N$9=0,1,IF('Entry Builder'!$D$9="Less",--(INDEX(Sims!$A1169:$BO1169,'Entry Builder'!$L$9)&lt;'Entry Builder'!$E$9),--(INDEX(Sims!$A1169:$BO1169,'Entry Builder'!$L$9)&gt;'Entry Builder'!$E$9)))</f>
        <v/>
      </c>
      <c r="D1169">
        <f>IF('Entry Builder'!$N$10=0,1,IF('Entry Builder'!$D$10="Less",--(INDEX(Sims!$A1169:$BO1169,'Entry Builder'!$L$10)&lt;'Entry Builder'!$E$10),--(INDEX(Sims!$A1169:$BO1169,'Entry Builder'!$L$10)&gt;'Entry Builder'!$E$10)))</f>
        <v/>
      </c>
      <c r="E1169">
        <f>IF('Entry Builder'!$N$11=0,1,IF('Entry Builder'!$D$11="Less",--(INDEX(Sims!$A1169:$BO1169,'Entry Builder'!$L$11)&lt;'Entry Builder'!$E$11),--(INDEX(Sims!$A1169:$BO1169,'Entry Builder'!$L$11)&gt;'Entry Builder'!$E$11)))</f>
        <v/>
      </c>
      <c r="F1169">
        <f>IF('Entry Builder'!$N$12=0,1,IF('Entry Builder'!$D$12="Less",--(INDEX(Sims!$A1169:$BO1169,'Entry Builder'!$L$12)&lt;'Entry Builder'!$E$12),--(INDEX(Sims!$A1169:$BO1169,'Entry Builder'!$L$12)&gt;'Entry Builder'!$E$12)))</f>
        <v/>
      </c>
      <c r="G1169">
        <f>6-SUM(A1169:F1169)</f>
        <v/>
      </c>
    </row>
    <row r="1170">
      <c r="A1170">
        <f>IF('Entry Builder'!$N$7=0,1,IF('Entry Builder'!$D$7="Less",--(INDEX(Sims!$A1170:$BO1170,'Entry Builder'!$L$7)&lt;'Entry Builder'!$E$7),--(INDEX(Sims!$A1170:$BO1170,'Entry Builder'!$L$7)&gt;'Entry Builder'!$E$7)))</f>
        <v/>
      </c>
      <c r="B1170">
        <f>IF('Entry Builder'!$N$8=0,1,IF('Entry Builder'!$D$8="Less",--(INDEX(Sims!$A1170:$BO1170,'Entry Builder'!$L$8)&lt;'Entry Builder'!$E$8),--(INDEX(Sims!$A1170:$BO1170,'Entry Builder'!$L$8)&gt;'Entry Builder'!$E$8)))</f>
        <v/>
      </c>
      <c r="C1170">
        <f>IF('Entry Builder'!$N$9=0,1,IF('Entry Builder'!$D$9="Less",--(INDEX(Sims!$A1170:$BO1170,'Entry Builder'!$L$9)&lt;'Entry Builder'!$E$9),--(INDEX(Sims!$A1170:$BO1170,'Entry Builder'!$L$9)&gt;'Entry Builder'!$E$9)))</f>
        <v/>
      </c>
      <c r="D1170">
        <f>IF('Entry Builder'!$N$10=0,1,IF('Entry Builder'!$D$10="Less",--(INDEX(Sims!$A1170:$BO1170,'Entry Builder'!$L$10)&lt;'Entry Builder'!$E$10),--(INDEX(Sims!$A1170:$BO1170,'Entry Builder'!$L$10)&gt;'Entry Builder'!$E$10)))</f>
        <v/>
      </c>
      <c r="E1170">
        <f>IF('Entry Builder'!$N$11=0,1,IF('Entry Builder'!$D$11="Less",--(INDEX(Sims!$A1170:$BO1170,'Entry Builder'!$L$11)&lt;'Entry Builder'!$E$11),--(INDEX(Sims!$A1170:$BO1170,'Entry Builder'!$L$11)&gt;'Entry Builder'!$E$11)))</f>
        <v/>
      </c>
      <c r="F1170">
        <f>IF('Entry Builder'!$N$12=0,1,IF('Entry Builder'!$D$12="Less",--(INDEX(Sims!$A1170:$BO1170,'Entry Builder'!$L$12)&lt;'Entry Builder'!$E$12),--(INDEX(Sims!$A1170:$BO1170,'Entry Builder'!$L$12)&gt;'Entry Builder'!$E$12)))</f>
        <v/>
      </c>
      <c r="G1170">
        <f>6-SUM(A1170:F1170)</f>
        <v/>
      </c>
    </row>
    <row r="1171">
      <c r="A1171">
        <f>IF('Entry Builder'!$N$7=0,1,IF('Entry Builder'!$D$7="Less",--(INDEX(Sims!$A1171:$BO1171,'Entry Builder'!$L$7)&lt;'Entry Builder'!$E$7),--(INDEX(Sims!$A1171:$BO1171,'Entry Builder'!$L$7)&gt;'Entry Builder'!$E$7)))</f>
        <v/>
      </c>
      <c r="B1171">
        <f>IF('Entry Builder'!$N$8=0,1,IF('Entry Builder'!$D$8="Less",--(INDEX(Sims!$A1171:$BO1171,'Entry Builder'!$L$8)&lt;'Entry Builder'!$E$8),--(INDEX(Sims!$A1171:$BO1171,'Entry Builder'!$L$8)&gt;'Entry Builder'!$E$8)))</f>
        <v/>
      </c>
      <c r="C1171">
        <f>IF('Entry Builder'!$N$9=0,1,IF('Entry Builder'!$D$9="Less",--(INDEX(Sims!$A1171:$BO1171,'Entry Builder'!$L$9)&lt;'Entry Builder'!$E$9),--(INDEX(Sims!$A1171:$BO1171,'Entry Builder'!$L$9)&gt;'Entry Builder'!$E$9)))</f>
        <v/>
      </c>
      <c r="D1171">
        <f>IF('Entry Builder'!$N$10=0,1,IF('Entry Builder'!$D$10="Less",--(INDEX(Sims!$A1171:$BO1171,'Entry Builder'!$L$10)&lt;'Entry Builder'!$E$10),--(INDEX(Sims!$A1171:$BO1171,'Entry Builder'!$L$10)&gt;'Entry Builder'!$E$10)))</f>
        <v/>
      </c>
      <c r="E1171">
        <f>IF('Entry Builder'!$N$11=0,1,IF('Entry Builder'!$D$11="Less",--(INDEX(Sims!$A1171:$BO1171,'Entry Builder'!$L$11)&lt;'Entry Builder'!$E$11),--(INDEX(Sims!$A1171:$BO1171,'Entry Builder'!$L$11)&gt;'Entry Builder'!$E$11)))</f>
        <v/>
      </c>
      <c r="F1171">
        <f>IF('Entry Builder'!$N$12=0,1,IF('Entry Builder'!$D$12="Less",--(INDEX(Sims!$A1171:$BO1171,'Entry Builder'!$L$12)&lt;'Entry Builder'!$E$12),--(INDEX(Sims!$A1171:$BO1171,'Entry Builder'!$L$12)&gt;'Entry Builder'!$E$12)))</f>
        <v/>
      </c>
      <c r="G1171">
        <f>6-SUM(A1171:F1171)</f>
        <v/>
      </c>
    </row>
    <row r="1172">
      <c r="A1172">
        <f>IF('Entry Builder'!$N$7=0,1,IF('Entry Builder'!$D$7="Less",--(INDEX(Sims!$A1172:$BO1172,'Entry Builder'!$L$7)&lt;'Entry Builder'!$E$7),--(INDEX(Sims!$A1172:$BO1172,'Entry Builder'!$L$7)&gt;'Entry Builder'!$E$7)))</f>
        <v/>
      </c>
      <c r="B1172">
        <f>IF('Entry Builder'!$N$8=0,1,IF('Entry Builder'!$D$8="Less",--(INDEX(Sims!$A1172:$BO1172,'Entry Builder'!$L$8)&lt;'Entry Builder'!$E$8),--(INDEX(Sims!$A1172:$BO1172,'Entry Builder'!$L$8)&gt;'Entry Builder'!$E$8)))</f>
        <v/>
      </c>
      <c r="C1172">
        <f>IF('Entry Builder'!$N$9=0,1,IF('Entry Builder'!$D$9="Less",--(INDEX(Sims!$A1172:$BO1172,'Entry Builder'!$L$9)&lt;'Entry Builder'!$E$9),--(INDEX(Sims!$A1172:$BO1172,'Entry Builder'!$L$9)&gt;'Entry Builder'!$E$9)))</f>
        <v/>
      </c>
      <c r="D1172">
        <f>IF('Entry Builder'!$N$10=0,1,IF('Entry Builder'!$D$10="Less",--(INDEX(Sims!$A1172:$BO1172,'Entry Builder'!$L$10)&lt;'Entry Builder'!$E$10),--(INDEX(Sims!$A1172:$BO1172,'Entry Builder'!$L$10)&gt;'Entry Builder'!$E$10)))</f>
        <v/>
      </c>
      <c r="E1172">
        <f>IF('Entry Builder'!$N$11=0,1,IF('Entry Builder'!$D$11="Less",--(INDEX(Sims!$A1172:$BO1172,'Entry Builder'!$L$11)&lt;'Entry Builder'!$E$11),--(INDEX(Sims!$A1172:$BO1172,'Entry Builder'!$L$11)&gt;'Entry Builder'!$E$11)))</f>
        <v/>
      </c>
      <c r="F1172">
        <f>IF('Entry Builder'!$N$12=0,1,IF('Entry Builder'!$D$12="Less",--(INDEX(Sims!$A1172:$BO1172,'Entry Builder'!$L$12)&lt;'Entry Builder'!$E$12),--(INDEX(Sims!$A1172:$BO1172,'Entry Builder'!$L$12)&gt;'Entry Builder'!$E$12)))</f>
        <v/>
      </c>
      <c r="G1172">
        <f>6-SUM(A1172:F1172)</f>
        <v/>
      </c>
    </row>
    <row r="1173">
      <c r="A1173">
        <f>IF('Entry Builder'!$N$7=0,1,IF('Entry Builder'!$D$7="Less",--(INDEX(Sims!$A1173:$BO1173,'Entry Builder'!$L$7)&lt;'Entry Builder'!$E$7),--(INDEX(Sims!$A1173:$BO1173,'Entry Builder'!$L$7)&gt;'Entry Builder'!$E$7)))</f>
        <v/>
      </c>
      <c r="B1173">
        <f>IF('Entry Builder'!$N$8=0,1,IF('Entry Builder'!$D$8="Less",--(INDEX(Sims!$A1173:$BO1173,'Entry Builder'!$L$8)&lt;'Entry Builder'!$E$8),--(INDEX(Sims!$A1173:$BO1173,'Entry Builder'!$L$8)&gt;'Entry Builder'!$E$8)))</f>
        <v/>
      </c>
      <c r="C1173">
        <f>IF('Entry Builder'!$N$9=0,1,IF('Entry Builder'!$D$9="Less",--(INDEX(Sims!$A1173:$BO1173,'Entry Builder'!$L$9)&lt;'Entry Builder'!$E$9),--(INDEX(Sims!$A1173:$BO1173,'Entry Builder'!$L$9)&gt;'Entry Builder'!$E$9)))</f>
        <v/>
      </c>
      <c r="D1173">
        <f>IF('Entry Builder'!$N$10=0,1,IF('Entry Builder'!$D$10="Less",--(INDEX(Sims!$A1173:$BO1173,'Entry Builder'!$L$10)&lt;'Entry Builder'!$E$10),--(INDEX(Sims!$A1173:$BO1173,'Entry Builder'!$L$10)&gt;'Entry Builder'!$E$10)))</f>
        <v/>
      </c>
      <c r="E1173">
        <f>IF('Entry Builder'!$N$11=0,1,IF('Entry Builder'!$D$11="Less",--(INDEX(Sims!$A1173:$BO1173,'Entry Builder'!$L$11)&lt;'Entry Builder'!$E$11),--(INDEX(Sims!$A1173:$BO1173,'Entry Builder'!$L$11)&gt;'Entry Builder'!$E$11)))</f>
        <v/>
      </c>
      <c r="F1173">
        <f>IF('Entry Builder'!$N$12=0,1,IF('Entry Builder'!$D$12="Less",--(INDEX(Sims!$A1173:$BO1173,'Entry Builder'!$L$12)&lt;'Entry Builder'!$E$12),--(INDEX(Sims!$A1173:$BO1173,'Entry Builder'!$L$12)&gt;'Entry Builder'!$E$12)))</f>
        <v/>
      </c>
      <c r="G1173">
        <f>6-SUM(A1173:F1173)</f>
        <v/>
      </c>
    </row>
    <row r="1174">
      <c r="A1174">
        <f>IF('Entry Builder'!$N$7=0,1,IF('Entry Builder'!$D$7="Less",--(INDEX(Sims!$A1174:$BO1174,'Entry Builder'!$L$7)&lt;'Entry Builder'!$E$7),--(INDEX(Sims!$A1174:$BO1174,'Entry Builder'!$L$7)&gt;'Entry Builder'!$E$7)))</f>
        <v/>
      </c>
      <c r="B1174">
        <f>IF('Entry Builder'!$N$8=0,1,IF('Entry Builder'!$D$8="Less",--(INDEX(Sims!$A1174:$BO1174,'Entry Builder'!$L$8)&lt;'Entry Builder'!$E$8),--(INDEX(Sims!$A1174:$BO1174,'Entry Builder'!$L$8)&gt;'Entry Builder'!$E$8)))</f>
        <v/>
      </c>
      <c r="C1174">
        <f>IF('Entry Builder'!$N$9=0,1,IF('Entry Builder'!$D$9="Less",--(INDEX(Sims!$A1174:$BO1174,'Entry Builder'!$L$9)&lt;'Entry Builder'!$E$9),--(INDEX(Sims!$A1174:$BO1174,'Entry Builder'!$L$9)&gt;'Entry Builder'!$E$9)))</f>
        <v/>
      </c>
      <c r="D1174">
        <f>IF('Entry Builder'!$N$10=0,1,IF('Entry Builder'!$D$10="Less",--(INDEX(Sims!$A1174:$BO1174,'Entry Builder'!$L$10)&lt;'Entry Builder'!$E$10),--(INDEX(Sims!$A1174:$BO1174,'Entry Builder'!$L$10)&gt;'Entry Builder'!$E$10)))</f>
        <v/>
      </c>
      <c r="E1174">
        <f>IF('Entry Builder'!$N$11=0,1,IF('Entry Builder'!$D$11="Less",--(INDEX(Sims!$A1174:$BO1174,'Entry Builder'!$L$11)&lt;'Entry Builder'!$E$11),--(INDEX(Sims!$A1174:$BO1174,'Entry Builder'!$L$11)&gt;'Entry Builder'!$E$11)))</f>
        <v/>
      </c>
      <c r="F1174">
        <f>IF('Entry Builder'!$N$12=0,1,IF('Entry Builder'!$D$12="Less",--(INDEX(Sims!$A1174:$BO1174,'Entry Builder'!$L$12)&lt;'Entry Builder'!$E$12),--(INDEX(Sims!$A1174:$BO1174,'Entry Builder'!$L$12)&gt;'Entry Builder'!$E$12)))</f>
        <v/>
      </c>
      <c r="G1174">
        <f>6-SUM(A1174:F1174)</f>
        <v/>
      </c>
    </row>
    <row r="1175">
      <c r="A1175">
        <f>IF('Entry Builder'!$N$7=0,1,IF('Entry Builder'!$D$7="Less",--(INDEX(Sims!$A1175:$BO1175,'Entry Builder'!$L$7)&lt;'Entry Builder'!$E$7),--(INDEX(Sims!$A1175:$BO1175,'Entry Builder'!$L$7)&gt;'Entry Builder'!$E$7)))</f>
        <v/>
      </c>
      <c r="B1175">
        <f>IF('Entry Builder'!$N$8=0,1,IF('Entry Builder'!$D$8="Less",--(INDEX(Sims!$A1175:$BO1175,'Entry Builder'!$L$8)&lt;'Entry Builder'!$E$8),--(INDEX(Sims!$A1175:$BO1175,'Entry Builder'!$L$8)&gt;'Entry Builder'!$E$8)))</f>
        <v/>
      </c>
      <c r="C1175">
        <f>IF('Entry Builder'!$N$9=0,1,IF('Entry Builder'!$D$9="Less",--(INDEX(Sims!$A1175:$BO1175,'Entry Builder'!$L$9)&lt;'Entry Builder'!$E$9),--(INDEX(Sims!$A1175:$BO1175,'Entry Builder'!$L$9)&gt;'Entry Builder'!$E$9)))</f>
        <v/>
      </c>
      <c r="D1175">
        <f>IF('Entry Builder'!$N$10=0,1,IF('Entry Builder'!$D$10="Less",--(INDEX(Sims!$A1175:$BO1175,'Entry Builder'!$L$10)&lt;'Entry Builder'!$E$10),--(INDEX(Sims!$A1175:$BO1175,'Entry Builder'!$L$10)&gt;'Entry Builder'!$E$10)))</f>
        <v/>
      </c>
      <c r="E1175">
        <f>IF('Entry Builder'!$N$11=0,1,IF('Entry Builder'!$D$11="Less",--(INDEX(Sims!$A1175:$BO1175,'Entry Builder'!$L$11)&lt;'Entry Builder'!$E$11),--(INDEX(Sims!$A1175:$BO1175,'Entry Builder'!$L$11)&gt;'Entry Builder'!$E$11)))</f>
        <v/>
      </c>
      <c r="F1175">
        <f>IF('Entry Builder'!$N$12=0,1,IF('Entry Builder'!$D$12="Less",--(INDEX(Sims!$A1175:$BO1175,'Entry Builder'!$L$12)&lt;'Entry Builder'!$E$12),--(INDEX(Sims!$A1175:$BO1175,'Entry Builder'!$L$12)&gt;'Entry Builder'!$E$12)))</f>
        <v/>
      </c>
      <c r="G1175">
        <f>6-SUM(A1175:F1175)</f>
        <v/>
      </c>
    </row>
    <row r="1176">
      <c r="A1176">
        <f>IF('Entry Builder'!$N$7=0,1,IF('Entry Builder'!$D$7="Less",--(INDEX(Sims!$A1176:$BO1176,'Entry Builder'!$L$7)&lt;'Entry Builder'!$E$7),--(INDEX(Sims!$A1176:$BO1176,'Entry Builder'!$L$7)&gt;'Entry Builder'!$E$7)))</f>
        <v/>
      </c>
      <c r="B1176">
        <f>IF('Entry Builder'!$N$8=0,1,IF('Entry Builder'!$D$8="Less",--(INDEX(Sims!$A1176:$BO1176,'Entry Builder'!$L$8)&lt;'Entry Builder'!$E$8),--(INDEX(Sims!$A1176:$BO1176,'Entry Builder'!$L$8)&gt;'Entry Builder'!$E$8)))</f>
        <v/>
      </c>
      <c r="C1176">
        <f>IF('Entry Builder'!$N$9=0,1,IF('Entry Builder'!$D$9="Less",--(INDEX(Sims!$A1176:$BO1176,'Entry Builder'!$L$9)&lt;'Entry Builder'!$E$9),--(INDEX(Sims!$A1176:$BO1176,'Entry Builder'!$L$9)&gt;'Entry Builder'!$E$9)))</f>
        <v/>
      </c>
      <c r="D1176">
        <f>IF('Entry Builder'!$N$10=0,1,IF('Entry Builder'!$D$10="Less",--(INDEX(Sims!$A1176:$BO1176,'Entry Builder'!$L$10)&lt;'Entry Builder'!$E$10),--(INDEX(Sims!$A1176:$BO1176,'Entry Builder'!$L$10)&gt;'Entry Builder'!$E$10)))</f>
        <v/>
      </c>
      <c r="E1176">
        <f>IF('Entry Builder'!$N$11=0,1,IF('Entry Builder'!$D$11="Less",--(INDEX(Sims!$A1176:$BO1176,'Entry Builder'!$L$11)&lt;'Entry Builder'!$E$11),--(INDEX(Sims!$A1176:$BO1176,'Entry Builder'!$L$11)&gt;'Entry Builder'!$E$11)))</f>
        <v/>
      </c>
      <c r="F1176">
        <f>IF('Entry Builder'!$N$12=0,1,IF('Entry Builder'!$D$12="Less",--(INDEX(Sims!$A1176:$BO1176,'Entry Builder'!$L$12)&lt;'Entry Builder'!$E$12),--(INDEX(Sims!$A1176:$BO1176,'Entry Builder'!$L$12)&gt;'Entry Builder'!$E$12)))</f>
        <v/>
      </c>
      <c r="G1176">
        <f>6-SUM(A1176:F1176)</f>
        <v/>
      </c>
    </row>
    <row r="1177">
      <c r="A1177">
        <f>IF('Entry Builder'!$N$7=0,1,IF('Entry Builder'!$D$7="Less",--(INDEX(Sims!$A1177:$BO1177,'Entry Builder'!$L$7)&lt;'Entry Builder'!$E$7),--(INDEX(Sims!$A1177:$BO1177,'Entry Builder'!$L$7)&gt;'Entry Builder'!$E$7)))</f>
        <v/>
      </c>
      <c r="B1177">
        <f>IF('Entry Builder'!$N$8=0,1,IF('Entry Builder'!$D$8="Less",--(INDEX(Sims!$A1177:$BO1177,'Entry Builder'!$L$8)&lt;'Entry Builder'!$E$8),--(INDEX(Sims!$A1177:$BO1177,'Entry Builder'!$L$8)&gt;'Entry Builder'!$E$8)))</f>
        <v/>
      </c>
      <c r="C1177">
        <f>IF('Entry Builder'!$N$9=0,1,IF('Entry Builder'!$D$9="Less",--(INDEX(Sims!$A1177:$BO1177,'Entry Builder'!$L$9)&lt;'Entry Builder'!$E$9),--(INDEX(Sims!$A1177:$BO1177,'Entry Builder'!$L$9)&gt;'Entry Builder'!$E$9)))</f>
        <v/>
      </c>
      <c r="D1177">
        <f>IF('Entry Builder'!$N$10=0,1,IF('Entry Builder'!$D$10="Less",--(INDEX(Sims!$A1177:$BO1177,'Entry Builder'!$L$10)&lt;'Entry Builder'!$E$10),--(INDEX(Sims!$A1177:$BO1177,'Entry Builder'!$L$10)&gt;'Entry Builder'!$E$10)))</f>
        <v/>
      </c>
      <c r="E1177">
        <f>IF('Entry Builder'!$N$11=0,1,IF('Entry Builder'!$D$11="Less",--(INDEX(Sims!$A1177:$BO1177,'Entry Builder'!$L$11)&lt;'Entry Builder'!$E$11),--(INDEX(Sims!$A1177:$BO1177,'Entry Builder'!$L$11)&gt;'Entry Builder'!$E$11)))</f>
        <v/>
      </c>
      <c r="F1177">
        <f>IF('Entry Builder'!$N$12=0,1,IF('Entry Builder'!$D$12="Less",--(INDEX(Sims!$A1177:$BO1177,'Entry Builder'!$L$12)&lt;'Entry Builder'!$E$12),--(INDEX(Sims!$A1177:$BO1177,'Entry Builder'!$L$12)&gt;'Entry Builder'!$E$12)))</f>
        <v/>
      </c>
      <c r="G1177">
        <f>6-SUM(A1177:F1177)</f>
        <v/>
      </c>
    </row>
    <row r="1178">
      <c r="A1178">
        <f>IF('Entry Builder'!$N$7=0,1,IF('Entry Builder'!$D$7="Less",--(INDEX(Sims!$A1178:$BO1178,'Entry Builder'!$L$7)&lt;'Entry Builder'!$E$7),--(INDEX(Sims!$A1178:$BO1178,'Entry Builder'!$L$7)&gt;'Entry Builder'!$E$7)))</f>
        <v/>
      </c>
      <c r="B1178">
        <f>IF('Entry Builder'!$N$8=0,1,IF('Entry Builder'!$D$8="Less",--(INDEX(Sims!$A1178:$BO1178,'Entry Builder'!$L$8)&lt;'Entry Builder'!$E$8),--(INDEX(Sims!$A1178:$BO1178,'Entry Builder'!$L$8)&gt;'Entry Builder'!$E$8)))</f>
        <v/>
      </c>
      <c r="C1178">
        <f>IF('Entry Builder'!$N$9=0,1,IF('Entry Builder'!$D$9="Less",--(INDEX(Sims!$A1178:$BO1178,'Entry Builder'!$L$9)&lt;'Entry Builder'!$E$9),--(INDEX(Sims!$A1178:$BO1178,'Entry Builder'!$L$9)&gt;'Entry Builder'!$E$9)))</f>
        <v/>
      </c>
      <c r="D1178">
        <f>IF('Entry Builder'!$N$10=0,1,IF('Entry Builder'!$D$10="Less",--(INDEX(Sims!$A1178:$BO1178,'Entry Builder'!$L$10)&lt;'Entry Builder'!$E$10),--(INDEX(Sims!$A1178:$BO1178,'Entry Builder'!$L$10)&gt;'Entry Builder'!$E$10)))</f>
        <v/>
      </c>
      <c r="E1178">
        <f>IF('Entry Builder'!$N$11=0,1,IF('Entry Builder'!$D$11="Less",--(INDEX(Sims!$A1178:$BO1178,'Entry Builder'!$L$11)&lt;'Entry Builder'!$E$11),--(INDEX(Sims!$A1178:$BO1178,'Entry Builder'!$L$11)&gt;'Entry Builder'!$E$11)))</f>
        <v/>
      </c>
      <c r="F1178">
        <f>IF('Entry Builder'!$N$12=0,1,IF('Entry Builder'!$D$12="Less",--(INDEX(Sims!$A1178:$BO1178,'Entry Builder'!$L$12)&lt;'Entry Builder'!$E$12),--(INDEX(Sims!$A1178:$BO1178,'Entry Builder'!$L$12)&gt;'Entry Builder'!$E$12)))</f>
        <v/>
      </c>
      <c r="G1178">
        <f>6-SUM(A1178:F1178)</f>
        <v/>
      </c>
    </row>
    <row r="1179">
      <c r="A1179">
        <f>IF('Entry Builder'!$N$7=0,1,IF('Entry Builder'!$D$7="Less",--(INDEX(Sims!$A1179:$BO1179,'Entry Builder'!$L$7)&lt;'Entry Builder'!$E$7),--(INDEX(Sims!$A1179:$BO1179,'Entry Builder'!$L$7)&gt;'Entry Builder'!$E$7)))</f>
        <v/>
      </c>
      <c r="B1179">
        <f>IF('Entry Builder'!$N$8=0,1,IF('Entry Builder'!$D$8="Less",--(INDEX(Sims!$A1179:$BO1179,'Entry Builder'!$L$8)&lt;'Entry Builder'!$E$8),--(INDEX(Sims!$A1179:$BO1179,'Entry Builder'!$L$8)&gt;'Entry Builder'!$E$8)))</f>
        <v/>
      </c>
      <c r="C1179">
        <f>IF('Entry Builder'!$N$9=0,1,IF('Entry Builder'!$D$9="Less",--(INDEX(Sims!$A1179:$BO1179,'Entry Builder'!$L$9)&lt;'Entry Builder'!$E$9),--(INDEX(Sims!$A1179:$BO1179,'Entry Builder'!$L$9)&gt;'Entry Builder'!$E$9)))</f>
        <v/>
      </c>
      <c r="D1179">
        <f>IF('Entry Builder'!$N$10=0,1,IF('Entry Builder'!$D$10="Less",--(INDEX(Sims!$A1179:$BO1179,'Entry Builder'!$L$10)&lt;'Entry Builder'!$E$10),--(INDEX(Sims!$A1179:$BO1179,'Entry Builder'!$L$10)&gt;'Entry Builder'!$E$10)))</f>
        <v/>
      </c>
      <c r="E1179">
        <f>IF('Entry Builder'!$N$11=0,1,IF('Entry Builder'!$D$11="Less",--(INDEX(Sims!$A1179:$BO1179,'Entry Builder'!$L$11)&lt;'Entry Builder'!$E$11),--(INDEX(Sims!$A1179:$BO1179,'Entry Builder'!$L$11)&gt;'Entry Builder'!$E$11)))</f>
        <v/>
      </c>
      <c r="F1179">
        <f>IF('Entry Builder'!$N$12=0,1,IF('Entry Builder'!$D$12="Less",--(INDEX(Sims!$A1179:$BO1179,'Entry Builder'!$L$12)&lt;'Entry Builder'!$E$12),--(INDEX(Sims!$A1179:$BO1179,'Entry Builder'!$L$12)&gt;'Entry Builder'!$E$12)))</f>
        <v/>
      </c>
      <c r="G1179">
        <f>6-SUM(A1179:F1179)</f>
        <v/>
      </c>
    </row>
    <row r="1180">
      <c r="A1180">
        <f>IF('Entry Builder'!$N$7=0,1,IF('Entry Builder'!$D$7="Less",--(INDEX(Sims!$A1180:$BO1180,'Entry Builder'!$L$7)&lt;'Entry Builder'!$E$7),--(INDEX(Sims!$A1180:$BO1180,'Entry Builder'!$L$7)&gt;'Entry Builder'!$E$7)))</f>
        <v/>
      </c>
      <c r="B1180">
        <f>IF('Entry Builder'!$N$8=0,1,IF('Entry Builder'!$D$8="Less",--(INDEX(Sims!$A1180:$BO1180,'Entry Builder'!$L$8)&lt;'Entry Builder'!$E$8),--(INDEX(Sims!$A1180:$BO1180,'Entry Builder'!$L$8)&gt;'Entry Builder'!$E$8)))</f>
        <v/>
      </c>
      <c r="C1180">
        <f>IF('Entry Builder'!$N$9=0,1,IF('Entry Builder'!$D$9="Less",--(INDEX(Sims!$A1180:$BO1180,'Entry Builder'!$L$9)&lt;'Entry Builder'!$E$9),--(INDEX(Sims!$A1180:$BO1180,'Entry Builder'!$L$9)&gt;'Entry Builder'!$E$9)))</f>
        <v/>
      </c>
      <c r="D1180">
        <f>IF('Entry Builder'!$N$10=0,1,IF('Entry Builder'!$D$10="Less",--(INDEX(Sims!$A1180:$BO1180,'Entry Builder'!$L$10)&lt;'Entry Builder'!$E$10),--(INDEX(Sims!$A1180:$BO1180,'Entry Builder'!$L$10)&gt;'Entry Builder'!$E$10)))</f>
        <v/>
      </c>
      <c r="E1180">
        <f>IF('Entry Builder'!$N$11=0,1,IF('Entry Builder'!$D$11="Less",--(INDEX(Sims!$A1180:$BO1180,'Entry Builder'!$L$11)&lt;'Entry Builder'!$E$11),--(INDEX(Sims!$A1180:$BO1180,'Entry Builder'!$L$11)&gt;'Entry Builder'!$E$11)))</f>
        <v/>
      </c>
      <c r="F1180">
        <f>IF('Entry Builder'!$N$12=0,1,IF('Entry Builder'!$D$12="Less",--(INDEX(Sims!$A1180:$BO1180,'Entry Builder'!$L$12)&lt;'Entry Builder'!$E$12),--(INDEX(Sims!$A1180:$BO1180,'Entry Builder'!$L$12)&gt;'Entry Builder'!$E$12)))</f>
        <v/>
      </c>
      <c r="G1180">
        <f>6-SUM(A1180:F1180)</f>
        <v/>
      </c>
    </row>
    <row r="1181">
      <c r="A1181">
        <f>IF('Entry Builder'!$N$7=0,1,IF('Entry Builder'!$D$7="Less",--(INDEX(Sims!$A1181:$BO1181,'Entry Builder'!$L$7)&lt;'Entry Builder'!$E$7),--(INDEX(Sims!$A1181:$BO1181,'Entry Builder'!$L$7)&gt;'Entry Builder'!$E$7)))</f>
        <v/>
      </c>
      <c r="B1181">
        <f>IF('Entry Builder'!$N$8=0,1,IF('Entry Builder'!$D$8="Less",--(INDEX(Sims!$A1181:$BO1181,'Entry Builder'!$L$8)&lt;'Entry Builder'!$E$8),--(INDEX(Sims!$A1181:$BO1181,'Entry Builder'!$L$8)&gt;'Entry Builder'!$E$8)))</f>
        <v/>
      </c>
      <c r="C1181">
        <f>IF('Entry Builder'!$N$9=0,1,IF('Entry Builder'!$D$9="Less",--(INDEX(Sims!$A1181:$BO1181,'Entry Builder'!$L$9)&lt;'Entry Builder'!$E$9),--(INDEX(Sims!$A1181:$BO1181,'Entry Builder'!$L$9)&gt;'Entry Builder'!$E$9)))</f>
        <v/>
      </c>
      <c r="D1181">
        <f>IF('Entry Builder'!$N$10=0,1,IF('Entry Builder'!$D$10="Less",--(INDEX(Sims!$A1181:$BO1181,'Entry Builder'!$L$10)&lt;'Entry Builder'!$E$10),--(INDEX(Sims!$A1181:$BO1181,'Entry Builder'!$L$10)&gt;'Entry Builder'!$E$10)))</f>
        <v/>
      </c>
      <c r="E1181">
        <f>IF('Entry Builder'!$N$11=0,1,IF('Entry Builder'!$D$11="Less",--(INDEX(Sims!$A1181:$BO1181,'Entry Builder'!$L$11)&lt;'Entry Builder'!$E$11),--(INDEX(Sims!$A1181:$BO1181,'Entry Builder'!$L$11)&gt;'Entry Builder'!$E$11)))</f>
        <v/>
      </c>
      <c r="F1181">
        <f>IF('Entry Builder'!$N$12=0,1,IF('Entry Builder'!$D$12="Less",--(INDEX(Sims!$A1181:$BO1181,'Entry Builder'!$L$12)&lt;'Entry Builder'!$E$12),--(INDEX(Sims!$A1181:$BO1181,'Entry Builder'!$L$12)&gt;'Entry Builder'!$E$12)))</f>
        <v/>
      </c>
      <c r="G1181">
        <f>6-SUM(A1181:F1181)</f>
        <v/>
      </c>
    </row>
    <row r="1182">
      <c r="A1182">
        <f>IF('Entry Builder'!$N$7=0,1,IF('Entry Builder'!$D$7="Less",--(INDEX(Sims!$A1182:$BO1182,'Entry Builder'!$L$7)&lt;'Entry Builder'!$E$7),--(INDEX(Sims!$A1182:$BO1182,'Entry Builder'!$L$7)&gt;'Entry Builder'!$E$7)))</f>
        <v/>
      </c>
      <c r="B1182">
        <f>IF('Entry Builder'!$N$8=0,1,IF('Entry Builder'!$D$8="Less",--(INDEX(Sims!$A1182:$BO1182,'Entry Builder'!$L$8)&lt;'Entry Builder'!$E$8),--(INDEX(Sims!$A1182:$BO1182,'Entry Builder'!$L$8)&gt;'Entry Builder'!$E$8)))</f>
        <v/>
      </c>
      <c r="C1182">
        <f>IF('Entry Builder'!$N$9=0,1,IF('Entry Builder'!$D$9="Less",--(INDEX(Sims!$A1182:$BO1182,'Entry Builder'!$L$9)&lt;'Entry Builder'!$E$9),--(INDEX(Sims!$A1182:$BO1182,'Entry Builder'!$L$9)&gt;'Entry Builder'!$E$9)))</f>
        <v/>
      </c>
      <c r="D1182">
        <f>IF('Entry Builder'!$N$10=0,1,IF('Entry Builder'!$D$10="Less",--(INDEX(Sims!$A1182:$BO1182,'Entry Builder'!$L$10)&lt;'Entry Builder'!$E$10),--(INDEX(Sims!$A1182:$BO1182,'Entry Builder'!$L$10)&gt;'Entry Builder'!$E$10)))</f>
        <v/>
      </c>
      <c r="E1182">
        <f>IF('Entry Builder'!$N$11=0,1,IF('Entry Builder'!$D$11="Less",--(INDEX(Sims!$A1182:$BO1182,'Entry Builder'!$L$11)&lt;'Entry Builder'!$E$11),--(INDEX(Sims!$A1182:$BO1182,'Entry Builder'!$L$11)&gt;'Entry Builder'!$E$11)))</f>
        <v/>
      </c>
      <c r="F1182">
        <f>IF('Entry Builder'!$N$12=0,1,IF('Entry Builder'!$D$12="Less",--(INDEX(Sims!$A1182:$BO1182,'Entry Builder'!$L$12)&lt;'Entry Builder'!$E$12),--(INDEX(Sims!$A1182:$BO1182,'Entry Builder'!$L$12)&gt;'Entry Builder'!$E$12)))</f>
        <v/>
      </c>
      <c r="G1182">
        <f>6-SUM(A1182:F1182)</f>
        <v/>
      </c>
    </row>
    <row r="1183">
      <c r="A1183">
        <f>IF('Entry Builder'!$N$7=0,1,IF('Entry Builder'!$D$7="Less",--(INDEX(Sims!$A1183:$BO1183,'Entry Builder'!$L$7)&lt;'Entry Builder'!$E$7),--(INDEX(Sims!$A1183:$BO1183,'Entry Builder'!$L$7)&gt;'Entry Builder'!$E$7)))</f>
        <v/>
      </c>
      <c r="B1183">
        <f>IF('Entry Builder'!$N$8=0,1,IF('Entry Builder'!$D$8="Less",--(INDEX(Sims!$A1183:$BO1183,'Entry Builder'!$L$8)&lt;'Entry Builder'!$E$8),--(INDEX(Sims!$A1183:$BO1183,'Entry Builder'!$L$8)&gt;'Entry Builder'!$E$8)))</f>
        <v/>
      </c>
      <c r="C1183">
        <f>IF('Entry Builder'!$N$9=0,1,IF('Entry Builder'!$D$9="Less",--(INDEX(Sims!$A1183:$BO1183,'Entry Builder'!$L$9)&lt;'Entry Builder'!$E$9),--(INDEX(Sims!$A1183:$BO1183,'Entry Builder'!$L$9)&gt;'Entry Builder'!$E$9)))</f>
        <v/>
      </c>
      <c r="D1183">
        <f>IF('Entry Builder'!$N$10=0,1,IF('Entry Builder'!$D$10="Less",--(INDEX(Sims!$A1183:$BO1183,'Entry Builder'!$L$10)&lt;'Entry Builder'!$E$10),--(INDEX(Sims!$A1183:$BO1183,'Entry Builder'!$L$10)&gt;'Entry Builder'!$E$10)))</f>
        <v/>
      </c>
      <c r="E1183">
        <f>IF('Entry Builder'!$N$11=0,1,IF('Entry Builder'!$D$11="Less",--(INDEX(Sims!$A1183:$BO1183,'Entry Builder'!$L$11)&lt;'Entry Builder'!$E$11),--(INDEX(Sims!$A1183:$BO1183,'Entry Builder'!$L$11)&gt;'Entry Builder'!$E$11)))</f>
        <v/>
      </c>
      <c r="F1183">
        <f>IF('Entry Builder'!$N$12=0,1,IF('Entry Builder'!$D$12="Less",--(INDEX(Sims!$A1183:$BO1183,'Entry Builder'!$L$12)&lt;'Entry Builder'!$E$12),--(INDEX(Sims!$A1183:$BO1183,'Entry Builder'!$L$12)&gt;'Entry Builder'!$E$12)))</f>
        <v/>
      </c>
      <c r="G1183">
        <f>6-SUM(A1183:F1183)</f>
        <v/>
      </c>
    </row>
    <row r="1184">
      <c r="A1184">
        <f>IF('Entry Builder'!$N$7=0,1,IF('Entry Builder'!$D$7="Less",--(INDEX(Sims!$A1184:$BO1184,'Entry Builder'!$L$7)&lt;'Entry Builder'!$E$7),--(INDEX(Sims!$A1184:$BO1184,'Entry Builder'!$L$7)&gt;'Entry Builder'!$E$7)))</f>
        <v/>
      </c>
      <c r="B1184">
        <f>IF('Entry Builder'!$N$8=0,1,IF('Entry Builder'!$D$8="Less",--(INDEX(Sims!$A1184:$BO1184,'Entry Builder'!$L$8)&lt;'Entry Builder'!$E$8),--(INDEX(Sims!$A1184:$BO1184,'Entry Builder'!$L$8)&gt;'Entry Builder'!$E$8)))</f>
        <v/>
      </c>
      <c r="C1184">
        <f>IF('Entry Builder'!$N$9=0,1,IF('Entry Builder'!$D$9="Less",--(INDEX(Sims!$A1184:$BO1184,'Entry Builder'!$L$9)&lt;'Entry Builder'!$E$9),--(INDEX(Sims!$A1184:$BO1184,'Entry Builder'!$L$9)&gt;'Entry Builder'!$E$9)))</f>
        <v/>
      </c>
      <c r="D1184">
        <f>IF('Entry Builder'!$N$10=0,1,IF('Entry Builder'!$D$10="Less",--(INDEX(Sims!$A1184:$BO1184,'Entry Builder'!$L$10)&lt;'Entry Builder'!$E$10),--(INDEX(Sims!$A1184:$BO1184,'Entry Builder'!$L$10)&gt;'Entry Builder'!$E$10)))</f>
        <v/>
      </c>
      <c r="E1184">
        <f>IF('Entry Builder'!$N$11=0,1,IF('Entry Builder'!$D$11="Less",--(INDEX(Sims!$A1184:$BO1184,'Entry Builder'!$L$11)&lt;'Entry Builder'!$E$11),--(INDEX(Sims!$A1184:$BO1184,'Entry Builder'!$L$11)&gt;'Entry Builder'!$E$11)))</f>
        <v/>
      </c>
      <c r="F1184">
        <f>IF('Entry Builder'!$N$12=0,1,IF('Entry Builder'!$D$12="Less",--(INDEX(Sims!$A1184:$BO1184,'Entry Builder'!$L$12)&lt;'Entry Builder'!$E$12),--(INDEX(Sims!$A1184:$BO1184,'Entry Builder'!$L$12)&gt;'Entry Builder'!$E$12)))</f>
        <v/>
      </c>
      <c r="G1184">
        <f>6-SUM(A1184:F1184)</f>
        <v/>
      </c>
    </row>
    <row r="1185">
      <c r="A1185">
        <f>IF('Entry Builder'!$N$7=0,1,IF('Entry Builder'!$D$7="Less",--(INDEX(Sims!$A1185:$BO1185,'Entry Builder'!$L$7)&lt;'Entry Builder'!$E$7),--(INDEX(Sims!$A1185:$BO1185,'Entry Builder'!$L$7)&gt;'Entry Builder'!$E$7)))</f>
        <v/>
      </c>
      <c r="B1185">
        <f>IF('Entry Builder'!$N$8=0,1,IF('Entry Builder'!$D$8="Less",--(INDEX(Sims!$A1185:$BO1185,'Entry Builder'!$L$8)&lt;'Entry Builder'!$E$8),--(INDEX(Sims!$A1185:$BO1185,'Entry Builder'!$L$8)&gt;'Entry Builder'!$E$8)))</f>
        <v/>
      </c>
      <c r="C1185">
        <f>IF('Entry Builder'!$N$9=0,1,IF('Entry Builder'!$D$9="Less",--(INDEX(Sims!$A1185:$BO1185,'Entry Builder'!$L$9)&lt;'Entry Builder'!$E$9),--(INDEX(Sims!$A1185:$BO1185,'Entry Builder'!$L$9)&gt;'Entry Builder'!$E$9)))</f>
        <v/>
      </c>
      <c r="D1185">
        <f>IF('Entry Builder'!$N$10=0,1,IF('Entry Builder'!$D$10="Less",--(INDEX(Sims!$A1185:$BO1185,'Entry Builder'!$L$10)&lt;'Entry Builder'!$E$10),--(INDEX(Sims!$A1185:$BO1185,'Entry Builder'!$L$10)&gt;'Entry Builder'!$E$10)))</f>
        <v/>
      </c>
      <c r="E1185">
        <f>IF('Entry Builder'!$N$11=0,1,IF('Entry Builder'!$D$11="Less",--(INDEX(Sims!$A1185:$BO1185,'Entry Builder'!$L$11)&lt;'Entry Builder'!$E$11),--(INDEX(Sims!$A1185:$BO1185,'Entry Builder'!$L$11)&gt;'Entry Builder'!$E$11)))</f>
        <v/>
      </c>
      <c r="F1185">
        <f>IF('Entry Builder'!$N$12=0,1,IF('Entry Builder'!$D$12="Less",--(INDEX(Sims!$A1185:$BO1185,'Entry Builder'!$L$12)&lt;'Entry Builder'!$E$12),--(INDEX(Sims!$A1185:$BO1185,'Entry Builder'!$L$12)&gt;'Entry Builder'!$E$12)))</f>
        <v/>
      </c>
      <c r="G1185">
        <f>6-SUM(A1185:F1185)</f>
        <v/>
      </c>
    </row>
    <row r="1186">
      <c r="A1186">
        <f>IF('Entry Builder'!$N$7=0,1,IF('Entry Builder'!$D$7="Less",--(INDEX(Sims!$A1186:$BO1186,'Entry Builder'!$L$7)&lt;'Entry Builder'!$E$7),--(INDEX(Sims!$A1186:$BO1186,'Entry Builder'!$L$7)&gt;'Entry Builder'!$E$7)))</f>
        <v/>
      </c>
      <c r="B1186">
        <f>IF('Entry Builder'!$N$8=0,1,IF('Entry Builder'!$D$8="Less",--(INDEX(Sims!$A1186:$BO1186,'Entry Builder'!$L$8)&lt;'Entry Builder'!$E$8),--(INDEX(Sims!$A1186:$BO1186,'Entry Builder'!$L$8)&gt;'Entry Builder'!$E$8)))</f>
        <v/>
      </c>
      <c r="C1186">
        <f>IF('Entry Builder'!$N$9=0,1,IF('Entry Builder'!$D$9="Less",--(INDEX(Sims!$A1186:$BO1186,'Entry Builder'!$L$9)&lt;'Entry Builder'!$E$9),--(INDEX(Sims!$A1186:$BO1186,'Entry Builder'!$L$9)&gt;'Entry Builder'!$E$9)))</f>
        <v/>
      </c>
      <c r="D1186">
        <f>IF('Entry Builder'!$N$10=0,1,IF('Entry Builder'!$D$10="Less",--(INDEX(Sims!$A1186:$BO1186,'Entry Builder'!$L$10)&lt;'Entry Builder'!$E$10),--(INDEX(Sims!$A1186:$BO1186,'Entry Builder'!$L$10)&gt;'Entry Builder'!$E$10)))</f>
        <v/>
      </c>
      <c r="E1186">
        <f>IF('Entry Builder'!$N$11=0,1,IF('Entry Builder'!$D$11="Less",--(INDEX(Sims!$A1186:$BO1186,'Entry Builder'!$L$11)&lt;'Entry Builder'!$E$11),--(INDEX(Sims!$A1186:$BO1186,'Entry Builder'!$L$11)&gt;'Entry Builder'!$E$11)))</f>
        <v/>
      </c>
      <c r="F1186">
        <f>IF('Entry Builder'!$N$12=0,1,IF('Entry Builder'!$D$12="Less",--(INDEX(Sims!$A1186:$BO1186,'Entry Builder'!$L$12)&lt;'Entry Builder'!$E$12),--(INDEX(Sims!$A1186:$BO1186,'Entry Builder'!$L$12)&gt;'Entry Builder'!$E$12)))</f>
        <v/>
      </c>
      <c r="G1186">
        <f>6-SUM(A1186:F1186)</f>
        <v/>
      </c>
    </row>
    <row r="1187">
      <c r="A1187">
        <f>IF('Entry Builder'!$N$7=0,1,IF('Entry Builder'!$D$7="Less",--(INDEX(Sims!$A1187:$BO1187,'Entry Builder'!$L$7)&lt;'Entry Builder'!$E$7),--(INDEX(Sims!$A1187:$BO1187,'Entry Builder'!$L$7)&gt;'Entry Builder'!$E$7)))</f>
        <v/>
      </c>
      <c r="B1187">
        <f>IF('Entry Builder'!$N$8=0,1,IF('Entry Builder'!$D$8="Less",--(INDEX(Sims!$A1187:$BO1187,'Entry Builder'!$L$8)&lt;'Entry Builder'!$E$8),--(INDEX(Sims!$A1187:$BO1187,'Entry Builder'!$L$8)&gt;'Entry Builder'!$E$8)))</f>
        <v/>
      </c>
      <c r="C1187">
        <f>IF('Entry Builder'!$N$9=0,1,IF('Entry Builder'!$D$9="Less",--(INDEX(Sims!$A1187:$BO1187,'Entry Builder'!$L$9)&lt;'Entry Builder'!$E$9),--(INDEX(Sims!$A1187:$BO1187,'Entry Builder'!$L$9)&gt;'Entry Builder'!$E$9)))</f>
        <v/>
      </c>
      <c r="D1187">
        <f>IF('Entry Builder'!$N$10=0,1,IF('Entry Builder'!$D$10="Less",--(INDEX(Sims!$A1187:$BO1187,'Entry Builder'!$L$10)&lt;'Entry Builder'!$E$10),--(INDEX(Sims!$A1187:$BO1187,'Entry Builder'!$L$10)&gt;'Entry Builder'!$E$10)))</f>
        <v/>
      </c>
      <c r="E1187">
        <f>IF('Entry Builder'!$N$11=0,1,IF('Entry Builder'!$D$11="Less",--(INDEX(Sims!$A1187:$BO1187,'Entry Builder'!$L$11)&lt;'Entry Builder'!$E$11),--(INDEX(Sims!$A1187:$BO1187,'Entry Builder'!$L$11)&gt;'Entry Builder'!$E$11)))</f>
        <v/>
      </c>
      <c r="F1187">
        <f>IF('Entry Builder'!$N$12=0,1,IF('Entry Builder'!$D$12="Less",--(INDEX(Sims!$A1187:$BO1187,'Entry Builder'!$L$12)&lt;'Entry Builder'!$E$12),--(INDEX(Sims!$A1187:$BO1187,'Entry Builder'!$L$12)&gt;'Entry Builder'!$E$12)))</f>
        <v/>
      </c>
      <c r="G1187">
        <f>6-SUM(A1187:F1187)</f>
        <v/>
      </c>
    </row>
    <row r="1188">
      <c r="A1188">
        <f>IF('Entry Builder'!$N$7=0,1,IF('Entry Builder'!$D$7="Less",--(INDEX(Sims!$A1188:$BO1188,'Entry Builder'!$L$7)&lt;'Entry Builder'!$E$7),--(INDEX(Sims!$A1188:$BO1188,'Entry Builder'!$L$7)&gt;'Entry Builder'!$E$7)))</f>
        <v/>
      </c>
      <c r="B1188">
        <f>IF('Entry Builder'!$N$8=0,1,IF('Entry Builder'!$D$8="Less",--(INDEX(Sims!$A1188:$BO1188,'Entry Builder'!$L$8)&lt;'Entry Builder'!$E$8),--(INDEX(Sims!$A1188:$BO1188,'Entry Builder'!$L$8)&gt;'Entry Builder'!$E$8)))</f>
        <v/>
      </c>
      <c r="C1188">
        <f>IF('Entry Builder'!$N$9=0,1,IF('Entry Builder'!$D$9="Less",--(INDEX(Sims!$A1188:$BO1188,'Entry Builder'!$L$9)&lt;'Entry Builder'!$E$9),--(INDEX(Sims!$A1188:$BO1188,'Entry Builder'!$L$9)&gt;'Entry Builder'!$E$9)))</f>
        <v/>
      </c>
      <c r="D1188">
        <f>IF('Entry Builder'!$N$10=0,1,IF('Entry Builder'!$D$10="Less",--(INDEX(Sims!$A1188:$BO1188,'Entry Builder'!$L$10)&lt;'Entry Builder'!$E$10),--(INDEX(Sims!$A1188:$BO1188,'Entry Builder'!$L$10)&gt;'Entry Builder'!$E$10)))</f>
        <v/>
      </c>
      <c r="E1188">
        <f>IF('Entry Builder'!$N$11=0,1,IF('Entry Builder'!$D$11="Less",--(INDEX(Sims!$A1188:$BO1188,'Entry Builder'!$L$11)&lt;'Entry Builder'!$E$11),--(INDEX(Sims!$A1188:$BO1188,'Entry Builder'!$L$11)&gt;'Entry Builder'!$E$11)))</f>
        <v/>
      </c>
      <c r="F1188">
        <f>IF('Entry Builder'!$N$12=0,1,IF('Entry Builder'!$D$12="Less",--(INDEX(Sims!$A1188:$BO1188,'Entry Builder'!$L$12)&lt;'Entry Builder'!$E$12),--(INDEX(Sims!$A1188:$BO1188,'Entry Builder'!$L$12)&gt;'Entry Builder'!$E$12)))</f>
        <v/>
      </c>
      <c r="G1188">
        <f>6-SUM(A1188:F1188)</f>
        <v/>
      </c>
    </row>
    <row r="1189">
      <c r="A1189">
        <f>IF('Entry Builder'!$N$7=0,1,IF('Entry Builder'!$D$7="Less",--(INDEX(Sims!$A1189:$BO1189,'Entry Builder'!$L$7)&lt;'Entry Builder'!$E$7),--(INDEX(Sims!$A1189:$BO1189,'Entry Builder'!$L$7)&gt;'Entry Builder'!$E$7)))</f>
        <v/>
      </c>
      <c r="B1189">
        <f>IF('Entry Builder'!$N$8=0,1,IF('Entry Builder'!$D$8="Less",--(INDEX(Sims!$A1189:$BO1189,'Entry Builder'!$L$8)&lt;'Entry Builder'!$E$8),--(INDEX(Sims!$A1189:$BO1189,'Entry Builder'!$L$8)&gt;'Entry Builder'!$E$8)))</f>
        <v/>
      </c>
      <c r="C1189">
        <f>IF('Entry Builder'!$N$9=0,1,IF('Entry Builder'!$D$9="Less",--(INDEX(Sims!$A1189:$BO1189,'Entry Builder'!$L$9)&lt;'Entry Builder'!$E$9),--(INDEX(Sims!$A1189:$BO1189,'Entry Builder'!$L$9)&gt;'Entry Builder'!$E$9)))</f>
        <v/>
      </c>
      <c r="D1189">
        <f>IF('Entry Builder'!$N$10=0,1,IF('Entry Builder'!$D$10="Less",--(INDEX(Sims!$A1189:$BO1189,'Entry Builder'!$L$10)&lt;'Entry Builder'!$E$10),--(INDEX(Sims!$A1189:$BO1189,'Entry Builder'!$L$10)&gt;'Entry Builder'!$E$10)))</f>
        <v/>
      </c>
      <c r="E1189">
        <f>IF('Entry Builder'!$N$11=0,1,IF('Entry Builder'!$D$11="Less",--(INDEX(Sims!$A1189:$BO1189,'Entry Builder'!$L$11)&lt;'Entry Builder'!$E$11),--(INDEX(Sims!$A1189:$BO1189,'Entry Builder'!$L$11)&gt;'Entry Builder'!$E$11)))</f>
        <v/>
      </c>
      <c r="F1189">
        <f>IF('Entry Builder'!$N$12=0,1,IF('Entry Builder'!$D$12="Less",--(INDEX(Sims!$A1189:$BO1189,'Entry Builder'!$L$12)&lt;'Entry Builder'!$E$12),--(INDEX(Sims!$A1189:$BO1189,'Entry Builder'!$L$12)&gt;'Entry Builder'!$E$12)))</f>
        <v/>
      </c>
      <c r="G1189">
        <f>6-SUM(A1189:F1189)</f>
        <v/>
      </c>
    </row>
    <row r="1190">
      <c r="A1190">
        <f>IF('Entry Builder'!$N$7=0,1,IF('Entry Builder'!$D$7="Less",--(INDEX(Sims!$A1190:$BO1190,'Entry Builder'!$L$7)&lt;'Entry Builder'!$E$7),--(INDEX(Sims!$A1190:$BO1190,'Entry Builder'!$L$7)&gt;'Entry Builder'!$E$7)))</f>
        <v/>
      </c>
      <c r="B1190">
        <f>IF('Entry Builder'!$N$8=0,1,IF('Entry Builder'!$D$8="Less",--(INDEX(Sims!$A1190:$BO1190,'Entry Builder'!$L$8)&lt;'Entry Builder'!$E$8),--(INDEX(Sims!$A1190:$BO1190,'Entry Builder'!$L$8)&gt;'Entry Builder'!$E$8)))</f>
        <v/>
      </c>
      <c r="C1190">
        <f>IF('Entry Builder'!$N$9=0,1,IF('Entry Builder'!$D$9="Less",--(INDEX(Sims!$A1190:$BO1190,'Entry Builder'!$L$9)&lt;'Entry Builder'!$E$9),--(INDEX(Sims!$A1190:$BO1190,'Entry Builder'!$L$9)&gt;'Entry Builder'!$E$9)))</f>
        <v/>
      </c>
      <c r="D1190">
        <f>IF('Entry Builder'!$N$10=0,1,IF('Entry Builder'!$D$10="Less",--(INDEX(Sims!$A1190:$BO1190,'Entry Builder'!$L$10)&lt;'Entry Builder'!$E$10),--(INDEX(Sims!$A1190:$BO1190,'Entry Builder'!$L$10)&gt;'Entry Builder'!$E$10)))</f>
        <v/>
      </c>
      <c r="E1190">
        <f>IF('Entry Builder'!$N$11=0,1,IF('Entry Builder'!$D$11="Less",--(INDEX(Sims!$A1190:$BO1190,'Entry Builder'!$L$11)&lt;'Entry Builder'!$E$11),--(INDEX(Sims!$A1190:$BO1190,'Entry Builder'!$L$11)&gt;'Entry Builder'!$E$11)))</f>
        <v/>
      </c>
      <c r="F1190">
        <f>IF('Entry Builder'!$N$12=0,1,IF('Entry Builder'!$D$12="Less",--(INDEX(Sims!$A1190:$BO1190,'Entry Builder'!$L$12)&lt;'Entry Builder'!$E$12),--(INDEX(Sims!$A1190:$BO1190,'Entry Builder'!$L$12)&gt;'Entry Builder'!$E$12)))</f>
        <v/>
      </c>
      <c r="G1190">
        <f>6-SUM(A1190:F1190)</f>
        <v/>
      </c>
    </row>
    <row r="1191">
      <c r="A1191">
        <f>IF('Entry Builder'!$N$7=0,1,IF('Entry Builder'!$D$7="Less",--(INDEX(Sims!$A1191:$BO1191,'Entry Builder'!$L$7)&lt;'Entry Builder'!$E$7),--(INDEX(Sims!$A1191:$BO1191,'Entry Builder'!$L$7)&gt;'Entry Builder'!$E$7)))</f>
        <v/>
      </c>
      <c r="B1191">
        <f>IF('Entry Builder'!$N$8=0,1,IF('Entry Builder'!$D$8="Less",--(INDEX(Sims!$A1191:$BO1191,'Entry Builder'!$L$8)&lt;'Entry Builder'!$E$8),--(INDEX(Sims!$A1191:$BO1191,'Entry Builder'!$L$8)&gt;'Entry Builder'!$E$8)))</f>
        <v/>
      </c>
      <c r="C1191">
        <f>IF('Entry Builder'!$N$9=0,1,IF('Entry Builder'!$D$9="Less",--(INDEX(Sims!$A1191:$BO1191,'Entry Builder'!$L$9)&lt;'Entry Builder'!$E$9),--(INDEX(Sims!$A1191:$BO1191,'Entry Builder'!$L$9)&gt;'Entry Builder'!$E$9)))</f>
        <v/>
      </c>
      <c r="D1191">
        <f>IF('Entry Builder'!$N$10=0,1,IF('Entry Builder'!$D$10="Less",--(INDEX(Sims!$A1191:$BO1191,'Entry Builder'!$L$10)&lt;'Entry Builder'!$E$10),--(INDEX(Sims!$A1191:$BO1191,'Entry Builder'!$L$10)&gt;'Entry Builder'!$E$10)))</f>
        <v/>
      </c>
      <c r="E1191">
        <f>IF('Entry Builder'!$N$11=0,1,IF('Entry Builder'!$D$11="Less",--(INDEX(Sims!$A1191:$BO1191,'Entry Builder'!$L$11)&lt;'Entry Builder'!$E$11),--(INDEX(Sims!$A1191:$BO1191,'Entry Builder'!$L$11)&gt;'Entry Builder'!$E$11)))</f>
        <v/>
      </c>
      <c r="F1191">
        <f>IF('Entry Builder'!$N$12=0,1,IF('Entry Builder'!$D$12="Less",--(INDEX(Sims!$A1191:$BO1191,'Entry Builder'!$L$12)&lt;'Entry Builder'!$E$12),--(INDEX(Sims!$A1191:$BO1191,'Entry Builder'!$L$12)&gt;'Entry Builder'!$E$12)))</f>
        <v/>
      </c>
      <c r="G1191">
        <f>6-SUM(A1191:F1191)</f>
        <v/>
      </c>
    </row>
    <row r="1192">
      <c r="A1192">
        <f>IF('Entry Builder'!$N$7=0,1,IF('Entry Builder'!$D$7="Less",--(INDEX(Sims!$A1192:$BO1192,'Entry Builder'!$L$7)&lt;'Entry Builder'!$E$7),--(INDEX(Sims!$A1192:$BO1192,'Entry Builder'!$L$7)&gt;'Entry Builder'!$E$7)))</f>
        <v/>
      </c>
      <c r="B1192">
        <f>IF('Entry Builder'!$N$8=0,1,IF('Entry Builder'!$D$8="Less",--(INDEX(Sims!$A1192:$BO1192,'Entry Builder'!$L$8)&lt;'Entry Builder'!$E$8),--(INDEX(Sims!$A1192:$BO1192,'Entry Builder'!$L$8)&gt;'Entry Builder'!$E$8)))</f>
        <v/>
      </c>
      <c r="C1192">
        <f>IF('Entry Builder'!$N$9=0,1,IF('Entry Builder'!$D$9="Less",--(INDEX(Sims!$A1192:$BO1192,'Entry Builder'!$L$9)&lt;'Entry Builder'!$E$9),--(INDEX(Sims!$A1192:$BO1192,'Entry Builder'!$L$9)&gt;'Entry Builder'!$E$9)))</f>
        <v/>
      </c>
      <c r="D1192">
        <f>IF('Entry Builder'!$N$10=0,1,IF('Entry Builder'!$D$10="Less",--(INDEX(Sims!$A1192:$BO1192,'Entry Builder'!$L$10)&lt;'Entry Builder'!$E$10),--(INDEX(Sims!$A1192:$BO1192,'Entry Builder'!$L$10)&gt;'Entry Builder'!$E$10)))</f>
        <v/>
      </c>
      <c r="E1192">
        <f>IF('Entry Builder'!$N$11=0,1,IF('Entry Builder'!$D$11="Less",--(INDEX(Sims!$A1192:$BO1192,'Entry Builder'!$L$11)&lt;'Entry Builder'!$E$11),--(INDEX(Sims!$A1192:$BO1192,'Entry Builder'!$L$11)&gt;'Entry Builder'!$E$11)))</f>
        <v/>
      </c>
      <c r="F1192">
        <f>IF('Entry Builder'!$N$12=0,1,IF('Entry Builder'!$D$12="Less",--(INDEX(Sims!$A1192:$BO1192,'Entry Builder'!$L$12)&lt;'Entry Builder'!$E$12),--(INDEX(Sims!$A1192:$BO1192,'Entry Builder'!$L$12)&gt;'Entry Builder'!$E$12)))</f>
        <v/>
      </c>
      <c r="G1192">
        <f>6-SUM(A1192:F1192)</f>
        <v/>
      </c>
    </row>
    <row r="1193">
      <c r="A1193">
        <f>IF('Entry Builder'!$N$7=0,1,IF('Entry Builder'!$D$7="Less",--(INDEX(Sims!$A1193:$BO1193,'Entry Builder'!$L$7)&lt;'Entry Builder'!$E$7),--(INDEX(Sims!$A1193:$BO1193,'Entry Builder'!$L$7)&gt;'Entry Builder'!$E$7)))</f>
        <v/>
      </c>
      <c r="B1193">
        <f>IF('Entry Builder'!$N$8=0,1,IF('Entry Builder'!$D$8="Less",--(INDEX(Sims!$A1193:$BO1193,'Entry Builder'!$L$8)&lt;'Entry Builder'!$E$8),--(INDEX(Sims!$A1193:$BO1193,'Entry Builder'!$L$8)&gt;'Entry Builder'!$E$8)))</f>
        <v/>
      </c>
      <c r="C1193">
        <f>IF('Entry Builder'!$N$9=0,1,IF('Entry Builder'!$D$9="Less",--(INDEX(Sims!$A1193:$BO1193,'Entry Builder'!$L$9)&lt;'Entry Builder'!$E$9),--(INDEX(Sims!$A1193:$BO1193,'Entry Builder'!$L$9)&gt;'Entry Builder'!$E$9)))</f>
        <v/>
      </c>
      <c r="D1193">
        <f>IF('Entry Builder'!$N$10=0,1,IF('Entry Builder'!$D$10="Less",--(INDEX(Sims!$A1193:$BO1193,'Entry Builder'!$L$10)&lt;'Entry Builder'!$E$10),--(INDEX(Sims!$A1193:$BO1193,'Entry Builder'!$L$10)&gt;'Entry Builder'!$E$10)))</f>
        <v/>
      </c>
      <c r="E1193">
        <f>IF('Entry Builder'!$N$11=0,1,IF('Entry Builder'!$D$11="Less",--(INDEX(Sims!$A1193:$BO1193,'Entry Builder'!$L$11)&lt;'Entry Builder'!$E$11),--(INDEX(Sims!$A1193:$BO1193,'Entry Builder'!$L$11)&gt;'Entry Builder'!$E$11)))</f>
        <v/>
      </c>
      <c r="F1193">
        <f>IF('Entry Builder'!$N$12=0,1,IF('Entry Builder'!$D$12="Less",--(INDEX(Sims!$A1193:$BO1193,'Entry Builder'!$L$12)&lt;'Entry Builder'!$E$12),--(INDEX(Sims!$A1193:$BO1193,'Entry Builder'!$L$12)&gt;'Entry Builder'!$E$12)))</f>
        <v/>
      </c>
      <c r="G1193">
        <f>6-SUM(A1193:F1193)</f>
        <v/>
      </c>
    </row>
    <row r="1194">
      <c r="A1194">
        <f>IF('Entry Builder'!$N$7=0,1,IF('Entry Builder'!$D$7="Less",--(INDEX(Sims!$A1194:$BO1194,'Entry Builder'!$L$7)&lt;'Entry Builder'!$E$7),--(INDEX(Sims!$A1194:$BO1194,'Entry Builder'!$L$7)&gt;'Entry Builder'!$E$7)))</f>
        <v/>
      </c>
      <c r="B1194">
        <f>IF('Entry Builder'!$N$8=0,1,IF('Entry Builder'!$D$8="Less",--(INDEX(Sims!$A1194:$BO1194,'Entry Builder'!$L$8)&lt;'Entry Builder'!$E$8),--(INDEX(Sims!$A1194:$BO1194,'Entry Builder'!$L$8)&gt;'Entry Builder'!$E$8)))</f>
        <v/>
      </c>
      <c r="C1194">
        <f>IF('Entry Builder'!$N$9=0,1,IF('Entry Builder'!$D$9="Less",--(INDEX(Sims!$A1194:$BO1194,'Entry Builder'!$L$9)&lt;'Entry Builder'!$E$9),--(INDEX(Sims!$A1194:$BO1194,'Entry Builder'!$L$9)&gt;'Entry Builder'!$E$9)))</f>
        <v/>
      </c>
      <c r="D1194">
        <f>IF('Entry Builder'!$N$10=0,1,IF('Entry Builder'!$D$10="Less",--(INDEX(Sims!$A1194:$BO1194,'Entry Builder'!$L$10)&lt;'Entry Builder'!$E$10),--(INDEX(Sims!$A1194:$BO1194,'Entry Builder'!$L$10)&gt;'Entry Builder'!$E$10)))</f>
        <v/>
      </c>
      <c r="E1194">
        <f>IF('Entry Builder'!$N$11=0,1,IF('Entry Builder'!$D$11="Less",--(INDEX(Sims!$A1194:$BO1194,'Entry Builder'!$L$11)&lt;'Entry Builder'!$E$11),--(INDEX(Sims!$A1194:$BO1194,'Entry Builder'!$L$11)&gt;'Entry Builder'!$E$11)))</f>
        <v/>
      </c>
      <c r="F1194">
        <f>IF('Entry Builder'!$N$12=0,1,IF('Entry Builder'!$D$12="Less",--(INDEX(Sims!$A1194:$BO1194,'Entry Builder'!$L$12)&lt;'Entry Builder'!$E$12),--(INDEX(Sims!$A1194:$BO1194,'Entry Builder'!$L$12)&gt;'Entry Builder'!$E$12)))</f>
        <v/>
      </c>
      <c r="G1194">
        <f>6-SUM(A1194:F1194)</f>
        <v/>
      </c>
    </row>
    <row r="1195">
      <c r="A1195">
        <f>IF('Entry Builder'!$N$7=0,1,IF('Entry Builder'!$D$7="Less",--(INDEX(Sims!$A1195:$BO1195,'Entry Builder'!$L$7)&lt;'Entry Builder'!$E$7),--(INDEX(Sims!$A1195:$BO1195,'Entry Builder'!$L$7)&gt;'Entry Builder'!$E$7)))</f>
        <v/>
      </c>
      <c r="B1195">
        <f>IF('Entry Builder'!$N$8=0,1,IF('Entry Builder'!$D$8="Less",--(INDEX(Sims!$A1195:$BO1195,'Entry Builder'!$L$8)&lt;'Entry Builder'!$E$8),--(INDEX(Sims!$A1195:$BO1195,'Entry Builder'!$L$8)&gt;'Entry Builder'!$E$8)))</f>
        <v/>
      </c>
      <c r="C1195">
        <f>IF('Entry Builder'!$N$9=0,1,IF('Entry Builder'!$D$9="Less",--(INDEX(Sims!$A1195:$BO1195,'Entry Builder'!$L$9)&lt;'Entry Builder'!$E$9),--(INDEX(Sims!$A1195:$BO1195,'Entry Builder'!$L$9)&gt;'Entry Builder'!$E$9)))</f>
        <v/>
      </c>
      <c r="D1195">
        <f>IF('Entry Builder'!$N$10=0,1,IF('Entry Builder'!$D$10="Less",--(INDEX(Sims!$A1195:$BO1195,'Entry Builder'!$L$10)&lt;'Entry Builder'!$E$10),--(INDEX(Sims!$A1195:$BO1195,'Entry Builder'!$L$10)&gt;'Entry Builder'!$E$10)))</f>
        <v/>
      </c>
      <c r="E1195">
        <f>IF('Entry Builder'!$N$11=0,1,IF('Entry Builder'!$D$11="Less",--(INDEX(Sims!$A1195:$BO1195,'Entry Builder'!$L$11)&lt;'Entry Builder'!$E$11),--(INDEX(Sims!$A1195:$BO1195,'Entry Builder'!$L$11)&gt;'Entry Builder'!$E$11)))</f>
        <v/>
      </c>
      <c r="F1195">
        <f>IF('Entry Builder'!$N$12=0,1,IF('Entry Builder'!$D$12="Less",--(INDEX(Sims!$A1195:$BO1195,'Entry Builder'!$L$12)&lt;'Entry Builder'!$E$12),--(INDEX(Sims!$A1195:$BO1195,'Entry Builder'!$L$12)&gt;'Entry Builder'!$E$12)))</f>
        <v/>
      </c>
      <c r="G1195">
        <f>6-SUM(A1195:F1195)</f>
        <v/>
      </c>
    </row>
    <row r="1196">
      <c r="A1196">
        <f>IF('Entry Builder'!$N$7=0,1,IF('Entry Builder'!$D$7="Less",--(INDEX(Sims!$A1196:$BO1196,'Entry Builder'!$L$7)&lt;'Entry Builder'!$E$7),--(INDEX(Sims!$A1196:$BO1196,'Entry Builder'!$L$7)&gt;'Entry Builder'!$E$7)))</f>
        <v/>
      </c>
      <c r="B1196">
        <f>IF('Entry Builder'!$N$8=0,1,IF('Entry Builder'!$D$8="Less",--(INDEX(Sims!$A1196:$BO1196,'Entry Builder'!$L$8)&lt;'Entry Builder'!$E$8),--(INDEX(Sims!$A1196:$BO1196,'Entry Builder'!$L$8)&gt;'Entry Builder'!$E$8)))</f>
        <v/>
      </c>
      <c r="C1196">
        <f>IF('Entry Builder'!$N$9=0,1,IF('Entry Builder'!$D$9="Less",--(INDEX(Sims!$A1196:$BO1196,'Entry Builder'!$L$9)&lt;'Entry Builder'!$E$9),--(INDEX(Sims!$A1196:$BO1196,'Entry Builder'!$L$9)&gt;'Entry Builder'!$E$9)))</f>
        <v/>
      </c>
      <c r="D1196">
        <f>IF('Entry Builder'!$N$10=0,1,IF('Entry Builder'!$D$10="Less",--(INDEX(Sims!$A1196:$BO1196,'Entry Builder'!$L$10)&lt;'Entry Builder'!$E$10),--(INDEX(Sims!$A1196:$BO1196,'Entry Builder'!$L$10)&gt;'Entry Builder'!$E$10)))</f>
        <v/>
      </c>
      <c r="E1196">
        <f>IF('Entry Builder'!$N$11=0,1,IF('Entry Builder'!$D$11="Less",--(INDEX(Sims!$A1196:$BO1196,'Entry Builder'!$L$11)&lt;'Entry Builder'!$E$11),--(INDEX(Sims!$A1196:$BO1196,'Entry Builder'!$L$11)&gt;'Entry Builder'!$E$11)))</f>
        <v/>
      </c>
      <c r="F1196">
        <f>IF('Entry Builder'!$N$12=0,1,IF('Entry Builder'!$D$12="Less",--(INDEX(Sims!$A1196:$BO1196,'Entry Builder'!$L$12)&lt;'Entry Builder'!$E$12),--(INDEX(Sims!$A1196:$BO1196,'Entry Builder'!$L$12)&gt;'Entry Builder'!$E$12)))</f>
        <v/>
      </c>
      <c r="G1196">
        <f>6-SUM(A1196:F1196)</f>
        <v/>
      </c>
    </row>
    <row r="1197">
      <c r="A1197">
        <f>IF('Entry Builder'!$N$7=0,1,IF('Entry Builder'!$D$7="Less",--(INDEX(Sims!$A1197:$BO1197,'Entry Builder'!$L$7)&lt;'Entry Builder'!$E$7),--(INDEX(Sims!$A1197:$BO1197,'Entry Builder'!$L$7)&gt;'Entry Builder'!$E$7)))</f>
        <v/>
      </c>
      <c r="B1197">
        <f>IF('Entry Builder'!$N$8=0,1,IF('Entry Builder'!$D$8="Less",--(INDEX(Sims!$A1197:$BO1197,'Entry Builder'!$L$8)&lt;'Entry Builder'!$E$8),--(INDEX(Sims!$A1197:$BO1197,'Entry Builder'!$L$8)&gt;'Entry Builder'!$E$8)))</f>
        <v/>
      </c>
      <c r="C1197">
        <f>IF('Entry Builder'!$N$9=0,1,IF('Entry Builder'!$D$9="Less",--(INDEX(Sims!$A1197:$BO1197,'Entry Builder'!$L$9)&lt;'Entry Builder'!$E$9),--(INDEX(Sims!$A1197:$BO1197,'Entry Builder'!$L$9)&gt;'Entry Builder'!$E$9)))</f>
        <v/>
      </c>
      <c r="D1197">
        <f>IF('Entry Builder'!$N$10=0,1,IF('Entry Builder'!$D$10="Less",--(INDEX(Sims!$A1197:$BO1197,'Entry Builder'!$L$10)&lt;'Entry Builder'!$E$10),--(INDEX(Sims!$A1197:$BO1197,'Entry Builder'!$L$10)&gt;'Entry Builder'!$E$10)))</f>
        <v/>
      </c>
      <c r="E1197">
        <f>IF('Entry Builder'!$N$11=0,1,IF('Entry Builder'!$D$11="Less",--(INDEX(Sims!$A1197:$BO1197,'Entry Builder'!$L$11)&lt;'Entry Builder'!$E$11),--(INDEX(Sims!$A1197:$BO1197,'Entry Builder'!$L$11)&gt;'Entry Builder'!$E$11)))</f>
        <v/>
      </c>
      <c r="F1197">
        <f>IF('Entry Builder'!$N$12=0,1,IF('Entry Builder'!$D$12="Less",--(INDEX(Sims!$A1197:$BO1197,'Entry Builder'!$L$12)&lt;'Entry Builder'!$E$12),--(INDEX(Sims!$A1197:$BO1197,'Entry Builder'!$L$12)&gt;'Entry Builder'!$E$12)))</f>
        <v/>
      </c>
      <c r="G1197">
        <f>6-SUM(A1197:F1197)</f>
        <v/>
      </c>
    </row>
    <row r="1198">
      <c r="A1198">
        <f>IF('Entry Builder'!$N$7=0,1,IF('Entry Builder'!$D$7="Less",--(INDEX(Sims!$A1198:$BO1198,'Entry Builder'!$L$7)&lt;'Entry Builder'!$E$7),--(INDEX(Sims!$A1198:$BO1198,'Entry Builder'!$L$7)&gt;'Entry Builder'!$E$7)))</f>
        <v/>
      </c>
      <c r="B1198">
        <f>IF('Entry Builder'!$N$8=0,1,IF('Entry Builder'!$D$8="Less",--(INDEX(Sims!$A1198:$BO1198,'Entry Builder'!$L$8)&lt;'Entry Builder'!$E$8),--(INDEX(Sims!$A1198:$BO1198,'Entry Builder'!$L$8)&gt;'Entry Builder'!$E$8)))</f>
        <v/>
      </c>
      <c r="C1198">
        <f>IF('Entry Builder'!$N$9=0,1,IF('Entry Builder'!$D$9="Less",--(INDEX(Sims!$A1198:$BO1198,'Entry Builder'!$L$9)&lt;'Entry Builder'!$E$9),--(INDEX(Sims!$A1198:$BO1198,'Entry Builder'!$L$9)&gt;'Entry Builder'!$E$9)))</f>
        <v/>
      </c>
      <c r="D1198">
        <f>IF('Entry Builder'!$N$10=0,1,IF('Entry Builder'!$D$10="Less",--(INDEX(Sims!$A1198:$BO1198,'Entry Builder'!$L$10)&lt;'Entry Builder'!$E$10),--(INDEX(Sims!$A1198:$BO1198,'Entry Builder'!$L$10)&gt;'Entry Builder'!$E$10)))</f>
        <v/>
      </c>
      <c r="E1198">
        <f>IF('Entry Builder'!$N$11=0,1,IF('Entry Builder'!$D$11="Less",--(INDEX(Sims!$A1198:$BO1198,'Entry Builder'!$L$11)&lt;'Entry Builder'!$E$11),--(INDEX(Sims!$A1198:$BO1198,'Entry Builder'!$L$11)&gt;'Entry Builder'!$E$11)))</f>
        <v/>
      </c>
      <c r="F1198">
        <f>IF('Entry Builder'!$N$12=0,1,IF('Entry Builder'!$D$12="Less",--(INDEX(Sims!$A1198:$BO1198,'Entry Builder'!$L$12)&lt;'Entry Builder'!$E$12),--(INDEX(Sims!$A1198:$BO1198,'Entry Builder'!$L$12)&gt;'Entry Builder'!$E$12)))</f>
        <v/>
      </c>
      <c r="G1198">
        <f>6-SUM(A1198:F1198)</f>
        <v/>
      </c>
    </row>
    <row r="1199">
      <c r="A1199">
        <f>IF('Entry Builder'!$N$7=0,1,IF('Entry Builder'!$D$7="Less",--(INDEX(Sims!$A1199:$BO1199,'Entry Builder'!$L$7)&lt;'Entry Builder'!$E$7),--(INDEX(Sims!$A1199:$BO1199,'Entry Builder'!$L$7)&gt;'Entry Builder'!$E$7)))</f>
        <v/>
      </c>
      <c r="B1199">
        <f>IF('Entry Builder'!$N$8=0,1,IF('Entry Builder'!$D$8="Less",--(INDEX(Sims!$A1199:$BO1199,'Entry Builder'!$L$8)&lt;'Entry Builder'!$E$8),--(INDEX(Sims!$A1199:$BO1199,'Entry Builder'!$L$8)&gt;'Entry Builder'!$E$8)))</f>
        <v/>
      </c>
      <c r="C1199">
        <f>IF('Entry Builder'!$N$9=0,1,IF('Entry Builder'!$D$9="Less",--(INDEX(Sims!$A1199:$BO1199,'Entry Builder'!$L$9)&lt;'Entry Builder'!$E$9),--(INDEX(Sims!$A1199:$BO1199,'Entry Builder'!$L$9)&gt;'Entry Builder'!$E$9)))</f>
        <v/>
      </c>
      <c r="D1199">
        <f>IF('Entry Builder'!$N$10=0,1,IF('Entry Builder'!$D$10="Less",--(INDEX(Sims!$A1199:$BO1199,'Entry Builder'!$L$10)&lt;'Entry Builder'!$E$10),--(INDEX(Sims!$A1199:$BO1199,'Entry Builder'!$L$10)&gt;'Entry Builder'!$E$10)))</f>
        <v/>
      </c>
      <c r="E1199">
        <f>IF('Entry Builder'!$N$11=0,1,IF('Entry Builder'!$D$11="Less",--(INDEX(Sims!$A1199:$BO1199,'Entry Builder'!$L$11)&lt;'Entry Builder'!$E$11),--(INDEX(Sims!$A1199:$BO1199,'Entry Builder'!$L$11)&gt;'Entry Builder'!$E$11)))</f>
        <v/>
      </c>
      <c r="F1199">
        <f>IF('Entry Builder'!$N$12=0,1,IF('Entry Builder'!$D$12="Less",--(INDEX(Sims!$A1199:$BO1199,'Entry Builder'!$L$12)&lt;'Entry Builder'!$E$12),--(INDEX(Sims!$A1199:$BO1199,'Entry Builder'!$L$12)&gt;'Entry Builder'!$E$12)))</f>
        <v/>
      </c>
      <c r="G1199">
        <f>6-SUM(A1199:F1199)</f>
        <v/>
      </c>
    </row>
    <row r="1200">
      <c r="A1200">
        <f>IF('Entry Builder'!$N$7=0,1,IF('Entry Builder'!$D$7="Less",--(INDEX(Sims!$A1200:$BO1200,'Entry Builder'!$L$7)&lt;'Entry Builder'!$E$7),--(INDEX(Sims!$A1200:$BO1200,'Entry Builder'!$L$7)&gt;'Entry Builder'!$E$7)))</f>
        <v/>
      </c>
      <c r="B1200">
        <f>IF('Entry Builder'!$N$8=0,1,IF('Entry Builder'!$D$8="Less",--(INDEX(Sims!$A1200:$BO1200,'Entry Builder'!$L$8)&lt;'Entry Builder'!$E$8),--(INDEX(Sims!$A1200:$BO1200,'Entry Builder'!$L$8)&gt;'Entry Builder'!$E$8)))</f>
        <v/>
      </c>
      <c r="C1200">
        <f>IF('Entry Builder'!$N$9=0,1,IF('Entry Builder'!$D$9="Less",--(INDEX(Sims!$A1200:$BO1200,'Entry Builder'!$L$9)&lt;'Entry Builder'!$E$9),--(INDEX(Sims!$A1200:$BO1200,'Entry Builder'!$L$9)&gt;'Entry Builder'!$E$9)))</f>
        <v/>
      </c>
      <c r="D1200">
        <f>IF('Entry Builder'!$N$10=0,1,IF('Entry Builder'!$D$10="Less",--(INDEX(Sims!$A1200:$BO1200,'Entry Builder'!$L$10)&lt;'Entry Builder'!$E$10),--(INDEX(Sims!$A1200:$BO1200,'Entry Builder'!$L$10)&gt;'Entry Builder'!$E$10)))</f>
        <v/>
      </c>
      <c r="E1200">
        <f>IF('Entry Builder'!$N$11=0,1,IF('Entry Builder'!$D$11="Less",--(INDEX(Sims!$A1200:$BO1200,'Entry Builder'!$L$11)&lt;'Entry Builder'!$E$11),--(INDEX(Sims!$A1200:$BO1200,'Entry Builder'!$L$11)&gt;'Entry Builder'!$E$11)))</f>
        <v/>
      </c>
      <c r="F1200">
        <f>IF('Entry Builder'!$N$12=0,1,IF('Entry Builder'!$D$12="Less",--(INDEX(Sims!$A1200:$BO1200,'Entry Builder'!$L$12)&lt;'Entry Builder'!$E$12),--(INDEX(Sims!$A1200:$BO1200,'Entry Builder'!$L$12)&gt;'Entry Builder'!$E$12)))</f>
        <v/>
      </c>
      <c r="G1200">
        <f>6-SUM(A1200:F1200)</f>
        <v/>
      </c>
    </row>
    <row r="1201">
      <c r="A1201">
        <f>IF('Entry Builder'!$N$7=0,1,IF('Entry Builder'!$D$7="Less",--(INDEX(Sims!$A1201:$BO1201,'Entry Builder'!$L$7)&lt;'Entry Builder'!$E$7),--(INDEX(Sims!$A1201:$BO1201,'Entry Builder'!$L$7)&gt;'Entry Builder'!$E$7)))</f>
        <v/>
      </c>
      <c r="B1201">
        <f>IF('Entry Builder'!$N$8=0,1,IF('Entry Builder'!$D$8="Less",--(INDEX(Sims!$A1201:$BO1201,'Entry Builder'!$L$8)&lt;'Entry Builder'!$E$8),--(INDEX(Sims!$A1201:$BO1201,'Entry Builder'!$L$8)&gt;'Entry Builder'!$E$8)))</f>
        <v/>
      </c>
      <c r="C1201">
        <f>IF('Entry Builder'!$N$9=0,1,IF('Entry Builder'!$D$9="Less",--(INDEX(Sims!$A1201:$BO1201,'Entry Builder'!$L$9)&lt;'Entry Builder'!$E$9),--(INDEX(Sims!$A1201:$BO1201,'Entry Builder'!$L$9)&gt;'Entry Builder'!$E$9)))</f>
        <v/>
      </c>
      <c r="D1201">
        <f>IF('Entry Builder'!$N$10=0,1,IF('Entry Builder'!$D$10="Less",--(INDEX(Sims!$A1201:$BO1201,'Entry Builder'!$L$10)&lt;'Entry Builder'!$E$10),--(INDEX(Sims!$A1201:$BO1201,'Entry Builder'!$L$10)&gt;'Entry Builder'!$E$10)))</f>
        <v/>
      </c>
      <c r="E1201">
        <f>IF('Entry Builder'!$N$11=0,1,IF('Entry Builder'!$D$11="Less",--(INDEX(Sims!$A1201:$BO1201,'Entry Builder'!$L$11)&lt;'Entry Builder'!$E$11),--(INDEX(Sims!$A1201:$BO1201,'Entry Builder'!$L$11)&gt;'Entry Builder'!$E$11)))</f>
        <v/>
      </c>
      <c r="F1201">
        <f>IF('Entry Builder'!$N$12=0,1,IF('Entry Builder'!$D$12="Less",--(INDEX(Sims!$A1201:$BO1201,'Entry Builder'!$L$12)&lt;'Entry Builder'!$E$12),--(INDEX(Sims!$A1201:$BO1201,'Entry Builder'!$L$12)&gt;'Entry Builder'!$E$12)))</f>
        <v/>
      </c>
      <c r="G1201">
        <f>6-SUM(A1201:F1201)</f>
        <v/>
      </c>
    </row>
    <row r="1202">
      <c r="A1202">
        <f>IF('Entry Builder'!$N$7=0,1,IF('Entry Builder'!$D$7="Less",--(INDEX(Sims!$A1202:$BO1202,'Entry Builder'!$L$7)&lt;'Entry Builder'!$E$7),--(INDEX(Sims!$A1202:$BO1202,'Entry Builder'!$L$7)&gt;'Entry Builder'!$E$7)))</f>
        <v/>
      </c>
      <c r="B1202">
        <f>IF('Entry Builder'!$N$8=0,1,IF('Entry Builder'!$D$8="Less",--(INDEX(Sims!$A1202:$BO1202,'Entry Builder'!$L$8)&lt;'Entry Builder'!$E$8),--(INDEX(Sims!$A1202:$BO1202,'Entry Builder'!$L$8)&gt;'Entry Builder'!$E$8)))</f>
        <v/>
      </c>
      <c r="C1202">
        <f>IF('Entry Builder'!$N$9=0,1,IF('Entry Builder'!$D$9="Less",--(INDEX(Sims!$A1202:$BO1202,'Entry Builder'!$L$9)&lt;'Entry Builder'!$E$9),--(INDEX(Sims!$A1202:$BO1202,'Entry Builder'!$L$9)&gt;'Entry Builder'!$E$9)))</f>
        <v/>
      </c>
      <c r="D1202">
        <f>IF('Entry Builder'!$N$10=0,1,IF('Entry Builder'!$D$10="Less",--(INDEX(Sims!$A1202:$BO1202,'Entry Builder'!$L$10)&lt;'Entry Builder'!$E$10),--(INDEX(Sims!$A1202:$BO1202,'Entry Builder'!$L$10)&gt;'Entry Builder'!$E$10)))</f>
        <v/>
      </c>
      <c r="E1202">
        <f>IF('Entry Builder'!$N$11=0,1,IF('Entry Builder'!$D$11="Less",--(INDEX(Sims!$A1202:$BO1202,'Entry Builder'!$L$11)&lt;'Entry Builder'!$E$11),--(INDEX(Sims!$A1202:$BO1202,'Entry Builder'!$L$11)&gt;'Entry Builder'!$E$11)))</f>
        <v/>
      </c>
      <c r="F1202">
        <f>IF('Entry Builder'!$N$12=0,1,IF('Entry Builder'!$D$12="Less",--(INDEX(Sims!$A1202:$BO1202,'Entry Builder'!$L$12)&lt;'Entry Builder'!$E$12),--(INDEX(Sims!$A1202:$BO1202,'Entry Builder'!$L$12)&gt;'Entry Builder'!$E$12)))</f>
        <v/>
      </c>
      <c r="G1202">
        <f>6-SUM(A1202:F1202)</f>
        <v/>
      </c>
    </row>
    <row r="1203">
      <c r="A1203">
        <f>IF('Entry Builder'!$N$7=0,1,IF('Entry Builder'!$D$7="Less",--(INDEX(Sims!$A1203:$BO1203,'Entry Builder'!$L$7)&lt;'Entry Builder'!$E$7),--(INDEX(Sims!$A1203:$BO1203,'Entry Builder'!$L$7)&gt;'Entry Builder'!$E$7)))</f>
        <v/>
      </c>
      <c r="B1203">
        <f>IF('Entry Builder'!$N$8=0,1,IF('Entry Builder'!$D$8="Less",--(INDEX(Sims!$A1203:$BO1203,'Entry Builder'!$L$8)&lt;'Entry Builder'!$E$8),--(INDEX(Sims!$A1203:$BO1203,'Entry Builder'!$L$8)&gt;'Entry Builder'!$E$8)))</f>
        <v/>
      </c>
      <c r="C1203">
        <f>IF('Entry Builder'!$N$9=0,1,IF('Entry Builder'!$D$9="Less",--(INDEX(Sims!$A1203:$BO1203,'Entry Builder'!$L$9)&lt;'Entry Builder'!$E$9),--(INDEX(Sims!$A1203:$BO1203,'Entry Builder'!$L$9)&gt;'Entry Builder'!$E$9)))</f>
        <v/>
      </c>
      <c r="D1203">
        <f>IF('Entry Builder'!$N$10=0,1,IF('Entry Builder'!$D$10="Less",--(INDEX(Sims!$A1203:$BO1203,'Entry Builder'!$L$10)&lt;'Entry Builder'!$E$10),--(INDEX(Sims!$A1203:$BO1203,'Entry Builder'!$L$10)&gt;'Entry Builder'!$E$10)))</f>
        <v/>
      </c>
      <c r="E1203">
        <f>IF('Entry Builder'!$N$11=0,1,IF('Entry Builder'!$D$11="Less",--(INDEX(Sims!$A1203:$BO1203,'Entry Builder'!$L$11)&lt;'Entry Builder'!$E$11),--(INDEX(Sims!$A1203:$BO1203,'Entry Builder'!$L$11)&gt;'Entry Builder'!$E$11)))</f>
        <v/>
      </c>
      <c r="F1203">
        <f>IF('Entry Builder'!$N$12=0,1,IF('Entry Builder'!$D$12="Less",--(INDEX(Sims!$A1203:$BO1203,'Entry Builder'!$L$12)&lt;'Entry Builder'!$E$12),--(INDEX(Sims!$A1203:$BO1203,'Entry Builder'!$L$12)&gt;'Entry Builder'!$E$12)))</f>
        <v/>
      </c>
      <c r="G1203">
        <f>6-SUM(A1203:F1203)</f>
        <v/>
      </c>
    </row>
    <row r="1204">
      <c r="A1204">
        <f>IF('Entry Builder'!$N$7=0,1,IF('Entry Builder'!$D$7="Less",--(INDEX(Sims!$A1204:$BO1204,'Entry Builder'!$L$7)&lt;'Entry Builder'!$E$7),--(INDEX(Sims!$A1204:$BO1204,'Entry Builder'!$L$7)&gt;'Entry Builder'!$E$7)))</f>
        <v/>
      </c>
      <c r="B1204">
        <f>IF('Entry Builder'!$N$8=0,1,IF('Entry Builder'!$D$8="Less",--(INDEX(Sims!$A1204:$BO1204,'Entry Builder'!$L$8)&lt;'Entry Builder'!$E$8),--(INDEX(Sims!$A1204:$BO1204,'Entry Builder'!$L$8)&gt;'Entry Builder'!$E$8)))</f>
        <v/>
      </c>
      <c r="C1204">
        <f>IF('Entry Builder'!$N$9=0,1,IF('Entry Builder'!$D$9="Less",--(INDEX(Sims!$A1204:$BO1204,'Entry Builder'!$L$9)&lt;'Entry Builder'!$E$9),--(INDEX(Sims!$A1204:$BO1204,'Entry Builder'!$L$9)&gt;'Entry Builder'!$E$9)))</f>
        <v/>
      </c>
      <c r="D1204">
        <f>IF('Entry Builder'!$N$10=0,1,IF('Entry Builder'!$D$10="Less",--(INDEX(Sims!$A1204:$BO1204,'Entry Builder'!$L$10)&lt;'Entry Builder'!$E$10),--(INDEX(Sims!$A1204:$BO1204,'Entry Builder'!$L$10)&gt;'Entry Builder'!$E$10)))</f>
        <v/>
      </c>
      <c r="E1204">
        <f>IF('Entry Builder'!$N$11=0,1,IF('Entry Builder'!$D$11="Less",--(INDEX(Sims!$A1204:$BO1204,'Entry Builder'!$L$11)&lt;'Entry Builder'!$E$11),--(INDEX(Sims!$A1204:$BO1204,'Entry Builder'!$L$11)&gt;'Entry Builder'!$E$11)))</f>
        <v/>
      </c>
      <c r="F1204">
        <f>IF('Entry Builder'!$N$12=0,1,IF('Entry Builder'!$D$12="Less",--(INDEX(Sims!$A1204:$BO1204,'Entry Builder'!$L$12)&lt;'Entry Builder'!$E$12),--(INDEX(Sims!$A1204:$BO1204,'Entry Builder'!$L$12)&gt;'Entry Builder'!$E$12)))</f>
        <v/>
      </c>
      <c r="G1204">
        <f>6-SUM(A1204:F1204)</f>
        <v/>
      </c>
    </row>
    <row r="1205">
      <c r="A1205">
        <f>IF('Entry Builder'!$N$7=0,1,IF('Entry Builder'!$D$7="Less",--(INDEX(Sims!$A1205:$BO1205,'Entry Builder'!$L$7)&lt;'Entry Builder'!$E$7),--(INDEX(Sims!$A1205:$BO1205,'Entry Builder'!$L$7)&gt;'Entry Builder'!$E$7)))</f>
        <v/>
      </c>
      <c r="B1205">
        <f>IF('Entry Builder'!$N$8=0,1,IF('Entry Builder'!$D$8="Less",--(INDEX(Sims!$A1205:$BO1205,'Entry Builder'!$L$8)&lt;'Entry Builder'!$E$8),--(INDEX(Sims!$A1205:$BO1205,'Entry Builder'!$L$8)&gt;'Entry Builder'!$E$8)))</f>
        <v/>
      </c>
      <c r="C1205">
        <f>IF('Entry Builder'!$N$9=0,1,IF('Entry Builder'!$D$9="Less",--(INDEX(Sims!$A1205:$BO1205,'Entry Builder'!$L$9)&lt;'Entry Builder'!$E$9),--(INDEX(Sims!$A1205:$BO1205,'Entry Builder'!$L$9)&gt;'Entry Builder'!$E$9)))</f>
        <v/>
      </c>
      <c r="D1205">
        <f>IF('Entry Builder'!$N$10=0,1,IF('Entry Builder'!$D$10="Less",--(INDEX(Sims!$A1205:$BO1205,'Entry Builder'!$L$10)&lt;'Entry Builder'!$E$10),--(INDEX(Sims!$A1205:$BO1205,'Entry Builder'!$L$10)&gt;'Entry Builder'!$E$10)))</f>
        <v/>
      </c>
      <c r="E1205">
        <f>IF('Entry Builder'!$N$11=0,1,IF('Entry Builder'!$D$11="Less",--(INDEX(Sims!$A1205:$BO1205,'Entry Builder'!$L$11)&lt;'Entry Builder'!$E$11),--(INDEX(Sims!$A1205:$BO1205,'Entry Builder'!$L$11)&gt;'Entry Builder'!$E$11)))</f>
        <v/>
      </c>
      <c r="F1205">
        <f>IF('Entry Builder'!$N$12=0,1,IF('Entry Builder'!$D$12="Less",--(INDEX(Sims!$A1205:$BO1205,'Entry Builder'!$L$12)&lt;'Entry Builder'!$E$12),--(INDEX(Sims!$A1205:$BO1205,'Entry Builder'!$L$12)&gt;'Entry Builder'!$E$12)))</f>
        <v/>
      </c>
      <c r="G1205">
        <f>6-SUM(A1205:F1205)</f>
        <v/>
      </c>
    </row>
    <row r="1206">
      <c r="A1206">
        <f>IF('Entry Builder'!$N$7=0,1,IF('Entry Builder'!$D$7="Less",--(INDEX(Sims!$A1206:$BO1206,'Entry Builder'!$L$7)&lt;'Entry Builder'!$E$7),--(INDEX(Sims!$A1206:$BO1206,'Entry Builder'!$L$7)&gt;'Entry Builder'!$E$7)))</f>
        <v/>
      </c>
      <c r="B1206">
        <f>IF('Entry Builder'!$N$8=0,1,IF('Entry Builder'!$D$8="Less",--(INDEX(Sims!$A1206:$BO1206,'Entry Builder'!$L$8)&lt;'Entry Builder'!$E$8),--(INDEX(Sims!$A1206:$BO1206,'Entry Builder'!$L$8)&gt;'Entry Builder'!$E$8)))</f>
        <v/>
      </c>
      <c r="C1206">
        <f>IF('Entry Builder'!$N$9=0,1,IF('Entry Builder'!$D$9="Less",--(INDEX(Sims!$A1206:$BO1206,'Entry Builder'!$L$9)&lt;'Entry Builder'!$E$9),--(INDEX(Sims!$A1206:$BO1206,'Entry Builder'!$L$9)&gt;'Entry Builder'!$E$9)))</f>
        <v/>
      </c>
      <c r="D1206">
        <f>IF('Entry Builder'!$N$10=0,1,IF('Entry Builder'!$D$10="Less",--(INDEX(Sims!$A1206:$BO1206,'Entry Builder'!$L$10)&lt;'Entry Builder'!$E$10),--(INDEX(Sims!$A1206:$BO1206,'Entry Builder'!$L$10)&gt;'Entry Builder'!$E$10)))</f>
        <v/>
      </c>
      <c r="E1206">
        <f>IF('Entry Builder'!$N$11=0,1,IF('Entry Builder'!$D$11="Less",--(INDEX(Sims!$A1206:$BO1206,'Entry Builder'!$L$11)&lt;'Entry Builder'!$E$11),--(INDEX(Sims!$A1206:$BO1206,'Entry Builder'!$L$11)&gt;'Entry Builder'!$E$11)))</f>
        <v/>
      </c>
      <c r="F1206">
        <f>IF('Entry Builder'!$N$12=0,1,IF('Entry Builder'!$D$12="Less",--(INDEX(Sims!$A1206:$BO1206,'Entry Builder'!$L$12)&lt;'Entry Builder'!$E$12),--(INDEX(Sims!$A1206:$BO1206,'Entry Builder'!$L$12)&gt;'Entry Builder'!$E$12)))</f>
        <v/>
      </c>
      <c r="G1206">
        <f>6-SUM(A1206:F1206)</f>
        <v/>
      </c>
    </row>
    <row r="1207">
      <c r="A1207">
        <f>IF('Entry Builder'!$N$7=0,1,IF('Entry Builder'!$D$7="Less",--(INDEX(Sims!$A1207:$BO1207,'Entry Builder'!$L$7)&lt;'Entry Builder'!$E$7),--(INDEX(Sims!$A1207:$BO1207,'Entry Builder'!$L$7)&gt;'Entry Builder'!$E$7)))</f>
        <v/>
      </c>
      <c r="B1207">
        <f>IF('Entry Builder'!$N$8=0,1,IF('Entry Builder'!$D$8="Less",--(INDEX(Sims!$A1207:$BO1207,'Entry Builder'!$L$8)&lt;'Entry Builder'!$E$8),--(INDEX(Sims!$A1207:$BO1207,'Entry Builder'!$L$8)&gt;'Entry Builder'!$E$8)))</f>
        <v/>
      </c>
      <c r="C1207">
        <f>IF('Entry Builder'!$N$9=0,1,IF('Entry Builder'!$D$9="Less",--(INDEX(Sims!$A1207:$BO1207,'Entry Builder'!$L$9)&lt;'Entry Builder'!$E$9),--(INDEX(Sims!$A1207:$BO1207,'Entry Builder'!$L$9)&gt;'Entry Builder'!$E$9)))</f>
        <v/>
      </c>
      <c r="D1207">
        <f>IF('Entry Builder'!$N$10=0,1,IF('Entry Builder'!$D$10="Less",--(INDEX(Sims!$A1207:$BO1207,'Entry Builder'!$L$10)&lt;'Entry Builder'!$E$10),--(INDEX(Sims!$A1207:$BO1207,'Entry Builder'!$L$10)&gt;'Entry Builder'!$E$10)))</f>
        <v/>
      </c>
      <c r="E1207">
        <f>IF('Entry Builder'!$N$11=0,1,IF('Entry Builder'!$D$11="Less",--(INDEX(Sims!$A1207:$BO1207,'Entry Builder'!$L$11)&lt;'Entry Builder'!$E$11),--(INDEX(Sims!$A1207:$BO1207,'Entry Builder'!$L$11)&gt;'Entry Builder'!$E$11)))</f>
        <v/>
      </c>
      <c r="F1207">
        <f>IF('Entry Builder'!$N$12=0,1,IF('Entry Builder'!$D$12="Less",--(INDEX(Sims!$A1207:$BO1207,'Entry Builder'!$L$12)&lt;'Entry Builder'!$E$12),--(INDEX(Sims!$A1207:$BO1207,'Entry Builder'!$L$12)&gt;'Entry Builder'!$E$12)))</f>
        <v/>
      </c>
      <c r="G1207">
        <f>6-SUM(A1207:F1207)</f>
        <v/>
      </c>
    </row>
    <row r="1208">
      <c r="A1208">
        <f>IF('Entry Builder'!$N$7=0,1,IF('Entry Builder'!$D$7="Less",--(INDEX(Sims!$A1208:$BO1208,'Entry Builder'!$L$7)&lt;'Entry Builder'!$E$7),--(INDEX(Sims!$A1208:$BO1208,'Entry Builder'!$L$7)&gt;'Entry Builder'!$E$7)))</f>
        <v/>
      </c>
      <c r="B1208">
        <f>IF('Entry Builder'!$N$8=0,1,IF('Entry Builder'!$D$8="Less",--(INDEX(Sims!$A1208:$BO1208,'Entry Builder'!$L$8)&lt;'Entry Builder'!$E$8),--(INDEX(Sims!$A1208:$BO1208,'Entry Builder'!$L$8)&gt;'Entry Builder'!$E$8)))</f>
        <v/>
      </c>
      <c r="C1208">
        <f>IF('Entry Builder'!$N$9=0,1,IF('Entry Builder'!$D$9="Less",--(INDEX(Sims!$A1208:$BO1208,'Entry Builder'!$L$9)&lt;'Entry Builder'!$E$9),--(INDEX(Sims!$A1208:$BO1208,'Entry Builder'!$L$9)&gt;'Entry Builder'!$E$9)))</f>
        <v/>
      </c>
      <c r="D1208">
        <f>IF('Entry Builder'!$N$10=0,1,IF('Entry Builder'!$D$10="Less",--(INDEX(Sims!$A1208:$BO1208,'Entry Builder'!$L$10)&lt;'Entry Builder'!$E$10),--(INDEX(Sims!$A1208:$BO1208,'Entry Builder'!$L$10)&gt;'Entry Builder'!$E$10)))</f>
        <v/>
      </c>
      <c r="E1208">
        <f>IF('Entry Builder'!$N$11=0,1,IF('Entry Builder'!$D$11="Less",--(INDEX(Sims!$A1208:$BO1208,'Entry Builder'!$L$11)&lt;'Entry Builder'!$E$11),--(INDEX(Sims!$A1208:$BO1208,'Entry Builder'!$L$11)&gt;'Entry Builder'!$E$11)))</f>
        <v/>
      </c>
      <c r="F1208">
        <f>IF('Entry Builder'!$N$12=0,1,IF('Entry Builder'!$D$12="Less",--(INDEX(Sims!$A1208:$BO1208,'Entry Builder'!$L$12)&lt;'Entry Builder'!$E$12),--(INDEX(Sims!$A1208:$BO1208,'Entry Builder'!$L$12)&gt;'Entry Builder'!$E$12)))</f>
        <v/>
      </c>
      <c r="G1208">
        <f>6-SUM(A1208:F1208)</f>
        <v/>
      </c>
    </row>
    <row r="1209">
      <c r="A1209">
        <f>IF('Entry Builder'!$N$7=0,1,IF('Entry Builder'!$D$7="Less",--(INDEX(Sims!$A1209:$BO1209,'Entry Builder'!$L$7)&lt;'Entry Builder'!$E$7),--(INDEX(Sims!$A1209:$BO1209,'Entry Builder'!$L$7)&gt;'Entry Builder'!$E$7)))</f>
        <v/>
      </c>
      <c r="B1209">
        <f>IF('Entry Builder'!$N$8=0,1,IF('Entry Builder'!$D$8="Less",--(INDEX(Sims!$A1209:$BO1209,'Entry Builder'!$L$8)&lt;'Entry Builder'!$E$8),--(INDEX(Sims!$A1209:$BO1209,'Entry Builder'!$L$8)&gt;'Entry Builder'!$E$8)))</f>
        <v/>
      </c>
      <c r="C1209">
        <f>IF('Entry Builder'!$N$9=0,1,IF('Entry Builder'!$D$9="Less",--(INDEX(Sims!$A1209:$BO1209,'Entry Builder'!$L$9)&lt;'Entry Builder'!$E$9),--(INDEX(Sims!$A1209:$BO1209,'Entry Builder'!$L$9)&gt;'Entry Builder'!$E$9)))</f>
        <v/>
      </c>
      <c r="D1209">
        <f>IF('Entry Builder'!$N$10=0,1,IF('Entry Builder'!$D$10="Less",--(INDEX(Sims!$A1209:$BO1209,'Entry Builder'!$L$10)&lt;'Entry Builder'!$E$10),--(INDEX(Sims!$A1209:$BO1209,'Entry Builder'!$L$10)&gt;'Entry Builder'!$E$10)))</f>
        <v/>
      </c>
      <c r="E1209">
        <f>IF('Entry Builder'!$N$11=0,1,IF('Entry Builder'!$D$11="Less",--(INDEX(Sims!$A1209:$BO1209,'Entry Builder'!$L$11)&lt;'Entry Builder'!$E$11),--(INDEX(Sims!$A1209:$BO1209,'Entry Builder'!$L$11)&gt;'Entry Builder'!$E$11)))</f>
        <v/>
      </c>
      <c r="F1209">
        <f>IF('Entry Builder'!$N$12=0,1,IF('Entry Builder'!$D$12="Less",--(INDEX(Sims!$A1209:$BO1209,'Entry Builder'!$L$12)&lt;'Entry Builder'!$E$12),--(INDEX(Sims!$A1209:$BO1209,'Entry Builder'!$L$12)&gt;'Entry Builder'!$E$12)))</f>
        <v/>
      </c>
      <c r="G1209">
        <f>6-SUM(A1209:F1209)</f>
        <v/>
      </c>
    </row>
    <row r="1210">
      <c r="A1210">
        <f>IF('Entry Builder'!$N$7=0,1,IF('Entry Builder'!$D$7="Less",--(INDEX(Sims!$A1210:$BO1210,'Entry Builder'!$L$7)&lt;'Entry Builder'!$E$7),--(INDEX(Sims!$A1210:$BO1210,'Entry Builder'!$L$7)&gt;'Entry Builder'!$E$7)))</f>
        <v/>
      </c>
      <c r="B1210">
        <f>IF('Entry Builder'!$N$8=0,1,IF('Entry Builder'!$D$8="Less",--(INDEX(Sims!$A1210:$BO1210,'Entry Builder'!$L$8)&lt;'Entry Builder'!$E$8),--(INDEX(Sims!$A1210:$BO1210,'Entry Builder'!$L$8)&gt;'Entry Builder'!$E$8)))</f>
        <v/>
      </c>
      <c r="C1210">
        <f>IF('Entry Builder'!$N$9=0,1,IF('Entry Builder'!$D$9="Less",--(INDEX(Sims!$A1210:$BO1210,'Entry Builder'!$L$9)&lt;'Entry Builder'!$E$9),--(INDEX(Sims!$A1210:$BO1210,'Entry Builder'!$L$9)&gt;'Entry Builder'!$E$9)))</f>
        <v/>
      </c>
      <c r="D1210">
        <f>IF('Entry Builder'!$N$10=0,1,IF('Entry Builder'!$D$10="Less",--(INDEX(Sims!$A1210:$BO1210,'Entry Builder'!$L$10)&lt;'Entry Builder'!$E$10),--(INDEX(Sims!$A1210:$BO1210,'Entry Builder'!$L$10)&gt;'Entry Builder'!$E$10)))</f>
        <v/>
      </c>
      <c r="E1210">
        <f>IF('Entry Builder'!$N$11=0,1,IF('Entry Builder'!$D$11="Less",--(INDEX(Sims!$A1210:$BO1210,'Entry Builder'!$L$11)&lt;'Entry Builder'!$E$11),--(INDEX(Sims!$A1210:$BO1210,'Entry Builder'!$L$11)&gt;'Entry Builder'!$E$11)))</f>
        <v/>
      </c>
      <c r="F1210">
        <f>IF('Entry Builder'!$N$12=0,1,IF('Entry Builder'!$D$12="Less",--(INDEX(Sims!$A1210:$BO1210,'Entry Builder'!$L$12)&lt;'Entry Builder'!$E$12),--(INDEX(Sims!$A1210:$BO1210,'Entry Builder'!$L$12)&gt;'Entry Builder'!$E$12)))</f>
        <v/>
      </c>
      <c r="G1210">
        <f>6-SUM(A1210:F1210)</f>
        <v/>
      </c>
    </row>
    <row r="1211">
      <c r="A1211">
        <f>IF('Entry Builder'!$N$7=0,1,IF('Entry Builder'!$D$7="Less",--(INDEX(Sims!$A1211:$BO1211,'Entry Builder'!$L$7)&lt;'Entry Builder'!$E$7),--(INDEX(Sims!$A1211:$BO1211,'Entry Builder'!$L$7)&gt;'Entry Builder'!$E$7)))</f>
        <v/>
      </c>
      <c r="B1211">
        <f>IF('Entry Builder'!$N$8=0,1,IF('Entry Builder'!$D$8="Less",--(INDEX(Sims!$A1211:$BO1211,'Entry Builder'!$L$8)&lt;'Entry Builder'!$E$8),--(INDEX(Sims!$A1211:$BO1211,'Entry Builder'!$L$8)&gt;'Entry Builder'!$E$8)))</f>
        <v/>
      </c>
      <c r="C1211">
        <f>IF('Entry Builder'!$N$9=0,1,IF('Entry Builder'!$D$9="Less",--(INDEX(Sims!$A1211:$BO1211,'Entry Builder'!$L$9)&lt;'Entry Builder'!$E$9),--(INDEX(Sims!$A1211:$BO1211,'Entry Builder'!$L$9)&gt;'Entry Builder'!$E$9)))</f>
        <v/>
      </c>
      <c r="D1211">
        <f>IF('Entry Builder'!$N$10=0,1,IF('Entry Builder'!$D$10="Less",--(INDEX(Sims!$A1211:$BO1211,'Entry Builder'!$L$10)&lt;'Entry Builder'!$E$10),--(INDEX(Sims!$A1211:$BO1211,'Entry Builder'!$L$10)&gt;'Entry Builder'!$E$10)))</f>
        <v/>
      </c>
      <c r="E1211">
        <f>IF('Entry Builder'!$N$11=0,1,IF('Entry Builder'!$D$11="Less",--(INDEX(Sims!$A1211:$BO1211,'Entry Builder'!$L$11)&lt;'Entry Builder'!$E$11),--(INDEX(Sims!$A1211:$BO1211,'Entry Builder'!$L$11)&gt;'Entry Builder'!$E$11)))</f>
        <v/>
      </c>
      <c r="F1211">
        <f>IF('Entry Builder'!$N$12=0,1,IF('Entry Builder'!$D$12="Less",--(INDEX(Sims!$A1211:$BO1211,'Entry Builder'!$L$12)&lt;'Entry Builder'!$E$12),--(INDEX(Sims!$A1211:$BO1211,'Entry Builder'!$L$12)&gt;'Entry Builder'!$E$12)))</f>
        <v/>
      </c>
      <c r="G1211">
        <f>6-SUM(A1211:F1211)</f>
        <v/>
      </c>
    </row>
    <row r="1212">
      <c r="A1212">
        <f>IF('Entry Builder'!$N$7=0,1,IF('Entry Builder'!$D$7="Less",--(INDEX(Sims!$A1212:$BO1212,'Entry Builder'!$L$7)&lt;'Entry Builder'!$E$7),--(INDEX(Sims!$A1212:$BO1212,'Entry Builder'!$L$7)&gt;'Entry Builder'!$E$7)))</f>
        <v/>
      </c>
      <c r="B1212">
        <f>IF('Entry Builder'!$N$8=0,1,IF('Entry Builder'!$D$8="Less",--(INDEX(Sims!$A1212:$BO1212,'Entry Builder'!$L$8)&lt;'Entry Builder'!$E$8),--(INDEX(Sims!$A1212:$BO1212,'Entry Builder'!$L$8)&gt;'Entry Builder'!$E$8)))</f>
        <v/>
      </c>
      <c r="C1212">
        <f>IF('Entry Builder'!$N$9=0,1,IF('Entry Builder'!$D$9="Less",--(INDEX(Sims!$A1212:$BO1212,'Entry Builder'!$L$9)&lt;'Entry Builder'!$E$9),--(INDEX(Sims!$A1212:$BO1212,'Entry Builder'!$L$9)&gt;'Entry Builder'!$E$9)))</f>
        <v/>
      </c>
      <c r="D1212">
        <f>IF('Entry Builder'!$N$10=0,1,IF('Entry Builder'!$D$10="Less",--(INDEX(Sims!$A1212:$BO1212,'Entry Builder'!$L$10)&lt;'Entry Builder'!$E$10),--(INDEX(Sims!$A1212:$BO1212,'Entry Builder'!$L$10)&gt;'Entry Builder'!$E$10)))</f>
        <v/>
      </c>
      <c r="E1212">
        <f>IF('Entry Builder'!$N$11=0,1,IF('Entry Builder'!$D$11="Less",--(INDEX(Sims!$A1212:$BO1212,'Entry Builder'!$L$11)&lt;'Entry Builder'!$E$11),--(INDEX(Sims!$A1212:$BO1212,'Entry Builder'!$L$11)&gt;'Entry Builder'!$E$11)))</f>
        <v/>
      </c>
      <c r="F1212">
        <f>IF('Entry Builder'!$N$12=0,1,IF('Entry Builder'!$D$12="Less",--(INDEX(Sims!$A1212:$BO1212,'Entry Builder'!$L$12)&lt;'Entry Builder'!$E$12),--(INDEX(Sims!$A1212:$BO1212,'Entry Builder'!$L$12)&gt;'Entry Builder'!$E$12)))</f>
        <v/>
      </c>
      <c r="G1212">
        <f>6-SUM(A1212:F1212)</f>
        <v/>
      </c>
    </row>
    <row r="1213">
      <c r="A1213">
        <f>IF('Entry Builder'!$N$7=0,1,IF('Entry Builder'!$D$7="Less",--(INDEX(Sims!$A1213:$BO1213,'Entry Builder'!$L$7)&lt;'Entry Builder'!$E$7),--(INDEX(Sims!$A1213:$BO1213,'Entry Builder'!$L$7)&gt;'Entry Builder'!$E$7)))</f>
        <v/>
      </c>
      <c r="B1213">
        <f>IF('Entry Builder'!$N$8=0,1,IF('Entry Builder'!$D$8="Less",--(INDEX(Sims!$A1213:$BO1213,'Entry Builder'!$L$8)&lt;'Entry Builder'!$E$8),--(INDEX(Sims!$A1213:$BO1213,'Entry Builder'!$L$8)&gt;'Entry Builder'!$E$8)))</f>
        <v/>
      </c>
      <c r="C1213">
        <f>IF('Entry Builder'!$N$9=0,1,IF('Entry Builder'!$D$9="Less",--(INDEX(Sims!$A1213:$BO1213,'Entry Builder'!$L$9)&lt;'Entry Builder'!$E$9),--(INDEX(Sims!$A1213:$BO1213,'Entry Builder'!$L$9)&gt;'Entry Builder'!$E$9)))</f>
        <v/>
      </c>
      <c r="D1213">
        <f>IF('Entry Builder'!$N$10=0,1,IF('Entry Builder'!$D$10="Less",--(INDEX(Sims!$A1213:$BO1213,'Entry Builder'!$L$10)&lt;'Entry Builder'!$E$10),--(INDEX(Sims!$A1213:$BO1213,'Entry Builder'!$L$10)&gt;'Entry Builder'!$E$10)))</f>
        <v/>
      </c>
      <c r="E1213">
        <f>IF('Entry Builder'!$N$11=0,1,IF('Entry Builder'!$D$11="Less",--(INDEX(Sims!$A1213:$BO1213,'Entry Builder'!$L$11)&lt;'Entry Builder'!$E$11),--(INDEX(Sims!$A1213:$BO1213,'Entry Builder'!$L$11)&gt;'Entry Builder'!$E$11)))</f>
        <v/>
      </c>
      <c r="F1213">
        <f>IF('Entry Builder'!$N$12=0,1,IF('Entry Builder'!$D$12="Less",--(INDEX(Sims!$A1213:$BO1213,'Entry Builder'!$L$12)&lt;'Entry Builder'!$E$12),--(INDEX(Sims!$A1213:$BO1213,'Entry Builder'!$L$12)&gt;'Entry Builder'!$E$12)))</f>
        <v/>
      </c>
      <c r="G1213">
        <f>6-SUM(A1213:F1213)</f>
        <v/>
      </c>
    </row>
    <row r="1214">
      <c r="A1214">
        <f>IF('Entry Builder'!$N$7=0,1,IF('Entry Builder'!$D$7="Less",--(INDEX(Sims!$A1214:$BO1214,'Entry Builder'!$L$7)&lt;'Entry Builder'!$E$7),--(INDEX(Sims!$A1214:$BO1214,'Entry Builder'!$L$7)&gt;'Entry Builder'!$E$7)))</f>
        <v/>
      </c>
      <c r="B1214">
        <f>IF('Entry Builder'!$N$8=0,1,IF('Entry Builder'!$D$8="Less",--(INDEX(Sims!$A1214:$BO1214,'Entry Builder'!$L$8)&lt;'Entry Builder'!$E$8),--(INDEX(Sims!$A1214:$BO1214,'Entry Builder'!$L$8)&gt;'Entry Builder'!$E$8)))</f>
        <v/>
      </c>
      <c r="C1214">
        <f>IF('Entry Builder'!$N$9=0,1,IF('Entry Builder'!$D$9="Less",--(INDEX(Sims!$A1214:$BO1214,'Entry Builder'!$L$9)&lt;'Entry Builder'!$E$9),--(INDEX(Sims!$A1214:$BO1214,'Entry Builder'!$L$9)&gt;'Entry Builder'!$E$9)))</f>
        <v/>
      </c>
      <c r="D1214">
        <f>IF('Entry Builder'!$N$10=0,1,IF('Entry Builder'!$D$10="Less",--(INDEX(Sims!$A1214:$BO1214,'Entry Builder'!$L$10)&lt;'Entry Builder'!$E$10),--(INDEX(Sims!$A1214:$BO1214,'Entry Builder'!$L$10)&gt;'Entry Builder'!$E$10)))</f>
        <v/>
      </c>
      <c r="E1214">
        <f>IF('Entry Builder'!$N$11=0,1,IF('Entry Builder'!$D$11="Less",--(INDEX(Sims!$A1214:$BO1214,'Entry Builder'!$L$11)&lt;'Entry Builder'!$E$11),--(INDEX(Sims!$A1214:$BO1214,'Entry Builder'!$L$11)&gt;'Entry Builder'!$E$11)))</f>
        <v/>
      </c>
      <c r="F1214">
        <f>IF('Entry Builder'!$N$12=0,1,IF('Entry Builder'!$D$12="Less",--(INDEX(Sims!$A1214:$BO1214,'Entry Builder'!$L$12)&lt;'Entry Builder'!$E$12),--(INDEX(Sims!$A1214:$BO1214,'Entry Builder'!$L$12)&gt;'Entry Builder'!$E$12)))</f>
        <v/>
      </c>
      <c r="G1214">
        <f>6-SUM(A1214:F1214)</f>
        <v/>
      </c>
    </row>
    <row r="1215">
      <c r="A1215">
        <f>IF('Entry Builder'!$N$7=0,1,IF('Entry Builder'!$D$7="Less",--(INDEX(Sims!$A1215:$BO1215,'Entry Builder'!$L$7)&lt;'Entry Builder'!$E$7),--(INDEX(Sims!$A1215:$BO1215,'Entry Builder'!$L$7)&gt;'Entry Builder'!$E$7)))</f>
        <v/>
      </c>
      <c r="B1215">
        <f>IF('Entry Builder'!$N$8=0,1,IF('Entry Builder'!$D$8="Less",--(INDEX(Sims!$A1215:$BO1215,'Entry Builder'!$L$8)&lt;'Entry Builder'!$E$8),--(INDEX(Sims!$A1215:$BO1215,'Entry Builder'!$L$8)&gt;'Entry Builder'!$E$8)))</f>
        <v/>
      </c>
      <c r="C1215">
        <f>IF('Entry Builder'!$N$9=0,1,IF('Entry Builder'!$D$9="Less",--(INDEX(Sims!$A1215:$BO1215,'Entry Builder'!$L$9)&lt;'Entry Builder'!$E$9),--(INDEX(Sims!$A1215:$BO1215,'Entry Builder'!$L$9)&gt;'Entry Builder'!$E$9)))</f>
        <v/>
      </c>
      <c r="D1215">
        <f>IF('Entry Builder'!$N$10=0,1,IF('Entry Builder'!$D$10="Less",--(INDEX(Sims!$A1215:$BO1215,'Entry Builder'!$L$10)&lt;'Entry Builder'!$E$10),--(INDEX(Sims!$A1215:$BO1215,'Entry Builder'!$L$10)&gt;'Entry Builder'!$E$10)))</f>
        <v/>
      </c>
      <c r="E1215">
        <f>IF('Entry Builder'!$N$11=0,1,IF('Entry Builder'!$D$11="Less",--(INDEX(Sims!$A1215:$BO1215,'Entry Builder'!$L$11)&lt;'Entry Builder'!$E$11),--(INDEX(Sims!$A1215:$BO1215,'Entry Builder'!$L$11)&gt;'Entry Builder'!$E$11)))</f>
        <v/>
      </c>
      <c r="F1215">
        <f>IF('Entry Builder'!$N$12=0,1,IF('Entry Builder'!$D$12="Less",--(INDEX(Sims!$A1215:$BO1215,'Entry Builder'!$L$12)&lt;'Entry Builder'!$E$12),--(INDEX(Sims!$A1215:$BO1215,'Entry Builder'!$L$12)&gt;'Entry Builder'!$E$12)))</f>
        <v/>
      </c>
      <c r="G1215">
        <f>6-SUM(A1215:F1215)</f>
        <v/>
      </c>
    </row>
    <row r="1216">
      <c r="A1216">
        <f>IF('Entry Builder'!$N$7=0,1,IF('Entry Builder'!$D$7="Less",--(INDEX(Sims!$A1216:$BO1216,'Entry Builder'!$L$7)&lt;'Entry Builder'!$E$7),--(INDEX(Sims!$A1216:$BO1216,'Entry Builder'!$L$7)&gt;'Entry Builder'!$E$7)))</f>
        <v/>
      </c>
      <c r="B1216">
        <f>IF('Entry Builder'!$N$8=0,1,IF('Entry Builder'!$D$8="Less",--(INDEX(Sims!$A1216:$BO1216,'Entry Builder'!$L$8)&lt;'Entry Builder'!$E$8),--(INDEX(Sims!$A1216:$BO1216,'Entry Builder'!$L$8)&gt;'Entry Builder'!$E$8)))</f>
        <v/>
      </c>
      <c r="C1216">
        <f>IF('Entry Builder'!$N$9=0,1,IF('Entry Builder'!$D$9="Less",--(INDEX(Sims!$A1216:$BO1216,'Entry Builder'!$L$9)&lt;'Entry Builder'!$E$9),--(INDEX(Sims!$A1216:$BO1216,'Entry Builder'!$L$9)&gt;'Entry Builder'!$E$9)))</f>
        <v/>
      </c>
      <c r="D1216">
        <f>IF('Entry Builder'!$N$10=0,1,IF('Entry Builder'!$D$10="Less",--(INDEX(Sims!$A1216:$BO1216,'Entry Builder'!$L$10)&lt;'Entry Builder'!$E$10),--(INDEX(Sims!$A1216:$BO1216,'Entry Builder'!$L$10)&gt;'Entry Builder'!$E$10)))</f>
        <v/>
      </c>
      <c r="E1216">
        <f>IF('Entry Builder'!$N$11=0,1,IF('Entry Builder'!$D$11="Less",--(INDEX(Sims!$A1216:$BO1216,'Entry Builder'!$L$11)&lt;'Entry Builder'!$E$11),--(INDEX(Sims!$A1216:$BO1216,'Entry Builder'!$L$11)&gt;'Entry Builder'!$E$11)))</f>
        <v/>
      </c>
      <c r="F1216">
        <f>IF('Entry Builder'!$N$12=0,1,IF('Entry Builder'!$D$12="Less",--(INDEX(Sims!$A1216:$BO1216,'Entry Builder'!$L$12)&lt;'Entry Builder'!$E$12),--(INDEX(Sims!$A1216:$BO1216,'Entry Builder'!$L$12)&gt;'Entry Builder'!$E$12)))</f>
        <v/>
      </c>
      <c r="G1216">
        <f>6-SUM(A1216:F1216)</f>
        <v/>
      </c>
    </row>
    <row r="1217">
      <c r="A1217">
        <f>IF('Entry Builder'!$N$7=0,1,IF('Entry Builder'!$D$7="Less",--(INDEX(Sims!$A1217:$BO1217,'Entry Builder'!$L$7)&lt;'Entry Builder'!$E$7),--(INDEX(Sims!$A1217:$BO1217,'Entry Builder'!$L$7)&gt;'Entry Builder'!$E$7)))</f>
        <v/>
      </c>
      <c r="B1217">
        <f>IF('Entry Builder'!$N$8=0,1,IF('Entry Builder'!$D$8="Less",--(INDEX(Sims!$A1217:$BO1217,'Entry Builder'!$L$8)&lt;'Entry Builder'!$E$8),--(INDEX(Sims!$A1217:$BO1217,'Entry Builder'!$L$8)&gt;'Entry Builder'!$E$8)))</f>
        <v/>
      </c>
      <c r="C1217">
        <f>IF('Entry Builder'!$N$9=0,1,IF('Entry Builder'!$D$9="Less",--(INDEX(Sims!$A1217:$BO1217,'Entry Builder'!$L$9)&lt;'Entry Builder'!$E$9),--(INDEX(Sims!$A1217:$BO1217,'Entry Builder'!$L$9)&gt;'Entry Builder'!$E$9)))</f>
        <v/>
      </c>
      <c r="D1217">
        <f>IF('Entry Builder'!$N$10=0,1,IF('Entry Builder'!$D$10="Less",--(INDEX(Sims!$A1217:$BO1217,'Entry Builder'!$L$10)&lt;'Entry Builder'!$E$10),--(INDEX(Sims!$A1217:$BO1217,'Entry Builder'!$L$10)&gt;'Entry Builder'!$E$10)))</f>
        <v/>
      </c>
      <c r="E1217">
        <f>IF('Entry Builder'!$N$11=0,1,IF('Entry Builder'!$D$11="Less",--(INDEX(Sims!$A1217:$BO1217,'Entry Builder'!$L$11)&lt;'Entry Builder'!$E$11),--(INDEX(Sims!$A1217:$BO1217,'Entry Builder'!$L$11)&gt;'Entry Builder'!$E$11)))</f>
        <v/>
      </c>
      <c r="F1217">
        <f>IF('Entry Builder'!$N$12=0,1,IF('Entry Builder'!$D$12="Less",--(INDEX(Sims!$A1217:$BO1217,'Entry Builder'!$L$12)&lt;'Entry Builder'!$E$12),--(INDEX(Sims!$A1217:$BO1217,'Entry Builder'!$L$12)&gt;'Entry Builder'!$E$12)))</f>
        <v/>
      </c>
      <c r="G1217">
        <f>6-SUM(A1217:F1217)</f>
        <v/>
      </c>
    </row>
    <row r="1218">
      <c r="A1218">
        <f>IF('Entry Builder'!$N$7=0,1,IF('Entry Builder'!$D$7="Less",--(INDEX(Sims!$A1218:$BO1218,'Entry Builder'!$L$7)&lt;'Entry Builder'!$E$7),--(INDEX(Sims!$A1218:$BO1218,'Entry Builder'!$L$7)&gt;'Entry Builder'!$E$7)))</f>
        <v/>
      </c>
      <c r="B1218">
        <f>IF('Entry Builder'!$N$8=0,1,IF('Entry Builder'!$D$8="Less",--(INDEX(Sims!$A1218:$BO1218,'Entry Builder'!$L$8)&lt;'Entry Builder'!$E$8),--(INDEX(Sims!$A1218:$BO1218,'Entry Builder'!$L$8)&gt;'Entry Builder'!$E$8)))</f>
        <v/>
      </c>
      <c r="C1218">
        <f>IF('Entry Builder'!$N$9=0,1,IF('Entry Builder'!$D$9="Less",--(INDEX(Sims!$A1218:$BO1218,'Entry Builder'!$L$9)&lt;'Entry Builder'!$E$9),--(INDEX(Sims!$A1218:$BO1218,'Entry Builder'!$L$9)&gt;'Entry Builder'!$E$9)))</f>
        <v/>
      </c>
      <c r="D1218">
        <f>IF('Entry Builder'!$N$10=0,1,IF('Entry Builder'!$D$10="Less",--(INDEX(Sims!$A1218:$BO1218,'Entry Builder'!$L$10)&lt;'Entry Builder'!$E$10),--(INDEX(Sims!$A1218:$BO1218,'Entry Builder'!$L$10)&gt;'Entry Builder'!$E$10)))</f>
        <v/>
      </c>
      <c r="E1218">
        <f>IF('Entry Builder'!$N$11=0,1,IF('Entry Builder'!$D$11="Less",--(INDEX(Sims!$A1218:$BO1218,'Entry Builder'!$L$11)&lt;'Entry Builder'!$E$11),--(INDEX(Sims!$A1218:$BO1218,'Entry Builder'!$L$11)&gt;'Entry Builder'!$E$11)))</f>
        <v/>
      </c>
      <c r="F1218">
        <f>IF('Entry Builder'!$N$12=0,1,IF('Entry Builder'!$D$12="Less",--(INDEX(Sims!$A1218:$BO1218,'Entry Builder'!$L$12)&lt;'Entry Builder'!$E$12),--(INDEX(Sims!$A1218:$BO1218,'Entry Builder'!$L$12)&gt;'Entry Builder'!$E$12)))</f>
        <v/>
      </c>
      <c r="G1218">
        <f>6-SUM(A1218:F1218)</f>
        <v/>
      </c>
    </row>
    <row r="1219">
      <c r="A1219">
        <f>IF('Entry Builder'!$N$7=0,1,IF('Entry Builder'!$D$7="Less",--(INDEX(Sims!$A1219:$BO1219,'Entry Builder'!$L$7)&lt;'Entry Builder'!$E$7),--(INDEX(Sims!$A1219:$BO1219,'Entry Builder'!$L$7)&gt;'Entry Builder'!$E$7)))</f>
        <v/>
      </c>
      <c r="B1219">
        <f>IF('Entry Builder'!$N$8=0,1,IF('Entry Builder'!$D$8="Less",--(INDEX(Sims!$A1219:$BO1219,'Entry Builder'!$L$8)&lt;'Entry Builder'!$E$8),--(INDEX(Sims!$A1219:$BO1219,'Entry Builder'!$L$8)&gt;'Entry Builder'!$E$8)))</f>
        <v/>
      </c>
      <c r="C1219">
        <f>IF('Entry Builder'!$N$9=0,1,IF('Entry Builder'!$D$9="Less",--(INDEX(Sims!$A1219:$BO1219,'Entry Builder'!$L$9)&lt;'Entry Builder'!$E$9),--(INDEX(Sims!$A1219:$BO1219,'Entry Builder'!$L$9)&gt;'Entry Builder'!$E$9)))</f>
        <v/>
      </c>
      <c r="D1219">
        <f>IF('Entry Builder'!$N$10=0,1,IF('Entry Builder'!$D$10="Less",--(INDEX(Sims!$A1219:$BO1219,'Entry Builder'!$L$10)&lt;'Entry Builder'!$E$10),--(INDEX(Sims!$A1219:$BO1219,'Entry Builder'!$L$10)&gt;'Entry Builder'!$E$10)))</f>
        <v/>
      </c>
      <c r="E1219">
        <f>IF('Entry Builder'!$N$11=0,1,IF('Entry Builder'!$D$11="Less",--(INDEX(Sims!$A1219:$BO1219,'Entry Builder'!$L$11)&lt;'Entry Builder'!$E$11),--(INDEX(Sims!$A1219:$BO1219,'Entry Builder'!$L$11)&gt;'Entry Builder'!$E$11)))</f>
        <v/>
      </c>
      <c r="F1219">
        <f>IF('Entry Builder'!$N$12=0,1,IF('Entry Builder'!$D$12="Less",--(INDEX(Sims!$A1219:$BO1219,'Entry Builder'!$L$12)&lt;'Entry Builder'!$E$12),--(INDEX(Sims!$A1219:$BO1219,'Entry Builder'!$L$12)&gt;'Entry Builder'!$E$12)))</f>
        <v/>
      </c>
      <c r="G1219">
        <f>6-SUM(A1219:F1219)</f>
        <v/>
      </c>
    </row>
    <row r="1220">
      <c r="A1220">
        <f>IF('Entry Builder'!$N$7=0,1,IF('Entry Builder'!$D$7="Less",--(INDEX(Sims!$A1220:$BO1220,'Entry Builder'!$L$7)&lt;'Entry Builder'!$E$7),--(INDEX(Sims!$A1220:$BO1220,'Entry Builder'!$L$7)&gt;'Entry Builder'!$E$7)))</f>
        <v/>
      </c>
      <c r="B1220">
        <f>IF('Entry Builder'!$N$8=0,1,IF('Entry Builder'!$D$8="Less",--(INDEX(Sims!$A1220:$BO1220,'Entry Builder'!$L$8)&lt;'Entry Builder'!$E$8),--(INDEX(Sims!$A1220:$BO1220,'Entry Builder'!$L$8)&gt;'Entry Builder'!$E$8)))</f>
        <v/>
      </c>
      <c r="C1220">
        <f>IF('Entry Builder'!$N$9=0,1,IF('Entry Builder'!$D$9="Less",--(INDEX(Sims!$A1220:$BO1220,'Entry Builder'!$L$9)&lt;'Entry Builder'!$E$9),--(INDEX(Sims!$A1220:$BO1220,'Entry Builder'!$L$9)&gt;'Entry Builder'!$E$9)))</f>
        <v/>
      </c>
      <c r="D1220">
        <f>IF('Entry Builder'!$N$10=0,1,IF('Entry Builder'!$D$10="Less",--(INDEX(Sims!$A1220:$BO1220,'Entry Builder'!$L$10)&lt;'Entry Builder'!$E$10),--(INDEX(Sims!$A1220:$BO1220,'Entry Builder'!$L$10)&gt;'Entry Builder'!$E$10)))</f>
        <v/>
      </c>
      <c r="E1220">
        <f>IF('Entry Builder'!$N$11=0,1,IF('Entry Builder'!$D$11="Less",--(INDEX(Sims!$A1220:$BO1220,'Entry Builder'!$L$11)&lt;'Entry Builder'!$E$11),--(INDEX(Sims!$A1220:$BO1220,'Entry Builder'!$L$11)&gt;'Entry Builder'!$E$11)))</f>
        <v/>
      </c>
      <c r="F1220">
        <f>IF('Entry Builder'!$N$12=0,1,IF('Entry Builder'!$D$12="Less",--(INDEX(Sims!$A1220:$BO1220,'Entry Builder'!$L$12)&lt;'Entry Builder'!$E$12),--(INDEX(Sims!$A1220:$BO1220,'Entry Builder'!$L$12)&gt;'Entry Builder'!$E$12)))</f>
        <v/>
      </c>
      <c r="G1220">
        <f>6-SUM(A1220:F1220)</f>
        <v/>
      </c>
    </row>
    <row r="1221">
      <c r="A1221">
        <f>IF('Entry Builder'!$N$7=0,1,IF('Entry Builder'!$D$7="Less",--(INDEX(Sims!$A1221:$BO1221,'Entry Builder'!$L$7)&lt;'Entry Builder'!$E$7),--(INDEX(Sims!$A1221:$BO1221,'Entry Builder'!$L$7)&gt;'Entry Builder'!$E$7)))</f>
        <v/>
      </c>
      <c r="B1221">
        <f>IF('Entry Builder'!$N$8=0,1,IF('Entry Builder'!$D$8="Less",--(INDEX(Sims!$A1221:$BO1221,'Entry Builder'!$L$8)&lt;'Entry Builder'!$E$8),--(INDEX(Sims!$A1221:$BO1221,'Entry Builder'!$L$8)&gt;'Entry Builder'!$E$8)))</f>
        <v/>
      </c>
      <c r="C1221">
        <f>IF('Entry Builder'!$N$9=0,1,IF('Entry Builder'!$D$9="Less",--(INDEX(Sims!$A1221:$BO1221,'Entry Builder'!$L$9)&lt;'Entry Builder'!$E$9),--(INDEX(Sims!$A1221:$BO1221,'Entry Builder'!$L$9)&gt;'Entry Builder'!$E$9)))</f>
        <v/>
      </c>
      <c r="D1221">
        <f>IF('Entry Builder'!$N$10=0,1,IF('Entry Builder'!$D$10="Less",--(INDEX(Sims!$A1221:$BO1221,'Entry Builder'!$L$10)&lt;'Entry Builder'!$E$10),--(INDEX(Sims!$A1221:$BO1221,'Entry Builder'!$L$10)&gt;'Entry Builder'!$E$10)))</f>
        <v/>
      </c>
      <c r="E1221">
        <f>IF('Entry Builder'!$N$11=0,1,IF('Entry Builder'!$D$11="Less",--(INDEX(Sims!$A1221:$BO1221,'Entry Builder'!$L$11)&lt;'Entry Builder'!$E$11),--(INDEX(Sims!$A1221:$BO1221,'Entry Builder'!$L$11)&gt;'Entry Builder'!$E$11)))</f>
        <v/>
      </c>
      <c r="F1221">
        <f>IF('Entry Builder'!$N$12=0,1,IF('Entry Builder'!$D$12="Less",--(INDEX(Sims!$A1221:$BO1221,'Entry Builder'!$L$12)&lt;'Entry Builder'!$E$12),--(INDEX(Sims!$A1221:$BO1221,'Entry Builder'!$L$12)&gt;'Entry Builder'!$E$12)))</f>
        <v/>
      </c>
      <c r="G1221">
        <f>6-SUM(A1221:F1221)</f>
        <v/>
      </c>
    </row>
    <row r="1222">
      <c r="A1222">
        <f>IF('Entry Builder'!$N$7=0,1,IF('Entry Builder'!$D$7="Less",--(INDEX(Sims!$A1222:$BO1222,'Entry Builder'!$L$7)&lt;'Entry Builder'!$E$7),--(INDEX(Sims!$A1222:$BO1222,'Entry Builder'!$L$7)&gt;'Entry Builder'!$E$7)))</f>
        <v/>
      </c>
      <c r="B1222">
        <f>IF('Entry Builder'!$N$8=0,1,IF('Entry Builder'!$D$8="Less",--(INDEX(Sims!$A1222:$BO1222,'Entry Builder'!$L$8)&lt;'Entry Builder'!$E$8),--(INDEX(Sims!$A1222:$BO1222,'Entry Builder'!$L$8)&gt;'Entry Builder'!$E$8)))</f>
        <v/>
      </c>
      <c r="C1222">
        <f>IF('Entry Builder'!$N$9=0,1,IF('Entry Builder'!$D$9="Less",--(INDEX(Sims!$A1222:$BO1222,'Entry Builder'!$L$9)&lt;'Entry Builder'!$E$9),--(INDEX(Sims!$A1222:$BO1222,'Entry Builder'!$L$9)&gt;'Entry Builder'!$E$9)))</f>
        <v/>
      </c>
      <c r="D1222">
        <f>IF('Entry Builder'!$N$10=0,1,IF('Entry Builder'!$D$10="Less",--(INDEX(Sims!$A1222:$BO1222,'Entry Builder'!$L$10)&lt;'Entry Builder'!$E$10),--(INDEX(Sims!$A1222:$BO1222,'Entry Builder'!$L$10)&gt;'Entry Builder'!$E$10)))</f>
        <v/>
      </c>
      <c r="E1222">
        <f>IF('Entry Builder'!$N$11=0,1,IF('Entry Builder'!$D$11="Less",--(INDEX(Sims!$A1222:$BO1222,'Entry Builder'!$L$11)&lt;'Entry Builder'!$E$11),--(INDEX(Sims!$A1222:$BO1222,'Entry Builder'!$L$11)&gt;'Entry Builder'!$E$11)))</f>
        <v/>
      </c>
      <c r="F1222">
        <f>IF('Entry Builder'!$N$12=0,1,IF('Entry Builder'!$D$12="Less",--(INDEX(Sims!$A1222:$BO1222,'Entry Builder'!$L$12)&lt;'Entry Builder'!$E$12),--(INDEX(Sims!$A1222:$BO1222,'Entry Builder'!$L$12)&gt;'Entry Builder'!$E$12)))</f>
        <v/>
      </c>
      <c r="G1222">
        <f>6-SUM(A1222:F1222)</f>
        <v/>
      </c>
    </row>
    <row r="1223">
      <c r="A1223">
        <f>IF('Entry Builder'!$N$7=0,1,IF('Entry Builder'!$D$7="Less",--(INDEX(Sims!$A1223:$BO1223,'Entry Builder'!$L$7)&lt;'Entry Builder'!$E$7),--(INDEX(Sims!$A1223:$BO1223,'Entry Builder'!$L$7)&gt;'Entry Builder'!$E$7)))</f>
        <v/>
      </c>
      <c r="B1223">
        <f>IF('Entry Builder'!$N$8=0,1,IF('Entry Builder'!$D$8="Less",--(INDEX(Sims!$A1223:$BO1223,'Entry Builder'!$L$8)&lt;'Entry Builder'!$E$8),--(INDEX(Sims!$A1223:$BO1223,'Entry Builder'!$L$8)&gt;'Entry Builder'!$E$8)))</f>
        <v/>
      </c>
      <c r="C1223">
        <f>IF('Entry Builder'!$N$9=0,1,IF('Entry Builder'!$D$9="Less",--(INDEX(Sims!$A1223:$BO1223,'Entry Builder'!$L$9)&lt;'Entry Builder'!$E$9),--(INDEX(Sims!$A1223:$BO1223,'Entry Builder'!$L$9)&gt;'Entry Builder'!$E$9)))</f>
        <v/>
      </c>
      <c r="D1223">
        <f>IF('Entry Builder'!$N$10=0,1,IF('Entry Builder'!$D$10="Less",--(INDEX(Sims!$A1223:$BO1223,'Entry Builder'!$L$10)&lt;'Entry Builder'!$E$10),--(INDEX(Sims!$A1223:$BO1223,'Entry Builder'!$L$10)&gt;'Entry Builder'!$E$10)))</f>
        <v/>
      </c>
      <c r="E1223">
        <f>IF('Entry Builder'!$N$11=0,1,IF('Entry Builder'!$D$11="Less",--(INDEX(Sims!$A1223:$BO1223,'Entry Builder'!$L$11)&lt;'Entry Builder'!$E$11),--(INDEX(Sims!$A1223:$BO1223,'Entry Builder'!$L$11)&gt;'Entry Builder'!$E$11)))</f>
        <v/>
      </c>
      <c r="F1223">
        <f>IF('Entry Builder'!$N$12=0,1,IF('Entry Builder'!$D$12="Less",--(INDEX(Sims!$A1223:$BO1223,'Entry Builder'!$L$12)&lt;'Entry Builder'!$E$12),--(INDEX(Sims!$A1223:$BO1223,'Entry Builder'!$L$12)&gt;'Entry Builder'!$E$12)))</f>
        <v/>
      </c>
      <c r="G1223">
        <f>6-SUM(A1223:F1223)</f>
        <v/>
      </c>
    </row>
    <row r="1224">
      <c r="A1224">
        <f>IF('Entry Builder'!$N$7=0,1,IF('Entry Builder'!$D$7="Less",--(INDEX(Sims!$A1224:$BO1224,'Entry Builder'!$L$7)&lt;'Entry Builder'!$E$7),--(INDEX(Sims!$A1224:$BO1224,'Entry Builder'!$L$7)&gt;'Entry Builder'!$E$7)))</f>
        <v/>
      </c>
      <c r="B1224">
        <f>IF('Entry Builder'!$N$8=0,1,IF('Entry Builder'!$D$8="Less",--(INDEX(Sims!$A1224:$BO1224,'Entry Builder'!$L$8)&lt;'Entry Builder'!$E$8),--(INDEX(Sims!$A1224:$BO1224,'Entry Builder'!$L$8)&gt;'Entry Builder'!$E$8)))</f>
        <v/>
      </c>
      <c r="C1224">
        <f>IF('Entry Builder'!$N$9=0,1,IF('Entry Builder'!$D$9="Less",--(INDEX(Sims!$A1224:$BO1224,'Entry Builder'!$L$9)&lt;'Entry Builder'!$E$9),--(INDEX(Sims!$A1224:$BO1224,'Entry Builder'!$L$9)&gt;'Entry Builder'!$E$9)))</f>
        <v/>
      </c>
      <c r="D1224">
        <f>IF('Entry Builder'!$N$10=0,1,IF('Entry Builder'!$D$10="Less",--(INDEX(Sims!$A1224:$BO1224,'Entry Builder'!$L$10)&lt;'Entry Builder'!$E$10),--(INDEX(Sims!$A1224:$BO1224,'Entry Builder'!$L$10)&gt;'Entry Builder'!$E$10)))</f>
        <v/>
      </c>
      <c r="E1224">
        <f>IF('Entry Builder'!$N$11=0,1,IF('Entry Builder'!$D$11="Less",--(INDEX(Sims!$A1224:$BO1224,'Entry Builder'!$L$11)&lt;'Entry Builder'!$E$11),--(INDEX(Sims!$A1224:$BO1224,'Entry Builder'!$L$11)&gt;'Entry Builder'!$E$11)))</f>
        <v/>
      </c>
      <c r="F1224">
        <f>IF('Entry Builder'!$N$12=0,1,IF('Entry Builder'!$D$12="Less",--(INDEX(Sims!$A1224:$BO1224,'Entry Builder'!$L$12)&lt;'Entry Builder'!$E$12),--(INDEX(Sims!$A1224:$BO1224,'Entry Builder'!$L$12)&gt;'Entry Builder'!$E$12)))</f>
        <v/>
      </c>
      <c r="G1224">
        <f>6-SUM(A1224:F1224)</f>
        <v/>
      </c>
    </row>
    <row r="1225">
      <c r="A1225">
        <f>IF('Entry Builder'!$N$7=0,1,IF('Entry Builder'!$D$7="Less",--(INDEX(Sims!$A1225:$BO1225,'Entry Builder'!$L$7)&lt;'Entry Builder'!$E$7),--(INDEX(Sims!$A1225:$BO1225,'Entry Builder'!$L$7)&gt;'Entry Builder'!$E$7)))</f>
        <v/>
      </c>
      <c r="B1225">
        <f>IF('Entry Builder'!$N$8=0,1,IF('Entry Builder'!$D$8="Less",--(INDEX(Sims!$A1225:$BO1225,'Entry Builder'!$L$8)&lt;'Entry Builder'!$E$8),--(INDEX(Sims!$A1225:$BO1225,'Entry Builder'!$L$8)&gt;'Entry Builder'!$E$8)))</f>
        <v/>
      </c>
      <c r="C1225">
        <f>IF('Entry Builder'!$N$9=0,1,IF('Entry Builder'!$D$9="Less",--(INDEX(Sims!$A1225:$BO1225,'Entry Builder'!$L$9)&lt;'Entry Builder'!$E$9),--(INDEX(Sims!$A1225:$BO1225,'Entry Builder'!$L$9)&gt;'Entry Builder'!$E$9)))</f>
        <v/>
      </c>
      <c r="D1225">
        <f>IF('Entry Builder'!$N$10=0,1,IF('Entry Builder'!$D$10="Less",--(INDEX(Sims!$A1225:$BO1225,'Entry Builder'!$L$10)&lt;'Entry Builder'!$E$10),--(INDEX(Sims!$A1225:$BO1225,'Entry Builder'!$L$10)&gt;'Entry Builder'!$E$10)))</f>
        <v/>
      </c>
      <c r="E1225">
        <f>IF('Entry Builder'!$N$11=0,1,IF('Entry Builder'!$D$11="Less",--(INDEX(Sims!$A1225:$BO1225,'Entry Builder'!$L$11)&lt;'Entry Builder'!$E$11),--(INDEX(Sims!$A1225:$BO1225,'Entry Builder'!$L$11)&gt;'Entry Builder'!$E$11)))</f>
        <v/>
      </c>
      <c r="F1225">
        <f>IF('Entry Builder'!$N$12=0,1,IF('Entry Builder'!$D$12="Less",--(INDEX(Sims!$A1225:$BO1225,'Entry Builder'!$L$12)&lt;'Entry Builder'!$E$12),--(INDEX(Sims!$A1225:$BO1225,'Entry Builder'!$L$12)&gt;'Entry Builder'!$E$12)))</f>
        <v/>
      </c>
      <c r="G1225">
        <f>6-SUM(A1225:F1225)</f>
        <v/>
      </c>
    </row>
    <row r="1226">
      <c r="A1226">
        <f>IF('Entry Builder'!$N$7=0,1,IF('Entry Builder'!$D$7="Less",--(INDEX(Sims!$A1226:$BO1226,'Entry Builder'!$L$7)&lt;'Entry Builder'!$E$7),--(INDEX(Sims!$A1226:$BO1226,'Entry Builder'!$L$7)&gt;'Entry Builder'!$E$7)))</f>
        <v/>
      </c>
      <c r="B1226">
        <f>IF('Entry Builder'!$N$8=0,1,IF('Entry Builder'!$D$8="Less",--(INDEX(Sims!$A1226:$BO1226,'Entry Builder'!$L$8)&lt;'Entry Builder'!$E$8),--(INDEX(Sims!$A1226:$BO1226,'Entry Builder'!$L$8)&gt;'Entry Builder'!$E$8)))</f>
        <v/>
      </c>
      <c r="C1226">
        <f>IF('Entry Builder'!$N$9=0,1,IF('Entry Builder'!$D$9="Less",--(INDEX(Sims!$A1226:$BO1226,'Entry Builder'!$L$9)&lt;'Entry Builder'!$E$9),--(INDEX(Sims!$A1226:$BO1226,'Entry Builder'!$L$9)&gt;'Entry Builder'!$E$9)))</f>
        <v/>
      </c>
      <c r="D1226">
        <f>IF('Entry Builder'!$N$10=0,1,IF('Entry Builder'!$D$10="Less",--(INDEX(Sims!$A1226:$BO1226,'Entry Builder'!$L$10)&lt;'Entry Builder'!$E$10),--(INDEX(Sims!$A1226:$BO1226,'Entry Builder'!$L$10)&gt;'Entry Builder'!$E$10)))</f>
        <v/>
      </c>
      <c r="E1226">
        <f>IF('Entry Builder'!$N$11=0,1,IF('Entry Builder'!$D$11="Less",--(INDEX(Sims!$A1226:$BO1226,'Entry Builder'!$L$11)&lt;'Entry Builder'!$E$11),--(INDEX(Sims!$A1226:$BO1226,'Entry Builder'!$L$11)&gt;'Entry Builder'!$E$11)))</f>
        <v/>
      </c>
      <c r="F1226">
        <f>IF('Entry Builder'!$N$12=0,1,IF('Entry Builder'!$D$12="Less",--(INDEX(Sims!$A1226:$BO1226,'Entry Builder'!$L$12)&lt;'Entry Builder'!$E$12),--(INDEX(Sims!$A1226:$BO1226,'Entry Builder'!$L$12)&gt;'Entry Builder'!$E$12)))</f>
        <v/>
      </c>
      <c r="G1226">
        <f>6-SUM(A1226:F1226)</f>
        <v/>
      </c>
    </row>
    <row r="1227">
      <c r="A1227">
        <f>IF('Entry Builder'!$N$7=0,1,IF('Entry Builder'!$D$7="Less",--(INDEX(Sims!$A1227:$BO1227,'Entry Builder'!$L$7)&lt;'Entry Builder'!$E$7),--(INDEX(Sims!$A1227:$BO1227,'Entry Builder'!$L$7)&gt;'Entry Builder'!$E$7)))</f>
        <v/>
      </c>
      <c r="B1227">
        <f>IF('Entry Builder'!$N$8=0,1,IF('Entry Builder'!$D$8="Less",--(INDEX(Sims!$A1227:$BO1227,'Entry Builder'!$L$8)&lt;'Entry Builder'!$E$8),--(INDEX(Sims!$A1227:$BO1227,'Entry Builder'!$L$8)&gt;'Entry Builder'!$E$8)))</f>
        <v/>
      </c>
      <c r="C1227">
        <f>IF('Entry Builder'!$N$9=0,1,IF('Entry Builder'!$D$9="Less",--(INDEX(Sims!$A1227:$BO1227,'Entry Builder'!$L$9)&lt;'Entry Builder'!$E$9),--(INDEX(Sims!$A1227:$BO1227,'Entry Builder'!$L$9)&gt;'Entry Builder'!$E$9)))</f>
        <v/>
      </c>
      <c r="D1227">
        <f>IF('Entry Builder'!$N$10=0,1,IF('Entry Builder'!$D$10="Less",--(INDEX(Sims!$A1227:$BO1227,'Entry Builder'!$L$10)&lt;'Entry Builder'!$E$10),--(INDEX(Sims!$A1227:$BO1227,'Entry Builder'!$L$10)&gt;'Entry Builder'!$E$10)))</f>
        <v/>
      </c>
      <c r="E1227">
        <f>IF('Entry Builder'!$N$11=0,1,IF('Entry Builder'!$D$11="Less",--(INDEX(Sims!$A1227:$BO1227,'Entry Builder'!$L$11)&lt;'Entry Builder'!$E$11),--(INDEX(Sims!$A1227:$BO1227,'Entry Builder'!$L$11)&gt;'Entry Builder'!$E$11)))</f>
        <v/>
      </c>
      <c r="F1227">
        <f>IF('Entry Builder'!$N$12=0,1,IF('Entry Builder'!$D$12="Less",--(INDEX(Sims!$A1227:$BO1227,'Entry Builder'!$L$12)&lt;'Entry Builder'!$E$12),--(INDEX(Sims!$A1227:$BO1227,'Entry Builder'!$L$12)&gt;'Entry Builder'!$E$12)))</f>
        <v/>
      </c>
      <c r="G1227">
        <f>6-SUM(A1227:F1227)</f>
        <v/>
      </c>
    </row>
    <row r="1228">
      <c r="A1228">
        <f>IF('Entry Builder'!$N$7=0,1,IF('Entry Builder'!$D$7="Less",--(INDEX(Sims!$A1228:$BO1228,'Entry Builder'!$L$7)&lt;'Entry Builder'!$E$7),--(INDEX(Sims!$A1228:$BO1228,'Entry Builder'!$L$7)&gt;'Entry Builder'!$E$7)))</f>
        <v/>
      </c>
      <c r="B1228">
        <f>IF('Entry Builder'!$N$8=0,1,IF('Entry Builder'!$D$8="Less",--(INDEX(Sims!$A1228:$BO1228,'Entry Builder'!$L$8)&lt;'Entry Builder'!$E$8),--(INDEX(Sims!$A1228:$BO1228,'Entry Builder'!$L$8)&gt;'Entry Builder'!$E$8)))</f>
        <v/>
      </c>
      <c r="C1228">
        <f>IF('Entry Builder'!$N$9=0,1,IF('Entry Builder'!$D$9="Less",--(INDEX(Sims!$A1228:$BO1228,'Entry Builder'!$L$9)&lt;'Entry Builder'!$E$9),--(INDEX(Sims!$A1228:$BO1228,'Entry Builder'!$L$9)&gt;'Entry Builder'!$E$9)))</f>
        <v/>
      </c>
      <c r="D1228">
        <f>IF('Entry Builder'!$N$10=0,1,IF('Entry Builder'!$D$10="Less",--(INDEX(Sims!$A1228:$BO1228,'Entry Builder'!$L$10)&lt;'Entry Builder'!$E$10),--(INDEX(Sims!$A1228:$BO1228,'Entry Builder'!$L$10)&gt;'Entry Builder'!$E$10)))</f>
        <v/>
      </c>
      <c r="E1228">
        <f>IF('Entry Builder'!$N$11=0,1,IF('Entry Builder'!$D$11="Less",--(INDEX(Sims!$A1228:$BO1228,'Entry Builder'!$L$11)&lt;'Entry Builder'!$E$11),--(INDEX(Sims!$A1228:$BO1228,'Entry Builder'!$L$11)&gt;'Entry Builder'!$E$11)))</f>
        <v/>
      </c>
      <c r="F1228">
        <f>IF('Entry Builder'!$N$12=0,1,IF('Entry Builder'!$D$12="Less",--(INDEX(Sims!$A1228:$BO1228,'Entry Builder'!$L$12)&lt;'Entry Builder'!$E$12),--(INDEX(Sims!$A1228:$BO1228,'Entry Builder'!$L$12)&gt;'Entry Builder'!$E$12)))</f>
        <v/>
      </c>
      <c r="G1228">
        <f>6-SUM(A1228:F1228)</f>
        <v/>
      </c>
    </row>
    <row r="1229">
      <c r="A1229">
        <f>IF('Entry Builder'!$N$7=0,1,IF('Entry Builder'!$D$7="Less",--(INDEX(Sims!$A1229:$BO1229,'Entry Builder'!$L$7)&lt;'Entry Builder'!$E$7),--(INDEX(Sims!$A1229:$BO1229,'Entry Builder'!$L$7)&gt;'Entry Builder'!$E$7)))</f>
        <v/>
      </c>
      <c r="B1229">
        <f>IF('Entry Builder'!$N$8=0,1,IF('Entry Builder'!$D$8="Less",--(INDEX(Sims!$A1229:$BO1229,'Entry Builder'!$L$8)&lt;'Entry Builder'!$E$8),--(INDEX(Sims!$A1229:$BO1229,'Entry Builder'!$L$8)&gt;'Entry Builder'!$E$8)))</f>
        <v/>
      </c>
      <c r="C1229">
        <f>IF('Entry Builder'!$N$9=0,1,IF('Entry Builder'!$D$9="Less",--(INDEX(Sims!$A1229:$BO1229,'Entry Builder'!$L$9)&lt;'Entry Builder'!$E$9),--(INDEX(Sims!$A1229:$BO1229,'Entry Builder'!$L$9)&gt;'Entry Builder'!$E$9)))</f>
        <v/>
      </c>
      <c r="D1229">
        <f>IF('Entry Builder'!$N$10=0,1,IF('Entry Builder'!$D$10="Less",--(INDEX(Sims!$A1229:$BO1229,'Entry Builder'!$L$10)&lt;'Entry Builder'!$E$10),--(INDEX(Sims!$A1229:$BO1229,'Entry Builder'!$L$10)&gt;'Entry Builder'!$E$10)))</f>
        <v/>
      </c>
      <c r="E1229">
        <f>IF('Entry Builder'!$N$11=0,1,IF('Entry Builder'!$D$11="Less",--(INDEX(Sims!$A1229:$BO1229,'Entry Builder'!$L$11)&lt;'Entry Builder'!$E$11),--(INDEX(Sims!$A1229:$BO1229,'Entry Builder'!$L$11)&gt;'Entry Builder'!$E$11)))</f>
        <v/>
      </c>
      <c r="F1229">
        <f>IF('Entry Builder'!$N$12=0,1,IF('Entry Builder'!$D$12="Less",--(INDEX(Sims!$A1229:$BO1229,'Entry Builder'!$L$12)&lt;'Entry Builder'!$E$12),--(INDEX(Sims!$A1229:$BO1229,'Entry Builder'!$L$12)&gt;'Entry Builder'!$E$12)))</f>
        <v/>
      </c>
      <c r="G1229">
        <f>6-SUM(A1229:F1229)</f>
        <v/>
      </c>
    </row>
    <row r="1230">
      <c r="A1230">
        <f>IF('Entry Builder'!$N$7=0,1,IF('Entry Builder'!$D$7="Less",--(INDEX(Sims!$A1230:$BO1230,'Entry Builder'!$L$7)&lt;'Entry Builder'!$E$7),--(INDEX(Sims!$A1230:$BO1230,'Entry Builder'!$L$7)&gt;'Entry Builder'!$E$7)))</f>
        <v/>
      </c>
      <c r="B1230">
        <f>IF('Entry Builder'!$N$8=0,1,IF('Entry Builder'!$D$8="Less",--(INDEX(Sims!$A1230:$BO1230,'Entry Builder'!$L$8)&lt;'Entry Builder'!$E$8),--(INDEX(Sims!$A1230:$BO1230,'Entry Builder'!$L$8)&gt;'Entry Builder'!$E$8)))</f>
        <v/>
      </c>
      <c r="C1230">
        <f>IF('Entry Builder'!$N$9=0,1,IF('Entry Builder'!$D$9="Less",--(INDEX(Sims!$A1230:$BO1230,'Entry Builder'!$L$9)&lt;'Entry Builder'!$E$9),--(INDEX(Sims!$A1230:$BO1230,'Entry Builder'!$L$9)&gt;'Entry Builder'!$E$9)))</f>
        <v/>
      </c>
      <c r="D1230">
        <f>IF('Entry Builder'!$N$10=0,1,IF('Entry Builder'!$D$10="Less",--(INDEX(Sims!$A1230:$BO1230,'Entry Builder'!$L$10)&lt;'Entry Builder'!$E$10),--(INDEX(Sims!$A1230:$BO1230,'Entry Builder'!$L$10)&gt;'Entry Builder'!$E$10)))</f>
        <v/>
      </c>
      <c r="E1230">
        <f>IF('Entry Builder'!$N$11=0,1,IF('Entry Builder'!$D$11="Less",--(INDEX(Sims!$A1230:$BO1230,'Entry Builder'!$L$11)&lt;'Entry Builder'!$E$11),--(INDEX(Sims!$A1230:$BO1230,'Entry Builder'!$L$11)&gt;'Entry Builder'!$E$11)))</f>
        <v/>
      </c>
      <c r="F1230">
        <f>IF('Entry Builder'!$N$12=0,1,IF('Entry Builder'!$D$12="Less",--(INDEX(Sims!$A1230:$BO1230,'Entry Builder'!$L$12)&lt;'Entry Builder'!$E$12),--(INDEX(Sims!$A1230:$BO1230,'Entry Builder'!$L$12)&gt;'Entry Builder'!$E$12)))</f>
        <v/>
      </c>
      <c r="G1230">
        <f>6-SUM(A1230:F1230)</f>
        <v/>
      </c>
    </row>
    <row r="1231">
      <c r="A1231">
        <f>IF('Entry Builder'!$N$7=0,1,IF('Entry Builder'!$D$7="Less",--(INDEX(Sims!$A1231:$BO1231,'Entry Builder'!$L$7)&lt;'Entry Builder'!$E$7),--(INDEX(Sims!$A1231:$BO1231,'Entry Builder'!$L$7)&gt;'Entry Builder'!$E$7)))</f>
        <v/>
      </c>
      <c r="B1231">
        <f>IF('Entry Builder'!$N$8=0,1,IF('Entry Builder'!$D$8="Less",--(INDEX(Sims!$A1231:$BO1231,'Entry Builder'!$L$8)&lt;'Entry Builder'!$E$8),--(INDEX(Sims!$A1231:$BO1231,'Entry Builder'!$L$8)&gt;'Entry Builder'!$E$8)))</f>
        <v/>
      </c>
      <c r="C1231">
        <f>IF('Entry Builder'!$N$9=0,1,IF('Entry Builder'!$D$9="Less",--(INDEX(Sims!$A1231:$BO1231,'Entry Builder'!$L$9)&lt;'Entry Builder'!$E$9),--(INDEX(Sims!$A1231:$BO1231,'Entry Builder'!$L$9)&gt;'Entry Builder'!$E$9)))</f>
        <v/>
      </c>
      <c r="D1231">
        <f>IF('Entry Builder'!$N$10=0,1,IF('Entry Builder'!$D$10="Less",--(INDEX(Sims!$A1231:$BO1231,'Entry Builder'!$L$10)&lt;'Entry Builder'!$E$10),--(INDEX(Sims!$A1231:$BO1231,'Entry Builder'!$L$10)&gt;'Entry Builder'!$E$10)))</f>
        <v/>
      </c>
      <c r="E1231">
        <f>IF('Entry Builder'!$N$11=0,1,IF('Entry Builder'!$D$11="Less",--(INDEX(Sims!$A1231:$BO1231,'Entry Builder'!$L$11)&lt;'Entry Builder'!$E$11),--(INDEX(Sims!$A1231:$BO1231,'Entry Builder'!$L$11)&gt;'Entry Builder'!$E$11)))</f>
        <v/>
      </c>
      <c r="F1231">
        <f>IF('Entry Builder'!$N$12=0,1,IF('Entry Builder'!$D$12="Less",--(INDEX(Sims!$A1231:$BO1231,'Entry Builder'!$L$12)&lt;'Entry Builder'!$E$12),--(INDEX(Sims!$A1231:$BO1231,'Entry Builder'!$L$12)&gt;'Entry Builder'!$E$12)))</f>
        <v/>
      </c>
      <c r="G1231">
        <f>6-SUM(A1231:F1231)</f>
        <v/>
      </c>
    </row>
    <row r="1232">
      <c r="A1232">
        <f>IF('Entry Builder'!$N$7=0,1,IF('Entry Builder'!$D$7="Less",--(INDEX(Sims!$A1232:$BO1232,'Entry Builder'!$L$7)&lt;'Entry Builder'!$E$7),--(INDEX(Sims!$A1232:$BO1232,'Entry Builder'!$L$7)&gt;'Entry Builder'!$E$7)))</f>
        <v/>
      </c>
      <c r="B1232">
        <f>IF('Entry Builder'!$N$8=0,1,IF('Entry Builder'!$D$8="Less",--(INDEX(Sims!$A1232:$BO1232,'Entry Builder'!$L$8)&lt;'Entry Builder'!$E$8),--(INDEX(Sims!$A1232:$BO1232,'Entry Builder'!$L$8)&gt;'Entry Builder'!$E$8)))</f>
        <v/>
      </c>
      <c r="C1232">
        <f>IF('Entry Builder'!$N$9=0,1,IF('Entry Builder'!$D$9="Less",--(INDEX(Sims!$A1232:$BO1232,'Entry Builder'!$L$9)&lt;'Entry Builder'!$E$9),--(INDEX(Sims!$A1232:$BO1232,'Entry Builder'!$L$9)&gt;'Entry Builder'!$E$9)))</f>
        <v/>
      </c>
      <c r="D1232">
        <f>IF('Entry Builder'!$N$10=0,1,IF('Entry Builder'!$D$10="Less",--(INDEX(Sims!$A1232:$BO1232,'Entry Builder'!$L$10)&lt;'Entry Builder'!$E$10),--(INDEX(Sims!$A1232:$BO1232,'Entry Builder'!$L$10)&gt;'Entry Builder'!$E$10)))</f>
        <v/>
      </c>
      <c r="E1232">
        <f>IF('Entry Builder'!$N$11=0,1,IF('Entry Builder'!$D$11="Less",--(INDEX(Sims!$A1232:$BO1232,'Entry Builder'!$L$11)&lt;'Entry Builder'!$E$11),--(INDEX(Sims!$A1232:$BO1232,'Entry Builder'!$L$11)&gt;'Entry Builder'!$E$11)))</f>
        <v/>
      </c>
      <c r="F1232">
        <f>IF('Entry Builder'!$N$12=0,1,IF('Entry Builder'!$D$12="Less",--(INDEX(Sims!$A1232:$BO1232,'Entry Builder'!$L$12)&lt;'Entry Builder'!$E$12),--(INDEX(Sims!$A1232:$BO1232,'Entry Builder'!$L$12)&gt;'Entry Builder'!$E$12)))</f>
        <v/>
      </c>
      <c r="G1232">
        <f>6-SUM(A1232:F1232)</f>
        <v/>
      </c>
    </row>
    <row r="1233">
      <c r="A1233">
        <f>IF('Entry Builder'!$N$7=0,1,IF('Entry Builder'!$D$7="Less",--(INDEX(Sims!$A1233:$BO1233,'Entry Builder'!$L$7)&lt;'Entry Builder'!$E$7),--(INDEX(Sims!$A1233:$BO1233,'Entry Builder'!$L$7)&gt;'Entry Builder'!$E$7)))</f>
        <v/>
      </c>
      <c r="B1233">
        <f>IF('Entry Builder'!$N$8=0,1,IF('Entry Builder'!$D$8="Less",--(INDEX(Sims!$A1233:$BO1233,'Entry Builder'!$L$8)&lt;'Entry Builder'!$E$8),--(INDEX(Sims!$A1233:$BO1233,'Entry Builder'!$L$8)&gt;'Entry Builder'!$E$8)))</f>
        <v/>
      </c>
      <c r="C1233">
        <f>IF('Entry Builder'!$N$9=0,1,IF('Entry Builder'!$D$9="Less",--(INDEX(Sims!$A1233:$BO1233,'Entry Builder'!$L$9)&lt;'Entry Builder'!$E$9),--(INDEX(Sims!$A1233:$BO1233,'Entry Builder'!$L$9)&gt;'Entry Builder'!$E$9)))</f>
        <v/>
      </c>
      <c r="D1233">
        <f>IF('Entry Builder'!$N$10=0,1,IF('Entry Builder'!$D$10="Less",--(INDEX(Sims!$A1233:$BO1233,'Entry Builder'!$L$10)&lt;'Entry Builder'!$E$10),--(INDEX(Sims!$A1233:$BO1233,'Entry Builder'!$L$10)&gt;'Entry Builder'!$E$10)))</f>
        <v/>
      </c>
      <c r="E1233">
        <f>IF('Entry Builder'!$N$11=0,1,IF('Entry Builder'!$D$11="Less",--(INDEX(Sims!$A1233:$BO1233,'Entry Builder'!$L$11)&lt;'Entry Builder'!$E$11),--(INDEX(Sims!$A1233:$BO1233,'Entry Builder'!$L$11)&gt;'Entry Builder'!$E$11)))</f>
        <v/>
      </c>
      <c r="F1233">
        <f>IF('Entry Builder'!$N$12=0,1,IF('Entry Builder'!$D$12="Less",--(INDEX(Sims!$A1233:$BO1233,'Entry Builder'!$L$12)&lt;'Entry Builder'!$E$12),--(INDEX(Sims!$A1233:$BO1233,'Entry Builder'!$L$12)&gt;'Entry Builder'!$E$12)))</f>
        <v/>
      </c>
      <c r="G1233">
        <f>6-SUM(A1233:F1233)</f>
        <v/>
      </c>
    </row>
    <row r="1234">
      <c r="A1234">
        <f>IF('Entry Builder'!$N$7=0,1,IF('Entry Builder'!$D$7="Less",--(INDEX(Sims!$A1234:$BO1234,'Entry Builder'!$L$7)&lt;'Entry Builder'!$E$7),--(INDEX(Sims!$A1234:$BO1234,'Entry Builder'!$L$7)&gt;'Entry Builder'!$E$7)))</f>
        <v/>
      </c>
      <c r="B1234">
        <f>IF('Entry Builder'!$N$8=0,1,IF('Entry Builder'!$D$8="Less",--(INDEX(Sims!$A1234:$BO1234,'Entry Builder'!$L$8)&lt;'Entry Builder'!$E$8),--(INDEX(Sims!$A1234:$BO1234,'Entry Builder'!$L$8)&gt;'Entry Builder'!$E$8)))</f>
        <v/>
      </c>
      <c r="C1234">
        <f>IF('Entry Builder'!$N$9=0,1,IF('Entry Builder'!$D$9="Less",--(INDEX(Sims!$A1234:$BO1234,'Entry Builder'!$L$9)&lt;'Entry Builder'!$E$9),--(INDEX(Sims!$A1234:$BO1234,'Entry Builder'!$L$9)&gt;'Entry Builder'!$E$9)))</f>
        <v/>
      </c>
      <c r="D1234">
        <f>IF('Entry Builder'!$N$10=0,1,IF('Entry Builder'!$D$10="Less",--(INDEX(Sims!$A1234:$BO1234,'Entry Builder'!$L$10)&lt;'Entry Builder'!$E$10),--(INDEX(Sims!$A1234:$BO1234,'Entry Builder'!$L$10)&gt;'Entry Builder'!$E$10)))</f>
        <v/>
      </c>
      <c r="E1234">
        <f>IF('Entry Builder'!$N$11=0,1,IF('Entry Builder'!$D$11="Less",--(INDEX(Sims!$A1234:$BO1234,'Entry Builder'!$L$11)&lt;'Entry Builder'!$E$11),--(INDEX(Sims!$A1234:$BO1234,'Entry Builder'!$L$11)&gt;'Entry Builder'!$E$11)))</f>
        <v/>
      </c>
      <c r="F1234">
        <f>IF('Entry Builder'!$N$12=0,1,IF('Entry Builder'!$D$12="Less",--(INDEX(Sims!$A1234:$BO1234,'Entry Builder'!$L$12)&lt;'Entry Builder'!$E$12),--(INDEX(Sims!$A1234:$BO1234,'Entry Builder'!$L$12)&gt;'Entry Builder'!$E$12)))</f>
        <v/>
      </c>
      <c r="G1234">
        <f>6-SUM(A1234:F1234)</f>
        <v/>
      </c>
    </row>
    <row r="1235">
      <c r="A1235">
        <f>IF('Entry Builder'!$N$7=0,1,IF('Entry Builder'!$D$7="Less",--(INDEX(Sims!$A1235:$BO1235,'Entry Builder'!$L$7)&lt;'Entry Builder'!$E$7),--(INDEX(Sims!$A1235:$BO1235,'Entry Builder'!$L$7)&gt;'Entry Builder'!$E$7)))</f>
        <v/>
      </c>
      <c r="B1235">
        <f>IF('Entry Builder'!$N$8=0,1,IF('Entry Builder'!$D$8="Less",--(INDEX(Sims!$A1235:$BO1235,'Entry Builder'!$L$8)&lt;'Entry Builder'!$E$8),--(INDEX(Sims!$A1235:$BO1235,'Entry Builder'!$L$8)&gt;'Entry Builder'!$E$8)))</f>
        <v/>
      </c>
      <c r="C1235">
        <f>IF('Entry Builder'!$N$9=0,1,IF('Entry Builder'!$D$9="Less",--(INDEX(Sims!$A1235:$BO1235,'Entry Builder'!$L$9)&lt;'Entry Builder'!$E$9),--(INDEX(Sims!$A1235:$BO1235,'Entry Builder'!$L$9)&gt;'Entry Builder'!$E$9)))</f>
        <v/>
      </c>
      <c r="D1235">
        <f>IF('Entry Builder'!$N$10=0,1,IF('Entry Builder'!$D$10="Less",--(INDEX(Sims!$A1235:$BO1235,'Entry Builder'!$L$10)&lt;'Entry Builder'!$E$10),--(INDEX(Sims!$A1235:$BO1235,'Entry Builder'!$L$10)&gt;'Entry Builder'!$E$10)))</f>
        <v/>
      </c>
      <c r="E1235">
        <f>IF('Entry Builder'!$N$11=0,1,IF('Entry Builder'!$D$11="Less",--(INDEX(Sims!$A1235:$BO1235,'Entry Builder'!$L$11)&lt;'Entry Builder'!$E$11),--(INDEX(Sims!$A1235:$BO1235,'Entry Builder'!$L$11)&gt;'Entry Builder'!$E$11)))</f>
        <v/>
      </c>
      <c r="F1235">
        <f>IF('Entry Builder'!$N$12=0,1,IF('Entry Builder'!$D$12="Less",--(INDEX(Sims!$A1235:$BO1235,'Entry Builder'!$L$12)&lt;'Entry Builder'!$E$12),--(INDEX(Sims!$A1235:$BO1235,'Entry Builder'!$L$12)&gt;'Entry Builder'!$E$12)))</f>
        <v/>
      </c>
      <c r="G1235">
        <f>6-SUM(A1235:F1235)</f>
        <v/>
      </c>
    </row>
    <row r="1236">
      <c r="A1236">
        <f>IF('Entry Builder'!$N$7=0,1,IF('Entry Builder'!$D$7="Less",--(INDEX(Sims!$A1236:$BO1236,'Entry Builder'!$L$7)&lt;'Entry Builder'!$E$7),--(INDEX(Sims!$A1236:$BO1236,'Entry Builder'!$L$7)&gt;'Entry Builder'!$E$7)))</f>
        <v/>
      </c>
      <c r="B1236">
        <f>IF('Entry Builder'!$N$8=0,1,IF('Entry Builder'!$D$8="Less",--(INDEX(Sims!$A1236:$BO1236,'Entry Builder'!$L$8)&lt;'Entry Builder'!$E$8),--(INDEX(Sims!$A1236:$BO1236,'Entry Builder'!$L$8)&gt;'Entry Builder'!$E$8)))</f>
        <v/>
      </c>
      <c r="C1236">
        <f>IF('Entry Builder'!$N$9=0,1,IF('Entry Builder'!$D$9="Less",--(INDEX(Sims!$A1236:$BO1236,'Entry Builder'!$L$9)&lt;'Entry Builder'!$E$9),--(INDEX(Sims!$A1236:$BO1236,'Entry Builder'!$L$9)&gt;'Entry Builder'!$E$9)))</f>
        <v/>
      </c>
      <c r="D1236">
        <f>IF('Entry Builder'!$N$10=0,1,IF('Entry Builder'!$D$10="Less",--(INDEX(Sims!$A1236:$BO1236,'Entry Builder'!$L$10)&lt;'Entry Builder'!$E$10),--(INDEX(Sims!$A1236:$BO1236,'Entry Builder'!$L$10)&gt;'Entry Builder'!$E$10)))</f>
        <v/>
      </c>
      <c r="E1236">
        <f>IF('Entry Builder'!$N$11=0,1,IF('Entry Builder'!$D$11="Less",--(INDEX(Sims!$A1236:$BO1236,'Entry Builder'!$L$11)&lt;'Entry Builder'!$E$11),--(INDEX(Sims!$A1236:$BO1236,'Entry Builder'!$L$11)&gt;'Entry Builder'!$E$11)))</f>
        <v/>
      </c>
      <c r="F1236">
        <f>IF('Entry Builder'!$N$12=0,1,IF('Entry Builder'!$D$12="Less",--(INDEX(Sims!$A1236:$BO1236,'Entry Builder'!$L$12)&lt;'Entry Builder'!$E$12),--(INDEX(Sims!$A1236:$BO1236,'Entry Builder'!$L$12)&gt;'Entry Builder'!$E$12)))</f>
        <v/>
      </c>
      <c r="G1236">
        <f>6-SUM(A1236:F1236)</f>
        <v/>
      </c>
    </row>
    <row r="1237">
      <c r="A1237">
        <f>IF('Entry Builder'!$N$7=0,1,IF('Entry Builder'!$D$7="Less",--(INDEX(Sims!$A1237:$BO1237,'Entry Builder'!$L$7)&lt;'Entry Builder'!$E$7),--(INDEX(Sims!$A1237:$BO1237,'Entry Builder'!$L$7)&gt;'Entry Builder'!$E$7)))</f>
        <v/>
      </c>
      <c r="B1237">
        <f>IF('Entry Builder'!$N$8=0,1,IF('Entry Builder'!$D$8="Less",--(INDEX(Sims!$A1237:$BO1237,'Entry Builder'!$L$8)&lt;'Entry Builder'!$E$8),--(INDEX(Sims!$A1237:$BO1237,'Entry Builder'!$L$8)&gt;'Entry Builder'!$E$8)))</f>
        <v/>
      </c>
      <c r="C1237">
        <f>IF('Entry Builder'!$N$9=0,1,IF('Entry Builder'!$D$9="Less",--(INDEX(Sims!$A1237:$BO1237,'Entry Builder'!$L$9)&lt;'Entry Builder'!$E$9),--(INDEX(Sims!$A1237:$BO1237,'Entry Builder'!$L$9)&gt;'Entry Builder'!$E$9)))</f>
        <v/>
      </c>
      <c r="D1237">
        <f>IF('Entry Builder'!$N$10=0,1,IF('Entry Builder'!$D$10="Less",--(INDEX(Sims!$A1237:$BO1237,'Entry Builder'!$L$10)&lt;'Entry Builder'!$E$10),--(INDEX(Sims!$A1237:$BO1237,'Entry Builder'!$L$10)&gt;'Entry Builder'!$E$10)))</f>
        <v/>
      </c>
      <c r="E1237">
        <f>IF('Entry Builder'!$N$11=0,1,IF('Entry Builder'!$D$11="Less",--(INDEX(Sims!$A1237:$BO1237,'Entry Builder'!$L$11)&lt;'Entry Builder'!$E$11),--(INDEX(Sims!$A1237:$BO1237,'Entry Builder'!$L$11)&gt;'Entry Builder'!$E$11)))</f>
        <v/>
      </c>
      <c r="F1237">
        <f>IF('Entry Builder'!$N$12=0,1,IF('Entry Builder'!$D$12="Less",--(INDEX(Sims!$A1237:$BO1237,'Entry Builder'!$L$12)&lt;'Entry Builder'!$E$12),--(INDEX(Sims!$A1237:$BO1237,'Entry Builder'!$L$12)&gt;'Entry Builder'!$E$12)))</f>
        <v/>
      </c>
      <c r="G1237">
        <f>6-SUM(A1237:F1237)</f>
        <v/>
      </c>
    </row>
    <row r="1238">
      <c r="A1238">
        <f>IF('Entry Builder'!$N$7=0,1,IF('Entry Builder'!$D$7="Less",--(INDEX(Sims!$A1238:$BO1238,'Entry Builder'!$L$7)&lt;'Entry Builder'!$E$7),--(INDEX(Sims!$A1238:$BO1238,'Entry Builder'!$L$7)&gt;'Entry Builder'!$E$7)))</f>
        <v/>
      </c>
      <c r="B1238">
        <f>IF('Entry Builder'!$N$8=0,1,IF('Entry Builder'!$D$8="Less",--(INDEX(Sims!$A1238:$BO1238,'Entry Builder'!$L$8)&lt;'Entry Builder'!$E$8),--(INDEX(Sims!$A1238:$BO1238,'Entry Builder'!$L$8)&gt;'Entry Builder'!$E$8)))</f>
        <v/>
      </c>
      <c r="C1238">
        <f>IF('Entry Builder'!$N$9=0,1,IF('Entry Builder'!$D$9="Less",--(INDEX(Sims!$A1238:$BO1238,'Entry Builder'!$L$9)&lt;'Entry Builder'!$E$9),--(INDEX(Sims!$A1238:$BO1238,'Entry Builder'!$L$9)&gt;'Entry Builder'!$E$9)))</f>
        <v/>
      </c>
      <c r="D1238">
        <f>IF('Entry Builder'!$N$10=0,1,IF('Entry Builder'!$D$10="Less",--(INDEX(Sims!$A1238:$BO1238,'Entry Builder'!$L$10)&lt;'Entry Builder'!$E$10),--(INDEX(Sims!$A1238:$BO1238,'Entry Builder'!$L$10)&gt;'Entry Builder'!$E$10)))</f>
        <v/>
      </c>
      <c r="E1238">
        <f>IF('Entry Builder'!$N$11=0,1,IF('Entry Builder'!$D$11="Less",--(INDEX(Sims!$A1238:$BO1238,'Entry Builder'!$L$11)&lt;'Entry Builder'!$E$11),--(INDEX(Sims!$A1238:$BO1238,'Entry Builder'!$L$11)&gt;'Entry Builder'!$E$11)))</f>
        <v/>
      </c>
      <c r="F1238">
        <f>IF('Entry Builder'!$N$12=0,1,IF('Entry Builder'!$D$12="Less",--(INDEX(Sims!$A1238:$BO1238,'Entry Builder'!$L$12)&lt;'Entry Builder'!$E$12),--(INDEX(Sims!$A1238:$BO1238,'Entry Builder'!$L$12)&gt;'Entry Builder'!$E$12)))</f>
        <v/>
      </c>
      <c r="G1238">
        <f>6-SUM(A1238:F1238)</f>
        <v/>
      </c>
    </row>
    <row r="1239">
      <c r="A1239">
        <f>IF('Entry Builder'!$N$7=0,1,IF('Entry Builder'!$D$7="Less",--(INDEX(Sims!$A1239:$BO1239,'Entry Builder'!$L$7)&lt;'Entry Builder'!$E$7),--(INDEX(Sims!$A1239:$BO1239,'Entry Builder'!$L$7)&gt;'Entry Builder'!$E$7)))</f>
        <v/>
      </c>
      <c r="B1239">
        <f>IF('Entry Builder'!$N$8=0,1,IF('Entry Builder'!$D$8="Less",--(INDEX(Sims!$A1239:$BO1239,'Entry Builder'!$L$8)&lt;'Entry Builder'!$E$8),--(INDEX(Sims!$A1239:$BO1239,'Entry Builder'!$L$8)&gt;'Entry Builder'!$E$8)))</f>
        <v/>
      </c>
      <c r="C1239">
        <f>IF('Entry Builder'!$N$9=0,1,IF('Entry Builder'!$D$9="Less",--(INDEX(Sims!$A1239:$BO1239,'Entry Builder'!$L$9)&lt;'Entry Builder'!$E$9),--(INDEX(Sims!$A1239:$BO1239,'Entry Builder'!$L$9)&gt;'Entry Builder'!$E$9)))</f>
        <v/>
      </c>
      <c r="D1239">
        <f>IF('Entry Builder'!$N$10=0,1,IF('Entry Builder'!$D$10="Less",--(INDEX(Sims!$A1239:$BO1239,'Entry Builder'!$L$10)&lt;'Entry Builder'!$E$10),--(INDEX(Sims!$A1239:$BO1239,'Entry Builder'!$L$10)&gt;'Entry Builder'!$E$10)))</f>
        <v/>
      </c>
      <c r="E1239">
        <f>IF('Entry Builder'!$N$11=0,1,IF('Entry Builder'!$D$11="Less",--(INDEX(Sims!$A1239:$BO1239,'Entry Builder'!$L$11)&lt;'Entry Builder'!$E$11),--(INDEX(Sims!$A1239:$BO1239,'Entry Builder'!$L$11)&gt;'Entry Builder'!$E$11)))</f>
        <v/>
      </c>
      <c r="F1239">
        <f>IF('Entry Builder'!$N$12=0,1,IF('Entry Builder'!$D$12="Less",--(INDEX(Sims!$A1239:$BO1239,'Entry Builder'!$L$12)&lt;'Entry Builder'!$E$12),--(INDEX(Sims!$A1239:$BO1239,'Entry Builder'!$L$12)&gt;'Entry Builder'!$E$12)))</f>
        <v/>
      </c>
      <c r="G1239">
        <f>6-SUM(A1239:F1239)</f>
        <v/>
      </c>
    </row>
    <row r="1240">
      <c r="A1240">
        <f>IF('Entry Builder'!$N$7=0,1,IF('Entry Builder'!$D$7="Less",--(INDEX(Sims!$A1240:$BO1240,'Entry Builder'!$L$7)&lt;'Entry Builder'!$E$7),--(INDEX(Sims!$A1240:$BO1240,'Entry Builder'!$L$7)&gt;'Entry Builder'!$E$7)))</f>
        <v/>
      </c>
      <c r="B1240">
        <f>IF('Entry Builder'!$N$8=0,1,IF('Entry Builder'!$D$8="Less",--(INDEX(Sims!$A1240:$BO1240,'Entry Builder'!$L$8)&lt;'Entry Builder'!$E$8),--(INDEX(Sims!$A1240:$BO1240,'Entry Builder'!$L$8)&gt;'Entry Builder'!$E$8)))</f>
        <v/>
      </c>
      <c r="C1240">
        <f>IF('Entry Builder'!$N$9=0,1,IF('Entry Builder'!$D$9="Less",--(INDEX(Sims!$A1240:$BO1240,'Entry Builder'!$L$9)&lt;'Entry Builder'!$E$9),--(INDEX(Sims!$A1240:$BO1240,'Entry Builder'!$L$9)&gt;'Entry Builder'!$E$9)))</f>
        <v/>
      </c>
      <c r="D1240">
        <f>IF('Entry Builder'!$N$10=0,1,IF('Entry Builder'!$D$10="Less",--(INDEX(Sims!$A1240:$BO1240,'Entry Builder'!$L$10)&lt;'Entry Builder'!$E$10),--(INDEX(Sims!$A1240:$BO1240,'Entry Builder'!$L$10)&gt;'Entry Builder'!$E$10)))</f>
        <v/>
      </c>
      <c r="E1240">
        <f>IF('Entry Builder'!$N$11=0,1,IF('Entry Builder'!$D$11="Less",--(INDEX(Sims!$A1240:$BO1240,'Entry Builder'!$L$11)&lt;'Entry Builder'!$E$11),--(INDEX(Sims!$A1240:$BO1240,'Entry Builder'!$L$11)&gt;'Entry Builder'!$E$11)))</f>
        <v/>
      </c>
      <c r="F1240">
        <f>IF('Entry Builder'!$N$12=0,1,IF('Entry Builder'!$D$12="Less",--(INDEX(Sims!$A1240:$BO1240,'Entry Builder'!$L$12)&lt;'Entry Builder'!$E$12),--(INDEX(Sims!$A1240:$BO1240,'Entry Builder'!$L$12)&gt;'Entry Builder'!$E$12)))</f>
        <v/>
      </c>
      <c r="G1240">
        <f>6-SUM(A1240:F1240)</f>
        <v/>
      </c>
    </row>
    <row r="1241">
      <c r="A1241">
        <f>IF('Entry Builder'!$N$7=0,1,IF('Entry Builder'!$D$7="Less",--(INDEX(Sims!$A1241:$BO1241,'Entry Builder'!$L$7)&lt;'Entry Builder'!$E$7),--(INDEX(Sims!$A1241:$BO1241,'Entry Builder'!$L$7)&gt;'Entry Builder'!$E$7)))</f>
        <v/>
      </c>
      <c r="B1241">
        <f>IF('Entry Builder'!$N$8=0,1,IF('Entry Builder'!$D$8="Less",--(INDEX(Sims!$A1241:$BO1241,'Entry Builder'!$L$8)&lt;'Entry Builder'!$E$8),--(INDEX(Sims!$A1241:$BO1241,'Entry Builder'!$L$8)&gt;'Entry Builder'!$E$8)))</f>
        <v/>
      </c>
      <c r="C1241">
        <f>IF('Entry Builder'!$N$9=0,1,IF('Entry Builder'!$D$9="Less",--(INDEX(Sims!$A1241:$BO1241,'Entry Builder'!$L$9)&lt;'Entry Builder'!$E$9),--(INDEX(Sims!$A1241:$BO1241,'Entry Builder'!$L$9)&gt;'Entry Builder'!$E$9)))</f>
        <v/>
      </c>
      <c r="D1241">
        <f>IF('Entry Builder'!$N$10=0,1,IF('Entry Builder'!$D$10="Less",--(INDEX(Sims!$A1241:$BO1241,'Entry Builder'!$L$10)&lt;'Entry Builder'!$E$10),--(INDEX(Sims!$A1241:$BO1241,'Entry Builder'!$L$10)&gt;'Entry Builder'!$E$10)))</f>
        <v/>
      </c>
      <c r="E1241">
        <f>IF('Entry Builder'!$N$11=0,1,IF('Entry Builder'!$D$11="Less",--(INDEX(Sims!$A1241:$BO1241,'Entry Builder'!$L$11)&lt;'Entry Builder'!$E$11),--(INDEX(Sims!$A1241:$BO1241,'Entry Builder'!$L$11)&gt;'Entry Builder'!$E$11)))</f>
        <v/>
      </c>
      <c r="F1241">
        <f>IF('Entry Builder'!$N$12=0,1,IF('Entry Builder'!$D$12="Less",--(INDEX(Sims!$A1241:$BO1241,'Entry Builder'!$L$12)&lt;'Entry Builder'!$E$12),--(INDEX(Sims!$A1241:$BO1241,'Entry Builder'!$L$12)&gt;'Entry Builder'!$E$12)))</f>
        <v/>
      </c>
      <c r="G1241">
        <f>6-SUM(A1241:F1241)</f>
        <v/>
      </c>
    </row>
    <row r="1242">
      <c r="A1242">
        <f>IF('Entry Builder'!$N$7=0,1,IF('Entry Builder'!$D$7="Less",--(INDEX(Sims!$A1242:$BO1242,'Entry Builder'!$L$7)&lt;'Entry Builder'!$E$7),--(INDEX(Sims!$A1242:$BO1242,'Entry Builder'!$L$7)&gt;'Entry Builder'!$E$7)))</f>
        <v/>
      </c>
      <c r="B1242">
        <f>IF('Entry Builder'!$N$8=0,1,IF('Entry Builder'!$D$8="Less",--(INDEX(Sims!$A1242:$BO1242,'Entry Builder'!$L$8)&lt;'Entry Builder'!$E$8),--(INDEX(Sims!$A1242:$BO1242,'Entry Builder'!$L$8)&gt;'Entry Builder'!$E$8)))</f>
        <v/>
      </c>
      <c r="C1242">
        <f>IF('Entry Builder'!$N$9=0,1,IF('Entry Builder'!$D$9="Less",--(INDEX(Sims!$A1242:$BO1242,'Entry Builder'!$L$9)&lt;'Entry Builder'!$E$9),--(INDEX(Sims!$A1242:$BO1242,'Entry Builder'!$L$9)&gt;'Entry Builder'!$E$9)))</f>
        <v/>
      </c>
      <c r="D1242">
        <f>IF('Entry Builder'!$N$10=0,1,IF('Entry Builder'!$D$10="Less",--(INDEX(Sims!$A1242:$BO1242,'Entry Builder'!$L$10)&lt;'Entry Builder'!$E$10),--(INDEX(Sims!$A1242:$BO1242,'Entry Builder'!$L$10)&gt;'Entry Builder'!$E$10)))</f>
        <v/>
      </c>
      <c r="E1242">
        <f>IF('Entry Builder'!$N$11=0,1,IF('Entry Builder'!$D$11="Less",--(INDEX(Sims!$A1242:$BO1242,'Entry Builder'!$L$11)&lt;'Entry Builder'!$E$11),--(INDEX(Sims!$A1242:$BO1242,'Entry Builder'!$L$11)&gt;'Entry Builder'!$E$11)))</f>
        <v/>
      </c>
      <c r="F1242">
        <f>IF('Entry Builder'!$N$12=0,1,IF('Entry Builder'!$D$12="Less",--(INDEX(Sims!$A1242:$BO1242,'Entry Builder'!$L$12)&lt;'Entry Builder'!$E$12),--(INDEX(Sims!$A1242:$BO1242,'Entry Builder'!$L$12)&gt;'Entry Builder'!$E$12)))</f>
        <v/>
      </c>
      <c r="G1242">
        <f>6-SUM(A1242:F1242)</f>
        <v/>
      </c>
    </row>
    <row r="1243">
      <c r="A1243">
        <f>IF('Entry Builder'!$N$7=0,1,IF('Entry Builder'!$D$7="Less",--(INDEX(Sims!$A1243:$BO1243,'Entry Builder'!$L$7)&lt;'Entry Builder'!$E$7),--(INDEX(Sims!$A1243:$BO1243,'Entry Builder'!$L$7)&gt;'Entry Builder'!$E$7)))</f>
        <v/>
      </c>
      <c r="B1243">
        <f>IF('Entry Builder'!$N$8=0,1,IF('Entry Builder'!$D$8="Less",--(INDEX(Sims!$A1243:$BO1243,'Entry Builder'!$L$8)&lt;'Entry Builder'!$E$8),--(INDEX(Sims!$A1243:$BO1243,'Entry Builder'!$L$8)&gt;'Entry Builder'!$E$8)))</f>
        <v/>
      </c>
      <c r="C1243">
        <f>IF('Entry Builder'!$N$9=0,1,IF('Entry Builder'!$D$9="Less",--(INDEX(Sims!$A1243:$BO1243,'Entry Builder'!$L$9)&lt;'Entry Builder'!$E$9),--(INDEX(Sims!$A1243:$BO1243,'Entry Builder'!$L$9)&gt;'Entry Builder'!$E$9)))</f>
        <v/>
      </c>
      <c r="D1243">
        <f>IF('Entry Builder'!$N$10=0,1,IF('Entry Builder'!$D$10="Less",--(INDEX(Sims!$A1243:$BO1243,'Entry Builder'!$L$10)&lt;'Entry Builder'!$E$10),--(INDEX(Sims!$A1243:$BO1243,'Entry Builder'!$L$10)&gt;'Entry Builder'!$E$10)))</f>
        <v/>
      </c>
      <c r="E1243">
        <f>IF('Entry Builder'!$N$11=0,1,IF('Entry Builder'!$D$11="Less",--(INDEX(Sims!$A1243:$BO1243,'Entry Builder'!$L$11)&lt;'Entry Builder'!$E$11),--(INDEX(Sims!$A1243:$BO1243,'Entry Builder'!$L$11)&gt;'Entry Builder'!$E$11)))</f>
        <v/>
      </c>
      <c r="F1243">
        <f>IF('Entry Builder'!$N$12=0,1,IF('Entry Builder'!$D$12="Less",--(INDEX(Sims!$A1243:$BO1243,'Entry Builder'!$L$12)&lt;'Entry Builder'!$E$12),--(INDEX(Sims!$A1243:$BO1243,'Entry Builder'!$L$12)&gt;'Entry Builder'!$E$12)))</f>
        <v/>
      </c>
      <c r="G1243">
        <f>6-SUM(A1243:F1243)</f>
        <v/>
      </c>
    </row>
    <row r="1244">
      <c r="A1244">
        <f>IF('Entry Builder'!$N$7=0,1,IF('Entry Builder'!$D$7="Less",--(INDEX(Sims!$A1244:$BO1244,'Entry Builder'!$L$7)&lt;'Entry Builder'!$E$7),--(INDEX(Sims!$A1244:$BO1244,'Entry Builder'!$L$7)&gt;'Entry Builder'!$E$7)))</f>
        <v/>
      </c>
      <c r="B1244">
        <f>IF('Entry Builder'!$N$8=0,1,IF('Entry Builder'!$D$8="Less",--(INDEX(Sims!$A1244:$BO1244,'Entry Builder'!$L$8)&lt;'Entry Builder'!$E$8),--(INDEX(Sims!$A1244:$BO1244,'Entry Builder'!$L$8)&gt;'Entry Builder'!$E$8)))</f>
        <v/>
      </c>
      <c r="C1244">
        <f>IF('Entry Builder'!$N$9=0,1,IF('Entry Builder'!$D$9="Less",--(INDEX(Sims!$A1244:$BO1244,'Entry Builder'!$L$9)&lt;'Entry Builder'!$E$9),--(INDEX(Sims!$A1244:$BO1244,'Entry Builder'!$L$9)&gt;'Entry Builder'!$E$9)))</f>
        <v/>
      </c>
      <c r="D1244">
        <f>IF('Entry Builder'!$N$10=0,1,IF('Entry Builder'!$D$10="Less",--(INDEX(Sims!$A1244:$BO1244,'Entry Builder'!$L$10)&lt;'Entry Builder'!$E$10),--(INDEX(Sims!$A1244:$BO1244,'Entry Builder'!$L$10)&gt;'Entry Builder'!$E$10)))</f>
        <v/>
      </c>
      <c r="E1244">
        <f>IF('Entry Builder'!$N$11=0,1,IF('Entry Builder'!$D$11="Less",--(INDEX(Sims!$A1244:$BO1244,'Entry Builder'!$L$11)&lt;'Entry Builder'!$E$11),--(INDEX(Sims!$A1244:$BO1244,'Entry Builder'!$L$11)&gt;'Entry Builder'!$E$11)))</f>
        <v/>
      </c>
      <c r="F1244">
        <f>IF('Entry Builder'!$N$12=0,1,IF('Entry Builder'!$D$12="Less",--(INDEX(Sims!$A1244:$BO1244,'Entry Builder'!$L$12)&lt;'Entry Builder'!$E$12),--(INDEX(Sims!$A1244:$BO1244,'Entry Builder'!$L$12)&gt;'Entry Builder'!$E$12)))</f>
        <v/>
      </c>
      <c r="G1244">
        <f>6-SUM(A1244:F1244)</f>
        <v/>
      </c>
    </row>
    <row r="1245">
      <c r="A1245">
        <f>IF('Entry Builder'!$N$7=0,1,IF('Entry Builder'!$D$7="Less",--(INDEX(Sims!$A1245:$BO1245,'Entry Builder'!$L$7)&lt;'Entry Builder'!$E$7),--(INDEX(Sims!$A1245:$BO1245,'Entry Builder'!$L$7)&gt;'Entry Builder'!$E$7)))</f>
        <v/>
      </c>
      <c r="B1245">
        <f>IF('Entry Builder'!$N$8=0,1,IF('Entry Builder'!$D$8="Less",--(INDEX(Sims!$A1245:$BO1245,'Entry Builder'!$L$8)&lt;'Entry Builder'!$E$8),--(INDEX(Sims!$A1245:$BO1245,'Entry Builder'!$L$8)&gt;'Entry Builder'!$E$8)))</f>
        <v/>
      </c>
      <c r="C1245">
        <f>IF('Entry Builder'!$N$9=0,1,IF('Entry Builder'!$D$9="Less",--(INDEX(Sims!$A1245:$BO1245,'Entry Builder'!$L$9)&lt;'Entry Builder'!$E$9),--(INDEX(Sims!$A1245:$BO1245,'Entry Builder'!$L$9)&gt;'Entry Builder'!$E$9)))</f>
        <v/>
      </c>
      <c r="D1245">
        <f>IF('Entry Builder'!$N$10=0,1,IF('Entry Builder'!$D$10="Less",--(INDEX(Sims!$A1245:$BO1245,'Entry Builder'!$L$10)&lt;'Entry Builder'!$E$10),--(INDEX(Sims!$A1245:$BO1245,'Entry Builder'!$L$10)&gt;'Entry Builder'!$E$10)))</f>
        <v/>
      </c>
      <c r="E1245">
        <f>IF('Entry Builder'!$N$11=0,1,IF('Entry Builder'!$D$11="Less",--(INDEX(Sims!$A1245:$BO1245,'Entry Builder'!$L$11)&lt;'Entry Builder'!$E$11),--(INDEX(Sims!$A1245:$BO1245,'Entry Builder'!$L$11)&gt;'Entry Builder'!$E$11)))</f>
        <v/>
      </c>
      <c r="F1245">
        <f>IF('Entry Builder'!$N$12=0,1,IF('Entry Builder'!$D$12="Less",--(INDEX(Sims!$A1245:$BO1245,'Entry Builder'!$L$12)&lt;'Entry Builder'!$E$12),--(INDEX(Sims!$A1245:$BO1245,'Entry Builder'!$L$12)&gt;'Entry Builder'!$E$12)))</f>
        <v/>
      </c>
      <c r="G1245">
        <f>6-SUM(A1245:F1245)</f>
        <v/>
      </c>
    </row>
    <row r="1246">
      <c r="A1246">
        <f>IF('Entry Builder'!$N$7=0,1,IF('Entry Builder'!$D$7="Less",--(INDEX(Sims!$A1246:$BO1246,'Entry Builder'!$L$7)&lt;'Entry Builder'!$E$7),--(INDEX(Sims!$A1246:$BO1246,'Entry Builder'!$L$7)&gt;'Entry Builder'!$E$7)))</f>
        <v/>
      </c>
      <c r="B1246">
        <f>IF('Entry Builder'!$N$8=0,1,IF('Entry Builder'!$D$8="Less",--(INDEX(Sims!$A1246:$BO1246,'Entry Builder'!$L$8)&lt;'Entry Builder'!$E$8),--(INDEX(Sims!$A1246:$BO1246,'Entry Builder'!$L$8)&gt;'Entry Builder'!$E$8)))</f>
        <v/>
      </c>
      <c r="C1246">
        <f>IF('Entry Builder'!$N$9=0,1,IF('Entry Builder'!$D$9="Less",--(INDEX(Sims!$A1246:$BO1246,'Entry Builder'!$L$9)&lt;'Entry Builder'!$E$9),--(INDEX(Sims!$A1246:$BO1246,'Entry Builder'!$L$9)&gt;'Entry Builder'!$E$9)))</f>
        <v/>
      </c>
      <c r="D1246">
        <f>IF('Entry Builder'!$N$10=0,1,IF('Entry Builder'!$D$10="Less",--(INDEX(Sims!$A1246:$BO1246,'Entry Builder'!$L$10)&lt;'Entry Builder'!$E$10),--(INDEX(Sims!$A1246:$BO1246,'Entry Builder'!$L$10)&gt;'Entry Builder'!$E$10)))</f>
        <v/>
      </c>
      <c r="E1246">
        <f>IF('Entry Builder'!$N$11=0,1,IF('Entry Builder'!$D$11="Less",--(INDEX(Sims!$A1246:$BO1246,'Entry Builder'!$L$11)&lt;'Entry Builder'!$E$11),--(INDEX(Sims!$A1246:$BO1246,'Entry Builder'!$L$11)&gt;'Entry Builder'!$E$11)))</f>
        <v/>
      </c>
      <c r="F1246">
        <f>IF('Entry Builder'!$N$12=0,1,IF('Entry Builder'!$D$12="Less",--(INDEX(Sims!$A1246:$BO1246,'Entry Builder'!$L$12)&lt;'Entry Builder'!$E$12),--(INDEX(Sims!$A1246:$BO1246,'Entry Builder'!$L$12)&gt;'Entry Builder'!$E$12)))</f>
        <v/>
      </c>
      <c r="G1246">
        <f>6-SUM(A1246:F1246)</f>
        <v/>
      </c>
    </row>
    <row r="1247">
      <c r="A1247">
        <f>IF('Entry Builder'!$N$7=0,1,IF('Entry Builder'!$D$7="Less",--(INDEX(Sims!$A1247:$BO1247,'Entry Builder'!$L$7)&lt;'Entry Builder'!$E$7),--(INDEX(Sims!$A1247:$BO1247,'Entry Builder'!$L$7)&gt;'Entry Builder'!$E$7)))</f>
        <v/>
      </c>
      <c r="B1247">
        <f>IF('Entry Builder'!$N$8=0,1,IF('Entry Builder'!$D$8="Less",--(INDEX(Sims!$A1247:$BO1247,'Entry Builder'!$L$8)&lt;'Entry Builder'!$E$8),--(INDEX(Sims!$A1247:$BO1247,'Entry Builder'!$L$8)&gt;'Entry Builder'!$E$8)))</f>
        <v/>
      </c>
      <c r="C1247">
        <f>IF('Entry Builder'!$N$9=0,1,IF('Entry Builder'!$D$9="Less",--(INDEX(Sims!$A1247:$BO1247,'Entry Builder'!$L$9)&lt;'Entry Builder'!$E$9),--(INDEX(Sims!$A1247:$BO1247,'Entry Builder'!$L$9)&gt;'Entry Builder'!$E$9)))</f>
        <v/>
      </c>
      <c r="D1247">
        <f>IF('Entry Builder'!$N$10=0,1,IF('Entry Builder'!$D$10="Less",--(INDEX(Sims!$A1247:$BO1247,'Entry Builder'!$L$10)&lt;'Entry Builder'!$E$10),--(INDEX(Sims!$A1247:$BO1247,'Entry Builder'!$L$10)&gt;'Entry Builder'!$E$10)))</f>
        <v/>
      </c>
      <c r="E1247">
        <f>IF('Entry Builder'!$N$11=0,1,IF('Entry Builder'!$D$11="Less",--(INDEX(Sims!$A1247:$BO1247,'Entry Builder'!$L$11)&lt;'Entry Builder'!$E$11),--(INDEX(Sims!$A1247:$BO1247,'Entry Builder'!$L$11)&gt;'Entry Builder'!$E$11)))</f>
        <v/>
      </c>
      <c r="F1247">
        <f>IF('Entry Builder'!$N$12=0,1,IF('Entry Builder'!$D$12="Less",--(INDEX(Sims!$A1247:$BO1247,'Entry Builder'!$L$12)&lt;'Entry Builder'!$E$12),--(INDEX(Sims!$A1247:$BO1247,'Entry Builder'!$L$12)&gt;'Entry Builder'!$E$12)))</f>
        <v/>
      </c>
      <c r="G1247">
        <f>6-SUM(A1247:F1247)</f>
        <v/>
      </c>
    </row>
    <row r="1248">
      <c r="A1248">
        <f>IF('Entry Builder'!$N$7=0,1,IF('Entry Builder'!$D$7="Less",--(INDEX(Sims!$A1248:$BO1248,'Entry Builder'!$L$7)&lt;'Entry Builder'!$E$7),--(INDEX(Sims!$A1248:$BO1248,'Entry Builder'!$L$7)&gt;'Entry Builder'!$E$7)))</f>
        <v/>
      </c>
      <c r="B1248">
        <f>IF('Entry Builder'!$N$8=0,1,IF('Entry Builder'!$D$8="Less",--(INDEX(Sims!$A1248:$BO1248,'Entry Builder'!$L$8)&lt;'Entry Builder'!$E$8),--(INDEX(Sims!$A1248:$BO1248,'Entry Builder'!$L$8)&gt;'Entry Builder'!$E$8)))</f>
        <v/>
      </c>
      <c r="C1248">
        <f>IF('Entry Builder'!$N$9=0,1,IF('Entry Builder'!$D$9="Less",--(INDEX(Sims!$A1248:$BO1248,'Entry Builder'!$L$9)&lt;'Entry Builder'!$E$9),--(INDEX(Sims!$A1248:$BO1248,'Entry Builder'!$L$9)&gt;'Entry Builder'!$E$9)))</f>
        <v/>
      </c>
      <c r="D1248">
        <f>IF('Entry Builder'!$N$10=0,1,IF('Entry Builder'!$D$10="Less",--(INDEX(Sims!$A1248:$BO1248,'Entry Builder'!$L$10)&lt;'Entry Builder'!$E$10),--(INDEX(Sims!$A1248:$BO1248,'Entry Builder'!$L$10)&gt;'Entry Builder'!$E$10)))</f>
        <v/>
      </c>
      <c r="E1248">
        <f>IF('Entry Builder'!$N$11=0,1,IF('Entry Builder'!$D$11="Less",--(INDEX(Sims!$A1248:$BO1248,'Entry Builder'!$L$11)&lt;'Entry Builder'!$E$11),--(INDEX(Sims!$A1248:$BO1248,'Entry Builder'!$L$11)&gt;'Entry Builder'!$E$11)))</f>
        <v/>
      </c>
      <c r="F1248">
        <f>IF('Entry Builder'!$N$12=0,1,IF('Entry Builder'!$D$12="Less",--(INDEX(Sims!$A1248:$BO1248,'Entry Builder'!$L$12)&lt;'Entry Builder'!$E$12),--(INDEX(Sims!$A1248:$BO1248,'Entry Builder'!$L$12)&gt;'Entry Builder'!$E$12)))</f>
        <v/>
      </c>
      <c r="G1248">
        <f>6-SUM(A1248:F1248)</f>
        <v/>
      </c>
    </row>
    <row r="1249">
      <c r="A1249">
        <f>IF('Entry Builder'!$N$7=0,1,IF('Entry Builder'!$D$7="Less",--(INDEX(Sims!$A1249:$BO1249,'Entry Builder'!$L$7)&lt;'Entry Builder'!$E$7),--(INDEX(Sims!$A1249:$BO1249,'Entry Builder'!$L$7)&gt;'Entry Builder'!$E$7)))</f>
        <v/>
      </c>
      <c r="B1249">
        <f>IF('Entry Builder'!$N$8=0,1,IF('Entry Builder'!$D$8="Less",--(INDEX(Sims!$A1249:$BO1249,'Entry Builder'!$L$8)&lt;'Entry Builder'!$E$8),--(INDEX(Sims!$A1249:$BO1249,'Entry Builder'!$L$8)&gt;'Entry Builder'!$E$8)))</f>
        <v/>
      </c>
      <c r="C1249">
        <f>IF('Entry Builder'!$N$9=0,1,IF('Entry Builder'!$D$9="Less",--(INDEX(Sims!$A1249:$BO1249,'Entry Builder'!$L$9)&lt;'Entry Builder'!$E$9),--(INDEX(Sims!$A1249:$BO1249,'Entry Builder'!$L$9)&gt;'Entry Builder'!$E$9)))</f>
        <v/>
      </c>
      <c r="D1249">
        <f>IF('Entry Builder'!$N$10=0,1,IF('Entry Builder'!$D$10="Less",--(INDEX(Sims!$A1249:$BO1249,'Entry Builder'!$L$10)&lt;'Entry Builder'!$E$10),--(INDEX(Sims!$A1249:$BO1249,'Entry Builder'!$L$10)&gt;'Entry Builder'!$E$10)))</f>
        <v/>
      </c>
      <c r="E1249">
        <f>IF('Entry Builder'!$N$11=0,1,IF('Entry Builder'!$D$11="Less",--(INDEX(Sims!$A1249:$BO1249,'Entry Builder'!$L$11)&lt;'Entry Builder'!$E$11),--(INDEX(Sims!$A1249:$BO1249,'Entry Builder'!$L$11)&gt;'Entry Builder'!$E$11)))</f>
        <v/>
      </c>
      <c r="F1249">
        <f>IF('Entry Builder'!$N$12=0,1,IF('Entry Builder'!$D$12="Less",--(INDEX(Sims!$A1249:$BO1249,'Entry Builder'!$L$12)&lt;'Entry Builder'!$E$12),--(INDEX(Sims!$A1249:$BO1249,'Entry Builder'!$L$12)&gt;'Entry Builder'!$E$12)))</f>
        <v/>
      </c>
      <c r="G1249">
        <f>6-SUM(A1249:F1249)</f>
        <v/>
      </c>
    </row>
    <row r="1250">
      <c r="A1250">
        <f>IF('Entry Builder'!$N$7=0,1,IF('Entry Builder'!$D$7="Less",--(INDEX(Sims!$A1250:$BO1250,'Entry Builder'!$L$7)&lt;'Entry Builder'!$E$7),--(INDEX(Sims!$A1250:$BO1250,'Entry Builder'!$L$7)&gt;'Entry Builder'!$E$7)))</f>
        <v/>
      </c>
      <c r="B1250">
        <f>IF('Entry Builder'!$N$8=0,1,IF('Entry Builder'!$D$8="Less",--(INDEX(Sims!$A1250:$BO1250,'Entry Builder'!$L$8)&lt;'Entry Builder'!$E$8),--(INDEX(Sims!$A1250:$BO1250,'Entry Builder'!$L$8)&gt;'Entry Builder'!$E$8)))</f>
        <v/>
      </c>
      <c r="C1250">
        <f>IF('Entry Builder'!$N$9=0,1,IF('Entry Builder'!$D$9="Less",--(INDEX(Sims!$A1250:$BO1250,'Entry Builder'!$L$9)&lt;'Entry Builder'!$E$9),--(INDEX(Sims!$A1250:$BO1250,'Entry Builder'!$L$9)&gt;'Entry Builder'!$E$9)))</f>
        <v/>
      </c>
      <c r="D1250">
        <f>IF('Entry Builder'!$N$10=0,1,IF('Entry Builder'!$D$10="Less",--(INDEX(Sims!$A1250:$BO1250,'Entry Builder'!$L$10)&lt;'Entry Builder'!$E$10),--(INDEX(Sims!$A1250:$BO1250,'Entry Builder'!$L$10)&gt;'Entry Builder'!$E$10)))</f>
        <v/>
      </c>
      <c r="E1250">
        <f>IF('Entry Builder'!$N$11=0,1,IF('Entry Builder'!$D$11="Less",--(INDEX(Sims!$A1250:$BO1250,'Entry Builder'!$L$11)&lt;'Entry Builder'!$E$11),--(INDEX(Sims!$A1250:$BO1250,'Entry Builder'!$L$11)&gt;'Entry Builder'!$E$11)))</f>
        <v/>
      </c>
      <c r="F1250">
        <f>IF('Entry Builder'!$N$12=0,1,IF('Entry Builder'!$D$12="Less",--(INDEX(Sims!$A1250:$BO1250,'Entry Builder'!$L$12)&lt;'Entry Builder'!$E$12),--(INDEX(Sims!$A1250:$BO1250,'Entry Builder'!$L$12)&gt;'Entry Builder'!$E$12)))</f>
        <v/>
      </c>
      <c r="G1250">
        <f>6-SUM(A1250:F1250)</f>
        <v/>
      </c>
    </row>
    <row r="1251">
      <c r="A1251">
        <f>IF('Entry Builder'!$N$7=0,1,IF('Entry Builder'!$D$7="Less",--(INDEX(Sims!$A1251:$BO1251,'Entry Builder'!$L$7)&lt;'Entry Builder'!$E$7),--(INDEX(Sims!$A1251:$BO1251,'Entry Builder'!$L$7)&gt;'Entry Builder'!$E$7)))</f>
        <v/>
      </c>
      <c r="B1251">
        <f>IF('Entry Builder'!$N$8=0,1,IF('Entry Builder'!$D$8="Less",--(INDEX(Sims!$A1251:$BO1251,'Entry Builder'!$L$8)&lt;'Entry Builder'!$E$8),--(INDEX(Sims!$A1251:$BO1251,'Entry Builder'!$L$8)&gt;'Entry Builder'!$E$8)))</f>
        <v/>
      </c>
      <c r="C1251">
        <f>IF('Entry Builder'!$N$9=0,1,IF('Entry Builder'!$D$9="Less",--(INDEX(Sims!$A1251:$BO1251,'Entry Builder'!$L$9)&lt;'Entry Builder'!$E$9),--(INDEX(Sims!$A1251:$BO1251,'Entry Builder'!$L$9)&gt;'Entry Builder'!$E$9)))</f>
        <v/>
      </c>
      <c r="D1251">
        <f>IF('Entry Builder'!$N$10=0,1,IF('Entry Builder'!$D$10="Less",--(INDEX(Sims!$A1251:$BO1251,'Entry Builder'!$L$10)&lt;'Entry Builder'!$E$10),--(INDEX(Sims!$A1251:$BO1251,'Entry Builder'!$L$10)&gt;'Entry Builder'!$E$10)))</f>
        <v/>
      </c>
      <c r="E1251">
        <f>IF('Entry Builder'!$N$11=0,1,IF('Entry Builder'!$D$11="Less",--(INDEX(Sims!$A1251:$BO1251,'Entry Builder'!$L$11)&lt;'Entry Builder'!$E$11),--(INDEX(Sims!$A1251:$BO1251,'Entry Builder'!$L$11)&gt;'Entry Builder'!$E$11)))</f>
        <v/>
      </c>
      <c r="F1251">
        <f>IF('Entry Builder'!$N$12=0,1,IF('Entry Builder'!$D$12="Less",--(INDEX(Sims!$A1251:$BO1251,'Entry Builder'!$L$12)&lt;'Entry Builder'!$E$12),--(INDEX(Sims!$A1251:$BO1251,'Entry Builder'!$L$12)&gt;'Entry Builder'!$E$12)))</f>
        <v/>
      </c>
      <c r="G1251">
        <f>6-SUM(A1251:F1251)</f>
        <v/>
      </c>
    </row>
    <row r="1252">
      <c r="A1252">
        <f>IF('Entry Builder'!$N$7=0,1,IF('Entry Builder'!$D$7="Less",--(INDEX(Sims!$A1252:$BO1252,'Entry Builder'!$L$7)&lt;'Entry Builder'!$E$7),--(INDEX(Sims!$A1252:$BO1252,'Entry Builder'!$L$7)&gt;'Entry Builder'!$E$7)))</f>
        <v/>
      </c>
      <c r="B1252">
        <f>IF('Entry Builder'!$N$8=0,1,IF('Entry Builder'!$D$8="Less",--(INDEX(Sims!$A1252:$BO1252,'Entry Builder'!$L$8)&lt;'Entry Builder'!$E$8),--(INDEX(Sims!$A1252:$BO1252,'Entry Builder'!$L$8)&gt;'Entry Builder'!$E$8)))</f>
        <v/>
      </c>
      <c r="C1252">
        <f>IF('Entry Builder'!$N$9=0,1,IF('Entry Builder'!$D$9="Less",--(INDEX(Sims!$A1252:$BO1252,'Entry Builder'!$L$9)&lt;'Entry Builder'!$E$9),--(INDEX(Sims!$A1252:$BO1252,'Entry Builder'!$L$9)&gt;'Entry Builder'!$E$9)))</f>
        <v/>
      </c>
      <c r="D1252">
        <f>IF('Entry Builder'!$N$10=0,1,IF('Entry Builder'!$D$10="Less",--(INDEX(Sims!$A1252:$BO1252,'Entry Builder'!$L$10)&lt;'Entry Builder'!$E$10),--(INDEX(Sims!$A1252:$BO1252,'Entry Builder'!$L$10)&gt;'Entry Builder'!$E$10)))</f>
        <v/>
      </c>
      <c r="E1252">
        <f>IF('Entry Builder'!$N$11=0,1,IF('Entry Builder'!$D$11="Less",--(INDEX(Sims!$A1252:$BO1252,'Entry Builder'!$L$11)&lt;'Entry Builder'!$E$11),--(INDEX(Sims!$A1252:$BO1252,'Entry Builder'!$L$11)&gt;'Entry Builder'!$E$11)))</f>
        <v/>
      </c>
      <c r="F1252">
        <f>IF('Entry Builder'!$N$12=0,1,IF('Entry Builder'!$D$12="Less",--(INDEX(Sims!$A1252:$BO1252,'Entry Builder'!$L$12)&lt;'Entry Builder'!$E$12),--(INDEX(Sims!$A1252:$BO1252,'Entry Builder'!$L$12)&gt;'Entry Builder'!$E$12)))</f>
        <v/>
      </c>
      <c r="G1252">
        <f>6-SUM(A1252:F1252)</f>
        <v/>
      </c>
    </row>
    <row r="1253">
      <c r="A1253">
        <f>IF('Entry Builder'!$N$7=0,1,IF('Entry Builder'!$D$7="Less",--(INDEX(Sims!$A1253:$BO1253,'Entry Builder'!$L$7)&lt;'Entry Builder'!$E$7),--(INDEX(Sims!$A1253:$BO1253,'Entry Builder'!$L$7)&gt;'Entry Builder'!$E$7)))</f>
        <v/>
      </c>
      <c r="B1253">
        <f>IF('Entry Builder'!$N$8=0,1,IF('Entry Builder'!$D$8="Less",--(INDEX(Sims!$A1253:$BO1253,'Entry Builder'!$L$8)&lt;'Entry Builder'!$E$8),--(INDEX(Sims!$A1253:$BO1253,'Entry Builder'!$L$8)&gt;'Entry Builder'!$E$8)))</f>
        <v/>
      </c>
      <c r="C1253">
        <f>IF('Entry Builder'!$N$9=0,1,IF('Entry Builder'!$D$9="Less",--(INDEX(Sims!$A1253:$BO1253,'Entry Builder'!$L$9)&lt;'Entry Builder'!$E$9),--(INDEX(Sims!$A1253:$BO1253,'Entry Builder'!$L$9)&gt;'Entry Builder'!$E$9)))</f>
        <v/>
      </c>
      <c r="D1253">
        <f>IF('Entry Builder'!$N$10=0,1,IF('Entry Builder'!$D$10="Less",--(INDEX(Sims!$A1253:$BO1253,'Entry Builder'!$L$10)&lt;'Entry Builder'!$E$10),--(INDEX(Sims!$A1253:$BO1253,'Entry Builder'!$L$10)&gt;'Entry Builder'!$E$10)))</f>
        <v/>
      </c>
      <c r="E1253">
        <f>IF('Entry Builder'!$N$11=0,1,IF('Entry Builder'!$D$11="Less",--(INDEX(Sims!$A1253:$BO1253,'Entry Builder'!$L$11)&lt;'Entry Builder'!$E$11),--(INDEX(Sims!$A1253:$BO1253,'Entry Builder'!$L$11)&gt;'Entry Builder'!$E$11)))</f>
        <v/>
      </c>
      <c r="F1253">
        <f>IF('Entry Builder'!$N$12=0,1,IF('Entry Builder'!$D$12="Less",--(INDEX(Sims!$A1253:$BO1253,'Entry Builder'!$L$12)&lt;'Entry Builder'!$E$12),--(INDEX(Sims!$A1253:$BO1253,'Entry Builder'!$L$12)&gt;'Entry Builder'!$E$12)))</f>
        <v/>
      </c>
      <c r="G1253">
        <f>6-SUM(A1253:F1253)</f>
        <v/>
      </c>
    </row>
    <row r="1254">
      <c r="A1254">
        <f>IF('Entry Builder'!$N$7=0,1,IF('Entry Builder'!$D$7="Less",--(INDEX(Sims!$A1254:$BO1254,'Entry Builder'!$L$7)&lt;'Entry Builder'!$E$7),--(INDEX(Sims!$A1254:$BO1254,'Entry Builder'!$L$7)&gt;'Entry Builder'!$E$7)))</f>
        <v/>
      </c>
      <c r="B1254">
        <f>IF('Entry Builder'!$N$8=0,1,IF('Entry Builder'!$D$8="Less",--(INDEX(Sims!$A1254:$BO1254,'Entry Builder'!$L$8)&lt;'Entry Builder'!$E$8),--(INDEX(Sims!$A1254:$BO1254,'Entry Builder'!$L$8)&gt;'Entry Builder'!$E$8)))</f>
        <v/>
      </c>
      <c r="C1254">
        <f>IF('Entry Builder'!$N$9=0,1,IF('Entry Builder'!$D$9="Less",--(INDEX(Sims!$A1254:$BO1254,'Entry Builder'!$L$9)&lt;'Entry Builder'!$E$9),--(INDEX(Sims!$A1254:$BO1254,'Entry Builder'!$L$9)&gt;'Entry Builder'!$E$9)))</f>
        <v/>
      </c>
      <c r="D1254">
        <f>IF('Entry Builder'!$N$10=0,1,IF('Entry Builder'!$D$10="Less",--(INDEX(Sims!$A1254:$BO1254,'Entry Builder'!$L$10)&lt;'Entry Builder'!$E$10),--(INDEX(Sims!$A1254:$BO1254,'Entry Builder'!$L$10)&gt;'Entry Builder'!$E$10)))</f>
        <v/>
      </c>
      <c r="E1254">
        <f>IF('Entry Builder'!$N$11=0,1,IF('Entry Builder'!$D$11="Less",--(INDEX(Sims!$A1254:$BO1254,'Entry Builder'!$L$11)&lt;'Entry Builder'!$E$11),--(INDEX(Sims!$A1254:$BO1254,'Entry Builder'!$L$11)&gt;'Entry Builder'!$E$11)))</f>
        <v/>
      </c>
      <c r="F1254">
        <f>IF('Entry Builder'!$N$12=0,1,IF('Entry Builder'!$D$12="Less",--(INDEX(Sims!$A1254:$BO1254,'Entry Builder'!$L$12)&lt;'Entry Builder'!$E$12),--(INDEX(Sims!$A1254:$BO1254,'Entry Builder'!$L$12)&gt;'Entry Builder'!$E$12)))</f>
        <v/>
      </c>
      <c r="G1254">
        <f>6-SUM(A1254:F1254)</f>
        <v/>
      </c>
    </row>
    <row r="1255">
      <c r="A1255">
        <f>IF('Entry Builder'!$N$7=0,1,IF('Entry Builder'!$D$7="Less",--(INDEX(Sims!$A1255:$BO1255,'Entry Builder'!$L$7)&lt;'Entry Builder'!$E$7),--(INDEX(Sims!$A1255:$BO1255,'Entry Builder'!$L$7)&gt;'Entry Builder'!$E$7)))</f>
        <v/>
      </c>
      <c r="B1255">
        <f>IF('Entry Builder'!$N$8=0,1,IF('Entry Builder'!$D$8="Less",--(INDEX(Sims!$A1255:$BO1255,'Entry Builder'!$L$8)&lt;'Entry Builder'!$E$8),--(INDEX(Sims!$A1255:$BO1255,'Entry Builder'!$L$8)&gt;'Entry Builder'!$E$8)))</f>
        <v/>
      </c>
      <c r="C1255">
        <f>IF('Entry Builder'!$N$9=0,1,IF('Entry Builder'!$D$9="Less",--(INDEX(Sims!$A1255:$BO1255,'Entry Builder'!$L$9)&lt;'Entry Builder'!$E$9),--(INDEX(Sims!$A1255:$BO1255,'Entry Builder'!$L$9)&gt;'Entry Builder'!$E$9)))</f>
        <v/>
      </c>
      <c r="D1255">
        <f>IF('Entry Builder'!$N$10=0,1,IF('Entry Builder'!$D$10="Less",--(INDEX(Sims!$A1255:$BO1255,'Entry Builder'!$L$10)&lt;'Entry Builder'!$E$10),--(INDEX(Sims!$A1255:$BO1255,'Entry Builder'!$L$10)&gt;'Entry Builder'!$E$10)))</f>
        <v/>
      </c>
      <c r="E1255">
        <f>IF('Entry Builder'!$N$11=0,1,IF('Entry Builder'!$D$11="Less",--(INDEX(Sims!$A1255:$BO1255,'Entry Builder'!$L$11)&lt;'Entry Builder'!$E$11),--(INDEX(Sims!$A1255:$BO1255,'Entry Builder'!$L$11)&gt;'Entry Builder'!$E$11)))</f>
        <v/>
      </c>
      <c r="F1255">
        <f>IF('Entry Builder'!$N$12=0,1,IF('Entry Builder'!$D$12="Less",--(INDEX(Sims!$A1255:$BO1255,'Entry Builder'!$L$12)&lt;'Entry Builder'!$E$12),--(INDEX(Sims!$A1255:$BO1255,'Entry Builder'!$L$12)&gt;'Entry Builder'!$E$12)))</f>
        <v/>
      </c>
      <c r="G1255">
        <f>6-SUM(A1255:F1255)</f>
        <v/>
      </c>
    </row>
    <row r="1256">
      <c r="A1256">
        <f>IF('Entry Builder'!$N$7=0,1,IF('Entry Builder'!$D$7="Less",--(INDEX(Sims!$A1256:$BO1256,'Entry Builder'!$L$7)&lt;'Entry Builder'!$E$7),--(INDEX(Sims!$A1256:$BO1256,'Entry Builder'!$L$7)&gt;'Entry Builder'!$E$7)))</f>
        <v/>
      </c>
      <c r="B1256">
        <f>IF('Entry Builder'!$N$8=0,1,IF('Entry Builder'!$D$8="Less",--(INDEX(Sims!$A1256:$BO1256,'Entry Builder'!$L$8)&lt;'Entry Builder'!$E$8),--(INDEX(Sims!$A1256:$BO1256,'Entry Builder'!$L$8)&gt;'Entry Builder'!$E$8)))</f>
        <v/>
      </c>
      <c r="C1256">
        <f>IF('Entry Builder'!$N$9=0,1,IF('Entry Builder'!$D$9="Less",--(INDEX(Sims!$A1256:$BO1256,'Entry Builder'!$L$9)&lt;'Entry Builder'!$E$9),--(INDEX(Sims!$A1256:$BO1256,'Entry Builder'!$L$9)&gt;'Entry Builder'!$E$9)))</f>
        <v/>
      </c>
      <c r="D1256">
        <f>IF('Entry Builder'!$N$10=0,1,IF('Entry Builder'!$D$10="Less",--(INDEX(Sims!$A1256:$BO1256,'Entry Builder'!$L$10)&lt;'Entry Builder'!$E$10),--(INDEX(Sims!$A1256:$BO1256,'Entry Builder'!$L$10)&gt;'Entry Builder'!$E$10)))</f>
        <v/>
      </c>
      <c r="E1256">
        <f>IF('Entry Builder'!$N$11=0,1,IF('Entry Builder'!$D$11="Less",--(INDEX(Sims!$A1256:$BO1256,'Entry Builder'!$L$11)&lt;'Entry Builder'!$E$11),--(INDEX(Sims!$A1256:$BO1256,'Entry Builder'!$L$11)&gt;'Entry Builder'!$E$11)))</f>
        <v/>
      </c>
      <c r="F1256">
        <f>IF('Entry Builder'!$N$12=0,1,IF('Entry Builder'!$D$12="Less",--(INDEX(Sims!$A1256:$BO1256,'Entry Builder'!$L$12)&lt;'Entry Builder'!$E$12),--(INDEX(Sims!$A1256:$BO1256,'Entry Builder'!$L$12)&gt;'Entry Builder'!$E$12)))</f>
        <v/>
      </c>
      <c r="G1256">
        <f>6-SUM(A1256:F1256)</f>
        <v/>
      </c>
    </row>
    <row r="1257">
      <c r="A1257">
        <f>IF('Entry Builder'!$N$7=0,1,IF('Entry Builder'!$D$7="Less",--(INDEX(Sims!$A1257:$BO1257,'Entry Builder'!$L$7)&lt;'Entry Builder'!$E$7),--(INDEX(Sims!$A1257:$BO1257,'Entry Builder'!$L$7)&gt;'Entry Builder'!$E$7)))</f>
        <v/>
      </c>
      <c r="B1257">
        <f>IF('Entry Builder'!$N$8=0,1,IF('Entry Builder'!$D$8="Less",--(INDEX(Sims!$A1257:$BO1257,'Entry Builder'!$L$8)&lt;'Entry Builder'!$E$8),--(INDEX(Sims!$A1257:$BO1257,'Entry Builder'!$L$8)&gt;'Entry Builder'!$E$8)))</f>
        <v/>
      </c>
      <c r="C1257">
        <f>IF('Entry Builder'!$N$9=0,1,IF('Entry Builder'!$D$9="Less",--(INDEX(Sims!$A1257:$BO1257,'Entry Builder'!$L$9)&lt;'Entry Builder'!$E$9),--(INDEX(Sims!$A1257:$BO1257,'Entry Builder'!$L$9)&gt;'Entry Builder'!$E$9)))</f>
        <v/>
      </c>
      <c r="D1257">
        <f>IF('Entry Builder'!$N$10=0,1,IF('Entry Builder'!$D$10="Less",--(INDEX(Sims!$A1257:$BO1257,'Entry Builder'!$L$10)&lt;'Entry Builder'!$E$10),--(INDEX(Sims!$A1257:$BO1257,'Entry Builder'!$L$10)&gt;'Entry Builder'!$E$10)))</f>
        <v/>
      </c>
      <c r="E1257">
        <f>IF('Entry Builder'!$N$11=0,1,IF('Entry Builder'!$D$11="Less",--(INDEX(Sims!$A1257:$BO1257,'Entry Builder'!$L$11)&lt;'Entry Builder'!$E$11),--(INDEX(Sims!$A1257:$BO1257,'Entry Builder'!$L$11)&gt;'Entry Builder'!$E$11)))</f>
        <v/>
      </c>
      <c r="F1257">
        <f>IF('Entry Builder'!$N$12=0,1,IF('Entry Builder'!$D$12="Less",--(INDEX(Sims!$A1257:$BO1257,'Entry Builder'!$L$12)&lt;'Entry Builder'!$E$12),--(INDEX(Sims!$A1257:$BO1257,'Entry Builder'!$L$12)&gt;'Entry Builder'!$E$12)))</f>
        <v/>
      </c>
      <c r="G1257">
        <f>6-SUM(A1257:F1257)</f>
        <v/>
      </c>
    </row>
    <row r="1258">
      <c r="A1258">
        <f>IF('Entry Builder'!$N$7=0,1,IF('Entry Builder'!$D$7="Less",--(INDEX(Sims!$A1258:$BO1258,'Entry Builder'!$L$7)&lt;'Entry Builder'!$E$7),--(INDEX(Sims!$A1258:$BO1258,'Entry Builder'!$L$7)&gt;'Entry Builder'!$E$7)))</f>
        <v/>
      </c>
      <c r="B1258">
        <f>IF('Entry Builder'!$N$8=0,1,IF('Entry Builder'!$D$8="Less",--(INDEX(Sims!$A1258:$BO1258,'Entry Builder'!$L$8)&lt;'Entry Builder'!$E$8),--(INDEX(Sims!$A1258:$BO1258,'Entry Builder'!$L$8)&gt;'Entry Builder'!$E$8)))</f>
        <v/>
      </c>
      <c r="C1258">
        <f>IF('Entry Builder'!$N$9=0,1,IF('Entry Builder'!$D$9="Less",--(INDEX(Sims!$A1258:$BO1258,'Entry Builder'!$L$9)&lt;'Entry Builder'!$E$9),--(INDEX(Sims!$A1258:$BO1258,'Entry Builder'!$L$9)&gt;'Entry Builder'!$E$9)))</f>
        <v/>
      </c>
      <c r="D1258">
        <f>IF('Entry Builder'!$N$10=0,1,IF('Entry Builder'!$D$10="Less",--(INDEX(Sims!$A1258:$BO1258,'Entry Builder'!$L$10)&lt;'Entry Builder'!$E$10),--(INDEX(Sims!$A1258:$BO1258,'Entry Builder'!$L$10)&gt;'Entry Builder'!$E$10)))</f>
        <v/>
      </c>
      <c r="E1258">
        <f>IF('Entry Builder'!$N$11=0,1,IF('Entry Builder'!$D$11="Less",--(INDEX(Sims!$A1258:$BO1258,'Entry Builder'!$L$11)&lt;'Entry Builder'!$E$11),--(INDEX(Sims!$A1258:$BO1258,'Entry Builder'!$L$11)&gt;'Entry Builder'!$E$11)))</f>
        <v/>
      </c>
      <c r="F1258">
        <f>IF('Entry Builder'!$N$12=0,1,IF('Entry Builder'!$D$12="Less",--(INDEX(Sims!$A1258:$BO1258,'Entry Builder'!$L$12)&lt;'Entry Builder'!$E$12),--(INDEX(Sims!$A1258:$BO1258,'Entry Builder'!$L$12)&gt;'Entry Builder'!$E$12)))</f>
        <v/>
      </c>
      <c r="G1258">
        <f>6-SUM(A1258:F1258)</f>
        <v/>
      </c>
    </row>
    <row r="1259">
      <c r="A1259">
        <f>IF('Entry Builder'!$N$7=0,1,IF('Entry Builder'!$D$7="Less",--(INDEX(Sims!$A1259:$BO1259,'Entry Builder'!$L$7)&lt;'Entry Builder'!$E$7),--(INDEX(Sims!$A1259:$BO1259,'Entry Builder'!$L$7)&gt;'Entry Builder'!$E$7)))</f>
        <v/>
      </c>
      <c r="B1259">
        <f>IF('Entry Builder'!$N$8=0,1,IF('Entry Builder'!$D$8="Less",--(INDEX(Sims!$A1259:$BO1259,'Entry Builder'!$L$8)&lt;'Entry Builder'!$E$8),--(INDEX(Sims!$A1259:$BO1259,'Entry Builder'!$L$8)&gt;'Entry Builder'!$E$8)))</f>
        <v/>
      </c>
      <c r="C1259">
        <f>IF('Entry Builder'!$N$9=0,1,IF('Entry Builder'!$D$9="Less",--(INDEX(Sims!$A1259:$BO1259,'Entry Builder'!$L$9)&lt;'Entry Builder'!$E$9),--(INDEX(Sims!$A1259:$BO1259,'Entry Builder'!$L$9)&gt;'Entry Builder'!$E$9)))</f>
        <v/>
      </c>
      <c r="D1259">
        <f>IF('Entry Builder'!$N$10=0,1,IF('Entry Builder'!$D$10="Less",--(INDEX(Sims!$A1259:$BO1259,'Entry Builder'!$L$10)&lt;'Entry Builder'!$E$10),--(INDEX(Sims!$A1259:$BO1259,'Entry Builder'!$L$10)&gt;'Entry Builder'!$E$10)))</f>
        <v/>
      </c>
      <c r="E1259">
        <f>IF('Entry Builder'!$N$11=0,1,IF('Entry Builder'!$D$11="Less",--(INDEX(Sims!$A1259:$BO1259,'Entry Builder'!$L$11)&lt;'Entry Builder'!$E$11),--(INDEX(Sims!$A1259:$BO1259,'Entry Builder'!$L$11)&gt;'Entry Builder'!$E$11)))</f>
        <v/>
      </c>
      <c r="F1259">
        <f>IF('Entry Builder'!$N$12=0,1,IF('Entry Builder'!$D$12="Less",--(INDEX(Sims!$A1259:$BO1259,'Entry Builder'!$L$12)&lt;'Entry Builder'!$E$12),--(INDEX(Sims!$A1259:$BO1259,'Entry Builder'!$L$12)&gt;'Entry Builder'!$E$12)))</f>
        <v/>
      </c>
      <c r="G1259">
        <f>6-SUM(A1259:F1259)</f>
        <v/>
      </c>
    </row>
    <row r="1260">
      <c r="A1260">
        <f>IF('Entry Builder'!$N$7=0,1,IF('Entry Builder'!$D$7="Less",--(INDEX(Sims!$A1260:$BO1260,'Entry Builder'!$L$7)&lt;'Entry Builder'!$E$7),--(INDEX(Sims!$A1260:$BO1260,'Entry Builder'!$L$7)&gt;'Entry Builder'!$E$7)))</f>
        <v/>
      </c>
      <c r="B1260">
        <f>IF('Entry Builder'!$N$8=0,1,IF('Entry Builder'!$D$8="Less",--(INDEX(Sims!$A1260:$BO1260,'Entry Builder'!$L$8)&lt;'Entry Builder'!$E$8),--(INDEX(Sims!$A1260:$BO1260,'Entry Builder'!$L$8)&gt;'Entry Builder'!$E$8)))</f>
        <v/>
      </c>
      <c r="C1260">
        <f>IF('Entry Builder'!$N$9=0,1,IF('Entry Builder'!$D$9="Less",--(INDEX(Sims!$A1260:$BO1260,'Entry Builder'!$L$9)&lt;'Entry Builder'!$E$9),--(INDEX(Sims!$A1260:$BO1260,'Entry Builder'!$L$9)&gt;'Entry Builder'!$E$9)))</f>
        <v/>
      </c>
      <c r="D1260">
        <f>IF('Entry Builder'!$N$10=0,1,IF('Entry Builder'!$D$10="Less",--(INDEX(Sims!$A1260:$BO1260,'Entry Builder'!$L$10)&lt;'Entry Builder'!$E$10),--(INDEX(Sims!$A1260:$BO1260,'Entry Builder'!$L$10)&gt;'Entry Builder'!$E$10)))</f>
        <v/>
      </c>
      <c r="E1260">
        <f>IF('Entry Builder'!$N$11=0,1,IF('Entry Builder'!$D$11="Less",--(INDEX(Sims!$A1260:$BO1260,'Entry Builder'!$L$11)&lt;'Entry Builder'!$E$11),--(INDEX(Sims!$A1260:$BO1260,'Entry Builder'!$L$11)&gt;'Entry Builder'!$E$11)))</f>
        <v/>
      </c>
      <c r="F1260">
        <f>IF('Entry Builder'!$N$12=0,1,IF('Entry Builder'!$D$12="Less",--(INDEX(Sims!$A1260:$BO1260,'Entry Builder'!$L$12)&lt;'Entry Builder'!$E$12),--(INDEX(Sims!$A1260:$BO1260,'Entry Builder'!$L$12)&gt;'Entry Builder'!$E$12)))</f>
        <v/>
      </c>
      <c r="G1260">
        <f>6-SUM(A1260:F1260)</f>
        <v/>
      </c>
    </row>
    <row r="1261">
      <c r="A1261">
        <f>IF('Entry Builder'!$N$7=0,1,IF('Entry Builder'!$D$7="Less",--(INDEX(Sims!$A1261:$BO1261,'Entry Builder'!$L$7)&lt;'Entry Builder'!$E$7),--(INDEX(Sims!$A1261:$BO1261,'Entry Builder'!$L$7)&gt;'Entry Builder'!$E$7)))</f>
        <v/>
      </c>
      <c r="B1261">
        <f>IF('Entry Builder'!$N$8=0,1,IF('Entry Builder'!$D$8="Less",--(INDEX(Sims!$A1261:$BO1261,'Entry Builder'!$L$8)&lt;'Entry Builder'!$E$8),--(INDEX(Sims!$A1261:$BO1261,'Entry Builder'!$L$8)&gt;'Entry Builder'!$E$8)))</f>
        <v/>
      </c>
      <c r="C1261">
        <f>IF('Entry Builder'!$N$9=0,1,IF('Entry Builder'!$D$9="Less",--(INDEX(Sims!$A1261:$BO1261,'Entry Builder'!$L$9)&lt;'Entry Builder'!$E$9),--(INDEX(Sims!$A1261:$BO1261,'Entry Builder'!$L$9)&gt;'Entry Builder'!$E$9)))</f>
        <v/>
      </c>
      <c r="D1261">
        <f>IF('Entry Builder'!$N$10=0,1,IF('Entry Builder'!$D$10="Less",--(INDEX(Sims!$A1261:$BO1261,'Entry Builder'!$L$10)&lt;'Entry Builder'!$E$10),--(INDEX(Sims!$A1261:$BO1261,'Entry Builder'!$L$10)&gt;'Entry Builder'!$E$10)))</f>
        <v/>
      </c>
      <c r="E1261">
        <f>IF('Entry Builder'!$N$11=0,1,IF('Entry Builder'!$D$11="Less",--(INDEX(Sims!$A1261:$BO1261,'Entry Builder'!$L$11)&lt;'Entry Builder'!$E$11),--(INDEX(Sims!$A1261:$BO1261,'Entry Builder'!$L$11)&gt;'Entry Builder'!$E$11)))</f>
        <v/>
      </c>
      <c r="F1261">
        <f>IF('Entry Builder'!$N$12=0,1,IF('Entry Builder'!$D$12="Less",--(INDEX(Sims!$A1261:$BO1261,'Entry Builder'!$L$12)&lt;'Entry Builder'!$E$12),--(INDEX(Sims!$A1261:$BO1261,'Entry Builder'!$L$12)&gt;'Entry Builder'!$E$12)))</f>
        <v/>
      </c>
      <c r="G1261">
        <f>6-SUM(A1261:F1261)</f>
        <v/>
      </c>
    </row>
    <row r="1262">
      <c r="A1262">
        <f>IF('Entry Builder'!$N$7=0,1,IF('Entry Builder'!$D$7="Less",--(INDEX(Sims!$A1262:$BO1262,'Entry Builder'!$L$7)&lt;'Entry Builder'!$E$7),--(INDEX(Sims!$A1262:$BO1262,'Entry Builder'!$L$7)&gt;'Entry Builder'!$E$7)))</f>
        <v/>
      </c>
      <c r="B1262">
        <f>IF('Entry Builder'!$N$8=0,1,IF('Entry Builder'!$D$8="Less",--(INDEX(Sims!$A1262:$BO1262,'Entry Builder'!$L$8)&lt;'Entry Builder'!$E$8),--(INDEX(Sims!$A1262:$BO1262,'Entry Builder'!$L$8)&gt;'Entry Builder'!$E$8)))</f>
        <v/>
      </c>
      <c r="C1262">
        <f>IF('Entry Builder'!$N$9=0,1,IF('Entry Builder'!$D$9="Less",--(INDEX(Sims!$A1262:$BO1262,'Entry Builder'!$L$9)&lt;'Entry Builder'!$E$9),--(INDEX(Sims!$A1262:$BO1262,'Entry Builder'!$L$9)&gt;'Entry Builder'!$E$9)))</f>
        <v/>
      </c>
      <c r="D1262">
        <f>IF('Entry Builder'!$N$10=0,1,IF('Entry Builder'!$D$10="Less",--(INDEX(Sims!$A1262:$BO1262,'Entry Builder'!$L$10)&lt;'Entry Builder'!$E$10),--(INDEX(Sims!$A1262:$BO1262,'Entry Builder'!$L$10)&gt;'Entry Builder'!$E$10)))</f>
        <v/>
      </c>
      <c r="E1262">
        <f>IF('Entry Builder'!$N$11=0,1,IF('Entry Builder'!$D$11="Less",--(INDEX(Sims!$A1262:$BO1262,'Entry Builder'!$L$11)&lt;'Entry Builder'!$E$11),--(INDEX(Sims!$A1262:$BO1262,'Entry Builder'!$L$11)&gt;'Entry Builder'!$E$11)))</f>
        <v/>
      </c>
      <c r="F1262">
        <f>IF('Entry Builder'!$N$12=0,1,IF('Entry Builder'!$D$12="Less",--(INDEX(Sims!$A1262:$BO1262,'Entry Builder'!$L$12)&lt;'Entry Builder'!$E$12),--(INDEX(Sims!$A1262:$BO1262,'Entry Builder'!$L$12)&gt;'Entry Builder'!$E$12)))</f>
        <v/>
      </c>
      <c r="G1262">
        <f>6-SUM(A1262:F1262)</f>
        <v/>
      </c>
    </row>
    <row r="1263">
      <c r="A1263">
        <f>IF('Entry Builder'!$N$7=0,1,IF('Entry Builder'!$D$7="Less",--(INDEX(Sims!$A1263:$BO1263,'Entry Builder'!$L$7)&lt;'Entry Builder'!$E$7),--(INDEX(Sims!$A1263:$BO1263,'Entry Builder'!$L$7)&gt;'Entry Builder'!$E$7)))</f>
        <v/>
      </c>
      <c r="B1263">
        <f>IF('Entry Builder'!$N$8=0,1,IF('Entry Builder'!$D$8="Less",--(INDEX(Sims!$A1263:$BO1263,'Entry Builder'!$L$8)&lt;'Entry Builder'!$E$8),--(INDEX(Sims!$A1263:$BO1263,'Entry Builder'!$L$8)&gt;'Entry Builder'!$E$8)))</f>
        <v/>
      </c>
      <c r="C1263">
        <f>IF('Entry Builder'!$N$9=0,1,IF('Entry Builder'!$D$9="Less",--(INDEX(Sims!$A1263:$BO1263,'Entry Builder'!$L$9)&lt;'Entry Builder'!$E$9),--(INDEX(Sims!$A1263:$BO1263,'Entry Builder'!$L$9)&gt;'Entry Builder'!$E$9)))</f>
        <v/>
      </c>
      <c r="D1263">
        <f>IF('Entry Builder'!$N$10=0,1,IF('Entry Builder'!$D$10="Less",--(INDEX(Sims!$A1263:$BO1263,'Entry Builder'!$L$10)&lt;'Entry Builder'!$E$10),--(INDEX(Sims!$A1263:$BO1263,'Entry Builder'!$L$10)&gt;'Entry Builder'!$E$10)))</f>
        <v/>
      </c>
      <c r="E1263">
        <f>IF('Entry Builder'!$N$11=0,1,IF('Entry Builder'!$D$11="Less",--(INDEX(Sims!$A1263:$BO1263,'Entry Builder'!$L$11)&lt;'Entry Builder'!$E$11),--(INDEX(Sims!$A1263:$BO1263,'Entry Builder'!$L$11)&gt;'Entry Builder'!$E$11)))</f>
        <v/>
      </c>
      <c r="F1263">
        <f>IF('Entry Builder'!$N$12=0,1,IF('Entry Builder'!$D$12="Less",--(INDEX(Sims!$A1263:$BO1263,'Entry Builder'!$L$12)&lt;'Entry Builder'!$E$12),--(INDEX(Sims!$A1263:$BO1263,'Entry Builder'!$L$12)&gt;'Entry Builder'!$E$12)))</f>
        <v/>
      </c>
      <c r="G1263">
        <f>6-SUM(A1263:F1263)</f>
        <v/>
      </c>
    </row>
    <row r="1264">
      <c r="A1264">
        <f>IF('Entry Builder'!$N$7=0,1,IF('Entry Builder'!$D$7="Less",--(INDEX(Sims!$A1264:$BO1264,'Entry Builder'!$L$7)&lt;'Entry Builder'!$E$7),--(INDEX(Sims!$A1264:$BO1264,'Entry Builder'!$L$7)&gt;'Entry Builder'!$E$7)))</f>
        <v/>
      </c>
      <c r="B1264">
        <f>IF('Entry Builder'!$N$8=0,1,IF('Entry Builder'!$D$8="Less",--(INDEX(Sims!$A1264:$BO1264,'Entry Builder'!$L$8)&lt;'Entry Builder'!$E$8),--(INDEX(Sims!$A1264:$BO1264,'Entry Builder'!$L$8)&gt;'Entry Builder'!$E$8)))</f>
        <v/>
      </c>
      <c r="C1264">
        <f>IF('Entry Builder'!$N$9=0,1,IF('Entry Builder'!$D$9="Less",--(INDEX(Sims!$A1264:$BO1264,'Entry Builder'!$L$9)&lt;'Entry Builder'!$E$9),--(INDEX(Sims!$A1264:$BO1264,'Entry Builder'!$L$9)&gt;'Entry Builder'!$E$9)))</f>
        <v/>
      </c>
      <c r="D1264">
        <f>IF('Entry Builder'!$N$10=0,1,IF('Entry Builder'!$D$10="Less",--(INDEX(Sims!$A1264:$BO1264,'Entry Builder'!$L$10)&lt;'Entry Builder'!$E$10),--(INDEX(Sims!$A1264:$BO1264,'Entry Builder'!$L$10)&gt;'Entry Builder'!$E$10)))</f>
        <v/>
      </c>
      <c r="E1264">
        <f>IF('Entry Builder'!$N$11=0,1,IF('Entry Builder'!$D$11="Less",--(INDEX(Sims!$A1264:$BO1264,'Entry Builder'!$L$11)&lt;'Entry Builder'!$E$11),--(INDEX(Sims!$A1264:$BO1264,'Entry Builder'!$L$11)&gt;'Entry Builder'!$E$11)))</f>
        <v/>
      </c>
      <c r="F1264">
        <f>IF('Entry Builder'!$N$12=0,1,IF('Entry Builder'!$D$12="Less",--(INDEX(Sims!$A1264:$BO1264,'Entry Builder'!$L$12)&lt;'Entry Builder'!$E$12),--(INDEX(Sims!$A1264:$BO1264,'Entry Builder'!$L$12)&gt;'Entry Builder'!$E$12)))</f>
        <v/>
      </c>
      <c r="G1264">
        <f>6-SUM(A1264:F1264)</f>
        <v/>
      </c>
    </row>
    <row r="1265">
      <c r="A1265">
        <f>IF('Entry Builder'!$N$7=0,1,IF('Entry Builder'!$D$7="Less",--(INDEX(Sims!$A1265:$BO1265,'Entry Builder'!$L$7)&lt;'Entry Builder'!$E$7),--(INDEX(Sims!$A1265:$BO1265,'Entry Builder'!$L$7)&gt;'Entry Builder'!$E$7)))</f>
        <v/>
      </c>
      <c r="B1265">
        <f>IF('Entry Builder'!$N$8=0,1,IF('Entry Builder'!$D$8="Less",--(INDEX(Sims!$A1265:$BO1265,'Entry Builder'!$L$8)&lt;'Entry Builder'!$E$8),--(INDEX(Sims!$A1265:$BO1265,'Entry Builder'!$L$8)&gt;'Entry Builder'!$E$8)))</f>
        <v/>
      </c>
      <c r="C1265">
        <f>IF('Entry Builder'!$N$9=0,1,IF('Entry Builder'!$D$9="Less",--(INDEX(Sims!$A1265:$BO1265,'Entry Builder'!$L$9)&lt;'Entry Builder'!$E$9),--(INDEX(Sims!$A1265:$BO1265,'Entry Builder'!$L$9)&gt;'Entry Builder'!$E$9)))</f>
        <v/>
      </c>
      <c r="D1265">
        <f>IF('Entry Builder'!$N$10=0,1,IF('Entry Builder'!$D$10="Less",--(INDEX(Sims!$A1265:$BO1265,'Entry Builder'!$L$10)&lt;'Entry Builder'!$E$10),--(INDEX(Sims!$A1265:$BO1265,'Entry Builder'!$L$10)&gt;'Entry Builder'!$E$10)))</f>
        <v/>
      </c>
      <c r="E1265">
        <f>IF('Entry Builder'!$N$11=0,1,IF('Entry Builder'!$D$11="Less",--(INDEX(Sims!$A1265:$BO1265,'Entry Builder'!$L$11)&lt;'Entry Builder'!$E$11),--(INDEX(Sims!$A1265:$BO1265,'Entry Builder'!$L$11)&gt;'Entry Builder'!$E$11)))</f>
        <v/>
      </c>
      <c r="F1265">
        <f>IF('Entry Builder'!$N$12=0,1,IF('Entry Builder'!$D$12="Less",--(INDEX(Sims!$A1265:$BO1265,'Entry Builder'!$L$12)&lt;'Entry Builder'!$E$12),--(INDEX(Sims!$A1265:$BO1265,'Entry Builder'!$L$12)&gt;'Entry Builder'!$E$12)))</f>
        <v/>
      </c>
      <c r="G1265">
        <f>6-SUM(A1265:F1265)</f>
        <v/>
      </c>
    </row>
    <row r="1266">
      <c r="A1266">
        <f>IF('Entry Builder'!$N$7=0,1,IF('Entry Builder'!$D$7="Less",--(INDEX(Sims!$A1266:$BO1266,'Entry Builder'!$L$7)&lt;'Entry Builder'!$E$7),--(INDEX(Sims!$A1266:$BO1266,'Entry Builder'!$L$7)&gt;'Entry Builder'!$E$7)))</f>
        <v/>
      </c>
      <c r="B1266">
        <f>IF('Entry Builder'!$N$8=0,1,IF('Entry Builder'!$D$8="Less",--(INDEX(Sims!$A1266:$BO1266,'Entry Builder'!$L$8)&lt;'Entry Builder'!$E$8),--(INDEX(Sims!$A1266:$BO1266,'Entry Builder'!$L$8)&gt;'Entry Builder'!$E$8)))</f>
        <v/>
      </c>
      <c r="C1266">
        <f>IF('Entry Builder'!$N$9=0,1,IF('Entry Builder'!$D$9="Less",--(INDEX(Sims!$A1266:$BO1266,'Entry Builder'!$L$9)&lt;'Entry Builder'!$E$9),--(INDEX(Sims!$A1266:$BO1266,'Entry Builder'!$L$9)&gt;'Entry Builder'!$E$9)))</f>
        <v/>
      </c>
      <c r="D1266">
        <f>IF('Entry Builder'!$N$10=0,1,IF('Entry Builder'!$D$10="Less",--(INDEX(Sims!$A1266:$BO1266,'Entry Builder'!$L$10)&lt;'Entry Builder'!$E$10),--(INDEX(Sims!$A1266:$BO1266,'Entry Builder'!$L$10)&gt;'Entry Builder'!$E$10)))</f>
        <v/>
      </c>
      <c r="E1266">
        <f>IF('Entry Builder'!$N$11=0,1,IF('Entry Builder'!$D$11="Less",--(INDEX(Sims!$A1266:$BO1266,'Entry Builder'!$L$11)&lt;'Entry Builder'!$E$11),--(INDEX(Sims!$A1266:$BO1266,'Entry Builder'!$L$11)&gt;'Entry Builder'!$E$11)))</f>
        <v/>
      </c>
      <c r="F1266">
        <f>IF('Entry Builder'!$N$12=0,1,IF('Entry Builder'!$D$12="Less",--(INDEX(Sims!$A1266:$BO1266,'Entry Builder'!$L$12)&lt;'Entry Builder'!$E$12),--(INDEX(Sims!$A1266:$BO1266,'Entry Builder'!$L$12)&gt;'Entry Builder'!$E$12)))</f>
        <v/>
      </c>
      <c r="G1266">
        <f>6-SUM(A1266:F1266)</f>
        <v/>
      </c>
    </row>
    <row r="1267">
      <c r="A1267">
        <f>IF('Entry Builder'!$N$7=0,1,IF('Entry Builder'!$D$7="Less",--(INDEX(Sims!$A1267:$BO1267,'Entry Builder'!$L$7)&lt;'Entry Builder'!$E$7),--(INDEX(Sims!$A1267:$BO1267,'Entry Builder'!$L$7)&gt;'Entry Builder'!$E$7)))</f>
        <v/>
      </c>
      <c r="B1267">
        <f>IF('Entry Builder'!$N$8=0,1,IF('Entry Builder'!$D$8="Less",--(INDEX(Sims!$A1267:$BO1267,'Entry Builder'!$L$8)&lt;'Entry Builder'!$E$8),--(INDEX(Sims!$A1267:$BO1267,'Entry Builder'!$L$8)&gt;'Entry Builder'!$E$8)))</f>
        <v/>
      </c>
      <c r="C1267">
        <f>IF('Entry Builder'!$N$9=0,1,IF('Entry Builder'!$D$9="Less",--(INDEX(Sims!$A1267:$BO1267,'Entry Builder'!$L$9)&lt;'Entry Builder'!$E$9),--(INDEX(Sims!$A1267:$BO1267,'Entry Builder'!$L$9)&gt;'Entry Builder'!$E$9)))</f>
        <v/>
      </c>
      <c r="D1267">
        <f>IF('Entry Builder'!$N$10=0,1,IF('Entry Builder'!$D$10="Less",--(INDEX(Sims!$A1267:$BO1267,'Entry Builder'!$L$10)&lt;'Entry Builder'!$E$10),--(INDEX(Sims!$A1267:$BO1267,'Entry Builder'!$L$10)&gt;'Entry Builder'!$E$10)))</f>
        <v/>
      </c>
      <c r="E1267">
        <f>IF('Entry Builder'!$N$11=0,1,IF('Entry Builder'!$D$11="Less",--(INDEX(Sims!$A1267:$BO1267,'Entry Builder'!$L$11)&lt;'Entry Builder'!$E$11),--(INDEX(Sims!$A1267:$BO1267,'Entry Builder'!$L$11)&gt;'Entry Builder'!$E$11)))</f>
        <v/>
      </c>
      <c r="F1267">
        <f>IF('Entry Builder'!$N$12=0,1,IF('Entry Builder'!$D$12="Less",--(INDEX(Sims!$A1267:$BO1267,'Entry Builder'!$L$12)&lt;'Entry Builder'!$E$12),--(INDEX(Sims!$A1267:$BO1267,'Entry Builder'!$L$12)&gt;'Entry Builder'!$E$12)))</f>
        <v/>
      </c>
      <c r="G1267">
        <f>6-SUM(A1267:F1267)</f>
        <v/>
      </c>
    </row>
    <row r="1268">
      <c r="A1268">
        <f>IF('Entry Builder'!$N$7=0,1,IF('Entry Builder'!$D$7="Less",--(INDEX(Sims!$A1268:$BO1268,'Entry Builder'!$L$7)&lt;'Entry Builder'!$E$7),--(INDEX(Sims!$A1268:$BO1268,'Entry Builder'!$L$7)&gt;'Entry Builder'!$E$7)))</f>
        <v/>
      </c>
      <c r="B1268">
        <f>IF('Entry Builder'!$N$8=0,1,IF('Entry Builder'!$D$8="Less",--(INDEX(Sims!$A1268:$BO1268,'Entry Builder'!$L$8)&lt;'Entry Builder'!$E$8),--(INDEX(Sims!$A1268:$BO1268,'Entry Builder'!$L$8)&gt;'Entry Builder'!$E$8)))</f>
        <v/>
      </c>
      <c r="C1268">
        <f>IF('Entry Builder'!$N$9=0,1,IF('Entry Builder'!$D$9="Less",--(INDEX(Sims!$A1268:$BO1268,'Entry Builder'!$L$9)&lt;'Entry Builder'!$E$9),--(INDEX(Sims!$A1268:$BO1268,'Entry Builder'!$L$9)&gt;'Entry Builder'!$E$9)))</f>
        <v/>
      </c>
      <c r="D1268">
        <f>IF('Entry Builder'!$N$10=0,1,IF('Entry Builder'!$D$10="Less",--(INDEX(Sims!$A1268:$BO1268,'Entry Builder'!$L$10)&lt;'Entry Builder'!$E$10),--(INDEX(Sims!$A1268:$BO1268,'Entry Builder'!$L$10)&gt;'Entry Builder'!$E$10)))</f>
        <v/>
      </c>
      <c r="E1268">
        <f>IF('Entry Builder'!$N$11=0,1,IF('Entry Builder'!$D$11="Less",--(INDEX(Sims!$A1268:$BO1268,'Entry Builder'!$L$11)&lt;'Entry Builder'!$E$11),--(INDEX(Sims!$A1268:$BO1268,'Entry Builder'!$L$11)&gt;'Entry Builder'!$E$11)))</f>
        <v/>
      </c>
      <c r="F1268">
        <f>IF('Entry Builder'!$N$12=0,1,IF('Entry Builder'!$D$12="Less",--(INDEX(Sims!$A1268:$BO1268,'Entry Builder'!$L$12)&lt;'Entry Builder'!$E$12),--(INDEX(Sims!$A1268:$BO1268,'Entry Builder'!$L$12)&gt;'Entry Builder'!$E$12)))</f>
        <v/>
      </c>
      <c r="G1268">
        <f>6-SUM(A1268:F1268)</f>
        <v/>
      </c>
    </row>
    <row r="1269">
      <c r="A1269">
        <f>IF('Entry Builder'!$N$7=0,1,IF('Entry Builder'!$D$7="Less",--(INDEX(Sims!$A1269:$BO1269,'Entry Builder'!$L$7)&lt;'Entry Builder'!$E$7),--(INDEX(Sims!$A1269:$BO1269,'Entry Builder'!$L$7)&gt;'Entry Builder'!$E$7)))</f>
        <v/>
      </c>
      <c r="B1269">
        <f>IF('Entry Builder'!$N$8=0,1,IF('Entry Builder'!$D$8="Less",--(INDEX(Sims!$A1269:$BO1269,'Entry Builder'!$L$8)&lt;'Entry Builder'!$E$8),--(INDEX(Sims!$A1269:$BO1269,'Entry Builder'!$L$8)&gt;'Entry Builder'!$E$8)))</f>
        <v/>
      </c>
      <c r="C1269">
        <f>IF('Entry Builder'!$N$9=0,1,IF('Entry Builder'!$D$9="Less",--(INDEX(Sims!$A1269:$BO1269,'Entry Builder'!$L$9)&lt;'Entry Builder'!$E$9),--(INDEX(Sims!$A1269:$BO1269,'Entry Builder'!$L$9)&gt;'Entry Builder'!$E$9)))</f>
        <v/>
      </c>
      <c r="D1269">
        <f>IF('Entry Builder'!$N$10=0,1,IF('Entry Builder'!$D$10="Less",--(INDEX(Sims!$A1269:$BO1269,'Entry Builder'!$L$10)&lt;'Entry Builder'!$E$10),--(INDEX(Sims!$A1269:$BO1269,'Entry Builder'!$L$10)&gt;'Entry Builder'!$E$10)))</f>
        <v/>
      </c>
      <c r="E1269">
        <f>IF('Entry Builder'!$N$11=0,1,IF('Entry Builder'!$D$11="Less",--(INDEX(Sims!$A1269:$BO1269,'Entry Builder'!$L$11)&lt;'Entry Builder'!$E$11),--(INDEX(Sims!$A1269:$BO1269,'Entry Builder'!$L$11)&gt;'Entry Builder'!$E$11)))</f>
        <v/>
      </c>
      <c r="F1269">
        <f>IF('Entry Builder'!$N$12=0,1,IF('Entry Builder'!$D$12="Less",--(INDEX(Sims!$A1269:$BO1269,'Entry Builder'!$L$12)&lt;'Entry Builder'!$E$12),--(INDEX(Sims!$A1269:$BO1269,'Entry Builder'!$L$12)&gt;'Entry Builder'!$E$12)))</f>
        <v/>
      </c>
      <c r="G1269">
        <f>6-SUM(A1269:F1269)</f>
        <v/>
      </c>
    </row>
    <row r="1270">
      <c r="A1270">
        <f>IF('Entry Builder'!$N$7=0,1,IF('Entry Builder'!$D$7="Less",--(INDEX(Sims!$A1270:$BO1270,'Entry Builder'!$L$7)&lt;'Entry Builder'!$E$7),--(INDEX(Sims!$A1270:$BO1270,'Entry Builder'!$L$7)&gt;'Entry Builder'!$E$7)))</f>
        <v/>
      </c>
      <c r="B1270">
        <f>IF('Entry Builder'!$N$8=0,1,IF('Entry Builder'!$D$8="Less",--(INDEX(Sims!$A1270:$BO1270,'Entry Builder'!$L$8)&lt;'Entry Builder'!$E$8),--(INDEX(Sims!$A1270:$BO1270,'Entry Builder'!$L$8)&gt;'Entry Builder'!$E$8)))</f>
        <v/>
      </c>
      <c r="C1270">
        <f>IF('Entry Builder'!$N$9=0,1,IF('Entry Builder'!$D$9="Less",--(INDEX(Sims!$A1270:$BO1270,'Entry Builder'!$L$9)&lt;'Entry Builder'!$E$9),--(INDEX(Sims!$A1270:$BO1270,'Entry Builder'!$L$9)&gt;'Entry Builder'!$E$9)))</f>
        <v/>
      </c>
      <c r="D1270">
        <f>IF('Entry Builder'!$N$10=0,1,IF('Entry Builder'!$D$10="Less",--(INDEX(Sims!$A1270:$BO1270,'Entry Builder'!$L$10)&lt;'Entry Builder'!$E$10),--(INDEX(Sims!$A1270:$BO1270,'Entry Builder'!$L$10)&gt;'Entry Builder'!$E$10)))</f>
        <v/>
      </c>
      <c r="E1270">
        <f>IF('Entry Builder'!$N$11=0,1,IF('Entry Builder'!$D$11="Less",--(INDEX(Sims!$A1270:$BO1270,'Entry Builder'!$L$11)&lt;'Entry Builder'!$E$11),--(INDEX(Sims!$A1270:$BO1270,'Entry Builder'!$L$11)&gt;'Entry Builder'!$E$11)))</f>
        <v/>
      </c>
      <c r="F1270">
        <f>IF('Entry Builder'!$N$12=0,1,IF('Entry Builder'!$D$12="Less",--(INDEX(Sims!$A1270:$BO1270,'Entry Builder'!$L$12)&lt;'Entry Builder'!$E$12),--(INDEX(Sims!$A1270:$BO1270,'Entry Builder'!$L$12)&gt;'Entry Builder'!$E$12)))</f>
        <v/>
      </c>
      <c r="G1270">
        <f>6-SUM(A1270:F1270)</f>
        <v/>
      </c>
    </row>
    <row r="1271">
      <c r="A1271">
        <f>IF('Entry Builder'!$N$7=0,1,IF('Entry Builder'!$D$7="Less",--(INDEX(Sims!$A1271:$BO1271,'Entry Builder'!$L$7)&lt;'Entry Builder'!$E$7),--(INDEX(Sims!$A1271:$BO1271,'Entry Builder'!$L$7)&gt;'Entry Builder'!$E$7)))</f>
        <v/>
      </c>
      <c r="B1271">
        <f>IF('Entry Builder'!$N$8=0,1,IF('Entry Builder'!$D$8="Less",--(INDEX(Sims!$A1271:$BO1271,'Entry Builder'!$L$8)&lt;'Entry Builder'!$E$8),--(INDEX(Sims!$A1271:$BO1271,'Entry Builder'!$L$8)&gt;'Entry Builder'!$E$8)))</f>
        <v/>
      </c>
      <c r="C1271">
        <f>IF('Entry Builder'!$N$9=0,1,IF('Entry Builder'!$D$9="Less",--(INDEX(Sims!$A1271:$BO1271,'Entry Builder'!$L$9)&lt;'Entry Builder'!$E$9),--(INDEX(Sims!$A1271:$BO1271,'Entry Builder'!$L$9)&gt;'Entry Builder'!$E$9)))</f>
        <v/>
      </c>
      <c r="D1271">
        <f>IF('Entry Builder'!$N$10=0,1,IF('Entry Builder'!$D$10="Less",--(INDEX(Sims!$A1271:$BO1271,'Entry Builder'!$L$10)&lt;'Entry Builder'!$E$10),--(INDEX(Sims!$A1271:$BO1271,'Entry Builder'!$L$10)&gt;'Entry Builder'!$E$10)))</f>
        <v/>
      </c>
      <c r="E1271">
        <f>IF('Entry Builder'!$N$11=0,1,IF('Entry Builder'!$D$11="Less",--(INDEX(Sims!$A1271:$BO1271,'Entry Builder'!$L$11)&lt;'Entry Builder'!$E$11),--(INDEX(Sims!$A1271:$BO1271,'Entry Builder'!$L$11)&gt;'Entry Builder'!$E$11)))</f>
        <v/>
      </c>
      <c r="F1271">
        <f>IF('Entry Builder'!$N$12=0,1,IF('Entry Builder'!$D$12="Less",--(INDEX(Sims!$A1271:$BO1271,'Entry Builder'!$L$12)&lt;'Entry Builder'!$E$12),--(INDEX(Sims!$A1271:$BO1271,'Entry Builder'!$L$12)&gt;'Entry Builder'!$E$12)))</f>
        <v/>
      </c>
      <c r="G1271">
        <f>6-SUM(A1271:F1271)</f>
        <v/>
      </c>
    </row>
    <row r="1272">
      <c r="A1272">
        <f>IF('Entry Builder'!$N$7=0,1,IF('Entry Builder'!$D$7="Less",--(INDEX(Sims!$A1272:$BO1272,'Entry Builder'!$L$7)&lt;'Entry Builder'!$E$7),--(INDEX(Sims!$A1272:$BO1272,'Entry Builder'!$L$7)&gt;'Entry Builder'!$E$7)))</f>
        <v/>
      </c>
      <c r="B1272">
        <f>IF('Entry Builder'!$N$8=0,1,IF('Entry Builder'!$D$8="Less",--(INDEX(Sims!$A1272:$BO1272,'Entry Builder'!$L$8)&lt;'Entry Builder'!$E$8),--(INDEX(Sims!$A1272:$BO1272,'Entry Builder'!$L$8)&gt;'Entry Builder'!$E$8)))</f>
        <v/>
      </c>
      <c r="C1272">
        <f>IF('Entry Builder'!$N$9=0,1,IF('Entry Builder'!$D$9="Less",--(INDEX(Sims!$A1272:$BO1272,'Entry Builder'!$L$9)&lt;'Entry Builder'!$E$9),--(INDEX(Sims!$A1272:$BO1272,'Entry Builder'!$L$9)&gt;'Entry Builder'!$E$9)))</f>
        <v/>
      </c>
      <c r="D1272">
        <f>IF('Entry Builder'!$N$10=0,1,IF('Entry Builder'!$D$10="Less",--(INDEX(Sims!$A1272:$BO1272,'Entry Builder'!$L$10)&lt;'Entry Builder'!$E$10),--(INDEX(Sims!$A1272:$BO1272,'Entry Builder'!$L$10)&gt;'Entry Builder'!$E$10)))</f>
        <v/>
      </c>
      <c r="E1272">
        <f>IF('Entry Builder'!$N$11=0,1,IF('Entry Builder'!$D$11="Less",--(INDEX(Sims!$A1272:$BO1272,'Entry Builder'!$L$11)&lt;'Entry Builder'!$E$11),--(INDEX(Sims!$A1272:$BO1272,'Entry Builder'!$L$11)&gt;'Entry Builder'!$E$11)))</f>
        <v/>
      </c>
      <c r="F1272">
        <f>IF('Entry Builder'!$N$12=0,1,IF('Entry Builder'!$D$12="Less",--(INDEX(Sims!$A1272:$BO1272,'Entry Builder'!$L$12)&lt;'Entry Builder'!$E$12),--(INDEX(Sims!$A1272:$BO1272,'Entry Builder'!$L$12)&gt;'Entry Builder'!$E$12)))</f>
        <v/>
      </c>
      <c r="G1272">
        <f>6-SUM(A1272:F1272)</f>
        <v/>
      </c>
    </row>
    <row r="1273">
      <c r="A1273">
        <f>IF('Entry Builder'!$N$7=0,1,IF('Entry Builder'!$D$7="Less",--(INDEX(Sims!$A1273:$BO1273,'Entry Builder'!$L$7)&lt;'Entry Builder'!$E$7),--(INDEX(Sims!$A1273:$BO1273,'Entry Builder'!$L$7)&gt;'Entry Builder'!$E$7)))</f>
        <v/>
      </c>
      <c r="B1273">
        <f>IF('Entry Builder'!$N$8=0,1,IF('Entry Builder'!$D$8="Less",--(INDEX(Sims!$A1273:$BO1273,'Entry Builder'!$L$8)&lt;'Entry Builder'!$E$8),--(INDEX(Sims!$A1273:$BO1273,'Entry Builder'!$L$8)&gt;'Entry Builder'!$E$8)))</f>
        <v/>
      </c>
      <c r="C1273">
        <f>IF('Entry Builder'!$N$9=0,1,IF('Entry Builder'!$D$9="Less",--(INDEX(Sims!$A1273:$BO1273,'Entry Builder'!$L$9)&lt;'Entry Builder'!$E$9),--(INDEX(Sims!$A1273:$BO1273,'Entry Builder'!$L$9)&gt;'Entry Builder'!$E$9)))</f>
        <v/>
      </c>
      <c r="D1273">
        <f>IF('Entry Builder'!$N$10=0,1,IF('Entry Builder'!$D$10="Less",--(INDEX(Sims!$A1273:$BO1273,'Entry Builder'!$L$10)&lt;'Entry Builder'!$E$10),--(INDEX(Sims!$A1273:$BO1273,'Entry Builder'!$L$10)&gt;'Entry Builder'!$E$10)))</f>
        <v/>
      </c>
      <c r="E1273">
        <f>IF('Entry Builder'!$N$11=0,1,IF('Entry Builder'!$D$11="Less",--(INDEX(Sims!$A1273:$BO1273,'Entry Builder'!$L$11)&lt;'Entry Builder'!$E$11),--(INDEX(Sims!$A1273:$BO1273,'Entry Builder'!$L$11)&gt;'Entry Builder'!$E$11)))</f>
        <v/>
      </c>
      <c r="F1273">
        <f>IF('Entry Builder'!$N$12=0,1,IF('Entry Builder'!$D$12="Less",--(INDEX(Sims!$A1273:$BO1273,'Entry Builder'!$L$12)&lt;'Entry Builder'!$E$12),--(INDEX(Sims!$A1273:$BO1273,'Entry Builder'!$L$12)&gt;'Entry Builder'!$E$12)))</f>
        <v/>
      </c>
      <c r="G1273">
        <f>6-SUM(A1273:F1273)</f>
        <v/>
      </c>
    </row>
    <row r="1274">
      <c r="A1274">
        <f>IF('Entry Builder'!$N$7=0,1,IF('Entry Builder'!$D$7="Less",--(INDEX(Sims!$A1274:$BO1274,'Entry Builder'!$L$7)&lt;'Entry Builder'!$E$7),--(INDEX(Sims!$A1274:$BO1274,'Entry Builder'!$L$7)&gt;'Entry Builder'!$E$7)))</f>
        <v/>
      </c>
      <c r="B1274">
        <f>IF('Entry Builder'!$N$8=0,1,IF('Entry Builder'!$D$8="Less",--(INDEX(Sims!$A1274:$BO1274,'Entry Builder'!$L$8)&lt;'Entry Builder'!$E$8),--(INDEX(Sims!$A1274:$BO1274,'Entry Builder'!$L$8)&gt;'Entry Builder'!$E$8)))</f>
        <v/>
      </c>
      <c r="C1274">
        <f>IF('Entry Builder'!$N$9=0,1,IF('Entry Builder'!$D$9="Less",--(INDEX(Sims!$A1274:$BO1274,'Entry Builder'!$L$9)&lt;'Entry Builder'!$E$9),--(INDEX(Sims!$A1274:$BO1274,'Entry Builder'!$L$9)&gt;'Entry Builder'!$E$9)))</f>
        <v/>
      </c>
      <c r="D1274">
        <f>IF('Entry Builder'!$N$10=0,1,IF('Entry Builder'!$D$10="Less",--(INDEX(Sims!$A1274:$BO1274,'Entry Builder'!$L$10)&lt;'Entry Builder'!$E$10),--(INDEX(Sims!$A1274:$BO1274,'Entry Builder'!$L$10)&gt;'Entry Builder'!$E$10)))</f>
        <v/>
      </c>
      <c r="E1274">
        <f>IF('Entry Builder'!$N$11=0,1,IF('Entry Builder'!$D$11="Less",--(INDEX(Sims!$A1274:$BO1274,'Entry Builder'!$L$11)&lt;'Entry Builder'!$E$11),--(INDEX(Sims!$A1274:$BO1274,'Entry Builder'!$L$11)&gt;'Entry Builder'!$E$11)))</f>
        <v/>
      </c>
      <c r="F1274">
        <f>IF('Entry Builder'!$N$12=0,1,IF('Entry Builder'!$D$12="Less",--(INDEX(Sims!$A1274:$BO1274,'Entry Builder'!$L$12)&lt;'Entry Builder'!$E$12),--(INDEX(Sims!$A1274:$BO1274,'Entry Builder'!$L$12)&gt;'Entry Builder'!$E$12)))</f>
        <v/>
      </c>
      <c r="G1274">
        <f>6-SUM(A1274:F1274)</f>
        <v/>
      </c>
    </row>
    <row r="1275">
      <c r="A1275">
        <f>IF('Entry Builder'!$N$7=0,1,IF('Entry Builder'!$D$7="Less",--(INDEX(Sims!$A1275:$BO1275,'Entry Builder'!$L$7)&lt;'Entry Builder'!$E$7),--(INDEX(Sims!$A1275:$BO1275,'Entry Builder'!$L$7)&gt;'Entry Builder'!$E$7)))</f>
        <v/>
      </c>
      <c r="B1275">
        <f>IF('Entry Builder'!$N$8=0,1,IF('Entry Builder'!$D$8="Less",--(INDEX(Sims!$A1275:$BO1275,'Entry Builder'!$L$8)&lt;'Entry Builder'!$E$8),--(INDEX(Sims!$A1275:$BO1275,'Entry Builder'!$L$8)&gt;'Entry Builder'!$E$8)))</f>
        <v/>
      </c>
      <c r="C1275">
        <f>IF('Entry Builder'!$N$9=0,1,IF('Entry Builder'!$D$9="Less",--(INDEX(Sims!$A1275:$BO1275,'Entry Builder'!$L$9)&lt;'Entry Builder'!$E$9),--(INDEX(Sims!$A1275:$BO1275,'Entry Builder'!$L$9)&gt;'Entry Builder'!$E$9)))</f>
        <v/>
      </c>
      <c r="D1275">
        <f>IF('Entry Builder'!$N$10=0,1,IF('Entry Builder'!$D$10="Less",--(INDEX(Sims!$A1275:$BO1275,'Entry Builder'!$L$10)&lt;'Entry Builder'!$E$10),--(INDEX(Sims!$A1275:$BO1275,'Entry Builder'!$L$10)&gt;'Entry Builder'!$E$10)))</f>
        <v/>
      </c>
      <c r="E1275">
        <f>IF('Entry Builder'!$N$11=0,1,IF('Entry Builder'!$D$11="Less",--(INDEX(Sims!$A1275:$BO1275,'Entry Builder'!$L$11)&lt;'Entry Builder'!$E$11),--(INDEX(Sims!$A1275:$BO1275,'Entry Builder'!$L$11)&gt;'Entry Builder'!$E$11)))</f>
        <v/>
      </c>
      <c r="F1275">
        <f>IF('Entry Builder'!$N$12=0,1,IF('Entry Builder'!$D$12="Less",--(INDEX(Sims!$A1275:$BO1275,'Entry Builder'!$L$12)&lt;'Entry Builder'!$E$12),--(INDEX(Sims!$A1275:$BO1275,'Entry Builder'!$L$12)&gt;'Entry Builder'!$E$12)))</f>
        <v/>
      </c>
      <c r="G1275">
        <f>6-SUM(A1275:F1275)</f>
        <v/>
      </c>
    </row>
    <row r="1276">
      <c r="A1276">
        <f>IF('Entry Builder'!$N$7=0,1,IF('Entry Builder'!$D$7="Less",--(INDEX(Sims!$A1276:$BO1276,'Entry Builder'!$L$7)&lt;'Entry Builder'!$E$7),--(INDEX(Sims!$A1276:$BO1276,'Entry Builder'!$L$7)&gt;'Entry Builder'!$E$7)))</f>
        <v/>
      </c>
      <c r="B1276">
        <f>IF('Entry Builder'!$N$8=0,1,IF('Entry Builder'!$D$8="Less",--(INDEX(Sims!$A1276:$BO1276,'Entry Builder'!$L$8)&lt;'Entry Builder'!$E$8),--(INDEX(Sims!$A1276:$BO1276,'Entry Builder'!$L$8)&gt;'Entry Builder'!$E$8)))</f>
        <v/>
      </c>
      <c r="C1276">
        <f>IF('Entry Builder'!$N$9=0,1,IF('Entry Builder'!$D$9="Less",--(INDEX(Sims!$A1276:$BO1276,'Entry Builder'!$L$9)&lt;'Entry Builder'!$E$9),--(INDEX(Sims!$A1276:$BO1276,'Entry Builder'!$L$9)&gt;'Entry Builder'!$E$9)))</f>
        <v/>
      </c>
      <c r="D1276">
        <f>IF('Entry Builder'!$N$10=0,1,IF('Entry Builder'!$D$10="Less",--(INDEX(Sims!$A1276:$BO1276,'Entry Builder'!$L$10)&lt;'Entry Builder'!$E$10),--(INDEX(Sims!$A1276:$BO1276,'Entry Builder'!$L$10)&gt;'Entry Builder'!$E$10)))</f>
        <v/>
      </c>
      <c r="E1276">
        <f>IF('Entry Builder'!$N$11=0,1,IF('Entry Builder'!$D$11="Less",--(INDEX(Sims!$A1276:$BO1276,'Entry Builder'!$L$11)&lt;'Entry Builder'!$E$11),--(INDEX(Sims!$A1276:$BO1276,'Entry Builder'!$L$11)&gt;'Entry Builder'!$E$11)))</f>
        <v/>
      </c>
      <c r="F1276">
        <f>IF('Entry Builder'!$N$12=0,1,IF('Entry Builder'!$D$12="Less",--(INDEX(Sims!$A1276:$BO1276,'Entry Builder'!$L$12)&lt;'Entry Builder'!$E$12),--(INDEX(Sims!$A1276:$BO1276,'Entry Builder'!$L$12)&gt;'Entry Builder'!$E$12)))</f>
        <v/>
      </c>
      <c r="G1276">
        <f>6-SUM(A1276:F1276)</f>
        <v/>
      </c>
    </row>
    <row r="1277">
      <c r="A1277">
        <f>IF('Entry Builder'!$N$7=0,1,IF('Entry Builder'!$D$7="Less",--(INDEX(Sims!$A1277:$BO1277,'Entry Builder'!$L$7)&lt;'Entry Builder'!$E$7),--(INDEX(Sims!$A1277:$BO1277,'Entry Builder'!$L$7)&gt;'Entry Builder'!$E$7)))</f>
        <v/>
      </c>
      <c r="B1277">
        <f>IF('Entry Builder'!$N$8=0,1,IF('Entry Builder'!$D$8="Less",--(INDEX(Sims!$A1277:$BO1277,'Entry Builder'!$L$8)&lt;'Entry Builder'!$E$8),--(INDEX(Sims!$A1277:$BO1277,'Entry Builder'!$L$8)&gt;'Entry Builder'!$E$8)))</f>
        <v/>
      </c>
      <c r="C1277">
        <f>IF('Entry Builder'!$N$9=0,1,IF('Entry Builder'!$D$9="Less",--(INDEX(Sims!$A1277:$BO1277,'Entry Builder'!$L$9)&lt;'Entry Builder'!$E$9),--(INDEX(Sims!$A1277:$BO1277,'Entry Builder'!$L$9)&gt;'Entry Builder'!$E$9)))</f>
        <v/>
      </c>
      <c r="D1277">
        <f>IF('Entry Builder'!$N$10=0,1,IF('Entry Builder'!$D$10="Less",--(INDEX(Sims!$A1277:$BO1277,'Entry Builder'!$L$10)&lt;'Entry Builder'!$E$10),--(INDEX(Sims!$A1277:$BO1277,'Entry Builder'!$L$10)&gt;'Entry Builder'!$E$10)))</f>
        <v/>
      </c>
      <c r="E1277">
        <f>IF('Entry Builder'!$N$11=0,1,IF('Entry Builder'!$D$11="Less",--(INDEX(Sims!$A1277:$BO1277,'Entry Builder'!$L$11)&lt;'Entry Builder'!$E$11),--(INDEX(Sims!$A1277:$BO1277,'Entry Builder'!$L$11)&gt;'Entry Builder'!$E$11)))</f>
        <v/>
      </c>
      <c r="F1277">
        <f>IF('Entry Builder'!$N$12=0,1,IF('Entry Builder'!$D$12="Less",--(INDEX(Sims!$A1277:$BO1277,'Entry Builder'!$L$12)&lt;'Entry Builder'!$E$12),--(INDEX(Sims!$A1277:$BO1277,'Entry Builder'!$L$12)&gt;'Entry Builder'!$E$12)))</f>
        <v/>
      </c>
      <c r="G1277">
        <f>6-SUM(A1277:F1277)</f>
        <v/>
      </c>
    </row>
    <row r="1278">
      <c r="A1278">
        <f>IF('Entry Builder'!$N$7=0,1,IF('Entry Builder'!$D$7="Less",--(INDEX(Sims!$A1278:$BO1278,'Entry Builder'!$L$7)&lt;'Entry Builder'!$E$7),--(INDEX(Sims!$A1278:$BO1278,'Entry Builder'!$L$7)&gt;'Entry Builder'!$E$7)))</f>
        <v/>
      </c>
      <c r="B1278">
        <f>IF('Entry Builder'!$N$8=0,1,IF('Entry Builder'!$D$8="Less",--(INDEX(Sims!$A1278:$BO1278,'Entry Builder'!$L$8)&lt;'Entry Builder'!$E$8),--(INDEX(Sims!$A1278:$BO1278,'Entry Builder'!$L$8)&gt;'Entry Builder'!$E$8)))</f>
        <v/>
      </c>
      <c r="C1278">
        <f>IF('Entry Builder'!$N$9=0,1,IF('Entry Builder'!$D$9="Less",--(INDEX(Sims!$A1278:$BO1278,'Entry Builder'!$L$9)&lt;'Entry Builder'!$E$9),--(INDEX(Sims!$A1278:$BO1278,'Entry Builder'!$L$9)&gt;'Entry Builder'!$E$9)))</f>
        <v/>
      </c>
      <c r="D1278">
        <f>IF('Entry Builder'!$N$10=0,1,IF('Entry Builder'!$D$10="Less",--(INDEX(Sims!$A1278:$BO1278,'Entry Builder'!$L$10)&lt;'Entry Builder'!$E$10),--(INDEX(Sims!$A1278:$BO1278,'Entry Builder'!$L$10)&gt;'Entry Builder'!$E$10)))</f>
        <v/>
      </c>
      <c r="E1278">
        <f>IF('Entry Builder'!$N$11=0,1,IF('Entry Builder'!$D$11="Less",--(INDEX(Sims!$A1278:$BO1278,'Entry Builder'!$L$11)&lt;'Entry Builder'!$E$11),--(INDEX(Sims!$A1278:$BO1278,'Entry Builder'!$L$11)&gt;'Entry Builder'!$E$11)))</f>
        <v/>
      </c>
      <c r="F1278">
        <f>IF('Entry Builder'!$N$12=0,1,IF('Entry Builder'!$D$12="Less",--(INDEX(Sims!$A1278:$BO1278,'Entry Builder'!$L$12)&lt;'Entry Builder'!$E$12),--(INDEX(Sims!$A1278:$BO1278,'Entry Builder'!$L$12)&gt;'Entry Builder'!$E$12)))</f>
        <v/>
      </c>
      <c r="G1278">
        <f>6-SUM(A1278:F1278)</f>
        <v/>
      </c>
    </row>
    <row r="1279">
      <c r="A1279">
        <f>IF('Entry Builder'!$N$7=0,1,IF('Entry Builder'!$D$7="Less",--(INDEX(Sims!$A1279:$BO1279,'Entry Builder'!$L$7)&lt;'Entry Builder'!$E$7),--(INDEX(Sims!$A1279:$BO1279,'Entry Builder'!$L$7)&gt;'Entry Builder'!$E$7)))</f>
        <v/>
      </c>
      <c r="B1279">
        <f>IF('Entry Builder'!$N$8=0,1,IF('Entry Builder'!$D$8="Less",--(INDEX(Sims!$A1279:$BO1279,'Entry Builder'!$L$8)&lt;'Entry Builder'!$E$8),--(INDEX(Sims!$A1279:$BO1279,'Entry Builder'!$L$8)&gt;'Entry Builder'!$E$8)))</f>
        <v/>
      </c>
      <c r="C1279">
        <f>IF('Entry Builder'!$N$9=0,1,IF('Entry Builder'!$D$9="Less",--(INDEX(Sims!$A1279:$BO1279,'Entry Builder'!$L$9)&lt;'Entry Builder'!$E$9),--(INDEX(Sims!$A1279:$BO1279,'Entry Builder'!$L$9)&gt;'Entry Builder'!$E$9)))</f>
        <v/>
      </c>
      <c r="D1279">
        <f>IF('Entry Builder'!$N$10=0,1,IF('Entry Builder'!$D$10="Less",--(INDEX(Sims!$A1279:$BO1279,'Entry Builder'!$L$10)&lt;'Entry Builder'!$E$10),--(INDEX(Sims!$A1279:$BO1279,'Entry Builder'!$L$10)&gt;'Entry Builder'!$E$10)))</f>
        <v/>
      </c>
      <c r="E1279">
        <f>IF('Entry Builder'!$N$11=0,1,IF('Entry Builder'!$D$11="Less",--(INDEX(Sims!$A1279:$BO1279,'Entry Builder'!$L$11)&lt;'Entry Builder'!$E$11),--(INDEX(Sims!$A1279:$BO1279,'Entry Builder'!$L$11)&gt;'Entry Builder'!$E$11)))</f>
        <v/>
      </c>
      <c r="F1279">
        <f>IF('Entry Builder'!$N$12=0,1,IF('Entry Builder'!$D$12="Less",--(INDEX(Sims!$A1279:$BO1279,'Entry Builder'!$L$12)&lt;'Entry Builder'!$E$12),--(INDEX(Sims!$A1279:$BO1279,'Entry Builder'!$L$12)&gt;'Entry Builder'!$E$12)))</f>
        <v/>
      </c>
      <c r="G1279">
        <f>6-SUM(A1279:F1279)</f>
        <v/>
      </c>
    </row>
    <row r="1280">
      <c r="A1280">
        <f>IF('Entry Builder'!$N$7=0,1,IF('Entry Builder'!$D$7="Less",--(INDEX(Sims!$A1280:$BO1280,'Entry Builder'!$L$7)&lt;'Entry Builder'!$E$7),--(INDEX(Sims!$A1280:$BO1280,'Entry Builder'!$L$7)&gt;'Entry Builder'!$E$7)))</f>
        <v/>
      </c>
      <c r="B1280">
        <f>IF('Entry Builder'!$N$8=0,1,IF('Entry Builder'!$D$8="Less",--(INDEX(Sims!$A1280:$BO1280,'Entry Builder'!$L$8)&lt;'Entry Builder'!$E$8),--(INDEX(Sims!$A1280:$BO1280,'Entry Builder'!$L$8)&gt;'Entry Builder'!$E$8)))</f>
        <v/>
      </c>
      <c r="C1280">
        <f>IF('Entry Builder'!$N$9=0,1,IF('Entry Builder'!$D$9="Less",--(INDEX(Sims!$A1280:$BO1280,'Entry Builder'!$L$9)&lt;'Entry Builder'!$E$9),--(INDEX(Sims!$A1280:$BO1280,'Entry Builder'!$L$9)&gt;'Entry Builder'!$E$9)))</f>
        <v/>
      </c>
      <c r="D1280">
        <f>IF('Entry Builder'!$N$10=0,1,IF('Entry Builder'!$D$10="Less",--(INDEX(Sims!$A1280:$BO1280,'Entry Builder'!$L$10)&lt;'Entry Builder'!$E$10),--(INDEX(Sims!$A1280:$BO1280,'Entry Builder'!$L$10)&gt;'Entry Builder'!$E$10)))</f>
        <v/>
      </c>
      <c r="E1280">
        <f>IF('Entry Builder'!$N$11=0,1,IF('Entry Builder'!$D$11="Less",--(INDEX(Sims!$A1280:$BO1280,'Entry Builder'!$L$11)&lt;'Entry Builder'!$E$11),--(INDEX(Sims!$A1280:$BO1280,'Entry Builder'!$L$11)&gt;'Entry Builder'!$E$11)))</f>
        <v/>
      </c>
      <c r="F1280">
        <f>IF('Entry Builder'!$N$12=0,1,IF('Entry Builder'!$D$12="Less",--(INDEX(Sims!$A1280:$BO1280,'Entry Builder'!$L$12)&lt;'Entry Builder'!$E$12),--(INDEX(Sims!$A1280:$BO1280,'Entry Builder'!$L$12)&gt;'Entry Builder'!$E$12)))</f>
        <v/>
      </c>
      <c r="G1280">
        <f>6-SUM(A1280:F1280)</f>
        <v/>
      </c>
    </row>
    <row r="1281">
      <c r="A1281">
        <f>IF('Entry Builder'!$N$7=0,1,IF('Entry Builder'!$D$7="Less",--(INDEX(Sims!$A1281:$BO1281,'Entry Builder'!$L$7)&lt;'Entry Builder'!$E$7),--(INDEX(Sims!$A1281:$BO1281,'Entry Builder'!$L$7)&gt;'Entry Builder'!$E$7)))</f>
        <v/>
      </c>
      <c r="B1281">
        <f>IF('Entry Builder'!$N$8=0,1,IF('Entry Builder'!$D$8="Less",--(INDEX(Sims!$A1281:$BO1281,'Entry Builder'!$L$8)&lt;'Entry Builder'!$E$8),--(INDEX(Sims!$A1281:$BO1281,'Entry Builder'!$L$8)&gt;'Entry Builder'!$E$8)))</f>
        <v/>
      </c>
      <c r="C1281">
        <f>IF('Entry Builder'!$N$9=0,1,IF('Entry Builder'!$D$9="Less",--(INDEX(Sims!$A1281:$BO1281,'Entry Builder'!$L$9)&lt;'Entry Builder'!$E$9),--(INDEX(Sims!$A1281:$BO1281,'Entry Builder'!$L$9)&gt;'Entry Builder'!$E$9)))</f>
        <v/>
      </c>
      <c r="D1281">
        <f>IF('Entry Builder'!$N$10=0,1,IF('Entry Builder'!$D$10="Less",--(INDEX(Sims!$A1281:$BO1281,'Entry Builder'!$L$10)&lt;'Entry Builder'!$E$10),--(INDEX(Sims!$A1281:$BO1281,'Entry Builder'!$L$10)&gt;'Entry Builder'!$E$10)))</f>
        <v/>
      </c>
      <c r="E1281">
        <f>IF('Entry Builder'!$N$11=0,1,IF('Entry Builder'!$D$11="Less",--(INDEX(Sims!$A1281:$BO1281,'Entry Builder'!$L$11)&lt;'Entry Builder'!$E$11),--(INDEX(Sims!$A1281:$BO1281,'Entry Builder'!$L$11)&gt;'Entry Builder'!$E$11)))</f>
        <v/>
      </c>
      <c r="F1281">
        <f>IF('Entry Builder'!$N$12=0,1,IF('Entry Builder'!$D$12="Less",--(INDEX(Sims!$A1281:$BO1281,'Entry Builder'!$L$12)&lt;'Entry Builder'!$E$12),--(INDEX(Sims!$A1281:$BO1281,'Entry Builder'!$L$12)&gt;'Entry Builder'!$E$12)))</f>
        <v/>
      </c>
      <c r="G1281">
        <f>6-SUM(A1281:F1281)</f>
        <v/>
      </c>
    </row>
    <row r="1282">
      <c r="A1282">
        <f>IF('Entry Builder'!$N$7=0,1,IF('Entry Builder'!$D$7="Less",--(INDEX(Sims!$A1282:$BO1282,'Entry Builder'!$L$7)&lt;'Entry Builder'!$E$7),--(INDEX(Sims!$A1282:$BO1282,'Entry Builder'!$L$7)&gt;'Entry Builder'!$E$7)))</f>
        <v/>
      </c>
      <c r="B1282">
        <f>IF('Entry Builder'!$N$8=0,1,IF('Entry Builder'!$D$8="Less",--(INDEX(Sims!$A1282:$BO1282,'Entry Builder'!$L$8)&lt;'Entry Builder'!$E$8),--(INDEX(Sims!$A1282:$BO1282,'Entry Builder'!$L$8)&gt;'Entry Builder'!$E$8)))</f>
        <v/>
      </c>
      <c r="C1282">
        <f>IF('Entry Builder'!$N$9=0,1,IF('Entry Builder'!$D$9="Less",--(INDEX(Sims!$A1282:$BO1282,'Entry Builder'!$L$9)&lt;'Entry Builder'!$E$9),--(INDEX(Sims!$A1282:$BO1282,'Entry Builder'!$L$9)&gt;'Entry Builder'!$E$9)))</f>
        <v/>
      </c>
      <c r="D1282">
        <f>IF('Entry Builder'!$N$10=0,1,IF('Entry Builder'!$D$10="Less",--(INDEX(Sims!$A1282:$BO1282,'Entry Builder'!$L$10)&lt;'Entry Builder'!$E$10),--(INDEX(Sims!$A1282:$BO1282,'Entry Builder'!$L$10)&gt;'Entry Builder'!$E$10)))</f>
        <v/>
      </c>
      <c r="E1282">
        <f>IF('Entry Builder'!$N$11=0,1,IF('Entry Builder'!$D$11="Less",--(INDEX(Sims!$A1282:$BO1282,'Entry Builder'!$L$11)&lt;'Entry Builder'!$E$11),--(INDEX(Sims!$A1282:$BO1282,'Entry Builder'!$L$11)&gt;'Entry Builder'!$E$11)))</f>
        <v/>
      </c>
      <c r="F1282">
        <f>IF('Entry Builder'!$N$12=0,1,IF('Entry Builder'!$D$12="Less",--(INDEX(Sims!$A1282:$BO1282,'Entry Builder'!$L$12)&lt;'Entry Builder'!$E$12),--(INDEX(Sims!$A1282:$BO1282,'Entry Builder'!$L$12)&gt;'Entry Builder'!$E$12)))</f>
        <v/>
      </c>
      <c r="G1282">
        <f>6-SUM(A1282:F1282)</f>
        <v/>
      </c>
    </row>
    <row r="1283">
      <c r="A1283">
        <f>IF('Entry Builder'!$N$7=0,1,IF('Entry Builder'!$D$7="Less",--(INDEX(Sims!$A1283:$BO1283,'Entry Builder'!$L$7)&lt;'Entry Builder'!$E$7),--(INDEX(Sims!$A1283:$BO1283,'Entry Builder'!$L$7)&gt;'Entry Builder'!$E$7)))</f>
        <v/>
      </c>
      <c r="B1283">
        <f>IF('Entry Builder'!$N$8=0,1,IF('Entry Builder'!$D$8="Less",--(INDEX(Sims!$A1283:$BO1283,'Entry Builder'!$L$8)&lt;'Entry Builder'!$E$8),--(INDEX(Sims!$A1283:$BO1283,'Entry Builder'!$L$8)&gt;'Entry Builder'!$E$8)))</f>
        <v/>
      </c>
      <c r="C1283">
        <f>IF('Entry Builder'!$N$9=0,1,IF('Entry Builder'!$D$9="Less",--(INDEX(Sims!$A1283:$BO1283,'Entry Builder'!$L$9)&lt;'Entry Builder'!$E$9),--(INDEX(Sims!$A1283:$BO1283,'Entry Builder'!$L$9)&gt;'Entry Builder'!$E$9)))</f>
        <v/>
      </c>
      <c r="D1283">
        <f>IF('Entry Builder'!$N$10=0,1,IF('Entry Builder'!$D$10="Less",--(INDEX(Sims!$A1283:$BO1283,'Entry Builder'!$L$10)&lt;'Entry Builder'!$E$10),--(INDEX(Sims!$A1283:$BO1283,'Entry Builder'!$L$10)&gt;'Entry Builder'!$E$10)))</f>
        <v/>
      </c>
      <c r="E1283">
        <f>IF('Entry Builder'!$N$11=0,1,IF('Entry Builder'!$D$11="Less",--(INDEX(Sims!$A1283:$BO1283,'Entry Builder'!$L$11)&lt;'Entry Builder'!$E$11),--(INDEX(Sims!$A1283:$BO1283,'Entry Builder'!$L$11)&gt;'Entry Builder'!$E$11)))</f>
        <v/>
      </c>
      <c r="F1283">
        <f>IF('Entry Builder'!$N$12=0,1,IF('Entry Builder'!$D$12="Less",--(INDEX(Sims!$A1283:$BO1283,'Entry Builder'!$L$12)&lt;'Entry Builder'!$E$12),--(INDEX(Sims!$A1283:$BO1283,'Entry Builder'!$L$12)&gt;'Entry Builder'!$E$12)))</f>
        <v/>
      </c>
      <c r="G1283">
        <f>6-SUM(A1283:F1283)</f>
        <v/>
      </c>
    </row>
    <row r="1284">
      <c r="A1284">
        <f>IF('Entry Builder'!$N$7=0,1,IF('Entry Builder'!$D$7="Less",--(INDEX(Sims!$A1284:$BO1284,'Entry Builder'!$L$7)&lt;'Entry Builder'!$E$7),--(INDEX(Sims!$A1284:$BO1284,'Entry Builder'!$L$7)&gt;'Entry Builder'!$E$7)))</f>
        <v/>
      </c>
      <c r="B1284">
        <f>IF('Entry Builder'!$N$8=0,1,IF('Entry Builder'!$D$8="Less",--(INDEX(Sims!$A1284:$BO1284,'Entry Builder'!$L$8)&lt;'Entry Builder'!$E$8),--(INDEX(Sims!$A1284:$BO1284,'Entry Builder'!$L$8)&gt;'Entry Builder'!$E$8)))</f>
        <v/>
      </c>
      <c r="C1284">
        <f>IF('Entry Builder'!$N$9=0,1,IF('Entry Builder'!$D$9="Less",--(INDEX(Sims!$A1284:$BO1284,'Entry Builder'!$L$9)&lt;'Entry Builder'!$E$9),--(INDEX(Sims!$A1284:$BO1284,'Entry Builder'!$L$9)&gt;'Entry Builder'!$E$9)))</f>
        <v/>
      </c>
      <c r="D1284">
        <f>IF('Entry Builder'!$N$10=0,1,IF('Entry Builder'!$D$10="Less",--(INDEX(Sims!$A1284:$BO1284,'Entry Builder'!$L$10)&lt;'Entry Builder'!$E$10),--(INDEX(Sims!$A1284:$BO1284,'Entry Builder'!$L$10)&gt;'Entry Builder'!$E$10)))</f>
        <v/>
      </c>
      <c r="E1284">
        <f>IF('Entry Builder'!$N$11=0,1,IF('Entry Builder'!$D$11="Less",--(INDEX(Sims!$A1284:$BO1284,'Entry Builder'!$L$11)&lt;'Entry Builder'!$E$11),--(INDEX(Sims!$A1284:$BO1284,'Entry Builder'!$L$11)&gt;'Entry Builder'!$E$11)))</f>
        <v/>
      </c>
      <c r="F1284">
        <f>IF('Entry Builder'!$N$12=0,1,IF('Entry Builder'!$D$12="Less",--(INDEX(Sims!$A1284:$BO1284,'Entry Builder'!$L$12)&lt;'Entry Builder'!$E$12),--(INDEX(Sims!$A1284:$BO1284,'Entry Builder'!$L$12)&gt;'Entry Builder'!$E$12)))</f>
        <v/>
      </c>
      <c r="G1284">
        <f>6-SUM(A1284:F1284)</f>
        <v/>
      </c>
    </row>
    <row r="1285">
      <c r="A1285">
        <f>IF('Entry Builder'!$N$7=0,1,IF('Entry Builder'!$D$7="Less",--(INDEX(Sims!$A1285:$BO1285,'Entry Builder'!$L$7)&lt;'Entry Builder'!$E$7),--(INDEX(Sims!$A1285:$BO1285,'Entry Builder'!$L$7)&gt;'Entry Builder'!$E$7)))</f>
        <v/>
      </c>
      <c r="B1285">
        <f>IF('Entry Builder'!$N$8=0,1,IF('Entry Builder'!$D$8="Less",--(INDEX(Sims!$A1285:$BO1285,'Entry Builder'!$L$8)&lt;'Entry Builder'!$E$8),--(INDEX(Sims!$A1285:$BO1285,'Entry Builder'!$L$8)&gt;'Entry Builder'!$E$8)))</f>
        <v/>
      </c>
      <c r="C1285">
        <f>IF('Entry Builder'!$N$9=0,1,IF('Entry Builder'!$D$9="Less",--(INDEX(Sims!$A1285:$BO1285,'Entry Builder'!$L$9)&lt;'Entry Builder'!$E$9),--(INDEX(Sims!$A1285:$BO1285,'Entry Builder'!$L$9)&gt;'Entry Builder'!$E$9)))</f>
        <v/>
      </c>
      <c r="D1285">
        <f>IF('Entry Builder'!$N$10=0,1,IF('Entry Builder'!$D$10="Less",--(INDEX(Sims!$A1285:$BO1285,'Entry Builder'!$L$10)&lt;'Entry Builder'!$E$10),--(INDEX(Sims!$A1285:$BO1285,'Entry Builder'!$L$10)&gt;'Entry Builder'!$E$10)))</f>
        <v/>
      </c>
      <c r="E1285">
        <f>IF('Entry Builder'!$N$11=0,1,IF('Entry Builder'!$D$11="Less",--(INDEX(Sims!$A1285:$BO1285,'Entry Builder'!$L$11)&lt;'Entry Builder'!$E$11),--(INDEX(Sims!$A1285:$BO1285,'Entry Builder'!$L$11)&gt;'Entry Builder'!$E$11)))</f>
        <v/>
      </c>
      <c r="F1285">
        <f>IF('Entry Builder'!$N$12=0,1,IF('Entry Builder'!$D$12="Less",--(INDEX(Sims!$A1285:$BO1285,'Entry Builder'!$L$12)&lt;'Entry Builder'!$E$12),--(INDEX(Sims!$A1285:$BO1285,'Entry Builder'!$L$12)&gt;'Entry Builder'!$E$12)))</f>
        <v/>
      </c>
      <c r="G1285">
        <f>6-SUM(A1285:F1285)</f>
        <v/>
      </c>
    </row>
    <row r="1286">
      <c r="A1286">
        <f>IF('Entry Builder'!$N$7=0,1,IF('Entry Builder'!$D$7="Less",--(INDEX(Sims!$A1286:$BO1286,'Entry Builder'!$L$7)&lt;'Entry Builder'!$E$7),--(INDEX(Sims!$A1286:$BO1286,'Entry Builder'!$L$7)&gt;'Entry Builder'!$E$7)))</f>
        <v/>
      </c>
      <c r="B1286">
        <f>IF('Entry Builder'!$N$8=0,1,IF('Entry Builder'!$D$8="Less",--(INDEX(Sims!$A1286:$BO1286,'Entry Builder'!$L$8)&lt;'Entry Builder'!$E$8),--(INDEX(Sims!$A1286:$BO1286,'Entry Builder'!$L$8)&gt;'Entry Builder'!$E$8)))</f>
        <v/>
      </c>
      <c r="C1286">
        <f>IF('Entry Builder'!$N$9=0,1,IF('Entry Builder'!$D$9="Less",--(INDEX(Sims!$A1286:$BO1286,'Entry Builder'!$L$9)&lt;'Entry Builder'!$E$9),--(INDEX(Sims!$A1286:$BO1286,'Entry Builder'!$L$9)&gt;'Entry Builder'!$E$9)))</f>
        <v/>
      </c>
      <c r="D1286">
        <f>IF('Entry Builder'!$N$10=0,1,IF('Entry Builder'!$D$10="Less",--(INDEX(Sims!$A1286:$BO1286,'Entry Builder'!$L$10)&lt;'Entry Builder'!$E$10),--(INDEX(Sims!$A1286:$BO1286,'Entry Builder'!$L$10)&gt;'Entry Builder'!$E$10)))</f>
        <v/>
      </c>
      <c r="E1286">
        <f>IF('Entry Builder'!$N$11=0,1,IF('Entry Builder'!$D$11="Less",--(INDEX(Sims!$A1286:$BO1286,'Entry Builder'!$L$11)&lt;'Entry Builder'!$E$11),--(INDEX(Sims!$A1286:$BO1286,'Entry Builder'!$L$11)&gt;'Entry Builder'!$E$11)))</f>
        <v/>
      </c>
      <c r="F1286">
        <f>IF('Entry Builder'!$N$12=0,1,IF('Entry Builder'!$D$12="Less",--(INDEX(Sims!$A1286:$BO1286,'Entry Builder'!$L$12)&lt;'Entry Builder'!$E$12),--(INDEX(Sims!$A1286:$BO1286,'Entry Builder'!$L$12)&gt;'Entry Builder'!$E$12)))</f>
        <v/>
      </c>
      <c r="G1286">
        <f>6-SUM(A1286:F1286)</f>
        <v/>
      </c>
    </row>
    <row r="1287">
      <c r="A1287">
        <f>IF('Entry Builder'!$N$7=0,1,IF('Entry Builder'!$D$7="Less",--(INDEX(Sims!$A1287:$BO1287,'Entry Builder'!$L$7)&lt;'Entry Builder'!$E$7),--(INDEX(Sims!$A1287:$BO1287,'Entry Builder'!$L$7)&gt;'Entry Builder'!$E$7)))</f>
        <v/>
      </c>
      <c r="B1287">
        <f>IF('Entry Builder'!$N$8=0,1,IF('Entry Builder'!$D$8="Less",--(INDEX(Sims!$A1287:$BO1287,'Entry Builder'!$L$8)&lt;'Entry Builder'!$E$8),--(INDEX(Sims!$A1287:$BO1287,'Entry Builder'!$L$8)&gt;'Entry Builder'!$E$8)))</f>
        <v/>
      </c>
      <c r="C1287">
        <f>IF('Entry Builder'!$N$9=0,1,IF('Entry Builder'!$D$9="Less",--(INDEX(Sims!$A1287:$BO1287,'Entry Builder'!$L$9)&lt;'Entry Builder'!$E$9),--(INDEX(Sims!$A1287:$BO1287,'Entry Builder'!$L$9)&gt;'Entry Builder'!$E$9)))</f>
        <v/>
      </c>
      <c r="D1287">
        <f>IF('Entry Builder'!$N$10=0,1,IF('Entry Builder'!$D$10="Less",--(INDEX(Sims!$A1287:$BO1287,'Entry Builder'!$L$10)&lt;'Entry Builder'!$E$10),--(INDEX(Sims!$A1287:$BO1287,'Entry Builder'!$L$10)&gt;'Entry Builder'!$E$10)))</f>
        <v/>
      </c>
      <c r="E1287">
        <f>IF('Entry Builder'!$N$11=0,1,IF('Entry Builder'!$D$11="Less",--(INDEX(Sims!$A1287:$BO1287,'Entry Builder'!$L$11)&lt;'Entry Builder'!$E$11),--(INDEX(Sims!$A1287:$BO1287,'Entry Builder'!$L$11)&gt;'Entry Builder'!$E$11)))</f>
        <v/>
      </c>
      <c r="F1287">
        <f>IF('Entry Builder'!$N$12=0,1,IF('Entry Builder'!$D$12="Less",--(INDEX(Sims!$A1287:$BO1287,'Entry Builder'!$L$12)&lt;'Entry Builder'!$E$12),--(INDEX(Sims!$A1287:$BO1287,'Entry Builder'!$L$12)&gt;'Entry Builder'!$E$12)))</f>
        <v/>
      </c>
      <c r="G1287">
        <f>6-SUM(A1287:F1287)</f>
        <v/>
      </c>
    </row>
    <row r="1288">
      <c r="A1288">
        <f>IF('Entry Builder'!$N$7=0,1,IF('Entry Builder'!$D$7="Less",--(INDEX(Sims!$A1288:$BO1288,'Entry Builder'!$L$7)&lt;'Entry Builder'!$E$7),--(INDEX(Sims!$A1288:$BO1288,'Entry Builder'!$L$7)&gt;'Entry Builder'!$E$7)))</f>
        <v/>
      </c>
      <c r="B1288">
        <f>IF('Entry Builder'!$N$8=0,1,IF('Entry Builder'!$D$8="Less",--(INDEX(Sims!$A1288:$BO1288,'Entry Builder'!$L$8)&lt;'Entry Builder'!$E$8),--(INDEX(Sims!$A1288:$BO1288,'Entry Builder'!$L$8)&gt;'Entry Builder'!$E$8)))</f>
        <v/>
      </c>
      <c r="C1288">
        <f>IF('Entry Builder'!$N$9=0,1,IF('Entry Builder'!$D$9="Less",--(INDEX(Sims!$A1288:$BO1288,'Entry Builder'!$L$9)&lt;'Entry Builder'!$E$9),--(INDEX(Sims!$A1288:$BO1288,'Entry Builder'!$L$9)&gt;'Entry Builder'!$E$9)))</f>
        <v/>
      </c>
      <c r="D1288">
        <f>IF('Entry Builder'!$N$10=0,1,IF('Entry Builder'!$D$10="Less",--(INDEX(Sims!$A1288:$BO1288,'Entry Builder'!$L$10)&lt;'Entry Builder'!$E$10),--(INDEX(Sims!$A1288:$BO1288,'Entry Builder'!$L$10)&gt;'Entry Builder'!$E$10)))</f>
        <v/>
      </c>
      <c r="E1288">
        <f>IF('Entry Builder'!$N$11=0,1,IF('Entry Builder'!$D$11="Less",--(INDEX(Sims!$A1288:$BO1288,'Entry Builder'!$L$11)&lt;'Entry Builder'!$E$11),--(INDEX(Sims!$A1288:$BO1288,'Entry Builder'!$L$11)&gt;'Entry Builder'!$E$11)))</f>
        <v/>
      </c>
      <c r="F1288">
        <f>IF('Entry Builder'!$N$12=0,1,IF('Entry Builder'!$D$12="Less",--(INDEX(Sims!$A1288:$BO1288,'Entry Builder'!$L$12)&lt;'Entry Builder'!$E$12),--(INDEX(Sims!$A1288:$BO1288,'Entry Builder'!$L$12)&gt;'Entry Builder'!$E$12)))</f>
        <v/>
      </c>
      <c r="G1288">
        <f>6-SUM(A1288:F1288)</f>
        <v/>
      </c>
    </row>
    <row r="1289">
      <c r="A1289">
        <f>IF('Entry Builder'!$N$7=0,1,IF('Entry Builder'!$D$7="Less",--(INDEX(Sims!$A1289:$BO1289,'Entry Builder'!$L$7)&lt;'Entry Builder'!$E$7),--(INDEX(Sims!$A1289:$BO1289,'Entry Builder'!$L$7)&gt;'Entry Builder'!$E$7)))</f>
        <v/>
      </c>
      <c r="B1289">
        <f>IF('Entry Builder'!$N$8=0,1,IF('Entry Builder'!$D$8="Less",--(INDEX(Sims!$A1289:$BO1289,'Entry Builder'!$L$8)&lt;'Entry Builder'!$E$8),--(INDEX(Sims!$A1289:$BO1289,'Entry Builder'!$L$8)&gt;'Entry Builder'!$E$8)))</f>
        <v/>
      </c>
      <c r="C1289">
        <f>IF('Entry Builder'!$N$9=0,1,IF('Entry Builder'!$D$9="Less",--(INDEX(Sims!$A1289:$BO1289,'Entry Builder'!$L$9)&lt;'Entry Builder'!$E$9),--(INDEX(Sims!$A1289:$BO1289,'Entry Builder'!$L$9)&gt;'Entry Builder'!$E$9)))</f>
        <v/>
      </c>
      <c r="D1289">
        <f>IF('Entry Builder'!$N$10=0,1,IF('Entry Builder'!$D$10="Less",--(INDEX(Sims!$A1289:$BO1289,'Entry Builder'!$L$10)&lt;'Entry Builder'!$E$10),--(INDEX(Sims!$A1289:$BO1289,'Entry Builder'!$L$10)&gt;'Entry Builder'!$E$10)))</f>
        <v/>
      </c>
      <c r="E1289">
        <f>IF('Entry Builder'!$N$11=0,1,IF('Entry Builder'!$D$11="Less",--(INDEX(Sims!$A1289:$BO1289,'Entry Builder'!$L$11)&lt;'Entry Builder'!$E$11),--(INDEX(Sims!$A1289:$BO1289,'Entry Builder'!$L$11)&gt;'Entry Builder'!$E$11)))</f>
        <v/>
      </c>
      <c r="F1289">
        <f>IF('Entry Builder'!$N$12=0,1,IF('Entry Builder'!$D$12="Less",--(INDEX(Sims!$A1289:$BO1289,'Entry Builder'!$L$12)&lt;'Entry Builder'!$E$12),--(INDEX(Sims!$A1289:$BO1289,'Entry Builder'!$L$12)&gt;'Entry Builder'!$E$12)))</f>
        <v/>
      </c>
      <c r="G1289">
        <f>6-SUM(A1289:F1289)</f>
        <v/>
      </c>
    </row>
    <row r="1290">
      <c r="A1290">
        <f>IF('Entry Builder'!$N$7=0,1,IF('Entry Builder'!$D$7="Less",--(INDEX(Sims!$A1290:$BO1290,'Entry Builder'!$L$7)&lt;'Entry Builder'!$E$7),--(INDEX(Sims!$A1290:$BO1290,'Entry Builder'!$L$7)&gt;'Entry Builder'!$E$7)))</f>
        <v/>
      </c>
      <c r="B1290">
        <f>IF('Entry Builder'!$N$8=0,1,IF('Entry Builder'!$D$8="Less",--(INDEX(Sims!$A1290:$BO1290,'Entry Builder'!$L$8)&lt;'Entry Builder'!$E$8),--(INDEX(Sims!$A1290:$BO1290,'Entry Builder'!$L$8)&gt;'Entry Builder'!$E$8)))</f>
        <v/>
      </c>
      <c r="C1290">
        <f>IF('Entry Builder'!$N$9=0,1,IF('Entry Builder'!$D$9="Less",--(INDEX(Sims!$A1290:$BO1290,'Entry Builder'!$L$9)&lt;'Entry Builder'!$E$9),--(INDEX(Sims!$A1290:$BO1290,'Entry Builder'!$L$9)&gt;'Entry Builder'!$E$9)))</f>
        <v/>
      </c>
      <c r="D1290">
        <f>IF('Entry Builder'!$N$10=0,1,IF('Entry Builder'!$D$10="Less",--(INDEX(Sims!$A1290:$BO1290,'Entry Builder'!$L$10)&lt;'Entry Builder'!$E$10),--(INDEX(Sims!$A1290:$BO1290,'Entry Builder'!$L$10)&gt;'Entry Builder'!$E$10)))</f>
        <v/>
      </c>
      <c r="E1290">
        <f>IF('Entry Builder'!$N$11=0,1,IF('Entry Builder'!$D$11="Less",--(INDEX(Sims!$A1290:$BO1290,'Entry Builder'!$L$11)&lt;'Entry Builder'!$E$11),--(INDEX(Sims!$A1290:$BO1290,'Entry Builder'!$L$11)&gt;'Entry Builder'!$E$11)))</f>
        <v/>
      </c>
      <c r="F1290">
        <f>IF('Entry Builder'!$N$12=0,1,IF('Entry Builder'!$D$12="Less",--(INDEX(Sims!$A1290:$BO1290,'Entry Builder'!$L$12)&lt;'Entry Builder'!$E$12),--(INDEX(Sims!$A1290:$BO1290,'Entry Builder'!$L$12)&gt;'Entry Builder'!$E$12)))</f>
        <v/>
      </c>
      <c r="G1290">
        <f>6-SUM(A1290:F1290)</f>
        <v/>
      </c>
    </row>
    <row r="1291">
      <c r="A1291">
        <f>IF('Entry Builder'!$N$7=0,1,IF('Entry Builder'!$D$7="Less",--(INDEX(Sims!$A1291:$BO1291,'Entry Builder'!$L$7)&lt;'Entry Builder'!$E$7),--(INDEX(Sims!$A1291:$BO1291,'Entry Builder'!$L$7)&gt;'Entry Builder'!$E$7)))</f>
        <v/>
      </c>
      <c r="B1291">
        <f>IF('Entry Builder'!$N$8=0,1,IF('Entry Builder'!$D$8="Less",--(INDEX(Sims!$A1291:$BO1291,'Entry Builder'!$L$8)&lt;'Entry Builder'!$E$8),--(INDEX(Sims!$A1291:$BO1291,'Entry Builder'!$L$8)&gt;'Entry Builder'!$E$8)))</f>
        <v/>
      </c>
      <c r="C1291">
        <f>IF('Entry Builder'!$N$9=0,1,IF('Entry Builder'!$D$9="Less",--(INDEX(Sims!$A1291:$BO1291,'Entry Builder'!$L$9)&lt;'Entry Builder'!$E$9),--(INDEX(Sims!$A1291:$BO1291,'Entry Builder'!$L$9)&gt;'Entry Builder'!$E$9)))</f>
        <v/>
      </c>
      <c r="D1291">
        <f>IF('Entry Builder'!$N$10=0,1,IF('Entry Builder'!$D$10="Less",--(INDEX(Sims!$A1291:$BO1291,'Entry Builder'!$L$10)&lt;'Entry Builder'!$E$10),--(INDEX(Sims!$A1291:$BO1291,'Entry Builder'!$L$10)&gt;'Entry Builder'!$E$10)))</f>
        <v/>
      </c>
      <c r="E1291">
        <f>IF('Entry Builder'!$N$11=0,1,IF('Entry Builder'!$D$11="Less",--(INDEX(Sims!$A1291:$BO1291,'Entry Builder'!$L$11)&lt;'Entry Builder'!$E$11),--(INDEX(Sims!$A1291:$BO1291,'Entry Builder'!$L$11)&gt;'Entry Builder'!$E$11)))</f>
        <v/>
      </c>
      <c r="F1291">
        <f>IF('Entry Builder'!$N$12=0,1,IF('Entry Builder'!$D$12="Less",--(INDEX(Sims!$A1291:$BO1291,'Entry Builder'!$L$12)&lt;'Entry Builder'!$E$12),--(INDEX(Sims!$A1291:$BO1291,'Entry Builder'!$L$12)&gt;'Entry Builder'!$E$12)))</f>
        <v/>
      </c>
      <c r="G1291">
        <f>6-SUM(A1291:F1291)</f>
        <v/>
      </c>
    </row>
    <row r="1292">
      <c r="A1292">
        <f>IF('Entry Builder'!$N$7=0,1,IF('Entry Builder'!$D$7="Less",--(INDEX(Sims!$A1292:$BO1292,'Entry Builder'!$L$7)&lt;'Entry Builder'!$E$7),--(INDEX(Sims!$A1292:$BO1292,'Entry Builder'!$L$7)&gt;'Entry Builder'!$E$7)))</f>
        <v/>
      </c>
      <c r="B1292">
        <f>IF('Entry Builder'!$N$8=0,1,IF('Entry Builder'!$D$8="Less",--(INDEX(Sims!$A1292:$BO1292,'Entry Builder'!$L$8)&lt;'Entry Builder'!$E$8),--(INDEX(Sims!$A1292:$BO1292,'Entry Builder'!$L$8)&gt;'Entry Builder'!$E$8)))</f>
        <v/>
      </c>
      <c r="C1292">
        <f>IF('Entry Builder'!$N$9=0,1,IF('Entry Builder'!$D$9="Less",--(INDEX(Sims!$A1292:$BO1292,'Entry Builder'!$L$9)&lt;'Entry Builder'!$E$9),--(INDEX(Sims!$A1292:$BO1292,'Entry Builder'!$L$9)&gt;'Entry Builder'!$E$9)))</f>
        <v/>
      </c>
      <c r="D1292">
        <f>IF('Entry Builder'!$N$10=0,1,IF('Entry Builder'!$D$10="Less",--(INDEX(Sims!$A1292:$BO1292,'Entry Builder'!$L$10)&lt;'Entry Builder'!$E$10),--(INDEX(Sims!$A1292:$BO1292,'Entry Builder'!$L$10)&gt;'Entry Builder'!$E$10)))</f>
        <v/>
      </c>
      <c r="E1292">
        <f>IF('Entry Builder'!$N$11=0,1,IF('Entry Builder'!$D$11="Less",--(INDEX(Sims!$A1292:$BO1292,'Entry Builder'!$L$11)&lt;'Entry Builder'!$E$11),--(INDEX(Sims!$A1292:$BO1292,'Entry Builder'!$L$11)&gt;'Entry Builder'!$E$11)))</f>
        <v/>
      </c>
      <c r="F1292">
        <f>IF('Entry Builder'!$N$12=0,1,IF('Entry Builder'!$D$12="Less",--(INDEX(Sims!$A1292:$BO1292,'Entry Builder'!$L$12)&lt;'Entry Builder'!$E$12),--(INDEX(Sims!$A1292:$BO1292,'Entry Builder'!$L$12)&gt;'Entry Builder'!$E$12)))</f>
        <v/>
      </c>
      <c r="G1292">
        <f>6-SUM(A1292:F1292)</f>
        <v/>
      </c>
    </row>
    <row r="1293">
      <c r="A1293">
        <f>IF('Entry Builder'!$N$7=0,1,IF('Entry Builder'!$D$7="Less",--(INDEX(Sims!$A1293:$BO1293,'Entry Builder'!$L$7)&lt;'Entry Builder'!$E$7),--(INDEX(Sims!$A1293:$BO1293,'Entry Builder'!$L$7)&gt;'Entry Builder'!$E$7)))</f>
        <v/>
      </c>
      <c r="B1293">
        <f>IF('Entry Builder'!$N$8=0,1,IF('Entry Builder'!$D$8="Less",--(INDEX(Sims!$A1293:$BO1293,'Entry Builder'!$L$8)&lt;'Entry Builder'!$E$8),--(INDEX(Sims!$A1293:$BO1293,'Entry Builder'!$L$8)&gt;'Entry Builder'!$E$8)))</f>
        <v/>
      </c>
      <c r="C1293">
        <f>IF('Entry Builder'!$N$9=0,1,IF('Entry Builder'!$D$9="Less",--(INDEX(Sims!$A1293:$BO1293,'Entry Builder'!$L$9)&lt;'Entry Builder'!$E$9),--(INDEX(Sims!$A1293:$BO1293,'Entry Builder'!$L$9)&gt;'Entry Builder'!$E$9)))</f>
        <v/>
      </c>
      <c r="D1293">
        <f>IF('Entry Builder'!$N$10=0,1,IF('Entry Builder'!$D$10="Less",--(INDEX(Sims!$A1293:$BO1293,'Entry Builder'!$L$10)&lt;'Entry Builder'!$E$10),--(INDEX(Sims!$A1293:$BO1293,'Entry Builder'!$L$10)&gt;'Entry Builder'!$E$10)))</f>
        <v/>
      </c>
      <c r="E1293">
        <f>IF('Entry Builder'!$N$11=0,1,IF('Entry Builder'!$D$11="Less",--(INDEX(Sims!$A1293:$BO1293,'Entry Builder'!$L$11)&lt;'Entry Builder'!$E$11),--(INDEX(Sims!$A1293:$BO1293,'Entry Builder'!$L$11)&gt;'Entry Builder'!$E$11)))</f>
        <v/>
      </c>
      <c r="F1293">
        <f>IF('Entry Builder'!$N$12=0,1,IF('Entry Builder'!$D$12="Less",--(INDEX(Sims!$A1293:$BO1293,'Entry Builder'!$L$12)&lt;'Entry Builder'!$E$12),--(INDEX(Sims!$A1293:$BO1293,'Entry Builder'!$L$12)&gt;'Entry Builder'!$E$12)))</f>
        <v/>
      </c>
      <c r="G1293">
        <f>6-SUM(A1293:F1293)</f>
        <v/>
      </c>
    </row>
    <row r="1294">
      <c r="A1294">
        <f>IF('Entry Builder'!$N$7=0,1,IF('Entry Builder'!$D$7="Less",--(INDEX(Sims!$A1294:$BO1294,'Entry Builder'!$L$7)&lt;'Entry Builder'!$E$7),--(INDEX(Sims!$A1294:$BO1294,'Entry Builder'!$L$7)&gt;'Entry Builder'!$E$7)))</f>
        <v/>
      </c>
      <c r="B1294">
        <f>IF('Entry Builder'!$N$8=0,1,IF('Entry Builder'!$D$8="Less",--(INDEX(Sims!$A1294:$BO1294,'Entry Builder'!$L$8)&lt;'Entry Builder'!$E$8),--(INDEX(Sims!$A1294:$BO1294,'Entry Builder'!$L$8)&gt;'Entry Builder'!$E$8)))</f>
        <v/>
      </c>
      <c r="C1294">
        <f>IF('Entry Builder'!$N$9=0,1,IF('Entry Builder'!$D$9="Less",--(INDEX(Sims!$A1294:$BO1294,'Entry Builder'!$L$9)&lt;'Entry Builder'!$E$9),--(INDEX(Sims!$A1294:$BO1294,'Entry Builder'!$L$9)&gt;'Entry Builder'!$E$9)))</f>
        <v/>
      </c>
      <c r="D1294">
        <f>IF('Entry Builder'!$N$10=0,1,IF('Entry Builder'!$D$10="Less",--(INDEX(Sims!$A1294:$BO1294,'Entry Builder'!$L$10)&lt;'Entry Builder'!$E$10),--(INDEX(Sims!$A1294:$BO1294,'Entry Builder'!$L$10)&gt;'Entry Builder'!$E$10)))</f>
        <v/>
      </c>
      <c r="E1294">
        <f>IF('Entry Builder'!$N$11=0,1,IF('Entry Builder'!$D$11="Less",--(INDEX(Sims!$A1294:$BO1294,'Entry Builder'!$L$11)&lt;'Entry Builder'!$E$11),--(INDEX(Sims!$A1294:$BO1294,'Entry Builder'!$L$11)&gt;'Entry Builder'!$E$11)))</f>
        <v/>
      </c>
      <c r="F1294">
        <f>IF('Entry Builder'!$N$12=0,1,IF('Entry Builder'!$D$12="Less",--(INDEX(Sims!$A1294:$BO1294,'Entry Builder'!$L$12)&lt;'Entry Builder'!$E$12),--(INDEX(Sims!$A1294:$BO1294,'Entry Builder'!$L$12)&gt;'Entry Builder'!$E$12)))</f>
        <v/>
      </c>
      <c r="G1294">
        <f>6-SUM(A1294:F1294)</f>
        <v/>
      </c>
    </row>
    <row r="1295">
      <c r="A1295">
        <f>IF('Entry Builder'!$N$7=0,1,IF('Entry Builder'!$D$7="Less",--(INDEX(Sims!$A1295:$BO1295,'Entry Builder'!$L$7)&lt;'Entry Builder'!$E$7),--(INDEX(Sims!$A1295:$BO1295,'Entry Builder'!$L$7)&gt;'Entry Builder'!$E$7)))</f>
        <v/>
      </c>
      <c r="B1295">
        <f>IF('Entry Builder'!$N$8=0,1,IF('Entry Builder'!$D$8="Less",--(INDEX(Sims!$A1295:$BO1295,'Entry Builder'!$L$8)&lt;'Entry Builder'!$E$8),--(INDEX(Sims!$A1295:$BO1295,'Entry Builder'!$L$8)&gt;'Entry Builder'!$E$8)))</f>
        <v/>
      </c>
      <c r="C1295">
        <f>IF('Entry Builder'!$N$9=0,1,IF('Entry Builder'!$D$9="Less",--(INDEX(Sims!$A1295:$BO1295,'Entry Builder'!$L$9)&lt;'Entry Builder'!$E$9),--(INDEX(Sims!$A1295:$BO1295,'Entry Builder'!$L$9)&gt;'Entry Builder'!$E$9)))</f>
        <v/>
      </c>
      <c r="D1295">
        <f>IF('Entry Builder'!$N$10=0,1,IF('Entry Builder'!$D$10="Less",--(INDEX(Sims!$A1295:$BO1295,'Entry Builder'!$L$10)&lt;'Entry Builder'!$E$10),--(INDEX(Sims!$A1295:$BO1295,'Entry Builder'!$L$10)&gt;'Entry Builder'!$E$10)))</f>
        <v/>
      </c>
      <c r="E1295">
        <f>IF('Entry Builder'!$N$11=0,1,IF('Entry Builder'!$D$11="Less",--(INDEX(Sims!$A1295:$BO1295,'Entry Builder'!$L$11)&lt;'Entry Builder'!$E$11),--(INDEX(Sims!$A1295:$BO1295,'Entry Builder'!$L$11)&gt;'Entry Builder'!$E$11)))</f>
        <v/>
      </c>
      <c r="F1295">
        <f>IF('Entry Builder'!$N$12=0,1,IF('Entry Builder'!$D$12="Less",--(INDEX(Sims!$A1295:$BO1295,'Entry Builder'!$L$12)&lt;'Entry Builder'!$E$12),--(INDEX(Sims!$A1295:$BO1295,'Entry Builder'!$L$12)&gt;'Entry Builder'!$E$12)))</f>
        <v/>
      </c>
      <c r="G1295">
        <f>6-SUM(A1295:F1295)</f>
        <v/>
      </c>
    </row>
    <row r="1296">
      <c r="A1296">
        <f>IF('Entry Builder'!$N$7=0,1,IF('Entry Builder'!$D$7="Less",--(INDEX(Sims!$A1296:$BO1296,'Entry Builder'!$L$7)&lt;'Entry Builder'!$E$7),--(INDEX(Sims!$A1296:$BO1296,'Entry Builder'!$L$7)&gt;'Entry Builder'!$E$7)))</f>
        <v/>
      </c>
      <c r="B1296">
        <f>IF('Entry Builder'!$N$8=0,1,IF('Entry Builder'!$D$8="Less",--(INDEX(Sims!$A1296:$BO1296,'Entry Builder'!$L$8)&lt;'Entry Builder'!$E$8),--(INDEX(Sims!$A1296:$BO1296,'Entry Builder'!$L$8)&gt;'Entry Builder'!$E$8)))</f>
        <v/>
      </c>
      <c r="C1296">
        <f>IF('Entry Builder'!$N$9=0,1,IF('Entry Builder'!$D$9="Less",--(INDEX(Sims!$A1296:$BO1296,'Entry Builder'!$L$9)&lt;'Entry Builder'!$E$9),--(INDEX(Sims!$A1296:$BO1296,'Entry Builder'!$L$9)&gt;'Entry Builder'!$E$9)))</f>
        <v/>
      </c>
      <c r="D1296">
        <f>IF('Entry Builder'!$N$10=0,1,IF('Entry Builder'!$D$10="Less",--(INDEX(Sims!$A1296:$BO1296,'Entry Builder'!$L$10)&lt;'Entry Builder'!$E$10),--(INDEX(Sims!$A1296:$BO1296,'Entry Builder'!$L$10)&gt;'Entry Builder'!$E$10)))</f>
        <v/>
      </c>
      <c r="E1296">
        <f>IF('Entry Builder'!$N$11=0,1,IF('Entry Builder'!$D$11="Less",--(INDEX(Sims!$A1296:$BO1296,'Entry Builder'!$L$11)&lt;'Entry Builder'!$E$11),--(INDEX(Sims!$A1296:$BO1296,'Entry Builder'!$L$11)&gt;'Entry Builder'!$E$11)))</f>
        <v/>
      </c>
      <c r="F1296">
        <f>IF('Entry Builder'!$N$12=0,1,IF('Entry Builder'!$D$12="Less",--(INDEX(Sims!$A1296:$BO1296,'Entry Builder'!$L$12)&lt;'Entry Builder'!$E$12),--(INDEX(Sims!$A1296:$BO1296,'Entry Builder'!$L$12)&gt;'Entry Builder'!$E$12)))</f>
        <v/>
      </c>
      <c r="G1296">
        <f>6-SUM(A1296:F1296)</f>
        <v/>
      </c>
    </row>
    <row r="1297">
      <c r="A1297">
        <f>IF('Entry Builder'!$N$7=0,1,IF('Entry Builder'!$D$7="Less",--(INDEX(Sims!$A1297:$BO1297,'Entry Builder'!$L$7)&lt;'Entry Builder'!$E$7),--(INDEX(Sims!$A1297:$BO1297,'Entry Builder'!$L$7)&gt;'Entry Builder'!$E$7)))</f>
        <v/>
      </c>
      <c r="B1297">
        <f>IF('Entry Builder'!$N$8=0,1,IF('Entry Builder'!$D$8="Less",--(INDEX(Sims!$A1297:$BO1297,'Entry Builder'!$L$8)&lt;'Entry Builder'!$E$8),--(INDEX(Sims!$A1297:$BO1297,'Entry Builder'!$L$8)&gt;'Entry Builder'!$E$8)))</f>
        <v/>
      </c>
      <c r="C1297">
        <f>IF('Entry Builder'!$N$9=0,1,IF('Entry Builder'!$D$9="Less",--(INDEX(Sims!$A1297:$BO1297,'Entry Builder'!$L$9)&lt;'Entry Builder'!$E$9),--(INDEX(Sims!$A1297:$BO1297,'Entry Builder'!$L$9)&gt;'Entry Builder'!$E$9)))</f>
        <v/>
      </c>
      <c r="D1297">
        <f>IF('Entry Builder'!$N$10=0,1,IF('Entry Builder'!$D$10="Less",--(INDEX(Sims!$A1297:$BO1297,'Entry Builder'!$L$10)&lt;'Entry Builder'!$E$10),--(INDEX(Sims!$A1297:$BO1297,'Entry Builder'!$L$10)&gt;'Entry Builder'!$E$10)))</f>
        <v/>
      </c>
      <c r="E1297">
        <f>IF('Entry Builder'!$N$11=0,1,IF('Entry Builder'!$D$11="Less",--(INDEX(Sims!$A1297:$BO1297,'Entry Builder'!$L$11)&lt;'Entry Builder'!$E$11),--(INDEX(Sims!$A1297:$BO1297,'Entry Builder'!$L$11)&gt;'Entry Builder'!$E$11)))</f>
        <v/>
      </c>
      <c r="F1297">
        <f>IF('Entry Builder'!$N$12=0,1,IF('Entry Builder'!$D$12="Less",--(INDEX(Sims!$A1297:$BO1297,'Entry Builder'!$L$12)&lt;'Entry Builder'!$E$12),--(INDEX(Sims!$A1297:$BO1297,'Entry Builder'!$L$12)&gt;'Entry Builder'!$E$12)))</f>
        <v/>
      </c>
      <c r="G1297">
        <f>6-SUM(A1297:F1297)</f>
        <v/>
      </c>
    </row>
    <row r="1298">
      <c r="A1298">
        <f>IF('Entry Builder'!$N$7=0,1,IF('Entry Builder'!$D$7="Less",--(INDEX(Sims!$A1298:$BO1298,'Entry Builder'!$L$7)&lt;'Entry Builder'!$E$7),--(INDEX(Sims!$A1298:$BO1298,'Entry Builder'!$L$7)&gt;'Entry Builder'!$E$7)))</f>
        <v/>
      </c>
      <c r="B1298">
        <f>IF('Entry Builder'!$N$8=0,1,IF('Entry Builder'!$D$8="Less",--(INDEX(Sims!$A1298:$BO1298,'Entry Builder'!$L$8)&lt;'Entry Builder'!$E$8),--(INDEX(Sims!$A1298:$BO1298,'Entry Builder'!$L$8)&gt;'Entry Builder'!$E$8)))</f>
        <v/>
      </c>
      <c r="C1298">
        <f>IF('Entry Builder'!$N$9=0,1,IF('Entry Builder'!$D$9="Less",--(INDEX(Sims!$A1298:$BO1298,'Entry Builder'!$L$9)&lt;'Entry Builder'!$E$9),--(INDEX(Sims!$A1298:$BO1298,'Entry Builder'!$L$9)&gt;'Entry Builder'!$E$9)))</f>
        <v/>
      </c>
      <c r="D1298">
        <f>IF('Entry Builder'!$N$10=0,1,IF('Entry Builder'!$D$10="Less",--(INDEX(Sims!$A1298:$BO1298,'Entry Builder'!$L$10)&lt;'Entry Builder'!$E$10),--(INDEX(Sims!$A1298:$BO1298,'Entry Builder'!$L$10)&gt;'Entry Builder'!$E$10)))</f>
        <v/>
      </c>
      <c r="E1298">
        <f>IF('Entry Builder'!$N$11=0,1,IF('Entry Builder'!$D$11="Less",--(INDEX(Sims!$A1298:$BO1298,'Entry Builder'!$L$11)&lt;'Entry Builder'!$E$11),--(INDEX(Sims!$A1298:$BO1298,'Entry Builder'!$L$11)&gt;'Entry Builder'!$E$11)))</f>
        <v/>
      </c>
      <c r="F1298">
        <f>IF('Entry Builder'!$N$12=0,1,IF('Entry Builder'!$D$12="Less",--(INDEX(Sims!$A1298:$BO1298,'Entry Builder'!$L$12)&lt;'Entry Builder'!$E$12),--(INDEX(Sims!$A1298:$BO1298,'Entry Builder'!$L$12)&gt;'Entry Builder'!$E$12)))</f>
        <v/>
      </c>
      <c r="G1298">
        <f>6-SUM(A1298:F1298)</f>
        <v/>
      </c>
    </row>
    <row r="1299">
      <c r="A1299">
        <f>IF('Entry Builder'!$N$7=0,1,IF('Entry Builder'!$D$7="Less",--(INDEX(Sims!$A1299:$BO1299,'Entry Builder'!$L$7)&lt;'Entry Builder'!$E$7),--(INDEX(Sims!$A1299:$BO1299,'Entry Builder'!$L$7)&gt;'Entry Builder'!$E$7)))</f>
        <v/>
      </c>
      <c r="B1299">
        <f>IF('Entry Builder'!$N$8=0,1,IF('Entry Builder'!$D$8="Less",--(INDEX(Sims!$A1299:$BO1299,'Entry Builder'!$L$8)&lt;'Entry Builder'!$E$8),--(INDEX(Sims!$A1299:$BO1299,'Entry Builder'!$L$8)&gt;'Entry Builder'!$E$8)))</f>
        <v/>
      </c>
      <c r="C1299">
        <f>IF('Entry Builder'!$N$9=0,1,IF('Entry Builder'!$D$9="Less",--(INDEX(Sims!$A1299:$BO1299,'Entry Builder'!$L$9)&lt;'Entry Builder'!$E$9),--(INDEX(Sims!$A1299:$BO1299,'Entry Builder'!$L$9)&gt;'Entry Builder'!$E$9)))</f>
        <v/>
      </c>
      <c r="D1299">
        <f>IF('Entry Builder'!$N$10=0,1,IF('Entry Builder'!$D$10="Less",--(INDEX(Sims!$A1299:$BO1299,'Entry Builder'!$L$10)&lt;'Entry Builder'!$E$10),--(INDEX(Sims!$A1299:$BO1299,'Entry Builder'!$L$10)&gt;'Entry Builder'!$E$10)))</f>
        <v/>
      </c>
      <c r="E1299">
        <f>IF('Entry Builder'!$N$11=0,1,IF('Entry Builder'!$D$11="Less",--(INDEX(Sims!$A1299:$BO1299,'Entry Builder'!$L$11)&lt;'Entry Builder'!$E$11),--(INDEX(Sims!$A1299:$BO1299,'Entry Builder'!$L$11)&gt;'Entry Builder'!$E$11)))</f>
        <v/>
      </c>
      <c r="F1299">
        <f>IF('Entry Builder'!$N$12=0,1,IF('Entry Builder'!$D$12="Less",--(INDEX(Sims!$A1299:$BO1299,'Entry Builder'!$L$12)&lt;'Entry Builder'!$E$12),--(INDEX(Sims!$A1299:$BO1299,'Entry Builder'!$L$12)&gt;'Entry Builder'!$E$12)))</f>
        <v/>
      </c>
      <c r="G1299">
        <f>6-SUM(A1299:F1299)</f>
        <v/>
      </c>
    </row>
    <row r="1300">
      <c r="A1300">
        <f>IF('Entry Builder'!$N$7=0,1,IF('Entry Builder'!$D$7="Less",--(INDEX(Sims!$A1300:$BO1300,'Entry Builder'!$L$7)&lt;'Entry Builder'!$E$7),--(INDEX(Sims!$A1300:$BO1300,'Entry Builder'!$L$7)&gt;'Entry Builder'!$E$7)))</f>
        <v/>
      </c>
      <c r="B1300">
        <f>IF('Entry Builder'!$N$8=0,1,IF('Entry Builder'!$D$8="Less",--(INDEX(Sims!$A1300:$BO1300,'Entry Builder'!$L$8)&lt;'Entry Builder'!$E$8),--(INDEX(Sims!$A1300:$BO1300,'Entry Builder'!$L$8)&gt;'Entry Builder'!$E$8)))</f>
        <v/>
      </c>
      <c r="C1300">
        <f>IF('Entry Builder'!$N$9=0,1,IF('Entry Builder'!$D$9="Less",--(INDEX(Sims!$A1300:$BO1300,'Entry Builder'!$L$9)&lt;'Entry Builder'!$E$9),--(INDEX(Sims!$A1300:$BO1300,'Entry Builder'!$L$9)&gt;'Entry Builder'!$E$9)))</f>
        <v/>
      </c>
      <c r="D1300">
        <f>IF('Entry Builder'!$N$10=0,1,IF('Entry Builder'!$D$10="Less",--(INDEX(Sims!$A1300:$BO1300,'Entry Builder'!$L$10)&lt;'Entry Builder'!$E$10),--(INDEX(Sims!$A1300:$BO1300,'Entry Builder'!$L$10)&gt;'Entry Builder'!$E$10)))</f>
        <v/>
      </c>
      <c r="E1300">
        <f>IF('Entry Builder'!$N$11=0,1,IF('Entry Builder'!$D$11="Less",--(INDEX(Sims!$A1300:$BO1300,'Entry Builder'!$L$11)&lt;'Entry Builder'!$E$11),--(INDEX(Sims!$A1300:$BO1300,'Entry Builder'!$L$11)&gt;'Entry Builder'!$E$11)))</f>
        <v/>
      </c>
      <c r="F1300">
        <f>IF('Entry Builder'!$N$12=0,1,IF('Entry Builder'!$D$12="Less",--(INDEX(Sims!$A1300:$BO1300,'Entry Builder'!$L$12)&lt;'Entry Builder'!$E$12),--(INDEX(Sims!$A1300:$BO1300,'Entry Builder'!$L$12)&gt;'Entry Builder'!$E$12)))</f>
        <v/>
      </c>
      <c r="G1300">
        <f>6-SUM(A1300:F1300)</f>
        <v/>
      </c>
    </row>
    <row r="1301">
      <c r="A1301">
        <f>IF('Entry Builder'!$N$7=0,1,IF('Entry Builder'!$D$7="Less",--(INDEX(Sims!$A1301:$BO1301,'Entry Builder'!$L$7)&lt;'Entry Builder'!$E$7),--(INDEX(Sims!$A1301:$BO1301,'Entry Builder'!$L$7)&gt;'Entry Builder'!$E$7)))</f>
        <v/>
      </c>
      <c r="B1301">
        <f>IF('Entry Builder'!$N$8=0,1,IF('Entry Builder'!$D$8="Less",--(INDEX(Sims!$A1301:$BO1301,'Entry Builder'!$L$8)&lt;'Entry Builder'!$E$8),--(INDEX(Sims!$A1301:$BO1301,'Entry Builder'!$L$8)&gt;'Entry Builder'!$E$8)))</f>
        <v/>
      </c>
      <c r="C1301">
        <f>IF('Entry Builder'!$N$9=0,1,IF('Entry Builder'!$D$9="Less",--(INDEX(Sims!$A1301:$BO1301,'Entry Builder'!$L$9)&lt;'Entry Builder'!$E$9),--(INDEX(Sims!$A1301:$BO1301,'Entry Builder'!$L$9)&gt;'Entry Builder'!$E$9)))</f>
        <v/>
      </c>
      <c r="D1301">
        <f>IF('Entry Builder'!$N$10=0,1,IF('Entry Builder'!$D$10="Less",--(INDEX(Sims!$A1301:$BO1301,'Entry Builder'!$L$10)&lt;'Entry Builder'!$E$10),--(INDEX(Sims!$A1301:$BO1301,'Entry Builder'!$L$10)&gt;'Entry Builder'!$E$10)))</f>
        <v/>
      </c>
      <c r="E1301">
        <f>IF('Entry Builder'!$N$11=0,1,IF('Entry Builder'!$D$11="Less",--(INDEX(Sims!$A1301:$BO1301,'Entry Builder'!$L$11)&lt;'Entry Builder'!$E$11),--(INDEX(Sims!$A1301:$BO1301,'Entry Builder'!$L$11)&gt;'Entry Builder'!$E$11)))</f>
        <v/>
      </c>
      <c r="F1301">
        <f>IF('Entry Builder'!$N$12=0,1,IF('Entry Builder'!$D$12="Less",--(INDEX(Sims!$A1301:$BO1301,'Entry Builder'!$L$12)&lt;'Entry Builder'!$E$12),--(INDEX(Sims!$A1301:$BO1301,'Entry Builder'!$L$12)&gt;'Entry Builder'!$E$12)))</f>
        <v/>
      </c>
      <c r="G1301">
        <f>6-SUM(A1301:F1301)</f>
        <v/>
      </c>
    </row>
    <row r="1302">
      <c r="A1302">
        <f>IF('Entry Builder'!$N$7=0,1,IF('Entry Builder'!$D$7="Less",--(INDEX(Sims!$A1302:$BO1302,'Entry Builder'!$L$7)&lt;'Entry Builder'!$E$7),--(INDEX(Sims!$A1302:$BO1302,'Entry Builder'!$L$7)&gt;'Entry Builder'!$E$7)))</f>
        <v/>
      </c>
      <c r="B1302">
        <f>IF('Entry Builder'!$N$8=0,1,IF('Entry Builder'!$D$8="Less",--(INDEX(Sims!$A1302:$BO1302,'Entry Builder'!$L$8)&lt;'Entry Builder'!$E$8),--(INDEX(Sims!$A1302:$BO1302,'Entry Builder'!$L$8)&gt;'Entry Builder'!$E$8)))</f>
        <v/>
      </c>
      <c r="C1302">
        <f>IF('Entry Builder'!$N$9=0,1,IF('Entry Builder'!$D$9="Less",--(INDEX(Sims!$A1302:$BO1302,'Entry Builder'!$L$9)&lt;'Entry Builder'!$E$9),--(INDEX(Sims!$A1302:$BO1302,'Entry Builder'!$L$9)&gt;'Entry Builder'!$E$9)))</f>
        <v/>
      </c>
      <c r="D1302">
        <f>IF('Entry Builder'!$N$10=0,1,IF('Entry Builder'!$D$10="Less",--(INDEX(Sims!$A1302:$BO1302,'Entry Builder'!$L$10)&lt;'Entry Builder'!$E$10),--(INDEX(Sims!$A1302:$BO1302,'Entry Builder'!$L$10)&gt;'Entry Builder'!$E$10)))</f>
        <v/>
      </c>
      <c r="E1302">
        <f>IF('Entry Builder'!$N$11=0,1,IF('Entry Builder'!$D$11="Less",--(INDEX(Sims!$A1302:$BO1302,'Entry Builder'!$L$11)&lt;'Entry Builder'!$E$11),--(INDEX(Sims!$A1302:$BO1302,'Entry Builder'!$L$11)&gt;'Entry Builder'!$E$11)))</f>
        <v/>
      </c>
      <c r="F1302">
        <f>IF('Entry Builder'!$N$12=0,1,IF('Entry Builder'!$D$12="Less",--(INDEX(Sims!$A1302:$BO1302,'Entry Builder'!$L$12)&lt;'Entry Builder'!$E$12),--(INDEX(Sims!$A1302:$BO1302,'Entry Builder'!$L$12)&gt;'Entry Builder'!$E$12)))</f>
        <v/>
      </c>
      <c r="G1302">
        <f>6-SUM(A1302:F1302)</f>
        <v/>
      </c>
    </row>
    <row r="1303">
      <c r="A1303">
        <f>IF('Entry Builder'!$N$7=0,1,IF('Entry Builder'!$D$7="Less",--(INDEX(Sims!$A1303:$BO1303,'Entry Builder'!$L$7)&lt;'Entry Builder'!$E$7),--(INDEX(Sims!$A1303:$BO1303,'Entry Builder'!$L$7)&gt;'Entry Builder'!$E$7)))</f>
        <v/>
      </c>
      <c r="B1303">
        <f>IF('Entry Builder'!$N$8=0,1,IF('Entry Builder'!$D$8="Less",--(INDEX(Sims!$A1303:$BO1303,'Entry Builder'!$L$8)&lt;'Entry Builder'!$E$8),--(INDEX(Sims!$A1303:$BO1303,'Entry Builder'!$L$8)&gt;'Entry Builder'!$E$8)))</f>
        <v/>
      </c>
      <c r="C1303">
        <f>IF('Entry Builder'!$N$9=0,1,IF('Entry Builder'!$D$9="Less",--(INDEX(Sims!$A1303:$BO1303,'Entry Builder'!$L$9)&lt;'Entry Builder'!$E$9),--(INDEX(Sims!$A1303:$BO1303,'Entry Builder'!$L$9)&gt;'Entry Builder'!$E$9)))</f>
        <v/>
      </c>
      <c r="D1303">
        <f>IF('Entry Builder'!$N$10=0,1,IF('Entry Builder'!$D$10="Less",--(INDEX(Sims!$A1303:$BO1303,'Entry Builder'!$L$10)&lt;'Entry Builder'!$E$10),--(INDEX(Sims!$A1303:$BO1303,'Entry Builder'!$L$10)&gt;'Entry Builder'!$E$10)))</f>
        <v/>
      </c>
      <c r="E1303">
        <f>IF('Entry Builder'!$N$11=0,1,IF('Entry Builder'!$D$11="Less",--(INDEX(Sims!$A1303:$BO1303,'Entry Builder'!$L$11)&lt;'Entry Builder'!$E$11),--(INDEX(Sims!$A1303:$BO1303,'Entry Builder'!$L$11)&gt;'Entry Builder'!$E$11)))</f>
        <v/>
      </c>
      <c r="F1303">
        <f>IF('Entry Builder'!$N$12=0,1,IF('Entry Builder'!$D$12="Less",--(INDEX(Sims!$A1303:$BO1303,'Entry Builder'!$L$12)&lt;'Entry Builder'!$E$12),--(INDEX(Sims!$A1303:$BO1303,'Entry Builder'!$L$12)&gt;'Entry Builder'!$E$12)))</f>
        <v/>
      </c>
      <c r="G1303">
        <f>6-SUM(A1303:F1303)</f>
        <v/>
      </c>
    </row>
    <row r="1304">
      <c r="A1304">
        <f>IF('Entry Builder'!$N$7=0,1,IF('Entry Builder'!$D$7="Less",--(INDEX(Sims!$A1304:$BO1304,'Entry Builder'!$L$7)&lt;'Entry Builder'!$E$7),--(INDEX(Sims!$A1304:$BO1304,'Entry Builder'!$L$7)&gt;'Entry Builder'!$E$7)))</f>
        <v/>
      </c>
      <c r="B1304">
        <f>IF('Entry Builder'!$N$8=0,1,IF('Entry Builder'!$D$8="Less",--(INDEX(Sims!$A1304:$BO1304,'Entry Builder'!$L$8)&lt;'Entry Builder'!$E$8),--(INDEX(Sims!$A1304:$BO1304,'Entry Builder'!$L$8)&gt;'Entry Builder'!$E$8)))</f>
        <v/>
      </c>
      <c r="C1304">
        <f>IF('Entry Builder'!$N$9=0,1,IF('Entry Builder'!$D$9="Less",--(INDEX(Sims!$A1304:$BO1304,'Entry Builder'!$L$9)&lt;'Entry Builder'!$E$9),--(INDEX(Sims!$A1304:$BO1304,'Entry Builder'!$L$9)&gt;'Entry Builder'!$E$9)))</f>
        <v/>
      </c>
      <c r="D1304">
        <f>IF('Entry Builder'!$N$10=0,1,IF('Entry Builder'!$D$10="Less",--(INDEX(Sims!$A1304:$BO1304,'Entry Builder'!$L$10)&lt;'Entry Builder'!$E$10),--(INDEX(Sims!$A1304:$BO1304,'Entry Builder'!$L$10)&gt;'Entry Builder'!$E$10)))</f>
        <v/>
      </c>
      <c r="E1304">
        <f>IF('Entry Builder'!$N$11=0,1,IF('Entry Builder'!$D$11="Less",--(INDEX(Sims!$A1304:$BO1304,'Entry Builder'!$L$11)&lt;'Entry Builder'!$E$11),--(INDEX(Sims!$A1304:$BO1304,'Entry Builder'!$L$11)&gt;'Entry Builder'!$E$11)))</f>
        <v/>
      </c>
      <c r="F1304">
        <f>IF('Entry Builder'!$N$12=0,1,IF('Entry Builder'!$D$12="Less",--(INDEX(Sims!$A1304:$BO1304,'Entry Builder'!$L$12)&lt;'Entry Builder'!$E$12),--(INDEX(Sims!$A1304:$BO1304,'Entry Builder'!$L$12)&gt;'Entry Builder'!$E$12)))</f>
        <v/>
      </c>
      <c r="G1304">
        <f>6-SUM(A1304:F1304)</f>
        <v/>
      </c>
    </row>
    <row r="1305">
      <c r="A1305">
        <f>IF('Entry Builder'!$N$7=0,1,IF('Entry Builder'!$D$7="Less",--(INDEX(Sims!$A1305:$BO1305,'Entry Builder'!$L$7)&lt;'Entry Builder'!$E$7),--(INDEX(Sims!$A1305:$BO1305,'Entry Builder'!$L$7)&gt;'Entry Builder'!$E$7)))</f>
        <v/>
      </c>
      <c r="B1305">
        <f>IF('Entry Builder'!$N$8=0,1,IF('Entry Builder'!$D$8="Less",--(INDEX(Sims!$A1305:$BO1305,'Entry Builder'!$L$8)&lt;'Entry Builder'!$E$8),--(INDEX(Sims!$A1305:$BO1305,'Entry Builder'!$L$8)&gt;'Entry Builder'!$E$8)))</f>
        <v/>
      </c>
      <c r="C1305">
        <f>IF('Entry Builder'!$N$9=0,1,IF('Entry Builder'!$D$9="Less",--(INDEX(Sims!$A1305:$BO1305,'Entry Builder'!$L$9)&lt;'Entry Builder'!$E$9),--(INDEX(Sims!$A1305:$BO1305,'Entry Builder'!$L$9)&gt;'Entry Builder'!$E$9)))</f>
        <v/>
      </c>
      <c r="D1305">
        <f>IF('Entry Builder'!$N$10=0,1,IF('Entry Builder'!$D$10="Less",--(INDEX(Sims!$A1305:$BO1305,'Entry Builder'!$L$10)&lt;'Entry Builder'!$E$10),--(INDEX(Sims!$A1305:$BO1305,'Entry Builder'!$L$10)&gt;'Entry Builder'!$E$10)))</f>
        <v/>
      </c>
      <c r="E1305">
        <f>IF('Entry Builder'!$N$11=0,1,IF('Entry Builder'!$D$11="Less",--(INDEX(Sims!$A1305:$BO1305,'Entry Builder'!$L$11)&lt;'Entry Builder'!$E$11),--(INDEX(Sims!$A1305:$BO1305,'Entry Builder'!$L$11)&gt;'Entry Builder'!$E$11)))</f>
        <v/>
      </c>
      <c r="F1305">
        <f>IF('Entry Builder'!$N$12=0,1,IF('Entry Builder'!$D$12="Less",--(INDEX(Sims!$A1305:$BO1305,'Entry Builder'!$L$12)&lt;'Entry Builder'!$E$12),--(INDEX(Sims!$A1305:$BO1305,'Entry Builder'!$L$12)&gt;'Entry Builder'!$E$12)))</f>
        <v/>
      </c>
      <c r="G1305">
        <f>6-SUM(A1305:F1305)</f>
        <v/>
      </c>
    </row>
    <row r="1306">
      <c r="A1306">
        <f>IF('Entry Builder'!$N$7=0,1,IF('Entry Builder'!$D$7="Less",--(INDEX(Sims!$A1306:$BO1306,'Entry Builder'!$L$7)&lt;'Entry Builder'!$E$7),--(INDEX(Sims!$A1306:$BO1306,'Entry Builder'!$L$7)&gt;'Entry Builder'!$E$7)))</f>
        <v/>
      </c>
      <c r="B1306">
        <f>IF('Entry Builder'!$N$8=0,1,IF('Entry Builder'!$D$8="Less",--(INDEX(Sims!$A1306:$BO1306,'Entry Builder'!$L$8)&lt;'Entry Builder'!$E$8),--(INDEX(Sims!$A1306:$BO1306,'Entry Builder'!$L$8)&gt;'Entry Builder'!$E$8)))</f>
        <v/>
      </c>
      <c r="C1306">
        <f>IF('Entry Builder'!$N$9=0,1,IF('Entry Builder'!$D$9="Less",--(INDEX(Sims!$A1306:$BO1306,'Entry Builder'!$L$9)&lt;'Entry Builder'!$E$9),--(INDEX(Sims!$A1306:$BO1306,'Entry Builder'!$L$9)&gt;'Entry Builder'!$E$9)))</f>
        <v/>
      </c>
      <c r="D1306">
        <f>IF('Entry Builder'!$N$10=0,1,IF('Entry Builder'!$D$10="Less",--(INDEX(Sims!$A1306:$BO1306,'Entry Builder'!$L$10)&lt;'Entry Builder'!$E$10),--(INDEX(Sims!$A1306:$BO1306,'Entry Builder'!$L$10)&gt;'Entry Builder'!$E$10)))</f>
        <v/>
      </c>
      <c r="E1306">
        <f>IF('Entry Builder'!$N$11=0,1,IF('Entry Builder'!$D$11="Less",--(INDEX(Sims!$A1306:$BO1306,'Entry Builder'!$L$11)&lt;'Entry Builder'!$E$11),--(INDEX(Sims!$A1306:$BO1306,'Entry Builder'!$L$11)&gt;'Entry Builder'!$E$11)))</f>
        <v/>
      </c>
      <c r="F1306">
        <f>IF('Entry Builder'!$N$12=0,1,IF('Entry Builder'!$D$12="Less",--(INDEX(Sims!$A1306:$BO1306,'Entry Builder'!$L$12)&lt;'Entry Builder'!$E$12),--(INDEX(Sims!$A1306:$BO1306,'Entry Builder'!$L$12)&gt;'Entry Builder'!$E$12)))</f>
        <v/>
      </c>
      <c r="G1306">
        <f>6-SUM(A1306:F1306)</f>
        <v/>
      </c>
    </row>
    <row r="1307">
      <c r="A1307">
        <f>IF('Entry Builder'!$N$7=0,1,IF('Entry Builder'!$D$7="Less",--(INDEX(Sims!$A1307:$BO1307,'Entry Builder'!$L$7)&lt;'Entry Builder'!$E$7),--(INDEX(Sims!$A1307:$BO1307,'Entry Builder'!$L$7)&gt;'Entry Builder'!$E$7)))</f>
        <v/>
      </c>
      <c r="B1307">
        <f>IF('Entry Builder'!$N$8=0,1,IF('Entry Builder'!$D$8="Less",--(INDEX(Sims!$A1307:$BO1307,'Entry Builder'!$L$8)&lt;'Entry Builder'!$E$8),--(INDEX(Sims!$A1307:$BO1307,'Entry Builder'!$L$8)&gt;'Entry Builder'!$E$8)))</f>
        <v/>
      </c>
      <c r="C1307">
        <f>IF('Entry Builder'!$N$9=0,1,IF('Entry Builder'!$D$9="Less",--(INDEX(Sims!$A1307:$BO1307,'Entry Builder'!$L$9)&lt;'Entry Builder'!$E$9),--(INDEX(Sims!$A1307:$BO1307,'Entry Builder'!$L$9)&gt;'Entry Builder'!$E$9)))</f>
        <v/>
      </c>
      <c r="D1307">
        <f>IF('Entry Builder'!$N$10=0,1,IF('Entry Builder'!$D$10="Less",--(INDEX(Sims!$A1307:$BO1307,'Entry Builder'!$L$10)&lt;'Entry Builder'!$E$10),--(INDEX(Sims!$A1307:$BO1307,'Entry Builder'!$L$10)&gt;'Entry Builder'!$E$10)))</f>
        <v/>
      </c>
      <c r="E1307">
        <f>IF('Entry Builder'!$N$11=0,1,IF('Entry Builder'!$D$11="Less",--(INDEX(Sims!$A1307:$BO1307,'Entry Builder'!$L$11)&lt;'Entry Builder'!$E$11),--(INDEX(Sims!$A1307:$BO1307,'Entry Builder'!$L$11)&gt;'Entry Builder'!$E$11)))</f>
        <v/>
      </c>
      <c r="F1307">
        <f>IF('Entry Builder'!$N$12=0,1,IF('Entry Builder'!$D$12="Less",--(INDEX(Sims!$A1307:$BO1307,'Entry Builder'!$L$12)&lt;'Entry Builder'!$E$12),--(INDEX(Sims!$A1307:$BO1307,'Entry Builder'!$L$12)&gt;'Entry Builder'!$E$12)))</f>
        <v/>
      </c>
      <c r="G1307">
        <f>6-SUM(A1307:F1307)</f>
        <v/>
      </c>
    </row>
    <row r="1308">
      <c r="A1308">
        <f>IF('Entry Builder'!$N$7=0,1,IF('Entry Builder'!$D$7="Less",--(INDEX(Sims!$A1308:$BO1308,'Entry Builder'!$L$7)&lt;'Entry Builder'!$E$7),--(INDEX(Sims!$A1308:$BO1308,'Entry Builder'!$L$7)&gt;'Entry Builder'!$E$7)))</f>
        <v/>
      </c>
      <c r="B1308">
        <f>IF('Entry Builder'!$N$8=0,1,IF('Entry Builder'!$D$8="Less",--(INDEX(Sims!$A1308:$BO1308,'Entry Builder'!$L$8)&lt;'Entry Builder'!$E$8),--(INDEX(Sims!$A1308:$BO1308,'Entry Builder'!$L$8)&gt;'Entry Builder'!$E$8)))</f>
        <v/>
      </c>
      <c r="C1308">
        <f>IF('Entry Builder'!$N$9=0,1,IF('Entry Builder'!$D$9="Less",--(INDEX(Sims!$A1308:$BO1308,'Entry Builder'!$L$9)&lt;'Entry Builder'!$E$9),--(INDEX(Sims!$A1308:$BO1308,'Entry Builder'!$L$9)&gt;'Entry Builder'!$E$9)))</f>
        <v/>
      </c>
      <c r="D1308">
        <f>IF('Entry Builder'!$N$10=0,1,IF('Entry Builder'!$D$10="Less",--(INDEX(Sims!$A1308:$BO1308,'Entry Builder'!$L$10)&lt;'Entry Builder'!$E$10),--(INDEX(Sims!$A1308:$BO1308,'Entry Builder'!$L$10)&gt;'Entry Builder'!$E$10)))</f>
        <v/>
      </c>
      <c r="E1308">
        <f>IF('Entry Builder'!$N$11=0,1,IF('Entry Builder'!$D$11="Less",--(INDEX(Sims!$A1308:$BO1308,'Entry Builder'!$L$11)&lt;'Entry Builder'!$E$11),--(INDEX(Sims!$A1308:$BO1308,'Entry Builder'!$L$11)&gt;'Entry Builder'!$E$11)))</f>
        <v/>
      </c>
      <c r="F1308">
        <f>IF('Entry Builder'!$N$12=0,1,IF('Entry Builder'!$D$12="Less",--(INDEX(Sims!$A1308:$BO1308,'Entry Builder'!$L$12)&lt;'Entry Builder'!$E$12),--(INDEX(Sims!$A1308:$BO1308,'Entry Builder'!$L$12)&gt;'Entry Builder'!$E$12)))</f>
        <v/>
      </c>
      <c r="G1308">
        <f>6-SUM(A1308:F1308)</f>
        <v/>
      </c>
    </row>
    <row r="1309">
      <c r="A1309">
        <f>IF('Entry Builder'!$N$7=0,1,IF('Entry Builder'!$D$7="Less",--(INDEX(Sims!$A1309:$BO1309,'Entry Builder'!$L$7)&lt;'Entry Builder'!$E$7),--(INDEX(Sims!$A1309:$BO1309,'Entry Builder'!$L$7)&gt;'Entry Builder'!$E$7)))</f>
        <v/>
      </c>
      <c r="B1309">
        <f>IF('Entry Builder'!$N$8=0,1,IF('Entry Builder'!$D$8="Less",--(INDEX(Sims!$A1309:$BO1309,'Entry Builder'!$L$8)&lt;'Entry Builder'!$E$8),--(INDEX(Sims!$A1309:$BO1309,'Entry Builder'!$L$8)&gt;'Entry Builder'!$E$8)))</f>
        <v/>
      </c>
      <c r="C1309">
        <f>IF('Entry Builder'!$N$9=0,1,IF('Entry Builder'!$D$9="Less",--(INDEX(Sims!$A1309:$BO1309,'Entry Builder'!$L$9)&lt;'Entry Builder'!$E$9),--(INDEX(Sims!$A1309:$BO1309,'Entry Builder'!$L$9)&gt;'Entry Builder'!$E$9)))</f>
        <v/>
      </c>
      <c r="D1309">
        <f>IF('Entry Builder'!$N$10=0,1,IF('Entry Builder'!$D$10="Less",--(INDEX(Sims!$A1309:$BO1309,'Entry Builder'!$L$10)&lt;'Entry Builder'!$E$10),--(INDEX(Sims!$A1309:$BO1309,'Entry Builder'!$L$10)&gt;'Entry Builder'!$E$10)))</f>
        <v/>
      </c>
      <c r="E1309">
        <f>IF('Entry Builder'!$N$11=0,1,IF('Entry Builder'!$D$11="Less",--(INDEX(Sims!$A1309:$BO1309,'Entry Builder'!$L$11)&lt;'Entry Builder'!$E$11),--(INDEX(Sims!$A1309:$BO1309,'Entry Builder'!$L$11)&gt;'Entry Builder'!$E$11)))</f>
        <v/>
      </c>
      <c r="F1309">
        <f>IF('Entry Builder'!$N$12=0,1,IF('Entry Builder'!$D$12="Less",--(INDEX(Sims!$A1309:$BO1309,'Entry Builder'!$L$12)&lt;'Entry Builder'!$E$12),--(INDEX(Sims!$A1309:$BO1309,'Entry Builder'!$L$12)&gt;'Entry Builder'!$E$12)))</f>
        <v/>
      </c>
      <c r="G1309">
        <f>6-SUM(A1309:F1309)</f>
        <v/>
      </c>
    </row>
    <row r="1310">
      <c r="A1310">
        <f>IF('Entry Builder'!$N$7=0,1,IF('Entry Builder'!$D$7="Less",--(INDEX(Sims!$A1310:$BO1310,'Entry Builder'!$L$7)&lt;'Entry Builder'!$E$7),--(INDEX(Sims!$A1310:$BO1310,'Entry Builder'!$L$7)&gt;'Entry Builder'!$E$7)))</f>
        <v/>
      </c>
      <c r="B1310">
        <f>IF('Entry Builder'!$N$8=0,1,IF('Entry Builder'!$D$8="Less",--(INDEX(Sims!$A1310:$BO1310,'Entry Builder'!$L$8)&lt;'Entry Builder'!$E$8),--(INDEX(Sims!$A1310:$BO1310,'Entry Builder'!$L$8)&gt;'Entry Builder'!$E$8)))</f>
        <v/>
      </c>
      <c r="C1310">
        <f>IF('Entry Builder'!$N$9=0,1,IF('Entry Builder'!$D$9="Less",--(INDEX(Sims!$A1310:$BO1310,'Entry Builder'!$L$9)&lt;'Entry Builder'!$E$9),--(INDEX(Sims!$A1310:$BO1310,'Entry Builder'!$L$9)&gt;'Entry Builder'!$E$9)))</f>
        <v/>
      </c>
      <c r="D1310">
        <f>IF('Entry Builder'!$N$10=0,1,IF('Entry Builder'!$D$10="Less",--(INDEX(Sims!$A1310:$BO1310,'Entry Builder'!$L$10)&lt;'Entry Builder'!$E$10),--(INDEX(Sims!$A1310:$BO1310,'Entry Builder'!$L$10)&gt;'Entry Builder'!$E$10)))</f>
        <v/>
      </c>
      <c r="E1310">
        <f>IF('Entry Builder'!$N$11=0,1,IF('Entry Builder'!$D$11="Less",--(INDEX(Sims!$A1310:$BO1310,'Entry Builder'!$L$11)&lt;'Entry Builder'!$E$11),--(INDEX(Sims!$A1310:$BO1310,'Entry Builder'!$L$11)&gt;'Entry Builder'!$E$11)))</f>
        <v/>
      </c>
      <c r="F1310">
        <f>IF('Entry Builder'!$N$12=0,1,IF('Entry Builder'!$D$12="Less",--(INDEX(Sims!$A1310:$BO1310,'Entry Builder'!$L$12)&lt;'Entry Builder'!$E$12),--(INDEX(Sims!$A1310:$BO1310,'Entry Builder'!$L$12)&gt;'Entry Builder'!$E$12)))</f>
        <v/>
      </c>
      <c r="G1310">
        <f>6-SUM(A1310:F1310)</f>
        <v/>
      </c>
    </row>
    <row r="1311">
      <c r="A1311">
        <f>IF('Entry Builder'!$N$7=0,1,IF('Entry Builder'!$D$7="Less",--(INDEX(Sims!$A1311:$BO1311,'Entry Builder'!$L$7)&lt;'Entry Builder'!$E$7),--(INDEX(Sims!$A1311:$BO1311,'Entry Builder'!$L$7)&gt;'Entry Builder'!$E$7)))</f>
        <v/>
      </c>
      <c r="B1311">
        <f>IF('Entry Builder'!$N$8=0,1,IF('Entry Builder'!$D$8="Less",--(INDEX(Sims!$A1311:$BO1311,'Entry Builder'!$L$8)&lt;'Entry Builder'!$E$8),--(INDEX(Sims!$A1311:$BO1311,'Entry Builder'!$L$8)&gt;'Entry Builder'!$E$8)))</f>
        <v/>
      </c>
      <c r="C1311">
        <f>IF('Entry Builder'!$N$9=0,1,IF('Entry Builder'!$D$9="Less",--(INDEX(Sims!$A1311:$BO1311,'Entry Builder'!$L$9)&lt;'Entry Builder'!$E$9),--(INDEX(Sims!$A1311:$BO1311,'Entry Builder'!$L$9)&gt;'Entry Builder'!$E$9)))</f>
        <v/>
      </c>
      <c r="D1311">
        <f>IF('Entry Builder'!$N$10=0,1,IF('Entry Builder'!$D$10="Less",--(INDEX(Sims!$A1311:$BO1311,'Entry Builder'!$L$10)&lt;'Entry Builder'!$E$10),--(INDEX(Sims!$A1311:$BO1311,'Entry Builder'!$L$10)&gt;'Entry Builder'!$E$10)))</f>
        <v/>
      </c>
      <c r="E1311">
        <f>IF('Entry Builder'!$N$11=0,1,IF('Entry Builder'!$D$11="Less",--(INDEX(Sims!$A1311:$BO1311,'Entry Builder'!$L$11)&lt;'Entry Builder'!$E$11),--(INDEX(Sims!$A1311:$BO1311,'Entry Builder'!$L$11)&gt;'Entry Builder'!$E$11)))</f>
        <v/>
      </c>
      <c r="F1311">
        <f>IF('Entry Builder'!$N$12=0,1,IF('Entry Builder'!$D$12="Less",--(INDEX(Sims!$A1311:$BO1311,'Entry Builder'!$L$12)&lt;'Entry Builder'!$E$12),--(INDEX(Sims!$A1311:$BO1311,'Entry Builder'!$L$12)&gt;'Entry Builder'!$E$12)))</f>
        <v/>
      </c>
      <c r="G1311">
        <f>6-SUM(A1311:F1311)</f>
        <v/>
      </c>
    </row>
    <row r="1312">
      <c r="A1312">
        <f>IF('Entry Builder'!$N$7=0,1,IF('Entry Builder'!$D$7="Less",--(INDEX(Sims!$A1312:$BO1312,'Entry Builder'!$L$7)&lt;'Entry Builder'!$E$7),--(INDEX(Sims!$A1312:$BO1312,'Entry Builder'!$L$7)&gt;'Entry Builder'!$E$7)))</f>
        <v/>
      </c>
      <c r="B1312">
        <f>IF('Entry Builder'!$N$8=0,1,IF('Entry Builder'!$D$8="Less",--(INDEX(Sims!$A1312:$BO1312,'Entry Builder'!$L$8)&lt;'Entry Builder'!$E$8),--(INDEX(Sims!$A1312:$BO1312,'Entry Builder'!$L$8)&gt;'Entry Builder'!$E$8)))</f>
        <v/>
      </c>
      <c r="C1312">
        <f>IF('Entry Builder'!$N$9=0,1,IF('Entry Builder'!$D$9="Less",--(INDEX(Sims!$A1312:$BO1312,'Entry Builder'!$L$9)&lt;'Entry Builder'!$E$9),--(INDEX(Sims!$A1312:$BO1312,'Entry Builder'!$L$9)&gt;'Entry Builder'!$E$9)))</f>
        <v/>
      </c>
      <c r="D1312">
        <f>IF('Entry Builder'!$N$10=0,1,IF('Entry Builder'!$D$10="Less",--(INDEX(Sims!$A1312:$BO1312,'Entry Builder'!$L$10)&lt;'Entry Builder'!$E$10),--(INDEX(Sims!$A1312:$BO1312,'Entry Builder'!$L$10)&gt;'Entry Builder'!$E$10)))</f>
        <v/>
      </c>
      <c r="E1312">
        <f>IF('Entry Builder'!$N$11=0,1,IF('Entry Builder'!$D$11="Less",--(INDEX(Sims!$A1312:$BO1312,'Entry Builder'!$L$11)&lt;'Entry Builder'!$E$11),--(INDEX(Sims!$A1312:$BO1312,'Entry Builder'!$L$11)&gt;'Entry Builder'!$E$11)))</f>
        <v/>
      </c>
      <c r="F1312">
        <f>IF('Entry Builder'!$N$12=0,1,IF('Entry Builder'!$D$12="Less",--(INDEX(Sims!$A1312:$BO1312,'Entry Builder'!$L$12)&lt;'Entry Builder'!$E$12),--(INDEX(Sims!$A1312:$BO1312,'Entry Builder'!$L$12)&gt;'Entry Builder'!$E$12)))</f>
        <v/>
      </c>
      <c r="G1312">
        <f>6-SUM(A1312:F1312)</f>
        <v/>
      </c>
    </row>
    <row r="1313">
      <c r="A1313">
        <f>IF('Entry Builder'!$N$7=0,1,IF('Entry Builder'!$D$7="Less",--(INDEX(Sims!$A1313:$BO1313,'Entry Builder'!$L$7)&lt;'Entry Builder'!$E$7),--(INDEX(Sims!$A1313:$BO1313,'Entry Builder'!$L$7)&gt;'Entry Builder'!$E$7)))</f>
        <v/>
      </c>
      <c r="B1313">
        <f>IF('Entry Builder'!$N$8=0,1,IF('Entry Builder'!$D$8="Less",--(INDEX(Sims!$A1313:$BO1313,'Entry Builder'!$L$8)&lt;'Entry Builder'!$E$8),--(INDEX(Sims!$A1313:$BO1313,'Entry Builder'!$L$8)&gt;'Entry Builder'!$E$8)))</f>
        <v/>
      </c>
      <c r="C1313">
        <f>IF('Entry Builder'!$N$9=0,1,IF('Entry Builder'!$D$9="Less",--(INDEX(Sims!$A1313:$BO1313,'Entry Builder'!$L$9)&lt;'Entry Builder'!$E$9),--(INDEX(Sims!$A1313:$BO1313,'Entry Builder'!$L$9)&gt;'Entry Builder'!$E$9)))</f>
        <v/>
      </c>
      <c r="D1313">
        <f>IF('Entry Builder'!$N$10=0,1,IF('Entry Builder'!$D$10="Less",--(INDEX(Sims!$A1313:$BO1313,'Entry Builder'!$L$10)&lt;'Entry Builder'!$E$10),--(INDEX(Sims!$A1313:$BO1313,'Entry Builder'!$L$10)&gt;'Entry Builder'!$E$10)))</f>
        <v/>
      </c>
      <c r="E1313">
        <f>IF('Entry Builder'!$N$11=0,1,IF('Entry Builder'!$D$11="Less",--(INDEX(Sims!$A1313:$BO1313,'Entry Builder'!$L$11)&lt;'Entry Builder'!$E$11),--(INDEX(Sims!$A1313:$BO1313,'Entry Builder'!$L$11)&gt;'Entry Builder'!$E$11)))</f>
        <v/>
      </c>
      <c r="F1313">
        <f>IF('Entry Builder'!$N$12=0,1,IF('Entry Builder'!$D$12="Less",--(INDEX(Sims!$A1313:$BO1313,'Entry Builder'!$L$12)&lt;'Entry Builder'!$E$12),--(INDEX(Sims!$A1313:$BO1313,'Entry Builder'!$L$12)&gt;'Entry Builder'!$E$12)))</f>
        <v/>
      </c>
      <c r="G1313">
        <f>6-SUM(A1313:F1313)</f>
        <v/>
      </c>
    </row>
    <row r="1314">
      <c r="A1314">
        <f>IF('Entry Builder'!$N$7=0,1,IF('Entry Builder'!$D$7="Less",--(INDEX(Sims!$A1314:$BO1314,'Entry Builder'!$L$7)&lt;'Entry Builder'!$E$7),--(INDEX(Sims!$A1314:$BO1314,'Entry Builder'!$L$7)&gt;'Entry Builder'!$E$7)))</f>
        <v/>
      </c>
      <c r="B1314">
        <f>IF('Entry Builder'!$N$8=0,1,IF('Entry Builder'!$D$8="Less",--(INDEX(Sims!$A1314:$BO1314,'Entry Builder'!$L$8)&lt;'Entry Builder'!$E$8),--(INDEX(Sims!$A1314:$BO1314,'Entry Builder'!$L$8)&gt;'Entry Builder'!$E$8)))</f>
        <v/>
      </c>
      <c r="C1314">
        <f>IF('Entry Builder'!$N$9=0,1,IF('Entry Builder'!$D$9="Less",--(INDEX(Sims!$A1314:$BO1314,'Entry Builder'!$L$9)&lt;'Entry Builder'!$E$9),--(INDEX(Sims!$A1314:$BO1314,'Entry Builder'!$L$9)&gt;'Entry Builder'!$E$9)))</f>
        <v/>
      </c>
      <c r="D1314">
        <f>IF('Entry Builder'!$N$10=0,1,IF('Entry Builder'!$D$10="Less",--(INDEX(Sims!$A1314:$BO1314,'Entry Builder'!$L$10)&lt;'Entry Builder'!$E$10),--(INDEX(Sims!$A1314:$BO1314,'Entry Builder'!$L$10)&gt;'Entry Builder'!$E$10)))</f>
        <v/>
      </c>
      <c r="E1314">
        <f>IF('Entry Builder'!$N$11=0,1,IF('Entry Builder'!$D$11="Less",--(INDEX(Sims!$A1314:$BO1314,'Entry Builder'!$L$11)&lt;'Entry Builder'!$E$11),--(INDEX(Sims!$A1314:$BO1314,'Entry Builder'!$L$11)&gt;'Entry Builder'!$E$11)))</f>
        <v/>
      </c>
      <c r="F1314">
        <f>IF('Entry Builder'!$N$12=0,1,IF('Entry Builder'!$D$12="Less",--(INDEX(Sims!$A1314:$BO1314,'Entry Builder'!$L$12)&lt;'Entry Builder'!$E$12),--(INDEX(Sims!$A1314:$BO1314,'Entry Builder'!$L$12)&gt;'Entry Builder'!$E$12)))</f>
        <v/>
      </c>
      <c r="G1314">
        <f>6-SUM(A1314:F1314)</f>
        <v/>
      </c>
    </row>
    <row r="1315">
      <c r="A1315">
        <f>IF('Entry Builder'!$N$7=0,1,IF('Entry Builder'!$D$7="Less",--(INDEX(Sims!$A1315:$BO1315,'Entry Builder'!$L$7)&lt;'Entry Builder'!$E$7),--(INDEX(Sims!$A1315:$BO1315,'Entry Builder'!$L$7)&gt;'Entry Builder'!$E$7)))</f>
        <v/>
      </c>
      <c r="B1315">
        <f>IF('Entry Builder'!$N$8=0,1,IF('Entry Builder'!$D$8="Less",--(INDEX(Sims!$A1315:$BO1315,'Entry Builder'!$L$8)&lt;'Entry Builder'!$E$8),--(INDEX(Sims!$A1315:$BO1315,'Entry Builder'!$L$8)&gt;'Entry Builder'!$E$8)))</f>
        <v/>
      </c>
      <c r="C1315">
        <f>IF('Entry Builder'!$N$9=0,1,IF('Entry Builder'!$D$9="Less",--(INDEX(Sims!$A1315:$BO1315,'Entry Builder'!$L$9)&lt;'Entry Builder'!$E$9),--(INDEX(Sims!$A1315:$BO1315,'Entry Builder'!$L$9)&gt;'Entry Builder'!$E$9)))</f>
        <v/>
      </c>
      <c r="D1315">
        <f>IF('Entry Builder'!$N$10=0,1,IF('Entry Builder'!$D$10="Less",--(INDEX(Sims!$A1315:$BO1315,'Entry Builder'!$L$10)&lt;'Entry Builder'!$E$10),--(INDEX(Sims!$A1315:$BO1315,'Entry Builder'!$L$10)&gt;'Entry Builder'!$E$10)))</f>
        <v/>
      </c>
      <c r="E1315">
        <f>IF('Entry Builder'!$N$11=0,1,IF('Entry Builder'!$D$11="Less",--(INDEX(Sims!$A1315:$BO1315,'Entry Builder'!$L$11)&lt;'Entry Builder'!$E$11),--(INDEX(Sims!$A1315:$BO1315,'Entry Builder'!$L$11)&gt;'Entry Builder'!$E$11)))</f>
        <v/>
      </c>
      <c r="F1315">
        <f>IF('Entry Builder'!$N$12=0,1,IF('Entry Builder'!$D$12="Less",--(INDEX(Sims!$A1315:$BO1315,'Entry Builder'!$L$12)&lt;'Entry Builder'!$E$12),--(INDEX(Sims!$A1315:$BO1315,'Entry Builder'!$L$12)&gt;'Entry Builder'!$E$12)))</f>
        <v/>
      </c>
      <c r="G1315">
        <f>6-SUM(A1315:F1315)</f>
        <v/>
      </c>
    </row>
    <row r="1316">
      <c r="A1316">
        <f>IF('Entry Builder'!$N$7=0,1,IF('Entry Builder'!$D$7="Less",--(INDEX(Sims!$A1316:$BO1316,'Entry Builder'!$L$7)&lt;'Entry Builder'!$E$7),--(INDEX(Sims!$A1316:$BO1316,'Entry Builder'!$L$7)&gt;'Entry Builder'!$E$7)))</f>
        <v/>
      </c>
      <c r="B1316">
        <f>IF('Entry Builder'!$N$8=0,1,IF('Entry Builder'!$D$8="Less",--(INDEX(Sims!$A1316:$BO1316,'Entry Builder'!$L$8)&lt;'Entry Builder'!$E$8),--(INDEX(Sims!$A1316:$BO1316,'Entry Builder'!$L$8)&gt;'Entry Builder'!$E$8)))</f>
        <v/>
      </c>
      <c r="C1316">
        <f>IF('Entry Builder'!$N$9=0,1,IF('Entry Builder'!$D$9="Less",--(INDEX(Sims!$A1316:$BO1316,'Entry Builder'!$L$9)&lt;'Entry Builder'!$E$9),--(INDEX(Sims!$A1316:$BO1316,'Entry Builder'!$L$9)&gt;'Entry Builder'!$E$9)))</f>
        <v/>
      </c>
      <c r="D1316">
        <f>IF('Entry Builder'!$N$10=0,1,IF('Entry Builder'!$D$10="Less",--(INDEX(Sims!$A1316:$BO1316,'Entry Builder'!$L$10)&lt;'Entry Builder'!$E$10),--(INDEX(Sims!$A1316:$BO1316,'Entry Builder'!$L$10)&gt;'Entry Builder'!$E$10)))</f>
        <v/>
      </c>
      <c r="E1316">
        <f>IF('Entry Builder'!$N$11=0,1,IF('Entry Builder'!$D$11="Less",--(INDEX(Sims!$A1316:$BO1316,'Entry Builder'!$L$11)&lt;'Entry Builder'!$E$11),--(INDEX(Sims!$A1316:$BO1316,'Entry Builder'!$L$11)&gt;'Entry Builder'!$E$11)))</f>
        <v/>
      </c>
      <c r="F1316">
        <f>IF('Entry Builder'!$N$12=0,1,IF('Entry Builder'!$D$12="Less",--(INDEX(Sims!$A1316:$BO1316,'Entry Builder'!$L$12)&lt;'Entry Builder'!$E$12),--(INDEX(Sims!$A1316:$BO1316,'Entry Builder'!$L$12)&gt;'Entry Builder'!$E$12)))</f>
        <v/>
      </c>
      <c r="G1316">
        <f>6-SUM(A1316:F1316)</f>
        <v/>
      </c>
    </row>
    <row r="1317">
      <c r="A1317">
        <f>IF('Entry Builder'!$N$7=0,1,IF('Entry Builder'!$D$7="Less",--(INDEX(Sims!$A1317:$BO1317,'Entry Builder'!$L$7)&lt;'Entry Builder'!$E$7),--(INDEX(Sims!$A1317:$BO1317,'Entry Builder'!$L$7)&gt;'Entry Builder'!$E$7)))</f>
        <v/>
      </c>
      <c r="B1317">
        <f>IF('Entry Builder'!$N$8=0,1,IF('Entry Builder'!$D$8="Less",--(INDEX(Sims!$A1317:$BO1317,'Entry Builder'!$L$8)&lt;'Entry Builder'!$E$8),--(INDEX(Sims!$A1317:$BO1317,'Entry Builder'!$L$8)&gt;'Entry Builder'!$E$8)))</f>
        <v/>
      </c>
      <c r="C1317">
        <f>IF('Entry Builder'!$N$9=0,1,IF('Entry Builder'!$D$9="Less",--(INDEX(Sims!$A1317:$BO1317,'Entry Builder'!$L$9)&lt;'Entry Builder'!$E$9),--(INDEX(Sims!$A1317:$BO1317,'Entry Builder'!$L$9)&gt;'Entry Builder'!$E$9)))</f>
        <v/>
      </c>
      <c r="D1317">
        <f>IF('Entry Builder'!$N$10=0,1,IF('Entry Builder'!$D$10="Less",--(INDEX(Sims!$A1317:$BO1317,'Entry Builder'!$L$10)&lt;'Entry Builder'!$E$10),--(INDEX(Sims!$A1317:$BO1317,'Entry Builder'!$L$10)&gt;'Entry Builder'!$E$10)))</f>
        <v/>
      </c>
      <c r="E1317">
        <f>IF('Entry Builder'!$N$11=0,1,IF('Entry Builder'!$D$11="Less",--(INDEX(Sims!$A1317:$BO1317,'Entry Builder'!$L$11)&lt;'Entry Builder'!$E$11),--(INDEX(Sims!$A1317:$BO1317,'Entry Builder'!$L$11)&gt;'Entry Builder'!$E$11)))</f>
        <v/>
      </c>
      <c r="F1317">
        <f>IF('Entry Builder'!$N$12=0,1,IF('Entry Builder'!$D$12="Less",--(INDEX(Sims!$A1317:$BO1317,'Entry Builder'!$L$12)&lt;'Entry Builder'!$E$12),--(INDEX(Sims!$A1317:$BO1317,'Entry Builder'!$L$12)&gt;'Entry Builder'!$E$12)))</f>
        <v/>
      </c>
      <c r="G1317">
        <f>6-SUM(A1317:F1317)</f>
        <v/>
      </c>
    </row>
    <row r="1318">
      <c r="A1318">
        <f>IF('Entry Builder'!$N$7=0,1,IF('Entry Builder'!$D$7="Less",--(INDEX(Sims!$A1318:$BO1318,'Entry Builder'!$L$7)&lt;'Entry Builder'!$E$7),--(INDEX(Sims!$A1318:$BO1318,'Entry Builder'!$L$7)&gt;'Entry Builder'!$E$7)))</f>
        <v/>
      </c>
      <c r="B1318">
        <f>IF('Entry Builder'!$N$8=0,1,IF('Entry Builder'!$D$8="Less",--(INDEX(Sims!$A1318:$BO1318,'Entry Builder'!$L$8)&lt;'Entry Builder'!$E$8),--(INDEX(Sims!$A1318:$BO1318,'Entry Builder'!$L$8)&gt;'Entry Builder'!$E$8)))</f>
        <v/>
      </c>
      <c r="C1318">
        <f>IF('Entry Builder'!$N$9=0,1,IF('Entry Builder'!$D$9="Less",--(INDEX(Sims!$A1318:$BO1318,'Entry Builder'!$L$9)&lt;'Entry Builder'!$E$9),--(INDEX(Sims!$A1318:$BO1318,'Entry Builder'!$L$9)&gt;'Entry Builder'!$E$9)))</f>
        <v/>
      </c>
      <c r="D1318">
        <f>IF('Entry Builder'!$N$10=0,1,IF('Entry Builder'!$D$10="Less",--(INDEX(Sims!$A1318:$BO1318,'Entry Builder'!$L$10)&lt;'Entry Builder'!$E$10),--(INDEX(Sims!$A1318:$BO1318,'Entry Builder'!$L$10)&gt;'Entry Builder'!$E$10)))</f>
        <v/>
      </c>
      <c r="E1318">
        <f>IF('Entry Builder'!$N$11=0,1,IF('Entry Builder'!$D$11="Less",--(INDEX(Sims!$A1318:$BO1318,'Entry Builder'!$L$11)&lt;'Entry Builder'!$E$11),--(INDEX(Sims!$A1318:$BO1318,'Entry Builder'!$L$11)&gt;'Entry Builder'!$E$11)))</f>
        <v/>
      </c>
      <c r="F1318">
        <f>IF('Entry Builder'!$N$12=0,1,IF('Entry Builder'!$D$12="Less",--(INDEX(Sims!$A1318:$BO1318,'Entry Builder'!$L$12)&lt;'Entry Builder'!$E$12),--(INDEX(Sims!$A1318:$BO1318,'Entry Builder'!$L$12)&gt;'Entry Builder'!$E$12)))</f>
        <v/>
      </c>
      <c r="G1318">
        <f>6-SUM(A1318:F1318)</f>
        <v/>
      </c>
    </row>
    <row r="1319">
      <c r="A1319">
        <f>IF('Entry Builder'!$N$7=0,1,IF('Entry Builder'!$D$7="Less",--(INDEX(Sims!$A1319:$BO1319,'Entry Builder'!$L$7)&lt;'Entry Builder'!$E$7),--(INDEX(Sims!$A1319:$BO1319,'Entry Builder'!$L$7)&gt;'Entry Builder'!$E$7)))</f>
        <v/>
      </c>
      <c r="B1319">
        <f>IF('Entry Builder'!$N$8=0,1,IF('Entry Builder'!$D$8="Less",--(INDEX(Sims!$A1319:$BO1319,'Entry Builder'!$L$8)&lt;'Entry Builder'!$E$8),--(INDEX(Sims!$A1319:$BO1319,'Entry Builder'!$L$8)&gt;'Entry Builder'!$E$8)))</f>
        <v/>
      </c>
      <c r="C1319">
        <f>IF('Entry Builder'!$N$9=0,1,IF('Entry Builder'!$D$9="Less",--(INDEX(Sims!$A1319:$BO1319,'Entry Builder'!$L$9)&lt;'Entry Builder'!$E$9),--(INDEX(Sims!$A1319:$BO1319,'Entry Builder'!$L$9)&gt;'Entry Builder'!$E$9)))</f>
        <v/>
      </c>
      <c r="D1319">
        <f>IF('Entry Builder'!$N$10=0,1,IF('Entry Builder'!$D$10="Less",--(INDEX(Sims!$A1319:$BO1319,'Entry Builder'!$L$10)&lt;'Entry Builder'!$E$10),--(INDEX(Sims!$A1319:$BO1319,'Entry Builder'!$L$10)&gt;'Entry Builder'!$E$10)))</f>
        <v/>
      </c>
      <c r="E1319">
        <f>IF('Entry Builder'!$N$11=0,1,IF('Entry Builder'!$D$11="Less",--(INDEX(Sims!$A1319:$BO1319,'Entry Builder'!$L$11)&lt;'Entry Builder'!$E$11),--(INDEX(Sims!$A1319:$BO1319,'Entry Builder'!$L$11)&gt;'Entry Builder'!$E$11)))</f>
        <v/>
      </c>
      <c r="F1319">
        <f>IF('Entry Builder'!$N$12=0,1,IF('Entry Builder'!$D$12="Less",--(INDEX(Sims!$A1319:$BO1319,'Entry Builder'!$L$12)&lt;'Entry Builder'!$E$12),--(INDEX(Sims!$A1319:$BO1319,'Entry Builder'!$L$12)&gt;'Entry Builder'!$E$12)))</f>
        <v/>
      </c>
      <c r="G1319">
        <f>6-SUM(A1319:F1319)</f>
        <v/>
      </c>
    </row>
    <row r="1320">
      <c r="A1320">
        <f>IF('Entry Builder'!$N$7=0,1,IF('Entry Builder'!$D$7="Less",--(INDEX(Sims!$A1320:$BO1320,'Entry Builder'!$L$7)&lt;'Entry Builder'!$E$7),--(INDEX(Sims!$A1320:$BO1320,'Entry Builder'!$L$7)&gt;'Entry Builder'!$E$7)))</f>
        <v/>
      </c>
      <c r="B1320">
        <f>IF('Entry Builder'!$N$8=0,1,IF('Entry Builder'!$D$8="Less",--(INDEX(Sims!$A1320:$BO1320,'Entry Builder'!$L$8)&lt;'Entry Builder'!$E$8),--(INDEX(Sims!$A1320:$BO1320,'Entry Builder'!$L$8)&gt;'Entry Builder'!$E$8)))</f>
        <v/>
      </c>
      <c r="C1320">
        <f>IF('Entry Builder'!$N$9=0,1,IF('Entry Builder'!$D$9="Less",--(INDEX(Sims!$A1320:$BO1320,'Entry Builder'!$L$9)&lt;'Entry Builder'!$E$9),--(INDEX(Sims!$A1320:$BO1320,'Entry Builder'!$L$9)&gt;'Entry Builder'!$E$9)))</f>
        <v/>
      </c>
      <c r="D1320">
        <f>IF('Entry Builder'!$N$10=0,1,IF('Entry Builder'!$D$10="Less",--(INDEX(Sims!$A1320:$BO1320,'Entry Builder'!$L$10)&lt;'Entry Builder'!$E$10),--(INDEX(Sims!$A1320:$BO1320,'Entry Builder'!$L$10)&gt;'Entry Builder'!$E$10)))</f>
        <v/>
      </c>
      <c r="E1320">
        <f>IF('Entry Builder'!$N$11=0,1,IF('Entry Builder'!$D$11="Less",--(INDEX(Sims!$A1320:$BO1320,'Entry Builder'!$L$11)&lt;'Entry Builder'!$E$11),--(INDEX(Sims!$A1320:$BO1320,'Entry Builder'!$L$11)&gt;'Entry Builder'!$E$11)))</f>
        <v/>
      </c>
      <c r="F1320">
        <f>IF('Entry Builder'!$N$12=0,1,IF('Entry Builder'!$D$12="Less",--(INDEX(Sims!$A1320:$BO1320,'Entry Builder'!$L$12)&lt;'Entry Builder'!$E$12),--(INDEX(Sims!$A1320:$BO1320,'Entry Builder'!$L$12)&gt;'Entry Builder'!$E$12)))</f>
        <v/>
      </c>
      <c r="G1320">
        <f>6-SUM(A1320:F1320)</f>
        <v/>
      </c>
    </row>
    <row r="1321">
      <c r="A1321">
        <f>IF('Entry Builder'!$N$7=0,1,IF('Entry Builder'!$D$7="Less",--(INDEX(Sims!$A1321:$BO1321,'Entry Builder'!$L$7)&lt;'Entry Builder'!$E$7),--(INDEX(Sims!$A1321:$BO1321,'Entry Builder'!$L$7)&gt;'Entry Builder'!$E$7)))</f>
        <v/>
      </c>
      <c r="B1321">
        <f>IF('Entry Builder'!$N$8=0,1,IF('Entry Builder'!$D$8="Less",--(INDEX(Sims!$A1321:$BO1321,'Entry Builder'!$L$8)&lt;'Entry Builder'!$E$8),--(INDEX(Sims!$A1321:$BO1321,'Entry Builder'!$L$8)&gt;'Entry Builder'!$E$8)))</f>
        <v/>
      </c>
      <c r="C1321">
        <f>IF('Entry Builder'!$N$9=0,1,IF('Entry Builder'!$D$9="Less",--(INDEX(Sims!$A1321:$BO1321,'Entry Builder'!$L$9)&lt;'Entry Builder'!$E$9),--(INDEX(Sims!$A1321:$BO1321,'Entry Builder'!$L$9)&gt;'Entry Builder'!$E$9)))</f>
        <v/>
      </c>
      <c r="D1321">
        <f>IF('Entry Builder'!$N$10=0,1,IF('Entry Builder'!$D$10="Less",--(INDEX(Sims!$A1321:$BO1321,'Entry Builder'!$L$10)&lt;'Entry Builder'!$E$10),--(INDEX(Sims!$A1321:$BO1321,'Entry Builder'!$L$10)&gt;'Entry Builder'!$E$10)))</f>
        <v/>
      </c>
      <c r="E1321">
        <f>IF('Entry Builder'!$N$11=0,1,IF('Entry Builder'!$D$11="Less",--(INDEX(Sims!$A1321:$BO1321,'Entry Builder'!$L$11)&lt;'Entry Builder'!$E$11),--(INDEX(Sims!$A1321:$BO1321,'Entry Builder'!$L$11)&gt;'Entry Builder'!$E$11)))</f>
        <v/>
      </c>
      <c r="F1321">
        <f>IF('Entry Builder'!$N$12=0,1,IF('Entry Builder'!$D$12="Less",--(INDEX(Sims!$A1321:$BO1321,'Entry Builder'!$L$12)&lt;'Entry Builder'!$E$12),--(INDEX(Sims!$A1321:$BO1321,'Entry Builder'!$L$12)&gt;'Entry Builder'!$E$12)))</f>
        <v/>
      </c>
      <c r="G1321">
        <f>6-SUM(A1321:F1321)</f>
        <v/>
      </c>
    </row>
    <row r="1322">
      <c r="A1322">
        <f>IF('Entry Builder'!$N$7=0,1,IF('Entry Builder'!$D$7="Less",--(INDEX(Sims!$A1322:$BO1322,'Entry Builder'!$L$7)&lt;'Entry Builder'!$E$7),--(INDEX(Sims!$A1322:$BO1322,'Entry Builder'!$L$7)&gt;'Entry Builder'!$E$7)))</f>
        <v/>
      </c>
      <c r="B1322">
        <f>IF('Entry Builder'!$N$8=0,1,IF('Entry Builder'!$D$8="Less",--(INDEX(Sims!$A1322:$BO1322,'Entry Builder'!$L$8)&lt;'Entry Builder'!$E$8),--(INDEX(Sims!$A1322:$BO1322,'Entry Builder'!$L$8)&gt;'Entry Builder'!$E$8)))</f>
        <v/>
      </c>
      <c r="C1322">
        <f>IF('Entry Builder'!$N$9=0,1,IF('Entry Builder'!$D$9="Less",--(INDEX(Sims!$A1322:$BO1322,'Entry Builder'!$L$9)&lt;'Entry Builder'!$E$9),--(INDEX(Sims!$A1322:$BO1322,'Entry Builder'!$L$9)&gt;'Entry Builder'!$E$9)))</f>
        <v/>
      </c>
      <c r="D1322">
        <f>IF('Entry Builder'!$N$10=0,1,IF('Entry Builder'!$D$10="Less",--(INDEX(Sims!$A1322:$BO1322,'Entry Builder'!$L$10)&lt;'Entry Builder'!$E$10),--(INDEX(Sims!$A1322:$BO1322,'Entry Builder'!$L$10)&gt;'Entry Builder'!$E$10)))</f>
        <v/>
      </c>
      <c r="E1322">
        <f>IF('Entry Builder'!$N$11=0,1,IF('Entry Builder'!$D$11="Less",--(INDEX(Sims!$A1322:$BO1322,'Entry Builder'!$L$11)&lt;'Entry Builder'!$E$11),--(INDEX(Sims!$A1322:$BO1322,'Entry Builder'!$L$11)&gt;'Entry Builder'!$E$11)))</f>
        <v/>
      </c>
      <c r="F1322">
        <f>IF('Entry Builder'!$N$12=0,1,IF('Entry Builder'!$D$12="Less",--(INDEX(Sims!$A1322:$BO1322,'Entry Builder'!$L$12)&lt;'Entry Builder'!$E$12),--(INDEX(Sims!$A1322:$BO1322,'Entry Builder'!$L$12)&gt;'Entry Builder'!$E$12)))</f>
        <v/>
      </c>
      <c r="G1322">
        <f>6-SUM(A1322:F1322)</f>
        <v/>
      </c>
    </row>
    <row r="1323">
      <c r="A1323">
        <f>IF('Entry Builder'!$N$7=0,1,IF('Entry Builder'!$D$7="Less",--(INDEX(Sims!$A1323:$BO1323,'Entry Builder'!$L$7)&lt;'Entry Builder'!$E$7),--(INDEX(Sims!$A1323:$BO1323,'Entry Builder'!$L$7)&gt;'Entry Builder'!$E$7)))</f>
        <v/>
      </c>
      <c r="B1323">
        <f>IF('Entry Builder'!$N$8=0,1,IF('Entry Builder'!$D$8="Less",--(INDEX(Sims!$A1323:$BO1323,'Entry Builder'!$L$8)&lt;'Entry Builder'!$E$8),--(INDEX(Sims!$A1323:$BO1323,'Entry Builder'!$L$8)&gt;'Entry Builder'!$E$8)))</f>
        <v/>
      </c>
      <c r="C1323">
        <f>IF('Entry Builder'!$N$9=0,1,IF('Entry Builder'!$D$9="Less",--(INDEX(Sims!$A1323:$BO1323,'Entry Builder'!$L$9)&lt;'Entry Builder'!$E$9),--(INDEX(Sims!$A1323:$BO1323,'Entry Builder'!$L$9)&gt;'Entry Builder'!$E$9)))</f>
        <v/>
      </c>
      <c r="D1323">
        <f>IF('Entry Builder'!$N$10=0,1,IF('Entry Builder'!$D$10="Less",--(INDEX(Sims!$A1323:$BO1323,'Entry Builder'!$L$10)&lt;'Entry Builder'!$E$10),--(INDEX(Sims!$A1323:$BO1323,'Entry Builder'!$L$10)&gt;'Entry Builder'!$E$10)))</f>
        <v/>
      </c>
      <c r="E1323">
        <f>IF('Entry Builder'!$N$11=0,1,IF('Entry Builder'!$D$11="Less",--(INDEX(Sims!$A1323:$BO1323,'Entry Builder'!$L$11)&lt;'Entry Builder'!$E$11),--(INDEX(Sims!$A1323:$BO1323,'Entry Builder'!$L$11)&gt;'Entry Builder'!$E$11)))</f>
        <v/>
      </c>
      <c r="F1323">
        <f>IF('Entry Builder'!$N$12=0,1,IF('Entry Builder'!$D$12="Less",--(INDEX(Sims!$A1323:$BO1323,'Entry Builder'!$L$12)&lt;'Entry Builder'!$E$12),--(INDEX(Sims!$A1323:$BO1323,'Entry Builder'!$L$12)&gt;'Entry Builder'!$E$12)))</f>
        <v/>
      </c>
      <c r="G1323">
        <f>6-SUM(A1323:F1323)</f>
        <v/>
      </c>
    </row>
    <row r="1324">
      <c r="A1324">
        <f>IF('Entry Builder'!$N$7=0,1,IF('Entry Builder'!$D$7="Less",--(INDEX(Sims!$A1324:$BO1324,'Entry Builder'!$L$7)&lt;'Entry Builder'!$E$7),--(INDEX(Sims!$A1324:$BO1324,'Entry Builder'!$L$7)&gt;'Entry Builder'!$E$7)))</f>
        <v/>
      </c>
      <c r="B1324">
        <f>IF('Entry Builder'!$N$8=0,1,IF('Entry Builder'!$D$8="Less",--(INDEX(Sims!$A1324:$BO1324,'Entry Builder'!$L$8)&lt;'Entry Builder'!$E$8),--(INDEX(Sims!$A1324:$BO1324,'Entry Builder'!$L$8)&gt;'Entry Builder'!$E$8)))</f>
        <v/>
      </c>
      <c r="C1324">
        <f>IF('Entry Builder'!$N$9=0,1,IF('Entry Builder'!$D$9="Less",--(INDEX(Sims!$A1324:$BO1324,'Entry Builder'!$L$9)&lt;'Entry Builder'!$E$9),--(INDEX(Sims!$A1324:$BO1324,'Entry Builder'!$L$9)&gt;'Entry Builder'!$E$9)))</f>
        <v/>
      </c>
      <c r="D1324">
        <f>IF('Entry Builder'!$N$10=0,1,IF('Entry Builder'!$D$10="Less",--(INDEX(Sims!$A1324:$BO1324,'Entry Builder'!$L$10)&lt;'Entry Builder'!$E$10),--(INDEX(Sims!$A1324:$BO1324,'Entry Builder'!$L$10)&gt;'Entry Builder'!$E$10)))</f>
        <v/>
      </c>
      <c r="E1324">
        <f>IF('Entry Builder'!$N$11=0,1,IF('Entry Builder'!$D$11="Less",--(INDEX(Sims!$A1324:$BO1324,'Entry Builder'!$L$11)&lt;'Entry Builder'!$E$11),--(INDEX(Sims!$A1324:$BO1324,'Entry Builder'!$L$11)&gt;'Entry Builder'!$E$11)))</f>
        <v/>
      </c>
      <c r="F1324">
        <f>IF('Entry Builder'!$N$12=0,1,IF('Entry Builder'!$D$12="Less",--(INDEX(Sims!$A1324:$BO1324,'Entry Builder'!$L$12)&lt;'Entry Builder'!$E$12),--(INDEX(Sims!$A1324:$BO1324,'Entry Builder'!$L$12)&gt;'Entry Builder'!$E$12)))</f>
        <v/>
      </c>
      <c r="G1324">
        <f>6-SUM(A1324:F1324)</f>
        <v/>
      </c>
    </row>
    <row r="1325">
      <c r="A1325">
        <f>IF('Entry Builder'!$N$7=0,1,IF('Entry Builder'!$D$7="Less",--(INDEX(Sims!$A1325:$BO1325,'Entry Builder'!$L$7)&lt;'Entry Builder'!$E$7),--(INDEX(Sims!$A1325:$BO1325,'Entry Builder'!$L$7)&gt;'Entry Builder'!$E$7)))</f>
        <v/>
      </c>
      <c r="B1325">
        <f>IF('Entry Builder'!$N$8=0,1,IF('Entry Builder'!$D$8="Less",--(INDEX(Sims!$A1325:$BO1325,'Entry Builder'!$L$8)&lt;'Entry Builder'!$E$8),--(INDEX(Sims!$A1325:$BO1325,'Entry Builder'!$L$8)&gt;'Entry Builder'!$E$8)))</f>
        <v/>
      </c>
      <c r="C1325">
        <f>IF('Entry Builder'!$N$9=0,1,IF('Entry Builder'!$D$9="Less",--(INDEX(Sims!$A1325:$BO1325,'Entry Builder'!$L$9)&lt;'Entry Builder'!$E$9),--(INDEX(Sims!$A1325:$BO1325,'Entry Builder'!$L$9)&gt;'Entry Builder'!$E$9)))</f>
        <v/>
      </c>
      <c r="D1325">
        <f>IF('Entry Builder'!$N$10=0,1,IF('Entry Builder'!$D$10="Less",--(INDEX(Sims!$A1325:$BO1325,'Entry Builder'!$L$10)&lt;'Entry Builder'!$E$10),--(INDEX(Sims!$A1325:$BO1325,'Entry Builder'!$L$10)&gt;'Entry Builder'!$E$10)))</f>
        <v/>
      </c>
      <c r="E1325">
        <f>IF('Entry Builder'!$N$11=0,1,IF('Entry Builder'!$D$11="Less",--(INDEX(Sims!$A1325:$BO1325,'Entry Builder'!$L$11)&lt;'Entry Builder'!$E$11),--(INDEX(Sims!$A1325:$BO1325,'Entry Builder'!$L$11)&gt;'Entry Builder'!$E$11)))</f>
        <v/>
      </c>
      <c r="F1325">
        <f>IF('Entry Builder'!$N$12=0,1,IF('Entry Builder'!$D$12="Less",--(INDEX(Sims!$A1325:$BO1325,'Entry Builder'!$L$12)&lt;'Entry Builder'!$E$12),--(INDEX(Sims!$A1325:$BO1325,'Entry Builder'!$L$12)&gt;'Entry Builder'!$E$12)))</f>
        <v/>
      </c>
      <c r="G1325">
        <f>6-SUM(A1325:F1325)</f>
        <v/>
      </c>
    </row>
    <row r="1326">
      <c r="A1326">
        <f>IF('Entry Builder'!$N$7=0,1,IF('Entry Builder'!$D$7="Less",--(INDEX(Sims!$A1326:$BO1326,'Entry Builder'!$L$7)&lt;'Entry Builder'!$E$7),--(INDEX(Sims!$A1326:$BO1326,'Entry Builder'!$L$7)&gt;'Entry Builder'!$E$7)))</f>
        <v/>
      </c>
      <c r="B1326">
        <f>IF('Entry Builder'!$N$8=0,1,IF('Entry Builder'!$D$8="Less",--(INDEX(Sims!$A1326:$BO1326,'Entry Builder'!$L$8)&lt;'Entry Builder'!$E$8),--(INDEX(Sims!$A1326:$BO1326,'Entry Builder'!$L$8)&gt;'Entry Builder'!$E$8)))</f>
        <v/>
      </c>
      <c r="C1326">
        <f>IF('Entry Builder'!$N$9=0,1,IF('Entry Builder'!$D$9="Less",--(INDEX(Sims!$A1326:$BO1326,'Entry Builder'!$L$9)&lt;'Entry Builder'!$E$9),--(INDEX(Sims!$A1326:$BO1326,'Entry Builder'!$L$9)&gt;'Entry Builder'!$E$9)))</f>
        <v/>
      </c>
      <c r="D1326">
        <f>IF('Entry Builder'!$N$10=0,1,IF('Entry Builder'!$D$10="Less",--(INDEX(Sims!$A1326:$BO1326,'Entry Builder'!$L$10)&lt;'Entry Builder'!$E$10),--(INDEX(Sims!$A1326:$BO1326,'Entry Builder'!$L$10)&gt;'Entry Builder'!$E$10)))</f>
        <v/>
      </c>
      <c r="E1326">
        <f>IF('Entry Builder'!$N$11=0,1,IF('Entry Builder'!$D$11="Less",--(INDEX(Sims!$A1326:$BO1326,'Entry Builder'!$L$11)&lt;'Entry Builder'!$E$11),--(INDEX(Sims!$A1326:$BO1326,'Entry Builder'!$L$11)&gt;'Entry Builder'!$E$11)))</f>
        <v/>
      </c>
      <c r="F1326">
        <f>IF('Entry Builder'!$N$12=0,1,IF('Entry Builder'!$D$12="Less",--(INDEX(Sims!$A1326:$BO1326,'Entry Builder'!$L$12)&lt;'Entry Builder'!$E$12),--(INDEX(Sims!$A1326:$BO1326,'Entry Builder'!$L$12)&gt;'Entry Builder'!$E$12)))</f>
        <v/>
      </c>
      <c r="G1326">
        <f>6-SUM(A1326:F1326)</f>
        <v/>
      </c>
    </row>
    <row r="1327">
      <c r="A1327">
        <f>IF('Entry Builder'!$N$7=0,1,IF('Entry Builder'!$D$7="Less",--(INDEX(Sims!$A1327:$BO1327,'Entry Builder'!$L$7)&lt;'Entry Builder'!$E$7),--(INDEX(Sims!$A1327:$BO1327,'Entry Builder'!$L$7)&gt;'Entry Builder'!$E$7)))</f>
        <v/>
      </c>
      <c r="B1327">
        <f>IF('Entry Builder'!$N$8=0,1,IF('Entry Builder'!$D$8="Less",--(INDEX(Sims!$A1327:$BO1327,'Entry Builder'!$L$8)&lt;'Entry Builder'!$E$8),--(INDEX(Sims!$A1327:$BO1327,'Entry Builder'!$L$8)&gt;'Entry Builder'!$E$8)))</f>
        <v/>
      </c>
      <c r="C1327">
        <f>IF('Entry Builder'!$N$9=0,1,IF('Entry Builder'!$D$9="Less",--(INDEX(Sims!$A1327:$BO1327,'Entry Builder'!$L$9)&lt;'Entry Builder'!$E$9),--(INDEX(Sims!$A1327:$BO1327,'Entry Builder'!$L$9)&gt;'Entry Builder'!$E$9)))</f>
        <v/>
      </c>
      <c r="D1327">
        <f>IF('Entry Builder'!$N$10=0,1,IF('Entry Builder'!$D$10="Less",--(INDEX(Sims!$A1327:$BO1327,'Entry Builder'!$L$10)&lt;'Entry Builder'!$E$10),--(INDEX(Sims!$A1327:$BO1327,'Entry Builder'!$L$10)&gt;'Entry Builder'!$E$10)))</f>
        <v/>
      </c>
      <c r="E1327">
        <f>IF('Entry Builder'!$N$11=0,1,IF('Entry Builder'!$D$11="Less",--(INDEX(Sims!$A1327:$BO1327,'Entry Builder'!$L$11)&lt;'Entry Builder'!$E$11),--(INDEX(Sims!$A1327:$BO1327,'Entry Builder'!$L$11)&gt;'Entry Builder'!$E$11)))</f>
        <v/>
      </c>
      <c r="F1327">
        <f>IF('Entry Builder'!$N$12=0,1,IF('Entry Builder'!$D$12="Less",--(INDEX(Sims!$A1327:$BO1327,'Entry Builder'!$L$12)&lt;'Entry Builder'!$E$12),--(INDEX(Sims!$A1327:$BO1327,'Entry Builder'!$L$12)&gt;'Entry Builder'!$E$12)))</f>
        <v/>
      </c>
      <c r="G1327">
        <f>6-SUM(A1327:F1327)</f>
        <v/>
      </c>
    </row>
    <row r="1328">
      <c r="A1328">
        <f>IF('Entry Builder'!$N$7=0,1,IF('Entry Builder'!$D$7="Less",--(INDEX(Sims!$A1328:$BO1328,'Entry Builder'!$L$7)&lt;'Entry Builder'!$E$7),--(INDEX(Sims!$A1328:$BO1328,'Entry Builder'!$L$7)&gt;'Entry Builder'!$E$7)))</f>
        <v/>
      </c>
      <c r="B1328">
        <f>IF('Entry Builder'!$N$8=0,1,IF('Entry Builder'!$D$8="Less",--(INDEX(Sims!$A1328:$BO1328,'Entry Builder'!$L$8)&lt;'Entry Builder'!$E$8),--(INDEX(Sims!$A1328:$BO1328,'Entry Builder'!$L$8)&gt;'Entry Builder'!$E$8)))</f>
        <v/>
      </c>
      <c r="C1328">
        <f>IF('Entry Builder'!$N$9=0,1,IF('Entry Builder'!$D$9="Less",--(INDEX(Sims!$A1328:$BO1328,'Entry Builder'!$L$9)&lt;'Entry Builder'!$E$9),--(INDEX(Sims!$A1328:$BO1328,'Entry Builder'!$L$9)&gt;'Entry Builder'!$E$9)))</f>
        <v/>
      </c>
      <c r="D1328">
        <f>IF('Entry Builder'!$N$10=0,1,IF('Entry Builder'!$D$10="Less",--(INDEX(Sims!$A1328:$BO1328,'Entry Builder'!$L$10)&lt;'Entry Builder'!$E$10),--(INDEX(Sims!$A1328:$BO1328,'Entry Builder'!$L$10)&gt;'Entry Builder'!$E$10)))</f>
        <v/>
      </c>
      <c r="E1328">
        <f>IF('Entry Builder'!$N$11=0,1,IF('Entry Builder'!$D$11="Less",--(INDEX(Sims!$A1328:$BO1328,'Entry Builder'!$L$11)&lt;'Entry Builder'!$E$11),--(INDEX(Sims!$A1328:$BO1328,'Entry Builder'!$L$11)&gt;'Entry Builder'!$E$11)))</f>
        <v/>
      </c>
      <c r="F1328">
        <f>IF('Entry Builder'!$N$12=0,1,IF('Entry Builder'!$D$12="Less",--(INDEX(Sims!$A1328:$BO1328,'Entry Builder'!$L$12)&lt;'Entry Builder'!$E$12),--(INDEX(Sims!$A1328:$BO1328,'Entry Builder'!$L$12)&gt;'Entry Builder'!$E$12)))</f>
        <v/>
      </c>
      <c r="G1328">
        <f>6-SUM(A1328:F1328)</f>
        <v/>
      </c>
    </row>
    <row r="1329">
      <c r="A1329">
        <f>IF('Entry Builder'!$N$7=0,1,IF('Entry Builder'!$D$7="Less",--(INDEX(Sims!$A1329:$BO1329,'Entry Builder'!$L$7)&lt;'Entry Builder'!$E$7),--(INDEX(Sims!$A1329:$BO1329,'Entry Builder'!$L$7)&gt;'Entry Builder'!$E$7)))</f>
        <v/>
      </c>
      <c r="B1329">
        <f>IF('Entry Builder'!$N$8=0,1,IF('Entry Builder'!$D$8="Less",--(INDEX(Sims!$A1329:$BO1329,'Entry Builder'!$L$8)&lt;'Entry Builder'!$E$8),--(INDEX(Sims!$A1329:$BO1329,'Entry Builder'!$L$8)&gt;'Entry Builder'!$E$8)))</f>
        <v/>
      </c>
      <c r="C1329">
        <f>IF('Entry Builder'!$N$9=0,1,IF('Entry Builder'!$D$9="Less",--(INDEX(Sims!$A1329:$BO1329,'Entry Builder'!$L$9)&lt;'Entry Builder'!$E$9),--(INDEX(Sims!$A1329:$BO1329,'Entry Builder'!$L$9)&gt;'Entry Builder'!$E$9)))</f>
        <v/>
      </c>
      <c r="D1329">
        <f>IF('Entry Builder'!$N$10=0,1,IF('Entry Builder'!$D$10="Less",--(INDEX(Sims!$A1329:$BO1329,'Entry Builder'!$L$10)&lt;'Entry Builder'!$E$10),--(INDEX(Sims!$A1329:$BO1329,'Entry Builder'!$L$10)&gt;'Entry Builder'!$E$10)))</f>
        <v/>
      </c>
      <c r="E1329">
        <f>IF('Entry Builder'!$N$11=0,1,IF('Entry Builder'!$D$11="Less",--(INDEX(Sims!$A1329:$BO1329,'Entry Builder'!$L$11)&lt;'Entry Builder'!$E$11),--(INDEX(Sims!$A1329:$BO1329,'Entry Builder'!$L$11)&gt;'Entry Builder'!$E$11)))</f>
        <v/>
      </c>
      <c r="F1329">
        <f>IF('Entry Builder'!$N$12=0,1,IF('Entry Builder'!$D$12="Less",--(INDEX(Sims!$A1329:$BO1329,'Entry Builder'!$L$12)&lt;'Entry Builder'!$E$12),--(INDEX(Sims!$A1329:$BO1329,'Entry Builder'!$L$12)&gt;'Entry Builder'!$E$12)))</f>
        <v/>
      </c>
      <c r="G1329">
        <f>6-SUM(A1329:F1329)</f>
        <v/>
      </c>
    </row>
    <row r="1330">
      <c r="A1330">
        <f>IF('Entry Builder'!$N$7=0,1,IF('Entry Builder'!$D$7="Less",--(INDEX(Sims!$A1330:$BO1330,'Entry Builder'!$L$7)&lt;'Entry Builder'!$E$7),--(INDEX(Sims!$A1330:$BO1330,'Entry Builder'!$L$7)&gt;'Entry Builder'!$E$7)))</f>
        <v/>
      </c>
      <c r="B1330">
        <f>IF('Entry Builder'!$N$8=0,1,IF('Entry Builder'!$D$8="Less",--(INDEX(Sims!$A1330:$BO1330,'Entry Builder'!$L$8)&lt;'Entry Builder'!$E$8),--(INDEX(Sims!$A1330:$BO1330,'Entry Builder'!$L$8)&gt;'Entry Builder'!$E$8)))</f>
        <v/>
      </c>
      <c r="C1330">
        <f>IF('Entry Builder'!$N$9=0,1,IF('Entry Builder'!$D$9="Less",--(INDEX(Sims!$A1330:$BO1330,'Entry Builder'!$L$9)&lt;'Entry Builder'!$E$9),--(INDEX(Sims!$A1330:$BO1330,'Entry Builder'!$L$9)&gt;'Entry Builder'!$E$9)))</f>
        <v/>
      </c>
      <c r="D1330">
        <f>IF('Entry Builder'!$N$10=0,1,IF('Entry Builder'!$D$10="Less",--(INDEX(Sims!$A1330:$BO1330,'Entry Builder'!$L$10)&lt;'Entry Builder'!$E$10),--(INDEX(Sims!$A1330:$BO1330,'Entry Builder'!$L$10)&gt;'Entry Builder'!$E$10)))</f>
        <v/>
      </c>
      <c r="E1330">
        <f>IF('Entry Builder'!$N$11=0,1,IF('Entry Builder'!$D$11="Less",--(INDEX(Sims!$A1330:$BO1330,'Entry Builder'!$L$11)&lt;'Entry Builder'!$E$11),--(INDEX(Sims!$A1330:$BO1330,'Entry Builder'!$L$11)&gt;'Entry Builder'!$E$11)))</f>
        <v/>
      </c>
      <c r="F1330">
        <f>IF('Entry Builder'!$N$12=0,1,IF('Entry Builder'!$D$12="Less",--(INDEX(Sims!$A1330:$BO1330,'Entry Builder'!$L$12)&lt;'Entry Builder'!$E$12),--(INDEX(Sims!$A1330:$BO1330,'Entry Builder'!$L$12)&gt;'Entry Builder'!$E$12)))</f>
        <v/>
      </c>
      <c r="G1330">
        <f>6-SUM(A1330:F1330)</f>
        <v/>
      </c>
    </row>
    <row r="1331">
      <c r="A1331">
        <f>IF('Entry Builder'!$N$7=0,1,IF('Entry Builder'!$D$7="Less",--(INDEX(Sims!$A1331:$BO1331,'Entry Builder'!$L$7)&lt;'Entry Builder'!$E$7),--(INDEX(Sims!$A1331:$BO1331,'Entry Builder'!$L$7)&gt;'Entry Builder'!$E$7)))</f>
        <v/>
      </c>
      <c r="B1331">
        <f>IF('Entry Builder'!$N$8=0,1,IF('Entry Builder'!$D$8="Less",--(INDEX(Sims!$A1331:$BO1331,'Entry Builder'!$L$8)&lt;'Entry Builder'!$E$8),--(INDEX(Sims!$A1331:$BO1331,'Entry Builder'!$L$8)&gt;'Entry Builder'!$E$8)))</f>
        <v/>
      </c>
      <c r="C1331">
        <f>IF('Entry Builder'!$N$9=0,1,IF('Entry Builder'!$D$9="Less",--(INDEX(Sims!$A1331:$BO1331,'Entry Builder'!$L$9)&lt;'Entry Builder'!$E$9),--(INDEX(Sims!$A1331:$BO1331,'Entry Builder'!$L$9)&gt;'Entry Builder'!$E$9)))</f>
        <v/>
      </c>
      <c r="D1331">
        <f>IF('Entry Builder'!$N$10=0,1,IF('Entry Builder'!$D$10="Less",--(INDEX(Sims!$A1331:$BO1331,'Entry Builder'!$L$10)&lt;'Entry Builder'!$E$10),--(INDEX(Sims!$A1331:$BO1331,'Entry Builder'!$L$10)&gt;'Entry Builder'!$E$10)))</f>
        <v/>
      </c>
      <c r="E1331">
        <f>IF('Entry Builder'!$N$11=0,1,IF('Entry Builder'!$D$11="Less",--(INDEX(Sims!$A1331:$BO1331,'Entry Builder'!$L$11)&lt;'Entry Builder'!$E$11),--(INDEX(Sims!$A1331:$BO1331,'Entry Builder'!$L$11)&gt;'Entry Builder'!$E$11)))</f>
        <v/>
      </c>
      <c r="F1331">
        <f>IF('Entry Builder'!$N$12=0,1,IF('Entry Builder'!$D$12="Less",--(INDEX(Sims!$A1331:$BO1331,'Entry Builder'!$L$12)&lt;'Entry Builder'!$E$12),--(INDEX(Sims!$A1331:$BO1331,'Entry Builder'!$L$12)&gt;'Entry Builder'!$E$12)))</f>
        <v/>
      </c>
      <c r="G1331">
        <f>6-SUM(A1331:F1331)</f>
        <v/>
      </c>
    </row>
    <row r="1332">
      <c r="A1332">
        <f>IF('Entry Builder'!$N$7=0,1,IF('Entry Builder'!$D$7="Less",--(INDEX(Sims!$A1332:$BO1332,'Entry Builder'!$L$7)&lt;'Entry Builder'!$E$7),--(INDEX(Sims!$A1332:$BO1332,'Entry Builder'!$L$7)&gt;'Entry Builder'!$E$7)))</f>
        <v/>
      </c>
      <c r="B1332">
        <f>IF('Entry Builder'!$N$8=0,1,IF('Entry Builder'!$D$8="Less",--(INDEX(Sims!$A1332:$BO1332,'Entry Builder'!$L$8)&lt;'Entry Builder'!$E$8),--(INDEX(Sims!$A1332:$BO1332,'Entry Builder'!$L$8)&gt;'Entry Builder'!$E$8)))</f>
        <v/>
      </c>
      <c r="C1332">
        <f>IF('Entry Builder'!$N$9=0,1,IF('Entry Builder'!$D$9="Less",--(INDEX(Sims!$A1332:$BO1332,'Entry Builder'!$L$9)&lt;'Entry Builder'!$E$9),--(INDEX(Sims!$A1332:$BO1332,'Entry Builder'!$L$9)&gt;'Entry Builder'!$E$9)))</f>
        <v/>
      </c>
      <c r="D1332">
        <f>IF('Entry Builder'!$N$10=0,1,IF('Entry Builder'!$D$10="Less",--(INDEX(Sims!$A1332:$BO1332,'Entry Builder'!$L$10)&lt;'Entry Builder'!$E$10),--(INDEX(Sims!$A1332:$BO1332,'Entry Builder'!$L$10)&gt;'Entry Builder'!$E$10)))</f>
        <v/>
      </c>
      <c r="E1332">
        <f>IF('Entry Builder'!$N$11=0,1,IF('Entry Builder'!$D$11="Less",--(INDEX(Sims!$A1332:$BO1332,'Entry Builder'!$L$11)&lt;'Entry Builder'!$E$11),--(INDEX(Sims!$A1332:$BO1332,'Entry Builder'!$L$11)&gt;'Entry Builder'!$E$11)))</f>
        <v/>
      </c>
      <c r="F1332">
        <f>IF('Entry Builder'!$N$12=0,1,IF('Entry Builder'!$D$12="Less",--(INDEX(Sims!$A1332:$BO1332,'Entry Builder'!$L$12)&lt;'Entry Builder'!$E$12),--(INDEX(Sims!$A1332:$BO1332,'Entry Builder'!$L$12)&gt;'Entry Builder'!$E$12)))</f>
        <v/>
      </c>
      <c r="G1332">
        <f>6-SUM(A1332:F1332)</f>
        <v/>
      </c>
    </row>
    <row r="1333">
      <c r="A1333">
        <f>IF('Entry Builder'!$N$7=0,1,IF('Entry Builder'!$D$7="Less",--(INDEX(Sims!$A1333:$BO1333,'Entry Builder'!$L$7)&lt;'Entry Builder'!$E$7),--(INDEX(Sims!$A1333:$BO1333,'Entry Builder'!$L$7)&gt;'Entry Builder'!$E$7)))</f>
        <v/>
      </c>
      <c r="B1333">
        <f>IF('Entry Builder'!$N$8=0,1,IF('Entry Builder'!$D$8="Less",--(INDEX(Sims!$A1333:$BO1333,'Entry Builder'!$L$8)&lt;'Entry Builder'!$E$8),--(INDEX(Sims!$A1333:$BO1333,'Entry Builder'!$L$8)&gt;'Entry Builder'!$E$8)))</f>
        <v/>
      </c>
      <c r="C1333">
        <f>IF('Entry Builder'!$N$9=0,1,IF('Entry Builder'!$D$9="Less",--(INDEX(Sims!$A1333:$BO1333,'Entry Builder'!$L$9)&lt;'Entry Builder'!$E$9),--(INDEX(Sims!$A1333:$BO1333,'Entry Builder'!$L$9)&gt;'Entry Builder'!$E$9)))</f>
        <v/>
      </c>
      <c r="D1333">
        <f>IF('Entry Builder'!$N$10=0,1,IF('Entry Builder'!$D$10="Less",--(INDEX(Sims!$A1333:$BO1333,'Entry Builder'!$L$10)&lt;'Entry Builder'!$E$10),--(INDEX(Sims!$A1333:$BO1333,'Entry Builder'!$L$10)&gt;'Entry Builder'!$E$10)))</f>
        <v/>
      </c>
      <c r="E1333">
        <f>IF('Entry Builder'!$N$11=0,1,IF('Entry Builder'!$D$11="Less",--(INDEX(Sims!$A1333:$BO1333,'Entry Builder'!$L$11)&lt;'Entry Builder'!$E$11),--(INDEX(Sims!$A1333:$BO1333,'Entry Builder'!$L$11)&gt;'Entry Builder'!$E$11)))</f>
        <v/>
      </c>
      <c r="F1333">
        <f>IF('Entry Builder'!$N$12=0,1,IF('Entry Builder'!$D$12="Less",--(INDEX(Sims!$A1333:$BO1333,'Entry Builder'!$L$12)&lt;'Entry Builder'!$E$12),--(INDEX(Sims!$A1333:$BO1333,'Entry Builder'!$L$12)&gt;'Entry Builder'!$E$12)))</f>
        <v/>
      </c>
      <c r="G1333">
        <f>6-SUM(A1333:F1333)</f>
        <v/>
      </c>
    </row>
    <row r="1334">
      <c r="A1334">
        <f>IF('Entry Builder'!$N$7=0,1,IF('Entry Builder'!$D$7="Less",--(INDEX(Sims!$A1334:$BO1334,'Entry Builder'!$L$7)&lt;'Entry Builder'!$E$7),--(INDEX(Sims!$A1334:$BO1334,'Entry Builder'!$L$7)&gt;'Entry Builder'!$E$7)))</f>
        <v/>
      </c>
      <c r="B1334">
        <f>IF('Entry Builder'!$N$8=0,1,IF('Entry Builder'!$D$8="Less",--(INDEX(Sims!$A1334:$BO1334,'Entry Builder'!$L$8)&lt;'Entry Builder'!$E$8),--(INDEX(Sims!$A1334:$BO1334,'Entry Builder'!$L$8)&gt;'Entry Builder'!$E$8)))</f>
        <v/>
      </c>
      <c r="C1334">
        <f>IF('Entry Builder'!$N$9=0,1,IF('Entry Builder'!$D$9="Less",--(INDEX(Sims!$A1334:$BO1334,'Entry Builder'!$L$9)&lt;'Entry Builder'!$E$9),--(INDEX(Sims!$A1334:$BO1334,'Entry Builder'!$L$9)&gt;'Entry Builder'!$E$9)))</f>
        <v/>
      </c>
      <c r="D1334">
        <f>IF('Entry Builder'!$N$10=0,1,IF('Entry Builder'!$D$10="Less",--(INDEX(Sims!$A1334:$BO1334,'Entry Builder'!$L$10)&lt;'Entry Builder'!$E$10),--(INDEX(Sims!$A1334:$BO1334,'Entry Builder'!$L$10)&gt;'Entry Builder'!$E$10)))</f>
        <v/>
      </c>
      <c r="E1334">
        <f>IF('Entry Builder'!$N$11=0,1,IF('Entry Builder'!$D$11="Less",--(INDEX(Sims!$A1334:$BO1334,'Entry Builder'!$L$11)&lt;'Entry Builder'!$E$11),--(INDEX(Sims!$A1334:$BO1334,'Entry Builder'!$L$11)&gt;'Entry Builder'!$E$11)))</f>
        <v/>
      </c>
      <c r="F1334">
        <f>IF('Entry Builder'!$N$12=0,1,IF('Entry Builder'!$D$12="Less",--(INDEX(Sims!$A1334:$BO1334,'Entry Builder'!$L$12)&lt;'Entry Builder'!$E$12),--(INDEX(Sims!$A1334:$BO1334,'Entry Builder'!$L$12)&gt;'Entry Builder'!$E$12)))</f>
        <v/>
      </c>
      <c r="G1334">
        <f>6-SUM(A1334:F1334)</f>
        <v/>
      </c>
    </row>
    <row r="1335">
      <c r="A1335">
        <f>IF('Entry Builder'!$N$7=0,1,IF('Entry Builder'!$D$7="Less",--(INDEX(Sims!$A1335:$BO1335,'Entry Builder'!$L$7)&lt;'Entry Builder'!$E$7),--(INDEX(Sims!$A1335:$BO1335,'Entry Builder'!$L$7)&gt;'Entry Builder'!$E$7)))</f>
        <v/>
      </c>
      <c r="B1335">
        <f>IF('Entry Builder'!$N$8=0,1,IF('Entry Builder'!$D$8="Less",--(INDEX(Sims!$A1335:$BO1335,'Entry Builder'!$L$8)&lt;'Entry Builder'!$E$8),--(INDEX(Sims!$A1335:$BO1335,'Entry Builder'!$L$8)&gt;'Entry Builder'!$E$8)))</f>
        <v/>
      </c>
      <c r="C1335">
        <f>IF('Entry Builder'!$N$9=0,1,IF('Entry Builder'!$D$9="Less",--(INDEX(Sims!$A1335:$BO1335,'Entry Builder'!$L$9)&lt;'Entry Builder'!$E$9),--(INDEX(Sims!$A1335:$BO1335,'Entry Builder'!$L$9)&gt;'Entry Builder'!$E$9)))</f>
        <v/>
      </c>
      <c r="D1335">
        <f>IF('Entry Builder'!$N$10=0,1,IF('Entry Builder'!$D$10="Less",--(INDEX(Sims!$A1335:$BO1335,'Entry Builder'!$L$10)&lt;'Entry Builder'!$E$10),--(INDEX(Sims!$A1335:$BO1335,'Entry Builder'!$L$10)&gt;'Entry Builder'!$E$10)))</f>
        <v/>
      </c>
      <c r="E1335">
        <f>IF('Entry Builder'!$N$11=0,1,IF('Entry Builder'!$D$11="Less",--(INDEX(Sims!$A1335:$BO1335,'Entry Builder'!$L$11)&lt;'Entry Builder'!$E$11),--(INDEX(Sims!$A1335:$BO1335,'Entry Builder'!$L$11)&gt;'Entry Builder'!$E$11)))</f>
        <v/>
      </c>
      <c r="F1335">
        <f>IF('Entry Builder'!$N$12=0,1,IF('Entry Builder'!$D$12="Less",--(INDEX(Sims!$A1335:$BO1335,'Entry Builder'!$L$12)&lt;'Entry Builder'!$E$12),--(INDEX(Sims!$A1335:$BO1335,'Entry Builder'!$L$12)&gt;'Entry Builder'!$E$12)))</f>
        <v/>
      </c>
      <c r="G1335">
        <f>6-SUM(A1335:F1335)</f>
        <v/>
      </c>
    </row>
    <row r="1336">
      <c r="A1336">
        <f>IF('Entry Builder'!$N$7=0,1,IF('Entry Builder'!$D$7="Less",--(INDEX(Sims!$A1336:$BO1336,'Entry Builder'!$L$7)&lt;'Entry Builder'!$E$7),--(INDEX(Sims!$A1336:$BO1336,'Entry Builder'!$L$7)&gt;'Entry Builder'!$E$7)))</f>
        <v/>
      </c>
      <c r="B1336">
        <f>IF('Entry Builder'!$N$8=0,1,IF('Entry Builder'!$D$8="Less",--(INDEX(Sims!$A1336:$BO1336,'Entry Builder'!$L$8)&lt;'Entry Builder'!$E$8),--(INDEX(Sims!$A1336:$BO1336,'Entry Builder'!$L$8)&gt;'Entry Builder'!$E$8)))</f>
        <v/>
      </c>
      <c r="C1336">
        <f>IF('Entry Builder'!$N$9=0,1,IF('Entry Builder'!$D$9="Less",--(INDEX(Sims!$A1336:$BO1336,'Entry Builder'!$L$9)&lt;'Entry Builder'!$E$9),--(INDEX(Sims!$A1336:$BO1336,'Entry Builder'!$L$9)&gt;'Entry Builder'!$E$9)))</f>
        <v/>
      </c>
      <c r="D1336">
        <f>IF('Entry Builder'!$N$10=0,1,IF('Entry Builder'!$D$10="Less",--(INDEX(Sims!$A1336:$BO1336,'Entry Builder'!$L$10)&lt;'Entry Builder'!$E$10),--(INDEX(Sims!$A1336:$BO1336,'Entry Builder'!$L$10)&gt;'Entry Builder'!$E$10)))</f>
        <v/>
      </c>
      <c r="E1336">
        <f>IF('Entry Builder'!$N$11=0,1,IF('Entry Builder'!$D$11="Less",--(INDEX(Sims!$A1336:$BO1336,'Entry Builder'!$L$11)&lt;'Entry Builder'!$E$11),--(INDEX(Sims!$A1336:$BO1336,'Entry Builder'!$L$11)&gt;'Entry Builder'!$E$11)))</f>
        <v/>
      </c>
      <c r="F1336">
        <f>IF('Entry Builder'!$N$12=0,1,IF('Entry Builder'!$D$12="Less",--(INDEX(Sims!$A1336:$BO1336,'Entry Builder'!$L$12)&lt;'Entry Builder'!$E$12),--(INDEX(Sims!$A1336:$BO1336,'Entry Builder'!$L$12)&gt;'Entry Builder'!$E$12)))</f>
        <v/>
      </c>
      <c r="G1336">
        <f>6-SUM(A1336:F1336)</f>
        <v/>
      </c>
    </row>
    <row r="1337">
      <c r="A1337">
        <f>IF('Entry Builder'!$N$7=0,1,IF('Entry Builder'!$D$7="Less",--(INDEX(Sims!$A1337:$BO1337,'Entry Builder'!$L$7)&lt;'Entry Builder'!$E$7),--(INDEX(Sims!$A1337:$BO1337,'Entry Builder'!$L$7)&gt;'Entry Builder'!$E$7)))</f>
        <v/>
      </c>
      <c r="B1337">
        <f>IF('Entry Builder'!$N$8=0,1,IF('Entry Builder'!$D$8="Less",--(INDEX(Sims!$A1337:$BO1337,'Entry Builder'!$L$8)&lt;'Entry Builder'!$E$8),--(INDEX(Sims!$A1337:$BO1337,'Entry Builder'!$L$8)&gt;'Entry Builder'!$E$8)))</f>
        <v/>
      </c>
      <c r="C1337">
        <f>IF('Entry Builder'!$N$9=0,1,IF('Entry Builder'!$D$9="Less",--(INDEX(Sims!$A1337:$BO1337,'Entry Builder'!$L$9)&lt;'Entry Builder'!$E$9),--(INDEX(Sims!$A1337:$BO1337,'Entry Builder'!$L$9)&gt;'Entry Builder'!$E$9)))</f>
        <v/>
      </c>
      <c r="D1337">
        <f>IF('Entry Builder'!$N$10=0,1,IF('Entry Builder'!$D$10="Less",--(INDEX(Sims!$A1337:$BO1337,'Entry Builder'!$L$10)&lt;'Entry Builder'!$E$10),--(INDEX(Sims!$A1337:$BO1337,'Entry Builder'!$L$10)&gt;'Entry Builder'!$E$10)))</f>
        <v/>
      </c>
      <c r="E1337">
        <f>IF('Entry Builder'!$N$11=0,1,IF('Entry Builder'!$D$11="Less",--(INDEX(Sims!$A1337:$BO1337,'Entry Builder'!$L$11)&lt;'Entry Builder'!$E$11),--(INDEX(Sims!$A1337:$BO1337,'Entry Builder'!$L$11)&gt;'Entry Builder'!$E$11)))</f>
        <v/>
      </c>
      <c r="F1337">
        <f>IF('Entry Builder'!$N$12=0,1,IF('Entry Builder'!$D$12="Less",--(INDEX(Sims!$A1337:$BO1337,'Entry Builder'!$L$12)&lt;'Entry Builder'!$E$12),--(INDEX(Sims!$A1337:$BO1337,'Entry Builder'!$L$12)&gt;'Entry Builder'!$E$12)))</f>
        <v/>
      </c>
      <c r="G1337">
        <f>6-SUM(A1337:F1337)</f>
        <v/>
      </c>
    </row>
    <row r="1338">
      <c r="A1338">
        <f>IF('Entry Builder'!$N$7=0,1,IF('Entry Builder'!$D$7="Less",--(INDEX(Sims!$A1338:$BO1338,'Entry Builder'!$L$7)&lt;'Entry Builder'!$E$7),--(INDEX(Sims!$A1338:$BO1338,'Entry Builder'!$L$7)&gt;'Entry Builder'!$E$7)))</f>
        <v/>
      </c>
      <c r="B1338">
        <f>IF('Entry Builder'!$N$8=0,1,IF('Entry Builder'!$D$8="Less",--(INDEX(Sims!$A1338:$BO1338,'Entry Builder'!$L$8)&lt;'Entry Builder'!$E$8),--(INDEX(Sims!$A1338:$BO1338,'Entry Builder'!$L$8)&gt;'Entry Builder'!$E$8)))</f>
        <v/>
      </c>
      <c r="C1338">
        <f>IF('Entry Builder'!$N$9=0,1,IF('Entry Builder'!$D$9="Less",--(INDEX(Sims!$A1338:$BO1338,'Entry Builder'!$L$9)&lt;'Entry Builder'!$E$9),--(INDEX(Sims!$A1338:$BO1338,'Entry Builder'!$L$9)&gt;'Entry Builder'!$E$9)))</f>
        <v/>
      </c>
      <c r="D1338">
        <f>IF('Entry Builder'!$N$10=0,1,IF('Entry Builder'!$D$10="Less",--(INDEX(Sims!$A1338:$BO1338,'Entry Builder'!$L$10)&lt;'Entry Builder'!$E$10),--(INDEX(Sims!$A1338:$BO1338,'Entry Builder'!$L$10)&gt;'Entry Builder'!$E$10)))</f>
        <v/>
      </c>
      <c r="E1338">
        <f>IF('Entry Builder'!$N$11=0,1,IF('Entry Builder'!$D$11="Less",--(INDEX(Sims!$A1338:$BO1338,'Entry Builder'!$L$11)&lt;'Entry Builder'!$E$11),--(INDEX(Sims!$A1338:$BO1338,'Entry Builder'!$L$11)&gt;'Entry Builder'!$E$11)))</f>
        <v/>
      </c>
      <c r="F1338">
        <f>IF('Entry Builder'!$N$12=0,1,IF('Entry Builder'!$D$12="Less",--(INDEX(Sims!$A1338:$BO1338,'Entry Builder'!$L$12)&lt;'Entry Builder'!$E$12),--(INDEX(Sims!$A1338:$BO1338,'Entry Builder'!$L$12)&gt;'Entry Builder'!$E$12)))</f>
        <v/>
      </c>
      <c r="G1338">
        <f>6-SUM(A1338:F1338)</f>
        <v/>
      </c>
    </row>
    <row r="1339">
      <c r="A1339">
        <f>IF('Entry Builder'!$N$7=0,1,IF('Entry Builder'!$D$7="Less",--(INDEX(Sims!$A1339:$BO1339,'Entry Builder'!$L$7)&lt;'Entry Builder'!$E$7),--(INDEX(Sims!$A1339:$BO1339,'Entry Builder'!$L$7)&gt;'Entry Builder'!$E$7)))</f>
        <v/>
      </c>
      <c r="B1339">
        <f>IF('Entry Builder'!$N$8=0,1,IF('Entry Builder'!$D$8="Less",--(INDEX(Sims!$A1339:$BO1339,'Entry Builder'!$L$8)&lt;'Entry Builder'!$E$8),--(INDEX(Sims!$A1339:$BO1339,'Entry Builder'!$L$8)&gt;'Entry Builder'!$E$8)))</f>
        <v/>
      </c>
      <c r="C1339">
        <f>IF('Entry Builder'!$N$9=0,1,IF('Entry Builder'!$D$9="Less",--(INDEX(Sims!$A1339:$BO1339,'Entry Builder'!$L$9)&lt;'Entry Builder'!$E$9),--(INDEX(Sims!$A1339:$BO1339,'Entry Builder'!$L$9)&gt;'Entry Builder'!$E$9)))</f>
        <v/>
      </c>
      <c r="D1339">
        <f>IF('Entry Builder'!$N$10=0,1,IF('Entry Builder'!$D$10="Less",--(INDEX(Sims!$A1339:$BO1339,'Entry Builder'!$L$10)&lt;'Entry Builder'!$E$10),--(INDEX(Sims!$A1339:$BO1339,'Entry Builder'!$L$10)&gt;'Entry Builder'!$E$10)))</f>
        <v/>
      </c>
      <c r="E1339">
        <f>IF('Entry Builder'!$N$11=0,1,IF('Entry Builder'!$D$11="Less",--(INDEX(Sims!$A1339:$BO1339,'Entry Builder'!$L$11)&lt;'Entry Builder'!$E$11),--(INDEX(Sims!$A1339:$BO1339,'Entry Builder'!$L$11)&gt;'Entry Builder'!$E$11)))</f>
        <v/>
      </c>
      <c r="F1339">
        <f>IF('Entry Builder'!$N$12=0,1,IF('Entry Builder'!$D$12="Less",--(INDEX(Sims!$A1339:$BO1339,'Entry Builder'!$L$12)&lt;'Entry Builder'!$E$12),--(INDEX(Sims!$A1339:$BO1339,'Entry Builder'!$L$12)&gt;'Entry Builder'!$E$12)))</f>
        <v/>
      </c>
      <c r="G1339">
        <f>6-SUM(A1339:F1339)</f>
        <v/>
      </c>
    </row>
    <row r="1340">
      <c r="A1340">
        <f>IF('Entry Builder'!$N$7=0,1,IF('Entry Builder'!$D$7="Less",--(INDEX(Sims!$A1340:$BO1340,'Entry Builder'!$L$7)&lt;'Entry Builder'!$E$7),--(INDEX(Sims!$A1340:$BO1340,'Entry Builder'!$L$7)&gt;'Entry Builder'!$E$7)))</f>
        <v/>
      </c>
      <c r="B1340">
        <f>IF('Entry Builder'!$N$8=0,1,IF('Entry Builder'!$D$8="Less",--(INDEX(Sims!$A1340:$BO1340,'Entry Builder'!$L$8)&lt;'Entry Builder'!$E$8),--(INDEX(Sims!$A1340:$BO1340,'Entry Builder'!$L$8)&gt;'Entry Builder'!$E$8)))</f>
        <v/>
      </c>
      <c r="C1340">
        <f>IF('Entry Builder'!$N$9=0,1,IF('Entry Builder'!$D$9="Less",--(INDEX(Sims!$A1340:$BO1340,'Entry Builder'!$L$9)&lt;'Entry Builder'!$E$9),--(INDEX(Sims!$A1340:$BO1340,'Entry Builder'!$L$9)&gt;'Entry Builder'!$E$9)))</f>
        <v/>
      </c>
      <c r="D1340">
        <f>IF('Entry Builder'!$N$10=0,1,IF('Entry Builder'!$D$10="Less",--(INDEX(Sims!$A1340:$BO1340,'Entry Builder'!$L$10)&lt;'Entry Builder'!$E$10),--(INDEX(Sims!$A1340:$BO1340,'Entry Builder'!$L$10)&gt;'Entry Builder'!$E$10)))</f>
        <v/>
      </c>
      <c r="E1340">
        <f>IF('Entry Builder'!$N$11=0,1,IF('Entry Builder'!$D$11="Less",--(INDEX(Sims!$A1340:$BO1340,'Entry Builder'!$L$11)&lt;'Entry Builder'!$E$11),--(INDEX(Sims!$A1340:$BO1340,'Entry Builder'!$L$11)&gt;'Entry Builder'!$E$11)))</f>
        <v/>
      </c>
      <c r="F1340">
        <f>IF('Entry Builder'!$N$12=0,1,IF('Entry Builder'!$D$12="Less",--(INDEX(Sims!$A1340:$BO1340,'Entry Builder'!$L$12)&lt;'Entry Builder'!$E$12),--(INDEX(Sims!$A1340:$BO1340,'Entry Builder'!$L$12)&gt;'Entry Builder'!$E$12)))</f>
        <v/>
      </c>
      <c r="G1340">
        <f>6-SUM(A1340:F1340)</f>
        <v/>
      </c>
    </row>
    <row r="1341">
      <c r="A1341">
        <f>IF('Entry Builder'!$N$7=0,1,IF('Entry Builder'!$D$7="Less",--(INDEX(Sims!$A1341:$BO1341,'Entry Builder'!$L$7)&lt;'Entry Builder'!$E$7),--(INDEX(Sims!$A1341:$BO1341,'Entry Builder'!$L$7)&gt;'Entry Builder'!$E$7)))</f>
        <v/>
      </c>
      <c r="B1341">
        <f>IF('Entry Builder'!$N$8=0,1,IF('Entry Builder'!$D$8="Less",--(INDEX(Sims!$A1341:$BO1341,'Entry Builder'!$L$8)&lt;'Entry Builder'!$E$8),--(INDEX(Sims!$A1341:$BO1341,'Entry Builder'!$L$8)&gt;'Entry Builder'!$E$8)))</f>
        <v/>
      </c>
      <c r="C1341">
        <f>IF('Entry Builder'!$N$9=0,1,IF('Entry Builder'!$D$9="Less",--(INDEX(Sims!$A1341:$BO1341,'Entry Builder'!$L$9)&lt;'Entry Builder'!$E$9),--(INDEX(Sims!$A1341:$BO1341,'Entry Builder'!$L$9)&gt;'Entry Builder'!$E$9)))</f>
        <v/>
      </c>
      <c r="D1341">
        <f>IF('Entry Builder'!$N$10=0,1,IF('Entry Builder'!$D$10="Less",--(INDEX(Sims!$A1341:$BO1341,'Entry Builder'!$L$10)&lt;'Entry Builder'!$E$10),--(INDEX(Sims!$A1341:$BO1341,'Entry Builder'!$L$10)&gt;'Entry Builder'!$E$10)))</f>
        <v/>
      </c>
      <c r="E1341">
        <f>IF('Entry Builder'!$N$11=0,1,IF('Entry Builder'!$D$11="Less",--(INDEX(Sims!$A1341:$BO1341,'Entry Builder'!$L$11)&lt;'Entry Builder'!$E$11),--(INDEX(Sims!$A1341:$BO1341,'Entry Builder'!$L$11)&gt;'Entry Builder'!$E$11)))</f>
        <v/>
      </c>
      <c r="F1341">
        <f>IF('Entry Builder'!$N$12=0,1,IF('Entry Builder'!$D$12="Less",--(INDEX(Sims!$A1341:$BO1341,'Entry Builder'!$L$12)&lt;'Entry Builder'!$E$12),--(INDEX(Sims!$A1341:$BO1341,'Entry Builder'!$L$12)&gt;'Entry Builder'!$E$12)))</f>
        <v/>
      </c>
      <c r="G1341">
        <f>6-SUM(A1341:F1341)</f>
        <v/>
      </c>
    </row>
    <row r="1342">
      <c r="A1342">
        <f>IF('Entry Builder'!$N$7=0,1,IF('Entry Builder'!$D$7="Less",--(INDEX(Sims!$A1342:$BO1342,'Entry Builder'!$L$7)&lt;'Entry Builder'!$E$7),--(INDEX(Sims!$A1342:$BO1342,'Entry Builder'!$L$7)&gt;'Entry Builder'!$E$7)))</f>
        <v/>
      </c>
      <c r="B1342">
        <f>IF('Entry Builder'!$N$8=0,1,IF('Entry Builder'!$D$8="Less",--(INDEX(Sims!$A1342:$BO1342,'Entry Builder'!$L$8)&lt;'Entry Builder'!$E$8),--(INDEX(Sims!$A1342:$BO1342,'Entry Builder'!$L$8)&gt;'Entry Builder'!$E$8)))</f>
        <v/>
      </c>
      <c r="C1342">
        <f>IF('Entry Builder'!$N$9=0,1,IF('Entry Builder'!$D$9="Less",--(INDEX(Sims!$A1342:$BO1342,'Entry Builder'!$L$9)&lt;'Entry Builder'!$E$9),--(INDEX(Sims!$A1342:$BO1342,'Entry Builder'!$L$9)&gt;'Entry Builder'!$E$9)))</f>
        <v/>
      </c>
      <c r="D1342">
        <f>IF('Entry Builder'!$N$10=0,1,IF('Entry Builder'!$D$10="Less",--(INDEX(Sims!$A1342:$BO1342,'Entry Builder'!$L$10)&lt;'Entry Builder'!$E$10),--(INDEX(Sims!$A1342:$BO1342,'Entry Builder'!$L$10)&gt;'Entry Builder'!$E$10)))</f>
        <v/>
      </c>
      <c r="E1342">
        <f>IF('Entry Builder'!$N$11=0,1,IF('Entry Builder'!$D$11="Less",--(INDEX(Sims!$A1342:$BO1342,'Entry Builder'!$L$11)&lt;'Entry Builder'!$E$11),--(INDEX(Sims!$A1342:$BO1342,'Entry Builder'!$L$11)&gt;'Entry Builder'!$E$11)))</f>
        <v/>
      </c>
      <c r="F1342">
        <f>IF('Entry Builder'!$N$12=0,1,IF('Entry Builder'!$D$12="Less",--(INDEX(Sims!$A1342:$BO1342,'Entry Builder'!$L$12)&lt;'Entry Builder'!$E$12),--(INDEX(Sims!$A1342:$BO1342,'Entry Builder'!$L$12)&gt;'Entry Builder'!$E$12)))</f>
        <v/>
      </c>
      <c r="G1342">
        <f>6-SUM(A1342:F1342)</f>
        <v/>
      </c>
    </row>
    <row r="1343">
      <c r="A1343">
        <f>IF('Entry Builder'!$N$7=0,1,IF('Entry Builder'!$D$7="Less",--(INDEX(Sims!$A1343:$BO1343,'Entry Builder'!$L$7)&lt;'Entry Builder'!$E$7),--(INDEX(Sims!$A1343:$BO1343,'Entry Builder'!$L$7)&gt;'Entry Builder'!$E$7)))</f>
        <v/>
      </c>
      <c r="B1343">
        <f>IF('Entry Builder'!$N$8=0,1,IF('Entry Builder'!$D$8="Less",--(INDEX(Sims!$A1343:$BO1343,'Entry Builder'!$L$8)&lt;'Entry Builder'!$E$8),--(INDEX(Sims!$A1343:$BO1343,'Entry Builder'!$L$8)&gt;'Entry Builder'!$E$8)))</f>
        <v/>
      </c>
      <c r="C1343">
        <f>IF('Entry Builder'!$N$9=0,1,IF('Entry Builder'!$D$9="Less",--(INDEX(Sims!$A1343:$BO1343,'Entry Builder'!$L$9)&lt;'Entry Builder'!$E$9),--(INDEX(Sims!$A1343:$BO1343,'Entry Builder'!$L$9)&gt;'Entry Builder'!$E$9)))</f>
        <v/>
      </c>
      <c r="D1343">
        <f>IF('Entry Builder'!$N$10=0,1,IF('Entry Builder'!$D$10="Less",--(INDEX(Sims!$A1343:$BO1343,'Entry Builder'!$L$10)&lt;'Entry Builder'!$E$10),--(INDEX(Sims!$A1343:$BO1343,'Entry Builder'!$L$10)&gt;'Entry Builder'!$E$10)))</f>
        <v/>
      </c>
      <c r="E1343">
        <f>IF('Entry Builder'!$N$11=0,1,IF('Entry Builder'!$D$11="Less",--(INDEX(Sims!$A1343:$BO1343,'Entry Builder'!$L$11)&lt;'Entry Builder'!$E$11),--(INDEX(Sims!$A1343:$BO1343,'Entry Builder'!$L$11)&gt;'Entry Builder'!$E$11)))</f>
        <v/>
      </c>
      <c r="F1343">
        <f>IF('Entry Builder'!$N$12=0,1,IF('Entry Builder'!$D$12="Less",--(INDEX(Sims!$A1343:$BO1343,'Entry Builder'!$L$12)&lt;'Entry Builder'!$E$12),--(INDEX(Sims!$A1343:$BO1343,'Entry Builder'!$L$12)&gt;'Entry Builder'!$E$12)))</f>
        <v/>
      </c>
      <c r="G1343">
        <f>6-SUM(A1343:F1343)</f>
        <v/>
      </c>
    </row>
    <row r="1344">
      <c r="A1344">
        <f>IF('Entry Builder'!$N$7=0,1,IF('Entry Builder'!$D$7="Less",--(INDEX(Sims!$A1344:$BO1344,'Entry Builder'!$L$7)&lt;'Entry Builder'!$E$7),--(INDEX(Sims!$A1344:$BO1344,'Entry Builder'!$L$7)&gt;'Entry Builder'!$E$7)))</f>
        <v/>
      </c>
      <c r="B1344">
        <f>IF('Entry Builder'!$N$8=0,1,IF('Entry Builder'!$D$8="Less",--(INDEX(Sims!$A1344:$BO1344,'Entry Builder'!$L$8)&lt;'Entry Builder'!$E$8),--(INDEX(Sims!$A1344:$BO1344,'Entry Builder'!$L$8)&gt;'Entry Builder'!$E$8)))</f>
        <v/>
      </c>
      <c r="C1344">
        <f>IF('Entry Builder'!$N$9=0,1,IF('Entry Builder'!$D$9="Less",--(INDEX(Sims!$A1344:$BO1344,'Entry Builder'!$L$9)&lt;'Entry Builder'!$E$9),--(INDEX(Sims!$A1344:$BO1344,'Entry Builder'!$L$9)&gt;'Entry Builder'!$E$9)))</f>
        <v/>
      </c>
      <c r="D1344">
        <f>IF('Entry Builder'!$N$10=0,1,IF('Entry Builder'!$D$10="Less",--(INDEX(Sims!$A1344:$BO1344,'Entry Builder'!$L$10)&lt;'Entry Builder'!$E$10),--(INDEX(Sims!$A1344:$BO1344,'Entry Builder'!$L$10)&gt;'Entry Builder'!$E$10)))</f>
        <v/>
      </c>
      <c r="E1344">
        <f>IF('Entry Builder'!$N$11=0,1,IF('Entry Builder'!$D$11="Less",--(INDEX(Sims!$A1344:$BO1344,'Entry Builder'!$L$11)&lt;'Entry Builder'!$E$11),--(INDEX(Sims!$A1344:$BO1344,'Entry Builder'!$L$11)&gt;'Entry Builder'!$E$11)))</f>
        <v/>
      </c>
      <c r="F1344">
        <f>IF('Entry Builder'!$N$12=0,1,IF('Entry Builder'!$D$12="Less",--(INDEX(Sims!$A1344:$BO1344,'Entry Builder'!$L$12)&lt;'Entry Builder'!$E$12),--(INDEX(Sims!$A1344:$BO1344,'Entry Builder'!$L$12)&gt;'Entry Builder'!$E$12)))</f>
        <v/>
      </c>
      <c r="G1344">
        <f>6-SUM(A1344:F1344)</f>
        <v/>
      </c>
    </row>
    <row r="1345">
      <c r="A1345">
        <f>IF('Entry Builder'!$N$7=0,1,IF('Entry Builder'!$D$7="Less",--(INDEX(Sims!$A1345:$BO1345,'Entry Builder'!$L$7)&lt;'Entry Builder'!$E$7),--(INDEX(Sims!$A1345:$BO1345,'Entry Builder'!$L$7)&gt;'Entry Builder'!$E$7)))</f>
        <v/>
      </c>
      <c r="B1345">
        <f>IF('Entry Builder'!$N$8=0,1,IF('Entry Builder'!$D$8="Less",--(INDEX(Sims!$A1345:$BO1345,'Entry Builder'!$L$8)&lt;'Entry Builder'!$E$8),--(INDEX(Sims!$A1345:$BO1345,'Entry Builder'!$L$8)&gt;'Entry Builder'!$E$8)))</f>
        <v/>
      </c>
      <c r="C1345">
        <f>IF('Entry Builder'!$N$9=0,1,IF('Entry Builder'!$D$9="Less",--(INDEX(Sims!$A1345:$BO1345,'Entry Builder'!$L$9)&lt;'Entry Builder'!$E$9),--(INDEX(Sims!$A1345:$BO1345,'Entry Builder'!$L$9)&gt;'Entry Builder'!$E$9)))</f>
        <v/>
      </c>
      <c r="D1345">
        <f>IF('Entry Builder'!$N$10=0,1,IF('Entry Builder'!$D$10="Less",--(INDEX(Sims!$A1345:$BO1345,'Entry Builder'!$L$10)&lt;'Entry Builder'!$E$10),--(INDEX(Sims!$A1345:$BO1345,'Entry Builder'!$L$10)&gt;'Entry Builder'!$E$10)))</f>
        <v/>
      </c>
      <c r="E1345">
        <f>IF('Entry Builder'!$N$11=0,1,IF('Entry Builder'!$D$11="Less",--(INDEX(Sims!$A1345:$BO1345,'Entry Builder'!$L$11)&lt;'Entry Builder'!$E$11),--(INDEX(Sims!$A1345:$BO1345,'Entry Builder'!$L$11)&gt;'Entry Builder'!$E$11)))</f>
        <v/>
      </c>
      <c r="F1345">
        <f>IF('Entry Builder'!$N$12=0,1,IF('Entry Builder'!$D$12="Less",--(INDEX(Sims!$A1345:$BO1345,'Entry Builder'!$L$12)&lt;'Entry Builder'!$E$12),--(INDEX(Sims!$A1345:$BO1345,'Entry Builder'!$L$12)&gt;'Entry Builder'!$E$12)))</f>
        <v/>
      </c>
      <c r="G1345">
        <f>6-SUM(A1345:F1345)</f>
        <v/>
      </c>
    </row>
    <row r="1346">
      <c r="A1346">
        <f>IF('Entry Builder'!$N$7=0,1,IF('Entry Builder'!$D$7="Less",--(INDEX(Sims!$A1346:$BO1346,'Entry Builder'!$L$7)&lt;'Entry Builder'!$E$7),--(INDEX(Sims!$A1346:$BO1346,'Entry Builder'!$L$7)&gt;'Entry Builder'!$E$7)))</f>
        <v/>
      </c>
      <c r="B1346">
        <f>IF('Entry Builder'!$N$8=0,1,IF('Entry Builder'!$D$8="Less",--(INDEX(Sims!$A1346:$BO1346,'Entry Builder'!$L$8)&lt;'Entry Builder'!$E$8),--(INDEX(Sims!$A1346:$BO1346,'Entry Builder'!$L$8)&gt;'Entry Builder'!$E$8)))</f>
        <v/>
      </c>
      <c r="C1346">
        <f>IF('Entry Builder'!$N$9=0,1,IF('Entry Builder'!$D$9="Less",--(INDEX(Sims!$A1346:$BO1346,'Entry Builder'!$L$9)&lt;'Entry Builder'!$E$9),--(INDEX(Sims!$A1346:$BO1346,'Entry Builder'!$L$9)&gt;'Entry Builder'!$E$9)))</f>
        <v/>
      </c>
      <c r="D1346">
        <f>IF('Entry Builder'!$N$10=0,1,IF('Entry Builder'!$D$10="Less",--(INDEX(Sims!$A1346:$BO1346,'Entry Builder'!$L$10)&lt;'Entry Builder'!$E$10),--(INDEX(Sims!$A1346:$BO1346,'Entry Builder'!$L$10)&gt;'Entry Builder'!$E$10)))</f>
        <v/>
      </c>
      <c r="E1346">
        <f>IF('Entry Builder'!$N$11=0,1,IF('Entry Builder'!$D$11="Less",--(INDEX(Sims!$A1346:$BO1346,'Entry Builder'!$L$11)&lt;'Entry Builder'!$E$11),--(INDEX(Sims!$A1346:$BO1346,'Entry Builder'!$L$11)&gt;'Entry Builder'!$E$11)))</f>
        <v/>
      </c>
      <c r="F1346">
        <f>IF('Entry Builder'!$N$12=0,1,IF('Entry Builder'!$D$12="Less",--(INDEX(Sims!$A1346:$BO1346,'Entry Builder'!$L$12)&lt;'Entry Builder'!$E$12),--(INDEX(Sims!$A1346:$BO1346,'Entry Builder'!$L$12)&gt;'Entry Builder'!$E$12)))</f>
        <v/>
      </c>
      <c r="G1346">
        <f>6-SUM(A1346:F1346)</f>
        <v/>
      </c>
    </row>
    <row r="1347">
      <c r="A1347">
        <f>IF('Entry Builder'!$N$7=0,1,IF('Entry Builder'!$D$7="Less",--(INDEX(Sims!$A1347:$BO1347,'Entry Builder'!$L$7)&lt;'Entry Builder'!$E$7),--(INDEX(Sims!$A1347:$BO1347,'Entry Builder'!$L$7)&gt;'Entry Builder'!$E$7)))</f>
        <v/>
      </c>
      <c r="B1347">
        <f>IF('Entry Builder'!$N$8=0,1,IF('Entry Builder'!$D$8="Less",--(INDEX(Sims!$A1347:$BO1347,'Entry Builder'!$L$8)&lt;'Entry Builder'!$E$8),--(INDEX(Sims!$A1347:$BO1347,'Entry Builder'!$L$8)&gt;'Entry Builder'!$E$8)))</f>
        <v/>
      </c>
      <c r="C1347">
        <f>IF('Entry Builder'!$N$9=0,1,IF('Entry Builder'!$D$9="Less",--(INDEX(Sims!$A1347:$BO1347,'Entry Builder'!$L$9)&lt;'Entry Builder'!$E$9),--(INDEX(Sims!$A1347:$BO1347,'Entry Builder'!$L$9)&gt;'Entry Builder'!$E$9)))</f>
        <v/>
      </c>
      <c r="D1347">
        <f>IF('Entry Builder'!$N$10=0,1,IF('Entry Builder'!$D$10="Less",--(INDEX(Sims!$A1347:$BO1347,'Entry Builder'!$L$10)&lt;'Entry Builder'!$E$10),--(INDEX(Sims!$A1347:$BO1347,'Entry Builder'!$L$10)&gt;'Entry Builder'!$E$10)))</f>
        <v/>
      </c>
      <c r="E1347">
        <f>IF('Entry Builder'!$N$11=0,1,IF('Entry Builder'!$D$11="Less",--(INDEX(Sims!$A1347:$BO1347,'Entry Builder'!$L$11)&lt;'Entry Builder'!$E$11),--(INDEX(Sims!$A1347:$BO1347,'Entry Builder'!$L$11)&gt;'Entry Builder'!$E$11)))</f>
        <v/>
      </c>
      <c r="F1347">
        <f>IF('Entry Builder'!$N$12=0,1,IF('Entry Builder'!$D$12="Less",--(INDEX(Sims!$A1347:$BO1347,'Entry Builder'!$L$12)&lt;'Entry Builder'!$E$12),--(INDEX(Sims!$A1347:$BO1347,'Entry Builder'!$L$12)&gt;'Entry Builder'!$E$12)))</f>
        <v/>
      </c>
      <c r="G1347">
        <f>6-SUM(A1347:F1347)</f>
        <v/>
      </c>
    </row>
    <row r="1348">
      <c r="A1348">
        <f>IF('Entry Builder'!$N$7=0,1,IF('Entry Builder'!$D$7="Less",--(INDEX(Sims!$A1348:$BO1348,'Entry Builder'!$L$7)&lt;'Entry Builder'!$E$7),--(INDEX(Sims!$A1348:$BO1348,'Entry Builder'!$L$7)&gt;'Entry Builder'!$E$7)))</f>
        <v/>
      </c>
      <c r="B1348">
        <f>IF('Entry Builder'!$N$8=0,1,IF('Entry Builder'!$D$8="Less",--(INDEX(Sims!$A1348:$BO1348,'Entry Builder'!$L$8)&lt;'Entry Builder'!$E$8),--(INDEX(Sims!$A1348:$BO1348,'Entry Builder'!$L$8)&gt;'Entry Builder'!$E$8)))</f>
        <v/>
      </c>
      <c r="C1348">
        <f>IF('Entry Builder'!$N$9=0,1,IF('Entry Builder'!$D$9="Less",--(INDEX(Sims!$A1348:$BO1348,'Entry Builder'!$L$9)&lt;'Entry Builder'!$E$9),--(INDEX(Sims!$A1348:$BO1348,'Entry Builder'!$L$9)&gt;'Entry Builder'!$E$9)))</f>
        <v/>
      </c>
      <c r="D1348">
        <f>IF('Entry Builder'!$N$10=0,1,IF('Entry Builder'!$D$10="Less",--(INDEX(Sims!$A1348:$BO1348,'Entry Builder'!$L$10)&lt;'Entry Builder'!$E$10),--(INDEX(Sims!$A1348:$BO1348,'Entry Builder'!$L$10)&gt;'Entry Builder'!$E$10)))</f>
        <v/>
      </c>
      <c r="E1348">
        <f>IF('Entry Builder'!$N$11=0,1,IF('Entry Builder'!$D$11="Less",--(INDEX(Sims!$A1348:$BO1348,'Entry Builder'!$L$11)&lt;'Entry Builder'!$E$11),--(INDEX(Sims!$A1348:$BO1348,'Entry Builder'!$L$11)&gt;'Entry Builder'!$E$11)))</f>
        <v/>
      </c>
      <c r="F1348">
        <f>IF('Entry Builder'!$N$12=0,1,IF('Entry Builder'!$D$12="Less",--(INDEX(Sims!$A1348:$BO1348,'Entry Builder'!$L$12)&lt;'Entry Builder'!$E$12),--(INDEX(Sims!$A1348:$BO1348,'Entry Builder'!$L$12)&gt;'Entry Builder'!$E$12)))</f>
        <v/>
      </c>
      <c r="G1348">
        <f>6-SUM(A1348:F1348)</f>
        <v/>
      </c>
    </row>
    <row r="1349">
      <c r="A1349">
        <f>IF('Entry Builder'!$N$7=0,1,IF('Entry Builder'!$D$7="Less",--(INDEX(Sims!$A1349:$BO1349,'Entry Builder'!$L$7)&lt;'Entry Builder'!$E$7),--(INDEX(Sims!$A1349:$BO1349,'Entry Builder'!$L$7)&gt;'Entry Builder'!$E$7)))</f>
        <v/>
      </c>
      <c r="B1349">
        <f>IF('Entry Builder'!$N$8=0,1,IF('Entry Builder'!$D$8="Less",--(INDEX(Sims!$A1349:$BO1349,'Entry Builder'!$L$8)&lt;'Entry Builder'!$E$8),--(INDEX(Sims!$A1349:$BO1349,'Entry Builder'!$L$8)&gt;'Entry Builder'!$E$8)))</f>
        <v/>
      </c>
      <c r="C1349">
        <f>IF('Entry Builder'!$N$9=0,1,IF('Entry Builder'!$D$9="Less",--(INDEX(Sims!$A1349:$BO1349,'Entry Builder'!$L$9)&lt;'Entry Builder'!$E$9),--(INDEX(Sims!$A1349:$BO1349,'Entry Builder'!$L$9)&gt;'Entry Builder'!$E$9)))</f>
        <v/>
      </c>
      <c r="D1349">
        <f>IF('Entry Builder'!$N$10=0,1,IF('Entry Builder'!$D$10="Less",--(INDEX(Sims!$A1349:$BO1349,'Entry Builder'!$L$10)&lt;'Entry Builder'!$E$10),--(INDEX(Sims!$A1349:$BO1349,'Entry Builder'!$L$10)&gt;'Entry Builder'!$E$10)))</f>
        <v/>
      </c>
      <c r="E1349">
        <f>IF('Entry Builder'!$N$11=0,1,IF('Entry Builder'!$D$11="Less",--(INDEX(Sims!$A1349:$BO1349,'Entry Builder'!$L$11)&lt;'Entry Builder'!$E$11),--(INDEX(Sims!$A1349:$BO1349,'Entry Builder'!$L$11)&gt;'Entry Builder'!$E$11)))</f>
        <v/>
      </c>
      <c r="F1349">
        <f>IF('Entry Builder'!$N$12=0,1,IF('Entry Builder'!$D$12="Less",--(INDEX(Sims!$A1349:$BO1349,'Entry Builder'!$L$12)&lt;'Entry Builder'!$E$12),--(INDEX(Sims!$A1349:$BO1349,'Entry Builder'!$L$12)&gt;'Entry Builder'!$E$12)))</f>
        <v/>
      </c>
      <c r="G1349">
        <f>6-SUM(A1349:F1349)</f>
        <v/>
      </c>
    </row>
    <row r="1350">
      <c r="A1350">
        <f>IF('Entry Builder'!$N$7=0,1,IF('Entry Builder'!$D$7="Less",--(INDEX(Sims!$A1350:$BO1350,'Entry Builder'!$L$7)&lt;'Entry Builder'!$E$7),--(INDEX(Sims!$A1350:$BO1350,'Entry Builder'!$L$7)&gt;'Entry Builder'!$E$7)))</f>
        <v/>
      </c>
      <c r="B1350">
        <f>IF('Entry Builder'!$N$8=0,1,IF('Entry Builder'!$D$8="Less",--(INDEX(Sims!$A1350:$BO1350,'Entry Builder'!$L$8)&lt;'Entry Builder'!$E$8),--(INDEX(Sims!$A1350:$BO1350,'Entry Builder'!$L$8)&gt;'Entry Builder'!$E$8)))</f>
        <v/>
      </c>
      <c r="C1350">
        <f>IF('Entry Builder'!$N$9=0,1,IF('Entry Builder'!$D$9="Less",--(INDEX(Sims!$A1350:$BO1350,'Entry Builder'!$L$9)&lt;'Entry Builder'!$E$9),--(INDEX(Sims!$A1350:$BO1350,'Entry Builder'!$L$9)&gt;'Entry Builder'!$E$9)))</f>
        <v/>
      </c>
      <c r="D1350">
        <f>IF('Entry Builder'!$N$10=0,1,IF('Entry Builder'!$D$10="Less",--(INDEX(Sims!$A1350:$BO1350,'Entry Builder'!$L$10)&lt;'Entry Builder'!$E$10),--(INDEX(Sims!$A1350:$BO1350,'Entry Builder'!$L$10)&gt;'Entry Builder'!$E$10)))</f>
        <v/>
      </c>
      <c r="E1350">
        <f>IF('Entry Builder'!$N$11=0,1,IF('Entry Builder'!$D$11="Less",--(INDEX(Sims!$A1350:$BO1350,'Entry Builder'!$L$11)&lt;'Entry Builder'!$E$11),--(INDEX(Sims!$A1350:$BO1350,'Entry Builder'!$L$11)&gt;'Entry Builder'!$E$11)))</f>
        <v/>
      </c>
      <c r="F1350">
        <f>IF('Entry Builder'!$N$12=0,1,IF('Entry Builder'!$D$12="Less",--(INDEX(Sims!$A1350:$BO1350,'Entry Builder'!$L$12)&lt;'Entry Builder'!$E$12),--(INDEX(Sims!$A1350:$BO1350,'Entry Builder'!$L$12)&gt;'Entry Builder'!$E$12)))</f>
        <v/>
      </c>
      <c r="G1350">
        <f>6-SUM(A1350:F1350)</f>
        <v/>
      </c>
    </row>
    <row r="1351">
      <c r="A1351">
        <f>IF('Entry Builder'!$N$7=0,1,IF('Entry Builder'!$D$7="Less",--(INDEX(Sims!$A1351:$BO1351,'Entry Builder'!$L$7)&lt;'Entry Builder'!$E$7),--(INDEX(Sims!$A1351:$BO1351,'Entry Builder'!$L$7)&gt;'Entry Builder'!$E$7)))</f>
        <v/>
      </c>
      <c r="B1351">
        <f>IF('Entry Builder'!$N$8=0,1,IF('Entry Builder'!$D$8="Less",--(INDEX(Sims!$A1351:$BO1351,'Entry Builder'!$L$8)&lt;'Entry Builder'!$E$8),--(INDEX(Sims!$A1351:$BO1351,'Entry Builder'!$L$8)&gt;'Entry Builder'!$E$8)))</f>
        <v/>
      </c>
      <c r="C1351">
        <f>IF('Entry Builder'!$N$9=0,1,IF('Entry Builder'!$D$9="Less",--(INDEX(Sims!$A1351:$BO1351,'Entry Builder'!$L$9)&lt;'Entry Builder'!$E$9),--(INDEX(Sims!$A1351:$BO1351,'Entry Builder'!$L$9)&gt;'Entry Builder'!$E$9)))</f>
        <v/>
      </c>
      <c r="D1351">
        <f>IF('Entry Builder'!$N$10=0,1,IF('Entry Builder'!$D$10="Less",--(INDEX(Sims!$A1351:$BO1351,'Entry Builder'!$L$10)&lt;'Entry Builder'!$E$10),--(INDEX(Sims!$A1351:$BO1351,'Entry Builder'!$L$10)&gt;'Entry Builder'!$E$10)))</f>
        <v/>
      </c>
      <c r="E1351">
        <f>IF('Entry Builder'!$N$11=0,1,IF('Entry Builder'!$D$11="Less",--(INDEX(Sims!$A1351:$BO1351,'Entry Builder'!$L$11)&lt;'Entry Builder'!$E$11),--(INDEX(Sims!$A1351:$BO1351,'Entry Builder'!$L$11)&gt;'Entry Builder'!$E$11)))</f>
        <v/>
      </c>
      <c r="F1351">
        <f>IF('Entry Builder'!$N$12=0,1,IF('Entry Builder'!$D$12="Less",--(INDEX(Sims!$A1351:$BO1351,'Entry Builder'!$L$12)&lt;'Entry Builder'!$E$12),--(INDEX(Sims!$A1351:$BO1351,'Entry Builder'!$L$12)&gt;'Entry Builder'!$E$12)))</f>
        <v/>
      </c>
      <c r="G1351">
        <f>6-SUM(A1351:F1351)</f>
        <v/>
      </c>
    </row>
    <row r="1352">
      <c r="A1352">
        <f>IF('Entry Builder'!$N$7=0,1,IF('Entry Builder'!$D$7="Less",--(INDEX(Sims!$A1352:$BO1352,'Entry Builder'!$L$7)&lt;'Entry Builder'!$E$7),--(INDEX(Sims!$A1352:$BO1352,'Entry Builder'!$L$7)&gt;'Entry Builder'!$E$7)))</f>
        <v/>
      </c>
      <c r="B1352">
        <f>IF('Entry Builder'!$N$8=0,1,IF('Entry Builder'!$D$8="Less",--(INDEX(Sims!$A1352:$BO1352,'Entry Builder'!$L$8)&lt;'Entry Builder'!$E$8),--(INDEX(Sims!$A1352:$BO1352,'Entry Builder'!$L$8)&gt;'Entry Builder'!$E$8)))</f>
        <v/>
      </c>
      <c r="C1352">
        <f>IF('Entry Builder'!$N$9=0,1,IF('Entry Builder'!$D$9="Less",--(INDEX(Sims!$A1352:$BO1352,'Entry Builder'!$L$9)&lt;'Entry Builder'!$E$9),--(INDEX(Sims!$A1352:$BO1352,'Entry Builder'!$L$9)&gt;'Entry Builder'!$E$9)))</f>
        <v/>
      </c>
      <c r="D1352">
        <f>IF('Entry Builder'!$N$10=0,1,IF('Entry Builder'!$D$10="Less",--(INDEX(Sims!$A1352:$BO1352,'Entry Builder'!$L$10)&lt;'Entry Builder'!$E$10),--(INDEX(Sims!$A1352:$BO1352,'Entry Builder'!$L$10)&gt;'Entry Builder'!$E$10)))</f>
        <v/>
      </c>
      <c r="E1352">
        <f>IF('Entry Builder'!$N$11=0,1,IF('Entry Builder'!$D$11="Less",--(INDEX(Sims!$A1352:$BO1352,'Entry Builder'!$L$11)&lt;'Entry Builder'!$E$11),--(INDEX(Sims!$A1352:$BO1352,'Entry Builder'!$L$11)&gt;'Entry Builder'!$E$11)))</f>
        <v/>
      </c>
      <c r="F1352">
        <f>IF('Entry Builder'!$N$12=0,1,IF('Entry Builder'!$D$12="Less",--(INDEX(Sims!$A1352:$BO1352,'Entry Builder'!$L$12)&lt;'Entry Builder'!$E$12),--(INDEX(Sims!$A1352:$BO1352,'Entry Builder'!$L$12)&gt;'Entry Builder'!$E$12)))</f>
        <v/>
      </c>
      <c r="G1352">
        <f>6-SUM(A1352:F1352)</f>
        <v/>
      </c>
    </row>
    <row r="1353">
      <c r="A1353">
        <f>IF('Entry Builder'!$N$7=0,1,IF('Entry Builder'!$D$7="Less",--(INDEX(Sims!$A1353:$BO1353,'Entry Builder'!$L$7)&lt;'Entry Builder'!$E$7),--(INDEX(Sims!$A1353:$BO1353,'Entry Builder'!$L$7)&gt;'Entry Builder'!$E$7)))</f>
        <v/>
      </c>
      <c r="B1353">
        <f>IF('Entry Builder'!$N$8=0,1,IF('Entry Builder'!$D$8="Less",--(INDEX(Sims!$A1353:$BO1353,'Entry Builder'!$L$8)&lt;'Entry Builder'!$E$8),--(INDEX(Sims!$A1353:$BO1353,'Entry Builder'!$L$8)&gt;'Entry Builder'!$E$8)))</f>
        <v/>
      </c>
      <c r="C1353">
        <f>IF('Entry Builder'!$N$9=0,1,IF('Entry Builder'!$D$9="Less",--(INDEX(Sims!$A1353:$BO1353,'Entry Builder'!$L$9)&lt;'Entry Builder'!$E$9),--(INDEX(Sims!$A1353:$BO1353,'Entry Builder'!$L$9)&gt;'Entry Builder'!$E$9)))</f>
        <v/>
      </c>
      <c r="D1353">
        <f>IF('Entry Builder'!$N$10=0,1,IF('Entry Builder'!$D$10="Less",--(INDEX(Sims!$A1353:$BO1353,'Entry Builder'!$L$10)&lt;'Entry Builder'!$E$10),--(INDEX(Sims!$A1353:$BO1353,'Entry Builder'!$L$10)&gt;'Entry Builder'!$E$10)))</f>
        <v/>
      </c>
      <c r="E1353">
        <f>IF('Entry Builder'!$N$11=0,1,IF('Entry Builder'!$D$11="Less",--(INDEX(Sims!$A1353:$BO1353,'Entry Builder'!$L$11)&lt;'Entry Builder'!$E$11),--(INDEX(Sims!$A1353:$BO1353,'Entry Builder'!$L$11)&gt;'Entry Builder'!$E$11)))</f>
        <v/>
      </c>
      <c r="F1353">
        <f>IF('Entry Builder'!$N$12=0,1,IF('Entry Builder'!$D$12="Less",--(INDEX(Sims!$A1353:$BO1353,'Entry Builder'!$L$12)&lt;'Entry Builder'!$E$12),--(INDEX(Sims!$A1353:$BO1353,'Entry Builder'!$L$12)&gt;'Entry Builder'!$E$12)))</f>
        <v/>
      </c>
      <c r="G1353">
        <f>6-SUM(A1353:F1353)</f>
        <v/>
      </c>
    </row>
    <row r="1354">
      <c r="A1354">
        <f>IF('Entry Builder'!$N$7=0,1,IF('Entry Builder'!$D$7="Less",--(INDEX(Sims!$A1354:$BO1354,'Entry Builder'!$L$7)&lt;'Entry Builder'!$E$7),--(INDEX(Sims!$A1354:$BO1354,'Entry Builder'!$L$7)&gt;'Entry Builder'!$E$7)))</f>
        <v/>
      </c>
      <c r="B1354">
        <f>IF('Entry Builder'!$N$8=0,1,IF('Entry Builder'!$D$8="Less",--(INDEX(Sims!$A1354:$BO1354,'Entry Builder'!$L$8)&lt;'Entry Builder'!$E$8),--(INDEX(Sims!$A1354:$BO1354,'Entry Builder'!$L$8)&gt;'Entry Builder'!$E$8)))</f>
        <v/>
      </c>
      <c r="C1354">
        <f>IF('Entry Builder'!$N$9=0,1,IF('Entry Builder'!$D$9="Less",--(INDEX(Sims!$A1354:$BO1354,'Entry Builder'!$L$9)&lt;'Entry Builder'!$E$9),--(INDEX(Sims!$A1354:$BO1354,'Entry Builder'!$L$9)&gt;'Entry Builder'!$E$9)))</f>
        <v/>
      </c>
      <c r="D1354">
        <f>IF('Entry Builder'!$N$10=0,1,IF('Entry Builder'!$D$10="Less",--(INDEX(Sims!$A1354:$BO1354,'Entry Builder'!$L$10)&lt;'Entry Builder'!$E$10),--(INDEX(Sims!$A1354:$BO1354,'Entry Builder'!$L$10)&gt;'Entry Builder'!$E$10)))</f>
        <v/>
      </c>
      <c r="E1354">
        <f>IF('Entry Builder'!$N$11=0,1,IF('Entry Builder'!$D$11="Less",--(INDEX(Sims!$A1354:$BO1354,'Entry Builder'!$L$11)&lt;'Entry Builder'!$E$11),--(INDEX(Sims!$A1354:$BO1354,'Entry Builder'!$L$11)&gt;'Entry Builder'!$E$11)))</f>
        <v/>
      </c>
      <c r="F1354">
        <f>IF('Entry Builder'!$N$12=0,1,IF('Entry Builder'!$D$12="Less",--(INDEX(Sims!$A1354:$BO1354,'Entry Builder'!$L$12)&lt;'Entry Builder'!$E$12),--(INDEX(Sims!$A1354:$BO1354,'Entry Builder'!$L$12)&gt;'Entry Builder'!$E$12)))</f>
        <v/>
      </c>
      <c r="G1354">
        <f>6-SUM(A1354:F1354)</f>
        <v/>
      </c>
    </row>
    <row r="1355">
      <c r="A1355">
        <f>IF('Entry Builder'!$N$7=0,1,IF('Entry Builder'!$D$7="Less",--(INDEX(Sims!$A1355:$BO1355,'Entry Builder'!$L$7)&lt;'Entry Builder'!$E$7),--(INDEX(Sims!$A1355:$BO1355,'Entry Builder'!$L$7)&gt;'Entry Builder'!$E$7)))</f>
        <v/>
      </c>
      <c r="B1355">
        <f>IF('Entry Builder'!$N$8=0,1,IF('Entry Builder'!$D$8="Less",--(INDEX(Sims!$A1355:$BO1355,'Entry Builder'!$L$8)&lt;'Entry Builder'!$E$8),--(INDEX(Sims!$A1355:$BO1355,'Entry Builder'!$L$8)&gt;'Entry Builder'!$E$8)))</f>
        <v/>
      </c>
      <c r="C1355">
        <f>IF('Entry Builder'!$N$9=0,1,IF('Entry Builder'!$D$9="Less",--(INDEX(Sims!$A1355:$BO1355,'Entry Builder'!$L$9)&lt;'Entry Builder'!$E$9),--(INDEX(Sims!$A1355:$BO1355,'Entry Builder'!$L$9)&gt;'Entry Builder'!$E$9)))</f>
        <v/>
      </c>
      <c r="D1355">
        <f>IF('Entry Builder'!$N$10=0,1,IF('Entry Builder'!$D$10="Less",--(INDEX(Sims!$A1355:$BO1355,'Entry Builder'!$L$10)&lt;'Entry Builder'!$E$10),--(INDEX(Sims!$A1355:$BO1355,'Entry Builder'!$L$10)&gt;'Entry Builder'!$E$10)))</f>
        <v/>
      </c>
      <c r="E1355">
        <f>IF('Entry Builder'!$N$11=0,1,IF('Entry Builder'!$D$11="Less",--(INDEX(Sims!$A1355:$BO1355,'Entry Builder'!$L$11)&lt;'Entry Builder'!$E$11),--(INDEX(Sims!$A1355:$BO1355,'Entry Builder'!$L$11)&gt;'Entry Builder'!$E$11)))</f>
        <v/>
      </c>
      <c r="F1355">
        <f>IF('Entry Builder'!$N$12=0,1,IF('Entry Builder'!$D$12="Less",--(INDEX(Sims!$A1355:$BO1355,'Entry Builder'!$L$12)&lt;'Entry Builder'!$E$12),--(INDEX(Sims!$A1355:$BO1355,'Entry Builder'!$L$12)&gt;'Entry Builder'!$E$12)))</f>
        <v/>
      </c>
      <c r="G1355">
        <f>6-SUM(A1355:F1355)</f>
        <v/>
      </c>
    </row>
    <row r="1356">
      <c r="A1356">
        <f>IF('Entry Builder'!$N$7=0,1,IF('Entry Builder'!$D$7="Less",--(INDEX(Sims!$A1356:$BO1356,'Entry Builder'!$L$7)&lt;'Entry Builder'!$E$7),--(INDEX(Sims!$A1356:$BO1356,'Entry Builder'!$L$7)&gt;'Entry Builder'!$E$7)))</f>
        <v/>
      </c>
      <c r="B1356">
        <f>IF('Entry Builder'!$N$8=0,1,IF('Entry Builder'!$D$8="Less",--(INDEX(Sims!$A1356:$BO1356,'Entry Builder'!$L$8)&lt;'Entry Builder'!$E$8),--(INDEX(Sims!$A1356:$BO1356,'Entry Builder'!$L$8)&gt;'Entry Builder'!$E$8)))</f>
        <v/>
      </c>
      <c r="C1356">
        <f>IF('Entry Builder'!$N$9=0,1,IF('Entry Builder'!$D$9="Less",--(INDEX(Sims!$A1356:$BO1356,'Entry Builder'!$L$9)&lt;'Entry Builder'!$E$9),--(INDEX(Sims!$A1356:$BO1356,'Entry Builder'!$L$9)&gt;'Entry Builder'!$E$9)))</f>
        <v/>
      </c>
      <c r="D1356">
        <f>IF('Entry Builder'!$N$10=0,1,IF('Entry Builder'!$D$10="Less",--(INDEX(Sims!$A1356:$BO1356,'Entry Builder'!$L$10)&lt;'Entry Builder'!$E$10),--(INDEX(Sims!$A1356:$BO1356,'Entry Builder'!$L$10)&gt;'Entry Builder'!$E$10)))</f>
        <v/>
      </c>
      <c r="E1356">
        <f>IF('Entry Builder'!$N$11=0,1,IF('Entry Builder'!$D$11="Less",--(INDEX(Sims!$A1356:$BO1356,'Entry Builder'!$L$11)&lt;'Entry Builder'!$E$11),--(INDEX(Sims!$A1356:$BO1356,'Entry Builder'!$L$11)&gt;'Entry Builder'!$E$11)))</f>
        <v/>
      </c>
      <c r="F1356">
        <f>IF('Entry Builder'!$N$12=0,1,IF('Entry Builder'!$D$12="Less",--(INDEX(Sims!$A1356:$BO1356,'Entry Builder'!$L$12)&lt;'Entry Builder'!$E$12),--(INDEX(Sims!$A1356:$BO1356,'Entry Builder'!$L$12)&gt;'Entry Builder'!$E$12)))</f>
        <v/>
      </c>
      <c r="G1356">
        <f>6-SUM(A1356:F1356)</f>
        <v/>
      </c>
    </row>
    <row r="1357">
      <c r="A1357">
        <f>IF('Entry Builder'!$N$7=0,1,IF('Entry Builder'!$D$7="Less",--(INDEX(Sims!$A1357:$BO1357,'Entry Builder'!$L$7)&lt;'Entry Builder'!$E$7),--(INDEX(Sims!$A1357:$BO1357,'Entry Builder'!$L$7)&gt;'Entry Builder'!$E$7)))</f>
        <v/>
      </c>
      <c r="B1357">
        <f>IF('Entry Builder'!$N$8=0,1,IF('Entry Builder'!$D$8="Less",--(INDEX(Sims!$A1357:$BO1357,'Entry Builder'!$L$8)&lt;'Entry Builder'!$E$8),--(INDEX(Sims!$A1357:$BO1357,'Entry Builder'!$L$8)&gt;'Entry Builder'!$E$8)))</f>
        <v/>
      </c>
      <c r="C1357">
        <f>IF('Entry Builder'!$N$9=0,1,IF('Entry Builder'!$D$9="Less",--(INDEX(Sims!$A1357:$BO1357,'Entry Builder'!$L$9)&lt;'Entry Builder'!$E$9),--(INDEX(Sims!$A1357:$BO1357,'Entry Builder'!$L$9)&gt;'Entry Builder'!$E$9)))</f>
        <v/>
      </c>
      <c r="D1357">
        <f>IF('Entry Builder'!$N$10=0,1,IF('Entry Builder'!$D$10="Less",--(INDEX(Sims!$A1357:$BO1357,'Entry Builder'!$L$10)&lt;'Entry Builder'!$E$10),--(INDEX(Sims!$A1357:$BO1357,'Entry Builder'!$L$10)&gt;'Entry Builder'!$E$10)))</f>
        <v/>
      </c>
      <c r="E1357">
        <f>IF('Entry Builder'!$N$11=0,1,IF('Entry Builder'!$D$11="Less",--(INDEX(Sims!$A1357:$BO1357,'Entry Builder'!$L$11)&lt;'Entry Builder'!$E$11),--(INDEX(Sims!$A1357:$BO1357,'Entry Builder'!$L$11)&gt;'Entry Builder'!$E$11)))</f>
        <v/>
      </c>
      <c r="F1357">
        <f>IF('Entry Builder'!$N$12=0,1,IF('Entry Builder'!$D$12="Less",--(INDEX(Sims!$A1357:$BO1357,'Entry Builder'!$L$12)&lt;'Entry Builder'!$E$12),--(INDEX(Sims!$A1357:$BO1357,'Entry Builder'!$L$12)&gt;'Entry Builder'!$E$12)))</f>
        <v/>
      </c>
      <c r="G1357">
        <f>6-SUM(A1357:F1357)</f>
        <v/>
      </c>
    </row>
    <row r="1358">
      <c r="A1358">
        <f>IF('Entry Builder'!$N$7=0,1,IF('Entry Builder'!$D$7="Less",--(INDEX(Sims!$A1358:$BO1358,'Entry Builder'!$L$7)&lt;'Entry Builder'!$E$7),--(INDEX(Sims!$A1358:$BO1358,'Entry Builder'!$L$7)&gt;'Entry Builder'!$E$7)))</f>
        <v/>
      </c>
      <c r="B1358">
        <f>IF('Entry Builder'!$N$8=0,1,IF('Entry Builder'!$D$8="Less",--(INDEX(Sims!$A1358:$BO1358,'Entry Builder'!$L$8)&lt;'Entry Builder'!$E$8),--(INDEX(Sims!$A1358:$BO1358,'Entry Builder'!$L$8)&gt;'Entry Builder'!$E$8)))</f>
        <v/>
      </c>
      <c r="C1358">
        <f>IF('Entry Builder'!$N$9=0,1,IF('Entry Builder'!$D$9="Less",--(INDEX(Sims!$A1358:$BO1358,'Entry Builder'!$L$9)&lt;'Entry Builder'!$E$9),--(INDEX(Sims!$A1358:$BO1358,'Entry Builder'!$L$9)&gt;'Entry Builder'!$E$9)))</f>
        <v/>
      </c>
      <c r="D1358">
        <f>IF('Entry Builder'!$N$10=0,1,IF('Entry Builder'!$D$10="Less",--(INDEX(Sims!$A1358:$BO1358,'Entry Builder'!$L$10)&lt;'Entry Builder'!$E$10),--(INDEX(Sims!$A1358:$BO1358,'Entry Builder'!$L$10)&gt;'Entry Builder'!$E$10)))</f>
        <v/>
      </c>
      <c r="E1358">
        <f>IF('Entry Builder'!$N$11=0,1,IF('Entry Builder'!$D$11="Less",--(INDEX(Sims!$A1358:$BO1358,'Entry Builder'!$L$11)&lt;'Entry Builder'!$E$11),--(INDEX(Sims!$A1358:$BO1358,'Entry Builder'!$L$11)&gt;'Entry Builder'!$E$11)))</f>
        <v/>
      </c>
      <c r="F1358">
        <f>IF('Entry Builder'!$N$12=0,1,IF('Entry Builder'!$D$12="Less",--(INDEX(Sims!$A1358:$BO1358,'Entry Builder'!$L$12)&lt;'Entry Builder'!$E$12),--(INDEX(Sims!$A1358:$BO1358,'Entry Builder'!$L$12)&gt;'Entry Builder'!$E$12)))</f>
        <v/>
      </c>
      <c r="G1358">
        <f>6-SUM(A1358:F1358)</f>
        <v/>
      </c>
    </row>
    <row r="1359">
      <c r="A1359">
        <f>IF('Entry Builder'!$N$7=0,1,IF('Entry Builder'!$D$7="Less",--(INDEX(Sims!$A1359:$BO1359,'Entry Builder'!$L$7)&lt;'Entry Builder'!$E$7),--(INDEX(Sims!$A1359:$BO1359,'Entry Builder'!$L$7)&gt;'Entry Builder'!$E$7)))</f>
        <v/>
      </c>
      <c r="B1359">
        <f>IF('Entry Builder'!$N$8=0,1,IF('Entry Builder'!$D$8="Less",--(INDEX(Sims!$A1359:$BO1359,'Entry Builder'!$L$8)&lt;'Entry Builder'!$E$8),--(INDEX(Sims!$A1359:$BO1359,'Entry Builder'!$L$8)&gt;'Entry Builder'!$E$8)))</f>
        <v/>
      </c>
      <c r="C1359">
        <f>IF('Entry Builder'!$N$9=0,1,IF('Entry Builder'!$D$9="Less",--(INDEX(Sims!$A1359:$BO1359,'Entry Builder'!$L$9)&lt;'Entry Builder'!$E$9),--(INDEX(Sims!$A1359:$BO1359,'Entry Builder'!$L$9)&gt;'Entry Builder'!$E$9)))</f>
        <v/>
      </c>
      <c r="D1359">
        <f>IF('Entry Builder'!$N$10=0,1,IF('Entry Builder'!$D$10="Less",--(INDEX(Sims!$A1359:$BO1359,'Entry Builder'!$L$10)&lt;'Entry Builder'!$E$10),--(INDEX(Sims!$A1359:$BO1359,'Entry Builder'!$L$10)&gt;'Entry Builder'!$E$10)))</f>
        <v/>
      </c>
      <c r="E1359">
        <f>IF('Entry Builder'!$N$11=0,1,IF('Entry Builder'!$D$11="Less",--(INDEX(Sims!$A1359:$BO1359,'Entry Builder'!$L$11)&lt;'Entry Builder'!$E$11),--(INDEX(Sims!$A1359:$BO1359,'Entry Builder'!$L$11)&gt;'Entry Builder'!$E$11)))</f>
        <v/>
      </c>
      <c r="F1359">
        <f>IF('Entry Builder'!$N$12=0,1,IF('Entry Builder'!$D$12="Less",--(INDEX(Sims!$A1359:$BO1359,'Entry Builder'!$L$12)&lt;'Entry Builder'!$E$12),--(INDEX(Sims!$A1359:$BO1359,'Entry Builder'!$L$12)&gt;'Entry Builder'!$E$12)))</f>
        <v/>
      </c>
      <c r="G1359">
        <f>6-SUM(A1359:F1359)</f>
        <v/>
      </c>
    </row>
    <row r="1360">
      <c r="A1360">
        <f>IF('Entry Builder'!$N$7=0,1,IF('Entry Builder'!$D$7="Less",--(INDEX(Sims!$A1360:$BO1360,'Entry Builder'!$L$7)&lt;'Entry Builder'!$E$7),--(INDEX(Sims!$A1360:$BO1360,'Entry Builder'!$L$7)&gt;'Entry Builder'!$E$7)))</f>
        <v/>
      </c>
      <c r="B1360">
        <f>IF('Entry Builder'!$N$8=0,1,IF('Entry Builder'!$D$8="Less",--(INDEX(Sims!$A1360:$BO1360,'Entry Builder'!$L$8)&lt;'Entry Builder'!$E$8),--(INDEX(Sims!$A1360:$BO1360,'Entry Builder'!$L$8)&gt;'Entry Builder'!$E$8)))</f>
        <v/>
      </c>
      <c r="C1360">
        <f>IF('Entry Builder'!$N$9=0,1,IF('Entry Builder'!$D$9="Less",--(INDEX(Sims!$A1360:$BO1360,'Entry Builder'!$L$9)&lt;'Entry Builder'!$E$9),--(INDEX(Sims!$A1360:$BO1360,'Entry Builder'!$L$9)&gt;'Entry Builder'!$E$9)))</f>
        <v/>
      </c>
      <c r="D1360">
        <f>IF('Entry Builder'!$N$10=0,1,IF('Entry Builder'!$D$10="Less",--(INDEX(Sims!$A1360:$BO1360,'Entry Builder'!$L$10)&lt;'Entry Builder'!$E$10),--(INDEX(Sims!$A1360:$BO1360,'Entry Builder'!$L$10)&gt;'Entry Builder'!$E$10)))</f>
        <v/>
      </c>
      <c r="E1360">
        <f>IF('Entry Builder'!$N$11=0,1,IF('Entry Builder'!$D$11="Less",--(INDEX(Sims!$A1360:$BO1360,'Entry Builder'!$L$11)&lt;'Entry Builder'!$E$11),--(INDEX(Sims!$A1360:$BO1360,'Entry Builder'!$L$11)&gt;'Entry Builder'!$E$11)))</f>
        <v/>
      </c>
      <c r="F1360">
        <f>IF('Entry Builder'!$N$12=0,1,IF('Entry Builder'!$D$12="Less",--(INDEX(Sims!$A1360:$BO1360,'Entry Builder'!$L$12)&lt;'Entry Builder'!$E$12),--(INDEX(Sims!$A1360:$BO1360,'Entry Builder'!$L$12)&gt;'Entry Builder'!$E$12)))</f>
        <v/>
      </c>
      <c r="G1360">
        <f>6-SUM(A1360:F1360)</f>
        <v/>
      </c>
    </row>
    <row r="1361">
      <c r="A1361">
        <f>IF('Entry Builder'!$N$7=0,1,IF('Entry Builder'!$D$7="Less",--(INDEX(Sims!$A1361:$BO1361,'Entry Builder'!$L$7)&lt;'Entry Builder'!$E$7),--(INDEX(Sims!$A1361:$BO1361,'Entry Builder'!$L$7)&gt;'Entry Builder'!$E$7)))</f>
        <v/>
      </c>
      <c r="B1361">
        <f>IF('Entry Builder'!$N$8=0,1,IF('Entry Builder'!$D$8="Less",--(INDEX(Sims!$A1361:$BO1361,'Entry Builder'!$L$8)&lt;'Entry Builder'!$E$8),--(INDEX(Sims!$A1361:$BO1361,'Entry Builder'!$L$8)&gt;'Entry Builder'!$E$8)))</f>
        <v/>
      </c>
      <c r="C1361">
        <f>IF('Entry Builder'!$N$9=0,1,IF('Entry Builder'!$D$9="Less",--(INDEX(Sims!$A1361:$BO1361,'Entry Builder'!$L$9)&lt;'Entry Builder'!$E$9),--(INDEX(Sims!$A1361:$BO1361,'Entry Builder'!$L$9)&gt;'Entry Builder'!$E$9)))</f>
        <v/>
      </c>
      <c r="D1361">
        <f>IF('Entry Builder'!$N$10=0,1,IF('Entry Builder'!$D$10="Less",--(INDEX(Sims!$A1361:$BO1361,'Entry Builder'!$L$10)&lt;'Entry Builder'!$E$10),--(INDEX(Sims!$A1361:$BO1361,'Entry Builder'!$L$10)&gt;'Entry Builder'!$E$10)))</f>
        <v/>
      </c>
      <c r="E1361">
        <f>IF('Entry Builder'!$N$11=0,1,IF('Entry Builder'!$D$11="Less",--(INDEX(Sims!$A1361:$BO1361,'Entry Builder'!$L$11)&lt;'Entry Builder'!$E$11),--(INDEX(Sims!$A1361:$BO1361,'Entry Builder'!$L$11)&gt;'Entry Builder'!$E$11)))</f>
        <v/>
      </c>
      <c r="F1361">
        <f>IF('Entry Builder'!$N$12=0,1,IF('Entry Builder'!$D$12="Less",--(INDEX(Sims!$A1361:$BO1361,'Entry Builder'!$L$12)&lt;'Entry Builder'!$E$12),--(INDEX(Sims!$A1361:$BO1361,'Entry Builder'!$L$12)&gt;'Entry Builder'!$E$12)))</f>
        <v/>
      </c>
      <c r="G1361">
        <f>6-SUM(A1361:F1361)</f>
        <v/>
      </c>
    </row>
    <row r="1362">
      <c r="A1362">
        <f>IF('Entry Builder'!$N$7=0,1,IF('Entry Builder'!$D$7="Less",--(INDEX(Sims!$A1362:$BO1362,'Entry Builder'!$L$7)&lt;'Entry Builder'!$E$7),--(INDEX(Sims!$A1362:$BO1362,'Entry Builder'!$L$7)&gt;'Entry Builder'!$E$7)))</f>
        <v/>
      </c>
      <c r="B1362">
        <f>IF('Entry Builder'!$N$8=0,1,IF('Entry Builder'!$D$8="Less",--(INDEX(Sims!$A1362:$BO1362,'Entry Builder'!$L$8)&lt;'Entry Builder'!$E$8),--(INDEX(Sims!$A1362:$BO1362,'Entry Builder'!$L$8)&gt;'Entry Builder'!$E$8)))</f>
        <v/>
      </c>
      <c r="C1362">
        <f>IF('Entry Builder'!$N$9=0,1,IF('Entry Builder'!$D$9="Less",--(INDEX(Sims!$A1362:$BO1362,'Entry Builder'!$L$9)&lt;'Entry Builder'!$E$9),--(INDEX(Sims!$A1362:$BO1362,'Entry Builder'!$L$9)&gt;'Entry Builder'!$E$9)))</f>
        <v/>
      </c>
      <c r="D1362">
        <f>IF('Entry Builder'!$N$10=0,1,IF('Entry Builder'!$D$10="Less",--(INDEX(Sims!$A1362:$BO1362,'Entry Builder'!$L$10)&lt;'Entry Builder'!$E$10),--(INDEX(Sims!$A1362:$BO1362,'Entry Builder'!$L$10)&gt;'Entry Builder'!$E$10)))</f>
        <v/>
      </c>
      <c r="E1362">
        <f>IF('Entry Builder'!$N$11=0,1,IF('Entry Builder'!$D$11="Less",--(INDEX(Sims!$A1362:$BO1362,'Entry Builder'!$L$11)&lt;'Entry Builder'!$E$11),--(INDEX(Sims!$A1362:$BO1362,'Entry Builder'!$L$11)&gt;'Entry Builder'!$E$11)))</f>
        <v/>
      </c>
      <c r="F1362">
        <f>IF('Entry Builder'!$N$12=0,1,IF('Entry Builder'!$D$12="Less",--(INDEX(Sims!$A1362:$BO1362,'Entry Builder'!$L$12)&lt;'Entry Builder'!$E$12),--(INDEX(Sims!$A1362:$BO1362,'Entry Builder'!$L$12)&gt;'Entry Builder'!$E$12)))</f>
        <v/>
      </c>
      <c r="G1362">
        <f>6-SUM(A1362:F1362)</f>
        <v/>
      </c>
    </row>
    <row r="1363">
      <c r="A1363">
        <f>IF('Entry Builder'!$N$7=0,1,IF('Entry Builder'!$D$7="Less",--(INDEX(Sims!$A1363:$BO1363,'Entry Builder'!$L$7)&lt;'Entry Builder'!$E$7),--(INDEX(Sims!$A1363:$BO1363,'Entry Builder'!$L$7)&gt;'Entry Builder'!$E$7)))</f>
        <v/>
      </c>
      <c r="B1363">
        <f>IF('Entry Builder'!$N$8=0,1,IF('Entry Builder'!$D$8="Less",--(INDEX(Sims!$A1363:$BO1363,'Entry Builder'!$L$8)&lt;'Entry Builder'!$E$8),--(INDEX(Sims!$A1363:$BO1363,'Entry Builder'!$L$8)&gt;'Entry Builder'!$E$8)))</f>
        <v/>
      </c>
      <c r="C1363">
        <f>IF('Entry Builder'!$N$9=0,1,IF('Entry Builder'!$D$9="Less",--(INDEX(Sims!$A1363:$BO1363,'Entry Builder'!$L$9)&lt;'Entry Builder'!$E$9),--(INDEX(Sims!$A1363:$BO1363,'Entry Builder'!$L$9)&gt;'Entry Builder'!$E$9)))</f>
        <v/>
      </c>
      <c r="D1363">
        <f>IF('Entry Builder'!$N$10=0,1,IF('Entry Builder'!$D$10="Less",--(INDEX(Sims!$A1363:$BO1363,'Entry Builder'!$L$10)&lt;'Entry Builder'!$E$10),--(INDEX(Sims!$A1363:$BO1363,'Entry Builder'!$L$10)&gt;'Entry Builder'!$E$10)))</f>
        <v/>
      </c>
      <c r="E1363">
        <f>IF('Entry Builder'!$N$11=0,1,IF('Entry Builder'!$D$11="Less",--(INDEX(Sims!$A1363:$BO1363,'Entry Builder'!$L$11)&lt;'Entry Builder'!$E$11),--(INDEX(Sims!$A1363:$BO1363,'Entry Builder'!$L$11)&gt;'Entry Builder'!$E$11)))</f>
        <v/>
      </c>
      <c r="F1363">
        <f>IF('Entry Builder'!$N$12=0,1,IF('Entry Builder'!$D$12="Less",--(INDEX(Sims!$A1363:$BO1363,'Entry Builder'!$L$12)&lt;'Entry Builder'!$E$12),--(INDEX(Sims!$A1363:$BO1363,'Entry Builder'!$L$12)&gt;'Entry Builder'!$E$12)))</f>
        <v/>
      </c>
      <c r="G1363">
        <f>6-SUM(A1363:F1363)</f>
        <v/>
      </c>
    </row>
    <row r="1364">
      <c r="A1364">
        <f>IF('Entry Builder'!$N$7=0,1,IF('Entry Builder'!$D$7="Less",--(INDEX(Sims!$A1364:$BO1364,'Entry Builder'!$L$7)&lt;'Entry Builder'!$E$7),--(INDEX(Sims!$A1364:$BO1364,'Entry Builder'!$L$7)&gt;'Entry Builder'!$E$7)))</f>
        <v/>
      </c>
      <c r="B1364">
        <f>IF('Entry Builder'!$N$8=0,1,IF('Entry Builder'!$D$8="Less",--(INDEX(Sims!$A1364:$BO1364,'Entry Builder'!$L$8)&lt;'Entry Builder'!$E$8),--(INDEX(Sims!$A1364:$BO1364,'Entry Builder'!$L$8)&gt;'Entry Builder'!$E$8)))</f>
        <v/>
      </c>
      <c r="C1364">
        <f>IF('Entry Builder'!$N$9=0,1,IF('Entry Builder'!$D$9="Less",--(INDEX(Sims!$A1364:$BO1364,'Entry Builder'!$L$9)&lt;'Entry Builder'!$E$9),--(INDEX(Sims!$A1364:$BO1364,'Entry Builder'!$L$9)&gt;'Entry Builder'!$E$9)))</f>
        <v/>
      </c>
      <c r="D1364">
        <f>IF('Entry Builder'!$N$10=0,1,IF('Entry Builder'!$D$10="Less",--(INDEX(Sims!$A1364:$BO1364,'Entry Builder'!$L$10)&lt;'Entry Builder'!$E$10),--(INDEX(Sims!$A1364:$BO1364,'Entry Builder'!$L$10)&gt;'Entry Builder'!$E$10)))</f>
        <v/>
      </c>
      <c r="E1364">
        <f>IF('Entry Builder'!$N$11=0,1,IF('Entry Builder'!$D$11="Less",--(INDEX(Sims!$A1364:$BO1364,'Entry Builder'!$L$11)&lt;'Entry Builder'!$E$11),--(INDEX(Sims!$A1364:$BO1364,'Entry Builder'!$L$11)&gt;'Entry Builder'!$E$11)))</f>
        <v/>
      </c>
      <c r="F1364">
        <f>IF('Entry Builder'!$N$12=0,1,IF('Entry Builder'!$D$12="Less",--(INDEX(Sims!$A1364:$BO1364,'Entry Builder'!$L$12)&lt;'Entry Builder'!$E$12),--(INDEX(Sims!$A1364:$BO1364,'Entry Builder'!$L$12)&gt;'Entry Builder'!$E$12)))</f>
        <v/>
      </c>
      <c r="G1364">
        <f>6-SUM(A1364:F1364)</f>
        <v/>
      </c>
    </row>
    <row r="1365">
      <c r="A1365">
        <f>IF('Entry Builder'!$N$7=0,1,IF('Entry Builder'!$D$7="Less",--(INDEX(Sims!$A1365:$BO1365,'Entry Builder'!$L$7)&lt;'Entry Builder'!$E$7),--(INDEX(Sims!$A1365:$BO1365,'Entry Builder'!$L$7)&gt;'Entry Builder'!$E$7)))</f>
        <v/>
      </c>
      <c r="B1365">
        <f>IF('Entry Builder'!$N$8=0,1,IF('Entry Builder'!$D$8="Less",--(INDEX(Sims!$A1365:$BO1365,'Entry Builder'!$L$8)&lt;'Entry Builder'!$E$8),--(INDEX(Sims!$A1365:$BO1365,'Entry Builder'!$L$8)&gt;'Entry Builder'!$E$8)))</f>
        <v/>
      </c>
      <c r="C1365">
        <f>IF('Entry Builder'!$N$9=0,1,IF('Entry Builder'!$D$9="Less",--(INDEX(Sims!$A1365:$BO1365,'Entry Builder'!$L$9)&lt;'Entry Builder'!$E$9),--(INDEX(Sims!$A1365:$BO1365,'Entry Builder'!$L$9)&gt;'Entry Builder'!$E$9)))</f>
        <v/>
      </c>
      <c r="D1365">
        <f>IF('Entry Builder'!$N$10=0,1,IF('Entry Builder'!$D$10="Less",--(INDEX(Sims!$A1365:$BO1365,'Entry Builder'!$L$10)&lt;'Entry Builder'!$E$10),--(INDEX(Sims!$A1365:$BO1365,'Entry Builder'!$L$10)&gt;'Entry Builder'!$E$10)))</f>
        <v/>
      </c>
      <c r="E1365">
        <f>IF('Entry Builder'!$N$11=0,1,IF('Entry Builder'!$D$11="Less",--(INDEX(Sims!$A1365:$BO1365,'Entry Builder'!$L$11)&lt;'Entry Builder'!$E$11),--(INDEX(Sims!$A1365:$BO1365,'Entry Builder'!$L$11)&gt;'Entry Builder'!$E$11)))</f>
        <v/>
      </c>
      <c r="F1365">
        <f>IF('Entry Builder'!$N$12=0,1,IF('Entry Builder'!$D$12="Less",--(INDEX(Sims!$A1365:$BO1365,'Entry Builder'!$L$12)&lt;'Entry Builder'!$E$12),--(INDEX(Sims!$A1365:$BO1365,'Entry Builder'!$L$12)&gt;'Entry Builder'!$E$12)))</f>
        <v/>
      </c>
      <c r="G1365">
        <f>6-SUM(A1365:F1365)</f>
        <v/>
      </c>
    </row>
    <row r="1366">
      <c r="A1366">
        <f>IF('Entry Builder'!$N$7=0,1,IF('Entry Builder'!$D$7="Less",--(INDEX(Sims!$A1366:$BO1366,'Entry Builder'!$L$7)&lt;'Entry Builder'!$E$7),--(INDEX(Sims!$A1366:$BO1366,'Entry Builder'!$L$7)&gt;'Entry Builder'!$E$7)))</f>
        <v/>
      </c>
      <c r="B1366">
        <f>IF('Entry Builder'!$N$8=0,1,IF('Entry Builder'!$D$8="Less",--(INDEX(Sims!$A1366:$BO1366,'Entry Builder'!$L$8)&lt;'Entry Builder'!$E$8),--(INDEX(Sims!$A1366:$BO1366,'Entry Builder'!$L$8)&gt;'Entry Builder'!$E$8)))</f>
        <v/>
      </c>
      <c r="C1366">
        <f>IF('Entry Builder'!$N$9=0,1,IF('Entry Builder'!$D$9="Less",--(INDEX(Sims!$A1366:$BO1366,'Entry Builder'!$L$9)&lt;'Entry Builder'!$E$9),--(INDEX(Sims!$A1366:$BO1366,'Entry Builder'!$L$9)&gt;'Entry Builder'!$E$9)))</f>
        <v/>
      </c>
      <c r="D1366">
        <f>IF('Entry Builder'!$N$10=0,1,IF('Entry Builder'!$D$10="Less",--(INDEX(Sims!$A1366:$BO1366,'Entry Builder'!$L$10)&lt;'Entry Builder'!$E$10),--(INDEX(Sims!$A1366:$BO1366,'Entry Builder'!$L$10)&gt;'Entry Builder'!$E$10)))</f>
        <v/>
      </c>
      <c r="E1366">
        <f>IF('Entry Builder'!$N$11=0,1,IF('Entry Builder'!$D$11="Less",--(INDEX(Sims!$A1366:$BO1366,'Entry Builder'!$L$11)&lt;'Entry Builder'!$E$11),--(INDEX(Sims!$A1366:$BO1366,'Entry Builder'!$L$11)&gt;'Entry Builder'!$E$11)))</f>
        <v/>
      </c>
      <c r="F1366">
        <f>IF('Entry Builder'!$N$12=0,1,IF('Entry Builder'!$D$12="Less",--(INDEX(Sims!$A1366:$BO1366,'Entry Builder'!$L$12)&lt;'Entry Builder'!$E$12),--(INDEX(Sims!$A1366:$BO1366,'Entry Builder'!$L$12)&gt;'Entry Builder'!$E$12)))</f>
        <v/>
      </c>
      <c r="G1366">
        <f>6-SUM(A1366:F1366)</f>
        <v/>
      </c>
    </row>
    <row r="1367">
      <c r="A1367">
        <f>IF('Entry Builder'!$N$7=0,1,IF('Entry Builder'!$D$7="Less",--(INDEX(Sims!$A1367:$BO1367,'Entry Builder'!$L$7)&lt;'Entry Builder'!$E$7),--(INDEX(Sims!$A1367:$BO1367,'Entry Builder'!$L$7)&gt;'Entry Builder'!$E$7)))</f>
        <v/>
      </c>
      <c r="B1367">
        <f>IF('Entry Builder'!$N$8=0,1,IF('Entry Builder'!$D$8="Less",--(INDEX(Sims!$A1367:$BO1367,'Entry Builder'!$L$8)&lt;'Entry Builder'!$E$8),--(INDEX(Sims!$A1367:$BO1367,'Entry Builder'!$L$8)&gt;'Entry Builder'!$E$8)))</f>
        <v/>
      </c>
      <c r="C1367">
        <f>IF('Entry Builder'!$N$9=0,1,IF('Entry Builder'!$D$9="Less",--(INDEX(Sims!$A1367:$BO1367,'Entry Builder'!$L$9)&lt;'Entry Builder'!$E$9),--(INDEX(Sims!$A1367:$BO1367,'Entry Builder'!$L$9)&gt;'Entry Builder'!$E$9)))</f>
        <v/>
      </c>
      <c r="D1367">
        <f>IF('Entry Builder'!$N$10=0,1,IF('Entry Builder'!$D$10="Less",--(INDEX(Sims!$A1367:$BO1367,'Entry Builder'!$L$10)&lt;'Entry Builder'!$E$10),--(INDEX(Sims!$A1367:$BO1367,'Entry Builder'!$L$10)&gt;'Entry Builder'!$E$10)))</f>
        <v/>
      </c>
      <c r="E1367">
        <f>IF('Entry Builder'!$N$11=0,1,IF('Entry Builder'!$D$11="Less",--(INDEX(Sims!$A1367:$BO1367,'Entry Builder'!$L$11)&lt;'Entry Builder'!$E$11),--(INDEX(Sims!$A1367:$BO1367,'Entry Builder'!$L$11)&gt;'Entry Builder'!$E$11)))</f>
        <v/>
      </c>
      <c r="F1367">
        <f>IF('Entry Builder'!$N$12=0,1,IF('Entry Builder'!$D$12="Less",--(INDEX(Sims!$A1367:$BO1367,'Entry Builder'!$L$12)&lt;'Entry Builder'!$E$12),--(INDEX(Sims!$A1367:$BO1367,'Entry Builder'!$L$12)&gt;'Entry Builder'!$E$12)))</f>
        <v/>
      </c>
      <c r="G1367">
        <f>6-SUM(A1367:F1367)</f>
        <v/>
      </c>
    </row>
    <row r="1368">
      <c r="A1368">
        <f>IF('Entry Builder'!$N$7=0,1,IF('Entry Builder'!$D$7="Less",--(INDEX(Sims!$A1368:$BO1368,'Entry Builder'!$L$7)&lt;'Entry Builder'!$E$7),--(INDEX(Sims!$A1368:$BO1368,'Entry Builder'!$L$7)&gt;'Entry Builder'!$E$7)))</f>
        <v/>
      </c>
      <c r="B1368">
        <f>IF('Entry Builder'!$N$8=0,1,IF('Entry Builder'!$D$8="Less",--(INDEX(Sims!$A1368:$BO1368,'Entry Builder'!$L$8)&lt;'Entry Builder'!$E$8),--(INDEX(Sims!$A1368:$BO1368,'Entry Builder'!$L$8)&gt;'Entry Builder'!$E$8)))</f>
        <v/>
      </c>
      <c r="C1368">
        <f>IF('Entry Builder'!$N$9=0,1,IF('Entry Builder'!$D$9="Less",--(INDEX(Sims!$A1368:$BO1368,'Entry Builder'!$L$9)&lt;'Entry Builder'!$E$9),--(INDEX(Sims!$A1368:$BO1368,'Entry Builder'!$L$9)&gt;'Entry Builder'!$E$9)))</f>
        <v/>
      </c>
      <c r="D1368">
        <f>IF('Entry Builder'!$N$10=0,1,IF('Entry Builder'!$D$10="Less",--(INDEX(Sims!$A1368:$BO1368,'Entry Builder'!$L$10)&lt;'Entry Builder'!$E$10),--(INDEX(Sims!$A1368:$BO1368,'Entry Builder'!$L$10)&gt;'Entry Builder'!$E$10)))</f>
        <v/>
      </c>
      <c r="E1368">
        <f>IF('Entry Builder'!$N$11=0,1,IF('Entry Builder'!$D$11="Less",--(INDEX(Sims!$A1368:$BO1368,'Entry Builder'!$L$11)&lt;'Entry Builder'!$E$11),--(INDEX(Sims!$A1368:$BO1368,'Entry Builder'!$L$11)&gt;'Entry Builder'!$E$11)))</f>
        <v/>
      </c>
      <c r="F1368">
        <f>IF('Entry Builder'!$N$12=0,1,IF('Entry Builder'!$D$12="Less",--(INDEX(Sims!$A1368:$BO1368,'Entry Builder'!$L$12)&lt;'Entry Builder'!$E$12),--(INDEX(Sims!$A1368:$BO1368,'Entry Builder'!$L$12)&gt;'Entry Builder'!$E$12)))</f>
        <v/>
      </c>
      <c r="G1368">
        <f>6-SUM(A1368:F1368)</f>
        <v/>
      </c>
    </row>
    <row r="1369">
      <c r="A1369">
        <f>IF('Entry Builder'!$N$7=0,1,IF('Entry Builder'!$D$7="Less",--(INDEX(Sims!$A1369:$BO1369,'Entry Builder'!$L$7)&lt;'Entry Builder'!$E$7),--(INDEX(Sims!$A1369:$BO1369,'Entry Builder'!$L$7)&gt;'Entry Builder'!$E$7)))</f>
        <v/>
      </c>
      <c r="B1369">
        <f>IF('Entry Builder'!$N$8=0,1,IF('Entry Builder'!$D$8="Less",--(INDEX(Sims!$A1369:$BO1369,'Entry Builder'!$L$8)&lt;'Entry Builder'!$E$8),--(INDEX(Sims!$A1369:$BO1369,'Entry Builder'!$L$8)&gt;'Entry Builder'!$E$8)))</f>
        <v/>
      </c>
      <c r="C1369">
        <f>IF('Entry Builder'!$N$9=0,1,IF('Entry Builder'!$D$9="Less",--(INDEX(Sims!$A1369:$BO1369,'Entry Builder'!$L$9)&lt;'Entry Builder'!$E$9),--(INDEX(Sims!$A1369:$BO1369,'Entry Builder'!$L$9)&gt;'Entry Builder'!$E$9)))</f>
        <v/>
      </c>
      <c r="D1369">
        <f>IF('Entry Builder'!$N$10=0,1,IF('Entry Builder'!$D$10="Less",--(INDEX(Sims!$A1369:$BO1369,'Entry Builder'!$L$10)&lt;'Entry Builder'!$E$10),--(INDEX(Sims!$A1369:$BO1369,'Entry Builder'!$L$10)&gt;'Entry Builder'!$E$10)))</f>
        <v/>
      </c>
      <c r="E1369">
        <f>IF('Entry Builder'!$N$11=0,1,IF('Entry Builder'!$D$11="Less",--(INDEX(Sims!$A1369:$BO1369,'Entry Builder'!$L$11)&lt;'Entry Builder'!$E$11),--(INDEX(Sims!$A1369:$BO1369,'Entry Builder'!$L$11)&gt;'Entry Builder'!$E$11)))</f>
        <v/>
      </c>
      <c r="F1369">
        <f>IF('Entry Builder'!$N$12=0,1,IF('Entry Builder'!$D$12="Less",--(INDEX(Sims!$A1369:$BO1369,'Entry Builder'!$L$12)&lt;'Entry Builder'!$E$12),--(INDEX(Sims!$A1369:$BO1369,'Entry Builder'!$L$12)&gt;'Entry Builder'!$E$12)))</f>
        <v/>
      </c>
      <c r="G1369">
        <f>6-SUM(A1369:F1369)</f>
        <v/>
      </c>
    </row>
    <row r="1370">
      <c r="A1370">
        <f>IF('Entry Builder'!$N$7=0,1,IF('Entry Builder'!$D$7="Less",--(INDEX(Sims!$A1370:$BO1370,'Entry Builder'!$L$7)&lt;'Entry Builder'!$E$7),--(INDEX(Sims!$A1370:$BO1370,'Entry Builder'!$L$7)&gt;'Entry Builder'!$E$7)))</f>
        <v/>
      </c>
      <c r="B1370">
        <f>IF('Entry Builder'!$N$8=0,1,IF('Entry Builder'!$D$8="Less",--(INDEX(Sims!$A1370:$BO1370,'Entry Builder'!$L$8)&lt;'Entry Builder'!$E$8),--(INDEX(Sims!$A1370:$BO1370,'Entry Builder'!$L$8)&gt;'Entry Builder'!$E$8)))</f>
        <v/>
      </c>
      <c r="C1370">
        <f>IF('Entry Builder'!$N$9=0,1,IF('Entry Builder'!$D$9="Less",--(INDEX(Sims!$A1370:$BO1370,'Entry Builder'!$L$9)&lt;'Entry Builder'!$E$9),--(INDEX(Sims!$A1370:$BO1370,'Entry Builder'!$L$9)&gt;'Entry Builder'!$E$9)))</f>
        <v/>
      </c>
      <c r="D1370">
        <f>IF('Entry Builder'!$N$10=0,1,IF('Entry Builder'!$D$10="Less",--(INDEX(Sims!$A1370:$BO1370,'Entry Builder'!$L$10)&lt;'Entry Builder'!$E$10),--(INDEX(Sims!$A1370:$BO1370,'Entry Builder'!$L$10)&gt;'Entry Builder'!$E$10)))</f>
        <v/>
      </c>
      <c r="E1370">
        <f>IF('Entry Builder'!$N$11=0,1,IF('Entry Builder'!$D$11="Less",--(INDEX(Sims!$A1370:$BO1370,'Entry Builder'!$L$11)&lt;'Entry Builder'!$E$11),--(INDEX(Sims!$A1370:$BO1370,'Entry Builder'!$L$11)&gt;'Entry Builder'!$E$11)))</f>
        <v/>
      </c>
      <c r="F1370">
        <f>IF('Entry Builder'!$N$12=0,1,IF('Entry Builder'!$D$12="Less",--(INDEX(Sims!$A1370:$BO1370,'Entry Builder'!$L$12)&lt;'Entry Builder'!$E$12),--(INDEX(Sims!$A1370:$BO1370,'Entry Builder'!$L$12)&gt;'Entry Builder'!$E$12)))</f>
        <v/>
      </c>
      <c r="G1370">
        <f>6-SUM(A1370:F1370)</f>
        <v/>
      </c>
    </row>
    <row r="1371">
      <c r="A1371">
        <f>IF('Entry Builder'!$N$7=0,1,IF('Entry Builder'!$D$7="Less",--(INDEX(Sims!$A1371:$BO1371,'Entry Builder'!$L$7)&lt;'Entry Builder'!$E$7),--(INDEX(Sims!$A1371:$BO1371,'Entry Builder'!$L$7)&gt;'Entry Builder'!$E$7)))</f>
        <v/>
      </c>
      <c r="B1371">
        <f>IF('Entry Builder'!$N$8=0,1,IF('Entry Builder'!$D$8="Less",--(INDEX(Sims!$A1371:$BO1371,'Entry Builder'!$L$8)&lt;'Entry Builder'!$E$8),--(INDEX(Sims!$A1371:$BO1371,'Entry Builder'!$L$8)&gt;'Entry Builder'!$E$8)))</f>
        <v/>
      </c>
      <c r="C1371">
        <f>IF('Entry Builder'!$N$9=0,1,IF('Entry Builder'!$D$9="Less",--(INDEX(Sims!$A1371:$BO1371,'Entry Builder'!$L$9)&lt;'Entry Builder'!$E$9),--(INDEX(Sims!$A1371:$BO1371,'Entry Builder'!$L$9)&gt;'Entry Builder'!$E$9)))</f>
        <v/>
      </c>
      <c r="D1371">
        <f>IF('Entry Builder'!$N$10=0,1,IF('Entry Builder'!$D$10="Less",--(INDEX(Sims!$A1371:$BO1371,'Entry Builder'!$L$10)&lt;'Entry Builder'!$E$10),--(INDEX(Sims!$A1371:$BO1371,'Entry Builder'!$L$10)&gt;'Entry Builder'!$E$10)))</f>
        <v/>
      </c>
      <c r="E1371">
        <f>IF('Entry Builder'!$N$11=0,1,IF('Entry Builder'!$D$11="Less",--(INDEX(Sims!$A1371:$BO1371,'Entry Builder'!$L$11)&lt;'Entry Builder'!$E$11),--(INDEX(Sims!$A1371:$BO1371,'Entry Builder'!$L$11)&gt;'Entry Builder'!$E$11)))</f>
        <v/>
      </c>
      <c r="F1371">
        <f>IF('Entry Builder'!$N$12=0,1,IF('Entry Builder'!$D$12="Less",--(INDEX(Sims!$A1371:$BO1371,'Entry Builder'!$L$12)&lt;'Entry Builder'!$E$12),--(INDEX(Sims!$A1371:$BO1371,'Entry Builder'!$L$12)&gt;'Entry Builder'!$E$12)))</f>
        <v/>
      </c>
      <c r="G1371">
        <f>6-SUM(A1371:F1371)</f>
        <v/>
      </c>
    </row>
    <row r="1372">
      <c r="A1372">
        <f>IF('Entry Builder'!$N$7=0,1,IF('Entry Builder'!$D$7="Less",--(INDEX(Sims!$A1372:$BO1372,'Entry Builder'!$L$7)&lt;'Entry Builder'!$E$7),--(INDEX(Sims!$A1372:$BO1372,'Entry Builder'!$L$7)&gt;'Entry Builder'!$E$7)))</f>
        <v/>
      </c>
      <c r="B1372">
        <f>IF('Entry Builder'!$N$8=0,1,IF('Entry Builder'!$D$8="Less",--(INDEX(Sims!$A1372:$BO1372,'Entry Builder'!$L$8)&lt;'Entry Builder'!$E$8),--(INDEX(Sims!$A1372:$BO1372,'Entry Builder'!$L$8)&gt;'Entry Builder'!$E$8)))</f>
        <v/>
      </c>
      <c r="C1372">
        <f>IF('Entry Builder'!$N$9=0,1,IF('Entry Builder'!$D$9="Less",--(INDEX(Sims!$A1372:$BO1372,'Entry Builder'!$L$9)&lt;'Entry Builder'!$E$9),--(INDEX(Sims!$A1372:$BO1372,'Entry Builder'!$L$9)&gt;'Entry Builder'!$E$9)))</f>
        <v/>
      </c>
      <c r="D1372">
        <f>IF('Entry Builder'!$N$10=0,1,IF('Entry Builder'!$D$10="Less",--(INDEX(Sims!$A1372:$BO1372,'Entry Builder'!$L$10)&lt;'Entry Builder'!$E$10),--(INDEX(Sims!$A1372:$BO1372,'Entry Builder'!$L$10)&gt;'Entry Builder'!$E$10)))</f>
        <v/>
      </c>
      <c r="E1372">
        <f>IF('Entry Builder'!$N$11=0,1,IF('Entry Builder'!$D$11="Less",--(INDEX(Sims!$A1372:$BO1372,'Entry Builder'!$L$11)&lt;'Entry Builder'!$E$11),--(INDEX(Sims!$A1372:$BO1372,'Entry Builder'!$L$11)&gt;'Entry Builder'!$E$11)))</f>
        <v/>
      </c>
      <c r="F1372">
        <f>IF('Entry Builder'!$N$12=0,1,IF('Entry Builder'!$D$12="Less",--(INDEX(Sims!$A1372:$BO1372,'Entry Builder'!$L$12)&lt;'Entry Builder'!$E$12),--(INDEX(Sims!$A1372:$BO1372,'Entry Builder'!$L$12)&gt;'Entry Builder'!$E$12)))</f>
        <v/>
      </c>
      <c r="G1372">
        <f>6-SUM(A1372:F1372)</f>
        <v/>
      </c>
    </row>
    <row r="1373">
      <c r="A1373">
        <f>IF('Entry Builder'!$N$7=0,1,IF('Entry Builder'!$D$7="Less",--(INDEX(Sims!$A1373:$BO1373,'Entry Builder'!$L$7)&lt;'Entry Builder'!$E$7),--(INDEX(Sims!$A1373:$BO1373,'Entry Builder'!$L$7)&gt;'Entry Builder'!$E$7)))</f>
        <v/>
      </c>
      <c r="B1373">
        <f>IF('Entry Builder'!$N$8=0,1,IF('Entry Builder'!$D$8="Less",--(INDEX(Sims!$A1373:$BO1373,'Entry Builder'!$L$8)&lt;'Entry Builder'!$E$8),--(INDEX(Sims!$A1373:$BO1373,'Entry Builder'!$L$8)&gt;'Entry Builder'!$E$8)))</f>
        <v/>
      </c>
      <c r="C1373">
        <f>IF('Entry Builder'!$N$9=0,1,IF('Entry Builder'!$D$9="Less",--(INDEX(Sims!$A1373:$BO1373,'Entry Builder'!$L$9)&lt;'Entry Builder'!$E$9),--(INDEX(Sims!$A1373:$BO1373,'Entry Builder'!$L$9)&gt;'Entry Builder'!$E$9)))</f>
        <v/>
      </c>
      <c r="D1373">
        <f>IF('Entry Builder'!$N$10=0,1,IF('Entry Builder'!$D$10="Less",--(INDEX(Sims!$A1373:$BO1373,'Entry Builder'!$L$10)&lt;'Entry Builder'!$E$10),--(INDEX(Sims!$A1373:$BO1373,'Entry Builder'!$L$10)&gt;'Entry Builder'!$E$10)))</f>
        <v/>
      </c>
      <c r="E1373">
        <f>IF('Entry Builder'!$N$11=0,1,IF('Entry Builder'!$D$11="Less",--(INDEX(Sims!$A1373:$BO1373,'Entry Builder'!$L$11)&lt;'Entry Builder'!$E$11),--(INDEX(Sims!$A1373:$BO1373,'Entry Builder'!$L$11)&gt;'Entry Builder'!$E$11)))</f>
        <v/>
      </c>
      <c r="F1373">
        <f>IF('Entry Builder'!$N$12=0,1,IF('Entry Builder'!$D$12="Less",--(INDEX(Sims!$A1373:$BO1373,'Entry Builder'!$L$12)&lt;'Entry Builder'!$E$12),--(INDEX(Sims!$A1373:$BO1373,'Entry Builder'!$L$12)&gt;'Entry Builder'!$E$12)))</f>
        <v/>
      </c>
      <c r="G1373">
        <f>6-SUM(A1373:F1373)</f>
        <v/>
      </c>
    </row>
    <row r="1374">
      <c r="A1374">
        <f>IF('Entry Builder'!$N$7=0,1,IF('Entry Builder'!$D$7="Less",--(INDEX(Sims!$A1374:$BO1374,'Entry Builder'!$L$7)&lt;'Entry Builder'!$E$7),--(INDEX(Sims!$A1374:$BO1374,'Entry Builder'!$L$7)&gt;'Entry Builder'!$E$7)))</f>
        <v/>
      </c>
      <c r="B1374">
        <f>IF('Entry Builder'!$N$8=0,1,IF('Entry Builder'!$D$8="Less",--(INDEX(Sims!$A1374:$BO1374,'Entry Builder'!$L$8)&lt;'Entry Builder'!$E$8),--(INDEX(Sims!$A1374:$BO1374,'Entry Builder'!$L$8)&gt;'Entry Builder'!$E$8)))</f>
        <v/>
      </c>
      <c r="C1374">
        <f>IF('Entry Builder'!$N$9=0,1,IF('Entry Builder'!$D$9="Less",--(INDEX(Sims!$A1374:$BO1374,'Entry Builder'!$L$9)&lt;'Entry Builder'!$E$9),--(INDEX(Sims!$A1374:$BO1374,'Entry Builder'!$L$9)&gt;'Entry Builder'!$E$9)))</f>
        <v/>
      </c>
      <c r="D1374">
        <f>IF('Entry Builder'!$N$10=0,1,IF('Entry Builder'!$D$10="Less",--(INDEX(Sims!$A1374:$BO1374,'Entry Builder'!$L$10)&lt;'Entry Builder'!$E$10),--(INDEX(Sims!$A1374:$BO1374,'Entry Builder'!$L$10)&gt;'Entry Builder'!$E$10)))</f>
        <v/>
      </c>
      <c r="E1374">
        <f>IF('Entry Builder'!$N$11=0,1,IF('Entry Builder'!$D$11="Less",--(INDEX(Sims!$A1374:$BO1374,'Entry Builder'!$L$11)&lt;'Entry Builder'!$E$11),--(INDEX(Sims!$A1374:$BO1374,'Entry Builder'!$L$11)&gt;'Entry Builder'!$E$11)))</f>
        <v/>
      </c>
      <c r="F1374">
        <f>IF('Entry Builder'!$N$12=0,1,IF('Entry Builder'!$D$12="Less",--(INDEX(Sims!$A1374:$BO1374,'Entry Builder'!$L$12)&lt;'Entry Builder'!$E$12),--(INDEX(Sims!$A1374:$BO1374,'Entry Builder'!$L$12)&gt;'Entry Builder'!$E$12)))</f>
        <v/>
      </c>
      <c r="G1374">
        <f>6-SUM(A1374:F1374)</f>
        <v/>
      </c>
    </row>
    <row r="1375">
      <c r="A1375">
        <f>IF('Entry Builder'!$N$7=0,1,IF('Entry Builder'!$D$7="Less",--(INDEX(Sims!$A1375:$BO1375,'Entry Builder'!$L$7)&lt;'Entry Builder'!$E$7),--(INDEX(Sims!$A1375:$BO1375,'Entry Builder'!$L$7)&gt;'Entry Builder'!$E$7)))</f>
        <v/>
      </c>
      <c r="B1375">
        <f>IF('Entry Builder'!$N$8=0,1,IF('Entry Builder'!$D$8="Less",--(INDEX(Sims!$A1375:$BO1375,'Entry Builder'!$L$8)&lt;'Entry Builder'!$E$8),--(INDEX(Sims!$A1375:$BO1375,'Entry Builder'!$L$8)&gt;'Entry Builder'!$E$8)))</f>
        <v/>
      </c>
      <c r="C1375">
        <f>IF('Entry Builder'!$N$9=0,1,IF('Entry Builder'!$D$9="Less",--(INDEX(Sims!$A1375:$BO1375,'Entry Builder'!$L$9)&lt;'Entry Builder'!$E$9),--(INDEX(Sims!$A1375:$BO1375,'Entry Builder'!$L$9)&gt;'Entry Builder'!$E$9)))</f>
        <v/>
      </c>
      <c r="D1375">
        <f>IF('Entry Builder'!$N$10=0,1,IF('Entry Builder'!$D$10="Less",--(INDEX(Sims!$A1375:$BO1375,'Entry Builder'!$L$10)&lt;'Entry Builder'!$E$10),--(INDEX(Sims!$A1375:$BO1375,'Entry Builder'!$L$10)&gt;'Entry Builder'!$E$10)))</f>
        <v/>
      </c>
      <c r="E1375">
        <f>IF('Entry Builder'!$N$11=0,1,IF('Entry Builder'!$D$11="Less",--(INDEX(Sims!$A1375:$BO1375,'Entry Builder'!$L$11)&lt;'Entry Builder'!$E$11),--(INDEX(Sims!$A1375:$BO1375,'Entry Builder'!$L$11)&gt;'Entry Builder'!$E$11)))</f>
        <v/>
      </c>
      <c r="F1375">
        <f>IF('Entry Builder'!$N$12=0,1,IF('Entry Builder'!$D$12="Less",--(INDEX(Sims!$A1375:$BO1375,'Entry Builder'!$L$12)&lt;'Entry Builder'!$E$12),--(INDEX(Sims!$A1375:$BO1375,'Entry Builder'!$L$12)&gt;'Entry Builder'!$E$12)))</f>
        <v/>
      </c>
      <c r="G1375">
        <f>6-SUM(A1375:F1375)</f>
        <v/>
      </c>
    </row>
    <row r="1376">
      <c r="A1376">
        <f>IF('Entry Builder'!$N$7=0,1,IF('Entry Builder'!$D$7="Less",--(INDEX(Sims!$A1376:$BO1376,'Entry Builder'!$L$7)&lt;'Entry Builder'!$E$7),--(INDEX(Sims!$A1376:$BO1376,'Entry Builder'!$L$7)&gt;'Entry Builder'!$E$7)))</f>
        <v/>
      </c>
      <c r="B1376">
        <f>IF('Entry Builder'!$N$8=0,1,IF('Entry Builder'!$D$8="Less",--(INDEX(Sims!$A1376:$BO1376,'Entry Builder'!$L$8)&lt;'Entry Builder'!$E$8),--(INDEX(Sims!$A1376:$BO1376,'Entry Builder'!$L$8)&gt;'Entry Builder'!$E$8)))</f>
        <v/>
      </c>
      <c r="C1376">
        <f>IF('Entry Builder'!$N$9=0,1,IF('Entry Builder'!$D$9="Less",--(INDEX(Sims!$A1376:$BO1376,'Entry Builder'!$L$9)&lt;'Entry Builder'!$E$9),--(INDEX(Sims!$A1376:$BO1376,'Entry Builder'!$L$9)&gt;'Entry Builder'!$E$9)))</f>
        <v/>
      </c>
      <c r="D1376">
        <f>IF('Entry Builder'!$N$10=0,1,IF('Entry Builder'!$D$10="Less",--(INDEX(Sims!$A1376:$BO1376,'Entry Builder'!$L$10)&lt;'Entry Builder'!$E$10),--(INDEX(Sims!$A1376:$BO1376,'Entry Builder'!$L$10)&gt;'Entry Builder'!$E$10)))</f>
        <v/>
      </c>
      <c r="E1376">
        <f>IF('Entry Builder'!$N$11=0,1,IF('Entry Builder'!$D$11="Less",--(INDEX(Sims!$A1376:$BO1376,'Entry Builder'!$L$11)&lt;'Entry Builder'!$E$11),--(INDEX(Sims!$A1376:$BO1376,'Entry Builder'!$L$11)&gt;'Entry Builder'!$E$11)))</f>
        <v/>
      </c>
      <c r="F1376">
        <f>IF('Entry Builder'!$N$12=0,1,IF('Entry Builder'!$D$12="Less",--(INDEX(Sims!$A1376:$BO1376,'Entry Builder'!$L$12)&lt;'Entry Builder'!$E$12),--(INDEX(Sims!$A1376:$BO1376,'Entry Builder'!$L$12)&gt;'Entry Builder'!$E$12)))</f>
        <v/>
      </c>
      <c r="G1376">
        <f>6-SUM(A1376:F1376)</f>
        <v/>
      </c>
    </row>
    <row r="1377">
      <c r="A1377">
        <f>IF('Entry Builder'!$N$7=0,1,IF('Entry Builder'!$D$7="Less",--(INDEX(Sims!$A1377:$BO1377,'Entry Builder'!$L$7)&lt;'Entry Builder'!$E$7),--(INDEX(Sims!$A1377:$BO1377,'Entry Builder'!$L$7)&gt;'Entry Builder'!$E$7)))</f>
        <v/>
      </c>
      <c r="B1377">
        <f>IF('Entry Builder'!$N$8=0,1,IF('Entry Builder'!$D$8="Less",--(INDEX(Sims!$A1377:$BO1377,'Entry Builder'!$L$8)&lt;'Entry Builder'!$E$8),--(INDEX(Sims!$A1377:$BO1377,'Entry Builder'!$L$8)&gt;'Entry Builder'!$E$8)))</f>
        <v/>
      </c>
      <c r="C1377">
        <f>IF('Entry Builder'!$N$9=0,1,IF('Entry Builder'!$D$9="Less",--(INDEX(Sims!$A1377:$BO1377,'Entry Builder'!$L$9)&lt;'Entry Builder'!$E$9),--(INDEX(Sims!$A1377:$BO1377,'Entry Builder'!$L$9)&gt;'Entry Builder'!$E$9)))</f>
        <v/>
      </c>
      <c r="D1377">
        <f>IF('Entry Builder'!$N$10=0,1,IF('Entry Builder'!$D$10="Less",--(INDEX(Sims!$A1377:$BO1377,'Entry Builder'!$L$10)&lt;'Entry Builder'!$E$10),--(INDEX(Sims!$A1377:$BO1377,'Entry Builder'!$L$10)&gt;'Entry Builder'!$E$10)))</f>
        <v/>
      </c>
      <c r="E1377">
        <f>IF('Entry Builder'!$N$11=0,1,IF('Entry Builder'!$D$11="Less",--(INDEX(Sims!$A1377:$BO1377,'Entry Builder'!$L$11)&lt;'Entry Builder'!$E$11),--(INDEX(Sims!$A1377:$BO1377,'Entry Builder'!$L$11)&gt;'Entry Builder'!$E$11)))</f>
        <v/>
      </c>
      <c r="F1377">
        <f>IF('Entry Builder'!$N$12=0,1,IF('Entry Builder'!$D$12="Less",--(INDEX(Sims!$A1377:$BO1377,'Entry Builder'!$L$12)&lt;'Entry Builder'!$E$12),--(INDEX(Sims!$A1377:$BO1377,'Entry Builder'!$L$12)&gt;'Entry Builder'!$E$12)))</f>
        <v/>
      </c>
      <c r="G1377">
        <f>6-SUM(A1377:F1377)</f>
        <v/>
      </c>
    </row>
    <row r="1378">
      <c r="A1378">
        <f>IF('Entry Builder'!$N$7=0,1,IF('Entry Builder'!$D$7="Less",--(INDEX(Sims!$A1378:$BO1378,'Entry Builder'!$L$7)&lt;'Entry Builder'!$E$7),--(INDEX(Sims!$A1378:$BO1378,'Entry Builder'!$L$7)&gt;'Entry Builder'!$E$7)))</f>
        <v/>
      </c>
      <c r="B1378">
        <f>IF('Entry Builder'!$N$8=0,1,IF('Entry Builder'!$D$8="Less",--(INDEX(Sims!$A1378:$BO1378,'Entry Builder'!$L$8)&lt;'Entry Builder'!$E$8),--(INDEX(Sims!$A1378:$BO1378,'Entry Builder'!$L$8)&gt;'Entry Builder'!$E$8)))</f>
        <v/>
      </c>
      <c r="C1378">
        <f>IF('Entry Builder'!$N$9=0,1,IF('Entry Builder'!$D$9="Less",--(INDEX(Sims!$A1378:$BO1378,'Entry Builder'!$L$9)&lt;'Entry Builder'!$E$9),--(INDEX(Sims!$A1378:$BO1378,'Entry Builder'!$L$9)&gt;'Entry Builder'!$E$9)))</f>
        <v/>
      </c>
      <c r="D1378">
        <f>IF('Entry Builder'!$N$10=0,1,IF('Entry Builder'!$D$10="Less",--(INDEX(Sims!$A1378:$BO1378,'Entry Builder'!$L$10)&lt;'Entry Builder'!$E$10),--(INDEX(Sims!$A1378:$BO1378,'Entry Builder'!$L$10)&gt;'Entry Builder'!$E$10)))</f>
        <v/>
      </c>
      <c r="E1378">
        <f>IF('Entry Builder'!$N$11=0,1,IF('Entry Builder'!$D$11="Less",--(INDEX(Sims!$A1378:$BO1378,'Entry Builder'!$L$11)&lt;'Entry Builder'!$E$11),--(INDEX(Sims!$A1378:$BO1378,'Entry Builder'!$L$11)&gt;'Entry Builder'!$E$11)))</f>
        <v/>
      </c>
      <c r="F1378">
        <f>IF('Entry Builder'!$N$12=0,1,IF('Entry Builder'!$D$12="Less",--(INDEX(Sims!$A1378:$BO1378,'Entry Builder'!$L$12)&lt;'Entry Builder'!$E$12),--(INDEX(Sims!$A1378:$BO1378,'Entry Builder'!$L$12)&gt;'Entry Builder'!$E$12)))</f>
        <v/>
      </c>
      <c r="G1378">
        <f>6-SUM(A1378:F1378)</f>
        <v/>
      </c>
    </row>
    <row r="1379">
      <c r="A1379">
        <f>IF('Entry Builder'!$N$7=0,1,IF('Entry Builder'!$D$7="Less",--(INDEX(Sims!$A1379:$BO1379,'Entry Builder'!$L$7)&lt;'Entry Builder'!$E$7),--(INDEX(Sims!$A1379:$BO1379,'Entry Builder'!$L$7)&gt;'Entry Builder'!$E$7)))</f>
        <v/>
      </c>
      <c r="B1379">
        <f>IF('Entry Builder'!$N$8=0,1,IF('Entry Builder'!$D$8="Less",--(INDEX(Sims!$A1379:$BO1379,'Entry Builder'!$L$8)&lt;'Entry Builder'!$E$8),--(INDEX(Sims!$A1379:$BO1379,'Entry Builder'!$L$8)&gt;'Entry Builder'!$E$8)))</f>
        <v/>
      </c>
      <c r="C1379">
        <f>IF('Entry Builder'!$N$9=0,1,IF('Entry Builder'!$D$9="Less",--(INDEX(Sims!$A1379:$BO1379,'Entry Builder'!$L$9)&lt;'Entry Builder'!$E$9),--(INDEX(Sims!$A1379:$BO1379,'Entry Builder'!$L$9)&gt;'Entry Builder'!$E$9)))</f>
        <v/>
      </c>
      <c r="D1379">
        <f>IF('Entry Builder'!$N$10=0,1,IF('Entry Builder'!$D$10="Less",--(INDEX(Sims!$A1379:$BO1379,'Entry Builder'!$L$10)&lt;'Entry Builder'!$E$10),--(INDEX(Sims!$A1379:$BO1379,'Entry Builder'!$L$10)&gt;'Entry Builder'!$E$10)))</f>
        <v/>
      </c>
      <c r="E1379">
        <f>IF('Entry Builder'!$N$11=0,1,IF('Entry Builder'!$D$11="Less",--(INDEX(Sims!$A1379:$BO1379,'Entry Builder'!$L$11)&lt;'Entry Builder'!$E$11),--(INDEX(Sims!$A1379:$BO1379,'Entry Builder'!$L$11)&gt;'Entry Builder'!$E$11)))</f>
        <v/>
      </c>
      <c r="F1379">
        <f>IF('Entry Builder'!$N$12=0,1,IF('Entry Builder'!$D$12="Less",--(INDEX(Sims!$A1379:$BO1379,'Entry Builder'!$L$12)&lt;'Entry Builder'!$E$12),--(INDEX(Sims!$A1379:$BO1379,'Entry Builder'!$L$12)&gt;'Entry Builder'!$E$12)))</f>
        <v/>
      </c>
      <c r="G1379">
        <f>6-SUM(A1379:F1379)</f>
        <v/>
      </c>
    </row>
    <row r="1380">
      <c r="A1380">
        <f>IF('Entry Builder'!$N$7=0,1,IF('Entry Builder'!$D$7="Less",--(INDEX(Sims!$A1380:$BO1380,'Entry Builder'!$L$7)&lt;'Entry Builder'!$E$7),--(INDEX(Sims!$A1380:$BO1380,'Entry Builder'!$L$7)&gt;'Entry Builder'!$E$7)))</f>
        <v/>
      </c>
      <c r="B1380">
        <f>IF('Entry Builder'!$N$8=0,1,IF('Entry Builder'!$D$8="Less",--(INDEX(Sims!$A1380:$BO1380,'Entry Builder'!$L$8)&lt;'Entry Builder'!$E$8),--(INDEX(Sims!$A1380:$BO1380,'Entry Builder'!$L$8)&gt;'Entry Builder'!$E$8)))</f>
        <v/>
      </c>
      <c r="C1380">
        <f>IF('Entry Builder'!$N$9=0,1,IF('Entry Builder'!$D$9="Less",--(INDEX(Sims!$A1380:$BO1380,'Entry Builder'!$L$9)&lt;'Entry Builder'!$E$9),--(INDEX(Sims!$A1380:$BO1380,'Entry Builder'!$L$9)&gt;'Entry Builder'!$E$9)))</f>
        <v/>
      </c>
      <c r="D1380">
        <f>IF('Entry Builder'!$N$10=0,1,IF('Entry Builder'!$D$10="Less",--(INDEX(Sims!$A1380:$BO1380,'Entry Builder'!$L$10)&lt;'Entry Builder'!$E$10),--(INDEX(Sims!$A1380:$BO1380,'Entry Builder'!$L$10)&gt;'Entry Builder'!$E$10)))</f>
        <v/>
      </c>
      <c r="E1380">
        <f>IF('Entry Builder'!$N$11=0,1,IF('Entry Builder'!$D$11="Less",--(INDEX(Sims!$A1380:$BO1380,'Entry Builder'!$L$11)&lt;'Entry Builder'!$E$11),--(INDEX(Sims!$A1380:$BO1380,'Entry Builder'!$L$11)&gt;'Entry Builder'!$E$11)))</f>
        <v/>
      </c>
      <c r="F1380">
        <f>IF('Entry Builder'!$N$12=0,1,IF('Entry Builder'!$D$12="Less",--(INDEX(Sims!$A1380:$BO1380,'Entry Builder'!$L$12)&lt;'Entry Builder'!$E$12),--(INDEX(Sims!$A1380:$BO1380,'Entry Builder'!$L$12)&gt;'Entry Builder'!$E$12)))</f>
        <v/>
      </c>
      <c r="G1380">
        <f>6-SUM(A1380:F1380)</f>
        <v/>
      </c>
    </row>
    <row r="1381">
      <c r="A1381">
        <f>IF('Entry Builder'!$N$7=0,1,IF('Entry Builder'!$D$7="Less",--(INDEX(Sims!$A1381:$BO1381,'Entry Builder'!$L$7)&lt;'Entry Builder'!$E$7),--(INDEX(Sims!$A1381:$BO1381,'Entry Builder'!$L$7)&gt;'Entry Builder'!$E$7)))</f>
        <v/>
      </c>
      <c r="B1381">
        <f>IF('Entry Builder'!$N$8=0,1,IF('Entry Builder'!$D$8="Less",--(INDEX(Sims!$A1381:$BO1381,'Entry Builder'!$L$8)&lt;'Entry Builder'!$E$8),--(INDEX(Sims!$A1381:$BO1381,'Entry Builder'!$L$8)&gt;'Entry Builder'!$E$8)))</f>
        <v/>
      </c>
      <c r="C1381">
        <f>IF('Entry Builder'!$N$9=0,1,IF('Entry Builder'!$D$9="Less",--(INDEX(Sims!$A1381:$BO1381,'Entry Builder'!$L$9)&lt;'Entry Builder'!$E$9),--(INDEX(Sims!$A1381:$BO1381,'Entry Builder'!$L$9)&gt;'Entry Builder'!$E$9)))</f>
        <v/>
      </c>
      <c r="D1381">
        <f>IF('Entry Builder'!$N$10=0,1,IF('Entry Builder'!$D$10="Less",--(INDEX(Sims!$A1381:$BO1381,'Entry Builder'!$L$10)&lt;'Entry Builder'!$E$10),--(INDEX(Sims!$A1381:$BO1381,'Entry Builder'!$L$10)&gt;'Entry Builder'!$E$10)))</f>
        <v/>
      </c>
      <c r="E1381">
        <f>IF('Entry Builder'!$N$11=0,1,IF('Entry Builder'!$D$11="Less",--(INDEX(Sims!$A1381:$BO1381,'Entry Builder'!$L$11)&lt;'Entry Builder'!$E$11),--(INDEX(Sims!$A1381:$BO1381,'Entry Builder'!$L$11)&gt;'Entry Builder'!$E$11)))</f>
        <v/>
      </c>
      <c r="F1381">
        <f>IF('Entry Builder'!$N$12=0,1,IF('Entry Builder'!$D$12="Less",--(INDEX(Sims!$A1381:$BO1381,'Entry Builder'!$L$12)&lt;'Entry Builder'!$E$12),--(INDEX(Sims!$A1381:$BO1381,'Entry Builder'!$L$12)&gt;'Entry Builder'!$E$12)))</f>
        <v/>
      </c>
      <c r="G1381">
        <f>6-SUM(A1381:F1381)</f>
        <v/>
      </c>
    </row>
    <row r="1382">
      <c r="A1382">
        <f>IF('Entry Builder'!$N$7=0,1,IF('Entry Builder'!$D$7="Less",--(INDEX(Sims!$A1382:$BO1382,'Entry Builder'!$L$7)&lt;'Entry Builder'!$E$7),--(INDEX(Sims!$A1382:$BO1382,'Entry Builder'!$L$7)&gt;'Entry Builder'!$E$7)))</f>
        <v/>
      </c>
      <c r="B1382">
        <f>IF('Entry Builder'!$N$8=0,1,IF('Entry Builder'!$D$8="Less",--(INDEX(Sims!$A1382:$BO1382,'Entry Builder'!$L$8)&lt;'Entry Builder'!$E$8),--(INDEX(Sims!$A1382:$BO1382,'Entry Builder'!$L$8)&gt;'Entry Builder'!$E$8)))</f>
        <v/>
      </c>
      <c r="C1382">
        <f>IF('Entry Builder'!$N$9=0,1,IF('Entry Builder'!$D$9="Less",--(INDEX(Sims!$A1382:$BO1382,'Entry Builder'!$L$9)&lt;'Entry Builder'!$E$9),--(INDEX(Sims!$A1382:$BO1382,'Entry Builder'!$L$9)&gt;'Entry Builder'!$E$9)))</f>
        <v/>
      </c>
      <c r="D1382">
        <f>IF('Entry Builder'!$N$10=0,1,IF('Entry Builder'!$D$10="Less",--(INDEX(Sims!$A1382:$BO1382,'Entry Builder'!$L$10)&lt;'Entry Builder'!$E$10),--(INDEX(Sims!$A1382:$BO1382,'Entry Builder'!$L$10)&gt;'Entry Builder'!$E$10)))</f>
        <v/>
      </c>
      <c r="E1382">
        <f>IF('Entry Builder'!$N$11=0,1,IF('Entry Builder'!$D$11="Less",--(INDEX(Sims!$A1382:$BO1382,'Entry Builder'!$L$11)&lt;'Entry Builder'!$E$11),--(INDEX(Sims!$A1382:$BO1382,'Entry Builder'!$L$11)&gt;'Entry Builder'!$E$11)))</f>
        <v/>
      </c>
      <c r="F1382">
        <f>IF('Entry Builder'!$N$12=0,1,IF('Entry Builder'!$D$12="Less",--(INDEX(Sims!$A1382:$BO1382,'Entry Builder'!$L$12)&lt;'Entry Builder'!$E$12),--(INDEX(Sims!$A1382:$BO1382,'Entry Builder'!$L$12)&gt;'Entry Builder'!$E$12)))</f>
        <v/>
      </c>
      <c r="G1382">
        <f>6-SUM(A1382:F1382)</f>
        <v/>
      </c>
    </row>
    <row r="1383">
      <c r="A1383">
        <f>IF('Entry Builder'!$N$7=0,1,IF('Entry Builder'!$D$7="Less",--(INDEX(Sims!$A1383:$BO1383,'Entry Builder'!$L$7)&lt;'Entry Builder'!$E$7),--(INDEX(Sims!$A1383:$BO1383,'Entry Builder'!$L$7)&gt;'Entry Builder'!$E$7)))</f>
        <v/>
      </c>
      <c r="B1383">
        <f>IF('Entry Builder'!$N$8=0,1,IF('Entry Builder'!$D$8="Less",--(INDEX(Sims!$A1383:$BO1383,'Entry Builder'!$L$8)&lt;'Entry Builder'!$E$8),--(INDEX(Sims!$A1383:$BO1383,'Entry Builder'!$L$8)&gt;'Entry Builder'!$E$8)))</f>
        <v/>
      </c>
      <c r="C1383">
        <f>IF('Entry Builder'!$N$9=0,1,IF('Entry Builder'!$D$9="Less",--(INDEX(Sims!$A1383:$BO1383,'Entry Builder'!$L$9)&lt;'Entry Builder'!$E$9),--(INDEX(Sims!$A1383:$BO1383,'Entry Builder'!$L$9)&gt;'Entry Builder'!$E$9)))</f>
        <v/>
      </c>
      <c r="D1383">
        <f>IF('Entry Builder'!$N$10=0,1,IF('Entry Builder'!$D$10="Less",--(INDEX(Sims!$A1383:$BO1383,'Entry Builder'!$L$10)&lt;'Entry Builder'!$E$10),--(INDEX(Sims!$A1383:$BO1383,'Entry Builder'!$L$10)&gt;'Entry Builder'!$E$10)))</f>
        <v/>
      </c>
      <c r="E1383">
        <f>IF('Entry Builder'!$N$11=0,1,IF('Entry Builder'!$D$11="Less",--(INDEX(Sims!$A1383:$BO1383,'Entry Builder'!$L$11)&lt;'Entry Builder'!$E$11),--(INDEX(Sims!$A1383:$BO1383,'Entry Builder'!$L$11)&gt;'Entry Builder'!$E$11)))</f>
        <v/>
      </c>
      <c r="F1383">
        <f>IF('Entry Builder'!$N$12=0,1,IF('Entry Builder'!$D$12="Less",--(INDEX(Sims!$A1383:$BO1383,'Entry Builder'!$L$12)&lt;'Entry Builder'!$E$12),--(INDEX(Sims!$A1383:$BO1383,'Entry Builder'!$L$12)&gt;'Entry Builder'!$E$12)))</f>
        <v/>
      </c>
      <c r="G1383">
        <f>6-SUM(A1383:F1383)</f>
        <v/>
      </c>
    </row>
    <row r="1384">
      <c r="A1384">
        <f>IF('Entry Builder'!$N$7=0,1,IF('Entry Builder'!$D$7="Less",--(INDEX(Sims!$A1384:$BO1384,'Entry Builder'!$L$7)&lt;'Entry Builder'!$E$7),--(INDEX(Sims!$A1384:$BO1384,'Entry Builder'!$L$7)&gt;'Entry Builder'!$E$7)))</f>
        <v/>
      </c>
      <c r="B1384">
        <f>IF('Entry Builder'!$N$8=0,1,IF('Entry Builder'!$D$8="Less",--(INDEX(Sims!$A1384:$BO1384,'Entry Builder'!$L$8)&lt;'Entry Builder'!$E$8),--(INDEX(Sims!$A1384:$BO1384,'Entry Builder'!$L$8)&gt;'Entry Builder'!$E$8)))</f>
        <v/>
      </c>
      <c r="C1384">
        <f>IF('Entry Builder'!$N$9=0,1,IF('Entry Builder'!$D$9="Less",--(INDEX(Sims!$A1384:$BO1384,'Entry Builder'!$L$9)&lt;'Entry Builder'!$E$9),--(INDEX(Sims!$A1384:$BO1384,'Entry Builder'!$L$9)&gt;'Entry Builder'!$E$9)))</f>
        <v/>
      </c>
      <c r="D1384">
        <f>IF('Entry Builder'!$N$10=0,1,IF('Entry Builder'!$D$10="Less",--(INDEX(Sims!$A1384:$BO1384,'Entry Builder'!$L$10)&lt;'Entry Builder'!$E$10),--(INDEX(Sims!$A1384:$BO1384,'Entry Builder'!$L$10)&gt;'Entry Builder'!$E$10)))</f>
        <v/>
      </c>
      <c r="E1384">
        <f>IF('Entry Builder'!$N$11=0,1,IF('Entry Builder'!$D$11="Less",--(INDEX(Sims!$A1384:$BO1384,'Entry Builder'!$L$11)&lt;'Entry Builder'!$E$11),--(INDEX(Sims!$A1384:$BO1384,'Entry Builder'!$L$11)&gt;'Entry Builder'!$E$11)))</f>
        <v/>
      </c>
      <c r="F1384">
        <f>IF('Entry Builder'!$N$12=0,1,IF('Entry Builder'!$D$12="Less",--(INDEX(Sims!$A1384:$BO1384,'Entry Builder'!$L$12)&lt;'Entry Builder'!$E$12),--(INDEX(Sims!$A1384:$BO1384,'Entry Builder'!$L$12)&gt;'Entry Builder'!$E$12)))</f>
        <v/>
      </c>
      <c r="G1384">
        <f>6-SUM(A1384:F1384)</f>
        <v/>
      </c>
    </row>
    <row r="1385">
      <c r="A1385">
        <f>IF('Entry Builder'!$N$7=0,1,IF('Entry Builder'!$D$7="Less",--(INDEX(Sims!$A1385:$BO1385,'Entry Builder'!$L$7)&lt;'Entry Builder'!$E$7),--(INDEX(Sims!$A1385:$BO1385,'Entry Builder'!$L$7)&gt;'Entry Builder'!$E$7)))</f>
        <v/>
      </c>
      <c r="B1385">
        <f>IF('Entry Builder'!$N$8=0,1,IF('Entry Builder'!$D$8="Less",--(INDEX(Sims!$A1385:$BO1385,'Entry Builder'!$L$8)&lt;'Entry Builder'!$E$8),--(INDEX(Sims!$A1385:$BO1385,'Entry Builder'!$L$8)&gt;'Entry Builder'!$E$8)))</f>
        <v/>
      </c>
      <c r="C1385">
        <f>IF('Entry Builder'!$N$9=0,1,IF('Entry Builder'!$D$9="Less",--(INDEX(Sims!$A1385:$BO1385,'Entry Builder'!$L$9)&lt;'Entry Builder'!$E$9),--(INDEX(Sims!$A1385:$BO1385,'Entry Builder'!$L$9)&gt;'Entry Builder'!$E$9)))</f>
        <v/>
      </c>
      <c r="D1385">
        <f>IF('Entry Builder'!$N$10=0,1,IF('Entry Builder'!$D$10="Less",--(INDEX(Sims!$A1385:$BO1385,'Entry Builder'!$L$10)&lt;'Entry Builder'!$E$10),--(INDEX(Sims!$A1385:$BO1385,'Entry Builder'!$L$10)&gt;'Entry Builder'!$E$10)))</f>
        <v/>
      </c>
      <c r="E1385">
        <f>IF('Entry Builder'!$N$11=0,1,IF('Entry Builder'!$D$11="Less",--(INDEX(Sims!$A1385:$BO1385,'Entry Builder'!$L$11)&lt;'Entry Builder'!$E$11),--(INDEX(Sims!$A1385:$BO1385,'Entry Builder'!$L$11)&gt;'Entry Builder'!$E$11)))</f>
        <v/>
      </c>
      <c r="F1385">
        <f>IF('Entry Builder'!$N$12=0,1,IF('Entry Builder'!$D$12="Less",--(INDEX(Sims!$A1385:$BO1385,'Entry Builder'!$L$12)&lt;'Entry Builder'!$E$12),--(INDEX(Sims!$A1385:$BO1385,'Entry Builder'!$L$12)&gt;'Entry Builder'!$E$12)))</f>
        <v/>
      </c>
      <c r="G1385">
        <f>6-SUM(A1385:F1385)</f>
        <v/>
      </c>
    </row>
    <row r="1386">
      <c r="A1386">
        <f>IF('Entry Builder'!$N$7=0,1,IF('Entry Builder'!$D$7="Less",--(INDEX(Sims!$A1386:$BO1386,'Entry Builder'!$L$7)&lt;'Entry Builder'!$E$7),--(INDEX(Sims!$A1386:$BO1386,'Entry Builder'!$L$7)&gt;'Entry Builder'!$E$7)))</f>
        <v/>
      </c>
      <c r="B1386">
        <f>IF('Entry Builder'!$N$8=0,1,IF('Entry Builder'!$D$8="Less",--(INDEX(Sims!$A1386:$BO1386,'Entry Builder'!$L$8)&lt;'Entry Builder'!$E$8),--(INDEX(Sims!$A1386:$BO1386,'Entry Builder'!$L$8)&gt;'Entry Builder'!$E$8)))</f>
        <v/>
      </c>
      <c r="C1386">
        <f>IF('Entry Builder'!$N$9=0,1,IF('Entry Builder'!$D$9="Less",--(INDEX(Sims!$A1386:$BO1386,'Entry Builder'!$L$9)&lt;'Entry Builder'!$E$9),--(INDEX(Sims!$A1386:$BO1386,'Entry Builder'!$L$9)&gt;'Entry Builder'!$E$9)))</f>
        <v/>
      </c>
      <c r="D1386">
        <f>IF('Entry Builder'!$N$10=0,1,IF('Entry Builder'!$D$10="Less",--(INDEX(Sims!$A1386:$BO1386,'Entry Builder'!$L$10)&lt;'Entry Builder'!$E$10),--(INDEX(Sims!$A1386:$BO1386,'Entry Builder'!$L$10)&gt;'Entry Builder'!$E$10)))</f>
        <v/>
      </c>
      <c r="E1386">
        <f>IF('Entry Builder'!$N$11=0,1,IF('Entry Builder'!$D$11="Less",--(INDEX(Sims!$A1386:$BO1386,'Entry Builder'!$L$11)&lt;'Entry Builder'!$E$11),--(INDEX(Sims!$A1386:$BO1386,'Entry Builder'!$L$11)&gt;'Entry Builder'!$E$11)))</f>
        <v/>
      </c>
      <c r="F1386">
        <f>IF('Entry Builder'!$N$12=0,1,IF('Entry Builder'!$D$12="Less",--(INDEX(Sims!$A1386:$BO1386,'Entry Builder'!$L$12)&lt;'Entry Builder'!$E$12),--(INDEX(Sims!$A1386:$BO1386,'Entry Builder'!$L$12)&gt;'Entry Builder'!$E$12)))</f>
        <v/>
      </c>
      <c r="G1386">
        <f>6-SUM(A1386:F1386)</f>
        <v/>
      </c>
    </row>
    <row r="1387">
      <c r="A1387">
        <f>IF('Entry Builder'!$N$7=0,1,IF('Entry Builder'!$D$7="Less",--(INDEX(Sims!$A1387:$BO1387,'Entry Builder'!$L$7)&lt;'Entry Builder'!$E$7),--(INDEX(Sims!$A1387:$BO1387,'Entry Builder'!$L$7)&gt;'Entry Builder'!$E$7)))</f>
        <v/>
      </c>
      <c r="B1387">
        <f>IF('Entry Builder'!$N$8=0,1,IF('Entry Builder'!$D$8="Less",--(INDEX(Sims!$A1387:$BO1387,'Entry Builder'!$L$8)&lt;'Entry Builder'!$E$8),--(INDEX(Sims!$A1387:$BO1387,'Entry Builder'!$L$8)&gt;'Entry Builder'!$E$8)))</f>
        <v/>
      </c>
      <c r="C1387">
        <f>IF('Entry Builder'!$N$9=0,1,IF('Entry Builder'!$D$9="Less",--(INDEX(Sims!$A1387:$BO1387,'Entry Builder'!$L$9)&lt;'Entry Builder'!$E$9),--(INDEX(Sims!$A1387:$BO1387,'Entry Builder'!$L$9)&gt;'Entry Builder'!$E$9)))</f>
        <v/>
      </c>
      <c r="D1387">
        <f>IF('Entry Builder'!$N$10=0,1,IF('Entry Builder'!$D$10="Less",--(INDEX(Sims!$A1387:$BO1387,'Entry Builder'!$L$10)&lt;'Entry Builder'!$E$10),--(INDEX(Sims!$A1387:$BO1387,'Entry Builder'!$L$10)&gt;'Entry Builder'!$E$10)))</f>
        <v/>
      </c>
      <c r="E1387">
        <f>IF('Entry Builder'!$N$11=0,1,IF('Entry Builder'!$D$11="Less",--(INDEX(Sims!$A1387:$BO1387,'Entry Builder'!$L$11)&lt;'Entry Builder'!$E$11),--(INDEX(Sims!$A1387:$BO1387,'Entry Builder'!$L$11)&gt;'Entry Builder'!$E$11)))</f>
        <v/>
      </c>
      <c r="F1387">
        <f>IF('Entry Builder'!$N$12=0,1,IF('Entry Builder'!$D$12="Less",--(INDEX(Sims!$A1387:$BO1387,'Entry Builder'!$L$12)&lt;'Entry Builder'!$E$12),--(INDEX(Sims!$A1387:$BO1387,'Entry Builder'!$L$12)&gt;'Entry Builder'!$E$12)))</f>
        <v/>
      </c>
      <c r="G1387">
        <f>6-SUM(A1387:F1387)</f>
        <v/>
      </c>
    </row>
    <row r="1388">
      <c r="A1388">
        <f>IF('Entry Builder'!$N$7=0,1,IF('Entry Builder'!$D$7="Less",--(INDEX(Sims!$A1388:$BO1388,'Entry Builder'!$L$7)&lt;'Entry Builder'!$E$7),--(INDEX(Sims!$A1388:$BO1388,'Entry Builder'!$L$7)&gt;'Entry Builder'!$E$7)))</f>
        <v/>
      </c>
      <c r="B1388">
        <f>IF('Entry Builder'!$N$8=0,1,IF('Entry Builder'!$D$8="Less",--(INDEX(Sims!$A1388:$BO1388,'Entry Builder'!$L$8)&lt;'Entry Builder'!$E$8),--(INDEX(Sims!$A1388:$BO1388,'Entry Builder'!$L$8)&gt;'Entry Builder'!$E$8)))</f>
        <v/>
      </c>
      <c r="C1388">
        <f>IF('Entry Builder'!$N$9=0,1,IF('Entry Builder'!$D$9="Less",--(INDEX(Sims!$A1388:$BO1388,'Entry Builder'!$L$9)&lt;'Entry Builder'!$E$9),--(INDEX(Sims!$A1388:$BO1388,'Entry Builder'!$L$9)&gt;'Entry Builder'!$E$9)))</f>
        <v/>
      </c>
      <c r="D1388">
        <f>IF('Entry Builder'!$N$10=0,1,IF('Entry Builder'!$D$10="Less",--(INDEX(Sims!$A1388:$BO1388,'Entry Builder'!$L$10)&lt;'Entry Builder'!$E$10),--(INDEX(Sims!$A1388:$BO1388,'Entry Builder'!$L$10)&gt;'Entry Builder'!$E$10)))</f>
        <v/>
      </c>
      <c r="E1388">
        <f>IF('Entry Builder'!$N$11=0,1,IF('Entry Builder'!$D$11="Less",--(INDEX(Sims!$A1388:$BO1388,'Entry Builder'!$L$11)&lt;'Entry Builder'!$E$11),--(INDEX(Sims!$A1388:$BO1388,'Entry Builder'!$L$11)&gt;'Entry Builder'!$E$11)))</f>
        <v/>
      </c>
      <c r="F1388">
        <f>IF('Entry Builder'!$N$12=0,1,IF('Entry Builder'!$D$12="Less",--(INDEX(Sims!$A1388:$BO1388,'Entry Builder'!$L$12)&lt;'Entry Builder'!$E$12),--(INDEX(Sims!$A1388:$BO1388,'Entry Builder'!$L$12)&gt;'Entry Builder'!$E$12)))</f>
        <v/>
      </c>
      <c r="G1388">
        <f>6-SUM(A1388:F1388)</f>
        <v/>
      </c>
    </row>
    <row r="1389">
      <c r="A1389">
        <f>IF('Entry Builder'!$N$7=0,1,IF('Entry Builder'!$D$7="Less",--(INDEX(Sims!$A1389:$BO1389,'Entry Builder'!$L$7)&lt;'Entry Builder'!$E$7),--(INDEX(Sims!$A1389:$BO1389,'Entry Builder'!$L$7)&gt;'Entry Builder'!$E$7)))</f>
        <v/>
      </c>
      <c r="B1389">
        <f>IF('Entry Builder'!$N$8=0,1,IF('Entry Builder'!$D$8="Less",--(INDEX(Sims!$A1389:$BO1389,'Entry Builder'!$L$8)&lt;'Entry Builder'!$E$8),--(INDEX(Sims!$A1389:$BO1389,'Entry Builder'!$L$8)&gt;'Entry Builder'!$E$8)))</f>
        <v/>
      </c>
      <c r="C1389">
        <f>IF('Entry Builder'!$N$9=0,1,IF('Entry Builder'!$D$9="Less",--(INDEX(Sims!$A1389:$BO1389,'Entry Builder'!$L$9)&lt;'Entry Builder'!$E$9),--(INDEX(Sims!$A1389:$BO1389,'Entry Builder'!$L$9)&gt;'Entry Builder'!$E$9)))</f>
        <v/>
      </c>
      <c r="D1389">
        <f>IF('Entry Builder'!$N$10=0,1,IF('Entry Builder'!$D$10="Less",--(INDEX(Sims!$A1389:$BO1389,'Entry Builder'!$L$10)&lt;'Entry Builder'!$E$10),--(INDEX(Sims!$A1389:$BO1389,'Entry Builder'!$L$10)&gt;'Entry Builder'!$E$10)))</f>
        <v/>
      </c>
      <c r="E1389">
        <f>IF('Entry Builder'!$N$11=0,1,IF('Entry Builder'!$D$11="Less",--(INDEX(Sims!$A1389:$BO1389,'Entry Builder'!$L$11)&lt;'Entry Builder'!$E$11),--(INDEX(Sims!$A1389:$BO1389,'Entry Builder'!$L$11)&gt;'Entry Builder'!$E$11)))</f>
        <v/>
      </c>
      <c r="F1389">
        <f>IF('Entry Builder'!$N$12=0,1,IF('Entry Builder'!$D$12="Less",--(INDEX(Sims!$A1389:$BO1389,'Entry Builder'!$L$12)&lt;'Entry Builder'!$E$12),--(INDEX(Sims!$A1389:$BO1389,'Entry Builder'!$L$12)&gt;'Entry Builder'!$E$12)))</f>
        <v/>
      </c>
      <c r="G1389">
        <f>6-SUM(A1389:F1389)</f>
        <v/>
      </c>
    </row>
    <row r="1390">
      <c r="A1390">
        <f>IF('Entry Builder'!$N$7=0,1,IF('Entry Builder'!$D$7="Less",--(INDEX(Sims!$A1390:$BO1390,'Entry Builder'!$L$7)&lt;'Entry Builder'!$E$7),--(INDEX(Sims!$A1390:$BO1390,'Entry Builder'!$L$7)&gt;'Entry Builder'!$E$7)))</f>
        <v/>
      </c>
      <c r="B1390">
        <f>IF('Entry Builder'!$N$8=0,1,IF('Entry Builder'!$D$8="Less",--(INDEX(Sims!$A1390:$BO1390,'Entry Builder'!$L$8)&lt;'Entry Builder'!$E$8),--(INDEX(Sims!$A1390:$BO1390,'Entry Builder'!$L$8)&gt;'Entry Builder'!$E$8)))</f>
        <v/>
      </c>
      <c r="C1390">
        <f>IF('Entry Builder'!$N$9=0,1,IF('Entry Builder'!$D$9="Less",--(INDEX(Sims!$A1390:$BO1390,'Entry Builder'!$L$9)&lt;'Entry Builder'!$E$9),--(INDEX(Sims!$A1390:$BO1390,'Entry Builder'!$L$9)&gt;'Entry Builder'!$E$9)))</f>
        <v/>
      </c>
      <c r="D1390">
        <f>IF('Entry Builder'!$N$10=0,1,IF('Entry Builder'!$D$10="Less",--(INDEX(Sims!$A1390:$BO1390,'Entry Builder'!$L$10)&lt;'Entry Builder'!$E$10),--(INDEX(Sims!$A1390:$BO1390,'Entry Builder'!$L$10)&gt;'Entry Builder'!$E$10)))</f>
        <v/>
      </c>
      <c r="E1390">
        <f>IF('Entry Builder'!$N$11=0,1,IF('Entry Builder'!$D$11="Less",--(INDEX(Sims!$A1390:$BO1390,'Entry Builder'!$L$11)&lt;'Entry Builder'!$E$11),--(INDEX(Sims!$A1390:$BO1390,'Entry Builder'!$L$11)&gt;'Entry Builder'!$E$11)))</f>
        <v/>
      </c>
      <c r="F1390">
        <f>IF('Entry Builder'!$N$12=0,1,IF('Entry Builder'!$D$12="Less",--(INDEX(Sims!$A1390:$BO1390,'Entry Builder'!$L$12)&lt;'Entry Builder'!$E$12),--(INDEX(Sims!$A1390:$BO1390,'Entry Builder'!$L$12)&gt;'Entry Builder'!$E$12)))</f>
        <v/>
      </c>
      <c r="G1390">
        <f>6-SUM(A1390:F1390)</f>
        <v/>
      </c>
    </row>
    <row r="1391">
      <c r="A1391">
        <f>IF('Entry Builder'!$N$7=0,1,IF('Entry Builder'!$D$7="Less",--(INDEX(Sims!$A1391:$BO1391,'Entry Builder'!$L$7)&lt;'Entry Builder'!$E$7),--(INDEX(Sims!$A1391:$BO1391,'Entry Builder'!$L$7)&gt;'Entry Builder'!$E$7)))</f>
        <v/>
      </c>
      <c r="B1391">
        <f>IF('Entry Builder'!$N$8=0,1,IF('Entry Builder'!$D$8="Less",--(INDEX(Sims!$A1391:$BO1391,'Entry Builder'!$L$8)&lt;'Entry Builder'!$E$8),--(INDEX(Sims!$A1391:$BO1391,'Entry Builder'!$L$8)&gt;'Entry Builder'!$E$8)))</f>
        <v/>
      </c>
      <c r="C1391">
        <f>IF('Entry Builder'!$N$9=0,1,IF('Entry Builder'!$D$9="Less",--(INDEX(Sims!$A1391:$BO1391,'Entry Builder'!$L$9)&lt;'Entry Builder'!$E$9),--(INDEX(Sims!$A1391:$BO1391,'Entry Builder'!$L$9)&gt;'Entry Builder'!$E$9)))</f>
        <v/>
      </c>
      <c r="D1391">
        <f>IF('Entry Builder'!$N$10=0,1,IF('Entry Builder'!$D$10="Less",--(INDEX(Sims!$A1391:$BO1391,'Entry Builder'!$L$10)&lt;'Entry Builder'!$E$10),--(INDEX(Sims!$A1391:$BO1391,'Entry Builder'!$L$10)&gt;'Entry Builder'!$E$10)))</f>
        <v/>
      </c>
      <c r="E1391">
        <f>IF('Entry Builder'!$N$11=0,1,IF('Entry Builder'!$D$11="Less",--(INDEX(Sims!$A1391:$BO1391,'Entry Builder'!$L$11)&lt;'Entry Builder'!$E$11),--(INDEX(Sims!$A1391:$BO1391,'Entry Builder'!$L$11)&gt;'Entry Builder'!$E$11)))</f>
        <v/>
      </c>
      <c r="F1391">
        <f>IF('Entry Builder'!$N$12=0,1,IF('Entry Builder'!$D$12="Less",--(INDEX(Sims!$A1391:$BO1391,'Entry Builder'!$L$12)&lt;'Entry Builder'!$E$12),--(INDEX(Sims!$A1391:$BO1391,'Entry Builder'!$L$12)&gt;'Entry Builder'!$E$12)))</f>
        <v/>
      </c>
      <c r="G1391">
        <f>6-SUM(A1391:F1391)</f>
        <v/>
      </c>
    </row>
    <row r="1392">
      <c r="A1392">
        <f>IF('Entry Builder'!$N$7=0,1,IF('Entry Builder'!$D$7="Less",--(INDEX(Sims!$A1392:$BO1392,'Entry Builder'!$L$7)&lt;'Entry Builder'!$E$7),--(INDEX(Sims!$A1392:$BO1392,'Entry Builder'!$L$7)&gt;'Entry Builder'!$E$7)))</f>
        <v/>
      </c>
      <c r="B1392">
        <f>IF('Entry Builder'!$N$8=0,1,IF('Entry Builder'!$D$8="Less",--(INDEX(Sims!$A1392:$BO1392,'Entry Builder'!$L$8)&lt;'Entry Builder'!$E$8),--(INDEX(Sims!$A1392:$BO1392,'Entry Builder'!$L$8)&gt;'Entry Builder'!$E$8)))</f>
        <v/>
      </c>
      <c r="C1392">
        <f>IF('Entry Builder'!$N$9=0,1,IF('Entry Builder'!$D$9="Less",--(INDEX(Sims!$A1392:$BO1392,'Entry Builder'!$L$9)&lt;'Entry Builder'!$E$9),--(INDEX(Sims!$A1392:$BO1392,'Entry Builder'!$L$9)&gt;'Entry Builder'!$E$9)))</f>
        <v/>
      </c>
      <c r="D1392">
        <f>IF('Entry Builder'!$N$10=0,1,IF('Entry Builder'!$D$10="Less",--(INDEX(Sims!$A1392:$BO1392,'Entry Builder'!$L$10)&lt;'Entry Builder'!$E$10),--(INDEX(Sims!$A1392:$BO1392,'Entry Builder'!$L$10)&gt;'Entry Builder'!$E$10)))</f>
        <v/>
      </c>
      <c r="E1392">
        <f>IF('Entry Builder'!$N$11=0,1,IF('Entry Builder'!$D$11="Less",--(INDEX(Sims!$A1392:$BO1392,'Entry Builder'!$L$11)&lt;'Entry Builder'!$E$11),--(INDEX(Sims!$A1392:$BO1392,'Entry Builder'!$L$11)&gt;'Entry Builder'!$E$11)))</f>
        <v/>
      </c>
      <c r="F1392">
        <f>IF('Entry Builder'!$N$12=0,1,IF('Entry Builder'!$D$12="Less",--(INDEX(Sims!$A1392:$BO1392,'Entry Builder'!$L$12)&lt;'Entry Builder'!$E$12),--(INDEX(Sims!$A1392:$BO1392,'Entry Builder'!$L$12)&gt;'Entry Builder'!$E$12)))</f>
        <v/>
      </c>
      <c r="G1392">
        <f>6-SUM(A1392:F1392)</f>
        <v/>
      </c>
    </row>
    <row r="1393">
      <c r="A1393">
        <f>IF('Entry Builder'!$N$7=0,1,IF('Entry Builder'!$D$7="Less",--(INDEX(Sims!$A1393:$BO1393,'Entry Builder'!$L$7)&lt;'Entry Builder'!$E$7),--(INDEX(Sims!$A1393:$BO1393,'Entry Builder'!$L$7)&gt;'Entry Builder'!$E$7)))</f>
        <v/>
      </c>
      <c r="B1393">
        <f>IF('Entry Builder'!$N$8=0,1,IF('Entry Builder'!$D$8="Less",--(INDEX(Sims!$A1393:$BO1393,'Entry Builder'!$L$8)&lt;'Entry Builder'!$E$8),--(INDEX(Sims!$A1393:$BO1393,'Entry Builder'!$L$8)&gt;'Entry Builder'!$E$8)))</f>
        <v/>
      </c>
      <c r="C1393">
        <f>IF('Entry Builder'!$N$9=0,1,IF('Entry Builder'!$D$9="Less",--(INDEX(Sims!$A1393:$BO1393,'Entry Builder'!$L$9)&lt;'Entry Builder'!$E$9),--(INDEX(Sims!$A1393:$BO1393,'Entry Builder'!$L$9)&gt;'Entry Builder'!$E$9)))</f>
        <v/>
      </c>
      <c r="D1393">
        <f>IF('Entry Builder'!$N$10=0,1,IF('Entry Builder'!$D$10="Less",--(INDEX(Sims!$A1393:$BO1393,'Entry Builder'!$L$10)&lt;'Entry Builder'!$E$10),--(INDEX(Sims!$A1393:$BO1393,'Entry Builder'!$L$10)&gt;'Entry Builder'!$E$10)))</f>
        <v/>
      </c>
      <c r="E1393">
        <f>IF('Entry Builder'!$N$11=0,1,IF('Entry Builder'!$D$11="Less",--(INDEX(Sims!$A1393:$BO1393,'Entry Builder'!$L$11)&lt;'Entry Builder'!$E$11),--(INDEX(Sims!$A1393:$BO1393,'Entry Builder'!$L$11)&gt;'Entry Builder'!$E$11)))</f>
        <v/>
      </c>
      <c r="F1393">
        <f>IF('Entry Builder'!$N$12=0,1,IF('Entry Builder'!$D$12="Less",--(INDEX(Sims!$A1393:$BO1393,'Entry Builder'!$L$12)&lt;'Entry Builder'!$E$12),--(INDEX(Sims!$A1393:$BO1393,'Entry Builder'!$L$12)&gt;'Entry Builder'!$E$12)))</f>
        <v/>
      </c>
      <c r="G1393">
        <f>6-SUM(A1393:F1393)</f>
        <v/>
      </c>
    </row>
    <row r="1394">
      <c r="A1394">
        <f>IF('Entry Builder'!$N$7=0,1,IF('Entry Builder'!$D$7="Less",--(INDEX(Sims!$A1394:$BO1394,'Entry Builder'!$L$7)&lt;'Entry Builder'!$E$7),--(INDEX(Sims!$A1394:$BO1394,'Entry Builder'!$L$7)&gt;'Entry Builder'!$E$7)))</f>
        <v/>
      </c>
      <c r="B1394">
        <f>IF('Entry Builder'!$N$8=0,1,IF('Entry Builder'!$D$8="Less",--(INDEX(Sims!$A1394:$BO1394,'Entry Builder'!$L$8)&lt;'Entry Builder'!$E$8),--(INDEX(Sims!$A1394:$BO1394,'Entry Builder'!$L$8)&gt;'Entry Builder'!$E$8)))</f>
        <v/>
      </c>
      <c r="C1394">
        <f>IF('Entry Builder'!$N$9=0,1,IF('Entry Builder'!$D$9="Less",--(INDEX(Sims!$A1394:$BO1394,'Entry Builder'!$L$9)&lt;'Entry Builder'!$E$9),--(INDEX(Sims!$A1394:$BO1394,'Entry Builder'!$L$9)&gt;'Entry Builder'!$E$9)))</f>
        <v/>
      </c>
      <c r="D1394">
        <f>IF('Entry Builder'!$N$10=0,1,IF('Entry Builder'!$D$10="Less",--(INDEX(Sims!$A1394:$BO1394,'Entry Builder'!$L$10)&lt;'Entry Builder'!$E$10),--(INDEX(Sims!$A1394:$BO1394,'Entry Builder'!$L$10)&gt;'Entry Builder'!$E$10)))</f>
        <v/>
      </c>
      <c r="E1394">
        <f>IF('Entry Builder'!$N$11=0,1,IF('Entry Builder'!$D$11="Less",--(INDEX(Sims!$A1394:$BO1394,'Entry Builder'!$L$11)&lt;'Entry Builder'!$E$11),--(INDEX(Sims!$A1394:$BO1394,'Entry Builder'!$L$11)&gt;'Entry Builder'!$E$11)))</f>
        <v/>
      </c>
      <c r="F1394">
        <f>IF('Entry Builder'!$N$12=0,1,IF('Entry Builder'!$D$12="Less",--(INDEX(Sims!$A1394:$BO1394,'Entry Builder'!$L$12)&lt;'Entry Builder'!$E$12),--(INDEX(Sims!$A1394:$BO1394,'Entry Builder'!$L$12)&gt;'Entry Builder'!$E$12)))</f>
        <v/>
      </c>
      <c r="G1394">
        <f>6-SUM(A1394:F1394)</f>
        <v/>
      </c>
    </row>
    <row r="1395">
      <c r="A1395">
        <f>IF('Entry Builder'!$N$7=0,1,IF('Entry Builder'!$D$7="Less",--(INDEX(Sims!$A1395:$BO1395,'Entry Builder'!$L$7)&lt;'Entry Builder'!$E$7),--(INDEX(Sims!$A1395:$BO1395,'Entry Builder'!$L$7)&gt;'Entry Builder'!$E$7)))</f>
        <v/>
      </c>
      <c r="B1395">
        <f>IF('Entry Builder'!$N$8=0,1,IF('Entry Builder'!$D$8="Less",--(INDEX(Sims!$A1395:$BO1395,'Entry Builder'!$L$8)&lt;'Entry Builder'!$E$8),--(INDEX(Sims!$A1395:$BO1395,'Entry Builder'!$L$8)&gt;'Entry Builder'!$E$8)))</f>
        <v/>
      </c>
      <c r="C1395">
        <f>IF('Entry Builder'!$N$9=0,1,IF('Entry Builder'!$D$9="Less",--(INDEX(Sims!$A1395:$BO1395,'Entry Builder'!$L$9)&lt;'Entry Builder'!$E$9),--(INDEX(Sims!$A1395:$BO1395,'Entry Builder'!$L$9)&gt;'Entry Builder'!$E$9)))</f>
        <v/>
      </c>
      <c r="D1395">
        <f>IF('Entry Builder'!$N$10=0,1,IF('Entry Builder'!$D$10="Less",--(INDEX(Sims!$A1395:$BO1395,'Entry Builder'!$L$10)&lt;'Entry Builder'!$E$10),--(INDEX(Sims!$A1395:$BO1395,'Entry Builder'!$L$10)&gt;'Entry Builder'!$E$10)))</f>
        <v/>
      </c>
      <c r="E1395">
        <f>IF('Entry Builder'!$N$11=0,1,IF('Entry Builder'!$D$11="Less",--(INDEX(Sims!$A1395:$BO1395,'Entry Builder'!$L$11)&lt;'Entry Builder'!$E$11),--(INDEX(Sims!$A1395:$BO1395,'Entry Builder'!$L$11)&gt;'Entry Builder'!$E$11)))</f>
        <v/>
      </c>
      <c r="F1395">
        <f>IF('Entry Builder'!$N$12=0,1,IF('Entry Builder'!$D$12="Less",--(INDEX(Sims!$A1395:$BO1395,'Entry Builder'!$L$12)&lt;'Entry Builder'!$E$12),--(INDEX(Sims!$A1395:$BO1395,'Entry Builder'!$L$12)&gt;'Entry Builder'!$E$12)))</f>
        <v/>
      </c>
      <c r="G1395">
        <f>6-SUM(A1395:F1395)</f>
        <v/>
      </c>
    </row>
    <row r="1396">
      <c r="A1396">
        <f>IF('Entry Builder'!$N$7=0,1,IF('Entry Builder'!$D$7="Less",--(INDEX(Sims!$A1396:$BO1396,'Entry Builder'!$L$7)&lt;'Entry Builder'!$E$7),--(INDEX(Sims!$A1396:$BO1396,'Entry Builder'!$L$7)&gt;'Entry Builder'!$E$7)))</f>
        <v/>
      </c>
      <c r="B1396">
        <f>IF('Entry Builder'!$N$8=0,1,IF('Entry Builder'!$D$8="Less",--(INDEX(Sims!$A1396:$BO1396,'Entry Builder'!$L$8)&lt;'Entry Builder'!$E$8),--(INDEX(Sims!$A1396:$BO1396,'Entry Builder'!$L$8)&gt;'Entry Builder'!$E$8)))</f>
        <v/>
      </c>
      <c r="C1396">
        <f>IF('Entry Builder'!$N$9=0,1,IF('Entry Builder'!$D$9="Less",--(INDEX(Sims!$A1396:$BO1396,'Entry Builder'!$L$9)&lt;'Entry Builder'!$E$9),--(INDEX(Sims!$A1396:$BO1396,'Entry Builder'!$L$9)&gt;'Entry Builder'!$E$9)))</f>
        <v/>
      </c>
      <c r="D1396">
        <f>IF('Entry Builder'!$N$10=0,1,IF('Entry Builder'!$D$10="Less",--(INDEX(Sims!$A1396:$BO1396,'Entry Builder'!$L$10)&lt;'Entry Builder'!$E$10),--(INDEX(Sims!$A1396:$BO1396,'Entry Builder'!$L$10)&gt;'Entry Builder'!$E$10)))</f>
        <v/>
      </c>
      <c r="E1396">
        <f>IF('Entry Builder'!$N$11=0,1,IF('Entry Builder'!$D$11="Less",--(INDEX(Sims!$A1396:$BO1396,'Entry Builder'!$L$11)&lt;'Entry Builder'!$E$11),--(INDEX(Sims!$A1396:$BO1396,'Entry Builder'!$L$11)&gt;'Entry Builder'!$E$11)))</f>
        <v/>
      </c>
      <c r="F1396">
        <f>IF('Entry Builder'!$N$12=0,1,IF('Entry Builder'!$D$12="Less",--(INDEX(Sims!$A1396:$BO1396,'Entry Builder'!$L$12)&lt;'Entry Builder'!$E$12),--(INDEX(Sims!$A1396:$BO1396,'Entry Builder'!$L$12)&gt;'Entry Builder'!$E$12)))</f>
        <v/>
      </c>
      <c r="G1396">
        <f>6-SUM(A1396:F1396)</f>
        <v/>
      </c>
    </row>
    <row r="1397">
      <c r="A1397">
        <f>IF('Entry Builder'!$N$7=0,1,IF('Entry Builder'!$D$7="Less",--(INDEX(Sims!$A1397:$BO1397,'Entry Builder'!$L$7)&lt;'Entry Builder'!$E$7),--(INDEX(Sims!$A1397:$BO1397,'Entry Builder'!$L$7)&gt;'Entry Builder'!$E$7)))</f>
        <v/>
      </c>
      <c r="B1397">
        <f>IF('Entry Builder'!$N$8=0,1,IF('Entry Builder'!$D$8="Less",--(INDEX(Sims!$A1397:$BO1397,'Entry Builder'!$L$8)&lt;'Entry Builder'!$E$8),--(INDEX(Sims!$A1397:$BO1397,'Entry Builder'!$L$8)&gt;'Entry Builder'!$E$8)))</f>
        <v/>
      </c>
      <c r="C1397">
        <f>IF('Entry Builder'!$N$9=0,1,IF('Entry Builder'!$D$9="Less",--(INDEX(Sims!$A1397:$BO1397,'Entry Builder'!$L$9)&lt;'Entry Builder'!$E$9),--(INDEX(Sims!$A1397:$BO1397,'Entry Builder'!$L$9)&gt;'Entry Builder'!$E$9)))</f>
        <v/>
      </c>
      <c r="D1397">
        <f>IF('Entry Builder'!$N$10=0,1,IF('Entry Builder'!$D$10="Less",--(INDEX(Sims!$A1397:$BO1397,'Entry Builder'!$L$10)&lt;'Entry Builder'!$E$10),--(INDEX(Sims!$A1397:$BO1397,'Entry Builder'!$L$10)&gt;'Entry Builder'!$E$10)))</f>
        <v/>
      </c>
      <c r="E1397">
        <f>IF('Entry Builder'!$N$11=0,1,IF('Entry Builder'!$D$11="Less",--(INDEX(Sims!$A1397:$BO1397,'Entry Builder'!$L$11)&lt;'Entry Builder'!$E$11),--(INDEX(Sims!$A1397:$BO1397,'Entry Builder'!$L$11)&gt;'Entry Builder'!$E$11)))</f>
        <v/>
      </c>
      <c r="F1397">
        <f>IF('Entry Builder'!$N$12=0,1,IF('Entry Builder'!$D$12="Less",--(INDEX(Sims!$A1397:$BO1397,'Entry Builder'!$L$12)&lt;'Entry Builder'!$E$12),--(INDEX(Sims!$A1397:$BO1397,'Entry Builder'!$L$12)&gt;'Entry Builder'!$E$12)))</f>
        <v/>
      </c>
      <c r="G1397">
        <f>6-SUM(A1397:F1397)</f>
        <v/>
      </c>
    </row>
    <row r="1398">
      <c r="A1398">
        <f>IF('Entry Builder'!$N$7=0,1,IF('Entry Builder'!$D$7="Less",--(INDEX(Sims!$A1398:$BO1398,'Entry Builder'!$L$7)&lt;'Entry Builder'!$E$7),--(INDEX(Sims!$A1398:$BO1398,'Entry Builder'!$L$7)&gt;'Entry Builder'!$E$7)))</f>
        <v/>
      </c>
      <c r="B1398">
        <f>IF('Entry Builder'!$N$8=0,1,IF('Entry Builder'!$D$8="Less",--(INDEX(Sims!$A1398:$BO1398,'Entry Builder'!$L$8)&lt;'Entry Builder'!$E$8),--(INDEX(Sims!$A1398:$BO1398,'Entry Builder'!$L$8)&gt;'Entry Builder'!$E$8)))</f>
        <v/>
      </c>
      <c r="C1398">
        <f>IF('Entry Builder'!$N$9=0,1,IF('Entry Builder'!$D$9="Less",--(INDEX(Sims!$A1398:$BO1398,'Entry Builder'!$L$9)&lt;'Entry Builder'!$E$9),--(INDEX(Sims!$A1398:$BO1398,'Entry Builder'!$L$9)&gt;'Entry Builder'!$E$9)))</f>
        <v/>
      </c>
      <c r="D1398">
        <f>IF('Entry Builder'!$N$10=0,1,IF('Entry Builder'!$D$10="Less",--(INDEX(Sims!$A1398:$BO1398,'Entry Builder'!$L$10)&lt;'Entry Builder'!$E$10),--(INDEX(Sims!$A1398:$BO1398,'Entry Builder'!$L$10)&gt;'Entry Builder'!$E$10)))</f>
        <v/>
      </c>
      <c r="E1398">
        <f>IF('Entry Builder'!$N$11=0,1,IF('Entry Builder'!$D$11="Less",--(INDEX(Sims!$A1398:$BO1398,'Entry Builder'!$L$11)&lt;'Entry Builder'!$E$11),--(INDEX(Sims!$A1398:$BO1398,'Entry Builder'!$L$11)&gt;'Entry Builder'!$E$11)))</f>
        <v/>
      </c>
      <c r="F1398">
        <f>IF('Entry Builder'!$N$12=0,1,IF('Entry Builder'!$D$12="Less",--(INDEX(Sims!$A1398:$BO1398,'Entry Builder'!$L$12)&lt;'Entry Builder'!$E$12),--(INDEX(Sims!$A1398:$BO1398,'Entry Builder'!$L$12)&gt;'Entry Builder'!$E$12)))</f>
        <v/>
      </c>
      <c r="G1398">
        <f>6-SUM(A1398:F1398)</f>
        <v/>
      </c>
    </row>
    <row r="1399">
      <c r="A1399">
        <f>IF('Entry Builder'!$N$7=0,1,IF('Entry Builder'!$D$7="Less",--(INDEX(Sims!$A1399:$BO1399,'Entry Builder'!$L$7)&lt;'Entry Builder'!$E$7),--(INDEX(Sims!$A1399:$BO1399,'Entry Builder'!$L$7)&gt;'Entry Builder'!$E$7)))</f>
        <v/>
      </c>
      <c r="B1399">
        <f>IF('Entry Builder'!$N$8=0,1,IF('Entry Builder'!$D$8="Less",--(INDEX(Sims!$A1399:$BO1399,'Entry Builder'!$L$8)&lt;'Entry Builder'!$E$8),--(INDEX(Sims!$A1399:$BO1399,'Entry Builder'!$L$8)&gt;'Entry Builder'!$E$8)))</f>
        <v/>
      </c>
      <c r="C1399">
        <f>IF('Entry Builder'!$N$9=0,1,IF('Entry Builder'!$D$9="Less",--(INDEX(Sims!$A1399:$BO1399,'Entry Builder'!$L$9)&lt;'Entry Builder'!$E$9),--(INDEX(Sims!$A1399:$BO1399,'Entry Builder'!$L$9)&gt;'Entry Builder'!$E$9)))</f>
        <v/>
      </c>
      <c r="D1399">
        <f>IF('Entry Builder'!$N$10=0,1,IF('Entry Builder'!$D$10="Less",--(INDEX(Sims!$A1399:$BO1399,'Entry Builder'!$L$10)&lt;'Entry Builder'!$E$10),--(INDEX(Sims!$A1399:$BO1399,'Entry Builder'!$L$10)&gt;'Entry Builder'!$E$10)))</f>
        <v/>
      </c>
      <c r="E1399">
        <f>IF('Entry Builder'!$N$11=0,1,IF('Entry Builder'!$D$11="Less",--(INDEX(Sims!$A1399:$BO1399,'Entry Builder'!$L$11)&lt;'Entry Builder'!$E$11),--(INDEX(Sims!$A1399:$BO1399,'Entry Builder'!$L$11)&gt;'Entry Builder'!$E$11)))</f>
        <v/>
      </c>
      <c r="F1399">
        <f>IF('Entry Builder'!$N$12=0,1,IF('Entry Builder'!$D$12="Less",--(INDEX(Sims!$A1399:$BO1399,'Entry Builder'!$L$12)&lt;'Entry Builder'!$E$12),--(INDEX(Sims!$A1399:$BO1399,'Entry Builder'!$L$12)&gt;'Entry Builder'!$E$12)))</f>
        <v/>
      </c>
      <c r="G1399">
        <f>6-SUM(A1399:F1399)</f>
        <v/>
      </c>
    </row>
    <row r="1400">
      <c r="A1400">
        <f>IF('Entry Builder'!$N$7=0,1,IF('Entry Builder'!$D$7="Less",--(INDEX(Sims!$A1400:$BO1400,'Entry Builder'!$L$7)&lt;'Entry Builder'!$E$7),--(INDEX(Sims!$A1400:$BO1400,'Entry Builder'!$L$7)&gt;'Entry Builder'!$E$7)))</f>
        <v/>
      </c>
      <c r="B1400">
        <f>IF('Entry Builder'!$N$8=0,1,IF('Entry Builder'!$D$8="Less",--(INDEX(Sims!$A1400:$BO1400,'Entry Builder'!$L$8)&lt;'Entry Builder'!$E$8),--(INDEX(Sims!$A1400:$BO1400,'Entry Builder'!$L$8)&gt;'Entry Builder'!$E$8)))</f>
        <v/>
      </c>
      <c r="C1400">
        <f>IF('Entry Builder'!$N$9=0,1,IF('Entry Builder'!$D$9="Less",--(INDEX(Sims!$A1400:$BO1400,'Entry Builder'!$L$9)&lt;'Entry Builder'!$E$9),--(INDEX(Sims!$A1400:$BO1400,'Entry Builder'!$L$9)&gt;'Entry Builder'!$E$9)))</f>
        <v/>
      </c>
      <c r="D1400">
        <f>IF('Entry Builder'!$N$10=0,1,IF('Entry Builder'!$D$10="Less",--(INDEX(Sims!$A1400:$BO1400,'Entry Builder'!$L$10)&lt;'Entry Builder'!$E$10),--(INDEX(Sims!$A1400:$BO1400,'Entry Builder'!$L$10)&gt;'Entry Builder'!$E$10)))</f>
        <v/>
      </c>
      <c r="E1400">
        <f>IF('Entry Builder'!$N$11=0,1,IF('Entry Builder'!$D$11="Less",--(INDEX(Sims!$A1400:$BO1400,'Entry Builder'!$L$11)&lt;'Entry Builder'!$E$11),--(INDEX(Sims!$A1400:$BO1400,'Entry Builder'!$L$11)&gt;'Entry Builder'!$E$11)))</f>
        <v/>
      </c>
      <c r="F1400">
        <f>IF('Entry Builder'!$N$12=0,1,IF('Entry Builder'!$D$12="Less",--(INDEX(Sims!$A1400:$BO1400,'Entry Builder'!$L$12)&lt;'Entry Builder'!$E$12),--(INDEX(Sims!$A1400:$BO1400,'Entry Builder'!$L$12)&gt;'Entry Builder'!$E$12)))</f>
        <v/>
      </c>
      <c r="G1400">
        <f>6-SUM(A1400:F1400)</f>
        <v/>
      </c>
    </row>
    <row r="1401">
      <c r="A1401">
        <f>IF('Entry Builder'!$N$7=0,1,IF('Entry Builder'!$D$7="Less",--(INDEX(Sims!$A1401:$BO1401,'Entry Builder'!$L$7)&lt;'Entry Builder'!$E$7),--(INDEX(Sims!$A1401:$BO1401,'Entry Builder'!$L$7)&gt;'Entry Builder'!$E$7)))</f>
        <v/>
      </c>
      <c r="B1401">
        <f>IF('Entry Builder'!$N$8=0,1,IF('Entry Builder'!$D$8="Less",--(INDEX(Sims!$A1401:$BO1401,'Entry Builder'!$L$8)&lt;'Entry Builder'!$E$8),--(INDEX(Sims!$A1401:$BO1401,'Entry Builder'!$L$8)&gt;'Entry Builder'!$E$8)))</f>
        <v/>
      </c>
      <c r="C1401">
        <f>IF('Entry Builder'!$N$9=0,1,IF('Entry Builder'!$D$9="Less",--(INDEX(Sims!$A1401:$BO1401,'Entry Builder'!$L$9)&lt;'Entry Builder'!$E$9),--(INDEX(Sims!$A1401:$BO1401,'Entry Builder'!$L$9)&gt;'Entry Builder'!$E$9)))</f>
        <v/>
      </c>
      <c r="D1401">
        <f>IF('Entry Builder'!$N$10=0,1,IF('Entry Builder'!$D$10="Less",--(INDEX(Sims!$A1401:$BO1401,'Entry Builder'!$L$10)&lt;'Entry Builder'!$E$10),--(INDEX(Sims!$A1401:$BO1401,'Entry Builder'!$L$10)&gt;'Entry Builder'!$E$10)))</f>
        <v/>
      </c>
      <c r="E1401">
        <f>IF('Entry Builder'!$N$11=0,1,IF('Entry Builder'!$D$11="Less",--(INDEX(Sims!$A1401:$BO1401,'Entry Builder'!$L$11)&lt;'Entry Builder'!$E$11),--(INDEX(Sims!$A1401:$BO1401,'Entry Builder'!$L$11)&gt;'Entry Builder'!$E$11)))</f>
        <v/>
      </c>
      <c r="F1401">
        <f>IF('Entry Builder'!$N$12=0,1,IF('Entry Builder'!$D$12="Less",--(INDEX(Sims!$A1401:$BO1401,'Entry Builder'!$L$12)&lt;'Entry Builder'!$E$12),--(INDEX(Sims!$A1401:$BO1401,'Entry Builder'!$L$12)&gt;'Entry Builder'!$E$12)))</f>
        <v/>
      </c>
      <c r="G1401">
        <f>6-SUM(A1401:F1401)</f>
        <v/>
      </c>
    </row>
    <row r="1402">
      <c r="A1402">
        <f>IF('Entry Builder'!$N$7=0,1,IF('Entry Builder'!$D$7="Less",--(INDEX(Sims!$A1402:$BO1402,'Entry Builder'!$L$7)&lt;'Entry Builder'!$E$7),--(INDEX(Sims!$A1402:$BO1402,'Entry Builder'!$L$7)&gt;'Entry Builder'!$E$7)))</f>
        <v/>
      </c>
      <c r="B1402">
        <f>IF('Entry Builder'!$N$8=0,1,IF('Entry Builder'!$D$8="Less",--(INDEX(Sims!$A1402:$BO1402,'Entry Builder'!$L$8)&lt;'Entry Builder'!$E$8),--(INDEX(Sims!$A1402:$BO1402,'Entry Builder'!$L$8)&gt;'Entry Builder'!$E$8)))</f>
        <v/>
      </c>
      <c r="C1402">
        <f>IF('Entry Builder'!$N$9=0,1,IF('Entry Builder'!$D$9="Less",--(INDEX(Sims!$A1402:$BO1402,'Entry Builder'!$L$9)&lt;'Entry Builder'!$E$9),--(INDEX(Sims!$A1402:$BO1402,'Entry Builder'!$L$9)&gt;'Entry Builder'!$E$9)))</f>
        <v/>
      </c>
      <c r="D1402">
        <f>IF('Entry Builder'!$N$10=0,1,IF('Entry Builder'!$D$10="Less",--(INDEX(Sims!$A1402:$BO1402,'Entry Builder'!$L$10)&lt;'Entry Builder'!$E$10),--(INDEX(Sims!$A1402:$BO1402,'Entry Builder'!$L$10)&gt;'Entry Builder'!$E$10)))</f>
        <v/>
      </c>
      <c r="E1402">
        <f>IF('Entry Builder'!$N$11=0,1,IF('Entry Builder'!$D$11="Less",--(INDEX(Sims!$A1402:$BO1402,'Entry Builder'!$L$11)&lt;'Entry Builder'!$E$11),--(INDEX(Sims!$A1402:$BO1402,'Entry Builder'!$L$11)&gt;'Entry Builder'!$E$11)))</f>
        <v/>
      </c>
      <c r="F1402">
        <f>IF('Entry Builder'!$N$12=0,1,IF('Entry Builder'!$D$12="Less",--(INDEX(Sims!$A1402:$BO1402,'Entry Builder'!$L$12)&lt;'Entry Builder'!$E$12),--(INDEX(Sims!$A1402:$BO1402,'Entry Builder'!$L$12)&gt;'Entry Builder'!$E$12)))</f>
        <v/>
      </c>
      <c r="G1402">
        <f>6-SUM(A1402:F1402)</f>
        <v/>
      </c>
    </row>
    <row r="1403">
      <c r="A1403">
        <f>IF('Entry Builder'!$N$7=0,1,IF('Entry Builder'!$D$7="Less",--(INDEX(Sims!$A1403:$BO1403,'Entry Builder'!$L$7)&lt;'Entry Builder'!$E$7),--(INDEX(Sims!$A1403:$BO1403,'Entry Builder'!$L$7)&gt;'Entry Builder'!$E$7)))</f>
        <v/>
      </c>
      <c r="B1403">
        <f>IF('Entry Builder'!$N$8=0,1,IF('Entry Builder'!$D$8="Less",--(INDEX(Sims!$A1403:$BO1403,'Entry Builder'!$L$8)&lt;'Entry Builder'!$E$8),--(INDEX(Sims!$A1403:$BO1403,'Entry Builder'!$L$8)&gt;'Entry Builder'!$E$8)))</f>
        <v/>
      </c>
      <c r="C1403">
        <f>IF('Entry Builder'!$N$9=0,1,IF('Entry Builder'!$D$9="Less",--(INDEX(Sims!$A1403:$BO1403,'Entry Builder'!$L$9)&lt;'Entry Builder'!$E$9),--(INDEX(Sims!$A1403:$BO1403,'Entry Builder'!$L$9)&gt;'Entry Builder'!$E$9)))</f>
        <v/>
      </c>
      <c r="D1403">
        <f>IF('Entry Builder'!$N$10=0,1,IF('Entry Builder'!$D$10="Less",--(INDEX(Sims!$A1403:$BO1403,'Entry Builder'!$L$10)&lt;'Entry Builder'!$E$10),--(INDEX(Sims!$A1403:$BO1403,'Entry Builder'!$L$10)&gt;'Entry Builder'!$E$10)))</f>
        <v/>
      </c>
      <c r="E1403">
        <f>IF('Entry Builder'!$N$11=0,1,IF('Entry Builder'!$D$11="Less",--(INDEX(Sims!$A1403:$BO1403,'Entry Builder'!$L$11)&lt;'Entry Builder'!$E$11),--(INDEX(Sims!$A1403:$BO1403,'Entry Builder'!$L$11)&gt;'Entry Builder'!$E$11)))</f>
        <v/>
      </c>
      <c r="F1403">
        <f>IF('Entry Builder'!$N$12=0,1,IF('Entry Builder'!$D$12="Less",--(INDEX(Sims!$A1403:$BO1403,'Entry Builder'!$L$12)&lt;'Entry Builder'!$E$12),--(INDEX(Sims!$A1403:$BO1403,'Entry Builder'!$L$12)&gt;'Entry Builder'!$E$12)))</f>
        <v/>
      </c>
      <c r="G1403">
        <f>6-SUM(A1403:F1403)</f>
        <v/>
      </c>
    </row>
    <row r="1404">
      <c r="A1404">
        <f>IF('Entry Builder'!$N$7=0,1,IF('Entry Builder'!$D$7="Less",--(INDEX(Sims!$A1404:$BO1404,'Entry Builder'!$L$7)&lt;'Entry Builder'!$E$7),--(INDEX(Sims!$A1404:$BO1404,'Entry Builder'!$L$7)&gt;'Entry Builder'!$E$7)))</f>
        <v/>
      </c>
      <c r="B1404">
        <f>IF('Entry Builder'!$N$8=0,1,IF('Entry Builder'!$D$8="Less",--(INDEX(Sims!$A1404:$BO1404,'Entry Builder'!$L$8)&lt;'Entry Builder'!$E$8),--(INDEX(Sims!$A1404:$BO1404,'Entry Builder'!$L$8)&gt;'Entry Builder'!$E$8)))</f>
        <v/>
      </c>
      <c r="C1404">
        <f>IF('Entry Builder'!$N$9=0,1,IF('Entry Builder'!$D$9="Less",--(INDEX(Sims!$A1404:$BO1404,'Entry Builder'!$L$9)&lt;'Entry Builder'!$E$9),--(INDEX(Sims!$A1404:$BO1404,'Entry Builder'!$L$9)&gt;'Entry Builder'!$E$9)))</f>
        <v/>
      </c>
      <c r="D1404">
        <f>IF('Entry Builder'!$N$10=0,1,IF('Entry Builder'!$D$10="Less",--(INDEX(Sims!$A1404:$BO1404,'Entry Builder'!$L$10)&lt;'Entry Builder'!$E$10),--(INDEX(Sims!$A1404:$BO1404,'Entry Builder'!$L$10)&gt;'Entry Builder'!$E$10)))</f>
        <v/>
      </c>
      <c r="E1404">
        <f>IF('Entry Builder'!$N$11=0,1,IF('Entry Builder'!$D$11="Less",--(INDEX(Sims!$A1404:$BO1404,'Entry Builder'!$L$11)&lt;'Entry Builder'!$E$11),--(INDEX(Sims!$A1404:$BO1404,'Entry Builder'!$L$11)&gt;'Entry Builder'!$E$11)))</f>
        <v/>
      </c>
      <c r="F1404">
        <f>IF('Entry Builder'!$N$12=0,1,IF('Entry Builder'!$D$12="Less",--(INDEX(Sims!$A1404:$BO1404,'Entry Builder'!$L$12)&lt;'Entry Builder'!$E$12),--(INDEX(Sims!$A1404:$BO1404,'Entry Builder'!$L$12)&gt;'Entry Builder'!$E$12)))</f>
        <v/>
      </c>
      <c r="G1404">
        <f>6-SUM(A1404:F1404)</f>
        <v/>
      </c>
    </row>
    <row r="1405">
      <c r="A1405">
        <f>IF('Entry Builder'!$N$7=0,1,IF('Entry Builder'!$D$7="Less",--(INDEX(Sims!$A1405:$BO1405,'Entry Builder'!$L$7)&lt;'Entry Builder'!$E$7),--(INDEX(Sims!$A1405:$BO1405,'Entry Builder'!$L$7)&gt;'Entry Builder'!$E$7)))</f>
        <v/>
      </c>
      <c r="B1405">
        <f>IF('Entry Builder'!$N$8=0,1,IF('Entry Builder'!$D$8="Less",--(INDEX(Sims!$A1405:$BO1405,'Entry Builder'!$L$8)&lt;'Entry Builder'!$E$8),--(INDEX(Sims!$A1405:$BO1405,'Entry Builder'!$L$8)&gt;'Entry Builder'!$E$8)))</f>
        <v/>
      </c>
      <c r="C1405">
        <f>IF('Entry Builder'!$N$9=0,1,IF('Entry Builder'!$D$9="Less",--(INDEX(Sims!$A1405:$BO1405,'Entry Builder'!$L$9)&lt;'Entry Builder'!$E$9),--(INDEX(Sims!$A1405:$BO1405,'Entry Builder'!$L$9)&gt;'Entry Builder'!$E$9)))</f>
        <v/>
      </c>
      <c r="D1405">
        <f>IF('Entry Builder'!$N$10=0,1,IF('Entry Builder'!$D$10="Less",--(INDEX(Sims!$A1405:$BO1405,'Entry Builder'!$L$10)&lt;'Entry Builder'!$E$10),--(INDEX(Sims!$A1405:$BO1405,'Entry Builder'!$L$10)&gt;'Entry Builder'!$E$10)))</f>
        <v/>
      </c>
      <c r="E1405">
        <f>IF('Entry Builder'!$N$11=0,1,IF('Entry Builder'!$D$11="Less",--(INDEX(Sims!$A1405:$BO1405,'Entry Builder'!$L$11)&lt;'Entry Builder'!$E$11),--(INDEX(Sims!$A1405:$BO1405,'Entry Builder'!$L$11)&gt;'Entry Builder'!$E$11)))</f>
        <v/>
      </c>
      <c r="F1405">
        <f>IF('Entry Builder'!$N$12=0,1,IF('Entry Builder'!$D$12="Less",--(INDEX(Sims!$A1405:$BO1405,'Entry Builder'!$L$12)&lt;'Entry Builder'!$E$12),--(INDEX(Sims!$A1405:$BO1405,'Entry Builder'!$L$12)&gt;'Entry Builder'!$E$12)))</f>
        <v/>
      </c>
      <c r="G1405">
        <f>6-SUM(A1405:F1405)</f>
        <v/>
      </c>
    </row>
    <row r="1406">
      <c r="A1406">
        <f>IF('Entry Builder'!$N$7=0,1,IF('Entry Builder'!$D$7="Less",--(INDEX(Sims!$A1406:$BO1406,'Entry Builder'!$L$7)&lt;'Entry Builder'!$E$7),--(INDEX(Sims!$A1406:$BO1406,'Entry Builder'!$L$7)&gt;'Entry Builder'!$E$7)))</f>
        <v/>
      </c>
      <c r="B1406">
        <f>IF('Entry Builder'!$N$8=0,1,IF('Entry Builder'!$D$8="Less",--(INDEX(Sims!$A1406:$BO1406,'Entry Builder'!$L$8)&lt;'Entry Builder'!$E$8),--(INDEX(Sims!$A1406:$BO1406,'Entry Builder'!$L$8)&gt;'Entry Builder'!$E$8)))</f>
        <v/>
      </c>
      <c r="C1406">
        <f>IF('Entry Builder'!$N$9=0,1,IF('Entry Builder'!$D$9="Less",--(INDEX(Sims!$A1406:$BO1406,'Entry Builder'!$L$9)&lt;'Entry Builder'!$E$9),--(INDEX(Sims!$A1406:$BO1406,'Entry Builder'!$L$9)&gt;'Entry Builder'!$E$9)))</f>
        <v/>
      </c>
      <c r="D1406">
        <f>IF('Entry Builder'!$N$10=0,1,IF('Entry Builder'!$D$10="Less",--(INDEX(Sims!$A1406:$BO1406,'Entry Builder'!$L$10)&lt;'Entry Builder'!$E$10),--(INDEX(Sims!$A1406:$BO1406,'Entry Builder'!$L$10)&gt;'Entry Builder'!$E$10)))</f>
        <v/>
      </c>
      <c r="E1406">
        <f>IF('Entry Builder'!$N$11=0,1,IF('Entry Builder'!$D$11="Less",--(INDEX(Sims!$A1406:$BO1406,'Entry Builder'!$L$11)&lt;'Entry Builder'!$E$11),--(INDEX(Sims!$A1406:$BO1406,'Entry Builder'!$L$11)&gt;'Entry Builder'!$E$11)))</f>
        <v/>
      </c>
      <c r="F1406">
        <f>IF('Entry Builder'!$N$12=0,1,IF('Entry Builder'!$D$12="Less",--(INDEX(Sims!$A1406:$BO1406,'Entry Builder'!$L$12)&lt;'Entry Builder'!$E$12),--(INDEX(Sims!$A1406:$BO1406,'Entry Builder'!$L$12)&gt;'Entry Builder'!$E$12)))</f>
        <v/>
      </c>
      <c r="G1406">
        <f>6-SUM(A1406:F1406)</f>
        <v/>
      </c>
    </row>
    <row r="1407">
      <c r="A1407">
        <f>IF('Entry Builder'!$N$7=0,1,IF('Entry Builder'!$D$7="Less",--(INDEX(Sims!$A1407:$BO1407,'Entry Builder'!$L$7)&lt;'Entry Builder'!$E$7),--(INDEX(Sims!$A1407:$BO1407,'Entry Builder'!$L$7)&gt;'Entry Builder'!$E$7)))</f>
        <v/>
      </c>
      <c r="B1407">
        <f>IF('Entry Builder'!$N$8=0,1,IF('Entry Builder'!$D$8="Less",--(INDEX(Sims!$A1407:$BO1407,'Entry Builder'!$L$8)&lt;'Entry Builder'!$E$8),--(INDEX(Sims!$A1407:$BO1407,'Entry Builder'!$L$8)&gt;'Entry Builder'!$E$8)))</f>
        <v/>
      </c>
      <c r="C1407">
        <f>IF('Entry Builder'!$N$9=0,1,IF('Entry Builder'!$D$9="Less",--(INDEX(Sims!$A1407:$BO1407,'Entry Builder'!$L$9)&lt;'Entry Builder'!$E$9),--(INDEX(Sims!$A1407:$BO1407,'Entry Builder'!$L$9)&gt;'Entry Builder'!$E$9)))</f>
        <v/>
      </c>
      <c r="D1407">
        <f>IF('Entry Builder'!$N$10=0,1,IF('Entry Builder'!$D$10="Less",--(INDEX(Sims!$A1407:$BO1407,'Entry Builder'!$L$10)&lt;'Entry Builder'!$E$10),--(INDEX(Sims!$A1407:$BO1407,'Entry Builder'!$L$10)&gt;'Entry Builder'!$E$10)))</f>
        <v/>
      </c>
      <c r="E1407">
        <f>IF('Entry Builder'!$N$11=0,1,IF('Entry Builder'!$D$11="Less",--(INDEX(Sims!$A1407:$BO1407,'Entry Builder'!$L$11)&lt;'Entry Builder'!$E$11),--(INDEX(Sims!$A1407:$BO1407,'Entry Builder'!$L$11)&gt;'Entry Builder'!$E$11)))</f>
        <v/>
      </c>
      <c r="F1407">
        <f>IF('Entry Builder'!$N$12=0,1,IF('Entry Builder'!$D$12="Less",--(INDEX(Sims!$A1407:$BO1407,'Entry Builder'!$L$12)&lt;'Entry Builder'!$E$12),--(INDEX(Sims!$A1407:$BO1407,'Entry Builder'!$L$12)&gt;'Entry Builder'!$E$12)))</f>
        <v/>
      </c>
      <c r="G1407">
        <f>6-SUM(A1407:F1407)</f>
        <v/>
      </c>
    </row>
    <row r="1408">
      <c r="A1408">
        <f>IF('Entry Builder'!$N$7=0,1,IF('Entry Builder'!$D$7="Less",--(INDEX(Sims!$A1408:$BO1408,'Entry Builder'!$L$7)&lt;'Entry Builder'!$E$7),--(INDEX(Sims!$A1408:$BO1408,'Entry Builder'!$L$7)&gt;'Entry Builder'!$E$7)))</f>
        <v/>
      </c>
      <c r="B1408">
        <f>IF('Entry Builder'!$N$8=0,1,IF('Entry Builder'!$D$8="Less",--(INDEX(Sims!$A1408:$BO1408,'Entry Builder'!$L$8)&lt;'Entry Builder'!$E$8),--(INDEX(Sims!$A1408:$BO1408,'Entry Builder'!$L$8)&gt;'Entry Builder'!$E$8)))</f>
        <v/>
      </c>
      <c r="C1408">
        <f>IF('Entry Builder'!$N$9=0,1,IF('Entry Builder'!$D$9="Less",--(INDEX(Sims!$A1408:$BO1408,'Entry Builder'!$L$9)&lt;'Entry Builder'!$E$9),--(INDEX(Sims!$A1408:$BO1408,'Entry Builder'!$L$9)&gt;'Entry Builder'!$E$9)))</f>
        <v/>
      </c>
      <c r="D1408">
        <f>IF('Entry Builder'!$N$10=0,1,IF('Entry Builder'!$D$10="Less",--(INDEX(Sims!$A1408:$BO1408,'Entry Builder'!$L$10)&lt;'Entry Builder'!$E$10),--(INDEX(Sims!$A1408:$BO1408,'Entry Builder'!$L$10)&gt;'Entry Builder'!$E$10)))</f>
        <v/>
      </c>
      <c r="E1408">
        <f>IF('Entry Builder'!$N$11=0,1,IF('Entry Builder'!$D$11="Less",--(INDEX(Sims!$A1408:$BO1408,'Entry Builder'!$L$11)&lt;'Entry Builder'!$E$11),--(INDEX(Sims!$A1408:$BO1408,'Entry Builder'!$L$11)&gt;'Entry Builder'!$E$11)))</f>
        <v/>
      </c>
      <c r="F1408">
        <f>IF('Entry Builder'!$N$12=0,1,IF('Entry Builder'!$D$12="Less",--(INDEX(Sims!$A1408:$BO1408,'Entry Builder'!$L$12)&lt;'Entry Builder'!$E$12),--(INDEX(Sims!$A1408:$BO1408,'Entry Builder'!$L$12)&gt;'Entry Builder'!$E$12)))</f>
        <v/>
      </c>
      <c r="G1408">
        <f>6-SUM(A1408:F1408)</f>
        <v/>
      </c>
    </row>
    <row r="1409">
      <c r="A1409">
        <f>IF('Entry Builder'!$N$7=0,1,IF('Entry Builder'!$D$7="Less",--(INDEX(Sims!$A1409:$BO1409,'Entry Builder'!$L$7)&lt;'Entry Builder'!$E$7),--(INDEX(Sims!$A1409:$BO1409,'Entry Builder'!$L$7)&gt;'Entry Builder'!$E$7)))</f>
        <v/>
      </c>
      <c r="B1409">
        <f>IF('Entry Builder'!$N$8=0,1,IF('Entry Builder'!$D$8="Less",--(INDEX(Sims!$A1409:$BO1409,'Entry Builder'!$L$8)&lt;'Entry Builder'!$E$8),--(INDEX(Sims!$A1409:$BO1409,'Entry Builder'!$L$8)&gt;'Entry Builder'!$E$8)))</f>
        <v/>
      </c>
      <c r="C1409">
        <f>IF('Entry Builder'!$N$9=0,1,IF('Entry Builder'!$D$9="Less",--(INDEX(Sims!$A1409:$BO1409,'Entry Builder'!$L$9)&lt;'Entry Builder'!$E$9),--(INDEX(Sims!$A1409:$BO1409,'Entry Builder'!$L$9)&gt;'Entry Builder'!$E$9)))</f>
        <v/>
      </c>
      <c r="D1409">
        <f>IF('Entry Builder'!$N$10=0,1,IF('Entry Builder'!$D$10="Less",--(INDEX(Sims!$A1409:$BO1409,'Entry Builder'!$L$10)&lt;'Entry Builder'!$E$10),--(INDEX(Sims!$A1409:$BO1409,'Entry Builder'!$L$10)&gt;'Entry Builder'!$E$10)))</f>
        <v/>
      </c>
      <c r="E1409">
        <f>IF('Entry Builder'!$N$11=0,1,IF('Entry Builder'!$D$11="Less",--(INDEX(Sims!$A1409:$BO1409,'Entry Builder'!$L$11)&lt;'Entry Builder'!$E$11),--(INDEX(Sims!$A1409:$BO1409,'Entry Builder'!$L$11)&gt;'Entry Builder'!$E$11)))</f>
        <v/>
      </c>
      <c r="F1409">
        <f>IF('Entry Builder'!$N$12=0,1,IF('Entry Builder'!$D$12="Less",--(INDEX(Sims!$A1409:$BO1409,'Entry Builder'!$L$12)&lt;'Entry Builder'!$E$12),--(INDEX(Sims!$A1409:$BO1409,'Entry Builder'!$L$12)&gt;'Entry Builder'!$E$12)))</f>
        <v/>
      </c>
      <c r="G1409">
        <f>6-SUM(A1409:F1409)</f>
        <v/>
      </c>
    </row>
    <row r="1410">
      <c r="A1410">
        <f>IF('Entry Builder'!$N$7=0,1,IF('Entry Builder'!$D$7="Less",--(INDEX(Sims!$A1410:$BO1410,'Entry Builder'!$L$7)&lt;'Entry Builder'!$E$7),--(INDEX(Sims!$A1410:$BO1410,'Entry Builder'!$L$7)&gt;'Entry Builder'!$E$7)))</f>
        <v/>
      </c>
      <c r="B1410">
        <f>IF('Entry Builder'!$N$8=0,1,IF('Entry Builder'!$D$8="Less",--(INDEX(Sims!$A1410:$BO1410,'Entry Builder'!$L$8)&lt;'Entry Builder'!$E$8),--(INDEX(Sims!$A1410:$BO1410,'Entry Builder'!$L$8)&gt;'Entry Builder'!$E$8)))</f>
        <v/>
      </c>
      <c r="C1410">
        <f>IF('Entry Builder'!$N$9=0,1,IF('Entry Builder'!$D$9="Less",--(INDEX(Sims!$A1410:$BO1410,'Entry Builder'!$L$9)&lt;'Entry Builder'!$E$9),--(INDEX(Sims!$A1410:$BO1410,'Entry Builder'!$L$9)&gt;'Entry Builder'!$E$9)))</f>
        <v/>
      </c>
      <c r="D1410">
        <f>IF('Entry Builder'!$N$10=0,1,IF('Entry Builder'!$D$10="Less",--(INDEX(Sims!$A1410:$BO1410,'Entry Builder'!$L$10)&lt;'Entry Builder'!$E$10),--(INDEX(Sims!$A1410:$BO1410,'Entry Builder'!$L$10)&gt;'Entry Builder'!$E$10)))</f>
        <v/>
      </c>
      <c r="E1410">
        <f>IF('Entry Builder'!$N$11=0,1,IF('Entry Builder'!$D$11="Less",--(INDEX(Sims!$A1410:$BO1410,'Entry Builder'!$L$11)&lt;'Entry Builder'!$E$11),--(INDEX(Sims!$A1410:$BO1410,'Entry Builder'!$L$11)&gt;'Entry Builder'!$E$11)))</f>
        <v/>
      </c>
      <c r="F1410">
        <f>IF('Entry Builder'!$N$12=0,1,IF('Entry Builder'!$D$12="Less",--(INDEX(Sims!$A1410:$BO1410,'Entry Builder'!$L$12)&lt;'Entry Builder'!$E$12),--(INDEX(Sims!$A1410:$BO1410,'Entry Builder'!$L$12)&gt;'Entry Builder'!$E$12)))</f>
        <v/>
      </c>
      <c r="G1410">
        <f>6-SUM(A1410:F1410)</f>
        <v/>
      </c>
    </row>
    <row r="1411">
      <c r="A1411">
        <f>IF('Entry Builder'!$N$7=0,1,IF('Entry Builder'!$D$7="Less",--(INDEX(Sims!$A1411:$BO1411,'Entry Builder'!$L$7)&lt;'Entry Builder'!$E$7),--(INDEX(Sims!$A1411:$BO1411,'Entry Builder'!$L$7)&gt;'Entry Builder'!$E$7)))</f>
        <v/>
      </c>
      <c r="B1411">
        <f>IF('Entry Builder'!$N$8=0,1,IF('Entry Builder'!$D$8="Less",--(INDEX(Sims!$A1411:$BO1411,'Entry Builder'!$L$8)&lt;'Entry Builder'!$E$8),--(INDEX(Sims!$A1411:$BO1411,'Entry Builder'!$L$8)&gt;'Entry Builder'!$E$8)))</f>
        <v/>
      </c>
      <c r="C1411">
        <f>IF('Entry Builder'!$N$9=0,1,IF('Entry Builder'!$D$9="Less",--(INDEX(Sims!$A1411:$BO1411,'Entry Builder'!$L$9)&lt;'Entry Builder'!$E$9),--(INDEX(Sims!$A1411:$BO1411,'Entry Builder'!$L$9)&gt;'Entry Builder'!$E$9)))</f>
        <v/>
      </c>
      <c r="D1411">
        <f>IF('Entry Builder'!$N$10=0,1,IF('Entry Builder'!$D$10="Less",--(INDEX(Sims!$A1411:$BO1411,'Entry Builder'!$L$10)&lt;'Entry Builder'!$E$10),--(INDEX(Sims!$A1411:$BO1411,'Entry Builder'!$L$10)&gt;'Entry Builder'!$E$10)))</f>
        <v/>
      </c>
      <c r="E1411">
        <f>IF('Entry Builder'!$N$11=0,1,IF('Entry Builder'!$D$11="Less",--(INDEX(Sims!$A1411:$BO1411,'Entry Builder'!$L$11)&lt;'Entry Builder'!$E$11),--(INDEX(Sims!$A1411:$BO1411,'Entry Builder'!$L$11)&gt;'Entry Builder'!$E$11)))</f>
        <v/>
      </c>
      <c r="F1411">
        <f>IF('Entry Builder'!$N$12=0,1,IF('Entry Builder'!$D$12="Less",--(INDEX(Sims!$A1411:$BO1411,'Entry Builder'!$L$12)&lt;'Entry Builder'!$E$12),--(INDEX(Sims!$A1411:$BO1411,'Entry Builder'!$L$12)&gt;'Entry Builder'!$E$12)))</f>
        <v/>
      </c>
      <c r="G1411">
        <f>6-SUM(A1411:F1411)</f>
        <v/>
      </c>
    </row>
    <row r="1412">
      <c r="A1412">
        <f>IF('Entry Builder'!$N$7=0,1,IF('Entry Builder'!$D$7="Less",--(INDEX(Sims!$A1412:$BO1412,'Entry Builder'!$L$7)&lt;'Entry Builder'!$E$7),--(INDEX(Sims!$A1412:$BO1412,'Entry Builder'!$L$7)&gt;'Entry Builder'!$E$7)))</f>
        <v/>
      </c>
      <c r="B1412">
        <f>IF('Entry Builder'!$N$8=0,1,IF('Entry Builder'!$D$8="Less",--(INDEX(Sims!$A1412:$BO1412,'Entry Builder'!$L$8)&lt;'Entry Builder'!$E$8),--(INDEX(Sims!$A1412:$BO1412,'Entry Builder'!$L$8)&gt;'Entry Builder'!$E$8)))</f>
        <v/>
      </c>
      <c r="C1412">
        <f>IF('Entry Builder'!$N$9=0,1,IF('Entry Builder'!$D$9="Less",--(INDEX(Sims!$A1412:$BO1412,'Entry Builder'!$L$9)&lt;'Entry Builder'!$E$9),--(INDEX(Sims!$A1412:$BO1412,'Entry Builder'!$L$9)&gt;'Entry Builder'!$E$9)))</f>
        <v/>
      </c>
      <c r="D1412">
        <f>IF('Entry Builder'!$N$10=0,1,IF('Entry Builder'!$D$10="Less",--(INDEX(Sims!$A1412:$BO1412,'Entry Builder'!$L$10)&lt;'Entry Builder'!$E$10),--(INDEX(Sims!$A1412:$BO1412,'Entry Builder'!$L$10)&gt;'Entry Builder'!$E$10)))</f>
        <v/>
      </c>
      <c r="E1412">
        <f>IF('Entry Builder'!$N$11=0,1,IF('Entry Builder'!$D$11="Less",--(INDEX(Sims!$A1412:$BO1412,'Entry Builder'!$L$11)&lt;'Entry Builder'!$E$11),--(INDEX(Sims!$A1412:$BO1412,'Entry Builder'!$L$11)&gt;'Entry Builder'!$E$11)))</f>
        <v/>
      </c>
      <c r="F1412">
        <f>IF('Entry Builder'!$N$12=0,1,IF('Entry Builder'!$D$12="Less",--(INDEX(Sims!$A1412:$BO1412,'Entry Builder'!$L$12)&lt;'Entry Builder'!$E$12),--(INDEX(Sims!$A1412:$BO1412,'Entry Builder'!$L$12)&gt;'Entry Builder'!$E$12)))</f>
        <v/>
      </c>
      <c r="G1412">
        <f>6-SUM(A1412:F1412)</f>
        <v/>
      </c>
    </row>
    <row r="1413">
      <c r="A1413">
        <f>IF('Entry Builder'!$N$7=0,1,IF('Entry Builder'!$D$7="Less",--(INDEX(Sims!$A1413:$BO1413,'Entry Builder'!$L$7)&lt;'Entry Builder'!$E$7),--(INDEX(Sims!$A1413:$BO1413,'Entry Builder'!$L$7)&gt;'Entry Builder'!$E$7)))</f>
        <v/>
      </c>
      <c r="B1413">
        <f>IF('Entry Builder'!$N$8=0,1,IF('Entry Builder'!$D$8="Less",--(INDEX(Sims!$A1413:$BO1413,'Entry Builder'!$L$8)&lt;'Entry Builder'!$E$8),--(INDEX(Sims!$A1413:$BO1413,'Entry Builder'!$L$8)&gt;'Entry Builder'!$E$8)))</f>
        <v/>
      </c>
      <c r="C1413">
        <f>IF('Entry Builder'!$N$9=0,1,IF('Entry Builder'!$D$9="Less",--(INDEX(Sims!$A1413:$BO1413,'Entry Builder'!$L$9)&lt;'Entry Builder'!$E$9),--(INDEX(Sims!$A1413:$BO1413,'Entry Builder'!$L$9)&gt;'Entry Builder'!$E$9)))</f>
        <v/>
      </c>
      <c r="D1413">
        <f>IF('Entry Builder'!$N$10=0,1,IF('Entry Builder'!$D$10="Less",--(INDEX(Sims!$A1413:$BO1413,'Entry Builder'!$L$10)&lt;'Entry Builder'!$E$10),--(INDEX(Sims!$A1413:$BO1413,'Entry Builder'!$L$10)&gt;'Entry Builder'!$E$10)))</f>
        <v/>
      </c>
      <c r="E1413">
        <f>IF('Entry Builder'!$N$11=0,1,IF('Entry Builder'!$D$11="Less",--(INDEX(Sims!$A1413:$BO1413,'Entry Builder'!$L$11)&lt;'Entry Builder'!$E$11),--(INDEX(Sims!$A1413:$BO1413,'Entry Builder'!$L$11)&gt;'Entry Builder'!$E$11)))</f>
        <v/>
      </c>
      <c r="F1413">
        <f>IF('Entry Builder'!$N$12=0,1,IF('Entry Builder'!$D$12="Less",--(INDEX(Sims!$A1413:$BO1413,'Entry Builder'!$L$12)&lt;'Entry Builder'!$E$12),--(INDEX(Sims!$A1413:$BO1413,'Entry Builder'!$L$12)&gt;'Entry Builder'!$E$12)))</f>
        <v/>
      </c>
      <c r="G1413">
        <f>6-SUM(A1413:F1413)</f>
        <v/>
      </c>
    </row>
    <row r="1414">
      <c r="A1414">
        <f>IF('Entry Builder'!$N$7=0,1,IF('Entry Builder'!$D$7="Less",--(INDEX(Sims!$A1414:$BO1414,'Entry Builder'!$L$7)&lt;'Entry Builder'!$E$7),--(INDEX(Sims!$A1414:$BO1414,'Entry Builder'!$L$7)&gt;'Entry Builder'!$E$7)))</f>
        <v/>
      </c>
      <c r="B1414">
        <f>IF('Entry Builder'!$N$8=0,1,IF('Entry Builder'!$D$8="Less",--(INDEX(Sims!$A1414:$BO1414,'Entry Builder'!$L$8)&lt;'Entry Builder'!$E$8),--(INDEX(Sims!$A1414:$BO1414,'Entry Builder'!$L$8)&gt;'Entry Builder'!$E$8)))</f>
        <v/>
      </c>
      <c r="C1414">
        <f>IF('Entry Builder'!$N$9=0,1,IF('Entry Builder'!$D$9="Less",--(INDEX(Sims!$A1414:$BO1414,'Entry Builder'!$L$9)&lt;'Entry Builder'!$E$9),--(INDEX(Sims!$A1414:$BO1414,'Entry Builder'!$L$9)&gt;'Entry Builder'!$E$9)))</f>
        <v/>
      </c>
      <c r="D1414">
        <f>IF('Entry Builder'!$N$10=0,1,IF('Entry Builder'!$D$10="Less",--(INDEX(Sims!$A1414:$BO1414,'Entry Builder'!$L$10)&lt;'Entry Builder'!$E$10),--(INDEX(Sims!$A1414:$BO1414,'Entry Builder'!$L$10)&gt;'Entry Builder'!$E$10)))</f>
        <v/>
      </c>
      <c r="E1414">
        <f>IF('Entry Builder'!$N$11=0,1,IF('Entry Builder'!$D$11="Less",--(INDEX(Sims!$A1414:$BO1414,'Entry Builder'!$L$11)&lt;'Entry Builder'!$E$11),--(INDEX(Sims!$A1414:$BO1414,'Entry Builder'!$L$11)&gt;'Entry Builder'!$E$11)))</f>
        <v/>
      </c>
      <c r="F1414">
        <f>IF('Entry Builder'!$N$12=0,1,IF('Entry Builder'!$D$12="Less",--(INDEX(Sims!$A1414:$BO1414,'Entry Builder'!$L$12)&lt;'Entry Builder'!$E$12),--(INDEX(Sims!$A1414:$BO1414,'Entry Builder'!$L$12)&gt;'Entry Builder'!$E$12)))</f>
        <v/>
      </c>
      <c r="G1414">
        <f>6-SUM(A1414:F1414)</f>
        <v/>
      </c>
    </row>
    <row r="1415">
      <c r="A1415">
        <f>IF('Entry Builder'!$N$7=0,1,IF('Entry Builder'!$D$7="Less",--(INDEX(Sims!$A1415:$BO1415,'Entry Builder'!$L$7)&lt;'Entry Builder'!$E$7),--(INDEX(Sims!$A1415:$BO1415,'Entry Builder'!$L$7)&gt;'Entry Builder'!$E$7)))</f>
        <v/>
      </c>
      <c r="B1415">
        <f>IF('Entry Builder'!$N$8=0,1,IF('Entry Builder'!$D$8="Less",--(INDEX(Sims!$A1415:$BO1415,'Entry Builder'!$L$8)&lt;'Entry Builder'!$E$8),--(INDEX(Sims!$A1415:$BO1415,'Entry Builder'!$L$8)&gt;'Entry Builder'!$E$8)))</f>
        <v/>
      </c>
      <c r="C1415">
        <f>IF('Entry Builder'!$N$9=0,1,IF('Entry Builder'!$D$9="Less",--(INDEX(Sims!$A1415:$BO1415,'Entry Builder'!$L$9)&lt;'Entry Builder'!$E$9),--(INDEX(Sims!$A1415:$BO1415,'Entry Builder'!$L$9)&gt;'Entry Builder'!$E$9)))</f>
        <v/>
      </c>
      <c r="D1415">
        <f>IF('Entry Builder'!$N$10=0,1,IF('Entry Builder'!$D$10="Less",--(INDEX(Sims!$A1415:$BO1415,'Entry Builder'!$L$10)&lt;'Entry Builder'!$E$10),--(INDEX(Sims!$A1415:$BO1415,'Entry Builder'!$L$10)&gt;'Entry Builder'!$E$10)))</f>
        <v/>
      </c>
      <c r="E1415">
        <f>IF('Entry Builder'!$N$11=0,1,IF('Entry Builder'!$D$11="Less",--(INDEX(Sims!$A1415:$BO1415,'Entry Builder'!$L$11)&lt;'Entry Builder'!$E$11),--(INDEX(Sims!$A1415:$BO1415,'Entry Builder'!$L$11)&gt;'Entry Builder'!$E$11)))</f>
        <v/>
      </c>
      <c r="F1415">
        <f>IF('Entry Builder'!$N$12=0,1,IF('Entry Builder'!$D$12="Less",--(INDEX(Sims!$A1415:$BO1415,'Entry Builder'!$L$12)&lt;'Entry Builder'!$E$12),--(INDEX(Sims!$A1415:$BO1415,'Entry Builder'!$L$12)&gt;'Entry Builder'!$E$12)))</f>
        <v/>
      </c>
      <c r="G1415">
        <f>6-SUM(A1415:F1415)</f>
        <v/>
      </c>
    </row>
    <row r="1416">
      <c r="A1416">
        <f>IF('Entry Builder'!$N$7=0,1,IF('Entry Builder'!$D$7="Less",--(INDEX(Sims!$A1416:$BO1416,'Entry Builder'!$L$7)&lt;'Entry Builder'!$E$7),--(INDEX(Sims!$A1416:$BO1416,'Entry Builder'!$L$7)&gt;'Entry Builder'!$E$7)))</f>
        <v/>
      </c>
      <c r="B1416">
        <f>IF('Entry Builder'!$N$8=0,1,IF('Entry Builder'!$D$8="Less",--(INDEX(Sims!$A1416:$BO1416,'Entry Builder'!$L$8)&lt;'Entry Builder'!$E$8),--(INDEX(Sims!$A1416:$BO1416,'Entry Builder'!$L$8)&gt;'Entry Builder'!$E$8)))</f>
        <v/>
      </c>
      <c r="C1416">
        <f>IF('Entry Builder'!$N$9=0,1,IF('Entry Builder'!$D$9="Less",--(INDEX(Sims!$A1416:$BO1416,'Entry Builder'!$L$9)&lt;'Entry Builder'!$E$9),--(INDEX(Sims!$A1416:$BO1416,'Entry Builder'!$L$9)&gt;'Entry Builder'!$E$9)))</f>
        <v/>
      </c>
      <c r="D1416">
        <f>IF('Entry Builder'!$N$10=0,1,IF('Entry Builder'!$D$10="Less",--(INDEX(Sims!$A1416:$BO1416,'Entry Builder'!$L$10)&lt;'Entry Builder'!$E$10),--(INDEX(Sims!$A1416:$BO1416,'Entry Builder'!$L$10)&gt;'Entry Builder'!$E$10)))</f>
        <v/>
      </c>
      <c r="E1416">
        <f>IF('Entry Builder'!$N$11=0,1,IF('Entry Builder'!$D$11="Less",--(INDEX(Sims!$A1416:$BO1416,'Entry Builder'!$L$11)&lt;'Entry Builder'!$E$11),--(INDEX(Sims!$A1416:$BO1416,'Entry Builder'!$L$11)&gt;'Entry Builder'!$E$11)))</f>
        <v/>
      </c>
      <c r="F1416">
        <f>IF('Entry Builder'!$N$12=0,1,IF('Entry Builder'!$D$12="Less",--(INDEX(Sims!$A1416:$BO1416,'Entry Builder'!$L$12)&lt;'Entry Builder'!$E$12),--(INDEX(Sims!$A1416:$BO1416,'Entry Builder'!$L$12)&gt;'Entry Builder'!$E$12)))</f>
        <v/>
      </c>
      <c r="G1416">
        <f>6-SUM(A1416:F1416)</f>
        <v/>
      </c>
    </row>
    <row r="1417">
      <c r="A1417">
        <f>IF('Entry Builder'!$N$7=0,1,IF('Entry Builder'!$D$7="Less",--(INDEX(Sims!$A1417:$BO1417,'Entry Builder'!$L$7)&lt;'Entry Builder'!$E$7),--(INDEX(Sims!$A1417:$BO1417,'Entry Builder'!$L$7)&gt;'Entry Builder'!$E$7)))</f>
        <v/>
      </c>
      <c r="B1417">
        <f>IF('Entry Builder'!$N$8=0,1,IF('Entry Builder'!$D$8="Less",--(INDEX(Sims!$A1417:$BO1417,'Entry Builder'!$L$8)&lt;'Entry Builder'!$E$8),--(INDEX(Sims!$A1417:$BO1417,'Entry Builder'!$L$8)&gt;'Entry Builder'!$E$8)))</f>
        <v/>
      </c>
      <c r="C1417">
        <f>IF('Entry Builder'!$N$9=0,1,IF('Entry Builder'!$D$9="Less",--(INDEX(Sims!$A1417:$BO1417,'Entry Builder'!$L$9)&lt;'Entry Builder'!$E$9),--(INDEX(Sims!$A1417:$BO1417,'Entry Builder'!$L$9)&gt;'Entry Builder'!$E$9)))</f>
        <v/>
      </c>
      <c r="D1417">
        <f>IF('Entry Builder'!$N$10=0,1,IF('Entry Builder'!$D$10="Less",--(INDEX(Sims!$A1417:$BO1417,'Entry Builder'!$L$10)&lt;'Entry Builder'!$E$10),--(INDEX(Sims!$A1417:$BO1417,'Entry Builder'!$L$10)&gt;'Entry Builder'!$E$10)))</f>
        <v/>
      </c>
      <c r="E1417">
        <f>IF('Entry Builder'!$N$11=0,1,IF('Entry Builder'!$D$11="Less",--(INDEX(Sims!$A1417:$BO1417,'Entry Builder'!$L$11)&lt;'Entry Builder'!$E$11),--(INDEX(Sims!$A1417:$BO1417,'Entry Builder'!$L$11)&gt;'Entry Builder'!$E$11)))</f>
        <v/>
      </c>
      <c r="F1417">
        <f>IF('Entry Builder'!$N$12=0,1,IF('Entry Builder'!$D$12="Less",--(INDEX(Sims!$A1417:$BO1417,'Entry Builder'!$L$12)&lt;'Entry Builder'!$E$12),--(INDEX(Sims!$A1417:$BO1417,'Entry Builder'!$L$12)&gt;'Entry Builder'!$E$12)))</f>
        <v/>
      </c>
      <c r="G1417">
        <f>6-SUM(A1417:F1417)</f>
        <v/>
      </c>
    </row>
    <row r="1418">
      <c r="A1418">
        <f>IF('Entry Builder'!$N$7=0,1,IF('Entry Builder'!$D$7="Less",--(INDEX(Sims!$A1418:$BO1418,'Entry Builder'!$L$7)&lt;'Entry Builder'!$E$7),--(INDEX(Sims!$A1418:$BO1418,'Entry Builder'!$L$7)&gt;'Entry Builder'!$E$7)))</f>
        <v/>
      </c>
      <c r="B1418">
        <f>IF('Entry Builder'!$N$8=0,1,IF('Entry Builder'!$D$8="Less",--(INDEX(Sims!$A1418:$BO1418,'Entry Builder'!$L$8)&lt;'Entry Builder'!$E$8),--(INDEX(Sims!$A1418:$BO1418,'Entry Builder'!$L$8)&gt;'Entry Builder'!$E$8)))</f>
        <v/>
      </c>
      <c r="C1418">
        <f>IF('Entry Builder'!$N$9=0,1,IF('Entry Builder'!$D$9="Less",--(INDEX(Sims!$A1418:$BO1418,'Entry Builder'!$L$9)&lt;'Entry Builder'!$E$9),--(INDEX(Sims!$A1418:$BO1418,'Entry Builder'!$L$9)&gt;'Entry Builder'!$E$9)))</f>
        <v/>
      </c>
      <c r="D1418">
        <f>IF('Entry Builder'!$N$10=0,1,IF('Entry Builder'!$D$10="Less",--(INDEX(Sims!$A1418:$BO1418,'Entry Builder'!$L$10)&lt;'Entry Builder'!$E$10),--(INDEX(Sims!$A1418:$BO1418,'Entry Builder'!$L$10)&gt;'Entry Builder'!$E$10)))</f>
        <v/>
      </c>
      <c r="E1418">
        <f>IF('Entry Builder'!$N$11=0,1,IF('Entry Builder'!$D$11="Less",--(INDEX(Sims!$A1418:$BO1418,'Entry Builder'!$L$11)&lt;'Entry Builder'!$E$11),--(INDEX(Sims!$A1418:$BO1418,'Entry Builder'!$L$11)&gt;'Entry Builder'!$E$11)))</f>
        <v/>
      </c>
      <c r="F1418">
        <f>IF('Entry Builder'!$N$12=0,1,IF('Entry Builder'!$D$12="Less",--(INDEX(Sims!$A1418:$BO1418,'Entry Builder'!$L$12)&lt;'Entry Builder'!$E$12),--(INDEX(Sims!$A1418:$BO1418,'Entry Builder'!$L$12)&gt;'Entry Builder'!$E$12)))</f>
        <v/>
      </c>
      <c r="G1418">
        <f>6-SUM(A1418:F1418)</f>
        <v/>
      </c>
    </row>
    <row r="1419">
      <c r="A1419">
        <f>IF('Entry Builder'!$N$7=0,1,IF('Entry Builder'!$D$7="Less",--(INDEX(Sims!$A1419:$BO1419,'Entry Builder'!$L$7)&lt;'Entry Builder'!$E$7),--(INDEX(Sims!$A1419:$BO1419,'Entry Builder'!$L$7)&gt;'Entry Builder'!$E$7)))</f>
        <v/>
      </c>
      <c r="B1419">
        <f>IF('Entry Builder'!$N$8=0,1,IF('Entry Builder'!$D$8="Less",--(INDEX(Sims!$A1419:$BO1419,'Entry Builder'!$L$8)&lt;'Entry Builder'!$E$8),--(INDEX(Sims!$A1419:$BO1419,'Entry Builder'!$L$8)&gt;'Entry Builder'!$E$8)))</f>
        <v/>
      </c>
      <c r="C1419">
        <f>IF('Entry Builder'!$N$9=0,1,IF('Entry Builder'!$D$9="Less",--(INDEX(Sims!$A1419:$BO1419,'Entry Builder'!$L$9)&lt;'Entry Builder'!$E$9),--(INDEX(Sims!$A1419:$BO1419,'Entry Builder'!$L$9)&gt;'Entry Builder'!$E$9)))</f>
        <v/>
      </c>
      <c r="D1419">
        <f>IF('Entry Builder'!$N$10=0,1,IF('Entry Builder'!$D$10="Less",--(INDEX(Sims!$A1419:$BO1419,'Entry Builder'!$L$10)&lt;'Entry Builder'!$E$10),--(INDEX(Sims!$A1419:$BO1419,'Entry Builder'!$L$10)&gt;'Entry Builder'!$E$10)))</f>
        <v/>
      </c>
      <c r="E1419">
        <f>IF('Entry Builder'!$N$11=0,1,IF('Entry Builder'!$D$11="Less",--(INDEX(Sims!$A1419:$BO1419,'Entry Builder'!$L$11)&lt;'Entry Builder'!$E$11),--(INDEX(Sims!$A1419:$BO1419,'Entry Builder'!$L$11)&gt;'Entry Builder'!$E$11)))</f>
        <v/>
      </c>
      <c r="F1419">
        <f>IF('Entry Builder'!$N$12=0,1,IF('Entry Builder'!$D$12="Less",--(INDEX(Sims!$A1419:$BO1419,'Entry Builder'!$L$12)&lt;'Entry Builder'!$E$12),--(INDEX(Sims!$A1419:$BO1419,'Entry Builder'!$L$12)&gt;'Entry Builder'!$E$12)))</f>
        <v/>
      </c>
      <c r="G1419">
        <f>6-SUM(A1419:F1419)</f>
        <v/>
      </c>
    </row>
    <row r="1420">
      <c r="A1420">
        <f>IF('Entry Builder'!$N$7=0,1,IF('Entry Builder'!$D$7="Less",--(INDEX(Sims!$A1420:$BO1420,'Entry Builder'!$L$7)&lt;'Entry Builder'!$E$7),--(INDEX(Sims!$A1420:$BO1420,'Entry Builder'!$L$7)&gt;'Entry Builder'!$E$7)))</f>
        <v/>
      </c>
      <c r="B1420">
        <f>IF('Entry Builder'!$N$8=0,1,IF('Entry Builder'!$D$8="Less",--(INDEX(Sims!$A1420:$BO1420,'Entry Builder'!$L$8)&lt;'Entry Builder'!$E$8),--(INDEX(Sims!$A1420:$BO1420,'Entry Builder'!$L$8)&gt;'Entry Builder'!$E$8)))</f>
        <v/>
      </c>
      <c r="C1420">
        <f>IF('Entry Builder'!$N$9=0,1,IF('Entry Builder'!$D$9="Less",--(INDEX(Sims!$A1420:$BO1420,'Entry Builder'!$L$9)&lt;'Entry Builder'!$E$9),--(INDEX(Sims!$A1420:$BO1420,'Entry Builder'!$L$9)&gt;'Entry Builder'!$E$9)))</f>
        <v/>
      </c>
      <c r="D1420">
        <f>IF('Entry Builder'!$N$10=0,1,IF('Entry Builder'!$D$10="Less",--(INDEX(Sims!$A1420:$BO1420,'Entry Builder'!$L$10)&lt;'Entry Builder'!$E$10),--(INDEX(Sims!$A1420:$BO1420,'Entry Builder'!$L$10)&gt;'Entry Builder'!$E$10)))</f>
        <v/>
      </c>
      <c r="E1420">
        <f>IF('Entry Builder'!$N$11=0,1,IF('Entry Builder'!$D$11="Less",--(INDEX(Sims!$A1420:$BO1420,'Entry Builder'!$L$11)&lt;'Entry Builder'!$E$11),--(INDEX(Sims!$A1420:$BO1420,'Entry Builder'!$L$11)&gt;'Entry Builder'!$E$11)))</f>
        <v/>
      </c>
      <c r="F1420">
        <f>IF('Entry Builder'!$N$12=0,1,IF('Entry Builder'!$D$12="Less",--(INDEX(Sims!$A1420:$BO1420,'Entry Builder'!$L$12)&lt;'Entry Builder'!$E$12),--(INDEX(Sims!$A1420:$BO1420,'Entry Builder'!$L$12)&gt;'Entry Builder'!$E$12)))</f>
        <v/>
      </c>
      <c r="G1420">
        <f>6-SUM(A1420:F1420)</f>
        <v/>
      </c>
    </row>
    <row r="1421">
      <c r="A1421">
        <f>IF('Entry Builder'!$N$7=0,1,IF('Entry Builder'!$D$7="Less",--(INDEX(Sims!$A1421:$BO1421,'Entry Builder'!$L$7)&lt;'Entry Builder'!$E$7),--(INDEX(Sims!$A1421:$BO1421,'Entry Builder'!$L$7)&gt;'Entry Builder'!$E$7)))</f>
        <v/>
      </c>
      <c r="B1421">
        <f>IF('Entry Builder'!$N$8=0,1,IF('Entry Builder'!$D$8="Less",--(INDEX(Sims!$A1421:$BO1421,'Entry Builder'!$L$8)&lt;'Entry Builder'!$E$8),--(INDEX(Sims!$A1421:$BO1421,'Entry Builder'!$L$8)&gt;'Entry Builder'!$E$8)))</f>
        <v/>
      </c>
      <c r="C1421">
        <f>IF('Entry Builder'!$N$9=0,1,IF('Entry Builder'!$D$9="Less",--(INDEX(Sims!$A1421:$BO1421,'Entry Builder'!$L$9)&lt;'Entry Builder'!$E$9),--(INDEX(Sims!$A1421:$BO1421,'Entry Builder'!$L$9)&gt;'Entry Builder'!$E$9)))</f>
        <v/>
      </c>
      <c r="D1421">
        <f>IF('Entry Builder'!$N$10=0,1,IF('Entry Builder'!$D$10="Less",--(INDEX(Sims!$A1421:$BO1421,'Entry Builder'!$L$10)&lt;'Entry Builder'!$E$10),--(INDEX(Sims!$A1421:$BO1421,'Entry Builder'!$L$10)&gt;'Entry Builder'!$E$10)))</f>
        <v/>
      </c>
      <c r="E1421">
        <f>IF('Entry Builder'!$N$11=0,1,IF('Entry Builder'!$D$11="Less",--(INDEX(Sims!$A1421:$BO1421,'Entry Builder'!$L$11)&lt;'Entry Builder'!$E$11),--(INDEX(Sims!$A1421:$BO1421,'Entry Builder'!$L$11)&gt;'Entry Builder'!$E$11)))</f>
        <v/>
      </c>
      <c r="F1421">
        <f>IF('Entry Builder'!$N$12=0,1,IF('Entry Builder'!$D$12="Less",--(INDEX(Sims!$A1421:$BO1421,'Entry Builder'!$L$12)&lt;'Entry Builder'!$E$12),--(INDEX(Sims!$A1421:$BO1421,'Entry Builder'!$L$12)&gt;'Entry Builder'!$E$12)))</f>
        <v/>
      </c>
      <c r="G1421">
        <f>6-SUM(A1421:F1421)</f>
        <v/>
      </c>
    </row>
    <row r="1422">
      <c r="A1422">
        <f>IF('Entry Builder'!$N$7=0,1,IF('Entry Builder'!$D$7="Less",--(INDEX(Sims!$A1422:$BO1422,'Entry Builder'!$L$7)&lt;'Entry Builder'!$E$7),--(INDEX(Sims!$A1422:$BO1422,'Entry Builder'!$L$7)&gt;'Entry Builder'!$E$7)))</f>
        <v/>
      </c>
      <c r="B1422">
        <f>IF('Entry Builder'!$N$8=0,1,IF('Entry Builder'!$D$8="Less",--(INDEX(Sims!$A1422:$BO1422,'Entry Builder'!$L$8)&lt;'Entry Builder'!$E$8),--(INDEX(Sims!$A1422:$BO1422,'Entry Builder'!$L$8)&gt;'Entry Builder'!$E$8)))</f>
        <v/>
      </c>
      <c r="C1422">
        <f>IF('Entry Builder'!$N$9=0,1,IF('Entry Builder'!$D$9="Less",--(INDEX(Sims!$A1422:$BO1422,'Entry Builder'!$L$9)&lt;'Entry Builder'!$E$9),--(INDEX(Sims!$A1422:$BO1422,'Entry Builder'!$L$9)&gt;'Entry Builder'!$E$9)))</f>
        <v/>
      </c>
      <c r="D1422">
        <f>IF('Entry Builder'!$N$10=0,1,IF('Entry Builder'!$D$10="Less",--(INDEX(Sims!$A1422:$BO1422,'Entry Builder'!$L$10)&lt;'Entry Builder'!$E$10),--(INDEX(Sims!$A1422:$BO1422,'Entry Builder'!$L$10)&gt;'Entry Builder'!$E$10)))</f>
        <v/>
      </c>
      <c r="E1422">
        <f>IF('Entry Builder'!$N$11=0,1,IF('Entry Builder'!$D$11="Less",--(INDEX(Sims!$A1422:$BO1422,'Entry Builder'!$L$11)&lt;'Entry Builder'!$E$11),--(INDEX(Sims!$A1422:$BO1422,'Entry Builder'!$L$11)&gt;'Entry Builder'!$E$11)))</f>
        <v/>
      </c>
      <c r="F1422">
        <f>IF('Entry Builder'!$N$12=0,1,IF('Entry Builder'!$D$12="Less",--(INDEX(Sims!$A1422:$BO1422,'Entry Builder'!$L$12)&lt;'Entry Builder'!$E$12),--(INDEX(Sims!$A1422:$BO1422,'Entry Builder'!$L$12)&gt;'Entry Builder'!$E$12)))</f>
        <v/>
      </c>
      <c r="G1422">
        <f>6-SUM(A1422:F1422)</f>
        <v/>
      </c>
    </row>
    <row r="1423">
      <c r="A1423">
        <f>IF('Entry Builder'!$N$7=0,1,IF('Entry Builder'!$D$7="Less",--(INDEX(Sims!$A1423:$BO1423,'Entry Builder'!$L$7)&lt;'Entry Builder'!$E$7),--(INDEX(Sims!$A1423:$BO1423,'Entry Builder'!$L$7)&gt;'Entry Builder'!$E$7)))</f>
        <v/>
      </c>
      <c r="B1423">
        <f>IF('Entry Builder'!$N$8=0,1,IF('Entry Builder'!$D$8="Less",--(INDEX(Sims!$A1423:$BO1423,'Entry Builder'!$L$8)&lt;'Entry Builder'!$E$8),--(INDEX(Sims!$A1423:$BO1423,'Entry Builder'!$L$8)&gt;'Entry Builder'!$E$8)))</f>
        <v/>
      </c>
      <c r="C1423">
        <f>IF('Entry Builder'!$N$9=0,1,IF('Entry Builder'!$D$9="Less",--(INDEX(Sims!$A1423:$BO1423,'Entry Builder'!$L$9)&lt;'Entry Builder'!$E$9),--(INDEX(Sims!$A1423:$BO1423,'Entry Builder'!$L$9)&gt;'Entry Builder'!$E$9)))</f>
        <v/>
      </c>
      <c r="D1423">
        <f>IF('Entry Builder'!$N$10=0,1,IF('Entry Builder'!$D$10="Less",--(INDEX(Sims!$A1423:$BO1423,'Entry Builder'!$L$10)&lt;'Entry Builder'!$E$10),--(INDEX(Sims!$A1423:$BO1423,'Entry Builder'!$L$10)&gt;'Entry Builder'!$E$10)))</f>
        <v/>
      </c>
      <c r="E1423">
        <f>IF('Entry Builder'!$N$11=0,1,IF('Entry Builder'!$D$11="Less",--(INDEX(Sims!$A1423:$BO1423,'Entry Builder'!$L$11)&lt;'Entry Builder'!$E$11),--(INDEX(Sims!$A1423:$BO1423,'Entry Builder'!$L$11)&gt;'Entry Builder'!$E$11)))</f>
        <v/>
      </c>
      <c r="F1423">
        <f>IF('Entry Builder'!$N$12=0,1,IF('Entry Builder'!$D$12="Less",--(INDEX(Sims!$A1423:$BO1423,'Entry Builder'!$L$12)&lt;'Entry Builder'!$E$12),--(INDEX(Sims!$A1423:$BO1423,'Entry Builder'!$L$12)&gt;'Entry Builder'!$E$12)))</f>
        <v/>
      </c>
      <c r="G1423">
        <f>6-SUM(A1423:F1423)</f>
        <v/>
      </c>
    </row>
    <row r="1424">
      <c r="A1424">
        <f>IF('Entry Builder'!$N$7=0,1,IF('Entry Builder'!$D$7="Less",--(INDEX(Sims!$A1424:$BO1424,'Entry Builder'!$L$7)&lt;'Entry Builder'!$E$7),--(INDEX(Sims!$A1424:$BO1424,'Entry Builder'!$L$7)&gt;'Entry Builder'!$E$7)))</f>
        <v/>
      </c>
      <c r="B1424">
        <f>IF('Entry Builder'!$N$8=0,1,IF('Entry Builder'!$D$8="Less",--(INDEX(Sims!$A1424:$BO1424,'Entry Builder'!$L$8)&lt;'Entry Builder'!$E$8),--(INDEX(Sims!$A1424:$BO1424,'Entry Builder'!$L$8)&gt;'Entry Builder'!$E$8)))</f>
        <v/>
      </c>
      <c r="C1424">
        <f>IF('Entry Builder'!$N$9=0,1,IF('Entry Builder'!$D$9="Less",--(INDEX(Sims!$A1424:$BO1424,'Entry Builder'!$L$9)&lt;'Entry Builder'!$E$9),--(INDEX(Sims!$A1424:$BO1424,'Entry Builder'!$L$9)&gt;'Entry Builder'!$E$9)))</f>
        <v/>
      </c>
      <c r="D1424">
        <f>IF('Entry Builder'!$N$10=0,1,IF('Entry Builder'!$D$10="Less",--(INDEX(Sims!$A1424:$BO1424,'Entry Builder'!$L$10)&lt;'Entry Builder'!$E$10),--(INDEX(Sims!$A1424:$BO1424,'Entry Builder'!$L$10)&gt;'Entry Builder'!$E$10)))</f>
        <v/>
      </c>
      <c r="E1424">
        <f>IF('Entry Builder'!$N$11=0,1,IF('Entry Builder'!$D$11="Less",--(INDEX(Sims!$A1424:$BO1424,'Entry Builder'!$L$11)&lt;'Entry Builder'!$E$11),--(INDEX(Sims!$A1424:$BO1424,'Entry Builder'!$L$11)&gt;'Entry Builder'!$E$11)))</f>
        <v/>
      </c>
      <c r="F1424">
        <f>IF('Entry Builder'!$N$12=0,1,IF('Entry Builder'!$D$12="Less",--(INDEX(Sims!$A1424:$BO1424,'Entry Builder'!$L$12)&lt;'Entry Builder'!$E$12),--(INDEX(Sims!$A1424:$BO1424,'Entry Builder'!$L$12)&gt;'Entry Builder'!$E$12)))</f>
        <v/>
      </c>
      <c r="G1424">
        <f>6-SUM(A1424:F1424)</f>
        <v/>
      </c>
    </row>
    <row r="1425">
      <c r="A1425">
        <f>IF('Entry Builder'!$N$7=0,1,IF('Entry Builder'!$D$7="Less",--(INDEX(Sims!$A1425:$BO1425,'Entry Builder'!$L$7)&lt;'Entry Builder'!$E$7),--(INDEX(Sims!$A1425:$BO1425,'Entry Builder'!$L$7)&gt;'Entry Builder'!$E$7)))</f>
        <v/>
      </c>
      <c r="B1425">
        <f>IF('Entry Builder'!$N$8=0,1,IF('Entry Builder'!$D$8="Less",--(INDEX(Sims!$A1425:$BO1425,'Entry Builder'!$L$8)&lt;'Entry Builder'!$E$8),--(INDEX(Sims!$A1425:$BO1425,'Entry Builder'!$L$8)&gt;'Entry Builder'!$E$8)))</f>
        <v/>
      </c>
      <c r="C1425">
        <f>IF('Entry Builder'!$N$9=0,1,IF('Entry Builder'!$D$9="Less",--(INDEX(Sims!$A1425:$BO1425,'Entry Builder'!$L$9)&lt;'Entry Builder'!$E$9),--(INDEX(Sims!$A1425:$BO1425,'Entry Builder'!$L$9)&gt;'Entry Builder'!$E$9)))</f>
        <v/>
      </c>
      <c r="D1425">
        <f>IF('Entry Builder'!$N$10=0,1,IF('Entry Builder'!$D$10="Less",--(INDEX(Sims!$A1425:$BO1425,'Entry Builder'!$L$10)&lt;'Entry Builder'!$E$10),--(INDEX(Sims!$A1425:$BO1425,'Entry Builder'!$L$10)&gt;'Entry Builder'!$E$10)))</f>
        <v/>
      </c>
      <c r="E1425">
        <f>IF('Entry Builder'!$N$11=0,1,IF('Entry Builder'!$D$11="Less",--(INDEX(Sims!$A1425:$BO1425,'Entry Builder'!$L$11)&lt;'Entry Builder'!$E$11),--(INDEX(Sims!$A1425:$BO1425,'Entry Builder'!$L$11)&gt;'Entry Builder'!$E$11)))</f>
        <v/>
      </c>
      <c r="F1425">
        <f>IF('Entry Builder'!$N$12=0,1,IF('Entry Builder'!$D$12="Less",--(INDEX(Sims!$A1425:$BO1425,'Entry Builder'!$L$12)&lt;'Entry Builder'!$E$12),--(INDEX(Sims!$A1425:$BO1425,'Entry Builder'!$L$12)&gt;'Entry Builder'!$E$12)))</f>
        <v/>
      </c>
      <c r="G1425">
        <f>6-SUM(A1425:F1425)</f>
        <v/>
      </c>
    </row>
    <row r="1426">
      <c r="A1426">
        <f>IF('Entry Builder'!$N$7=0,1,IF('Entry Builder'!$D$7="Less",--(INDEX(Sims!$A1426:$BO1426,'Entry Builder'!$L$7)&lt;'Entry Builder'!$E$7),--(INDEX(Sims!$A1426:$BO1426,'Entry Builder'!$L$7)&gt;'Entry Builder'!$E$7)))</f>
        <v/>
      </c>
      <c r="B1426">
        <f>IF('Entry Builder'!$N$8=0,1,IF('Entry Builder'!$D$8="Less",--(INDEX(Sims!$A1426:$BO1426,'Entry Builder'!$L$8)&lt;'Entry Builder'!$E$8),--(INDEX(Sims!$A1426:$BO1426,'Entry Builder'!$L$8)&gt;'Entry Builder'!$E$8)))</f>
        <v/>
      </c>
      <c r="C1426">
        <f>IF('Entry Builder'!$N$9=0,1,IF('Entry Builder'!$D$9="Less",--(INDEX(Sims!$A1426:$BO1426,'Entry Builder'!$L$9)&lt;'Entry Builder'!$E$9),--(INDEX(Sims!$A1426:$BO1426,'Entry Builder'!$L$9)&gt;'Entry Builder'!$E$9)))</f>
        <v/>
      </c>
      <c r="D1426">
        <f>IF('Entry Builder'!$N$10=0,1,IF('Entry Builder'!$D$10="Less",--(INDEX(Sims!$A1426:$BO1426,'Entry Builder'!$L$10)&lt;'Entry Builder'!$E$10),--(INDEX(Sims!$A1426:$BO1426,'Entry Builder'!$L$10)&gt;'Entry Builder'!$E$10)))</f>
        <v/>
      </c>
      <c r="E1426">
        <f>IF('Entry Builder'!$N$11=0,1,IF('Entry Builder'!$D$11="Less",--(INDEX(Sims!$A1426:$BO1426,'Entry Builder'!$L$11)&lt;'Entry Builder'!$E$11),--(INDEX(Sims!$A1426:$BO1426,'Entry Builder'!$L$11)&gt;'Entry Builder'!$E$11)))</f>
        <v/>
      </c>
      <c r="F1426">
        <f>IF('Entry Builder'!$N$12=0,1,IF('Entry Builder'!$D$12="Less",--(INDEX(Sims!$A1426:$BO1426,'Entry Builder'!$L$12)&lt;'Entry Builder'!$E$12),--(INDEX(Sims!$A1426:$BO1426,'Entry Builder'!$L$12)&gt;'Entry Builder'!$E$12)))</f>
        <v/>
      </c>
      <c r="G1426">
        <f>6-SUM(A1426:F1426)</f>
        <v/>
      </c>
    </row>
    <row r="1427">
      <c r="A1427">
        <f>IF('Entry Builder'!$N$7=0,1,IF('Entry Builder'!$D$7="Less",--(INDEX(Sims!$A1427:$BO1427,'Entry Builder'!$L$7)&lt;'Entry Builder'!$E$7),--(INDEX(Sims!$A1427:$BO1427,'Entry Builder'!$L$7)&gt;'Entry Builder'!$E$7)))</f>
        <v/>
      </c>
      <c r="B1427">
        <f>IF('Entry Builder'!$N$8=0,1,IF('Entry Builder'!$D$8="Less",--(INDEX(Sims!$A1427:$BO1427,'Entry Builder'!$L$8)&lt;'Entry Builder'!$E$8),--(INDEX(Sims!$A1427:$BO1427,'Entry Builder'!$L$8)&gt;'Entry Builder'!$E$8)))</f>
        <v/>
      </c>
      <c r="C1427">
        <f>IF('Entry Builder'!$N$9=0,1,IF('Entry Builder'!$D$9="Less",--(INDEX(Sims!$A1427:$BO1427,'Entry Builder'!$L$9)&lt;'Entry Builder'!$E$9),--(INDEX(Sims!$A1427:$BO1427,'Entry Builder'!$L$9)&gt;'Entry Builder'!$E$9)))</f>
        <v/>
      </c>
      <c r="D1427">
        <f>IF('Entry Builder'!$N$10=0,1,IF('Entry Builder'!$D$10="Less",--(INDEX(Sims!$A1427:$BO1427,'Entry Builder'!$L$10)&lt;'Entry Builder'!$E$10),--(INDEX(Sims!$A1427:$BO1427,'Entry Builder'!$L$10)&gt;'Entry Builder'!$E$10)))</f>
        <v/>
      </c>
      <c r="E1427">
        <f>IF('Entry Builder'!$N$11=0,1,IF('Entry Builder'!$D$11="Less",--(INDEX(Sims!$A1427:$BO1427,'Entry Builder'!$L$11)&lt;'Entry Builder'!$E$11),--(INDEX(Sims!$A1427:$BO1427,'Entry Builder'!$L$11)&gt;'Entry Builder'!$E$11)))</f>
        <v/>
      </c>
      <c r="F1427">
        <f>IF('Entry Builder'!$N$12=0,1,IF('Entry Builder'!$D$12="Less",--(INDEX(Sims!$A1427:$BO1427,'Entry Builder'!$L$12)&lt;'Entry Builder'!$E$12),--(INDEX(Sims!$A1427:$BO1427,'Entry Builder'!$L$12)&gt;'Entry Builder'!$E$12)))</f>
        <v/>
      </c>
      <c r="G1427">
        <f>6-SUM(A1427:F1427)</f>
        <v/>
      </c>
    </row>
    <row r="1428">
      <c r="A1428">
        <f>IF('Entry Builder'!$N$7=0,1,IF('Entry Builder'!$D$7="Less",--(INDEX(Sims!$A1428:$BO1428,'Entry Builder'!$L$7)&lt;'Entry Builder'!$E$7),--(INDEX(Sims!$A1428:$BO1428,'Entry Builder'!$L$7)&gt;'Entry Builder'!$E$7)))</f>
        <v/>
      </c>
      <c r="B1428">
        <f>IF('Entry Builder'!$N$8=0,1,IF('Entry Builder'!$D$8="Less",--(INDEX(Sims!$A1428:$BO1428,'Entry Builder'!$L$8)&lt;'Entry Builder'!$E$8),--(INDEX(Sims!$A1428:$BO1428,'Entry Builder'!$L$8)&gt;'Entry Builder'!$E$8)))</f>
        <v/>
      </c>
      <c r="C1428">
        <f>IF('Entry Builder'!$N$9=0,1,IF('Entry Builder'!$D$9="Less",--(INDEX(Sims!$A1428:$BO1428,'Entry Builder'!$L$9)&lt;'Entry Builder'!$E$9),--(INDEX(Sims!$A1428:$BO1428,'Entry Builder'!$L$9)&gt;'Entry Builder'!$E$9)))</f>
        <v/>
      </c>
      <c r="D1428">
        <f>IF('Entry Builder'!$N$10=0,1,IF('Entry Builder'!$D$10="Less",--(INDEX(Sims!$A1428:$BO1428,'Entry Builder'!$L$10)&lt;'Entry Builder'!$E$10),--(INDEX(Sims!$A1428:$BO1428,'Entry Builder'!$L$10)&gt;'Entry Builder'!$E$10)))</f>
        <v/>
      </c>
      <c r="E1428">
        <f>IF('Entry Builder'!$N$11=0,1,IF('Entry Builder'!$D$11="Less",--(INDEX(Sims!$A1428:$BO1428,'Entry Builder'!$L$11)&lt;'Entry Builder'!$E$11),--(INDEX(Sims!$A1428:$BO1428,'Entry Builder'!$L$11)&gt;'Entry Builder'!$E$11)))</f>
        <v/>
      </c>
      <c r="F1428">
        <f>IF('Entry Builder'!$N$12=0,1,IF('Entry Builder'!$D$12="Less",--(INDEX(Sims!$A1428:$BO1428,'Entry Builder'!$L$12)&lt;'Entry Builder'!$E$12),--(INDEX(Sims!$A1428:$BO1428,'Entry Builder'!$L$12)&gt;'Entry Builder'!$E$12)))</f>
        <v/>
      </c>
      <c r="G1428">
        <f>6-SUM(A1428:F1428)</f>
        <v/>
      </c>
    </row>
    <row r="1429">
      <c r="A1429">
        <f>IF('Entry Builder'!$N$7=0,1,IF('Entry Builder'!$D$7="Less",--(INDEX(Sims!$A1429:$BO1429,'Entry Builder'!$L$7)&lt;'Entry Builder'!$E$7),--(INDEX(Sims!$A1429:$BO1429,'Entry Builder'!$L$7)&gt;'Entry Builder'!$E$7)))</f>
        <v/>
      </c>
      <c r="B1429">
        <f>IF('Entry Builder'!$N$8=0,1,IF('Entry Builder'!$D$8="Less",--(INDEX(Sims!$A1429:$BO1429,'Entry Builder'!$L$8)&lt;'Entry Builder'!$E$8),--(INDEX(Sims!$A1429:$BO1429,'Entry Builder'!$L$8)&gt;'Entry Builder'!$E$8)))</f>
        <v/>
      </c>
      <c r="C1429">
        <f>IF('Entry Builder'!$N$9=0,1,IF('Entry Builder'!$D$9="Less",--(INDEX(Sims!$A1429:$BO1429,'Entry Builder'!$L$9)&lt;'Entry Builder'!$E$9),--(INDEX(Sims!$A1429:$BO1429,'Entry Builder'!$L$9)&gt;'Entry Builder'!$E$9)))</f>
        <v/>
      </c>
      <c r="D1429">
        <f>IF('Entry Builder'!$N$10=0,1,IF('Entry Builder'!$D$10="Less",--(INDEX(Sims!$A1429:$BO1429,'Entry Builder'!$L$10)&lt;'Entry Builder'!$E$10),--(INDEX(Sims!$A1429:$BO1429,'Entry Builder'!$L$10)&gt;'Entry Builder'!$E$10)))</f>
        <v/>
      </c>
      <c r="E1429">
        <f>IF('Entry Builder'!$N$11=0,1,IF('Entry Builder'!$D$11="Less",--(INDEX(Sims!$A1429:$BO1429,'Entry Builder'!$L$11)&lt;'Entry Builder'!$E$11),--(INDEX(Sims!$A1429:$BO1429,'Entry Builder'!$L$11)&gt;'Entry Builder'!$E$11)))</f>
        <v/>
      </c>
      <c r="F1429">
        <f>IF('Entry Builder'!$N$12=0,1,IF('Entry Builder'!$D$12="Less",--(INDEX(Sims!$A1429:$BO1429,'Entry Builder'!$L$12)&lt;'Entry Builder'!$E$12),--(INDEX(Sims!$A1429:$BO1429,'Entry Builder'!$L$12)&gt;'Entry Builder'!$E$12)))</f>
        <v/>
      </c>
      <c r="G1429">
        <f>6-SUM(A1429:F1429)</f>
        <v/>
      </c>
    </row>
    <row r="1430">
      <c r="A1430">
        <f>IF('Entry Builder'!$N$7=0,1,IF('Entry Builder'!$D$7="Less",--(INDEX(Sims!$A1430:$BO1430,'Entry Builder'!$L$7)&lt;'Entry Builder'!$E$7),--(INDEX(Sims!$A1430:$BO1430,'Entry Builder'!$L$7)&gt;'Entry Builder'!$E$7)))</f>
        <v/>
      </c>
      <c r="B1430">
        <f>IF('Entry Builder'!$N$8=0,1,IF('Entry Builder'!$D$8="Less",--(INDEX(Sims!$A1430:$BO1430,'Entry Builder'!$L$8)&lt;'Entry Builder'!$E$8),--(INDEX(Sims!$A1430:$BO1430,'Entry Builder'!$L$8)&gt;'Entry Builder'!$E$8)))</f>
        <v/>
      </c>
      <c r="C1430">
        <f>IF('Entry Builder'!$N$9=0,1,IF('Entry Builder'!$D$9="Less",--(INDEX(Sims!$A1430:$BO1430,'Entry Builder'!$L$9)&lt;'Entry Builder'!$E$9),--(INDEX(Sims!$A1430:$BO1430,'Entry Builder'!$L$9)&gt;'Entry Builder'!$E$9)))</f>
        <v/>
      </c>
      <c r="D1430">
        <f>IF('Entry Builder'!$N$10=0,1,IF('Entry Builder'!$D$10="Less",--(INDEX(Sims!$A1430:$BO1430,'Entry Builder'!$L$10)&lt;'Entry Builder'!$E$10),--(INDEX(Sims!$A1430:$BO1430,'Entry Builder'!$L$10)&gt;'Entry Builder'!$E$10)))</f>
        <v/>
      </c>
      <c r="E1430">
        <f>IF('Entry Builder'!$N$11=0,1,IF('Entry Builder'!$D$11="Less",--(INDEX(Sims!$A1430:$BO1430,'Entry Builder'!$L$11)&lt;'Entry Builder'!$E$11),--(INDEX(Sims!$A1430:$BO1430,'Entry Builder'!$L$11)&gt;'Entry Builder'!$E$11)))</f>
        <v/>
      </c>
      <c r="F1430">
        <f>IF('Entry Builder'!$N$12=0,1,IF('Entry Builder'!$D$12="Less",--(INDEX(Sims!$A1430:$BO1430,'Entry Builder'!$L$12)&lt;'Entry Builder'!$E$12),--(INDEX(Sims!$A1430:$BO1430,'Entry Builder'!$L$12)&gt;'Entry Builder'!$E$12)))</f>
        <v/>
      </c>
      <c r="G1430">
        <f>6-SUM(A1430:F1430)</f>
        <v/>
      </c>
    </row>
    <row r="1431">
      <c r="A1431">
        <f>IF('Entry Builder'!$N$7=0,1,IF('Entry Builder'!$D$7="Less",--(INDEX(Sims!$A1431:$BO1431,'Entry Builder'!$L$7)&lt;'Entry Builder'!$E$7),--(INDEX(Sims!$A1431:$BO1431,'Entry Builder'!$L$7)&gt;'Entry Builder'!$E$7)))</f>
        <v/>
      </c>
      <c r="B1431">
        <f>IF('Entry Builder'!$N$8=0,1,IF('Entry Builder'!$D$8="Less",--(INDEX(Sims!$A1431:$BO1431,'Entry Builder'!$L$8)&lt;'Entry Builder'!$E$8),--(INDEX(Sims!$A1431:$BO1431,'Entry Builder'!$L$8)&gt;'Entry Builder'!$E$8)))</f>
        <v/>
      </c>
      <c r="C1431">
        <f>IF('Entry Builder'!$N$9=0,1,IF('Entry Builder'!$D$9="Less",--(INDEX(Sims!$A1431:$BO1431,'Entry Builder'!$L$9)&lt;'Entry Builder'!$E$9),--(INDEX(Sims!$A1431:$BO1431,'Entry Builder'!$L$9)&gt;'Entry Builder'!$E$9)))</f>
        <v/>
      </c>
      <c r="D1431">
        <f>IF('Entry Builder'!$N$10=0,1,IF('Entry Builder'!$D$10="Less",--(INDEX(Sims!$A1431:$BO1431,'Entry Builder'!$L$10)&lt;'Entry Builder'!$E$10),--(INDEX(Sims!$A1431:$BO1431,'Entry Builder'!$L$10)&gt;'Entry Builder'!$E$10)))</f>
        <v/>
      </c>
      <c r="E1431">
        <f>IF('Entry Builder'!$N$11=0,1,IF('Entry Builder'!$D$11="Less",--(INDEX(Sims!$A1431:$BO1431,'Entry Builder'!$L$11)&lt;'Entry Builder'!$E$11),--(INDEX(Sims!$A1431:$BO1431,'Entry Builder'!$L$11)&gt;'Entry Builder'!$E$11)))</f>
        <v/>
      </c>
      <c r="F1431">
        <f>IF('Entry Builder'!$N$12=0,1,IF('Entry Builder'!$D$12="Less",--(INDEX(Sims!$A1431:$BO1431,'Entry Builder'!$L$12)&lt;'Entry Builder'!$E$12),--(INDEX(Sims!$A1431:$BO1431,'Entry Builder'!$L$12)&gt;'Entry Builder'!$E$12)))</f>
        <v/>
      </c>
      <c r="G1431">
        <f>6-SUM(A1431:F1431)</f>
        <v/>
      </c>
    </row>
    <row r="1432">
      <c r="A1432">
        <f>IF('Entry Builder'!$N$7=0,1,IF('Entry Builder'!$D$7="Less",--(INDEX(Sims!$A1432:$BO1432,'Entry Builder'!$L$7)&lt;'Entry Builder'!$E$7),--(INDEX(Sims!$A1432:$BO1432,'Entry Builder'!$L$7)&gt;'Entry Builder'!$E$7)))</f>
        <v/>
      </c>
      <c r="B1432">
        <f>IF('Entry Builder'!$N$8=0,1,IF('Entry Builder'!$D$8="Less",--(INDEX(Sims!$A1432:$BO1432,'Entry Builder'!$L$8)&lt;'Entry Builder'!$E$8),--(INDEX(Sims!$A1432:$BO1432,'Entry Builder'!$L$8)&gt;'Entry Builder'!$E$8)))</f>
        <v/>
      </c>
      <c r="C1432">
        <f>IF('Entry Builder'!$N$9=0,1,IF('Entry Builder'!$D$9="Less",--(INDEX(Sims!$A1432:$BO1432,'Entry Builder'!$L$9)&lt;'Entry Builder'!$E$9),--(INDEX(Sims!$A1432:$BO1432,'Entry Builder'!$L$9)&gt;'Entry Builder'!$E$9)))</f>
        <v/>
      </c>
      <c r="D1432">
        <f>IF('Entry Builder'!$N$10=0,1,IF('Entry Builder'!$D$10="Less",--(INDEX(Sims!$A1432:$BO1432,'Entry Builder'!$L$10)&lt;'Entry Builder'!$E$10),--(INDEX(Sims!$A1432:$BO1432,'Entry Builder'!$L$10)&gt;'Entry Builder'!$E$10)))</f>
        <v/>
      </c>
      <c r="E1432">
        <f>IF('Entry Builder'!$N$11=0,1,IF('Entry Builder'!$D$11="Less",--(INDEX(Sims!$A1432:$BO1432,'Entry Builder'!$L$11)&lt;'Entry Builder'!$E$11),--(INDEX(Sims!$A1432:$BO1432,'Entry Builder'!$L$11)&gt;'Entry Builder'!$E$11)))</f>
        <v/>
      </c>
      <c r="F1432">
        <f>IF('Entry Builder'!$N$12=0,1,IF('Entry Builder'!$D$12="Less",--(INDEX(Sims!$A1432:$BO1432,'Entry Builder'!$L$12)&lt;'Entry Builder'!$E$12),--(INDEX(Sims!$A1432:$BO1432,'Entry Builder'!$L$12)&gt;'Entry Builder'!$E$12)))</f>
        <v/>
      </c>
      <c r="G1432">
        <f>6-SUM(A1432:F1432)</f>
        <v/>
      </c>
    </row>
    <row r="1433">
      <c r="A1433">
        <f>IF('Entry Builder'!$N$7=0,1,IF('Entry Builder'!$D$7="Less",--(INDEX(Sims!$A1433:$BO1433,'Entry Builder'!$L$7)&lt;'Entry Builder'!$E$7),--(INDEX(Sims!$A1433:$BO1433,'Entry Builder'!$L$7)&gt;'Entry Builder'!$E$7)))</f>
        <v/>
      </c>
      <c r="B1433">
        <f>IF('Entry Builder'!$N$8=0,1,IF('Entry Builder'!$D$8="Less",--(INDEX(Sims!$A1433:$BO1433,'Entry Builder'!$L$8)&lt;'Entry Builder'!$E$8),--(INDEX(Sims!$A1433:$BO1433,'Entry Builder'!$L$8)&gt;'Entry Builder'!$E$8)))</f>
        <v/>
      </c>
      <c r="C1433">
        <f>IF('Entry Builder'!$N$9=0,1,IF('Entry Builder'!$D$9="Less",--(INDEX(Sims!$A1433:$BO1433,'Entry Builder'!$L$9)&lt;'Entry Builder'!$E$9),--(INDEX(Sims!$A1433:$BO1433,'Entry Builder'!$L$9)&gt;'Entry Builder'!$E$9)))</f>
        <v/>
      </c>
      <c r="D1433">
        <f>IF('Entry Builder'!$N$10=0,1,IF('Entry Builder'!$D$10="Less",--(INDEX(Sims!$A1433:$BO1433,'Entry Builder'!$L$10)&lt;'Entry Builder'!$E$10),--(INDEX(Sims!$A1433:$BO1433,'Entry Builder'!$L$10)&gt;'Entry Builder'!$E$10)))</f>
        <v/>
      </c>
      <c r="E1433">
        <f>IF('Entry Builder'!$N$11=0,1,IF('Entry Builder'!$D$11="Less",--(INDEX(Sims!$A1433:$BO1433,'Entry Builder'!$L$11)&lt;'Entry Builder'!$E$11),--(INDEX(Sims!$A1433:$BO1433,'Entry Builder'!$L$11)&gt;'Entry Builder'!$E$11)))</f>
        <v/>
      </c>
      <c r="F1433">
        <f>IF('Entry Builder'!$N$12=0,1,IF('Entry Builder'!$D$12="Less",--(INDEX(Sims!$A1433:$BO1433,'Entry Builder'!$L$12)&lt;'Entry Builder'!$E$12),--(INDEX(Sims!$A1433:$BO1433,'Entry Builder'!$L$12)&gt;'Entry Builder'!$E$12)))</f>
        <v/>
      </c>
      <c r="G1433">
        <f>6-SUM(A1433:F1433)</f>
        <v/>
      </c>
    </row>
    <row r="1434">
      <c r="A1434">
        <f>IF('Entry Builder'!$N$7=0,1,IF('Entry Builder'!$D$7="Less",--(INDEX(Sims!$A1434:$BO1434,'Entry Builder'!$L$7)&lt;'Entry Builder'!$E$7),--(INDEX(Sims!$A1434:$BO1434,'Entry Builder'!$L$7)&gt;'Entry Builder'!$E$7)))</f>
        <v/>
      </c>
      <c r="B1434">
        <f>IF('Entry Builder'!$N$8=0,1,IF('Entry Builder'!$D$8="Less",--(INDEX(Sims!$A1434:$BO1434,'Entry Builder'!$L$8)&lt;'Entry Builder'!$E$8),--(INDEX(Sims!$A1434:$BO1434,'Entry Builder'!$L$8)&gt;'Entry Builder'!$E$8)))</f>
        <v/>
      </c>
      <c r="C1434">
        <f>IF('Entry Builder'!$N$9=0,1,IF('Entry Builder'!$D$9="Less",--(INDEX(Sims!$A1434:$BO1434,'Entry Builder'!$L$9)&lt;'Entry Builder'!$E$9),--(INDEX(Sims!$A1434:$BO1434,'Entry Builder'!$L$9)&gt;'Entry Builder'!$E$9)))</f>
        <v/>
      </c>
      <c r="D1434">
        <f>IF('Entry Builder'!$N$10=0,1,IF('Entry Builder'!$D$10="Less",--(INDEX(Sims!$A1434:$BO1434,'Entry Builder'!$L$10)&lt;'Entry Builder'!$E$10),--(INDEX(Sims!$A1434:$BO1434,'Entry Builder'!$L$10)&gt;'Entry Builder'!$E$10)))</f>
        <v/>
      </c>
      <c r="E1434">
        <f>IF('Entry Builder'!$N$11=0,1,IF('Entry Builder'!$D$11="Less",--(INDEX(Sims!$A1434:$BO1434,'Entry Builder'!$L$11)&lt;'Entry Builder'!$E$11),--(INDEX(Sims!$A1434:$BO1434,'Entry Builder'!$L$11)&gt;'Entry Builder'!$E$11)))</f>
        <v/>
      </c>
      <c r="F1434">
        <f>IF('Entry Builder'!$N$12=0,1,IF('Entry Builder'!$D$12="Less",--(INDEX(Sims!$A1434:$BO1434,'Entry Builder'!$L$12)&lt;'Entry Builder'!$E$12),--(INDEX(Sims!$A1434:$BO1434,'Entry Builder'!$L$12)&gt;'Entry Builder'!$E$12)))</f>
        <v/>
      </c>
      <c r="G1434">
        <f>6-SUM(A1434:F1434)</f>
        <v/>
      </c>
    </row>
    <row r="1435">
      <c r="A1435">
        <f>IF('Entry Builder'!$N$7=0,1,IF('Entry Builder'!$D$7="Less",--(INDEX(Sims!$A1435:$BO1435,'Entry Builder'!$L$7)&lt;'Entry Builder'!$E$7),--(INDEX(Sims!$A1435:$BO1435,'Entry Builder'!$L$7)&gt;'Entry Builder'!$E$7)))</f>
        <v/>
      </c>
      <c r="B1435">
        <f>IF('Entry Builder'!$N$8=0,1,IF('Entry Builder'!$D$8="Less",--(INDEX(Sims!$A1435:$BO1435,'Entry Builder'!$L$8)&lt;'Entry Builder'!$E$8),--(INDEX(Sims!$A1435:$BO1435,'Entry Builder'!$L$8)&gt;'Entry Builder'!$E$8)))</f>
        <v/>
      </c>
      <c r="C1435">
        <f>IF('Entry Builder'!$N$9=0,1,IF('Entry Builder'!$D$9="Less",--(INDEX(Sims!$A1435:$BO1435,'Entry Builder'!$L$9)&lt;'Entry Builder'!$E$9),--(INDEX(Sims!$A1435:$BO1435,'Entry Builder'!$L$9)&gt;'Entry Builder'!$E$9)))</f>
        <v/>
      </c>
      <c r="D1435">
        <f>IF('Entry Builder'!$N$10=0,1,IF('Entry Builder'!$D$10="Less",--(INDEX(Sims!$A1435:$BO1435,'Entry Builder'!$L$10)&lt;'Entry Builder'!$E$10),--(INDEX(Sims!$A1435:$BO1435,'Entry Builder'!$L$10)&gt;'Entry Builder'!$E$10)))</f>
        <v/>
      </c>
      <c r="E1435">
        <f>IF('Entry Builder'!$N$11=0,1,IF('Entry Builder'!$D$11="Less",--(INDEX(Sims!$A1435:$BO1435,'Entry Builder'!$L$11)&lt;'Entry Builder'!$E$11),--(INDEX(Sims!$A1435:$BO1435,'Entry Builder'!$L$11)&gt;'Entry Builder'!$E$11)))</f>
        <v/>
      </c>
      <c r="F1435">
        <f>IF('Entry Builder'!$N$12=0,1,IF('Entry Builder'!$D$12="Less",--(INDEX(Sims!$A1435:$BO1435,'Entry Builder'!$L$12)&lt;'Entry Builder'!$E$12),--(INDEX(Sims!$A1435:$BO1435,'Entry Builder'!$L$12)&gt;'Entry Builder'!$E$12)))</f>
        <v/>
      </c>
      <c r="G1435">
        <f>6-SUM(A1435:F1435)</f>
        <v/>
      </c>
    </row>
    <row r="1436">
      <c r="A1436">
        <f>IF('Entry Builder'!$N$7=0,1,IF('Entry Builder'!$D$7="Less",--(INDEX(Sims!$A1436:$BO1436,'Entry Builder'!$L$7)&lt;'Entry Builder'!$E$7),--(INDEX(Sims!$A1436:$BO1436,'Entry Builder'!$L$7)&gt;'Entry Builder'!$E$7)))</f>
        <v/>
      </c>
      <c r="B1436">
        <f>IF('Entry Builder'!$N$8=0,1,IF('Entry Builder'!$D$8="Less",--(INDEX(Sims!$A1436:$BO1436,'Entry Builder'!$L$8)&lt;'Entry Builder'!$E$8),--(INDEX(Sims!$A1436:$BO1436,'Entry Builder'!$L$8)&gt;'Entry Builder'!$E$8)))</f>
        <v/>
      </c>
      <c r="C1436">
        <f>IF('Entry Builder'!$N$9=0,1,IF('Entry Builder'!$D$9="Less",--(INDEX(Sims!$A1436:$BO1436,'Entry Builder'!$L$9)&lt;'Entry Builder'!$E$9),--(INDEX(Sims!$A1436:$BO1436,'Entry Builder'!$L$9)&gt;'Entry Builder'!$E$9)))</f>
        <v/>
      </c>
      <c r="D1436">
        <f>IF('Entry Builder'!$N$10=0,1,IF('Entry Builder'!$D$10="Less",--(INDEX(Sims!$A1436:$BO1436,'Entry Builder'!$L$10)&lt;'Entry Builder'!$E$10),--(INDEX(Sims!$A1436:$BO1436,'Entry Builder'!$L$10)&gt;'Entry Builder'!$E$10)))</f>
        <v/>
      </c>
      <c r="E1436">
        <f>IF('Entry Builder'!$N$11=0,1,IF('Entry Builder'!$D$11="Less",--(INDEX(Sims!$A1436:$BO1436,'Entry Builder'!$L$11)&lt;'Entry Builder'!$E$11),--(INDEX(Sims!$A1436:$BO1436,'Entry Builder'!$L$11)&gt;'Entry Builder'!$E$11)))</f>
        <v/>
      </c>
      <c r="F1436">
        <f>IF('Entry Builder'!$N$12=0,1,IF('Entry Builder'!$D$12="Less",--(INDEX(Sims!$A1436:$BO1436,'Entry Builder'!$L$12)&lt;'Entry Builder'!$E$12),--(INDEX(Sims!$A1436:$BO1436,'Entry Builder'!$L$12)&gt;'Entry Builder'!$E$12)))</f>
        <v/>
      </c>
      <c r="G1436">
        <f>6-SUM(A1436:F1436)</f>
        <v/>
      </c>
    </row>
    <row r="1437">
      <c r="A1437">
        <f>IF('Entry Builder'!$N$7=0,1,IF('Entry Builder'!$D$7="Less",--(INDEX(Sims!$A1437:$BO1437,'Entry Builder'!$L$7)&lt;'Entry Builder'!$E$7),--(INDEX(Sims!$A1437:$BO1437,'Entry Builder'!$L$7)&gt;'Entry Builder'!$E$7)))</f>
        <v/>
      </c>
      <c r="B1437">
        <f>IF('Entry Builder'!$N$8=0,1,IF('Entry Builder'!$D$8="Less",--(INDEX(Sims!$A1437:$BO1437,'Entry Builder'!$L$8)&lt;'Entry Builder'!$E$8),--(INDEX(Sims!$A1437:$BO1437,'Entry Builder'!$L$8)&gt;'Entry Builder'!$E$8)))</f>
        <v/>
      </c>
      <c r="C1437">
        <f>IF('Entry Builder'!$N$9=0,1,IF('Entry Builder'!$D$9="Less",--(INDEX(Sims!$A1437:$BO1437,'Entry Builder'!$L$9)&lt;'Entry Builder'!$E$9),--(INDEX(Sims!$A1437:$BO1437,'Entry Builder'!$L$9)&gt;'Entry Builder'!$E$9)))</f>
        <v/>
      </c>
      <c r="D1437">
        <f>IF('Entry Builder'!$N$10=0,1,IF('Entry Builder'!$D$10="Less",--(INDEX(Sims!$A1437:$BO1437,'Entry Builder'!$L$10)&lt;'Entry Builder'!$E$10),--(INDEX(Sims!$A1437:$BO1437,'Entry Builder'!$L$10)&gt;'Entry Builder'!$E$10)))</f>
        <v/>
      </c>
      <c r="E1437">
        <f>IF('Entry Builder'!$N$11=0,1,IF('Entry Builder'!$D$11="Less",--(INDEX(Sims!$A1437:$BO1437,'Entry Builder'!$L$11)&lt;'Entry Builder'!$E$11),--(INDEX(Sims!$A1437:$BO1437,'Entry Builder'!$L$11)&gt;'Entry Builder'!$E$11)))</f>
        <v/>
      </c>
      <c r="F1437">
        <f>IF('Entry Builder'!$N$12=0,1,IF('Entry Builder'!$D$12="Less",--(INDEX(Sims!$A1437:$BO1437,'Entry Builder'!$L$12)&lt;'Entry Builder'!$E$12),--(INDEX(Sims!$A1437:$BO1437,'Entry Builder'!$L$12)&gt;'Entry Builder'!$E$12)))</f>
        <v/>
      </c>
      <c r="G1437">
        <f>6-SUM(A1437:F1437)</f>
        <v/>
      </c>
    </row>
    <row r="1438">
      <c r="A1438">
        <f>IF('Entry Builder'!$N$7=0,1,IF('Entry Builder'!$D$7="Less",--(INDEX(Sims!$A1438:$BO1438,'Entry Builder'!$L$7)&lt;'Entry Builder'!$E$7),--(INDEX(Sims!$A1438:$BO1438,'Entry Builder'!$L$7)&gt;'Entry Builder'!$E$7)))</f>
        <v/>
      </c>
      <c r="B1438">
        <f>IF('Entry Builder'!$N$8=0,1,IF('Entry Builder'!$D$8="Less",--(INDEX(Sims!$A1438:$BO1438,'Entry Builder'!$L$8)&lt;'Entry Builder'!$E$8),--(INDEX(Sims!$A1438:$BO1438,'Entry Builder'!$L$8)&gt;'Entry Builder'!$E$8)))</f>
        <v/>
      </c>
      <c r="C1438">
        <f>IF('Entry Builder'!$N$9=0,1,IF('Entry Builder'!$D$9="Less",--(INDEX(Sims!$A1438:$BO1438,'Entry Builder'!$L$9)&lt;'Entry Builder'!$E$9),--(INDEX(Sims!$A1438:$BO1438,'Entry Builder'!$L$9)&gt;'Entry Builder'!$E$9)))</f>
        <v/>
      </c>
      <c r="D1438">
        <f>IF('Entry Builder'!$N$10=0,1,IF('Entry Builder'!$D$10="Less",--(INDEX(Sims!$A1438:$BO1438,'Entry Builder'!$L$10)&lt;'Entry Builder'!$E$10),--(INDEX(Sims!$A1438:$BO1438,'Entry Builder'!$L$10)&gt;'Entry Builder'!$E$10)))</f>
        <v/>
      </c>
      <c r="E1438">
        <f>IF('Entry Builder'!$N$11=0,1,IF('Entry Builder'!$D$11="Less",--(INDEX(Sims!$A1438:$BO1438,'Entry Builder'!$L$11)&lt;'Entry Builder'!$E$11),--(INDEX(Sims!$A1438:$BO1438,'Entry Builder'!$L$11)&gt;'Entry Builder'!$E$11)))</f>
        <v/>
      </c>
      <c r="F1438">
        <f>IF('Entry Builder'!$N$12=0,1,IF('Entry Builder'!$D$12="Less",--(INDEX(Sims!$A1438:$BO1438,'Entry Builder'!$L$12)&lt;'Entry Builder'!$E$12),--(INDEX(Sims!$A1438:$BO1438,'Entry Builder'!$L$12)&gt;'Entry Builder'!$E$12)))</f>
        <v/>
      </c>
      <c r="G1438">
        <f>6-SUM(A1438:F1438)</f>
        <v/>
      </c>
    </row>
    <row r="1439">
      <c r="A1439">
        <f>IF('Entry Builder'!$N$7=0,1,IF('Entry Builder'!$D$7="Less",--(INDEX(Sims!$A1439:$BO1439,'Entry Builder'!$L$7)&lt;'Entry Builder'!$E$7),--(INDEX(Sims!$A1439:$BO1439,'Entry Builder'!$L$7)&gt;'Entry Builder'!$E$7)))</f>
        <v/>
      </c>
      <c r="B1439">
        <f>IF('Entry Builder'!$N$8=0,1,IF('Entry Builder'!$D$8="Less",--(INDEX(Sims!$A1439:$BO1439,'Entry Builder'!$L$8)&lt;'Entry Builder'!$E$8),--(INDEX(Sims!$A1439:$BO1439,'Entry Builder'!$L$8)&gt;'Entry Builder'!$E$8)))</f>
        <v/>
      </c>
      <c r="C1439">
        <f>IF('Entry Builder'!$N$9=0,1,IF('Entry Builder'!$D$9="Less",--(INDEX(Sims!$A1439:$BO1439,'Entry Builder'!$L$9)&lt;'Entry Builder'!$E$9),--(INDEX(Sims!$A1439:$BO1439,'Entry Builder'!$L$9)&gt;'Entry Builder'!$E$9)))</f>
        <v/>
      </c>
      <c r="D1439">
        <f>IF('Entry Builder'!$N$10=0,1,IF('Entry Builder'!$D$10="Less",--(INDEX(Sims!$A1439:$BO1439,'Entry Builder'!$L$10)&lt;'Entry Builder'!$E$10),--(INDEX(Sims!$A1439:$BO1439,'Entry Builder'!$L$10)&gt;'Entry Builder'!$E$10)))</f>
        <v/>
      </c>
      <c r="E1439">
        <f>IF('Entry Builder'!$N$11=0,1,IF('Entry Builder'!$D$11="Less",--(INDEX(Sims!$A1439:$BO1439,'Entry Builder'!$L$11)&lt;'Entry Builder'!$E$11),--(INDEX(Sims!$A1439:$BO1439,'Entry Builder'!$L$11)&gt;'Entry Builder'!$E$11)))</f>
        <v/>
      </c>
      <c r="F1439">
        <f>IF('Entry Builder'!$N$12=0,1,IF('Entry Builder'!$D$12="Less",--(INDEX(Sims!$A1439:$BO1439,'Entry Builder'!$L$12)&lt;'Entry Builder'!$E$12),--(INDEX(Sims!$A1439:$BO1439,'Entry Builder'!$L$12)&gt;'Entry Builder'!$E$12)))</f>
        <v/>
      </c>
      <c r="G1439">
        <f>6-SUM(A1439:F1439)</f>
        <v/>
      </c>
    </row>
    <row r="1440">
      <c r="A1440">
        <f>IF('Entry Builder'!$N$7=0,1,IF('Entry Builder'!$D$7="Less",--(INDEX(Sims!$A1440:$BO1440,'Entry Builder'!$L$7)&lt;'Entry Builder'!$E$7),--(INDEX(Sims!$A1440:$BO1440,'Entry Builder'!$L$7)&gt;'Entry Builder'!$E$7)))</f>
        <v/>
      </c>
      <c r="B1440">
        <f>IF('Entry Builder'!$N$8=0,1,IF('Entry Builder'!$D$8="Less",--(INDEX(Sims!$A1440:$BO1440,'Entry Builder'!$L$8)&lt;'Entry Builder'!$E$8),--(INDEX(Sims!$A1440:$BO1440,'Entry Builder'!$L$8)&gt;'Entry Builder'!$E$8)))</f>
        <v/>
      </c>
      <c r="C1440">
        <f>IF('Entry Builder'!$N$9=0,1,IF('Entry Builder'!$D$9="Less",--(INDEX(Sims!$A1440:$BO1440,'Entry Builder'!$L$9)&lt;'Entry Builder'!$E$9),--(INDEX(Sims!$A1440:$BO1440,'Entry Builder'!$L$9)&gt;'Entry Builder'!$E$9)))</f>
        <v/>
      </c>
      <c r="D1440">
        <f>IF('Entry Builder'!$N$10=0,1,IF('Entry Builder'!$D$10="Less",--(INDEX(Sims!$A1440:$BO1440,'Entry Builder'!$L$10)&lt;'Entry Builder'!$E$10),--(INDEX(Sims!$A1440:$BO1440,'Entry Builder'!$L$10)&gt;'Entry Builder'!$E$10)))</f>
        <v/>
      </c>
      <c r="E1440">
        <f>IF('Entry Builder'!$N$11=0,1,IF('Entry Builder'!$D$11="Less",--(INDEX(Sims!$A1440:$BO1440,'Entry Builder'!$L$11)&lt;'Entry Builder'!$E$11),--(INDEX(Sims!$A1440:$BO1440,'Entry Builder'!$L$11)&gt;'Entry Builder'!$E$11)))</f>
        <v/>
      </c>
      <c r="F1440">
        <f>IF('Entry Builder'!$N$12=0,1,IF('Entry Builder'!$D$12="Less",--(INDEX(Sims!$A1440:$BO1440,'Entry Builder'!$L$12)&lt;'Entry Builder'!$E$12),--(INDEX(Sims!$A1440:$BO1440,'Entry Builder'!$L$12)&gt;'Entry Builder'!$E$12)))</f>
        <v/>
      </c>
      <c r="G1440">
        <f>6-SUM(A1440:F1440)</f>
        <v/>
      </c>
    </row>
    <row r="1441">
      <c r="A1441">
        <f>IF('Entry Builder'!$N$7=0,1,IF('Entry Builder'!$D$7="Less",--(INDEX(Sims!$A1441:$BO1441,'Entry Builder'!$L$7)&lt;'Entry Builder'!$E$7),--(INDEX(Sims!$A1441:$BO1441,'Entry Builder'!$L$7)&gt;'Entry Builder'!$E$7)))</f>
        <v/>
      </c>
      <c r="B1441">
        <f>IF('Entry Builder'!$N$8=0,1,IF('Entry Builder'!$D$8="Less",--(INDEX(Sims!$A1441:$BO1441,'Entry Builder'!$L$8)&lt;'Entry Builder'!$E$8),--(INDEX(Sims!$A1441:$BO1441,'Entry Builder'!$L$8)&gt;'Entry Builder'!$E$8)))</f>
        <v/>
      </c>
      <c r="C1441">
        <f>IF('Entry Builder'!$N$9=0,1,IF('Entry Builder'!$D$9="Less",--(INDEX(Sims!$A1441:$BO1441,'Entry Builder'!$L$9)&lt;'Entry Builder'!$E$9),--(INDEX(Sims!$A1441:$BO1441,'Entry Builder'!$L$9)&gt;'Entry Builder'!$E$9)))</f>
        <v/>
      </c>
      <c r="D1441">
        <f>IF('Entry Builder'!$N$10=0,1,IF('Entry Builder'!$D$10="Less",--(INDEX(Sims!$A1441:$BO1441,'Entry Builder'!$L$10)&lt;'Entry Builder'!$E$10),--(INDEX(Sims!$A1441:$BO1441,'Entry Builder'!$L$10)&gt;'Entry Builder'!$E$10)))</f>
        <v/>
      </c>
      <c r="E1441">
        <f>IF('Entry Builder'!$N$11=0,1,IF('Entry Builder'!$D$11="Less",--(INDEX(Sims!$A1441:$BO1441,'Entry Builder'!$L$11)&lt;'Entry Builder'!$E$11),--(INDEX(Sims!$A1441:$BO1441,'Entry Builder'!$L$11)&gt;'Entry Builder'!$E$11)))</f>
        <v/>
      </c>
      <c r="F1441">
        <f>IF('Entry Builder'!$N$12=0,1,IF('Entry Builder'!$D$12="Less",--(INDEX(Sims!$A1441:$BO1441,'Entry Builder'!$L$12)&lt;'Entry Builder'!$E$12),--(INDEX(Sims!$A1441:$BO1441,'Entry Builder'!$L$12)&gt;'Entry Builder'!$E$12)))</f>
        <v/>
      </c>
      <c r="G1441">
        <f>6-SUM(A1441:F1441)</f>
        <v/>
      </c>
    </row>
    <row r="1442">
      <c r="A1442">
        <f>IF('Entry Builder'!$N$7=0,1,IF('Entry Builder'!$D$7="Less",--(INDEX(Sims!$A1442:$BO1442,'Entry Builder'!$L$7)&lt;'Entry Builder'!$E$7),--(INDEX(Sims!$A1442:$BO1442,'Entry Builder'!$L$7)&gt;'Entry Builder'!$E$7)))</f>
        <v/>
      </c>
      <c r="B1442">
        <f>IF('Entry Builder'!$N$8=0,1,IF('Entry Builder'!$D$8="Less",--(INDEX(Sims!$A1442:$BO1442,'Entry Builder'!$L$8)&lt;'Entry Builder'!$E$8),--(INDEX(Sims!$A1442:$BO1442,'Entry Builder'!$L$8)&gt;'Entry Builder'!$E$8)))</f>
        <v/>
      </c>
      <c r="C1442">
        <f>IF('Entry Builder'!$N$9=0,1,IF('Entry Builder'!$D$9="Less",--(INDEX(Sims!$A1442:$BO1442,'Entry Builder'!$L$9)&lt;'Entry Builder'!$E$9),--(INDEX(Sims!$A1442:$BO1442,'Entry Builder'!$L$9)&gt;'Entry Builder'!$E$9)))</f>
        <v/>
      </c>
      <c r="D1442">
        <f>IF('Entry Builder'!$N$10=0,1,IF('Entry Builder'!$D$10="Less",--(INDEX(Sims!$A1442:$BO1442,'Entry Builder'!$L$10)&lt;'Entry Builder'!$E$10),--(INDEX(Sims!$A1442:$BO1442,'Entry Builder'!$L$10)&gt;'Entry Builder'!$E$10)))</f>
        <v/>
      </c>
      <c r="E1442">
        <f>IF('Entry Builder'!$N$11=0,1,IF('Entry Builder'!$D$11="Less",--(INDEX(Sims!$A1442:$BO1442,'Entry Builder'!$L$11)&lt;'Entry Builder'!$E$11),--(INDEX(Sims!$A1442:$BO1442,'Entry Builder'!$L$11)&gt;'Entry Builder'!$E$11)))</f>
        <v/>
      </c>
      <c r="F1442">
        <f>IF('Entry Builder'!$N$12=0,1,IF('Entry Builder'!$D$12="Less",--(INDEX(Sims!$A1442:$BO1442,'Entry Builder'!$L$12)&lt;'Entry Builder'!$E$12),--(INDEX(Sims!$A1442:$BO1442,'Entry Builder'!$L$12)&gt;'Entry Builder'!$E$12)))</f>
        <v/>
      </c>
      <c r="G1442">
        <f>6-SUM(A1442:F1442)</f>
        <v/>
      </c>
    </row>
    <row r="1443">
      <c r="A1443">
        <f>IF('Entry Builder'!$N$7=0,1,IF('Entry Builder'!$D$7="Less",--(INDEX(Sims!$A1443:$BO1443,'Entry Builder'!$L$7)&lt;'Entry Builder'!$E$7),--(INDEX(Sims!$A1443:$BO1443,'Entry Builder'!$L$7)&gt;'Entry Builder'!$E$7)))</f>
        <v/>
      </c>
      <c r="B1443">
        <f>IF('Entry Builder'!$N$8=0,1,IF('Entry Builder'!$D$8="Less",--(INDEX(Sims!$A1443:$BO1443,'Entry Builder'!$L$8)&lt;'Entry Builder'!$E$8),--(INDEX(Sims!$A1443:$BO1443,'Entry Builder'!$L$8)&gt;'Entry Builder'!$E$8)))</f>
        <v/>
      </c>
      <c r="C1443">
        <f>IF('Entry Builder'!$N$9=0,1,IF('Entry Builder'!$D$9="Less",--(INDEX(Sims!$A1443:$BO1443,'Entry Builder'!$L$9)&lt;'Entry Builder'!$E$9),--(INDEX(Sims!$A1443:$BO1443,'Entry Builder'!$L$9)&gt;'Entry Builder'!$E$9)))</f>
        <v/>
      </c>
      <c r="D1443">
        <f>IF('Entry Builder'!$N$10=0,1,IF('Entry Builder'!$D$10="Less",--(INDEX(Sims!$A1443:$BO1443,'Entry Builder'!$L$10)&lt;'Entry Builder'!$E$10),--(INDEX(Sims!$A1443:$BO1443,'Entry Builder'!$L$10)&gt;'Entry Builder'!$E$10)))</f>
        <v/>
      </c>
      <c r="E1443">
        <f>IF('Entry Builder'!$N$11=0,1,IF('Entry Builder'!$D$11="Less",--(INDEX(Sims!$A1443:$BO1443,'Entry Builder'!$L$11)&lt;'Entry Builder'!$E$11),--(INDEX(Sims!$A1443:$BO1443,'Entry Builder'!$L$11)&gt;'Entry Builder'!$E$11)))</f>
        <v/>
      </c>
      <c r="F1443">
        <f>IF('Entry Builder'!$N$12=0,1,IF('Entry Builder'!$D$12="Less",--(INDEX(Sims!$A1443:$BO1443,'Entry Builder'!$L$12)&lt;'Entry Builder'!$E$12),--(INDEX(Sims!$A1443:$BO1443,'Entry Builder'!$L$12)&gt;'Entry Builder'!$E$12)))</f>
        <v/>
      </c>
      <c r="G1443">
        <f>6-SUM(A1443:F1443)</f>
        <v/>
      </c>
    </row>
    <row r="1444">
      <c r="A1444">
        <f>IF('Entry Builder'!$N$7=0,1,IF('Entry Builder'!$D$7="Less",--(INDEX(Sims!$A1444:$BO1444,'Entry Builder'!$L$7)&lt;'Entry Builder'!$E$7),--(INDEX(Sims!$A1444:$BO1444,'Entry Builder'!$L$7)&gt;'Entry Builder'!$E$7)))</f>
        <v/>
      </c>
      <c r="B1444">
        <f>IF('Entry Builder'!$N$8=0,1,IF('Entry Builder'!$D$8="Less",--(INDEX(Sims!$A1444:$BO1444,'Entry Builder'!$L$8)&lt;'Entry Builder'!$E$8),--(INDEX(Sims!$A1444:$BO1444,'Entry Builder'!$L$8)&gt;'Entry Builder'!$E$8)))</f>
        <v/>
      </c>
      <c r="C1444">
        <f>IF('Entry Builder'!$N$9=0,1,IF('Entry Builder'!$D$9="Less",--(INDEX(Sims!$A1444:$BO1444,'Entry Builder'!$L$9)&lt;'Entry Builder'!$E$9),--(INDEX(Sims!$A1444:$BO1444,'Entry Builder'!$L$9)&gt;'Entry Builder'!$E$9)))</f>
        <v/>
      </c>
      <c r="D1444">
        <f>IF('Entry Builder'!$N$10=0,1,IF('Entry Builder'!$D$10="Less",--(INDEX(Sims!$A1444:$BO1444,'Entry Builder'!$L$10)&lt;'Entry Builder'!$E$10),--(INDEX(Sims!$A1444:$BO1444,'Entry Builder'!$L$10)&gt;'Entry Builder'!$E$10)))</f>
        <v/>
      </c>
      <c r="E1444">
        <f>IF('Entry Builder'!$N$11=0,1,IF('Entry Builder'!$D$11="Less",--(INDEX(Sims!$A1444:$BO1444,'Entry Builder'!$L$11)&lt;'Entry Builder'!$E$11),--(INDEX(Sims!$A1444:$BO1444,'Entry Builder'!$L$11)&gt;'Entry Builder'!$E$11)))</f>
        <v/>
      </c>
      <c r="F1444">
        <f>IF('Entry Builder'!$N$12=0,1,IF('Entry Builder'!$D$12="Less",--(INDEX(Sims!$A1444:$BO1444,'Entry Builder'!$L$12)&lt;'Entry Builder'!$E$12),--(INDEX(Sims!$A1444:$BO1444,'Entry Builder'!$L$12)&gt;'Entry Builder'!$E$12)))</f>
        <v/>
      </c>
      <c r="G1444">
        <f>6-SUM(A1444:F1444)</f>
        <v/>
      </c>
    </row>
    <row r="1445">
      <c r="A1445">
        <f>IF('Entry Builder'!$N$7=0,1,IF('Entry Builder'!$D$7="Less",--(INDEX(Sims!$A1445:$BO1445,'Entry Builder'!$L$7)&lt;'Entry Builder'!$E$7),--(INDEX(Sims!$A1445:$BO1445,'Entry Builder'!$L$7)&gt;'Entry Builder'!$E$7)))</f>
        <v/>
      </c>
      <c r="B1445">
        <f>IF('Entry Builder'!$N$8=0,1,IF('Entry Builder'!$D$8="Less",--(INDEX(Sims!$A1445:$BO1445,'Entry Builder'!$L$8)&lt;'Entry Builder'!$E$8),--(INDEX(Sims!$A1445:$BO1445,'Entry Builder'!$L$8)&gt;'Entry Builder'!$E$8)))</f>
        <v/>
      </c>
      <c r="C1445">
        <f>IF('Entry Builder'!$N$9=0,1,IF('Entry Builder'!$D$9="Less",--(INDEX(Sims!$A1445:$BO1445,'Entry Builder'!$L$9)&lt;'Entry Builder'!$E$9),--(INDEX(Sims!$A1445:$BO1445,'Entry Builder'!$L$9)&gt;'Entry Builder'!$E$9)))</f>
        <v/>
      </c>
      <c r="D1445">
        <f>IF('Entry Builder'!$N$10=0,1,IF('Entry Builder'!$D$10="Less",--(INDEX(Sims!$A1445:$BO1445,'Entry Builder'!$L$10)&lt;'Entry Builder'!$E$10),--(INDEX(Sims!$A1445:$BO1445,'Entry Builder'!$L$10)&gt;'Entry Builder'!$E$10)))</f>
        <v/>
      </c>
      <c r="E1445">
        <f>IF('Entry Builder'!$N$11=0,1,IF('Entry Builder'!$D$11="Less",--(INDEX(Sims!$A1445:$BO1445,'Entry Builder'!$L$11)&lt;'Entry Builder'!$E$11),--(INDEX(Sims!$A1445:$BO1445,'Entry Builder'!$L$11)&gt;'Entry Builder'!$E$11)))</f>
        <v/>
      </c>
      <c r="F1445">
        <f>IF('Entry Builder'!$N$12=0,1,IF('Entry Builder'!$D$12="Less",--(INDEX(Sims!$A1445:$BO1445,'Entry Builder'!$L$12)&lt;'Entry Builder'!$E$12),--(INDEX(Sims!$A1445:$BO1445,'Entry Builder'!$L$12)&gt;'Entry Builder'!$E$12)))</f>
        <v/>
      </c>
      <c r="G1445">
        <f>6-SUM(A1445:F1445)</f>
        <v/>
      </c>
    </row>
    <row r="1446">
      <c r="A1446">
        <f>IF('Entry Builder'!$N$7=0,1,IF('Entry Builder'!$D$7="Less",--(INDEX(Sims!$A1446:$BO1446,'Entry Builder'!$L$7)&lt;'Entry Builder'!$E$7),--(INDEX(Sims!$A1446:$BO1446,'Entry Builder'!$L$7)&gt;'Entry Builder'!$E$7)))</f>
        <v/>
      </c>
      <c r="B1446">
        <f>IF('Entry Builder'!$N$8=0,1,IF('Entry Builder'!$D$8="Less",--(INDEX(Sims!$A1446:$BO1446,'Entry Builder'!$L$8)&lt;'Entry Builder'!$E$8),--(INDEX(Sims!$A1446:$BO1446,'Entry Builder'!$L$8)&gt;'Entry Builder'!$E$8)))</f>
        <v/>
      </c>
      <c r="C1446">
        <f>IF('Entry Builder'!$N$9=0,1,IF('Entry Builder'!$D$9="Less",--(INDEX(Sims!$A1446:$BO1446,'Entry Builder'!$L$9)&lt;'Entry Builder'!$E$9),--(INDEX(Sims!$A1446:$BO1446,'Entry Builder'!$L$9)&gt;'Entry Builder'!$E$9)))</f>
        <v/>
      </c>
      <c r="D1446">
        <f>IF('Entry Builder'!$N$10=0,1,IF('Entry Builder'!$D$10="Less",--(INDEX(Sims!$A1446:$BO1446,'Entry Builder'!$L$10)&lt;'Entry Builder'!$E$10),--(INDEX(Sims!$A1446:$BO1446,'Entry Builder'!$L$10)&gt;'Entry Builder'!$E$10)))</f>
        <v/>
      </c>
      <c r="E1446">
        <f>IF('Entry Builder'!$N$11=0,1,IF('Entry Builder'!$D$11="Less",--(INDEX(Sims!$A1446:$BO1446,'Entry Builder'!$L$11)&lt;'Entry Builder'!$E$11),--(INDEX(Sims!$A1446:$BO1446,'Entry Builder'!$L$11)&gt;'Entry Builder'!$E$11)))</f>
        <v/>
      </c>
      <c r="F1446">
        <f>IF('Entry Builder'!$N$12=0,1,IF('Entry Builder'!$D$12="Less",--(INDEX(Sims!$A1446:$BO1446,'Entry Builder'!$L$12)&lt;'Entry Builder'!$E$12),--(INDEX(Sims!$A1446:$BO1446,'Entry Builder'!$L$12)&gt;'Entry Builder'!$E$12)))</f>
        <v/>
      </c>
      <c r="G1446">
        <f>6-SUM(A1446:F1446)</f>
        <v/>
      </c>
    </row>
    <row r="1447">
      <c r="A1447">
        <f>IF('Entry Builder'!$N$7=0,1,IF('Entry Builder'!$D$7="Less",--(INDEX(Sims!$A1447:$BO1447,'Entry Builder'!$L$7)&lt;'Entry Builder'!$E$7),--(INDEX(Sims!$A1447:$BO1447,'Entry Builder'!$L$7)&gt;'Entry Builder'!$E$7)))</f>
        <v/>
      </c>
      <c r="B1447">
        <f>IF('Entry Builder'!$N$8=0,1,IF('Entry Builder'!$D$8="Less",--(INDEX(Sims!$A1447:$BO1447,'Entry Builder'!$L$8)&lt;'Entry Builder'!$E$8),--(INDEX(Sims!$A1447:$BO1447,'Entry Builder'!$L$8)&gt;'Entry Builder'!$E$8)))</f>
        <v/>
      </c>
      <c r="C1447">
        <f>IF('Entry Builder'!$N$9=0,1,IF('Entry Builder'!$D$9="Less",--(INDEX(Sims!$A1447:$BO1447,'Entry Builder'!$L$9)&lt;'Entry Builder'!$E$9),--(INDEX(Sims!$A1447:$BO1447,'Entry Builder'!$L$9)&gt;'Entry Builder'!$E$9)))</f>
        <v/>
      </c>
      <c r="D1447">
        <f>IF('Entry Builder'!$N$10=0,1,IF('Entry Builder'!$D$10="Less",--(INDEX(Sims!$A1447:$BO1447,'Entry Builder'!$L$10)&lt;'Entry Builder'!$E$10),--(INDEX(Sims!$A1447:$BO1447,'Entry Builder'!$L$10)&gt;'Entry Builder'!$E$10)))</f>
        <v/>
      </c>
      <c r="E1447">
        <f>IF('Entry Builder'!$N$11=0,1,IF('Entry Builder'!$D$11="Less",--(INDEX(Sims!$A1447:$BO1447,'Entry Builder'!$L$11)&lt;'Entry Builder'!$E$11),--(INDEX(Sims!$A1447:$BO1447,'Entry Builder'!$L$11)&gt;'Entry Builder'!$E$11)))</f>
        <v/>
      </c>
      <c r="F1447">
        <f>IF('Entry Builder'!$N$12=0,1,IF('Entry Builder'!$D$12="Less",--(INDEX(Sims!$A1447:$BO1447,'Entry Builder'!$L$12)&lt;'Entry Builder'!$E$12),--(INDEX(Sims!$A1447:$BO1447,'Entry Builder'!$L$12)&gt;'Entry Builder'!$E$12)))</f>
        <v/>
      </c>
      <c r="G1447">
        <f>6-SUM(A1447:F1447)</f>
        <v/>
      </c>
    </row>
    <row r="1448">
      <c r="A1448">
        <f>IF('Entry Builder'!$N$7=0,1,IF('Entry Builder'!$D$7="Less",--(INDEX(Sims!$A1448:$BO1448,'Entry Builder'!$L$7)&lt;'Entry Builder'!$E$7),--(INDEX(Sims!$A1448:$BO1448,'Entry Builder'!$L$7)&gt;'Entry Builder'!$E$7)))</f>
        <v/>
      </c>
      <c r="B1448">
        <f>IF('Entry Builder'!$N$8=0,1,IF('Entry Builder'!$D$8="Less",--(INDEX(Sims!$A1448:$BO1448,'Entry Builder'!$L$8)&lt;'Entry Builder'!$E$8),--(INDEX(Sims!$A1448:$BO1448,'Entry Builder'!$L$8)&gt;'Entry Builder'!$E$8)))</f>
        <v/>
      </c>
      <c r="C1448">
        <f>IF('Entry Builder'!$N$9=0,1,IF('Entry Builder'!$D$9="Less",--(INDEX(Sims!$A1448:$BO1448,'Entry Builder'!$L$9)&lt;'Entry Builder'!$E$9),--(INDEX(Sims!$A1448:$BO1448,'Entry Builder'!$L$9)&gt;'Entry Builder'!$E$9)))</f>
        <v/>
      </c>
      <c r="D1448">
        <f>IF('Entry Builder'!$N$10=0,1,IF('Entry Builder'!$D$10="Less",--(INDEX(Sims!$A1448:$BO1448,'Entry Builder'!$L$10)&lt;'Entry Builder'!$E$10),--(INDEX(Sims!$A1448:$BO1448,'Entry Builder'!$L$10)&gt;'Entry Builder'!$E$10)))</f>
        <v/>
      </c>
      <c r="E1448">
        <f>IF('Entry Builder'!$N$11=0,1,IF('Entry Builder'!$D$11="Less",--(INDEX(Sims!$A1448:$BO1448,'Entry Builder'!$L$11)&lt;'Entry Builder'!$E$11),--(INDEX(Sims!$A1448:$BO1448,'Entry Builder'!$L$11)&gt;'Entry Builder'!$E$11)))</f>
        <v/>
      </c>
      <c r="F1448">
        <f>IF('Entry Builder'!$N$12=0,1,IF('Entry Builder'!$D$12="Less",--(INDEX(Sims!$A1448:$BO1448,'Entry Builder'!$L$12)&lt;'Entry Builder'!$E$12),--(INDEX(Sims!$A1448:$BO1448,'Entry Builder'!$L$12)&gt;'Entry Builder'!$E$12)))</f>
        <v/>
      </c>
      <c r="G1448">
        <f>6-SUM(A1448:F1448)</f>
        <v/>
      </c>
    </row>
    <row r="1449">
      <c r="A1449">
        <f>IF('Entry Builder'!$N$7=0,1,IF('Entry Builder'!$D$7="Less",--(INDEX(Sims!$A1449:$BO1449,'Entry Builder'!$L$7)&lt;'Entry Builder'!$E$7),--(INDEX(Sims!$A1449:$BO1449,'Entry Builder'!$L$7)&gt;'Entry Builder'!$E$7)))</f>
        <v/>
      </c>
      <c r="B1449">
        <f>IF('Entry Builder'!$N$8=0,1,IF('Entry Builder'!$D$8="Less",--(INDEX(Sims!$A1449:$BO1449,'Entry Builder'!$L$8)&lt;'Entry Builder'!$E$8),--(INDEX(Sims!$A1449:$BO1449,'Entry Builder'!$L$8)&gt;'Entry Builder'!$E$8)))</f>
        <v/>
      </c>
      <c r="C1449">
        <f>IF('Entry Builder'!$N$9=0,1,IF('Entry Builder'!$D$9="Less",--(INDEX(Sims!$A1449:$BO1449,'Entry Builder'!$L$9)&lt;'Entry Builder'!$E$9),--(INDEX(Sims!$A1449:$BO1449,'Entry Builder'!$L$9)&gt;'Entry Builder'!$E$9)))</f>
        <v/>
      </c>
      <c r="D1449">
        <f>IF('Entry Builder'!$N$10=0,1,IF('Entry Builder'!$D$10="Less",--(INDEX(Sims!$A1449:$BO1449,'Entry Builder'!$L$10)&lt;'Entry Builder'!$E$10),--(INDEX(Sims!$A1449:$BO1449,'Entry Builder'!$L$10)&gt;'Entry Builder'!$E$10)))</f>
        <v/>
      </c>
      <c r="E1449">
        <f>IF('Entry Builder'!$N$11=0,1,IF('Entry Builder'!$D$11="Less",--(INDEX(Sims!$A1449:$BO1449,'Entry Builder'!$L$11)&lt;'Entry Builder'!$E$11),--(INDEX(Sims!$A1449:$BO1449,'Entry Builder'!$L$11)&gt;'Entry Builder'!$E$11)))</f>
        <v/>
      </c>
      <c r="F1449">
        <f>IF('Entry Builder'!$N$12=0,1,IF('Entry Builder'!$D$12="Less",--(INDEX(Sims!$A1449:$BO1449,'Entry Builder'!$L$12)&lt;'Entry Builder'!$E$12),--(INDEX(Sims!$A1449:$BO1449,'Entry Builder'!$L$12)&gt;'Entry Builder'!$E$12)))</f>
        <v/>
      </c>
      <c r="G1449">
        <f>6-SUM(A1449:F1449)</f>
        <v/>
      </c>
    </row>
    <row r="1450">
      <c r="A1450">
        <f>IF('Entry Builder'!$N$7=0,1,IF('Entry Builder'!$D$7="Less",--(INDEX(Sims!$A1450:$BO1450,'Entry Builder'!$L$7)&lt;'Entry Builder'!$E$7),--(INDEX(Sims!$A1450:$BO1450,'Entry Builder'!$L$7)&gt;'Entry Builder'!$E$7)))</f>
        <v/>
      </c>
      <c r="B1450">
        <f>IF('Entry Builder'!$N$8=0,1,IF('Entry Builder'!$D$8="Less",--(INDEX(Sims!$A1450:$BO1450,'Entry Builder'!$L$8)&lt;'Entry Builder'!$E$8),--(INDEX(Sims!$A1450:$BO1450,'Entry Builder'!$L$8)&gt;'Entry Builder'!$E$8)))</f>
        <v/>
      </c>
      <c r="C1450">
        <f>IF('Entry Builder'!$N$9=0,1,IF('Entry Builder'!$D$9="Less",--(INDEX(Sims!$A1450:$BO1450,'Entry Builder'!$L$9)&lt;'Entry Builder'!$E$9),--(INDEX(Sims!$A1450:$BO1450,'Entry Builder'!$L$9)&gt;'Entry Builder'!$E$9)))</f>
        <v/>
      </c>
      <c r="D1450">
        <f>IF('Entry Builder'!$N$10=0,1,IF('Entry Builder'!$D$10="Less",--(INDEX(Sims!$A1450:$BO1450,'Entry Builder'!$L$10)&lt;'Entry Builder'!$E$10),--(INDEX(Sims!$A1450:$BO1450,'Entry Builder'!$L$10)&gt;'Entry Builder'!$E$10)))</f>
        <v/>
      </c>
      <c r="E1450">
        <f>IF('Entry Builder'!$N$11=0,1,IF('Entry Builder'!$D$11="Less",--(INDEX(Sims!$A1450:$BO1450,'Entry Builder'!$L$11)&lt;'Entry Builder'!$E$11),--(INDEX(Sims!$A1450:$BO1450,'Entry Builder'!$L$11)&gt;'Entry Builder'!$E$11)))</f>
        <v/>
      </c>
      <c r="F1450">
        <f>IF('Entry Builder'!$N$12=0,1,IF('Entry Builder'!$D$12="Less",--(INDEX(Sims!$A1450:$BO1450,'Entry Builder'!$L$12)&lt;'Entry Builder'!$E$12),--(INDEX(Sims!$A1450:$BO1450,'Entry Builder'!$L$12)&gt;'Entry Builder'!$E$12)))</f>
        <v/>
      </c>
      <c r="G1450">
        <f>6-SUM(A1450:F1450)</f>
        <v/>
      </c>
    </row>
    <row r="1451">
      <c r="A1451">
        <f>IF('Entry Builder'!$N$7=0,1,IF('Entry Builder'!$D$7="Less",--(INDEX(Sims!$A1451:$BO1451,'Entry Builder'!$L$7)&lt;'Entry Builder'!$E$7),--(INDEX(Sims!$A1451:$BO1451,'Entry Builder'!$L$7)&gt;'Entry Builder'!$E$7)))</f>
        <v/>
      </c>
      <c r="B1451">
        <f>IF('Entry Builder'!$N$8=0,1,IF('Entry Builder'!$D$8="Less",--(INDEX(Sims!$A1451:$BO1451,'Entry Builder'!$L$8)&lt;'Entry Builder'!$E$8),--(INDEX(Sims!$A1451:$BO1451,'Entry Builder'!$L$8)&gt;'Entry Builder'!$E$8)))</f>
        <v/>
      </c>
      <c r="C1451">
        <f>IF('Entry Builder'!$N$9=0,1,IF('Entry Builder'!$D$9="Less",--(INDEX(Sims!$A1451:$BO1451,'Entry Builder'!$L$9)&lt;'Entry Builder'!$E$9),--(INDEX(Sims!$A1451:$BO1451,'Entry Builder'!$L$9)&gt;'Entry Builder'!$E$9)))</f>
        <v/>
      </c>
      <c r="D1451">
        <f>IF('Entry Builder'!$N$10=0,1,IF('Entry Builder'!$D$10="Less",--(INDEX(Sims!$A1451:$BO1451,'Entry Builder'!$L$10)&lt;'Entry Builder'!$E$10),--(INDEX(Sims!$A1451:$BO1451,'Entry Builder'!$L$10)&gt;'Entry Builder'!$E$10)))</f>
        <v/>
      </c>
      <c r="E1451">
        <f>IF('Entry Builder'!$N$11=0,1,IF('Entry Builder'!$D$11="Less",--(INDEX(Sims!$A1451:$BO1451,'Entry Builder'!$L$11)&lt;'Entry Builder'!$E$11),--(INDEX(Sims!$A1451:$BO1451,'Entry Builder'!$L$11)&gt;'Entry Builder'!$E$11)))</f>
        <v/>
      </c>
      <c r="F1451">
        <f>IF('Entry Builder'!$N$12=0,1,IF('Entry Builder'!$D$12="Less",--(INDEX(Sims!$A1451:$BO1451,'Entry Builder'!$L$12)&lt;'Entry Builder'!$E$12),--(INDEX(Sims!$A1451:$BO1451,'Entry Builder'!$L$12)&gt;'Entry Builder'!$E$12)))</f>
        <v/>
      </c>
      <c r="G1451">
        <f>6-SUM(A1451:F1451)</f>
        <v/>
      </c>
    </row>
    <row r="1452">
      <c r="A1452">
        <f>IF('Entry Builder'!$N$7=0,1,IF('Entry Builder'!$D$7="Less",--(INDEX(Sims!$A1452:$BO1452,'Entry Builder'!$L$7)&lt;'Entry Builder'!$E$7),--(INDEX(Sims!$A1452:$BO1452,'Entry Builder'!$L$7)&gt;'Entry Builder'!$E$7)))</f>
        <v/>
      </c>
      <c r="B1452">
        <f>IF('Entry Builder'!$N$8=0,1,IF('Entry Builder'!$D$8="Less",--(INDEX(Sims!$A1452:$BO1452,'Entry Builder'!$L$8)&lt;'Entry Builder'!$E$8),--(INDEX(Sims!$A1452:$BO1452,'Entry Builder'!$L$8)&gt;'Entry Builder'!$E$8)))</f>
        <v/>
      </c>
      <c r="C1452">
        <f>IF('Entry Builder'!$N$9=0,1,IF('Entry Builder'!$D$9="Less",--(INDEX(Sims!$A1452:$BO1452,'Entry Builder'!$L$9)&lt;'Entry Builder'!$E$9),--(INDEX(Sims!$A1452:$BO1452,'Entry Builder'!$L$9)&gt;'Entry Builder'!$E$9)))</f>
        <v/>
      </c>
      <c r="D1452">
        <f>IF('Entry Builder'!$N$10=0,1,IF('Entry Builder'!$D$10="Less",--(INDEX(Sims!$A1452:$BO1452,'Entry Builder'!$L$10)&lt;'Entry Builder'!$E$10),--(INDEX(Sims!$A1452:$BO1452,'Entry Builder'!$L$10)&gt;'Entry Builder'!$E$10)))</f>
        <v/>
      </c>
      <c r="E1452">
        <f>IF('Entry Builder'!$N$11=0,1,IF('Entry Builder'!$D$11="Less",--(INDEX(Sims!$A1452:$BO1452,'Entry Builder'!$L$11)&lt;'Entry Builder'!$E$11),--(INDEX(Sims!$A1452:$BO1452,'Entry Builder'!$L$11)&gt;'Entry Builder'!$E$11)))</f>
        <v/>
      </c>
      <c r="F1452">
        <f>IF('Entry Builder'!$N$12=0,1,IF('Entry Builder'!$D$12="Less",--(INDEX(Sims!$A1452:$BO1452,'Entry Builder'!$L$12)&lt;'Entry Builder'!$E$12),--(INDEX(Sims!$A1452:$BO1452,'Entry Builder'!$L$12)&gt;'Entry Builder'!$E$12)))</f>
        <v/>
      </c>
      <c r="G1452">
        <f>6-SUM(A1452:F1452)</f>
        <v/>
      </c>
    </row>
    <row r="1453">
      <c r="A1453">
        <f>IF('Entry Builder'!$N$7=0,1,IF('Entry Builder'!$D$7="Less",--(INDEX(Sims!$A1453:$BO1453,'Entry Builder'!$L$7)&lt;'Entry Builder'!$E$7),--(INDEX(Sims!$A1453:$BO1453,'Entry Builder'!$L$7)&gt;'Entry Builder'!$E$7)))</f>
        <v/>
      </c>
      <c r="B1453">
        <f>IF('Entry Builder'!$N$8=0,1,IF('Entry Builder'!$D$8="Less",--(INDEX(Sims!$A1453:$BO1453,'Entry Builder'!$L$8)&lt;'Entry Builder'!$E$8),--(INDEX(Sims!$A1453:$BO1453,'Entry Builder'!$L$8)&gt;'Entry Builder'!$E$8)))</f>
        <v/>
      </c>
      <c r="C1453">
        <f>IF('Entry Builder'!$N$9=0,1,IF('Entry Builder'!$D$9="Less",--(INDEX(Sims!$A1453:$BO1453,'Entry Builder'!$L$9)&lt;'Entry Builder'!$E$9),--(INDEX(Sims!$A1453:$BO1453,'Entry Builder'!$L$9)&gt;'Entry Builder'!$E$9)))</f>
        <v/>
      </c>
      <c r="D1453">
        <f>IF('Entry Builder'!$N$10=0,1,IF('Entry Builder'!$D$10="Less",--(INDEX(Sims!$A1453:$BO1453,'Entry Builder'!$L$10)&lt;'Entry Builder'!$E$10),--(INDEX(Sims!$A1453:$BO1453,'Entry Builder'!$L$10)&gt;'Entry Builder'!$E$10)))</f>
        <v/>
      </c>
      <c r="E1453">
        <f>IF('Entry Builder'!$N$11=0,1,IF('Entry Builder'!$D$11="Less",--(INDEX(Sims!$A1453:$BO1453,'Entry Builder'!$L$11)&lt;'Entry Builder'!$E$11),--(INDEX(Sims!$A1453:$BO1453,'Entry Builder'!$L$11)&gt;'Entry Builder'!$E$11)))</f>
        <v/>
      </c>
      <c r="F1453">
        <f>IF('Entry Builder'!$N$12=0,1,IF('Entry Builder'!$D$12="Less",--(INDEX(Sims!$A1453:$BO1453,'Entry Builder'!$L$12)&lt;'Entry Builder'!$E$12),--(INDEX(Sims!$A1453:$BO1453,'Entry Builder'!$L$12)&gt;'Entry Builder'!$E$12)))</f>
        <v/>
      </c>
      <c r="G1453">
        <f>6-SUM(A1453:F1453)</f>
        <v/>
      </c>
    </row>
    <row r="1454">
      <c r="A1454">
        <f>IF('Entry Builder'!$N$7=0,1,IF('Entry Builder'!$D$7="Less",--(INDEX(Sims!$A1454:$BO1454,'Entry Builder'!$L$7)&lt;'Entry Builder'!$E$7),--(INDEX(Sims!$A1454:$BO1454,'Entry Builder'!$L$7)&gt;'Entry Builder'!$E$7)))</f>
        <v/>
      </c>
      <c r="B1454">
        <f>IF('Entry Builder'!$N$8=0,1,IF('Entry Builder'!$D$8="Less",--(INDEX(Sims!$A1454:$BO1454,'Entry Builder'!$L$8)&lt;'Entry Builder'!$E$8),--(INDEX(Sims!$A1454:$BO1454,'Entry Builder'!$L$8)&gt;'Entry Builder'!$E$8)))</f>
        <v/>
      </c>
      <c r="C1454">
        <f>IF('Entry Builder'!$N$9=0,1,IF('Entry Builder'!$D$9="Less",--(INDEX(Sims!$A1454:$BO1454,'Entry Builder'!$L$9)&lt;'Entry Builder'!$E$9),--(INDEX(Sims!$A1454:$BO1454,'Entry Builder'!$L$9)&gt;'Entry Builder'!$E$9)))</f>
        <v/>
      </c>
      <c r="D1454">
        <f>IF('Entry Builder'!$N$10=0,1,IF('Entry Builder'!$D$10="Less",--(INDEX(Sims!$A1454:$BO1454,'Entry Builder'!$L$10)&lt;'Entry Builder'!$E$10),--(INDEX(Sims!$A1454:$BO1454,'Entry Builder'!$L$10)&gt;'Entry Builder'!$E$10)))</f>
        <v/>
      </c>
      <c r="E1454">
        <f>IF('Entry Builder'!$N$11=0,1,IF('Entry Builder'!$D$11="Less",--(INDEX(Sims!$A1454:$BO1454,'Entry Builder'!$L$11)&lt;'Entry Builder'!$E$11),--(INDEX(Sims!$A1454:$BO1454,'Entry Builder'!$L$11)&gt;'Entry Builder'!$E$11)))</f>
        <v/>
      </c>
      <c r="F1454">
        <f>IF('Entry Builder'!$N$12=0,1,IF('Entry Builder'!$D$12="Less",--(INDEX(Sims!$A1454:$BO1454,'Entry Builder'!$L$12)&lt;'Entry Builder'!$E$12),--(INDEX(Sims!$A1454:$BO1454,'Entry Builder'!$L$12)&gt;'Entry Builder'!$E$12)))</f>
        <v/>
      </c>
      <c r="G1454">
        <f>6-SUM(A1454:F1454)</f>
        <v/>
      </c>
    </row>
    <row r="1455">
      <c r="A1455">
        <f>IF('Entry Builder'!$N$7=0,1,IF('Entry Builder'!$D$7="Less",--(INDEX(Sims!$A1455:$BO1455,'Entry Builder'!$L$7)&lt;'Entry Builder'!$E$7),--(INDEX(Sims!$A1455:$BO1455,'Entry Builder'!$L$7)&gt;'Entry Builder'!$E$7)))</f>
        <v/>
      </c>
      <c r="B1455">
        <f>IF('Entry Builder'!$N$8=0,1,IF('Entry Builder'!$D$8="Less",--(INDEX(Sims!$A1455:$BO1455,'Entry Builder'!$L$8)&lt;'Entry Builder'!$E$8),--(INDEX(Sims!$A1455:$BO1455,'Entry Builder'!$L$8)&gt;'Entry Builder'!$E$8)))</f>
        <v/>
      </c>
      <c r="C1455">
        <f>IF('Entry Builder'!$N$9=0,1,IF('Entry Builder'!$D$9="Less",--(INDEX(Sims!$A1455:$BO1455,'Entry Builder'!$L$9)&lt;'Entry Builder'!$E$9),--(INDEX(Sims!$A1455:$BO1455,'Entry Builder'!$L$9)&gt;'Entry Builder'!$E$9)))</f>
        <v/>
      </c>
      <c r="D1455">
        <f>IF('Entry Builder'!$N$10=0,1,IF('Entry Builder'!$D$10="Less",--(INDEX(Sims!$A1455:$BO1455,'Entry Builder'!$L$10)&lt;'Entry Builder'!$E$10),--(INDEX(Sims!$A1455:$BO1455,'Entry Builder'!$L$10)&gt;'Entry Builder'!$E$10)))</f>
        <v/>
      </c>
      <c r="E1455">
        <f>IF('Entry Builder'!$N$11=0,1,IF('Entry Builder'!$D$11="Less",--(INDEX(Sims!$A1455:$BO1455,'Entry Builder'!$L$11)&lt;'Entry Builder'!$E$11),--(INDEX(Sims!$A1455:$BO1455,'Entry Builder'!$L$11)&gt;'Entry Builder'!$E$11)))</f>
        <v/>
      </c>
      <c r="F1455">
        <f>IF('Entry Builder'!$N$12=0,1,IF('Entry Builder'!$D$12="Less",--(INDEX(Sims!$A1455:$BO1455,'Entry Builder'!$L$12)&lt;'Entry Builder'!$E$12),--(INDEX(Sims!$A1455:$BO1455,'Entry Builder'!$L$12)&gt;'Entry Builder'!$E$12)))</f>
        <v/>
      </c>
      <c r="G1455">
        <f>6-SUM(A1455:F1455)</f>
        <v/>
      </c>
    </row>
    <row r="1456">
      <c r="A1456">
        <f>IF('Entry Builder'!$N$7=0,1,IF('Entry Builder'!$D$7="Less",--(INDEX(Sims!$A1456:$BO1456,'Entry Builder'!$L$7)&lt;'Entry Builder'!$E$7),--(INDEX(Sims!$A1456:$BO1456,'Entry Builder'!$L$7)&gt;'Entry Builder'!$E$7)))</f>
        <v/>
      </c>
      <c r="B1456">
        <f>IF('Entry Builder'!$N$8=0,1,IF('Entry Builder'!$D$8="Less",--(INDEX(Sims!$A1456:$BO1456,'Entry Builder'!$L$8)&lt;'Entry Builder'!$E$8),--(INDEX(Sims!$A1456:$BO1456,'Entry Builder'!$L$8)&gt;'Entry Builder'!$E$8)))</f>
        <v/>
      </c>
      <c r="C1456">
        <f>IF('Entry Builder'!$N$9=0,1,IF('Entry Builder'!$D$9="Less",--(INDEX(Sims!$A1456:$BO1456,'Entry Builder'!$L$9)&lt;'Entry Builder'!$E$9),--(INDEX(Sims!$A1456:$BO1456,'Entry Builder'!$L$9)&gt;'Entry Builder'!$E$9)))</f>
        <v/>
      </c>
      <c r="D1456">
        <f>IF('Entry Builder'!$N$10=0,1,IF('Entry Builder'!$D$10="Less",--(INDEX(Sims!$A1456:$BO1456,'Entry Builder'!$L$10)&lt;'Entry Builder'!$E$10),--(INDEX(Sims!$A1456:$BO1456,'Entry Builder'!$L$10)&gt;'Entry Builder'!$E$10)))</f>
        <v/>
      </c>
      <c r="E1456">
        <f>IF('Entry Builder'!$N$11=0,1,IF('Entry Builder'!$D$11="Less",--(INDEX(Sims!$A1456:$BO1456,'Entry Builder'!$L$11)&lt;'Entry Builder'!$E$11),--(INDEX(Sims!$A1456:$BO1456,'Entry Builder'!$L$11)&gt;'Entry Builder'!$E$11)))</f>
        <v/>
      </c>
      <c r="F1456">
        <f>IF('Entry Builder'!$N$12=0,1,IF('Entry Builder'!$D$12="Less",--(INDEX(Sims!$A1456:$BO1456,'Entry Builder'!$L$12)&lt;'Entry Builder'!$E$12),--(INDEX(Sims!$A1456:$BO1456,'Entry Builder'!$L$12)&gt;'Entry Builder'!$E$12)))</f>
        <v/>
      </c>
      <c r="G1456">
        <f>6-SUM(A1456:F1456)</f>
        <v/>
      </c>
    </row>
    <row r="1457">
      <c r="A1457">
        <f>IF('Entry Builder'!$N$7=0,1,IF('Entry Builder'!$D$7="Less",--(INDEX(Sims!$A1457:$BO1457,'Entry Builder'!$L$7)&lt;'Entry Builder'!$E$7),--(INDEX(Sims!$A1457:$BO1457,'Entry Builder'!$L$7)&gt;'Entry Builder'!$E$7)))</f>
        <v/>
      </c>
      <c r="B1457">
        <f>IF('Entry Builder'!$N$8=0,1,IF('Entry Builder'!$D$8="Less",--(INDEX(Sims!$A1457:$BO1457,'Entry Builder'!$L$8)&lt;'Entry Builder'!$E$8),--(INDEX(Sims!$A1457:$BO1457,'Entry Builder'!$L$8)&gt;'Entry Builder'!$E$8)))</f>
        <v/>
      </c>
      <c r="C1457">
        <f>IF('Entry Builder'!$N$9=0,1,IF('Entry Builder'!$D$9="Less",--(INDEX(Sims!$A1457:$BO1457,'Entry Builder'!$L$9)&lt;'Entry Builder'!$E$9),--(INDEX(Sims!$A1457:$BO1457,'Entry Builder'!$L$9)&gt;'Entry Builder'!$E$9)))</f>
        <v/>
      </c>
      <c r="D1457">
        <f>IF('Entry Builder'!$N$10=0,1,IF('Entry Builder'!$D$10="Less",--(INDEX(Sims!$A1457:$BO1457,'Entry Builder'!$L$10)&lt;'Entry Builder'!$E$10),--(INDEX(Sims!$A1457:$BO1457,'Entry Builder'!$L$10)&gt;'Entry Builder'!$E$10)))</f>
        <v/>
      </c>
      <c r="E1457">
        <f>IF('Entry Builder'!$N$11=0,1,IF('Entry Builder'!$D$11="Less",--(INDEX(Sims!$A1457:$BO1457,'Entry Builder'!$L$11)&lt;'Entry Builder'!$E$11),--(INDEX(Sims!$A1457:$BO1457,'Entry Builder'!$L$11)&gt;'Entry Builder'!$E$11)))</f>
        <v/>
      </c>
      <c r="F1457">
        <f>IF('Entry Builder'!$N$12=0,1,IF('Entry Builder'!$D$12="Less",--(INDEX(Sims!$A1457:$BO1457,'Entry Builder'!$L$12)&lt;'Entry Builder'!$E$12),--(INDEX(Sims!$A1457:$BO1457,'Entry Builder'!$L$12)&gt;'Entry Builder'!$E$12)))</f>
        <v/>
      </c>
      <c r="G1457">
        <f>6-SUM(A1457:F1457)</f>
        <v/>
      </c>
    </row>
    <row r="1458">
      <c r="A1458">
        <f>IF('Entry Builder'!$N$7=0,1,IF('Entry Builder'!$D$7="Less",--(INDEX(Sims!$A1458:$BO1458,'Entry Builder'!$L$7)&lt;'Entry Builder'!$E$7),--(INDEX(Sims!$A1458:$BO1458,'Entry Builder'!$L$7)&gt;'Entry Builder'!$E$7)))</f>
        <v/>
      </c>
      <c r="B1458">
        <f>IF('Entry Builder'!$N$8=0,1,IF('Entry Builder'!$D$8="Less",--(INDEX(Sims!$A1458:$BO1458,'Entry Builder'!$L$8)&lt;'Entry Builder'!$E$8),--(INDEX(Sims!$A1458:$BO1458,'Entry Builder'!$L$8)&gt;'Entry Builder'!$E$8)))</f>
        <v/>
      </c>
      <c r="C1458">
        <f>IF('Entry Builder'!$N$9=0,1,IF('Entry Builder'!$D$9="Less",--(INDEX(Sims!$A1458:$BO1458,'Entry Builder'!$L$9)&lt;'Entry Builder'!$E$9),--(INDEX(Sims!$A1458:$BO1458,'Entry Builder'!$L$9)&gt;'Entry Builder'!$E$9)))</f>
        <v/>
      </c>
      <c r="D1458">
        <f>IF('Entry Builder'!$N$10=0,1,IF('Entry Builder'!$D$10="Less",--(INDEX(Sims!$A1458:$BO1458,'Entry Builder'!$L$10)&lt;'Entry Builder'!$E$10),--(INDEX(Sims!$A1458:$BO1458,'Entry Builder'!$L$10)&gt;'Entry Builder'!$E$10)))</f>
        <v/>
      </c>
      <c r="E1458">
        <f>IF('Entry Builder'!$N$11=0,1,IF('Entry Builder'!$D$11="Less",--(INDEX(Sims!$A1458:$BO1458,'Entry Builder'!$L$11)&lt;'Entry Builder'!$E$11),--(INDEX(Sims!$A1458:$BO1458,'Entry Builder'!$L$11)&gt;'Entry Builder'!$E$11)))</f>
        <v/>
      </c>
      <c r="F1458">
        <f>IF('Entry Builder'!$N$12=0,1,IF('Entry Builder'!$D$12="Less",--(INDEX(Sims!$A1458:$BO1458,'Entry Builder'!$L$12)&lt;'Entry Builder'!$E$12),--(INDEX(Sims!$A1458:$BO1458,'Entry Builder'!$L$12)&gt;'Entry Builder'!$E$12)))</f>
        <v/>
      </c>
      <c r="G1458">
        <f>6-SUM(A1458:F1458)</f>
        <v/>
      </c>
    </row>
    <row r="1459">
      <c r="A1459">
        <f>IF('Entry Builder'!$N$7=0,1,IF('Entry Builder'!$D$7="Less",--(INDEX(Sims!$A1459:$BO1459,'Entry Builder'!$L$7)&lt;'Entry Builder'!$E$7),--(INDEX(Sims!$A1459:$BO1459,'Entry Builder'!$L$7)&gt;'Entry Builder'!$E$7)))</f>
        <v/>
      </c>
      <c r="B1459">
        <f>IF('Entry Builder'!$N$8=0,1,IF('Entry Builder'!$D$8="Less",--(INDEX(Sims!$A1459:$BO1459,'Entry Builder'!$L$8)&lt;'Entry Builder'!$E$8),--(INDEX(Sims!$A1459:$BO1459,'Entry Builder'!$L$8)&gt;'Entry Builder'!$E$8)))</f>
        <v/>
      </c>
      <c r="C1459">
        <f>IF('Entry Builder'!$N$9=0,1,IF('Entry Builder'!$D$9="Less",--(INDEX(Sims!$A1459:$BO1459,'Entry Builder'!$L$9)&lt;'Entry Builder'!$E$9),--(INDEX(Sims!$A1459:$BO1459,'Entry Builder'!$L$9)&gt;'Entry Builder'!$E$9)))</f>
        <v/>
      </c>
      <c r="D1459">
        <f>IF('Entry Builder'!$N$10=0,1,IF('Entry Builder'!$D$10="Less",--(INDEX(Sims!$A1459:$BO1459,'Entry Builder'!$L$10)&lt;'Entry Builder'!$E$10),--(INDEX(Sims!$A1459:$BO1459,'Entry Builder'!$L$10)&gt;'Entry Builder'!$E$10)))</f>
        <v/>
      </c>
      <c r="E1459">
        <f>IF('Entry Builder'!$N$11=0,1,IF('Entry Builder'!$D$11="Less",--(INDEX(Sims!$A1459:$BO1459,'Entry Builder'!$L$11)&lt;'Entry Builder'!$E$11),--(INDEX(Sims!$A1459:$BO1459,'Entry Builder'!$L$11)&gt;'Entry Builder'!$E$11)))</f>
        <v/>
      </c>
      <c r="F1459">
        <f>IF('Entry Builder'!$N$12=0,1,IF('Entry Builder'!$D$12="Less",--(INDEX(Sims!$A1459:$BO1459,'Entry Builder'!$L$12)&lt;'Entry Builder'!$E$12),--(INDEX(Sims!$A1459:$BO1459,'Entry Builder'!$L$12)&gt;'Entry Builder'!$E$12)))</f>
        <v/>
      </c>
      <c r="G1459">
        <f>6-SUM(A1459:F1459)</f>
        <v/>
      </c>
    </row>
    <row r="1460">
      <c r="A1460">
        <f>IF('Entry Builder'!$N$7=0,1,IF('Entry Builder'!$D$7="Less",--(INDEX(Sims!$A1460:$BO1460,'Entry Builder'!$L$7)&lt;'Entry Builder'!$E$7),--(INDEX(Sims!$A1460:$BO1460,'Entry Builder'!$L$7)&gt;'Entry Builder'!$E$7)))</f>
        <v/>
      </c>
      <c r="B1460">
        <f>IF('Entry Builder'!$N$8=0,1,IF('Entry Builder'!$D$8="Less",--(INDEX(Sims!$A1460:$BO1460,'Entry Builder'!$L$8)&lt;'Entry Builder'!$E$8),--(INDEX(Sims!$A1460:$BO1460,'Entry Builder'!$L$8)&gt;'Entry Builder'!$E$8)))</f>
        <v/>
      </c>
      <c r="C1460">
        <f>IF('Entry Builder'!$N$9=0,1,IF('Entry Builder'!$D$9="Less",--(INDEX(Sims!$A1460:$BO1460,'Entry Builder'!$L$9)&lt;'Entry Builder'!$E$9),--(INDEX(Sims!$A1460:$BO1460,'Entry Builder'!$L$9)&gt;'Entry Builder'!$E$9)))</f>
        <v/>
      </c>
      <c r="D1460">
        <f>IF('Entry Builder'!$N$10=0,1,IF('Entry Builder'!$D$10="Less",--(INDEX(Sims!$A1460:$BO1460,'Entry Builder'!$L$10)&lt;'Entry Builder'!$E$10),--(INDEX(Sims!$A1460:$BO1460,'Entry Builder'!$L$10)&gt;'Entry Builder'!$E$10)))</f>
        <v/>
      </c>
      <c r="E1460">
        <f>IF('Entry Builder'!$N$11=0,1,IF('Entry Builder'!$D$11="Less",--(INDEX(Sims!$A1460:$BO1460,'Entry Builder'!$L$11)&lt;'Entry Builder'!$E$11),--(INDEX(Sims!$A1460:$BO1460,'Entry Builder'!$L$11)&gt;'Entry Builder'!$E$11)))</f>
        <v/>
      </c>
      <c r="F1460">
        <f>IF('Entry Builder'!$N$12=0,1,IF('Entry Builder'!$D$12="Less",--(INDEX(Sims!$A1460:$BO1460,'Entry Builder'!$L$12)&lt;'Entry Builder'!$E$12),--(INDEX(Sims!$A1460:$BO1460,'Entry Builder'!$L$12)&gt;'Entry Builder'!$E$12)))</f>
        <v/>
      </c>
      <c r="G1460">
        <f>6-SUM(A1460:F1460)</f>
        <v/>
      </c>
    </row>
    <row r="1461">
      <c r="A1461">
        <f>IF('Entry Builder'!$N$7=0,1,IF('Entry Builder'!$D$7="Less",--(INDEX(Sims!$A1461:$BO1461,'Entry Builder'!$L$7)&lt;'Entry Builder'!$E$7),--(INDEX(Sims!$A1461:$BO1461,'Entry Builder'!$L$7)&gt;'Entry Builder'!$E$7)))</f>
        <v/>
      </c>
      <c r="B1461">
        <f>IF('Entry Builder'!$N$8=0,1,IF('Entry Builder'!$D$8="Less",--(INDEX(Sims!$A1461:$BO1461,'Entry Builder'!$L$8)&lt;'Entry Builder'!$E$8),--(INDEX(Sims!$A1461:$BO1461,'Entry Builder'!$L$8)&gt;'Entry Builder'!$E$8)))</f>
        <v/>
      </c>
      <c r="C1461">
        <f>IF('Entry Builder'!$N$9=0,1,IF('Entry Builder'!$D$9="Less",--(INDEX(Sims!$A1461:$BO1461,'Entry Builder'!$L$9)&lt;'Entry Builder'!$E$9),--(INDEX(Sims!$A1461:$BO1461,'Entry Builder'!$L$9)&gt;'Entry Builder'!$E$9)))</f>
        <v/>
      </c>
      <c r="D1461">
        <f>IF('Entry Builder'!$N$10=0,1,IF('Entry Builder'!$D$10="Less",--(INDEX(Sims!$A1461:$BO1461,'Entry Builder'!$L$10)&lt;'Entry Builder'!$E$10),--(INDEX(Sims!$A1461:$BO1461,'Entry Builder'!$L$10)&gt;'Entry Builder'!$E$10)))</f>
        <v/>
      </c>
      <c r="E1461">
        <f>IF('Entry Builder'!$N$11=0,1,IF('Entry Builder'!$D$11="Less",--(INDEX(Sims!$A1461:$BO1461,'Entry Builder'!$L$11)&lt;'Entry Builder'!$E$11),--(INDEX(Sims!$A1461:$BO1461,'Entry Builder'!$L$11)&gt;'Entry Builder'!$E$11)))</f>
        <v/>
      </c>
      <c r="F1461">
        <f>IF('Entry Builder'!$N$12=0,1,IF('Entry Builder'!$D$12="Less",--(INDEX(Sims!$A1461:$BO1461,'Entry Builder'!$L$12)&lt;'Entry Builder'!$E$12),--(INDEX(Sims!$A1461:$BO1461,'Entry Builder'!$L$12)&gt;'Entry Builder'!$E$12)))</f>
        <v/>
      </c>
      <c r="G1461">
        <f>6-SUM(A1461:F1461)</f>
        <v/>
      </c>
    </row>
    <row r="1462">
      <c r="A1462">
        <f>IF('Entry Builder'!$N$7=0,1,IF('Entry Builder'!$D$7="Less",--(INDEX(Sims!$A1462:$BO1462,'Entry Builder'!$L$7)&lt;'Entry Builder'!$E$7),--(INDEX(Sims!$A1462:$BO1462,'Entry Builder'!$L$7)&gt;'Entry Builder'!$E$7)))</f>
        <v/>
      </c>
      <c r="B1462">
        <f>IF('Entry Builder'!$N$8=0,1,IF('Entry Builder'!$D$8="Less",--(INDEX(Sims!$A1462:$BO1462,'Entry Builder'!$L$8)&lt;'Entry Builder'!$E$8),--(INDEX(Sims!$A1462:$BO1462,'Entry Builder'!$L$8)&gt;'Entry Builder'!$E$8)))</f>
        <v/>
      </c>
      <c r="C1462">
        <f>IF('Entry Builder'!$N$9=0,1,IF('Entry Builder'!$D$9="Less",--(INDEX(Sims!$A1462:$BO1462,'Entry Builder'!$L$9)&lt;'Entry Builder'!$E$9),--(INDEX(Sims!$A1462:$BO1462,'Entry Builder'!$L$9)&gt;'Entry Builder'!$E$9)))</f>
        <v/>
      </c>
      <c r="D1462">
        <f>IF('Entry Builder'!$N$10=0,1,IF('Entry Builder'!$D$10="Less",--(INDEX(Sims!$A1462:$BO1462,'Entry Builder'!$L$10)&lt;'Entry Builder'!$E$10),--(INDEX(Sims!$A1462:$BO1462,'Entry Builder'!$L$10)&gt;'Entry Builder'!$E$10)))</f>
        <v/>
      </c>
      <c r="E1462">
        <f>IF('Entry Builder'!$N$11=0,1,IF('Entry Builder'!$D$11="Less",--(INDEX(Sims!$A1462:$BO1462,'Entry Builder'!$L$11)&lt;'Entry Builder'!$E$11),--(INDEX(Sims!$A1462:$BO1462,'Entry Builder'!$L$11)&gt;'Entry Builder'!$E$11)))</f>
        <v/>
      </c>
      <c r="F1462">
        <f>IF('Entry Builder'!$N$12=0,1,IF('Entry Builder'!$D$12="Less",--(INDEX(Sims!$A1462:$BO1462,'Entry Builder'!$L$12)&lt;'Entry Builder'!$E$12),--(INDEX(Sims!$A1462:$BO1462,'Entry Builder'!$L$12)&gt;'Entry Builder'!$E$12)))</f>
        <v/>
      </c>
      <c r="G1462">
        <f>6-SUM(A1462:F1462)</f>
        <v/>
      </c>
    </row>
    <row r="1463">
      <c r="A1463">
        <f>IF('Entry Builder'!$N$7=0,1,IF('Entry Builder'!$D$7="Less",--(INDEX(Sims!$A1463:$BO1463,'Entry Builder'!$L$7)&lt;'Entry Builder'!$E$7),--(INDEX(Sims!$A1463:$BO1463,'Entry Builder'!$L$7)&gt;'Entry Builder'!$E$7)))</f>
        <v/>
      </c>
      <c r="B1463">
        <f>IF('Entry Builder'!$N$8=0,1,IF('Entry Builder'!$D$8="Less",--(INDEX(Sims!$A1463:$BO1463,'Entry Builder'!$L$8)&lt;'Entry Builder'!$E$8),--(INDEX(Sims!$A1463:$BO1463,'Entry Builder'!$L$8)&gt;'Entry Builder'!$E$8)))</f>
        <v/>
      </c>
      <c r="C1463">
        <f>IF('Entry Builder'!$N$9=0,1,IF('Entry Builder'!$D$9="Less",--(INDEX(Sims!$A1463:$BO1463,'Entry Builder'!$L$9)&lt;'Entry Builder'!$E$9),--(INDEX(Sims!$A1463:$BO1463,'Entry Builder'!$L$9)&gt;'Entry Builder'!$E$9)))</f>
        <v/>
      </c>
      <c r="D1463">
        <f>IF('Entry Builder'!$N$10=0,1,IF('Entry Builder'!$D$10="Less",--(INDEX(Sims!$A1463:$BO1463,'Entry Builder'!$L$10)&lt;'Entry Builder'!$E$10),--(INDEX(Sims!$A1463:$BO1463,'Entry Builder'!$L$10)&gt;'Entry Builder'!$E$10)))</f>
        <v/>
      </c>
      <c r="E1463">
        <f>IF('Entry Builder'!$N$11=0,1,IF('Entry Builder'!$D$11="Less",--(INDEX(Sims!$A1463:$BO1463,'Entry Builder'!$L$11)&lt;'Entry Builder'!$E$11),--(INDEX(Sims!$A1463:$BO1463,'Entry Builder'!$L$11)&gt;'Entry Builder'!$E$11)))</f>
        <v/>
      </c>
      <c r="F1463">
        <f>IF('Entry Builder'!$N$12=0,1,IF('Entry Builder'!$D$12="Less",--(INDEX(Sims!$A1463:$BO1463,'Entry Builder'!$L$12)&lt;'Entry Builder'!$E$12),--(INDEX(Sims!$A1463:$BO1463,'Entry Builder'!$L$12)&gt;'Entry Builder'!$E$12)))</f>
        <v/>
      </c>
      <c r="G1463">
        <f>6-SUM(A1463:F1463)</f>
        <v/>
      </c>
    </row>
    <row r="1464">
      <c r="A1464">
        <f>IF('Entry Builder'!$N$7=0,1,IF('Entry Builder'!$D$7="Less",--(INDEX(Sims!$A1464:$BO1464,'Entry Builder'!$L$7)&lt;'Entry Builder'!$E$7),--(INDEX(Sims!$A1464:$BO1464,'Entry Builder'!$L$7)&gt;'Entry Builder'!$E$7)))</f>
        <v/>
      </c>
      <c r="B1464">
        <f>IF('Entry Builder'!$N$8=0,1,IF('Entry Builder'!$D$8="Less",--(INDEX(Sims!$A1464:$BO1464,'Entry Builder'!$L$8)&lt;'Entry Builder'!$E$8),--(INDEX(Sims!$A1464:$BO1464,'Entry Builder'!$L$8)&gt;'Entry Builder'!$E$8)))</f>
        <v/>
      </c>
      <c r="C1464">
        <f>IF('Entry Builder'!$N$9=0,1,IF('Entry Builder'!$D$9="Less",--(INDEX(Sims!$A1464:$BO1464,'Entry Builder'!$L$9)&lt;'Entry Builder'!$E$9),--(INDEX(Sims!$A1464:$BO1464,'Entry Builder'!$L$9)&gt;'Entry Builder'!$E$9)))</f>
        <v/>
      </c>
      <c r="D1464">
        <f>IF('Entry Builder'!$N$10=0,1,IF('Entry Builder'!$D$10="Less",--(INDEX(Sims!$A1464:$BO1464,'Entry Builder'!$L$10)&lt;'Entry Builder'!$E$10),--(INDEX(Sims!$A1464:$BO1464,'Entry Builder'!$L$10)&gt;'Entry Builder'!$E$10)))</f>
        <v/>
      </c>
      <c r="E1464">
        <f>IF('Entry Builder'!$N$11=0,1,IF('Entry Builder'!$D$11="Less",--(INDEX(Sims!$A1464:$BO1464,'Entry Builder'!$L$11)&lt;'Entry Builder'!$E$11),--(INDEX(Sims!$A1464:$BO1464,'Entry Builder'!$L$11)&gt;'Entry Builder'!$E$11)))</f>
        <v/>
      </c>
      <c r="F1464">
        <f>IF('Entry Builder'!$N$12=0,1,IF('Entry Builder'!$D$12="Less",--(INDEX(Sims!$A1464:$BO1464,'Entry Builder'!$L$12)&lt;'Entry Builder'!$E$12),--(INDEX(Sims!$A1464:$BO1464,'Entry Builder'!$L$12)&gt;'Entry Builder'!$E$12)))</f>
        <v/>
      </c>
      <c r="G1464">
        <f>6-SUM(A1464:F1464)</f>
        <v/>
      </c>
    </row>
    <row r="1465">
      <c r="A1465">
        <f>IF('Entry Builder'!$N$7=0,1,IF('Entry Builder'!$D$7="Less",--(INDEX(Sims!$A1465:$BO1465,'Entry Builder'!$L$7)&lt;'Entry Builder'!$E$7),--(INDEX(Sims!$A1465:$BO1465,'Entry Builder'!$L$7)&gt;'Entry Builder'!$E$7)))</f>
        <v/>
      </c>
      <c r="B1465">
        <f>IF('Entry Builder'!$N$8=0,1,IF('Entry Builder'!$D$8="Less",--(INDEX(Sims!$A1465:$BO1465,'Entry Builder'!$L$8)&lt;'Entry Builder'!$E$8),--(INDEX(Sims!$A1465:$BO1465,'Entry Builder'!$L$8)&gt;'Entry Builder'!$E$8)))</f>
        <v/>
      </c>
      <c r="C1465">
        <f>IF('Entry Builder'!$N$9=0,1,IF('Entry Builder'!$D$9="Less",--(INDEX(Sims!$A1465:$BO1465,'Entry Builder'!$L$9)&lt;'Entry Builder'!$E$9),--(INDEX(Sims!$A1465:$BO1465,'Entry Builder'!$L$9)&gt;'Entry Builder'!$E$9)))</f>
        <v/>
      </c>
      <c r="D1465">
        <f>IF('Entry Builder'!$N$10=0,1,IF('Entry Builder'!$D$10="Less",--(INDEX(Sims!$A1465:$BO1465,'Entry Builder'!$L$10)&lt;'Entry Builder'!$E$10),--(INDEX(Sims!$A1465:$BO1465,'Entry Builder'!$L$10)&gt;'Entry Builder'!$E$10)))</f>
        <v/>
      </c>
      <c r="E1465">
        <f>IF('Entry Builder'!$N$11=0,1,IF('Entry Builder'!$D$11="Less",--(INDEX(Sims!$A1465:$BO1465,'Entry Builder'!$L$11)&lt;'Entry Builder'!$E$11),--(INDEX(Sims!$A1465:$BO1465,'Entry Builder'!$L$11)&gt;'Entry Builder'!$E$11)))</f>
        <v/>
      </c>
      <c r="F1465">
        <f>IF('Entry Builder'!$N$12=0,1,IF('Entry Builder'!$D$12="Less",--(INDEX(Sims!$A1465:$BO1465,'Entry Builder'!$L$12)&lt;'Entry Builder'!$E$12),--(INDEX(Sims!$A1465:$BO1465,'Entry Builder'!$L$12)&gt;'Entry Builder'!$E$12)))</f>
        <v/>
      </c>
      <c r="G1465">
        <f>6-SUM(A1465:F1465)</f>
        <v/>
      </c>
    </row>
    <row r="1466">
      <c r="A1466">
        <f>IF('Entry Builder'!$N$7=0,1,IF('Entry Builder'!$D$7="Less",--(INDEX(Sims!$A1466:$BO1466,'Entry Builder'!$L$7)&lt;'Entry Builder'!$E$7),--(INDEX(Sims!$A1466:$BO1466,'Entry Builder'!$L$7)&gt;'Entry Builder'!$E$7)))</f>
        <v/>
      </c>
      <c r="B1466">
        <f>IF('Entry Builder'!$N$8=0,1,IF('Entry Builder'!$D$8="Less",--(INDEX(Sims!$A1466:$BO1466,'Entry Builder'!$L$8)&lt;'Entry Builder'!$E$8),--(INDEX(Sims!$A1466:$BO1466,'Entry Builder'!$L$8)&gt;'Entry Builder'!$E$8)))</f>
        <v/>
      </c>
      <c r="C1466">
        <f>IF('Entry Builder'!$N$9=0,1,IF('Entry Builder'!$D$9="Less",--(INDEX(Sims!$A1466:$BO1466,'Entry Builder'!$L$9)&lt;'Entry Builder'!$E$9),--(INDEX(Sims!$A1466:$BO1466,'Entry Builder'!$L$9)&gt;'Entry Builder'!$E$9)))</f>
        <v/>
      </c>
      <c r="D1466">
        <f>IF('Entry Builder'!$N$10=0,1,IF('Entry Builder'!$D$10="Less",--(INDEX(Sims!$A1466:$BO1466,'Entry Builder'!$L$10)&lt;'Entry Builder'!$E$10),--(INDEX(Sims!$A1466:$BO1466,'Entry Builder'!$L$10)&gt;'Entry Builder'!$E$10)))</f>
        <v/>
      </c>
      <c r="E1466">
        <f>IF('Entry Builder'!$N$11=0,1,IF('Entry Builder'!$D$11="Less",--(INDEX(Sims!$A1466:$BO1466,'Entry Builder'!$L$11)&lt;'Entry Builder'!$E$11),--(INDEX(Sims!$A1466:$BO1466,'Entry Builder'!$L$11)&gt;'Entry Builder'!$E$11)))</f>
        <v/>
      </c>
      <c r="F1466">
        <f>IF('Entry Builder'!$N$12=0,1,IF('Entry Builder'!$D$12="Less",--(INDEX(Sims!$A1466:$BO1466,'Entry Builder'!$L$12)&lt;'Entry Builder'!$E$12),--(INDEX(Sims!$A1466:$BO1466,'Entry Builder'!$L$12)&gt;'Entry Builder'!$E$12)))</f>
        <v/>
      </c>
      <c r="G1466">
        <f>6-SUM(A1466:F1466)</f>
        <v/>
      </c>
    </row>
    <row r="1467">
      <c r="A1467">
        <f>IF('Entry Builder'!$N$7=0,1,IF('Entry Builder'!$D$7="Less",--(INDEX(Sims!$A1467:$BO1467,'Entry Builder'!$L$7)&lt;'Entry Builder'!$E$7),--(INDEX(Sims!$A1467:$BO1467,'Entry Builder'!$L$7)&gt;'Entry Builder'!$E$7)))</f>
        <v/>
      </c>
      <c r="B1467">
        <f>IF('Entry Builder'!$N$8=0,1,IF('Entry Builder'!$D$8="Less",--(INDEX(Sims!$A1467:$BO1467,'Entry Builder'!$L$8)&lt;'Entry Builder'!$E$8),--(INDEX(Sims!$A1467:$BO1467,'Entry Builder'!$L$8)&gt;'Entry Builder'!$E$8)))</f>
        <v/>
      </c>
      <c r="C1467">
        <f>IF('Entry Builder'!$N$9=0,1,IF('Entry Builder'!$D$9="Less",--(INDEX(Sims!$A1467:$BO1467,'Entry Builder'!$L$9)&lt;'Entry Builder'!$E$9),--(INDEX(Sims!$A1467:$BO1467,'Entry Builder'!$L$9)&gt;'Entry Builder'!$E$9)))</f>
        <v/>
      </c>
      <c r="D1467">
        <f>IF('Entry Builder'!$N$10=0,1,IF('Entry Builder'!$D$10="Less",--(INDEX(Sims!$A1467:$BO1467,'Entry Builder'!$L$10)&lt;'Entry Builder'!$E$10),--(INDEX(Sims!$A1467:$BO1467,'Entry Builder'!$L$10)&gt;'Entry Builder'!$E$10)))</f>
        <v/>
      </c>
      <c r="E1467">
        <f>IF('Entry Builder'!$N$11=0,1,IF('Entry Builder'!$D$11="Less",--(INDEX(Sims!$A1467:$BO1467,'Entry Builder'!$L$11)&lt;'Entry Builder'!$E$11),--(INDEX(Sims!$A1467:$BO1467,'Entry Builder'!$L$11)&gt;'Entry Builder'!$E$11)))</f>
        <v/>
      </c>
      <c r="F1467">
        <f>IF('Entry Builder'!$N$12=0,1,IF('Entry Builder'!$D$12="Less",--(INDEX(Sims!$A1467:$BO1467,'Entry Builder'!$L$12)&lt;'Entry Builder'!$E$12),--(INDEX(Sims!$A1467:$BO1467,'Entry Builder'!$L$12)&gt;'Entry Builder'!$E$12)))</f>
        <v/>
      </c>
      <c r="G1467">
        <f>6-SUM(A1467:F1467)</f>
        <v/>
      </c>
    </row>
    <row r="1468">
      <c r="A1468">
        <f>IF('Entry Builder'!$N$7=0,1,IF('Entry Builder'!$D$7="Less",--(INDEX(Sims!$A1468:$BO1468,'Entry Builder'!$L$7)&lt;'Entry Builder'!$E$7),--(INDEX(Sims!$A1468:$BO1468,'Entry Builder'!$L$7)&gt;'Entry Builder'!$E$7)))</f>
        <v/>
      </c>
      <c r="B1468">
        <f>IF('Entry Builder'!$N$8=0,1,IF('Entry Builder'!$D$8="Less",--(INDEX(Sims!$A1468:$BO1468,'Entry Builder'!$L$8)&lt;'Entry Builder'!$E$8),--(INDEX(Sims!$A1468:$BO1468,'Entry Builder'!$L$8)&gt;'Entry Builder'!$E$8)))</f>
        <v/>
      </c>
      <c r="C1468">
        <f>IF('Entry Builder'!$N$9=0,1,IF('Entry Builder'!$D$9="Less",--(INDEX(Sims!$A1468:$BO1468,'Entry Builder'!$L$9)&lt;'Entry Builder'!$E$9),--(INDEX(Sims!$A1468:$BO1468,'Entry Builder'!$L$9)&gt;'Entry Builder'!$E$9)))</f>
        <v/>
      </c>
      <c r="D1468">
        <f>IF('Entry Builder'!$N$10=0,1,IF('Entry Builder'!$D$10="Less",--(INDEX(Sims!$A1468:$BO1468,'Entry Builder'!$L$10)&lt;'Entry Builder'!$E$10),--(INDEX(Sims!$A1468:$BO1468,'Entry Builder'!$L$10)&gt;'Entry Builder'!$E$10)))</f>
        <v/>
      </c>
      <c r="E1468">
        <f>IF('Entry Builder'!$N$11=0,1,IF('Entry Builder'!$D$11="Less",--(INDEX(Sims!$A1468:$BO1468,'Entry Builder'!$L$11)&lt;'Entry Builder'!$E$11),--(INDEX(Sims!$A1468:$BO1468,'Entry Builder'!$L$11)&gt;'Entry Builder'!$E$11)))</f>
        <v/>
      </c>
      <c r="F1468">
        <f>IF('Entry Builder'!$N$12=0,1,IF('Entry Builder'!$D$12="Less",--(INDEX(Sims!$A1468:$BO1468,'Entry Builder'!$L$12)&lt;'Entry Builder'!$E$12),--(INDEX(Sims!$A1468:$BO1468,'Entry Builder'!$L$12)&gt;'Entry Builder'!$E$12)))</f>
        <v/>
      </c>
      <c r="G1468">
        <f>6-SUM(A1468:F1468)</f>
        <v/>
      </c>
    </row>
    <row r="1469">
      <c r="A1469">
        <f>IF('Entry Builder'!$N$7=0,1,IF('Entry Builder'!$D$7="Less",--(INDEX(Sims!$A1469:$BO1469,'Entry Builder'!$L$7)&lt;'Entry Builder'!$E$7),--(INDEX(Sims!$A1469:$BO1469,'Entry Builder'!$L$7)&gt;'Entry Builder'!$E$7)))</f>
        <v/>
      </c>
      <c r="B1469">
        <f>IF('Entry Builder'!$N$8=0,1,IF('Entry Builder'!$D$8="Less",--(INDEX(Sims!$A1469:$BO1469,'Entry Builder'!$L$8)&lt;'Entry Builder'!$E$8),--(INDEX(Sims!$A1469:$BO1469,'Entry Builder'!$L$8)&gt;'Entry Builder'!$E$8)))</f>
        <v/>
      </c>
      <c r="C1469">
        <f>IF('Entry Builder'!$N$9=0,1,IF('Entry Builder'!$D$9="Less",--(INDEX(Sims!$A1469:$BO1469,'Entry Builder'!$L$9)&lt;'Entry Builder'!$E$9),--(INDEX(Sims!$A1469:$BO1469,'Entry Builder'!$L$9)&gt;'Entry Builder'!$E$9)))</f>
        <v/>
      </c>
      <c r="D1469">
        <f>IF('Entry Builder'!$N$10=0,1,IF('Entry Builder'!$D$10="Less",--(INDEX(Sims!$A1469:$BO1469,'Entry Builder'!$L$10)&lt;'Entry Builder'!$E$10),--(INDEX(Sims!$A1469:$BO1469,'Entry Builder'!$L$10)&gt;'Entry Builder'!$E$10)))</f>
        <v/>
      </c>
      <c r="E1469">
        <f>IF('Entry Builder'!$N$11=0,1,IF('Entry Builder'!$D$11="Less",--(INDEX(Sims!$A1469:$BO1469,'Entry Builder'!$L$11)&lt;'Entry Builder'!$E$11),--(INDEX(Sims!$A1469:$BO1469,'Entry Builder'!$L$11)&gt;'Entry Builder'!$E$11)))</f>
        <v/>
      </c>
      <c r="F1469">
        <f>IF('Entry Builder'!$N$12=0,1,IF('Entry Builder'!$D$12="Less",--(INDEX(Sims!$A1469:$BO1469,'Entry Builder'!$L$12)&lt;'Entry Builder'!$E$12),--(INDEX(Sims!$A1469:$BO1469,'Entry Builder'!$L$12)&gt;'Entry Builder'!$E$12)))</f>
        <v/>
      </c>
      <c r="G1469">
        <f>6-SUM(A1469:F1469)</f>
        <v/>
      </c>
    </row>
    <row r="1470">
      <c r="A1470">
        <f>IF('Entry Builder'!$N$7=0,1,IF('Entry Builder'!$D$7="Less",--(INDEX(Sims!$A1470:$BO1470,'Entry Builder'!$L$7)&lt;'Entry Builder'!$E$7),--(INDEX(Sims!$A1470:$BO1470,'Entry Builder'!$L$7)&gt;'Entry Builder'!$E$7)))</f>
        <v/>
      </c>
      <c r="B1470">
        <f>IF('Entry Builder'!$N$8=0,1,IF('Entry Builder'!$D$8="Less",--(INDEX(Sims!$A1470:$BO1470,'Entry Builder'!$L$8)&lt;'Entry Builder'!$E$8),--(INDEX(Sims!$A1470:$BO1470,'Entry Builder'!$L$8)&gt;'Entry Builder'!$E$8)))</f>
        <v/>
      </c>
      <c r="C1470">
        <f>IF('Entry Builder'!$N$9=0,1,IF('Entry Builder'!$D$9="Less",--(INDEX(Sims!$A1470:$BO1470,'Entry Builder'!$L$9)&lt;'Entry Builder'!$E$9),--(INDEX(Sims!$A1470:$BO1470,'Entry Builder'!$L$9)&gt;'Entry Builder'!$E$9)))</f>
        <v/>
      </c>
      <c r="D1470">
        <f>IF('Entry Builder'!$N$10=0,1,IF('Entry Builder'!$D$10="Less",--(INDEX(Sims!$A1470:$BO1470,'Entry Builder'!$L$10)&lt;'Entry Builder'!$E$10),--(INDEX(Sims!$A1470:$BO1470,'Entry Builder'!$L$10)&gt;'Entry Builder'!$E$10)))</f>
        <v/>
      </c>
      <c r="E1470">
        <f>IF('Entry Builder'!$N$11=0,1,IF('Entry Builder'!$D$11="Less",--(INDEX(Sims!$A1470:$BO1470,'Entry Builder'!$L$11)&lt;'Entry Builder'!$E$11),--(INDEX(Sims!$A1470:$BO1470,'Entry Builder'!$L$11)&gt;'Entry Builder'!$E$11)))</f>
        <v/>
      </c>
      <c r="F1470">
        <f>IF('Entry Builder'!$N$12=0,1,IF('Entry Builder'!$D$12="Less",--(INDEX(Sims!$A1470:$BO1470,'Entry Builder'!$L$12)&lt;'Entry Builder'!$E$12),--(INDEX(Sims!$A1470:$BO1470,'Entry Builder'!$L$12)&gt;'Entry Builder'!$E$12)))</f>
        <v/>
      </c>
      <c r="G1470">
        <f>6-SUM(A1470:F1470)</f>
        <v/>
      </c>
    </row>
    <row r="1471">
      <c r="A1471">
        <f>IF('Entry Builder'!$N$7=0,1,IF('Entry Builder'!$D$7="Less",--(INDEX(Sims!$A1471:$BO1471,'Entry Builder'!$L$7)&lt;'Entry Builder'!$E$7),--(INDEX(Sims!$A1471:$BO1471,'Entry Builder'!$L$7)&gt;'Entry Builder'!$E$7)))</f>
        <v/>
      </c>
      <c r="B1471">
        <f>IF('Entry Builder'!$N$8=0,1,IF('Entry Builder'!$D$8="Less",--(INDEX(Sims!$A1471:$BO1471,'Entry Builder'!$L$8)&lt;'Entry Builder'!$E$8),--(INDEX(Sims!$A1471:$BO1471,'Entry Builder'!$L$8)&gt;'Entry Builder'!$E$8)))</f>
        <v/>
      </c>
      <c r="C1471">
        <f>IF('Entry Builder'!$N$9=0,1,IF('Entry Builder'!$D$9="Less",--(INDEX(Sims!$A1471:$BO1471,'Entry Builder'!$L$9)&lt;'Entry Builder'!$E$9),--(INDEX(Sims!$A1471:$BO1471,'Entry Builder'!$L$9)&gt;'Entry Builder'!$E$9)))</f>
        <v/>
      </c>
      <c r="D1471">
        <f>IF('Entry Builder'!$N$10=0,1,IF('Entry Builder'!$D$10="Less",--(INDEX(Sims!$A1471:$BO1471,'Entry Builder'!$L$10)&lt;'Entry Builder'!$E$10),--(INDEX(Sims!$A1471:$BO1471,'Entry Builder'!$L$10)&gt;'Entry Builder'!$E$10)))</f>
        <v/>
      </c>
      <c r="E1471">
        <f>IF('Entry Builder'!$N$11=0,1,IF('Entry Builder'!$D$11="Less",--(INDEX(Sims!$A1471:$BO1471,'Entry Builder'!$L$11)&lt;'Entry Builder'!$E$11),--(INDEX(Sims!$A1471:$BO1471,'Entry Builder'!$L$11)&gt;'Entry Builder'!$E$11)))</f>
        <v/>
      </c>
      <c r="F1471">
        <f>IF('Entry Builder'!$N$12=0,1,IF('Entry Builder'!$D$12="Less",--(INDEX(Sims!$A1471:$BO1471,'Entry Builder'!$L$12)&lt;'Entry Builder'!$E$12),--(INDEX(Sims!$A1471:$BO1471,'Entry Builder'!$L$12)&gt;'Entry Builder'!$E$12)))</f>
        <v/>
      </c>
      <c r="G1471">
        <f>6-SUM(A1471:F1471)</f>
        <v/>
      </c>
    </row>
    <row r="1472">
      <c r="A1472">
        <f>IF('Entry Builder'!$N$7=0,1,IF('Entry Builder'!$D$7="Less",--(INDEX(Sims!$A1472:$BO1472,'Entry Builder'!$L$7)&lt;'Entry Builder'!$E$7),--(INDEX(Sims!$A1472:$BO1472,'Entry Builder'!$L$7)&gt;'Entry Builder'!$E$7)))</f>
        <v/>
      </c>
      <c r="B1472">
        <f>IF('Entry Builder'!$N$8=0,1,IF('Entry Builder'!$D$8="Less",--(INDEX(Sims!$A1472:$BO1472,'Entry Builder'!$L$8)&lt;'Entry Builder'!$E$8),--(INDEX(Sims!$A1472:$BO1472,'Entry Builder'!$L$8)&gt;'Entry Builder'!$E$8)))</f>
        <v/>
      </c>
      <c r="C1472">
        <f>IF('Entry Builder'!$N$9=0,1,IF('Entry Builder'!$D$9="Less",--(INDEX(Sims!$A1472:$BO1472,'Entry Builder'!$L$9)&lt;'Entry Builder'!$E$9),--(INDEX(Sims!$A1472:$BO1472,'Entry Builder'!$L$9)&gt;'Entry Builder'!$E$9)))</f>
        <v/>
      </c>
      <c r="D1472">
        <f>IF('Entry Builder'!$N$10=0,1,IF('Entry Builder'!$D$10="Less",--(INDEX(Sims!$A1472:$BO1472,'Entry Builder'!$L$10)&lt;'Entry Builder'!$E$10),--(INDEX(Sims!$A1472:$BO1472,'Entry Builder'!$L$10)&gt;'Entry Builder'!$E$10)))</f>
        <v/>
      </c>
      <c r="E1472">
        <f>IF('Entry Builder'!$N$11=0,1,IF('Entry Builder'!$D$11="Less",--(INDEX(Sims!$A1472:$BO1472,'Entry Builder'!$L$11)&lt;'Entry Builder'!$E$11),--(INDEX(Sims!$A1472:$BO1472,'Entry Builder'!$L$11)&gt;'Entry Builder'!$E$11)))</f>
        <v/>
      </c>
      <c r="F1472">
        <f>IF('Entry Builder'!$N$12=0,1,IF('Entry Builder'!$D$12="Less",--(INDEX(Sims!$A1472:$BO1472,'Entry Builder'!$L$12)&lt;'Entry Builder'!$E$12),--(INDEX(Sims!$A1472:$BO1472,'Entry Builder'!$L$12)&gt;'Entry Builder'!$E$12)))</f>
        <v/>
      </c>
      <c r="G1472">
        <f>6-SUM(A1472:F1472)</f>
        <v/>
      </c>
    </row>
    <row r="1473">
      <c r="A1473">
        <f>IF('Entry Builder'!$N$7=0,1,IF('Entry Builder'!$D$7="Less",--(INDEX(Sims!$A1473:$BO1473,'Entry Builder'!$L$7)&lt;'Entry Builder'!$E$7),--(INDEX(Sims!$A1473:$BO1473,'Entry Builder'!$L$7)&gt;'Entry Builder'!$E$7)))</f>
        <v/>
      </c>
      <c r="B1473">
        <f>IF('Entry Builder'!$N$8=0,1,IF('Entry Builder'!$D$8="Less",--(INDEX(Sims!$A1473:$BO1473,'Entry Builder'!$L$8)&lt;'Entry Builder'!$E$8),--(INDEX(Sims!$A1473:$BO1473,'Entry Builder'!$L$8)&gt;'Entry Builder'!$E$8)))</f>
        <v/>
      </c>
      <c r="C1473">
        <f>IF('Entry Builder'!$N$9=0,1,IF('Entry Builder'!$D$9="Less",--(INDEX(Sims!$A1473:$BO1473,'Entry Builder'!$L$9)&lt;'Entry Builder'!$E$9),--(INDEX(Sims!$A1473:$BO1473,'Entry Builder'!$L$9)&gt;'Entry Builder'!$E$9)))</f>
        <v/>
      </c>
      <c r="D1473">
        <f>IF('Entry Builder'!$N$10=0,1,IF('Entry Builder'!$D$10="Less",--(INDEX(Sims!$A1473:$BO1473,'Entry Builder'!$L$10)&lt;'Entry Builder'!$E$10),--(INDEX(Sims!$A1473:$BO1473,'Entry Builder'!$L$10)&gt;'Entry Builder'!$E$10)))</f>
        <v/>
      </c>
      <c r="E1473">
        <f>IF('Entry Builder'!$N$11=0,1,IF('Entry Builder'!$D$11="Less",--(INDEX(Sims!$A1473:$BO1473,'Entry Builder'!$L$11)&lt;'Entry Builder'!$E$11),--(INDEX(Sims!$A1473:$BO1473,'Entry Builder'!$L$11)&gt;'Entry Builder'!$E$11)))</f>
        <v/>
      </c>
      <c r="F1473">
        <f>IF('Entry Builder'!$N$12=0,1,IF('Entry Builder'!$D$12="Less",--(INDEX(Sims!$A1473:$BO1473,'Entry Builder'!$L$12)&lt;'Entry Builder'!$E$12),--(INDEX(Sims!$A1473:$BO1473,'Entry Builder'!$L$12)&gt;'Entry Builder'!$E$12)))</f>
        <v/>
      </c>
      <c r="G1473">
        <f>6-SUM(A1473:F1473)</f>
        <v/>
      </c>
    </row>
    <row r="1474">
      <c r="A1474">
        <f>IF('Entry Builder'!$N$7=0,1,IF('Entry Builder'!$D$7="Less",--(INDEX(Sims!$A1474:$BO1474,'Entry Builder'!$L$7)&lt;'Entry Builder'!$E$7),--(INDEX(Sims!$A1474:$BO1474,'Entry Builder'!$L$7)&gt;'Entry Builder'!$E$7)))</f>
        <v/>
      </c>
      <c r="B1474">
        <f>IF('Entry Builder'!$N$8=0,1,IF('Entry Builder'!$D$8="Less",--(INDEX(Sims!$A1474:$BO1474,'Entry Builder'!$L$8)&lt;'Entry Builder'!$E$8),--(INDEX(Sims!$A1474:$BO1474,'Entry Builder'!$L$8)&gt;'Entry Builder'!$E$8)))</f>
        <v/>
      </c>
      <c r="C1474">
        <f>IF('Entry Builder'!$N$9=0,1,IF('Entry Builder'!$D$9="Less",--(INDEX(Sims!$A1474:$BO1474,'Entry Builder'!$L$9)&lt;'Entry Builder'!$E$9),--(INDEX(Sims!$A1474:$BO1474,'Entry Builder'!$L$9)&gt;'Entry Builder'!$E$9)))</f>
        <v/>
      </c>
      <c r="D1474">
        <f>IF('Entry Builder'!$N$10=0,1,IF('Entry Builder'!$D$10="Less",--(INDEX(Sims!$A1474:$BO1474,'Entry Builder'!$L$10)&lt;'Entry Builder'!$E$10),--(INDEX(Sims!$A1474:$BO1474,'Entry Builder'!$L$10)&gt;'Entry Builder'!$E$10)))</f>
        <v/>
      </c>
      <c r="E1474">
        <f>IF('Entry Builder'!$N$11=0,1,IF('Entry Builder'!$D$11="Less",--(INDEX(Sims!$A1474:$BO1474,'Entry Builder'!$L$11)&lt;'Entry Builder'!$E$11),--(INDEX(Sims!$A1474:$BO1474,'Entry Builder'!$L$11)&gt;'Entry Builder'!$E$11)))</f>
        <v/>
      </c>
      <c r="F1474">
        <f>IF('Entry Builder'!$N$12=0,1,IF('Entry Builder'!$D$12="Less",--(INDEX(Sims!$A1474:$BO1474,'Entry Builder'!$L$12)&lt;'Entry Builder'!$E$12),--(INDEX(Sims!$A1474:$BO1474,'Entry Builder'!$L$12)&gt;'Entry Builder'!$E$12)))</f>
        <v/>
      </c>
      <c r="G1474">
        <f>6-SUM(A1474:F1474)</f>
        <v/>
      </c>
    </row>
    <row r="1475">
      <c r="A1475">
        <f>IF('Entry Builder'!$N$7=0,1,IF('Entry Builder'!$D$7="Less",--(INDEX(Sims!$A1475:$BO1475,'Entry Builder'!$L$7)&lt;'Entry Builder'!$E$7),--(INDEX(Sims!$A1475:$BO1475,'Entry Builder'!$L$7)&gt;'Entry Builder'!$E$7)))</f>
        <v/>
      </c>
      <c r="B1475">
        <f>IF('Entry Builder'!$N$8=0,1,IF('Entry Builder'!$D$8="Less",--(INDEX(Sims!$A1475:$BO1475,'Entry Builder'!$L$8)&lt;'Entry Builder'!$E$8),--(INDEX(Sims!$A1475:$BO1475,'Entry Builder'!$L$8)&gt;'Entry Builder'!$E$8)))</f>
        <v/>
      </c>
      <c r="C1475">
        <f>IF('Entry Builder'!$N$9=0,1,IF('Entry Builder'!$D$9="Less",--(INDEX(Sims!$A1475:$BO1475,'Entry Builder'!$L$9)&lt;'Entry Builder'!$E$9),--(INDEX(Sims!$A1475:$BO1475,'Entry Builder'!$L$9)&gt;'Entry Builder'!$E$9)))</f>
        <v/>
      </c>
      <c r="D1475">
        <f>IF('Entry Builder'!$N$10=0,1,IF('Entry Builder'!$D$10="Less",--(INDEX(Sims!$A1475:$BO1475,'Entry Builder'!$L$10)&lt;'Entry Builder'!$E$10),--(INDEX(Sims!$A1475:$BO1475,'Entry Builder'!$L$10)&gt;'Entry Builder'!$E$10)))</f>
        <v/>
      </c>
      <c r="E1475">
        <f>IF('Entry Builder'!$N$11=0,1,IF('Entry Builder'!$D$11="Less",--(INDEX(Sims!$A1475:$BO1475,'Entry Builder'!$L$11)&lt;'Entry Builder'!$E$11),--(INDEX(Sims!$A1475:$BO1475,'Entry Builder'!$L$11)&gt;'Entry Builder'!$E$11)))</f>
        <v/>
      </c>
      <c r="F1475">
        <f>IF('Entry Builder'!$N$12=0,1,IF('Entry Builder'!$D$12="Less",--(INDEX(Sims!$A1475:$BO1475,'Entry Builder'!$L$12)&lt;'Entry Builder'!$E$12),--(INDEX(Sims!$A1475:$BO1475,'Entry Builder'!$L$12)&gt;'Entry Builder'!$E$12)))</f>
        <v/>
      </c>
      <c r="G1475">
        <f>6-SUM(A1475:F1475)</f>
        <v/>
      </c>
    </row>
    <row r="1476">
      <c r="A1476">
        <f>IF('Entry Builder'!$N$7=0,1,IF('Entry Builder'!$D$7="Less",--(INDEX(Sims!$A1476:$BO1476,'Entry Builder'!$L$7)&lt;'Entry Builder'!$E$7),--(INDEX(Sims!$A1476:$BO1476,'Entry Builder'!$L$7)&gt;'Entry Builder'!$E$7)))</f>
        <v/>
      </c>
      <c r="B1476">
        <f>IF('Entry Builder'!$N$8=0,1,IF('Entry Builder'!$D$8="Less",--(INDEX(Sims!$A1476:$BO1476,'Entry Builder'!$L$8)&lt;'Entry Builder'!$E$8),--(INDEX(Sims!$A1476:$BO1476,'Entry Builder'!$L$8)&gt;'Entry Builder'!$E$8)))</f>
        <v/>
      </c>
      <c r="C1476">
        <f>IF('Entry Builder'!$N$9=0,1,IF('Entry Builder'!$D$9="Less",--(INDEX(Sims!$A1476:$BO1476,'Entry Builder'!$L$9)&lt;'Entry Builder'!$E$9),--(INDEX(Sims!$A1476:$BO1476,'Entry Builder'!$L$9)&gt;'Entry Builder'!$E$9)))</f>
        <v/>
      </c>
      <c r="D1476">
        <f>IF('Entry Builder'!$N$10=0,1,IF('Entry Builder'!$D$10="Less",--(INDEX(Sims!$A1476:$BO1476,'Entry Builder'!$L$10)&lt;'Entry Builder'!$E$10),--(INDEX(Sims!$A1476:$BO1476,'Entry Builder'!$L$10)&gt;'Entry Builder'!$E$10)))</f>
        <v/>
      </c>
      <c r="E1476">
        <f>IF('Entry Builder'!$N$11=0,1,IF('Entry Builder'!$D$11="Less",--(INDEX(Sims!$A1476:$BO1476,'Entry Builder'!$L$11)&lt;'Entry Builder'!$E$11),--(INDEX(Sims!$A1476:$BO1476,'Entry Builder'!$L$11)&gt;'Entry Builder'!$E$11)))</f>
        <v/>
      </c>
      <c r="F1476">
        <f>IF('Entry Builder'!$N$12=0,1,IF('Entry Builder'!$D$12="Less",--(INDEX(Sims!$A1476:$BO1476,'Entry Builder'!$L$12)&lt;'Entry Builder'!$E$12),--(INDEX(Sims!$A1476:$BO1476,'Entry Builder'!$L$12)&gt;'Entry Builder'!$E$12)))</f>
        <v/>
      </c>
      <c r="G1476">
        <f>6-SUM(A1476:F1476)</f>
        <v/>
      </c>
    </row>
    <row r="1477">
      <c r="A1477">
        <f>IF('Entry Builder'!$N$7=0,1,IF('Entry Builder'!$D$7="Less",--(INDEX(Sims!$A1477:$BO1477,'Entry Builder'!$L$7)&lt;'Entry Builder'!$E$7),--(INDEX(Sims!$A1477:$BO1477,'Entry Builder'!$L$7)&gt;'Entry Builder'!$E$7)))</f>
        <v/>
      </c>
      <c r="B1477">
        <f>IF('Entry Builder'!$N$8=0,1,IF('Entry Builder'!$D$8="Less",--(INDEX(Sims!$A1477:$BO1477,'Entry Builder'!$L$8)&lt;'Entry Builder'!$E$8),--(INDEX(Sims!$A1477:$BO1477,'Entry Builder'!$L$8)&gt;'Entry Builder'!$E$8)))</f>
        <v/>
      </c>
      <c r="C1477">
        <f>IF('Entry Builder'!$N$9=0,1,IF('Entry Builder'!$D$9="Less",--(INDEX(Sims!$A1477:$BO1477,'Entry Builder'!$L$9)&lt;'Entry Builder'!$E$9),--(INDEX(Sims!$A1477:$BO1477,'Entry Builder'!$L$9)&gt;'Entry Builder'!$E$9)))</f>
        <v/>
      </c>
      <c r="D1477">
        <f>IF('Entry Builder'!$N$10=0,1,IF('Entry Builder'!$D$10="Less",--(INDEX(Sims!$A1477:$BO1477,'Entry Builder'!$L$10)&lt;'Entry Builder'!$E$10),--(INDEX(Sims!$A1477:$BO1477,'Entry Builder'!$L$10)&gt;'Entry Builder'!$E$10)))</f>
        <v/>
      </c>
      <c r="E1477">
        <f>IF('Entry Builder'!$N$11=0,1,IF('Entry Builder'!$D$11="Less",--(INDEX(Sims!$A1477:$BO1477,'Entry Builder'!$L$11)&lt;'Entry Builder'!$E$11),--(INDEX(Sims!$A1477:$BO1477,'Entry Builder'!$L$11)&gt;'Entry Builder'!$E$11)))</f>
        <v/>
      </c>
      <c r="F1477">
        <f>IF('Entry Builder'!$N$12=0,1,IF('Entry Builder'!$D$12="Less",--(INDEX(Sims!$A1477:$BO1477,'Entry Builder'!$L$12)&lt;'Entry Builder'!$E$12),--(INDEX(Sims!$A1477:$BO1477,'Entry Builder'!$L$12)&gt;'Entry Builder'!$E$12)))</f>
        <v/>
      </c>
      <c r="G1477">
        <f>6-SUM(A1477:F1477)</f>
        <v/>
      </c>
    </row>
    <row r="1478">
      <c r="A1478">
        <f>IF('Entry Builder'!$N$7=0,1,IF('Entry Builder'!$D$7="Less",--(INDEX(Sims!$A1478:$BO1478,'Entry Builder'!$L$7)&lt;'Entry Builder'!$E$7),--(INDEX(Sims!$A1478:$BO1478,'Entry Builder'!$L$7)&gt;'Entry Builder'!$E$7)))</f>
        <v/>
      </c>
      <c r="B1478">
        <f>IF('Entry Builder'!$N$8=0,1,IF('Entry Builder'!$D$8="Less",--(INDEX(Sims!$A1478:$BO1478,'Entry Builder'!$L$8)&lt;'Entry Builder'!$E$8),--(INDEX(Sims!$A1478:$BO1478,'Entry Builder'!$L$8)&gt;'Entry Builder'!$E$8)))</f>
        <v/>
      </c>
      <c r="C1478">
        <f>IF('Entry Builder'!$N$9=0,1,IF('Entry Builder'!$D$9="Less",--(INDEX(Sims!$A1478:$BO1478,'Entry Builder'!$L$9)&lt;'Entry Builder'!$E$9),--(INDEX(Sims!$A1478:$BO1478,'Entry Builder'!$L$9)&gt;'Entry Builder'!$E$9)))</f>
        <v/>
      </c>
      <c r="D1478">
        <f>IF('Entry Builder'!$N$10=0,1,IF('Entry Builder'!$D$10="Less",--(INDEX(Sims!$A1478:$BO1478,'Entry Builder'!$L$10)&lt;'Entry Builder'!$E$10),--(INDEX(Sims!$A1478:$BO1478,'Entry Builder'!$L$10)&gt;'Entry Builder'!$E$10)))</f>
        <v/>
      </c>
      <c r="E1478">
        <f>IF('Entry Builder'!$N$11=0,1,IF('Entry Builder'!$D$11="Less",--(INDEX(Sims!$A1478:$BO1478,'Entry Builder'!$L$11)&lt;'Entry Builder'!$E$11),--(INDEX(Sims!$A1478:$BO1478,'Entry Builder'!$L$11)&gt;'Entry Builder'!$E$11)))</f>
        <v/>
      </c>
      <c r="F1478">
        <f>IF('Entry Builder'!$N$12=0,1,IF('Entry Builder'!$D$12="Less",--(INDEX(Sims!$A1478:$BO1478,'Entry Builder'!$L$12)&lt;'Entry Builder'!$E$12),--(INDEX(Sims!$A1478:$BO1478,'Entry Builder'!$L$12)&gt;'Entry Builder'!$E$12)))</f>
        <v/>
      </c>
      <c r="G1478">
        <f>6-SUM(A1478:F1478)</f>
        <v/>
      </c>
    </row>
    <row r="1479">
      <c r="A1479">
        <f>IF('Entry Builder'!$N$7=0,1,IF('Entry Builder'!$D$7="Less",--(INDEX(Sims!$A1479:$BO1479,'Entry Builder'!$L$7)&lt;'Entry Builder'!$E$7),--(INDEX(Sims!$A1479:$BO1479,'Entry Builder'!$L$7)&gt;'Entry Builder'!$E$7)))</f>
        <v/>
      </c>
      <c r="B1479">
        <f>IF('Entry Builder'!$N$8=0,1,IF('Entry Builder'!$D$8="Less",--(INDEX(Sims!$A1479:$BO1479,'Entry Builder'!$L$8)&lt;'Entry Builder'!$E$8),--(INDEX(Sims!$A1479:$BO1479,'Entry Builder'!$L$8)&gt;'Entry Builder'!$E$8)))</f>
        <v/>
      </c>
      <c r="C1479">
        <f>IF('Entry Builder'!$N$9=0,1,IF('Entry Builder'!$D$9="Less",--(INDEX(Sims!$A1479:$BO1479,'Entry Builder'!$L$9)&lt;'Entry Builder'!$E$9),--(INDEX(Sims!$A1479:$BO1479,'Entry Builder'!$L$9)&gt;'Entry Builder'!$E$9)))</f>
        <v/>
      </c>
      <c r="D1479">
        <f>IF('Entry Builder'!$N$10=0,1,IF('Entry Builder'!$D$10="Less",--(INDEX(Sims!$A1479:$BO1479,'Entry Builder'!$L$10)&lt;'Entry Builder'!$E$10),--(INDEX(Sims!$A1479:$BO1479,'Entry Builder'!$L$10)&gt;'Entry Builder'!$E$10)))</f>
        <v/>
      </c>
      <c r="E1479">
        <f>IF('Entry Builder'!$N$11=0,1,IF('Entry Builder'!$D$11="Less",--(INDEX(Sims!$A1479:$BO1479,'Entry Builder'!$L$11)&lt;'Entry Builder'!$E$11),--(INDEX(Sims!$A1479:$BO1479,'Entry Builder'!$L$11)&gt;'Entry Builder'!$E$11)))</f>
        <v/>
      </c>
      <c r="F1479">
        <f>IF('Entry Builder'!$N$12=0,1,IF('Entry Builder'!$D$12="Less",--(INDEX(Sims!$A1479:$BO1479,'Entry Builder'!$L$12)&lt;'Entry Builder'!$E$12),--(INDEX(Sims!$A1479:$BO1479,'Entry Builder'!$L$12)&gt;'Entry Builder'!$E$12)))</f>
        <v/>
      </c>
      <c r="G1479">
        <f>6-SUM(A1479:F1479)</f>
        <v/>
      </c>
    </row>
    <row r="1480">
      <c r="A1480">
        <f>IF('Entry Builder'!$N$7=0,1,IF('Entry Builder'!$D$7="Less",--(INDEX(Sims!$A1480:$BO1480,'Entry Builder'!$L$7)&lt;'Entry Builder'!$E$7),--(INDEX(Sims!$A1480:$BO1480,'Entry Builder'!$L$7)&gt;'Entry Builder'!$E$7)))</f>
        <v/>
      </c>
      <c r="B1480">
        <f>IF('Entry Builder'!$N$8=0,1,IF('Entry Builder'!$D$8="Less",--(INDEX(Sims!$A1480:$BO1480,'Entry Builder'!$L$8)&lt;'Entry Builder'!$E$8),--(INDEX(Sims!$A1480:$BO1480,'Entry Builder'!$L$8)&gt;'Entry Builder'!$E$8)))</f>
        <v/>
      </c>
      <c r="C1480">
        <f>IF('Entry Builder'!$N$9=0,1,IF('Entry Builder'!$D$9="Less",--(INDEX(Sims!$A1480:$BO1480,'Entry Builder'!$L$9)&lt;'Entry Builder'!$E$9),--(INDEX(Sims!$A1480:$BO1480,'Entry Builder'!$L$9)&gt;'Entry Builder'!$E$9)))</f>
        <v/>
      </c>
      <c r="D1480">
        <f>IF('Entry Builder'!$N$10=0,1,IF('Entry Builder'!$D$10="Less",--(INDEX(Sims!$A1480:$BO1480,'Entry Builder'!$L$10)&lt;'Entry Builder'!$E$10),--(INDEX(Sims!$A1480:$BO1480,'Entry Builder'!$L$10)&gt;'Entry Builder'!$E$10)))</f>
        <v/>
      </c>
      <c r="E1480">
        <f>IF('Entry Builder'!$N$11=0,1,IF('Entry Builder'!$D$11="Less",--(INDEX(Sims!$A1480:$BO1480,'Entry Builder'!$L$11)&lt;'Entry Builder'!$E$11),--(INDEX(Sims!$A1480:$BO1480,'Entry Builder'!$L$11)&gt;'Entry Builder'!$E$11)))</f>
        <v/>
      </c>
      <c r="F1480">
        <f>IF('Entry Builder'!$N$12=0,1,IF('Entry Builder'!$D$12="Less",--(INDEX(Sims!$A1480:$BO1480,'Entry Builder'!$L$12)&lt;'Entry Builder'!$E$12),--(INDEX(Sims!$A1480:$BO1480,'Entry Builder'!$L$12)&gt;'Entry Builder'!$E$12)))</f>
        <v/>
      </c>
      <c r="G1480">
        <f>6-SUM(A1480:F1480)</f>
        <v/>
      </c>
    </row>
    <row r="1481">
      <c r="A1481">
        <f>IF('Entry Builder'!$N$7=0,1,IF('Entry Builder'!$D$7="Less",--(INDEX(Sims!$A1481:$BO1481,'Entry Builder'!$L$7)&lt;'Entry Builder'!$E$7),--(INDEX(Sims!$A1481:$BO1481,'Entry Builder'!$L$7)&gt;'Entry Builder'!$E$7)))</f>
        <v/>
      </c>
      <c r="B1481">
        <f>IF('Entry Builder'!$N$8=0,1,IF('Entry Builder'!$D$8="Less",--(INDEX(Sims!$A1481:$BO1481,'Entry Builder'!$L$8)&lt;'Entry Builder'!$E$8),--(INDEX(Sims!$A1481:$BO1481,'Entry Builder'!$L$8)&gt;'Entry Builder'!$E$8)))</f>
        <v/>
      </c>
      <c r="C1481">
        <f>IF('Entry Builder'!$N$9=0,1,IF('Entry Builder'!$D$9="Less",--(INDEX(Sims!$A1481:$BO1481,'Entry Builder'!$L$9)&lt;'Entry Builder'!$E$9),--(INDEX(Sims!$A1481:$BO1481,'Entry Builder'!$L$9)&gt;'Entry Builder'!$E$9)))</f>
        <v/>
      </c>
      <c r="D1481">
        <f>IF('Entry Builder'!$N$10=0,1,IF('Entry Builder'!$D$10="Less",--(INDEX(Sims!$A1481:$BO1481,'Entry Builder'!$L$10)&lt;'Entry Builder'!$E$10),--(INDEX(Sims!$A1481:$BO1481,'Entry Builder'!$L$10)&gt;'Entry Builder'!$E$10)))</f>
        <v/>
      </c>
      <c r="E1481">
        <f>IF('Entry Builder'!$N$11=0,1,IF('Entry Builder'!$D$11="Less",--(INDEX(Sims!$A1481:$BO1481,'Entry Builder'!$L$11)&lt;'Entry Builder'!$E$11),--(INDEX(Sims!$A1481:$BO1481,'Entry Builder'!$L$11)&gt;'Entry Builder'!$E$11)))</f>
        <v/>
      </c>
      <c r="F1481">
        <f>IF('Entry Builder'!$N$12=0,1,IF('Entry Builder'!$D$12="Less",--(INDEX(Sims!$A1481:$BO1481,'Entry Builder'!$L$12)&lt;'Entry Builder'!$E$12),--(INDEX(Sims!$A1481:$BO1481,'Entry Builder'!$L$12)&gt;'Entry Builder'!$E$12)))</f>
        <v/>
      </c>
      <c r="G1481">
        <f>6-SUM(A1481:F1481)</f>
        <v/>
      </c>
    </row>
    <row r="1482">
      <c r="A1482">
        <f>IF('Entry Builder'!$N$7=0,1,IF('Entry Builder'!$D$7="Less",--(INDEX(Sims!$A1482:$BO1482,'Entry Builder'!$L$7)&lt;'Entry Builder'!$E$7),--(INDEX(Sims!$A1482:$BO1482,'Entry Builder'!$L$7)&gt;'Entry Builder'!$E$7)))</f>
        <v/>
      </c>
      <c r="B1482">
        <f>IF('Entry Builder'!$N$8=0,1,IF('Entry Builder'!$D$8="Less",--(INDEX(Sims!$A1482:$BO1482,'Entry Builder'!$L$8)&lt;'Entry Builder'!$E$8),--(INDEX(Sims!$A1482:$BO1482,'Entry Builder'!$L$8)&gt;'Entry Builder'!$E$8)))</f>
        <v/>
      </c>
      <c r="C1482">
        <f>IF('Entry Builder'!$N$9=0,1,IF('Entry Builder'!$D$9="Less",--(INDEX(Sims!$A1482:$BO1482,'Entry Builder'!$L$9)&lt;'Entry Builder'!$E$9),--(INDEX(Sims!$A1482:$BO1482,'Entry Builder'!$L$9)&gt;'Entry Builder'!$E$9)))</f>
        <v/>
      </c>
      <c r="D1482">
        <f>IF('Entry Builder'!$N$10=0,1,IF('Entry Builder'!$D$10="Less",--(INDEX(Sims!$A1482:$BO1482,'Entry Builder'!$L$10)&lt;'Entry Builder'!$E$10),--(INDEX(Sims!$A1482:$BO1482,'Entry Builder'!$L$10)&gt;'Entry Builder'!$E$10)))</f>
        <v/>
      </c>
      <c r="E1482">
        <f>IF('Entry Builder'!$N$11=0,1,IF('Entry Builder'!$D$11="Less",--(INDEX(Sims!$A1482:$BO1482,'Entry Builder'!$L$11)&lt;'Entry Builder'!$E$11),--(INDEX(Sims!$A1482:$BO1482,'Entry Builder'!$L$11)&gt;'Entry Builder'!$E$11)))</f>
        <v/>
      </c>
      <c r="F1482">
        <f>IF('Entry Builder'!$N$12=0,1,IF('Entry Builder'!$D$12="Less",--(INDEX(Sims!$A1482:$BO1482,'Entry Builder'!$L$12)&lt;'Entry Builder'!$E$12),--(INDEX(Sims!$A1482:$BO1482,'Entry Builder'!$L$12)&gt;'Entry Builder'!$E$12)))</f>
        <v/>
      </c>
      <c r="G1482">
        <f>6-SUM(A1482:F1482)</f>
        <v/>
      </c>
    </row>
    <row r="1483">
      <c r="A1483">
        <f>IF('Entry Builder'!$N$7=0,1,IF('Entry Builder'!$D$7="Less",--(INDEX(Sims!$A1483:$BO1483,'Entry Builder'!$L$7)&lt;'Entry Builder'!$E$7),--(INDEX(Sims!$A1483:$BO1483,'Entry Builder'!$L$7)&gt;'Entry Builder'!$E$7)))</f>
        <v/>
      </c>
      <c r="B1483">
        <f>IF('Entry Builder'!$N$8=0,1,IF('Entry Builder'!$D$8="Less",--(INDEX(Sims!$A1483:$BO1483,'Entry Builder'!$L$8)&lt;'Entry Builder'!$E$8),--(INDEX(Sims!$A1483:$BO1483,'Entry Builder'!$L$8)&gt;'Entry Builder'!$E$8)))</f>
        <v/>
      </c>
      <c r="C1483">
        <f>IF('Entry Builder'!$N$9=0,1,IF('Entry Builder'!$D$9="Less",--(INDEX(Sims!$A1483:$BO1483,'Entry Builder'!$L$9)&lt;'Entry Builder'!$E$9),--(INDEX(Sims!$A1483:$BO1483,'Entry Builder'!$L$9)&gt;'Entry Builder'!$E$9)))</f>
        <v/>
      </c>
      <c r="D1483">
        <f>IF('Entry Builder'!$N$10=0,1,IF('Entry Builder'!$D$10="Less",--(INDEX(Sims!$A1483:$BO1483,'Entry Builder'!$L$10)&lt;'Entry Builder'!$E$10),--(INDEX(Sims!$A1483:$BO1483,'Entry Builder'!$L$10)&gt;'Entry Builder'!$E$10)))</f>
        <v/>
      </c>
      <c r="E1483">
        <f>IF('Entry Builder'!$N$11=0,1,IF('Entry Builder'!$D$11="Less",--(INDEX(Sims!$A1483:$BO1483,'Entry Builder'!$L$11)&lt;'Entry Builder'!$E$11),--(INDEX(Sims!$A1483:$BO1483,'Entry Builder'!$L$11)&gt;'Entry Builder'!$E$11)))</f>
        <v/>
      </c>
      <c r="F1483">
        <f>IF('Entry Builder'!$N$12=0,1,IF('Entry Builder'!$D$12="Less",--(INDEX(Sims!$A1483:$BO1483,'Entry Builder'!$L$12)&lt;'Entry Builder'!$E$12),--(INDEX(Sims!$A1483:$BO1483,'Entry Builder'!$L$12)&gt;'Entry Builder'!$E$12)))</f>
        <v/>
      </c>
      <c r="G1483">
        <f>6-SUM(A1483:F1483)</f>
        <v/>
      </c>
    </row>
    <row r="1484">
      <c r="A1484">
        <f>IF('Entry Builder'!$N$7=0,1,IF('Entry Builder'!$D$7="Less",--(INDEX(Sims!$A1484:$BO1484,'Entry Builder'!$L$7)&lt;'Entry Builder'!$E$7),--(INDEX(Sims!$A1484:$BO1484,'Entry Builder'!$L$7)&gt;'Entry Builder'!$E$7)))</f>
        <v/>
      </c>
      <c r="B1484">
        <f>IF('Entry Builder'!$N$8=0,1,IF('Entry Builder'!$D$8="Less",--(INDEX(Sims!$A1484:$BO1484,'Entry Builder'!$L$8)&lt;'Entry Builder'!$E$8),--(INDEX(Sims!$A1484:$BO1484,'Entry Builder'!$L$8)&gt;'Entry Builder'!$E$8)))</f>
        <v/>
      </c>
      <c r="C1484">
        <f>IF('Entry Builder'!$N$9=0,1,IF('Entry Builder'!$D$9="Less",--(INDEX(Sims!$A1484:$BO1484,'Entry Builder'!$L$9)&lt;'Entry Builder'!$E$9),--(INDEX(Sims!$A1484:$BO1484,'Entry Builder'!$L$9)&gt;'Entry Builder'!$E$9)))</f>
        <v/>
      </c>
      <c r="D1484">
        <f>IF('Entry Builder'!$N$10=0,1,IF('Entry Builder'!$D$10="Less",--(INDEX(Sims!$A1484:$BO1484,'Entry Builder'!$L$10)&lt;'Entry Builder'!$E$10),--(INDEX(Sims!$A1484:$BO1484,'Entry Builder'!$L$10)&gt;'Entry Builder'!$E$10)))</f>
        <v/>
      </c>
      <c r="E1484">
        <f>IF('Entry Builder'!$N$11=0,1,IF('Entry Builder'!$D$11="Less",--(INDEX(Sims!$A1484:$BO1484,'Entry Builder'!$L$11)&lt;'Entry Builder'!$E$11),--(INDEX(Sims!$A1484:$BO1484,'Entry Builder'!$L$11)&gt;'Entry Builder'!$E$11)))</f>
        <v/>
      </c>
      <c r="F1484">
        <f>IF('Entry Builder'!$N$12=0,1,IF('Entry Builder'!$D$12="Less",--(INDEX(Sims!$A1484:$BO1484,'Entry Builder'!$L$12)&lt;'Entry Builder'!$E$12),--(INDEX(Sims!$A1484:$BO1484,'Entry Builder'!$L$12)&gt;'Entry Builder'!$E$12)))</f>
        <v/>
      </c>
      <c r="G1484">
        <f>6-SUM(A1484:F1484)</f>
        <v/>
      </c>
    </row>
    <row r="1485">
      <c r="A1485">
        <f>IF('Entry Builder'!$N$7=0,1,IF('Entry Builder'!$D$7="Less",--(INDEX(Sims!$A1485:$BO1485,'Entry Builder'!$L$7)&lt;'Entry Builder'!$E$7),--(INDEX(Sims!$A1485:$BO1485,'Entry Builder'!$L$7)&gt;'Entry Builder'!$E$7)))</f>
        <v/>
      </c>
      <c r="B1485">
        <f>IF('Entry Builder'!$N$8=0,1,IF('Entry Builder'!$D$8="Less",--(INDEX(Sims!$A1485:$BO1485,'Entry Builder'!$L$8)&lt;'Entry Builder'!$E$8),--(INDEX(Sims!$A1485:$BO1485,'Entry Builder'!$L$8)&gt;'Entry Builder'!$E$8)))</f>
        <v/>
      </c>
      <c r="C1485">
        <f>IF('Entry Builder'!$N$9=0,1,IF('Entry Builder'!$D$9="Less",--(INDEX(Sims!$A1485:$BO1485,'Entry Builder'!$L$9)&lt;'Entry Builder'!$E$9),--(INDEX(Sims!$A1485:$BO1485,'Entry Builder'!$L$9)&gt;'Entry Builder'!$E$9)))</f>
        <v/>
      </c>
      <c r="D1485">
        <f>IF('Entry Builder'!$N$10=0,1,IF('Entry Builder'!$D$10="Less",--(INDEX(Sims!$A1485:$BO1485,'Entry Builder'!$L$10)&lt;'Entry Builder'!$E$10),--(INDEX(Sims!$A1485:$BO1485,'Entry Builder'!$L$10)&gt;'Entry Builder'!$E$10)))</f>
        <v/>
      </c>
      <c r="E1485">
        <f>IF('Entry Builder'!$N$11=0,1,IF('Entry Builder'!$D$11="Less",--(INDEX(Sims!$A1485:$BO1485,'Entry Builder'!$L$11)&lt;'Entry Builder'!$E$11),--(INDEX(Sims!$A1485:$BO1485,'Entry Builder'!$L$11)&gt;'Entry Builder'!$E$11)))</f>
        <v/>
      </c>
      <c r="F1485">
        <f>IF('Entry Builder'!$N$12=0,1,IF('Entry Builder'!$D$12="Less",--(INDEX(Sims!$A1485:$BO1485,'Entry Builder'!$L$12)&lt;'Entry Builder'!$E$12),--(INDEX(Sims!$A1485:$BO1485,'Entry Builder'!$L$12)&gt;'Entry Builder'!$E$12)))</f>
        <v/>
      </c>
      <c r="G1485">
        <f>6-SUM(A1485:F1485)</f>
        <v/>
      </c>
    </row>
    <row r="1486">
      <c r="A1486">
        <f>IF('Entry Builder'!$N$7=0,1,IF('Entry Builder'!$D$7="Less",--(INDEX(Sims!$A1486:$BO1486,'Entry Builder'!$L$7)&lt;'Entry Builder'!$E$7),--(INDEX(Sims!$A1486:$BO1486,'Entry Builder'!$L$7)&gt;'Entry Builder'!$E$7)))</f>
        <v/>
      </c>
      <c r="B1486">
        <f>IF('Entry Builder'!$N$8=0,1,IF('Entry Builder'!$D$8="Less",--(INDEX(Sims!$A1486:$BO1486,'Entry Builder'!$L$8)&lt;'Entry Builder'!$E$8),--(INDEX(Sims!$A1486:$BO1486,'Entry Builder'!$L$8)&gt;'Entry Builder'!$E$8)))</f>
        <v/>
      </c>
      <c r="C1486">
        <f>IF('Entry Builder'!$N$9=0,1,IF('Entry Builder'!$D$9="Less",--(INDEX(Sims!$A1486:$BO1486,'Entry Builder'!$L$9)&lt;'Entry Builder'!$E$9),--(INDEX(Sims!$A1486:$BO1486,'Entry Builder'!$L$9)&gt;'Entry Builder'!$E$9)))</f>
        <v/>
      </c>
      <c r="D1486">
        <f>IF('Entry Builder'!$N$10=0,1,IF('Entry Builder'!$D$10="Less",--(INDEX(Sims!$A1486:$BO1486,'Entry Builder'!$L$10)&lt;'Entry Builder'!$E$10),--(INDEX(Sims!$A1486:$BO1486,'Entry Builder'!$L$10)&gt;'Entry Builder'!$E$10)))</f>
        <v/>
      </c>
      <c r="E1486">
        <f>IF('Entry Builder'!$N$11=0,1,IF('Entry Builder'!$D$11="Less",--(INDEX(Sims!$A1486:$BO1486,'Entry Builder'!$L$11)&lt;'Entry Builder'!$E$11),--(INDEX(Sims!$A1486:$BO1486,'Entry Builder'!$L$11)&gt;'Entry Builder'!$E$11)))</f>
        <v/>
      </c>
      <c r="F1486">
        <f>IF('Entry Builder'!$N$12=0,1,IF('Entry Builder'!$D$12="Less",--(INDEX(Sims!$A1486:$BO1486,'Entry Builder'!$L$12)&lt;'Entry Builder'!$E$12),--(INDEX(Sims!$A1486:$BO1486,'Entry Builder'!$L$12)&gt;'Entry Builder'!$E$12)))</f>
        <v/>
      </c>
      <c r="G1486">
        <f>6-SUM(A1486:F1486)</f>
        <v/>
      </c>
    </row>
    <row r="1487">
      <c r="A1487">
        <f>IF('Entry Builder'!$N$7=0,1,IF('Entry Builder'!$D$7="Less",--(INDEX(Sims!$A1487:$BO1487,'Entry Builder'!$L$7)&lt;'Entry Builder'!$E$7),--(INDEX(Sims!$A1487:$BO1487,'Entry Builder'!$L$7)&gt;'Entry Builder'!$E$7)))</f>
        <v/>
      </c>
      <c r="B1487">
        <f>IF('Entry Builder'!$N$8=0,1,IF('Entry Builder'!$D$8="Less",--(INDEX(Sims!$A1487:$BO1487,'Entry Builder'!$L$8)&lt;'Entry Builder'!$E$8),--(INDEX(Sims!$A1487:$BO1487,'Entry Builder'!$L$8)&gt;'Entry Builder'!$E$8)))</f>
        <v/>
      </c>
      <c r="C1487">
        <f>IF('Entry Builder'!$N$9=0,1,IF('Entry Builder'!$D$9="Less",--(INDEX(Sims!$A1487:$BO1487,'Entry Builder'!$L$9)&lt;'Entry Builder'!$E$9),--(INDEX(Sims!$A1487:$BO1487,'Entry Builder'!$L$9)&gt;'Entry Builder'!$E$9)))</f>
        <v/>
      </c>
      <c r="D1487">
        <f>IF('Entry Builder'!$N$10=0,1,IF('Entry Builder'!$D$10="Less",--(INDEX(Sims!$A1487:$BO1487,'Entry Builder'!$L$10)&lt;'Entry Builder'!$E$10),--(INDEX(Sims!$A1487:$BO1487,'Entry Builder'!$L$10)&gt;'Entry Builder'!$E$10)))</f>
        <v/>
      </c>
      <c r="E1487">
        <f>IF('Entry Builder'!$N$11=0,1,IF('Entry Builder'!$D$11="Less",--(INDEX(Sims!$A1487:$BO1487,'Entry Builder'!$L$11)&lt;'Entry Builder'!$E$11),--(INDEX(Sims!$A1487:$BO1487,'Entry Builder'!$L$11)&gt;'Entry Builder'!$E$11)))</f>
        <v/>
      </c>
      <c r="F1487">
        <f>IF('Entry Builder'!$N$12=0,1,IF('Entry Builder'!$D$12="Less",--(INDEX(Sims!$A1487:$BO1487,'Entry Builder'!$L$12)&lt;'Entry Builder'!$E$12),--(INDEX(Sims!$A1487:$BO1487,'Entry Builder'!$L$12)&gt;'Entry Builder'!$E$12)))</f>
        <v/>
      </c>
      <c r="G1487">
        <f>6-SUM(A1487:F1487)</f>
        <v/>
      </c>
    </row>
    <row r="1488">
      <c r="A1488">
        <f>IF('Entry Builder'!$N$7=0,1,IF('Entry Builder'!$D$7="Less",--(INDEX(Sims!$A1488:$BO1488,'Entry Builder'!$L$7)&lt;'Entry Builder'!$E$7),--(INDEX(Sims!$A1488:$BO1488,'Entry Builder'!$L$7)&gt;'Entry Builder'!$E$7)))</f>
        <v/>
      </c>
      <c r="B1488">
        <f>IF('Entry Builder'!$N$8=0,1,IF('Entry Builder'!$D$8="Less",--(INDEX(Sims!$A1488:$BO1488,'Entry Builder'!$L$8)&lt;'Entry Builder'!$E$8),--(INDEX(Sims!$A1488:$BO1488,'Entry Builder'!$L$8)&gt;'Entry Builder'!$E$8)))</f>
        <v/>
      </c>
      <c r="C1488">
        <f>IF('Entry Builder'!$N$9=0,1,IF('Entry Builder'!$D$9="Less",--(INDEX(Sims!$A1488:$BO1488,'Entry Builder'!$L$9)&lt;'Entry Builder'!$E$9),--(INDEX(Sims!$A1488:$BO1488,'Entry Builder'!$L$9)&gt;'Entry Builder'!$E$9)))</f>
        <v/>
      </c>
      <c r="D1488">
        <f>IF('Entry Builder'!$N$10=0,1,IF('Entry Builder'!$D$10="Less",--(INDEX(Sims!$A1488:$BO1488,'Entry Builder'!$L$10)&lt;'Entry Builder'!$E$10),--(INDEX(Sims!$A1488:$BO1488,'Entry Builder'!$L$10)&gt;'Entry Builder'!$E$10)))</f>
        <v/>
      </c>
      <c r="E1488">
        <f>IF('Entry Builder'!$N$11=0,1,IF('Entry Builder'!$D$11="Less",--(INDEX(Sims!$A1488:$BO1488,'Entry Builder'!$L$11)&lt;'Entry Builder'!$E$11),--(INDEX(Sims!$A1488:$BO1488,'Entry Builder'!$L$11)&gt;'Entry Builder'!$E$11)))</f>
        <v/>
      </c>
      <c r="F1488">
        <f>IF('Entry Builder'!$N$12=0,1,IF('Entry Builder'!$D$12="Less",--(INDEX(Sims!$A1488:$BO1488,'Entry Builder'!$L$12)&lt;'Entry Builder'!$E$12),--(INDEX(Sims!$A1488:$BO1488,'Entry Builder'!$L$12)&gt;'Entry Builder'!$E$12)))</f>
        <v/>
      </c>
      <c r="G1488">
        <f>6-SUM(A1488:F1488)</f>
        <v/>
      </c>
    </row>
    <row r="1489">
      <c r="A1489">
        <f>IF('Entry Builder'!$N$7=0,1,IF('Entry Builder'!$D$7="Less",--(INDEX(Sims!$A1489:$BO1489,'Entry Builder'!$L$7)&lt;'Entry Builder'!$E$7),--(INDEX(Sims!$A1489:$BO1489,'Entry Builder'!$L$7)&gt;'Entry Builder'!$E$7)))</f>
        <v/>
      </c>
      <c r="B1489">
        <f>IF('Entry Builder'!$N$8=0,1,IF('Entry Builder'!$D$8="Less",--(INDEX(Sims!$A1489:$BO1489,'Entry Builder'!$L$8)&lt;'Entry Builder'!$E$8),--(INDEX(Sims!$A1489:$BO1489,'Entry Builder'!$L$8)&gt;'Entry Builder'!$E$8)))</f>
        <v/>
      </c>
      <c r="C1489">
        <f>IF('Entry Builder'!$N$9=0,1,IF('Entry Builder'!$D$9="Less",--(INDEX(Sims!$A1489:$BO1489,'Entry Builder'!$L$9)&lt;'Entry Builder'!$E$9),--(INDEX(Sims!$A1489:$BO1489,'Entry Builder'!$L$9)&gt;'Entry Builder'!$E$9)))</f>
        <v/>
      </c>
      <c r="D1489">
        <f>IF('Entry Builder'!$N$10=0,1,IF('Entry Builder'!$D$10="Less",--(INDEX(Sims!$A1489:$BO1489,'Entry Builder'!$L$10)&lt;'Entry Builder'!$E$10),--(INDEX(Sims!$A1489:$BO1489,'Entry Builder'!$L$10)&gt;'Entry Builder'!$E$10)))</f>
        <v/>
      </c>
      <c r="E1489">
        <f>IF('Entry Builder'!$N$11=0,1,IF('Entry Builder'!$D$11="Less",--(INDEX(Sims!$A1489:$BO1489,'Entry Builder'!$L$11)&lt;'Entry Builder'!$E$11),--(INDEX(Sims!$A1489:$BO1489,'Entry Builder'!$L$11)&gt;'Entry Builder'!$E$11)))</f>
        <v/>
      </c>
      <c r="F1489">
        <f>IF('Entry Builder'!$N$12=0,1,IF('Entry Builder'!$D$12="Less",--(INDEX(Sims!$A1489:$BO1489,'Entry Builder'!$L$12)&lt;'Entry Builder'!$E$12),--(INDEX(Sims!$A1489:$BO1489,'Entry Builder'!$L$12)&gt;'Entry Builder'!$E$12)))</f>
        <v/>
      </c>
      <c r="G1489">
        <f>6-SUM(A1489:F1489)</f>
        <v/>
      </c>
    </row>
    <row r="1490">
      <c r="A1490">
        <f>IF('Entry Builder'!$N$7=0,1,IF('Entry Builder'!$D$7="Less",--(INDEX(Sims!$A1490:$BO1490,'Entry Builder'!$L$7)&lt;'Entry Builder'!$E$7),--(INDEX(Sims!$A1490:$BO1490,'Entry Builder'!$L$7)&gt;'Entry Builder'!$E$7)))</f>
        <v/>
      </c>
      <c r="B1490">
        <f>IF('Entry Builder'!$N$8=0,1,IF('Entry Builder'!$D$8="Less",--(INDEX(Sims!$A1490:$BO1490,'Entry Builder'!$L$8)&lt;'Entry Builder'!$E$8),--(INDEX(Sims!$A1490:$BO1490,'Entry Builder'!$L$8)&gt;'Entry Builder'!$E$8)))</f>
        <v/>
      </c>
      <c r="C1490">
        <f>IF('Entry Builder'!$N$9=0,1,IF('Entry Builder'!$D$9="Less",--(INDEX(Sims!$A1490:$BO1490,'Entry Builder'!$L$9)&lt;'Entry Builder'!$E$9),--(INDEX(Sims!$A1490:$BO1490,'Entry Builder'!$L$9)&gt;'Entry Builder'!$E$9)))</f>
        <v/>
      </c>
      <c r="D1490">
        <f>IF('Entry Builder'!$N$10=0,1,IF('Entry Builder'!$D$10="Less",--(INDEX(Sims!$A1490:$BO1490,'Entry Builder'!$L$10)&lt;'Entry Builder'!$E$10),--(INDEX(Sims!$A1490:$BO1490,'Entry Builder'!$L$10)&gt;'Entry Builder'!$E$10)))</f>
        <v/>
      </c>
      <c r="E1490">
        <f>IF('Entry Builder'!$N$11=0,1,IF('Entry Builder'!$D$11="Less",--(INDEX(Sims!$A1490:$BO1490,'Entry Builder'!$L$11)&lt;'Entry Builder'!$E$11),--(INDEX(Sims!$A1490:$BO1490,'Entry Builder'!$L$11)&gt;'Entry Builder'!$E$11)))</f>
        <v/>
      </c>
      <c r="F1490">
        <f>IF('Entry Builder'!$N$12=0,1,IF('Entry Builder'!$D$12="Less",--(INDEX(Sims!$A1490:$BO1490,'Entry Builder'!$L$12)&lt;'Entry Builder'!$E$12),--(INDEX(Sims!$A1490:$BO1490,'Entry Builder'!$L$12)&gt;'Entry Builder'!$E$12)))</f>
        <v/>
      </c>
      <c r="G1490">
        <f>6-SUM(A1490:F1490)</f>
        <v/>
      </c>
    </row>
    <row r="1491">
      <c r="A1491">
        <f>IF('Entry Builder'!$N$7=0,1,IF('Entry Builder'!$D$7="Less",--(INDEX(Sims!$A1491:$BO1491,'Entry Builder'!$L$7)&lt;'Entry Builder'!$E$7),--(INDEX(Sims!$A1491:$BO1491,'Entry Builder'!$L$7)&gt;'Entry Builder'!$E$7)))</f>
        <v/>
      </c>
      <c r="B1491">
        <f>IF('Entry Builder'!$N$8=0,1,IF('Entry Builder'!$D$8="Less",--(INDEX(Sims!$A1491:$BO1491,'Entry Builder'!$L$8)&lt;'Entry Builder'!$E$8),--(INDEX(Sims!$A1491:$BO1491,'Entry Builder'!$L$8)&gt;'Entry Builder'!$E$8)))</f>
        <v/>
      </c>
      <c r="C1491">
        <f>IF('Entry Builder'!$N$9=0,1,IF('Entry Builder'!$D$9="Less",--(INDEX(Sims!$A1491:$BO1491,'Entry Builder'!$L$9)&lt;'Entry Builder'!$E$9),--(INDEX(Sims!$A1491:$BO1491,'Entry Builder'!$L$9)&gt;'Entry Builder'!$E$9)))</f>
        <v/>
      </c>
      <c r="D1491">
        <f>IF('Entry Builder'!$N$10=0,1,IF('Entry Builder'!$D$10="Less",--(INDEX(Sims!$A1491:$BO1491,'Entry Builder'!$L$10)&lt;'Entry Builder'!$E$10),--(INDEX(Sims!$A1491:$BO1491,'Entry Builder'!$L$10)&gt;'Entry Builder'!$E$10)))</f>
        <v/>
      </c>
      <c r="E1491">
        <f>IF('Entry Builder'!$N$11=0,1,IF('Entry Builder'!$D$11="Less",--(INDEX(Sims!$A1491:$BO1491,'Entry Builder'!$L$11)&lt;'Entry Builder'!$E$11),--(INDEX(Sims!$A1491:$BO1491,'Entry Builder'!$L$11)&gt;'Entry Builder'!$E$11)))</f>
        <v/>
      </c>
      <c r="F1491">
        <f>IF('Entry Builder'!$N$12=0,1,IF('Entry Builder'!$D$12="Less",--(INDEX(Sims!$A1491:$BO1491,'Entry Builder'!$L$12)&lt;'Entry Builder'!$E$12),--(INDEX(Sims!$A1491:$BO1491,'Entry Builder'!$L$12)&gt;'Entry Builder'!$E$12)))</f>
        <v/>
      </c>
      <c r="G1491">
        <f>6-SUM(A1491:F1491)</f>
        <v/>
      </c>
    </row>
    <row r="1492">
      <c r="A1492">
        <f>IF('Entry Builder'!$N$7=0,1,IF('Entry Builder'!$D$7="Less",--(INDEX(Sims!$A1492:$BO1492,'Entry Builder'!$L$7)&lt;'Entry Builder'!$E$7),--(INDEX(Sims!$A1492:$BO1492,'Entry Builder'!$L$7)&gt;'Entry Builder'!$E$7)))</f>
        <v/>
      </c>
      <c r="B1492">
        <f>IF('Entry Builder'!$N$8=0,1,IF('Entry Builder'!$D$8="Less",--(INDEX(Sims!$A1492:$BO1492,'Entry Builder'!$L$8)&lt;'Entry Builder'!$E$8),--(INDEX(Sims!$A1492:$BO1492,'Entry Builder'!$L$8)&gt;'Entry Builder'!$E$8)))</f>
        <v/>
      </c>
      <c r="C1492">
        <f>IF('Entry Builder'!$N$9=0,1,IF('Entry Builder'!$D$9="Less",--(INDEX(Sims!$A1492:$BO1492,'Entry Builder'!$L$9)&lt;'Entry Builder'!$E$9),--(INDEX(Sims!$A1492:$BO1492,'Entry Builder'!$L$9)&gt;'Entry Builder'!$E$9)))</f>
        <v/>
      </c>
      <c r="D1492">
        <f>IF('Entry Builder'!$N$10=0,1,IF('Entry Builder'!$D$10="Less",--(INDEX(Sims!$A1492:$BO1492,'Entry Builder'!$L$10)&lt;'Entry Builder'!$E$10),--(INDEX(Sims!$A1492:$BO1492,'Entry Builder'!$L$10)&gt;'Entry Builder'!$E$10)))</f>
        <v/>
      </c>
      <c r="E1492">
        <f>IF('Entry Builder'!$N$11=0,1,IF('Entry Builder'!$D$11="Less",--(INDEX(Sims!$A1492:$BO1492,'Entry Builder'!$L$11)&lt;'Entry Builder'!$E$11),--(INDEX(Sims!$A1492:$BO1492,'Entry Builder'!$L$11)&gt;'Entry Builder'!$E$11)))</f>
        <v/>
      </c>
      <c r="F1492">
        <f>IF('Entry Builder'!$N$12=0,1,IF('Entry Builder'!$D$12="Less",--(INDEX(Sims!$A1492:$BO1492,'Entry Builder'!$L$12)&lt;'Entry Builder'!$E$12),--(INDEX(Sims!$A1492:$BO1492,'Entry Builder'!$L$12)&gt;'Entry Builder'!$E$12)))</f>
        <v/>
      </c>
      <c r="G1492">
        <f>6-SUM(A1492:F1492)</f>
        <v/>
      </c>
    </row>
    <row r="1493">
      <c r="A1493">
        <f>IF('Entry Builder'!$N$7=0,1,IF('Entry Builder'!$D$7="Less",--(INDEX(Sims!$A1493:$BO1493,'Entry Builder'!$L$7)&lt;'Entry Builder'!$E$7),--(INDEX(Sims!$A1493:$BO1493,'Entry Builder'!$L$7)&gt;'Entry Builder'!$E$7)))</f>
        <v/>
      </c>
      <c r="B1493">
        <f>IF('Entry Builder'!$N$8=0,1,IF('Entry Builder'!$D$8="Less",--(INDEX(Sims!$A1493:$BO1493,'Entry Builder'!$L$8)&lt;'Entry Builder'!$E$8),--(INDEX(Sims!$A1493:$BO1493,'Entry Builder'!$L$8)&gt;'Entry Builder'!$E$8)))</f>
        <v/>
      </c>
      <c r="C1493">
        <f>IF('Entry Builder'!$N$9=0,1,IF('Entry Builder'!$D$9="Less",--(INDEX(Sims!$A1493:$BO1493,'Entry Builder'!$L$9)&lt;'Entry Builder'!$E$9),--(INDEX(Sims!$A1493:$BO1493,'Entry Builder'!$L$9)&gt;'Entry Builder'!$E$9)))</f>
        <v/>
      </c>
      <c r="D1493">
        <f>IF('Entry Builder'!$N$10=0,1,IF('Entry Builder'!$D$10="Less",--(INDEX(Sims!$A1493:$BO1493,'Entry Builder'!$L$10)&lt;'Entry Builder'!$E$10),--(INDEX(Sims!$A1493:$BO1493,'Entry Builder'!$L$10)&gt;'Entry Builder'!$E$10)))</f>
        <v/>
      </c>
      <c r="E1493">
        <f>IF('Entry Builder'!$N$11=0,1,IF('Entry Builder'!$D$11="Less",--(INDEX(Sims!$A1493:$BO1493,'Entry Builder'!$L$11)&lt;'Entry Builder'!$E$11),--(INDEX(Sims!$A1493:$BO1493,'Entry Builder'!$L$11)&gt;'Entry Builder'!$E$11)))</f>
        <v/>
      </c>
      <c r="F1493">
        <f>IF('Entry Builder'!$N$12=0,1,IF('Entry Builder'!$D$12="Less",--(INDEX(Sims!$A1493:$BO1493,'Entry Builder'!$L$12)&lt;'Entry Builder'!$E$12),--(INDEX(Sims!$A1493:$BO1493,'Entry Builder'!$L$12)&gt;'Entry Builder'!$E$12)))</f>
        <v/>
      </c>
      <c r="G1493">
        <f>6-SUM(A1493:F1493)</f>
        <v/>
      </c>
    </row>
    <row r="1494">
      <c r="A1494">
        <f>IF('Entry Builder'!$N$7=0,1,IF('Entry Builder'!$D$7="Less",--(INDEX(Sims!$A1494:$BO1494,'Entry Builder'!$L$7)&lt;'Entry Builder'!$E$7),--(INDEX(Sims!$A1494:$BO1494,'Entry Builder'!$L$7)&gt;'Entry Builder'!$E$7)))</f>
        <v/>
      </c>
      <c r="B1494">
        <f>IF('Entry Builder'!$N$8=0,1,IF('Entry Builder'!$D$8="Less",--(INDEX(Sims!$A1494:$BO1494,'Entry Builder'!$L$8)&lt;'Entry Builder'!$E$8),--(INDEX(Sims!$A1494:$BO1494,'Entry Builder'!$L$8)&gt;'Entry Builder'!$E$8)))</f>
        <v/>
      </c>
      <c r="C1494">
        <f>IF('Entry Builder'!$N$9=0,1,IF('Entry Builder'!$D$9="Less",--(INDEX(Sims!$A1494:$BO1494,'Entry Builder'!$L$9)&lt;'Entry Builder'!$E$9),--(INDEX(Sims!$A1494:$BO1494,'Entry Builder'!$L$9)&gt;'Entry Builder'!$E$9)))</f>
        <v/>
      </c>
      <c r="D1494">
        <f>IF('Entry Builder'!$N$10=0,1,IF('Entry Builder'!$D$10="Less",--(INDEX(Sims!$A1494:$BO1494,'Entry Builder'!$L$10)&lt;'Entry Builder'!$E$10),--(INDEX(Sims!$A1494:$BO1494,'Entry Builder'!$L$10)&gt;'Entry Builder'!$E$10)))</f>
        <v/>
      </c>
      <c r="E1494">
        <f>IF('Entry Builder'!$N$11=0,1,IF('Entry Builder'!$D$11="Less",--(INDEX(Sims!$A1494:$BO1494,'Entry Builder'!$L$11)&lt;'Entry Builder'!$E$11),--(INDEX(Sims!$A1494:$BO1494,'Entry Builder'!$L$11)&gt;'Entry Builder'!$E$11)))</f>
        <v/>
      </c>
      <c r="F1494">
        <f>IF('Entry Builder'!$N$12=0,1,IF('Entry Builder'!$D$12="Less",--(INDEX(Sims!$A1494:$BO1494,'Entry Builder'!$L$12)&lt;'Entry Builder'!$E$12),--(INDEX(Sims!$A1494:$BO1494,'Entry Builder'!$L$12)&gt;'Entry Builder'!$E$12)))</f>
        <v/>
      </c>
      <c r="G1494">
        <f>6-SUM(A1494:F1494)</f>
        <v/>
      </c>
    </row>
    <row r="1495">
      <c r="A1495">
        <f>IF('Entry Builder'!$N$7=0,1,IF('Entry Builder'!$D$7="Less",--(INDEX(Sims!$A1495:$BO1495,'Entry Builder'!$L$7)&lt;'Entry Builder'!$E$7),--(INDEX(Sims!$A1495:$BO1495,'Entry Builder'!$L$7)&gt;'Entry Builder'!$E$7)))</f>
        <v/>
      </c>
      <c r="B1495">
        <f>IF('Entry Builder'!$N$8=0,1,IF('Entry Builder'!$D$8="Less",--(INDEX(Sims!$A1495:$BO1495,'Entry Builder'!$L$8)&lt;'Entry Builder'!$E$8),--(INDEX(Sims!$A1495:$BO1495,'Entry Builder'!$L$8)&gt;'Entry Builder'!$E$8)))</f>
        <v/>
      </c>
      <c r="C1495">
        <f>IF('Entry Builder'!$N$9=0,1,IF('Entry Builder'!$D$9="Less",--(INDEX(Sims!$A1495:$BO1495,'Entry Builder'!$L$9)&lt;'Entry Builder'!$E$9),--(INDEX(Sims!$A1495:$BO1495,'Entry Builder'!$L$9)&gt;'Entry Builder'!$E$9)))</f>
        <v/>
      </c>
      <c r="D1495">
        <f>IF('Entry Builder'!$N$10=0,1,IF('Entry Builder'!$D$10="Less",--(INDEX(Sims!$A1495:$BO1495,'Entry Builder'!$L$10)&lt;'Entry Builder'!$E$10),--(INDEX(Sims!$A1495:$BO1495,'Entry Builder'!$L$10)&gt;'Entry Builder'!$E$10)))</f>
        <v/>
      </c>
      <c r="E1495">
        <f>IF('Entry Builder'!$N$11=0,1,IF('Entry Builder'!$D$11="Less",--(INDEX(Sims!$A1495:$BO1495,'Entry Builder'!$L$11)&lt;'Entry Builder'!$E$11),--(INDEX(Sims!$A1495:$BO1495,'Entry Builder'!$L$11)&gt;'Entry Builder'!$E$11)))</f>
        <v/>
      </c>
      <c r="F1495">
        <f>IF('Entry Builder'!$N$12=0,1,IF('Entry Builder'!$D$12="Less",--(INDEX(Sims!$A1495:$BO1495,'Entry Builder'!$L$12)&lt;'Entry Builder'!$E$12),--(INDEX(Sims!$A1495:$BO1495,'Entry Builder'!$L$12)&gt;'Entry Builder'!$E$12)))</f>
        <v/>
      </c>
      <c r="G1495">
        <f>6-SUM(A1495:F1495)</f>
        <v/>
      </c>
    </row>
    <row r="1496">
      <c r="A1496">
        <f>IF('Entry Builder'!$N$7=0,1,IF('Entry Builder'!$D$7="Less",--(INDEX(Sims!$A1496:$BO1496,'Entry Builder'!$L$7)&lt;'Entry Builder'!$E$7),--(INDEX(Sims!$A1496:$BO1496,'Entry Builder'!$L$7)&gt;'Entry Builder'!$E$7)))</f>
        <v/>
      </c>
      <c r="B1496">
        <f>IF('Entry Builder'!$N$8=0,1,IF('Entry Builder'!$D$8="Less",--(INDEX(Sims!$A1496:$BO1496,'Entry Builder'!$L$8)&lt;'Entry Builder'!$E$8),--(INDEX(Sims!$A1496:$BO1496,'Entry Builder'!$L$8)&gt;'Entry Builder'!$E$8)))</f>
        <v/>
      </c>
      <c r="C1496">
        <f>IF('Entry Builder'!$N$9=0,1,IF('Entry Builder'!$D$9="Less",--(INDEX(Sims!$A1496:$BO1496,'Entry Builder'!$L$9)&lt;'Entry Builder'!$E$9),--(INDEX(Sims!$A1496:$BO1496,'Entry Builder'!$L$9)&gt;'Entry Builder'!$E$9)))</f>
        <v/>
      </c>
      <c r="D1496">
        <f>IF('Entry Builder'!$N$10=0,1,IF('Entry Builder'!$D$10="Less",--(INDEX(Sims!$A1496:$BO1496,'Entry Builder'!$L$10)&lt;'Entry Builder'!$E$10),--(INDEX(Sims!$A1496:$BO1496,'Entry Builder'!$L$10)&gt;'Entry Builder'!$E$10)))</f>
        <v/>
      </c>
      <c r="E1496">
        <f>IF('Entry Builder'!$N$11=0,1,IF('Entry Builder'!$D$11="Less",--(INDEX(Sims!$A1496:$BO1496,'Entry Builder'!$L$11)&lt;'Entry Builder'!$E$11),--(INDEX(Sims!$A1496:$BO1496,'Entry Builder'!$L$11)&gt;'Entry Builder'!$E$11)))</f>
        <v/>
      </c>
      <c r="F1496">
        <f>IF('Entry Builder'!$N$12=0,1,IF('Entry Builder'!$D$12="Less",--(INDEX(Sims!$A1496:$BO1496,'Entry Builder'!$L$12)&lt;'Entry Builder'!$E$12),--(INDEX(Sims!$A1496:$BO1496,'Entry Builder'!$L$12)&gt;'Entry Builder'!$E$12)))</f>
        <v/>
      </c>
      <c r="G1496">
        <f>6-SUM(A1496:F1496)</f>
        <v/>
      </c>
    </row>
    <row r="1497">
      <c r="A1497">
        <f>IF('Entry Builder'!$N$7=0,1,IF('Entry Builder'!$D$7="Less",--(INDEX(Sims!$A1497:$BO1497,'Entry Builder'!$L$7)&lt;'Entry Builder'!$E$7),--(INDEX(Sims!$A1497:$BO1497,'Entry Builder'!$L$7)&gt;'Entry Builder'!$E$7)))</f>
        <v/>
      </c>
      <c r="B1497">
        <f>IF('Entry Builder'!$N$8=0,1,IF('Entry Builder'!$D$8="Less",--(INDEX(Sims!$A1497:$BO1497,'Entry Builder'!$L$8)&lt;'Entry Builder'!$E$8),--(INDEX(Sims!$A1497:$BO1497,'Entry Builder'!$L$8)&gt;'Entry Builder'!$E$8)))</f>
        <v/>
      </c>
      <c r="C1497">
        <f>IF('Entry Builder'!$N$9=0,1,IF('Entry Builder'!$D$9="Less",--(INDEX(Sims!$A1497:$BO1497,'Entry Builder'!$L$9)&lt;'Entry Builder'!$E$9),--(INDEX(Sims!$A1497:$BO1497,'Entry Builder'!$L$9)&gt;'Entry Builder'!$E$9)))</f>
        <v/>
      </c>
      <c r="D1497">
        <f>IF('Entry Builder'!$N$10=0,1,IF('Entry Builder'!$D$10="Less",--(INDEX(Sims!$A1497:$BO1497,'Entry Builder'!$L$10)&lt;'Entry Builder'!$E$10),--(INDEX(Sims!$A1497:$BO1497,'Entry Builder'!$L$10)&gt;'Entry Builder'!$E$10)))</f>
        <v/>
      </c>
      <c r="E1497">
        <f>IF('Entry Builder'!$N$11=0,1,IF('Entry Builder'!$D$11="Less",--(INDEX(Sims!$A1497:$BO1497,'Entry Builder'!$L$11)&lt;'Entry Builder'!$E$11),--(INDEX(Sims!$A1497:$BO1497,'Entry Builder'!$L$11)&gt;'Entry Builder'!$E$11)))</f>
        <v/>
      </c>
      <c r="F1497">
        <f>IF('Entry Builder'!$N$12=0,1,IF('Entry Builder'!$D$12="Less",--(INDEX(Sims!$A1497:$BO1497,'Entry Builder'!$L$12)&lt;'Entry Builder'!$E$12),--(INDEX(Sims!$A1497:$BO1497,'Entry Builder'!$L$12)&gt;'Entry Builder'!$E$12)))</f>
        <v/>
      </c>
      <c r="G1497">
        <f>6-SUM(A1497:F1497)</f>
        <v/>
      </c>
    </row>
    <row r="1498">
      <c r="A1498">
        <f>IF('Entry Builder'!$N$7=0,1,IF('Entry Builder'!$D$7="Less",--(INDEX(Sims!$A1498:$BO1498,'Entry Builder'!$L$7)&lt;'Entry Builder'!$E$7),--(INDEX(Sims!$A1498:$BO1498,'Entry Builder'!$L$7)&gt;'Entry Builder'!$E$7)))</f>
        <v/>
      </c>
      <c r="B1498">
        <f>IF('Entry Builder'!$N$8=0,1,IF('Entry Builder'!$D$8="Less",--(INDEX(Sims!$A1498:$BO1498,'Entry Builder'!$L$8)&lt;'Entry Builder'!$E$8),--(INDEX(Sims!$A1498:$BO1498,'Entry Builder'!$L$8)&gt;'Entry Builder'!$E$8)))</f>
        <v/>
      </c>
      <c r="C1498">
        <f>IF('Entry Builder'!$N$9=0,1,IF('Entry Builder'!$D$9="Less",--(INDEX(Sims!$A1498:$BO1498,'Entry Builder'!$L$9)&lt;'Entry Builder'!$E$9),--(INDEX(Sims!$A1498:$BO1498,'Entry Builder'!$L$9)&gt;'Entry Builder'!$E$9)))</f>
        <v/>
      </c>
      <c r="D1498">
        <f>IF('Entry Builder'!$N$10=0,1,IF('Entry Builder'!$D$10="Less",--(INDEX(Sims!$A1498:$BO1498,'Entry Builder'!$L$10)&lt;'Entry Builder'!$E$10),--(INDEX(Sims!$A1498:$BO1498,'Entry Builder'!$L$10)&gt;'Entry Builder'!$E$10)))</f>
        <v/>
      </c>
      <c r="E1498">
        <f>IF('Entry Builder'!$N$11=0,1,IF('Entry Builder'!$D$11="Less",--(INDEX(Sims!$A1498:$BO1498,'Entry Builder'!$L$11)&lt;'Entry Builder'!$E$11),--(INDEX(Sims!$A1498:$BO1498,'Entry Builder'!$L$11)&gt;'Entry Builder'!$E$11)))</f>
        <v/>
      </c>
      <c r="F1498">
        <f>IF('Entry Builder'!$N$12=0,1,IF('Entry Builder'!$D$12="Less",--(INDEX(Sims!$A1498:$BO1498,'Entry Builder'!$L$12)&lt;'Entry Builder'!$E$12),--(INDEX(Sims!$A1498:$BO1498,'Entry Builder'!$L$12)&gt;'Entry Builder'!$E$12)))</f>
        <v/>
      </c>
      <c r="G1498">
        <f>6-SUM(A1498:F1498)</f>
        <v/>
      </c>
    </row>
    <row r="1499">
      <c r="A1499">
        <f>IF('Entry Builder'!$N$7=0,1,IF('Entry Builder'!$D$7="Less",--(INDEX(Sims!$A1499:$BO1499,'Entry Builder'!$L$7)&lt;'Entry Builder'!$E$7),--(INDEX(Sims!$A1499:$BO1499,'Entry Builder'!$L$7)&gt;'Entry Builder'!$E$7)))</f>
        <v/>
      </c>
      <c r="B1499">
        <f>IF('Entry Builder'!$N$8=0,1,IF('Entry Builder'!$D$8="Less",--(INDEX(Sims!$A1499:$BO1499,'Entry Builder'!$L$8)&lt;'Entry Builder'!$E$8),--(INDEX(Sims!$A1499:$BO1499,'Entry Builder'!$L$8)&gt;'Entry Builder'!$E$8)))</f>
        <v/>
      </c>
      <c r="C1499">
        <f>IF('Entry Builder'!$N$9=0,1,IF('Entry Builder'!$D$9="Less",--(INDEX(Sims!$A1499:$BO1499,'Entry Builder'!$L$9)&lt;'Entry Builder'!$E$9),--(INDEX(Sims!$A1499:$BO1499,'Entry Builder'!$L$9)&gt;'Entry Builder'!$E$9)))</f>
        <v/>
      </c>
      <c r="D1499">
        <f>IF('Entry Builder'!$N$10=0,1,IF('Entry Builder'!$D$10="Less",--(INDEX(Sims!$A1499:$BO1499,'Entry Builder'!$L$10)&lt;'Entry Builder'!$E$10),--(INDEX(Sims!$A1499:$BO1499,'Entry Builder'!$L$10)&gt;'Entry Builder'!$E$10)))</f>
        <v/>
      </c>
      <c r="E1499">
        <f>IF('Entry Builder'!$N$11=0,1,IF('Entry Builder'!$D$11="Less",--(INDEX(Sims!$A1499:$BO1499,'Entry Builder'!$L$11)&lt;'Entry Builder'!$E$11),--(INDEX(Sims!$A1499:$BO1499,'Entry Builder'!$L$11)&gt;'Entry Builder'!$E$11)))</f>
        <v/>
      </c>
      <c r="F1499">
        <f>IF('Entry Builder'!$N$12=0,1,IF('Entry Builder'!$D$12="Less",--(INDEX(Sims!$A1499:$BO1499,'Entry Builder'!$L$12)&lt;'Entry Builder'!$E$12),--(INDEX(Sims!$A1499:$BO1499,'Entry Builder'!$L$12)&gt;'Entry Builder'!$E$12)))</f>
        <v/>
      </c>
      <c r="G1499">
        <f>6-SUM(A1499:F1499)</f>
        <v/>
      </c>
    </row>
    <row r="1500">
      <c r="A1500">
        <f>IF('Entry Builder'!$N$7=0,1,IF('Entry Builder'!$D$7="Less",--(INDEX(Sims!$A1500:$BO1500,'Entry Builder'!$L$7)&lt;'Entry Builder'!$E$7),--(INDEX(Sims!$A1500:$BO1500,'Entry Builder'!$L$7)&gt;'Entry Builder'!$E$7)))</f>
        <v/>
      </c>
      <c r="B1500">
        <f>IF('Entry Builder'!$N$8=0,1,IF('Entry Builder'!$D$8="Less",--(INDEX(Sims!$A1500:$BO1500,'Entry Builder'!$L$8)&lt;'Entry Builder'!$E$8),--(INDEX(Sims!$A1500:$BO1500,'Entry Builder'!$L$8)&gt;'Entry Builder'!$E$8)))</f>
        <v/>
      </c>
      <c r="C1500">
        <f>IF('Entry Builder'!$N$9=0,1,IF('Entry Builder'!$D$9="Less",--(INDEX(Sims!$A1500:$BO1500,'Entry Builder'!$L$9)&lt;'Entry Builder'!$E$9),--(INDEX(Sims!$A1500:$BO1500,'Entry Builder'!$L$9)&gt;'Entry Builder'!$E$9)))</f>
        <v/>
      </c>
      <c r="D1500">
        <f>IF('Entry Builder'!$N$10=0,1,IF('Entry Builder'!$D$10="Less",--(INDEX(Sims!$A1500:$BO1500,'Entry Builder'!$L$10)&lt;'Entry Builder'!$E$10),--(INDEX(Sims!$A1500:$BO1500,'Entry Builder'!$L$10)&gt;'Entry Builder'!$E$10)))</f>
        <v/>
      </c>
      <c r="E1500">
        <f>IF('Entry Builder'!$N$11=0,1,IF('Entry Builder'!$D$11="Less",--(INDEX(Sims!$A1500:$BO1500,'Entry Builder'!$L$11)&lt;'Entry Builder'!$E$11),--(INDEX(Sims!$A1500:$BO1500,'Entry Builder'!$L$11)&gt;'Entry Builder'!$E$11)))</f>
        <v/>
      </c>
      <c r="F1500">
        <f>IF('Entry Builder'!$N$12=0,1,IF('Entry Builder'!$D$12="Less",--(INDEX(Sims!$A1500:$BO1500,'Entry Builder'!$L$12)&lt;'Entry Builder'!$E$12),--(INDEX(Sims!$A1500:$BO1500,'Entry Builder'!$L$12)&gt;'Entry Builder'!$E$12)))</f>
        <v/>
      </c>
      <c r="G1500">
        <f>6-SUM(A1500:F1500)</f>
        <v/>
      </c>
    </row>
    <row r="1501">
      <c r="A1501">
        <f>IF('Entry Builder'!$N$7=0,1,IF('Entry Builder'!$D$7="Less",--(INDEX(Sims!$A1501:$BO1501,'Entry Builder'!$L$7)&lt;'Entry Builder'!$E$7),--(INDEX(Sims!$A1501:$BO1501,'Entry Builder'!$L$7)&gt;'Entry Builder'!$E$7)))</f>
        <v/>
      </c>
      <c r="B1501">
        <f>IF('Entry Builder'!$N$8=0,1,IF('Entry Builder'!$D$8="Less",--(INDEX(Sims!$A1501:$BO1501,'Entry Builder'!$L$8)&lt;'Entry Builder'!$E$8),--(INDEX(Sims!$A1501:$BO1501,'Entry Builder'!$L$8)&gt;'Entry Builder'!$E$8)))</f>
        <v/>
      </c>
      <c r="C1501">
        <f>IF('Entry Builder'!$N$9=0,1,IF('Entry Builder'!$D$9="Less",--(INDEX(Sims!$A1501:$BO1501,'Entry Builder'!$L$9)&lt;'Entry Builder'!$E$9),--(INDEX(Sims!$A1501:$BO1501,'Entry Builder'!$L$9)&gt;'Entry Builder'!$E$9)))</f>
        <v/>
      </c>
      <c r="D1501">
        <f>IF('Entry Builder'!$N$10=0,1,IF('Entry Builder'!$D$10="Less",--(INDEX(Sims!$A1501:$BO1501,'Entry Builder'!$L$10)&lt;'Entry Builder'!$E$10),--(INDEX(Sims!$A1501:$BO1501,'Entry Builder'!$L$10)&gt;'Entry Builder'!$E$10)))</f>
        <v/>
      </c>
      <c r="E1501">
        <f>IF('Entry Builder'!$N$11=0,1,IF('Entry Builder'!$D$11="Less",--(INDEX(Sims!$A1501:$BO1501,'Entry Builder'!$L$11)&lt;'Entry Builder'!$E$11),--(INDEX(Sims!$A1501:$BO1501,'Entry Builder'!$L$11)&gt;'Entry Builder'!$E$11)))</f>
        <v/>
      </c>
      <c r="F1501">
        <f>IF('Entry Builder'!$N$12=0,1,IF('Entry Builder'!$D$12="Less",--(INDEX(Sims!$A1501:$BO1501,'Entry Builder'!$L$12)&lt;'Entry Builder'!$E$12),--(INDEX(Sims!$A1501:$BO1501,'Entry Builder'!$L$12)&gt;'Entry Builder'!$E$12)))</f>
        <v/>
      </c>
      <c r="G1501">
        <f>6-SUM(A1501:F1501)</f>
        <v/>
      </c>
    </row>
    <row r="1502">
      <c r="A1502">
        <f>IF('Entry Builder'!$N$7=0,1,IF('Entry Builder'!$D$7="Less",--(INDEX(Sims!$A1502:$BO1502,'Entry Builder'!$L$7)&lt;'Entry Builder'!$E$7),--(INDEX(Sims!$A1502:$BO1502,'Entry Builder'!$L$7)&gt;'Entry Builder'!$E$7)))</f>
        <v/>
      </c>
      <c r="B1502">
        <f>IF('Entry Builder'!$N$8=0,1,IF('Entry Builder'!$D$8="Less",--(INDEX(Sims!$A1502:$BO1502,'Entry Builder'!$L$8)&lt;'Entry Builder'!$E$8),--(INDEX(Sims!$A1502:$BO1502,'Entry Builder'!$L$8)&gt;'Entry Builder'!$E$8)))</f>
        <v/>
      </c>
      <c r="C1502">
        <f>IF('Entry Builder'!$N$9=0,1,IF('Entry Builder'!$D$9="Less",--(INDEX(Sims!$A1502:$BO1502,'Entry Builder'!$L$9)&lt;'Entry Builder'!$E$9),--(INDEX(Sims!$A1502:$BO1502,'Entry Builder'!$L$9)&gt;'Entry Builder'!$E$9)))</f>
        <v/>
      </c>
      <c r="D1502">
        <f>IF('Entry Builder'!$N$10=0,1,IF('Entry Builder'!$D$10="Less",--(INDEX(Sims!$A1502:$BO1502,'Entry Builder'!$L$10)&lt;'Entry Builder'!$E$10),--(INDEX(Sims!$A1502:$BO1502,'Entry Builder'!$L$10)&gt;'Entry Builder'!$E$10)))</f>
        <v/>
      </c>
      <c r="E1502">
        <f>IF('Entry Builder'!$N$11=0,1,IF('Entry Builder'!$D$11="Less",--(INDEX(Sims!$A1502:$BO1502,'Entry Builder'!$L$11)&lt;'Entry Builder'!$E$11),--(INDEX(Sims!$A1502:$BO1502,'Entry Builder'!$L$11)&gt;'Entry Builder'!$E$11)))</f>
        <v/>
      </c>
      <c r="F1502">
        <f>IF('Entry Builder'!$N$12=0,1,IF('Entry Builder'!$D$12="Less",--(INDEX(Sims!$A1502:$BO1502,'Entry Builder'!$L$12)&lt;'Entry Builder'!$E$12),--(INDEX(Sims!$A1502:$BO1502,'Entry Builder'!$L$12)&gt;'Entry Builder'!$E$12)))</f>
        <v/>
      </c>
      <c r="G1502">
        <f>6-SUM(A1502:F1502)</f>
        <v/>
      </c>
    </row>
    <row r="1503">
      <c r="A1503">
        <f>IF('Entry Builder'!$N$7=0,1,IF('Entry Builder'!$D$7="Less",--(INDEX(Sims!$A1503:$BO1503,'Entry Builder'!$L$7)&lt;'Entry Builder'!$E$7),--(INDEX(Sims!$A1503:$BO1503,'Entry Builder'!$L$7)&gt;'Entry Builder'!$E$7)))</f>
        <v/>
      </c>
      <c r="B1503">
        <f>IF('Entry Builder'!$N$8=0,1,IF('Entry Builder'!$D$8="Less",--(INDEX(Sims!$A1503:$BO1503,'Entry Builder'!$L$8)&lt;'Entry Builder'!$E$8),--(INDEX(Sims!$A1503:$BO1503,'Entry Builder'!$L$8)&gt;'Entry Builder'!$E$8)))</f>
        <v/>
      </c>
      <c r="C1503">
        <f>IF('Entry Builder'!$N$9=0,1,IF('Entry Builder'!$D$9="Less",--(INDEX(Sims!$A1503:$BO1503,'Entry Builder'!$L$9)&lt;'Entry Builder'!$E$9),--(INDEX(Sims!$A1503:$BO1503,'Entry Builder'!$L$9)&gt;'Entry Builder'!$E$9)))</f>
        <v/>
      </c>
      <c r="D1503">
        <f>IF('Entry Builder'!$N$10=0,1,IF('Entry Builder'!$D$10="Less",--(INDEX(Sims!$A1503:$BO1503,'Entry Builder'!$L$10)&lt;'Entry Builder'!$E$10),--(INDEX(Sims!$A1503:$BO1503,'Entry Builder'!$L$10)&gt;'Entry Builder'!$E$10)))</f>
        <v/>
      </c>
      <c r="E1503">
        <f>IF('Entry Builder'!$N$11=0,1,IF('Entry Builder'!$D$11="Less",--(INDEX(Sims!$A1503:$BO1503,'Entry Builder'!$L$11)&lt;'Entry Builder'!$E$11),--(INDEX(Sims!$A1503:$BO1503,'Entry Builder'!$L$11)&gt;'Entry Builder'!$E$11)))</f>
        <v/>
      </c>
      <c r="F1503">
        <f>IF('Entry Builder'!$N$12=0,1,IF('Entry Builder'!$D$12="Less",--(INDEX(Sims!$A1503:$BO1503,'Entry Builder'!$L$12)&lt;'Entry Builder'!$E$12),--(INDEX(Sims!$A1503:$BO1503,'Entry Builder'!$L$12)&gt;'Entry Builder'!$E$12)))</f>
        <v/>
      </c>
      <c r="G1503">
        <f>6-SUM(A1503:F1503)</f>
        <v/>
      </c>
    </row>
    <row r="1504">
      <c r="A1504">
        <f>IF('Entry Builder'!$N$7=0,1,IF('Entry Builder'!$D$7="Less",--(INDEX(Sims!$A1504:$BO1504,'Entry Builder'!$L$7)&lt;'Entry Builder'!$E$7),--(INDEX(Sims!$A1504:$BO1504,'Entry Builder'!$L$7)&gt;'Entry Builder'!$E$7)))</f>
        <v/>
      </c>
      <c r="B1504">
        <f>IF('Entry Builder'!$N$8=0,1,IF('Entry Builder'!$D$8="Less",--(INDEX(Sims!$A1504:$BO1504,'Entry Builder'!$L$8)&lt;'Entry Builder'!$E$8),--(INDEX(Sims!$A1504:$BO1504,'Entry Builder'!$L$8)&gt;'Entry Builder'!$E$8)))</f>
        <v/>
      </c>
      <c r="C1504">
        <f>IF('Entry Builder'!$N$9=0,1,IF('Entry Builder'!$D$9="Less",--(INDEX(Sims!$A1504:$BO1504,'Entry Builder'!$L$9)&lt;'Entry Builder'!$E$9),--(INDEX(Sims!$A1504:$BO1504,'Entry Builder'!$L$9)&gt;'Entry Builder'!$E$9)))</f>
        <v/>
      </c>
      <c r="D1504">
        <f>IF('Entry Builder'!$N$10=0,1,IF('Entry Builder'!$D$10="Less",--(INDEX(Sims!$A1504:$BO1504,'Entry Builder'!$L$10)&lt;'Entry Builder'!$E$10),--(INDEX(Sims!$A1504:$BO1504,'Entry Builder'!$L$10)&gt;'Entry Builder'!$E$10)))</f>
        <v/>
      </c>
      <c r="E1504">
        <f>IF('Entry Builder'!$N$11=0,1,IF('Entry Builder'!$D$11="Less",--(INDEX(Sims!$A1504:$BO1504,'Entry Builder'!$L$11)&lt;'Entry Builder'!$E$11),--(INDEX(Sims!$A1504:$BO1504,'Entry Builder'!$L$11)&gt;'Entry Builder'!$E$11)))</f>
        <v/>
      </c>
      <c r="F1504">
        <f>IF('Entry Builder'!$N$12=0,1,IF('Entry Builder'!$D$12="Less",--(INDEX(Sims!$A1504:$BO1504,'Entry Builder'!$L$12)&lt;'Entry Builder'!$E$12),--(INDEX(Sims!$A1504:$BO1504,'Entry Builder'!$L$12)&gt;'Entry Builder'!$E$12)))</f>
        <v/>
      </c>
      <c r="G1504">
        <f>6-SUM(A1504:F1504)</f>
        <v/>
      </c>
    </row>
    <row r="1505">
      <c r="A1505">
        <f>IF('Entry Builder'!$N$7=0,1,IF('Entry Builder'!$D$7="Less",--(INDEX(Sims!$A1505:$BO1505,'Entry Builder'!$L$7)&lt;'Entry Builder'!$E$7),--(INDEX(Sims!$A1505:$BO1505,'Entry Builder'!$L$7)&gt;'Entry Builder'!$E$7)))</f>
        <v/>
      </c>
      <c r="B1505">
        <f>IF('Entry Builder'!$N$8=0,1,IF('Entry Builder'!$D$8="Less",--(INDEX(Sims!$A1505:$BO1505,'Entry Builder'!$L$8)&lt;'Entry Builder'!$E$8),--(INDEX(Sims!$A1505:$BO1505,'Entry Builder'!$L$8)&gt;'Entry Builder'!$E$8)))</f>
        <v/>
      </c>
      <c r="C1505">
        <f>IF('Entry Builder'!$N$9=0,1,IF('Entry Builder'!$D$9="Less",--(INDEX(Sims!$A1505:$BO1505,'Entry Builder'!$L$9)&lt;'Entry Builder'!$E$9),--(INDEX(Sims!$A1505:$BO1505,'Entry Builder'!$L$9)&gt;'Entry Builder'!$E$9)))</f>
        <v/>
      </c>
      <c r="D1505">
        <f>IF('Entry Builder'!$N$10=0,1,IF('Entry Builder'!$D$10="Less",--(INDEX(Sims!$A1505:$BO1505,'Entry Builder'!$L$10)&lt;'Entry Builder'!$E$10),--(INDEX(Sims!$A1505:$BO1505,'Entry Builder'!$L$10)&gt;'Entry Builder'!$E$10)))</f>
        <v/>
      </c>
      <c r="E1505">
        <f>IF('Entry Builder'!$N$11=0,1,IF('Entry Builder'!$D$11="Less",--(INDEX(Sims!$A1505:$BO1505,'Entry Builder'!$L$11)&lt;'Entry Builder'!$E$11),--(INDEX(Sims!$A1505:$BO1505,'Entry Builder'!$L$11)&gt;'Entry Builder'!$E$11)))</f>
        <v/>
      </c>
      <c r="F1505">
        <f>IF('Entry Builder'!$N$12=0,1,IF('Entry Builder'!$D$12="Less",--(INDEX(Sims!$A1505:$BO1505,'Entry Builder'!$L$12)&lt;'Entry Builder'!$E$12),--(INDEX(Sims!$A1505:$BO1505,'Entry Builder'!$L$12)&gt;'Entry Builder'!$E$12)))</f>
        <v/>
      </c>
      <c r="G1505">
        <f>6-SUM(A1505:F1505)</f>
        <v/>
      </c>
    </row>
    <row r="1506">
      <c r="A1506">
        <f>IF('Entry Builder'!$N$7=0,1,IF('Entry Builder'!$D$7="Less",--(INDEX(Sims!$A1506:$BO1506,'Entry Builder'!$L$7)&lt;'Entry Builder'!$E$7),--(INDEX(Sims!$A1506:$BO1506,'Entry Builder'!$L$7)&gt;'Entry Builder'!$E$7)))</f>
        <v/>
      </c>
      <c r="B1506">
        <f>IF('Entry Builder'!$N$8=0,1,IF('Entry Builder'!$D$8="Less",--(INDEX(Sims!$A1506:$BO1506,'Entry Builder'!$L$8)&lt;'Entry Builder'!$E$8),--(INDEX(Sims!$A1506:$BO1506,'Entry Builder'!$L$8)&gt;'Entry Builder'!$E$8)))</f>
        <v/>
      </c>
      <c r="C1506">
        <f>IF('Entry Builder'!$N$9=0,1,IF('Entry Builder'!$D$9="Less",--(INDEX(Sims!$A1506:$BO1506,'Entry Builder'!$L$9)&lt;'Entry Builder'!$E$9),--(INDEX(Sims!$A1506:$BO1506,'Entry Builder'!$L$9)&gt;'Entry Builder'!$E$9)))</f>
        <v/>
      </c>
      <c r="D1506">
        <f>IF('Entry Builder'!$N$10=0,1,IF('Entry Builder'!$D$10="Less",--(INDEX(Sims!$A1506:$BO1506,'Entry Builder'!$L$10)&lt;'Entry Builder'!$E$10),--(INDEX(Sims!$A1506:$BO1506,'Entry Builder'!$L$10)&gt;'Entry Builder'!$E$10)))</f>
        <v/>
      </c>
      <c r="E1506">
        <f>IF('Entry Builder'!$N$11=0,1,IF('Entry Builder'!$D$11="Less",--(INDEX(Sims!$A1506:$BO1506,'Entry Builder'!$L$11)&lt;'Entry Builder'!$E$11),--(INDEX(Sims!$A1506:$BO1506,'Entry Builder'!$L$11)&gt;'Entry Builder'!$E$11)))</f>
        <v/>
      </c>
      <c r="F1506">
        <f>IF('Entry Builder'!$N$12=0,1,IF('Entry Builder'!$D$12="Less",--(INDEX(Sims!$A1506:$BO1506,'Entry Builder'!$L$12)&lt;'Entry Builder'!$E$12),--(INDEX(Sims!$A1506:$BO1506,'Entry Builder'!$L$12)&gt;'Entry Builder'!$E$12)))</f>
        <v/>
      </c>
      <c r="G1506">
        <f>6-SUM(A1506:F1506)</f>
        <v/>
      </c>
    </row>
    <row r="1507">
      <c r="A1507">
        <f>IF('Entry Builder'!$N$7=0,1,IF('Entry Builder'!$D$7="Less",--(INDEX(Sims!$A1507:$BO1507,'Entry Builder'!$L$7)&lt;'Entry Builder'!$E$7),--(INDEX(Sims!$A1507:$BO1507,'Entry Builder'!$L$7)&gt;'Entry Builder'!$E$7)))</f>
        <v/>
      </c>
      <c r="B1507">
        <f>IF('Entry Builder'!$N$8=0,1,IF('Entry Builder'!$D$8="Less",--(INDEX(Sims!$A1507:$BO1507,'Entry Builder'!$L$8)&lt;'Entry Builder'!$E$8),--(INDEX(Sims!$A1507:$BO1507,'Entry Builder'!$L$8)&gt;'Entry Builder'!$E$8)))</f>
        <v/>
      </c>
      <c r="C1507">
        <f>IF('Entry Builder'!$N$9=0,1,IF('Entry Builder'!$D$9="Less",--(INDEX(Sims!$A1507:$BO1507,'Entry Builder'!$L$9)&lt;'Entry Builder'!$E$9),--(INDEX(Sims!$A1507:$BO1507,'Entry Builder'!$L$9)&gt;'Entry Builder'!$E$9)))</f>
        <v/>
      </c>
      <c r="D1507">
        <f>IF('Entry Builder'!$N$10=0,1,IF('Entry Builder'!$D$10="Less",--(INDEX(Sims!$A1507:$BO1507,'Entry Builder'!$L$10)&lt;'Entry Builder'!$E$10),--(INDEX(Sims!$A1507:$BO1507,'Entry Builder'!$L$10)&gt;'Entry Builder'!$E$10)))</f>
        <v/>
      </c>
      <c r="E1507">
        <f>IF('Entry Builder'!$N$11=0,1,IF('Entry Builder'!$D$11="Less",--(INDEX(Sims!$A1507:$BO1507,'Entry Builder'!$L$11)&lt;'Entry Builder'!$E$11),--(INDEX(Sims!$A1507:$BO1507,'Entry Builder'!$L$11)&gt;'Entry Builder'!$E$11)))</f>
        <v/>
      </c>
      <c r="F1507">
        <f>IF('Entry Builder'!$N$12=0,1,IF('Entry Builder'!$D$12="Less",--(INDEX(Sims!$A1507:$BO1507,'Entry Builder'!$L$12)&lt;'Entry Builder'!$E$12),--(INDEX(Sims!$A1507:$BO1507,'Entry Builder'!$L$12)&gt;'Entry Builder'!$E$12)))</f>
        <v/>
      </c>
      <c r="G1507">
        <f>6-SUM(A1507:F1507)</f>
        <v/>
      </c>
    </row>
    <row r="1508">
      <c r="A1508">
        <f>IF('Entry Builder'!$N$7=0,1,IF('Entry Builder'!$D$7="Less",--(INDEX(Sims!$A1508:$BO1508,'Entry Builder'!$L$7)&lt;'Entry Builder'!$E$7),--(INDEX(Sims!$A1508:$BO1508,'Entry Builder'!$L$7)&gt;'Entry Builder'!$E$7)))</f>
        <v/>
      </c>
      <c r="B1508">
        <f>IF('Entry Builder'!$N$8=0,1,IF('Entry Builder'!$D$8="Less",--(INDEX(Sims!$A1508:$BO1508,'Entry Builder'!$L$8)&lt;'Entry Builder'!$E$8),--(INDEX(Sims!$A1508:$BO1508,'Entry Builder'!$L$8)&gt;'Entry Builder'!$E$8)))</f>
        <v/>
      </c>
      <c r="C1508">
        <f>IF('Entry Builder'!$N$9=0,1,IF('Entry Builder'!$D$9="Less",--(INDEX(Sims!$A1508:$BO1508,'Entry Builder'!$L$9)&lt;'Entry Builder'!$E$9),--(INDEX(Sims!$A1508:$BO1508,'Entry Builder'!$L$9)&gt;'Entry Builder'!$E$9)))</f>
        <v/>
      </c>
      <c r="D1508">
        <f>IF('Entry Builder'!$N$10=0,1,IF('Entry Builder'!$D$10="Less",--(INDEX(Sims!$A1508:$BO1508,'Entry Builder'!$L$10)&lt;'Entry Builder'!$E$10),--(INDEX(Sims!$A1508:$BO1508,'Entry Builder'!$L$10)&gt;'Entry Builder'!$E$10)))</f>
        <v/>
      </c>
      <c r="E1508">
        <f>IF('Entry Builder'!$N$11=0,1,IF('Entry Builder'!$D$11="Less",--(INDEX(Sims!$A1508:$BO1508,'Entry Builder'!$L$11)&lt;'Entry Builder'!$E$11),--(INDEX(Sims!$A1508:$BO1508,'Entry Builder'!$L$11)&gt;'Entry Builder'!$E$11)))</f>
        <v/>
      </c>
      <c r="F1508">
        <f>IF('Entry Builder'!$N$12=0,1,IF('Entry Builder'!$D$12="Less",--(INDEX(Sims!$A1508:$BO1508,'Entry Builder'!$L$12)&lt;'Entry Builder'!$E$12),--(INDEX(Sims!$A1508:$BO1508,'Entry Builder'!$L$12)&gt;'Entry Builder'!$E$12)))</f>
        <v/>
      </c>
      <c r="G1508">
        <f>6-SUM(A1508:F1508)</f>
        <v/>
      </c>
    </row>
    <row r="1509">
      <c r="A1509">
        <f>IF('Entry Builder'!$N$7=0,1,IF('Entry Builder'!$D$7="Less",--(INDEX(Sims!$A1509:$BO1509,'Entry Builder'!$L$7)&lt;'Entry Builder'!$E$7),--(INDEX(Sims!$A1509:$BO1509,'Entry Builder'!$L$7)&gt;'Entry Builder'!$E$7)))</f>
        <v/>
      </c>
      <c r="B1509">
        <f>IF('Entry Builder'!$N$8=0,1,IF('Entry Builder'!$D$8="Less",--(INDEX(Sims!$A1509:$BO1509,'Entry Builder'!$L$8)&lt;'Entry Builder'!$E$8),--(INDEX(Sims!$A1509:$BO1509,'Entry Builder'!$L$8)&gt;'Entry Builder'!$E$8)))</f>
        <v/>
      </c>
      <c r="C1509">
        <f>IF('Entry Builder'!$N$9=0,1,IF('Entry Builder'!$D$9="Less",--(INDEX(Sims!$A1509:$BO1509,'Entry Builder'!$L$9)&lt;'Entry Builder'!$E$9),--(INDEX(Sims!$A1509:$BO1509,'Entry Builder'!$L$9)&gt;'Entry Builder'!$E$9)))</f>
        <v/>
      </c>
      <c r="D1509">
        <f>IF('Entry Builder'!$N$10=0,1,IF('Entry Builder'!$D$10="Less",--(INDEX(Sims!$A1509:$BO1509,'Entry Builder'!$L$10)&lt;'Entry Builder'!$E$10),--(INDEX(Sims!$A1509:$BO1509,'Entry Builder'!$L$10)&gt;'Entry Builder'!$E$10)))</f>
        <v/>
      </c>
      <c r="E1509">
        <f>IF('Entry Builder'!$N$11=0,1,IF('Entry Builder'!$D$11="Less",--(INDEX(Sims!$A1509:$BO1509,'Entry Builder'!$L$11)&lt;'Entry Builder'!$E$11),--(INDEX(Sims!$A1509:$BO1509,'Entry Builder'!$L$11)&gt;'Entry Builder'!$E$11)))</f>
        <v/>
      </c>
      <c r="F1509">
        <f>IF('Entry Builder'!$N$12=0,1,IF('Entry Builder'!$D$12="Less",--(INDEX(Sims!$A1509:$BO1509,'Entry Builder'!$L$12)&lt;'Entry Builder'!$E$12),--(INDEX(Sims!$A1509:$BO1509,'Entry Builder'!$L$12)&gt;'Entry Builder'!$E$12)))</f>
        <v/>
      </c>
      <c r="G1509">
        <f>6-SUM(A1509:F1509)</f>
        <v/>
      </c>
    </row>
    <row r="1510">
      <c r="A1510">
        <f>IF('Entry Builder'!$N$7=0,1,IF('Entry Builder'!$D$7="Less",--(INDEX(Sims!$A1510:$BO1510,'Entry Builder'!$L$7)&lt;'Entry Builder'!$E$7),--(INDEX(Sims!$A1510:$BO1510,'Entry Builder'!$L$7)&gt;'Entry Builder'!$E$7)))</f>
        <v/>
      </c>
      <c r="B1510">
        <f>IF('Entry Builder'!$N$8=0,1,IF('Entry Builder'!$D$8="Less",--(INDEX(Sims!$A1510:$BO1510,'Entry Builder'!$L$8)&lt;'Entry Builder'!$E$8),--(INDEX(Sims!$A1510:$BO1510,'Entry Builder'!$L$8)&gt;'Entry Builder'!$E$8)))</f>
        <v/>
      </c>
      <c r="C1510">
        <f>IF('Entry Builder'!$N$9=0,1,IF('Entry Builder'!$D$9="Less",--(INDEX(Sims!$A1510:$BO1510,'Entry Builder'!$L$9)&lt;'Entry Builder'!$E$9),--(INDEX(Sims!$A1510:$BO1510,'Entry Builder'!$L$9)&gt;'Entry Builder'!$E$9)))</f>
        <v/>
      </c>
      <c r="D1510">
        <f>IF('Entry Builder'!$N$10=0,1,IF('Entry Builder'!$D$10="Less",--(INDEX(Sims!$A1510:$BO1510,'Entry Builder'!$L$10)&lt;'Entry Builder'!$E$10),--(INDEX(Sims!$A1510:$BO1510,'Entry Builder'!$L$10)&gt;'Entry Builder'!$E$10)))</f>
        <v/>
      </c>
      <c r="E1510">
        <f>IF('Entry Builder'!$N$11=0,1,IF('Entry Builder'!$D$11="Less",--(INDEX(Sims!$A1510:$BO1510,'Entry Builder'!$L$11)&lt;'Entry Builder'!$E$11),--(INDEX(Sims!$A1510:$BO1510,'Entry Builder'!$L$11)&gt;'Entry Builder'!$E$11)))</f>
        <v/>
      </c>
      <c r="F1510">
        <f>IF('Entry Builder'!$N$12=0,1,IF('Entry Builder'!$D$12="Less",--(INDEX(Sims!$A1510:$BO1510,'Entry Builder'!$L$12)&lt;'Entry Builder'!$E$12),--(INDEX(Sims!$A1510:$BO1510,'Entry Builder'!$L$12)&gt;'Entry Builder'!$E$12)))</f>
        <v/>
      </c>
      <c r="G1510">
        <f>6-SUM(A1510:F1510)</f>
        <v/>
      </c>
    </row>
    <row r="1511">
      <c r="A1511">
        <f>IF('Entry Builder'!$N$7=0,1,IF('Entry Builder'!$D$7="Less",--(INDEX(Sims!$A1511:$BO1511,'Entry Builder'!$L$7)&lt;'Entry Builder'!$E$7),--(INDEX(Sims!$A1511:$BO1511,'Entry Builder'!$L$7)&gt;'Entry Builder'!$E$7)))</f>
        <v/>
      </c>
      <c r="B1511">
        <f>IF('Entry Builder'!$N$8=0,1,IF('Entry Builder'!$D$8="Less",--(INDEX(Sims!$A1511:$BO1511,'Entry Builder'!$L$8)&lt;'Entry Builder'!$E$8),--(INDEX(Sims!$A1511:$BO1511,'Entry Builder'!$L$8)&gt;'Entry Builder'!$E$8)))</f>
        <v/>
      </c>
      <c r="C1511">
        <f>IF('Entry Builder'!$N$9=0,1,IF('Entry Builder'!$D$9="Less",--(INDEX(Sims!$A1511:$BO1511,'Entry Builder'!$L$9)&lt;'Entry Builder'!$E$9),--(INDEX(Sims!$A1511:$BO1511,'Entry Builder'!$L$9)&gt;'Entry Builder'!$E$9)))</f>
        <v/>
      </c>
      <c r="D1511">
        <f>IF('Entry Builder'!$N$10=0,1,IF('Entry Builder'!$D$10="Less",--(INDEX(Sims!$A1511:$BO1511,'Entry Builder'!$L$10)&lt;'Entry Builder'!$E$10),--(INDEX(Sims!$A1511:$BO1511,'Entry Builder'!$L$10)&gt;'Entry Builder'!$E$10)))</f>
        <v/>
      </c>
      <c r="E1511">
        <f>IF('Entry Builder'!$N$11=0,1,IF('Entry Builder'!$D$11="Less",--(INDEX(Sims!$A1511:$BO1511,'Entry Builder'!$L$11)&lt;'Entry Builder'!$E$11),--(INDEX(Sims!$A1511:$BO1511,'Entry Builder'!$L$11)&gt;'Entry Builder'!$E$11)))</f>
        <v/>
      </c>
      <c r="F1511">
        <f>IF('Entry Builder'!$N$12=0,1,IF('Entry Builder'!$D$12="Less",--(INDEX(Sims!$A1511:$BO1511,'Entry Builder'!$L$12)&lt;'Entry Builder'!$E$12),--(INDEX(Sims!$A1511:$BO1511,'Entry Builder'!$L$12)&gt;'Entry Builder'!$E$12)))</f>
        <v/>
      </c>
      <c r="G1511">
        <f>6-SUM(A1511:F1511)</f>
        <v/>
      </c>
    </row>
    <row r="1512">
      <c r="A1512">
        <f>IF('Entry Builder'!$N$7=0,1,IF('Entry Builder'!$D$7="Less",--(INDEX(Sims!$A1512:$BO1512,'Entry Builder'!$L$7)&lt;'Entry Builder'!$E$7),--(INDEX(Sims!$A1512:$BO1512,'Entry Builder'!$L$7)&gt;'Entry Builder'!$E$7)))</f>
        <v/>
      </c>
      <c r="B1512">
        <f>IF('Entry Builder'!$N$8=0,1,IF('Entry Builder'!$D$8="Less",--(INDEX(Sims!$A1512:$BO1512,'Entry Builder'!$L$8)&lt;'Entry Builder'!$E$8),--(INDEX(Sims!$A1512:$BO1512,'Entry Builder'!$L$8)&gt;'Entry Builder'!$E$8)))</f>
        <v/>
      </c>
      <c r="C1512">
        <f>IF('Entry Builder'!$N$9=0,1,IF('Entry Builder'!$D$9="Less",--(INDEX(Sims!$A1512:$BO1512,'Entry Builder'!$L$9)&lt;'Entry Builder'!$E$9),--(INDEX(Sims!$A1512:$BO1512,'Entry Builder'!$L$9)&gt;'Entry Builder'!$E$9)))</f>
        <v/>
      </c>
      <c r="D1512">
        <f>IF('Entry Builder'!$N$10=0,1,IF('Entry Builder'!$D$10="Less",--(INDEX(Sims!$A1512:$BO1512,'Entry Builder'!$L$10)&lt;'Entry Builder'!$E$10),--(INDEX(Sims!$A1512:$BO1512,'Entry Builder'!$L$10)&gt;'Entry Builder'!$E$10)))</f>
        <v/>
      </c>
      <c r="E1512">
        <f>IF('Entry Builder'!$N$11=0,1,IF('Entry Builder'!$D$11="Less",--(INDEX(Sims!$A1512:$BO1512,'Entry Builder'!$L$11)&lt;'Entry Builder'!$E$11),--(INDEX(Sims!$A1512:$BO1512,'Entry Builder'!$L$11)&gt;'Entry Builder'!$E$11)))</f>
        <v/>
      </c>
      <c r="F1512">
        <f>IF('Entry Builder'!$N$12=0,1,IF('Entry Builder'!$D$12="Less",--(INDEX(Sims!$A1512:$BO1512,'Entry Builder'!$L$12)&lt;'Entry Builder'!$E$12),--(INDEX(Sims!$A1512:$BO1512,'Entry Builder'!$L$12)&gt;'Entry Builder'!$E$12)))</f>
        <v/>
      </c>
      <c r="G1512">
        <f>6-SUM(A1512:F1512)</f>
        <v/>
      </c>
    </row>
    <row r="1513">
      <c r="A1513">
        <f>IF('Entry Builder'!$N$7=0,1,IF('Entry Builder'!$D$7="Less",--(INDEX(Sims!$A1513:$BO1513,'Entry Builder'!$L$7)&lt;'Entry Builder'!$E$7),--(INDEX(Sims!$A1513:$BO1513,'Entry Builder'!$L$7)&gt;'Entry Builder'!$E$7)))</f>
        <v/>
      </c>
      <c r="B1513">
        <f>IF('Entry Builder'!$N$8=0,1,IF('Entry Builder'!$D$8="Less",--(INDEX(Sims!$A1513:$BO1513,'Entry Builder'!$L$8)&lt;'Entry Builder'!$E$8),--(INDEX(Sims!$A1513:$BO1513,'Entry Builder'!$L$8)&gt;'Entry Builder'!$E$8)))</f>
        <v/>
      </c>
      <c r="C1513">
        <f>IF('Entry Builder'!$N$9=0,1,IF('Entry Builder'!$D$9="Less",--(INDEX(Sims!$A1513:$BO1513,'Entry Builder'!$L$9)&lt;'Entry Builder'!$E$9),--(INDEX(Sims!$A1513:$BO1513,'Entry Builder'!$L$9)&gt;'Entry Builder'!$E$9)))</f>
        <v/>
      </c>
      <c r="D1513">
        <f>IF('Entry Builder'!$N$10=0,1,IF('Entry Builder'!$D$10="Less",--(INDEX(Sims!$A1513:$BO1513,'Entry Builder'!$L$10)&lt;'Entry Builder'!$E$10),--(INDEX(Sims!$A1513:$BO1513,'Entry Builder'!$L$10)&gt;'Entry Builder'!$E$10)))</f>
        <v/>
      </c>
      <c r="E1513">
        <f>IF('Entry Builder'!$N$11=0,1,IF('Entry Builder'!$D$11="Less",--(INDEX(Sims!$A1513:$BO1513,'Entry Builder'!$L$11)&lt;'Entry Builder'!$E$11),--(INDEX(Sims!$A1513:$BO1513,'Entry Builder'!$L$11)&gt;'Entry Builder'!$E$11)))</f>
        <v/>
      </c>
      <c r="F1513">
        <f>IF('Entry Builder'!$N$12=0,1,IF('Entry Builder'!$D$12="Less",--(INDEX(Sims!$A1513:$BO1513,'Entry Builder'!$L$12)&lt;'Entry Builder'!$E$12),--(INDEX(Sims!$A1513:$BO1513,'Entry Builder'!$L$12)&gt;'Entry Builder'!$E$12)))</f>
        <v/>
      </c>
      <c r="G1513">
        <f>6-SUM(A1513:F1513)</f>
        <v/>
      </c>
    </row>
    <row r="1514">
      <c r="A1514">
        <f>IF('Entry Builder'!$N$7=0,1,IF('Entry Builder'!$D$7="Less",--(INDEX(Sims!$A1514:$BO1514,'Entry Builder'!$L$7)&lt;'Entry Builder'!$E$7),--(INDEX(Sims!$A1514:$BO1514,'Entry Builder'!$L$7)&gt;'Entry Builder'!$E$7)))</f>
        <v/>
      </c>
      <c r="B1514">
        <f>IF('Entry Builder'!$N$8=0,1,IF('Entry Builder'!$D$8="Less",--(INDEX(Sims!$A1514:$BO1514,'Entry Builder'!$L$8)&lt;'Entry Builder'!$E$8),--(INDEX(Sims!$A1514:$BO1514,'Entry Builder'!$L$8)&gt;'Entry Builder'!$E$8)))</f>
        <v/>
      </c>
      <c r="C1514">
        <f>IF('Entry Builder'!$N$9=0,1,IF('Entry Builder'!$D$9="Less",--(INDEX(Sims!$A1514:$BO1514,'Entry Builder'!$L$9)&lt;'Entry Builder'!$E$9),--(INDEX(Sims!$A1514:$BO1514,'Entry Builder'!$L$9)&gt;'Entry Builder'!$E$9)))</f>
        <v/>
      </c>
      <c r="D1514">
        <f>IF('Entry Builder'!$N$10=0,1,IF('Entry Builder'!$D$10="Less",--(INDEX(Sims!$A1514:$BO1514,'Entry Builder'!$L$10)&lt;'Entry Builder'!$E$10),--(INDEX(Sims!$A1514:$BO1514,'Entry Builder'!$L$10)&gt;'Entry Builder'!$E$10)))</f>
        <v/>
      </c>
      <c r="E1514">
        <f>IF('Entry Builder'!$N$11=0,1,IF('Entry Builder'!$D$11="Less",--(INDEX(Sims!$A1514:$BO1514,'Entry Builder'!$L$11)&lt;'Entry Builder'!$E$11),--(INDEX(Sims!$A1514:$BO1514,'Entry Builder'!$L$11)&gt;'Entry Builder'!$E$11)))</f>
        <v/>
      </c>
      <c r="F1514">
        <f>IF('Entry Builder'!$N$12=0,1,IF('Entry Builder'!$D$12="Less",--(INDEX(Sims!$A1514:$BO1514,'Entry Builder'!$L$12)&lt;'Entry Builder'!$E$12),--(INDEX(Sims!$A1514:$BO1514,'Entry Builder'!$L$12)&gt;'Entry Builder'!$E$12)))</f>
        <v/>
      </c>
      <c r="G1514">
        <f>6-SUM(A1514:F1514)</f>
        <v/>
      </c>
    </row>
    <row r="1515">
      <c r="A1515">
        <f>IF('Entry Builder'!$N$7=0,1,IF('Entry Builder'!$D$7="Less",--(INDEX(Sims!$A1515:$BO1515,'Entry Builder'!$L$7)&lt;'Entry Builder'!$E$7),--(INDEX(Sims!$A1515:$BO1515,'Entry Builder'!$L$7)&gt;'Entry Builder'!$E$7)))</f>
        <v/>
      </c>
      <c r="B1515">
        <f>IF('Entry Builder'!$N$8=0,1,IF('Entry Builder'!$D$8="Less",--(INDEX(Sims!$A1515:$BO1515,'Entry Builder'!$L$8)&lt;'Entry Builder'!$E$8),--(INDEX(Sims!$A1515:$BO1515,'Entry Builder'!$L$8)&gt;'Entry Builder'!$E$8)))</f>
        <v/>
      </c>
      <c r="C1515">
        <f>IF('Entry Builder'!$N$9=0,1,IF('Entry Builder'!$D$9="Less",--(INDEX(Sims!$A1515:$BO1515,'Entry Builder'!$L$9)&lt;'Entry Builder'!$E$9),--(INDEX(Sims!$A1515:$BO1515,'Entry Builder'!$L$9)&gt;'Entry Builder'!$E$9)))</f>
        <v/>
      </c>
      <c r="D1515">
        <f>IF('Entry Builder'!$N$10=0,1,IF('Entry Builder'!$D$10="Less",--(INDEX(Sims!$A1515:$BO1515,'Entry Builder'!$L$10)&lt;'Entry Builder'!$E$10),--(INDEX(Sims!$A1515:$BO1515,'Entry Builder'!$L$10)&gt;'Entry Builder'!$E$10)))</f>
        <v/>
      </c>
      <c r="E1515">
        <f>IF('Entry Builder'!$N$11=0,1,IF('Entry Builder'!$D$11="Less",--(INDEX(Sims!$A1515:$BO1515,'Entry Builder'!$L$11)&lt;'Entry Builder'!$E$11),--(INDEX(Sims!$A1515:$BO1515,'Entry Builder'!$L$11)&gt;'Entry Builder'!$E$11)))</f>
        <v/>
      </c>
      <c r="F1515">
        <f>IF('Entry Builder'!$N$12=0,1,IF('Entry Builder'!$D$12="Less",--(INDEX(Sims!$A1515:$BO1515,'Entry Builder'!$L$12)&lt;'Entry Builder'!$E$12),--(INDEX(Sims!$A1515:$BO1515,'Entry Builder'!$L$12)&gt;'Entry Builder'!$E$12)))</f>
        <v/>
      </c>
      <c r="G1515">
        <f>6-SUM(A1515:F1515)</f>
        <v/>
      </c>
    </row>
    <row r="1516">
      <c r="A1516">
        <f>IF('Entry Builder'!$N$7=0,1,IF('Entry Builder'!$D$7="Less",--(INDEX(Sims!$A1516:$BO1516,'Entry Builder'!$L$7)&lt;'Entry Builder'!$E$7),--(INDEX(Sims!$A1516:$BO1516,'Entry Builder'!$L$7)&gt;'Entry Builder'!$E$7)))</f>
        <v/>
      </c>
      <c r="B1516">
        <f>IF('Entry Builder'!$N$8=0,1,IF('Entry Builder'!$D$8="Less",--(INDEX(Sims!$A1516:$BO1516,'Entry Builder'!$L$8)&lt;'Entry Builder'!$E$8),--(INDEX(Sims!$A1516:$BO1516,'Entry Builder'!$L$8)&gt;'Entry Builder'!$E$8)))</f>
        <v/>
      </c>
      <c r="C1516">
        <f>IF('Entry Builder'!$N$9=0,1,IF('Entry Builder'!$D$9="Less",--(INDEX(Sims!$A1516:$BO1516,'Entry Builder'!$L$9)&lt;'Entry Builder'!$E$9),--(INDEX(Sims!$A1516:$BO1516,'Entry Builder'!$L$9)&gt;'Entry Builder'!$E$9)))</f>
        <v/>
      </c>
      <c r="D1516">
        <f>IF('Entry Builder'!$N$10=0,1,IF('Entry Builder'!$D$10="Less",--(INDEX(Sims!$A1516:$BO1516,'Entry Builder'!$L$10)&lt;'Entry Builder'!$E$10),--(INDEX(Sims!$A1516:$BO1516,'Entry Builder'!$L$10)&gt;'Entry Builder'!$E$10)))</f>
        <v/>
      </c>
      <c r="E1516">
        <f>IF('Entry Builder'!$N$11=0,1,IF('Entry Builder'!$D$11="Less",--(INDEX(Sims!$A1516:$BO1516,'Entry Builder'!$L$11)&lt;'Entry Builder'!$E$11),--(INDEX(Sims!$A1516:$BO1516,'Entry Builder'!$L$11)&gt;'Entry Builder'!$E$11)))</f>
        <v/>
      </c>
      <c r="F1516">
        <f>IF('Entry Builder'!$N$12=0,1,IF('Entry Builder'!$D$12="Less",--(INDEX(Sims!$A1516:$BO1516,'Entry Builder'!$L$12)&lt;'Entry Builder'!$E$12),--(INDEX(Sims!$A1516:$BO1516,'Entry Builder'!$L$12)&gt;'Entry Builder'!$E$12)))</f>
        <v/>
      </c>
      <c r="G1516">
        <f>6-SUM(A1516:F1516)</f>
        <v/>
      </c>
    </row>
    <row r="1517">
      <c r="A1517">
        <f>IF('Entry Builder'!$N$7=0,1,IF('Entry Builder'!$D$7="Less",--(INDEX(Sims!$A1517:$BO1517,'Entry Builder'!$L$7)&lt;'Entry Builder'!$E$7),--(INDEX(Sims!$A1517:$BO1517,'Entry Builder'!$L$7)&gt;'Entry Builder'!$E$7)))</f>
        <v/>
      </c>
      <c r="B1517">
        <f>IF('Entry Builder'!$N$8=0,1,IF('Entry Builder'!$D$8="Less",--(INDEX(Sims!$A1517:$BO1517,'Entry Builder'!$L$8)&lt;'Entry Builder'!$E$8),--(INDEX(Sims!$A1517:$BO1517,'Entry Builder'!$L$8)&gt;'Entry Builder'!$E$8)))</f>
        <v/>
      </c>
      <c r="C1517">
        <f>IF('Entry Builder'!$N$9=0,1,IF('Entry Builder'!$D$9="Less",--(INDEX(Sims!$A1517:$BO1517,'Entry Builder'!$L$9)&lt;'Entry Builder'!$E$9),--(INDEX(Sims!$A1517:$BO1517,'Entry Builder'!$L$9)&gt;'Entry Builder'!$E$9)))</f>
        <v/>
      </c>
      <c r="D1517">
        <f>IF('Entry Builder'!$N$10=0,1,IF('Entry Builder'!$D$10="Less",--(INDEX(Sims!$A1517:$BO1517,'Entry Builder'!$L$10)&lt;'Entry Builder'!$E$10),--(INDEX(Sims!$A1517:$BO1517,'Entry Builder'!$L$10)&gt;'Entry Builder'!$E$10)))</f>
        <v/>
      </c>
      <c r="E1517">
        <f>IF('Entry Builder'!$N$11=0,1,IF('Entry Builder'!$D$11="Less",--(INDEX(Sims!$A1517:$BO1517,'Entry Builder'!$L$11)&lt;'Entry Builder'!$E$11),--(INDEX(Sims!$A1517:$BO1517,'Entry Builder'!$L$11)&gt;'Entry Builder'!$E$11)))</f>
        <v/>
      </c>
      <c r="F1517">
        <f>IF('Entry Builder'!$N$12=0,1,IF('Entry Builder'!$D$12="Less",--(INDEX(Sims!$A1517:$BO1517,'Entry Builder'!$L$12)&lt;'Entry Builder'!$E$12),--(INDEX(Sims!$A1517:$BO1517,'Entry Builder'!$L$12)&gt;'Entry Builder'!$E$12)))</f>
        <v/>
      </c>
      <c r="G1517">
        <f>6-SUM(A1517:F1517)</f>
        <v/>
      </c>
    </row>
    <row r="1518">
      <c r="A1518">
        <f>IF('Entry Builder'!$N$7=0,1,IF('Entry Builder'!$D$7="Less",--(INDEX(Sims!$A1518:$BO1518,'Entry Builder'!$L$7)&lt;'Entry Builder'!$E$7),--(INDEX(Sims!$A1518:$BO1518,'Entry Builder'!$L$7)&gt;'Entry Builder'!$E$7)))</f>
        <v/>
      </c>
      <c r="B1518">
        <f>IF('Entry Builder'!$N$8=0,1,IF('Entry Builder'!$D$8="Less",--(INDEX(Sims!$A1518:$BO1518,'Entry Builder'!$L$8)&lt;'Entry Builder'!$E$8),--(INDEX(Sims!$A1518:$BO1518,'Entry Builder'!$L$8)&gt;'Entry Builder'!$E$8)))</f>
        <v/>
      </c>
      <c r="C1518">
        <f>IF('Entry Builder'!$N$9=0,1,IF('Entry Builder'!$D$9="Less",--(INDEX(Sims!$A1518:$BO1518,'Entry Builder'!$L$9)&lt;'Entry Builder'!$E$9),--(INDEX(Sims!$A1518:$BO1518,'Entry Builder'!$L$9)&gt;'Entry Builder'!$E$9)))</f>
        <v/>
      </c>
      <c r="D1518">
        <f>IF('Entry Builder'!$N$10=0,1,IF('Entry Builder'!$D$10="Less",--(INDEX(Sims!$A1518:$BO1518,'Entry Builder'!$L$10)&lt;'Entry Builder'!$E$10),--(INDEX(Sims!$A1518:$BO1518,'Entry Builder'!$L$10)&gt;'Entry Builder'!$E$10)))</f>
        <v/>
      </c>
      <c r="E1518">
        <f>IF('Entry Builder'!$N$11=0,1,IF('Entry Builder'!$D$11="Less",--(INDEX(Sims!$A1518:$BO1518,'Entry Builder'!$L$11)&lt;'Entry Builder'!$E$11),--(INDEX(Sims!$A1518:$BO1518,'Entry Builder'!$L$11)&gt;'Entry Builder'!$E$11)))</f>
        <v/>
      </c>
      <c r="F1518">
        <f>IF('Entry Builder'!$N$12=0,1,IF('Entry Builder'!$D$12="Less",--(INDEX(Sims!$A1518:$BO1518,'Entry Builder'!$L$12)&lt;'Entry Builder'!$E$12),--(INDEX(Sims!$A1518:$BO1518,'Entry Builder'!$L$12)&gt;'Entry Builder'!$E$12)))</f>
        <v/>
      </c>
      <c r="G1518">
        <f>6-SUM(A1518:F1518)</f>
        <v/>
      </c>
    </row>
    <row r="1519">
      <c r="A1519">
        <f>IF('Entry Builder'!$N$7=0,1,IF('Entry Builder'!$D$7="Less",--(INDEX(Sims!$A1519:$BO1519,'Entry Builder'!$L$7)&lt;'Entry Builder'!$E$7),--(INDEX(Sims!$A1519:$BO1519,'Entry Builder'!$L$7)&gt;'Entry Builder'!$E$7)))</f>
        <v/>
      </c>
      <c r="B1519">
        <f>IF('Entry Builder'!$N$8=0,1,IF('Entry Builder'!$D$8="Less",--(INDEX(Sims!$A1519:$BO1519,'Entry Builder'!$L$8)&lt;'Entry Builder'!$E$8),--(INDEX(Sims!$A1519:$BO1519,'Entry Builder'!$L$8)&gt;'Entry Builder'!$E$8)))</f>
        <v/>
      </c>
      <c r="C1519">
        <f>IF('Entry Builder'!$N$9=0,1,IF('Entry Builder'!$D$9="Less",--(INDEX(Sims!$A1519:$BO1519,'Entry Builder'!$L$9)&lt;'Entry Builder'!$E$9),--(INDEX(Sims!$A1519:$BO1519,'Entry Builder'!$L$9)&gt;'Entry Builder'!$E$9)))</f>
        <v/>
      </c>
      <c r="D1519">
        <f>IF('Entry Builder'!$N$10=0,1,IF('Entry Builder'!$D$10="Less",--(INDEX(Sims!$A1519:$BO1519,'Entry Builder'!$L$10)&lt;'Entry Builder'!$E$10),--(INDEX(Sims!$A1519:$BO1519,'Entry Builder'!$L$10)&gt;'Entry Builder'!$E$10)))</f>
        <v/>
      </c>
      <c r="E1519">
        <f>IF('Entry Builder'!$N$11=0,1,IF('Entry Builder'!$D$11="Less",--(INDEX(Sims!$A1519:$BO1519,'Entry Builder'!$L$11)&lt;'Entry Builder'!$E$11),--(INDEX(Sims!$A1519:$BO1519,'Entry Builder'!$L$11)&gt;'Entry Builder'!$E$11)))</f>
        <v/>
      </c>
      <c r="F1519">
        <f>IF('Entry Builder'!$N$12=0,1,IF('Entry Builder'!$D$12="Less",--(INDEX(Sims!$A1519:$BO1519,'Entry Builder'!$L$12)&lt;'Entry Builder'!$E$12),--(INDEX(Sims!$A1519:$BO1519,'Entry Builder'!$L$12)&gt;'Entry Builder'!$E$12)))</f>
        <v/>
      </c>
      <c r="G1519">
        <f>6-SUM(A1519:F1519)</f>
        <v/>
      </c>
    </row>
    <row r="1520">
      <c r="A1520">
        <f>IF('Entry Builder'!$N$7=0,1,IF('Entry Builder'!$D$7="Less",--(INDEX(Sims!$A1520:$BO1520,'Entry Builder'!$L$7)&lt;'Entry Builder'!$E$7),--(INDEX(Sims!$A1520:$BO1520,'Entry Builder'!$L$7)&gt;'Entry Builder'!$E$7)))</f>
        <v/>
      </c>
      <c r="B1520">
        <f>IF('Entry Builder'!$N$8=0,1,IF('Entry Builder'!$D$8="Less",--(INDEX(Sims!$A1520:$BO1520,'Entry Builder'!$L$8)&lt;'Entry Builder'!$E$8),--(INDEX(Sims!$A1520:$BO1520,'Entry Builder'!$L$8)&gt;'Entry Builder'!$E$8)))</f>
        <v/>
      </c>
      <c r="C1520">
        <f>IF('Entry Builder'!$N$9=0,1,IF('Entry Builder'!$D$9="Less",--(INDEX(Sims!$A1520:$BO1520,'Entry Builder'!$L$9)&lt;'Entry Builder'!$E$9),--(INDEX(Sims!$A1520:$BO1520,'Entry Builder'!$L$9)&gt;'Entry Builder'!$E$9)))</f>
        <v/>
      </c>
      <c r="D1520">
        <f>IF('Entry Builder'!$N$10=0,1,IF('Entry Builder'!$D$10="Less",--(INDEX(Sims!$A1520:$BO1520,'Entry Builder'!$L$10)&lt;'Entry Builder'!$E$10),--(INDEX(Sims!$A1520:$BO1520,'Entry Builder'!$L$10)&gt;'Entry Builder'!$E$10)))</f>
        <v/>
      </c>
      <c r="E1520">
        <f>IF('Entry Builder'!$N$11=0,1,IF('Entry Builder'!$D$11="Less",--(INDEX(Sims!$A1520:$BO1520,'Entry Builder'!$L$11)&lt;'Entry Builder'!$E$11),--(INDEX(Sims!$A1520:$BO1520,'Entry Builder'!$L$11)&gt;'Entry Builder'!$E$11)))</f>
        <v/>
      </c>
      <c r="F1520">
        <f>IF('Entry Builder'!$N$12=0,1,IF('Entry Builder'!$D$12="Less",--(INDEX(Sims!$A1520:$BO1520,'Entry Builder'!$L$12)&lt;'Entry Builder'!$E$12),--(INDEX(Sims!$A1520:$BO1520,'Entry Builder'!$L$12)&gt;'Entry Builder'!$E$12)))</f>
        <v/>
      </c>
      <c r="G1520">
        <f>6-SUM(A1520:F1520)</f>
        <v/>
      </c>
    </row>
    <row r="1521">
      <c r="A1521">
        <f>IF('Entry Builder'!$N$7=0,1,IF('Entry Builder'!$D$7="Less",--(INDEX(Sims!$A1521:$BO1521,'Entry Builder'!$L$7)&lt;'Entry Builder'!$E$7),--(INDEX(Sims!$A1521:$BO1521,'Entry Builder'!$L$7)&gt;'Entry Builder'!$E$7)))</f>
        <v/>
      </c>
      <c r="B1521">
        <f>IF('Entry Builder'!$N$8=0,1,IF('Entry Builder'!$D$8="Less",--(INDEX(Sims!$A1521:$BO1521,'Entry Builder'!$L$8)&lt;'Entry Builder'!$E$8),--(INDEX(Sims!$A1521:$BO1521,'Entry Builder'!$L$8)&gt;'Entry Builder'!$E$8)))</f>
        <v/>
      </c>
      <c r="C1521">
        <f>IF('Entry Builder'!$N$9=0,1,IF('Entry Builder'!$D$9="Less",--(INDEX(Sims!$A1521:$BO1521,'Entry Builder'!$L$9)&lt;'Entry Builder'!$E$9),--(INDEX(Sims!$A1521:$BO1521,'Entry Builder'!$L$9)&gt;'Entry Builder'!$E$9)))</f>
        <v/>
      </c>
      <c r="D1521">
        <f>IF('Entry Builder'!$N$10=0,1,IF('Entry Builder'!$D$10="Less",--(INDEX(Sims!$A1521:$BO1521,'Entry Builder'!$L$10)&lt;'Entry Builder'!$E$10),--(INDEX(Sims!$A1521:$BO1521,'Entry Builder'!$L$10)&gt;'Entry Builder'!$E$10)))</f>
        <v/>
      </c>
      <c r="E1521">
        <f>IF('Entry Builder'!$N$11=0,1,IF('Entry Builder'!$D$11="Less",--(INDEX(Sims!$A1521:$BO1521,'Entry Builder'!$L$11)&lt;'Entry Builder'!$E$11),--(INDEX(Sims!$A1521:$BO1521,'Entry Builder'!$L$11)&gt;'Entry Builder'!$E$11)))</f>
        <v/>
      </c>
      <c r="F1521">
        <f>IF('Entry Builder'!$N$12=0,1,IF('Entry Builder'!$D$12="Less",--(INDEX(Sims!$A1521:$BO1521,'Entry Builder'!$L$12)&lt;'Entry Builder'!$E$12),--(INDEX(Sims!$A1521:$BO1521,'Entry Builder'!$L$12)&gt;'Entry Builder'!$E$12)))</f>
        <v/>
      </c>
      <c r="G1521">
        <f>6-SUM(A1521:F1521)</f>
        <v/>
      </c>
    </row>
    <row r="1522">
      <c r="A1522">
        <f>IF('Entry Builder'!$N$7=0,1,IF('Entry Builder'!$D$7="Less",--(INDEX(Sims!$A1522:$BO1522,'Entry Builder'!$L$7)&lt;'Entry Builder'!$E$7),--(INDEX(Sims!$A1522:$BO1522,'Entry Builder'!$L$7)&gt;'Entry Builder'!$E$7)))</f>
        <v/>
      </c>
      <c r="B1522">
        <f>IF('Entry Builder'!$N$8=0,1,IF('Entry Builder'!$D$8="Less",--(INDEX(Sims!$A1522:$BO1522,'Entry Builder'!$L$8)&lt;'Entry Builder'!$E$8),--(INDEX(Sims!$A1522:$BO1522,'Entry Builder'!$L$8)&gt;'Entry Builder'!$E$8)))</f>
        <v/>
      </c>
      <c r="C1522">
        <f>IF('Entry Builder'!$N$9=0,1,IF('Entry Builder'!$D$9="Less",--(INDEX(Sims!$A1522:$BO1522,'Entry Builder'!$L$9)&lt;'Entry Builder'!$E$9),--(INDEX(Sims!$A1522:$BO1522,'Entry Builder'!$L$9)&gt;'Entry Builder'!$E$9)))</f>
        <v/>
      </c>
      <c r="D1522">
        <f>IF('Entry Builder'!$N$10=0,1,IF('Entry Builder'!$D$10="Less",--(INDEX(Sims!$A1522:$BO1522,'Entry Builder'!$L$10)&lt;'Entry Builder'!$E$10),--(INDEX(Sims!$A1522:$BO1522,'Entry Builder'!$L$10)&gt;'Entry Builder'!$E$10)))</f>
        <v/>
      </c>
      <c r="E1522">
        <f>IF('Entry Builder'!$N$11=0,1,IF('Entry Builder'!$D$11="Less",--(INDEX(Sims!$A1522:$BO1522,'Entry Builder'!$L$11)&lt;'Entry Builder'!$E$11),--(INDEX(Sims!$A1522:$BO1522,'Entry Builder'!$L$11)&gt;'Entry Builder'!$E$11)))</f>
        <v/>
      </c>
      <c r="F1522">
        <f>IF('Entry Builder'!$N$12=0,1,IF('Entry Builder'!$D$12="Less",--(INDEX(Sims!$A1522:$BO1522,'Entry Builder'!$L$12)&lt;'Entry Builder'!$E$12),--(INDEX(Sims!$A1522:$BO1522,'Entry Builder'!$L$12)&gt;'Entry Builder'!$E$12)))</f>
        <v/>
      </c>
      <c r="G1522">
        <f>6-SUM(A1522:F1522)</f>
        <v/>
      </c>
    </row>
    <row r="1523">
      <c r="A1523">
        <f>IF('Entry Builder'!$N$7=0,1,IF('Entry Builder'!$D$7="Less",--(INDEX(Sims!$A1523:$BO1523,'Entry Builder'!$L$7)&lt;'Entry Builder'!$E$7),--(INDEX(Sims!$A1523:$BO1523,'Entry Builder'!$L$7)&gt;'Entry Builder'!$E$7)))</f>
        <v/>
      </c>
      <c r="B1523">
        <f>IF('Entry Builder'!$N$8=0,1,IF('Entry Builder'!$D$8="Less",--(INDEX(Sims!$A1523:$BO1523,'Entry Builder'!$L$8)&lt;'Entry Builder'!$E$8),--(INDEX(Sims!$A1523:$BO1523,'Entry Builder'!$L$8)&gt;'Entry Builder'!$E$8)))</f>
        <v/>
      </c>
      <c r="C1523">
        <f>IF('Entry Builder'!$N$9=0,1,IF('Entry Builder'!$D$9="Less",--(INDEX(Sims!$A1523:$BO1523,'Entry Builder'!$L$9)&lt;'Entry Builder'!$E$9),--(INDEX(Sims!$A1523:$BO1523,'Entry Builder'!$L$9)&gt;'Entry Builder'!$E$9)))</f>
        <v/>
      </c>
      <c r="D1523">
        <f>IF('Entry Builder'!$N$10=0,1,IF('Entry Builder'!$D$10="Less",--(INDEX(Sims!$A1523:$BO1523,'Entry Builder'!$L$10)&lt;'Entry Builder'!$E$10),--(INDEX(Sims!$A1523:$BO1523,'Entry Builder'!$L$10)&gt;'Entry Builder'!$E$10)))</f>
        <v/>
      </c>
      <c r="E1523">
        <f>IF('Entry Builder'!$N$11=0,1,IF('Entry Builder'!$D$11="Less",--(INDEX(Sims!$A1523:$BO1523,'Entry Builder'!$L$11)&lt;'Entry Builder'!$E$11),--(INDEX(Sims!$A1523:$BO1523,'Entry Builder'!$L$11)&gt;'Entry Builder'!$E$11)))</f>
        <v/>
      </c>
      <c r="F1523">
        <f>IF('Entry Builder'!$N$12=0,1,IF('Entry Builder'!$D$12="Less",--(INDEX(Sims!$A1523:$BO1523,'Entry Builder'!$L$12)&lt;'Entry Builder'!$E$12),--(INDEX(Sims!$A1523:$BO1523,'Entry Builder'!$L$12)&gt;'Entry Builder'!$E$12)))</f>
        <v/>
      </c>
      <c r="G1523">
        <f>6-SUM(A1523:F1523)</f>
        <v/>
      </c>
    </row>
    <row r="1524">
      <c r="A1524">
        <f>IF('Entry Builder'!$N$7=0,1,IF('Entry Builder'!$D$7="Less",--(INDEX(Sims!$A1524:$BO1524,'Entry Builder'!$L$7)&lt;'Entry Builder'!$E$7),--(INDEX(Sims!$A1524:$BO1524,'Entry Builder'!$L$7)&gt;'Entry Builder'!$E$7)))</f>
        <v/>
      </c>
      <c r="B1524">
        <f>IF('Entry Builder'!$N$8=0,1,IF('Entry Builder'!$D$8="Less",--(INDEX(Sims!$A1524:$BO1524,'Entry Builder'!$L$8)&lt;'Entry Builder'!$E$8),--(INDEX(Sims!$A1524:$BO1524,'Entry Builder'!$L$8)&gt;'Entry Builder'!$E$8)))</f>
        <v/>
      </c>
      <c r="C1524">
        <f>IF('Entry Builder'!$N$9=0,1,IF('Entry Builder'!$D$9="Less",--(INDEX(Sims!$A1524:$BO1524,'Entry Builder'!$L$9)&lt;'Entry Builder'!$E$9),--(INDEX(Sims!$A1524:$BO1524,'Entry Builder'!$L$9)&gt;'Entry Builder'!$E$9)))</f>
        <v/>
      </c>
      <c r="D1524">
        <f>IF('Entry Builder'!$N$10=0,1,IF('Entry Builder'!$D$10="Less",--(INDEX(Sims!$A1524:$BO1524,'Entry Builder'!$L$10)&lt;'Entry Builder'!$E$10),--(INDEX(Sims!$A1524:$BO1524,'Entry Builder'!$L$10)&gt;'Entry Builder'!$E$10)))</f>
        <v/>
      </c>
      <c r="E1524">
        <f>IF('Entry Builder'!$N$11=0,1,IF('Entry Builder'!$D$11="Less",--(INDEX(Sims!$A1524:$BO1524,'Entry Builder'!$L$11)&lt;'Entry Builder'!$E$11),--(INDEX(Sims!$A1524:$BO1524,'Entry Builder'!$L$11)&gt;'Entry Builder'!$E$11)))</f>
        <v/>
      </c>
      <c r="F1524">
        <f>IF('Entry Builder'!$N$12=0,1,IF('Entry Builder'!$D$12="Less",--(INDEX(Sims!$A1524:$BO1524,'Entry Builder'!$L$12)&lt;'Entry Builder'!$E$12),--(INDEX(Sims!$A1524:$BO1524,'Entry Builder'!$L$12)&gt;'Entry Builder'!$E$12)))</f>
        <v/>
      </c>
      <c r="G1524">
        <f>6-SUM(A1524:F1524)</f>
        <v/>
      </c>
    </row>
    <row r="1525">
      <c r="A1525">
        <f>IF('Entry Builder'!$N$7=0,1,IF('Entry Builder'!$D$7="Less",--(INDEX(Sims!$A1525:$BO1525,'Entry Builder'!$L$7)&lt;'Entry Builder'!$E$7),--(INDEX(Sims!$A1525:$BO1525,'Entry Builder'!$L$7)&gt;'Entry Builder'!$E$7)))</f>
        <v/>
      </c>
      <c r="B1525">
        <f>IF('Entry Builder'!$N$8=0,1,IF('Entry Builder'!$D$8="Less",--(INDEX(Sims!$A1525:$BO1525,'Entry Builder'!$L$8)&lt;'Entry Builder'!$E$8),--(INDEX(Sims!$A1525:$BO1525,'Entry Builder'!$L$8)&gt;'Entry Builder'!$E$8)))</f>
        <v/>
      </c>
      <c r="C1525">
        <f>IF('Entry Builder'!$N$9=0,1,IF('Entry Builder'!$D$9="Less",--(INDEX(Sims!$A1525:$BO1525,'Entry Builder'!$L$9)&lt;'Entry Builder'!$E$9),--(INDEX(Sims!$A1525:$BO1525,'Entry Builder'!$L$9)&gt;'Entry Builder'!$E$9)))</f>
        <v/>
      </c>
      <c r="D1525">
        <f>IF('Entry Builder'!$N$10=0,1,IF('Entry Builder'!$D$10="Less",--(INDEX(Sims!$A1525:$BO1525,'Entry Builder'!$L$10)&lt;'Entry Builder'!$E$10),--(INDEX(Sims!$A1525:$BO1525,'Entry Builder'!$L$10)&gt;'Entry Builder'!$E$10)))</f>
        <v/>
      </c>
      <c r="E1525">
        <f>IF('Entry Builder'!$N$11=0,1,IF('Entry Builder'!$D$11="Less",--(INDEX(Sims!$A1525:$BO1525,'Entry Builder'!$L$11)&lt;'Entry Builder'!$E$11),--(INDEX(Sims!$A1525:$BO1525,'Entry Builder'!$L$11)&gt;'Entry Builder'!$E$11)))</f>
        <v/>
      </c>
      <c r="F1525">
        <f>IF('Entry Builder'!$N$12=0,1,IF('Entry Builder'!$D$12="Less",--(INDEX(Sims!$A1525:$BO1525,'Entry Builder'!$L$12)&lt;'Entry Builder'!$E$12),--(INDEX(Sims!$A1525:$BO1525,'Entry Builder'!$L$12)&gt;'Entry Builder'!$E$12)))</f>
        <v/>
      </c>
      <c r="G1525">
        <f>6-SUM(A1525:F1525)</f>
        <v/>
      </c>
    </row>
    <row r="1526">
      <c r="A1526">
        <f>IF('Entry Builder'!$N$7=0,1,IF('Entry Builder'!$D$7="Less",--(INDEX(Sims!$A1526:$BO1526,'Entry Builder'!$L$7)&lt;'Entry Builder'!$E$7),--(INDEX(Sims!$A1526:$BO1526,'Entry Builder'!$L$7)&gt;'Entry Builder'!$E$7)))</f>
        <v/>
      </c>
      <c r="B1526">
        <f>IF('Entry Builder'!$N$8=0,1,IF('Entry Builder'!$D$8="Less",--(INDEX(Sims!$A1526:$BO1526,'Entry Builder'!$L$8)&lt;'Entry Builder'!$E$8),--(INDEX(Sims!$A1526:$BO1526,'Entry Builder'!$L$8)&gt;'Entry Builder'!$E$8)))</f>
        <v/>
      </c>
      <c r="C1526">
        <f>IF('Entry Builder'!$N$9=0,1,IF('Entry Builder'!$D$9="Less",--(INDEX(Sims!$A1526:$BO1526,'Entry Builder'!$L$9)&lt;'Entry Builder'!$E$9),--(INDEX(Sims!$A1526:$BO1526,'Entry Builder'!$L$9)&gt;'Entry Builder'!$E$9)))</f>
        <v/>
      </c>
      <c r="D1526">
        <f>IF('Entry Builder'!$N$10=0,1,IF('Entry Builder'!$D$10="Less",--(INDEX(Sims!$A1526:$BO1526,'Entry Builder'!$L$10)&lt;'Entry Builder'!$E$10),--(INDEX(Sims!$A1526:$BO1526,'Entry Builder'!$L$10)&gt;'Entry Builder'!$E$10)))</f>
        <v/>
      </c>
      <c r="E1526">
        <f>IF('Entry Builder'!$N$11=0,1,IF('Entry Builder'!$D$11="Less",--(INDEX(Sims!$A1526:$BO1526,'Entry Builder'!$L$11)&lt;'Entry Builder'!$E$11),--(INDEX(Sims!$A1526:$BO1526,'Entry Builder'!$L$11)&gt;'Entry Builder'!$E$11)))</f>
        <v/>
      </c>
      <c r="F1526">
        <f>IF('Entry Builder'!$N$12=0,1,IF('Entry Builder'!$D$12="Less",--(INDEX(Sims!$A1526:$BO1526,'Entry Builder'!$L$12)&lt;'Entry Builder'!$E$12),--(INDEX(Sims!$A1526:$BO1526,'Entry Builder'!$L$12)&gt;'Entry Builder'!$E$12)))</f>
        <v/>
      </c>
      <c r="G1526">
        <f>6-SUM(A1526:F1526)</f>
        <v/>
      </c>
    </row>
    <row r="1527">
      <c r="A1527">
        <f>IF('Entry Builder'!$N$7=0,1,IF('Entry Builder'!$D$7="Less",--(INDEX(Sims!$A1527:$BO1527,'Entry Builder'!$L$7)&lt;'Entry Builder'!$E$7),--(INDEX(Sims!$A1527:$BO1527,'Entry Builder'!$L$7)&gt;'Entry Builder'!$E$7)))</f>
        <v/>
      </c>
      <c r="B1527">
        <f>IF('Entry Builder'!$N$8=0,1,IF('Entry Builder'!$D$8="Less",--(INDEX(Sims!$A1527:$BO1527,'Entry Builder'!$L$8)&lt;'Entry Builder'!$E$8),--(INDEX(Sims!$A1527:$BO1527,'Entry Builder'!$L$8)&gt;'Entry Builder'!$E$8)))</f>
        <v/>
      </c>
      <c r="C1527">
        <f>IF('Entry Builder'!$N$9=0,1,IF('Entry Builder'!$D$9="Less",--(INDEX(Sims!$A1527:$BO1527,'Entry Builder'!$L$9)&lt;'Entry Builder'!$E$9),--(INDEX(Sims!$A1527:$BO1527,'Entry Builder'!$L$9)&gt;'Entry Builder'!$E$9)))</f>
        <v/>
      </c>
      <c r="D1527">
        <f>IF('Entry Builder'!$N$10=0,1,IF('Entry Builder'!$D$10="Less",--(INDEX(Sims!$A1527:$BO1527,'Entry Builder'!$L$10)&lt;'Entry Builder'!$E$10),--(INDEX(Sims!$A1527:$BO1527,'Entry Builder'!$L$10)&gt;'Entry Builder'!$E$10)))</f>
        <v/>
      </c>
      <c r="E1527">
        <f>IF('Entry Builder'!$N$11=0,1,IF('Entry Builder'!$D$11="Less",--(INDEX(Sims!$A1527:$BO1527,'Entry Builder'!$L$11)&lt;'Entry Builder'!$E$11),--(INDEX(Sims!$A1527:$BO1527,'Entry Builder'!$L$11)&gt;'Entry Builder'!$E$11)))</f>
        <v/>
      </c>
      <c r="F1527">
        <f>IF('Entry Builder'!$N$12=0,1,IF('Entry Builder'!$D$12="Less",--(INDEX(Sims!$A1527:$BO1527,'Entry Builder'!$L$12)&lt;'Entry Builder'!$E$12),--(INDEX(Sims!$A1527:$BO1527,'Entry Builder'!$L$12)&gt;'Entry Builder'!$E$12)))</f>
        <v/>
      </c>
      <c r="G1527">
        <f>6-SUM(A1527:F1527)</f>
        <v/>
      </c>
    </row>
    <row r="1528">
      <c r="A1528">
        <f>IF('Entry Builder'!$N$7=0,1,IF('Entry Builder'!$D$7="Less",--(INDEX(Sims!$A1528:$BO1528,'Entry Builder'!$L$7)&lt;'Entry Builder'!$E$7),--(INDEX(Sims!$A1528:$BO1528,'Entry Builder'!$L$7)&gt;'Entry Builder'!$E$7)))</f>
        <v/>
      </c>
      <c r="B1528">
        <f>IF('Entry Builder'!$N$8=0,1,IF('Entry Builder'!$D$8="Less",--(INDEX(Sims!$A1528:$BO1528,'Entry Builder'!$L$8)&lt;'Entry Builder'!$E$8),--(INDEX(Sims!$A1528:$BO1528,'Entry Builder'!$L$8)&gt;'Entry Builder'!$E$8)))</f>
        <v/>
      </c>
      <c r="C1528">
        <f>IF('Entry Builder'!$N$9=0,1,IF('Entry Builder'!$D$9="Less",--(INDEX(Sims!$A1528:$BO1528,'Entry Builder'!$L$9)&lt;'Entry Builder'!$E$9),--(INDEX(Sims!$A1528:$BO1528,'Entry Builder'!$L$9)&gt;'Entry Builder'!$E$9)))</f>
        <v/>
      </c>
      <c r="D1528">
        <f>IF('Entry Builder'!$N$10=0,1,IF('Entry Builder'!$D$10="Less",--(INDEX(Sims!$A1528:$BO1528,'Entry Builder'!$L$10)&lt;'Entry Builder'!$E$10),--(INDEX(Sims!$A1528:$BO1528,'Entry Builder'!$L$10)&gt;'Entry Builder'!$E$10)))</f>
        <v/>
      </c>
      <c r="E1528">
        <f>IF('Entry Builder'!$N$11=0,1,IF('Entry Builder'!$D$11="Less",--(INDEX(Sims!$A1528:$BO1528,'Entry Builder'!$L$11)&lt;'Entry Builder'!$E$11),--(INDEX(Sims!$A1528:$BO1528,'Entry Builder'!$L$11)&gt;'Entry Builder'!$E$11)))</f>
        <v/>
      </c>
      <c r="F1528">
        <f>IF('Entry Builder'!$N$12=0,1,IF('Entry Builder'!$D$12="Less",--(INDEX(Sims!$A1528:$BO1528,'Entry Builder'!$L$12)&lt;'Entry Builder'!$E$12),--(INDEX(Sims!$A1528:$BO1528,'Entry Builder'!$L$12)&gt;'Entry Builder'!$E$12)))</f>
        <v/>
      </c>
      <c r="G1528">
        <f>6-SUM(A1528:F1528)</f>
        <v/>
      </c>
    </row>
    <row r="1529">
      <c r="A1529">
        <f>IF('Entry Builder'!$N$7=0,1,IF('Entry Builder'!$D$7="Less",--(INDEX(Sims!$A1529:$BO1529,'Entry Builder'!$L$7)&lt;'Entry Builder'!$E$7),--(INDEX(Sims!$A1529:$BO1529,'Entry Builder'!$L$7)&gt;'Entry Builder'!$E$7)))</f>
        <v/>
      </c>
      <c r="B1529">
        <f>IF('Entry Builder'!$N$8=0,1,IF('Entry Builder'!$D$8="Less",--(INDEX(Sims!$A1529:$BO1529,'Entry Builder'!$L$8)&lt;'Entry Builder'!$E$8),--(INDEX(Sims!$A1529:$BO1529,'Entry Builder'!$L$8)&gt;'Entry Builder'!$E$8)))</f>
        <v/>
      </c>
      <c r="C1529">
        <f>IF('Entry Builder'!$N$9=0,1,IF('Entry Builder'!$D$9="Less",--(INDEX(Sims!$A1529:$BO1529,'Entry Builder'!$L$9)&lt;'Entry Builder'!$E$9),--(INDEX(Sims!$A1529:$BO1529,'Entry Builder'!$L$9)&gt;'Entry Builder'!$E$9)))</f>
        <v/>
      </c>
      <c r="D1529">
        <f>IF('Entry Builder'!$N$10=0,1,IF('Entry Builder'!$D$10="Less",--(INDEX(Sims!$A1529:$BO1529,'Entry Builder'!$L$10)&lt;'Entry Builder'!$E$10),--(INDEX(Sims!$A1529:$BO1529,'Entry Builder'!$L$10)&gt;'Entry Builder'!$E$10)))</f>
        <v/>
      </c>
      <c r="E1529">
        <f>IF('Entry Builder'!$N$11=0,1,IF('Entry Builder'!$D$11="Less",--(INDEX(Sims!$A1529:$BO1529,'Entry Builder'!$L$11)&lt;'Entry Builder'!$E$11),--(INDEX(Sims!$A1529:$BO1529,'Entry Builder'!$L$11)&gt;'Entry Builder'!$E$11)))</f>
        <v/>
      </c>
      <c r="F1529">
        <f>IF('Entry Builder'!$N$12=0,1,IF('Entry Builder'!$D$12="Less",--(INDEX(Sims!$A1529:$BO1529,'Entry Builder'!$L$12)&lt;'Entry Builder'!$E$12),--(INDEX(Sims!$A1529:$BO1529,'Entry Builder'!$L$12)&gt;'Entry Builder'!$E$12)))</f>
        <v/>
      </c>
      <c r="G1529">
        <f>6-SUM(A1529:F1529)</f>
        <v/>
      </c>
    </row>
    <row r="1530">
      <c r="A1530">
        <f>IF('Entry Builder'!$N$7=0,1,IF('Entry Builder'!$D$7="Less",--(INDEX(Sims!$A1530:$BO1530,'Entry Builder'!$L$7)&lt;'Entry Builder'!$E$7),--(INDEX(Sims!$A1530:$BO1530,'Entry Builder'!$L$7)&gt;'Entry Builder'!$E$7)))</f>
        <v/>
      </c>
      <c r="B1530">
        <f>IF('Entry Builder'!$N$8=0,1,IF('Entry Builder'!$D$8="Less",--(INDEX(Sims!$A1530:$BO1530,'Entry Builder'!$L$8)&lt;'Entry Builder'!$E$8),--(INDEX(Sims!$A1530:$BO1530,'Entry Builder'!$L$8)&gt;'Entry Builder'!$E$8)))</f>
        <v/>
      </c>
      <c r="C1530">
        <f>IF('Entry Builder'!$N$9=0,1,IF('Entry Builder'!$D$9="Less",--(INDEX(Sims!$A1530:$BO1530,'Entry Builder'!$L$9)&lt;'Entry Builder'!$E$9),--(INDEX(Sims!$A1530:$BO1530,'Entry Builder'!$L$9)&gt;'Entry Builder'!$E$9)))</f>
        <v/>
      </c>
      <c r="D1530">
        <f>IF('Entry Builder'!$N$10=0,1,IF('Entry Builder'!$D$10="Less",--(INDEX(Sims!$A1530:$BO1530,'Entry Builder'!$L$10)&lt;'Entry Builder'!$E$10),--(INDEX(Sims!$A1530:$BO1530,'Entry Builder'!$L$10)&gt;'Entry Builder'!$E$10)))</f>
        <v/>
      </c>
      <c r="E1530">
        <f>IF('Entry Builder'!$N$11=0,1,IF('Entry Builder'!$D$11="Less",--(INDEX(Sims!$A1530:$BO1530,'Entry Builder'!$L$11)&lt;'Entry Builder'!$E$11),--(INDEX(Sims!$A1530:$BO1530,'Entry Builder'!$L$11)&gt;'Entry Builder'!$E$11)))</f>
        <v/>
      </c>
      <c r="F1530">
        <f>IF('Entry Builder'!$N$12=0,1,IF('Entry Builder'!$D$12="Less",--(INDEX(Sims!$A1530:$BO1530,'Entry Builder'!$L$12)&lt;'Entry Builder'!$E$12),--(INDEX(Sims!$A1530:$BO1530,'Entry Builder'!$L$12)&gt;'Entry Builder'!$E$12)))</f>
        <v/>
      </c>
      <c r="G1530">
        <f>6-SUM(A1530:F1530)</f>
        <v/>
      </c>
    </row>
    <row r="1531">
      <c r="A1531">
        <f>IF('Entry Builder'!$N$7=0,1,IF('Entry Builder'!$D$7="Less",--(INDEX(Sims!$A1531:$BO1531,'Entry Builder'!$L$7)&lt;'Entry Builder'!$E$7),--(INDEX(Sims!$A1531:$BO1531,'Entry Builder'!$L$7)&gt;'Entry Builder'!$E$7)))</f>
        <v/>
      </c>
      <c r="B1531">
        <f>IF('Entry Builder'!$N$8=0,1,IF('Entry Builder'!$D$8="Less",--(INDEX(Sims!$A1531:$BO1531,'Entry Builder'!$L$8)&lt;'Entry Builder'!$E$8),--(INDEX(Sims!$A1531:$BO1531,'Entry Builder'!$L$8)&gt;'Entry Builder'!$E$8)))</f>
        <v/>
      </c>
      <c r="C1531">
        <f>IF('Entry Builder'!$N$9=0,1,IF('Entry Builder'!$D$9="Less",--(INDEX(Sims!$A1531:$BO1531,'Entry Builder'!$L$9)&lt;'Entry Builder'!$E$9),--(INDEX(Sims!$A1531:$BO1531,'Entry Builder'!$L$9)&gt;'Entry Builder'!$E$9)))</f>
        <v/>
      </c>
      <c r="D1531">
        <f>IF('Entry Builder'!$N$10=0,1,IF('Entry Builder'!$D$10="Less",--(INDEX(Sims!$A1531:$BO1531,'Entry Builder'!$L$10)&lt;'Entry Builder'!$E$10),--(INDEX(Sims!$A1531:$BO1531,'Entry Builder'!$L$10)&gt;'Entry Builder'!$E$10)))</f>
        <v/>
      </c>
      <c r="E1531">
        <f>IF('Entry Builder'!$N$11=0,1,IF('Entry Builder'!$D$11="Less",--(INDEX(Sims!$A1531:$BO1531,'Entry Builder'!$L$11)&lt;'Entry Builder'!$E$11),--(INDEX(Sims!$A1531:$BO1531,'Entry Builder'!$L$11)&gt;'Entry Builder'!$E$11)))</f>
        <v/>
      </c>
      <c r="F1531">
        <f>IF('Entry Builder'!$N$12=0,1,IF('Entry Builder'!$D$12="Less",--(INDEX(Sims!$A1531:$BO1531,'Entry Builder'!$L$12)&lt;'Entry Builder'!$E$12),--(INDEX(Sims!$A1531:$BO1531,'Entry Builder'!$L$12)&gt;'Entry Builder'!$E$12)))</f>
        <v/>
      </c>
      <c r="G1531">
        <f>6-SUM(A1531:F1531)</f>
        <v/>
      </c>
    </row>
    <row r="1532">
      <c r="A1532">
        <f>IF('Entry Builder'!$N$7=0,1,IF('Entry Builder'!$D$7="Less",--(INDEX(Sims!$A1532:$BO1532,'Entry Builder'!$L$7)&lt;'Entry Builder'!$E$7),--(INDEX(Sims!$A1532:$BO1532,'Entry Builder'!$L$7)&gt;'Entry Builder'!$E$7)))</f>
        <v/>
      </c>
      <c r="B1532">
        <f>IF('Entry Builder'!$N$8=0,1,IF('Entry Builder'!$D$8="Less",--(INDEX(Sims!$A1532:$BO1532,'Entry Builder'!$L$8)&lt;'Entry Builder'!$E$8),--(INDEX(Sims!$A1532:$BO1532,'Entry Builder'!$L$8)&gt;'Entry Builder'!$E$8)))</f>
        <v/>
      </c>
      <c r="C1532">
        <f>IF('Entry Builder'!$N$9=0,1,IF('Entry Builder'!$D$9="Less",--(INDEX(Sims!$A1532:$BO1532,'Entry Builder'!$L$9)&lt;'Entry Builder'!$E$9),--(INDEX(Sims!$A1532:$BO1532,'Entry Builder'!$L$9)&gt;'Entry Builder'!$E$9)))</f>
        <v/>
      </c>
      <c r="D1532">
        <f>IF('Entry Builder'!$N$10=0,1,IF('Entry Builder'!$D$10="Less",--(INDEX(Sims!$A1532:$BO1532,'Entry Builder'!$L$10)&lt;'Entry Builder'!$E$10),--(INDEX(Sims!$A1532:$BO1532,'Entry Builder'!$L$10)&gt;'Entry Builder'!$E$10)))</f>
        <v/>
      </c>
      <c r="E1532">
        <f>IF('Entry Builder'!$N$11=0,1,IF('Entry Builder'!$D$11="Less",--(INDEX(Sims!$A1532:$BO1532,'Entry Builder'!$L$11)&lt;'Entry Builder'!$E$11),--(INDEX(Sims!$A1532:$BO1532,'Entry Builder'!$L$11)&gt;'Entry Builder'!$E$11)))</f>
        <v/>
      </c>
      <c r="F1532">
        <f>IF('Entry Builder'!$N$12=0,1,IF('Entry Builder'!$D$12="Less",--(INDEX(Sims!$A1532:$BO1532,'Entry Builder'!$L$12)&lt;'Entry Builder'!$E$12),--(INDEX(Sims!$A1532:$BO1532,'Entry Builder'!$L$12)&gt;'Entry Builder'!$E$12)))</f>
        <v/>
      </c>
      <c r="G1532">
        <f>6-SUM(A1532:F1532)</f>
        <v/>
      </c>
    </row>
    <row r="1533">
      <c r="A1533">
        <f>IF('Entry Builder'!$N$7=0,1,IF('Entry Builder'!$D$7="Less",--(INDEX(Sims!$A1533:$BO1533,'Entry Builder'!$L$7)&lt;'Entry Builder'!$E$7),--(INDEX(Sims!$A1533:$BO1533,'Entry Builder'!$L$7)&gt;'Entry Builder'!$E$7)))</f>
        <v/>
      </c>
      <c r="B1533">
        <f>IF('Entry Builder'!$N$8=0,1,IF('Entry Builder'!$D$8="Less",--(INDEX(Sims!$A1533:$BO1533,'Entry Builder'!$L$8)&lt;'Entry Builder'!$E$8),--(INDEX(Sims!$A1533:$BO1533,'Entry Builder'!$L$8)&gt;'Entry Builder'!$E$8)))</f>
        <v/>
      </c>
      <c r="C1533">
        <f>IF('Entry Builder'!$N$9=0,1,IF('Entry Builder'!$D$9="Less",--(INDEX(Sims!$A1533:$BO1533,'Entry Builder'!$L$9)&lt;'Entry Builder'!$E$9),--(INDEX(Sims!$A1533:$BO1533,'Entry Builder'!$L$9)&gt;'Entry Builder'!$E$9)))</f>
        <v/>
      </c>
      <c r="D1533">
        <f>IF('Entry Builder'!$N$10=0,1,IF('Entry Builder'!$D$10="Less",--(INDEX(Sims!$A1533:$BO1533,'Entry Builder'!$L$10)&lt;'Entry Builder'!$E$10),--(INDEX(Sims!$A1533:$BO1533,'Entry Builder'!$L$10)&gt;'Entry Builder'!$E$10)))</f>
        <v/>
      </c>
      <c r="E1533">
        <f>IF('Entry Builder'!$N$11=0,1,IF('Entry Builder'!$D$11="Less",--(INDEX(Sims!$A1533:$BO1533,'Entry Builder'!$L$11)&lt;'Entry Builder'!$E$11),--(INDEX(Sims!$A1533:$BO1533,'Entry Builder'!$L$11)&gt;'Entry Builder'!$E$11)))</f>
        <v/>
      </c>
      <c r="F1533">
        <f>IF('Entry Builder'!$N$12=0,1,IF('Entry Builder'!$D$12="Less",--(INDEX(Sims!$A1533:$BO1533,'Entry Builder'!$L$12)&lt;'Entry Builder'!$E$12),--(INDEX(Sims!$A1533:$BO1533,'Entry Builder'!$L$12)&gt;'Entry Builder'!$E$12)))</f>
        <v/>
      </c>
      <c r="G1533">
        <f>6-SUM(A1533:F1533)</f>
        <v/>
      </c>
    </row>
    <row r="1534">
      <c r="A1534">
        <f>IF('Entry Builder'!$N$7=0,1,IF('Entry Builder'!$D$7="Less",--(INDEX(Sims!$A1534:$BO1534,'Entry Builder'!$L$7)&lt;'Entry Builder'!$E$7),--(INDEX(Sims!$A1534:$BO1534,'Entry Builder'!$L$7)&gt;'Entry Builder'!$E$7)))</f>
        <v/>
      </c>
      <c r="B1534">
        <f>IF('Entry Builder'!$N$8=0,1,IF('Entry Builder'!$D$8="Less",--(INDEX(Sims!$A1534:$BO1534,'Entry Builder'!$L$8)&lt;'Entry Builder'!$E$8),--(INDEX(Sims!$A1534:$BO1534,'Entry Builder'!$L$8)&gt;'Entry Builder'!$E$8)))</f>
        <v/>
      </c>
      <c r="C1534">
        <f>IF('Entry Builder'!$N$9=0,1,IF('Entry Builder'!$D$9="Less",--(INDEX(Sims!$A1534:$BO1534,'Entry Builder'!$L$9)&lt;'Entry Builder'!$E$9),--(INDEX(Sims!$A1534:$BO1534,'Entry Builder'!$L$9)&gt;'Entry Builder'!$E$9)))</f>
        <v/>
      </c>
      <c r="D1534">
        <f>IF('Entry Builder'!$N$10=0,1,IF('Entry Builder'!$D$10="Less",--(INDEX(Sims!$A1534:$BO1534,'Entry Builder'!$L$10)&lt;'Entry Builder'!$E$10),--(INDEX(Sims!$A1534:$BO1534,'Entry Builder'!$L$10)&gt;'Entry Builder'!$E$10)))</f>
        <v/>
      </c>
      <c r="E1534">
        <f>IF('Entry Builder'!$N$11=0,1,IF('Entry Builder'!$D$11="Less",--(INDEX(Sims!$A1534:$BO1534,'Entry Builder'!$L$11)&lt;'Entry Builder'!$E$11),--(INDEX(Sims!$A1534:$BO1534,'Entry Builder'!$L$11)&gt;'Entry Builder'!$E$11)))</f>
        <v/>
      </c>
      <c r="F1534">
        <f>IF('Entry Builder'!$N$12=0,1,IF('Entry Builder'!$D$12="Less",--(INDEX(Sims!$A1534:$BO1534,'Entry Builder'!$L$12)&lt;'Entry Builder'!$E$12),--(INDEX(Sims!$A1534:$BO1534,'Entry Builder'!$L$12)&gt;'Entry Builder'!$E$12)))</f>
        <v/>
      </c>
      <c r="G1534">
        <f>6-SUM(A1534:F1534)</f>
        <v/>
      </c>
    </row>
    <row r="1535">
      <c r="A1535">
        <f>IF('Entry Builder'!$N$7=0,1,IF('Entry Builder'!$D$7="Less",--(INDEX(Sims!$A1535:$BO1535,'Entry Builder'!$L$7)&lt;'Entry Builder'!$E$7),--(INDEX(Sims!$A1535:$BO1535,'Entry Builder'!$L$7)&gt;'Entry Builder'!$E$7)))</f>
        <v/>
      </c>
      <c r="B1535">
        <f>IF('Entry Builder'!$N$8=0,1,IF('Entry Builder'!$D$8="Less",--(INDEX(Sims!$A1535:$BO1535,'Entry Builder'!$L$8)&lt;'Entry Builder'!$E$8),--(INDEX(Sims!$A1535:$BO1535,'Entry Builder'!$L$8)&gt;'Entry Builder'!$E$8)))</f>
        <v/>
      </c>
      <c r="C1535">
        <f>IF('Entry Builder'!$N$9=0,1,IF('Entry Builder'!$D$9="Less",--(INDEX(Sims!$A1535:$BO1535,'Entry Builder'!$L$9)&lt;'Entry Builder'!$E$9),--(INDEX(Sims!$A1535:$BO1535,'Entry Builder'!$L$9)&gt;'Entry Builder'!$E$9)))</f>
        <v/>
      </c>
      <c r="D1535">
        <f>IF('Entry Builder'!$N$10=0,1,IF('Entry Builder'!$D$10="Less",--(INDEX(Sims!$A1535:$BO1535,'Entry Builder'!$L$10)&lt;'Entry Builder'!$E$10),--(INDEX(Sims!$A1535:$BO1535,'Entry Builder'!$L$10)&gt;'Entry Builder'!$E$10)))</f>
        <v/>
      </c>
      <c r="E1535">
        <f>IF('Entry Builder'!$N$11=0,1,IF('Entry Builder'!$D$11="Less",--(INDEX(Sims!$A1535:$BO1535,'Entry Builder'!$L$11)&lt;'Entry Builder'!$E$11),--(INDEX(Sims!$A1535:$BO1535,'Entry Builder'!$L$11)&gt;'Entry Builder'!$E$11)))</f>
        <v/>
      </c>
      <c r="F1535">
        <f>IF('Entry Builder'!$N$12=0,1,IF('Entry Builder'!$D$12="Less",--(INDEX(Sims!$A1535:$BO1535,'Entry Builder'!$L$12)&lt;'Entry Builder'!$E$12),--(INDEX(Sims!$A1535:$BO1535,'Entry Builder'!$L$12)&gt;'Entry Builder'!$E$12)))</f>
        <v/>
      </c>
      <c r="G1535">
        <f>6-SUM(A1535:F1535)</f>
        <v/>
      </c>
    </row>
    <row r="1536">
      <c r="A1536">
        <f>IF('Entry Builder'!$N$7=0,1,IF('Entry Builder'!$D$7="Less",--(INDEX(Sims!$A1536:$BO1536,'Entry Builder'!$L$7)&lt;'Entry Builder'!$E$7),--(INDEX(Sims!$A1536:$BO1536,'Entry Builder'!$L$7)&gt;'Entry Builder'!$E$7)))</f>
        <v/>
      </c>
      <c r="B1536">
        <f>IF('Entry Builder'!$N$8=0,1,IF('Entry Builder'!$D$8="Less",--(INDEX(Sims!$A1536:$BO1536,'Entry Builder'!$L$8)&lt;'Entry Builder'!$E$8),--(INDEX(Sims!$A1536:$BO1536,'Entry Builder'!$L$8)&gt;'Entry Builder'!$E$8)))</f>
        <v/>
      </c>
      <c r="C1536">
        <f>IF('Entry Builder'!$N$9=0,1,IF('Entry Builder'!$D$9="Less",--(INDEX(Sims!$A1536:$BO1536,'Entry Builder'!$L$9)&lt;'Entry Builder'!$E$9),--(INDEX(Sims!$A1536:$BO1536,'Entry Builder'!$L$9)&gt;'Entry Builder'!$E$9)))</f>
        <v/>
      </c>
      <c r="D1536">
        <f>IF('Entry Builder'!$N$10=0,1,IF('Entry Builder'!$D$10="Less",--(INDEX(Sims!$A1536:$BO1536,'Entry Builder'!$L$10)&lt;'Entry Builder'!$E$10),--(INDEX(Sims!$A1536:$BO1536,'Entry Builder'!$L$10)&gt;'Entry Builder'!$E$10)))</f>
        <v/>
      </c>
      <c r="E1536">
        <f>IF('Entry Builder'!$N$11=0,1,IF('Entry Builder'!$D$11="Less",--(INDEX(Sims!$A1536:$BO1536,'Entry Builder'!$L$11)&lt;'Entry Builder'!$E$11),--(INDEX(Sims!$A1536:$BO1536,'Entry Builder'!$L$11)&gt;'Entry Builder'!$E$11)))</f>
        <v/>
      </c>
      <c r="F1536">
        <f>IF('Entry Builder'!$N$12=0,1,IF('Entry Builder'!$D$12="Less",--(INDEX(Sims!$A1536:$BO1536,'Entry Builder'!$L$12)&lt;'Entry Builder'!$E$12),--(INDEX(Sims!$A1536:$BO1536,'Entry Builder'!$L$12)&gt;'Entry Builder'!$E$12)))</f>
        <v/>
      </c>
      <c r="G1536">
        <f>6-SUM(A1536:F1536)</f>
        <v/>
      </c>
    </row>
    <row r="1537">
      <c r="A1537">
        <f>IF('Entry Builder'!$N$7=0,1,IF('Entry Builder'!$D$7="Less",--(INDEX(Sims!$A1537:$BO1537,'Entry Builder'!$L$7)&lt;'Entry Builder'!$E$7),--(INDEX(Sims!$A1537:$BO1537,'Entry Builder'!$L$7)&gt;'Entry Builder'!$E$7)))</f>
        <v/>
      </c>
      <c r="B1537">
        <f>IF('Entry Builder'!$N$8=0,1,IF('Entry Builder'!$D$8="Less",--(INDEX(Sims!$A1537:$BO1537,'Entry Builder'!$L$8)&lt;'Entry Builder'!$E$8),--(INDEX(Sims!$A1537:$BO1537,'Entry Builder'!$L$8)&gt;'Entry Builder'!$E$8)))</f>
        <v/>
      </c>
      <c r="C1537">
        <f>IF('Entry Builder'!$N$9=0,1,IF('Entry Builder'!$D$9="Less",--(INDEX(Sims!$A1537:$BO1537,'Entry Builder'!$L$9)&lt;'Entry Builder'!$E$9),--(INDEX(Sims!$A1537:$BO1537,'Entry Builder'!$L$9)&gt;'Entry Builder'!$E$9)))</f>
        <v/>
      </c>
      <c r="D1537">
        <f>IF('Entry Builder'!$N$10=0,1,IF('Entry Builder'!$D$10="Less",--(INDEX(Sims!$A1537:$BO1537,'Entry Builder'!$L$10)&lt;'Entry Builder'!$E$10),--(INDEX(Sims!$A1537:$BO1537,'Entry Builder'!$L$10)&gt;'Entry Builder'!$E$10)))</f>
        <v/>
      </c>
      <c r="E1537">
        <f>IF('Entry Builder'!$N$11=0,1,IF('Entry Builder'!$D$11="Less",--(INDEX(Sims!$A1537:$BO1537,'Entry Builder'!$L$11)&lt;'Entry Builder'!$E$11),--(INDEX(Sims!$A1537:$BO1537,'Entry Builder'!$L$11)&gt;'Entry Builder'!$E$11)))</f>
        <v/>
      </c>
      <c r="F1537">
        <f>IF('Entry Builder'!$N$12=0,1,IF('Entry Builder'!$D$12="Less",--(INDEX(Sims!$A1537:$BO1537,'Entry Builder'!$L$12)&lt;'Entry Builder'!$E$12),--(INDEX(Sims!$A1537:$BO1537,'Entry Builder'!$L$12)&gt;'Entry Builder'!$E$12)))</f>
        <v/>
      </c>
      <c r="G1537">
        <f>6-SUM(A1537:F1537)</f>
        <v/>
      </c>
    </row>
    <row r="1538">
      <c r="A1538">
        <f>IF('Entry Builder'!$N$7=0,1,IF('Entry Builder'!$D$7="Less",--(INDEX(Sims!$A1538:$BO1538,'Entry Builder'!$L$7)&lt;'Entry Builder'!$E$7),--(INDEX(Sims!$A1538:$BO1538,'Entry Builder'!$L$7)&gt;'Entry Builder'!$E$7)))</f>
        <v/>
      </c>
      <c r="B1538">
        <f>IF('Entry Builder'!$N$8=0,1,IF('Entry Builder'!$D$8="Less",--(INDEX(Sims!$A1538:$BO1538,'Entry Builder'!$L$8)&lt;'Entry Builder'!$E$8),--(INDEX(Sims!$A1538:$BO1538,'Entry Builder'!$L$8)&gt;'Entry Builder'!$E$8)))</f>
        <v/>
      </c>
      <c r="C1538">
        <f>IF('Entry Builder'!$N$9=0,1,IF('Entry Builder'!$D$9="Less",--(INDEX(Sims!$A1538:$BO1538,'Entry Builder'!$L$9)&lt;'Entry Builder'!$E$9),--(INDEX(Sims!$A1538:$BO1538,'Entry Builder'!$L$9)&gt;'Entry Builder'!$E$9)))</f>
        <v/>
      </c>
      <c r="D1538">
        <f>IF('Entry Builder'!$N$10=0,1,IF('Entry Builder'!$D$10="Less",--(INDEX(Sims!$A1538:$BO1538,'Entry Builder'!$L$10)&lt;'Entry Builder'!$E$10),--(INDEX(Sims!$A1538:$BO1538,'Entry Builder'!$L$10)&gt;'Entry Builder'!$E$10)))</f>
        <v/>
      </c>
      <c r="E1538">
        <f>IF('Entry Builder'!$N$11=0,1,IF('Entry Builder'!$D$11="Less",--(INDEX(Sims!$A1538:$BO1538,'Entry Builder'!$L$11)&lt;'Entry Builder'!$E$11),--(INDEX(Sims!$A1538:$BO1538,'Entry Builder'!$L$11)&gt;'Entry Builder'!$E$11)))</f>
        <v/>
      </c>
      <c r="F1538">
        <f>IF('Entry Builder'!$N$12=0,1,IF('Entry Builder'!$D$12="Less",--(INDEX(Sims!$A1538:$BO1538,'Entry Builder'!$L$12)&lt;'Entry Builder'!$E$12),--(INDEX(Sims!$A1538:$BO1538,'Entry Builder'!$L$12)&gt;'Entry Builder'!$E$12)))</f>
        <v/>
      </c>
      <c r="G1538">
        <f>6-SUM(A1538:F1538)</f>
        <v/>
      </c>
    </row>
    <row r="1539">
      <c r="A1539">
        <f>IF('Entry Builder'!$N$7=0,1,IF('Entry Builder'!$D$7="Less",--(INDEX(Sims!$A1539:$BO1539,'Entry Builder'!$L$7)&lt;'Entry Builder'!$E$7),--(INDEX(Sims!$A1539:$BO1539,'Entry Builder'!$L$7)&gt;'Entry Builder'!$E$7)))</f>
        <v/>
      </c>
      <c r="B1539">
        <f>IF('Entry Builder'!$N$8=0,1,IF('Entry Builder'!$D$8="Less",--(INDEX(Sims!$A1539:$BO1539,'Entry Builder'!$L$8)&lt;'Entry Builder'!$E$8),--(INDEX(Sims!$A1539:$BO1539,'Entry Builder'!$L$8)&gt;'Entry Builder'!$E$8)))</f>
        <v/>
      </c>
      <c r="C1539">
        <f>IF('Entry Builder'!$N$9=0,1,IF('Entry Builder'!$D$9="Less",--(INDEX(Sims!$A1539:$BO1539,'Entry Builder'!$L$9)&lt;'Entry Builder'!$E$9),--(INDEX(Sims!$A1539:$BO1539,'Entry Builder'!$L$9)&gt;'Entry Builder'!$E$9)))</f>
        <v/>
      </c>
      <c r="D1539">
        <f>IF('Entry Builder'!$N$10=0,1,IF('Entry Builder'!$D$10="Less",--(INDEX(Sims!$A1539:$BO1539,'Entry Builder'!$L$10)&lt;'Entry Builder'!$E$10),--(INDEX(Sims!$A1539:$BO1539,'Entry Builder'!$L$10)&gt;'Entry Builder'!$E$10)))</f>
        <v/>
      </c>
      <c r="E1539">
        <f>IF('Entry Builder'!$N$11=0,1,IF('Entry Builder'!$D$11="Less",--(INDEX(Sims!$A1539:$BO1539,'Entry Builder'!$L$11)&lt;'Entry Builder'!$E$11),--(INDEX(Sims!$A1539:$BO1539,'Entry Builder'!$L$11)&gt;'Entry Builder'!$E$11)))</f>
        <v/>
      </c>
      <c r="F1539">
        <f>IF('Entry Builder'!$N$12=0,1,IF('Entry Builder'!$D$12="Less",--(INDEX(Sims!$A1539:$BO1539,'Entry Builder'!$L$12)&lt;'Entry Builder'!$E$12),--(INDEX(Sims!$A1539:$BO1539,'Entry Builder'!$L$12)&gt;'Entry Builder'!$E$12)))</f>
        <v/>
      </c>
      <c r="G1539">
        <f>6-SUM(A1539:F1539)</f>
        <v/>
      </c>
    </row>
    <row r="1540">
      <c r="A1540">
        <f>IF('Entry Builder'!$N$7=0,1,IF('Entry Builder'!$D$7="Less",--(INDEX(Sims!$A1540:$BO1540,'Entry Builder'!$L$7)&lt;'Entry Builder'!$E$7),--(INDEX(Sims!$A1540:$BO1540,'Entry Builder'!$L$7)&gt;'Entry Builder'!$E$7)))</f>
        <v/>
      </c>
      <c r="B1540">
        <f>IF('Entry Builder'!$N$8=0,1,IF('Entry Builder'!$D$8="Less",--(INDEX(Sims!$A1540:$BO1540,'Entry Builder'!$L$8)&lt;'Entry Builder'!$E$8),--(INDEX(Sims!$A1540:$BO1540,'Entry Builder'!$L$8)&gt;'Entry Builder'!$E$8)))</f>
        <v/>
      </c>
      <c r="C1540">
        <f>IF('Entry Builder'!$N$9=0,1,IF('Entry Builder'!$D$9="Less",--(INDEX(Sims!$A1540:$BO1540,'Entry Builder'!$L$9)&lt;'Entry Builder'!$E$9),--(INDEX(Sims!$A1540:$BO1540,'Entry Builder'!$L$9)&gt;'Entry Builder'!$E$9)))</f>
        <v/>
      </c>
      <c r="D1540">
        <f>IF('Entry Builder'!$N$10=0,1,IF('Entry Builder'!$D$10="Less",--(INDEX(Sims!$A1540:$BO1540,'Entry Builder'!$L$10)&lt;'Entry Builder'!$E$10),--(INDEX(Sims!$A1540:$BO1540,'Entry Builder'!$L$10)&gt;'Entry Builder'!$E$10)))</f>
        <v/>
      </c>
      <c r="E1540">
        <f>IF('Entry Builder'!$N$11=0,1,IF('Entry Builder'!$D$11="Less",--(INDEX(Sims!$A1540:$BO1540,'Entry Builder'!$L$11)&lt;'Entry Builder'!$E$11),--(INDEX(Sims!$A1540:$BO1540,'Entry Builder'!$L$11)&gt;'Entry Builder'!$E$11)))</f>
        <v/>
      </c>
      <c r="F1540">
        <f>IF('Entry Builder'!$N$12=0,1,IF('Entry Builder'!$D$12="Less",--(INDEX(Sims!$A1540:$BO1540,'Entry Builder'!$L$12)&lt;'Entry Builder'!$E$12),--(INDEX(Sims!$A1540:$BO1540,'Entry Builder'!$L$12)&gt;'Entry Builder'!$E$12)))</f>
        <v/>
      </c>
      <c r="G1540">
        <f>6-SUM(A1540:F1540)</f>
        <v/>
      </c>
    </row>
    <row r="1541">
      <c r="A1541">
        <f>IF('Entry Builder'!$N$7=0,1,IF('Entry Builder'!$D$7="Less",--(INDEX(Sims!$A1541:$BO1541,'Entry Builder'!$L$7)&lt;'Entry Builder'!$E$7),--(INDEX(Sims!$A1541:$BO1541,'Entry Builder'!$L$7)&gt;'Entry Builder'!$E$7)))</f>
        <v/>
      </c>
      <c r="B1541">
        <f>IF('Entry Builder'!$N$8=0,1,IF('Entry Builder'!$D$8="Less",--(INDEX(Sims!$A1541:$BO1541,'Entry Builder'!$L$8)&lt;'Entry Builder'!$E$8),--(INDEX(Sims!$A1541:$BO1541,'Entry Builder'!$L$8)&gt;'Entry Builder'!$E$8)))</f>
        <v/>
      </c>
      <c r="C1541">
        <f>IF('Entry Builder'!$N$9=0,1,IF('Entry Builder'!$D$9="Less",--(INDEX(Sims!$A1541:$BO1541,'Entry Builder'!$L$9)&lt;'Entry Builder'!$E$9),--(INDEX(Sims!$A1541:$BO1541,'Entry Builder'!$L$9)&gt;'Entry Builder'!$E$9)))</f>
        <v/>
      </c>
      <c r="D1541">
        <f>IF('Entry Builder'!$N$10=0,1,IF('Entry Builder'!$D$10="Less",--(INDEX(Sims!$A1541:$BO1541,'Entry Builder'!$L$10)&lt;'Entry Builder'!$E$10),--(INDEX(Sims!$A1541:$BO1541,'Entry Builder'!$L$10)&gt;'Entry Builder'!$E$10)))</f>
        <v/>
      </c>
      <c r="E1541">
        <f>IF('Entry Builder'!$N$11=0,1,IF('Entry Builder'!$D$11="Less",--(INDEX(Sims!$A1541:$BO1541,'Entry Builder'!$L$11)&lt;'Entry Builder'!$E$11),--(INDEX(Sims!$A1541:$BO1541,'Entry Builder'!$L$11)&gt;'Entry Builder'!$E$11)))</f>
        <v/>
      </c>
      <c r="F1541">
        <f>IF('Entry Builder'!$N$12=0,1,IF('Entry Builder'!$D$12="Less",--(INDEX(Sims!$A1541:$BO1541,'Entry Builder'!$L$12)&lt;'Entry Builder'!$E$12),--(INDEX(Sims!$A1541:$BO1541,'Entry Builder'!$L$12)&gt;'Entry Builder'!$E$12)))</f>
        <v/>
      </c>
      <c r="G1541">
        <f>6-SUM(A1541:F1541)</f>
        <v/>
      </c>
    </row>
    <row r="1542">
      <c r="A1542">
        <f>IF('Entry Builder'!$N$7=0,1,IF('Entry Builder'!$D$7="Less",--(INDEX(Sims!$A1542:$BO1542,'Entry Builder'!$L$7)&lt;'Entry Builder'!$E$7),--(INDEX(Sims!$A1542:$BO1542,'Entry Builder'!$L$7)&gt;'Entry Builder'!$E$7)))</f>
        <v/>
      </c>
      <c r="B1542">
        <f>IF('Entry Builder'!$N$8=0,1,IF('Entry Builder'!$D$8="Less",--(INDEX(Sims!$A1542:$BO1542,'Entry Builder'!$L$8)&lt;'Entry Builder'!$E$8),--(INDEX(Sims!$A1542:$BO1542,'Entry Builder'!$L$8)&gt;'Entry Builder'!$E$8)))</f>
        <v/>
      </c>
      <c r="C1542">
        <f>IF('Entry Builder'!$N$9=0,1,IF('Entry Builder'!$D$9="Less",--(INDEX(Sims!$A1542:$BO1542,'Entry Builder'!$L$9)&lt;'Entry Builder'!$E$9),--(INDEX(Sims!$A1542:$BO1542,'Entry Builder'!$L$9)&gt;'Entry Builder'!$E$9)))</f>
        <v/>
      </c>
      <c r="D1542">
        <f>IF('Entry Builder'!$N$10=0,1,IF('Entry Builder'!$D$10="Less",--(INDEX(Sims!$A1542:$BO1542,'Entry Builder'!$L$10)&lt;'Entry Builder'!$E$10),--(INDEX(Sims!$A1542:$BO1542,'Entry Builder'!$L$10)&gt;'Entry Builder'!$E$10)))</f>
        <v/>
      </c>
      <c r="E1542">
        <f>IF('Entry Builder'!$N$11=0,1,IF('Entry Builder'!$D$11="Less",--(INDEX(Sims!$A1542:$BO1542,'Entry Builder'!$L$11)&lt;'Entry Builder'!$E$11),--(INDEX(Sims!$A1542:$BO1542,'Entry Builder'!$L$11)&gt;'Entry Builder'!$E$11)))</f>
        <v/>
      </c>
      <c r="F1542">
        <f>IF('Entry Builder'!$N$12=0,1,IF('Entry Builder'!$D$12="Less",--(INDEX(Sims!$A1542:$BO1542,'Entry Builder'!$L$12)&lt;'Entry Builder'!$E$12),--(INDEX(Sims!$A1542:$BO1542,'Entry Builder'!$L$12)&gt;'Entry Builder'!$E$12)))</f>
        <v/>
      </c>
      <c r="G1542">
        <f>6-SUM(A1542:F1542)</f>
        <v/>
      </c>
    </row>
    <row r="1543">
      <c r="A1543">
        <f>IF('Entry Builder'!$N$7=0,1,IF('Entry Builder'!$D$7="Less",--(INDEX(Sims!$A1543:$BO1543,'Entry Builder'!$L$7)&lt;'Entry Builder'!$E$7),--(INDEX(Sims!$A1543:$BO1543,'Entry Builder'!$L$7)&gt;'Entry Builder'!$E$7)))</f>
        <v/>
      </c>
      <c r="B1543">
        <f>IF('Entry Builder'!$N$8=0,1,IF('Entry Builder'!$D$8="Less",--(INDEX(Sims!$A1543:$BO1543,'Entry Builder'!$L$8)&lt;'Entry Builder'!$E$8),--(INDEX(Sims!$A1543:$BO1543,'Entry Builder'!$L$8)&gt;'Entry Builder'!$E$8)))</f>
        <v/>
      </c>
      <c r="C1543">
        <f>IF('Entry Builder'!$N$9=0,1,IF('Entry Builder'!$D$9="Less",--(INDEX(Sims!$A1543:$BO1543,'Entry Builder'!$L$9)&lt;'Entry Builder'!$E$9),--(INDEX(Sims!$A1543:$BO1543,'Entry Builder'!$L$9)&gt;'Entry Builder'!$E$9)))</f>
        <v/>
      </c>
      <c r="D1543">
        <f>IF('Entry Builder'!$N$10=0,1,IF('Entry Builder'!$D$10="Less",--(INDEX(Sims!$A1543:$BO1543,'Entry Builder'!$L$10)&lt;'Entry Builder'!$E$10),--(INDEX(Sims!$A1543:$BO1543,'Entry Builder'!$L$10)&gt;'Entry Builder'!$E$10)))</f>
        <v/>
      </c>
      <c r="E1543">
        <f>IF('Entry Builder'!$N$11=0,1,IF('Entry Builder'!$D$11="Less",--(INDEX(Sims!$A1543:$BO1543,'Entry Builder'!$L$11)&lt;'Entry Builder'!$E$11),--(INDEX(Sims!$A1543:$BO1543,'Entry Builder'!$L$11)&gt;'Entry Builder'!$E$11)))</f>
        <v/>
      </c>
      <c r="F1543">
        <f>IF('Entry Builder'!$N$12=0,1,IF('Entry Builder'!$D$12="Less",--(INDEX(Sims!$A1543:$BO1543,'Entry Builder'!$L$12)&lt;'Entry Builder'!$E$12),--(INDEX(Sims!$A1543:$BO1543,'Entry Builder'!$L$12)&gt;'Entry Builder'!$E$12)))</f>
        <v/>
      </c>
      <c r="G1543">
        <f>6-SUM(A1543:F1543)</f>
        <v/>
      </c>
    </row>
    <row r="1544">
      <c r="A1544">
        <f>IF('Entry Builder'!$N$7=0,1,IF('Entry Builder'!$D$7="Less",--(INDEX(Sims!$A1544:$BO1544,'Entry Builder'!$L$7)&lt;'Entry Builder'!$E$7),--(INDEX(Sims!$A1544:$BO1544,'Entry Builder'!$L$7)&gt;'Entry Builder'!$E$7)))</f>
        <v/>
      </c>
      <c r="B1544">
        <f>IF('Entry Builder'!$N$8=0,1,IF('Entry Builder'!$D$8="Less",--(INDEX(Sims!$A1544:$BO1544,'Entry Builder'!$L$8)&lt;'Entry Builder'!$E$8),--(INDEX(Sims!$A1544:$BO1544,'Entry Builder'!$L$8)&gt;'Entry Builder'!$E$8)))</f>
        <v/>
      </c>
      <c r="C1544">
        <f>IF('Entry Builder'!$N$9=0,1,IF('Entry Builder'!$D$9="Less",--(INDEX(Sims!$A1544:$BO1544,'Entry Builder'!$L$9)&lt;'Entry Builder'!$E$9),--(INDEX(Sims!$A1544:$BO1544,'Entry Builder'!$L$9)&gt;'Entry Builder'!$E$9)))</f>
        <v/>
      </c>
      <c r="D1544">
        <f>IF('Entry Builder'!$N$10=0,1,IF('Entry Builder'!$D$10="Less",--(INDEX(Sims!$A1544:$BO1544,'Entry Builder'!$L$10)&lt;'Entry Builder'!$E$10),--(INDEX(Sims!$A1544:$BO1544,'Entry Builder'!$L$10)&gt;'Entry Builder'!$E$10)))</f>
        <v/>
      </c>
      <c r="E1544">
        <f>IF('Entry Builder'!$N$11=0,1,IF('Entry Builder'!$D$11="Less",--(INDEX(Sims!$A1544:$BO1544,'Entry Builder'!$L$11)&lt;'Entry Builder'!$E$11),--(INDEX(Sims!$A1544:$BO1544,'Entry Builder'!$L$11)&gt;'Entry Builder'!$E$11)))</f>
        <v/>
      </c>
      <c r="F1544">
        <f>IF('Entry Builder'!$N$12=0,1,IF('Entry Builder'!$D$12="Less",--(INDEX(Sims!$A1544:$BO1544,'Entry Builder'!$L$12)&lt;'Entry Builder'!$E$12),--(INDEX(Sims!$A1544:$BO1544,'Entry Builder'!$L$12)&gt;'Entry Builder'!$E$12)))</f>
        <v/>
      </c>
      <c r="G1544">
        <f>6-SUM(A1544:F1544)</f>
        <v/>
      </c>
    </row>
    <row r="1545">
      <c r="A1545">
        <f>IF('Entry Builder'!$N$7=0,1,IF('Entry Builder'!$D$7="Less",--(INDEX(Sims!$A1545:$BO1545,'Entry Builder'!$L$7)&lt;'Entry Builder'!$E$7),--(INDEX(Sims!$A1545:$BO1545,'Entry Builder'!$L$7)&gt;'Entry Builder'!$E$7)))</f>
        <v/>
      </c>
      <c r="B1545">
        <f>IF('Entry Builder'!$N$8=0,1,IF('Entry Builder'!$D$8="Less",--(INDEX(Sims!$A1545:$BO1545,'Entry Builder'!$L$8)&lt;'Entry Builder'!$E$8),--(INDEX(Sims!$A1545:$BO1545,'Entry Builder'!$L$8)&gt;'Entry Builder'!$E$8)))</f>
        <v/>
      </c>
      <c r="C1545">
        <f>IF('Entry Builder'!$N$9=0,1,IF('Entry Builder'!$D$9="Less",--(INDEX(Sims!$A1545:$BO1545,'Entry Builder'!$L$9)&lt;'Entry Builder'!$E$9),--(INDEX(Sims!$A1545:$BO1545,'Entry Builder'!$L$9)&gt;'Entry Builder'!$E$9)))</f>
        <v/>
      </c>
      <c r="D1545">
        <f>IF('Entry Builder'!$N$10=0,1,IF('Entry Builder'!$D$10="Less",--(INDEX(Sims!$A1545:$BO1545,'Entry Builder'!$L$10)&lt;'Entry Builder'!$E$10),--(INDEX(Sims!$A1545:$BO1545,'Entry Builder'!$L$10)&gt;'Entry Builder'!$E$10)))</f>
        <v/>
      </c>
      <c r="E1545">
        <f>IF('Entry Builder'!$N$11=0,1,IF('Entry Builder'!$D$11="Less",--(INDEX(Sims!$A1545:$BO1545,'Entry Builder'!$L$11)&lt;'Entry Builder'!$E$11),--(INDEX(Sims!$A1545:$BO1545,'Entry Builder'!$L$11)&gt;'Entry Builder'!$E$11)))</f>
        <v/>
      </c>
      <c r="F1545">
        <f>IF('Entry Builder'!$N$12=0,1,IF('Entry Builder'!$D$12="Less",--(INDEX(Sims!$A1545:$BO1545,'Entry Builder'!$L$12)&lt;'Entry Builder'!$E$12),--(INDEX(Sims!$A1545:$BO1545,'Entry Builder'!$L$12)&gt;'Entry Builder'!$E$12)))</f>
        <v/>
      </c>
      <c r="G1545">
        <f>6-SUM(A1545:F1545)</f>
        <v/>
      </c>
    </row>
    <row r="1546">
      <c r="A1546">
        <f>IF('Entry Builder'!$N$7=0,1,IF('Entry Builder'!$D$7="Less",--(INDEX(Sims!$A1546:$BO1546,'Entry Builder'!$L$7)&lt;'Entry Builder'!$E$7),--(INDEX(Sims!$A1546:$BO1546,'Entry Builder'!$L$7)&gt;'Entry Builder'!$E$7)))</f>
        <v/>
      </c>
      <c r="B1546">
        <f>IF('Entry Builder'!$N$8=0,1,IF('Entry Builder'!$D$8="Less",--(INDEX(Sims!$A1546:$BO1546,'Entry Builder'!$L$8)&lt;'Entry Builder'!$E$8),--(INDEX(Sims!$A1546:$BO1546,'Entry Builder'!$L$8)&gt;'Entry Builder'!$E$8)))</f>
        <v/>
      </c>
      <c r="C1546">
        <f>IF('Entry Builder'!$N$9=0,1,IF('Entry Builder'!$D$9="Less",--(INDEX(Sims!$A1546:$BO1546,'Entry Builder'!$L$9)&lt;'Entry Builder'!$E$9),--(INDEX(Sims!$A1546:$BO1546,'Entry Builder'!$L$9)&gt;'Entry Builder'!$E$9)))</f>
        <v/>
      </c>
      <c r="D1546">
        <f>IF('Entry Builder'!$N$10=0,1,IF('Entry Builder'!$D$10="Less",--(INDEX(Sims!$A1546:$BO1546,'Entry Builder'!$L$10)&lt;'Entry Builder'!$E$10),--(INDEX(Sims!$A1546:$BO1546,'Entry Builder'!$L$10)&gt;'Entry Builder'!$E$10)))</f>
        <v/>
      </c>
      <c r="E1546">
        <f>IF('Entry Builder'!$N$11=0,1,IF('Entry Builder'!$D$11="Less",--(INDEX(Sims!$A1546:$BO1546,'Entry Builder'!$L$11)&lt;'Entry Builder'!$E$11),--(INDEX(Sims!$A1546:$BO1546,'Entry Builder'!$L$11)&gt;'Entry Builder'!$E$11)))</f>
        <v/>
      </c>
      <c r="F1546">
        <f>IF('Entry Builder'!$N$12=0,1,IF('Entry Builder'!$D$12="Less",--(INDEX(Sims!$A1546:$BO1546,'Entry Builder'!$L$12)&lt;'Entry Builder'!$E$12),--(INDEX(Sims!$A1546:$BO1546,'Entry Builder'!$L$12)&gt;'Entry Builder'!$E$12)))</f>
        <v/>
      </c>
      <c r="G1546">
        <f>6-SUM(A1546:F1546)</f>
        <v/>
      </c>
    </row>
    <row r="1547">
      <c r="A1547">
        <f>IF('Entry Builder'!$N$7=0,1,IF('Entry Builder'!$D$7="Less",--(INDEX(Sims!$A1547:$BO1547,'Entry Builder'!$L$7)&lt;'Entry Builder'!$E$7),--(INDEX(Sims!$A1547:$BO1547,'Entry Builder'!$L$7)&gt;'Entry Builder'!$E$7)))</f>
        <v/>
      </c>
      <c r="B1547">
        <f>IF('Entry Builder'!$N$8=0,1,IF('Entry Builder'!$D$8="Less",--(INDEX(Sims!$A1547:$BO1547,'Entry Builder'!$L$8)&lt;'Entry Builder'!$E$8),--(INDEX(Sims!$A1547:$BO1547,'Entry Builder'!$L$8)&gt;'Entry Builder'!$E$8)))</f>
        <v/>
      </c>
      <c r="C1547">
        <f>IF('Entry Builder'!$N$9=0,1,IF('Entry Builder'!$D$9="Less",--(INDEX(Sims!$A1547:$BO1547,'Entry Builder'!$L$9)&lt;'Entry Builder'!$E$9),--(INDEX(Sims!$A1547:$BO1547,'Entry Builder'!$L$9)&gt;'Entry Builder'!$E$9)))</f>
        <v/>
      </c>
      <c r="D1547">
        <f>IF('Entry Builder'!$N$10=0,1,IF('Entry Builder'!$D$10="Less",--(INDEX(Sims!$A1547:$BO1547,'Entry Builder'!$L$10)&lt;'Entry Builder'!$E$10),--(INDEX(Sims!$A1547:$BO1547,'Entry Builder'!$L$10)&gt;'Entry Builder'!$E$10)))</f>
        <v/>
      </c>
      <c r="E1547">
        <f>IF('Entry Builder'!$N$11=0,1,IF('Entry Builder'!$D$11="Less",--(INDEX(Sims!$A1547:$BO1547,'Entry Builder'!$L$11)&lt;'Entry Builder'!$E$11),--(INDEX(Sims!$A1547:$BO1547,'Entry Builder'!$L$11)&gt;'Entry Builder'!$E$11)))</f>
        <v/>
      </c>
      <c r="F1547">
        <f>IF('Entry Builder'!$N$12=0,1,IF('Entry Builder'!$D$12="Less",--(INDEX(Sims!$A1547:$BO1547,'Entry Builder'!$L$12)&lt;'Entry Builder'!$E$12),--(INDEX(Sims!$A1547:$BO1547,'Entry Builder'!$L$12)&gt;'Entry Builder'!$E$12)))</f>
        <v/>
      </c>
      <c r="G1547">
        <f>6-SUM(A1547:F1547)</f>
        <v/>
      </c>
    </row>
    <row r="1548">
      <c r="A1548">
        <f>IF('Entry Builder'!$N$7=0,1,IF('Entry Builder'!$D$7="Less",--(INDEX(Sims!$A1548:$BO1548,'Entry Builder'!$L$7)&lt;'Entry Builder'!$E$7),--(INDEX(Sims!$A1548:$BO1548,'Entry Builder'!$L$7)&gt;'Entry Builder'!$E$7)))</f>
        <v/>
      </c>
      <c r="B1548">
        <f>IF('Entry Builder'!$N$8=0,1,IF('Entry Builder'!$D$8="Less",--(INDEX(Sims!$A1548:$BO1548,'Entry Builder'!$L$8)&lt;'Entry Builder'!$E$8),--(INDEX(Sims!$A1548:$BO1548,'Entry Builder'!$L$8)&gt;'Entry Builder'!$E$8)))</f>
        <v/>
      </c>
      <c r="C1548">
        <f>IF('Entry Builder'!$N$9=0,1,IF('Entry Builder'!$D$9="Less",--(INDEX(Sims!$A1548:$BO1548,'Entry Builder'!$L$9)&lt;'Entry Builder'!$E$9),--(INDEX(Sims!$A1548:$BO1548,'Entry Builder'!$L$9)&gt;'Entry Builder'!$E$9)))</f>
        <v/>
      </c>
      <c r="D1548">
        <f>IF('Entry Builder'!$N$10=0,1,IF('Entry Builder'!$D$10="Less",--(INDEX(Sims!$A1548:$BO1548,'Entry Builder'!$L$10)&lt;'Entry Builder'!$E$10),--(INDEX(Sims!$A1548:$BO1548,'Entry Builder'!$L$10)&gt;'Entry Builder'!$E$10)))</f>
        <v/>
      </c>
      <c r="E1548">
        <f>IF('Entry Builder'!$N$11=0,1,IF('Entry Builder'!$D$11="Less",--(INDEX(Sims!$A1548:$BO1548,'Entry Builder'!$L$11)&lt;'Entry Builder'!$E$11),--(INDEX(Sims!$A1548:$BO1548,'Entry Builder'!$L$11)&gt;'Entry Builder'!$E$11)))</f>
        <v/>
      </c>
      <c r="F1548">
        <f>IF('Entry Builder'!$N$12=0,1,IF('Entry Builder'!$D$12="Less",--(INDEX(Sims!$A1548:$BO1548,'Entry Builder'!$L$12)&lt;'Entry Builder'!$E$12),--(INDEX(Sims!$A1548:$BO1548,'Entry Builder'!$L$12)&gt;'Entry Builder'!$E$12)))</f>
        <v/>
      </c>
      <c r="G1548">
        <f>6-SUM(A1548:F1548)</f>
        <v/>
      </c>
    </row>
    <row r="1549">
      <c r="A1549">
        <f>IF('Entry Builder'!$N$7=0,1,IF('Entry Builder'!$D$7="Less",--(INDEX(Sims!$A1549:$BO1549,'Entry Builder'!$L$7)&lt;'Entry Builder'!$E$7),--(INDEX(Sims!$A1549:$BO1549,'Entry Builder'!$L$7)&gt;'Entry Builder'!$E$7)))</f>
        <v/>
      </c>
      <c r="B1549">
        <f>IF('Entry Builder'!$N$8=0,1,IF('Entry Builder'!$D$8="Less",--(INDEX(Sims!$A1549:$BO1549,'Entry Builder'!$L$8)&lt;'Entry Builder'!$E$8),--(INDEX(Sims!$A1549:$BO1549,'Entry Builder'!$L$8)&gt;'Entry Builder'!$E$8)))</f>
        <v/>
      </c>
      <c r="C1549">
        <f>IF('Entry Builder'!$N$9=0,1,IF('Entry Builder'!$D$9="Less",--(INDEX(Sims!$A1549:$BO1549,'Entry Builder'!$L$9)&lt;'Entry Builder'!$E$9),--(INDEX(Sims!$A1549:$BO1549,'Entry Builder'!$L$9)&gt;'Entry Builder'!$E$9)))</f>
        <v/>
      </c>
      <c r="D1549">
        <f>IF('Entry Builder'!$N$10=0,1,IF('Entry Builder'!$D$10="Less",--(INDEX(Sims!$A1549:$BO1549,'Entry Builder'!$L$10)&lt;'Entry Builder'!$E$10),--(INDEX(Sims!$A1549:$BO1549,'Entry Builder'!$L$10)&gt;'Entry Builder'!$E$10)))</f>
        <v/>
      </c>
      <c r="E1549">
        <f>IF('Entry Builder'!$N$11=0,1,IF('Entry Builder'!$D$11="Less",--(INDEX(Sims!$A1549:$BO1549,'Entry Builder'!$L$11)&lt;'Entry Builder'!$E$11),--(INDEX(Sims!$A1549:$BO1549,'Entry Builder'!$L$11)&gt;'Entry Builder'!$E$11)))</f>
        <v/>
      </c>
      <c r="F1549">
        <f>IF('Entry Builder'!$N$12=0,1,IF('Entry Builder'!$D$12="Less",--(INDEX(Sims!$A1549:$BO1549,'Entry Builder'!$L$12)&lt;'Entry Builder'!$E$12),--(INDEX(Sims!$A1549:$BO1549,'Entry Builder'!$L$12)&gt;'Entry Builder'!$E$12)))</f>
        <v/>
      </c>
      <c r="G1549">
        <f>6-SUM(A1549:F1549)</f>
        <v/>
      </c>
    </row>
    <row r="1550">
      <c r="A1550">
        <f>IF('Entry Builder'!$N$7=0,1,IF('Entry Builder'!$D$7="Less",--(INDEX(Sims!$A1550:$BO1550,'Entry Builder'!$L$7)&lt;'Entry Builder'!$E$7),--(INDEX(Sims!$A1550:$BO1550,'Entry Builder'!$L$7)&gt;'Entry Builder'!$E$7)))</f>
        <v/>
      </c>
      <c r="B1550">
        <f>IF('Entry Builder'!$N$8=0,1,IF('Entry Builder'!$D$8="Less",--(INDEX(Sims!$A1550:$BO1550,'Entry Builder'!$L$8)&lt;'Entry Builder'!$E$8),--(INDEX(Sims!$A1550:$BO1550,'Entry Builder'!$L$8)&gt;'Entry Builder'!$E$8)))</f>
        <v/>
      </c>
      <c r="C1550">
        <f>IF('Entry Builder'!$N$9=0,1,IF('Entry Builder'!$D$9="Less",--(INDEX(Sims!$A1550:$BO1550,'Entry Builder'!$L$9)&lt;'Entry Builder'!$E$9),--(INDEX(Sims!$A1550:$BO1550,'Entry Builder'!$L$9)&gt;'Entry Builder'!$E$9)))</f>
        <v/>
      </c>
      <c r="D1550">
        <f>IF('Entry Builder'!$N$10=0,1,IF('Entry Builder'!$D$10="Less",--(INDEX(Sims!$A1550:$BO1550,'Entry Builder'!$L$10)&lt;'Entry Builder'!$E$10),--(INDEX(Sims!$A1550:$BO1550,'Entry Builder'!$L$10)&gt;'Entry Builder'!$E$10)))</f>
        <v/>
      </c>
      <c r="E1550">
        <f>IF('Entry Builder'!$N$11=0,1,IF('Entry Builder'!$D$11="Less",--(INDEX(Sims!$A1550:$BO1550,'Entry Builder'!$L$11)&lt;'Entry Builder'!$E$11),--(INDEX(Sims!$A1550:$BO1550,'Entry Builder'!$L$11)&gt;'Entry Builder'!$E$11)))</f>
        <v/>
      </c>
      <c r="F1550">
        <f>IF('Entry Builder'!$N$12=0,1,IF('Entry Builder'!$D$12="Less",--(INDEX(Sims!$A1550:$BO1550,'Entry Builder'!$L$12)&lt;'Entry Builder'!$E$12),--(INDEX(Sims!$A1550:$BO1550,'Entry Builder'!$L$12)&gt;'Entry Builder'!$E$12)))</f>
        <v/>
      </c>
      <c r="G1550">
        <f>6-SUM(A1550:F1550)</f>
        <v/>
      </c>
    </row>
    <row r="1551">
      <c r="A1551">
        <f>IF('Entry Builder'!$N$7=0,1,IF('Entry Builder'!$D$7="Less",--(INDEX(Sims!$A1551:$BO1551,'Entry Builder'!$L$7)&lt;'Entry Builder'!$E$7),--(INDEX(Sims!$A1551:$BO1551,'Entry Builder'!$L$7)&gt;'Entry Builder'!$E$7)))</f>
        <v/>
      </c>
      <c r="B1551">
        <f>IF('Entry Builder'!$N$8=0,1,IF('Entry Builder'!$D$8="Less",--(INDEX(Sims!$A1551:$BO1551,'Entry Builder'!$L$8)&lt;'Entry Builder'!$E$8),--(INDEX(Sims!$A1551:$BO1551,'Entry Builder'!$L$8)&gt;'Entry Builder'!$E$8)))</f>
        <v/>
      </c>
      <c r="C1551">
        <f>IF('Entry Builder'!$N$9=0,1,IF('Entry Builder'!$D$9="Less",--(INDEX(Sims!$A1551:$BO1551,'Entry Builder'!$L$9)&lt;'Entry Builder'!$E$9),--(INDEX(Sims!$A1551:$BO1551,'Entry Builder'!$L$9)&gt;'Entry Builder'!$E$9)))</f>
        <v/>
      </c>
      <c r="D1551">
        <f>IF('Entry Builder'!$N$10=0,1,IF('Entry Builder'!$D$10="Less",--(INDEX(Sims!$A1551:$BO1551,'Entry Builder'!$L$10)&lt;'Entry Builder'!$E$10),--(INDEX(Sims!$A1551:$BO1551,'Entry Builder'!$L$10)&gt;'Entry Builder'!$E$10)))</f>
        <v/>
      </c>
      <c r="E1551">
        <f>IF('Entry Builder'!$N$11=0,1,IF('Entry Builder'!$D$11="Less",--(INDEX(Sims!$A1551:$BO1551,'Entry Builder'!$L$11)&lt;'Entry Builder'!$E$11),--(INDEX(Sims!$A1551:$BO1551,'Entry Builder'!$L$11)&gt;'Entry Builder'!$E$11)))</f>
        <v/>
      </c>
      <c r="F1551">
        <f>IF('Entry Builder'!$N$12=0,1,IF('Entry Builder'!$D$12="Less",--(INDEX(Sims!$A1551:$BO1551,'Entry Builder'!$L$12)&lt;'Entry Builder'!$E$12),--(INDEX(Sims!$A1551:$BO1551,'Entry Builder'!$L$12)&gt;'Entry Builder'!$E$12)))</f>
        <v/>
      </c>
      <c r="G1551">
        <f>6-SUM(A1551:F1551)</f>
        <v/>
      </c>
    </row>
    <row r="1552">
      <c r="A1552">
        <f>IF('Entry Builder'!$N$7=0,1,IF('Entry Builder'!$D$7="Less",--(INDEX(Sims!$A1552:$BO1552,'Entry Builder'!$L$7)&lt;'Entry Builder'!$E$7),--(INDEX(Sims!$A1552:$BO1552,'Entry Builder'!$L$7)&gt;'Entry Builder'!$E$7)))</f>
        <v/>
      </c>
      <c r="B1552">
        <f>IF('Entry Builder'!$N$8=0,1,IF('Entry Builder'!$D$8="Less",--(INDEX(Sims!$A1552:$BO1552,'Entry Builder'!$L$8)&lt;'Entry Builder'!$E$8),--(INDEX(Sims!$A1552:$BO1552,'Entry Builder'!$L$8)&gt;'Entry Builder'!$E$8)))</f>
        <v/>
      </c>
      <c r="C1552">
        <f>IF('Entry Builder'!$N$9=0,1,IF('Entry Builder'!$D$9="Less",--(INDEX(Sims!$A1552:$BO1552,'Entry Builder'!$L$9)&lt;'Entry Builder'!$E$9),--(INDEX(Sims!$A1552:$BO1552,'Entry Builder'!$L$9)&gt;'Entry Builder'!$E$9)))</f>
        <v/>
      </c>
      <c r="D1552">
        <f>IF('Entry Builder'!$N$10=0,1,IF('Entry Builder'!$D$10="Less",--(INDEX(Sims!$A1552:$BO1552,'Entry Builder'!$L$10)&lt;'Entry Builder'!$E$10),--(INDEX(Sims!$A1552:$BO1552,'Entry Builder'!$L$10)&gt;'Entry Builder'!$E$10)))</f>
        <v/>
      </c>
      <c r="E1552">
        <f>IF('Entry Builder'!$N$11=0,1,IF('Entry Builder'!$D$11="Less",--(INDEX(Sims!$A1552:$BO1552,'Entry Builder'!$L$11)&lt;'Entry Builder'!$E$11),--(INDEX(Sims!$A1552:$BO1552,'Entry Builder'!$L$11)&gt;'Entry Builder'!$E$11)))</f>
        <v/>
      </c>
      <c r="F1552">
        <f>IF('Entry Builder'!$N$12=0,1,IF('Entry Builder'!$D$12="Less",--(INDEX(Sims!$A1552:$BO1552,'Entry Builder'!$L$12)&lt;'Entry Builder'!$E$12),--(INDEX(Sims!$A1552:$BO1552,'Entry Builder'!$L$12)&gt;'Entry Builder'!$E$12)))</f>
        <v/>
      </c>
      <c r="G1552">
        <f>6-SUM(A1552:F1552)</f>
        <v/>
      </c>
    </row>
    <row r="1553">
      <c r="A1553">
        <f>IF('Entry Builder'!$N$7=0,1,IF('Entry Builder'!$D$7="Less",--(INDEX(Sims!$A1553:$BO1553,'Entry Builder'!$L$7)&lt;'Entry Builder'!$E$7),--(INDEX(Sims!$A1553:$BO1553,'Entry Builder'!$L$7)&gt;'Entry Builder'!$E$7)))</f>
        <v/>
      </c>
      <c r="B1553">
        <f>IF('Entry Builder'!$N$8=0,1,IF('Entry Builder'!$D$8="Less",--(INDEX(Sims!$A1553:$BO1553,'Entry Builder'!$L$8)&lt;'Entry Builder'!$E$8),--(INDEX(Sims!$A1553:$BO1553,'Entry Builder'!$L$8)&gt;'Entry Builder'!$E$8)))</f>
        <v/>
      </c>
      <c r="C1553">
        <f>IF('Entry Builder'!$N$9=0,1,IF('Entry Builder'!$D$9="Less",--(INDEX(Sims!$A1553:$BO1553,'Entry Builder'!$L$9)&lt;'Entry Builder'!$E$9),--(INDEX(Sims!$A1553:$BO1553,'Entry Builder'!$L$9)&gt;'Entry Builder'!$E$9)))</f>
        <v/>
      </c>
      <c r="D1553">
        <f>IF('Entry Builder'!$N$10=0,1,IF('Entry Builder'!$D$10="Less",--(INDEX(Sims!$A1553:$BO1553,'Entry Builder'!$L$10)&lt;'Entry Builder'!$E$10),--(INDEX(Sims!$A1553:$BO1553,'Entry Builder'!$L$10)&gt;'Entry Builder'!$E$10)))</f>
        <v/>
      </c>
      <c r="E1553">
        <f>IF('Entry Builder'!$N$11=0,1,IF('Entry Builder'!$D$11="Less",--(INDEX(Sims!$A1553:$BO1553,'Entry Builder'!$L$11)&lt;'Entry Builder'!$E$11),--(INDEX(Sims!$A1553:$BO1553,'Entry Builder'!$L$11)&gt;'Entry Builder'!$E$11)))</f>
        <v/>
      </c>
      <c r="F1553">
        <f>IF('Entry Builder'!$N$12=0,1,IF('Entry Builder'!$D$12="Less",--(INDEX(Sims!$A1553:$BO1553,'Entry Builder'!$L$12)&lt;'Entry Builder'!$E$12),--(INDEX(Sims!$A1553:$BO1553,'Entry Builder'!$L$12)&gt;'Entry Builder'!$E$12)))</f>
        <v/>
      </c>
      <c r="G1553">
        <f>6-SUM(A1553:F1553)</f>
        <v/>
      </c>
    </row>
    <row r="1554">
      <c r="A1554">
        <f>IF('Entry Builder'!$N$7=0,1,IF('Entry Builder'!$D$7="Less",--(INDEX(Sims!$A1554:$BO1554,'Entry Builder'!$L$7)&lt;'Entry Builder'!$E$7),--(INDEX(Sims!$A1554:$BO1554,'Entry Builder'!$L$7)&gt;'Entry Builder'!$E$7)))</f>
        <v/>
      </c>
      <c r="B1554">
        <f>IF('Entry Builder'!$N$8=0,1,IF('Entry Builder'!$D$8="Less",--(INDEX(Sims!$A1554:$BO1554,'Entry Builder'!$L$8)&lt;'Entry Builder'!$E$8),--(INDEX(Sims!$A1554:$BO1554,'Entry Builder'!$L$8)&gt;'Entry Builder'!$E$8)))</f>
        <v/>
      </c>
      <c r="C1554">
        <f>IF('Entry Builder'!$N$9=0,1,IF('Entry Builder'!$D$9="Less",--(INDEX(Sims!$A1554:$BO1554,'Entry Builder'!$L$9)&lt;'Entry Builder'!$E$9),--(INDEX(Sims!$A1554:$BO1554,'Entry Builder'!$L$9)&gt;'Entry Builder'!$E$9)))</f>
        <v/>
      </c>
      <c r="D1554">
        <f>IF('Entry Builder'!$N$10=0,1,IF('Entry Builder'!$D$10="Less",--(INDEX(Sims!$A1554:$BO1554,'Entry Builder'!$L$10)&lt;'Entry Builder'!$E$10),--(INDEX(Sims!$A1554:$BO1554,'Entry Builder'!$L$10)&gt;'Entry Builder'!$E$10)))</f>
        <v/>
      </c>
      <c r="E1554">
        <f>IF('Entry Builder'!$N$11=0,1,IF('Entry Builder'!$D$11="Less",--(INDEX(Sims!$A1554:$BO1554,'Entry Builder'!$L$11)&lt;'Entry Builder'!$E$11),--(INDEX(Sims!$A1554:$BO1554,'Entry Builder'!$L$11)&gt;'Entry Builder'!$E$11)))</f>
        <v/>
      </c>
      <c r="F1554">
        <f>IF('Entry Builder'!$N$12=0,1,IF('Entry Builder'!$D$12="Less",--(INDEX(Sims!$A1554:$BO1554,'Entry Builder'!$L$12)&lt;'Entry Builder'!$E$12),--(INDEX(Sims!$A1554:$BO1554,'Entry Builder'!$L$12)&gt;'Entry Builder'!$E$12)))</f>
        <v/>
      </c>
      <c r="G1554">
        <f>6-SUM(A1554:F1554)</f>
        <v/>
      </c>
    </row>
    <row r="1555">
      <c r="A1555">
        <f>IF('Entry Builder'!$N$7=0,1,IF('Entry Builder'!$D$7="Less",--(INDEX(Sims!$A1555:$BO1555,'Entry Builder'!$L$7)&lt;'Entry Builder'!$E$7),--(INDEX(Sims!$A1555:$BO1555,'Entry Builder'!$L$7)&gt;'Entry Builder'!$E$7)))</f>
        <v/>
      </c>
      <c r="B1555">
        <f>IF('Entry Builder'!$N$8=0,1,IF('Entry Builder'!$D$8="Less",--(INDEX(Sims!$A1555:$BO1555,'Entry Builder'!$L$8)&lt;'Entry Builder'!$E$8),--(INDEX(Sims!$A1555:$BO1555,'Entry Builder'!$L$8)&gt;'Entry Builder'!$E$8)))</f>
        <v/>
      </c>
      <c r="C1555">
        <f>IF('Entry Builder'!$N$9=0,1,IF('Entry Builder'!$D$9="Less",--(INDEX(Sims!$A1555:$BO1555,'Entry Builder'!$L$9)&lt;'Entry Builder'!$E$9),--(INDEX(Sims!$A1555:$BO1555,'Entry Builder'!$L$9)&gt;'Entry Builder'!$E$9)))</f>
        <v/>
      </c>
      <c r="D1555">
        <f>IF('Entry Builder'!$N$10=0,1,IF('Entry Builder'!$D$10="Less",--(INDEX(Sims!$A1555:$BO1555,'Entry Builder'!$L$10)&lt;'Entry Builder'!$E$10),--(INDEX(Sims!$A1555:$BO1555,'Entry Builder'!$L$10)&gt;'Entry Builder'!$E$10)))</f>
        <v/>
      </c>
      <c r="E1555">
        <f>IF('Entry Builder'!$N$11=0,1,IF('Entry Builder'!$D$11="Less",--(INDEX(Sims!$A1555:$BO1555,'Entry Builder'!$L$11)&lt;'Entry Builder'!$E$11),--(INDEX(Sims!$A1555:$BO1555,'Entry Builder'!$L$11)&gt;'Entry Builder'!$E$11)))</f>
        <v/>
      </c>
      <c r="F1555">
        <f>IF('Entry Builder'!$N$12=0,1,IF('Entry Builder'!$D$12="Less",--(INDEX(Sims!$A1555:$BO1555,'Entry Builder'!$L$12)&lt;'Entry Builder'!$E$12),--(INDEX(Sims!$A1555:$BO1555,'Entry Builder'!$L$12)&gt;'Entry Builder'!$E$12)))</f>
        <v/>
      </c>
      <c r="G1555">
        <f>6-SUM(A1555:F1555)</f>
        <v/>
      </c>
    </row>
    <row r="1556">
      <c r="A1556">
        <f>IF('Entry Builder'!$N$7=0,1,IF('Entry Builder'!$D$7="Less",--(INDEX(Sims!$A1556:$BO1556,'Entry Builder'!$L$7)&lt;'Entry Builder'!$E$7),--(INDEX(Sims!$A1556:$BO1556,'Entry Builder'!$L$7)&gt;'Entry Builder'!$E$7)))</f>
        <v/>
      </c>
      <c r="B1556">
        <f>IF('Entry Builder'!$N$8=0,1,IF('Entry Builder'!$D$8="Less",--(INDEX(Sims!$A1556:$BO1556,'Entry Builder'!$L$8)&lt;'Entry Builder'!$E$8),--(INDEX(Sims!$A1556:$BO1556,'Entry Builder'!$L$8)&gt;'Entry Builder'!$E$8)))</f>
        <v/>
      </c>
      <c r="C1556">
        <f>IF('Entry Builder'!$N$9=0,1,IF('Entry Builder'!$D$9="Less",--(INDEX(Sims!$A1556:$BO1556,'Entry Builder'!$L$9)&lt;'Entry Builder'!$E$9),--(INDEX(Sims!$A1556:$BO1556,'Entry Builder'!$L$9)&gt;'Entry Builder'!$E$9)))</f>
        <v/>
      </c>
      <c r="D1556">
        <f>IF('Entry Builder'!$N$10=0,1,IF('Entry Builder'!$D$10="Less",--(INDEX(Sims!$A1556:$BO1556,'Entry Builder'!$L$10)&lt;'Entry Builder'!$E$10),--(INDEX(Sims!$A1556:$BO1556,'Entry Builder'!$L$10)&gt;'Entry Builder'!$E$10)))</f>
        <v/>
      </c>
      <c r="E1556">
        <f>IF('Entry Builder'!$N$11=0,1,IF('Entry Builder'!$D$11="Less",--(INDEX(Sims!$A1556:$BO1556,'Entry Builder'!$L$11)&lt;'Entry Builder'!$E$11),--(INDEX(Sims!$A1556:$BO1556,'Entry Builder'!$L$11)&gt;'Entry Builder'!$E$11)))</f>
        <v/>
      </c>
      <c r="F1556">
        <f>IF('Entry Builder'!$N$12=0,1,IF('Entry Builder'!$D$12="Less",--(INDEX(Sims!$A1556:$BO1556,'Entry Builder'!$L$12)&lt;'Entry Builder'!$E$12),--(INDEX(Sims!$A1556:$BO1556,'Entry Builder'!$L$12)&gt;'Entry Builder'!$E$12)))</f>
        <v/>
      </c>
      <c r="G1556">
        <f>6-SUM(A1556:F1556)</f>
        <v/>
      </c>
    </row>
    <row r="1557">
      <c r="A1557">
        <f>IF('Entry Builder'!$N$7=0,1,IF('Entry Builder'!$D$7="Less",--(INDEX(Sims!$A1557:$BO1557,'Entry Builder'!$L$7)&lt;'Entry Builder'!$E$7),--(INDEX(Sims!$A1557:$BO1557,'Entry Builder'!$L$7)&gt;'Entry Builder'!$E$7)))</f>
        <v/>
      </c>
      <c r="B1557">
        <f>IF('Entry Builder'!$N$8=0,1,IF('Entry Builder'!$D$8="Less",--(INDEX(Sims!$A1557:$BO1557,'Entry Builder'!$L$8)&lt;'Entry Builder'!$E$8),--(INDEX(Sims!$A1557:$BO1557,'Entry Builder'!$L$8)&gt;'Entry Builder'!$E$8)))</f>
        <v/>
      </c>
      <c r="C1557">
        <f>IF('Entry Builder'!$N$9=0,1,IF('Entry Builder'!$D$9="Less",--(INDEX(Sims!$A1557:$BO1557,'Entry Builder'!$L$9)&lt;'Entry Builder'!$E$9),--(INDEX(Sims!$A1557:$BO1557,'Entry Builder'!$L$9)&gt;'Entry Builder'!$E$9)))</f>
        <v/>
      </c>
      <c r="D1557">
        <f>IF('Entry Builder'!$N$10=0,1,IF('Entry Builder'!$D$10="Less",--(INDEX(Sims!$A1557:$BO1557,'Entry Builder'!$L$10)&lt;'Entry Builder'!$E$10),--(INDEX(Sims!$A1557:$BO1557,'Entry Builder'!$L$10)&gt;'Entry Builder'!$E$10)))</f>
        <v/>
      </c>
      <c r="E1557">
        <f>IF('Entry Builder'!$N$11=0,1,IF('Entry Builder'!$D$11="Less",--(INDEX(Sims!$A1557:$BO1557,'Entry Builder'!$L$11)&lt;'Entry Builder'!$E$11),--(INDEX(Sims!$A1557:$BO1557,'Entry Builder'!$L$11)&gt;'Entry Builder'!$E$11)))</f>
        <v/>
      </c>
      <c r="F1557">
        <f>IF('Entry Builder'!$N$12=0,1,IF('Entry Builder'!$D$12="Less",--(INDEX(Sims!$A1557:$BO1557,'Entry Builder'!$L$12)&lt;'Entry Builder'!$E$12),--(INDEX(Sims!$A1557:$BO1557,'Entry Builder'!$L$12)&gt;'Entry Builder'!$E$12)))</f>
        <v/>
      </c>
      <c r="G1557">
        <f>6-SUM(A1557:F1557)</f>
        <v/>
      </c>
    </row>
    <row r="1558">
      <c r="A1558">
        <f>IF('Entry Builder'!$N$7=0,1,IF('Entry Builder'!$D$7="Less",--(INDEX(Sims!$A1558:$BO1558,'Entry Builder'!$L$7)&lt;'Entry Builder'!$E$7),--(INDEX(Sims!$A1558:$BO1558,'Entry Builder'!$L$7)&gt;'Entry Builder'!$E$7)))</f>
        <v/>
      </c>
      <c r="B1558">
        <f>IF('Entry Builder'!$N$8=0,1,IF('Entry Builder'!$D$8="Less",--(INDEX(Sims!$A1558:$BO1558,'Entry Builder'!$L$8)&lt;'Entry Builder'!$E$8),--(INDEX(Sims!$A1558:$BO1558,'Entry Builder'!$L$8)&gt;'Entry Builder'!$E$8)))</f>
        <v/>
      </c>
      <c r="C1558">
        <f>IF('Entry Builder'!$N$9=0,1,IF('Entry Builder'!$D$9="Less",--(INDEX(Sims!$A1558:$BO1558,'Entry Builder'!$L$9)&lt;'Entry Builder'!$E$9),--(INDEX(Sims!$A1558:$BO1558,'Entry Builder'!$L$9)&gt;'Entry Builder'!$E$9)))</f>
        <v/>
      </c>
      <c r="D1558">
        <f>IF('Entry Builder'!$N$10=0,1,IF('Entry Builder'!$D$10="Less",--(INDEX(Sims!$A1558:$BO1558,'Entry Builder'!$L$10)&lt;'Entry Builder'!$E$10),--(INDEX(Sims!$A1558:$BO1558,'Entry Builder'!$L$10)&gt;'Entry Builder'!$E$10)))</f>
        <v/>
      </c>
      <c r="E1558">
        <f>IF('Entry Builder'!$N$11=0,1,IF('Entry Builder'!$D$11="Less",--(INDEX(Sims!$A1558:$BO1558,'Entry Builder'!$L$11)&lt;'Entry Builder'!$E$11),--(INDEX(Sims!$A1558:$BO1558,'Entry Builder'!$L$11)&gt;'Entry Builder'!$E$11)))</f>
        <v/>
      </c>
      <c r="F1558">
        <f>IF('Entry Builder'!$N$12=0,1,IF('Entry Builder'!$D$12="Less",--(INDEX(Sims!$A1558:$BO1558,'Entry Builder'!$L$12)&lt;'Entry Builder'!$E$12),--(INDEX(Sims!$A1558:$BO1558,'Entry Builder'!$L$12)&gt;'Entry Builder'!$E$12)))</f>
        <v/>
      </c>
      <c r="G1558">
        <f>6-SUM(A1558:F1558)</f>
        <v/>
      </c>
    </row>
    <row r="1559">
      <c r="A1559">
        <f>IF('Entry Builder'!$N$7=0,1,IF('Entry Builder'!$D$7="Less",--(INDEX(Sims!$A1559:$BO1559,'Entry Builder'!$L$7)&lt;'Entry Builder'!$E$7),--(INDEX(Sims!$A1559:$BO1559,'Entry Builder'!$L$7)&gt;'Entry Builder'!$E$7)))</f>
        <v/>
      </c>
      <c r="B1559">
        <f>IF('Entry Builder'!$N$8=0,1,IF('Entry Builder'!$D$8="Less",--(INDEX(Sims!$A1559:$BO1559,'Entry Builder'!$L$8)&lt;'Entry Builder'!$E$8),--(INDEX(Sims!$A1559:$BO1559,'Entry Builder'!$L$8)&gt;'Entry Builder'!$E$8)))</f>
        <v/>
      </c>
      <c r="C1559">
        <f>IF('Entry Builder'!$N$9=0,1,IF('Entry Builder'!$D$9="Less",--(INDEX(Sims!$A1559:$BO1559,'Entry Builder'!$L$9)&lt;'Entry Builder'!$E$9),--(INDEX(Sims!$A1559:$BO1559,'Entry Builder'!$L$9)&gt;'Entry Builder'!$E$9)))</f>
        <v/>
      </c>
      <c r="D1559">
        <f>IF('Entry Builder'!$N$10=0,1,IF('Entry Builder'!$D$10="Less",--(INDEX(Sims!$A1559:$BO1559,'Entry Builder'!$L$10)&lt;'Entry Builder'!$E$10),--(INDEX(Sims!$A1559:$BO1559,'Entry Builder'!$L$10)&gt;'Entry Builder'!$E$10)))</f>
        <v/>
      </c>
      <c r="E1559">
        <f>IF('Entry Builder'!$N$11=0,1,IF('Entry Builder'!$D$11="Less",--(INDEX(Sims!$A1559:$BO1559,'Entry Builder'!$L$11)&lt;'Entry Builder'!$E$11),--(INDEX(Sims!$A1559:$BO1559,'Entry Builder'!$L$11)&gt;'Entry Builder'!$E$11)))</f>
        <v/>
      </c>
      <c r="F1559">
        <f>IF('Entry Builder'!$N$12=0,1,IF('Entry Builder'!$D$12="Less",--(INDEX(Sims!$A1559:$BO1559,'Entry Builder'!$L$12)&lt;'Entry Builder'!$E$12),--(INDEX(Sims!$A1559:$BO1559,'Entry Builder'!$L$12)&gt;'Entry Builder'!$E$12)))</f>
        <v/>
      </c>
      <c r="G1559">
        <f>6-SUM(A1559:F1559)</f>
        <v/>
      </c>
    </row>
    <row r="1560">
      <c r="A1560">
        <f>IF('Entry Builder'!$N$7=0,1,IF('Entry Builder'!$D$7="Less",--(INDEX(Sims!$A1560:$BO1560,'Entry Builder'!$L$7)&lt;'Entry Builder'!$E$7),--(INDEX(Sims!$A1560:$BO1560,'Entry Builder'!$L$7)&gt;'Entry Builder'!$E$7)))</f>
        <v/>
      </c>
      <c r="B1560">
        <f>IF('Entry Builder'!$N$8=0,1,IF('Entry Builder'!$D$8="Less",--(INDEX(Sims!$A1560:$BO1560,'Entry Builder'!$L$8)&lt;'Entry Builder'!$E$8),--(INDEX(Sims!$A1560:$BO1560,'Entry Builder'!$L$8)&gt;'Entry Builder'!$E$8)))</f>
        <v/>
      </c>
      <c r="C1560">
        <f>IF('Entry Builder'!$N$9=0,1,IF('Entry Builder'!$D$9="Less",--(INDEX(Sims!$A1560:$BO1560,'Entry Builder'!$L$9)&lt;'Entry Builder'!$E$9),--(INDEX(Sims!$A1560:$BO1560,'Entry Builder'!$L$9)&gt;'Entry Builder'!$E$9)))</f>
        <v/>
      </c>
      <c r="D1560">
        <f>IF('Entry Builder'!$N$10=0,1,IF('Entry Builder'!$D$10="Less",--(INDEX(Sims!$A1560:$BO1560,'Entry Builder'!$L$10)&lt;'Entry Builder'!$E$10),--(INDEX(Sims!$A1560:$BO1560,'Entry Builder'!$L$10)&gt;'Entry Builder'!$E$10)))</f>
        <v/>
      </c>
      <c r="E1560">
        <f>IF('Entry Builder'!$N$11=0,1,IF('Entry Builder'!$D$11="Less",--(INDEX(Sims!$A1560:$BO1560,'Entry Builder'!$L$11)&lt;'Entry Builder'!$E$11),--(INDEX(Sims!$A1560:$BO1560,'Entry Builder'!$L$11)&gt;'Entry Builder'!$E$11)))</f>
        <v/>
      </c>
      <c r="F1560">
        <f>IF('Entry Builder'!$N$12=0,1,IF('Entry Builder'!$D$12="Less",--(INDEX(Sims!$A1560:$BO1560,'Entry Builder'!$L$12)&lt;'Entry Builder'!$E$12),--(INDEX(Sims!$A1560:$BO1560,'Entry Builder'!$L$12)&gt;'Entry Builder'!$E$12)))</f>
        <v/>
      </c>
      <c r="G1560">
        <f>6-SUM(A1560:F1560)</f>
        <v/>
      </c>
    </row>
    <row r="1561">
      <c r="A1561">
        <f>IF('Entry Builder'!$N$7=0,1,IF('Entry Builder'!$D$7="Less",--(INDEX(Sims!$A1561:$BO1561,'Entry Builder'!$L$7)&lt;'Entry Builder'!$E$7),--(INDEX(Sims!$A1561:$BO1561,'Entry Builder'!$L$7)&gt;'Entry Builder'!$E$7)))</f>
        <v/>
      </c>
      <c r="B1561">
        <f>IF('Entry Builder'!$N$8=0,1,IF('Entry Builder'!$D$8="Less",--(INDEX(Sims!$A1561:$BO1561,'Entry Builder'!$L$8)&lt;'Entry Builder'!$E$8),--(INDEX(Sims!$A1561:$BO1561,'Entry Builder'!$L$8)&gt;'Entry Builder'!$E$8)))</f>
        <v/>
      </c>
      <c r="C1561">
        <f>IF('Entry Builder'!$N$9=0,1,IF('Entry Builder'!$D$9="Less",--(INDEX(Sims!$A1561:$BO1561,'Entry Builder'!$L$9)&lt;'Entry Builder'!$E$9),--(INDEX(Sims!$A1561:$BO1561,'Entry Builder'!$L$9)&gt;'Entry Builder'!$E$9)))</f>
        <v/>
      </c>
      <c r="D1561">
        <f>IF('Entry Builder'!$N$10=0,1,IF('Entry Builder'!$D$10="Less",--(INDEX(Sims!$A1561:$BO1561,'Entry Builder'!$L$10)&lt;'Entry Builder'!$E$10),--(INDEX(Sims!$A1561:$BO1561,'Entry Builder'!$L$10)&gt;'Entry Builder'!$E$10)))</f>
        <v/>
      </c>
      <c r="E1561">
        <f>IF('Entry Builder'!$N$11=0,1,IF('Entry Builder'!$D$11="Less",--(INDEX(Sims!$A1561:$BO1561,'Entry Builder'!$L$11)&lt;'Entry Builder'!$E$11),--(INDEX(Sims!$A1561:$BO1561,'Entry Builder'!$L$11)&gt;'Entry Builder'!$E$11)))</f>
        <v/>
      </c>
      <c r="F1561">
        <f>IF('Entry Builder'!$N$12=0,1,IF('Entry Builder'!$D$12="Less",--(INDEX(Sims!$A1561:$BO1561,'Entry Builder'!$L$12)&lt;'Entry Builder'!$E$12),--(INDEX(Sims!$A1561:$BO1561,'Entry Builder'!$L$12)&gt;'Entry Builder'!$E$12)))</f>
        <v/>
      </c>
      <c r="G1561">
        <f>6-SUM(A1561:F1561)</f>
        <v/>
      </c>
    </row>
    <row r="1562">
      <c r="A1562">
        <f>IF('Entry Builder'!$N$7=0,1,IF('Entry Builder'!$D$7="Less",--(INDEX(Sims!$A1562:$BO1562,'Entry Builder'!$L$7)&lt;'Entry Builder'!$E$7),--(INDEX(Sims!$A1562:$BO1562,'Entry Builder'!$L$7)&gt;'Entry Builder'!$E$7)))</f>
        <v/>
      </c>
      <c r="B1562">
        <f>IF('Entry Builder'!$N$8=0,1,IF('Entry Builder'!$D$8="Less",--(INDEX(Sims!$A1562:$BO1562,'Entry Builder'!$L$8)&lt;'Entry Builder'!$E$8),--(INDEX(Sims!$A1562:$BO1562,'Entry Builder'!$L$8)&gt;'Entry Builder'!$E$8)))</f>
        <v/>
      </c>
      <c r="C1562">
        <f>IF('Entry Builder'!$N$9=0,1,IF('Entry Builder'!$D$9="Less",--(INDEX(Sims!$A1562:$BO1562,'Entry Builder'!$L$9)&lt;'Entry Builder'!$E$9),--(INDEX(Sims!$A1562:$BO1562,'Entry Builder'!$L$9)&gt;'Entry Builder'!$E$9)))</f>
        <v/>
      </c>
      <c r="D1562">
        <f>IF('Entry Builder'!$N$10=0,1,IF('Entry Builder'!$D$10="Less",--(INDEX(Sims!$A1562:$BO1562,'Entry Builder'!$L$10)&lt;'Entry Builder'!$E$10),--(INDEX(Sims!$A1562:$BO1562,'Entry Builder'!$L$10)&gt;'Entry Builder'!$E$10)))</f>
        <v/>
      </c>
      <c r="E1562">
        <f>IF('Entry Builder'!$N$11=0,1,IF('Entry Builder'!$D$11="Less",--(INDEX(Sims!$A1562:$BO1562,'Entry Builder'!$L$11)&lt;'Entry Builder'!$E$11),--(INDEX(Sims!$A1562:$BO1562,'Entry Builder'!$L$11)&gt;'Entry Builder'!$E$11)))</f>
        <v/>
      </c>
      <c r="F1562">
        <f>IF('Entry Builder'!$N$12=0,1,IF('Entry Builder'!$D$12="Less",--(INDEX(Sims!$A1562:$BO1562,'Entry Builder'!$L$12)&lt;'Entry Builder'!$E$12),--(INDEX(Sims!$A1562:$BO1562,'Entry Builder'!$L$12)&gt;'Entry Builder'!$E$12)))</f>
        <v/>
      </c>
      <c r="G1562">
        <f>6-SUM(A1562:F1562)</f>
        <v/>
      </c>
    </row>
    <row r="1563">
      <c r="A1563">
        <f>IF('Entry Builder'!$N$7=0,1,IF('Entry Builder'!$D$7="Less",--(INDEX(Sims!$A1563:$BO1563,'Entry Builder'!$L$7)&lt;'Entry Builder'!$E$7),--(INDEX(Sims!$A1563:$BO1563,'Entry Builder'!$L$7)&gt;'Entry Builder'!$E$7)))</f>
        <v/>
      </c>
      <c r="B1563">
        <f>IF('Entry Builder'!$N$8=0,1,IF('Entry Builder'!$D$8="Less",--(INDEX(Sims!$A1563:$BO1563,'Entry Builder'!$L$8)&lt;'Entry Builder'!$E$8),--(INDEX(Sims!$A1563:$BO1563,'Entry Builder'!$L$8)&gt;'Entry Builder'!$E$8)))</f>
        <v/>
      </c>
      <c r="C1563">
        <f>IF('Entry Builder'!$N$9=0,1,IF('Entry Builder'!$D$9="Less",--(INDEX(Sims!$A1563:$BO1563,'Entry Builder'!$L$9)&lt;'Entry Builder'!$E$9),--(INDEX(Sims!$A1563:$BO1563,'Entry Builder'!$L$9)&gt;'Entry Builder'!$E$9)))</f>
        <v/>
      </c>
      <c r="D1563">
        <f>IF('Entry Builder'!$N$10=0,1,IF('Entry Builder'!$D$10="Less",--(INDEX(Sims!$A1563:$BO1563,'Entry Builder'!$L$10)&lt;'Entry Builder'!$E$10),--(INDEX(Sims!$A1563:$BO1563,'Entry Builder'!$L$10)&gt;'Entry Builder'!$E$10)))</f>
        <v/>
      </c>
      <c r="E1563">
        <f>IF('Entry Builder'!$N$11=0,1,IF('Entry Builder'!$D$11="Less",--(INDEX(Sims!$A1563:$BO1563,'Entry Builder'!$L$11)&lt;'Entry Builder'!$E$11),--(INDEX(Sims!$A1563:$BO1563,'Entry Builder'!$L$11)&gt;'Entry Builder'!$E$11)))</f>
        <v/>
      </c>
      <c r="F1563">
        <f>IF('Entry Builder'!$N$12=0,1,IF('Entry Builder'!$D$12="Less",--(INDEX(Sims!$A1563:$BO1563,'Entry Builder'!$L$12)&lt;'Entry Builder'!$E$12),--(INDEX(Sims!$A1563:$BO1563,'Entry Builder'!$L$12)&gt;'Entry Builder'!$E$12)))</f>
        <v/>
      </c>
      <c r="G1563">
        <f>6-SUM(A1563:F1563)</f>
        <v/>
      </c>
    </row>
    <row r="1564">
      <c r="A1564">
        <f>IF('Entry Builder'!$N$7=0,1,IF('Entry Builder'!$D$7="Less",--(INDEX(Sims!$A1564:$BO1564,'Entry Builder'!$L$7)&lt;'Entry Builder'!$E$7),--(INDEX(Sims!$A1564:$BO1564,'Entry Builder'!$L$7)&gt;'Entry Builder'!$E$7)))</f>
        <v/>
      </c>
      <c r="B1564">
        <f>IF('Entry Builder'!$N$8=0,1,IF('Entry Builder'!$D$8="Less",--(INDEX(Sims!$A1564:$BO1564,'Entry Builder'!$L$8)&lt;'Entry Builder'!$E$8),--(INDEX(Sims!$A1564:$BO1564,'Entry Builder'!$L$8)&gt;'Entry Builder'!$E$8)))</f>
        <v/>
      </c>
      <c r="C1564">
        <f>IF('Entry Builder'!$N$9=0,1,IF('Entry Builder'!$D$9="Less",--(INDEX(Sims!$A1564:$BO1564,'Entry Builder'!$L$9)&lt;'Entry Builder'!$E$9),--(INDEX(Sims!$A1564:$BO1564,'Entry Builder'!$L$9)&gt;'Entry Builder'!$E$9)))</f>
        <v/>
      </c>
      <c r="D1564">
        <f>IF('Entry Builder'!$N$10=0,1,IF('Entry Builder'!$D$10="Less",--(INDEX(Sims!$A1564:$BO1564,'Entry Builder'!$L$10)&lt;'Entry Builder'!$E$10),--(INDEX(Sims!$A1564:$BO1564,'Entry Builder'!$L$10)&gt;'Entry Builder'!$E$10)))</f>
        <v/>
      </c>
      <c r="E1564">
        <f>IF('Entry Builder'!$N$11=0,1,IF('Entry Builder'!$D$11="Less",--(INDEX(Sims!$A1564:$BO1564,'Entry Builder'!$L$11)&lt;'Entry Builder'!$E$11),--(INDEX(Sims!$A1564:$BO1564,'Entry Builder'!$L$11)&gt;'Entry Builder'!$E$11)))</f>
        <v/>
      </c>
      <c r="F1564">
        <f>IF('Entry Builder'!$N$12=0,1,IF('Entry Builder'!$D$12="Less",--(INDEX(Sims!$A1564:$BO1564,'Entry Builder'!$L$12)&lt;'Entry Builder'!$E$12),--(INDEX(Sims!$A1564:$BO1564,'Entry Builder'!$L$12)&gt;'Entry Builder'!$E$12)))</f>
        <v/>
      </c>
      <c r="G1564">
        <f>6-SUM(A1564:F1564)</f>
        <v/>
      </c>
    </row>
    <row r="1565">
      <c r="A1565">
        <f>IF('Entry Builder'!$N$7=0,1,IF('Entry Builder'!$D$7="Less",--(INDEX(Sims!$A1565:$BO1565,'Entry Builder'!$L$7)&lt;'Entry Builder'!$E$7),--(INDEX(Sims!$A1565:$BO1565,'Entry Builder'!$L$7)&gt;'Entry Builder'!$E$7)))</f>
        <v/>
      </c>
      <c r="B1565">
        <f>IF('Entry Builder'!$N$8=0,1,IF('Entry Builder'!$D$8="Less",--(INDEX(Sims!$A1565:$BO1565,'Entry Builder'!$L$8)&lt;'Entry Builder'!$E$8),--(INDEX(Sims!$A1565:$BO1565,'Entry Builder'!$L$8)&gt;'Entry Builder'!$E$8)))</f>
        <v/>
      </c>
      <c r="C1565">
        <f>IF('Entry Builder'!$N$9=0,1,IF('Entry Builder'!$D$9="Less",--(INDEX(Sims!$A1565:$BO1565,'Entry Builder'!$L$9)&lt;'Entry Builder'!$E$9),--(INDEX(Sims!$A1565:$BO1565,'Entry Builder'!$L$9)&gt;'Entry Builder'!$E$9)))</f>
        <v/>
      </c>
      <c r="D1565">
        <f>IF('Entry Builder'!$N$10=0,1,IF('Entry Builder'!$D$10="Less",--(INDEX(Sims!$A1565:$BO1565,'Entry Builder'!$L$10)&lt;'Entry Builder'!$E$10),--(INDEX(Sims!$A1565:$BO1565,'Entry Builder'!$L$10)&gt;'Entry Builder'!$E$10)))</f>
        <v/>
      </c>
      <c r="E1565">
        <f>IF('Entry Builder'!$N$11=0,1,IF('Entry Builder'!$D$11="Less",--(INDEX(Sims!$A1565:$BO1565,'Entry Builder'!$L$11)&lt;'Entry Builder'!$E$11),--(INDEX(Sims!$A1565:$BO1565,'Entry Builder'!$L$11)&gt;'Entry Builder'!$E$11)))</f>
        <v/>
      </c>
      <c r="F1565">
        <f>IF('Entry Builder'!$N$12=0,1,IF('Entry Builder'!$D$12="Less",--(INDEX(Sims!$A1565:$BO1565,'Entry Builder'!$L$12)&lt;'Entry Builder'!$E$12),--(INDEX(Sims!$A1565:$BO1565,'Entry Builder'!$L$12)&gt;'Entry Builder'!$E$12)))</f>
        <v/>
      </c>
      <c r="G1565">
        <f>6-SUM(A1565:F1565)</f>
        <v/>
      </c>
    </row>
    <row r="1566">
      <c r="A1566">
        <f>IF('Entry Builder'!$N$7=0,1,IF('Entry Builder'!$D$7="Less",--(INDEX(Sims!$A1566:$BO1566,'Entry Builder'!$L$7)&lt;'Entry Builder'!$E$7),--(INDEX(Sims!$A1566:$BO1566,'Entry Builder'!$L$7)&gt;'Entry Builder'!$E$7)))</f>
        <v/>
      </c>
      <c r="B1566">
        <f>IF('Entry Builder'!$N$8=0,1,IF('Entry Builder'!$D$8="Less",--(INDEX(Sims!$A1566:$BO1566,'Entry Builder'!$L$8)&lt;'Entry Builder'!$E$8),--(INDEX(Sims!$A1566:$BO1566,'Entry Builder'!$L$8)&gt;'Entry Builder'!$E$8)))</f>
        <v/>
      </c>
      <c r="C1566">
        <f>IF('Entry Builder'!$N$9=0,1,IF('Entry Builder'!$D$9="Less",--(INDEX(Sims!$A1566:$BO1566,'Entry Builder'!$L$9)&lt;'Entry Builder'!$E$9),--(INDEX(Sims!$A1566:$BO1566,'Entry Builder'!$L$9)&gt;'Entry Builder'!$E$9)))</f>
        <v/>
      </c>
      <c r="D1566">
        <f>IF('Entry Builder'!$N$10=0,1,IF('Entry Builder'!$D$10="Less",--(INDEX(Sims!$A1566:$BO1566,'Entry Builder'!$L$10)&lt;'Entry Builder'!$E$10),--(INDEX(Sims!$A1566:$BO1566,'Entry Builder'!$L$10)&gt;'Entry Builder'!$E$10)))</f>
        <v/>
      </c>
      <c r="E1566">
        <f>IF('Entry Builder'!$N$11=0,1,IF('Entry Builder'!$D$11="Less",--(INDEX(Sims!$A1566:$BO1566,'Entry Builder'!$L$11)&lt;'Entry Builder'!$E$11),--(INDEX(Sims!$A1566:$BO1566,'Entry Builder'!$L$11)&gt;'Entry Builder'!$E$11)))</f>
        <v/>
      </c>
      <c r="F1566">
        <f>IF('Entry Builder'!$N$12=0,1,IF('Entry Builder'!$D$12="Less",--(INDEX(Sims!$A1566:$BO1566,'Entry Builder'!$L$12)&lt;'Entry Builder'!$E$12),--(INDEX(Sims!$A1566:$BO1566,'Entry Builder'!$L$12)&gt;'Entry Builder'!$E$12)))</f>
        <v/>
      </c>
      <c r="G1566">
        <f>6-SUM(A1566:F1566)</f>
        <v/>
      </c>
    </row>
    <row r="1567">
      <c r="A1567">
        <f>IF('Entry Builder'!$N$7=0,1,IF('Entry Builder'!$D$7="Less",--(INDEX(Sims!$A1567:$BO1567,'Entry Builder'!$L$7)&lt;'Entry Builder'!$E$7),--(INDEX(Sims!$A1567:$BO1567,'Entry Builder'!$L$7)&gt;'Entry Builder'!$E$7)))</f>
        <v/>
      </c>
      <c r="B1567">
        <f>IF('Entry Builder'!$N$8=0,1,IF('Entry Builder'!$D$8="Less",--(INDEX(Sims!$A1567:$BO1567,'Entry Builder'!$L$8)&lt;'Entry Builder'!$E$8),--(INDEX(Sims!$A1567:$BO1567,'Entry Builder'!$L$8)&gt;'Entry Builder'!$E$8)))</f>
        <v/>
      </c>
      <c r="C1567">
        <f>IF('Entry Builder'!$N$9=0,1,IF('Entry Builder'!$D$9="Less",--(INDEX(Sims!$A1567:$BO1567,'Entry Builder'!$L$9)&lt;'Entry Builder'!$E$9),--(INDEX(Sims!$A1567:$BO1567,'Entry Builder'!$L$9)&gt;'Entry Builder'!$E$9)))</f>
        <v/>
      </c>
      <c r="D1567">
        <f>IF('Entry Builder'!$N$10=0,1,IF('Entry Builder'!$D$10="Less",--(INDEX(Sims!$A1567:$BO1567,'Entry Builder'!$L$10)&lt;'Entry Builder'!$E$10),--(INDEX(Sims!$A1567:$BO1567,'Entry Builder'!$L$10)&gt;'Entry Builder'!$E$10)))</f>
        <v/>
      </c>
      <c r="E1567">
        <f>IF('Entry Builder'!$N$11=0,1,IF('Entry Builder'!$D$11="Less",--(INDEX(Sims!$A1567:$BO1567,'Entry Builder'!$L$11)&lt;'Entry Builder'!$E$11),--(INDEX(Sims!$A1567:$BO1567,'Entry Builder'!$L$11)&gt;'Entry Builder'!$E$11)))</f>
        <v/>
      </c>
      <c r="F1567">
        <f>IF('Entry Builder'!$N$12=0,1,IF('Entry Builder'!$D$12="Less",--(INDEX(Sims!$A1567:$BO1567,'Entry Builder'!$L$12)&lt;'Entry Builder'!$E$12),--(INDEX(Sims!$A1567:$BO1567,'Entry Builder'!$L$12)&gt;'Entry Builder'!$E$12)))</f>
        <v/>
      </c>
      <c r="G1567">
        <f>6-SUM(A1567:F1567)</f>
        <v/>
      </c>
    </row>
    <row r="1568">
      <c r="A1568">
        <f>IF('Entry Builder'!$N$7=0,1,IF('Entry Builder'!$D$7="Less",--(INDEX(Sims!$A1568:$BO1568,'Entry Builder'!$L$7)&lt;'Entry Builder'!$E$7),--(INDEX(Sims!$A1568:$BO1568,'Entry Builder'!$L$7)&gt;'Entry Builder'!$E$7)))</f>
        <v/>
      </c>
      <c r="B1568">
        <f>IF('Entry Builder'!$N$8=0,1,IF('Entry Builder'!$D$8="Less",--(INDEX(Sims!$A1568:$BO1568,'Entry Builder'!$L$8)&lt;'Entry Builder'!$E$8),--(INDEX(Sims!$A1568:$BO1568,'Entry Builder'!$L$8)&gt;'Entry Builder'!$E$8)))</f>
        <v/>
      </c>
      <c r="C1568">
        <f>IF('Entry Builder'!$N$9=0,1,IF('Entry Builder'!$D$9="Less",--(INDEX(Sims!$A1568:$BO1568,'Entry Builder'!$L$9)&lt;'Entry Builder'!$E$9),--(INDEX(Sims!$A1568:$BO1568,'Entry Builder'!$L$9)&gt;'Entry Builder'!$E$9)))</f>
        <v/>
      </c>
      <c r="D1568">
        <f>IF('Entry Builder'!$N$10=0,1,IF('Entry Builder'!$D$10="Less",--(INDEX(Sims!$A1568:$BO1568,'Entry Builder'!$L$10)&lt;'Entry Builder'!$E$10),--(INDEX(Sims!$A1568:$BO1568,'Entry Builder'!$L$10)&gt;'Entry Builder'!$E$10)))</f>
        <v/>
      </c>
      <c r="E1568">
        <f>IF('Entry Builder'!$N$11=0,1,IF('Entry Builder'!$D$11="Less",--(INDEX(Sims!$A1568:$BO1568,'Entry Builder'!$L$11)&lt;'Entry Builder'!$E$11),--(INDEX(Sims!$A1568:$BO1568,'Entry Builder'!$L$11)&gt;'Entry Builder'!$E$11)))</f>
        <v/>
      </c>
      <c r="F1568">
        <f>IF('Entry Builder'!$N$12=0,1,IF('Entry Builder'!$D$12="Less",--(INDEX(Sims!$A1568:$BO1568,'Entry Builder'!$L$12)&lt;'Entry Builder'!$E$12),--(INDEX(Sims!$A1568:$BO1568,'Entry Builder'!$L$12)&gt;'Entry Builder'!$E$12)))</f>
        <v/>
      </c>
      <c r="G1568">
        <f>6-SUM(A1568:F1568)</f>
        <v/>
      </c>
    </row>
    <row r="1569">
      <c r="A1569">
        <f>IF('Entry Builder'!$N$7=0,1,IF('Entry Builder'!$D$7="Less",--(INDEX(Sims!$A1569:$BO1569,'Entry Builder'!$L$7)&lt;'Entry Builder'!$E$7),--(INDEX(Sims!$A1569:$BO1569,'Entry Builder'!$L$7)&gt;'Entry Builder'!$E$7)))</f>
        <v/>
      </c>
      <c r="B1569">
        <f>IF('Entry Builder'!$N$8=0,1,IF('Entry Builder'!$D$8="Less",--(INDEX(Sims!$A1569:$BO1569,'Entry Builder'!$L$8)&lt;'Entry Builder'!$E$8),--(INDEX(Sims!$A1569:$BO1569,'Entry Builder'!$L$8)&gt;'Entry Builder'!$E$8)))</f>
        <v/>
      </c>
      <c r="C1569">
        <f>IF('Entry Builder'!$N$9=0,1,IF('Entry Builder'!$D$9="Less",--(INDEX(Sims!$A1569:$BO1569,'Entry Builder'!$L$9)&lt;'Entry Builder'!$E$9),--(INDEX(Sims!$A1569:$BO1569,'Entry Builder'!$L$9)&gt;'Entry Builder'!$E$9)))</f>
        <v/>
      </c>
      <c r="D1569">
        <f>IF('Entry Builder'!$N$10=0,1,IF('Entry Builder'!$D$10="Less",--(INDEX(Sims!$A1569:$BO1569,'Entry Builder'!$L$10)&lt;'Entry Builder'!$E$10),--(INDEX(Sims!$A1569:$BO1569,'Entry Builder'!$L$10)&gt;'Entry Builder'!$E$10)))</f>
        <v/>
      </c>
      <c r="E1569">
        <f>IF('Entry Builder'!$N$11=0,1,IF('Entry Builder'!$D$11="Less",--(INDEX(Sims!$A1569:$BO1569,'Entry Builder'!$L$11)&lt;'Entry Builder'!$E$11),--(INDEX(Sims!$A1569:$BO1569,'Entry Builder'!$L$11)&gt;'Entry Builder'!$E$11)))</f>
        <v/>
      </c>
      <c r="F1569">
        <f>IF('Entry Builder'!$N$12=0,1,IF('Entry Builder'!$D$12="Less",--(INDEX(Sims!$A1569:$BO1569,'Entry Builder'!$L$12)&lt;'Entry Builder'!$E$12),--(INDEX(Sims!$A1569:$BO1569,'Entry Builder'!$L$12)&gt;'Entry Builder'!$E$12)))</f>
        <v/>
      </c>
      <c r="G1569">
        <f>6-SUM(A1569:F1569)</f>
        <v/>
      </c>
    </row>
    <row r="1570">
      <c r="A1570">
        <f>IF('Entry Builder'!$N$7=0,1,IF('Entry Builder'!$D$7="Less",--(INDEX(Sims!$A1570:$BO1570,'Entry Builder'!$L$7)&lt;'Entry Builder'!$E$7),--(INDEX(Sims!$A1570:$BO1570,'Entry Builder'!$L$7)&gt;'Entry Builder'!$E$7)))</f>
        <v/>
      </c>
      <c r="B1570">
        <f>IF('Entry Builder'!$N$8=0,1,IF('Entry Builder'!$D$8="Less",--(INDEX(Sims!$A1570:$BO1570,'Entry Builder'!$L$8)&lt;'Entry Builder'!$E$8),--(INDEX(Sims!$A1570:$BO1570,'Entry Builder'!$L$8)&gt;'Entry Builder'!$E$8)))</f>
        <v/>
      </c>
      <c r="C1570">
        <f>IF('Entry Builder'!$N$9=0,1,IF('Entry Builder'!$D$9="Less",--(INDEX(Sims!$A1570:$BO1570,'Entry Builder'!$L$9)&lt;'Entry Builder'!$E$9),--(INDEX(Sims!$A1570:$BO1570,'Entry Builder'!$L$9)&gt;'Entry Builder'!$E$9)))</f>
        <v/>
      </c>
      <c r="D1570">
        <f>IF('Entry Builder'!$N$10=0,1,IF('Entry Builder'!$D$10="Less",--(INDEX(Sims!$A1570:$BO1570,'Entry Builder'!$L$10)&lt;'Entry Builder'!$E$10),--(INDEX(Sims!$A1570:$BO1570,'Entry Builder'!$L$10)&gt;'Entry Builder'!$E$10)))</f>
        <v/>
      </c>
      <c r="E1570">
        <f>IF('Entry Builder'!$N$11=0,1,IF('Entry Builder'!$D$11="Less",--(INDEX(Sims!$A1570:$BO1570,'Entry Builder'!$L$11)&lt;'Entry Builder'!$E$11),--(INDEX(Sims!$A1570:$BO1570,'Entry Builder'!$L$11)&gt;'Entry Builder'!$E$11)))</f>
        <v/>
      </c>
      <c r="F1570">
        <f>IF('Entry Builder'!$N$12=0,1,IF('Entry Builder'!$D$12="Less",--(INDEX(Sims!$A1570:$BO1570,'Entry Builder'!$L$12)&lt;'Entry Builder'!$E$12),--(INDEX(Sims!$A1570:$BO1570,'Entry Builder'!$L$12)&gt;'Entry Builder'!$E$12)))</f>
        <v/>
      </c>
      <c r="G1570">
        <f>6-SUM(A1570:F1570)</f>
        <v/>
      </c>
    </row>
    <row r="1571">
      <c r="A1571">
        <f>IF('Entry Builder'!$N$7=0,1,IF('Entry Builder'!$D$7="Less",--(INDEX(Sims!$A1571:$BO1571,'Entry Builder'!$L$7)&lt;'Entry Builder'!$E$7),--(INDEX(Sims!$A1571:$BO1571,'Entry Builder'!$L$7)&gt;'Entry Builder'!$E$7)))</f>
        <v/>
      </c>
      <c r="B1571">
        <f>IF('Entry Builder'!$N$8=0,1,IF('Entry Builder'!$D$8="Less",--(INDEX(Sims!$A1571:$BO1571,'Entry Builder'!$L$8)&lt;'Entry Builder'!$E$8),--(INDEX(Sims!$A1571:$BO1571,'Entry Builder'!$L$8)&gt;'Entry Builder'!$E$8)))</f>
        <v/>
      </c>
      <c r="C1571">
        <f>IF('Entry Builder'!$N$9=0,1,IF('Entry Builder'!$D$9="Less",--(INDEX(Sims!$A1571:$BO1571,'Entry Builder'!$L$9)&lt;'Entry Builder'!$E$9),--(INDEX(Sims!$A1571:$BO1571,'Entry Builder'!$L$9)&gt;'Entry Builder'!$E$9)))</f>
        <v/>
      </c>
      <c r="D1571">
        <f>IF('Entry Builder'!$N$10=0,1,IF('Entry Builder'!$D$10="Less",--(INDEX(Sims!$A1571:$BO1571,'Entry Builder'!$L$10)&lt;'Entry Builder'!$E$10),--(INDEX(Sims!$A1571:$BO1571,'Entry Builder'!$L$10)&gt;'Entry Builder'!$E$10)))</f>
        <v/>
      </c>
      <c r="E1571">
        <f>IF('Entry Builder'!$N$11=0,1,IF('Entry Builder'!$D$11="Less",--(INDEX(Sims!$A1571:$BO1571,'Entry Builder'!$L$11)&lt;'Entry Builder'!$E$11),--(INDEX(Sims!$A1571:$BO1571,'Entry Builder'!$L$11)&gt;'Entry Builder'!$E$11)))</f>
        <v/>
      </c>
      <c r="F1571">
        <f>IF('Entry Builder'!$N$12=0,1,IF('Entry Builder'!$D$12="Less",--(INDEX(Sims!$A1571:$BO1571,'Entry Builder'!$L$12)&lt;'Entry Builder'!$E$12),--(INDEX(Sims!$A1571:$BO1571,'Entry Builder'!$L$12)&gt;'Entry Builder'!$E$12)))</f>
        <v/>
      </c>
      <c r="G1571">
        <f>6-SUM(A1571:F1571)</f>
        <v/>
      </c>
    </row>
    <row r="1572">
      <c r="A1572">
        <f>IF('Entry Builder'!$N$7=0,1,IF('Entry Builder'!$D$7="Less",--(INDEX(Sims!$A1572:$BO1572,'Entry Builder'!$L$7)&lt;'Entry Builder'!$E$7),--(INDEX(Sims!$A1572:$BO1572,'Entry Builder'!$L$7)&gt;'Entry Builder'!$E$7)))</f>
        <v/>
      </c>
      <c r="B1572">
        <f>IF('Entry Builder'!$N$8=0,1,IF('Entry Builder'!$D$8="Less",--(INDEX(Sims!$A1572:$BO1572,'Entry Builder'!$L$8)&lt;'Entry Builder'!$E$8),--(INDEX(Sims!$A1572:$BO1572,'Entry Builder'!$L$8)&gt;'Entry Builder'!$E$8)))</f>
        <v/>
      </c>
      <c r="C1572">
        <f>IF('Entry Builder'!$N$9=0,1,IF('Entry Builder'!$D$9="Less",--(INDEX(Sims!$A1572:$BO1572,'Entry Builder'!$L$9)&lt;'Entry Builder'!$E$9),--(INDEX(Sims!$A1572:$BO1572,'Entry Builder'!$L$9)&gt;'Entry Builder'!$E$9)))</f>
        <v/>
      </c>
      <c r="D1572">
        <f>IF('Entry Builder'!$N$10=0,1,IF('Entry Builder'!$D$10="Less",--(INDEX(Sims!$A1572:$BO1572,'Entry Builder'!$L$10)&lt;'Entry Builder'!$E$10),--(INDEX(Sims!$A1572:$BO1572,'Entry Builder'!$L$10)&gt;'Entry Builder'!$E$10)))</f>
        <v/>
      </c>
      <c r="E1572">
        <f>IF('Entry Builder'!$N$11=0,1,IF('Entry Builder'!$D$11="Less",--(INDEX(Sims!$A1572:$BO1572,'Entry Builder'!$L$11)&lt;'Entry Builder'!$E$11),--(INDEX(Sims!$A1572:$BO1572,'Entry Builder'!$L$11)&gt;'Entry Builder'!$E$11)))</f>
        <v/>
      </c>
      <c r="F1572">
        <f>IF('Entry Builder'!$N$12=0,1,IF('Entry Builder'!$D$12="Less",--(INDEX(Sims!$A1572:$BO1572,'Entry Builder'!$L$12)&lt;'Entry Builder'!$E$12),--(INDEX(Sims!$A1572:$BO1572,'Entry Builder'!$L$12)&gt;'Entry Builder'!$E$12)))</f>
        <v/>
      </c>
      <c r="G1572">
        <f>6-SUM(A1572:F1572)</f>
        <v/>
      </c>
    </row>
    <row r="1573">
      <c r="A1573">
        <f>IF('Entry Builder'!$N$7=0,1,IF('Entry Builder'!$D$7="Less",--(INDEX(Sims!$A1573:$BO1573,'Entry Builder'!$L$7)&lt;'Entry Builder'!$E$7),--(INDEX(Sims!$A1573:$BO1573,'Entry Builder'!$L$7)&gt;'Entry Builder'!$E$7)))</f>
        <v/>
      </c>
      <c r="B1573">
        <f>IF('Entry Builder'!$N$8=0,1,IF('Entry Builder'!$D$8="Less",--(INDEX(Sims!$A1573:$BO1573,'Entry Builder'!$L$8)&lt;'Entry Builder'!$E$8),--(INDEX(Sims!$A1573:$BO1573,'Entry Builder'!$L$8)&gt;'Entry Builder'!$E$8)))</f>
        <v/>
      </c>
      <c r="C1573">
        <f>IF('Entry Builder'!$N$9=0,1,IF('Entry Builder'!$D$9="Less",--(INDEX(Sims!$A1573:$BO1573,'Entry Builder'!$L$9)&lt;'Entry Builder'!$E$9),--(INDEX(Sims!$A1573:$BO1573,'Entry Builder'!$L$9)&gt;'Entry Builder'!$E$9)))</f>
        <v/>
      </c>
      <c r="D1573">
        <f>IF('Entry Builder'!$N$10=0,1,IF('Entry Builder'!$D$10="Less",--(INDEX(Sims!$A1573:$BO1573,'Entry Builder'!$L$10)&lt;'Entry Builder'!$E$10),--(INDEX(Sims!$A1573:$BO1573,'Entry Builder'!$L$10)&gt;'Entry Builder'!$E$10)))</f>
        <v/>
      </c>
      <c r="E1573">
        <f>IF('Entry Builder'!$N$11=0,1,IF('Entry Builder'!$D$11="Less",--(INDEX(Sims!$A1573:$BO1573,'Entry Builder'!$L$11)&lt;'Entry Builder'!$E$11),--(INDEX(Sims!$A1573:$BO1573,'Entry Builder'!$L$11)&gt;'Entry Builder'!$E$11)))</f>
        <v/>
      </c>
      <c r="F1573">
        <f>IF('Entry Builder'!$N$12=0,1,IF('Entry Builder'!$D$12="Less",--(INDEX(Sims!$A1573:$BO1573,'Entry Builder'!$L$12)&lt;'Entry Builder'!$E$12),--(INDEX(Sims!$A1573:$BO1573,'Entry Builder'!$L$12)&gt;'Entry Builder'!$E$12)))</f>
        <v/>
      </c>
      <c r="G1573">
        <f>6-SUM(A1573:F1573)</f>
        <v/>
      </c>
    </row>
    <row r="1574">
      <c r="A1574">
        <f>IF('Entry Builder'!$N$7=0,1,IF('Entry Builder'!$D$7="Less",--(INDEX(Sims!$A1574:$BO1574,'Entry Builder'!$L$7)&lt;'Entry Builder'!$E$7),--(INDEX(Sims!$A1574:$BO1574,'Entry Builder'!$L$7)&gt;'Entry Builder'!$E$7)))</f>
        <v/>
      </c>
      <c r="B1574">
        <f>IF('Entry Builder'!$N$8=0,1,IF('Entry Builder'!$D$8="Less",--(INDEX(Sims!$A1574:$BO1574,'Entry Builder'!$L$8)&lt;'Entry Builder'!$E$8),--(INDEX(Sims!$A1574:$BO1574,'Entry Builder'!$L$8)&gt;'Entry Builder'!$E$8)))</f>
        <v/>
      </c>
      <c r="C1574">
        <f>IF('Entry Builder'!$N$9=0,1,IF('Entry Builder'!$D$9="Less",--(INDEX(Sims!$A1574:$BO1574,'Entry Builder'!$L$9)&lt;'Entry Builder'!$E$9),--(INDEX(Sims!$A1574:$BO1574,'Entry Builder'!$L$9)&gt;'Entry Builder'!$E$9)))</f>
        <v/>
      </c>
      <c r="D1574">
        <f>IF('Entry Builder'!$N$10=0,1,IF('Entry Builder'!$D$10="Less",--(INDEX(Sims!$A1574:$BO1574,'Entry Builder'!$L$10)&lt;'Entry Builder'!$E$10),--(INDEX(Sims!$A1574:$BO1574,'Entry Builder'!$L$10)&gt;'Entry Builder'!$E$10)))</f>
        <v/>
      </c>
      <c r="E1574">
        <f>IF('Entry Builder'!$N$11=0,1,IF('Entry Builder'!$D$11="Less",--(INDEX(Sims!$A1574:$BO1574,'Entry Builder'!$L$11)&lt;'Entry Builder'!$E$11),--(INDEX(Sims!$A1574:$BO1574,'Entry Builder'!$L$11)&gt;'Entry Builder'!$E$11)))</f>
        <v/>
      </c>
      <c r="F1574">
        <f>IF('Entry Builder'!$N$12=0,1,IF('Entry Builder'!$D$12="Less",--(INDEX(Sims!$A1574:$BO1574,'Entry Builder'!$L$12)&lt;'Entry Builder'!$E$12),--(INDEX(Sims!$A1574:$BO1574,'Entry Builder'!$L$12)&gt;'Entry Builder'!$E$12)))</f>
        <v/>
      </c>
      <c r="G1574">
        <f>6-SUM(A1574:F1574)</f>
        <v/>
      </c>
    </row>
    <row r="1575">
      <c r="A1575">
        <f>IF('Entry Builder'!$N$7=0,1,IF('Entry Builder'!$D$7="Less",--(INDEX(Sims!$A1575:$BO1575,'Entry Builder'!$L$7)&lt;'Entry Builder'!$E$7),--(INDEX(Sims!$A1575:$BO1575,'Entry Builder'!$L$7)&gt;'Entry Builder'!$E$7)))</f>
        <v/>
      </c>
      <c r="B1575">
        <f>IF('Entry Builder'!$N$8=0,1,IF('Entry Builder'!$D$8="Less",--(INDEX(Sims!$A1575:$BO1575,'Entry Builder'!$L$8)&lt;'Entry Builder'!$E$8),--(INDEX(Sims!$A1575:$BO1575,'Entry Builder'!$L$8)&gt;'Entry Builder'!$E$8)))</f>
        <v/>
      </c>
      <c r="C1575">
        <f>IF('Entry Builder'!$N$9=0,1,IF('Entry Builder'!$D$9="Less",--(INDEX(Sims!$A1575:$BO1575,'Entry Builder'!$L$9)&lt;'Entry Builder'!$E$9),--(INDEX(Sims!$A1575:$BO1575,'Entry Builder'!$L$9)&gt;'Entry Builder'!$E$9)))</f>
        <v/>
      </c>
      <c r="D1575">
        <f>IF('Entry Builder'!$N$10=0,1,IF('Entry Builder'!$D$10="Less",--(INDEX(Sims!$A1575:$BO1575,'Entry Builder'!$L$10)&lt;'Entry Builder'!$E$10),--(INDEX(Sims!$A1575:$BO1575,'Entry Builder'!$L$10)&gt;'Entry Builder'!$E$10)))</f>
        <v/>
      </c>
      <c r="E1575">
        <f>IF('Entry Builder'!$N$11=0,1,IF('Entry Builder'!$D$11="Less",--(INDEX(Sims!$A1575:$BO1575,'Entry Builder'!$L$11)&lt;'Entry Builder'!$E$11),--(INDEX(Sims!$A1575:$BO1575,'Entry Builder'!$L$11)&gt;'Entry Builder'!$E$11)))</f>
        <v/>
      </c>
      <c r="F1575">
        <f>IF('Entry Builder'!$N$12=0,1,IF('Entry Builder'!$D$12="Less",--(INDEX(Sims!$A1575:$BO1575,'Entry Builder'!$L$12)&lt;'Entry Builder'!$E$12),--(INDEX(Sims!$A1575:$BO1575,'Entry Builder'!$L$12)&gt;'Entry Builder'!$E$12)))</f>
        <v/>
      </c>
      <c r="G1575">
        <f>6-SUM(A1575:F1575)</f>
        <v/>
      </c>
    </row>
    <row r="1576">
      <c r="A1576">
        <f>IF('Entry Builder'!$N$7=0,1,IF('Entry Builder'!$D$7="Less",--(INDEX(Sims!$A1576:$BO1576,'Entry Builder'!$L$7)&lt;'Entry Builder'!$E$7),--(INDEX(Sims!$A1576:$BO1576,'Entry Builder'!$L$7)&gt;'Entry Builder'!$E$7)))</f>
        <v/>
      </c>
      <c r="B1576">
        <f>IF('Entry Builder'!$N$8=0,1,IF('Entry Builder'!$D$8="Less",--(INDEX(Sims!$A1576:$BO1576,'Entry Builder'!$L$8)&lt;'Entry Builder'!$E$8),--(INDEX(Sims!$A1576:$BO1576,'Entry Builder'!$L$8)&gt;'Entry Builder'!$E$8)))</f>
        <v/>
      </c>
      <c r="C1576">
        <f>IF('Entry Builder'!$N$9=0,1,IF('Entry Builder'!$D$9="Less",--(INDEX(Sims!$A1576:$BO1576,'Entry Builder'!$L$9)&lt;'Entry Builder'!$E$9),--(INDEX(Sims!$A1576:$BO1576,'Entry Builder'!$L$9)&gt;'Entry Builder'!$E$9)))</f>
        <v/>
      </c>
      <c r="D1576">
        <f>IF('Entry Builder'!$N$10=0,1,IF('Entry Builder'!$D$10="Less",--(INDEX(Sims!$A1576:$BO1576,'Entry Builder'!$L$10)&lt;'Entry Builder'!$E$10),--(INDEX(Sims!$A1576:$BO1576,'Entry Builder'!$L$10)&gt;'Entry Builder'!$E$10)))</f>
        <v/>
      </c>
      <c r="E1576">
        <f>IF('Entry Builder'!$N$11=0,1,IF('Entry Builder'!$D$11="Less",--(INDEX(Sims!$A1576:$BO1576,'Entry Builder'!$L$11)&lt;'Entry Builder'!$E$11),--(INDEX(Sims!$A1576:$BO1576,'Entry Builder'!$L$11)&gt;'Entry Builder'!$E$11)))</f>
        <v/>
      </c>
      <c r="F1576">
        <f>IF('Entry Builder'!$N$12=0,1,IF('Entry Builder'!$D$12="Less",--(INDEX(Sims!$A1576:$BO1576,'Entry Builder'!$L$12)&lt;'Entry Builder'!$E$12),--(INDEX(Sims!$A1576:$BO1576,'Entry Builder'!$L$12)&gt;'Entry Builder'!$E$12)))</f>
        <v/>
      </c>
      <c r="G1576">
        <f>6-SUM(A1576:F1576)</f>
        <v/>
      </c>
    </row>
    <row r="1577">
      <c r="A1577">
        <f>IF('Entry Builder'!$N$7=0,1,IF('Entry Builder'!$D$7="Less",--(INDEX(Sims!$A1577:$BO1577,'Entry Builder'!$L$7)&lt;'Entry Builder'!$E$7),--(INDEX(Sims!$A1577:$BO1577,'Entry Builder'!$L$7)&gt;'Entry Builder'!$E$7)))</f>
        <v/>
      </c>
      <c r="B1577">
        <f>IF('Entry Builder'!$N$8=0,1,IF('Entry Builder'!$D$8="Less",--(INDEX(Sims!$A1577:$BO1577,'Entry Builder'!$L$8)&lt;'Entry Builder'!$E$8),--(INDEX(Sims!$A1577:$BO1577,'Entry Builder'!$L$8)&gt;'Entry Builder'!$E$8)))</f>
        <v/>
      </c>
      <c r="C1577">
        <f>IF('Entry Builder'!$N$9=0,1,IF('Entry Builder'!$D$9="Less",--(INDEX(Sims!$A1577:$BO1577,'Entry Builder'!$L$9)&lt;'Entry Builder'!$E$9),--(INDEX(Sims!$A1577:$BO1577,'Entry Builder'!$L$9)&gt;'Entry Builder'!$E$9)))</f>
        <v/>
      </c>
      <c r="D1577">
        <f>IF('Entry Builder'!$N$10=0,1,IF('Entry Builder'!$D$10="Less",--(INDEX(Sims!$A1577:$BO1577,'Entry Builder'!$L$10)&lt;'Entry Builder'!$E$10),--(INDEX(Sims!$A1577:$BO1577,'Entry Builder'!$L$10)&gt;'Entry Builder'!$E$10)))</f>
        <v/>
      </c>
      <c r="E1577">
        <f>IF('Entry Builder'!$N$11=0,1,IF('Entry Builder'!$D$11="Less",--(INDEX(Sims!$A1577:$BO1577,'Entry Builder'!$L$11)&lt;'Entry Builder'!$E$11),--(INDEX(Sims!$A1577:$BO1577,'Entry Builder'!$L$11)&gt;'Entry Builder'!$E$11)))</f>
        <v/>
      </c>
      <c r="F1577">
        <f>IF('Entry Builder'!$N$12=0,1,IF('Entry Builder'!$D$12="Less",--(INDEX(Sims!$A1577:$BO1577,'Entry Builder'!$L$12)&lt;'Entry Builder'!$E$12),--(INDEX(Sims!$A1577:$BO1577,'Entry Builder'!$L$12)&gt;'Entry Builder'!$E$12)))</f>
        <v/>
      </c>
      <c r="G1577">
        <f>6-SUM(A1577:F1577)</f>
        <v/>
      </c>
    </row>
    <row r="1578">
      <c r="A1578">
        <f>IF('Entry Builder'!$N$7=0,1,IF('Entry Builder'!$D$7="Less",--(INDEX(Sims!$A1578:$BO1578,'Entry Builder'!$L$7)&lt;'Entry Builder'!$E$7),--(INDEX(Sims!$A1578:$BO1578,'Entry Builder'!$L$7)&gt;'Entry Builder'!$E$7)))</f>
        <v/>
      </c>
      <c r="B1578">
        <f>IF('Entry Builder'!$N$8=0,1,IF('Entry Builder'!$D$8="Less",--(INDEX(Sims!$A1578:$BO1578,'Entry Builder'!$L$8)&lt;'Entry Builder'!$E$8),--(INDEX(Sims!$A1578:$BO1578,'Entry Builder'!$L$8)&gt;'Entry Builder'!$E$8)))</f>
        <v/>
      </c>
      <c r="C1578">
        <f>IF('Entry Builder'!$N$9=0,1,IF('Entry Builder'!$D$9="Less",--(INDEX(Sims!$A1578:$BO1578,'Entry Builder'!$L$9)&lt;'Entry Builder'!$E$9),--(INDEX(Sims!$A1578:$BO1578,'Entry Builder'!$L$9)&gt;'Entry Builder'!$E$9)))</f>
        <v/>
      </c>
      <c r="D1578">
        <f>IF('Entry Builder'!$N$10=0,1,IF('Entry Builder'!$D$10="Less",--(INDEX(Sims!$A1578:$BO1578,'Entry Builder'!$L$10)&lt;'Entry Builder'!$E$10),--(INDEX(Sims!$A1578:$BO1578,'Entry Builder'!$L$10)&gt;'Entry Builder'!$E$10)))</f>
        <v/>
      </c>
      <c r="E1578">
        <f>IF('Entry Builder'!$N$11=0,1,IF('Entry Builder'!$D$11="Less",--(INDEX(Sims!$A1578:$BO1578,'Entry Builder'!$L$11)&lt;'Entry Builder'!$E$11),--(INDEX(Sims!$A1578:$BO1578,'Entry Builder'!$L$11)&gt;'Entry Builder'!$E$11)))</f>
        <v/>
      </c>
      <c r="F1578">
        <f>IF('Entry Builder'!$N$12=0,1,IF('Entry Builder'!$D$12="Less",--(INDEX(Sims!$A1578:$BO1578,'Entry Builder'!$L$12)&lt;'Entry Builder'!$E$12),--(INDEX(Sims!$A1578:$BO1578,'Entry Builder'!$L$12)&gt;'Entry Builder'!$E$12)))</f>
        <v/>
      </c>
      <c r="G1578">
        <f>6-SUM(A1578:F1578)</f>
        <v/>
      </c>
    </row>
    <row r="1579">
      <c r="A1579">
        <f>IF('Entry Builder'!$N$7=0,1,IF('Entry Builder'!$D$7="Less",--(INDEX(Sims!$A1579:$BO1579,'Entry Builder'!$L$7)&lt;'Entry Builder'!$E$7),--(INDEX(Sims!$A1579:$BO1579,'Entry Builder'!$L$7)&gt;'Entry Builder'!$E$7)))</f>
        <v/>
      </c>
      <c r="B1579">
        <f>IF('Entry Builder'!$N$8=0,1,IF('Entry Builder'!$D$8="Less",--(INDEX(Sims!$A1579:$BO1579,'Entry Builder'!$L$8)&lt;'Entry Builder'!$E$8),--(INDEX(Sims!$A1579:$BO1579,'Entry Builder'!$L$8)&gt;'Entry Builder'!$E$8)))</f>
        <v/>
      </c>
      <c r="C1579">
        <f>IF('Entry Builder'!$N$9=0,1,IF('Entry Builder'!$D$9="Less",--(INDEX(Sims!$A1579:$BO1579,'Entry Builder'!$L$9)&lt;'Entry Builder'!$E$9),--(INDEX(Sims!$A1579:$BO1579,'Entry Builder'!$L$9)&gt;'Entry Builder'!$E$9)))</f>
        <v/>
      </c>
      <c r="D1579">
        <f>IF('Entry Builder'!$N$10=0,1,IF('Entry Builder'!$D$10="Less",--(INDEX(Sims!$A1579:$BO1579,'Entry Builder'!$L$10)&lt;'Entry Builder'!$E$10),--(INDEX(Sims!$A1579:$BO1579,'Entry Builder'!$L$10)&gt;'Entry Builder'!$E$10)))</f>
        <v/>
      </c>
      <c r="E1579">
        <f>IF('Entry Builder'!$N$11=0,1,IF('Entry Builder'!$D$11="Less",--(INDEX(Sims!$A1579:$BO1579,'Entry Builder'!$L$11)&lt;'Entry Builder'!$E$11),--(INDEX(Sims!$A1579:$BO1579,'Entry Builder'!$L$11)&gt;'Entry Builder'!$E$11)))</f>
        <v/>
      </c>
      <c r="F1579">
        <f>IF('Entry Builder'!$N$12=0,1,IF('Entry Builder'!$D$12="Less",--(INDEX(Sims!$A1579:$BO1579,'Entry Builder'!$L$12)&lt;'Entry Builder'!$E$12),--(INDEX(Sims!$A1579:$BO1579,'Entry Builder'!$L$12)&gt;'Entry Builder'!$E$12)))</f>
        <v/>
      </c>
      <c r="G1579">
        <f>6-SUM(A1579:F1579)</f>
        <v/>
      </c>
    </row>
    <row r="1580">
      <c r="A1580">
        <f>IF('Entry Builder'!$N$7=0,1,IF('Entry Builder'!$D$7="Less",--(INDEX(Sims!$A1580:$BO1580,'Entry Builder'!$L$7)&lt;'Entry Builder'!$E$7),--(INDEX(Sims!$A1580:$BO1580,'Entry Builder'!$L$7)&gt;'Entry Builder'!$E$7)))</f>
        <v/>
      </c>
      <c r="B1580">
        <f>IF('Entry Builder'!$N$8=0,1,IF('Entry Builder'!$D$8="Less",--(INDEX(Sims!$A1580:$BO1580,'Entry Builder'!$L$8)&lt;'Entry Builder'!$E$8),--(INDEX(Sims!$A1580:$BO1580,'Entry Builder'!$L$8)&gt;'Entry Builder'!$E$8)))</f>
        <v/>
      </c>
      <c r="C1580">
        <f>IF('Entry Builder'!$N$9=0,1,IF('Entry Builder'!$D$9="Less",--(INDEX(Sims!$A1580:$BO1580,'Entry Builder'!$L$9)&lt;'Entry Builder'!$E$9),--(INDEX(Sims!$A1580:$BO1580,'Entry Builder'!$L$9)&gt;'Entry Builder'!$E$9)))</f>
        <v/>
      </c>
      <c r="D1580">
        <f>IF('Entry Builder'!$N$10=0,1,IF('Entry Builder'!$D$10="Less",--(INDEX(Sims!$A1580:$BO1580,'Entry Builder'!$L$10)&lt;'Entry Builder'!$E$10),--(INDEX(Sims!$A1580:$BO1580,'Entry Builder'!$L$10)&gt;'Entry Builder'!$E$10)))</f>
        <v/>
      </c>
      <c r="E1580">
        <f>IF('Entry Builder'!$N$11=0,1,IF('Entry Builder'!$D$11="Less",--(INDEX(Sims!$A1580:$BO1580,'Entry Builder'!$L$11)&lt;'Entry Builder'!$E$11),--(INDEX(Sims!$A1580:$BO1580,'Entry Builder'!$L$11)&gt;'Entry Builder'!$E$11)))</f>
        <v/>
      </c>
      <c r="F1580">
        <f>IF('Entry Builder'!$N$12=0,1,IF('Entry Builder'!$D$12="Less",--(INDEX(Sims!$A1580:$BO1580,'Entry Builder'!$L$12)&lt;'Entry Builder'!$E$12),--(INDEX(Sims!$A1580:$BO1580,'Entry Builder'!$L$12)&gt;'Entry Builder'!$E$12)))</f>
        <v/>
      </c>
      <c r="G1580">
        <f>6-SUM(A1580:F1580)</f>
        <v/>
      </c>
    </row>
    <row r="1581">
      <c r="A1581">
        <f>IF('Entry Builder'!$N$7=0,1,IF('Entry Builder'!$D$7="Less",--(INDEX(Sims!$A1581:$BO1581,'Entry Builder'!$L$7)&lt;'Entry Builder'!$E$7),--(INDEX(Sims!$A1581:$BO1581,'Entry Builder'!$L$7)&gt;'Entry Builder'!$E$7)))</f>
        <v/>
      </c>
      <c r="B1581">
        <f>IF('Entry Builder'!$N$8=0,1,IF('Entry Builder'!$D$8="Less",--(INDEX(Sims!$A1581:$BO1581,'Entry Builder'!$L$8)&lt;'Entry Builder'!$E$8),--(INDEX(Sims!$A1581:$BO1581,'Entry Builder'!$L$8)&gt;'Entry Builder'!$E$8)))</f>
        <v/>
      </c>
      <c r="C1581">
        <f>IF('Entry Builder'!$N$9=0,1,IF('Entry Builder'!$D$9="Less",--(INDEX(Sims!$A1581:$BO1581,'Entry Builder'!$L$9)&lt;'Entry Builder'!$E$9),--(INDEX(Sims!$A1581:$BO1581,'Entry Builder'!$L$9)&gt;'Entry Builder'!$E$9)))</f>
        <v/>
      </c>
      <c r="D1581">
        <f>IF('Entry Builder'!$N$10=0,1,IF('Entry Builder'!$D$10="Less",--(INDEX(Sims!$A1581:$BO1581,'Entry Builder'!$L$10)&lt;'Entry Builder'!$E$10),--(INDEX(Sims!$A1581:$BO1581,'Entry Builder'!$L$10)&gt;'Entry Builder'!$E$10)))</f>
        <v/>
      </c>
      <c r="E1581">
        <f>IF('Entry Builder'!$N$11=0,1,IF('Entry Builder'!$D$11="Less",--(INDEX(Sims!$A1581:$BO1581,'Entry Builder'!$L$11)&lt;'Entry Builder'!$E$11),--(INDEX(Sims!$A1581:$BO1581,'Entry Builder'!$L$11)&gt;'Entry Builder'!$E$11)))</f>
        <v/>
      </c>
      <c r="F1581">
        <f>IF('Entry Builder'!$N$12=0,1,IF('Entry Builder'!$D$12="Less",--(INDEX(Sims!$A1581:$BO1581,'Entry Builder'!$L$12)&lt;'Entry Builder'!$E$12),--(INDEX(Sims!$A1581:$BO1581,'Entry Builder'!$L$12)&gt;'Entry Builder'!$E$12)))</f>
        <v/>
      </c>
      <c r="G1581">
        <f>6-SUM(A1581:F1581)</f>
        <v/>
      </c>
    </row>
    <row r="1582">
      <c r="A1582">
        <f>IF('Entry Builder'!$N$7=0,1,IF('Entry Builder'!$D$7="Less",--(INDEX(Sims!$A1582:$BO1582,'Entry Builder'!$L$7)&lt;'Entry Builder'!$E$7),--(INDEX(Sims!$A1582:$BO1582,'Entry Builder'!$L$7)&gt;'Entry Builder'!$E$7)))</f>
        <v/>
      </c>
      <c r="B1582">
        <f>IF('Entry Builder'!$N$8=0,1,IF('Entry Builder'!$D$8="Less",--(INDEX(Sims!$A1582:$BO1582,'Entry Builder'!$L$8)&lt;'Entry Builder'!$E$8),--(INDEX(Sims!$A1582:$BO1582,'Entry Builder'!$L$8)&gt;'Entry Builder'!$E$8)))</f>
        <v/>
      </c>
      <c r="C1582">
        <f>IF('Entry Builder'!$N$9=0,1,IF('Entry Builder'!$D$9="Less",--(INDEX(Sims!$A1582:$BO1582,'Entry Builder'!$L$9)&lt;'Entry Builder'!$E$9),--(INDEX(Sims!$A1582:$BO1582,'Entry Builder'!$L$9)&gt;'Entry Builder'!$E$9)))</f>
        <v/>
      </c>
      <c r="D1582">
        <f>IF('Entry Builder'!$N$10=0,1,IF('Entry Builder'!$D$10="Less",--(INDEX(Sims!$A1582:$BO1582,'Entry Builder'!$L$10)&lt;'Entry Builder'!$E$10),--(INDEX(Sims!$A1582:$BO1582,'Entry Builder'!$L$10)&gt;'Entry Builder'!$E$10)))</f>
        <v/>
      </c>
      <c r="E1582">
        <f>IF('Entry Builder'!$N$11=0,1,IF('Entry Builder'!$D$11="Less",--(INDEX(Sims!$A1582:$BO1582,'Entry Builder'!$L$11)&lt;'Entry Builder'!$E$11),--(INDEX(Sims!$A1582:$BO1582,'Entry Builder'!$L$11)&gt;'Entry Builder'!$E$11)))</f>
        <v/>
      </c>
      <c r="F1582">
        <f>IF('Entry Builder'!$N$12=0,1,IF('Entry Builder'!$D$12="Less",--(INDEX(Sims!$A1582:$BO1582,'Entry Builder'!$L$12)&lt;'Entry Builder'!$E$12),--(INDEX(Sims!$A1582:$BO1582,'Entry Builder'!$L$12)&gt;'Entry Builder'!$E$12)))</f>
        <v/>
      </c>
      <c r="G1582">
        <f>6-SUM(A1582:F1582)</f>
        <v/>
      </c>
    </row>
    <row r="1583">
      <c r="A1583">
        <f>IF('Entry Builder'!$N$7=0,1,IF('Entry Builder'!$D$7="Less",--(INDEX(Sims!$A1583:$BO1583,'Entry Builder'!$L$7)&lt;'Entry Builder'!$E$7),--(INDEX(Sims!$A1583:$BO1583,'Entry Builder'!$L$7)&gt;'Entry Builder'!$E$7)))</f>
        <v/>
      </c>
      <c r="B1583">
        <f>IF('Entry Builder'!$N$8=0,1,IF('Entry Builder'!$D$8="Less",--(INDEX(Sims!$A1583:$BO1583,'Entry Builder'!$L$8)&lt;'Entry Builder'!$E$8),--(INDEX(Sims!$A1583:$BO1583,'Entry Builder'!$L$8)&gt;'Entry Builder'!$E$8)))</f>
        <v/>
      </c>
      <c r="C1583">
        <f>IF('Entry Builder'!$N$9=0,1,IF('Entry Builder'!$D$9="Less",--(INDEX(Sims!$A1583:$BO1583,'Entry Builder'!$L$9)&lt;'Entry Builder'!$E$9),--(INDEX(Sims!$A1583:$BO1583,'Entry Builder'!$L$9)&gt;'Entry Builder'!$E$9)))</f>
        <v/>
      </c>
      <c r="D1583">
        <f>IF('Entry Builder'!$N$10=0,1,IF('Entry Builder'!$D$10="Less",--(INDEX(Sims!$A1583:$BO1583,'Entry Builder'!$L$10)&lt;'Entry Builder'!$E$10),--(INDEX(Sims!$A1583:$BO1583,'Entry Builder'!$L$10)&gt;'Entry Builder'!$E$10)))</f>
        <v/>
      </c>
      <c r="E1583">
        <f>IF('Entry Builder'!$N$11=0,1,IF('Entry Builder'!$D$11="Less",--(INDEX(Sims!$A1583:$BO1583,'Entry Builder'!$L$11)&lt;'Entry Builder'!$E$11),--(INDEX(Sims!$A1583:$BO1583,'Entry Builder'!$L$11)&gt;'Entry Builder'!$E$11)))</f>
        <v/>
      </c>
      <c r="F1583">
        <f>IF('Entry Builder'!$N$12=0,1,IF('Entry Builder'!$D$12="Less",--(INDEX(Sims!$A1583:$BO1583,'Entry Builder'!$L$12)&lt;'Entry Builder'!$E$12),--(INDEX(Sims!$A1583:$BO1583,'Entry Builder'!$L$12)&gt;'Entry Builder'!$E$12)))</f>
        <v/>
      </c>
      <c r="G1583">
        <f>6-SUM(A1583:F1583)</f>
        <v/>
      </c>
    </row>
    <row r="1584">
      <c r="A1584">
        <f>IF('Entry Builder'!$N$7=0,1,IF('Entry Builder'!$D$7="Less",--(INDEX(Sims!$A1584:$BO1584,'Entry Builder'!$L$7)&lt;'Entry Builder'!$E$7),--(INDEX(Sims!$A1584:$BO1584,'Entry Builder'!$L$7)&gt;'Entry Builder'!$E$7)))</f>
        <v/>
      </c>
      <c r="B1584">
        <f>IF('Entry Builder'!$N$8=0,1,IF('Entry Builder'!$D$8="Less",--(INDEX(Sims!$A1584:$BO1584,'Entry Builder'!$L$8)&lt;'Entry Builder'!$E$8),--(INDEX(Sims!$A1584:$BO1584,'Entry Builder'!$L$8)&gt;'Entry Builder'!$E$8)))</f>
        <v/>
      </c>
      <c r="C1584">
        <f>IF('Entry Builder'!$N$9=0,1,IF('Entry Builder'!$D$9="Less",--(INDEX(Sims!$A1584:$BO1584,'Entry Builder'!$L$9)&lt;'Entry Builder'!$E$9),--(INDEX(Sims!$A1584:$BO1584,'Entry Builder'!$L$9)&gt;'Entry Builder'!$E$9)))</f>
        <v/>
      </c>
      <c r="D1584">
        <f>IF('Entry Builder'!$N$10=0,1,IF('Entry Builder'!$D$10="Less",--(INDEX(Sims!$A1584:$BO1584,'Entry Builder'!$L$10)&lt;'Entry Builder'!$E$10),--(INDEX(Sims!$A1584:$BO1584,'Entry Builder'!$L$10)&gt;'Entry Builder'!$E$10)))</f>
        <v/>
      </c>
      <c r="E1584">
        <f>IF('Entry Builder'!$N$11=0,1,IF('Entry Builder'!$D$11="Less",--(INDEX(Sims!$A1584:$BO1584,'Entry Builder'!$L$11)&lt;'Entry Builder'!$E$11),--(INDEX(Sims!$A1584:$BO1584,'Entry Builder'!$L$11)&gt;'Entry Builder'!$E$11)))</f>
        <v/>
      </c>
      <c r="F1584">
        <f>IF('Entry Builder'!$N$12=0,1,IF('Entry Builder'!$D$12="Less",--(INDEX(Sims!$A1584:$BO1584,'Entry Builder'!$L$12)&lt;'Entry Builder'!$E$12),--(INDEX(Sims!$A1584:$BO1584,'Entry Builder'!$L$12)&gt;'Entry Builder'!$E$12)))</f>
        <v/>
      </c>
      <c r="G1584">
        <f>6-SUM(A1584:F1584)</f>
        <v/>
      </c>
    </row>
    <row r="1585">
      <c r="A1585">
        <f>IF('Entry Builder'!$N$7=0,1,IF('Entry Builder'!$D$7="Less",--(INDEX(Sims!$A1585:$BO1585,'Entry Builder'!$L$7)&lt;'Entry Builder'!$E$7),--(INDEX(Sims!$A1585:$BO1585,'Entry Builder'!$L$7)&gt;'Entry Builder'!$E$7)))</f>
        <v/>
      </c>
      <c r="B1585">
        <f>IF('Entry Builder'!$N$8=0,1,IF('Entry Builder'!$D$8="Less",--(INDEX(Sims!$A1585:$BO1585,'Entry Builder'!$L$8)&lt;'Entry Builder'!$E$8),--(INDEX(Sims!$A1585:$BO1585,'Entry Builder'!$L$8)&gt;'Entry Builder'!$E$8)))</f>
        <v/>
      </c>
      <c r="C1585">
        <f>IF('Entry Builder'!$N$9=0,1,IF('Entry Builder'!$D$9="Less",--(INDEX(Sims!$A1585:$BO1585,'Entry Builder'!$L$9)&lt;'Entry Builder'!$E$9),--(INDEX(Sims!$A1585:$BO1585,'Entry Builder'!$L$9)&gt;'Entry Builder'!$E$9)))</f>
        <v/>
      </c>
      <c r="D1585">
        <f>IF('Entry Builder'!$N$10=0,1,IF('Entry Builder'!$D$10="Less",--(INDEX(Sims!$A1585:$BO1585,'Entry Builder'!$L$10)&lt;'Entry Builder'!$E$10),--(INDEX(Sims!$A1585:$BO1585,'Entry Builder'!$L$10)&gt;'Entry Builder'!$E$10)))</f>
        <v/>
      </c>
      <c r="E1585">
        <f>IF('Entry Builder'!$N$11=0,1,IF('Entry Builder'!$D$11="Less",--(INDEX(Sims!$A1585:$BO1585,'Entry Builder'!$L$11)&lt;'Entry Builder'!$E$11),--(INDEX(Sims!$A1585:$BO1585,'Entry Builder'!$L$11)&gt;'Entry Builder'!$E$11)))</f>
        <v/>
      </c>
      <c r="F1585">
        <f>IF('Entry Builder'!$N$12=0,1,IF('Entry Builder'!$D$12="Less",--(INDEX(Sims!$A1585:$BO1585,'Entry Builder'!$L$12)&lt;'Entry Builder'!$E$12),--(INDEX(Sims!$A1585:$BO1585,'Entry Builder'!$L$12)&gt;'Entry Builder'!$E$12)))</f>
        <v/>
      </c>
      <c r="G1585">
        <f>6-SUM(A1585:F1585)</f>
        <v/>
      </c>
    </row>
    <row r="1586">
      <c r="A1586">
        <f>IF('Entry Builder'!$N$7=0,1,IF('Entry Builder'!$D$7="Less",--(INDEX(Sims!$A1586:$BO1586,'Entry Builder'!$L$7)&lt;'Entry Builder'!$E$7),--(INDEX(Sims!$A1586:$BO1586,'Entry Builder'!$L$7)&gt;'Entry Builder'!$E$7)))</f>
        <v/>
      </c>
      <c r="B1586">
        <f>IF('Entry Builder'!$N$8=0,1,IF('Entry Builder'!$D$8="Less",--(INDEX(Sims!$A1586:$BO1586,'Entry Builder'!$L$8)&lt;'Entry Builder'!$E$8),--(INDEX(Sims!$A1586:$BO1586,'Entry Builder'!$L$8)&gt;'Entry Builder'!$E$8)))</f>
        <v/>
      </c>
      <c r="C1586">
        <f>IF('Entry Builder'!$N$9=0,1,IF('Entry Builder'!$D$9="Less",--(INDEX(Sims!$A1586:$BO1586,'Entry Builder'!$L$9)&lt;'Entry Builder'!$E$9),--(INDEX(Sims!$A1586:$BO1586,'Entry Builder'!$L$9)&gt;'Entry Builder'!$E$9)))</f>
        <v/>
      </c>
      <c r="D1586">
        <f>IF('Entry Builder'!$N$10=0,1,IF('Entry Builder'!$D$10="Less",--(INDEX(Sims!$A1586:$BO1586,'Entry Builder'!$L$10)&lt;'Entry Builder'!$E$10),--(INDEX(Sims!$A1586:$BO1586,'Entry Builder'!$L$10)&gt;'Entry Builder'!$E$10)))</f>
        <v/>
      </c>
      <c r="E1586">
        <f>IF('Entry Builder'!$N$11=0,1,IF('Entry Builder'!$D$11="Less",--(INDEX(Sims!$A1586:$BO1586,'Entry Builder'!$L$11)&lt;'Entry Builder'!$E$11),--(INDEX(Sims!$A1586:$BO1586,'Entry Builder'!$L$11)&gt;'Entry Builder'!$E$11)))</f>
        <v/>
      </c>
      <c r="F1586">
        <f>IF('Entry Builder'!$N$12=0,1,IF('Entry Builder'!$D$12="Less",--(INDEX(Sims!$A1586:$BO1586,'Entry Builder'!$L$12)&lt;'Entry Builder'!$E$12),--(INDEX(Sims!$A1586:$BO1586,'Entry Builder'!$L$12)&gt;'Entry Builder'!$E$12)))</f>
        <v/>
      </c>
      <c r="G1586">
        <f>6-SUM(A1586:F1586)</f>
        <v/>
      </c>
    </row>
    <row r="1587">
      <c r="A1587">
        <f>IF('Entry Builder'!$N$7=0,1,IF('Entry Builder'!$D$7="Less",--(INDEX(Sims!$A1587:$BO1587,'Entry Builder'!$L$7)&lt;'Entry Builder'!$E$7),--(INDEX(Sims!$A1587:$BO1587,'Entry Builder'!$L$7)&gt;'Entry Builder'!$E$7)))</f>
        <v/>
      </c>
      <c r="B1587">
        <f>IF('Entry Builder'!$N$8=0,1,IF('Entry Builder'!$D$8="Less",--(INDEX(Sims!$A1587:$BO1587,'Entry Builder'!$L$8)&lt;'Entry Builder'!$E$8),--(INDEX(Sims!$A1587:$BO1587,'Entry Builder'!$L$8)&gt;'Entry Builder'!$E$8)))</f>
        <v/>
      </c>
      <c r="C1587">
        <f>IF('Entry Builder'!$N$9=0,1,IF('Entry Builder'!$D$9="Less",--(INDEX(Sims!$A1587:$BO1587,'Entry Builder'!$L$9)&lt;'Entry Builder'!$E$9),--(INDEX(Sims!$A1587:$BO1587,'Entry Builder'!$L$9)&gt;'Entry Builder'!$E$9)))</f>
        <v/>
      </c>
      <c r="D1587">
        <f>IF('Entry Builder'!$N$10=0,1,IF('Entry Builder'!$D$10="Less",--(INDEX(Sims!$A1587:$BO1587,'Entry Builder'!$L$10)&lt;'Entry Builder'!$E$10),--(INDEX(Sims!$A1587:$BO1587,'Entry Builder'!$L$10)&gt;'Entry Builder'!$E$10)))</f>
        <v/>
      </c>
      <c r="E1587">
        <f>IF('Entry Builder'!$N$11=0,1,IF('Entry Builder'!$D$11="Less",--(INDEX(Sims!$A1587:$BO1587,'Entry Builder'!$L$11)&lt;'Entry Builder'!$E$11),--(INDEX(Sims!$A1587:$BO1587,'Entry Builder'!$L$11)&gt;'Entry Builder'!$E$11)))</f>
        <v/>
      </c>
      <c r="F1587">
        <f>IF('Entry Builder'!$N$12=0,1,IF('Entry Builder'!$D$12="Less",--(INDEX(Sims!$A1587:$BO1587,'Entry Builder'!$L$12)&lt;'Entry Builder'!$E$12),--(INDEX(Sims!$A1587:$BO1587,'Entry Builder'!$L$12)&gt;'Entry Builder'!$E$12)))</f>
        <v/>
      </c>
      <c r="G1587">
        <f>6-SUM(A1587:F1587)</f>
        <v/>
      </c>
    </row>
    <row r="1588">
      <c r="A1588">
        <f>IF('Entry Builder'!$N$7=0,1,IF('Entry Builder'!$D$7="Less",--(INDEX(Sims!$A1588:$BO1588,'Entry Builder'!$L$7)&lt;'Entry Builder'!$E$7),--(INDEX(Sims!$A1588:$BO1588,'Entry Builder'!$L$7)&gt;'Entry Builder'!$E$7)))</f>
        <v/>
      </c>
      <c r="B1588">
        <f>IF('Entry Builder'!$N$8=0,1,IF('Entry Builder'!$D$8="Less",--(INDEX(Sims!$A1588:$BO1588,'Entry Builder'!$L$8)&lt;'Entry Builder'!$E$8),--(INDEX(Sims!$A1588:$BO1588,'Entry Builder'!$L$8)&gt;'Entry Builder'!$E$8)))</f>
        <v/>
      </c>
      <c r="C1588">
        <f>IF('Entry Builder'!$N$9=0,1,IF('Entry Builder'!$D$9="Less",--(INDEX(Sims!$A1588:$BO1588,'Entry Builder'!$L$9)&lt;'Entry Builder'!$E$9),--(INDEX(Sims!$A1588:$BO1588,'Entry Builder'!$L$9)&gt;'Entry Builder'!$E$9)))</f>
        <v/>
      </c>
      <c r="D1588">
        <f>IF('Entry Builder'!$N$10=0,1,IF('Entry Builder'!$D$10="Less",--(INDEX(Sims!$A1588:$BO1588,'Entry Builder'!$L$10)&lt;'Entry Builder'!$E$10),--(INDEX(Sims!$A1588:$BO1588,'Entry Builder'!$L$10)&gt;'Entry Builder'!$E$10)))</f>
        <v/>
      </c>
      <c r="E1588">
        <f>IF('Entry Builder'!$N$11=0,1,IF('Entry Builder'!$D$11="Less",--(INDEX(Sims!$A1588:$BO1588,'Entry Builder'!$L$11)&lt;'Entry Builder'!$E$11),--(INDEX(Sims!$A1588:$BO1588,'Entry Builder'!$L$11)&gt;'Entry Builder'!$E$11)))</f>
        <v/>
      </c>
      <c r="F1588">
        <f>IF('Entry Builder'!$N$12=0,1,IF('Entry Builder'!$D$12="Less",--(INDEX(Sims!$A1588:$BO1588,'Entry Builder'!$L$12)&lt;'Entry Builder'!$E$12),--(INDEX(Sims!$A1588:$BO1588,'Entry Builder'!$L$12)&gt;'Entry Builder'!$E$12)))</f>
        <v/>
      </c>
      <c r="G1588">
        <f>6-SUM(A1588:F1588)</f>
        <v/>
      </c>
    </row>
    <row r="1589">
      <c r="A1589">
        <f>IF('Entry Builder'!$N$7=0,1,IF('Entry Builder'!$D$7="Less",--(INDEX(Sims!$A1589:$BO1589,'Entry Builder'!$L$7)&lt;'Entry Builder'!$E$7),--(INDEX(Sims!$A1589:$BO1589,'Entry Builder'!$L$7)&gt;'Entry Builder'!$E$7)))</f>
        <v/>
      </c>
      <c r="B1589">
        <f>IF('Entry Builder'!$N$8=0,1,IF('Entry Builder'!$D$8="Less",--(INDEX(Sims!$A1589:$BO1589,'Entry Builder'!$L$8)&lt;'Entry Builder'!$E$8),--(INDEX(Sims!$A1589:$BO1589,'Entry Builder'!$L$8)&gt;'Entry Builder'!$E$8)))</f>
        <v/>
      </c>
      <c r="C1589">
        <f>IF('Entry Builder'!$N$9=0,1,IF('Entry Builder'!$D$9="Less",--(INDEX(Sims!$A1589:$BO1589,'Entry Builder'!$L$9)&lt;'Entry Builder'!$E$9),--(INDEX(Sims!$A1589:$BO1589,'Entry Builder'!$L$9)&gt;'Entry Builder'!$E$9)))</f>
        <v/>
      </c>
      <c r="D1589">
        <f>IF('Entry Builder'!$N$10=0,1,IF('Entry Builder'!$D$10="Less",--(INDEX(Sims!$A1589:$BO1589,'Entry Builder'!$L$10)&lt;'Entry Builder'!$E$10),--(INDEX(Sims!$A1589:$BO1589,'Entry Builder'!$L$10)&gt;'Entry Builder'!$E$10)))</f>
        <v/>
      </c>
      <c r="E1589">
        <f>IF('Entry Builder'!$N$11=0,1,IF('Entry Builder'!$D$11="Less",--(INDEX(Sims!$A1589:$BO1589,'Entry Builder'!$L$11)&lt;'Entry Builder'!$E$11),--(INDEX(Sims!$A1589:$BO1589,'Entry Builder'!$L$11)&gt;'Entry Builder'!$E$11)))</f>
        <v/>
      </c>
      <c r="F1589">
        <f>IF('Entry Builder'!$N$12=0,1,IF('Entry Builder'!$D$12="Less",--(INDEX(Sims!$A1589:$BO1589,'Entry Builder'!$L$12)&lt;'Entry Builder'!$E$12),--(INDEX(Sims!$A1589:$BO1589,'Entry Builder'!$L$12)&gt;'Entry Builder'!$E$12)))</f>
        <v/>
      </c>
      <c r="G1589">
        <f>6-SUM(A1589:F1589)</f>
        <v/>
      </c>
    </row>
    <row r="1590">
      <c r="A1590">
        <f>IF('Entry Builder'!$N$7=0,1,IF('Entry Builder'!$D$7="Less",--(INDEX(Sims!$A1590:$BO1590,'Entry Builder'!$L$7)&lt;'Entry Builder'!$E$7),--(INDEX(Sims!$A1590:$BO1590,'Entry Builder'!$L$7)&gt;'Entry Builder'!$E$7)))</f>
        <v/>
      </c>
      <c r="B1590">
        <f>IF('Entry Builder'!$N$8=0,1,IF('Entry Builder'!$D$8="Less",--(INDEX(Sims!$A1590:$BO1590,'Entry Builder'!$L$8)&lt;'Entry Builder'!$E$8),--(INDEX(Sims!$A1590:$BO1590,'Entry Builder'!$L$8)&gt;'Entry Builder'!$E$8)))</f>
        <v/>
      </c>
      <c r="C1590">
        <f>IF('Entry Builder'!$N$9=0,1,IF('Entry Builder'!$D$9="Less",--(INDEX(Sims!$A1590:$BO1590,'Entry Builder'!$L$9)&lt;'Entry Builder'!$E$9),--(INDEX(Sims!$A1590:$BO1590,'Entry Builder'!$L$9)&gt;'Entry Builder'!$E$9)))</f>
        <v/>
      </c>
      <c r="D1590">
        <f>IF('Entry Builder'!$N$10=0,1,IF('Entry Builder'!$D$10="Less",--(INDEX(Sims!$A1590:$BO1590,'Entry Builder'!$L$10)&lt;'Entry Builder'!$E$10),--(INDEX(Sims!$A1590:$BO1590,'Entry Builder'!$L$10)&gt;'Entry Builder'!$E$10)))</f>
        <v/>
      </c>
      <c r="E1590">
        <f>IF('Entry Builder'!$N$11=0,1,IF('Entry Builder'!$D$11="Less",--(INDEX(Sims!$A1590:$BO1590,'Entry Builder'!$L$11)&lt;'Entry Builder'!$E$11),--(INDEX(Sims!$A1590:$BO1590,'Entry Builder'!$L$11)&gt;'Entry Builder'!$E$11)))</f>
        <v/>
      </c>
      <c r="F1590">
        <f>IF('Entry Builder'!$N$12=0,1,IF('Entry Builder'!$D$12="Less",--(INDEX(Sims!$A1590:$BO1590,'Entry Builder'!$L$12)&lt;'Entry Builder'!$E$12),--(INDEX(Sims!$A1590:$BO1590,'Entry Builder'!$L$12)&gt;'Entry Builder'!$E$12)))</f>
        <v/>
      </c>
      <c r="G1590">
        <f>6-SUM(A1590:F1590)</f>
        <v/>
      </c>
    </row>
    <row r="1591">
      <c r="A1591">
        <f>IF('Entry Builder'!$N$7=0,1,IF('Entry Builder'!$D$7="Less",--(INDEX(Sims!$A1591:$BO1591,'Entry Builder'!$L$7)&lt;'Entry Builder'!$E$7),--(INDEX(Sims!$A1591:$BO1591,'Entry Builder'!$L$7)&gt;'Entry Builder'!$E$7)))</f>
        <v/>
      </c>
      <c r="B1591">
        <f>IF('Entry Builder'!$N$8=0,1,IF('Entry Builder'!$D$8="Less",--(INDEX(Sims!$A1591:$BO1591,'Entry Builder'!$L$8)&lt;'Entry Builder'!$E$8),--(INDEX(Sims!$A1591:$BO1591,'Entry Builder'!$L$8)&gt;'Entry Builder'!$E$8)))</f>
        <v/>
      </c>
      <c r="C1591">
        <f>IF('Entry Builder'!$N$9=0,1,IF('Entry Builder'!$D$9="Less",--(INDEX(Sims!$A1591:$BO1591,'Entry Builder'!$L$9)&lt;'Entry Builder'!$E$9),--(INDEX(Sims!$A1591:$BO1591,'Entry Builder'!$L$9)&gt;'Entry Builder'!$E$9)))</f>
        <v/>
      </c>
      <c r="D1591">
        <f>IF('Entry Builder'!$N$10=0,1,IF('Entry Builder'!$D$10="Less",--(INDEX(Sims!$A1591:$BO1591,'Entry Builder'!$L$10)&lt;'Entry Builder'!$E$10),--(INDEX(Sims!$A1591:$BO1591,'Entry Builder'!$L$10)&gt;'Entry Builder'!$E$10)))</f>
        <v/>
      </c>
      <c r="E1591">
        <f>IF('Entry Builder'!$N$11=0,1,IF('Entry Builder'!$D$11="Less",--(INDEX(Sims!$A1591:$BO1591,'Entry Builder'!$L$11)&lt;'Entry Builder'!$E$11),--(INDEX(Sims!$A1591:$BO1591,'Entry Builder'!$L$11)&gt;'Entry Builder'!$E$11)))</f>
        <v/>
      </c>
      <c r="F1591">
        <f>IF('Entry Builder'!$N$12=0,1,IF('Entry Builder'!$D$12="Less",--(INDEX(Sims!$A1591:$BO1591,'Entry Builder'!$L$12)&lt;'Entry Builder'!$E$12),--(INDEX(Sims!$A1591:$BO1591,'Entry Builder'!$L$12)&gt;'Entry Builder'!$E$12)))</f>
        <v/>
      </c>
      <c r="G1591">
        <f>6-SUM(A1591:F1591)</f>
        <v/>
      </c>
    </row>
    <row r="1592">
      <c r="A1592">
        <f>IF('Entry Builder'!$N$7=0,1,IF('Entry Builder'!$D$7="Less",--(INDEX(Sims!$A1592:$BO1592,'Entry Builder'!$L$7)&lt;'Entry Builder'!$E$7),--(INDEX(Sims!$A1592:$BO1592,'Entry Builder'!$L$7)&gt;'Entry Builder'!$E$7)))</f>
        <v/>
      </c>
      <c r="B1592">
        <f>IF('Entry Builder'!$N$8=0,1,IF('Entry Builder'!$D$8="Less",--(INDEX(Sims!$A1592:$BO1592,'Entry Builder'!$L$8)&lt;'Entry Builder'!$E$8),--(INDEX(Sims!$A1592:$BO1592,'Entry Builder'!$L$8)&gt;'Entry Builder'!$E$8)))</f>
        <v/>
      </c>
      <c r="C1592">
        <f>IF('Entry Builder'!$N$9=0,1,IF('Entry Builder'!$D$9="Less",--(INDEX(Sims!$A1592:$BO1592,'Entry Builder'!$L$9)&lt;'Entry Builder'!$E$9),--(INDEX(Sims!$A1592:$BO1592,'Entry Builder'!$L$9)&gt;'Entry Builder'!$E$9)))</f>
        <v/>
      </c>
      <c r="D1592">
        <f>IF('Entry Builder'!$N$10=0,1,IF('Entry Builder'!$D$10="Less",--(INDEX(Sims!$A1592:$BO1592,'Entry Builder'!$L$10)&lt;'Entry Builder'!$E$10),--(INDEX(Sims!$A1592:$BO1592,'Entry Builder'!$L$10)&gt;'Entry Builder'!$E$10)))</f>
        <v/>
      </c>
      <c r="E1592">
        <f>IF('Entry Builder'!$N$11=0,1,IF('Entry Builder'!$D$11="Less",--(INDEX(Sims!$A1592:$BO1592,'Entry Builder'!$L$11)&lt;'Entry Builder'!$E$11),--(INDEX(Sims!$A1592:$BO1592,'Entry Builder'!$L$11)&gt;'Entry Builder'!$E$11)))</f>
        <v/>
      </c>
      <c r="F1592">
        <f>IF('Entry Builder'!$N$12=0,1,IF('Entry Builder'!$D$12="Less",--(INDEX(Sims!$A1592:$BO1592,'Entry Builder'!$L$12)&lt;'Entry Builder'!$E$12),--(INDEX(Sims!$A1592:$BO1592,'Entry Builder'!$L$12)&gt;'Entry Builder'!$E$12)))</f>
        <v/>
      </c>
      <c r="G1592">
        <f>6-SUM(A1592:F1592)</f>
        <v/>
      </c>
    </row>
    <row r="1593">
      <c r="A1593">
        <f>IF('Entry Builder'!$N$7=0,1,IF('Entry Builder'!$D$7="Less",--(INDEX(Sims!$A1593:$BO1593,'Entry Builder'!$L$7)&lt;'Entry Builder'!$E$7),--(INDEX(Sims!$A1593:$BO1593,'Entry Builder'!$L$7)&gt;'Entry Builder'!$E$7)))</f>
        <v/>
      </c>
      <c r="B1593">
        <f>IF('Entry Builder'!$N$8=0,1,IF('Entry Builder'!$D$8="Less",--(INDEX(Sims!$A1593:$BO1593,'Entry Builder'!$L$8)&lt;'Entry Builder'!$E$8),--(INDEX(Sims!$A1593:$BO1593,'Entry Builder'!$L$8)&gt;'Entry Builder'!$E$8)))</f>
        <v/>
      </c>
      <c r="C1593">
        <f>IF('Entry Builder'!$N$9=0,1,IF('Entry Builder'!$D$9="Less",--(INDEX(Sims!$A1593:$BO1593,'Entry Builder'!$L$9)&lt;'Entry Builder'!$E$9),--(INDEX(Sims!$A1593:$BO1593,'Entry Builder'!$L$9)&gt;'Entry Builder'!$E$9)))</f>
        <v/>
      </c>
      <c r="D1593">
        <f>IF('Entry Builder'!$N$10=0,1,IF('Entry Builder'!$D$10="Less",--(INDEX(Sims!$A1593:$BO1593,'Entry Builder'!$L$10)&lt;'Entry Builder'!$E$10),--(INDEX(Sims!$A1593:$BO1593,'Entry Builder'!$L$10)&gt;'Entry Builder'!$E$10)))</f>
        <v/>
      </c>
      <c r="E1593">
        <f>IF('Entry Builder'!$N$11=0,1,IF('Entry Builder'!$D$11="Less",--(INDEX(Sims!$A1593:$BO1593,'Entry Builder'!$L$11)&lt;'Entry Builder'!$E$11),--(INDEX(Sims!$A1593:$BO1593,'Entry Builder'!$L$11)&gt;'Entry Builder'!$E$11)))</f>
        <v/>
      </c>
      <c r="F1593">
        <f>IF('Entry Builder'!$N$12=0,1,IF('Entry Builder'!$D$12="Less",--(INDEX(Sims!$A1593:$BO1593,'Entry Builder'!$L$12)&lt;'Entry Builder'!$E$12),--(INDEX(Sims!$A1593:$BO1593,'Entry Builder'!$L$12)&gt;'Entry Builder'!$E$12)))</f>
        <v/>
      </c>
      <c r="G1593">
        <f>6-SUM(A1593:F1593)</f>
        <v/>
      </c>
    </row>
    <row r="1594">
      <c r="A1594">
        <f>IF('Entry Builder'!$N$7=0,1,IF('Entry Builder'!$D$7="Less",--(INDEX(Sims!$A1594:$BO1594,'Entry Builder'!$L$7)&lt;'Entry Builder'!$E$7),--(INDEX(Sims!$A1594:$BO1594,'Entry Builder'!$L$7)&gt;'Entry Builder'!$E$7)))</f>
        <v/>
      </c>
      <c r="B1594">
        <f>IF('Entry Builder'!$N$8=0,1,IF('Entry Builder'!$D$8="Less",--(INDEX(Sims!$A1594:$BO1594,'Entry Builder'!$L$8)&lt;'Entry Builder'!$E$8),--(INDEX(Sims!$A1594:$BO1594,'Entry Builder'!$L$8)&gt;'Entry Builder'!$E$8)))</f>
        <v/>
      </c>
      <c r="C1594">
        <f>IF('Entry Builder'!$N$9=0,1,IF('Entry Builder'!$D$9="Less",--(INDEX(Sims!$A1594:$BO1594,'Entry Builder'!$L$9)&lt;'Entry Builder'!$E$9),--(INDEX(Sims!$A1594:$BO1594,'Entry Builder'!$L$9)&gt;'Entry Builder'!$E$9)))</f>
        <v/>
      </c>
      <c r="D1594">
        <f>IF('Entry Builder'!$N$10=0,1,IF('Entry Builder'!$D$10="Less",--(INDEX(Sims!$A1594:$BO1594,'Entry Builder'!$L$10)&lt;'Entry Builder'!$E$10),--(INDEX(Sims!$A1594:$BO1594,'Entry Builder'!$L$10)&gt;'Entry Builder'!$E$10)))</f>
        <v/>
      </c>
      <c r="E1594">
        <f>IF('Entry Builder'!$N$11=0,1,IF('Entry Builder'!$D$11="Less",--(INDEX(Sims!$A1594:$BO1594,'Entry Builder'!$L$11)&lt;'Entry Builder'!$E$11),--(INDEX(Sims!$A1594:$BO1594,'Entry Builder'!$L$11)&gt;'Entry Builder'!$E$11)))</f>
        <v/>
      </c>
      <c r="F1594">
        <f>IF('Entry Builder'!$N$12=0,1,IF('Entry Builder'!$D$12="Less",--(INDEX(Sims!$A1594:$BO1594,'Entry Builder'!$L$12)&lt;'Entry Builder'!$E$12),--(INDEX(Sims!$A1594:$BO1594,'Entry Builder'!$L$12)&gt;'Entry Builder'!$E$12)))</f>
        <v/>
      </c>
      <c r="G1594">
        <f>6-SUM(A1594:F1594)</f>
        <v/>
      </c>
    </row>
    <row r="1595">
      <c r="A1595">
        <f>IF('Entry Builder'!$N$7=0,1,IF('Entry Builder'!$D$7="Less",--(INDEX(Sims!$A1595:$BO1595,'Entry Builder'!$L$7)&lt;'Entry Builder'!$E$7),--(INDEX(Sims!$A1595:$BO1595,'Entry Builder'!$L$7)&gt;'Entry Builder'!$E$7)))</f>
        <v/>
      </c>
      <c r="B1595">
        <f>IF('Entry Builder'!$N$8=0,1,IF('Entry Builder'!$D$8="Less",--(INDEX(Sims!$A1595:$BO1595,'Entry Builder'!$L$8)&lt;'Entry Builder'!$E$8),--(INDEX(Sims!$A1595:$BO1595,'Entry Builder'!$L$8)&gt;'Entry Builder'!$E$8)))</f>
        <v/>
      </c>
      <c r="C1595">
        <f>IF('Entry Builder'!$N$9=0,1,IF('Entry Builder'!$D$9="Less",--(INDEX(Sims!$A1595:$BO1595,'Entry Builder'!$L$9)&lt;'Entry Builder'!$E$9),--(INDEX(Sims!$A1595:$BO1595,'Entry Builder'!$L$9)&gt;'Entry Builder'!$E$9)))</f>
        <v/>
      </c>
      <c r="D1595">
        <f>IF('Entry Builder'!$N$10=0,1,IF('Entry Builder'!$D$10="Less",--(INDEX(Sims!$A1595:$BO1595,'Entry Builder'!$L$10)&lt;'Entry Builder'!$E$10),--(INDEX(Sims!$A1595:$BO1595,'Entry Builder'!$L$10)&gt;'Entry Builder'!$E$10)))</f>
        <v/>
      </c>
      <c r="E1595">
        <f>IF('Entry Builder'!$N$11=0,1,IF('Entry Builder'!$D$11="Less",--(INDEX(Sims!$A1595:$BO1595,'Entry Builder'!$L$11)&lt;'Entry Builder'!$E$11),--(INDEX(Sims!$A1595:$BO1595,'Entry Builder'!$L$11)&gt;'Entry Builder'!$E$11)))</f>
        <v/>
      </c>
      <c r="F1595">
        <f>IF('Entry Builder'!$N$12=0,1,IF('Entry Builder'!$D$12="Less",--(INDEX(Sims!$A1595:$BO1595,'Entry Builder'!$L$12)&lt;'Entry Builder'!$E$12),--(INDEX(Sims!$A1595:$BO1595,'Entry Builder'!$L$12)&gt;'Entry Builder'!$E$12)))</f>
        <v/>
      </c>
      <c r="G1595">
        <f>6-SUM(A1595:F1595)</f>
        <v/>
      </c>
    </row>
    <row r="1596">
      <c r="A1596">
        <f>IF('Entry Builder'!$N$7=0,1,IF('Entry Builder'!$D$7="Less",--(INDEX(Sims!$A1596:$BO1596,'Entry Builder'!$L$7)&lt;'Entry Builder'!$E$7),--(INDEX(Sims!$A1596:$BO1596,'Entry Builder'!$L$7)&gt;'Entry Builder'!$E$7)))</f>
        <v/>
      </c>
      <c r="B1596">
        <f>IF('Entry Builder'!$N$8=0,1,IF('Entry Builder'!$D$8="Less",--(INDEX(Sims!$A1596:$BO1596,'Entry Builder'!$L$8)&lt;'Entry Builder'!$E$8),--(INDEX(Sims!$A1596:$BO1596,'Entry Builder'!$L$8)&gt;'Entry Builder'!$E$8)))</f>
        <v/>
      </c>
      <c r="C1596">
        <f>IF('Entry Builder'!$N$9=0,1,IF('Entry Builder'!$D$9="Less",--(INDEX(Sims!$A1596:$BO1596,'Entry Builder'!$L$9)&lt;'Entry Builder'!$E$9),--(INDEX(Sims!$A1596:$BO1596,'Entry Builder'!$L$9)&gt;'Entry Builder'!$E$9)))</f>
        <v/>
      </c>
      <c r="D1596">
        <f>IF('Entry Builder'!$N$10=0,1,IF('Entry Builder'!$D$10="Less",--(INDEX(Sims!$A1596:$BO1596,'Entry Builder'!$L$10)&lt;'Entry Builder'!$E$10),--(INDEX(Sims!$A1596:$BO1596,'Entry Builder'!$L$10)&gt;'Entry Builder'!$E$10)))</f>
        <v/>
      </c>
      <c r="E1596">
        <f>IF('Entry Builder'!$N$11=0,1,IF('Entry Builder'!$D$11="Less",--(INDEX(Sims!$A1596:$BO1596,'Entry Builder'!$L$11)&lt;'Entry Builder'!$E$11),--(INDEX(Sims!$A1596:$BO1596,'Entry Builder'!$L$11)&gt;'Entry Builder'!$E$11)))</f>
        <v/>
      </c>
      <c r="F1596">
        <f>IF('Entry Builder'!$N$12=0,1,IF('Entry Builder'!$D$12="Less",--(INDEX(Sims!$A1596:$BO1596,'Entry Builder'!$L$12)&lt;'Entry Builder'!$E$12),--(INDEX(Sims!$A1596:$BO1596,'Entry Builder'!$L$12)&gt;'Entry Builder'!$E$12)))</f>
        <v/>
      </c>
      <c r="G1596">
        <f>6-SUM(A1596:F1596)</f>
        <v/>
      </c>
    </row>
    <row r="1597">
      <c r="A1597">
        <f>IF('Entry Builder'!$N$7=0,1,IF('Entry Builder'!$D$7="Less",--(INDEX(Sims!$A1597:$BO1597,'Entry Builder'!$L$7)&lt;'Entry Builder'!$E$7),--(INDEX(Sims!$A1597:$BO1597,'Entry Builder'!$L$7)&gt;'Entry Builder'!$E$7)))</f>
        <v/>
      </c>
      <c r="B1597">
        <f>IF('Entry Builder'!$N$8=0,1,IF('Entry Builder'!$D$8="Less",--(INDEX(Sims!$A1597:$BO1597,'Entry Builder'!$L$8)&lt;'Entry Builder'!$E$8),--(INDEX(Sims!$A1597:$BO1597,'Entry Builder'!$L$8)&gt;'Entry Builder'!$E$8)))</f>
        <v/>
      </c>
      <c r="C1597">
        <f>IF('Entry Builder'!$N$9=0,1,IF('Entry Builder'!$D$9="Less",--(INDEX(Sims!$A1597:$BO1597,'Entry Builder'!$L$9)&lt;'Entry Builder'!$E$9),--(INDEX(Sims!$A1597:$BO1597,'Entry Builder'!$L$9)&gt;'Entry Builder'!$E$9)))</f>
        <v/>
      </c>
      <c r="D1597">
        <f>IF('Entry Builder'!$N$10=0,1,IF('Entry Builder'!$D$10="Less",--(INDEX(Sims!$A1597:$BO1597,'Entry Builder'!$L$10)&lt;'Entry Builder'!$E$10),--(INDEX(Sims!$A1597:$BO1597,'Entry Builder'!$L$10)&gt;'Entry Builder'!$E$10)))</f>
        <v/>
      </c>
      <c r="E1597">
        <f>IF('Entry Builder'!$N$11=0,1,IF('Entry Builder'!$D$11="Less",--(INDEX(Sims!$A1597:$BO1597,'Entry Builder'!$L$11)&lt;'Entry Builder'!$E$11),--(INDEX(Sims!$A1597:$BO1597,'Entry Builder'!$L$11)&gt;'Entry Builder'!$E$11)))</f>
        <v/>
      </c>
      <c r="F1597">
        <f>IF('Entry Builder'!$N$12=0,1,IF('Entry Builder'!$D$12="Less",--(INDEX(Sims!$A1597:$BO1597,'Entry Builder'!$L$12)&lt;'Entry Builder'!$E$12),--(INDEX(Sims!$A1597:$BO1597,'Entry Builder'!$L$12)&gt;'Entry Builder'!$E$12)))</f>
        <v/>
      </c>
      <c r="G1597">
        <f>6-SUM(A1597:F1597)</f>
        <v/>
      </c>
    </row>
    <row r="1598">
      <c r="A1598">
        <f>IF('Entry Builder'!$N$7=0,1,IF('Entry Builder'!$D$7="Less",--(INDEX(Sims!$A1598:$BO1598,'Entry Builder'!$L$7)&lt;'Entry Builder'!$E$7),--(INDEX(Sims!$A1598:$BO1598,'Entry Builder'!$L$7)&gt;'Entry Builder'!$E$7)))</f>
        <v/>
      </c>
      <c r="B1598">
        <f>IF('Entry Builder'!$N$8=0,1,IF('Entry Builder'!$D$8="Less",--(INDEX(Sims!$A1598:$BO1598,'Entry Builder'!$L$8)&lt;'Entry Builder'!$E$8),--(INDEX(Sims!$A1598:$BO1598,'Entry Builder'!$L$8)&gt;'Entry Builder'!$E$8)))</f>
        <v/>
      </c>
      <c r="C1598">
        <f>IF('Entry Builder'!$N$9=0,1,IF('Entry Builder'!$D$9="Less",--(INDEX(Sims!$A1598:$BO1598,'Entry Builder'!$L$9)&lt;'Entry Builder'!$E$9),--(INDEX(Sims!$A1598:$BO1598,'Entry Builder'!$L$9)&gt;'Entry Builder'!$E$9)))</f>
        <v/>
      </c>
      <c r="D1598">
        <f>IF('Entry Builder'!$N$10=0,1,IF('Entry Builder'!$D$10="Less",--(INDEX(Sims!$A1598:$BO1598,'Entry Builder'!$L$10)&lt;'Entry Builder'!$E$10),--(INDEX(Sims!$A1598:$BO1598,'Entry Builder'!$L$10)&gt;'Entry Builder'!$E$10)))</f>
        <v/>
      </c>
      <c r="E1598">
        <f>IF('Entry Builder'!$N$11=0,1,IF('Entry Builder'!$D$11="Less",--(INDEX(Sims!$A1598:$BO1598,'Entry Builder'!$L$11)&lt;'Entry Builder'!$E$11),--(INDEX(Sims!$A1598:$BO1598,'Entry Builder'!$L$11)&gt;'Entry Builder'!$E$11)))</f>
        <v/>
      </c>
      <c r="F1598">
        <f>IF('Entry Builder'!$N$12=0,1,IF('Entry Builder'!$D$12="Less",--(INDEX(Sims!$A1598:$BO1598,'Entry Builder'!$L$12)&lt;'Entry Builder'!$E$12),--(INDEX(Sims!$A1598:$BO1598,'Entry Builder'!$L$12)&gt;'Entry Builder'!$E$12)))</f>
        <v/>
      </c>
      <c r="G1598">
        <f>6-SUM(A1598:F1598)</f>
        <v/>
      </c>
    </row>
    <row r="1599">
      <c r="A1599">
        <f>IF('Entry Builder'!$N$7=0,1,IF('Entry Builder'!$D$7="Less",--(INDEX(Sims!$A1599:$BO1599,'Entry Builder'!$L$7)&lt;'Entry Builder'!$E$7),--(INDEX(Sims!$A1599:$BO1599,'Entry Builder'!$L$7)&gt;'Entry Builder'!$E$7)))</f>
        <v/>
      </c>
      <c r="B1599">
        <f>IF('Entry Builder'!$N$8=0,1,IF('Entry Builder'!$D$8="Less",--(INDEX(Sims!$A1599:$BO1599,'Entry Builder'!$L$8)&lt;'Entry Builder'!$E$8),--(INDEX(Sims!$A1599:$BO1599,'Entry Builder'!$L$8)&gt;'Entry Builder'!$E$8)))</f>
        <v/>
      </c>
      <c r="C1599">
        <f>IF('Entry Builder'!$N$9=0,1,IF('Entry Builder'!$D$9="Less",--(INDEX(Sims!$A1599:$BO1599,'Entry Builder'!$L$9)&lt;'Entry Builder'!$E$9),--(INDEX(Sims!$A1599:$BO1599,'Entry Builder'!$L$9)&gt;'Entry Builder'!$E$9)))</f>
        <v/>
      </c>
      <c r="D1599">
        <f>IF('Entry Builder'!$N$10=0,1,IF('Entry Builder'!$D$10="Less",--(INDEX(Sims!$A1599:$BO1599,'Entry Builder'!$L$10)&lt;'Entry Builder'!$E$10),--(INDEX(Sims!$A1599:$BO1599,'Entry Builder'!$L$10)&gt;'Entry Builder'!$E$10)))</f>
        <v/>
      </c>
      <c r="E1599">
        <f>IF('Entry Builder'!$N$11=0,1,IF('Entry Builder'!$D$11="Less",--(INDEX(Sims!$A1599:$BO1599,'Entry Builder'!$L$11)&lt;'Entry Builder'!$E$11),--(INDEX(Sims!$A1599:$BO1599,'Entry Builder'!$L$11)&gt;'Entry Builder'!$E$11)))</f>
        <v/>
      </c>
      <c r="F1599">
        <f>IF('Entry Builder'!$N$12=0,1,IF('Entry Builder'!$D$12="Less",--(INDEX(Sims!$A1599:$BO1599,'Entry Builder'!$L$12)&lt;'Entry Builder'!$E$12),--(INDEX(Sims!$A1599:$BO1599,'Entry Builder'!$L$12)&gt;'Entry Builder'!$E$12)))</f>
        <v/>
      </c>
      <c r="G1599">
        <f>6-SUM(A1599:F1599)</f>
        <v/>
      </c>
    </row>
    <row r="1600">
      <c r="A1600">
        <f>IF('Entry Builder'!$N$7=0,1,IF('Entry Builder'!$D$7="Less",--(INDEX(Sims!$A1600:$BO1600,'Entry Builder'!$L$7)&lt;'Entry Builder'!$E$7),--(INDEX(Sims!$A1600:$BO1600,'Entry Builder'!$L$7)&gt;'Entry Builder'!$E$7)))</f>
        <v/>
      </c>
      <c r="B1600">
        <f>IF('Entry Builder'!$N$8=0,1,IF('Entry Builder'!$D$8="Less",--(INDEX(Sims!$A1600:$BO1600,'Entry Builder'!$L$8)&lt;'Entry Builder'!$E$8),--(INDEX(Sims!$A1600:$BO1600,'Entry Builder'!$L$8)&gt;'Entry Builder'!$E$8)))</f>
        <v/>
      </c>
      <c r="C1600">
        <f>IF('Entry Builder'!$N$9=0,1,IF('Entry Builder'!$D$9="Less",--(INDEX(Sims!$A1600:$BO1600,'Entry Builder'!$L$9)&lt;'Entry Builder'!$E$9),--(INDEX(Sims!$A1600:$BO1600,'Entry Builder'!$L$9)&gt;'Entry Builder'!$E$9)))</f>
        <v/>
      </c>
      <c r="D1600">
        <f>IF('Entry Builder'!$N$10=0,1,IF('Entry Builder'!$D$10="Less",--(INDEX(Sims!$A1600:$BO1600,'Entry Builder'!$L$10)&lt;'Entry Builder'!$E$10),--(INDEX(Sims!$A1600:$BO1600,'Entry Builder'!$L$10)&gt;'Entry Builder'!$E$10)))</f>
        <v/>
      </c>
      <c r="E1600">
        <f>IF('Entry Builder'!$N$11=0,1,IF('Entry Builder'!$D$11="Less",--(INDEX(Sims!$A1600:$BO1600,'Entry Builder'!$L$11)&lt;'Entry Builder'!$E$11),--(INDEX(Sims!$A1600:$BO1600,'Entry Builder'!$L$11)&gt;'Entry Builder'!$E$11)))</f>
        <v/>
      </c>
      <c r="F1600">
        <f>IF('Entry Builder'!$N$12=0,1,IF('Entry Builder'!$D$12="Less",--(INDEX(Sims!$A1600:$BO1600,'Entry Builder'!$L$12)&lt;'Entry Builder'!$E$12),--(INDEX(Sims!$A1600:$BO1600,'Entry Builder'!$L$12)&gt;'Entry Builder'!$E$12)))</f>
        <v/>
      </c>
      <c r="G1600">
        <f>6-SUM(A1600:F1600)</f>
        <v/>
      </c>
    </row>
    <row r="1601">
      <c r="A1601">
        <f>IF('Entry Builder'!$N$7=0,1,IF('Entry Builder'!$D$7="Less",--(INDEX(Sims!$A1601:$BO1601,'Entry Builder'!$L$7)&lt;'Entry Builder'!$E$7),--(INDEX(Sims!$A1601:$BO1601,'Entry Builder'!$L$7)&gt;'Entry Builder'!$E$7)))</f>
        <v/>
      </c>
      <c r="B1601">
        <f>IF('Entry Builder'!$N$8=0,1,IF('Entry Builder'!$D$8="Less",--(INDEX(Sims!$A1601:$BO1601,'Entry Builder'!$L$8)&lt;'Entry Builder'!$E$8),--(INDEX(Sims!$A1601:$BO1601,'Entry Builder'!$L$8)&gt;'Entry Builder'!$E$8)))</f>
        <v/>
      </c>
      <c r="C1601">
        <f>IF('Entry Builder'!$N$9=0,1,IF('Entry Builder'!$D$9="Less",--(INDEX(Sims!$A1601:$BO1601,'Entry Builder'!$L$9)&lt;'Entry Builder'!$E$9),--(INDEX(Sims!$A1601:$BO1601,'Entry Builder'!$L$9)&gt;'Entry Builder'!$E$9)))</f>
        <v/>
      </c>
      <c r="D1601">
        <f>IF('Entry Builder'!$N$10=0,1,IF('Entry Builder'!$D$10="Less",--(INDEX(Sims!$A1601:$BO1601,'Entry Builder'!$L$10)&lt;'Entry Builder'!$E$10),--(INDEX(Sims!$A1601:$BO1601,'Entry Builder'!$L$10)&gt;'Entry Builder'!$E$10)))</f>
        <v/>
      </c>
      <c r="E1601">
        <f>IF('Entry Builder'!$N$11=0,1,IF('Entry Builder'!$D$11="Less",--(INDEX(Sims!$A1601:$BO1601,'Entry Builder'!$L$11)&lt;'Entry Builder'!$E$11),--(INDEX(Sims!$A1601:$BO1601,'Entry Builder'!$L$11)&gt;'Entry Builder'!$E$11)))</f>
        <v/>
      </c>
      <c r="F1601">
        <f>IF('Entry Builder'!$N$12=0,1,IF('Entry Builder'!$D$12="Less",--(INDEX(Sims!$A1601:$BO1601,'Entry Builder'!$L$12)&lt;'Entry Builder'!$E$12),--(INDEX(Sims!$A1601:$BO1601,'Entry Builder'!$L$12)&gt;'Entry Builder'!$E$12)))</f>
        <v/>
      </c>
      <c r="G1601">
        <f>6-SUM(A1601:F1601)</f>
        <v/>
      </c>
    </row>
    <row r="1602">
      <c r="A1602">
        <f>IF('Entry Builder'!$N$7=0,1,IF('Entry Builder'!$D$7="Less",--(INDEX(Sims!$A1602:$BO1602,'Entry Builder'!$L$7)&lt;'Entry Builder'!$E$7),--(INDEX(Sims!$A1602:$BO1602,'Entry Builder'!$L$7)&gt;'Entry Builder'!$E$7)))</f>
        <v/>
      </c>
      <c r="B1602">
        <f>IF('Entry Builder'!$N$8=0,1,IF('Entry Builder'!$D$8="Less",--(INDEX(Sims!$A1602:$BO1602,'Entry Builder'!$L$8)&lt;'Entry Builder'!$E$8),--(INDEX(Sims!$A1602:$BO1602,'Entry Builder'!$L$8)&gt;'Entry Builder'!$E$8)))</f>
        <v/>
      </c>
      <c r="C1602">
        <f>IF('Entry Builder'!$N$9=0,1,IF('Entry Builder'!$D$9="Less",--(INDEX(Sims!$A1602:$BO1602,'Entry Builder'!$L$9)&lt;'Entry Builder'!$E$9),--(INDEX(Sims!$A1602:$BO1602,'Entry Builder'!$L$9)&gt;'Entry Builder'!$E$9)))</f>
        <v/>
      </c>
      <c r="D1602">
        <f>IF('Entry Builder'!$N$10=0,1,IF('Entry Builder'!$D$10="Less",--(INDEX(Sims!$A1602:$BO1602,'Entry Builder'!$L$10)&lt;'Entry Builder'!$E$10),--(INDEX(Sims!$A1602:$BO1602,'Entry Builder'!$L$10)&gt;'Entry Builder'!$E$10)))</f>
        <v/>
      </c>
      <c r="E1602">
        <f>IF('Entry Builder'!$N$11=0,1,IF('Entry Builder'!$D$11="Less",--(INDEX(Sims!$A1602:$BO1602,'Entry Builder'!$L$11)&lt;'Entry Builder'!$E$11),--(INDEX(Sims!$A1602:$BO1602,'Entry Builder'!$L$11)&gt;'Entry Builder'!$E$11)))</f>
        <v/>
      </c>
      <c r="F1602">
        <f>IF('Entry Builder'!$N$12=0,1,IF('Entry Builder'!$D$12="Less",--(INDEX(Sims!$A1602:$BO1602,'Entry Builder'!$L$12)&lt;'Entry Builder'!$E$12),--(INDEX(Sims!$A1602:$BO1602,'Entry Builder'!$L$12)&gt;'Entry Builder'!$E$12)))</f>
        <v/>
      </c>
      <c r="G1602">
        <f>6-SUM(A1602:F1602)</f>
        <v/>
      </c>
    </row>
    <row r="1603">
      <c r="A1603">
        <f>IF('Entry Builder'!$N$7=0,1,IF('Entry Builder'!$D$7="Less",--(INDEX(Sims!$A1603:$BO1603,'Entry Builder'!$L$7)&lt;'Entry Builder'!$E$7),--(INDEX(Sims!$A1603:$BO1603,'Entry Builder'!$L$7)&gt;'Entry Builder'!$E$7)))</f>
        <v/>
      </c>
      <c r="B1603">
        <f>IF('Entry Builder'!$N$8=0,1,IF('Entry Builder'!$D$8="Less",--(INDEX(Sims!$A1603:$BO1603,'Entry Builder'!$L$8)&lt;'Entry Builder'!$E$8),--(INDEX(Sims!$A1603:$BO1603,'Entry Builder'!$L$8)&gt;'Entry Builder'!$E$8)))</f>
        <v/>
      </c>
      <c r="C1603">
        <f>IF('Entry Builder'!$N$9=0,1,IF('Entry Builder'!$D$9="Less",--(INDEX(Sims!$A1603:$BO1603,'Entry Builder'!$L$9)&lt;'Entry Builder'!$E$9),--(INDEX(Sims!$A1603:$BO1603,'Entry Builder'!$L$9)&gt;'Entry Builder'!$E$9)))</f>
        <v/>
      </c>
      <c r="D1603">
        <f>IF('Entry Builder'!$N$10=0,1,IF('Entry Builder'!$D$10="Less",--(INDEX(Sims!$A1603:$BO1603,'Entry Builder'!$L$10)&lt;'Entry Builder'!$E$10),--(INDEX(Sims!$A1603:$BO1603,'Entry Builder'!$L$10)&gt;'Entry Builder'!$E$10)))</f>
        <v/>
      </c>
      <c r="E1603">
        <f>IF('Entry Builder'!$N$11=0,1,IF('Entry Builder'!$D$11="Less",--(INDEX(Sims!$A1603:$BO1603,'Entry Builder'!$L$11)&lt;'Entry Builder'!$E$11),--(INDEX(Sims!$A1603:$BO1603,'Entry Builder'!$L$11)&gt;'Entry Builder'!$E$11)))</f>
        <v/>
      </c>
      <c r="F1603">
        <f>IF('Entry Builder'!$N$12=0,1,IF('Entry Builder'!$D$12="Less",--(INDEX(Sims!$A1603:$BO1603,'Entry Builder'!$L$12)&lt;'Entry Builder'!$E$12),--(INDEX(Sims!$A1603:$BO1603,'Entry Builder'!$L$12)&gt;'Entry Builder'!$E$12)))</f>
        <v/>
      </c>
      <c r="G1603">
        <f>6-SUM(A1603:F1603)</f>
        <v/>
      </c>
    </row>
    <row r="1604">
      <c r="A1604">
        <f>IF('Entry Builder'!$N$7=0,1,IF('Entry Builder'!$D$7="Less",--(INDEX(Sims!$A1604:$BO1604,'Entry Builder'!$L$7)&lt;'Entry Builder'!$E$7),--(INDEX(Sims!$A1604:$BO1604,'Entry Builder'!$L$7)&gt;'Entry Builder'!$E$7)))</f>
        <v/>
      </c>
      <c r="B1604">
        <f>IF('Entry Builder'!$N$8=0,1,IF('Entry Builder'!$D$8="Less",--(INDEX(Sims!$A1604:$BO1604,'Entry Builder'!$L$8)&lt;'Entry Builder'!$E$8),--(INDEX(Sims!$A1604:$BO1604,'Entry Builder'!$L$8)&gt;'Entry Builder'!$E$8)))</f>
        <v/>
      </c>
      <c r="C1604">
        <f>IF('Entry Builder'!$N$9=0,1,IF('Entry Builder'!$D$9="Less",--(INDEX(Sims!$A1604:$BO1604,'Entry Builder'!$L$9)&lt;'Entry Builder'!$E$9),--(INDEX(Sims!$A1604:$BO1604,'Entry Builder'!$L$9)&gt;'Entry Builder'!$E$9)))</f>
        <v/>
      </c>
      <c r="D1604">
        <f>IF('Entry Builder'!$N$10=0,1,IF('Entry Builder'!$D$10="Less",--(INDEX(Sims!$A1604:$BO1604,'Entry Builder'!$L$10)&lt;'Entry Builder'!$E$10),--(INDEX(Sims!$A1604:$BO1604,'Entry Builder'!$L$10)&gt;'Entry Builder'!$E$10)))</f>
        <v/>
      </c>
      <c r="E1604">
        <f>IF('Entry Builder'!$N$11=0,1,IF('Entry Builder'!$D$11="Less",--(INDEX(Sims!$A1604:$BO1604,'Entry Builder'!$L$11)&lt;'Entry Builder'!$E$11),--(INDEX(Sims!$A1604:$BO1604,'Entry Builder'!$L$11)&gt;'Entry Builder'!$E$11)))</f>
        <v/>
      </c>
      <c r="F1604">
        <f>IF('Entry Builder'!$N$12=0,1,IF('Entry Builder'!$D$12="Less",--(INDEX(Sims!$A1604:$BO1604,'Entry Builder'!$L$12)&lt;'Entry Builder'!$E$12),--(INDEX(Sims!$A1604:$BO1604,'Entry Builder'!$L$12)&gt;'Entry Builder'!$E$12)))</f>
        <v/>
      </c>
      <c r="G1604">
        <f>6-SUM(A1604:F1604)</f>
        <v/>
      </c>
    </row>
    <row r="1605">
      <c r="A1605">
        <f>IF('Entry Builder'!$N$7=0,1,IF('Entry Builder'!$D$7="Less",--(INDEX(Sims!$A1605:$BO1605,'Entry Builder'!$L$7)&lt;'Entry Builder'!$E$7),--(INDEX(Sims!$A1605:$BO1605,'Entry Builder'!$L$7)&gt;'Entry Builder'!$E$7)))</f>
        <v/>
      </c>
      <c r="B1605">
        <f>IF('Entry Builder'!$N$8=0,1,IF('Entry Builder'!$D$8="Less",--(INDEX(Sims!$A1605:$BO1605,'Entry Builder'!$L$8)&lt;'Entry Builder'!$E$8),--(INDEX(Sims!$A1605:$BO1605,'Entry Builder'!$L$8)&gt;'Entry Builder'!$E$8)))</f>
        <v/>
      </c>
      <c r="C1605">
        <f>IF('Entry Builder'!$N$9=0,1,IF('Entry Builder'!$D$9="Less",--(INDEX(Sims!$A1605:$BO1605,'Entry Builder'!$L$9)&lt;'Entry Builder'!$E$9),--(INDEX(Sims!$A1605:$BO1605,'Entry Builder'!$L$9)&gt;'Entry Builder'!$E$9)))</f>
        <v/>
      </c>
      <c r="D1605">
        <f>IF('Entry Builder'!$N$10=0,1,IF('Entry Builder'!$D$10="Less",--(INDEX(Sims!$A1605:$BO1605,'Entry Builder'!$L$10)&lt;'Entry Builder'!$E$10),--(INDEX(Sims!$A1605:$BO1605,'Entry Builder'!$L$10)&gt;'Entry Builder'!$E$10)))</f>
        <v/>
      </c>
      <c r="E1605">
        <f>IF('Entry Builder'!$N$11=0,1,IF('Entry Builder'!$D$11="Less",--(INDEX(Sims!$A1605:$BO1605,'Entry Builder'!$L$11)&lt;'Entry Builder'!$E$11),--(INDEX(Sims!$A1605:$BO1605,'Entry Builder'!$L$11)&gt;'Entry Builder'!$E$11)))</f>
        <v/>
      </c>
      <c r="F1605">
        <f>IF('Entry Builder'!$N$12=0,1,IF('Entry Builder'!$D$12="Less",--(INDEX(Sims!$A1605:$BO1605,'Entry Builder'!$L$12)&lt;'Entry Builder'!$E$12),--(INDEX(Sims!$A1605:$BO1605,'Entry Builder'!$L$12)&gt;'Entry Builder'!$E$12)))</f>
        <v/>
      </c>
      <c r="G1605">
        <f>6-SUM(A1605:F1605)</f>
        <v/>
      </c>
    </row>
    <row r="1606">
      <c r="A1606">
        <f>IF('Entry Builder'!$N$7=0,1,IF('Entry Builder'!$D$7="Less",--(INDEX(Sims!$A1606:$BO1606,'Entry Builder'!$L$7)&lt;'Entry Builder'!$E$7),--(INDEX(Sims!$A1606:$BO1606,'Entry Builder'!$L$7)&gt;'Entry Builder'!$E$7)))</f>
        <v/>
      </c>
      <c r="B1606">
        <f>IF('Entry Builder'!$N$8=0,1,IF('Entry Builder'!$D$8="Less",--(INDEX(Sims!$A1606:$BO1606,'Entry Builder'!$L$8)&lt;'Entry Builder'!$E$8),--(INDEX(Sims!$A1606:$BO1606,'Entry Builder'!$L$8)&gt;'Entry Builder'!$E$8)))</f>
        <v/>
      </c>
      <c r="C1606">
        <f>IF('Entry Builder'!$N$9=0,1,IF('Entry Builder'!$D$9="Less",--(INDEX(Sims!$A1606:$BO1606,'Entry Builder'!$L$9)&lt;'Entry Builder'!$E$9),--(INDEX(Sims!$A1606:$BO1606,'Entry Builder'!$L$9)&gt;'Entry Builder'!$E$9)))</f>
        <v/>
      </c>
      <c r="D1606">
        <f>IF('Entry Builder'!$N$10=0,1,IF('Entry Builder'!$D$10="Less",--(INDEX(Sims!$A1606:$BO1606,'Entry Builder'!$L$10)&lt;'Entry Builder'!$E$10),--(INDEX(Sims!$A1606:$BO1606,'Entry Builder'!$L$10)&gt;'Entry Builder'!$E$10)))</f>
        <v/>
      </c>
      <c r="E1606">
        <f>IF('Entry Builder'!$N$11=0,1,IF('Entry Builder'!$D$11="Less",--(INDEX(Sims!$A1606:$BO1606,'Entry Builder'!$L$11)&lt;'Entry Builder'!$E$11),--(INDEX(Sims!$A1606:$BO1606,'Entry Builder'!$L$11)&gt;'Entry Builder'!$E$11)))</f>
        <v/>
      </c>
      <c r="F1606">
        <f>IF('Entry Builder'!$N$12=0,1,IF('Entry Builder'!$D$12="Less",--(INDEX(Sims!$A1606:$BO1606,'Entry Builder'!$L$12)&lt;'Entry Builder'!$E$12),--(INDEX(Sims!$A1606:$BO1606,'Entry Builder'!$L$12)&gt;'Entry Builder'!$E$12)))</f>
        <v/>
      </c>
      <c r="G1606">
        <f>6-SUM(A1606:F1606)</f>
        <v/>
      </c>
    </row>
    <row r="1607">
      <c r="A1607">
        <f>IF('Entry Builder'!$N$7=0,1,IF('Entry Builder'!$D$7="Less",--(INDEX(Sims!$A1607:$BO1607,'Entry Builder'!$L$7)&lt;'Entry Builder'!$E$7),--(INDEX(Sims!$A1607:$BO1607,'Entry Builder'!$L$7)&gt;'Entry Builder'!$E$7)))</f>
        <v/>
      </c>
      <c r="B1607">
        <f>IF('Entry Builder'!$N$8=0,1,IF('Entry Builder'!$D$8="Less",--(INDEX(Sims!$A1607:$BO1607,'Entry Builder'!$L$8)&lt;'Entry Builder'!$E$8),--(INDEX(Sims!$A1607:$BO1607,'Entry Builder'!$L$8)&gt;'Entry Builder'!$E$8)))</f>
        <v/>
      </c>
      <c r="C1607">
        <f>IF('Entry Builder'!$N$9=0,1,IF('Entry Builder'!$D$9="Less",--(INDEX(Sims!$A1607:$BO1607,'Entry Builder'!$L$9)&lt;'Entry Builder'!$E$9),--(INDEX(Sims!$A1607:$BO1607,'Entry Builder'!$L$9)&gt;'Entry Builder'!$E$9)))</f>
        <v/>
      </c>
      <c r="D1607">
        <f>IF('Entry Builder'!$N$10=0,1,IF('Entry Builder'!$D$10="Less",--(INDEX(Sims!$A1607:$BO1607,'Entry Builder'!$L$10)&lt;'Entry Builder'!$E$10),--(INDEX(Sims!$A1607:$BO1607,'Entry Builder'!$L$10)&gt;'Entry Builder'!$E$10)))</f>
        <v/>
      </c>
      <c r="E1607">
        <f>IF('Entry Builder'!$N$11=0,1,IF('Entry Builder'!$D$11="Less",--(INDEX(Sims!$A1607:$BO1607,'Entry Builder'!$L$11)&lt;'Entry Builder'!$E$11),--(INDEX(Sims!$A1607:$BO1607,'Entry Builder'!$L$11)&gt;'Entry Builder'!$E$11)))</f>
        <v/>
      </c>
      <c r="F1607">
        <f>IF('Entry Builder'!$N$12=0,1,IF('Entry Builder'!$D$12="Less",--(INDEX(Sims!$A1607:$BO1607,'Entry Builder'!$L$12)&lt;'Entry Builder'!$E$12),--(INDEX(Sims!$A1607:$BO1607,'Entry Builder'!$L$12)&gt;'Entry Builder'!$E$12)))</f>
        <v/>
      </c>
      <c r="G1607">
        <f>6-SUM(A1607:F1607)</f>
        <v/>
      </c>
    </row>
    <row r="1608">
      <c r="A1608">
        <f>IF('Entry Builder'!$N$7=0,1,IF('Entry Builder'!$D$7="Less",--(INDEX(Sims!$A1608:$BO1608,'Entry Builder'!$L$7)&lt;'Entry Builder'!$E$7),--(INDEX(Sims!$A1608:$BO1608,'Entry Builder'!$L$7)&gt;'Entry Builder'!$E$7)))</f>
        <v/>
      </c>
      <c r="B1608">
        <f>IF('Entry Builder'!$N$8=0,1,IF('Entry Builder'!$D$8="Less",--(INDEX(Sims!$A1608:$BO1608,'Entry Builder'!$L$8)&lt;'Entry Builder'!$E$8),--(INDEX(Sims!$A1608:$BO1608,'Entry Builder'!$L$8)&gt;'Entry Builder'!$E$8)))</f>
        <v/>
      </c>
      <c r="C1608">
        <f>IF('Entry Builder'!$N$9=0,1,IF('Entry Builder'!$D$9="Less",--(INDEX(Sims!$A1608:$BO1608,'Entry Builder'!$L$9)&lt;'Entry Builder'!$E$9),--(INDEX(Sims!$A1608:$BO1608,'Entry Builder'!$L$9)&gt;'Entry Builder'!$E$9)))</f>
        <v/>
      </c>
      <c r="D1608">
        <f>IF('Entry Builder'!$N$10=0,1,IF('Entry Builder'!$D$10="Less",--(INDEX(Sims!$A1608:$BO1608,'Entry Builder'!$L$10)&lt;'Entry Builder'!$E$10),--(INDEX(Sims!$A1608:$BO1608,'Entry Builder'!$L$10)&gt;'Entry Builder'!$E$10)))</f>
        <v/>
      </c>
      <c r="E1608">
        <f>IF('Entry Builder'!$N$11=0,1,IF('Entry Builder'!$D$11="Less",--(INDEX(Sims!$A1608:$BO1608,'Entry Builder'!$L$11)&lt;'Entry Builder'!$E$11),--(INDEX(Sims!$A1608:$BO1608,'Entry Builder'!$L$11)&gt;'Entry Builder'!$E$11)))</f>
        <v/>
      </c>
      <c r="F1608">
        <f>IF('Entry Builder'!$N$12=0,1,IF('Entry Builder'!$D$12="Less",--(INDEX(Sims!$A1608:$BO1608,'Entry Builder'!$L$12)&lt;'Entry Builder'!$E$12),--(INDEX(Sims!$A1608:$BO1608,'Entry Builder'!$L$12)&gt;'Entry Builder'!$E$12)))</f>
        <v/>
      </c>
      <c r="G1608">
        <f>6-SUM(A1608:F1608)</f>
        <v/>
      </c>
    </row>
    <row r="1609">
      <c r="A1609">
        <f>IF('Entry Builder'!$N$7=0,1,IF('Entry Builder'!$D$7="Less",--(INDEX(Sims!$A1609:$BO1609,'Entry Builder'!$L$7)&lt;'Entry Builder'!$E$7),--(INDEX(Sims!$A1609:$BO1609,'Entry Builder'!$L$7)&gt;'Entry Builder'!$E$7)))</f>
        <v/>
      </c>
      <c r="B1609">
        <f>IF('Entry Builder'!$N$8=0,1,IF('Entry Builder'!$D$8="Less",--(INDEX(Sims!$A1609:$BO1609,'Entry Builder'!$L$8)&lt;'Entry Builder'!$E$8),--(INDEX(Sims!$A1609:$BO1609,'Entry Builder'!$L$8)&gt;'Entry Builder'!$E$8)))</f>
        <v/>
      </c>
      <c r="C1609">
        <f>IF('Entry Builder'!$N$9=0,1,IF('Entry Builder'!$D$9="Less",--(INDEX(Sims!$A1609:$BO1609,'Entry Builder'!$L$9)&lt;'Entry Builder'!$E$9),--(INDEX(Sims!$A1609:$BO1609,'Entry Builder'!$L$9)&gt;'Entry Builder'!$E$9)))</f>
        <v/>
      </c>
      <c r="D1609">
        <f>IF('Entry Builder'!$N$10=0,1,IF('Entry Builder'!$D$10="Less",--(INDEX(Sims!$A1609:$BO1609,'Entry Builder'!$L$10)&lt;'Entry Builder'!$E$10),--(INDEX(Sims!$A1609:$BO1609,'Entry Builder'!$L$10)&gt;'Entry Builder'!$E$10)))</f>
        <v/>
      </c>
      <c r="E1609">
        <f>IF('Entry Builder'!$N$11=0,1,IF('Entry Builder'!$D$11="Less",--(INDEX(Sims!$A1609:$BO1609,'Entry Builder'!$L$11)&lt;'Entry Builder'!$E$11),--(INDEX(Sims!$A1609:$BO1609,'Entry Builder'!$L$11)&gt;'Entry Builder'!$E$11)))</f>
        <v/>
      </c>
      <c r="F1609">
        <f>IF('Entry Builder'!$N$12=0,1,IF('Entry Builder'!$D$12="Less",--(INDEX(Sims!$A1609:$BO1609,'Entry Builder'!$L$12)&lt;'Entry Builder'!$E$12),--(INDEX(Sims!$A1609:$BO1609,'Entry Builder'!$L$12)&gt;'Entry Builder'!$E$12)))</f>
        <v/>
      </c>
      <c r="G1609">
        <f>6-SUM(A1609:F1609)</f>
        <v/>
      </c>
    </row>
    <row r="1610">
      <c r="A1610">
        <f>IF('Entry Builder'!$N$7=0,1,IF('Entry Builder'!$D$7="Less",--(INDEX(Sims!$A1610:$BO1610,'Entry Builder'!$L$7)&lt;'Entry Builder'!$E$7),--(INDEX(Sims!$A1610:$BO1610,'Entry Builder'!$L$7)&gt;'Entry Builder'!$E$7)))</f>
        <v/>
      </c>
      <c r="B1610">
        <f>IF('Entry Builder'!$N$8=0,1,IF('Entry Builder'!$D$8="Less",--(INDEX(Sims!$A1610:$BO1610,'Entry Builder'!$L$8)&lt;'Entry Builder'!$E$8),--(INDEX(Sims!$A1610:$BO1610,'Entry Builder'!$L$8)&gt;'Entry Builder'!$E$8)))</f>
        <v/>
      </c>
      <c r="C1610">
        <f>IF('Entry Builder'!$N$9=0,1,IF('Entry Builder'!$D$9="Less",--(INDEX(Sims!$A1610:$BO1610,'Entry Builder'!$L$9)&lt;'Entry Builder'!$E$9),--(INDEX(Sims!$A1610:$BO1610,'Entry Builder'!$L$9)&gt;'Entry Builder'!$E$9)))</f>
        <v/>
      </c>
      <c r="D1610">
        <f>IF('Entry Builder'!$N$10=0,1,IF('Entry Builder'!$D$10="Less",--(INDEX(Sims!$A1610:$BO1610,'Entry Builder'!$L$10)&lt;'Entry Builder'!$E$10),--(INDEX(Sims!$A1610:$BO1610,'Entry Builder'!$L$10)&gt;'Entry Builder'!$E$10)))</f>
        <v/>
      </c>
      <c r="E1610">
        <f>IF('Entry Builder'!$N$11=0,1,IF('Entry Builder'!$D$11="Less",--(INDEX(Sims!$A1610:$BO1610,'Entry Builder'!$L$11)&lt;'Entry Builder'!$E$11),--(INDEX(Sims!$A1610:$BO1610,'Entry Builder'!$L$11)&gt;'Entry Builder'!$E$11)))</f>
        <v/>
      </c>
      <c r="F1610">
        <f>IF('Entry Builder'!$N$12=0,1,IF('Entry Builder'!$D$12="Less",--(INDEX(Sims!$A1610:$BO1610,'Entry Builder'!$L$12)&lt;'Entry Builder'!$E$12),--(INDEX(Sims!$A1610:$BO1610,'Entry Builder'!$L$12)&gt;'Entry Builder'!$E$12)))</f>
        <v/>
      </c>
      <c r="G1610">
        <f>6-SUM(A1610:F1610)</f>
        <v/>
      </c>
    </row>
    <row r="1611">
      <c r="A1611">
        <f>IF('Entry Builder'!$N$7=0,1,IF('Entry Builder'!$D$7="Less",--(INDEX(Sims!$A1611:$BO1611,'Entry Builder'!$L$7)&lt;'Entry Builder'!$E$7),--(INDEX(Sims!$A1611:$BO1611,'Entry Builder'!$L$7)&gt;'Entry Builder'!$E$7)))</f>
        <v/>
      </c>
      <c r="B1611">
        <f>IF('Entry Builder'!$N$8=0,1,IF('Entry Builder'!$D$8="Less",--(INDEX(Sims!$A1611:$BO1611,'Entry Builder'!$L$8)&lt;'Entry Builder'!$E$8),--(INDEX(Sims!$A1611:$BO1611,'Entry Builder'!$L$8)&gt;'Entry Builder'!$E$8)))</f>
        <v/>
      </c>
      <c r="C1611">
        <f>IF('Entry Builder'!$N$9=0,1,IF('Entry Builder'!$D$9="Less",--(INDEX(Sims!$A1611:$BO1611,'Entry Builder'!$L$9)&lt;'Entry Builder'!$E$9),--(INDEX(Sims!$A1611:$BO1611,'Entry Builder'!$L$9)&gt;'Entry Builder'!$E$9)))</f>
        <v/>
      </c>
      <c r="D1611">
        <f>IF('Entry Builder'!$N$10=0,1,IF('Entry Builder'!$D$10="Less",--(INDEX(Sims!$A1611:$BO1611,'Entry Builder'!$L$10)&lt;'Entry Builder'!$E$10),--(INDEX(Sims!$A1611:$BO1611,'Entry Builder'!$L$10)&gt;'Entry Builder'!$E$10)))</f>
        <v/>
      </c>
      <c r="E1611">
        <f>IF('Entry Builder'!$N$11=0,1,IF('Entry Builder'!$D$11="Less",--(INDEX(Sims!$A1611:$BO1611,'Entry Builder'!$L$11)&lt;'Entry Builder'!$E$11),--(INDEX(Sims!$A1611:$BO1611,'Entry Builder'!$L$11)&gt;'Entry Builder'!$E$11)))</f>
        <v/>
      </c>
      <c r="F1611">
        <f>IF('Entry Builder'!$N$12=0,1,IF('Entry Builder'!$D$12="Less",--(INDEX(Sims!$A1611:$BO1611,'Entry Builder'!$L$12)&lt;'Entry Builder'!$E$12),--(INDEX(Sims!$A1611:$BO1611,'Entry Builder'!$L$12)&gt;'Entry Builder'!$E$12)))</f>
        <v/>
      </c>
      <c r="G1611">
        <f>6-SUM(A1611:F1611)</f>
        <v/>
      </c>
    </row>
    <row r="1612">
      <c r="A1612">
        <f>IF('Entry Builder'!$N$7=0,1,IF('Entry Builder'!$D$7="Less",--(INDEX(Sims!$A1612:$BO1612,'Entry Builder'!$L$7)&lt;'Entry Builder'!$E$7),--(INDEX(Sims!$A1612:$BO1612,'Entry Builder'!$L$7)&gt;'Entry Builder'!$E$7)))</f>
        <v/>
      </c>
      <c r="B1612">
        <f>IF('Entry Builder'!$N$8=0,1,IF('Entry Builder'!$D$8="Less",--(INDEX(Sims!$A1612:$BO1612,'Entry Builder'!$L$8)&lt;'Entry Builder'!$E$8),--(INDEX(Sims!$A1612:$BO1612,'Entry Builder'!$L$8)&gt;'Entry Builder'!$E$8)))</f>
        <v/>
      </c>
      <c r="C1612">
        <f>IF('Entry Builder'!$N$9=0,1,IF('Entry Builder'!$D$9="Less",--(INDEX(Sims!$A1612:$BO1612,'Entry Builder'!$L$9)&lt;'Entry Builder'!$E$9),--(INDEX(Sims!$A1612:$BO1612,'Entry Builder'!$L$9)&gt;'Entry Builder'!$E$9)))</f>
        <v/>
      </c>
      <c r="D1612">
        <f>IF('Entry Builder'!$N$10=0,1,IF('Entry Builder'!$D$10="Less",--(INDEX(Sims!$A1612:$BO1612,'Entry Builder'!$L$10)&lt;'Entry Builder'!$E$10),--(INDEX(Sims!$A1612:$BO1612,'Entry Builder'!$L$10)&gt;'Entry Builder'!$E$10)))</f>
        <v/>
      </c>
      <c r="E1612">
        <f>IF('Entry Builder'!$N$11=0,1,IF('Entry Builder'!$D$11="Less",--(INDEX(Sims!$A1612:$BO1612,'Entry Builder'!$L$11)&lt;'Entry Builder'!$E$11),--(INDEX(Sims!$A1612:$BO1612,'Entry Builder'!$L$11)&gt;'Entry Builder'!$E$11)))</f>
        <v/>
      </c>
      <c r="F1612">
        <f>IF('Entry Builder'!$N$12=0,1,IF('Entry Builder'!$D$12="Less",--(INDEX(Sims!$A1612:$BO1612,'Entry Builder'!$L$12)&lt;'Entry Builder'!$E$12),--(INDEX(Sims!$A1612:$BO1612,'Entry Builder'!$L$12)&gt;'Entry Builder'!$E$12)))</f>
        <v/>
      </c>
      <c r="G1612">
        <f>6-SUM(A1612:F1612)</f>
        <v/>
      </c>
    </row>
    <row r="1613">
      <c r="A1613">
        <f>IF('Entry Builder'!$N$7=0,1,IF('Entry Builder'!$D$7="Less",--(INDEX(Sims!$A1613:$BO1613,'Entry Builder'!$L$7)&lt;'Entry Builder'!$E$7),--(INDEX(Sims!$A1613:$BO1613,'Entry Builder'!$L$7)&gt;'Entry Builder'!$E$7)))</f>
        <v/>
      </c>
      <c r="B1613">
        <f>IF('Entry Builder'!$N$8=0,1,IF('Entry Builder'!$D$8="Less",--(INDEX(Sims!$A1613:$BO1613,'Entry Builder'!$L$8)&lt;'Entry Builder'!$E$8),--(INDEX(Sims!$A1613:$BO1613,'Entry Builder'!$L$8)&gt;'Entry Builder'!$E$8)))</f>
        <v/>
      </c>
      <c r="C1613">
        <f>IF('Entry Builder'!$N$9=0,1,IF('Entry Builder'!$D$9="Less",--(INDEX(Sims!$A1613:$BO1613,'Entry Builder'!$L$9)&lt;'Entry Builder'!$E$9),--(INDEX(Sims!$A1613:$BO1613,'Entry Builder'!$L$9)&gt;'Entry Builder'!$E$9)))</f>
        <v/>
      </c>
      <c r="D1613">
        <f>IF('Entry Builder'!$N$10=0,1,IF('Entry Builder'!$D$10="Less",--(INDEX(Sims!$A1613:$BO1613,'Entry Builder'!$L$10)&lt;'Entry Builder'!$E$10),--(INDEX(Sims!$A1613:$BO1613,'Entry Builder'!$L$10)&gt;'Entry Builder'!$E$10)))</f>
        <v/>
      </c>
      <c r="E1613">
        <f>IF('Entry Builder'!$N$11=0,1,IF('Entry Builder'!$D$11="Less",--(INDEX(Sims!$A1613:$BO1613,'Entry Builder'!$L$11)&lt;'Entry Builder'!$E$11),--(INDEX(Sims!$A1613:$BO1613,'Entry Builder'!$L$11)&gt;'Entry Builder'!$E$11)))</f>
        <v/>
      </c>
      <c r="F1613">
        <f>IF('Entry Builder'!$N$12=0,1,IF('Entry Builder'!$D$12="Less",--(INDEX(Sims!$A1613:$BO1613,'Entry Builder'!$L$12)&lt;'Entry Builder'!$E$12),--(INDEX(Sims!$A1613:$BO1613,'Entry Builder'!$L$12)&gt;'Entry Builder'!$E$12)))</f>
        <v/>
      </c>
      <c r="G1613">
        <f>6-SUM(A1613:F1613)</f>
        <v/>
      </c>
    </row>
    <row r="1614">
      <c r="A1614">
        <f>IF('Entry Builder'!$N$7=0,1,IF('Entry Builder'!$D$7="Less",--(INDEX(Sims!$A1614:$BO1614,'Entry Builder'!$L$7)&lt;'Entry Builder'!$E$7),--(INDEX(Sims!$A1614:$BO1614,'Entry Builder'!$L$7)&gt;'Entry Builder'!$E$7)))</f>
        <v/>
      </c>
      <c r="B1614">
        <f>IF('Entry Builder'!$N$8=0,1,IF('Entry Builder'!$D$8="Less",--(INDEX(Sims!$A1614:$BO1614,'Entry Builder'!$L$8)&lt;'Entry Builder'!$E$8),--(INDEX(Sims!$A1614:$BO1614,'Entry Builder'!$L$8)&gt;'Entry Builder'!$E$8)))</f>
        <v/>
      </c>
      <c r="C1614">
        <f>IF('Entry Builder'!$N$9=0,1,IF('Entry Builder'!$D$9="Less",--(INDEX(Sims!$A1614:$BO1614,'Entry Builder'!$L$9)&lt;'Entry Builder'!$E$9),--(INDEX(Sims!$A1614:$BO1614,'Entry Builder'!$L$9)&gt;'Entry Builder'!$E$9)))</f>
        <v/>
      </c>
      <c r="D1614">
        <f>IF('Entry Builder'!$N$10=0,1,IF('Entry Builder'!$D$10="Less",--(INDEX(Sims!$A1614:$BO1614,'Entry Builder'!$L$10)&lt;'Entry Builder'!$E$10),--(INDEX(Sims!$A1614:$BO1614,'Entry Builder'!$L$10)&gt;'Entry Builder'!$E$10)))</f>
        <v/>
      </c>
      <c r="E1614">
        <f>IF('Entry Builder'!$N$11=0,1,IF('Entry Builder'!$D$11="Less",--(INDEX(Sims!$A1614:$BO1614,'Entry Builder'!$L$11)&lt;'Entry Builder'!$E$11),--(INDEX(Sims!$A1614:$BO1614,'Entry Builder'!$L$11)&gt;'Entry Builder'!$E$11)))</f>
        <v/>
      </c>
      <c r="F1614">
        <f>IF('Entry Builder'!$N$12=0,1,IF('Entry Builder'!$D$12="Less",--(INDEX(Sims!$A1614:$BO1614,'Entry Builder'!$L$12)&lt;'Entry Builder'!$E$12),--(INDEX(Sims!$A1614:$BO1614,'Entry Builder'!$L$12)&gt;'Entry Builder'!$E$12)))</f>
        <v/>
      </c>
      <c r="G1614">
        <f>6-SUM(A1614:F1614)</f>
        <v/>
      </c>
    </row>
    <row r="1615">
      <c r="A1615">
        <f>IF('Entry Builder'!$N$7=0,1,IF('Entry Builder'!$D$7="Less",--(INDEX(Sims!$A1615:$BO1615,'Entry Builder'!$L$7)&lt;'Entry Builder'!$E$7),--(INDEX(Sims!$A1615:$BO1615,'Entry Builder'!$L$7)&gt;'Entry Builder'!$E$7)))</f>
        <v/>
      </c>
      <c r="B1615">
        <f>IF('Entry Builder'!$N$8=0,1,IF('Entry Builder'!$D$8="Less",--(INDEX(Sims!$A1615:$BO1615,'Entry Builder'!$L$8)&lt;'Entry Builder'!$E$8),--(INDEX(Sims!$A1615:$BO1615,'Entry Builder'!$L$8)&gt;'Entry Builder'!$E$8)))</f>
        <v/>
      </c>
      <c r="C1615">
        <f>IF('Entry Builder'!$N$9=0,1,IF('Entry Builder'!$D$9="Less",--(INDEX(Sims!$A1615:$BO1615,'Entry Builder'!$L$9)&lt;'Entry Builder'!$E$9),--(INDEX(Sims!$A1615:$BO1615,'Entry Builder'!$L$9)&gt;'Entry Builder'!$E$9)))</f>
        <v/>
      </c>
      <c r="D1615">
        <f>IF('Entry Builder'!$N$10=0,1,IF('Entry Builder'!$D$10="Less",--(INDEX(Sims!$A1615:$BO1615,'Entry Builder'!$L$10)&lt;'Entry Builder'!$E$10),--(INDEX(Sims!$A1615:$BO1615,'Entry Builder'!$L$10)&gt;'Entry Builder'!$E$10)))</f>
        <v/>
      </c>
      <c r="E1615">
        <f>IF('Entry Builder'!$N$11=0,1,IF('Entry Builder'!$D$11="Less",--(INDEX(Sims!$A1615:$BO1615,'Entry Builder'!$L$11)&lt;'Entry Builder'!$E$11),--(INDEX(Sims!$A1615:$BO1615,'Entry Builder'!$L$11)&gt;'Entry Builder'!$E$11)))</f>
        <v/>
      </c>
      <c r="F1615">
        <f>IF('Entry Builder'!$N$12=0,1,IF('Entry Builder'!$D$12="Less",--(INDEX(Sims!$A1615:$BO1615,'Entry Builder'!$L$12)&lt;'Entry Builder'!$E$12),--(INDEX(Sims!$A1615:$BO1615,'Entry Builder'!$L$12)&gt;'Entry Builder'!$E$12)))</f>
        <v/>
      </c>
      <c r="G1615">
        <f>6-SUM(A1615:F1615)</f>
        <v/>
      </c>
    </row>
    <row r="1616">
      <c r="A1616">
        <f>IF('Entry Builder'!$N$7=0,1,IF('Entry Builder'!$D$7="Less",--(INDEX(Sims!$A1616:$BO1616,'Entry Builder'!$L$7)&lt;'Entry Builder'!$E$7),--(INDEX(Sims!$A1616:$BO1616,'Entry Builder'!$L$7)&gt;'Entry Builder'!$E$7)))</f>
        <v/>
      </c>
      <c r="B1616">
        <f>IF('Entry Builder'!$N$8=0,1,IF('Entry Builder'!$D$8="Less",--(INDEX(Sims!$A1616:$BO1616,'Entry Builder'!$L$8)&lt;'Entry Builder'!$E$8),--(INDEX(Sims!$A1616:$BO1616,'Entry Builder'!$L$8)&gt;'Entry Builder'!$E$8)))</f>
        <v/>
      </c>
      <c r="C1616">
        <f>IF('Entry Builder'!$N$9=0,1,IF('Entry Builder'!$D$9="Less",--(INDEX(Sims!$A1616:$BO1616,'Entry Builder'!$L$9)&lt;'Entry Builder'!$E$9),--(INDEX(Sims!$A1616:$BO1616,'Entry Builder'!$L$9)&gt;'Entry Builder'!$E$9)))</f>
        <v/>
      </c>
      <c r="D1616">
        <f>IF('Entry Builder'!$N$10=0,1,IF('Entry Builder'!$D$10="Less",--(INDEX(Sims!$A1616:$BO1616,'Entry Builder'!$L$10)&lt;'Entry Builder'!$E$10),--(INDEX(Sims!$A1616:$BO1616,'Entry Builder'!$L$10)&gt;'Entry Builder'!$E$10)))</f>
        <v/>
      </c>
      <c r="E1616">
        <f>IF('Entry Builder'!$N$11=0,1,IF('Entry Builder'!$D$11="Less",--(INDEX(Sims!$A1616:$BO1616,'Entry Builder'!$L$11)&lt;'Entry Builder'!$E$11),--(INDEX(Sims!$A1616:$BO1616,'Entry Builder'!$L$11)&gt;'Entry Builder'!$E$11)))</f>
        <v/>
      </c>
      <c r="F1616">
        <f>IF('Entry Builder'!$N$12=0,1,IF('Entry Builder'!$D$12="Less",--(INDEX(Sims!$A1616:$BO1616,'Entry Builder'!$L$12)&lt;'Entry Builder'!$E$12),--(INDEX(Sims!$A1616:$BO1616,'Entry Builder'!$L$12)&gt;'Entry Builder'!$E$12)))</f>
        <v/>
      </c>
      <c r="G1616">
        <f>6-SUM(A1616:F1616)</f>
        <v/>
      </c>
    </row>
    <row r="1617">
      <c r="A1617">
        <f>IF('Entry Builder'!$N$7=0,1,IF('Entry Builder'!$D$7="Less",--(INDEX(Sims!$A1617:$BO1617,'Entry Builder'!$L$7)&lt;'Entry Builder'!$E$7),--(INDEX(Sims!$A1617:$BO1617,'Entry Builder'!$L$7)&gt;'Entry Builder'!$E$7)))</f>
        <v/>
      </c>
      <c r="B1617">
        <f>IF('Entry Builder'!$N$8=0,1,IF('Entry Builder'!$D$8="Less",--(INDEX(Sims!$A1617:$BO1617,'Entry Builder'!$L$8)&lt;'Entry Builder'!$E$8),--(INDEX(Sims!$A1617:$BO1617,'Entry Builder'!$L$8)&gt;'Entry Builder'!$E$8)))</f>
        <v/>
      </c>
      <c r="C1617">
        <f>IF('Entry Builder'!$N$9=0,1,IF('Entry Builder'!$D$9="Less",--(INDEX(Sims!$A1617:$BO1617,'Entry Builder'!$L$9)&lt;'Entry Builder'!$E$9),--(INDEX(Sims!$A1617:$BO1617,'Entry Builder'!$L$9)&gt;'Entry Builder'!$E$9)))</f>
        <v/>
      </c>
      <c r="D1617">
        <f>IF('Entry Builder'!$N$10=0,1,IF('Entry Builder'!$D$10="Less",--(INDEX(Sims!$A1617:$BO1617,'Entry Builder'!$L$10)&lt;'Entry Builder'!$E$10),--(INDEX(Sims!$A1617:$BO1617,'Entry Builder'!$L$10)&gt;'Entry Builder'!$E$10)))</f>
        <v/>
      </c>
      <c r="E1617">
        <f>IF('Entry Builder'!$N$11=0,1,IF('Entry Builder'!$D$11="Less",--(INDEX(Sims!$A1617:$BO1617,'Entry Builder'!$L$11)&lt;'Entry Builder'!$E$11),--(INDEX(Sims!$A1617:$BO1617,'Entry Builder'!$L$11)&gt;'Entry Builder'!$E$11)))</f>
        <v/>
      </c>
      <c r="F1617">
        <f>IF('Entry Builder'!$N$12=0,1,IF('Entry Builder'!$D$12="Less",--(INDEX(Sims!$A1617:$BO1617,'Entry Builder'!$L$12)&lt;'Entry Builder'!$E$12),--(INDEX(Sims!$A1617:$BO1617,'Entry Builder'!$L$12)&gt;'Entry Builder'!$E$12)))</f>
        <v/>
      </c>
      <c r="G1617">
        <f>6-SUM(A1617:F1617)</f>
        <v/>
      </c>
    </row>
    <row r="1618">
      <c r="A1618">
        <f>IF('Entry Builder'!$N$7=0,1,IF('Entry Builder'!$D$7="Less",--(INDEX(Sims!$A1618:$BO1618,'Entry Builder'!$L$7)&lt;'Entry Builder'!$E$7),--(INDEX(Sims!$A1618:$BO1618,'Entry Builder'!$L$7)&gt;'Entry Builder'!$E$7)))</f>
        <v/>
      </c>
      <c r="B1618">
        <f>IF('Entry Builder'!$N$8=0,1,IF('Entry Builder'!$D$8="Less",--(INDEX(Sims!$A1618:$BO1618,'Entry Builder'!$L$8)&lt;'Entry Builder'!$E$8),--(INDEX(Sims!$A1618:$BO1618,'Entry Builder'!$L$8)&gt;'Entry Builder'!$E$8)))</f>
        <v/>
      </c>
      <c r="C1618">
        <f>IF('Entry Builder'!$N$9=0,1,IF('Entry Builder'!$D$9="Less",--(INDEX(Sims!$A1618:$BO1618,'Entry Builder'!$L$9)&lt;'Entry Builder'!$E$9),--(INDEX(Sims!$A1618:$BO1618,'Entry Builder'!$L$9)&gt;'Entry Builder'!$E$9)))</f>
        <v/>
      </c>
      <c r="D1618">
        <f>IF('Entry Builder'!$N$10=0,1,IF('Entry Builder'!$D$10="Less",--(INDEX(Sims!$A1618:$BO1618,'Entry Builder'!$L$10)&lt;'Entry Builder'!$E$10),--(INDEX(Sims!$A1618:$BO1618,'Entry Builder'!$L$10)&gt;'Entry Builder'!$E$10)))</f>
        <v/>
      </c>
      <c r="E1618">
        <f>IF('Entry Builder'!$N$11=0,1,IF('Entry Builder'!$D$11="Less",--(INDEX(Sims!$A1618:$BO1618,'Entry Builder'!$L$11)&lt;'Entry Builder'!$E$11),--(INDEX(Sims!$A1618:$BO1618,'Entry Builder'!$L$11)&gt;'Entry Builder'!$E$11)))</f>
        <v/>
      </c>
      <c r="F1618">
        <f>IF('Entry Builder'!$N$12=0,1,IF('Entry Builder'!$D$12="Less",--(INDEX(Sims!$A1618:$BO1618,'Entry Builder'!$L$12)&lt;'Entry Builder'!$E$12),--(INDEX(Sims!$A1618:$BO1618,'Entry Builder'!$L$12)&gt;'Entry Builder'!$E$12)))</f>
        <v/>
      </c>
      <c r="G1618">
        <f>6-SUM(A1618:F1618)</f>
        <v/>
      </c>
    </row>
    <row r="1619">
      <c r="A1619">
        <f>IF('Entry Builder'!$N$7=0,1,IF('Entry Builder'!$D$7="Less",--(INDEX(Sims!$A1619:$BO1619,'Entry Builder'!$L$7)&lt;'Entry Builder'!$E$7),--(INDEX(Sims!$A1619:$BO1619,'Entry Builder'!$L$7)&gt;'Entry Builder'!$E$7)))</f>
        <v/>
      </c>
      <c r="B1619">
        <f>IF('Entry Builder'!$N$8=0,1,IF('Entry Builder'!$D$8="Less",--(INDEX(Sims!$A1619:$BO1619,'Entry Builder'!$L$8)&lt;'Entry Builder'!$E$8),--(INDEX(Sims!$A1619:$BO1619,'Entry Builder'!$L$8)&gt;'Entry Builder'!$E$8)))</f>
        <v/>
      </c>
      <c r="C1619">
        <f>IF('Entry Builder'!$N$9=0,1,IF('Entry Builder'!$D$9="Less",--(INDEX(Sims!$A1619:$BO1619,'Entry Builder'!$L$9)&lt;'Entry Builder'!$E$9),--(INDEX(Sims!$A1619:$BO1619,'Entry Builder'!$L$9)&gt;'Entry Builder'!$E$9)))</f>
        <v/>
      </c>
      <c r="D1619">
        <f>IF('Entry Builder'!$N$10=0,1,IF('Entry Builder'!$D$10="Less",--(INDEX(Sims!$A1619:$BO1619,'Entry Builder'!$L$10)&lt;'Entry Builder'!$E$10),--(INDEX(Sims!$A1619:$BO1619,'Entry Builder'!$L$10)&gt;'Entry Builder'!$E$10)))</f>
        <v/>
      </c>
      <c r="E1619">
        <f>IF('Entry Builder'!$N$11=0,1,IF('Entry Builder'!$D$11="Less",--(INDEX(Sims!$A1619:$BO1619,'Entry Builder'!$L$11)&lt;'Entry Builder'!$E$11),--(INDEX(Sims!$A1619:$BO1619,'Entry Builder'!$L$11)&gt;'Entry Builder'!$E$11)))</f>
        <v/>
      </c>
      <c r="F1619">
        <f>IF('Entry Builder'!$N$12=0,1,IF('Entry Builder'!$D$12="Less",--(INDEX(Sims!$A1619:$BO1619,'Entry Builder'!$L$12)&lt;'Entry Builder'!$E$12),--(INDEX(Sims!$A1619:$BO1619,'Entry Builder'!$L$12)&gt;'Entry Builder'!$E$12)))</f>
        <v/>
      </c>
      <c r="G1619">
        <f>6-SUM(A1619:F1619)</f>
        <v/>
      </c>
    </row>
    <row r="1620">
      <c r="A1620">
        <f>IF('Entry Builder'!$N$7=0,1,IF('Entry Builder'!$D$7="Less",--(INDEX(Sims!$A1620:$BO1620,'Entry Builder'!$L$7)&lt;'Entry Builder'!$E$7),--(INDEX(Sims!$A1620:$BO1620,'Entry Builder'!$L$7)&gt;'Entry Builder'!$E$7)))</f>
        <v/>
      </c>
      <c r="B1620">
        <f>IF('Entry Builder'!$N$8=0,1,IF('Entry Builder'!$D$8="Less",--(INDEX(Sims!$A1620:$BO1620,'Entry Builder'!$L$8)&lt;'Entry Builder'!$E$8),--(INDEX(Sims!$A1620:$BO1620,'Entry Builder'!$L$8)&gt;'Entry Builder'!$E$8)))</f>
        <v/>
      </c>
      <c r="C1620">
        <f>IF('Entry Builder'!$N$9=0,1,IF('Entry Builder'!$D$9="Less",--(INDEX(Sims!$A1620:$BO1620,'Entry Builder'!$L$9)&lt;'Entry Builder'!$E$9),--(INDEX(Sims!$A1620:$BO1620,'Entry Builder'!$L$9)&gt;'Entry Builder'!$E$9)))</f>
        <v/>
      </c>
      <c r="D1620">
        <f>IF('Entry Builder'!$N$10=0,1,IF('Entry Builder'!$D$10="Less",--(INDEX(Sims!$A1620:$BO1620,'Entry Builder'!$L$10)&lt;'Entry Builder'!$E$10),--(INDEX(Sims!$A1620:$BO1620,'Entry Builder'!$L$10)&gt;'Entry Builder'!$E$10)))</f>
        <v/>
      </c>
      <c r="E1620">
        <f>IF('Entry Builder'!$N$11=0,1,IF('Entry Builder'!$D$11="Less",--(INDEX(Sims!$A1620:$BO1620,'Entry Builder'!$L$11)&lt;'Entry Builder'!$E$11),--(INDEX(Sims!$A1620:$BO1620,'Entry Builder'!$L$11)&gt;'Entry Builder'!$E$11)))</f>
        <v/>
      </c>
      <c r="F1620">
        <f>IF('Entry Builder'!$N$12=0,1,IF('Entry Builder'!$D$12="Less",--(INDEX(Sims!$A1620:$BO1620,'Entry Builder'!$L$12)&lt;'Entry Builder'!$E$12),--(INDEX(Sims!$A1620:$BO1620,'Entry Builder'!$L$12)&gt;'Entry Builder'!$E$12)))</f>
        <v/>
      </c>
      <c r="G1620">
        <f>6-SUM(A1620:F1620)</f>
        <v/>
      </c>
    </row>
    <row r="1621">
      <c r="A1621">
        <f>IF('Entry Builder'!$N$7=0,1,IF('Entry Builder'!$D$7="Less",--(INDEX(Sims!$A1621:$BO1621,'Entry Builder'!$L$7)&lt;'Entry Builder'!$E$7),--(INDEX(Sims!$A1621:$BO1621,'Entry Builder'!$L$7)&gt;'Entry Builder'!$E$7)))</f>
        <v/>
      </c>
      <c r="B1621">
        <f>IF('Entry Builder'!$N$8=0,1,IF('Entry Builder'!$D$8="Less",--(INDEX(Sims!$A1621:$BO1621,'Entry Builder'!$L$8)&lt;'Entry Builder'!$E$8),--(INDEX(Sims!$A1621:$BO1621,'Entry Builder'!$L$8)&gt;'Entry Builder'!$E$8)))</f>
        <v/>
      </c>
      <c r="C1621">
        <f>IF('Entry Builder'!$N$9=0,1,IF('Entry Builder'!$D$9="Less",--(INDEX(Sims!$A1621:$BO1621,'Entry Builder'!$L$9)&lt;'Entry Builder'!$E$9),--(INDEX(Sims!$A1621:$BO1621,'Entry Builder'!$L$9)&gt;'Entry Builder'!$E$9)))</f>
        <v/>
      </c>
      <c r="D1621">
        <f>IF('Entry Builder'!$N$10=0,1,IF('Entry Builder'!$D$10="Less",--(INDEX(Sims!$A1621:$BO1621,'Entry Builder'!$L$10)&lt;'Entry Builder'!$E$10),--(INDEX(Sims!$A1621:$BO1621,'Entry Builder'!$L$10)&gt;'Entry Builder'!$E$10)))</f>
        <v/>
      </c>
      <c r="E1621">
        <f>IF('Entry Builder'!$N$11=0,1,IF('Entry Builder'!$D$11="Less",--(INDEX(Sims!$A1621:$BO1621,'Entry Builder'!$L$11)&lt;'Entry Builder'!$E$11),--(INDEX(Sims!$A1621:$BO1621,'Entry Builder'!$L$11)&gt;'Entry Builder'!$E$11)))</f>
        <v/>
      </c>
      <c r="F1621">
        <f>IF('Entry Builder'!$N$12=0,1,IF('Entry Builder'!$D$12="Less",--(INDEX(Sims!$A1621:$BO1621,'Entry Builder'!$L$12)&lt;'Entry Builder'!$E$12),--(INDEX(Sims!$A1621:$BO1621,'Entry Builder'!$L$12)&gt;'Entry Builder'!$E$12)))</f>
        <v/>
      </c>
      <c r="G1621">
        <f>6-SUM(A1621:F1621)</f>
        <v/>
      </c>
    </row>
    <row r="1622">
      <c r="A1622">
        <f>IF('Entry Builder'!$N$7=0,1,IF('Entry Builder'!$D$7="Less",--(INDEX(Sims!$A1622:$BO1622,'Entry Builder'!$L$7)&lt;'Entry Builder'!$E$7),--(INDEX(Sims!$A1622:$BO1622,'Entry Builder'!$L$7)&gt;'Entry Builder'!$E$7)))</f>
        <v/>
      </c>
      <c r="B1622">
        <f>IF('Entry Builder'!$N$8=0,1,IF('Entry Builder'!$D$8="Less",--(INDEX(Sims!$A1622:$BO1622,'Entry Builder'!$L$8)&lt;'Entry Builder'!$E$8),--(INDEX(Sims!$A1622:$BO1622,'Entry Builder'!$L$8)&gt;'Entry Builder'!$E$8)))</f>
        <v/>
      </c>
      <c r="C1622">
        <f>IF('Entry Builder'!$N$9=0,1,IF('Entry Builder'!$D$9="Less",--(INDEX(Sims!$A1622:$BO1622,'Entry Builder'!$L$9)&lt;'Entry Builder'!$E$9),--(INDEX(Sims!$A1622:$BO1622,'Entry Builder'!$L$9)&gt;'Entry Builder'!$E$9)))</f>
        <v/>
      </c>
      <c r="D1622">
        <f>IF('Entry Builder'!$N$10=0,1,IF('Entry Builder'!$D$10="Less",--(INDEX(Sims!$A1622:$BO1622,'Entry Builder'!$L$10)&lt;'Entry Builder'!$E$10),--(INDEX(Sims!$A1622:$BO1622,'Entry Builder'!$L$10)&gt;'Entry Builder'!$E$10)))</f>
        <v/>
      </c>
      <c r="E1622">
        <f>IF('Entry Builder'!$N$11=0,1,IF('Entry Builder'!$D$11="Less",--(INDEX(Sims!$A1622:$BO1622,'Entry Builder'!$L$11)&lt;'Entry Builder'!$E$11),--(INDEX(Sims!$A1622:$BO1622,'Entry Builder'!$L$11)&gt;'Entry Builder'!$E$11)))</f>
        <v/>
      </c>
      <c r="F1622">
        <f>IF('Entry Builder'!$N$12=0,1,IF('Entry Builder'!$D$12="Less",--(INDEX(Sims!$A1622:$BO1622,'Entry Builder'!$L$12)&lt;'Entry Builder'!$E$12),--(INDEX(Sims!$A1622:$BO1622,'Entry Builder'!$L$12)&gt;'Entry Builder'!$E$12)))</f>
        <v/>
      </c>
      <c r="G1622">
        <f>6-SUM(A1622:F1622)</f>
        <v/>
      </c>
    </row>
    <row r="1623">
      <c r="A1623">
        <f>IF('Entry Builder'!$N$7=0,1,IF('Entry Builder'!$D$7="Less",--(INDEX(Sims!$A1623:$BO1623,'Entry Builder'!$L$7)&lt;'Entry Builder'!$E$7),--(INDEX(Sims!$A1623:$BO1623,'Entry Builder'!$L$7)&gt;'Entry Builder'!$E$7)))</f>
        <v/>
      </c>
      <c r="B1623">
        <f>IF('Entry Builder'!$N$8=0,1,IF('Entry Builder'!$D$8="Less",--(INDEX(Sims!$A1623:$BO1623,'Entry Builder'!$L$8)&lt;'Entry Builder'!$E$8),--(INDEX(Sims!$A1623:$BO1623,'Entry Builder'!$L$8)&gt;'Entry Builder'!$E$8)))</f>
        <v/>
      </c>
      <c r="C1623">
        <f>IF('Entry Builder'!$N$9=0,1,IF('Entry Builder'!$D$9="Less",--(INDEX(Sims!$A1623:$BO1623,'Entry Builder'!$L$9)&lt;'Entry Builder'!$E$9),--(INDEX(Sims!$A1623:$BO1623,'Entry Builder'!$L$9)&gt;'Entry Builder'!$E$9)))</f>
        <v/>
      </c>
      <c r="D1623">
        <f>IF('Entry Builder'!$N$10=0,1,IF('Entry Builder'!$D$10="Less",--(INDEX(Sims!$A1623:$BO1623,'Entry Builder'!$L$10)&lt;'Entry Builder'!$E$10),--(INDEX(Sims!$A1623:$BO1623,'Entry Builder'!$L$10)&gt;'Entry Builder'!$E$10)))</f>
        <v/>
      </c>
      <c r="E1623">
        <f>IF('Entry Builder'!$N$11=0,1,IF('Entry Builder'!$D$11="Less",--(INDEX(Sims!$A1623:$BO1623,'Entry Builder'!$L$11)&lt;'Entry Builder'!$E$11),--(INDEX(Sims!$A1623:$BO1623,'Entry Builder'!$L$11)&gt;'Entry Builder'!$E$11)))</f>
        <v/>
      </c>
      <c r="F1623">
        <f>IF('Entry Builder'!$N$12=0,1,IF('Entry Builder'!$D$12="Less",--(INDEX(Sims!$A1623:$BO1623,'Entry Builder'!$L$12)&lt;'Entry Builder'!$E$12),--(INDEX(Sims!$A1623:$BO1623,'Entry Builder'!$L$12)&gt;'Entry Builder'!$E$12)))</f>
        <v/>
      </c>
      <c r="G1623">
        <f>6-SUM(A1623:F1623)</f>
        <v/>
      </c>
    </row>
    <row r="1624">
      <c r="A1624">
        <f>IF('Entry Builder'!$N$7=0,1,IF('Entry Builder'!$D$7="Less",--(INDEX(Sims!$A1624:$BO1624,'Entry Builder'!$L$7)&lt;'Entry Builder'!$E$7),--(INDEX(Sims!$A1624:$BO1624,'Entry Builder'!$L$7)&gt;'Entry Builder'!$E$7)))</f>
        <v/>
      </c>
      <c r="B1624">
        <f>IF('Entry Builder'!$N$8=0,1,IF('Entry Builder'!$D$8="Less",--(INDEX(Sims!$A1624:$BO1624,'Entry Builder'!$L$8)&lt;'Entry Builder'!$E$8),--(INDEX(Sims!$A1624:$BO1624,'Entry Builder'!$L$8)&gt;'Entry Builder'!$E$8)))</f>
        <v/>
      </c>
      <c r="C1624">
        <f>IF('Entry Builder'!$N$9=0,1,IF('Entry Builder'!$D$9="Less",--(INDEX(Sims!$A1624:$BO1624,'Entry Builder'!$L$9)&lt;'Entry Builder'!$E$9),--(INDEX(Sims!$A1624:$BO1624,'Entry Builder'!$L$9)&gt;'Entry Builder'!$E$9)))</f>
        <v/>
      </c>
      <c r="D1624">
        <f>IF('Entry Builder'!$N$10=0,1,IF('Entry Builder'!$D$10="Less",--(INDEX(Sims!$A1624:$BO1624,'Entry Builder'!$L$10)&lt;'Entry Builder'!$E$10),--(INDEX(Sims!$A1624:$BO1624,'Entry Builder'!$L$10)&gt;'Entry Builder'!$E$10)))</f>
        <v/>
      </c>
      <c r="E1624">
        <f>IF('Entry Builder'!$N$11=0,1,IF('Entry Builder'!$D$11="Less",--(INDEX(Sims!$A1624:$BO1624,'Entry Builder'!$L$11)&lt;'Entry Builder'!$E$11),--(INDEX(Sims!$A1624:$BO1624,'Entry Builder'!$L$11)&gt;'Entry Builder'!$E$11)))</f>
        <v/>
      </c>
      <c r="F1624">
        <f>IF('Entry Builder'!$N$12=0,1,IF('Entry Builder'!$D$12="Less",--(INDEX(Sims!$A1624:$BO1624,'Entry Builder'!$L$12)&lt;'Entry Builder'!$E$12),--(INDEX(Sims!$A1624:$BO1624,'Entry Builder'!$L$12)&gt;'Entry Builder'!$E$12)))</f>
        <v/>
      </c>
      <c r="G1624">
        <f>6-SUM(A1624:F1624)</f>
        <v/>
      </c>
    </row>
    <row r="1625">
      <c r="A1625">
        <f>IF('Entry Builder'!$N$7=0,1,IF('Entry Builder'!$D$7="Less",--(INDEX(Sims!$A1625:$BO1625,'Entry Builder'!$L$7)&lt;'Entry Builder'!$E$7),--(INDEX(Sims!$A1625:$BO1625,'Entry Builder'!$L$7)&gt;'Entry Builder'!$E$7)))</f>
        <v/>
      </c>
      <c r="B1625">
        <f>IF('Entry Builder'!$N$8=0,1,IF('Entry Builder'!$D$8="Less",--(INDEX(Sims!$A1625:$BO1625,'Entry Builder'!$L$8)&lt;'Entry Builder'!$E$8),--(INDEX(Sims!$A1625:$BO1625,'Entry Builder'!$L$8)&gt;'Entry Builder'!$E$8)))</f>
        <v/>
      </c>
      <c r="C1625">
        <f>IF('Entry Builder'!$N$9=0,1,IF('Entry Builder'!$D$9="Less",--(INDEX(Sims!$A1625:$BO1625,'Entry Builder'!$L$9)&lt;'Entry Builder'!$E$9),--(INDEX(Sims!$A1625:$BO1625,'Entry Builder'!$L$9)&gt;'Entry Builder'!$E$9)))</f>
        <v/>
      </c>
      <c r="D1625">
        <f>IF('Entry Builder'!$N$10=0,1,IF('Entry Builder'!$D$10="Less",--(INDEX(Sims!$A1625:$BO1625,'Entry Builder'!$L$10)&lt;'Entry Builder'!$E$10),--(INDEX(Sims!$A1625:$BO1625,'Entry Builder'!$L$10)&gt;'Entry Builder'!$E$10)))</f>
        <v/>
      </c>
      <c r="E1625">
        <f>IF('Entry Builder'!$N$11=0,1,IF('Entry Builder'!$D$11="Less",--(INDEX(Sims!$A1625:$BO1625,'Entry Builder'!$L$11)&lt;'Entry Builder'!$E$11),--(INDEX(Sims!$A1625:$BO1625,'Entry Builder'!$L$11)&gt;'Entry Builder'!$E$11)))</f>
        <v/>
      </c>
      <c r="F1625">
        <f>IF('Entry Builder'!$N$12=0,1,IF('Entry Builder'!$D$12="Less",--(INDEX(Sims!$A1625:$BO1625,'Entry Builder'!$L$12)&lt;'Entry Builder'!$E$12),--(INDEX(Sims!$A1625:$BO1625,'Entry Builder'!$L$12)&gt;'Entry Builder'!$E$12)))</f>
        <v/>
      </c>
      <c r="G1625">
        <f>6-SUM(A1625:F1625)</f>
        <v/>
      </c>
    </row>
    <row r="1626">
      <c r="A1626">
        <f>IF('Entry Builder'!$N$7=0,1,IF('Entry Builder'!$D$7="Less",--(INDEX(Sims!$A1626:$BO1626,'Entry Builder'!$L$7)&lt;'Entry Builder'!$E$7),--(INDEX(Sims!$A1626:$BO1626,'Entry Builder'!$L$7)&gt;'Entry Builder'!$E$7)))</f>
        <v/>
      </c>
      <c r="B1626">
        <f>IF('Entry Builder'!$N$8=0,1,IF('Entry Builder'!$D$8="Less",--(INDEX(Sims!$A1626:$BO1626,'Entry Builder'!$L$8)&lt;'Entry Builder'!$E$8),--(INDEX(Sims!$A1626:$BO1626,'Entry Builder'!$L$8)&gt;'Entry Builder'!$E$8)))</f>
        <v/>
      </c>
      <c r="C1626">
        <f>IF('Entry Builder'!$N$9=0,1,IF('Entry Builder'!$D$9="Less",--(INDEX(Sims!$A1626:$BO1626,'Entry Builder'!$L$9)&lt;'Entry Builder'!$E$9),--(INDEX(Sims!$A1626:$BO1626,'Entry Builder'!$L$9)&gt;'Entry Builder'!$E$9)))</f>
        <v/>
      </c>
      <c r="D1626">
        <f>IF('Entry Builder'!$N$10=0,1,IF('Entry Builder'!$D$10="Less",--(INDEX(Sims!$A1626:$BO1626,'Entry Builder'!$L$10)&lt;'Entry Builder'!$E$10),--(INDEX(Sims!$A1626:$BO1626,'Entry Builder'!$L$10)&gt;'Entry Builder'!$E$10)))</f>
        <v/>
      </c>
      <c r="E1626">
        <f>IF('Entry Builder'!$N$11=0,1,IF('Entry Builder'!$D$11="Less",--(INDEX(Sims!$A1626:$BO1626,'Entry Builder'!$L$11)&lt;'Entry Builder'!$E$11),--(INDEX(Sims!$A1626:$BO1626,'Entry Builder'!$L$11)&gt;'Entry Builder'!$E$11)))</f>
        <v/>
      </c>
      <c r="F1626">
        <f>IF('Entry Builder'!$N$12=0,1,IF('Entry Builder'!$D$12="Less",--(INDEX(Sims!$A1626:$BO1626,'Entry Builder'!$L$12)&lt;'Entry Builder'!$E$12),--(INDEX(Sims!$A1626:$BO1626,'Entry Builder'!$L$12)&gt;'Entry Builder'!$E$12)))</f>
        <v/>
      </c>
      <c r="G1626">
        <f>6-SUM(A1626:F1626)</f>
        <v/>
      </c>
    </row>
    <row r="1627">
      <c r="A1627">
        <f>IF('Entry Builder'!$N$7=0,1,IF('Entry Builder'!$D$7="Less",--(INDEX(Sims!$A1627:$BO1627,'Entry Builder'!$L$7)&lt;'Entry Builder'!$E$7),--(INDEX(Sims!$A1627:$BO1627,'Entry Builder'!$L$7)&gt;'Entry Builder'!$E$7)))</f>
        <v/>
      </c>
      <c r="B1627">
        <f>IF('Entry Builder'!$N$8=0,1,IF('Entry Builder'!$D$8="Less",--(INDEX(Sims!$A1627:$BO1627,'Entry Builder'!$L$8)&lt;'Entry Builder'!$E$8),--(INDEX(Sims!$A1627:$BO1627,'Entry Builder'!$L$8)&gt;'Entry Builder'!$E$8)))</f>
        <v/>
      </c>
      <c r="C1627">
        <f>IF('Entry Builder'!$N$9=0,1,IF('Entry Builder'!$D$9="Less",--(INDEX(Sims!$A1627:$BO1627,'Entry Builder'!$L$9)&lt;'Entry Builder'!$E$9),--(INDEX(Sims!$A1627:$BO1627,'Entry Builder'!$L$9)&gt;'Entry Builder'!$E$9)))</f>
        <v/>
      </c>
      <c r="D1627">
        <f>IF('Entry Builder'!$N$10=0,1,IF('Entry Builder'!$D$10="Less",--(INDEX(Sims!$A1627:$BO1627,'Entry Builder'!$L$10)&lt;'Entry Builder'!$E$10),--(INDEX(Sims!$A1627:$BO1627,'Entry Builder'!$L$10)&gt;'Entry Builder'!$E$10)))</f>
        <v/>
      </c>
      <c r="E1627">
        <f>IF('Entry Builder'!$N$11=0,1,IF('Entry Builder'!$D$11="Less",--(INDEX(Sims!$A1627:$BO1627,'Entry Builder'!$L$11)&lt;'Entry Builder'!$E$11),--(INDEX(Sims!$A1627:$BO1627,'Entry Builder'!$L$11)&gt;'Entry Builder'!$E$11)))</f>
        <v/>
      </c>
      <c r="F1627">
        <f>IF('Entry Builder'!$N$12=0,1,IF('Entry Builder'!$D$12="Less",--(INDEX(Sims!$A1627:$BO1627,'Entry Builder'!$L$12)&lt;'Entry Builder'!$E$12),--(INDEX(Sims!$A1627:$BO1627,'Entry Builder'!$L$12)&gt;'Entry Builder'!$E$12)))</f>
        <v/>
      </c>
      <c r="G1627">
        <f>6-SUM(A1627:F1627)</f>
        <v/>
      </c>
    </row>
    <row r="1628">
      <c r="A1628">
        <f>IF('Entry Builder'!$N$7=0,1,IF('Entry Builder'!$D$7="Less",--(INDEX(Sims!$A1628:$BO1628,'Entry Builder'!$L$7)&lt;'Entry Builder'!$E$7),--(INDEX(Sims!$A1628:$BO1628,'Entry Builder'!$L$7)&gt;'Entry Builder'!$E$7)))</f>
        <v/>
      </c>
      <c r="B1628">
        <f>IF('Entry Builder'!$N$8=0,1,IF('Entry Builder'!$D$8="Less",--(INDEX(Sims!$A1628:$BO1628,'Entry Builder'!$L$8)&lt;'Entry Builder'!$E$8),--(INDEX(Sims!$A1628:$BO1628,'Entry Builder'!$L$8)&gt;'Entry Builder'!$E$8)))</f>
        <v/>
      </c>
      <c r="C1628">
        <f>IF('Entry Builder'!$N$9=0,1,IF('Entry Builder'!$D$9="Less",--(INDEX(Sims!$A1628:$BO1628,'Entry Builder'!$L$9)&lt;'Entry Builder'!$E$9),--(INDEX(Sims!$A1628:$BO1628,'Entry Builder'!$L$9)&gt;'Entry Builder'!$E$9)))</f>
        <v/>
      </c>
      <c r="D1628">
        <f>IF('Entry Builder'!$N$10=0,1,IF('Entry Builder'!$D$10="Less",--(INDEX(Sims!$A1628:$BO1628,'Entry Builder'!$L$10)&lt;'Entry Builder'!$E$10),--(INDEX(Sims!$A1628:$BO1628,'Entry Builder'!$L$10)&gt;'Entry Builder'!$E$10)))</f>
        <v/>
      </c>
      <c r="E1628">
        <f>IF('Entry Builder'!$N$11=0,1,IF('Entry Builder'!$D$11="Less",--(INDEX(Sims!$A1628:$BO1628,'Entry Builder'!$L$11)&lt;'Entry Builder'!$E$11),--(INDEX(Sims!$A1628:$BO1628,'Entry Builder'!$L$11)&gt;'Entry Builder'!$E$11)))</f>
        <v/>
      </c>
      <c r="F1628">
        <f>IF('Entry Builder'!$N$12=0,1,IF('Entry Builder'!$D$12="Less",--(INDEX(Sims!$A1628:$BO1628,'Entry Builder'!$L$12)&lt;'Entry Builder'!$E$12),--(INDEX(Sims!$A1628:$BO1628,'Entry Builder'!$L$12)&gt;'Entry Builder'!$E$12)))</f>
        <v/>
      </c>
      <c r="G1628">
        <f>6-SUM(A1628:F1628)</f>
        <v/>
      </c>
    </row>
    <row r="1629">
      <c r="A1629">
        <f>IF('Entry Builder'!$N$7=0,1,IF('Entry Builder'!$D$7="Less",--(INDEX(Sims!$A1629:$BO1629,'Entry Builder'!$L$7)&lt;'Entry Builder'!$E$7),--(INDEX(Sims!$A1629:$BO1629,'Entry Builder'!$L$7)&gt;'Entry Builder'!$E$7)))</f>
        <v/>
      </c>
      <c r="B1629">
        <f>IF('Entry Builder'!$N$8=0,1,IF('Entry Builder'!$D$8="Less",--(INDEX(Sims!$A1629:$BO1629,'Entry Builder'!$L$8)&lt;'Entry Builder'!$E$8),--(INDEX(Sims!$A1629:$BO1629,'Entry Builder'!$L$8)&gt;'Entry Builder'!$E$8)))</f>
        <v/>
      </c>
      <c r="C1629">
        <f>IF('Entry Builder'!$N$9=0,1,IF('Entry Builder'!$D$9="Less",--(INDEX(Sims!$A1629:$BO1629,'Entry Builder'!$L$9)&lt;'Entry Builder'!$E$9),--(INDEX(Sims!$A1629:$BO1629,'Entry Builder'!$L$9)&gt;'Entry Builder'!$E$9)))</f>
        <v/>
      </c>
      <c r="D1629">
        <f>IF('Entry Builder'!$N$10=0,1,IF('Entry Builder'!$D$10="Less",--(INDEX(Sims!$A1629:$BO1629,'Entry Builder'!$L$10)&lt;'Entry Builder'!$E$10),--(INDEX(Sims!$A1629:$BO1629,'Entry Builder'!$L$10)&gt;'Entry Builder'!$E$10)))</f>
        <v/>
      </c>
      <c r="E1629">
        <f>IF('Entry Builder'!$N$11=0,1,IF('Entry Builder'!$D$11="Less",--(INDEX(Sims!$A1629:$BO1629,'Entry Builder'!$L$11)&lt;'Entry Builder'!$E$11),--(INDEX(Sims!$A1629:$BO1629,'Entry Builder'!$L$11)&gt;'Entry Builder'!$E$11)))</f>
        <v/>
      </c>
      <c r="F1629">
        <f>IF('Entry Builder'!$N$12=0,1,IF('Entry Builder'!$D$12="Less",--(INDEX(Sims!$A1629:$BO1629,'Entry Builder'!$L$12)&lt;'Entry Builder'!$E$12),--(INDEX(Sims!$A1629:$BO1629,'Entry Builder'!$L$12)&gt;'Entry Builder'!$E$12)))</f>
        <v/>
      </c>
      <c r="G1629">
        <f>6-SUM(A1629:F1629)</f>
        <v/>
      </c>
    </row>
    <row r="1630">
      <c r="A1630">
        <f>IF('Entry Builder'!$N$7=0,1,IF('Entry Builder'!$D$7="Less",--(INDEX(Sims!$A1630:$BO1630,'Entry Builder'!$L$7)&lt;'Entry Builder'!$E$7),--(INDEX(Sims!$A1630:$BO1630,'Entry Builder'!$L$7)&gt;'Entry Builder'!$E$7)))</f>
        <v/>
      </c>
      <c r="B1630">
        <f>IF('Entry Builder'!$N$8=0,1,IF('Entry Builder'!$D$8="Less",--(INDEX(Sims!$A1630:$BO1630,'Entry Builder'!$L$8)&lt;'Entry Builder'!$E$8),--(INDEX(Sims!$A1630:$BO1630,'Entry Builder'!$L$8)&gt;'Entry Builder'!$E$8)))</f>
        <v/>
      </c>
      <c r="C1630">
        <f>IF('Entry Builder'!$N$9=0,1,IF('Entry Builder'!$D$9="Less",--(INDEX(Sims!$A1630:$BO1630,'Entry Builder'!$L$9)&lt;'Entry Builder'!$E$9),--(INDEX(Sims!$A1630:$BO1630,'Entry Builder'!$L$9)&gt;'Entry Builder'!$E$9)))</f>
        <v/>
      </c>
      <c r="D1630">
        <f>IF('Entry Builder'!$N$10=0,1,IF('Entry Builder'!$D$10="Less",--(INDEX(Sims!$A1630:$BO1630,'Entry Builder'!$L$10)&lt;'Entry Builder'!$E$10),--(INDEX(Sims!$A1630:$BO1630,'Entry Builder'!$L$10)&gt;'Entry Builder'!$E$10)))</f>
        <v/>
      </c>
      <c r="E1630">
        <f>IF('Entry Builder'!$N$11=0,1,IF('Entry Builder'!$D$11="Less",--(INDEX(Sims!$A1630:$BO1630,'Entry Builder'!$L$11)&lt;'Entry Builder'!$E$11),--(INDEX(Sims!$A1630:$BO1630,'Entry Builder'!$L$11)&gt;'Entry Builder'!$E$11)))</f>
        <v/>
      </c>
      <c r="F1630">
        <f>IF('Entry Builder'!$N$12=0,1,IF('Entry Builder'!$D$12="Less",--(INDEX(Sims!$A1630:$BO1630,'Entry Builder'!$L$12)&lt;'Entry Builder'!$E$12),--(INDEX(Sims!$A1630:$BO1630,'Entry Builder'!$L$12)&gt;'Entry Builder'!$E$12)))</f>
        <v/>
      </c>
      <c r="G1630">
        <f>6-SUM(A1630:F1630)</f>
        <v/>
      </c>
    </row>
    <row r="1631">
      <c r="A1631">
        <f>IF('Entry Builder'!$N$7=0,1,IF('Entry Builder'!$D$7="Less",--(INDEX(Sims!$A1631:$BO1631,'Entry Builder'!$L$7)&lt;'Entry Builder'!$E$7),--(INDEX(Sims!$A1631:$BO1631,'Entry Builder'!$L$7)&gt;'Entry Builder'!$E$7)))</f>
        <v/>
      </c>
      <c r="B1631">
        <f>IF('Entry Builder'!$N$8=0,1,IF('Entry Builder'!$D$8="Less",--(INDEX(Sims!$A1631:$BO1631,'Entry Builder'!$L$8)&lt;'Entry Builder'!$E$8),--(INDEX(Sims!$A1631:$BO1631,'Entry Builder'!$L$8)&gt;'Entry Builder'!$E$8)))</f>
        <v/>
      </c>
      <c r="C1631">
        <f>IF('Entry Builder'!$N$9=0,1,IF('Entry Builder'!$D$9="Less",--(INDEX(Sims!$A1631:$BO1631,'Entry Builder'!$L$9)&lt;'Entry Builder'!$E$9),--(INDEX(Sims!$A1631:$BO1631,'Entry Builder'!$L$9)&gt;'Entry Builder'!$E$9)))</f>
        <v/>
      </c>
      <c r="D1631">
        <f>IF('Entry Builder'!$N$10=0,1,IF('Entry Builder'!$D$10="Less",--(INDEX(Sims!$A1631:$BO1631,'Entry Builder'!$L$10)&lt;'Entry Builder'!$E$10),--(INDEX(Sims!$A1631:$BO1631,'Entry Builder'!$L$10)&gt;'Entry Builder'!$E$10)))</f>
        <v/>
      </c>
      <c r="E1631">
        <f>IF('Entry Builder'!$N$11=0,1,IF('Entry Builder'!$D$11="Less",--(INDEX(Sims!$A1631:$BO1631,'Entry Builder'!$L$11)&lt;'Entry Builder'!$E$11),--(INDEX(Sims!$A1631:$BO1631,'Entry Builder'!$L$11)&gt;'Entry Builder'!$E$11)))</f>
        <v/>
      </c>
      <c r="F1631">
        <f>IF('Entry Builder'!$N$12=0,1,IF('Entry Builder'!$D$12="Less",--(INDEX(Sims!$A1631:$BO1631,'Entry Builder'!$L$12)&lt;'Entry Builder'!$E$12),--(INDEX(Sims!$A1631:$BO1631,'Entry Builder'!$L$12)&gt;'Entry Builder'!$E$12)))</f>
        <v/>
      </c>
      <c r="G1631">
        <f>6-SUM(A1631:F1631)</f>
        <v/>
      </c>
    </row>
    <row r="1632">
      <c r="A1632">
        <f>IF('Entry Builder'!$N$7=0,1,IF('Entry Builder'!$D$7="Less",--(INDEX(Sims!$A1632:$BO1632,'Entry Builder'!$L$7)&lt;'Entry Builder'!$E$7),--(INDEX(Sims!$A1632:$BO1632,'Entry Builder'!$L$7)&gt;'Entry Builder'!$E$7)))</f>
        <v/>
      </c>
      <c r="B1632">
        <f>IF('Entry Builder'!$N$8=0,1,IF('Entry Builder'!$D$8="Less",--(INDEX(Sims!$A1632:$BO1632,'Entry Builder'!$L$8)&lt;'Entry Builder'!$E$8),--(INDEX(Sims!$A1632:$BO1632,'Entry Builder'!$L$8)&gt;'Entry Builder'!$E$8)))</f>
        <v/>
      </c>
      <c r="C1632">
        <f>IF('Entry Builder'!$N$9=0,1,IF('Entry Builder'!$D$9="Less",--(INDEX(Sims!$A1632:$BO1632,'Entry Builder'!$L$9)&lt;'Entry Builder'!$E$9),--(INDEX(Sims!$A1632:$BO1632,'Entry Builder'!$L$9)&gt;'Entry Builder'!$E$9)))</f>
        <v/>
      </c>
      <c r="D1632">
        <f>IF('Entry Builder'!$N$10=0,1,IF('Entry Builder'!$D$10="Less",--(INDEX(Sims!$A1632:$BO1632,'Entry Builder'!$L$10)&lt;'Entry Builder'!$E$10),--(INDEX(Sims!$A1632:$BO1632,'Entry Builder'!$L$10)&gt;'Entry Builder'!$E$10)))</f>
        <v/>
      </c>
      <c r="E1632">
        <f>IF('Entry Builder'!$N$11=0,1,IF('Entry Builder'!$D$11="Less",--(INDEX(Sims!$A1632:$BO1632,'Entry Builder'!$L$11)&lt;'Entry Builder'!$E$11),--(INDEX(Sims!$A1632:$BO1632,'Entry Builder'!$L$11)&gt;'Entry Builder'!$E$11)))</f>
        <v/>
      </c>
      <c r="F1632">
        <f>IF('Entry Builder'!$N$12=0,1,IF('Entry Builder'!$D$12="Less",--(INDEX(Sims!$A1632:$BO1632,'Entry Builder'!$L$12)&lt;'Entry Builder'!$E$12),--(INDEX(Sims!$A1632:$BO1632,'Entry Builder'!$L$12)&gt;'Entry Builder'!$E$12)))</f>
        <v/>
      </c>
      <c r="G1632">
        <f>6-SUM(A1632:F1632)</f>
        <v/>
      </c>
    </row>
    <row r="1633">
      <c r="A1633">
        <f>IF('Entry Builder'!$N$7=0,1,IF('Entry Builder'!$D$7="Less",--(INDEX(Sims!$A1633:$BO1633,'Entry Builder'!$L$7)&lt;'Entry Builder'!$E$7),--(INDEX(Sims!$A1633:$BO1633,'Entry Builder'!$L$7)&gt;'Entry Builder'!$E$7)))</f>
        <v/>
      </c>
      <c r="B1633">
        <f>IF('Entry Builder'!$N$8=0,1,IF('Entry Builder'!$D$8="Less",--(INDEX(Sims!$A1633:$BO1633,'Entry Builder'!$L$8)&lt;'Entry Builder'!$E$8),--(INDEX(Sims!$A1633:$BO1633,'Entry Builder'!$L$8)&gt;'Entry Builder'!$E$8)))</f>
        <v/>
      </c>
      <c r="C1633">
        <f>IF('Entry Builder'!$N$9=0,1,IF('Entry Builder'!$D$9="Less",--(INDEX(Sims!$A1633:$BO1633,'Entry Builder'!$L$9)&lt;'Entry Builder'!$E$9),--(INDEX(Sims!$A1633:$BO1633,'Entry Builder'!$L$9)&gt;'Entry Builder'!$E$9)))</f>
        <v/>
      </c>
      <c r="D1633">
        <f>IF('Entry Builder'!$N$10=0,1,IF('Entry Builder'!$D$10="Less",--(INDEX(Sims!$A1633:$BO1633,'Entry Builder'!$L$10)&lt;'Entry Builder'!$E$10),--(INDEX(Sims!$A1633:$BO1633,'Entry Builder'!$L$10)&gt;'Entry Builder'!$E$10)))</f>
        <v/>
      </c>
      <c r="E1633">
        <f>IF('Entry Builder'!$N$11=0,1,IF('Entry Builder'!$D$11="Less",--(INDEX(Sims!$A1633:$BO1633,'Entry Builder'!$L$11)&lt;'Entry Builder'!$E$11),--(INDEX(Sims!$A1633:$BO1633,'Entry Builder'!$L$11)&gt;'Entry Builder'!$E$11)))</f>
        <v/>
      </c>
      <c r="F1633">
        <f>IF('Entry Builder'!$N$12=0,1,IF('Entry Builder'!$D$12="Less",--(INDEX(Sims!$A1633:$BO1633,'Entry Builder'!$L$12)&lt;'Entry Builder'!$E$12),--(INDEX(Sims!$A1633:$BO1633,'Entry Builder'!$L$12)&gt;'Entry Builder'!$E$12)))</f>
        <v/>
      </c>
      <c r="G1633">
        <f>6-SUM(A1633:F1633)</f>
        <v/>
      </c>
    </row>
    <row r="1634">
      <c r="A1634">
        <f>IF('Entry Builder'!$N$7=0,1,IF('Entry Builder'!$D$7="Less",--(INDEX(Sims!$A1634:$BO1634,'Entry Builder'!$L$7)&lt;'Entry Builder'!$E$7),--(INDEX(Sims!$A1634:$BO1634,'Entry Builder'!$L$7)&gt;'Entry Builder'!$E$7)))</f>
        <v/>
      </c>
      <c r="B1634">
        <f>IF('Entry Builder'!$N$8=0,1,IF('Entry Builder'!$D$8="Less",--(INDEX(Sims!$A1634:$BO1634,'Entry Builder'!$L$8)&lt;'Entry Builder'!$E$8),--(INDEX(Sims!$A1634:$BO1634,'Entry Builder'!$L$8)&gt;'Entry Builder'!$E$8)))</f>
        <v/>
      </c>
      <c r="C1634">
        <f>IF('Entry Builder'!$N$9=0,1,IF('Entry Builder'!$D$9="Less",--(INDEX(Sims!$A1634:$BO1634,'Entry Builder'!$L$9)&lt;'Entry Builder'!$E$9),--(INDEX(Sims!$A1634:$BO1634,'Entry Builder'!$L$9)&gt;'Entry Builder'!$E$9)))</f>
        <v/>
      </c>
      <c r="D1634">
        <f>IF('Entry Builder'!$N$10=0,1,IF('Entry Builder'!$D$10="Less",--(INDEX(Sims!$A1634:$BO1634,'Entry Builder'!$L$10)&lt;'Entry Builder'!$E$10),--(INDEX(Sims!$A1634:$BO1634,'Entry Builder'!$L$10)&gt;'Entry Builder'!$E$10)))</f>
        <v/>
      </c>
      <c r="E1634">
        <f>IF('Entry Builder'!$N$11=0,1,IF('Entry Builder'!$D$11="Less",--(INDEX(Sims!$A1634:$BO1634,'Entry Builder'!$L$11)&lt;'Entry Builder'!$E$11),--(INDEX(Sims!$A1634:$BO1634,'Entry Builder'!$L$11)&gt;'Entry Builder'!$E$11)))</f>
        <v/>
      </c>
      <c r="F1634">
        <f>IF('Entry Builder'!$N$12=0,1,IF('Entry Builder'!$D$12="Less",--(INDEX(Sims!$A1634:$BO1634,'Entry Builder'!$L$12)&lt;'Entry Builder'!$E$12),--(INDEX(Sims!$A1634:$BO1634,'Entry Builder'!$L$12)&gt;'Entry Builder'!$E$12)))</f>
        <v/>
      </c>
      <c r="G1634">
        <f>6-SUM(A1634:F1634)</f>
        <v/>
      </c>
    </row>
    <row r="1635">
      <c r="A1635">
        <f>IF('Entry Builder'!$N$7=0,1,IF('Entry Builder'!$D$7="Less",--(INDEX(Sims!$A1635:$BO1635,'Entry Builder'!$L$7)&lt;'Entry Builder'!$E$7),--(INDEX(Sims!$A1635:$BO1635,'Entry Builder'!$L$7)&gt;'Entry Builder'!$E$7)))</f>
        <v/>
      </c>
      <c r="B1635">
        <f>IF('Entry Builder'!$N$8=0,1,IF('Entry Builder'!$D$8="Less",--(INDEX(Sims!$A1635:$BO1635,'Entry Builder'!$L$8)&lt;'Entry Builder'!$E$8),--(INDEX(Sims!$A1635:$BO1635,'Entry Builder'!$L$8)&gt;'Entry Builder'!$E$8)))</f>
        <v/>
      </c>
      <c r="C1635">
        <f>IF('Entry Builder'!$N$9=0,1,IF('Entry Builder'!$D$9="Less",--(INDEX(Sims!$A1635:$BO1635,'Entry Builder'!$L$9)&lt;'Entry Builder'!$E$9),--(INDEX(Sims!$A1635:$BO1635,'Entry Builder'!$L$9)&gt;'Entry Builder'!$E$9)))</f>
        <v/>
      </c>
      <c r="D1635">
        <f>IF('Entry Builder'!$N$10=0,1,IF('Entry Builder'!$D$10="Less",--(INDEX(Sims!$A1635:$BO1635,'Entry Builder'!$L$10)&lt;'Entry Builder'!$E$10),--(INDEX(Sims!$A1635:$BO1635,'Entry Builder'!$L$10)&gt;'Entry Builder'!$E$10)))</f>
        <v/>
      </c>
      <c r="E1635">
        <f>IF('Entry Builder'!$N$11=0,1,IF('Entry Builder'!$D$11="Less",--(INDEX(Sims!$A1635:$BO1635,'Entry Builder'!$L$11)&lt;'Entry Builder'!$E$11),--(INDEX(Sims!$A1635:$BO1635,'Entry Builder'!$L$11)&gt;'Entry Builder'!$E$11)))</f>
        <v/>
      </c>
      <c r="F1635">
        <f>IF('Entry Builder'!$N$12=0,1,IF('Entry Builder'!$D$12="Less",--(INDEX(Sims!$A1635:$BO1635,'Entry Builder'!$L$12)&lt;'Entry Builder'!$E$12),--(INDEX(Sims!$A1635:$BO1635,'Entry Builder'!$L$12)&gt;'Entry Builder'!$E$12)))</f>
        <v/>
      </c>
      <c r="G1635">
        <f>6-SUM(A1635:F1635)</f>
        <v/>
      </c>
    </row>
    <row r="1636">
      <c r="A1636">
        <f>IF('Entry Builder'!$N$7=0,1,IF('Entry Builder'!$D$7="Less",--(INDEX(Sims!$A1636:$BO1636,'Entry Builder'!$L$7)&lt;'Entry Builder'!$E$7),--(INDEX(Sims!$A1636:$BO1636,'Entry Builder'!$L$7)&gt;'Entry Builder'!$E$7)))</f>
        <v/>
      </c>
      <c r="B1636">
        <f>IF('Entry Builder'!$N$8=0,1,IF('Entry Builder'!$D$8="Less",--(INDEX(Sims!$A1636:$BO1636,'Entry Builder'!$L$8)&lt;'Entry Builder'!$E$8),--(INDEX(Sims!$A1636:$BO1636,'Entry Builder'!$L$8)&gt;'Entry Builder'!$E$8)))</f>
        <v/>
      </c>
      <c r="C1636">
        <f>IF('Entry Builder'!$N$9=0,1,IF('Entry Builder'!$D$9="Less",--(INDEX(Sims!$A1636:$BO1636,'Entry Builder'!$L$9)&lt;'Entry Builder'!$E$9),--(INDEX(Sims!$A1636:$BO1636,'Entry Builder'!$L$9)&gt;'Entry Builder'!$E$9)))</f>
        <v/>
      </c>
      <c r="D1636">
        <f>IF('Entry Builder'!$N$10=0,1,IF('Entry Builder'!$D$10="Less",--(INDEX(Sims!$A1636:$BO1636,'Entry Builder'!$L$10)&lt;'Entry Builder'!$E$10),--(INDEX(Sims!$A1636:$BO1636,'Entry Builder'!$L$10)&gt;'Entry Builder'!$E$10)))</f>
        <v/>
      </c>
      <c r="E1636">
        <f>IF('Entry Builder'!$N$11=0,1,IF('Entry Builder'!$D$11="Less",--(INDEX(Sims!$A1636:$BO1636,'Entry Builder'!$L$11)&lt;'Entry Builder'!$E$11),--(INDEX(Sims!$A1636:$BO1636,'Entry Builder'!$L$11)&gt;'Entry Builder'!$E$11)))</f>
        <v/>
      </c>
      <c r="F1636">
        <f>IF('Entry Builder'!$N$12=0,1,IF('Entry Builder'!$D$12="Less",--(INDEX(Sims!$A1636:$BO1636,'Entry Builder'!$L$12)&lt;'Entry Builder'!$E$12),--(INDEX(Sims!$A1636:$BO1636,'Entry Builder'!$L$12)&gt;'Entry Builder'!$E$12)))</f>
        <v/>
      </c>
      <c r="G1636">
        <f>6-SUM(A1636:F1636)</f>
        <v/>
      </c>
    </row>
    <row r="1637">
      <c r="A1637">
        <f>IF('Entry Builder'!$N$7=0,1,IF('Entry Builder'!$D$7="Less",--(INDEX(Sims!$A1637:$BO1637,'Entry Builder'!$L$7)&lt;'Entry Builder'!$E$7),--(INDEX(Sims!$A1637:$BO1637,'Entry Builder'!$L$7)&gt;'Entry Builder'!$E$7)))</f>
        <v/>
      </c>
      <c r="B1637">
        <f>IF('Entry Builder'!$N$8=0,1,IF('Entry Builder'!$D$8="Less",--(INDEX(Sims!$A1637:$BO1637,'Entry Builder'!$L$8)&lt;'Entry Builder'!$E$8),--(INDEX(Sims!$A1637:$BO1637,'Entry Builder'!$L$8)&gt;'Entry Builder'!$E$8)))</f>
        <v/>
      </c>
      <c r="C1637">
        <f>IF('Entry Builder'!$N$9=0,1,IF('Entry Builder'!$D$9="Less",--(INDEX(Sims!$A1637:$BO1637,'Entry Builder'!$L$9)&lt;'Entry Builder'!$E$9),--(INDEX(Sims!$A1637:$BO1637,'Entry Builder'!$L$9)&gt;'Entry Builder'!$E$9)))</f>
        <v/>
      </c>
      <c r="D1637">
        <f>IF('Entry Builder'!$N$10=0,1,IF('Entry Builder'!$D$10="Less",--(INDEX(Sims!$A1637:$BO1637,'Entry Builder'!$L$10)&lt;'Entry Builder'!$E$10),--(INDEX(Sims!$A1637:$BO1637,'Entry Builder'!$L$10)&gt;'Entry Builder'!$E$10)))</f>
        <v/>
      </c>
      <c r="E1637">
        <f>IF('Entry Builder'!$N$11=0,1,IF('Entry Builder'!$D$11="Less",--(INDEX(Sims!$A1637:$BO1637,'Entry Builder'!$L$11)&lt;'Entry Builder'!$E$11),--(INDEX(Sims!$A1637:$BO1637,'Entry Builder'!$L$11)&gt;'Entry Builder'!$E$11)))</f>
        <v/>
      </c>
      <c r="F1637">
        <f>IF('Entry Builder'!$N$12=0,1,IF('Entry Builder'!$D$12="Less",--(INDEX(Sims!$A1637:$BO1637,'Entry Builder'!$L$12)&lt;'Entry Builder'!$E$12),--(INDEX(Sims!$A1637:$BO1637,'Entry Builder'!$L$12)&gt;'Entry Builder'!$E$12)))</f>
        <v/>
      </c>
      <c r="G1637">
        <f>6-SUM(A1637:F1637)</f>
        <v/>
      </c>
    </row>
    <row r="1638">
      <c r="A1638">
        <f>IF('Entry Builder'!$N$7=0,1,IF('Entry Builder'!$D$7="Less",--(INDEX(Sims!$A1638:$BO1638,'Entry Builder'!$L$7)&lt;'Entry Builder'!$E$7),--(INDEX(Sims!$A1638:$BO1638,'Entry Builder'!$L$7)&gt;'Entry Builder'!$E$7)))</f>
        <v/>
      </c>
      <c r="B1638">
        <f>IF('Entry Builder'!$N$8=0,1,IF('Entry Builder'!$D$8="Less",--(INDEX(Sims!$A1638:$BO1638,'Entry Builder'!$L$8)&lt;'Entry Builder'!$E$8),--(INDEX(Sims!$A1638:$BO1638,'Entry Builder'!$L$8)&gt;'Entry Builder'!$E$8)))</f>
        <v/>
      </c>
      <c r="C1638">
        <f>IF('Entry Builder'!$N$9=0,1,IF('Entry Builder'!$D$9="Less",--(INDEX(Sims!$A1638:$BO1638,'Entry Builder'!$L$9)&lt;'Entry Builder'!$E$9),--(INDEX(Sims!$A1638:$BO1638,'Entry Builder'!$L$9)&gt;'Entry Builder'!$E$9)))</f>
        <v/>
      </c>
      <c r="D1638">
        <f>IF('Entry Builder'!$N$10=0,1,IF('Entry Builder'!$D$10="Less",--(INDEX(Sims!$A1638:$BO1638,'Entry Builder'!$L$10)&lt;'Entry Builder'!$E$10),--(INDEX(Sims!$A1638:$BO1638,'Entry Builder'!$L$10)&gt;'Entry Builder'!$E$10)))</f>
        <v/>
      </c>
      <c r="E1638">
        <f>IF('Entry Builder'!$N$11=0,1,IF('Entry Builder'!$D$11="Less",--(INDEX(Sims!$A1638:$BO1638,'Entry Builder'!$L$11)&lt;'Entry Builder'!$E$11),--(INDEX(Sims!$A1638:$BO1638,'Entry Builder'!$L$11)&gt;'Entry Builder'!$E$11)))</f>
        <v/>
      </c>
      <c r="F1638">
        <f>IF('Entry Builder'!$N$12=0,1,IF('Entry Builder'!$D$12="Less",--(INDEX(Sims!$A1638:$BO1638,'Entry Builder'!$L$12)&lt;'Entry Builder'!$E$12),--(INDEX(Sims!$A1638:$BO1638,'Entry Builder'!$L$12)&gt;'Entry Builder'!$E$12)))</f>
        <v/>
      </c>
      <c r="G1638">
        <f>6-SUM(A1638:F1638)</f>
        <v/>
      </c>
    </row>
    <row r="1639">
      <c r="A1639">
        <f>IF('Entry Builder'!$N$7=0,1,IF('Entry Builder'!$D$7="Less",--(INDEX(Sims!$A1639:$BO1639,'Entry Builder'!$L$7)&lt;'Entry Builder'!$E$7),--(INDEX(Sims!$A1639:$BO1639,'Entry Builder'!$L$7)&gt;'Entry Builder'!$E$7)))</f>
        <v/>
      </c>
      <c r="B1639">
        <f>IF('Entry Builder'!$N$8=0,1,IF('Entry Builder'!$D$8="Less",--(INDEX(Sims!$A1639:$BO1639,'Entry Builder'!$L$8)&lt;'Entry Builder'!$E$8),--(INDEX(Sims!$A1639:$BO1639,'Entry Builder'!$L$8)&gt;'Entry Builder'!$E$8)))</f>
        <v/>
      </c>
      <c r="C1639">
        <f>IF('Entry Builder'!$N$9=0,1,IF('Entry Builder'!$D$9="Less",--(INDEX(Sims!$A1639:$BO1639,'Entry Builder'!$L$9)&lt;'Entry Builder'!$E$9),--(INDEX(Sims!$A1639:$BO1639,'Entry Builder'!$L$9)&gt;'Entry Builder'!$E$9)))</f>
        <v/>
      </c>
      <c r="D1639">
        <f>IF('Entry Builder'!$N$10=0,1,IF('Entry Builder'!$D$10="Less",--(INDEX(Sims!$A1639:$BO1639,'Entry Builder'!$L$10)&lt;'Entry Builder'!$E$10),--(INDEX(Sims!$A1639:$BO1639,'Entry Builder'!$L$10)&gt;'Entry Builder'!$E$10)))</f>
        <v/>
      </c>
      <c r="E1639">
        <f>IF('Entry Builder'!$N$11=0,1,IF('Entry Builder'!$D$11="Less",--(INDEX(Sims!$A1639:$BO1639,'Entry Builder'!$L$11)&lt;'Entry Builder'!$E$11),--(INDEX(Sims!$A1639:$BO1639,'Entry Builder'!$L$11)&gt;'Entry Builder'!$E$11)))</f>
        <v/>
      </c>
      <c r="F1639">
        <f>IF('Entry Builder'!$N$12=0,1,IF('Entry Builder'!$D$12="Less",--(INDEX(Sims!$A1639:$BO1639,'Entry Builder'!$L$12)&lt;'Entry Builder'!$E$12),--(INDEX(Sims!$A1639:$BO1639,'Entry Builder'!$L$12)&gt;'Entry Builder'!$E$12)))</f>
        <v/>
      </c>
      <c r="G1639">
        <f>6-SUM(A1639:F1639)</f>
        <v/>
      </c>
    </row>
    <row r="1640">
      <c r="A1640">
        <f>IF('Entry Builder'!$N$7=0,1,IF('Entry Builder'!$D$7="Less",--(INDEX(Sims!$A1640:$BO1640,'Entry Builder'!$L$7)&lt;'Entry Builder'!$E$7),--(INDEX(Sims!$A1640:$BO1640,'Entry Builder'!$L$7)&gt;'Entry Builder'!$E$7)))</f>
        <v/>
      </c>
      <c r="B1640">
        <f>IF('Entry Builder'!$N$8=0,1,IF('Entry Builder'!$D$8="Less",--(INDEX(Sims!$A1640:$BO1640,'Entry Builder'!$L$8)&lt;'Entry Builder'!$E$8),--(INDEX(Sims!$A1640:$BO1640,'Entry Builder'!$L$8)&gt;'Entry Builder'!$E$8)))</f>
        <v/>
      </c>
      <c r="C1640">
        <f>IF('Entry Builder'!$N$9=0,1,IF('Entry Builder'!$D$9="Less",--(INDEX(Sims!$A1640:$BO1640,'Entry Builder'!$L$9)&lt;'Entry Builder'!$E$9),--(INDEX(Sims!$A1640:$BO1640,'Entry Builder'!$L$9)&gt;'Entry Builder'!$E$9)))</f>
        <v/>
      </c>
      <c r="D1640">
        <f>IF('Entry Builder'!$N$10=0,1,IF('Entry Builder'!$D$10="Less",--(INDEX(Sims!$A1640:$BO1640,'Entry Builder'!$L$10)&lt;'Entry Builder'!$E$10),--(INDEX(Sims!$A1640:$BO1640,'Entry Builder'!$L$10)&gt;'Entry Builder'!$E$10)))</f>
        <v/>
      </c>
      <c r="E1640">
        <f>IF('Entry Builder'!$N$11=0,1,IF('Entry Builder'!$D$11="Less",--(INDEX(Sims!$A1640:$BO1640,'Entry Builder'!$L$11)&lt;'Entry Builder'!$E$11),--(INDEX(Sims!$A1640:$BO1640,'Entry Builder'!$L$11)&gt;'Entry Builder'!$E$11)))</f>
        <v/>
      </c>
      <c r="F1640">
        <f>IF('Entry Builder'!$N$12=0,1,IF('Entry Builder'!$D$12="Less",--(INDEX(Sims!$A1640:$BO1640,'Entry Builder'!$L$12)&lt;'Entry Builder'!$E$12),--(INDEX(Sims!$A1640:$BO1640,'Entry Builder'!$L$12)&gt;'Entry Builder'!$E$12)))</f>
        <v/>
      </c>
      <c r="G1640">
        <f>6-SUM(A1640:F1640)</f>
        <v/>
      </c>
    </row>
    <row r="1641">
      <c r="A1641">
        <f>IF('Entry Builder'!$N$7=0,1,IF('Entry Builder'!$D$7="Less",--(INDEX(Sims!$A1641:$BO1641,'Entry Builder'!$L$7)&lt;'Entry Builder'!$E$7),--(INDEX(Sims!$A1641:$BO1641,'Entry Builder'!$L$7)&gt;'Entry Builder'!$E$7)))</f>
        <v/>
      </c>
      <c r="B1641">
        <f>IF('Entry Builder'!$N$8=0,1,IF('Entry Builder'!$D$8="Less",--(INDEX(Sims!$A1641:$BO1641,'Entry Builder'!$L$8)&lt;'Entry Builder'!$E$8),--(INDEX(Sims!$A1641:$BO1641,'Entry Builder'!$L$8)&gt;'Entry Builder'!$E$8)))</f>
        <v/>
      </c>
      <c r="C1641">
        <f>IF('Entry Builder'!$N$9=0,1,IF('Entry Builder'!$D$9="Less",--(INDEX(Sims!$A1641:$BO1641,'Entry Builder'!$L$9)&lt;'Entry Builder'!$E$9),--(INDEX(Sims!$A1641:$BO1641,'Entry Builder'!$L$9)&gt;'Entry Builder'!$E$9)))</f>
        <v/>
      </c>
      <c r="D1641">
        <f>IF('Entry Builder'!$N$10=0,1,IF('Entry Builder'!$D$10="Less",--(INDEX(Sims!$A1641:$BO1641,'Entry Builder'!$L$10)&lt;'Entry Builder'!$E$10),--(INDEX(Sims!$A1641:$BO1641,'Entry Builder'!$L$10)&gt;'Entry Builder'!$E$10)))</f>
        <v/>
      </c>
      <c r="E1641">
        <f>IF('Entry Builder'!$N$11=0,1,IF('Entry Builder'!$D$11="Less",--(INDEX(Sims!$A1641:$BO1641,'Entry Builder'!$L$11)&lt;'Entry Builder'!$E$11),--(INDEX(Sims!$A1641:$BO1641,'Entry Builder'!$L$11)&gt;'Entry Builder'!$E$11)))</f>
        <v/>
      </c>
      <c r="F1641">
        <f>IF('Entry Builder'!$N$12=0,1,IF('Entry Builder'!$D$12="Less",--(INDEX(Sims!$A1641:$BO1641,'Entry Builder'!$L$12)&lt;'Entry Builder'!$E$12),--(INDEX(Sims!$A1641:$BO1641,'Entry Builder'!$L$12)&gt;'Entry Builder'!$E$12)))</f>
        <v/>
      </c>
      <c r="G1641">
        <f>6-SUM(A1641:F1641)</f>
        <v/>
      </c>
    </row>
    <row r="1642">
      <c r="A1642">
        <f>IF('Entry Builder'!$N$7=0,1,IF('Entry Builder'!$D$7="Less",--(INDEX(Sims!$A1642:$BO1642,'Entry Builder'!$L$7)&lt;'Entry Builder'!$E$7),--(INDEX(Sims!$A1642:$BO1642,'Entry Builder'!$L$7)&gt;'Entry Builder'!$E$7)))</f>
        <v/>
      </c>
      <c r="B1642">
        <f>IF('Entry Builder'!$N$8=0,1,IF('Entry Builder'!$D$8="Less",--(INDEX(Sims!$A1642:$BO1642,'Entry Builder'!$L$8)&lt;'Entry Builder'!$E$8),--(INDEX(Sims!$A1642:$BO1642,'Entry Builder'!$L$8)&gt;'Entry Builder'!$E$8)))</f>
        <v/>
      </c>
      <c r="C1642">
        <f>IF('Entry Builder'!$N$9=0,1,IF('Entry Builder'!$D$9="Less",--(INDEX(Sims!$A1642:$BO1642,'Entry Builder'!$L$9)&lt;'Entry Builder'!$E$9),--(INDEX(Sims!$A1642:$BO1642,'Entry Builder'!$L$9)&gt;'Entry Builder'!$E$9)))</f>
        <v/>
      </c>
      <c r="D1642">
        <f>IF('Entry Builder'!$N$10=0,1,IF('Entry Builder'!$D$10="Less",--(INDEX(Sims!$A1642:$BO1642,'Entry Builder'!$L$10)&lt;'Entry Builder'!$E$10),--(INDEX(Sims!$A1642:$BO1642,'Entry Builder'!$L$10)&gt;'Entry Builder'!$E$10)))</f>
        <v/>
      </c>
      <c r="E1642">
        <f>IF('Entry Builder'!$N$11=0,1,IF('Entry Builder'!$D$11="Less",--(INDEX(Sims!$A1642:$BO1642,'Entry Builder'!$L$11)&lt;'Entry Builder'!$E$11),--(INDEX(Sims!$A1642:$BO1642,'Entry Builder'!$L$11)&gt;'Entry Builder'!$E$11)))</f>
        <v/>
      </c>
      <c r="F1642">
        <f>IF('Entry Builder'!$N$12=0,1,IF('Entry Builder'!$D$12="Less",--(INDEX(Sims!$A1642:$BO1642,'Entry Builder'!$L$12)&lt;'Entry Builder'!$E$12),--(INDEX(Sims!$A1642:$BO1642,'Entry Builder'!$L$12)&gt;'Entry Builder'!$E$12)))</f>
        <v/>
      </c>
      <c r="G1642">
        <f>6-SUM(A1642:F1642)</f>
        <v/>
      </c>
    </row>
    <row r="1643">
      <c r="A1643">
        <f>IF('Entry Builder'!$N$7=0,1,IF('Entry Builder'!$D$7="Less",--(INDEX(Sims!$A1643:$BO1643,'Entry Builder'!$L$7)&lt;'Entry Builder'!$E$7),--(INDEX(Sims!$A1643:$BO1643,'Entry Builder'!$L$7)&gt;'Entry Builder'!$E$7)))</f>
        <v/>
      </c>
      <c r="B1643">
        <f>IF('Entry Builder'!$N$8=0,1,IF('Entry Builder'!$D$8="Less",--(INDEX(Sims!$A1643:$BO1643,'Entry Builder'!$L$8)&lt;'Entry Builder'!$E$8),--(INDEX(Sims!$A1643:$BO1643,'Entry Builder'!$L$8)&gt;'Entry Builder'!$E$8)))</f>
        <v/>
      </c>
      <c r="C1643">
        <f>IF('Entry Builder'!$N$9=0,1,IF('Entry Builder'!$D$9="Less",--(INDEX(Sims!$A1643:$BO1643,'Entry Builder'!$L$9)&lt;'Entry Builder'!$E$9),--(INDEX(Sims!$A1643:$BO1643,'Entry Builder'!$L$9)&gt;'Entry Builder'!$E$9)))</f>
        <v/>
      </c>
      <c r="D1643">
        <f>IF('Entry Builder'!$N$10=0,1,IF('Entry Builder'!$D$10="Less",--(INDEX(Sims!$A1643:$BO1643,'Entry Builder'!$L$10)&lt;'Entry Builder'!$E$10),--(INDEX(Sims!$A1643:$BO1643,'Entry Builder'!$L$10)&gt;'Entry Builder'!$E$10)))</f>
        <v/>
      </c>
      <c r="E1643">
        <f>IF('Entry Builder'!$N$11=0,1,IF('Entry Builder'!$D$11="Less",--(INDEX(Sims!$A1643:$BO1643,'Entry Builder'!$L$11)&lt;'Entry Builder'!$E$11),--(INDEX(Sims!$A1643:$BO1643,'Entry Builder'!$L$11)&gt;'Entry Builder'!$E$11)))</f>
        <v/>
      </c>
      <c r="F1643">
        <f>IF('Entry Builder'!$N$12=0,1,IF('Entry Builder'!$D$12="Less",--(INDEX(Sims!$A1643:$BO1643,'Entry Builder'!$L$12)&lt;'Entry Builder'!$E$12),--(INDEX(Sims!$A1643:$BO1643,'Entry Builder'!$L$12)&gt;'Entry Builder'!$E$12)))</f>
        <v/>
      </c>
      <c r="G1643">
        <f>6-SUM(A1643:F1643)</f>
        <v/>
      </c>
    </row>
    <row r="1644">
      <c r="A1644">
        <f>IF('Entry Builder'!$N$7=0,1,IF('Entry Builder'!$D$7="Less",--(INDEX(Sims!$A1644:$BO1644,'Entry Builder'!$L$7)&lt;'Entry Builder'!$E$7),--(INDEX(Sims!$A1644:$BO1644,'Entry Builder'!$L$7)&gt;'Entry Builder'!$E$7)))</f>
        <v/>
      </c>
      <c r="B1644">
        <f>IF('Entry Builder'!$N$8=0,1,IF('Entry Builder'!$D$8="Less",--(INDEX(Sims!$A1644:$BO1644,'Entry Builder'!$L$8)&lt;'Entry Builder'!$E$8),--(INDEX(Sims!$A1644:$BO1644,'Entry Builder'!$L$8)&gt;'Entry Builder'!$E$8)))</f>
        <v/>
      </c>
      <c r="C1644">
        <f>IF('Entry Builder'!$N$9=0,1,IF('Entry Builder'!$D$9="Less",--(INDEX(Sims!$A1644:$BO1644,'Entry Builder'!$L$9)&lt;'Entry Builder'!$E$9),--(INDEX(Sims!$A1644:$BO1644,'Entry Builder'!$L$9)&gt;'Entry Builder'!$E$9)))</f>
        <v/>
      </c>
      <c r="D1644">
        <f>IF('Entry Builder'!$N$10=0,1,IF('Entry Builder'!$D$10="Less",--(INDEX(Sims!$A1644:$BO1644,'Entry Builder'!$L$10)&lt;'Entry Builder'!$E$10),--(INDEX(Sims!$A1644:$BO1644,'Entry Builder'!$L$10)&gt;'Entry Builder'!$E$10)))</f>
        <v/>
      </c>
      <c r="E1644">
        <f>IF('Entry Builder'!$N$11=0,1,IF('Entry Builder'!$D$11="Less",--(INDEX(Sims!$A1644:$BO1644,'Entry Builder'!$L$11)&lt;'Entry Builder'!$E$11),--(INDEX(Sims!$A1644:$BO1644,'Entry Builder'!$L$11)&gt;'Entry Builder'!$E$11)))</f>
        <v/>
      </c>
      <c r="F1644">
        <f>IF('Entry Builder'!$N$12=0,1,IF('Entry Builder'!$D$12="Less",--(INDEX(Sims!$A1644:$BO1644,'Entry Builder'!$L$12)&lt;'Entry Builder'!$E$12),--(INDEX(Sims!$A1644:$BO1644,'Entry Builder'!$L$12)&gt;'Entry Builder'!$E$12)))</f>
        <v/>
      </c>
      <c r="G1644">
        <f>6-SUM(A1644:F1644)</f>
        <v/>
      </c>
    </row>
    <row r="1645">
      <c r="A1645">
        <f>IF('Entry Builder'!$N$7=0,1,IF('Entry Builder'!$D$7="Less",--(INDEX(Sims!$A1645:$BO1645,'Entry Builder'!$L$7)&lt;'Entry Builder'!$E$7),--(INDEX(Sims!$A1645:$BO1645,'Entry Builder'!$L$7)&gt;'Entry Builder'!$E$7)))</f>
        <v/>
      </c>
      <c r="B1645">
        <f>IF('Entry Builder'!$N$8=0,1,IF('Entry Builder'!$D$8="Less",--(INDEX(Sims!$A1645:$BO1645,'Entry Builder'!$L$8)&lt;'Entry Builder'!$E$8),--(INDEX(Sims!$A1645:$BO1645,'Entry Builder'!$L$8)&gt;'Entry Builder'!$E$8)))</f>
        <v/>
      </c>
      <c r="C1645">
        <f>IF('Entry Builder'!$N$9=0,1,IF('Entry Builder'!$D$9="Less",--(INDEX(Sims!$A1645:$BO1645,'Entry Builder'!$L$9)&lt;'Entry Builder'!$E$9),--(INDEX(Sims!$A1645:$BO1645,'Entry Builder'!$L$9)&gt;'Entry Builder'!$E$9)))</f>
        <v/>
      </c>
      <c r="D1645">
        <f>IF('Entry Builder'!$N$10=0,1,IF('Entry Builder'!$D$10="Less",--(INDEX(Sims!$A1645:$BO1645,'Entry Builder'!$L$10)&lt;'Entry Builder'!$E$10),--(INDEX(Sims!$A1645:$BO1645,'Entry Builder'!$L$10)&gt;'Entry Builder'!$E$10)))</f>
        <v/>
      </c>
      <c r="E1645">
        <f>IF('Entry Builder'!$N$11=0,1,IF('Entry Builder'!$D$11="Less",--(INDEX(Sims!$A1645:$BO1645,'Entry Builder'!$L$11)&lt;'Entry Builder'!$E$11),--(INDEX(Sims!$A1645:$BO1645,'Entry Builder'!$L$11)&gt;'Entry Builder'!$E$11)))</f>
        <v/>
      </c>
      <c r="F1645">
        <f>IF('Entry Builder'!$N$12=0,1,IF('Entry Builder'!$D$12="Less",--(INDEX(Sims!$A1645:$BO1645,'Entry Builder'!$L$12)&lt;'Entry Builder'!$E$12),--(INDEX(Sims!$A1645:$BO1645,'Entry Builder'!$L$12)&gt;'Entry Builder'!$E$12)))</f>
        <v/>
      </c>
      <c r="G1645">
        <f>6-SUM(A1645:F1645)</f>
        <v/>
      </c>
    </row>
    <row r="1646">
      <c r="A1646">
        <f>IF('Entry Builder'!$N$7=0,1,IF('Entry Builder'!$D$7="Less",--(INDEX(Sims!$A1646:$BO1646,'Entry Builder'!$L$7)&lt;'Entry Builder'!$E$7),--(INDEX(Sims!$A1646:$BO1646,'Entry Builder'!$L$7)&gt;'Entry Builder'!$E$7)))</f>
        <v/>
      </c>
      <c r="B1646">
        <f>IF('Entry Builder'!$N$8=0,1,IF('Entry Builder'!$D$8="Less",--(INDEX(Sims!$A1646:$BO1646,'Entry Builder'!$L$8)&lt;'Entry Builder'!$E$8),--(INDEX(Sims!$A1646:$BO1646,'Entry Builder'!$L$8)&gt;'Entry Builder'!$E$8)))</f>
        <v/>
      </c>
      <c r="C1646">
        <f>IF('Entry Builder'!$N$9=0,1,IF('Entry Builder'!$D$9="Less",--(INDEX(Sims!$A1646:$BO1646,'Entry Builder'!$L$9)&lt;'Entry Builder'!$E$9),--(INDEX(Sims!$A1646:$BO1646,'Entry Builder'!$L$9)&gt;'Entry Builder'!$E$9)))</f>
        <v/>
      </c>
      <c r="D1646">
        <f>IF('Entry Builder'!$N$10=0,1,IF('Entry Builder'!$D$10="Less",--(INDEX(Sims!$A1646:$BO1646,'Entry Builder'!$L$10)&lt;'Entry Builder'!$E$10),--(INDEX(Sims!$A1646:$BO1646,'Entry Builder'!$L$10)&gt;'Entry Builder'!$E$10)))</f>
        <v/>
      </c>
      <c r="E1646">
        <f>IF('Entry Builder'!$N$11=0,1,IF('Entry Builder'!$D$11="Less",--(INDEX(Sims!$A1646:$BO1646,'Entry Builder'!$L$11)&lt;'Entry Builder'!$E$11),--(INDEX(Sims!$A1646:$BO1646,'Entry Builder'!$L$11)&gt;'Entry Builder'!$E$11)))</f>
        <v/>
      </c>
      <c r="F1646">
        <f>IF('Entry Builder'!$N$12=0,1,IF('Entry Builder'!$D$12="Less",--(INDEX(Sims!$A1646:$BO1646,'Entry Builder'!$L$12)&lt;'Entry Builder'!$E$12),--(INDEX(Sims!$A1646:$BO1646,'Entry Builder'!$L$12)&gt;'Entry Builder'!$E$12)))</f>
        <v/>
      </c>
      <c r="G1646">
        <f>6-SUM(A1646:F1646)</f>
        <v/>
      </c>
    </row>
    <row r="1647">
      <c r="A1647">
        <f>IF('Entry Builder'!$N$7=0,1,IF('Entry Builder'!$D$7="Less",--(INDEX(Sims!$A1647:$BO1647,'Entry Builder'!$L$7)&lt;'Entry Builder'!$E$7),--(INDEX(Sims!$A1647:$BO1647,'Entry Builder'!$L$7)&gt;'Entry Builder'!$E$7)))</f>
        <v/>
      </c>
      <c r="B1647">
        <f>IF('Entry Builder'!$N$8=0,1,IF('Entry Builder'!$D$8="Less",--(INDEX(Sims!$A1647:$BO1647,'Entry Builder'!$L$8)&lt;'Entry Builder'!$E$8),--(INDEX(Sims!$A1647:$BO1647,'Entry Builder'!$L$8)&gt;'Entry Builder'!$E$8)))</f>
        <v/>
      </c>
      <c r="C1647">
        <f>IF('Entry Builder'!$N$9=0,1,IF('Entry Builder'!$D$9="Less",--(INDEX(Sims!$A1647:$BO1647,'Entry Builder'!$L$9)&lt;'Entry Builder'!$E$9),--(INDEX(Sims!$A1647:$BO1647,'Entry Builder'!$L$9)&gt;'Entry Builder'!$E$9)))</f>
        <v/>
      </c>
      <c r="D1647">
        <f>IF('Entry Builder'!$N$10=0,1,IF('Entry Builder'!$D$10="Less",--(INDEX(Sims!$A1647:$BO1647,'Entry Builder'!$L$10)&lt;'Entry Builder'!$E$10),--(INDEX(Sims!$A1647:$BO1647,'Entry Builder'!$L$10)&gt;'Entry Builder'!$E$10)))</f>
        <v/>
      </c>
      <c r="E1647">
        <f>IF('Entry Builder'!$N$11=0,1,IF('Entry Builder'!$D$11="Less",--(INDEX(Sims!$A1647:$BO1647,'Entry Builder'!$L$11)&lt;'Entry Builder'!$E$11),--(INDEX(Sims!$A1647:$BO1647,'Entry Builder'!$L$11)&gt;'Entry Builder'!$E$11)))</f>
        <v/>
      </c>
      <c r="F1647">
        <f>IF('Entry Builder'!$N$12=0,1,IF('Entry Builder'!$D$12="Less",--(INDEX(Sims!$A1647:$BO1647,'Entry Builder'!$L$12)&lt;'Entry Builder'!$E$12),--(INDEX(Sims!$A1647:$BO1647,'Entry Builder'!$L$12)&gt;'Entry Builder'!$E$12)))</f>
        <v/>
      </c>
      <c r="G1647">
        <f>6-SUM(A1647:F1647)</f>
        <v/>
      </c>
    </row>
    <row r="1648">
      <c r="A1648">
        <f>IF('Entry Builder'!$N$7=0,1,IF('Entry Builder'!$D$7="Less",--(INDEX(Sims!$A1648:$BO1648,'Entry Builder'!$L$7)&lt;'Entry Builder'!$E$7),--(INDEX(Sims!$A1648:$BO1648,'Entry Builder'!$L$7)&gt;'Entry Builder'!$E$7)))</f>
        <v/>
      </c>
      <c r="B1648">
        <f>IF('Entry Builder'!$N$8=0,1,IF('Entry Builder'!$D$8="Less",--(INDEX(Sims!$A1648:$BO1648,'Entry Builder'!$L$8)&lt;'Entry Builder'!$E$8),--(INDEX(Sims!$A1648:$BO1648,'Entry Builder'!$L$8)&gt;'Entry Builder'!$E$8)))</f>
        <v/>
      </c>
      <c r="C1648">
        <f>IF('Entry Builder'!$N$9=0,1,IF('Entry Builder'!$D$9="Less",--(INDEX(Sims!$A1648:$BO1648,'Entry Builder'!$L$9)&lt;'Entry Builder'!$E$9),--(INDEX(Sims!$A1648:$BO1648,'Entry Builder'!$L$9)&gt;'Entry Builder'!$E$9)))</f>
        <v/>
      </c>
      <c r="D1648">
        <f>IF('Entry Builder'!$N$10=0,1,IF('Entry Builder'!$D$10="Less",--(INDEX(Sims!$A1648:$BO1648,'Entry Builder'!$L$10)&lt;'Entry Builder'!$E$10),--(INDEX(Sims!$A1648:$BO1648,'Entry Builder'!$L$10)&gt;'Entry Builder'!$E$10)))</f>
        <v/>
      </c>
      <c r="E1648">
        <f>IF('Entry Builder'!$N$11=0,1,IF('Entry Builder'!$D$11="Less",--(INDEX(Sims!$A1648:$BO1648,'Entry Builder'!$L$11)&lt;'Entry Builder'!$E$11),--(INDEX(Sims!$A1648:$BO1648,'Entry Builder'!$L$11)&gt;'Entry Builder'!$E$11)))</f>
        <v/>
      </c>
      <c r="F1648">
        <f>IF('Entry Builder'!$N$12=0,1,IF('Entry Builder'!$D$12="Less",--(INDEX(Sims!$A1648:$BO1648,'Entry Builder'!$L$12)&lt;'Entry Builder'!$E$12),--(INDEX(Sims!$A1648:$BO1648,'Entry Builder'!$L$12)&gt;'Entry Builder'!$E$12)))</f>
        <v/>
      </c>
      <c r="G1648">
        <f>6-SUM(A1648:F1648)</f>
        <v/>
      </c>
    </row>
    <row r="1649">
      <c r="A1649">
        <f>IF('Entry Builder'!$N$7=0,1,IF('Entry Builder'!$D$7="Less",--(INDEX(Sims!$A1649:$BO1649,'Entry Builder'!$L$7)&lt;'Entry Builder'!$E$7),--(INDEX(Sims!$A1649:$BO1649,'Entry Builder'!$L$7)&gt;'Entry Builder'!$E$7)))</f>
        <v/>
      </c>
      <c r="B1649">
        <f>IF('Entry Builder'!$N$8=0,1,IF('Entry Builder'!$D$8="Less",--(INDEX(Sims!$A1649:$BO1649,'Entry Builder'!$L$8)&lt;'Entry Builder'!$E$8),--(INDEX(Sims!$A1649:$BO1649,'Entry Builder'!$L$8)&gt;'Entry Builder'!$E$8)))</f>
        <v/>
      </c>
      <c r="C1649">
        <f>IF('Entry Builder'!$N$9=0,1,IF('Entry Builder'!$D$9="Less",--(INDEX(Sims!$A1649:$BO1649,'Entry Builder'!$L$9)&lt;'Entry Builder'!$E$9),--(INDEX(Sims!$A1649:$BO1649,'Entry Builder'!$L$9)&gt;'Entry Builder'!$E$9)))</f>
        <v/>
      </c>
      <c r="D1649">
        <f>IF('Entry Builder'!$N$10=0,1,IF('Entry Builder'!$D$10="Less",--(INDEX(Sims!$A1649:$BO1649,'Entry Builder'!$L$10)&lt;'Entry Builder'!$E$10),--(INDEX(Sims!$A1649:$BO1649,'Entry Builder'!$L$10)&gt;'Entry Builder'!$E$10)))</f>
        <v/>
      </c>
      <c r="E1649">
        <f>IF('Entry Builder'!$N$11=0,1,IF('Entry Builder'!$D$11="Less",--(INDEX(Sims!$A1649:$BO1649,'Entry Builder'!$L$11)&lt;'Entry Builder'!$E$11),--(INDEX(Sims!$A1649:$BO1649,'Entry Builder'!$L$11)&gt;'Entry Builder'!$E$11)))</f>
        <v/>
      </c>
      <c r="F1649">
        <f>IF('Entry Builder'!$N$12=0,1,IF('Entry Builder'!$D$12="Less",--(INDEX(Sims!$A1649:$BO1649,'Entry Builder'!$L$12)&lt;'Entry Builder'!$E$12),--(INDEX(Sims!$A1649:$BO1649,'Entry Builder'!$L$12)&gt;'Entry Builder'!$E$12)))</f>
        <v/>
      </c>
      <c r="G1649">
        <f>6-SUM(A1649:F1649)</f>
        <v/>
      </c>
    </row>
    <row r="1650">
      <c r="A1650">
        <f>IF('Entry Builder'!$N$7=0,1,IF('Entry Builder'!$D$7="Less",--(INDEX(Sims!$A1650:$BO1650,'Entry Builder'!$L$7)&lt;'Entry Builder'!$E$7),--(INDEX(Sims!$A1650:$BO1650,'Entry Builder'!$L$7)&gt;'Entry Builder'!$E$7)))</f>
        <v/>
      </c>
      <c r="B1650">
        <f>IF('Entry Builder'!$N$8=0,1,IF('Entry Builder'!$D$8="Less",--(INDEX(Sims!$A1650:$BO1650,'Entry Builder'!$L$8)&lt;'Entry Builder'!$E$8),--(INDEX(Sims!$A1650:$BO1650,'Entry Builder'!$L$8)&gt;'Entry Builder'!$E$8)))</f>
        <v/>
      </c>
      <c r="C1650">
        <f>IF('Entry Builder'!$N$9=0,1,IF('Entry Builder'!$D$9="Less",--(INDEX(Sims!$A1650:$BO1650,'Entry Builder'!$L$9)&lt;'Entry Builder'!$E$9),--(INDEX(Sims!$A1650:$BO1650,'Entry Builder'!$L$9)&gt;'Entry Builder'!$E$9)))</f>
        <v/>
      </c>
      <c r="D1650">
        <f>IF('Entry Builder'!$N$10=0,1,IF('Entry Builder'!$D$10="Less",--(INDEX(Sims!$A1650:$BO1650,'Entry Builder'!$L$10)&lt;'Entry Builder'!$E$10),--(INDEX(Sims!$A1650:$BO1650,'Entry Builder'!$L$10)&gt;'Entry Builder'!$E$10)))</f>
        <v/>
      </c>
      <c r="E1650">
        <f>IF('Entry Builder'!$N$11=0,1,IF('Entry Builder'!$D$11="Less",--(INDEX(Sims!$A1650:$BO1650,'Entry Builder'!$L$11)&lt;'Entry Builder'!$E$11),--(INDEX(Sims!$A1650:$BO1650,'Entry Builder'!$L$11)&gt;'Entry Builder'!$E$11)))</f>
        <v/>
      </c>
      <c r="F1650">
        <f>IF('Entry Builder'!$N$12=0,1,IF('Entry Builder'!$D$12="Less",--(INDEX(Sims!$A1650:$BO1650,'Entry Builder'!$L$12)&lt;'Entry Builder'!$E$12),--(INDEX(Sims!$A1650:$BO1650,'Entry Builder'!$L$12)&gt;'Entry Builder'!$E$12)))</f>
        <v/>
      </c>
      <c r="G1650">
        <f>6-SUM(A1650:F1650)</f>
        <v/>
      </c>
    </row>
    <row r="1651">
      <c r="A1651">
        <f>IF('Entry Builder'!$N$7=0,1,IF('Entry Builder'!$D$7="Less",--(INDEX(Sims!$A1651:$BO1651,'Entry Builder'!$L$7)&lt;'Entry Builder'!$E$7),--(INDEX(Sims!$A1651:$BO1651,'Entry Builder'!$L$7)&gt;'Entry Builder'!$E$7)))</f>
        <v/>
      </c>
      <c r="B1651">
        <f>IF('Entry Builder'!$N$8=0,1,IF('Entry Builder'!$D$8="Less",--(INDEX(Sims!$A1651:$BO1651,'Entry Builder'!$L$8)&lt;'Entry Builder'!$E$8),--(INDEX(Sims!$A1651:$BO1651,'Entry Builder'!$L$8)&gt;'Entry Builder'!$E$8)))</f>
        <v/>
      </c>
      <c r="C1651">
        <f>IF('Entry Builder'!$N$9=0,1,IF('Entry Builder'!$D$9="Less",--(INDEX(Sims!$A1651:$BO1651,'Entry Builder'!$L$9)&lt;'Entry Builder'!$E$9),--(INDEX(Sims!$A1651:$BO1651,'Entry Builder'!$L$9)&gt;'Entry Builder'!$E$9)))</f>
        <v/>
      </c>
      <c r="D1651">
        <f>IF('Entry Builder'!$N$10=0,1,IF('Entry Builder'!$D$10="Less",--(INDEX(Sims!$A1651:$BO1651,'Entry Builder'!$L$10)&lt;'Entry Builder'!$E$10),--(INDEX(Sims!$A1651:$BO1651,'Entry Builder'!$L$10)&gt;'Entry Builder'!$E$10)))</f>
        <v/>
      </c>
      <c r="E1651">
        <f>IF('Entry Builder'!$N$11=0,1,IF('Entry Builder'!$D$11="Less",--(INDEX(Sims!$A1651:$BO1651,'Entry Builder'!$L$11)&lt;'Entry Builder'!$E$11),--(INDEX(Sims!$A1651:$BO1651,'Entry Builder'!$L$11)&gt;'Entry Builder'!$E$11)))</f>
        <v/>
      </c>
      <c r="F1651">
        <f>IF('Entry Builder'!$N$12=0,1,IF('Entry Builder'!$D$12="Less",--(INDEX(Sims!$A1651:$BO1651,'Entry Builder'!$L$12)&lt;'Entry Builder'!$E$12),--(INDEX(Sims!$A1651:$BO1651,'Entry Builder'!$L$12)&gt;'Entry Builder'!$E$12)))</f>
        <v/>
      </c>
      <c r="G1651">
        <f>6-SUM(A1651:F1651)</f>
        <v/>
      </c>
    </row>
    <row r="1652">
      <c r="A1652">
        <f>IF('Entry Builder'!$N$7=0,1,IF('Entry Builder'!$D$7="Less",--(INDEX(Sims!$A1652:$BO1652,'Entry Builder'!$L$7)&lt;'Entry Builder'!$E$7),--(INDEX(Sims!$A1652:$BO1652,'Entry Builder'!$L$7)&gt;'Entry Builder'!$E$7)))</f>
        <v/>
      </c>
      <c r="B1652">
        <f>IF('Entry Builder'!$N$8=0,1,IF('Entry Builder'!$D$8="Less",--(INDEX(Sims!$A1652:$BO1652,'Entry Builder'!$L$8)&lt;'Entry Builder'!$E$8),--(INDEX(Sims!$A1652:$BO1652,'Entry Builder'!$L$8)&gt;'Entry Builder'!$E$8)))</f>
        <v/>
      </c>
      <c r="C1652">
        <f>IF('Entry Builder'!$N$9=0,1,IF('Entry Builder'!$D$9="Less",--(INDEX(Sims!$A1652:$BO1652,'Entry Builder'!$L$9)&lt;'Entry Builder'!$E$9),--(INDEX(Sims!$A1652:$BO1652,'Entry Builder'!$L$9)&gt;'Entry Builder'!$E$9)))</f>
        <v/>
      </c>
      <c r="D1652">
        <f>IF('Entry Builder'!$N$10=0,1,IF('Entry Builder'!$D$10="Less",--(INDEX(Sims!$A1652:$BO1652,'Entry Builder'!$L$10)&lt;'Entry Builder'!$E$10),--(INDEX(Sims!$A1652:$BO1652,'Entry Builder'!$L$10)&gt;'Entry Builder'!$E$10)))</f>
        <v/>
      </c>
      <c r="E1652">
        <f>IF('Entry Builder'!$N$11=0,1,IF('Entry Builder'!$D$11="Less",--(INDEX(Sims!$A1652:$BO1652,'Entry Builder'!$L$11)&lt;'Entry Builder'!$E$11),--(INDEX(Sims!$A1652:$BO1652,'Entry Builder'!$L$11)&gt;'Entry Builder'!$E$11)))</f>
        <v/>
      </c>
      <c r="F1652">
        <f>IF('Entry Builder'!$N$12=0,1,IF('Entry Builder'!$D$12="Less",--(INDEX(Sims!$A1652:$BO1652,'Entry Builder'!$L$12)&lt;'Entry Builder'!$E$12),--(INDEX(Sims!$A1652:$BO1652,'Entry Builder'!$L$12)&gt;'Entry Builder'!$E$12)))</f>
        <v/>
      </c>
      <c r="G1652">
        <f>6-SUM(A1652:F1652)</f>
        <v/>
      </c>
    </row>
    <row r="1653">
      <c r="A1653">
        <f>IF('Entry Builder'!$N$7=0,1,IF('Entry Builder'!$D$7="Less",--(INDEX(Sims!$A1653:$BO1653,'Entry Builder'!$L$7)&lt;'Entry Builder'!$E$7),--(INDEX(Sims!$A1653:$BO1653,'Entry Builder'!$L$7)&gt;'Entry Builder'!$E$7)))</f>
        <v/>
      </c>
      <c r="B1653">
        <f>IF('Entry Builder'!$N$8=0,1,IF('Entry Builder'!$D$8="Less",--(INDEX(Sims!$A1653:$BO1653,'Entry Builder'!$L$8)&lt;'Entry Builder'!$E$8),--(INDEX(Sims!$A1653:$BO1653,'Entry Builder'!$L$8)&gt;'Entry Builder'!$E$8)))</f>
        <v/>
      </c>
      <c r="C1653">
        <f>IF('Entry Builder'!$N$9=0,1,IF('Entry Builder'!$D$9="Less",--(INDEX(Sims!$A1653:$BO1653,'Entry Builder'!$L$9)&lt;'Entry Builder'!$E$9),--(INDEX(Sims!$A1653:$BO1653,'Entry Builder'!$L$9)&gt;'Entry Builder'!$E$9)))</f>
        <v/>
      </c>
      <c r="D1653">
        <f>IF('Entry Builder'!$N$10=0,1,IF('Entry Builder'!$D$10="Less",--(INDEX(Sims!$A1653:$BO1653,'Entry Builder'!$L$10)&lt;'Entry Builder'!$E$10),--(INDEX(Sims!$A1653:$BO1653,'Entry Builder'!$L$10)&gt;'Entry Builder'!$E$10)))</f>
        <v/>
      </c>
      <c r="E1653">
        <f>IF('Entry Builder'!$N$11=0,1,IF('Entry Builder'!$D$11="Less",--(INDEX(Sims!$A1653:$BO1653,'Entry Builder'!$L$11)&lt;'Entry Builder'!$E$11),--(INDEX(Sims!$A1653:$BO1653,'Entry Builder'!$L$11)&gt;'Entry Builder'!$E$11)))</f>
        <v/>
      </c>
      <c r="F1653">
        <f>IF('Entry Builder'!$N$12=0,1,IF('Entry Builder'!$D$12="Less",--(INDEX(Sims!$A1653:$BO1653,'Entry Builder'!$L$12)&lt;'Entry Builder'!$E$12),--(INDEX(Sims!$A1653:$BO1653,'Entry Builder'!$L$12)&gt;'Entry Builder'!$E$12)))</f>
        <v/>
      </c>
      <c r="G1653">
        <f>6-SUM(A1653:F1653)</f>
        <v/>
      </c>
    </row>
    <row r="1654">
      <c r="A1654">
        <f>IF('Entry Builder'!$N$7=0,1,IF('Entry Builder'!$D$7="Less",--(INDEX(Sims!$A1654:$BO1654,'Entry Builder'!$L$7)&lt;'Entry Builder'!$E$7),--(INDEX(Sims!$A1654:$BO1654,'Entry Builder'!$L$7)&gt;'Entry Builder'!$E$7)))</f>
        <v/>
      </c>
      <c r="B1654">
        <f>IF('Entry Builder'!$N$8=0,1,IF('Entry Builder'!$D$8="Less",--(INDEX(Sims!$A1654:$BO1654,'Entry Builder'!$L$8)&lt;'Entry Builder'!$E$8),--(INDEX(Sims!$A1654:$BO1654,'Entry Builder'!$L$8)&gt;'Entry Builder'!$E$8)))</f>
        <v/>
      </c>
      <c r="C1654">
        <f>IF('Entry Builder'!$N$9=0,1,IF('Entry Builder'!$D$9="Less",--(INDEX(Sims!$A1654:$BO1654,'Entry Builder'!$L$9)&lt;'Entry Builder'!$E$9),--(INDEX(Sims!$A1654:$BO1654,'Entry Builder'!$L$9)&gt;'Entry Builder'!$E$9)))</f>
        <v/>
      </c>
      <c r="D1654">
        <f>IF('Entry Builder'!$N$10=0,1,IF('Entry Builder'!$D$10="Less",--(INDEX(Sims!$A1654:$BO1654,'Entry Builder'!$L$10)&lt;'Entry Builder'!$E$10),--(INDEX(Sims!$A1654:$BO1654,'Entry Builder'!$L$10)&gt;'Entry Builder'!$E$10)))</f>
        <v/>
      </c>
      <c r="E1654">
        <f>IF('Entry Builder'!$N$11=0,1,IF('Entry Builder'!$D$11="Less",--(INDEX(Sims!$A1654:$BO1654,'Entry Builder'!$L$11)&lt;'Entry Builder'!$E$11),--(INDEX(Sims!$A1654:$BO1654,'Entry Builder'!$L$11)&gt;'Entry Builder'!$E$11)))</f>
        <v/>
      </c>
      <c r="F1654">
        <f>IF('Entry Builder'!$N$12=0,1,IF('Entry Builder'!$D$12="Less",--(INDEX(Sims!$A1654:$BO1654,'Entry Builder'!$L$12)&lt;'Entry Builder'!$E$12),--(INDEX(Sims!$A1654:$BO1654,'Entry Builder'!$L$12)&gt;'Entry Builder'!$E$12)))</f>
        <v/>
      </c>
      <c r="G1654">
        <f>6-SUM(A1654:F1654)</f>
        <v/>
      </c>
    </row>
    <row r="1655">
      <c r="A1655">
        <f>IF('Entry Builder'!$N$7=0,1,IF('Entry Builder'!$D$7="Less",--(INDEX(Sims!$A1655:$BO1655,'Entry Builder'!$L$7)&lt;'Entry Builder'!$E$7),--(INDEX(Sims!$A1655:$BO1655,'Entry Builder'!$L$7)&gt;'Entry Builder'!$E$7)))</f>
        <v/>
      </c>
      <c r="B1655">
        <f>IF('Entry Builder'!$N$8=0,1,IF('Entry Builder'!$D$8="Less",--(INDEX(Sims!$A1655:$BO1655,'Entry Builder'!$L$8)&lt;'Entry Builder'!$E$8),--(INDEX(Sims!$A1655:$BO1655,'Entry Builder'!$L$8)&gt;'Entry Builder'!$E$8)))</f>
        <v/>
      </c>
      <c r="C1655">
        <f>IF('Entry Builder'!$N$9=0,1,IF('Entry Builder'!$D$9="Less",--(INDEX(Sims!$A1655:$BO1655,'Entry Builder'!$L$9)&lt;'Entry Builder'!$E$9),--(INDEX(Sims!$A1655:$BO1655,'Entry Builder'!$L$9)&gt;'Entry Builder'!$E$9)))</f>
        <v/>
      </c>
      <c r="D1655">
        <f>IF('Entry Builder'!$N$10=0,1,IF('Entry Builder'!$D$10="Less",--(INDEX(Sims!$A1655:$BO1655,'Entry Builder'!$L$10)&lt;'Entry Builder'!$E$10),--(INDEX(Sims!$A1655:$BO1655,'Entry Builder'!$L$10)&gt;'Entry Builder'!$E$10)))</f>
        <v/>
      </c>
      <c r="E1655">
        <f>IF('Entry Builder'!$N$11=0,1,IF('Entry Builder'!$D$11="Less",--(INDEX(Sims!$A1655:$BO1655,'Entry Builder'!$L$11)&lt;'Entry Builder'!$E$11),--(INDEX(Sims!$A1655:$BO1655,'Entry Builder'!$L$11)&gt;'Entry Builder'!$E$11)))</f>
        <v/>
      </c>
      <c r="F1655">
        <f>IF('Entry Builder'!$N$12=0,1,IF('Entry Builder'!$D$12="Less",--(INDEX(Sims!$A1655:$BO1655,'Entry Builder'!$L$12)&lt;'Entry Builder'!$E$12),--(INDEX(Sims!$A1655:$BO1655,'Entry Builder'!$L$12)&gt;'Entry Builder'!$E$12)))</f>
        <v/>
      </c>
      <c r="G1655">
        <f>6-SUM(A1655:F1655)</f>
        <v/>
      </c>
    </row>
    <row r="1656">
      <c r="A1656">
        <f>IF('Entry Builder'!$N$7=0,1,IF('Entry Builder'!$D$7="Less",--(INDEX(Sims!$A1656:$BO1656,'Entry Builder'!$L$7)&lt;'Entry Builder'!$E$7),--(INDEX(Sims!$A1656:$BO1656,'Entry Builder'!$L$7)&gt;'Entry Builder'!$E$7)))</f>
        <v/>
      </c>
      <c r="B1656">
        <f>IF('Entry Builder'!$N$8=0,1,IF('Entry Builder'!$D$8="Less",--(INDEX(Sims!$A1656:$BO1656,'Entry Builder'!$L$8)&lt;'Entry Builder'!$E$8),--(INDEX(Sims!$A1656:$BO1656,'Entry Builder'!$L$8)&gt;'Entry Builder'!$E$8)))</f>
        <v/>
      </c>
      <c r="C1656">
        <f>IF('Entry Builder'!$N$9=0,1,IF('Entry Builder'!$D$9="Less",--(INDEX(Sims!$A1656:$BO1656,'Entry Builder'!$L$9)&lt;'Entry Builder'!$E$9),--(INDEX(Sims!$A1656:$BO1656,'Entry Builder'!$L$9)&gt;'Entry Builder'!$E$9)))</f>
        <v/>
      </c>
      <c r="D1656">
        <f>IF('Entry Builder'!$N$10=0,1,IF('Entry Builder'!$D$10="Less",--(INDEX(Sims!$A1656:$BO1656,'Entry Builder'!$L$10)&lt;'Entry Builder'!$E$10),--(INDEX(Sims!$A1656:$BO1656,'Entry Builder'!$L$10)&gt;'Entry Builder'!$E$10)))</f>
        <v/>
      </c>
      <c r="E1656">
        <f>IF('Entry Builder'!$N$11=0,1,IF('Entry Builder'!$D$11="Less",--(INDEX(Sims!$A1656:$BO1656,'Entry Builder'!$L$11)&lt;'Entry Builder'!$E$11),--(INDEX(Sims!$A1656:$BO1656,'Entry Builder'!$L$11)&gt;'Entry Builder'!$E$11)))</f>
        <v/>
      </c>
      <c r="F1656">
        <f>IF('Entry Builder'!$N$12=0,1,IF('Entry Builder'!$D$12="Less",--(INDEX(Sims!$A1656:$BO1656,'Entry Builder'!$L$12)&lt;'Entry Builder'!$E$12),--(INDEX(Sims!$A1656:$BO1656,'Entry Builder'!$L$12)&gt;'Entry Builder'!$E$12)))</f>
        <v/>
      </c>
      <c r="G1656">
        <f>6-SUM(A1656:F1656)</f>
        <v/>
      </c>
    </row>
    <row r="1657">
      <c r="A1657">
        <f>IF('Entry Builder'!$N$7=0,1,IF('Entry Builder'!$D$7="Less",--(INDEX(Sims!$A1657:$BO1657,'Entry Builder'!$L$7)&lt;'Entry Builder'!$E$7),--(INDEX(Sims!$A1657:$BO1657,'Entry Builder'!$L$7)&gt;'Entry Builder'!$E$7)))</f>
        <v/>
      </c>
      <c r="B1657">
        <f>IF('Entry Builder'!$N$8=0,1,IF('Entry Builder'!$D$8="Less",--(INDEX(Sims!$A1657:$BO1657,'Entry Builder'!$L$8)&lt;'Entry Builder'!$E$8),--(INDEX(Sims!$A1657:$BO1657,'Entry Builder'!$L$8)&gt;'Entry Builder'!$E$8)))</f>
        <v/>
      </c>
      <c r="C1657">
        <f>IF('Entry Builder'!$N$9=0,1,IF('Entry Builder'!$D$9="Less",--(INDEX(Sims!$A1657:$BO1657,'Entry Builder'!$L$9)&lt;'Entry Builder'!$E$9),--(INDEX(Sims!$A1657:$BO1657,'Entry Builder'!$L$9)&gt;'Entry Builder'!$E$9)))</f>
        <v/>
      </c>
      <c r="D1657">
        <f>IF('Entry Builder'!$N$10=0,1,IF('Entry Builder'!$D$10="Less",--(INDEX(Sims!$A1657:$BO1657,'Entry Builder'!$L$10)&lt;'Entry Builder'!$E$10),--(INDEX(Sims!$A1657:$BO1657,'Entry Builder'!$L$10)&gt;'Entry Builder'!$E$10)))</f>
        <v/>
      </c>
      <c r="E1657">
        <f>IF('Entry Builder'!$N$11=0,1,IF('Entry Builder'!$D$11="Less",--(INDEX(Sims!$A1657:$BO1657,'Entry Builder'!$L$11)&lt;'Entry Builder'!$E$11),--(INDEX(Sims!$A1657:$BO1657,'Entry Builder'!$L$11)&gt;'Entry Builder'!$E$11)))</f>
        <v/>
      </c>
      <c r="F1657">
        <f>IF('Entry Builder'!$N$12=0,1,IF('Entry Builder'!$D$12="Less",--(INDEX(Sims!$A1657:$BO1657,'Entry Builder'!$L$12)&lt;'Entry Builder'!$E$12),--(INDEX(Sims!$A1657:$BO1657,'Entry Builder'!$L$12)&gt;'Entry Builder'!$E$12)))</f>
        <v/>
      </c>
      <c r="G1657">
        <f>6-SUM(A1657:F1657)</f>
        <v/>
      </c>
    </row>
    <row r="1658">
      <c r="A1658">
        <f>IF('Entry Builder'!$N$7=0,1,IF('Entry Builder'!$D$7="Less",--(INDEX(Sims!$A1658:$BO1658,'Entry Builder'!$L$7)&lt;'Entry Builder'!$E$7),--(INDEX(Sims!$A1658:$BO1658,'Entry Builder'!$L$7)&gt;'Entry Builder'!$E$7)))</f>
        <v/>
      </c>
      <c r="B1658">
        <f>IF('Entry Builder'!$N$8=0,1,IF('Entry Builder'!$D$8="Less",--(INDEX(Sims!$A1658:$BO1658,'Entry Builder'!$L$8)&lt;'Entry Builder'!$E$8),--(INDEX(Sims!$A1658:$BO1658,'Entry Builder'!$L$8)&gt;'Entry Builder'!$E$8)))</f>
        <v/>
      </c>
      <c r="C1658">
        <f>IF('Entry Builder'!$N$9=0,1,IF('Entry Builder'!$D$9="Less",--(INDEX(Sims!$A1658:$BO1658,'Entry Builder'!$L$9)&lt;'Entry Builder'!$E$9),--(INDEX(Sims!$A1658:$BO1658,'Entry Builder'!$L$9)&gt;'Entry Builder'!$E$9)))</f>
        <v/>
      </c>
      <c r="D1658">
        <f>IF('Entry Builder'!$N$10=0,1,IF('Entry Builder'!$D$10="Less",--(INDEX(Sims!$A1658:$BO1658,'Entry Builder'!$L$10)&lt;'Entry Builder'!$E$10),--(INDEX(Sims!$A1658:$BO1658,'Entry Builder'!$L$10)&gt;'Entry Builder'!$E$10)))</f>
        <v/>
      </c>
      <c r="E1658">
        <f>IF('Entry Builder'!$N$11=0,1,IF('Entry Builder'!$D$11="Less",--(INDEX(Sims!$A1658:$BO1658,'Entry Builder'!$L$11)&lt;'Entry Builder'!$E$11),--(INDEX(Sims!$A1658:$BO1658,'Entry Builder'!$L$11)&gt;'Entry Builder'!$E$11)))</f>
        <v/>
      </c>
      <c r="F1658">
        <f>IF('Entry Builder'!$N$12=0,1,IF('Entry Builder'!$D$12="Less",--(INDEX(Sims!$A1658:$BO1658,'Entry Builder'!$L$12)&lt;'Entry Builder'!$E$12),--(INDEX(Sims!$A1658:$BO1658,'Entry Builder'!$L$12)&gt;'Entry Builder'!$E$12)))</f>
        <v/>
      </c>
      <c r="G1658">
        <f>6-SUM(A1658:F1658)</f>
        <v/>
      </c>
    </row>
    <row r="1659">
      <c r="A1659">
        <f>IF('Entry Builder'!$N$7=0,1,IF('Entry Builder'!$D$7="Less",--(INDEX(Sims!$A1659:$BO1659,'Entry Builder'!$L$7)&lt;'Entry Builder'!$E$7),--(INDEX(Sims!$A1659:$BO1659,'Entry Builder'!$L$7)&gt;'Entry Builder'!$E$7)))</f>
        <v/>
      </c>
      <c r="B1659">
        <f>IF('Entry Builder'!$N$8=0,1,IF('Entry Builder'!$D$8="Less",--(INDEX(Sims!$A1659:$BO1659,'Entry Builder'!$L$8)&lt;'Entry Builder'!$E$8),--(INDEX(Sims!$A1659:$BO1659,'Entry Builder'!$L$8)&gt;'Entry Builder'!$E$8)))</f>
        <v/>
      </c>
      <c r="C1659">
        <f>IF('Entry Builder'!$N$9=0,1,IF('Entry Builder'!$D$9="Less",--(INDEX(Sims!$A1659:$BO1659,'Entry Builder'!$L$9)&lt;'Entry Builder'!$E$9),--(INDEX(Sims!$A1659:$BO1659,'Entry Builder'!$L$9)&gt;'Entry Builder'!$E$9)))</f>
        <v/>
      </c>
      <c r="D1659">
        <f>IF('Entry Builder'!$N$10=0,1,IF('Entry Builder'!$D$10="Less",--(INDEX(Sims!$A1659:$BO1659,'Entry Builder'!$L$10)&lt;'Entry Builder'!$E$10),--(INDEX(Sims!$A1659:$BO1659,'Entry Builder'!$L$10)&gt;'Entry Builder'!$E$10)))</f>
        <v/>
      </c>
      <c r="E1659">
        <f>IF('Entry Builder'!$N$11=0,1,IF('Entry Builder'!$D$11="Less",--(INDEX(Sims!$A1659:$BO1659,'Entry Builder'!$L$11)&lt;'Entry Builder'!$E$11),--(INDEX(Sims!$A1659:$BO1659,'Entry Builder'!$L$11)&gt;'Entry Builder'!$E$11)))</f>
        <v/>
      </c>
      <c r="F1659">
        <f>IF('Entry Builder'!$N$12=0,1,IF('Entry Builder'!$D$12="Less",--(INDEX(Sims!$A1659:$BO1659,'Entry Builder'!$L$12)&lt;'Entry Builder'!$E$12),--(INDEX(Sims!$A1659:$BO1659,'Entry Builder'!$L$12)&gt;'Entry Builder'!$E$12)))</f>
        <v/>
      </c>
      <c r="G1659">
        <f>6-SUM(A1659:F1659)</f>
        <v/>
      </c>
    </row>
    <row r="1660">
      <c r="A1660">
        <f>IF('Entry Builder'!$N$7=0,1,IF('Entry Builder'!$D$7="Less",--(INDEX(Sims!$A1660:$BO1660,'Entry Builder'!$L$7)&lt;'Entry Builder'!$E$7),--(INDEX(Sims!$A1660:$BO1660,'Entry Builder'!$L$7)&gt;'Entry Builder'!$E$7)))</f>
        <v/>
      </c>
      <c r="B1660">
        <f>IF('Entry Builder'!$N$8=0,1,IF('Entry Builder'!$D$8="Less",--(INDEX(Sims!$A1660:$BO1660,'Entry Builder'!$L$8)&lt;'Entry Builder'!$E$8),--(INDEX(Sims!$A1660:$BO1660,'Entry Builder'!$L$8)&gt;'Entry Builder'!$E$8)))</f>
        <v/>
      </c>
      <c r="C1660">
        <f>IF('Entry Builder'!$N$9=0,1,IF('Entry Builder'!$D$9="Less",--(INDEX(Sims!$A1660:$BO1660,'Entry Builder'!$L$9)&lt;'Entry Builder'!$E$9),--(INDEX(Sims!$A1660:$BO1660,'Entry Builder'!$L$9)&gt;'Entry Builder'!$E$9)))</f>
        <v/>
      </c>
      <c r="D1660">
        <f>IF('Entry Builder'!$N$10=0,1,IF('Entry Builder'!$D$10="Less",--(INDEX(Sims!$A1660:$BO1660,'Entry Builder'!$L$10)&lt;'Entry Builder'!$E$10),--(INDEX(Sims!$A1660:$BO1660,'Entry Builder'!$L$10)&gt;'Entry Builder'!$E$10)))</f>
        <v/>
      </c>
      <c r="E1660">
        <f>IF('Entry Builder'!$N$11=0,1,IF('Entry Builder'!$D$11="Less",--(INDEX(Sims!$A1660:$BO1660,'Entry Builder'!$L$11)&lt;'Entry Builder'!$E$11),--(INDEX(Sims!$A1660:$BO1660,'Entry Builder'!$L$11)&gt;'Entry Builder'!$E$11)))</f>
        <v/>
      </c>
      <c r="F1660">
        <f>IF('Entry Builder'!$N$12=0,1,IF('Entry Builder'!$D$12="Less",--(INDEX(Sims!$A1660:$BO1660,'Entry Builder'!$L$12)&lt;'Entry Builder'!$E$12),--(INDEX(Sims!$A1660:$BO1660,'Entry Builder'!$L$12)&gt;'Entry Builder'!$E$12)))</f>
        <v/>
      </c>
      <c r="G1660">
        <f>6-SUM(A1660:F1660)</f>
        <v/>
      </c>
    </row>
    <row r="1661">
      <c r="A1661">
        <f>IF('Entry Builder'!$N$7=0,1,IF('Entry Builder'!$D$7="Less",--(INDEX(Sims!$A1661:$BO1661,'Entry Builder'!$L$7)&lt;'Entry Builder'!$E$7),--(INDEX(Sims!$A1661:$BO1661,'Entry Builder'!$L$7)&gt;'Entry Builder'!$E$7)))</f>
        <v/>
      </c>
      <c r="B1661">
        <f>IF('Entry Builder'!$N$8=0,1,IF('Entry Builder'!$D$8="Less",--(INDEX(Sims!$A1661:$BO1661,'Entry Builder'!$L$8)&lt;'Entry Builder'!$E$8),--(INDEX(Sims!$A1661:$BO1661,'Entry Builder'!$L$8)&gt;'Entry Builder'!$E$8)))</f>
        <v/>
      </c>
      <c r="C1661">
        <f>IF('Entry Builder'!$N$9=0,1,IF('Entry Builder'!$D$9="Less",--(INDEX(Sims!$A1661:$BO1661,'Entry Builder'!$L$9)&lt;'Entry Builder'!$E$9),--(INDEX(Sims!$A1661:$BO1661,'Entry Builder'!$L$9)&gt;'Entry Builder'!$E$9)))</f>
        <v/>
      </c>
      <c r="D1661">
        <f>IF('Entry Builder'!$N$10=0,1,IF('Entry Builder'!$D$10="Less",--(INDEX(Sims!$A1661:$BO1661,'Entry Builder'!$L$10)&lt;'Entry Builder'!$E$10),--(INDEX(Sims!$A1661:$BO1661,'Entry Builder'!$L$10)&gt;'Entry Builder'!$E$10)))</f>
        <v/>
      </c>
      <c r="E1661">
        <f>IF('Entry Builder'!$N$11=0,1,IF('Entry Builder'!$D$11="Less",--(INDEX(Sims!$A1661:$BO1661,'Entry Builder'!$L$11)&lt;'Entry Builder'!$E$11),--(INDEX(Sims!$A1661:$BO1661,'Entry Builder'!$L$11)&gt;'Entry Builder'!$E$11)))</f>
        <v/>
      </c>
      <c r="F1661">
        <f>IF('Entry Builder'!$N$12=0,1,IF('Entry Builder'!$D$12="Less",--(INDEX(Sims!$A1661:$BO1661,'Entry Builder'!$L$12)&lt;'Entry Builder'!$E$12),--(INDEX(Sims!$A1661:$BO1661,'Entry Builder'!$L$12)&gt;'Entry Builder'!$E$12)))</f>
        <v/>
      </c>
      <c r="G1661">
        <f>6-SUM(A1661:F1661)</f>
        <v/>
      </c>
    </row>
    <row r="1662">
      <c r="A1662">
        <f>IF('Entry Builder'!$N$7=0,1,IF('Entry Builder'!$D$7="Less",--(INDEX(Sims!$A1662:$BO1662,'Entry Builder'!$L$7)&lt;'Entry Builder'!$E$7),--(INDEX(Sims!$A1662:$BO1662,'Entry Builder'!$L$7)&gt;'Entry Builder'!$E$7)))</f>
        <v/>
      </c>
      <c r="B1662">
        <f>IF('Entry Builder'!$N$8=0,1,IF('Entry Builder'!$D$8="Less",--(INDEX(Sims!$A1662:$BO1662,'Entry Builder'!$L$8)&lt;'Entry Builder'!$E$8),--(INDEX(Sims!$A1662:$BO1662,'Entry Builder'!$L$8)&gt;'Entry Builder'!$E$8)))</f>
        <v/>
      </c>
      <c r="C1662">
        <f>IF('Entry Builder'!$N$9=0,1,IF('Entry Builder'!$D$9="Less",--(INDEX(Sims!$A1662:$BO1662,'Entry Builder'!$L$9)&lt;'Entry Builder'!$E$9),--(INDEX(Sims!$A1662:$BO1662,'Entry Builder'!$L$9)&gt;'Entry Builder'!$E$9)))</f>
        <v/>
      </c>
      <c r="D1662">
        <f>IF('Entry Builder'!$N$10=0,1,IF('Entry Builder'!$D$10="Less",--(INDEX(Sims!$A1662:$BO1662,'Entry Builder'!$L$10)&lt;'Entry Builder'!$E$10),--(INDEX(Sims!$A1662:$BO1662,'Entry Builder'!$L$10)&gt;'Entry Builder'!$E$10)))</f>
        <v/>
      </c>
      <c r="E1662">
        <f>IF('Entry Builder'!$N$11=0,1,IF('Entry Builder'!$D$11="Less",--(INDEX(Sims!$A1662:$BO1662,'Entry Builder'!$L$11)&lt;'Entry Builder'!$E$11),--(INDEX(Sims!$A1662:$BO1662,'Entry Builder'!$L$11)&gt;'Entry Builder'!$E$11)))</f>
        <v/>
      </c>
      <c r="F1662">
        <f>IF('Entry Builder'!$N$12=0,1,IF('Entry Builder'!$D$12="Less",--(INDEX(Sims!$A1662:$BO1662,'Entry Builder'!$L$12)&lt;'Entry Builder'!$E$12),--(INDEX(Sims!$A1662:$BO1662,'Entry Builder'!$L$12)&gt;'Entry Builder'!$E$12)))</f>
        <v/>
      </c>
      <c r="G1662">
        <f>6-SUM(A1662:F1662)</f>
        <v/>
      </c>
    </row>
    <row r="1663">
      <c r="A1663">
        <f>IF('Entry Builder'!$N$7=0,1,IF('Entry Builder'!$D$7="Less",--(INDEX(Sims!$A1663:$BO1663,'Entry Builder'!$L$7)&lt;'Entry Builder'!$E$7),--(INDEX(Sims!$A1663:$BO1663,'Entry Builder'!$L$7)&gt;'Entry Builder'!$E$7)))</f>
        <v/>
      </c>
      <c r="B1663">
        <f>IF('Entry Builder'!$N$8=0,1,IF('Entry Builder'!$D$8="Less",--(INDEX(Sims!$A1663:$BO1663,'Entry Builder'!$L$8)&lt;'Entry Builder'!$E$8),--(INDEX(Sims!$A1663:$BO1663,'Entry Builder'!$L$8)&gt;'Entry Builder'!$E$8)))</f>
        <v/>
      </c>
      <c r="C1663">
        <f>IF('Entry Builder'!$N$9=0,1,IF('Entry Builder'!$D$9="Less",--(INDEX(Sims!$A1663:$BO1663,'Entry Builder'!$L$9)&lt;'Entry Builder'!$E$9),--(INDEX(Sims!$A1663:$BO1663,'Entry Builder'!$L$9)&gt;'Entry Builder'!$E$9)))</f>
        <v/>
      </c>
      <c r="D1663">
        <f>IF('Entry Builder'!$N$10=0,1,IF('Entry Builder'!$D$10="Less",--(INDEX(Sims!$A1663:$BO1663,'Entry Builder'!$L$10)&lt;'Entry Builder'!$E$10),--(INDEX(Sims!$A1663:$BO1663,'Entry Builder'!$L$10)&gt;'Entry Builder'!$E$10)))</f>
        <v/>
      </c>
      <c r="E1663">
        <f>IF('Entry Builder'!$N$11=0,1,IF('Entry Builder'!$D$11="Less",--(INDEX(Sims!$A1663:$BO1663,'Entry Builder'!$L$11)&lt;'Entry Builder'!$E$11),--(INDEX(Sims!$A1663:$BO1663,'Entry Builder'!$L$11)&gt;'Entry Builder'!$E$11)))</f>
        <v/>
      </c>
      <c r="F1663">
        <f>IF('Entry Builder'!$N$12=0,1,IF('Entry Builder'!$D$12="Less",--(INDEX(Sims!$A1663:$BO1663,'Entry Builder'!$L$12)&lt;'Entry Builder'!$E$12),--(INDEX(Sims!$A1663:$BO1663,'Entry Builder'!$L$12)&gt;'Entry Builder'!$E$12)))</f>
        <v/>
      </c>
      <c r="G1663">
        <f>6-SUM(A1663:F1663)</f>
        <v/>
      </c>
    </row>
    <row r="1664">
      <c r="A1664">
        <f>IF('Entry Builder'!$N$7=0,1,IF('Entry Builder'!$D$7="Less",--(INDEX(Sims!$A1664:$BO1664,'Entry Builder'!$L$7)&lt;'Entry Builder'!$E$7),--(INDEX(Sims!$A1664:$BO1664,'Entry Builder'!$L$7)&gt;'Entry Builder'!$E$7)))</f>
        <v/>
      </c>
      <c r="B1664">
        <f>IF('Entry Builder'!$N$8=0,1,IF('Entry Builder'!$D$8="Less",--(INDEX(Sims!$A1664:$BO1664,'Entry Builder'!$L$8)&lt;'Entry Builder'!$E$8),--(INDEX(Sims!$A1664:$BO1664,'Entry Builder'!$L$8)&gt;'Entry Builder'!$E$8)))</f>
        <v/>
      </c>
      <c r="C1664">
        <f>IF('Entry Builder'!$N$9=0,1,IF('Entry Builder'!$D$9="Less",--(INDEX(Sims!$A1664:$BO1664,'Entry Builder'!$L$9)&lt;'Entry Builder'!$E$9),--(INDEX(Sims!$A1664:$BO1664,'Entry Builder'!$L$9)&gt;'Entry Builder'!$E$9)))</f>
        <v/>
      </c>
      <c r="D1664">
        <f>IF('Entry Builder'!$N$10=0,1,IF('Entry Builder'!$D$10="Less",--(INDEX(Sims!$A1664:$BO1664,'Entry Builder'!$L$10)&lt;'Entry Builder'!$E$10),--(INDEX(Sims!$A1664:$BO1664,'Entry Builder'!$L$10)&gt;'Entry Builder'!$E$10)))</f>
        <v/>
      </c>
      <c r="E1664">
        <f>IF('Entry Builder'!$N$11=0,1,IF('Entry Builder'!$D$11="Less",--(INDEX(Sims!$A1664:$BO1664,'Entry Builder'!$L$11)&lt;'Entry Builder'!$E$11),--(INDEX(Sims!$A1664:$BO1664,'Entry Builder'!$L$11)&gt;'Entry Builder'!$E$11)))</f>
        <v/>
      </c>
      <c r="F1664">
        <f>IF('Entry Builder'!$N$12=0,1,IF('Entry Builder'!$D$12="Less",--(INDEX(Sims!$A1664:$BO1664,'Entry Builder'!$L$12)&lt;'Entry Builder'!$E$12),--(INDEX(Sims!$A1664:$BO1664,'Entry Builder'!$L$12)&gt;'Entry Builder'!$E$12)))</f>
        <v/>
      </c>
      <c r="G1664">
        <f>6-SUM(A1664:F1664)</f>
        <v/>
      </c>
    </row>
    <row r="1665">
      <c r="A1665">
        <f>IF('Entry Builder'!$N$7=0,1,IF('Entry Builder'!$D$7="Less",--(INDEX(Sims!$A1665:$BO1665,'Entry Builder'!$L$7)&lt;'Entry Builder'!$E$7),--(INDEX(Sims!$A1665:$BO1665,'Entry Builder'!$L$7)&gt;'Entry Builder'!$E$7)))</f>
        <v/>
      </c>
      <c r="B1665">
        <f>IF('Entry Builder'!$N$8=0,1,IF('Entry Builder'!$D$8="Less",--(INDEX(Sims!$A1665:$BO1665,'Entry Builder'!$L$8)&lt;'Entry Builder'!$E$8),--(INDEX(Sims!$A1665:$BO1665,'Entry Builder'!$L$8)&gt;'Entry Builder'!$E$8)))</f>
        <v/>
      </c>
      <c r="C1665">
        <f>IF('Entry Builder'!$N$9=0,1,IF('Entry Builder'!$D$9="Less",--(INDEX(Sims!$A1665:$BO1665,'Entry Builder'!$L$9)&lt;'Entry Builder'!$E$9),--(INDEX(Sims!$A1665:$BO1665,'Entry Builder'!$L$9)&gt;'Entry Builder'!$E$9)))</f>
        <v/>
      </c>
      <c r="D1665">
        <f>IF('Entry Builder'!$N$10=0,1,IF('Entry Builder'!$D$10="Less",--(INDEX(Sims!$A1665:$BO1665,'Entry Builder'!$L$10)&lt;'Entry Builder'!$E$10),--(INDEX(Sims!$A1665:$BO1665,'Entry Builder'!$L$10)&gt;'Entry Builder'!$E$10)))</f>
        <v/>
      </c>
      <c r="E1665">
        <f>IF('Entry Builder'!$N$11=0,1,IF('Entry Builder'!$D$11="Less",--(INDEX(Sims!$A1665:$BO1665,'Entry Builder'!$L$11)&lt;'Entry Builder'!$E$11),--(INDEX(Sims!$A1665:$BO1665,'Entry Builder'!$L$11)&gt;'Entry Builder'!$E$11)))</f>
        <v/>
      </c>
      <c r="F1665">
        <f>IF('Entry Builder'!$N$12=0,1,IF('Entry Builder'!$D$12="Less",--(INDEX(Sims!$A1665:$BO1665,'Entry Builder'!$L$12)&lt;'Entry Builder'!$E$12),--(INDEX(Sims!$A1665:$BO1665,'Entry Builder'!$L$12)&gt;'Entry Builder'!$E$12)))</f>
        <v/>
      </c>
      <c r="G1665">
        <f>6-SUM(A1665:F1665)</f>
        <v/>
      </c>
    </row>
    <row r="1666">
      <c r="A1666">
        <f>IF('Entry Builder'!$N$7=0,1,IF('Entry Builder'!$D$7="Less",--(INDEX(Sims!$A1666:$BO1666,'Entry Builder'!$L$7)&lt;'Entry Builder'!$E$7),--(INDEX(Sims!$A1666:$BO1666,'Entry Builder'!$L$7)&gt;'Entry Builder'!$E$7)))</f>
        <v/>
      </c>
      <c r="B1666">
        <f>IF('Entry Builder'!$N$8=0,1,IF('Entry Builder'!$D$8="Less",--(INDEX(Sims!$A1666:$BO1666,'Entry Builder'!$L$8)&lt;'Entry Builder'!$E$8),--(INDEX(Sims!$A1666:$BO1666,'Entry Builder'!$L$8)&gt;'Entry Builder'!$E$8)))</f>
        <v/>
      </c>
      <c r="C1666">
        <f>IF('Entry Builder'!$N$9=0,1,IF('Entry Builder'!$D$9="Less",--(INDEX(Sims!$A1666:$BO1666,'Entry Builder'!$L$9)&lt;'Entry Builder'!$E$9),--(INDEX(Sims!$A1666:$BO1666,'Entry Builder'!$L$9)&gt;'Entry Builder'!$E$9)))</f>
        <v/>
      </c>
      <c r="D1666">
        <f>IF('Entry Builder'!$N$10=0,1,IF('Entry Builder'!$D$10="Less",--(INDEX(Sims!$A1666:$BO1666,'Entry Builder'!$L$10)&lt;'Entry Builder'!$E$10),--(INDEX(Sims!$A1666:$BO1666,'Entry Builder'!$L$10)&gt;'Entry Builder'!$E$10)))</f>
        <v/>
      </c>
      <c r="E1666">
        <f>IF('Entry Builder'!$N$11=0,1,IF('Entry Builder'!$D$11="Less",--(INDEX(Sims!$A1666:$BO1666,'Entry Builder'!$L$11)&lt;'Entry Builder'!$E$11),--(INDEX(Sims!$A1666:$BO1666,'Entry Builder'!$L$11)&gt;'Entry Builder'!$E$11)))</f>
        <v/>
      </c>
      <c r="F1666">
        <f>IF('Entry Builder'!$N$12=0,1,IF('Entry Builder'!$D$12="Less",--(INDEX(Sims!$A1666:$BO1666,'Entry Builder'!$L$12)&lt;'Entry Builder'!$E$12),--(INDEX(Sims!$A1666:$BO1666,'Entry Builder'!$L$12)&gt;'Entry Builder'!$E$12)))</f>
        <v/>
      </c>
      <c r="G1666">
        <f>6-SUM(A1666:F1666)</f>
        <v/>
      </c>
    </row>
    <row r="1667">
      <c r="A1667">
        <f>IF('Entry Builder'!$N$7=0,1,IF('Entry Builder'!$D$7="Less",--(INDEX(Sims!$A1667:$BO1667,'Entry Builder'!$L$7)&lt;'Entry Builder'!$E$7),--(INDEX(Sims!$A1667:$BO1667,'Entry Builder'!$L$7)&gt;'Entry Builder'!$E$7)))</f>
        <v/>
      </c>
      <c r="B1667">
        <f>IF('Entry Builder'!$N$8=0,1,IF('Entry Builder'!$D$8="Less",--(INDEX(Sims!$A1667:$BO1667,'Entry Builder'!$L$8)&lt;'Entry Builder'!$E$8),--(INDEX(Sims!$A1667:$BO1667,'Entry Builder'!$L$8)&gt;'Entry Builder'!$E$8)))</f>
        <v/>
      </c>
      <c r="C1667">
        <f>IF('Entry Builder'!$N$9=0,1,IF('Entry Builder'!$D$9="Less",--(INDEX(Sims!$A1667:$BO1667,'Entry Builder'!$L$9)&lt;'Entry Builder'!$E$9),--(INDEX(Sims!$A1667:$BO1667,'Entry Builder'!$L$9)&gt;'Entry Builder'!$E$9)))</f>
        <v/>
      </c>
      <c r="D1667">
        <f>IF('Entry Builder'!$N$10=0,1,IF('Entry Builder'!$D$10="Less",--(INDEX(Sims!$A1667:$BO1667,'Entry Builder'!$L$10)&lt;'Entry Builder'!$E$10),--(INDEX(Sims!$A1667:$BO1667,'Entry Builder'!$L$10)&gt;'Entry Builder'!$E$10)))</f>
        <v/>
      </c>
      <c r="E1667">
        <f>IF('Entry Builder'!$N$11=0,1,IF('Entry Builder'!$D$11="Less",--(INDEX(Sims!$A1667:$BO1667,'Entry Builder'!$L$11)&lt;'Entry Builder'!$E$11),--(INDEX(Sims!$A1667:$BO1667,'Entry Builder'!$L$11)&gt;'Entry Builder'!$E$11)))</f>
        <v/>
      </c>
      <c r="F1667">
        <f>IF('Entry Builder'!$N$12=0,1,IF('Entry Builder'!$D$12="Less",--(INDEX(Sims!$A1667:$BO1667,'Entry Builder'!$L$12)&lt;'Entry Builder'!$E$12),--(INDEX(Sims!$A1667:$BO1667,'Entry Builder'!$L$12)&gt;'Entry Builder'!$E$12)))</f>
        <v/>
      </c>
      <c r="G1667">
        <f>6-SUM(A1667:F1667)</f>
        <v/>
      </c>
    </row>
    <row r="1668">
      <c r="A1668">
        <f>IF('Entry Builder'!$N$7=0,1,IF('Entry Builder'!$D$7="Less",--(INDEX(Sims!$A1668:$BO1668,'Entry Builder'!$L$7)&lt;'Entry Builder'!$E$7),--(INDEX(Sims!$A1668:$BO1668,'Entry Builder'!$L$7)&gt;'Entry Builder'!$E$7)))</f>
        <v/>
      </c>
      <c r="B1668">
        <f>IF('Entry Builder'!$N$8=0,1,IF('Entry Builder'!$D$8="Less",--(INDEX(Sims!$A1668:$BO1668,'Entry Builder'!$L$8)&lt;'Entry Builder'!$E$8),--(INDEX(Sims!$A1668:$BO1668,'Entry Builder'!$L$8)&gt;'Entry Builder'!$E$8)))</f>
        <v/>
      </c>
      <c r="C1668">
        <f>IF('Entry Builder'!$N$9=0,1,IF('Entry Builder'!$D$9="Less",--(INDEX(Sims!$A1668:$BO1668,'Entry Builder'!$L$9)&lt;'Entry Builder'!$E$9),--(INDEX(Sims!$A1668:$BO1668,'Entry Builder'!$L$9)&gt;'Entry Builder'!$E$9)))</f>
        <v/>
      </c>
      <c r="D1668">
        <f>IF('Entry Builder'!$N$10=0,1,IF('Entry Builder'!$D$10="Less",--(INDEX(Sims!$A1668:$BO1668,'Entry Builder'!$L$10)&lt;'Entry Builder'!$E$10),--(INDEX(Sims!$A1668:$BO1668,'Entry Builder'!$L$10)&gt;'Entry Builder'!$E$10)))</f>
        <v/>
      </c>
      <c r="E1668">
        <f>IF('Entry Builder'!$N$11=0,1,IF('Entry Builder'!$D$11="Less",--(INDEX(Sims!$A1668:$BO1668,'Entry Builder'!$L$11)&lt;'Entry Builder'!$E$11),--(INDEX(Sims!$A1668:$BO1668,'Entry Builder'!$L$11)&gt;'Entry Builder'!$E$11)))</f>
        <v/>
      </c>
      <c r="F1668">
        <f>IF('Entry Builder'!$N$12=0,1,IF('Entry Builder'!$D$12="Less",--(INDEX(Sims!$A1668:$BO1668,'Entry Builder'!$L$12)&lt;'Entry Builder'!$E$12),--(INDEX(Sims!$A1668:$BO1668,'Entry Builder'!$L$12)&gt;'Entry Builder'!$E$12)))</f>
        <v/>
      </c>
      <c r="G1668">
        <f>6-SUM(A1668:F1668)</f>
        <v/>
      </c>
    </row>
    <row r="1669">
      <c r="A1669">
        <f>IF('Entry Builder'!$N$7=0,1,IF('Entry Builder'!$D$7="Less",--(INDEX(Sims!$A1669:$BO1669,'Entry Builder'!$L$7)&lt;'Entry Builder'!$E$7),--(INDEX(Sims!$A1669:$BO1669,'Entry Builder'!$L$7)&gt;'Entry Builder'!$E$7)))</f>
        <v/>
      </c>
      <c r="B1669">
        <f>IF('Entry Builder'!$N$8=0,1,IF('Entry Builder'!$D$8="Less",--(INDEX(Sims!$A1669:$BO1669,'Entry Builder'!$L$8)&lt;'Entry Builder'!$E$8),--(INDEX(Sims!$A1669:$BO1669,'Entry Builder'!$L$8)&gt;'Entry Builder'!$E$8)))</f>
        <v/>
      </c>
      <c r="C1669">
        <f>IF('Entry Builder'!$N$9=0,1,IF('Entry Builder'!$D$9="Less",--(INDEX(Sims!$A1669:$BO1669,'Entry Builder'!$L$9)&lt;'Entry Builder'!$E$9),--(INDEX(Sims!$A1669:$BO1669,'Entry Builder'!$L$9)&gt;'Entry Builder'!$E$9)))</f>
        <v/>
      </c>
      <c r="D1669">
        <f>IF('Entry Builder'!$N$10=0,1,IF('Entry Builder'!$D$10="Less",--(INDEX(Sims!$A1669:$BO1669,'Entry Builder'!$L$10)&lt;'Entry Builder'!$E$10),--(INDEX(Sims!$A1669:$BO1669,'Entry Builder'!$L$10)&gt;'Entry Builder'!$E$10)))</f>
        <v/>
      </c>
      <c r="E1669">
        <f>IF('Entry Builder'!$N$11=0,1,IF('Entry Builder'!$D$11="Less",--(INDEX(Sims!$A1669:$BO1669,'Entry Builder'!$L$11)&lt;'Entry Builder'!$E$11),--(INDEX(Sims!$A1669:$BO1669,'Entry Builder'!$L$11)&gt;'Entry Builder'!$E$11)))</f>
        <v/>
      </c>
      <c r="F1669">
        <f>IF('Entry Builder'!$N$12=0,1,IF('Entry Builder'!$D$12="Less",--(INDEX(Sims!$A1669:$BO1669,'Entry Builder'!$L$12)&lt;'Entry Builder'!$E$12),--(INDEX(Sims!$A1669:$BO1669,'Entry Builder'!$L$12)&gt;'Entry Builder'!$E$12)))</f>
        <v/>
      </c>
      <c r="G1669">
        <f>6-SUM(A1669:F1669)</f>
        <v/>
      </c>
    </row>
    <row r="1670">
      <c r="A1670">
        <f>IF('Entry Builder'!$N$7=0,1,IF('Entry Builder'!$D$7="Less",--(INDEX(Sims!$A1670:$BO1670,'Entry Builder'!$L$7)&lt;'Entry Builder'!$E$7),--(INDEX(Sims!$A1670:$BO1670,'Entry Builder'!$L$7)&gt;'Entry Builder'!$E$7)))</f>
        <v/>
      </c>
      <c r="B1670">
        <f>IF('Entry Builder'!$N$8=0,1,IF('Entry Builder'!$D$8="Less",--(INDEX(Sims!$A1670:$BO1670,'Entry Builder'!$L$8)&lt;'Entry Builder'!$E$8),--(INDEX(Sims!$A1670:$BO1670,'Entry Builder'!$L$8)&gt;'Entry Builder'!$E$8)))</f>
        <v/>
      </c>
      <c r="C1670">
        <f>IF('Entry Builder'!$N$9=0,1,IF('Entry Builder'!$D$9="Less",--(INDEX(Sims!$A1670:$BO1670,'Entry Builder'!$L$9)&lt;'Entry Builder'!$E$9),--(INDEX(Sims!$A1670:$BO1670,'Entry Builder'!$L$9)&gt;'Entry Builder'!$E$9)))</f>
        <v/>
      </c>
      <c r="D1670">
        <f>IF('Entry Builder'!$N$10=0,1,IF('Entry Builder'!$D$10="Less",--(INDEX(Sims!$A1670:$BO1670,'Entry Builder'!$L$10)&lt;'Entry Builder'!$E$10),--(INDEX(Sims!$A1670:$BO1670,'Entry Builder'!$L$10)&gt;'Entry Builder'!$E$10)))</f>
        <v/>
      </c>
      <c r="E1670">
        <f>IF('Entry Builder'!$N$11=0,1,IF('Entry Builder'!$D$11="Less",--(INDEX(Sims!$A1670:$BO1670,'Entry Builder'!$L$11)&lt;'Entry Builder'!$E$11),--(INDEX(Sims!$A1670:$BO1670,'Entry Builder'!$L$11)&gt;'Entry Builder'!$E$11)))</f>
        <v/>
      </c>
      <c r="F1670">
        <f>IF('Entry Builder'!$N$12=0,1,IF('Entry Builder'!$D$12="Less",--(INDEX(Sims!$A1670:$BO1670,'Entry Builder'!$L$12)&lt;'Entry Builder'!$E$12),--(INDEX(Sims!$A1670:$BO1670,'Entry Builder'!$L$12)&gt;'Entry Builder'!$E$12)))</f>
        <v/>
      </c>
      <c r="G1670">
        <f>6-SUM(A1670:F1670)</f>
        <v/>
      </c>
    </row>
    <row r="1671">
      <c r="A1671">
        <f>IF('Entry Builder'!$N$7=0,1,IF('Entry Builder'!$D$7="Less",--(INDEX(Sims!$A1671:$BO1671,'Entry Builder'!$L$7)&lt;'Entry Builder'!$E$7),--(INDEX(Sims!$A1671:$BO1671,'Entry Builder'!$L$7)&gt;'Entry Builder'!$E$7)))</f>
        <v/>
      </c>
      <c r="B1671">
        <f>IF('Entry Builder'!$N$8=0,1,IF('Entry Builder'!$D$8="Less",--(INDEX(Sims!$A1671:$BO1671,'Entry Builder'!$L$8)&lt;'Entry Builder'!$E$8),--(INDEX(Sims!$A1671:$BO1671,'Entry Builder'!$L$8)&gt;'Entry Builder'!$E$8)))</f>
        <v/>
      </c>
      <c r="C1671">
        <f>IF('Entry Builder'!$N$9=0,1,IF('Entry Builder'!$D$9="Less",--(INDEX(Sims!$A1671:$BO1671,'Entry Builder'!$L$9)&lt;'Entry Builder'!$E$9),--(INDEX(Sims!$A1671:$BO1671,'Entry Builder'!$L$9)&gt;'Entry Builder'!$E$9)))</f>
        <v/>
      </c>
      <c r="D1671">
        <f>IF('Entry Builder'!$N$10=0,1,IF('Entry Builder'!$D$10="Less",--(INDEX(Sims!$A1671:$BO1671,'Entry Builder'!$L$10)&lt;'Entry Builder'!$E$10),--(INDEX(Sims!$A1671:$BO1671,'Entry Builder'!$L$10)&gt;'Entry Builder'!$E$10)))</f>
        <v/>
      </c>
      <c r="E1671">
        <f>IF('Entry Builder'!$N$11=0,1,IF('Entry Builder'!$D$11="Less",--(INDEX(Sims!$A1671:$BO1671,'Entry Builder'!$L$11)&lt;'Entry Builder'!$E$11),--(INDEX(Sims!$A1671:$BO1671,'Entry Builder'!$L$11)&gt;'Entry Builder'!$E$11)))</f>
        <v/>
      </c>
      <c r="F1671">
        <f>IF('Entry Builder'!$N$12=0,1,IF('Entry Builder'!$D$12="Less",--(INDEX(Sims!$A1671:$BO1671,'Entry Builder'!$L$12)&lt;'Entry Builder'!$E$12),--(INDEX(Sims!$A1671:$BO1671,'Entry Builder'!$L$12)&gt;'Entry Builder'!$E$12)))</f>
        <v/>
      </c>
      <c r="G1671">
        <f>6-SUM(A1671:F1671)</f>
        <v/>
      </c>
    </row>
    <row r="1672">
      <c r="A1672">
        <f>IF('Entry Builder'!$N$7=0,1,IF('Entry Builder'!$D$7="Less",--(INDEX(Sims!$A1672:$BO1672,'Entry Builder'!$L$7)&lt;'Entry Builder'!$E$7),--(INDEX(Sims!$A1672:$BO1672,'Entry Builder'!$L$7)&gt;'Entry Builder'!$E$7)))</f>
        <v/>
      </c>
      <c r="B1672">
        <f>IF('Entry Builder'!$N$8=0,1,IF('Entry Builder'!$D$8="Less",--(INDEX(Sims!$A1672:$BO1672,'Entry Builder'!$L$8)&lt;'Entry Builder'!$E$8),--(INDEX(Sims!$A1672:$BO1672,'Entry Builder'!$L$8)&gt;'Entry Builder'!$E$8)))</f>
        <v/>
      </c>
      <c r="C1672">
        <f>IF('Entry Builder'!$N$9=0,1,IF('Entry Builder'!$D$9="Less",--(INDEX(Sims!$A1672:$BO1672,'Entry Builder'!$L$9)&lt;'Entry Builder'!$E$9),--(INDEX(Sims!$A1672:$BO1672,'Entry Builder'!$L$9)&gt;'Entry Builder'!$E$9)))</f>
        <v/>
      </c>
      <c r="D1672">
        <f>IF('Entry Builder'!$N$10=0,1,IF('Entry Builder'!$D$10="Less",--(INDEX(Sims!$A1672:$BO1672,'Entry Builder'!$L$10)&lt;'Entry Builder'!$E$10),--(INDEX(Sims!$A1672:$BO1672,'Entry Builder'!$L$10)&gt;'Entry Builder'!$E$10)))</f>
        <v/>
      </c>
      <c r="E1672">
        <f>IF('Entry Builder'!$N$11=0,1,IF('Entry Builder'!$D$11="Less",--(INDEX(Sims!$A1672:$BO1672,'Entry Builder'!$L$11)&lt;'Entry Builder'!$E$11),--(INDEX(Sims!$A1672:$BO1672,'Entry Builder'!$L$11)&gt;'Entry Builder'!$E$11)))</f>
        <v/>
      </c>
      <c r="F1672">
        <f>IF('Entry Builder'!$N$12=0,1,IF('Entry Builder'!$D$12="Less",--(INDEX(Sims!$A1672:$BO1672,'Entry Builder'!$L$12)&lt;'Entry Builder'!$E$12),--(INDEX(Sims!$A1672:$BO1672,'Entry Builder'!$L$12)&gt;'Entry Builder'!$E$12)))</f>
        <v/>
      </c>
      <c r="G1672">
        <f>6-SUM(A1672:F1672)</f>
        <v/>
      </c>
    </row>
    <row r="1673">
      <c r="A1673">
        <f>IF('Entry Builder'!$N$7=0,1,IF('Entry Builder'!$D$7="Less",--(INDEX(Sims!$A1673:$BO1673,'Entry Builder'!$L$7)&lt;'Entry Builder'!$E$7),--(INDEX(Sims!$A1673:$BO1673,'Entry Builder'!$L$7)&gt;'Entry Builder'!$E$7)))</f>
        <v/>
      </c>
      <c r="B1673">
        <f>IF('Entry Builder'!$N$8=0,1,IF('Entry Builder'!$D$8="Less",--(INDEX(Sims!$A1673:$BO1673,'Entry Builder'!$L$8)&lt;'Entry Builder'!$E$8),--(INDEX(Sims!$A1673:$BO1673,'Entry Builder'!$L$8)&gt;'Entry Builder'!$E$8)))</f>
        <v/>
      </c>
      <c r="C1673">
        <f>IF('Entry Builder'!$N$9=0,1,IF('Entry Builder'!$D$9="Less",--(INDEX(Sims!$A1673:$BO1673,'Entry Builder'!$L$9)&lt;'Entry Builder'!$E$9),--(INDEX(Sims!$A1673:$BO1673,'Entry Builder'!$L$9)&gt;'Entry Builder'!$E$9)))</f>
        <v/>
      </c>
      <c r="D1673">
        <f>IF('Entry Builder'!$N$10=0,1,IF('Entry Builder'!$D$10="Less",--(INDEX(Sims!$A1673:$BO1673,'Entry Builder'!$L$10)&lt;'Entry Builder'!$E$10),--(INDEX(Sims!$A1673:$BO1673,'Entry Builder'!$L$10)&gt;'Entry Builder'!$E$10)))</f>
        <v/>
      </c>
      <c r="E1673">
        <f>IF('Entry Builder'!$N$11=0,1,IF('Entry Builder'!$D$11="Less",--(INDEX(Sims!$A1673:$BO1673,'Entry Builder'!$L$11)&lt;'Entry Builder'!$E$11),--(INDEX(Sims!$A1673:$BO1673,'Entry Builder'!$L$11)&gt;'Entry Builder'!$E$11)))</f>
        <v/>
      </c>
      <c r="F1673">
        <f>IF('Entry Builder'!$N$12=0,1,IF('Entry Builder'!$D$12="Less",--(INDEX(Sims!$A1673:$BO1673,'Entry Builder'!$L$12)&lt;'Entry Builder'!$E$12),--(INDEX(Sims!$A1673:$BO1673,'Entry Builder'!$L$12)&gt;'Entry Builder'!$E$12)))</f>
        <v/>
      </c>
      <c r="G1673">
        <f>6-SUM(A1673:F1673)</f>
        <v/>
      </c>
    </row>
    <row r="1674">
      <c r="A1674">
        <f>IF('Entry Builder'!$N$7=0,1,IF('Entry Builder'!$D$7="Less",--(INDEX(Sims!$A1674:$BO1674,'Entry Builder'!$L$7)&lt;'Entry Builder'!$E$7),--(INDEX(Sims!$A1674:$BO1674,'Entry Builder'!$L$7)&gt;'Entry Builder'!$E$7)))</f>
        <v/>
      </c>
      <c r="B1674">
        <f>IF('Entry Builder'!$N$8=0,1,IF('Entry Builder'!$D$8="Less",--(INDEX(Sims!$A1674:$BO1674,'Entry Builder'!$L$8)&lt;'Entry Builder'!$E$8),--(INDEX(Sims!$A1674:$BO1674,'Entry Builder'!$L$8)&gt;'Entry Builder'!$E$8)))</f>
        <v/>
      </c>
      <c r="C1674">
        <f>IF('Entry Builder'!$N$9=0,1,IF('Entry Builder'!$D$9="Less",--(INDEX(Sims!$A1674:$BO1674,'Entry Builder'!$L$9)&lt;'Entry Builder'!$E$9),--(INDEX(Sims!$A1674:$BO1674,'Entry Builder'!$L$9)&gt;'Entry Builder'!$E$9)))</f>
        <v/>
      </c>
      <c r="D1674">
        <f>IF('Entry Builder'!$N$10=0,1,IF('Entry Builder'!$D$10="Less",--(INDEX(Sims!$A1674:$BO1674,'Entry Builder'!$L$10)&lt;'Entry Builder'!$E$10),--(INDEX(Sims!$A1674:$BO1674,'Entry Builder'!$L$10)&gt;'Entry Builder'!$E$10)))</f>
        <v/>
      </c>
      <c r="E1674">
        <f>IF('Entry Builder'!$N$11=0,1,IF('Entry Builder'!$D$11="Less",--(INDEX(Sims!$A1674:$BO1674,'Entry Builder'!$L$11)&lt;'Entry Builder'!$E$11),--(INDEX(Sims!$A1674:$BO1674,'Entry Builder'!$L$11)&gt;'Entry Builder'!$E$11)))</f>
        <v/>
      </c>
      <c r="F1674">
        <f>IF('Entry Builder'!$N$12=0,1,IF('Entry Builder'!$D$12="Less",--(INDEX(Sims!$A1674:$BO1674,'Entry Builder'!$L$12)&lt;'Entry Builder'!$E$12),--(INDEX(Sims!$A1674:$BO1674,'Entry Builder'!$L$12)&gt;'Entry Builder'!$E$12)))</f>
        <v/>
      </c>
      <c r="G1674">
        <f>6-SUM(A1674:F1674)</f>
        <v/>
      </c>
    </row>
    <row r="1675">
      <c r="A1675">
        <f>IF('Entry Builder'!$N$7=0,1,IF('Entry Builder'!$D$7="Less",--(INDEX(Sims!$A1675:$BO1675,'Entry Builder'!$L$7)&lt;'Entry Builder'!$E$7),--(INDEX(Sims!$A1675:$BO1675,'Entry Builder'!$L$7)&gt;'Entry Builder'!$E$7)))</f>
        <v/>
      </c>
      <c r="B1675">
        <f>IF('Entry Builder'!$N$8=0,1,IF('Entry Builder'!$D$8="Less",--(INDEX(Sims!$A1675:$BO1675,'Entry Builder'!$L$8)&lt;'Entry Builder'!$E$8),--(INDEX(Sims!$A1675:$BO1675,'Entry Builder'!$L$8)&gt;'Entry Builder'!$E$8)))</f>
        <v/>
      </c>
      <c r="C1675">
        <f>IF('Entry Builder'!$N$9=0,1,IF('Entry Builder'!$D$9="Less",--(INDEX(Sims!$A1675:$BO1675,'Entry Builder'!$L$9)&lt;'Entry Builder'!$E$9),--(INDEX(Sims!$A1675:$BO1675,'Entry Builder'!$L$9)&gt;'Entry Builder'!$E$9)))</f>
        <v/>
      </c>
      <c r="D1675">
        <f>IF('Entry Builder'!$N$10=0,1,IF('Entry Builder'!$D$10="Less",--(INDEX(Sims!$A1675:$BO1675,'Entry Builder'!$L$10)&lt;'Entry Builder'!$E$10),--(INDEX(Sims!$A1675:$BO1675,'Entry Builder'!$L$10)&gt;'Entry Builder'!$E$10)))</f>
        <v/>
      </c>
      <c r="E1675">
        <f>IF('Entry Builder'!$N$11=0,1,IF('Entry Builder'!$D$11="Less",--(INDEX(Sims!$A1675:$BO1675,'Entry Builder'!$L$11)&lt;'Entry Builder'!$E$11),--(INDEX(Sims!$A1675:$BO1675,'Entry Builder'!$L$11)&gt;'Entry Builder'!$E$11)))</f>
        <v/>
      </c>
      <c r="F1675">
        <f>IF('Entry Builder'!$N$12=0,1,IF('Entry Builder'!$D$12="Less",--(INDEX(Sims!$A1675:$BO1675,'Entry Builder'!$L$12)&lt;'Entry Builder'!$E$12),--(INDEX(Sims!$A1675:$BO1675,'Entry Builder'!$L$12)&gt;'Entry Builder'!$E$12)))</f>
        <v/>
      </c>
      <c r="G1675">
        <f>6-SUM(A1675:F1675)</f>
        <v/>
      </c>
    </row>
    <row r="1676">
      <c r="A1676">
        <f>IF('Entry Builder'!$N$7=0,1,IF('Entry Builder'!$D$7="Less",--(INDEX(Sims!$A1676:$BO1676,'Entry Builder'!$L$7)&lt;'Entry Builder'!$E$7),--(INDEX(Sims!$A1676:$BO1676,'Entry Builder'!$L$7)&gt;'Entry Builder'!$E$7)))</f>
        <v/>
      </c>
      <c r="B1676">
        <f>IF('Entry Builder'!$N$8=0,1,IF('Entry Builder'!$D$8="Less",--(INDEX(Sims!$A1676:$BO1676,'Entry Builder'!$L$8)&lt;'Entry Builder'!$E$8),--(INDEX(Sims!$A1676:$BO1676,'Entry Builder'!$L$8)&gt;'Entry Builder'!$E$8)))</f>
        <v/>
      </c>
      <c r="C1676">
        <f>IF('Entry Builder'!$N$9=0,1,IF('Entry Builder'!$D$9="Less",--(INDEX(Sims!$A1676:$BO1676,'Entry Builder'!$L$9)&lt;'Entry Builder'!$E$9),--(INDEX(Sims!$A1676:$BO1676,'Entry Builder'!$L$9)&gt;'Entry Builder'!$E$9)))</f>
        <v/>
      </c>
      <c r="D1676">
        <f>IF('Entry Builder'!$N$10=0,1,IF('Entry Builder'!$D$10="Less",--(INDEX(Sims!$A1676:$BO1676,'Entry Builder'!$L$10)&lt;'Entry Builder'!$E$10),--(INDEX(Sims!$A1676:$BO1676,'Entry Builder'!$L$10)&gt;'Entry Builder'!$E$10)))</f>
        <v/>
      </c>
      <c r="E1676">
        <f>IF('Entry Builder'!$N$11=0,1,IF('Entry Builder'!$D$11="Less",--(INDEX(Sims!$A1676:$BO1676,'Entry Builder'!$L$11)&lt;'Entry Builder'!$E$11),--(INDEX(Sims!$A1676:$BO1676,'Entry Builder'!$L$11)&gt;'Entry Builder'!$E$11)))</f>
        <v/>
      </c>
      <c r="F1676">
        <f>IF('Entry Builder'!$N$12=0,1,IF('Entry Builder'!$D$12="Less",--(INDEX(Sims!$A1676:$BO1676,'Entry Builder'!$L$12)&lt;'Entry Builder'!$E$12),--(INDEX(Sims!$A1676:$BO1676,'Entry Builder'!$L$12)&gt;'Entry Builder'!$E$12)))</f>
        <v/>
      </c>
      <c r="G1676">
        <f>6-SUM(A1676:F1676)</f>
        <v/>
      </c>
    </row>
    <row r="1677">
      <c r="A1677">
        <f>IF('Entry Builder'!$N$7=0,1,IF('Entry Builder'!$D$7="Less",--(INDEX(Sims!$A1677:$BO1677,'Entry Builder'!$L$7)&lt;'Entry Builder'!$E$7),--(INDEX(Sims!$A1677:$BO1677,'Entry Builder'!$L$7)&gt;'Entry Builder'!$E$7)))</f>
        <v/>
      </c>
      <c r="B1677">
        <f>IF('Entry Builder'!$N$8=0,1,IF('Entry Builder'!$D$8="Less",--(INDEX(Sims!$A1677:$BO1677,'Entry Builder'!$L$8)&lt;'Entry Builder'!$E$8),--(INDEX(Sims!$A1677:$BO1677,'Entry Builder'!$L$8)&gt;'Entry Builder'!$E$8)))</f>
        <v/>
      </c>
      <c r="C1677">
        <f>IF('Entry Builder'!$N$9=0,1,IF('Entry Builder'!$D$9="Less",--(INDEX(Sims!$A1677:$BO1677,'Entry Builder'!$L$9)&lt;'Entry Builder'!$E$9),--(INDEX(Sims!$A1677:$BO1677,'Entry Builder'!$L$9)&gt;'Entry Builder'!$E$9)))</f>
        <v/>
      </c>
      <c r="D1677">
        <f>IF('Entry Builder'!$N$10=0,1,IF('Entry Builder'!$D$10="Less",--(INDEX(Sims!$A1677:$BO1677,'Entry Builder'!$L$10)&lt;'Entry Builder'!$E$10),--(INDEX(Sims!$A1677:$BO1677,'Entry Builder'!$L$10)&gt;'Entry Builder'!$E$10)))</f>
        <v/>
      </c>
      <c r="E1677">
        <f>IF('Entry Builder'!$N$11=0,1,IF('Entry Builder'!$D$11="Less",--(INDEX(Sims!$A1677:$BO1677,'Entry Builder'!$L$11)&lt;'Entry Builder'!$E$11),--(INDEX(Sims!$A1677:$BO1677,'Entry Builder'!$L$11)&gt;'Entry Builder'!$E$11)))</f>
        <v/>
      </c>
      <c r="F1677">
        <f>IF('Entry Builder'!$N$12=0,1,IF('Entry Builder'!$D$12="Less",--(INDEX(Sims!$A1677:$BO1677,'Entry Builder'!$L$12)&lt;'Entry Builder'!$E$12),--(INDEX(Sims!$A1677:$BO1677,'Entry Builder'!$L$12)&gt;'Entry Builder'!$E$12)))</f>
        <v/>
      </c>
      <c r="G1677">
        <f>6-SUM(A1677:F1677)</f>
        <v/>
      </c>
    </row>
    <row r="1678">
      <c r="A1678">
        <f>IF('Entry Builder'!$N$7=0,1,IF('Entry Builder'!$D$7="Less",--(INDEX(Sims!$A1678:$BO1678,'Entry Builder'!$L$7)&lt;'Entry Builder'!$E$7),--(INDEX(Sims!$A1678:$BO1678,'Entry Builder'!$L$7)&gt;'Entry Builder'!$E$7)))</f>
        <v/>
      </c>
      <c r="B1678">
        <f>IF('Entry Builder'!$N$8=0,1,IF('Entry Builder'!$D$8="Less",--(INDEX(Sims!$A1678:$BO1678,'Entry Builder'!$L$8)&lt;'Entry Builder'!$E$8),--(INDEX(Sims!$A1678:$BO1678,'Entry Builder'!$L$8)&gt;'Entry Builder'!$E$8)))</f>
        <v/>
      </c>
      <c r="C1678">
        <f>IF('Entry Builder'!$N$9=0,1,IF('Entry Builder'!$D$9="Less",--(INDEX(Sims!$A1678:$BO1678,'Entry Builder'!$L$9)&lt;'Entry Builder'!$E$9),--(INDEX(Sims!$A1678:$BO1678,'Entry Builder'!$L$9)&gt;'Entry Builder'!$E$9)))</f>
        <v/>
      </c>
      <c r="D1678">
        <f>IF('Entry Builder'!$N$10=0,1,IF('Entry Builder'!$D$10="Less",--(INDEX(Sims!$A1678:$BO1678,'Entry Builder'!$L$10)&lt;'Entry Builder'!$E$10),--(INDEX(Sims!$A1678:$BO1678,'Entry Builder'!$L$10)&gt;'Entry Builder'!$E$10)))</f>
        <v/>
      </c>
      <c r="E1678">
        <f>IF('Entry Builder'!$N$11=0,1,IF('Entry Builder'!$D$11="Less",--(INDEX(Sims!$A1678:$BO1678,'Entry Builder'!$L$11)&lt;'Entry Builder'!$E$11),--(INDEX(Sims!$A1678:$BO1678,'Entry Builder'!$L$11)&gt;'Entry Builder'!$E$11)))</f>
        <v/>
      </c>
      <c r="F1678">
        <f>IF('Entry Builder'!$N$12=0,1,IF('Entry Builder'!$D$12="Less",--(INDEX(Sims!$A1678:$BO1678,'Entry Builder'!$L$12)&lt;'Entry Builder'!$E$12),--(INDEX(Sims!$A1678:$BO1678,'Entry Builder'!$L$12)&gt;'Entry Builder'!$E$12)))</f>
        <v/>
      </c>
      <c r="G1678">
        <f>6-SUM(A1678:F1678)</f>
        <v/>
      </c>
    </row>
    <row r="1679">
      <c r="A1679">
        <f>IF('Entry Builder'!$N$7=0,1,IF('Entry Builder'!$D$7="Less",--(INDEX(Sims!$A1679:$BO1679,'Entry Builder'!$L$7)&lt;'Entry Builder'!$E$7),--(INDEX(Sims!$A1679:$BO1679,'Entry Builder'!$L$7)&gt;'Entry Builder'!$E$7)))</f>
        <v/>
      </c>
      <c r="B1679">
        <f>IF('Entry Builder'!$N$8=0,1,IF('Entry Builder'!$D$8="Less",--(INDEX(Sims!$A1679:$BO1679,'Entry Builder'!$L$8)&lt;'Entry Builder'!$E$8),--(INDEX(Sims!$A1679:$BO1679,'Entry Builder'!$L$8)&gt;'Entry Builder'!$E$8)))</f>
        <v/>
      </c>
      <c r="C1679">
        <f>IF('Entry Builder'!$N$9=0,1,IF('Entry Builder'!$D$9="Less",--(INDEX(Sims!$A1679:$BO1679,'Entry Builder'!$L$9)&lt;'Entry Builder'!$E$9),--(INDEX(Sims!$A1679:$BO1679,'Entry Builder'!$L$9)&gt;'Entry Builder'!$E$9)))</f>
        <v/>
      </c>
      <c r="D1679">
        <f>IF('Entry Builder'!$N$10=0,1,IF('Entry Builder'!$D$10="Less",--(INDEX(Sims!$A1679:$BO1679,'Entry Builder'!$L$10)&lt;'Entry Builder'!$E$10),--(INDEX(Sims!$A1679:$BO1679,'Entry Builder'!$L$10)&gt;'Entry Builder'!$E$10)))</f>
        <v/>
      </c>
      <c r="E1679">
        <f>IF('Entry Builder'!$N$11=0,1,IF('Entry Builder'!$D$11="Less",--(INDEX(Sims!$A1679:$BO1679,'Entry Builder'!$L$11)&lt;'Entry Builder'!$E$11),--(INDEX(Sims!$A1679:$BO1679,'Entry Builder'!$L$11)&gt;'Entry Builder'!$E$11)))</f>
        <v/>
      </c>
      <c r="F1679">
        <f>IF('Entry Builder'!$N$12=0,1,IF('Entry Builder'!$D$12="Less",--(INDEX(Sims!$A1679:$BO1679,'Entry Builder'!$L$12)&lt;'Entry Builder'!$E$12),--(INDEX(Sims!$A1679:$BO1679,'Entry Builder'!$L$12)&gt;'Entry Builder'!$E$12)))</f>
        <v/>
      </c>
      <c r="G1679">
        <f>6-SUM(A1679:F1679)</f>
        <v/>
      </c>
    </row>
    <row r="1680">
      <c r="A1680">
        <f>IF('Entry Builder'!$N$7=0,1,IF('Entry Builder'!$D$7="Less",--(INDEX(Sims!$A1680:$BO1680,'Entry Builder'!$L$7)&lt;'Entry Builder'!$E$7),--(INDEX(Sims!$A1680:$BO1680,'Entry Builder'!$L$7)&gt;'Entry Builder'!$E$7)))</f>
        <v/>
      </c>
      <c r="B1680">
        <f>IF('Entry Builder'!$N$8=0,1,IF('Entry Builder'!$D$8="Less",--(INDEX(Sims!$A1680:$BO1680,'Entry Builder'!$L$8)&lt;'Entry Builder'!$E$8),--(INDEX(Sims!$A1680:$BO1680,'Entry Builder'!$L$8)&gt;'Entry Builder'!$E$8)))</f>
        <v/>
      </c>
      <c r="C1680">
        <f>IF('Entry Builder'!$N$9=0,1,IF('Entry Builder'!$D$9="Less",--(INDEX(Sims!$A1680:$BO1680,'Entry Builder'!$L$9)&lt;'Entry Builder'!$E$9),--(INDEX(Sims!$A1680:$BO1680,'Entry Builder'!$L$9)&gt;'Entry Builder'!$E$9)))</f>
        <v/>
      </c>
      <c r="D1680">
        <f>IF('Entry Builder'!$N$10=0,1,IF('Entry Builder'!$D$10="Less",--(INDEX(Sims!$A1680:$BO1680,'Entry Builder'!$L$10)&lt;'Entry Builder'!$E$10),--(INDEX(Sims!$A1680:$BO1680,'Entry Builder'!$L$10)&gt;'Entry Builder'!$E$10)))</f>
        <v/>
      </c>
      <c r="E1680">
        <f>IF('Entry Builder'!$N$11=0,1,IF('Entry Builder'!$D$11="Less",--(INDEX(Sims!$A1680:$BO1680,'Entry Builder'!$L$11)&lt;'Entry Builder'!$E$11),--(INDEX(Sims!$A1680:$BO1680,'Entry Builder'!$L$11)&gt;'Entry Builder'!$E$11)))</f>
        <v/>
      </c>
      <c r="F1680">
        <f>IF('Entry Builder'!$N$12=0,1,IF('Entry Builder'!$D$12="Less",--(INDEX(Sims!$A1680:$BO1680,'Entry Builder'!$L$12)&lt;'Entry Builder'!$E$12),--(INDEX(Sims!$A1680:$BO1680,'Entry Builder'!$L$12)&gt;'Entry Builder'!$E$12)))</f>
        <v/>
      </c>
      <c r="G1680">
        <f>6-SUM(A1680:F1680)</f>
        <v/>
      </c>
    </row>
    <row r="1681">
      <c r="A1681">
        <f>IF('Entry Builder'!$N$7=0,1,IF('Entry Builder'!$D$7="Less",--(INDEX(Sims!$A1681:$BO1681,'Entry Builder'!$L$7)&lt;'Entry Builder'!$E$7),--(INDEX(Sims!$A1681:$BO1681,'Entry Builder'!$L$7)&gt;'Entry Builder'!$E$7)))</f>
        <v/>
      </c>
      <c r="B1681">
        <f>IF('Entry Builder'!$N$8=0,1,IF('Entry Builder'!$D$8="Less",--(INDEX(Sims!$A1681:$BO1681,'Entry Builder'!$L$8)&lt;'Entry Builder'!$E$8),--(INDEX(Sims!$A1681:$BO1681,'Entry Builder'!$L$8)&gt;'Entry Builder'!$E$8)))</f>
        <v/>
      </c>
      <c r="C1681">
        <f>IF('Entry Builder'!$N$9=0,1,IF('Entry Builder'!$D$9="Less",--(INDEX(Sims!$A1681:$BO1681,'Entry Builder'!$L$9)&lt;'Entry Builder'!$E$9),--(INDEX(Sims!$A1681:$BO1681,'Entry Builder'!$L$9)&gt;'Entry Builder'!$E$9)))</f>
        <v/>
      </c>
      <c r="D1681">
        <f>IF('Entry Builder'!$N$10=0,1,IF('Entry Builder'!$D$10="Less",--(INDEX(Sims!$A1681:$BO1681,'Entry Builder'!$L$10)&lt;'Entry Builder'!$E$10),--(INDEX(Sims!$A1681:$BO1681,'Entry Builder'!$L$10)&gt;'Entry Builder'!$E$10)))</f>
        <v/>
      </c>
      <c r="E1681">
        <f>IF('Entry Builder'!$N$11=0,1,IF('Entry Builder'!$D$11="Less",--(INDEX(Sims!$A1681:$BO1681,'Entry Builder'!$L$11)&lt;'Entry Builder'!$E$11),--(INDEX(Sims!$A1681:$BO1681,'Entry Builder'!$L$11)&gt;'Entry Builder'!$E$11)))</f>
        <v/>
      </c>
      <c r="F1681">
        <f>IF('Entry Builder'!$N$12=0,1,IF('Entry Builder'!$D$12="Less",--(INDEX(Sims!$A1681:$BO1681,'Entry Builder'!$L$12)&lt;'Entry Builder'!$E$12),--(INDEX(Sims!$A1681:$BO1681,'Entry Builder'!$L$12)&gt;'Entry Builder'!$E$12)))</f>
        <v/>
      </c>
      <c r="G1681">
        <f>6-SUM(A1681:F1681)</f>
        <v/>
      </c>
    </row>
    <row r="1682">
      <c r="A1682">
        <f>IF('Entry Builder'!$N$7=0,1,IF('Entry Builder'!$D$7="Less",--(INDEX(Sims!$A1682:$BO1682,'Entry Builder'!$L$7)&lt;'Entry Builder'!$E$7),--(INDEX(Sims!$A1682:$BO1682,'Entry Builder'!$L$7)&gt;'Entry Builder'!$E$7)))</f>
        <v/>
      </c>
      <c r="B1682">
        <f>IF('Entry Builder'!$N$8=0,1,IF('Entry Builder'!$D$8="Less",--(INDEX(Sims!$A1682:$BO1682,'Entry Builder'!$L$8)&lt;'Entry Builder'!$E$8),--(INDEX(Sims!$A1682:$BO1682,'Entry Builder'!$L$8)&gt;'Entry Builder'!$E$8)))</f>
        <v/>
      </c>
      <c r="C1682">
        <f>IF('Entry Builder'!$N$9=0,1,IF('Entry Builder'!$D$9="Less",--(INDEX(Sims!$A1682:$BO1682,'Entry Builder'!$L$9)&lt;'Entry Builder'!$E$9),--(INDEX(Sims!$A1682:$BO1682,'Entry Builder'!$L$9)&gt;'Entry Builder'!$E$9)))</f>
        <v/>
      </c>
      <c r="D1682">
        <f>IF('Entry Builder'!$N$10=0,1,IF('Entry Builder'!$D$10="Less",--(INDEX(Sims!$A1682:$BO1682,'Entry Builder'!$L$10)&lt;'Entry Builder'!$E$10),--(INDEX(Sims!$A1682:$BO1682,'Entry Builder'!$L$10)&gt;'Entry Builder'!$E$10)))</f>
        <v/>
      </c>
      <c r="E1682">
        <f>IF('Entry Builder'!$N$11=0,1,IF('Entry Builder'!$D$11="Less",--(INDEX(Sims!$A1682:$BO1682,'Entry Builder'!$L$11)&lt;'Entry Builder'!$E$11),--(INDEX(Sims!$A1682:$BO1682,'Entry Builder'!$L$11)&gt;'Entry Builder'!$E$11)))</f>
        <v/>
      </c>
      <c r="F1682">
        <f>IF('Entry Builder'!$N$12=0,1,IF('Entry Builder'!$D$12="Less",--(INDEX(Sims!$A1682:$BO1682,'Entry Builder'!$L$12)&lt;'Entry Builder'!$E$12),--(INDEX(Sims!$A1682:$BO1682,'Entry Builder'!$L$12)&gt;'Entry Builder'!$E$12)))</f>
        <v/>
      </c>
      <c r="G1682">
        <f>6-SUM(A1682:F1682)</f>
        <v/>
      </c>
    </row>
    <row r="1683">
      <c r="A1683">
        <f>IF('Entry Builder'!$N$7=0,1,IF('Entry Builder'!$D$7="Less",--(INDEX(Sims!$A1683:$BO1683,'Entry Builder'!$L$7)&lt;'Entry Builder'!$E$7),--(INDEX(Sims!$A1683:$BO1683,'Entry Builder'!$L$7)&gt;'Entry Builder'!$E$7)))</f>
        <v/>
      </c>
      <c r="B1683">
        <f>IF('Entry Builder'!$N$8=0,1,IF('Entry Builder'!$D$8="Less",--(INDEX(Sims!$A1683:$BO1683,'Entry Builder'!$L$8)&lt;'Entry Builder'!$E$8),--(INDEX(Sims!$A1683:$BO1683,'Entry Builder'!$L$8)&gt;'Entry Builder'!$E$8)))</f>
        <v/>
      </c>
      <c r="C1683">
        <f>IF('Entry Builder'!$N$9=0,1,IF('Entry Builder'!$D$9="Less",--(INDEX(Sims!$A1683:$BO1683,'Entry Builder'!$L$9)&lt;'Entry Builder'!$E$9),--(INDEX(Sims!$A1683:$BO1683,'Entry Builder'!$L$9)&gt;'Entry Builder'!$E$9)))</f>
        <v/>
      </c>
      <c r="D1683">
        <f>IF('Entry Builder'!$N$10=0,1,IF('Entry Builder'!$D$10="Less",--(INDEX(Sims!$A1683:$BO1683,'Entry Builder'!$L$10)&lt;'Entry Builder'!$E$10),--(INDEX(Sims!$A1683:$BO1683,'Entry Builder'!$L$10)&gt;'Entry Builder'!$E$10)))</f>
        <v/>
      </c>
      <c r="E1683">
        <f>IF('Entry Builder'!$N$11=0,1,IF('Entry Builder'!$D$11="Less",--(INDEX(Sims!$A1683:$BO1683,'Entry Builder'!$L$11)&lt;'Entry Builder'!$E$11),--(INDEX(Sims!$A1683:$BO1683,'Entry Builder'!$L$11)&gt;'Entry Builder'!$E$11)))</f>
        <v/>
      </c>
      <c r="F1683">
        <f>IF('Entry Builder'!$N$12=0,1,IF('Entry Builder'!$D$12="Less",--(INDEX(Sims!$A1683:$BO1683,'Entry Builder'!$L$12)&lt;'Entry Builder'!$E$12),--(INDEX(Sims!$A1683:$BO1683,'Entry Builder'!$L$12)&gt;'Entry Builder'!$E$12)))</f>
        <v/>
      </c>
      <c r="G1683">
        <f>6-SUM(A1683:F1683)</f>
        <v/>
      </c>
    </row>
    <row r="1684">
      <c r="A1684">
        <f>IF('Entry Builder'!$N$7=0,1,IF('Entry Builder'!$D$7="Less",--(INDEX(Sims!$A1684:$BO1684,'Entry Builder'!$L$7)&lt;'Entry Builder'!$E$7),--(INDEX(Sims!$A1684:$BO1684,'Entry Builder'!$L$7)&gt;'Entry Builder'!$E$7)))</f>
        <v/>
      </c>
      <c r="B1684">
        <f>IF('Entry Builder'!$N$8=0,1,IF('Entry Builder'!$D$8="Less",--(INDEX(Sims!$A1684:$BO1684,'Entry Builder'!$L$8)&lt;'Entry Builder'!$E$8),--(INDEX(Sims!$A1684:$BO1684,'Entry Builder'!$L$8)&gt;'Entry Builder'!$E$8)))</f>
        <v/>
      </c>
      <c r="C1684">
        <f>IF('Entry Builder'!$N$9=0,1,IF('Entry Builder'!$D$9="Less",--(INDEX(Sims!$A1684:$BO1684,'Entry Builder'!$L$9)&lt;'Entry Builder'!$E$9),--(INDEX(Sims!$A1684:$BO1684,'Entry Builder'!$L$9)&gt;'Entry Builder'!$E$9)))</f>
        <v/>
      </c>
      <c r="D1684">
        <f>IF('Entry Builder'!$N$10=0,1,IF('Entry Builder'!$D$10="Less",--(INDEX(Sims!$A1684:$BO1684,'Entry Builder'!$L$10)&lt;'Entry Builder'!$E$10),--(INDEX(Sims!$A1684:$BO1684,'Entry Builder'!$L$10)&gt;'Entry Builder'!$E$10)))</f>
        <v/>
      </c>
      <c r="E1684">
        <f>IF('Entry Builder'!$N$11=0,1,IF('Entry Builder'!$D$11="Less",--(INDEX(Sims!$A1684:$BO1684,'Entry Builder'!$L$11)&lt;'Entry Builder'!$E$11),--(INDEX(Sims!$A1684:$BO1684,'Entry Builder'!$L$11)&gt;'Entry Builder'!$E$11)))</f>
        <v/>
      </c>
      <c r="F1684">
        <f>IF('Entry Builder'!$N$12=0,1,IF('Entry Builder'!$D$12="Less",--(INDEX(Sims!$A1684:$BO1684,'Entry Builder'!$L$12)&lt;'Entry Builder'!$E$12),--(INDEX(Sims!$A1684:$BO1684,'Entry Builder'!$L$12)&gt;'Entry Builder'!$E$12)))</f>
        <v/>
      </c>
      <c r="G1684">
        <f>6-SUM(A1684:F1684)</f>
        <v/>
      </c>
    </row>
    <row r="1685">
      <c r="A1685">
        <f>IF('Entry Builder'!$N$7=0,1,IF('Entry Builder'!$D$7="Less",--(INDEX(Sims!$A1685:$BO1685,'Entry Builder'!$L$7)&lt;'Entry Builder'!$E$7),--(INDEX(Sims!$A1685:$BO1685,'Entry Builder'!$L$7)&gt;'Entry Builder'!$E$7)))</f>
        <v/>
      </c>
      <c r="B1685">
        <f>IF('Entry Builder'!$N$8=0,1,IF('Entry Builder'!$D$8="Less",--(INDEX(Sims!$A1685:$BO1685,'Entry Builder'!$L$8)&lt;'Entry Builder'!$E$8),--(INDEX(Sims!$A1685:$BO1685,'Entry Builder'!$L$8)&gt;'Entry Builder'!$E$8)))</f>
        <v/>
      </c>
      <c r="C1685">
        <f>IF('Entry Builder'!$N$9=0,1,IF('Entry Builder'!$D$9="Less",--(INDEX(Sims!$A1685:$BO1685,'Entry Builder'!$L$9)&lt;'Entry Builder'!$E$9),--(INDEX(Sims!$A1685:$BO1685,'Entry Builder'!$L$9)&gt;'Entry Builder'!$E$9)))</f>
        <v/>
      </c>
      <c r="D1685">
        <f>IF('Entry Builder'!$N$10=0,1,IF('Entry Builder'!$D$10="Less",--(INDEX(Sims!$A1685:$BO1685,'Entry Builder'!$L$10)&lt;'Entry Builder'!$E$10),--(INDEX(Sims!$A1685:$BO1685,'Entry Builder'!$L$10)&gt;'Entry Builder'!$E$10)))</f>
        <v/>
      </c>
      <c r="E1685">
        <f>IF('Entry Builder'!$N$11=0,1,IF('Entry Builder'!$D$11="Less",--(INDEX(Sims!$A1685:$BO1685,'Entry Builder'!$L$11)&lt;'Entry Builder'!$E$11),--(INDEX(Sims!$A1685:$BO1685,'Entry Builder'!$L$11)&gt;'Entry Builder'!$E$11)))</f>
        <v/>
      </c>
      <c r="F1685">
        <f>IF('Entry Builder'!$N$12=0,1,IF('Entry Builder'!$D$12="Less",--(INDEX(Sims!$A1685:$BO1685,'Entry Builder'!$L$12)&lt;'Entry Builder'!$E$12),--(INDEX(Sims!$A1685:$BO1685,'Entry Builder'!$L$12)&gt;'Entry Builder'!$E$12)))</f>
        <v/>
      </c>
      <c r="G1685">
        <f>6-SUM(A1685:F1685)</f>
        <v/>
      </c>
    </row>
    <row r="1686">
      <c r="A1686">
        <f>IF('Entry Builder'!$N$7=0,1,IF('Entry Builder'!$D$7="Less",--(INDEX(Sims!$A1686:$BO1686,'Entry Builder'!$L$7)&lt;'Entry Builder'!$E$7),--(INDEX(Sims!$A1686:$BO1686,'Entry Builder'!$L$7)&gt;'Entry Builder'!$E$7)))</f>
        <v/>
      </c>
      <c r="B1686">
        <f>IF('Entry Builder'!$N$8=0,1,IF('Entry Builder'!$D$8="Less",--(INDEX(Sims!$A1686:$BO1686,'Entry Builder'!$L$8)&lt;'Entry Builder'!$E$8),--(INDEX(Sims!$A1686:$BO1686,'Entry Builder'!$L$8)&gt;'Entry Builder'!$E$8)))</f>
        <v/>
      </c>
      <c r="C1686">
        <f>IF('Entry Builder'!$N$9=0,1,IF('Entry Builder'!$D$9="Less",--(INDEX(Sims!$A1686:$BO1686,'Entry Builder'!$L$9)&lt;'Entry Builder'!$E$9),--(INDEX(Sims!$A1686:$BO1686,'Entry Builder'!$L$9)&gt;'Entry Builder'!$E$9)))</f>
        <v/>
      </c>
      <c r="D1686">
        <f>IF('Entry Builder'!$N$10=0,1,IF('Entry Builder'!$D$10="Less",--(INDEX(Sims!$A1686:$BO1686,'Entry Builder'!$L$10)&lt;'Entry Builder'!$E$10),--(INDEX(Sims!$A1686:$BO1686,'Entry Builder'!$L$10)&gt;'Entry Builder'!$E$10)))</f>
        <v/>
      </c>
      <c r="E1686">
        <f>IF('Entry Builder'!$N$11=0,1,IF('Entry Builder'!$D$11="Less",--(INDEX(Sims!$A1686:$BO1686,'Entry Builder'!$L$11)&lt;'Entry Builder'!$E$11),--(INDEX(Sims!$A1686:$BO1686,'Entry Builder'!$L$11)&gt;'Entry Builder'!$E$11)))</f>
        <v/>
      </c>
      <c r="F1686">
        <f>IF('Entry Builder'!$N$12=0,1,IF('Entry Builder'!$D$12="Less",--(INDEX(Sims!$A1686:$BO1686,'Entry Builder'!$L$12)&lt;'Entry Builder'!$E$12),--(INDEX(Sims!$A1686:$BO1686,'Entry Builder'!$L$12)&gt;'Entry Builder'!$E$12)))</f>
        <v/>
      </c>
      <c r="G1686">
        <f>6-SUM(A1686:F1686)</f>
        <v/>
      </c>
    </row>
    <row r="1687">
      <c r="A1687">
        <f>IF('Entry Builder'!$N$7=0,1,IF('Entry Builder'!$D$7="Less",--(INDEX(Sims!$A1687:$BO1687,'Entry Builder'!$L$7)&lt;'Entry Builder'!$E$7),--(INDEX(Sims!$A1687:$BO1687,'Entry Builder'!$L$7)&gt;'Entry Builder'!$E$7)))</f>
        <v/>
      </c>
      <c r="B1687">
        <f>IF('Entry Builder'!$N$8=0,1,IF('Entry Builder'!$D$8="Less",--(INDEX(Sims!$A1687:$BO1687,'Entry Builder'!$L$8)&lt;'Entry Builder'!$E$8),--(INDEX(Sims!$A1687:$BO1687,'Entry Builder'!$L$8)&gt;'Entry Builder'!$E$8)))</f>
        <v/>
      </c>
      <c r="C1687">
        <f>IF('Entry Builder'!$N$9=0,1,IF('Entry Builder'!$D$9="Less",--(INDEX(Sims!$A1687:$BO1687,'Entry Builder'!$L$9)&lt;'Entry Builder'!$E$9),--(INDEX(Sims!$A1687:$BO1687,'Entry Builder'!$L$9)&gt;'Entry Builder'!$E$9)))</f>
        <v/>
      </c>
      <c r="D1687">
        <f>IF('Entry Builder'!$N$10=0,1,IF('Entry Builder'!$D$10="Less",--(INDEX(Sims!$A1687:$BO1687,'Entry Builder'!$L$10)&lt;'Entry Builder'!$E$10),--(INDEX(Sims!$A1687:$BO1687,'Entry Builder'!$L$10)&gt;'Entry Builder'!$E$10)))</f>
        <v/>
      </c>
      <c r="E1687">
        <f>IF('Entry Builder'!$N$11=0,1,IF('Entry Builder'!$D$11="Less",--(INDEX(Sims!$A1687:$BO1687,'Entry Builder'!$L$11)&lt;'Entry Builder'!$E$11),--(INDEX(Sims!$A1687:$BO1687,'Entry Builder'!$L$11)&gt;'Entry Builder'!$E$11)))</f>
        <v/>
      </c>
      <c r="F1687">
        <f>IF('Entry Builder'!$N$12=0,1,IF('Entry Builder'!$D$12="Less",--(INDEX(Sims!$A1687:$BO1687,'Entry Builder'!$L$12)&lt;'Entry Builder'!$E$12),--(INDEX(Sims!$A1687:$BO1687,'Entry Builder'!$L$12)&gt;'Entry Builder'!$E$12)))</f>
        <v/>
      </c>
      <c r="G1687">
        <f>6-SUM(A1687:F1687)</f>
        <v/>
      </c>
    </row>
    <row r="1688">
      <c r="A1688">
        <f>IF('Entry Builder'!$N$7=0,1,IF('Entry Builder'!$D$7="Less",--(INDEX(Sims!$A1688:$BO1688,'Entry Builder'!$L$7)&lt;'Entry Builder'!$E$7),--(INDEX(Sims!$A1688:$BO1688,'Entry Builder'!$L$7)&gt;'Entry Builder'!$E$7)))</f>
        <v/>
      </c>
      <c r="B1688">
        <f>IF('Entry Builder'!$N$8=0,1,IF('Entry Builder'!$D$8="Less",--(INDEX(Sims!$A1688:$BO1688,'Entry Builder'!$L$8)&lt;'Entry Builder'!$E$8),--(INDEX(Sims!$A1688:$BO1688,'Entry Builder'!$L$8)&gt;'Entry Builder'!$E$8)))</f>
        <v/>
      </c>
      <c r="C1688">
        <f>IF('Entry Builder'!$N$9=0,1,IF('Entry Builder'!$D$9="Less",--(INDEX(Sims!$A1688:$BO1688,'Entry Builder'!$L$9)&lt;'Entry Builder'!$E$9),--(INDEX(Sims!$A1688:$BO1688,'Entry Builder'!$L$9)&gt;'Entry Builder'!$E$9)))</f>
        <v/>
      </c>
      <c r="D1688">
        <f>IF('Entry Builder'!$N$10=0,1,IF('Entry Builder'!$D$10="Less",--(INDEX(Sims!$A1688:$BO1688,'Entry Builder'!$L$10)&lt;'Entry Builder'!$E$10),--(INDEX(Sims!$A1688:$BO1688,'Entry Builder'!$L$10)&gt;'Entry Builder'!$E$10)))</f>
        <v/>
      </c>
      <c r="E1688">
        <f>IF('Entry Builder'!$N$11=0,1,IF('Entry Builder'!$D$11="Less",--(INDEX(Sims!$A1688:$BO1688,'Entry Builder'!$L$11)&lt;'Entry Builder'!$E$11),--(INDEX(Sims!$A1688:$BO1688,'Entry Builder'!$L$11)&gt;'Entry Builder'!$E$11)))</f>
        <v/>
      </c>
      <c r="F1688">
        <f>IF('Entry Builder'!$N$12=0,1,IF('Entry Builder'!$D$12="Less",--(INDEX(Sims!$A1688:$BO1688,'Entry Builder'!$L$12)&lt;'Entry Builder'!$E$12),--(INDEX(Sims!$A1688:$BO1688,'Entry Builder'!$L$12)&gt;'Entry Builder'!$E$12)))</f>
        <v/>
      </c>
      <c r="G1688">
        <f>6-SUM(A1688:F1688)</f>
        <v/>
      </c>
    </row>
    <row r="1689">
      <c r="A1689">
        <f>IF('Entry Builder'!$N$7=0,1,IF('Entry Builder'!$D$7="Less",--(INDEX(Sims!$A1689:$BO1689,'Entry Builder'!$L$7)&lt;'Entry Builder'!$E$7),--(INDEX(Sims!$A1689:$BO1689,'Entry Builder'!$L$7)&gt;'Entry Builder'!$E$7)))</f>
        <v/>
      </c>
      <c r="B1689">
        <f>IF('Entry Builder'!$N$8=0,1,IF('Entry Builder'!$D$8="Less",--(INDEX(Sims!$A1689:$BO1689,'Entry Builder'!$L$8)&lt;'Entry Builder'!$E$8),--(INDEX(Sims!$A1689:$BO1689,'Entry Builder'!$L$8)&gt;'Entry Builder'!$E$8)))</f>
        <v/>
      </c>
      <c r="C1689">
        <f>IF('Entry Builder'!$N$9=0,1,IF('Entry Builder'!$D$9="Less",--(INDEX(Sims!$A1689:$BO1689,'Entry Builder'!$L$9)&lt;'Entry Builder'!$E$9),--(INDEX(Sims!$A1689:$BO1689,'Entry Builder'!$L$9)&gt;'Entry Builder'!$E$9)))</f>
        <v/>
      </c>
      <c r="D1689">
        <f>IF('Entry Builder'!$N$10=0,1,IF('Entry Builder'!$D$10="Less",--(INDEX(Sims!$A1689:$BO1689,'Entry Builder'!$L$10)&lt;'Entry Builder'!$E$10),--(INDEX(Sims!$A1689:$BO1689,'Entry Builder'!$L$10)&gt;'Entry Builder'!$E$10)))</f>
        <v/>
      </c>
      <c r="E1689">
        <f>IF('Entry Builder'!$N$11=0,1,IF('Entry Builder'!$D$11="Less",--(INDEX(Sims!$A1689:$BO1689,'Entry Builder'!$L$11)&lt;'Entry Builder'!$E$11),--(INDEX(Sims!$A1689:$BO1689,'Entry Builder'!$L$11)&gt;'Entry Builder'!$E$11)))</f>
        <v/>
      </c>
      <c r="F1689">
        <f>IF('Entry Builder'!$N$12=0,1,IF('Entry Builder'!$D$12="Less",--(INDEX(Sims!$A1689:$BO1689,'Entry Builder'!$L$12)&lt;'Entry Builder'!$E$12),--(INDEX(Sims!$A1689:$BO1689,'Entry Builder'!$L$12)&gt;'Entry Builder'!$E$12)))</f>
        <v/>
      </c>
      <c r="G1689">
        <f>6-SUM(A1689:F1689)</f>
        <v/>
      </c>
    </row>
    <row r="1690">
      <c r="A1690">
        <f>IF('Entry Builder'!$N$7=0,1,IF('Entry Builder'!$D$7="Less",--(INDEX(Sims!$A1690:$BO1690,'Entry Builder'!$L$7)&lt;'Entry Builder'!$E$7),--(INDEX(Sims!$A1690:$BO1690,'Entry Builder'!$L$7)&gt;'Entry Builder'!$E$7)))</f>
        <v/>
      </c>
      <c r="B1690">
        <f>IF('Entry Builder'!$N$8=0,1,IF('Entry Builder'!$D$8="Less",--(INDEX(Sims!$A1690:$BO1690,'Entry Builder'!$L$8)&lt;'Entry Builder'!$E$8),--(INDEX(Sims!$A1690:$BO1690,'Entry Builder'!$L$8)&gt;'Entry Builder'!$E$8)))</f>
        <v/>
      </c>
      <c r="C1690">
        <f>IF('Entry Builder'!$N$9=0,1,IF('Entry Builder'!$D$9="Less",--(INDEX(Sims!$A1690:$BO1690,'Entry Builder'!$L$9)&lt;'Entry Builder'!$E$9),--(INDEX(Sims!$A1690:$BO1690,'Entry Builder'!$L$9)&gt;'Entry Builder'!$E$9)))</f>
        <v/>
      </c>
      <c r="D1690">
        <f>IF('Entry Builder'!$N$10=0,1,IF('Entry Builder'!$D$10="Less",--(INDEX(Sims!$A1690:$BO1690,'Entry Builder'!$L$10)&lt;'Entry Builder'!$E$10),--(INDEX(Sims!$A1690:$BO1690,'Entry Builder'!$L$10)&gt;'Entry Builder'!$E$10)))</f>
        <v/>
      </c>
      <c r="E1690">
        <f>IF('Entry Builder'!$N$11=0,1,IF('Entry Builder'!$D$11="Less",--(INDEX(Sims!$A1690:$BO1690,'Entry Builder'!$L$11)&lt;'Entry Builder'!$E$11),--(INDEX(Sims!$A1690:$BO1690,'Entry Builder'!$L$11)&gt;'Entry Builder'!$E$11)))</f>
        <v/>
      </c>
      <c r="F1690">
        <f>IF('Entry Builder'!$N$12=0,1,IF('Entry Builder'!$D$12="Less",--(INDEX(Sims!$A1690:$BO1690,'Entry Builder'!$L$12)&lt;'Entry Builder'!$E$12),--(INDEX(Sims!$A1690:$BO1690,'Entry Builder'!$L$12)&gt;'Entry Builder'!$E$12)))</f>
        <v/>
      </c>
      <c r="G1690">
        <f>6-SUM(A1690:F1690)</f>
        <v/>
      </c>
    </row>
    <row r="1691">
      <c r="A1691">
        <f>IF('Entry Builder'!$N$7=0,1,IF('Entry Builder'!$D$7="Less",--(INDEX(Sims!$A1691:$BO1691,'Entry Builder'!$L$7)&lt;'Entry Builder'!$E$7),--(INDEX(Sims!$A1691:$BO1691,'Entry Builder'!$L$7)&gt;'Entry Builder'!$E$7)))</f>
        <v/>
      </c>
      <c r="B1691">
        <f>IF('Entry Builder'!$N$8=0,1,IF('Entry Builder'!$D$8="Less",--(INDEX(Sims!$A1691:$BO1691,'Entry Builder'!$L$8)&lt;'Entry Builder'!$E$8),--(INDEX(Sims!$A1691:$BO1691,'Entry Builder'!$L$8)&gt;'Entry Builder'!$E$8)))</f>
        <v/>
      </c>
      <c r="C1691">
        <f>IF('Entry Builder'!$N$9=0,1,IF('Entry Builder'!$D$9="Less",--(INDEX(Sims!$A1691:$BO1691,'Entry Builder'!$L$9)&lt;'Entry Builder'!$E$9),--(INDEX(Sims!$A1691:$BO1691,'Entry Builder'!$L$9)&gt;'Entry Builder'!$E$9)))</f>
        <v/>
      </c>
      <c r="D1691">
        <f>IF('Entry Builder'!$N$10=0,1,IF('Entry Builder'!$D$10="Less",--(INDEX(Sims!$A1691:$BO1691,'Entry Builder'!$L$10)&lt;'Entry Builder'!$E$10),--(INDEX(Sims!$A1691:$BO1691,'Entry Builder'!$L$10)&gt;'Entry Builder'!$E$10)))</f>
        <v/>
      </c>
      <c r="E1691">
        <f>IF('Entry Builder'!$N$11=0,1,IF('Entry Builder'!$D$11="Less",--(INDEX(Sims!$A1691:$BO1691,'Entry Builder'!$L$11)&lt;'Entry Builder'!$E$11),--(INDEX(Sims!$A1691:$BO1691,'Entry Builder'!$L$11)&gt;'Entry Builder'!$E$11)))</f>
        <v/>
      </c>
      <c r="F1691">
        <f>IF('Entry Builder'!$N$12=0,1,IF('Entry Builder'!$D$12="Less",--(INDEX(Sims!$A1691:$BO1691,'Entry Builder'!$L$12)&lt;'Entry Builder'!$E$12),--(INDEX(Sims!$A1691:$BO1691,'Entry Builder'!$L$12)&gt;'Entry Builder'!$E$12)))</f>
        <v/>
      </c>
      <c r="G1691">
        <f>6-SUM(A1691:F1691)</f>
        <v/>
      </c>
    </row>
    <row r="1692">
      <c r="A1692">
        <f>IF('Entry Builder'!$N$7=0,1,IF('Entry Builder'!$D$7="Less",--(INDEX(Sims!$A1692:$BO1692,'Entry Builder'!$L$7)&lt;'Entry Builder'!$E$7),--(INDEX(Sims!$A1692:$BO1692,'Entry Builder'!$L$7)&gt;'Entry Builder'!$E$7)))</f>
        <v/>
      </c>
      <c r="B1692">
        <f>IF('Entry Builder'!$N$8=0,1,IF('Entry Builder'!$D$8="Less",--(INDEX(Sims!$A1692:$BO1692,'Entry Builder'!$L$8)&lt;'Entry Builder'!$E$8),--(INDEX(Sims!$A1692:$BO1692,'Entry Builder'!$L$8)&gt;'Entry Builder'!$E$8)))</f>
        <v/>
      </c>
      <c r="C1692">
        <f>IF('Entry Builder'!$N$9=0,1,IF('Entry Builder'!$D$9="Less",--(INDEX(Sims!$A1692:$BO1692,'Entry Builder'!$L$9)&lt;'Entry Builder'!$E$9),--(INDEX(Sims!$A1692:$BO1692,'Entry Builder'!$L$9)&gt;'Entry Builder'!$E$9)))</f>
        <v/>
      </c>
      <c r="D1692">
        <f>IF('Entry Builder'!$N$10=0,1,IF('Entry Builder'!$D$10="Less",--(INDEX(Sims!$A1692:$BO1692,'Entry Builder'!$L$10)&lt;'Entry Builder'!$E$10),--(INDEX(Sims!$A1692:$BO1692,'Entry Builder'!$L$10)&gt;'Entry Builder'!$E$10)))</f>
        <v/>
      </c>
      <c r="E1692">
        <f>IF('Entry Builder'!$N$11=0,1,IF('Entry Builder'!$D$11="Less",--(INDEX(Sims!$A1692:$BO1692,'Entry Builder'!$L$11)&lt;'Entry Builder'!$E$11),--(INDEX(Sims!$A1692:$BO1692,'Entry Builder'!$L$11)&gt;'Entry Builder'!$E$11)))</f>
        <v/>
      </c>
      <c r="F1692">
        <f>IF('Entry Builder'!$N$12=0,1,IF('Entry Builder'!$D$12="Less",--(INDEX(Sims!$A1692:$BO1692,'Entry Builder'!$L$12)&lt;'Entry Builder'!$E$12),--(INDEX(Sims!$A1692:$BO1692,'Entry Builder'!$L$12)&gt;'Entry Builder'!$E$12)))</f>
        <v/>
      </c>
      <c r="G1692">
        <f>6-SUM(A1692:F1692)</f>
        <v/>
      </c>
    </row>
    <row r="1693">
      <c r="A1693">
        <f>IF('Entry Builder'!$N$7=0,1,IF('Entry Builder'!$D$7="Less",--(INDEX(Sims!$A1693:$BO1693,'Entry Builder'!$L$7)&lt;'Entry Builder'!$E$7),--(INDEX(Sims!$A1693:$BO1693,'Entry Builder'!$L$7)&gt;'Entry Builder'!$E$7)))</f>
        <v/>
      </c>
      <c r="B1693">
        <f>IF('Entry Builder'!$N$8=0,1,IF('Entry Builder'!$D$8="Less",--(INDEX(Sims!$A1693:$BO1693,'Entry Builder'!$L$8)&lt;'Entry Builder'!$E$8),--(INDEX(Sims!$A1693:$BO1693,'Entry Builder'!$L$8)&gt;'Entry Builder'!$E$8)))</f>
        <v/>
      </c>
      <c r="C1693">
        <f>IF('Entry Builder'!$N$9=0,1,IF('Entry Builder'!$D$9="Less",--(INDEX(Sims!$A1693:$BO1693,'Entry Builder'!$L$9)&lt;'Entry Builder'!$E$9),--(INDEX(Sims!$A1693:$BO1693,'Entry Builder'!$L$9)&gt;'Entry Builder'!$E$9)))</f>
        <v/>
      </c>
      <c r="D1693">
        <f>IF('Entry Builder'!$N$10=0,1,IF('Entry Builder'!$D$10="Less",--(INDEX(Sims!$A1693:$BO1693,'Entry Builder'!$L$10)&lt;'Entry Builder'!$E$10),--(INDEX(Sims!$A1693:$BO1693,'Entry Builder'!$L$10)&gt;'Entry Builder'!$E$10)))</f>
        <v/>
      </c>
      <c r="E1693">
        <f>IF('Entry Builder'!$N$11=0,1,IF('Entry Builder'!$D$11="Less",--(INDEX(Sims!$A1693:$BO1693,'Entry Builder'!$L$11)&lt;'Entry Builder'!$E$11),--(INDEX(Sims!$A1693:$BO1693,'Entry Builder'!$L$11)&gt;'Entry Builder'!$E$11)))</f>
        <v/>
      </c>
      <c r="F1693">
        <f>IF('Entry Builder'!$N$12=0,1,IF('Entry Builder'!$D$12="Less",--(INDEX(Sims!$A1693:$BO1693,'Entry Builder'!$L$12)&lt;'Entry Builder'!$E$12),--(INDEX(Sims!$A1693:$BO1693,'Entry Builder'!$L$12)&gt;'Entry Builder'!$E$12)))</f>
        <v/>
      </c>
      <c r="G1693">
        <f>6-SUM(A1693:F1693)</f>
        <v/>
      </c>
    </row>
    <row r="1694">
      <c r="A1694">
        <f>IF('Entry Builder'!$N$7=0,1,IF('Entry Builder'!$D$7="Less",--(INDEX(Sims!$A1694:$BO1694,'Entry Builder'!$L$7)&lt;'Entry Builder'!$E$7),--(INDEX(Sims!$A1694:$BO1694,'Entry Builder'!$L$7)&gt;'Entry Builder'!$E$7)))</f>
        <v/>
      </c>
      <c r="B1694">
        <f>IF('Entry Builder'!$N$8=0,1,IF('Entry Builder'!$D$8="Less",--(INDEX(Sims!$A1694:$BO1694,'Entry Builder'!$L$8)&lt;'Entry Builder'!$E$8),--(INDEX(Sims!$A1694:$BO1694,'Entry Builder'!$L$8)&gt;'Entry Builder'!$E$8)))</f>
        <v/>
      </c>
      <c r="C1694">
        <f>IF('Entry Builder'!$N$9=0,1,IF('Entry Builder'!$D$9="Less",--(INDEX(Sims!$A1694:$BO1694,'Entry Builder'!$L$9)&lt;'Entry Builder'!$E$9),--(INDEX(Sims!$A1694:$BO1694,'Entry Builder'!$L$9)&gt;'Entry Builder'!$E$9)))</f>
        <v/>
      </c>
      <c r="D1694">
        <f>IF('Entry Builder'!$N$10=0,1,IF('Entry Builder'!$D$10="Less",--(INDEX(Sims!$A1694:$BO1694,'Entry Builder'!$L$10)&lt;'Entry Builder'!$E$10),--(INDEX(Sims!$A1694:$BO1694,'Entry Builder'!$L$10)&gt;'Entry Builder'!$E$10)))</f>
        <v/>
      </c>
      <c r="E1694">
        <f>IF('Entry Builder'!$N$11=0,1,IF('Entry Builder'!$D$11="Less",--(INDEX(Sims!$A1694:$BO1694,'Entry Builder'!$L$11)&lt;'Entry Builder'!$E$11),--(INDEX(Sims!$A1694:$BO1694,'Entry Builder'!$L$11)&gt;'Entry Builder'!$E$11)))</f>
        <v/>
      </c>
      <c r="F1694">
        <f>IF('Entry Builder'!$N$12=0,1,IF('Entry Builder'!$D$12="Less",--(INDEX(Sims!$A1694:$BO1694,'Entry Builder'!$L$12)&lt;'Entry Builder'!$E$12),--(INDEX(Sims!$A1694:$BO1694,'Entry Builder'!$L$12)&gt;'Entry Builder'!$E$12)))</f>
        <v/>
      </c>
      <c r="G1694">
        <f>6-SUM(A1694:F1694)</f>
        <v/>
      </c>
    </row>
    <row r="1695">
      <c r="A1695">
        <f>IF('Entry Builder'!$N$7=0,1,IF('Entry Builder'!$D$7="Less",--(INDEX(Sims!$A1695:$BO1695,'Entry Builder'!$L$7)&lt;'Entry Builder'!$E$7),--(INDEX(Sims!$A1695:$BO1695,'Entry Builder'!$L$7)&gt;'Entry Builder'!$E$7)))</f>
        <v/>
      </c>
      <c r="B1695">
        <f>IF('Entry Builder'!$N$8=0,1,IF('Entry Builder'!$D$8="Less",--(INDEX(Sims!$A1695:$BO1695,'Entry Builder'!$L$8)&lt;'Entry Builder'!$E$8),--(INDEX(Sims!$A1695:$BO1695,'Entry Builder'!$L$8)&gt;'Entry Builder'!$E$8)))</f>
        <v/>
      </c>
      <c r="C1695">
        <f>IF('Entry Builder'!$N$9=0,1,IF('Entry Builder'!$D$9="Less",--(INDEX(Sims!$A1695:$BO1695,'Entry Builder'!$L$9)&lt;'Entry Builder'!$E$9),--(INDEX(Sims!$A1695:$BO1695,'Entry Builder'!$L$9)&gt;'Entry Builder'!$E$9)))</f>
        <v/>
      </c>
      <c r="D1695">
        <f>IF('Entry Builder'!$N$10=0,1,IF('Entry Builder'!$D$10="Less",--(INDEX(Sims!$A1695:$BO1695,'Entry Builder'!$L$10)&lt;'Entry Builder'!$E$10),--(INDEX(Sims!$A1695:$BO1695,'Entry Builder'!$L$10)&gt;'Entry Builder'!$E$10)))</f>
        <v/>
      </c>
      <c r="E1695">
        <f>IF('Entry Builder'!$N$11=0,1,IF('Entry Builder'!$D$11="Less",--(INDEX(Sims!$A1695:$BO1695,'Entry Builder'!$L$11)&lt;'Entry Builder'!$E$11),--(INDEX(Sims!$A1695:$BO1695,'Entry Builder'!$L$11)&gt;'Entry Builder'!$E$11)))</f>
        <v/>
      </c>
      <c r="F1695">
        <f>IF('Entry Builder'!$N$12=0,1,IF('Entry Builder'!$D$12="Less",--(INDEX(Sims!$A1695:$BO1695,'Entry Builder'!$L$12)&lt;'Entry Builder'!$E$12),--(INDEX(Sims!$A1695:$BO1695,'Entry Builder'!$L$12)&gt;'Entry Builder'!$E$12)))</f>
        <v/>
      </c>
      <c r="G1695">
        <f>6-SUM(A1695:F1695)</f>
        <v/>
      </c>
    </row>
    <row r="1696">
      <c r="A1696">
        <f>IF('Entry Builder'!$N$7=0,1,IF('Entry Builder'!$D$7="Less",--(INDEX(Sims!$A1696:$BO1696,'Entry Builder'!$L$7)&lt;'Entry Builder'!$E$7),--(INDEX(Sims!$A1696:$BO1696,'Entry Builder'!$L$7)&gt;'Entry Builder'!$E$7)))</f>
        <v/>
      </c>
      <c r="B1696">
        <f>IF('Entry Builder'!$N$8=0,1,IF('Entry Builder'!$D$8="Less",--(INDEX(Sims!$A1696:$BO1696,'Entry Builder'!$L$8)&lt;'Entry Builder'!$E$8),--(INDEX(Sims!$A1696:$BO1696,'Entry Builder'!$L$8)&gt;'Entry Builder'!$E$8)))</f>
        <v/>
      </c>
      <c r="C1696">
        <f>IF('Entry Builder'!$N$9=0,1,IF('Entry Builder'!$D$9="Less",--(INDEX(Sims!$A1696:$BO1696,'Entry Builder'!$L$9)&lt;'Entry Builder'!$E$9),--(INDEX(Sims!$A1696:$BO1696,'Entry Builder'!$L$9)&gt;'Entry Builder'!$E$9)))</f>
        <v/>
      </c>
      <c r="D1696">
        <f>IF('Entry Builder'!$N$10=0,1,IF('Entry Builder'!$D$10="Less",--(INDEX(Sims!$A1696:$BO1696,'Entry Builder'!$L$10)&lt;'Entry Builder'!$E$10),--(INDEX(Sims!$A1696:$BO1696,'Entry Builder'!$L$10)&gt;'Entry Builder'!$E$10)))</f>
        <v/>
      </c>
      <c r="E1696">
        <f>IF('Entry Builder'!$N$11=0,1,IF('Entry Builder'!$D$11="Less",--(INDEX(Sims!$A1696:$BO1696,'Entry Builder'!$L$11)&lt;'Entry Builder'!$E$11),--(INDEX(Sims!$A1696:$BO1696,'Entry Builder'!$L$11)&gt;'Entry Builder'!$E$11)))</f>
        <v/>
      </c>
      <c r="F1696">
        <f>IF('Entry Builder'!$N$12=0,1,IF('Entry Builder'!$D$12="Less",--(INDEX(Sims!$A1696:$BO1696,'Entry Builder'!$L$12)&lt;'Entry Builder'!$E$12),--(INDEX(Sims!$A1696:$BO1696,'Entry Builder'!$L$12)&gt;'Entry Builder'!$E$12)))</f>
        <v/>
      </c>
      <c r="G1696">
        <f>6-SUM(A1696:F1696)</f>
        <v/>
      </c>
    </row>
    <row r="1697">
      <c r="A1697">
        <f>IF('Entry Builder'!$N$7=0,1,IF('Entry Builder'!$D$7="Less",--(INDEX(Sims!$A1697:$BO1697,'Entry Builder'!$L$7)&lt;'Entry Builder'!$E$7),--(INDEX(Sims!$A1697:$BO1697,'Entry Builder'!$L$7)&gt;'Entry Builder'!$E$7)))</f>
        <v/>
      </c>
      <c r="B1697">
        <f>IF('Entry Builder'!$N$8=0,1,IF('Entry Builder'!$D$8="Less",--(INDEX(Sims!$A1697:$BO1697,'Entry Builder'!$L$8)&lt;'Entry Builder'!$E$8),--(INDEX(Sims!$A1697:$BO1697,'Entry Builder'!$L$8)&gt;'Entry Builder'!$E$8)))</f>
        <v/>
      </c>
      <c r="C1697">
        <f>IF('Entry Builder'!$N$9=0,1,IF('Entry Builder'!$D$9="Less",--(INDEX(Sims!$A1697:$BO1697,'Entry Builder'!$L$9)&lt;'Entry Builder'!$E$9),--(INDEX(Sims!$A1697:$BO1697,'Entry Builder'!$L$9)&gt;'Entry Builder'!$E$9)))</f>
        <v/>
      </c>
      <c r="D1697">
        <f>IF('Entry Builder'!$N$10=0,1,IF('Entry Builder'!$D$10="Less",--(INDEX(Sims!$A1697:$BO1697,'Entry Builder'!$L$10)&lt;'Entry Builder'!$E$10),--(INDEX(Sims!$A1697:$BO1697,'Entry Builder'!$L$10)&gt;'Entry Builder'!$E$10)))</f>
        <v/>
      </c>
      <c r="E1697">
        <f>IF('Entry Builder'!$N$11=0,1,IF('Entry Builder'!$D$11="Less",--(INDEX(Sims!$A1697:$BO1697,'Entry Builder'!$L$11)&lt;'Entry Builder'!$E$11),--(INDEX(Sims!$A1697:$BO1697,'Entry Builder'!$L$11)&gt;'Entry Builder'!$E$11)))</f>
        <v/>
      </c>
      <c r="F1697">
        <f>IF('Entry Builder'!$N$12=0,1,IF('Entry Builder'!$D$12="Less",--(INDEX(Sims!$A1697:$BO1697,'Entry Builder'!$L$12)&lt;'Entry Builder'!$E$12),--(INDEX(Sims!$A1697:$BO1697,'Entry Builder'!$L$12)&gt;'Entry Builder'!$E$12)))</f>
        <v/>
      </c>
      <c r="G1697">
        <f>6-SUM(A1697:F1697)</f>
        <v/>
      </c>
    </row>
    <row r="1698">
      <c r="A1698">
        <f>IF('Entry Builder'!$N$7=0,1,IF('Entry Builder'!$D$7="Less",--(INDEX(Sims!$A1698:$BO1698,'Entry Builder'!$L$7)&lt;'Entry Builder'!$E$7),--(INDEX(Sims!$A1698:$BO1698,'Entry Builder'!$L$7)&gt;'Entry Builder'!$E$7)))</f>
        <v/>
      </c>
      <c r="B1698">
        <f>IF('Entry Builder'!$N$8=0,1,IF('Entry Builder'!$D$8="Less",--(INDEX(Sims!$A1698:$BO1698,'Entry Builder'!$L$8)&lt;'Entry Builder'!$E$8),--(INDEX(Sims!$A1698:$BO1698,'Entry Builder'!$L$8)&gt;'Entry Builder'!$E$8)))</f>
        <v/>
      </c>
      <c r="C1698">
        <f>IF('Entry Builder'!$N$9=0,1,IF('Entry Builder'!$D$9="Less",--(INDEX(Sims!$A1698:$BO1698,'Entry Builder'!$L$9)&lt;'Entry Builder'!$E$9),--(INDEX(Sims!$A1698:$BO1698,'Entry Builder'!$L$9)&gt;'Entry Builder'!$E$9)))</f>
        <v/>
      </c>
      <c r="D1698">
        <f>IF('Entry Builder'!$N$10=0,1,IF('Entry Builder'!$D$10="Less",--(INDEX(Sims!$A1698:$BO1698,'Entry Builder'!$L$10)&lt;'Entry Builder'!$E$10),--(INDEX(Sims!$A1698:$BO1698,'Entry Builder'!$L$10)&gt;'Entry Builder'!$E$10)))</f>
        <v/>
      </c>
      <c r="E1698">
        <f>IF('Entry Builder'!$N$11=0,1,IF('Entry Builder'!$D$11="Less",--(INDEX(Sims!$A1698:$BO1698,'Entry Builder'!$L$11)&lt;'Entry Builder'!$E$11),--(INDEX(Sims!$A1698:$BO1698,'Entry Builder'!$L$11)&gt;'Entry Builder'!$E$11)))</f>
        <v/>
      </c>
      <c r="F1698">
        <f>IF('Entry Builder'!$N$12=0,1,IF('Entry Builder'!$D$12="Less",--(INDEX(Sims!$A1698:$BO1698,'Entry Builder'!$L$12)&lt;'Entry Builder'!$E$12),--(INDEX(Sims!$A1698:$BO1698,'Entry Builder'!$L$12)&gt;'Entry Builder'!$E$12)))</f>
        <v/>
      </c>
      <c r="G1698">
        <f>6-SUM(A1698:F1698)</f>
        <v/>
      </c>
    </row>
    <row r="1699">
      <c r="A1699">
        <f>IF('Entry Builder'!$N$7=0,1,IF('Entry Builder'!$D$7="Less",--(INDEX(Sims!$A1699:$BO1699,'Entry Builder'!$L$7)&lt;'Entry Builder'!$E$7),--(INDEX(Sims!$A1699:$BO1699,'Entry Builder'!$L$7)&gt;'Entry Builder'!$E$7)))</f>
        <v/>
      </c>
      <c r="B1699">
        <f>IF('Entry Builder'!$N$8=0,1,IF('Entry Builder'!$D$8="Less",--(INDEX(Sims!$A1699:$BO1699,'Entry Builder'!$L$8)&lt;'Entry Builder'!$E$8),--(INDEX(Sims!$A1699:$BO1699,'Entry Builder'!$L$8)&gt;'Entry Builder'!$E$8)))</f>
        <v/>
      </c>
      <c r="C1699">
        <f>IF('Entry Builder'!$N$9=0,1,IF('Entry Builder'!$D$9="Less",--(INDEX(Sims!$A1699:$BO1699,'Entry Builder'!$L$9)&lt;'Entry Builder'!$E$9),--(INDEX(Sims!$A1699:$BO1699,'Entry Builder'!$L$9)&gt;'Entry Builder'!$E$9)))</f>
        <v/>
      </c>
      <c r="D1699">
        <f>IF('Entry Builder'!$N$10=0,1,IF('Entry Builder'!$D$10="Less",--(INDEX(Sims!$A1699:$BO1699,'Entry Builder'!$L$10)&lt;'Entry Builder'!$E$10),--(INDEX(Sims!$A1699:$BO1699,'Entry Builder'!$L$10)&gt;'Entry Builder'!$E$10)))</f>
        <v/>
      </c>
      <c r="E1699">
        <f>IF('Entry Builder'!$N$11=0,1,IF('Entry Builder'!$D$11="Less",--(INDEX(Sims!$A1699:$BO1699,'Entry Builder'!$L$11)&lt;'Entry Builder'!$E$11),--(INDEX(Sims!$A1699:$BO1699,'Entry Builder'!$L$11)&gt;'Entry Builder'!$E$11)))</f>
        <v/>
      </c>
      <c r="F1699">
        <f>IF('Entry Builder'!$N$12=0,1,IF('Entry Builder'!$D$12="Less",--(INDEX(Sims!$A1699:$BO1699,'Entry Builder'!$L$12)&lt;'Entry Builder'!$E$12),--(INDEX(Sims!$A1699:$BO1699,'Entry Builder'!$L$12)&gt;'Entry Builder'!$E$12)))</f>
        <v/>
      </c>
      <c r="G1699">
        <f>6-SUM(A1699:F1699)</f>
        <v/>
      </c>
    </row>
    <row r="1700">
      <c r="A1700">
        <f>IF('Entry Builder'!$N$7=0,1,IF('Entry Builder'!$D$7="Less",--(INDEX(Sims!$A1700:$BO1700,'Entry Builder'!$L$7)&lt;'Entry Builder'!$E$7),--(INDEX(Sims!$A1700:$BO1700,'Entry Builder'!$L$7)&gt;'Entry Builder'!$E$7)))</f>
        <v/>
      </c>
      <c r="B1700">
        <f>IF('Entry Builder'!$N$8=0,1,IF('Entry Builder'!$D$8="Less",--(INDEX(Sims!$A1700:$BO1700,'Entry Builder'!$L$8)&lt;'Entry Builder'!$E$8),--(INDEX(Sims!$A1700:$BO1700,'Entry Builder'!$L$8)&gt;'Entry Builder'!$E$8)))</f>
        <v/>
      </c>
      <c r="C1700">
        <f>IF('Entry Builder'!$N$9=0,1,IF('Entry Builder'!$D$9="Less",--(INDEX(Sims!$A1700:$BO1700,'Entry Builder'!$L$9)&lt;'Entry Builder'!$E$9),--(INDEX(Sims!$A1700:$BO1700,'Entry Builder'!$L$9)&gt;'Entry Builder'!$E$9)))</f>
        <v/>
      </c>
      <c r="D1700">
        <f>IF('Entry Builder'!$N$10=0,1,IF('Entry Builder'!$D$10="Less",--(INDEX(Sims!$A1700:$BO1700,'Entry Builder'!$L$10)&lt;'Entry Builder'!$E$10),--(INDEX(Sims!$A1700:$BO1700,'Entry Builder'!$L$10)&gt;'Entry Builder'!$E$10)))</f>
        <v/>
      </c>
      <c r="E1700">
        <f>IF('Entry Builder'!$N$11=0,1,IF('Entry Builder'!$D$11="Less",--(INDEX(Sims!$A1700:$BO1700,'Entry Builder'!$L$11)&lt;'Entry Builder'!$E$11),--(INDEX(Sims!$A1700:$BO1700,'Entry Builder'!$L$11)&gt;'Entry Builder'!$E$11)))</f>
        <v/>
      </c>
      <c r="F1700">
        <f>IF('Entry Builder'!$N$12=0,1,IF('Entry Builder'!$D$12="Less",--(INDEX(Sims!$A1700:$BO1700,'Entry Builder'!$L$12)&lt;'Entry Builder'!$E$12),--(INDEX(Sims!$A1700:$BO1700,'Entry Builder'!$L$12)&gt;'Entry Builder'!$E$12)))</f>
        <v/>
      </c>
      <c r="G1700">
        <f>6-SUM(A1700:F1700)</f>
        <v/>
      </c>
    </row>
    <row r="1701">
      <c r="A1701">
        <f>IF('Entry Builder'!$N$7=0,1,IF('Entry Builder'!$D$7="Less",--(INDEX(Sims!$A1701:$BO1701,'Entry Builder'!$L$7)&lt;'Entry Builder'!$E$7),--(INDEX(Sims!$A1701:$BO1701,'Entry Builder'!$L$7)&gt;'Entry Builder'!$E$7)))</f>
        <v/>
      </c>
      <c r="B1701">
        <f>IF('Entry Builder'!$N$8=0,1,IF('Entry Builder'!$D$8="Less",--(INDEX(Sims!$A1701:$BO1701,'Entry Builder'!$L$8)&lt;'Entry Builder'!$E$8),--(INDEX(Sims!$A1701:$BO1701,'Entry Builder'!$L$8)&gt;'Entry Builder'!$E$8)))</f>
        <v/>
      </c>
      <c r="C1701">
        <f>IF('Entry Builder'!$N$9=0,1,IF('Entry Builder'!$D$9="Less",--(INDEX(Sims!$A1701:$BO1701,'Entry Builder'!$L$9)&lt;'Entry Builder'!$E$9),--(INDEX(Sims!$A1701:$BO1701,'Entry Builder'!$L$9)&gt;'Entry Builder'!$E$9)))</f>
        <v/>
      </c>
      <c r="D1701">
        <f>IF('Entry Builder'!$N$10=0,1,IF('Entry Builder'!$D$10="Less",--(INDEX(Sims!$A1701:$BO1701,'Entry Builder'!$L$10)&lt;'Entry Builder'!$E$10),--(INDEX(Sims!$A1701:$BO1701,'Entry Builder'!$L$10)&gt;'Entry Builder'!$E$10)))</f>
        <v/>
      </c>
      <c r="E1701">
        <f>IF('Entry Builder'!$N$11=0,1,IF('Entry Builder'!$D$11="Less",--(INDEX(Sims!$A1701:$BO1701,'Entry Builder'!$L$11)&lt;'Entry Builder'!$E$11),--(INDEX(Sims!$A1701:$BO1701,'Entry Builder'!$L$11)&gt;'Entry Builder'!$E$11)))</f>
        <v/>
      </c>
      <c r="F1701">
        <f>IF('Entry Builder'!$N$12=0,1,IF('Entry Builder'!$D$12="Less",--(INDEX(Sims!$A1701:$BO1701,'Entry Builder'!$L$12)&lt;'Entry Builder'!$E$12),--(INDEX(Sims!$A1701:$BO1701,'Entry Builder'!$L$12)&gt;'Entry Builder'!$E$12)))</f>
        <v/>
      </c>
      <c r="G1701">
        <f>6-SUM(A1701:F1701)</f>
        <v/>
      </c>
    </row>
    <row r="1702">
      <c r="A1702">
        <f>IF('Entry Builder'!$N$7=0,1,IF('Entry Builder'!$D$7="Less",--(INDEX(Sims!$A1702:$BO1702,'Entry Builder'!$L$7)&lt;'Entry Builder'!$E$7),--(INDEX(Sims!$A1702:$BO1702,'Entry Builder'!$L$7)&gt;'Entry Builder'!$E$7)))</f>
        <v/>
      </c>
      <c r="B1702">
        <f>IF('Entry Builder'!$N$8=0,1,IF('Entry Builder'!$D$8="Less",--(INDEX(Sims!$A1702:$BO1702,'Entry Builder'!$L$8)&lt;'Entry Builder'!$E$8),--(INDEX(Sims!$A1702:$BO1702,'Entry Builder'!$L$8)&gt;'Entry Builder'!$E$8)))</f>
        <v/>
      </c>
      <c r="C1702">
        <f>IF('Entry Builder'!$N$9=0,1,IF('Entry Builder'!$D$9="Less",--(INDEX(Sims!$A1702:$BO1702,'Entry Builder'!$L$9)&lt;'Entry Builder'!$E$9),--(INDEX(Sims!$A1702:$BO1702,'Entry Builder'!$L$9)&gt;'Entry Builder'!$E$9)))</f>
        <v/>
      </c>
      <c r="D1702">
        <f>IF('Entry Builder'!$N$10=0,1,IF('Entry Builder'!$D$10="Less",--(INDEX(Sims!$A1702:$BO1702,'Entry Builder'!$L$10)&lt;'Entry Builder'!$E$10),--(INDEX(Sims!$A1702:$BO1702,'Entry Builder'!$L$10)&gt;'Entry Builder'!$E$10)))</f>
        <v/>
      </c>
      <c r="E1702">
        <f>IF('Entry Builder'!$N$11=0,1,IF('Entry Builder'!$D$11="Less",--(INDEX(Sims!$A1702:$BO1702,'Entry Builder'!$L$11)&lt;'Entry Builder'!$E$11),--(INDEX(Sims!$A1702:$BO1702,'Entry Builder'!$L$11)&gt;'Entry Builder'!$E$11)))</f>
        <v/>
      </c>
      <c r="F1702">
        <f>IF('Entry Builder'!$N$12=0,1,IF('Entry Builder'!$D$12="Less",--(INDEX(Sims!$A1702:$BO1702,'Entry Builder'!$L$12)&lt;'Entry Builder'!$E$12),--(INDEX(Sims!$A1702:$BO1702,'Entry Builder'!$L$12)&gt;'Entry Builder'!$E$12)))</f>
        <v/>
      </c>
      <c r="G1702">
        <f>6-SUM(A1702:F1702)</f>
        <v/>
      </c>
    </row>
    <row r="1703">
      <c r="A1703">
        <f>IF('Entry Builder'!$N$7=0,1,IF('Entry Builder'!$D$7="Less",--(INDEX(Sims!$A1703:$BO1703,'Entry Builder'!$L$7)&lt;'Entry Builder'!$E$7),--(INDEX(Sims!$A1703:$BO1703,'Entry Builder'!$L$7)&gt;'Entry Builder'!$E$7)))</f>
        <v/>
      </c>
      <c r="B1703">
        <f>IF('Entry Builder'!$N$8=0,1,IF('Entry Builder'!$D$8="Less",--(INDEX(Sims!$A1703:$BO1703,'Entry Builder'!$L$8)&lt;'Entry Builder'!$E$8),--(INDEX(Sims!$A1703:$BO1703,'Entry Builder'!$L$8)&gt;'Entry Builder'!$E$8)))</f>
        <v/>
      </c>
      <c r="C1703">
        <f>IF('Entry Builder'!$N$9=0,1,IF('Entry Builder'!$D$9="Less",--(INDEX(Sims!$A1703:$BO1703,'Entry Builder'!$L$9)&lt;'Entry Builder'!$E$9),--(INDEX(Sims!$A1703:$BO1703,'Entry Builder'!$L$9)&gt;'Entry Builder'!$E$9)))</f>
        <v/>
      </c>
      <c r="D1703">
        <f>IF('Entry Builder'!$N$10=0,1,IF('Entry Builder'!$D$10="Less",--(INDEX(Sims!$A1703:$BO1703,'Entry Builder'!$L$10)&lt;'Entry Builder'!$E$10),--(INDEX(Sims!$A1703:$BO1703,'Entry Builder'!$L$10)&gt;'Entry Builder'!$E$10)))</f>
        <v/>
      </c>
      <c r="E1703">
        <f>IF('Entry Builder'!$N$11=0,1,IF('Entry Builder'!$D$11="Less",--(INDEX(Sims!$A1703:$BO1703,'Entry Builder'!$L$11)&lt;'Entry Builder'!$E$11),--(INDEX(Sims!$A1703:$BO1703,'Entry Builder'!$L$11)&gt;'Entry Builder'!$E$11)))</f>
        <v/>
      </c>
      <c r="F1703">
        <f>IF('Entry Builder'!$N$12=0,1,IF('Entry Builder'!$D$12="Less",--(INDEX(Sims!$A1703:$BO1703,'Entry Builder'!$L$12)&lt;'Entry Builder'!$E$12),--(INDEX(Sims!$A1703:$BO1703,'Entry Builder'!$L$12)&gt;'Entry Builder'!$E$12)))</f>
        <v/>
      </c>
      <c r="G1703">
        <f>6-SUM(A1703:F1703)</f>
        <v/>
      </c>
    </row>
    <row r="1704">
      <c r="A1704">
        <f>IF('Entry Builder'!$N$7=0,1,IF('Entry Builder'!$D$7="Less",--(INDEX(Sims!$A1704:$BO1704,'Entry Builder'!$L$7)&lt;'Entry Builder'!$E$7),--(INDEX(Sims!$A1704:$BO1704,'Entry Builder'!$L$7)&gt;'Entry Builder'!$E$7)))</f>
        <v/>
      </c>
      <c r="B1704">
        <f>IF('Entry Builder'!$N$8=0,1,IF('Entry Builder'!$D$8="Less",--(INDEX(Sims!$A1704:$BO1704,'Entry Builder'!$L$8)&lt;'Entry Builder'!$E$8),--(INDEX(Sims!$A1704:$BO1704,'Entry Builder'!$L$8)&gt;'Entry Builder'!$E$8)))</f>
        <v/>
      </c>
      <c r="C1704">
        <f>IF('Entry Builder'!$N$9=0,1,IF('Entry Builder'!$D$9="Less",--(INDEX(Sims!$A1704:$BO1704,'Entry Builder'!$L$9)&lt;'Entry Builder'!$E$9),--(INDEX(Sims!$A1704:$BO1704,'Entry Builder'!$L$9)&gt;'Entry Builder'!$E$9)))</f>
        <v/>
      </c>
      <c r="D1704">
        <f>IF('Entry Builder'!$N$10=0,1,IF('Entry Builder'!$D$10="Less",--(INDEX(Sims!$A1704:$BO1704,'Entry Builder'!$L$10)&lt;'Entry Builder'!$E$10),--(INDEX(Sims!$A1704:$BO1704,'Entry Builder'!$L$10)&gt;'Entry Builder'!$E$10)))</f>
        <v/>
      </c>
      <c r="E1704">
        <f>IF('Entry Builder'!$N$11=0,1,IF('Entry Builder'!$D$11="Less",--(INDEX(Sims!$A1704:$BO1704,'Entry Builder'!$L$11)&lt;'Entry Builder'!$E$11),--(INDEX(Sims!$A1704:$BO1704,'Entry Builder'!$L$11)&gt;'Entry Builder'!$E$11)))</f>
        <v/>
      </c>
      <c r="F1704">
        <f>IF('Entry Builder'!$N$12=0,1,IF('Entry Builder'!$D$12="Less",--(INDEX(Sims!$A1704:$BO1704,'Entry Builder'!$L$12)&lt;'Entry Builder'!$E$12),--(INDEX(Sims!$A1704:$BO1704,'Entry Builder'!$L$12)&gt;'Entry Builder'!$E$12)))</f>
        <v/>
      </c>
      <c r="G1704">
        <f>6-SUM(A1704:F1704)</f>
        <v/>
      </c>
    </row>
    <row r="1705">
      <c r="A1705">
        <f>IF('Entry Builder'!$N$7=0,1,IF('Entry Builder'!$D$7="Less",--(INDEX(Sims!$A1705:$BO1705,'Entry Builder'!$L$7)&lt;'Entry Builder'!$E$7),--(INDEX(Sims!$A1705:$BO1705,'Entry Builder'!$L$7)&gt;'Entry Builder'!$E$7)))</f>
        <v/>
      </c>
      <c r="B1705">
        <f>IF('Entry Builder'!$N$8=0,1,IF('Entry Builder'!$D$8="Less",--(INDEX(Sims!$A1705:$BO1705,'Entry Builder'!$L$8)&lt;'Entry Builder'!$E$8),--(INDEX(Sims!$A1705:$BO1705,'Entry Builder'!$L$8)&gt;'Entry Builder'!$E$8)))</f>
        <v/>
      </c>
      <c r="C1705">
        <f>IF('Entry Builder'!$N$9=0,1,IF('Entry Builder'!$D$9="Less",--(INDEX(Sims!$A1705:$BO1705,'Entry Builder'!$L$9)&lt;'Entry Builder'!$E$9),--(INDEX(Sims!$A1705:$BO1705,'Entry Builder'!$L$9)&gt;'Entry Builder'!$E$9)))</f>
        <v/>
      </c>
      <c r="D1705">
        <f>IF('Entry Builder'!$N$10=0,1,IF('Entry Builder'!$D$10="Less",--(INDEX(Sims!$A1705:$BO1705,'Entry Builder'!$L$10)&lt;'Entry Builder'!$E$10),--(INDEX(Sims!$A1705:$BO1705,'Entry Builder'!$L$10)&gt;'Entry Builder'!$E$10)))</f>
        <v/>
      </c>
      <c r="E1705">
        <f>IF('Entry Builder'!$N$11=0,1,IF('Entry Builder'!$D$11="Less",--(INDEX(Sims!$A1705:$BO1705,'Entry Builder'!$L$11)&lt;'Entry Builder'!$E$11),--(INDEX(Sims!$A1705:$BO1705,'Entry Builder'!$L$11)&gt;'Entry Builder'!$E$11)))</f>
        <v/>
      </c>
      <c r="F1705">
        <f>IF('Entry Builder'!$N$12=0,1,IF('Entry Builder'!$D$12="Less",--(INDEX(Sims!$A1705:$BO1705,'Entry Builder'!$L$12)&lt;'Entry Builder'!$E$12),--(INDEX(Sims!$A1705:$BO1705,'Entry Builder'!$L$12)&gt;'Entry Builder'!$E$12)))</f>
        <v/>
      </c>
      <c r="G1705">
        <f>6-SUM(A1705:F1705)</f>
        <v/>
      </c>
    </row>
    <row r="1706">
      <c r="A1706">
        <f>IF('Entry Builder'!$N$7=0,1,IF('Entry Builder'!$D$7="Less",--(INDEX(Sims!$A1706:$BO1706,'Entry Builder'!$L$7)&lt;'Entry Builder'!$E$7),--(INDEX(Sims!$A1706:$BO1706,'Entry Builder'!$L$7)&gt;'Entry Builder'!$E$7)))</f>
        <v/>
      </c>
      <c r="B1706">
        <f>IF('Entry Builder'!$N$8=0,1,IF('Entry Builder'!$D$8="Less",--(INDEX(Sims!$A1706:$BO1706,'Entry Builder'!$L$8)&lt;'Entry Builder'!$E$8),--(INDEX(Sims!$A1706:$BO1706,'Entry Builder'!$L$8)&gt;'Entry Builder'!$E$8)))</f>
        <v/>
      </c>
      <c r="C1706">
        <f>IF('Entry Builder'!$N$9=0,1,IF('Entry Builder'!$D$9="Less",--(INDEX(Sims!$A1706:$BO1706,'Entry Builder'!$L$9)&lt;'Entry Builder'!$E$9),--(INDEX(Sims!$A1706:$BO1706,'Entry Builder'!$L$9)&gt;'Entry Builder'!$E$9)))</f>
        <v/>
      </c>
      <c r="D1706">
        <f>IF('Entry Builder'!$N$10=0,1,IF('Entry Builder'!$D$10="Less",--(INDEX(Sims!$A1706:$BO1706,'Entry Builder'!$L$10)&lt;'Entry Builder'!$E$10),--(INDEX(Sims!$A1706:$BO1706,'Entry Builder'!$L$10)&gt;'Entry Builder'!$E$10)))</f>
        <v/>
      </c>
      <c r="E1706">
        <f>IF('Entry Builder'!$N$11=0,1,IF('Entry Builder'!$D$11="Less",--(INDEX(Sims!$A1706:$BO1706,'Entry Builder'!$L$11)&lt;'Entry Builder'!$E$11),--(INDEX(Sims!$A1706:$BO1706,'Entry Builder'!$L$11)&gt;'Entry Builder'!$E$11)))</f>
        <v/>
      </c>
      <c r="F1706">
        <f>IF('Entry Builder'!$N$12=0,1,IF('Entry Builder'!$D$12="Less",--(INDEX(Sims!$A1706:$BO1706,'Entry Builder'!$L$12)&lt;'Entry Builder'!$E$12),--(INDEX(Sims!$A1706:$BO1706,'Entry Builder'!$L$12)&gt;'Entry Builder'!$E$12)))</f>
        <v/>
      </c>
      <c r="G1706">
        <f>6-SUM(A1706:F1706)</f>
        <v/>
      </c>
    </row>
    <row r="1707">
      <c r="A1707">
        <f>IF('Entry Builder'!$N$7=0,1,IF('Entry Builder'!$D$7="Less",--(INDEX(Sims!$A1707:$BO1707,'Entry Builder'!$L$7)&lt;'Entry Builder'!$E$7),--(INDEX(Sims!$A1707:$BO1707,'Entry Builder'!$L$7)&gt;'Entry Builder'!$E$7)))</f>
        <v/>
      </c>
      <c r="B1707">
        <f>IF('Entry Builder'!$N$8=0,1,IF('Entry Builder'!$D$8="Less",--(INDEX(Sims!$A1707:$BO1707,'Entry Builder'!$L$8)&lt;'Entry Builder'!$E$8),--(INDEX(Sims!$A1707:$BO1707,'Entry Builder'!$L$8)&gt;'Entry Builder'!$E$8)))</f>
        <v/>
      </c>
      <c r="C1707">
        <f>IF('Entry Builder'!$N$9=0,1,IF('Entry Builder'!$D$9="Less",--(INDEX(Sims!$A1707:$BO1707,'Entry Builder'!$L$9)&lt;'Entry Builder'!$E$9),--(INDEX(Sims!$A1707:$BO1707,'Entry Builder'!$L$9)&gt;'Entry Builder'!$E$9)))</f>
        <v/>
      </c>
      <c r="D1707">
        <f>IF('Entry Builder'!$N$10=0,1,IF('Entry Builder'!$D$10="Less",--(INDEX(Sims!$A1707:$BO1707,'Entry Builder'!$L$10)&lt;'Entry Builder'!$E$10),--(INDEX(Sims!$A1707:$BO1707,'Entry Builder'!$L$10)&gt;'Entry Builder'!$E$10)))</f>
        <v/>
      </c>
      <c r="E1707">
        <f>IF('Entry Builder'!$N$11=0,1,IF('Entry Builder'!$D$11="Less",--(INDEX(Sims!$A1707:$BO1707,'Entry Builder'!$L$11)&lt;'Entry Builder'!$E$11),--(INDEX(Sims!$A1707:$BO1707,'Entry Builder'!$L$11)&gt;'Entry Builder'!$E$11)))</f>
        <v/>
      </c>
      <c r="F1707">
        <f>IF('Entry Builder'!$N$12=0,1,IF('Entry Builder'!$D$12="Less",--(INDEX(Sims!$A1707:$BO1707,'Entry Builder'!$L$12)&lt;'Entry Builder'!$E$12),--(INDEX(Sims!$A1707:$BO1707,'Entry Builder'!$L$12)&gt;'Entry Builder'!$E$12)))</f>
        <v/>
      </c>
      <c r="G1707">
        <f>6-SUM(A1707:F1707)</f>
        <v/>
      </c>
    </row>
    <row r="1708">
      <c r="A1708">
        <f>IF('Entry Builder'!$N$7=0,1,IF('Entry Builder'!$D$7="Less",--(INDEX(Sims!$A1708:$BO1708,'Entry Builder'!$L$7)&lt;'Entry Builder'!$E$7),--(INDEX(Sims!$A1708:$BO1708,'Entry Builder'!$L$7)&gt;'Entry Builder'!$E$7)))</f>
        <v/>
      </c>
      <c r="B1708">
        <f>IF('Entry Builder'!$N$8=0,1,IF('Entry Builder'!$D$8="Less",--(INDEX(Sims!$A1708:$BO1708,'Entry Builder'!$L$8)&lt;'Entry Builder'!$E$8),--(INDEX(Sims!$A1708:$BO1708,'Entry Builder'!$L$8)&gt;'Entry Builder'!$E$8)))</f>
        <v/>
      </c>
      <c r="C1708">
        <f>IF('Entry Builder'!$N$9=0,1,IF('Entry Builder'!$D$9="Less",--(INDEX(Sims!$A1708:$BO1708,'Entry Builder'!$L$9)&lt;'Entry Builder'!$E$9),--(INDEX(Sims!$A1708:$BO1708,'Entry Builder'!$L$9)&gt;'Entry Builder'!$E$9)))</f>
        <v/>
      </c>
      <c r="D1708">
        <f>IF('Entry Builder'!$N$10=0,1,IF('Entry Builder'!$D$10="Less",--(INDEX(Sims!$A1708:$BO1708,'Entry Builder'!$L$10)&lt;'Entry Builder'!$E$10),--(INDEX(Sims!$A1708:$BO1708,'Entry Builder'!$L$10)&gt;'Entry Builder'!$E$10)))</f>
        <v/>
      </c>
      <c r="E1708">
        <f>IF('Entry Builder'!$N$11=0,1,IF('Entry Builder'!$D$11="Less",--(INDEX(Sims!$A1708:$BO1708,'Entry Builder'!$L$11)&lt;'Entry Builder'!$E$11),--(INDEX(Sims!$A1708:$BO1708,'Entry Builder'!$L$11)&gt;'Entry Builder'!$E$11)))</f>
        <v/>
      </c>
      <c r="F1708">
        <f>IF('Entry Builder'!$N$12=0,1,IF('Entry Builder'!$D$12="Less",--(INDEX(Sims!$A1708:$BO1708,'Entry Builder'!$L$12)&lt;'Entry Builder'!$E$12),--(INDEX(Sims!$A1708:$BO1708,'Entry Builder'!$L$12)&gt;'Entry Builder'!$E$12)))</f>
        <v/>
      </c>
      <c r="G1708">
        <f>6-SUM(A1708:F1708)</f>
        <v/>
      </c>
    </row>
    <row r="1709">
      <c r="A1709">
        <f>IF('Entry Builder'!$N$7=0,1,IF('Entry Builder'!$D$7="Less",--(INDEX(Sims!$A1709:$BO1709,'Entry Builder'!$L$7)&lt;'Entry Builder'!$E$7),--(INDEX(Sims!$A1709:$BO1709,'Entry Builder'!$L$7)&gt;'Entry Builder'!$E$7)))</f>
        <v/>
      </c>
      <c r="B1709">
        <f>IF('Entry Builder'!$N$8=0,1,IF('Entry Builder'!$D$8="Less",--(INDEX(Sims!$A1709:$BO1709,'Entry Builder'!$L$8)&lt;'Entry Builder'!$E$8),--(INDEX(Sims!$A1709:$BO1709,'Entry Builder'!$L$8)&gt;'Entry Builder'!$E$8)))</f>
        <v/>
      </c>
      <c r="C1709">
        <f>IF('Entry Builder'!$N$9=0,1,IF('Entry Builder'!$D$9="Less",--(INDEX(Sims!$A1709:$BO1709,'Entry Builder'!$L$9)&lt;'Entry Builder'!$E$9),--(INDEX(Sims!$A1709:$BO1709,'Entry Builder'!$L$9)&gt;'Entry Builder'!$E$9)))</f>
        <v/>
      </c>
      <c r="D1709">
        <f>IF('Entry Builder'!$N$10=0,1,IF('Entry Builder'!$D$10="Less",--(INDEX(Sims!$A1709:$BO1709,'Entry Builder'!$L$10)&lt;'Entry Builder'!$E$10),--(INDEX(Sims!$A1709:$BO1709,'Entry Builder'!$L$10)&gt;'Entry Builder'!$E$10)))</f>
        <v/>
      </c>
      <c r="E1709">
        <f>IF('Entry Builder'!$N$11=0,1,IF('Entry Builder'!$D$11="Less",--(INDEX(Sims!$A1709:$BO1709,'Entry Builder'!$L$11)&lt;'Entry Builder'!$E$11),--(INDEX(Sims!$A1709:$BO1709,'Entry Builder'!$L$11)&gt;'Entry Builder'!$E$11)))</f>
        <v/>
      </c>
      <c r="F1709">
        <f>IF('Entry Builder'!$N$12=0,1,IF('Entry Builder'!$D$12="Less",--(INDEX(Sims!$A1709:$BO1709,'Entry Builder'!$L$12)&lt;'Entry Builder'!$E$12),--(INDEX(Sims!$A1709:$BO1709,'Entry Builder'!$L$12)&gt;'Entry Builder'!$E$12)))</f>
        <v/>
      </c>
      <c r="G1709">
        <f>6-SUM(A1709:F1709)</f>
        <v/>
      </c>
    </row>
    <row r="1710">
      <c r="A1710">
        <f>IF('Entry Builder'!$N$7=0,1,IF('Entry Builder'!$D$7="Less",--(INDEX(Sims!$A1710:$BO1710,'Entry Builder'!$L$7)&lt;'Entry Builder'!$E$7),--(INDEX(Sims!$A1710:$BO1710,'Entry Builder'!$L$7)&gt;'Entry Builder'!$E$7)))</f>
        <v/>
      </c>
      <c r="B1710">
        <f>IF('Entry Builder'!$N$8=0,1,IF('Entry Builder'!$D$8="Less",--(INDEX(Sims!$A1710:$BO1710,'Entry Builder'!$L$8)&lt;'Entry Builder'!$E$8),--(INDEX(Sims!$A1710:$BO1710,'Entry Builder'!$L$8)&gt;'Entry Builder'!$E$8)))</f>
        <v/>
      </c>
      <c r="C1710">
        <f>IF('Entry Builder'!$N$9=0,1,IF('Entry Builder'!$D$9="Less",--(INDEX(Sims!$A1710:$BO1710,'Entry Builder'!$L$9)&lt;'Entry Builder'!$E$9),--(INDEX(Sims!$A1710:$BO1710,'Entry Builder'!$L$9)&gt;'Entry Builder'!$E$9)))</f>
        <v/>
      </c>
      <c r="D1710">
        <f>IF('Entry Builder'!$N$10=0,1,IF('Entry Builder'!$D$10="Less",--(INDEX(Sims!$A1710:$BO1710,'Entry Builder'!$L$10)&lt;'Entry Builder'!$E$10),--(INDEX(Sims!$A1710:$BO1710,'Entry Builder'!$L$10)&gt;'Entry Builder'!$E$10)))</f>
        <v/>
      </c>
      <c r="E1710">
        <f>IF('Entry Builder'!$N$11=0,1,IF('Entry Builder'!$D$11="Less",--(INDEX(Sims!$A1710:$BO1710,'Entry Builder'!$L$11)&lt;'Entry Builder'!$E$11),--(INDEX(Sims!$A1710:$BO1710,'Entry Builder'!$L$11)&gt;'Entry Builder'!$E$11)))</f>
        <v/>
      </c>
      <c r="F1710">
        <f>IF('Entry Builder'!$N$12=0,1,IF('Entry Builder'!$D$12="Less",--(INDEX(Sims!$A1710:$BO1710,'Entry Builder'!$L$12)&lt;'Entry Builder'!$E$12),--(INDEX(Sims!$A1710:$BO1710,'Entry Builder'!$L$12)&gt;'Entry Builder'!$E$12)))</f>
        <v/>
      </c>
      <c r="G1710">
        <f>6-SUM(A1710:F1710)</f>
        <v/>
      </c>
    </row>
    <row r="1711">
      <c r="A1711">
        <f>IF('Entry Builder'!$N$7=0,1,IF('Entry Builder'!$D$7="Less",--(INDEX(Sims!$A1711:$BO1711,'Entry Builder'!$L$7)&lt;'Entry Builder'!$E$7),--(INDEX(Sims!$A1711:$BO1711,'Entry Builder'!$L$7)&gt;'Entry Builder'!$E$7)))</f>
        <v/>
      </c>
      <c r="B1711">
        <f>IF('Entry Builder'!$N$8=0,1,IF('Entry Builder'!$D$8="Less",--(INDEX(Sims!$A1711:$BO1711,'Entry Builder'!$L$8)&lt;'Entry Builder'!$E$8),--(INDEX(Sims!$A1711:$BO1711,'Entry Builder'!$L$8)&gt;'Entry Builder'!$E$8)))</f>
        <v/>
      </c>
      <c r="C1711">
        <f>IF('Entry Builder'!$N$9=0,1,IF('Entry Builder'!$D$9="Less",--(INDEX(Sims!$A1711:$BO1711,'Entry Builder'!$L$9)&lt;'Entry Builder'!$E$9),--(INDEX(Sims!$A1711:$BO1711,'Entry Builder'!$L$9)&gt;'Entry Builder'!$E$9)))</f>
        <v/>
      </c>
      <c r="D1711">
        <f>IF('Entry Builder'!$N$10=0,1,IF('Entry Builder'!$D$10="Less",--(INDEX(Sims!$A1711:$BO1711,'Entry Builder'!$L$10)&lt;'Entry Builder'!$E$10),--(INDEX(Sims!$A1711:$BO1711,'Entry Builder'!$L$10)&gt;'Entry Builder'!$E$10)))</f>
        <v/>
      </c>
      <c r="E1711">
        <f>IF('Entry Builder'!$N$11=0,1,IF('Entry Builder'!$D$11="Less",--(INDEX(Sims!$A1711:$BO1711,'Entry Builder'!$L$11)&lt;'Entry Builder'!$E$11),--(INDEX(Sims!$A1711:$BO1711,'Entry Builder'!$L$11)&gt;'Entry Builder'!$E$11)))</f>
        <v/>
      </c>
      <c r="F1711">
        <f>IF('Entry Builder'!$N$12=0,1,IF('Entry Builder'!$D$12="Less",--(INDEX(Sims!$A1711:$BO1711,'Entry Builder'!$L$12)&lt;'Entry Builder'!$E$12),--(INDEX(Sims!$A1711:$BO1711,'Entry Builder'!$L$12)&gt;'Entry Builder'!$E$12)))</f>
        <v/>
      </c>
      <c r="G1711">
        <f>6-SUM(A1711:F1711)</f>
        <v/>
      </c>
    </row>
    <row r="1712">
      <c r="A1712">
        <f>IF('Entry Builder'!$N$7=0,1,IF('Entry Builder'!$D$7="Less",--(INDEX(Sims!$A1712:$BO1712,'Entry Builder'!$L$7)&lt;'Entry Builder'!$E$7),--(INDEX(Sims!$A1712:$BO1712,'Entry Builder'!$L$7)&gt;'Entry Builder'!$E$7)))</f>
        <v/>
      </c>
      <c r="B1712">
        <f>IF('Entry Builder'!$N$8=0,1,IF('Entry Builder'!$D$8="Less",--(INDEX(Sims!$A1712:$BO1712,'Entry Builder'!$L$8)&lt;'Entry Builder'!$E$8),--(INDEX(Sims!$A1712:$BO1712,'Entry Builder'!$L$8)&gt;'Entry Builder'!$E$8)))</f>
        <v/>
      </c>
      <c r="C1712">
        <f>IF('Entry Builder'!$N$9=0,1,IF('Entry Builder'!$D$9="Less",--(INDEX(Sims!$A1712:$BO1712,'Entry Builder'!$L$9)&lt;'Entry Builder'!$E$9),--(INDEX(Sims!$A1712:$BO1712,'Entry Builder'!$L$9)&gt;'Entry Builder'!$E$9)))</f>
        <v/>
      </c>
      <c r="D1712">
        <f>IF('Entry Builder'!$N$10=0,1,IF('Entry Builder'!$D$10="Less",--(INDEX(Sims!$A1712:$BO1712,'Entry Builder'!$L$10)&lt;'Entry Builder'!$E$10),--(INDEX(Sims!$A1712:$BO1712,'Entry Builder'!$L$10)&gt;'Entry Builder'!$E$10)))</f>
        <v/>
      </c>
      <c r="E1712">
        <f>IF('Entry Builder'!$N$11=0,1,IF('Entry Builder'!$D$11="Less",--(INDEX(Sims!$A1712:$BO1712,'Entry Builder'!$L$11)&lt;'Entry Builder'!$E$11),--(INDEX(Sims!$A1712:$BO1712,'Entry Builder'!$L$11)&gt;'Entry Builder'!$E$11)))</f>
        <v/>
      </c>
      <c r="F1712">
        <f>IF('Entry Builder'!$N$12=0,1,IF('Entry Builder'!$D$12="Less",--(INDEX(Sims!$A1712:$BO1712,'Entry Builder'!$L$12)&lt;'Entry Builder'!$E$12),--(INDEX(Sims!$A1712:$BO1712,'Entry Builder'!$L$12)&gt;'Entry Builder'!$E$12)))</f>
        <v/>
      </c>
      <c r="G1712">
        <f>6-SUM(A1712:F1712)</f>
        <v/>
      </c>
    </row>
    <row r="1713">
      <c r="A1713">
        <f>IF('Entry Builder'!$N$7=0,1,IF('Entry Builder'!$D$7="Less",--(INDEX(Sims!$A1713:$BO1713,'Entry Builder'!$L$7)&lt;'Entry Builder'!$E$7),--(INDEX(Sims!$A1713:$BO1713,'Entry Builder'!$L$7)&gt;'Entry Builder'!$E$7)))</f>
        <v/>
      </c>
      <c r="B1713">
        <f>IF('Entry Builder'!$N$8=0,1,IF('Entry Builder'!$D$8="Less",--(INDEX(Sims!$A1713:$BO1713,'Entry Builder'!$L$8)&lt;'Entry Builder'!$E$8),--(INDEX(Sims!$A1713:$BO1713,'Entry Builder'!$L$8)&gt;'Entry Builder'!$E$8)))</f>
        <v/>
      </c>
      <c r="C1713">
        <f>IF('Entry Builder'!$N$9=0,1,IF('Entry Builder'!$D$9="Less",--(INDEX(Sims!$A1713:$BO1713,'Entry Builder'!$L$9)&lt;'Entry Builder'!$E$9),--(INDEX(Sims!$A1713:$BO1713,'Entry Builder'!$L$9)&gt;'Entry Builder'!$E$9)))</f>
        <v/>
      </c>
      <c r="D1713">
        <f>IF('Entry Builder'!$N$10=0,1,IF('Entry Builder'!$D$10="Less",--(INDEX(Sims!$A1713:$BO1713,'Entry Builder'!$L$10)&lt;'Entry Builder'!$E$10),--(INDEX(Sims!$A1713:$BO1713,'Entry Builder'!$L$10)&gt;'Entry Builder'!$E$10)))</f>
        <v/>
      </c>
      <c r="E1713">
        <f>IF('Entry Builder'!$N$11=0,1,IF('Entry Builder'!$D$11="Less",--(INDEX(Sims!$A1713:$BO1713,'Entry Builder'!$L$11)&lt;'Entry Builder'!$E$11),--(INDEX(Sims!$A1713:$BO1713,'Entry Builder'!$L$11)&gt;'Entry Builder'!$E$11)))</f>
        <v/>
      </c>
      <c r="F1713">
        <f>IF('Entry Builder'!$N$12=0,1,IF('Entry Builder'!$D$12="Less",--(INDEX(Sims!$A1713:$BO1713,'Entry Builder'!$L$12)&lt;'Entry Builder'!$E$12),--(INDEX(Sims!$A1713:$BO1713,'Entry Builder'!$L$12)&gt;'Entry Builder'!$E$12)))</f>
        <v/>
      </c>
      <c r="G1713">
        <f>6-SUM(A1713:F1713)</f>
        <v/>
      </c>
    </row>
    <row r="1714">
      <c r="A1714">
        <f>IF('Entry Builder'!$N$7=0,1,IF('Entry Builder'!$D$7="Less",--(INDEX(Sims!$A1714:$BO1714,'Entry Builder'!$L$7)&lt;'Entry Builder'!$E$7),--(INDEX(Sims!$A1714:$BO1714,'Entry Builder'!$L$7)&gt;'Entry Builder'!$E$7)))</f>
        <v/>
      </c>
      <c r="B1714">
        <f>IF('Entry Builder'!$N$8=0,1,IF('Entry Builder'!$D$8="Less",--(INDEX(Sims!$A1714:$BO1714,'Entry Builder'!$L$8)&lt;'Entry Builder'!$E$8),--(INDEX(Sims!$A1714:$BO1714,'Entry Builder'!$L$8)&gt;'Entry Builder'!$E$8)))</f>
        <v/>
      </c>
      <c r="C1714">
        <f>IF('Entry Builder'!$N$9=0,1,IF('Entry Builder'!$D$9="Less",--(INDEX(Sims!$A1714:$BO1714,'Entry Builder'!$L$9)&lt;'Entry Builder'!$E$9),--(INDEX(Sims!$A1714:$BO1714,'Entry Builder'!$L$9)&gt;'Entry Builder'!$E$9)))</f>
        <v/>
      </c>
      <c r="D1714">
        <f>IF('Entry Builder'!$N$10=0,1,IF('Entry Builder'!$D$10="Less",--(INDEX(Sims!$A1714:$BO1714,'Entry Builder'!$L$10)&lt;'Entry Builder'!$E$10),--(INDEX(Sims!$A1714:$BO1714,'Entry Builder'!$L$10)&gt;'Entry Builder'!$E$10)))</f>
        <v/>
      </c>
      <c r="E1714">
        <f>IF('Entry Builder'!$N$11=0,1,IF('Entry Builder'!$D$11="Less",--(INDEX(Sims!$A1714:$BO1714,'Entry Builder'!$L$11)&lt;'Entry Builder'!$E$11),--(INDEX(Sims!$A1714:$BO1714,'Entry Builder'!$L$11)&gt;'Entry Builder'!$E$11)))</f>
        <v/>
      </c>
      <c r="F1714">
        <f>IF('Entry Builder'!$N$12=0,1,IF('Entry Builder'!$D$12="Less",--(INDEX(Sims!$A1714:$BO1714,'Entry Builder'!$L$12)&lt;'Entry Builder'!$E$12),--(INDEX(Sims!$A1714:$BO1714,'Entry Builder'!$L$12)&gt;'Entry Builder'!$E$12)))</f>
        <v/>
      </c>
      <c r="G1714">
        <f>6-SUM(A1714:F1714)</f>
        <v/>
      </c>
    </row>
    <row r="1715">
      <c r="A1715">
        <f>IF('Entry Builder'!$N$7=0,1,IF('Entry Builder'!$D$7="Less",--(INDEX(Sims!$A1715:$BO1715,'Entry Builder'!$L$7)&lt;'Entry Builder'!$E$7),--(INDEX(Sims!$A1715:$BO1715,'Entry Builder'!$L$7)&gt;'Entry Builder'!$E$7)))</f>
        <v/>
      </c>
      <c r="B1715">
        <f>IF('Entry Builder'!$N$8=0,1,IF('Entry Builder'!$D$8="Less",--(INDEX(Sims!$A1715:$BO1715,'Entry Builder'!$L$8)&lt;'Entry Builder'!$E$8),--(INDEX(Sims!$A1715:$BO1715,'Entry Builder'!$L$8)&gt;'Entry Builder'!$E$8)))</f>
        <v/>
      </c>
      <c r="C1715">
        <f>IF('Entry Builder'!$N$9=0,1,IF('Entry Builder'!$D$9="Less",--(INDEX(Sims!$A1715:$BO1715,'Entry Builder'!$L$9)&lt;'Entry Builder'!$E$9),--(INDEX(Sims!$A1715:$BO1715,'Entry Builder'!$L$9)&gt;'Entry Builder'!$E$9)))</f>
        <v/>
      </c>
      <c r="D1715">
        <f>IF('Entry Builder'!$N$10=0,1,IF('Entry Builder'!$D$10="Less",--(INDEX(Sims!$A1715:$BO1715,'Entry Builder'!$L$10)&lt;'Entry Builder'!$E$10),--(INDEX(Sims!$A1715:$BO1715,'Entry Builder'!$L$10)&gt;'Entry Builder'!$E$10)))</f>
        <v/>
      </c>
      <c r="E1715">
        <f>IF('Entry Builder'!$N$11=0,1,IF('Entry Builder'!$D$11="Less",--(INDEX(Sims!$A1715:$BO1715,'Entry Builder'!$L$11)&lt;'Entry Builder'!$E$11),--(INDEX(Sims!$A1715:$BO1715,'Entry Builder'!$L$11)&gt;'Entry Builder'!$E$11)))</f>
        <v/>
      </c>
      <c r="F1715">
        <f>IF('Entry Builder'!$N$12=0,1,IF('Entry Builder'!$D$12="Less",--(INDEX(Sims!$A1715:$BO1715,'Entry Builder'!$L$12)&lt;'Entry Builder'!$E$12),--(INDEX(Sims!$A1715:$BO1715,'Entry Builder'!$L$12)&gt;'Entry Builder'!$E$12)))</f>
        <v/>
      </c>
      <c r="G1715">
        <f>6-SUM(A1715:F1715)</f>
        <v/>
      </c>
    </row>
    <row r="1716">
      <c r="A1716">
        <f>IF('Entry Builder'!$N$7=0,1,IF('Entry Builder'!$D$7="Less",--(INDEX(Sims!$A1716:$BO1716,'Entry Builder'!$L$7)&lt;'Entry Builder'!$E$7),--(INDEX(Sims!$A1716:$BO1716,'Entry Builder'!$L$7)&gt;'Entry Builder'!$E$7)))</f>
        <v/>
      </c>
      <c r="B1716">
        <f>IF('Entry Builder'!$N$8=0,1,IF('Entry Builder'!$D$8="Less",--(INDEX(Sims!$A1716:$BO1716,'Entry Builder'!$L$8)&lt;'Entry Builder'!$E$8),--(INDEX(Sims!$A1716:$BO1716,'Entry Builder'!$L$8)&gt;'Entry Builder'!$E$8)))</f>
        <v/>
      </c>
      <c r="C1716">
        <f>IF('Entry Builder'!$N$9=0,1,IF('Entry Builder'!$D$9="Less",--(INDEX(Sims!$A1716:$BO1716,'Entry Builder'!$L$9)&lt;'Entry Builder'!$E$9),--(INDEX(Sims!$A1716:$BO1716,'Entry Builder'!$L$9)&gt;'Entry Builder'!$E$9)))</f>
        <v/>
      </c>
      <c r="D1716">
        <f>IF('Entry Builder'!$N$10=0,1,IF('Entry Builder'!$D$10="Less",--(INDEX(Sims!$A1716:$BO1716,'Entry Builder'!$L$10)&lt;'Entry Builder'!$E$10),--(INDEX(Sims!$A1716:$BO1716,'Entry Builder'!$L$10)&gt;'Entry Builder'!$E$10)))</f>
        <v/>
      </c>
      <c r="E1716">
        <f>IF('Entry Builder'!$N$11=0,1,IF('Entry Builder'!$D$11="Less",--(INDEX(Sims!$A1716:$BO1716,'Entry Builder'!$L$11)&lt;'Entry Builder'!$E$11),--(INDEX(Sims!$A1716:$BO1716,'Entry Builder'!$L$11)&gt;'Entry Builder'!$E$11)))</f>
        <v/>
      </c>
      <c r="F1716">
        <f>IF('Entry Builder'!$N$12=0,1,IF('Entry Builder'!$D$12="Less",--(INDEX(Sims!$A1716:$BO1716,'Entry Builder'!$L$12)&lt;'Entry Builder'!$E$12),--(INDEX(Sims!$A1716:$BO1716,'Entry Builder'!$L$12)&gt;'Entry Builder'!$E$12)))</f>
        <v/>
      </c>
      <c r="G1716">
        <f>6-SUM(A1716:F1716)</f>
        <v/>
      </c>
    </row>
    <row r="1717">
      <c r="A1717">
        <f>IF('Entry Builder'!$N$7=0,1,IF('Entry Builder'!$D$7="Less",--(INDEX(Sims!$A1717:$BO1717,'Entry Builder'!$L$7)&lt;'Entry Builder'!$E$7),--(INDEX(Sims!$A1717:$BO1717,'Entry Builder'!$L$7)&gt;'Entry Builder'!$E$7)))</f>
        <v/>
      </c>
      <c r="B1717">
        <f>IF('Entry Builder'!$N$8=0,1,IF('Entry Builder'!$D$8="Less",--(INDEX(Sims!$A1717:$BO1717,'Entry Builder'!$L$8)&lt;'Entry Builder'!$E$8),--(INDEX(Sims!$A1717:$BO1717,'Entry Builder'!$L$8)&gt;'Entry Builder'!$E$8)))</f>
        <v/>
      </c>
      <c r="C1717">
        <f>IF('Entry Builder'!$N$9=0,1,IF('Entry Builder'!$D$9="Less",--(INDEX(Sims!$A1717:$BO1717,'Entry Builder'!$L$9)&lt;'Entry Builder'!$E$9),--(INDEX(Sims!$A1717:$BO1717,'Entry Builder'!$L$9)&gt;'Entry Builder'!$E$9)))</f>
        <v/>
      </c>
      <c r="D1717">
        <f>IF('Entry Builder'!$N$10=0,1,IF('Entry Builder'!$D$10="Less",--(INDEX(Sims!$A1717:$BO1717,'Entry Builder'!$L$10)&lt;'Entry Builder'!$E$10),--(INDEX(Sims!$A1717:$BO1717,'Entry Builder'!$L$10)&gt;'Entry Builder'!$E$10)))</f>
        <v/>
      </c>
      <c r="E1717">
        <f>IF('Entry Builder'!$N$11=0,1,IF('Entry Builder'!$D$11="Less",--(INDEX(Sims!$A1717:$BO1717,'Entry Builder'!$L$11)&lt;'Entry Builder'!$E$11),--(INDEX(Sims!$A1717:$BO1717,'Entry Builder'!$L$11)&gt;'Entry Builder'!$E$11)))</f>
        <v/>
      </c>
      <c r="F1717">
        <f>IF('Entry Builder'!$N$12=0,1,IF('Entry Builder'!$D$12="Less",--(INDEX(Sims!$A1717:$BO1717,'Entry Builder'!$L$12)&lt;'Entry Builder'!$E$12),--(INDEX(Sims!$A1717:$BO1717,'Entry Builder'!$L$12)&gt;'Entry Builder'!$E$12)))</f>
        <v/>
      </c>
      <c r="G1717">
        <f>6-SUM(A1717:F1717)</f>
        <v/>
      </c>
    </row>
    <row r="1718">
      <c r="A1718">
        <f>IF('Entry Builder'!$N$7=0,1,IF('Entry Builder'!$D$7="Less",--(INDEX(Sims!$A1718:$BO1718,'Entry Builder'!$L$7)&lt;'Entry Builder'!$E$7),--(INDEX(Sims!$A1718:$BO1718,'Entry Builder'!$L$7)&gt;'Entry Builder'!$E$7)))</f>
        <v/>
      </c>
      <c r="B1718">
        <f>IF('Entry Builder'!$N$8=0,1,IF('Entry Builder'!$D$8="Less",--(INDEX(Sims!$A1718:$BO1718,'Entry Builder'!$L$8)&lt;'Entry Builder'!$E$8),--(INDEX(Sims!$A1718:$BO1718,'Entry Builder'!$L$8)&gt;'Entry Builder'!$E$8)))</f>
        <v/>
      </c>
      <c r="C1718">
        <f>IF('Entry Builder'!$N$9=0,1,IF('Entry Builder'!$D$9="Less",--(INDEX(Sims!$A1718:$BO1718,'Entry Builder'!$L$9)&lt;'Entry Builder'!$E$9),--(INDEX(Sims!$A1718:$BO1718,'Entry Builder'!$L$9)&gt;'Entry Builder'!$E$9)))</f>
        <v/>
      </c>
      <c r="D1718">
        <f>IF('Entry Builder'!$N$10=0,1,IF('Entry Builder'!$D$10="Less",--(INDEX(Sims!$A1718:$BO1718,'Entry Builder'!$L$10)&lt;'Entry Builder'!$E$10),--(INDEX(Sims!$A1718:$BO1718,'Entry Builder'!$L$10)&gt;'Entry Builder'!$E$10)))</f>
        <v/>
      </c>
      <c r="E1718">
        <f>IF('Entry Builder'!$N$11=0,1,IF('Entry Builder'!$D$11="Less",--(INDEX(Sims!$A1718:$BO1718,'Entry Builder'!$L$11)&lt;'Entry Builder'!$E$11),--(INDEX(Sims!$A1718:$BO1718,'Entry Builder'!$L$11)&gt;'Entry Builder'!$E$11)))</f>
        <v/>
      </c>
      <c r="F1718">
        <f>IF('Entry Builder'!$N$12=0,1,IF('Entry Builder'!$D$12="Less",--(INDEX(Sims!$A1718:$BO1718,'Entry Builder'!$L$12)&lt;'Entry Builder'!$E$12),--(INDEX(Sims!$A1718:$BO1718,'Entry Builder'!$L$12)&gt;'Entry Builder'!$E$12)))</f>
        <v/>
      </c>
      <c r="G1718">
        <f>6-SUM(A1718:F1718)</f>
        <v/>
      </c>
    </row>
    <row r="1719">
      <c r="A1719">
        <f>IF('Entry Builder'!$N$7=0,1,IF('Entry Builder'!$D$7="Less",--(INDEX(Sims!$A1719:$BO1719,'Entry Builder'!$L$7)&lt;'Entry Builder'!$E$7),--(INDEX(Sims!$A1719:$BO1719,'Entry Builder'!$L$7)&gt;'Entry Builder'!$E$7)))</f>
        <v/>
      </c>
      <c r="B1719">
        <f>IF('Entry Builder'!$N$8=0,1,IF('Entry Builder'!$D$8="Less",--(INDEX(Sims!$A1719:$BO1719,'Entry Builder'!$L$8)&lt;'Entry Builder'!$E$8),--(INDEX(Sims!$A1719:$BO1719,'Entry Builder'!$L$8)&gt;'Entry Builder'!$E$8)))</f>
        <v/>
      </c>
      <c r="C1719">
        <f>IF('Entry Builder'!$N$9=0,1,IF('Entry Builder'!$D$9="Less",--(INDEX(Sims!$A1719:$BO1719,'Entry Builder'!$L$9)&lt;'Entry Builder'!$E$9),--(INDEX(Sims!$A1719:$BO1719,'Entry Builder'!$L$9)&gt;'Entry Builder'!$E$9)))</f>
        <v/>
      </c>
      <c r="D1719">
        <f>IF('Entry Builder'!$N$10=0,1,IF('Entry Builder'!$D$10="Less",--(INDEX(Sims!$A1719:$BO1719,'Entry Builder'!$L$10)&lt;'Entry Builder'!$E$10),--(INDEX(Sims!$A1719:$BO1719,'Entry Builder'!$L$10)&gt;'Entry Builder'!$E$10)))</f>
        <v/>
      </c>
      <c r="E1719">
        <f>IF('Entry Builder'!$N$11=0,1,IF('Entry Builder'!$D$11="Less",--(INDEX(Sims!$A1719:$BO1719,'Entry Builder'!$L$11)&lt;'Entry Builder'!$E$11),--(INDEX(Sims!$A1719:$BO1719,'Entry Builder'!$L$11)&gt;'Entry Builder'!$E$11)))</f>
        <v/>
      </c>
      <c r="F1719">
        <f>IF('Entry Builder'!$N$12=0,1,IF('Entry Builder'!$D$12="Less",--(INDEX(Sims!$A1719:$BO1719,'Entry Builder'!$L$12)&lt;'Entry Builder'!$E$12),--(INDEX(Sims!$A1719:$BO1719,'Entry Builder'!$L$12)&gt;'Entry Builder'!$E$12)))</f>
        <v/>
      </c>
      <c r="G1719">
        <f>6-SUM(A1719:F1719)</f>
        <v/>
      </c>
    </row>
    <row r="1720">
      <c r="A1720">
        <f>IF('Entry Builder'!$N$7=0,1,IF('Entry Builder'!$D$7="Less",--(INDEX(Sims!$A1720:$BO1720,'Entry Builder'!$L$7)&lt;'Entry Builder'!$E$7),--(INDEX(Sims!$A1720:$BO1720,'Entry Builder'!$L$7)&gt;'Entry Builder'!$E$7)))</f>
        <v/>
      </c>
      <c r="B1720">
        <f>IF('Entry Builder'!$N$8=0,1,IF('Entry Builder'!$D$8="Less",--(INDEX(Sims!$A1720:$BO1720,'Entry Builder'!$L$8)&lt;'Entry Builder'!$E$8),--(INDEX(Sims!$A1720:$BO1720,'Entry Builder'!$L$8)&gt;'Entry Builder'!$E$8)))</f>
        <v/>
      </c>
      <c r="C1720">
        <f>IF('Entry Builder'!$N$9=0,1,IF('Entry Builder'!$D$9="Less",--(INDEX(Sims!$A1720:$BO1720,'Entry Builder'!$L$9)&lt;'Entry Builder'!$E$9),--(INDEX(Sims!$A1720:$BO1720,'Entry Builder'!$L$9)&gt;'Entry Builder'!$E$9)))</f>
        <v/>
      </c>
      <c r="D1720">
        <f>IF('Entry Builder'!$N$10=0,1,IF('Entry Builder'!$D$10="Less",--(INDEX(Sims!$A1720:$BO1720,'Entry Builder'!$L$10)&lt;'Entry Builder'!$E$10),--(INDEX(Sims!$A1720:$BO1720,'Entry Builder'!$L$10)&gt;'Entry Builder'!$E$10)))</f>
        <v/>
      </c>
      <c r="E1720">
        <f>IF('Entry Builder'!$N$11=0,1,IF('Entry Builder'!$D$11="Less",--(INDEX(Sims!$A1720:$BO1720,'Entry Builder'!$L$11)&lt;'Entry Builder'!$E$11),--(INDEX(Sims!$A1720:$BO1720,'Entry Builder'!$L$11)&gt;'Entry Builder'!$E$11)))</f>
        <v/>
      </c>
      <c r="F1720">
        <f>IF('Entry Builder'!$N$12=0,1,IF('Entry Builder'!$D$12="Less",--(INDEX(Sims!$A1720:$BO1720,'Entry Builder'!$L$12)&lt;'Entry Builder'!$E$12),--(INDEX(Sims!$A1720:$BO1720,'Entry Builder'!$L$12)&gt;'Entry Builder'!$E$12)))</f>
        <v/>
      </c>
      <c r="G1720">
        <f>6-SUM(A1720:F1720)</f>
        <v/>
      </c>
    </row>
    <row r="1721">
      <c r="A1721">
        <f>IF('Entry Builder'!$N$7=0,1,IF('Entry Builder'!$D$7="Less",--(INDEX(Sims!$A1721:$BO1721,'Entry Builder'!$L$7)&lt;'Entry Builder'!$E$7),--(INDEX(Sims!$A1721:$BO1721,'Entry Builder'!$L$7)&gt;'Entry Builder'!$E$7)))</f>
        <v/>
      </c>
      <c r="B1721">
        <f>IF('Entry Builder'!$N$8=0,1,IF('Entry Builder'!$D$8="Less",--(INDEX(Sims!$A1721:$BO1721,'Entry Builder'!$L$8)&lt;'Entry Builder'!$E$8),--(INDEX(Sims!$A1721:$BO1721,'Entry Builder'!$L$8)&gt;'Entry Builder'!$E$8)))</f>
        <v/>
      </c>
      <c r="C1721">
        <f>IF('Entry Builder'!$N$9=0,1,IF('Entry Builder'!$D$9="Less",--(INDEX(Sims!$A1721:$BO1721,'Entry Builder'!$L$9)&lt;'Entry Builder'!$E$9),--(INDEX(Sims!$A1721:$BO1721,'Entry Builder'!$L$9)&gt;'Entry Builder'!$E$9)))</f>
        <v/>
      </c>
      <c r="D1721">
        <f>IF('Entry Builder'!$N$10=0,1,IF('Entry Builder'!$D$10="Less",--(INDEX(Sims!$A1721:$BO1721,'Entry Builder'!$L$10)&lt;'Entry Builder'!$E$10),--(INDEX(Sims!$A1721:$BO1721,'Entry Builder'!$L$10)&gt;'Entry Builder'!$E$10)))</f>
        <v/>
      </c>
      <c r="E1721">
        <f>IF('Entry Builder'!$N$11=0,1,IF('Entry Builder'!$D$11="Less",--(INDEX(Sims!$A1721:$BO1721,'Entry Builder'!$L$11)&lt;'Entry Builder'!$E$11),--(INDEX(Sims!$A1721:$BO1721,'Entry Builder'!$L$11)&gt;'Entry Builder'!$E$11)))</f>
        <v/>
      </c>
      <c r="F1721">
        <f>IF('Entry Builder'!$N$12=0,1,IF('Entry Builder'!$D$12="Less",--(INDEX(Sims!$A1721:$BO1721,'Entry Builder'!$L$12)&lt;'Entry Builder'!$E$12),--(INDEX(Sims!$A1721:$BO1721,'Entry Builder'!$L$12)&gt;'Entry Builder'!$E$12)))</f>
        <v/>
      </c>
      <c r="G1721">
        <f>6-SUM(A1721:F1721)</f>
        <v/>
      </c>
    </row>
    <row r="1722">
      <c r="A1722">
        <f>IF('Entry Builder'!$N$7=0,1,IF('Entry Builder'!$D$7="Less",--(INDEX(Sims!$A1722:$BO1722,'Entry Builder'!$L$7)&lt;'Entry Builder'!$E$7),--(INDEX(Sims!$A1722:$BO1722,'Entry Builder'!$L$7)&gt;'Entry Builder'!$E$7)))</f>
        <v/>
      </c>
      <c r="B1722">
        <f>IF('Entry Builder'!$N$8=0,1,IF('Entry Builder'!$D$8="Less",--(INDEX(Sims!$A1722:$BO1722,'Entry Builder'!$L$8)&lt;'Entry Builder'!$E$8),--(INDEX(Sims!$A1722:$BO1722,'Entry Builder'!$L$8)&gt;'Entry Builder'!$E$8)))</f>
        <v/>
      </c>
      <c r="C1722">
        <f>IF('Entry Builder'!$N$9=0,1,IF('Entry Builder'!$D$9="Less",--(INDEX(Sims!$A1722:$BO1722,'Entry Builder'!$L$9)&lt;'Entry Builder'!$E$9),--(INDEX(Sims!$A1722:$BO1722,'Entry Builder'!$L$9)&gt;'Entry Builder'!$E$9)))</f>
        <v/>
      </c>
      <c r="D1722">
        <f>IF('Entry Builder'!$N$10=0,1,IF('Entry Builder'!$D$10="Less",--(INDEX(Sims!$A1722:$BO1722,'Entry Builder'!$L$10)&lt;'Entry Builder'!$E$10),--(INDEX(Sims!$A1722:$BO1722,'Entry Builder'!$L$10)&gt;'Entry Builder'!$E$10)))</f>
        <v/>
      </c>
      <c r="E1722">
        <f>IF('Entry Builder'!$N$11=0,1,IF('Entry Builder'!$D$11="Less",--(INDEX(Sims!$A1722:$BO1722,'Entry Builder'!$L$11)&lt;'Entry Builder'!$E$11),--(INDEX(Sims!$A1722:$BO1722,'Entry Builder'!$L$11)&gt;'Entry Builder'!$E$11)))</f>
        <v/>
      </c>
      <c r="F1722">
        <f>IF('Entry Builder'!$N$12=0,1,IF('Entry Builder'!$D$12="Less",--(INDEX(Sims!$A1722:$BO1722,'Entry Builder'!$L$12)&lt;'Entry Builder'!$E$12),--(INDEX(Sims!$A1722:$BO1722,'Entry Builder'!$L$12)&gt;'Entry Builder'!$E$12)))</f>
        <v/>
      </c>
      <c r="G1722">
        <f>6-SUM(A1722:F1722)</f>
        <v/>
      </c>
    </row>
    <row r="1723">
      <c r="A1723">
        <f>IF('Entry Builder'!$N$7=0,1,IF('Entry Builder'!$D$7="Less",--(INDEX(Sims!$A1723:$BO1723,'Entry Builder'!$L$7)&lt;'Entry Builder'!$E$7),--(INDEX(Sims!$A1723:$BO1723,'Entry Builder'!$L$7)&gt;'Entry Builder'!$E$7)))</f>
        <v/>
      </c>
      <c r="B1723">
        <f>IF('Entry Builder'!$N$8=0,1,IF('Entry Builder'!$D$8="Less",--(INDEX(Sims!$A1723:$BO1723,'Entry Builder'!$L$8)&lt;'Entry Builder'!$E$8),--(INDEX(Sims!$A1723:$BO1723,'Entry Builder'!$L$8)&gt;'Entry Builder'!$E$8)))</f>
        <v/>
      </c>
      <c r="C1723">
        <f>IF('Entry Builder'!$N$9=0,1,IF('Entry Builder'!$D$9="Less",--(INDEX(Sims!$A1723:$BO1723,'Entry Builder'!$L$9)&lt;'Entry Builder'!$E$9),--(INDEX(Sims!$A1723:$BO1723,'Entry Builder'!$L$9)&gt;'Entry Builder'!$E$9)))</f>
        <v/>
      </c>
      <c r="D1723">
        <f>IF('Entry Builder'!$N$10=0,1,IF('Entry Builder'!$D$10="Less",--(INDEX(Sims!$A1723:$BO1723,'Entry Builder'!$L$10)&lt;'Entry Builder'!$E$10),--(INDEX(Sims!$A1723:$BO1723,'Entry Builder'!$L$10)&gt;'Entry Builder'!$E$10)))</f>
        <v/>
      </c>
      <c r="E1723">
        <f>IF('Entry Builder'!$N$11=0,1,IF('Entry Builder'!$D$11="Less",--(INDEX(Sims!$A1723:$BO1723,'Entry Builder'!$L$11)&lt;'Entry Builder'!$E$11),--(INDEX(Sims!$A1723:$BO1723,'Entry Builder'!$L$11)&gt;'Entry Builder'!$E$11)))</f>
        <v/>
      </c>
      <c r="F1723">
        <f>IF('Entry Builder'!$N$12=0,1,IF('Entry Builder'!$D$12="Less",--(INDEX(Sims!$A1723:$BO1723,'Entry Builder'!$L$12)&lt;'Entry Builder'!$E$12),--(INDEX(Sims!$A1723:$BO1723,'Entry Builder'!$L$12)&gt;'Entry Builder'!$E$12)))</f>
        <v/>
      </c>
      <c r="G1723">
        <f>6-SUM(A1723:F1723)</f>
        <v/>
      </c>
    </row>
    <row r="1724">
      <c r="A1724">
        <f>IF('Entry Builder'!$N$7=0,1,IF('Entry Builder'!$D$7="Less",--(INDEX(Sims!$A1724:$BO1724,'Entry Builder'!$L$7)&lt;'Entry Builder'!$E$7),--(INDEX(Sims!$A1724:$BO1724,'Entry Builder'!$L$7)&gt;'Entry Builder'!$E$7)))</f>
        <v/>
      </c>
      <c r="B1724">
        <f>IF('Entry Builder'!$N$8=0,1,IF('Entry Builder'!$D$8="Less",--(INDEX(Sims!$A1724:$BO1724,'Entry Builder'!$L$8)&lt;'Entry Builder'!$E$8),--(INDEX(Sims!$A1724:$BO1724,'Entry Builder'!$L$8)&gt;'Entry Builder'!$E$8)))</f>
        <v/>
      </c>
      <c r="C1724">
        <f>IF('Entry Builder'!$N$9=0,1,IF('Entry Builder'!$D$9="Less",--(INDEX(Sims!$A1724:$BO1724,'Entry Builder'!$L$9)&lt;'Entry Builder'!$E$9),--(INDEX(Sims!$A1724:$BO1724,'Entry Builder'!$L$9)&gt;'Entry Builder'!$E$9)))</f>
        <v/>
      </c>
      <c r="D1724">
        <f>IF('Entry Builder'!$N$10=0,1,IF('Entry Builder'!$D$10="Less",--(INDEX(Sims!$A1724:$BO1724,'Entry Builder'!$L$10)&lt;'Entry Builder'!$E$10),--(INDEX(Sims!$A1724:$BO1724,'Entry Builder'!$L$10)&gt;'Entry Builder'!$E$10)))</f>
        <v/>
      </c>
      <c r="E1724">
        <f>IF('Entry Builder'!$N$11=0,1,IF('Entry Builder'!$D$11="Less",--(INDEX(Sims!$A1724:$BO1724,'Entry Builder'!$L$11)&lt;'Entry Builder'!$E$11),--(INDEX(Sims!$A1724:$BO1724,'Entry Builder'!$L$11)&gt;'Entry Builder'!$E$11)))</f>
        <v/>
      </c>
      <c r="F1724">
        <f>IF('Entry Builder'!$N$12=0,1,IF('Entry Builder'!$D$12="Less",--(INDEX(Sims!$A1724:$BO1724,'Entry Builder'!$L$12)&lt;'Entry Builder'!$E$12),--(INDEX(Sims!$A1724:$BO1724,'Entry Builder'!$L$12)&gt;'Entry Builder'!$E$12)))</f>
        <v/>
      </c>
      <c r="G1724">
        <f>6-SUM(A1724:F1724)</f>
        <v/>
      </c>
    </row>
    <row r="1725">
      <c r="A1725">
        <f>IF('Entry Builder'!$N$7=0,1,IF('Entry Builder'!$D$7="Less",--(INDEX(Sims!$A1725:$BO1725,'Entry Builder'!$L$7)&lt;'Entry Builder'!$E$7),--(INDEX(Sims!$A1725:$BO1725,'Entry Builder'!$L$7)&gt;'Entry Builder'!$E$7)))</f>
        <v/>
      </c>
      <c r="B1725">
        <f>IF('Entry Builder'!$N$8=0,1,IF('Entry Builder'!$D$8="Less",--(INDEX(Sims!$A1725:$BO1725,'Entry Builder'!$L$8)&lt;'Entry Builder'!$E$8),--(INDEX(Sims!$A1725:$BO1725,'Entry Builder'!$L$8)&gt;'Entry Builder'!$E$8)))</f>
        <v/>
      </c>
      <c r="C1725">
        <f>IF('Entry Builder'!$N$9=0,1,IF('Entry Builder'!$D$9="Less",--(INDEX(Sims!$A1725:$BO1725,'Entry Builder'!$L$9)&lt;'Entry Builder'!$E$9),--(INDEX(Sims!$A1725:$BO1725,'Entry Builder'!$L$9)&gt;'Entry Builder'!$E$9)))</f>
        <v/>
      </c>
      <c r="D1725">
        <f>IF('Entry Builder'!$N$10=0,1,IF('Entry Builder'!$D$10="Less",--(INDEX(Sims!$A1725:$BO1725,'Entry Builder'!$L$10)&lt;'Entry Builder'!$E$10),--(INDEX(Sims!$A1725:$BO1725,'Entry Builder'!$L$10)&gt;'Entry Builder'!$E$10)))</f>
        <v/>
      </c>
      <c r="E1725">
        <f>IF('Entry Builder'!$N$11=0,1,IF('Entry Builder'!$D$11="Less",--(INDEX(Sims!$A1725:$BO1725,'Entry Builder'!$L$11)&lt;'Entry Builder'!$E$11),--(INDEX(Sims!$A1725:$BO1725,'Entry Builder'!$L$11)&gt;'Entry Builder'!$E$11)))</f>
        <v/>
      </c>
      <c r="F1725">
        <f>IF('Entry Builder'!$N$12=0,1,IF('Entry Builder'!$D$12="Less",--(INDEX(Sims!$A1725:$BO1725,'Entry Builder'!$L$12)&lt;'Entry Builder'!$E$12),--(INDEX(Sims!$A1725:$BO1725,'Entry Builder'!$L$12)&gt;'Entry Builder'!$E$12)))</f>
        <v/>
      </c>
      <c r="G1725">
        <f>6-SUM(A1725:F1725)</f>
        <v/>
      </c>
    </row>
    <row r="1726">
      <c r="A1726">
        <f>IF('Entry Builder'!$N$7=0,1,IF('Entry Builder'!$D$7="Less",--(INDEX(Sims!$A1726:$BO1726,'Entry Builder'!$L$7)&lt;'Entry Builder'!$E$7),--(INDEX(Sims!$A1726:$BO1726,'Entry Builder'!$L$7)&gt;'Entry Builder'!$E$7)))</f>
        <v/>
      </c>
      <c r="B1726">
        <f>IF('Entry Builder'!$N$8=0,1,IF('Entry Builder'!$D$8="Less",--(INDEX(Sims!$A1726:$BO1726,'Entry Builder'!$L$8)&lt;'Entry Builder'!$E$8),--(INDEX(Sims!$A1726:$BO1726,'Entry Builder'!$L$8)&gt;'Entry Builder'!$E$8)))</f>
        <v/>
      </c>
      <c r="C1726">
        <f>IF('Entry Builder'!$N$9=0,1,IF('Entry Builder'!$D$9="Less",--(INDEX(Sims!$A1726:$BO1726,'Entry Builder'!$L$9)&lt;'Entry Builder'!$E$9),--(INDEX(Sims!$A1726:$BO1726,'Entry Builder'!$L$9)&gt;'Entry Builder'!$E$9)))</f>
        <v/>
      </c>
      <c r="D1726">
        <f>IF('Entry Builder'!$N$10=0,1,IF('Entry Builder'!$D$10="Less",--(INDEX(Sims!$A1726:$BO1726,'Entry Builder'!$L$10)&lt;'Entry Builder'!$E$10),--(INDEX(Sims!$A1726:$BO1726,'Entry Builder'!$L$10)&gt;'Entry Builder'!$E$10)))</f>
        <v/>
      </c>
      <c r="E1726">
        <f>IF('Entry Builder'!$N$11=0,1,IF('Entry Builder'!$D$11="Less",--(INDEX(Sims!$A1726:$BO1726,'Entry Builder'!$L$11)&lt;'Entry Builder'!$E$11),--(INDEX(Sims!$A1726:$BO1726,'Entry Builder'!$L$11)&gt;'Entry Builder'!$E$11)))</f>
        <v/>
      </c>
      <c r="F1726">
        <f>IF('Entry Builder'!$N$12=0,1,IF('Entry Builder'!$D$12="Less",--(INDEX(Sims!$A1726:$BO1726,'Entry Builder'!$L$12)&lt;'Entry Builder'!$E$12),--(INDEX(Sims!$A1726:$BO1726,'Entry Builder'!$L$12)&gt;'Entry Builder'!$E$12)))</f>
        <v/>
      </c>
      <c r="G1726">
        <f>6-SUM(A1726:F1726)</f>
        <v/>
      </c>
    </row>
    <row r="1727">
      <c r="A1727">
        <f>IF('Entry Builder'!$N$7=0,1,IF('Entry Builder'!$D$7="Less",--(INDEX(Sims!$A1727:$BO1727,'Entry Builder'!$L$7)&lt;'Entry Builder'!$E$7),--(INDEX(Sims!$A1727:$BO1727,'Entry Builder'!$L$7)&gt;'Entry Builder'!$E$7)))</f>
        <v/>
      </c>
      <c r="B1727">
        <f>IF('Entry Builder'!$N$8=0,1,IF('Entry Builder'!$D$8="Less",--(INDEX(Sims!$A1727:$BO1727,'Entry Builder'!$L$8)&lt;'Entry Builder'!$E$8),--(INDEX(Sims!$A1727:$BO1727,'Entry Builder'!$L$8)&gt;'Entry Builder'!$E$8)))</f>
        <v/>
      </c>
      <c r="C1727">
        <f>IF('Entry Builder'!$N$9=0,1,IF('Entry Builder'!$D$9="Less",--(INDEX(Sims!$A1727:$BO1727,'Entry Builder'!$L$9)&lt;'Entry Builder'!$E$9),--(INDEX(Sims!$A1727:$BO1727,'Entry Builder'!$L$9)&gt;'Entry Builder'!$E$9)))</f>
        <v/>
      </c>
      <c r="D1727">
        <f>IF('Entry Builder'!$N$10=0,1,IF('Entry Builder'!$D$10="Less",--(INDEX(Sims!$A1727:$BO1727,'Entry Builder'!$L$10)&lt;'Entry Builder'!$E$10),--(INDEX(Sims!$A1727:$BO1727,'Entry Builder'!$L$10)&gt;'Entry Builder'!$E$10)))</f>
        <v/>
      </c>
      <c r="E1727">
        <f>IF('Entry Builder'!$N$11=0,1,IF('Entry Builder'!$D$11="Less",--(INDEX(Sims!$A1727:$BO1727,'Entry Builder'!$L$11)&lt;'Entry Builder'!$E$11),--(INDEX(Sims!$A1727:$BO1727,'Entry Builder'!$L$11)&gt;'Entry Builder'!$E$11)))</f>
        <v/>
      </c>
      <c r="F1727">
        <f>IF('Entry Builder'!$N$12=0,1,IF('Entry Builder'!$D$12="Less",--(INDEX(Sims!$A1727:$BO1727,'Entry Builder'!$L$12)&lt;'Entry Builder'!$E$12),--(INDEX(Sims!$A1727:$BO1727,'Entry Builder'!$L$12)&gt;'Entry Builder'!$E$12)))</f>
        <v/>
      </c>
      <c r="G1727">
        <f>6-SUM(A1727:F1727)</f>
        <v/>
      </c>
    </row>
    <row r="1728">
      <c r="A1728">
        <f>IF('Entry Builder'!$N$7=0,1,IF('Entry Builder'!$D$7="Less",--(INDEX(Sims!$A1728:$BO1728,'Entry Builder'!$L$7)&lt;'Entry Builder'!$E$7),--(INDEX(Sims!$A1728:$BO1728,'Entry Builder'!$L$7)&gt;'Entry Builder'!$E$7)))</f>
        <v/>
      </c>
      <c r="B1728">
        <f>IF('Entry Builder'!$N$8=0,1,IF('Entry Builder'!$D$8="Less",--(INDEX(Sims!$A1728:$BO1728,'Entry Builder'!$L$8)&lt;'Entry Builder'!$E$8),--(INDEX(Sims!$A1728:$BO1728,'Entry Builder'!$L$8)&gt;'Entry Builder'!$E$8)))</f>
        <v/>
      </c>
      <c r="C1728">
        <f>IF('Entry Builder'!$N$9=0,1,IF('Entry Builder'!$D$9="Less",--(INDEX(Sims!$A1728:$BO1728,'Entry Builder'!$L$9)&lt;'Entry Builder'!$E$9),--(INDEX(Sims!$A1728:$BO1728,'Entry Builder'!$L$9)&gt;'Entry Builder'!$E$9)))</f>
        <v/>
      </c>
      <c r="D1728">
        <f>IF('Entry Builder'!$N$10=0,1,IF('Entry Builder'!$D$10="Less",--(INDEX(Sims!$A1728:$BO1728,'Entry Builder'!$L$10)&lt;'Entry Builder'!$E$10),--(INDEX(Sims!$A1728:$BO1728,'Entry Builder'!$L$10)&gt;'Entry Builder'!$E$10)))</f>
        <v/>
      </c>
      <c r="E1728">
        <f>IF('Entry Builder'!$N$11=0,1,IF('Entry Builder'!$D$11="Less",--(INDEX(Sims!$A1728:$BO1728,'Entry Builder'!$L$11)&lt;'Entry Builder'!$E$11),--(INDEX(Sims!$A1728:$BO1728,'Entry Builder'!$L$11)&gt;'Entry Builder'!$E$11)))</f>
        <v/>
      </c>
      <c r="F1728">
        <f>IF('Entry Builder'!$N$12=0,1,IF('Entry Builder'!$D$12="Less",--(INDEX(Sims!$A1728:$BO1728,'Entry Builder'!$L$12)&lt;'Entry Builder'!$E$12),--(INDEX(Sims!$A1728:$BO1728,'Entry Builder'!$L$12)&gt;'Entry Builder'!$E$12)))</f>
        <v/>
      </c>
      <c r="G1728">
        <f>6-SUM(A1728:F1728)</f>
        <v/>
      </c>
    </row>
    <row r="1729">
      <c r="A1729">
        <f>IF('Entry Builder'!$N$7=0,1,IF('Entry Builder'!$D$7="Less",--(INDEX(Sims!$A1729:$BO1729,'Entry Builder'!$L$7)&lt;'Entry Builder'!$E$7),--(INDEX(Sims!$A1729:$BO1729,'Entry Builder'!$L$7)&gt;'Entry Builder'!$E$7)))</f>
        <v/>
      </c>
      <c r="B1729">
        <f>IF('Entry Builder'!$N$8=0,1,IF('Entry Builder'!$D$8="Less",--(INDEX(Sims!$A1729:$BO1729,'Entry Builder'!$L$8)&lt;'Entry Builder'!$E$8),--(INDEX(Sims!$A1729:$BO1729,'Entry Builder'!$L$8)&gt;'Entry Builder'!$E$8)))</f>
        <v/>
      </c>
      <c r="C1729">
        <f>IF('Entry Builder'!$N$9=0,1,IF('Entry Builder'!$D$9="Less",--(INDEX(Sims!$A1729:$BO1729,'Entry Builder'!$L$9)&lt;'Entry Builder'!$E$9),--(INDEX(Sims!$A1729:$BO1729,'Entry Builder'!$L$9)&gt;'Entry Builder'!$E$9)))</f>
        <v/>
      </c>
      <c r="D1729">
        <f>IF('Entry Builder'!$N$10=0,1,IF('Entry Builder'!$D$10="Less",--(INDEX(Sims!$A1729:$BO1729,'Entry Builder'!$L$10)&lt;'Entry Builder'!$E$10),--(INDEX(Sims!$A1729:$BO1729,'Entry Builder'!$L$10)&gt;'Entry Builder'!$E$10)))</f>
        <v/>
      </c>
      <c r="E1729">
        <f>IF('Entry Builder'!$N$11=0,1,IF('Entry Builder'!$D$11="Less",--(INDEX(Sims!$A1729:$BO1729,'Entry Builder'!$L$11)&lt;'Entry Builder'!$E$11),--(INDEX(Sims!$A1729:$BO1729,'Entry Builder'!$L$11)&gt;'Entry Builder'!$E$11)))</f>
        <v/>
      </c>
      <c r="F1729">
        <f>IF('Entry Builder'!$N$12=0,1,IF('Entry Builder'!$D$12="Less",--(INDEX(Sims!$A1729:$BO1729,'Entry Builder'!$L$12)&lt;'Entry Builder'!$E$12),--(INDEX(Sims!$A1729:$BO1729,'Entry Builder'!$L$12)&gt;'Entry Builder'!$E$12)))</f>
        <v/>
      </c>
      <c r="G1729">
        <f>6-SUM(A1729:F1729)</f>
        <v/>
      </c>
    </row>
    <row r="1730">
      <c r="A1730">
        <f>IF('Entry Builder'!$N$7=0,1,IF('Entry Builder'!$D$7="Less",--(INDEX(Sims!$A1730:$BO1730,'Entry Builder'!$L$7)&lt;'Entry Builder'!$E$7),--(INDEX(Sims!$A1730:$BO1730,'Entry Builder'!$L$7)&gt;'Entry Builder'!$E$7)))</f>
        <v/>
      </c>
      <c r="B1730">
        <f>IF('Entry Builder'!$N$8=0,1,IF('Entry Builder'!$D$8="Less",--(INDEX(Sims!$A1730:$BO1730,'Entry Builder'!$L$8)&lt;'Entry Builder'!$E$8),--(INDEX(Sims!$A1730:$BO1730,'Entry Builder'!$L$8)&gt;'Entry Builder'!$E$8)))</f>
        <v/>
      </c>
      <c r="C1730">
        <f>IF('Entry Builder'!$N$9=0,1,IF('Entry Builder'!$D$9="Less",--(INDEX(Sims!$A1730:$BO1730,'Entry Builder'!$L$9)&lt;'Entry Builder'!$E$9),--(INDEX(Sims!$A1730:$BO1730,'Entry Builder'!$L$9)&gt;'Entry Builder'!$E$9)))</f>
        <v/>
      </c>
      <c r="D1730">
        <f>IF('Entry Builder'!$N$10=0,1,IF('Entry Builder'!$D$10="Less",--(INDEX(Sims!$A1730:$BO1730,'Entry Builder'!$L$10)&lt;'Entry Builder'!$E$10),--(INDEX(Sims!$A1730:$BO1730,'Entry Builder'!$L$10)&gt;'Entry Builder'!$E$10)))</f>
        <v/>
      </c>
      <c r="E1730">
        <f>IF('Entry Builder'!$N$11=0,1,IF('Entry Builder'!$D$11="Less",--(INDEX(Sims!$A1730:$BO1730,'Entry Builder'!$L$11)&lt;'Entry Builder'!$E$11),--(INDEX(Sims!$A1730:$BO1730,'Entry Builder'!$L$11)&gt;'Entry Builder'!$E$11)))</f>
        <v/>
      </c>
      <c r="F1730">
        <f>IF('Entry Builder'!$N$12=0,1,IF('Entry Builder'!$D$12="Less",--(INDEX(Sims!$A1730:$BO1730,'Entry Builder'!$L$12)&lt;'Entry Builder'!$E$12),--(INDEX(Sims!$A1730:$BO1730,'Entry Builder'!$L$12)&gt;'Entry Builder'!$E$12)))</f>
        <v/>
      </c>
      <c r="G1730">
        <f>6-SUM(A1730:F1730)</f>
        <v/>
      </c>
    </row>
    <row r="1731">
      <c r="A1731">
        <f>IF('Entry Builder'!$N$7=0,1,IF('Entry Builder'!$D$7="Less",--(INDEX(Sims!$A1731:$BO1731,'Entry Builder'!$L$7)&lt;'Entry Builder'!$E$7),--(INDEX(Sims!$A1731:$BO1731,'Entry Builder'!$L$7)&gt;'Entry Builder'!$E$7)))</f>
        <v/>
      </c>
      <c r="B1731">
        <f>IF('Entry Builder'!$N$8=0,1,IF('Entry Builder'!$D$8="Less",--(INDEX(Sims!$A1731:$BO1731,'Entry Builder'!$L$8)&lt;'Entry Builder'!$E$8),--(INDEX(Sims!$A1731:$BO1731,'Entry Builder'!$L$8)&gt;'Entry Builder'!$E$8)))</f>
        <v/>
      </c>
      <c r="C1731">
        <f>IF('Entry Builder'!$N$9=0,1,IF('Entry Builder'!$D$9="Less",--(INDEX(Sims!$A1731:$BO1731,'Entry Builder'!$L$9)&lt;'Entry Builder'!$E$9),--(INDEX(Sims!$A1731:$BO1731,'Entry Builder'!$L$9)&gt;'Entry Builder'!$E$9)))</f>
        <v/>
      </c>
      <c r="D1731">
        <f>IF('Entry Builder'!$N$10=0,1,IF('Entry Builder'!$D$10="Less",--(INDEX(Sims!$A1731:$BO1731,'Entry Builder'!$L$10)&lt;'Entry Builder'!$E$10),--(INDEX(Sims!$A1731:$BO1731,'Entry Builder'!$L$10)&gt;'Entry Builder'!$E$10)))</f>
        <v/>
      </c>
      <c r="E1731">
        <f>IF('Entry Builder'!$N$11=0,1,IF('Entry Builder'!$D$11="Less",--(INDEX(Sims!$A1731:$BO1731,'Entry Builder'!$L$11)&lt;'Entry Builder'!$E$11),--(INDEX(Sims!$A1731:$BO1731,'Entry Builder'!$L$11)&gt;'Entry Builder'!$E$11)))</f>
        <v/>
      </c>
      <c r="F1731">
        <f>IF('Entry Builder'!$N$12=0,1,IF('Entry Builder'!$D$12="Less",--(INDEX(Sims!$A1731:$BO1731,'Entry Builder'!$L$12)&lt;'Entry Builder'!$E$12),--(INDEX(Sims!$A1731:$BO1731,'Entry Builder'!$L$12)&gt;'Entry Builder'!$E$12)))</f>
        <v/>
      </c>
      <c r="G1731">
        <f>6-SUM(A1731:F1731)</f>
        <v/>
      </c>
    </row>
    <row r="1732">
      <c r="A1732">
        <f>IF('Entry Builder'!$N$7=0,1,IF('Entry Builder'!$D$7="Less",--(INDEX(Sims!$A1732:$BO1732,'Entry Builder'!$L$7)&lt;'Entry Builder'!$E$7),--(INDEX(Sims!$A1732:$BO1732,'Entry Builder'!$L$7)&gt;'Entry Builder'!$E$7)))</f>
        <v/>
      </c>
      <c r="B1732">
        <f>IF('Entry Builder'!$N$8=0,1,IF('Entry Builder'!$D$8="Less",--(INDEX(Sims!$A1732:$BO1732,'Entry Builder'!$L$8)&lt;'Entry Builder'!$E$8),--(INDEX(Sims!$A1732:$BO1732,'Entry Builder'!$L$8)&gt;'Entry Builder'!$E$8)))</f>
        <v/>
      </c>
      <c r="C1732">
        <f>IF('Entry Builder'!$N$9=0,1,IF('Entry Builder'!$D$9="Less",--(INDEX(Sims!$A1732:$BO1732,'Entry Builder'!$L$9)&lt;'Entry Builder'!$E$9),--(INDEX(Sims!$A1732:$BO1732,'Entry Builder'!$L$9)&gt;'Entry Builder'!$E$9)))</f>
        <v/>
      </c>
      <c r="D1732">
        <f>IF('Entry Builder'!$N$10=0,1,IF('Entry Builder'!$D$10="Less",--(INDEX(Sims!$A1732:$BO1732,'Entry Builder'!$L$10)&lt;'Entry Builder'!$E$10),--(INDEX(Sims!$A1732:$BO1732,'Entry Builder'!$L$10)&gt;'Entry Builder'!$E$10)))</f>
        <v/>
      </c>
      <c r="E1732">
        <f>IF('Entry Builder'!$N$11=0,1,IF('Entry Builder'!$D$11="Less",--(INDEX(Sims!$A1732:$BO1732,'Entry Builder'!$L$11)&lt;'Entry Builder'!$E$11),--(INDEX(Sims!$A1732:$BO1732,'Entry Builder'!$L$11)&gt;'Entry Builder'!$E$11)))</f>
        <v/>
      </c>
      <c r="F1732">
        <f>IF('Entry Builder'!$N$12=0,1,IF('Entry Builder'!$D$12="Less",--(INDEX(Sims!$A1732:$BO1732,'Entry Builder'!$L$12)&lt;'Entry Builder'!$E$12),--(INDEX(Sims!$A1732:$BO1732,'Entry Builder'!$L$12)&gt;'Entry Builder'!$E$12)))</f>
        <v/>
      </c>
      <c r="G1732">
        <f>6-SUM(A1732:F1732)</f>
        <v/>
      </c>
    </row>
    <row r="1733">
      <c r="A1733">
        <f>IF('Entry Builder'!$N$7=0,1,IF('Entry Builder'!$D$7="Less",--(INDEX(Sims!$A1733:$BO1733,'Entry Builder'!$L$7)&lt;'Entry Builder'!$E$7),--(INDEX(Sims!$A1733:$BO1733,'Entry Builder'!$L$7)&gt;'Entry Builder'!$E$7)))</f>
        <v/>
      </c>
      <c r="B1733">
        <f>IF('Entry Builder'!$N$8=0,1,IF('Entry Builder'!$D$8="Less",--(INDEX(Sims!$A1733:$BO1733,'Entry Builder'!$L$8)&lt;'Entry Builder'!$E$8),--(INDEX(Sims!$A1733:$BO1733,'Entry Builder'!$L$8)&gt;'Entry Builder'!$E$8)))</f>
        <v/>
      </c>
      <c r="C1733">
        <f>IF('Entry Builder'!$N$9=0,1,IF('Entry Builder'!$D$9="Less",--(INDEX(Sims!$A1733:$BO1733,'Entry Builder'!$L$9)&lt;'Entry Builder'!$E$9),--(INDEX(Sims!$A1733:$BO1733,'Entry Builder'!$L$9)&gt;'Entry Builder'!$E$9)))</f>
        <v/>
      </c>
      <c r="D1733">
        <f>IF('Entry Builder'!$N$10=0,1,IF('Entry Builder'!$D$10="Less",--(INDEX(Sims!$A1733:$BO1733,'Entry Builder'!$L$10)&lt;'Entry Builder'!$E$10),--(INDEX(Sims!$A1733:$BO1733,'Entry Builder'!$L$10)&gt;'Entry Builder'!$E$10)))</f>
        <v/>
      </c>
      <c r="E1733">
        <f>IF('Entry Builder'!$N$11=0,1,IF('Entry Builder'!$D$11="Less",--(INDEX(Sims!$A1733:$BO1733,'Entry Builder'!$L$11)&lt;'Entry Builder'!$E$11),--(INDEX(Sims!$A1733:$BO1733,'Entry Builder'!$L$11)&gt;'Entry Builder'!$E$11)))</f>
        <v/>
      </c>
      <c r="F1733">
        <f>IF('Entry Builder'!$N$12=0,1,IF('Entry Builder'!$D$12="Less",--(INDEX(Sims!$A1733:$BO1733,'Entry Builder'!$L$12)&lt;'Entry Builder'!$E$12),--(INDEX(Sims!$A1733:$BO1733,'Entry Builder'!$L$12)&gt;'Entry Builder'!$E$12)))</f>
        <v/>
      </c>
      <c r="G1733">
        <f>6-SUM(A1733:F1733)</f>
        <v/>
      </c>
    </row>
    <row r="1734">
      <c r="A1734">
        <f>IF('Entry Builder'!$N$7=0,1,IF('Entry Builder'!$D$7="Less",--(INDEX(Sims!$A1734:$BO1734,'Entry Builder'!$L$7)&lt;'Entry Builder'!$E$7),--(INDEX(Sims!$A1734:$BO1734,'Entry Builder'!$L$7)&gt;'Entry Builder'!$E$7)))</f>
        <v/>
      </c>
      <c r="B1734">
        <f>IF('Entry Builder'!$N$8=0,1,IF('Entry Builder'!$D$8="Less",--(INDEX(Sims!$A1734:$BO1734,'Entry Builder'!$L$8)&lt;'Entry Builder'!$E$8),--(INDEX(Sims!$A1734:$BO1734,'Entry Builder'!$L$8)&gt;'Entry Builder'!$E$8)))</f>
        <v/>
      </c>
      <c r="C1734">
        <f>IF('Entry Builder'!$N$9=0,1,IF('Entry Builder'!$D$9="Less",--(INDEX(Sims!$A1734:$BO1734,'Entry Builder'!$L$9)&lt;'Entry Builder'!$E$9),--(INDEX(Sims!$A1734:$BO1734,'Entry Builder'!$L$9)&gt;'Entry Builder'!$E$9)))</f>
        <v/>
      </c>
      <c r="D1734">
        <f>IF('Entry Builder'!$N$10=0,1,IF('Entry Builder'!$D$10="Less",--(INDEX(Sims!$A1734:$BO1734,'Entry Builder'!$L$10)&lt;'Entry Builder'!$E$10),--(INDEX(Sims!$A1734:$BO1734,'Entry Builder'!$L$10)&gt;'Entry Builder'!$E$10)))</f>
        <v/>
      </c>
      <c r="E1734">
        <f>IF('Entry Builder'!$N$11=0,1,IF('Entry Builder'!$D$11="Less",--(INDEX(Sims!$A1734:$BO1734,'Entry Builder'!$L$11)&lt;'Entry Builder'!$E$11),--(INDEX(Sims!$A1734:$BO1734,'Entry Builder'!$L$11)&gt;'Entry Builder'!$E$11)))</f>
        <v/>
      </c>
      <c r="F1734">
        <f>IF('Entry Builder'!$N$12=0,1,IF('Entry Builder'!$D$12="Less",--(INDEX(Sims!$A1734:$BO1734,'Entry Builder'!$L$12)&lt;'Entry Builder'!$E$12),--(INDEX(Sims!$A1734:$BO1734,'Entry Builder'!$L$12)&gt;'Entry Builder'!$E$12)))</f>
        <v/>
      </c>
      <c r="G1734">
        <f>6-SUM(A1734:F1734)</f>
        <v/>
      </c>
    </row>
    <row r="1735">
      <c r="A1735">
        <f>IF('Entry Builder'!$N$7=0,1,IF('Entry Builder'!$D$7="Less",--(INDEX(Sims!$A1735:$BO1735,'Entry Builder'!$L$7)&lt;'Entry Builder'!$E$7),--(INDEX(Sims!$A1735:$BO1735,'Entry Builder'!$L$7)&gt;'Entry Builder'!$E$7)))</f>
        <v/>
      </c>
      <c r="B1735">
        <f>IF('Entry Builder'!$N$8=0,1,IF('Entry Builder'!$D$8="Less",--(INDEX(Sims!$A1735:$BO1735,'Entry Builder'!$L$8)&lt;'Entry Builder'!$E$8),--(INDEX(Sims!$A1735:$BO1735,'Entry Builder'!$L$8)&gt;'Entry Builder'!$E$8)))</f>
        <v/>
      </c>
      <c r="C1735">
        <f>IF('Entry Builder'!$N$9=0,1,IF('Entry Builder'!$D$9="Less",--(INDEX(Sims!$A1735:$BO1735,'Entry Builder'!$L$9)&lt;'Entry Builder'!$E$9),--(INDEX(Sims!$A1735:$BO1735,'Entry Builder'!$L$9)&gt;'Entry Builder'!$E$9)))</f>
        <v/>
      </c>
      <c r="D1735">
        <f>IF('Entry Builder'!$N$10=0,1,IF('Entry Builder'!$D$10="Less",--(INDEX(Sims!$A1735:$BO1735,'Entry Builder'!$L$10)&lt;'Entry Builder'!$E$10),--(INDEX(Sims!$A1735:$BO1735,'Entry Builder'!$L$10)&gt;'Entry Builder'!$E$10)))</f>
        <v/>
      </c>
      <c r="E1735">
        <f>IF('Entry Builder'!$N$11=0,1,IF('Entry Builder'!$D$11="Less",--(INDEX(Sims!$A1735:$BO1735,'Entry Builder'!$L$11)&lt;'Entry Builder'!$E$11),--(INDEX(Sims!$A1735:$BO1735,'Entry Builder'!$L$11)&gt;'Entry Builder'!$E$11)))</f>
        <v/>
      </c>
      <c r="F1735">
        <f>IF('Entry Builder'!$N$12=0,1,IF('Entry Builder'!$D$12="Less",--(INDEX(Sims!$A1735:$BO1735,'Entry Builder'!$L$12)&lt;'Entry Builder'!$E$12),--(INDEX(Sims!$A1735:$BO1735,'Entry Builder'!$L$12)&gt;'Entry Builder'!$E$12)))</f>
        <v/>
      </c>
      <c r="G1735">
        <f>6-SUM(A1735:F1735)</f>
        <v/>
      </c>
    </row>
    <row r="1736">
      <c r="A1736">
        <f>IF('Entry Builder'!$N$7=0,1,IF('Entry Builder'!$D$7="Less",--(INDEX(Sims!$A1736:$BO1736,'Entry Builder'!$L$7)&lt;'Entry Builder'!$E$7),--(INDEX(Sims!$A1736:$BO1736,'Entry Builder'!$L$7)&gt;'Entry Builder'!$E$7)))</f>
        <v/>
      </c>
      <c r="B1736">
        <f>IF('Entry Builder'!$N$8=0,1,IF('Entry Builder'!$D$8="Less",--(INDEX(Sims!$A1736:$BO1736,'Entry Builder'!$L$8)&lt;'Entry Builder'!$E$8),--(INDEX(Sims!$A1736:$BO1736,'Entry Builder'!$L$8)&gt;'Entry Builder'!$E$8)))</f>
        <v/>
      </c>
      <c r="C1736">
        <f>IF('Entry Builder'!$N$9=0,1,IF('Entry Builder'!$D$9="Less",--(INDEX(Sims!$A1736:$BO1736,'Entry Builder'!$L$9)&lt;'Entry Builder'!$E$9),--(INDEX(Sims!$A1736:$BO1736,'Entry Builder'!$L$9)&gt;'Entry Builder'!$E$9)))</f>
        <v/>
      </c>
      <c r="D1736">
        <f>IF('Entry Builder'!$N$10=0,1,IF('Entry Builder'!$D$10="Less",--(INDEX(Sims!$A1736:$BO1736,'Entry Builder'!$L$10)&lt;'Entry Builder'!$E$10),--(INDEX(Sims!$A1736:$BO1736,'Entry Builder'!$L$10)&gt;'Entry Builder'!$E$10)))</f>
        <v/>
      </c>
      <c r="E1736">
        <f>IF('Entry Builder'!$N$11=0,1,IF('Entry Builder'!$D$11="Less",--(INDEX(Sims!$A1736:$BO1736,'Entry Builder'!$L$11)&lt;'Entry Builder'!$E$11),--(INDEX(Sims!$A1736:$BO1736,'Entry Builder'!$L$11)&gt;'Entry Builder'!$E$11)))</f>
        <v/>
      </c>
      <c r="F1736">
        <f>IF('Entry Builder'!$N$12=0,1,IF('Entry Builder'!$D$12="Less",--(INDEX(Sims!$A1736:$BO1736,'Entry Builder'!$L$12)&lt;'Entry Builder'!$E$12),--(INDEX(Sims!$A1736:$BO1736,'Entry Builder'!$L$12)&gt;'Entry Builder'!$E$12)))</f>
        <v/>
      </c>
      <c r="G1736">
        <f>6-SUM(A1736:F1736)</f>
        <v/>
      </c>
    </row>
    <row r="1737">
      <c r="A1737">
        <f>IF('Entry Builder'!$N$7=0,1,IF('Entry Builder'!$D$7="Less",--(INDEX(Sims!$A1737:$BO1737,'Entry Builder'!$L$7)&lt;'Entry Builder'!$E$7),--(INDEX(Sims!$A1737:$BO1737,'Entry Builder'!$L$7)&gt;'Entry Builder'!$E$7)))</f>
        <v/>
      </c>
      <c r="B1737">
        <f>IF('Entry Builder'!$N$8=0,1,IF('Entry Builder'!$D$8="Less",--(INDEX(Sims!$A1737:$BO1737,'Entry Builder'!$L$8)&lt;'Entry Builder'!$E$8),--(INDEX(Sims!$A1737:$BO1737,'Entry Builder'!$L$8)&gt;'Entry Builder'!$E$8)))</f>
        <v/>
      </c>
      <c r="C1737">
        <f>IF('Entry Builder'!$N$9=0,1,IF('Entry Builder'!$D$9="Less",--(INDEX(Sims!$A1737:$BO1737,'Entry Builder'!$L$9)&lt;'Entry Builder'!$E$9),--(INDEX(Sims!$A1737:$BO1737,'Entry Builder'!$L$9)&gt;'Entry Builder'!$E$9)))</f>
        <v/>
      </c>
      <c r="D1737">
        <f>IF('Entry Builder'!$N$10=0,1,IF('Entry Builder'!$D$10="Less",--(INDEX(Sims!$A1737:$BO1737,'Entry Builder'!$L$10)&lt;'Entry Builder'!$E$10),--(INDEX(Sims!$A1737:$BO1737,'Entry Builder'!$L$10)&gt;'Entry Builder'!$E$10)))</f>
        <v/>
      </c>
      <c r="E1737">
        <f>IF('Entry Builder'!$N$11=0,1,IF('Entry Builder'!$D$11="Less",--(INDEX(Sims!$A1737:$BO1737,'Entry Builder'!$L$11)&lt;'Entry Builder'!$E$11),--(INDEX(Sims!$A1737:$BO1737,'Entry Builder'!$L$11)&gt;'Entry Builder'!$E$11)))</f>
        <v/>
      </c>
      <c r="F1737">
        <f>IF('Entry Builder'!$N$12=0,1,IF('Entry Builder'!$D$12="Less",--(INDEX(Sims!$A1737:$BO1737,'Entry Builder'!$L$12)&lt;'Entry Builder'!$E$12),--(INDEX(Sims!$A1737:$BO1737,'Entry Builder'!$L$12)&gt;'Entry Builder'!$E$12)))</f>
        <v/>
      </c>
      <c r="G1737">
        <f>6-SUM(A1737:F1737)</f>
        <v/>
      </c>
    </row>
    <row r="1738">
      <c r="A1738">
        <f>IF('Entry Builder'!$N$7=0,1,IF('Entry Builder'!$D$7="Less",--(INDEX(Sims!$A1738:$BO1738,'Entry Builder'!$L$7)&lt;'Entry Builder'!$E$7),--(INDEX(Sims!$A1738:$BO1738,'Entry Builder'!$L$7)&gt;'Entry Builder'!$E$7)))</f>
        <v/>
      </c>
      <c r="B1738">
        <f>IF('Entry Builder'!$N$8=0,1,IF('Entry Builder'!$D$8="Less",--(INDEX(Sims!$A1738:$BO1738,'Entry Builder'!$L$8)&lt;'Entry Builder'!$E$8),--(INDEX(Sims!$A1738:$BO1738,'Entry Builder'!$L$8)&gt;'Entry Builder'!$E$8)))</f>
        <v/>
      </c>
      <c r="C1738">
        <f>IF('Entry Builder'!$N$9=0,1,IF('Entry Builder'!$D$9="Less",--(INDEX(Sims!$A1738:$BO1738,'Entry Builder'!$L$9)&lt;'Entry Builder'!$E$9),--(INDEX(Sims!$A1738:$BO1738,'Entry Builder'!$L$9)&gt;'Entry Builder'!$E$9)))</f>
        <v/>
      </c>
      <c r="D1738">
        <f>IF('Entry Builder'!$N$10=0,1,IF('Entry Builder'!$D$10="Less",--(INDEX(Sims!$A1738:$BO1738,'Entry Builder'!$L$10)&lt;'Entry Builder'!$E$10),--(INDEX(Sims!$A1738:$BO1738,'Entry Builder'!$L$10)&gt;'Entry Builder'!$E$10)))</f>
        <v/>
      </c>
      <c r="E1738">
        <f>IF('Entry Builder'!$N$11=0,1,IF('Entry Builder'!$D$11="Less",--(INDEX(Sims!$A1738:$BO1738,'Entry Builder'!$L$11)&lt;'Entry Builder'!$E$11),--(INDEX(Sims!$A1738:$BO1738,'Entry Builder'!$L$11)&gt;'Entry Builder'!$E$11)))</f>
        <v/>
      </c>
      <c r="F1738">
        <f>IF('Entry Builder'!$N$12=0,1,IF('Entry Builder'!$D$12="Less",--(INDEX(Sims!$A1738:$BO1738,'Entry Builder'!$L$12)&lt;'Entry Builder'!$E$12),--(INDEX(Sims!$A1738:$BO1738,'Entry Builder'!$L$12)&gt;'Entry Builder'!$E$12)))</f>
        <v/>
      </c>
      <c r="G1738">
        <f>6-SUM(A1738:F1738)</f>
        <v/>
      </c>
    </row>
    <row r="1739">
      <c r="A1739">
        <f>IF('Entry Builder'!$N$7=0,1,IF('Entry Builder'!$D$7="Less",--(INDEX(Sims!$A1739:$BO1739,'Entry Builder'!$L$7)&lt;'Entry Builder'!$E$7),--(INDEX(Sims!$A1739:$BO1739,'Entry Builder'!$L$7)&gt;'Entry Builder'!$E$7)))</f>
        <v/>
      </c>
      <c r="B1739">
        <f>IF('Entry Builder'!$N$8=0,1,IF('Entry Builder'!$D$8="Less",--(INDEX(Sims!$A1739:$BO1739,'Entry Builder'!$L$8)&lt;'Entry Builder'!$E$8),--(INDEX(Sims!$A1739:$BO1739,'Entry Builder'!$L$8)&gt;'Entry Builder'!$E$8)))</f>
        <v/>
      </c>
      <c r="C1739">
        <f>IF('Entry Builder'!$N$9=0,1,IF('Entry Builder'!$D$9="Less",--(INDEX(Sims!$A1739:$BO1739,'Entry Builder'!$L$9)&lt;'Entry Builder'!$E$9),--(INDEX(Sims!$A1739:$BO1739,'Entry Builder'!$L$9)&gt;'Entry Builder'!$E$9)))</f>
        <v/>
      </c>
      <c r="D1739">
        <f>IF('Entry Builder'!$N$10=0,1,IF('Entry Builder'!$D$10="Less",--(INDEX(Sims!$A1739:$BO1739,'Entry Builder'!$L$10)&lt;'Entry Builder'!$E$10),--(INDEX(Sims!$A1739:$BO1739,'Entry Builder'!$L$10)&gt;'Entry Builder'!$E$10)))</f>
        <v/>
      </c>
      <c r="E1739">
        <f>IF('Entry Builder'!$N$11=0,1,IF('Entry Builder'!$D$11="Less",--(INDEX(Sims!$A1739:$BO1739,'Entry Builder'!$L$11)&lt;'Entry Builder'!$E$11),--(INDEX(Sims!$A1739:$BO1739,'Entry Builder'!$L$11)&gt;'Entry Builder'!$E$11)))</f>
        <v/>
      </c>
      <c r="F1739">
        <f>IF('Entry Builder'!$N$12=0,1,IF('Entry Builder'!$D$12="Less",--(INDEX(Sims!$A1739:$BO1739,'Entry Builder'!$L$12)&lt;'Entry Builder'!$E$12),--(INDEX(Sims!$A1739:$BO1739,'Entry Builder'!$L$12)&gt;'Entry Builder'!$E$12)))</f>
        <v/>
      </c>
      <c r="G1739">
        <f>6-SUM(A1739:F1739)</f>
        <v/>
      </c>
    </row>
    <row r="1740">
      <c r="A1740">
        <f>IF('Entry Builder'!$N$7=0,1,IF('Entry Builder'!$D$7="Less",--(INDEX(Sims!$A1740:$BO1740,'Entry Builder'!$L$7)&lt;'Entry Builder'!$E$7),--(INDEX(Sims!$A1740:$BO1740,'Entry Builder'!$L$7)&gt;'Entry Builder'!$E$7)))</f>
        <v/>
      </c>
      <c r="B1740">
        <f>IF('Entry Builder'!$N$8=0,1,IF('Entry Builder'!$D$8="Less",--(INDEX(Sims!$A1740:$BO1740,'Entry Builder'!$L$8)&lt;'Entry Builder'!$E$8),--(INDEX(Sims!$A1740:$BO1740,'Entry Builder'!$L$8)&gt;'Entry Builder'!$E$8)))</f>
        <v/>
      </c>
      <c r="C1740">
        <f>IF('Entry Builder'!$N$9=0,1,IF('Entry Builder'!$D$9="Less",--(INDEX(Sims!$A1740:$BO1740,'Entry Builder'!$L$9)&lt;'Entry Builder'!$E$9),--(INDEX(Sims!$A1740:$BO1740,'Entry Builder'!$L$9)&gt;'Entry Builder'!$E$9)))</f>
        <v/>
      </c>
      <c r="D1740">
        <f>IF('Entry Builder'!$N$10=0,1,IF('Entry Builder'!$D$10="Less",--(INDEX(Sims!$A1740:$BO1740,'Entry Builder'!$L$10)&lt;'Entry Builder'!$E$10),--(INDEX(Sims!$A1740:$BO1740,'Entry Builder'!$L$10)&gt;'Entry Builder'!$E$10)))</f>
        <v/>
      </c>
      <c r="E1740">
        <f>IF('Entry Builder'!$N$11=0,1,IF('Entry Builder'!$D$11="Less",--(INDEX(Sims!$A1740:$BO1740,'Entry Builder'!$L$11)&lt;'Entry Builder'!$E$11),--(INDEX(Sims!$A1740:$BO1740,'Entry Builder'!$L$11)&gt;'Entry Builder'!$E$11)))</f>
        <v/>
      </c>
      <c r="F1740">
        <f>IF('Entry Builder'!$N$12=0,1,IF('Entry Builder'!$D$12="Less",--(INDEX(Sims!$A1740:$BO1740,'Entry Builder'!$L$12)&lt;'Entry Builder'!$E$12),--(INDEX(Sims!$A1740:$BO1740,'Entry Builder'!$L$12)&gt;'Entry Builder'!$E$12)))</f>
        <v/>
      </c>
      <c r="G1740">
        <f>6-SUM(A1740:F1740)</f>
        <v/>
      </c>
    </row>
    <row r="1741">
      <c r="A1741">
        <f>IF('Entry Builder'!$N$7=0,1,IF('Entry Builder'!$D$7="Less",--(INDEX(Sims!$A1741:$BO1741,'Entry Builder'!$L$7)&lt;'Entry Builder'!$E$7),--(INDEX(Sims!$A1741:$BO1741,'Entry Builder'!$L$7)&gt;'Entry Builder'!$E$7)))</f>
        <v/>
      </c>
      <c r="B1741">
        <f>IF('Entry Builder'!$N$8=0,1,IF('Entry Builder'!$D$8="Less",--(INDEX(Sims!$A1741:$BO1741,'Entry Builder'!$L$8)&lt;'Entry Builder'!$E$8),--(INDEX(Sims!$A1741:$BO1741,'Entry Builder'!$L$8)&gt;'Entry Builder'!$E$8)))</f>
        <v/>
      </c>
      <c r="C1741">
        <f>IF('Entry Builder'!$N$9=0,1,IF('Entry Builder'!$D$9="Less",--(INDEX(Sims!$A1741:$BO1741,'Entry Builder'!$L$9)&lt;'Entry Builder'!$E$9),--(INDEX(Sims!$A1741:$BO1741,'Entry Builder'!$L$9)&gt;'Entry Builder'!$E$9)))</f>
        <v/>
      </c>
      <c r="D1741">
        <f>IF('Entry Builder'!$N$10=0,1,IF('Entry Builder'!$D$10="Less",--(INDEX(Sims!$A1741:$BO1741,'Entry Builder'!$L$10)&lt;'Entry Builder'!$E$10),--(INDEX(Sims!$A1741:$BO1741,'Entry Builder'!$L$10)&gt;'Entry Builder'!$E$10)))</f>
        <v/>
      </c>
      <c r="E1741">
        <f>IF('Entry Builder'!$N$11=0,1,IF('Entry Builder'!$D$11="Less",--(INDEX(Sims!$A1741:$BO1741,'Entry Builder'!$L$11)&lt;'Entry Builder'!$E$11),--(INDEX(Sims!$A1741:$BO1741,'Entry Builder'!$L$11)&gt;'Entry Builder'!$E$11)))</f>
        <v/>
      </c>
      <c r="F1741">
        <f>IF('Entry Builder'!$N$12=0,1,IF('Entry Builder'!$D$12="Less",--(INDEX(Sims!$A1741:$BO1741,'Entry Builder'!$L$12)&lt;'Entry Builder'!$E$12),--(INDEX(Sims!$A1741:$BO1741,'Entry Builder'!$L$12)&gt;'Entry Builder'!$E$12)))</f>
        <v/>
      </c>
      <c r="G1741">
        <f>6-SUM(A1741:F1741)</f>
        <v/>
      </c>
    </row>
    <row r="1742">
      <c r="A1742">
        <f>IF('Entry Builder'!$N$7=0,1,IF('Entry Builder'!$D$7="Less",--(INDEX(Sims!$A1742:$BO1742,'Entry Builder'!$L$7)&lt;'Entry Builder'!$E$7),--(INDEX(Sims!$A1742:$BO1742,'Entry Builder'!$L$7)&gt;'Entry Builder'!$E$7)))</f>
        <v/>
      </c>
      <c r="B1742">
        <f>IF('Entry Builder'!$N$8=0,1,IF('Entry Builder'!$D$8="Less",--(INDEX(Sims!$A1742:$BO1742,'Entry Builder'!$L$8)&lt;'Entry Builder'!$E$8),--(INDEX(Sims!$A1742:$BO1742,'Entry Builder'!$L$8)&gt;'Entry Builder'!$E$8)))</f>
        <v/>
      </c>
      <c r="C1742">
        <f>IF('Entry Builder'!$N$9=0,1,IF('Entry Builder'!$D$9="Less",--(INDEX(Sims!$A1742:$BO1742,'Entry Builder'!$L$9)&lt;'Entry Builder'!$E$9),--(INDEX(Sims!$A1742:$BO1742,'Entry Builder'!$L$9)&gt;'Entry Builder'!$E$9)))</f>
        <v/>
      </c>
      <c r="D1742">
        <f>IF('Entry Builder'!$N$10=0,1,IF('Entry Builder'!$D$10="Less",--(INDEX(Sims!$A1742:$BO1742,'Entry Builder'!$L$10)&lt;'Entry Builder'!$E$10),--(INDEX(Sims!$A1742:$BO1742,'Entry Builder'!$L$10)&gt;'Entry Builder'!$E$10)))</f>
        <v/>
      </c>
      <c r="E1742">
        <f>IF('Entry Builder'!$N$11=0,1,IF('Entry Builder'!$D$11="Less",--(INDEX(Sims!$A1742:$BO1742,'Entry Builder'!$L$11)&lt;'Entry Builder'!$E$11),--(INDEX(Sims!$A1742:$BO1742,'Entry Builder'!$L$11)&gt;'Entry Builder'!$E$11)))</f>
        <v/>
      </c>
      <c r="F1742">
        <f>IF('Entry Builder'!$N$12=0,1,IF('Entry Builder'!$D$12="Less",--(INDEX(Sims!$A1742:$BO1742,'Entry Builder'!$L$12)&lt;'Entry Builder'!$E$12),--(INDEX(Sims!$A1742:$BO1742,'Entry Builder'!$L$12)&gt;'Entry Builder'!$E$12)))</f>
        <v/>
      </c>
      <c r="G1742">
        <f>6-SUM(A1742:F1742)</f>
        <v/>
      </c>
    </row>
    <row r="1743">
      <c r="A1743">
        <f>IF('Entry Builder'!$N$7=0,1,IF('Entry Builder'!$D$7="Less",--(INDEX(Sims!$A1743:$BO1743,'Entry Builder'!$L$7)&lt;'Entry Builder'!$E$7),--(INDEX(Sims!$A1743:$BO1743,'Entry Builder'!$L$7)&gt;'Entry Builder'!$E$7)))</f>
        <v/>
      </c>
      <c r="B1743">
        <f>IF('Entry Builder'!$N$8=0,1,IF('Entry Builder'!$D$8="Less",--(INDEX(Sims!$A1743:$BO1743,'Entry Builder'!$L$8)&lt;'Entry Builder'!$E$8),--(INDEX(Sims!$A1743:$BO1743,'Entry Builder'!$L$8)&gt;'Entry Builder'!$E$8)))</f>
        <v/>
      </c>
      <c r="C1743">
        <f>IF('Entry Builder'!$N$9=0,1,IF('Entry Builder'!$D$9="Less",--(INDEX(Sims!$A1743:$BO1743,'Entry Builder'!$L$9)&lt;'Entry Builder'!$E$9),--(INDEX(Sims!$A1743:$BO1743,'Entry Builder'!$L$9)&gt;'Entry Builder'!$E$9)))</f>
        <v/>
      </c>
      <c r="D1743">
        <f>IF('Entry Builder'!$N$10=0,1,IF('Entry Builder'!$D$10="Less",--(INDEX(Sims!$A1743:$BO1743,'Entry Builder'!$L$10)&lt;'Entry Builder'!$E$10),--(INDEX(Sims!$A1743:$BO1743,'Entry Builder'!$L$10)&gt;'Entry Builder'!$E$10)))</f>
        <v/>
      </c>
      <c r="E1743">
        <f>IF('Entry Builder'!$N$11=0,1,IF('Entry Builder'!$D$11="Less",--(INDEX(Sims!$A1743:$BO1743,'Entry Builder'!$L$11)&lt;'Entry Builder'!$E$11),--(INDEX(Sims!$A1743:$BO1743,'Entry Builder'!$L$11)&gt;'Entry Builder'!$E$11)))</f>
        <v/>
      </c>
      <c r="F1743">
        <f>IF('Entry Builder'!$N$12=0,1,IF('Entry Builder'!$D$12="Less",--(INDEX(Sims!$A1743:$BO1743,'Entry Builder'!$L$12)&lt;'Entry Builder'!$E$12),--(INDEX(Sims!$A1743:$BO1743,'Entry Builder'!$L$12)&gt;'Entry Builder'!$E$12)))</f>
        <v/>
      </c>
      <c r="G1743">
        <f>6-SUM(A1743:F1743)</f>
        <v/>
      </c>
    </row>
    <row r="1744">
      <c r="A1744">
        <f>IF('Entry Builder'!$N$7=0,1,IF('Entry Builder'!$D$7="Less",--(INDEX(Sims!$A1744:$BO1744,'Entry Builder'!$L$7)&lt;'Entry Builder'!$E$7),--(INDEX(Sims!$A1744:$BO1744,'Entry Builder'!$L$7)&gt;'Entry Builder'!$E$7)))</f>
        <v/>
      </c>
      <c r="B1744">
        <f>IF('Entry Builder'!$N$8=0,1,IF('Entry Builder'!$D$8="Less",--(INDEX(Sims!$A1744:$BO1744,'Entry Builder'!$L$8)&lt;'Entry Builder'!$E$8),--(INDEX(Sims!$A1744:$BO1744,'Entry Builder'!$L$8)&gt;'Entry Builder'!$E$8)))</f>
        <v/>
      </c>
      <c r="C1744">
        <f>IF('Entry Builder'!$N$9=0,1,IF('Entry Builder'!$D$9="Less",--(INDEX(Sims!$A1744:$BO1744,'Entry Builder'!$L$9)&lt;'Entry Builder'!$E$9),--(INDEX(Sims!$A1744:$BO1744,'Entry Builder'!$L$9)&gt;'Entry Builder'!$E$9)))</f>
        <v/>
      </c>
      <c r="D1744">
        <f>IF('Entry Builder'!$N$10=0,1,IF('Entry Builder'!$D$10="Less",--(INDEX(Sims!$A1744:$BO1744,'Entry Builder'!$L$10)&lt;'Entry Builder'!$E$10),--(INDEX(Sims!$A1744:$BO1744,'Entry Builder'!$L$10)&gt;'Entry Builder'!$E$10)))</f>
        <v/>
      </c>
      <c r="E1744">
        <f>IF('Entry Builder'!$N$11=0,1,IF('Entry Builder'!$D$11="Less",--(INDEX(Sims!$A1744:$BO1744,'Entry Builder'!$L$11)&lt;'Entry Builder'!$E$11),--(INDEX(Sims!$A1744:$BO1744,'Entry Builder'!$L$11)&gt;'Entry Builder'!$E$11)))</f>
        <v/>
      </c>
      <c r="F1744">
        <f>IF('Entry Builder'!$N$12=0,1,IF('Entry Builder'!$D$12="Less",--(INDEX(Sims!$A1744:$BO1744,'Entry Builder'!$L$12)&lt;'Entry Builder'!$E$12),--(INDEX(Sims!$A1744:$BO1744,'Entry Builder'!$L$12)&gt;'Entry Builder'!$E$12)))</f>
        <v/>
      </c>
      <c r="G1744">
        <f>6-SUM(A1744:F1744)</f>
        <v/>
      </c>
    </row>
    <row r="1745">
      <c r="A1745">
        <f>IF('Entry Builder'!$N$7=0,1,IF('Entry Builder'!$D$7="Less",--(INDEX(Sims!$A1745:$BO1745,'Entry Builder'!$L$7)&lt;'Entry Builder'!$E$7),--(INDEX(Sims!$A1745:$BO1745,'Entry Builder'!$L$7)&gt;'Entry Builder'!$E$7)))</f>
        <v/>
      </c>
      <c r="B1745">
        <f>IF('Entry Builder'!$N$8=0,1,IF('Entry Builder'!$D$8="Less",--(INDEX(Sims!$A1745:$BO1745,'Entry Builder'!$L$8)&lt;'Entry Builder'!$E$8),--(INDEX(Sims!$A1745:$BO1745,'Entry Builder'!$L$8)&gt;'Entry Builder'!$E$8)))</f>
        <v/>
      </c>
      <c r="C1745">
        <f>IF('Entry Builder'!$N$9=0,1,IF('Entry Builder'!$D$9="Less",--(INDEX(Sims!$A1745:$BO1745,'Entry Builder'!$L$9)&lt;'Entry Builder'!$E$9),--(INDEX(Sims!$A1745:$BO1745,'Entry Builder'!$L$9)&gt;'Entry Builder'!$E$9)))</f>
        <v/>
      </c>
      <c r="D1745">
        <f>IF('Entry Builder'!$N$10=0,1,IF('Entry Builder'!$D$10="Less",--(INDEX(Sims!$A1745:$BO1745,'Entry Builder'!$L$10)&lt;'Entry Builder'!$E$10),--(INDEX(Sims!$A1745:$BO1745,'Entry Builder'!$L$10)&gt;'Entry Builder'!$E$10)))</f>
        <v/>
      </c>
      <c r="E1745">
        <f>IF('Entry Builder'!$N$11=0,1,IF('Entry Builder'!$D$11="Less",--(INDEX(Sims!$A1745:$BO1745,'Entry Builder'!$L$11)&lt;'Entry Builder'!$E$11),--(INDEX(Sims!$A1745:$BO1745,'Entry Builder'!$L$11)&gt;'Entry Builder'!$E$11)))</f>
        <v/>
      </c>
      <c r="F1745">
        <f>IF('Entry Builder'!$N$12=0,1,IF('Entry Builder'!$D$12="Less",--(INDEX(Sims!$A1745:$BO1745,'Entry Builder'!$L$12)&lt;'Entry Builder'!$E$12),--(INDEX(Sims!$A1745:$BO1745,'Entry Builder'!$L$12)&gt;'Entry Builder'!$E$12)))</f>
        <v/>
      </c>
      <c r="G1745">
        <f>6-SUM(A1745:F1745)</f>
        <v/>
      </c>
    </row>
    <row r="1746">
      <c r="A1746">
        <f>IF('Entry Builder'!$N$7=0,1,IF('Entry Builder'!$D$7="Less",--(INDEX(Sims!$A1746:$BO1746,'Entry Builder'!$L$7)&lt;'Entry Builder'!$E$7),--(INDEX(Sims!$A1746:$BO1746,'Entry Builder'!$L$7)&gt;'Entry Builder'!$E$7)))</f>
        <v/>
      </c>
      <c r="B1746">
        <f>IF('Entry Builder'!$N$8=0,1,IF('Entry Builder'!$D$8="Less",--(INDEX(Sims!$A1746:$BO1746,'Entry Builder'!$L$8)&lt;'Entry Builder'!$E$8),--(INDEX(Sims!$A1746:$BO1746,'Entry Builder'!$L$8)&gt;'Entry Builder'!$E$8)))</f>
        <v/>
      </c>
      <c r="C1746">
        <f>IF('Entry Builder'!$N$9=0,1,IF('Entry Builder'!$D$9="Less",--(INDEX(Sims!$A1746:$BO1746,'Entry Builder'!$L$9)&lt;'Entry Builder'!$E$9),--(INDEX(Sims!$A1746:$BO1746,'Entry Builder'!$L$9)&gt;'Entry Builder'!$E$9)))</f>
        <v/>
      </c>
      <c r="D1746">
        <f>IF('Entry Builder'!$N$10=0,1,IF('Entry Builder'!$D$10="Less",--(INDEX(Sims!$A1746:$BO1746,'Entry Builder'!$L$10)&lt;'Entry Builder'!$E$10),--(INDEX(Sims!$A1746:$BO1746,'Entry Builder'!$L$10)&gt;'Entry Builder'!$E$10)))</f>
        <v/>
      </c>
      <c r="E1746">
        <f>IF('Entry Builder'!$N$11=0,1,IF('Entry Builder'!$D$11="Less",--(INDEX(Sims!$A1746:$BO1746,'Entry Builder'!$L$11)&lt;'Entry Builder'!$E$11),--(INDEX(Sims!$A1746:$BO1746,'Entry Builder'!$L$11)&gt;'Entry Builder'!$E$11)))</f>
        <v/>
      </c>
      <c r="F1746">
        <f>IF('Entry Builder'!$N$12=0,1,IF('Entry Builder'!$D$12="Less",--(INDEX(Sims!$A1746:$BO1746,'Entry Builder'!$L$12)&lt;'Entry Builder'!$E$12),--(INDEX(Sims!$A1746:$BO1746,'Entry Builder'!$L$12)&gt;'Entry Builder'!$E$12)))</f>
        <v/>
      </c>
      <c r="G1746">
        <f>6-SUM(A1746:F1746)</f>
        <v/>
      </c>
    </row>
    <row r="1747">
      <c r="A1747">
        <f>IF('Entry Builder'!$N$7=0,1,IF('Entry Builder'!$D$7="Less",--(INDEX(Sims!$A1747:$BO1747,'Entry Builder'!$L$7)&lt;'Entry Builder'!$E$7),--(INDEX(Sims!$A1747:$BO1747,'Entry Builder'!$L$7)&gt;'Entry Builder'!$E$7)))</f>
        <v/>
      </c>
      <c r="B1747">
        <f>IF('Entry Builder'!$N$8=0,1,IF('Entry Builder'!$D$8="Less",--(INDEX(Sims!$A1747:$BO1747,'Entry Builder'!$L$8)&lt;'Entry Builder'!$E$8),--(INDEX(Sims!$A1747:$BO1747,'Entry Builder'!$L$8)&gt;'Entry Builder'!$E$8)))</f>
        <v/>
      </c>
      <c r="C1747">
        <f>IF('Entry Builder'!$N$9=0,1,IF('Entry Builder'!$D$9="Less",--(INDEX(Sims!$A1747:$BO1747,'Entry Builder'!$L$9)&lt;'Entry Builder'!$E$9),--(INDEX(Sims!$A1747:$BO1747,'Entry Builder'!$L$9)&gt;'Entry Builder'!$E$9)))</f>
        <v/>
      </c>
      <c r="D1747">
        <f>IF('Entry Builder'!$N$10=0,1,IF('Entry Builder'!$D$10="Less",--(INDEX(Sims!$A1747:$BO1747,'Entry Builder'!$L$10)&lt;'Entry Builder'!$E$10),--(INDEX(Sims!$A1747:$BO1747,'Entry Builder'!$L$10)&gt;'Entry Builder'!$E$10)))</f>
        <v/>
      </c>
      <c r="E1747">
        <f>IF('Entry Builder'!$N$11=0,1,IF('Entry Builder'!$D$11="Less",--(INDEX(Sims!$A1747:$BO1747,'Entry Builder'!$L$11)&lt;'Entry Builder'!$E$11),--(INDEX(Sims!$A1747:$BO1747,'Entry Builder'!$L$11)&gt;'Entry Builder'!$E$11)))</f>
        <v/>
      </c>
      <c r="F1747">
        <f>IF('Entry Builder'!$N$12=0,1,IF('Entry Builder'!$D$12="Less",--(INDEX(Sims!$A1747:$BO1747,'Entry Builder'!$L$12)&lt;'Entry Builder'!$E$12),--(INDEX(Sims!$A1747:$BO1747,'Entry Builder'!$L$12)&gt;'Entry Builder'!$E$12)))</f>
        <v/>
      </c>
      <c r="G1747">
        <f>6-SUM(A1747:F1747)</f>
        <v/>
      </c>
    </row>
    <row r="1748">
      <c r="A1748">
        <f>IF('Entry Builder'!$N$7=0,1,IF('Entry Builder'!$D$7="Less",--(INDEX(Sims!$A1748:$BO1748,'Entry Builder'!$L$7)&lt;'Entry Builder'!$E$7),--(INDEX(Sims!$A1748:$BO1748,'Entry Builder'!$L$7)&gt;'Entry Builder'!$E$7)))</f>
        <v/>
      </c>
      <c r="B1748">
        <f>IF('Entry Builder'!$N$8=0,1,IF('Entry Builder'!$D$8="Less",--(INDEX(Sims!$A1748:$BO1748,'Entry Builder'!$L$8)&lt;'Entry Builder'!$E$8),--(INDEX(Sims!$A1748:$BO1748,'Entry Builder'!$L$8)&gt;'Entry Builder'!$E$8)))</f>
        <v/>
      </c>
      <c r="C1748">
        <f>IF('Entry Builder'!$N$9=0,1,IF('Entry Builder'!$D$9="Less",--(INDEX(Sims!$A1748:$BO1748,'Entry Builder'!$L$9)&lt;'Entry Builder'!$E$9),--(INDEX(Sims!$A1748:$BO1748,'Entry Builder'!$L$9)&gt;'Entry Builder'!$E$9)))</f>
        <v/>
      </c>
      <c r="D1748">
        <f>IF('Entry Builder'!$N$10=0,1,IF('Entry Builder'!$D$10="Less",--(INDEX(Sims!$A1748:$BO1748,'Entry Builder'!$L$10)&lt;'Entry Builder'!$E$10),--(INDEX(Sims!$A1748:$BO1748,'Entry Builder'!$L$10)&gt;'Entry Builder'!$E$10)))</f>
        <v/>
      </c>
      <c r="E1748">
        <f>IF('Entry Builder'!$N$11=0,1,IF('Entry Builder'!$D$11="Less",--(INDEX(Sims!$A1748:$BO1748,'Entry Builder'!$L$11)&lt;'Entry Builder'!$E$11),--(INDEX(Sims!$A1748:$BO1748,'Entry Builder'!$L$11)&gt;'Entry Builder'!$E$11)))</f>
        <v/>
      </c>
      <c r="F1748">
        <f>IF('Entry Builder'!$N$12=0,1,IF('Entry Builder'!$D$12="Less",--(INDEX(Sims!$A1748:$BO1748,'Entry Builder'!$L$12)&lt;'Entry Builder'!$E$12),--(INDEX(Sims!$A1748:$BO1748,'Entry Builder'!$L$12)&gt;'Entry Builder'!$E$12)))</f>
        <v/>
      </c>
      <c r="G1748">
        <f>6-SUM(A1748:F1748)</f>
        <v/>
      </c>
    </row>
    <row r="1749">
      <c r="A1749">
        <f>IF('Entry Builder'!$N$7=0,1,IF('Entry Builder'!$D$7="Less",--(INDEX(Sims!$A1749:$BO1749,'Entry Builder'!$L$7)&lt;'Entry Builder'!$E$7),--(INDEX(Sims!$A1749:$BO1749,'Entry Builder'!$L$7)&gt;'Entry Builder'!$E$7)))</f>
        <v/>
      </c>
      <c r="B1749">
        <f>IF('Entry Builder'!$N$8=0,1,IF('Entry Builder'!$D$8="Less",--(INDEX(Sims!$A1749:$BO1749,'Entry Builder'!$L$8)&lt;'Entry Builder'!$E$8),--(INDEX(Sims!$A1749:$BO1749,'Entry Builder'!$L$8)&gt;'Entry Builder'!$E$8)))</f>
        <v/>
      </c>
      <c r="C1749">
        <f>IF('Entry Builder'!$N$9=0,1,IF('Entry Builder'!$D$9="Less",--(INDEX(Sims!$A1749:$BO1749,'Entry Builder'!$L$9)&lt;'Entry Builder'!$E$9),--(INDEX(Sims!$A1749:$BO1749,'Entry Builder'!$L$9)&gt;'Entry Builder'!$E$9)))</f>
        <v/>
      </c>
      <c r="D1749">
        <f>IF('Entry Builder'!$N$10=0,1,IF('Entry Builder'!$D$10="Less",--(INDEX(Sims!$A1749:$BO1749,'Entry Builder'!$L$10)&lt;'Entry Builder'!$E$10),--(INDEX(Sims!$A1749:$BO1749,'Entry Builder'!$L$10)&gt;'Entry Builder'!$E$10)))</f>
        <v/>
      </c>
      <c r="E1749">
        <f>IF('Entry Builder'!$N$11=0,1,IF('Entry Builder'!$D$11="Less",--(INDEX(Sims!$A1749:$BO1749,'Entry Builder'!$L$11)&lt;'Entry Builder'!$E$11),--(INDEX(Sims!$A1749:$BO1749,'Entry Builder'!$L$11)&gt;'Entry Builder'!$E$11)))</f>
        <v/>
      </c>
      <c r="F1749">
        <f>IF('Entry Builder'!$N$12=0,1,IF('Entry Builder'!$D$12="Less",--(INDEX(Sims!$A1749:$BO1749,'Entry Builder'!$L$12)&lt;'Entry Builder'!$E$12),--(INDEX(Sims!$A1749:$BO1749,'Entry Builder'!$L$12)&gt;'Entry Builder'!$E$12)))</f>
        <v/>
      </c>
      <c r="G1749">
        <f>6-SUM(A1749:F1749)</f>
        <v/>
      </c>
    </row>
    <row r="1750">
      <c r="A1750">
        <f>IF('Entry Builder'!$N$7=0,1,IF('Entry Builder'!$D$7="Less",--(INDEX(Sims!$A1750:$BO1750,'Entry Builder'!$L$7)&lt;'Entry Builder'!$E$7),--(INDEX(Sims!$A1750:$BO1750,'Entry Builder'!$L$7)&gt;'Entry Builder'!$E$7)))</f>
        <v/>
      </c>
      <c r="B1750">
        <f>IF('Entry Builder'!$N$8=0,1,IF('Entry Builder'!$D$8="Less",--(INDEX(Sims!$A1750:$BO1750,'Entry Builder'!$L$8)&lt;'Entry Builder'!$E$8),--(INDEX(Sims!$A1750:$BO1750,'Entry Builder'!$L$8)&gt;'Entry Builder'!$E$8)))</f>
        <v/>
      </c>
      <c r="C1750">
        <f>IF('Entry Builder'!$N$9=0,1,IF('Entry Builder'!$D$9="Less",--(INDEX(Sims!$A1750:$BO1750,'Entry Builder'!$L$9)&lt;'Entry Builder'!$E$9),--(INDEX(Sims!$A1750:$BO1750,'Entry Builder'!$L$9)&gt;'Entry Builder'!$E$9)))</f>
        <v/>
      </c>
      <c r="D1750">
        <f>IF('Entry Builder'!$N$10=0,1,IF('Entry Builder'!$D$10="Less",--(INDEX(Sims!$A1750:$BO1750,'Entry Builder'!$L$10)&lt;'Entry Builder'!$E$10),--(INDEX(Sims!$A1750:$BO1750,'Entry Builder'!$L$10)&gt;'Entry Builder'!$E$10)))</f>
        <v/>
      </c>
      <c r="E1750">
        <f>IF('Entry Builder'!$N$11=0,1,IF('Entry Builder'!$D$11="Less",--(INDEX(Sims!$A1750:$BO1750,'Entry Builder'!$L$11)&lt;'Entry Builder'!$E$11),--(INDEX(Sims!$A1750:$BO1750,'Entry Builder'!$L$11)&gt;'Entry Builder'!$E$11)))</f>
        <v/>
      </c>
      <c r="F1750">
        <f>IF('Entry Builder'!$N$12=0,1,IF('Entry Builder'!$D$12="Less",--(INDEX(Sims!$A1750:$BO1750,'Entry Builder'!$L$12)&lt;'Entry Builder'!$E$12),--(INDEX(Sims!$A1750:$BO1750,'Entry Builder'!$L$12)&gt;'Entry Builder'!$E$12)))</f>
        <v/>
      </c>
      <c r="G1750">
        <f>6-SUM(A1750:F1750)</f>
        <v/>
      </c>
    </row>
    <row r="1751">
      <c r="A1751">
        <f>IF('Entry Builder'!$N$7=0,1,IF('Entry Builder'!$D$7="Less",--(INDEX(Sims!$A1751:$BO1751,'Entry Builder'!$L$7)&lt;'Entry Builder'!$E$7),--(INDEX(Sims!$A1751:$BO1751,'Entry Builder'!$L$7)&gt;'Entry Builder'!$E$7)))</f>
        <v/>
      </c>
      <c r="B1751">
        <f>IF('Entry Builder'!$N$8=0,1,IF('Entry Builder'!$D$8="Less",--(INDEX(Sims!$A1751:$BO1751,'Entry Builder'!$L$8)&lt;'Entry Builder'!$E$8),--(INDEX(Sims!$A1751:$BO1751,'Entry Builder'!$L$8)&gt;'Entry Builder'!$E$8)))</f>
        <v/>
      </c>
      <c r="C1751">
        <f>IF('Entry Builder'!$N$9=0,1,IF('Entry Builder'!$D$9="Less",--(INDEX(Sims!$A1751:$BO1751,'Entry Builder'!$L$9)&lt;'Entry Builder'!$E$9),--(INDEX(Sims!$A1751:$BO1751,'Entry Builder'!$L$9)&gt;'Entry Builder'!$E$9)))</f>
        <v/>
      </c>
      <c r="D1751">
        <f>IF('Entry Builder'!$N$10=0,1,IF('Entry Builder'!$D$10="Less",--(INDEX(Sims!$A1751:$BO1751,'Entry Builder'!$L$10)&lt;'Entry Builder'!$E$10),--(INDEX(Sims!$A1751:$BO1751,'Entry Builder'!$L$10)&gt;'Entry Builder'!$E$10)))</f>
        <v/>
      </c>
      <c r="E1751">
        <f>IF('Entry Builder'!$N$11=0,1,IF('Entry Builder'!$D$11="Less",--(INDEX(Sims!$A1751:$BO1751,'Entry Builder'!$L$11)&lt;'Entry Builder'!$E$11),--(INDEX(Sims!$A1751:$BO1751,'Entry Builder'!$L$11)&gt;'Entry Builder'!$E$11)))</f>
        <v/>
      </c>
      <c r="F1751">
        <f>IF('Entry Builder'!$N$12=0,1,IF('Entry Builder'!$D$12="Less",--(INDEX(Sims!$A1751:$BO1751,'Entry Builder'!$L$12)&lt;'Entry Builder'!$E$12),--(INDEX(Sims!$A1751:$BO1751,'Entry Builder'!$L$12)&gt;'Entry Builder'!$E$12)))</f>
        <v/>
      </c>
      <c r="G1751">
        <f>6-SUM(A1751:F1751)</f>
        <v/>
      </c>
    </row>
    <row r="1752">
      <c r="A1752">
        <f>IF('Entry Builder'!$N$7=0,1,IF('Entry Builder'!$D$7="Less",--(INDEX(Sims!$A1752:$BO1752,'Entry Builder'!$L$7)&lt;'Entry Builder'!$E$7),--(INDEX(Sims!$A1752:$BO1752,'Entry Builder'!$L$7)&gt;'Entry Builder'!$E$7)))</f>
        <v/>
      </c>
      <c r="B1752">
        <f>IF('Entry Builder'!$N$8=0,1,IF('Entry Builder'!$D$8="Less",--(INDEX(Sims!$A1752:$BO1752,'Entry Builder'!$L$8)&lt;'Entry Builder'!$E$8),--(INDEX(Sims!$A1752:$BO1752,'Entry Builder'!$L$8)&gt;'Entry Builder'!$E$8)))</f>
        <v/>
      </c>
      <c r="C1752">
        <f>IF('Entry Builder'!$N$9=0,1,IF('Entry Builder'!$D$9="Less",--(INDEX(Sims!$A1752:$BO1752,'Entry Builder'!$L$9)&lt;'Entry Builder'!$E$9),--(INDEX(Sims!$A1752:$BO1752,'Entry Builder'!$L$9)&gt;'Entry Builder'!$E$9)))</f>
        <v/>
      </c>
      <c r="D1752">
        <f>IF('Entry Builder'!$N$10=0,1,IF('Entry Builder'!$D$10="Less",--(INDEX(Sims!$A1752:$BO1752,'Entry Builder'!$L$10)&lt;'Entry Builder'!$E$10),--(INDEX(Sims!$A1752:$BO1752,'Entry Builder'!$L$10)&gt;'Entry Builder'!$E$10)))</f>
        <v/>
      </c>
      <c r="E1752">
        <f>IF('Entry Builder'!$N$11=0,1,IF('Entry Builder'!$D$11="Less",--(INDEX(Sims!$A1752:$BO1752,'Entry Builder'!$L$11)&lt;'Entry Builder'!$E$11),--(INDEX(Sims!$A1752:$BO1752,'Entry Builder'!$L$11)&gt;'Entry Builder'!$E$11)))</f>
        <v/>
      </c>
      <c r="F1752">
        <f>IF('Entry Builder'!$N$12=0,1,IF('Entry Builder'!$D$12="Less",--(INDEX(Sims!$A1752:$BO1752,'Entry Builder'!$L$12)&lt;'Entry Builder'!$E$12),--(INDEX(Sims!$A1752:$BO1752,'Entry Builder'!$L$12)&gt;'Entry Builder'!$E$12)))</f>
        <v/>
      </c>
      <c r="G1752">
        <f>6-SUM(A1752:F1752)</f>
        <v/>
      </c>
    </row>
    <row r="1753">
      <c r="A1753">
        <f>IF('Entry Builder'!$N$7=0,1,IF('Entry Builder'!$D$7="Less",--(INDEX(Sims!$A1753:$BO1753,'Entry Builder'!$L$7)&lt;'Entry Builder'!$E$7),--(INDEX(Sims!$A1753:$BO1753,'Entry Builder'!$L$7)&gt;'Entry Builder'!$E$7)))</f>
        <v/>
      </c>
      <c r="B1753">
        <f>IF('Entry Builder'!$N$8=0,1,IF('Entry Builder'!$D$8="Less",--(INDEX(Sims!$A1753:$BO1753,'Entry Builder'!$L$8)&lt;'Entry Builder'!$E$8),--(INDEX(Sims!$A1753:$BO1753,'Entry Builder'!$L$8)&gt;'Entry Builder'!$E$8)))</f>
        <v/>
      </c>
      <c r="C1753">
        <f>IF('Entry Builder'!$N$9=0,1,IF('Entry Builder'!$D$9="Less",--(INDEX(Sims!$A1753:$BO1753,'Entry Builder'!$L$9)&lt;'Entry Builder'!$E$9),--(INDEX(Sims!$A1753:$BO1753,'Entry Builder'!$L$9)&gt;'Entry Builder'!$E$9)))</f>
        <v/>
      </c>
      <c r="D1753">
        <f>IF('Entry Builder'!$N$10=0,1,IF('Entry Builder'!$D$10="Less",--(INDEX(Sims!$A1753:$BO1753,'Entry Builder'!$L$10)&lt;'Entry Builder'!$E$10),--(INDEX(Sims!$A1753:$BO1753,'Entry Builder'!$L$10)&gt;'Entry Builder'!$E$10)))</f>
        <v/>
      </c>
      <c r="E1753">
        <f>IF('Entry Builder'!$N$11=0,1,IF('Entry Builder'!$D$11="Less",--(INDEX(Sims!$A1753:$BO1753,'Entry Builder'!$L$11)&lt;'Entry Builder'!$E$11),--(INDEX(Sims!$A1753:$BO1753,'Entry Builder'!$L$11)&gt;'Entry Builder'!$E$11)))</f>
        <v/>
      </c>
      <c r="F1753">
        <f>IF('Entry Builder'!$N$12=0,1,IF('Entry Builder'!$D$12="Less",--(INDEX(Sims!$A1753:$BO1753,'Entry Builder'!$L$12)&lt;'Entry Builder'!$E$12),--(INDEX(Sims!$A1753:$BO1753,'Entry Builder'!$L$12)&gt;'Entry Builder'!$E$12)))</f>
        <v/>
      </c>
      <c r="G1753">
        <f>6-SUM(A1753:F1753)</f>
        <v/>
      </c>
    </row>
    <row r="1754">
      <c r="A1754">
        <f>IF('Entry Builder'!$N$7=0,1,IF('Entry Builder'!$D$7="Less",--(INDEX(Sims!$A1754:$BO1754,'Entry Builder'!$L$7)&lt;'Entry Builder'!$E$7),--(INDEX(Sims!$A1754:$BO1754,'Entry Builder'!$L$7)&gt;'Entry Builder'!$E$7)))</f>
        <v/>
      </c>
      <c r="B1754">
        <f>IF('Entry Builder'!$N$8=0,1,IF('Entry Builder'!$D$8="Less",--(INDEX(Sims!$A1754:$BO1754,'Entry Builder'!$L$8)&lt;'Entry Builder'!$E$8),--(INDEX(Sims!$A1754:$BO1754,'Entry Builder'!$L$8)&gt;'Entry Builder'!$E$8)))</f>
        <v/>
      </c>
      <c r="C1754">
        <f>IF('Entry Builder'!$N$9=0,1,IF('Entry Builder'!$D$9="Less",--(INDEX(Sims!$A1754:$BO1754,'Entry Builder'!$L$9)&lt;'Entry Builder'!$E$9),--(INDEX(Sims!$A1754:$BO1754,'Entry Builder'!$L$9)&gt;'Entry Builder'!$E$9)))</f>
        <v/>
      </c>
      <c r="D1754">
        <f>IF('Entry Builder'!$N$10=0,1,IF('Entry Builder'!$D$10="Less",--(INDEX(Sims!$A1754:$BO1754,'Entry Builder'!$L$10)&lt;'Entry Builder'!$E$10),--(INDEX(Sims!$A1754:$BO1754,'Entry Builder'!$L$10)&gt;'Entry Builder'!$E$10)))</f>
        <v/>
      </c>
      <c r="E1754">
        <f>IF('Entry Builder'!$N$11=0,1,IF('Entry Builder'!$D$11="Less",--(INDEX(Sims!$A1754:$BO1754,'Entry Builder'!$L$11)&lt;'Entry Builder'!$E$11),--(INDEX(Sims!$A1754:$BO1754,'Entry Builder'!$L$11)&gt;'Entry Builder'!$E$11)))</f>
        <v/>
      </c>
      <c r="F1754">
        <f>IF('Entry Builder'!$N$12=0,1,IF('Entry Builder'!$D$12="Less",--(INDEX(Sims!$A1754:$BO1754,'Entry Builder'!$L$12)&lt;'Entry Builder'!$E$12),--(INDEX(Sims!$A1754:$BO1754,'Entry Builder'!$L$12)&gt;'Entry Builder'!$E$12)))</f>
        <v/>
      </c>
      <c r="G1754">
        <f>6-SUM(A1754:F1754)</f>
        <v/>
      </c>
    </row>
    <row r="1755">
      <c r="A1755">
        <f>IF('Entry Builder'!$N$7=0,1,IF('Entry Builder'!$D$7="Less",--(INDEX(Sims!$A1755:$BO1755,'Entry Builder'!$L$7)&lt;'Entry Builder'!$E$7),--(INDEX(Sims!$A1755:$BO1755,'Entry Builder'!$L$7)&gt;'Entry Builder'!$E$7)))</f>
        <v/>
      </c>
      <c r="B1755">
        <f>IF('Entry Builder'!$N$8=0,1,IF('Entry Builder'!$D$8="Less",--(INDEX(Sims!$A1755:$BO1755,'Entry Builder'!$L$8)&lt;'Entry Builder'!$E$8),--(INDEX(Sims!$A1755:$BO1755,'Entry Builder'!$L$8)&gt;'Entry Builder'!$E$8)))</f>
        <v/>
      </c>
      <c r="C1755">
        <f>IF('Entry Builder'!$N$9=0,1,IF('Entry Builder'!$D$9="Less",--(INDEX(Sims!$A1755:$BO1755,'Entry Builder'!$L$9)&lt;'Entry Builder'!$E$9),--(INDEX(Sims!$A1755:$BO1755,'Entry Builder'!$L$9)&gt;'Entry Builder'!$E$9)))</f>
        <v/>
      </c>
      <c r="D1755">
        <f>IF('Entry Builder'!$N$10=0,1,IF('Entry Builder'!$D$10="Less",--(INDEX(Sims!$A1755:$BO1755,'Entry Builder'!$L$10)&lt;'Entry Builder'!$E$10),--(INDEX(Sims!$A1755:$BO1755,'Entry Builder'!$L$10)&gt;'Entry Builder'!$E$10)))</f>
        <v/>
      </c>
      <c r="E1755">
        <f>IF('Entry Builder'!$N$11=0,1,IF('Entry Builder'!$D$11="Less",--(INDEX(Sims!$A1755:$BO1755,'Entry Builder'!$L$11)&lt;'Entry Builder'!$E$11),--(INDEX(Sims!$A1755:$BO1755,'Entry Builder'!$L$11)&gt;'Entry Builder'!$E$11)))</f>
        <v/>
      </c>
      <c r="F1755">
        <f>IF('Entry Builder'!$N$12=0,1,IF('Entry Builder'!$D$12="Less",--(INDEX(Sims!$A1755:$BO1755,'Entry Builder'!$L$12)&lt;'Entry Builder'!$E$12),--(INDEX(Sims!$A1755:$BO1755,'Entry Builder'!$L$12)&gt;'Entry Builder'!$E$12)))</f>
        <v/>
      </c>
      <c r="G1755">
        <f>6-SUM(A1755:F1755)</f>
        <v/>
      </c>
    </row>
    <row r="1756">
      <c r="A1756">
        <f>IF('Entry Builder'!$N$7=0,1,IF('Entry Builder'!$D$7="Less",--(INDEX(Sims!$A1756:$BO1756,'Entry Builder'!$L$7)&lt;'Entry Builder'!$E$7),--(INDEX(Sims!$A1756:$BO1756,'Entry Builder'!$L$7)&gt;'Entry Builder'!$E$7)))</f>
        <v/>
      </c>
      <c r="B1756">
        <f>IF('Entry Builder'!$N$8=0,1,IF('Entry Builder'!$D$8="Less",--(INDEX(Sims!$A1756:$BO1756,'Entry Builder'!$L$8)&lt;'Entry Builder'!$E$8),--(INDEX(Sims!$A1756:$BO1756,'Entry Builder'!$L$8)&gt;'Entry Builder'!$E$8)))</f>
        <v/>
      </c>
      <c r="C1756">
        <f>IF('Entry Builder'!$N$9=0,1,IF('Entry Builder'!$D$9="Less",--(INDEX(Sims!$A1756:$BO1756,'Entry Builder'!$L$9)&lt;'Entry Builder'!$E$9),--(INDEX(Sims!$A1756:$BO1756,'Entry Builder'!$L$9)&gt;'Entry Builder'!$E$9)))</f>
        <v/>
      </c>
      <c r="D1756">
        <f>IF('Entry Builder'!$N$10=0,1,IF('Entry Builder'!$D$10="Less",--(INDEX(Sims!$A1756:$BO1756,'Entry Builder'!$L$10)&lt;'Entry Builder'!$E$10),--(INDEX(Sims!$A1756:$BO1756,'Entry Builder'!$L$10)&gt;'Entry Builder'!$E$10)))</f>
        <v/>
      </c>
      <c r="E1756">
        <f>IF('Entry Builder'!$N$11=0,1,IF('Entry Builder'!$D$11="Less",--(INDEX(Sims!$A1756:$BO1756,'Entry Builder'!$L$11)&lt;'Entry Builder'!$E$11),--(INDEX(Sims!$A1756:$BO1756,'Entry Builder'!$L$11)&gt;'Entry Builder'!$E$11)))</f>
        <v/>
      </c>
      <c r="F1756">
        <f>IF('Entry Builder'!$N$12=0,1,IF('Entry Builder'!$D$12="Less",--(INDEX(Sims!$A1756:$BO1756,'Entry Builder'!$L$12)&lt;'Entry Builder'!$E$12),--(INDEX(Sims!$A1756:$BO1756,'Entry Builder'!$L$12)&gt;'Entry Builder'!$E$12)))</f>
        <v/>
      </c>
      <c r="G1756">
        <f>6-SUM(A1756:F1756)</f>
        <v/>
      </c>
    </row>
    <row r="1757">
      <c r="A1757">
        <f>IF('Entry Builder'!$N$7=0,1,IF('Entry Builder'!$D$7="Less",--(INDEX(Sims!$A1757:$BO1757,'Entry Builder'!$L$7)&lt;'Entry Builder'!$E$7),--(INDEX(Sims!$A1757:$BO1757,'Entry Builder'!$L$7)&gt;'Entry Builder'!$E$7)))</f>
        <v/>
      </c>
      <c r="B1757">
        <f>IF('Entry Builder'!$N$8=0,1,IF('Entry Builder'!$D$8="Less",--(INDEX(Sims!$A1757:$BO1757,'Entry Builder'!$L$8)&lt;'Entry Builder'!$E$8),--(INDEX(Sims!$A1757:$BO1757,'Entry Builder'!$L$8)&gt;'Entry Builder'!$E$8)))</f>
        <v/>
      </c>
      <c r="C1757">
        <f>IF('Entry Builder'!$N$9=0,1,IF('Entry Builder'!$D$9="Less",--(INDEX(Sims!$A1757:$BO1757,'Entry Builder'!$L$9)&lt;'Entry Builder'!$E$9),--(INDEX(Sims!$A1757:$BO1757,'Entry Builder'!$L$9)&gt;'Entry Builder'!$E$9)))</f>
        <v/>
      </c>
      <c r="D1757">
        <f>IF('Entry Builder'!$N$10=0,1,IF('Entry Builder'!$D$10="Less",--(INDEX(Sims!$A1757:$BO1757,'Entry Builder'!$L$10)&lt;'Entry Builder'!$E$10),--(INDEX(Sims!$A1757:$BO1757,'Entry Builder'!$L$10)&gt;'Entry Builder'!$E$10)))</f>
        <v/>
      </c>
      <c r="E1757">
        <f>IF('Entry Builder'!$N$11=0,1,IF('Entry Builder'!$D$11="Less",--(INDEX(Sims!$A1757:$BO1757,'Entry Builder'!$L$11)&lt;'Entry Builder'!$E$11),--(INDEX(Sims!$A1757:$BO1757,'Entry Builder'!$L$11)&gt;'Entry Builder'!$E$11)))</f>
        <v/>
      </c>
      <c r="F1757">
        <f>IF('Entry Builder'!$N$12=0,1,IF('Entry Builder'!$D$12="Less",--(INDEX(Sims!$A1757:$BO1757,'Entry Builder'!$L$12)&lt;'Entry Builder'!$E$12),--(INDEX(Sims!$A1757:$BO1757,'Entry Builder'!$L$12)&gt;'Entry Builder'!$E$12)))</f>
        <v/>
      </c>
      <c r="G1757">
        <f>6-SUM(A1757:F1757)</f>
        <v/>
      </c>
    </row>
    <row r="1758">
      <c r="A1758">
        <f>IF('Entry Builder'!$N$7=0,1,IF('Entry Builder'!$D$7="Less",--(INDEX(Sims!$A1758:$BO1758,'Entry Builder'!$L$7)&lt;'Entry Builder'!$E$7),--(INDEX(Sims!$A1758:$BO1758,'Entry Builder'!$L$7)&gt;'Entry Builder'!$E$7)))</f>
        <v/>
      </c>
      <c r="B1758">
        <f>IF('Entry Builder'!$N$8=0,1,IF('Entry Builder'!$D$8="Less",--(INDEX(Sims!$A1758:$BO1758,'Entry Builder'!$L$8)&lt;'Entry Builder'!$E$8),--(INDEX(Sims!$A1758:$BO1758,'Entry Builder'!$L$8)&gt;'Entry Builder'!$E$8)))</f>
        <v/>
      </c>
      <c r="C1758">
        <f>IF('Entry Builder'!$N$9=0,1,IF('Entry Builder'!$D$9="Less",--(INDEX(Sims!$A1758:$BO1758,'Entry Builder'!$L$9)&lt;'Entry Builder'!$E$9),--(INDEX(Sims!$A1758:$BO1758,'Entry Builder'!$L$9)&gt;'Entry Builder'!$E$9)))</f>
        <v/>
      </c>
      <c r="D1758">
        <f>IF('Entry Builder'!$N$10=0,1,IF('Entry Builder'!$D$10="Less",--(INDEX(Sims!$A1758:$BO1758,'Entry Builder'!$L$10)&lt;'Entry Builder'!$E$10),--(INDEX(Sims!$A1758:$BO1758,'Entry Builder'!$L$10)&gt;'Entry Builder'!$E$10)))</f>
        <v/>
      </c>
      <c r="E1758">
        <f>IF('Entry Builder'!$N$11=0,1,IF('Entry Builder'!$D$11="Less",--(INDEX(Sims!$A1758:$BO1758,'Entry Builder'!$L$11)&lt;'Entry Builder'!$E$11),--(INDEX(Sims!$A1758:$BO1758,'Entry Builder'!$L$11)&gt;'Entry Builder'!$E$11)))</f>
        <v/>
      </c>
      <c r="F1758">
        <f>IF('Entry Builder'!$N$12=0,1,IF('Entry Builder'!$D$12="Less",--(INDEX(Sims!$A1758:$BO1758,'Entry Builder'!$L$12)&lt;'Entry Builder'!$E$12),--(INDEX(Sims!$A1758:$BO1758,'Entry Builder'!$L$12)&gt;'Entry Builder'!$E$12)))</f>
        <v/>
      </c>
      <c r="G1758">
        <f>6-SUM(A1758:F1758)</f>
        <v/>
      </c>
    </row>
    <row r="1759">
      <c r="A1759">
        <f>IF('Entry Builder'!$N$7=0,1,IF('Entry Builder'!$D$7="Less",--(INDEX(Sims!$A1759:$BO1759,'Entry Builder'!$L$7)&lt;'Entry Builder'!$E$7),--(INDEX(Sims!$A1759:$BO1759,'Entry Builder'!$L$7)&gt;'Entry Builder'!$E$7)))</f>
        <v/>
      </c>
      <c r="B1759">
        <f>IF('Entry Builder'!$N$8=0,1,IF('Entry Builder'!$D$8="Less",--(INDEX(Sims!$A1759:$BO1759,'Entry Builder'!$L$8)&lt;'Entry Builder'!$E$8),--(INDEX(Sims!$A1759:$BO1759,'Entry Builder'!$L$8)&gt;'Entry Builder'!$E$8)))</f>
        <v/>
      </c>
      <c r="C1759">
        <f>IF('Entry Builder'!$N$9=0,1,IF('Entry Builder'!$D$9="Less",--(INDEX(Sims!$A1759:$BO1759,'Entry Builder'!$L$9)&lt;'Entry Builder'!$E$9),--(INDEX(Sims!$A1759:$BO1759,'Entry Builder'!$L$9)&gt;'Entry Builder'!$E$9)))</f>
        <v/>
      </c>
      <c r="D1759">
        <f>IF('Entry Builder'!$N$10=0,1,IF('Entry Builder'!$D$10="Less",--(INDEX(Sims!$A1759:$BO1759,'Entry Builder'!$L$10)&lt;'Entry Builder'!$E$10),--(INDEX(Sims!$A1759:$BO1759,'Entry Builder'!$L$10)&gt;'Entry Builder'!$E$10)))</f>
        <v/>
      </c>
      <c r="E1759">
        <f>IF('Entry Builder'!$N$11=0,1,IF('Entry Builder'!$D$11="Less",--(INDEX(Sims!$A1759:$BO1759,'Entry Builder'!$L$11)&lt;'Entry Builder'!$E$11),--(INDEX(Sims!$A1759:$BO1759,'Entry Builder'!$L$11)&gt;'Entry Builder'!$E$11)))</f>
        <v/>
      </c>
      <c r="F1759">
        <f>IF('Entry Builder'!$N$12=0,1,IF('Entry Builder'!$D$12="Less",--(INDEX(Sims!$A1759:$BO1759,'Entry Builder'!$L$12)&lt;'Entry Builder'!$E$12),--(INDEX(Sims!$A1759:$BO1759,'Entry Builder'!$L$12)&gt;'Entry Builder'!$E$12)))</f>
        <v/>
      </c>
      <c r="G1759">
        <f>6-SUM(A1759:F1759)</f>
        <v/>
      </c>
    </row>
    <row r="1760">
      <c r="A1760">
        <f>IF('Entry Builder'!$N$7=0,1,IF('Entry Builder'!$D$7="Less",--(INDEX(Sims!$A1760:$BO1760,'Entry Builder'!$L$7)&lt;'Entry Builder'!$E$7),--(INDEX(Sims!$A1760:$BO1760,'Entry Builder'!$L$7)&gt;'Entry Builder'!$E$7)))</f>
        <v/>
      </c>
      <c r="B1760">
        <f>IF('Entry Builder'!$N$8=0,1,IF('Entry Builder'!$D$8="Less",--(INDEX(Sims!$A1760:$BO1760,'Entry Builder'!$L$8)&lt;'Entry Builder'!$E$8),--(INDEX(Sims!$A1760:$BO1760,'Entry Builder'!$L$8)&gt;'Entry Builder'!$E$8)))</f>
        <v/>
      </c>
      <c r="C1760">
        <f>IF('Entry Builder'!$N$9=0,1,IF('Entry Builder'!$D$9="Less",--(INDEX(Sims!$A1760:$BO1760,'Entry Builder'!$L$9)&lt;'Entry Builder'!$E$9),--(INDEX(Sims!$A1760:$BO1760,'Entry Builder'!$L$9)&gt;'Entry Builder'!$E$9)))</f>
        <v/>
      </c>
      <c r="D1760">
        <f>IF('Entry Builder'!$N$10=0,1,IF('Entry Builder'!$D$10="Less",--(INDEX(Sims!$A1760:$BO1760,'Entry Builder'!$L$10)&lt;'Entry Builder'!$E$10),--(INDEX(Sims!$A1760:$BO1760,'Entry Builder'!$L$10)&gt;'Entry Builder'!$E$10)))</f>
        <v/>
      </c>
      <c r="E1760">
        <f>IF('Entry Builder'!$N$11=0,1,IF('Entry Builder'!$D$11="Less",--(INDEX(Sims!$A1760:$BO1760,'Entry Builder'!$L$11)&lt;'Entry Builder'!$E$11),--(INDEX(Sims!$A1760:$BO1760,'Entry Builder'!$L$11)&gt;'Entry Builder'!$E$11)))</f>
        <v/>
      </c>
      <c r="F1760">
        <f>IF('Entry Builder'!$N$12=0,1,IF('Entry Builder'!$D$12="Less",--(INDEX(Sims!$A1760:$BO1760,'Entry Builder'!$L$12)&lt;'Entry Builder'!$E$12),--(INDEX(Sims!$A1760:$BO1760,'Entry Builder'!$L$12)&gt;'Entry Builder'!$E$12)))</f>
        <v/>
      </c>
      <c r="G1760">
        <f>6-SUM(A1760:F1760)</f>
        <v/>
      </c>
    </row>
    <row r="1761">
      <c r="A1761">
        <f>IF('Entry Builder'!$N$7=0,1,IF('Entry Builder'!$D$7="Less",--(INDEX(Sims!$A1761:$BO1761,'Entry Builder'!$L$7)&lt;'Entry Builder'!$E$7),--(INDEX(Sims!$A1761:$BO1761,'Entry Builder'!$L$7)&gt;'Entry Builder'!$E$7)))</f>
        <v/>
      </c>
      <c r="B1761">
        <f>IF('Entry Builder'!$N$8=0,1,IF('Entry Builder'!$D$8="Less",--(INDEX(Sims!$A1761:$BO1761,'Entry Builder'!$L$8)&lt;'Entry Builder'!$E$8),--(INDEX(Sims!$A1761:$BO1761,'Entry Builder'!$L$8)&gt;'Entry Builder'!$E$8)))</f>
        <v/>
      </c>
      <c r="C1761">
        <f>IF('Entry Builder'!$N$9=0,1,IF('Entry Builder'!$D$9="Less",--(INDEX(Sims!$A1761:$BO1761,'Entry Builder'!$L$9)&lt;'Entry Builder'!$E$9),--(INDEX(Sims!$A1761:$BO1761,'Entry Builder'!$L$9)&gt;'Entry Builder'!$E$9)))</f>
        <v/>
      </c>
      <c r="D1761">
        <f>IF('Entry Builder'!$N$10=0,1,IF('Entry Builder'!$D$10="Less",--(INDEX(Sims!$A1761:$BO1761,'Entry Builder'!$L$10)&lt;'Entry Builder'!$E$10),--(INDEX(Sims!$A1761:$BO1761,'Entry Builder'!$L$10)&gt;'Entry Builder'!$E$10)))</f>
        <v/>
      </c>
      <c r="E1761">
        <f>IF('Entry Builder'!$N$11=0,1,IF('Entry Builder'!$D$11="Less",--(INDEX(Sims!$A1761:$BO1761,'Entry Builder'!$L$11)&lt;'Entry Builder'!$E$11),--(INDEX(Sims!$A1761:$BO1761,'Entry Builder'!$L$11)&gt;'Entry Builder'!$E$11)))</f>
        <v/>
      </c>
      <c r="F1761">
        <f>IF('Entry Builder'!$N$12=0,1,IF('Entry Builder'!$D$12="Less",--(INDEX(Sims!$A1761:$BO1761,'Entry Builder'!$L$12)&lt;'Entry Builder'!$E$12),--(INDEX(Sims!$A1761:$BO1761,'Entry Builder'!$L$12)&gt;'Entry Builder'!$E$12)))</f>
        <v/>
      </c>
      <c r="G1761">
        <f>6-SUM(A1761:F1761)</f>
        <v/>
      </c>
    </row>
    <row r="1762">
      <c r="A1762">
        <f>IF('Entry Builder'!$N$7=0,1,IF('Entry Builder'!$D$7="Less",--(INDEX(Sims!$A1762:$BO1762,'Entry Builder'!$L$7)&lt;'Entry Builder'!$E$7),--(INDEX(Sims!$A1762:$BO1762,'Entry Builder'!$L$7)&gt;'Entry Builder'!$E$7)))</f>
        <v/>
      </c>
      <c r="B1762">
        <f>IF('Entry Builder'!$N$8=0,1,IF('Entry Builder'!$D$8="Less",--(INDEX(Sims!$A1762:$BO1762,'Entry Builder'!$L$8)&lt;'Entry Builder'!$E$8),--(INDEX(Sims!$A1762:$BO1762,'Entry Builder'!$L$8)&gt;'Entry Builder'!$E$8)))</f>
        <v/>
      </c>
      <c r="C1762">
        <f>IF('Entry Builder'!$N$9=0,1,IF('Entry Builder'!$D$9="Less",--(INDEX(Sims!$A1762:$BO1762,'Entry Builder'!$L$9)&lt;'Entry Builder'!$E$9),--(INDEX(Sims!$A1762:$BO1762,'Entry Builder'!$L$9)&gt;'Entry Builder'!$E$9)))</f>
        <v/>
      </c>
      <c r="D1762">
        <f>IF('Entry Builder'!$N$10=0,1,IF('Entry Builder'!$D$10="Less",--(INDEX(Sims!$A1762:$BO1762,'Entry Builder'!$L$10)&lt;'Entry Builder'!$E$10),--(INDEX(Sims!$A1762:$BO1762,'Entry Builder'!$L$10)&gt;'Entry Builder'!$E$10)))</f>
        <v/>
      </c>
      <c r="E1762">
        <f>IF('Entry Builder'!$N$11=0,1,IF('Entry Builder'!$D$11="Less",--(INDEX(Sims!$A1762:$BO1762,'Entry Builder'!$L$11)&lt;'Entry Builder'!$E$11),--(INDEX(Sims!$A1762:$BO1762,'Entry Builder'!$L$11)&gt;'Entry Builder'!$E$11)))</f>
        <v/>
      </c>
      <c r="F1762">
        <f>IF('Entry Builder'!$N$12=0,1,IF('Entry Builder'!$D$12="Less",--(INDEX(Sims!$A1762:$BO1762,'Entry Builder'!$L$12)&lt;'Entry Builder'!$E$12),--(INDEX(Sims!$A1762:$BO1762,'Entry Builder'!$L$12)&gt;'Entry Builder'!$E$12)))</f>
        <v/>
      </c>
      <c r="G1762">
        <f>6-SUM(A1762:F1762)</f>
        <v/>
      </c>
    </row>
    <row r="1763">
      <c r="A1763">
        <f>IF('Entry Builder'!$N$7=0,1,IF('Entry Builder'!$D$7="Less",--(INDEX(Sims!$A1763:$BO1763,'Entry Builder'!$L$7)&lt;'Entry Builder'!$E$7),--(INDEX(Sims!$A1763:$BO1763,'Entry Builder'!$L$7)&gt;'Entry Builder'!$E$7)))</f>
        <v/>
      </c>
      <c r="B1763">
        <f>IF('Entry Builder'!$N$8=0,1,IF('Entry Builder'!$D$8="Less",--(INDEX(Sims!$A1763:$BO1763,'Entry Builder'!$L$8)&lt;'Entry Builder'!$E$8),--(INDEX(Sims!$A1763:$BO1763,'Entry Builder'!$L$8)&gt;'Entry Builder'!$E$8)))</f>
        <v/>
      </c>
      <c r="C1763">
        <f>IF('Entry Builder'!$N$9=0,1,IF('Entry Builder'!$D$9="Less",--(INDEX(Sims!$A1763:$BO1763,'Entry Builder'!$L$9)&lt;'Entry Builder'!$E$9),--(INDEX(Sims!$A1763:$BO1763,'Entry Builder'!$L$9)&gt;'Entry Builder'!$E$9)))</f>
        <v/>
      </c>
      <c r="D1763">
        <f>IF('Entry Builder'!$N$10=0,1,IF('Entry Builder'!$D$10="Less",--(INDEX(Sims!$A1763:$BO1763,'Entry Builder'!$L$10)&lt;'Entry Builder'!$E$10),--(INDEX(Sims!$A1763:$BO1763,'Entry Builder'!$L$10)&gt;'Entry Builder'!$E$10)))</f>
        <v/>
      </c>
      <c r="E1763">
        <f>IF('Entry Builder'!$N$11=0,1,IF('Entry Builder'!$D$11="Less",--(INDEX(Sims!$A1763:$BO1763,'Entry Builder'!$L$11)&lt;'Entry Builder'!$E$11),--(INDEX(Sims!$A1763:$BO1763,'Entry Builder'!$L$11)&gt;'Entry Builder'!$E$11)))</f>
        <v/>
      </c>
      <c r="F1763">
        <f>IF('Entry Builder'!$N$12=0,1,IF('Entry Builder'!$D$12="Less",--(INDEX(Sims!$A1763:$BO1763,'Entry Builder'!$L$12)&lt;'Entry Builder'!$E$12),--(INDEX(Sims!$A1763:$BO1763,'Entry Builder'!$L$12)&gt;'Entry Builder'!$E$12)))</f>
        <v/>
      </c>
      <c r="G1763">
        <f>6-SUM(A1763:F1763)</f>
        <v/>
      </c>
    </row>
    <row r="1764">
      <c r="A1764">
        <f>IF('Entry Builder'!$N$7=0,1,IF('Entry Builder'!$D$7="Less",--(INDEX(Sims!$A1764:$BO1764,'Entry Builder'!$L$7)&lt;'Entry Builder'!$E$7),--(INDEX(Sims!$A1764:$BO1764,'Entry Builder'!$L$7)&gt;'Entry Builder'!$E$7)))</f>
        <v/>
      </c>
      <c r="B1764">
        <f>IF('Entry Builder'!$N$8=0,1,IF('Entry Builder'!$D$8="Less",--(INDEX(Sims!$A1764:$BO1764,'Entry Builder'!$L$8)&lt;'Entry Builder'!$E$8),--(INDEX(Sims!$A1764:$BO1764,'Entry Builder'!$L$8)&gt;'Entry Builder'!$E$8)))</f>
        <v/>
      </c>
      <c r="C1764">
        <f>IF('Entry Builder'!$N$9=0,1,IF('Entry Builder'!$D$9="Less",--(INDEX(Sims!$A1764:$BO1764,'Entry Builder'!$L$9)&lt;'Entry Builder'!$E$9),--(INDEX(Sims!$A1764:$BO1764,'Entry Builder'!$L$9)&gt;'Entry Builder'!$E$9)))</f>
        <v/>
      </c>
      <c r="D1764">
        <f>IF('Entry Builder'!$N$10=0,1,IF('Entry Builder'!$D$10="Less",--(INDEX(Sims!$A1764:$BO1764,'Entry Builder'!$L$10)&lt;'Entry Builder'!$E$10),--(INDEX(Sims!$A1764:$BO1764,'Entry Builder'!$L$10)&gt;'Entry Builder'!$E$10)))</f>
        <v/>
      </c>
      <c r="E1764">
        <f>IF('Entry Builder'!$N$11=0,1,IF('Entry Builder'!$D$11="Less",--(INDEX(Sims!$A1764:$BO1764,'Entry Builder'!$L$11)&lt;'Entry Builder'!$E$11),--(INDEX(Sims!$A1764:$BO1764,'Entry Builder'!$L$11)&gt;'Entry Builder'!$E$11)))</f>
        <v/>
      </c>
      <c r="F1764">
        <f>IF('Entry Builder'!$N$12=0,1,IF('Entry Builder'!$D$12="Less",--(INDEX(Sims!$A1764:$BO1764,'Entry Builder'!$L$12)&lt;'Entry Builder'!$E$12),--(INDEX(Sims!$A1764:$BO1764,'Entry Builder'!$L$12)&gt;'Entry Builder'!$E$12)))</f>
        <v/>
      </c>
      <c r="G1764">
        <f>6-SUM(A1764:F1764)</f>
        <v/>
      </c>
    </row>
    <row r="1765">
      <c r="A1765">
        <f>IF('Entry Builder'!$N$7=0,1,IF('Entry Builder'!$D$7="Less",--(INDEX(Sims!$A1765:$BO1765,'Entry Builder'!$L$7)&lt;'Entry Builder'!$E$7),--(INDEX(Sims!$A1765:$BO1765,'Entry Builder'!$L$7)&gt;'Entry Builder'!$E$7)))</f>
        <v/>
      </c>
      <c r="B1765">
        <f>IF('Entry Builder'!$N$8=0,1,IF('Entry Builder'!$D$8="Less",--(INDEX(Sims!$A1765:$BO1765,'Entry Builder'!$L$8)&lt;'Entry Builder'!$E$8),--(INDEX(Sims!$A1765:$BO1765,'Entry Builder'!$L$8)&gt;'Entry Builder'!$E$8)))</f>
        <v/>
      </c>
      <c r="C1765">
        <f>IF('Entry Builder'!$N$9=0,1,IF('Entry Builder'!$D$9="Less",--(INDEX(Sims!$A1765:$BO1765,'Entry Builder'!$L$9)&lt;'Entry Builder'!$E$9),--(INDEX(Sims!$A1765:$BO1765,'Entry Builder'!$L$9)&gt;'Entry Builder'!$E$9)))</f>
        <v/>
      </c>
      <c r="D1765">
        <f>IF('Entry Builder'!$N$10=0,1,IF('Entry Builder'!$D$10="Less",--(INDEX(Sims!$A1765:$BO1765,'Entry Builder'!$L$10)&lt;'Entry Builder'!$E$10),--(INDEX(Sims!$A1765:$BO1765,'Entry Builder'!$L$10)&gt;'Entry Builder'!$E$10)))</f>
        <v/>
      </c>
      <c r="E1765">
        <f>IF('Entry Builder'!$N$11=0,1,IF('Entry Builder'!$D$11="Less",--(INDEX(Sims!$A1765:$BO1765,'Entry Builder'!$L$11)&lt;'Entry Builder'!$E$11),--(INDEX(Sims!$A1765:$BO1765,'Entry Builder'!$L$11)&gt;'Entry Builder'!$E$11)))</f>
        <v/>
      </c>
      <c r="F1765">
        <f>IF('Entry Builder'!$N$12=0,1,IF('Entry Builder'!$D$12="Less",--(INDEX(Sims!$A1765:$BO1765,'Entry Builder'!$L$12)&lt;'Entry Builder'!$E$12),--(INDEX(Sims!$A1765:$BO1765,'Entry Builder'!$L$12)&gt;'Entry Builder'!$E$12)))</f>
        <v/>
      </c>
      <c r="G1765">
        <f>6-SUM(A1765:F1765)</f>
        <v/>
      </c>
    </row>
    <row r="1766">
      <c r="A1766">
        <f>IF('Entry Builder'!$N$7=0,1,IF('Entry Builder'!$D$7="Less",--(INDEX(Sims!$A1766:$BO1766,'Entry Builder'!$L$7)&lt;'Entry Builder'!$E$7),--(INDEX(Sims!$A1766:$BO1766,'Entry Builder'!$L$7)&gt;'Entry Builder'!$E$7)))</f>
        <v/>
      </c>
      <c r="B1766">
        <f>IF('Entry Builder'!$N$8=0,1,IF('Entry Builder'!$D$8="Less",--(INDEX(Sims!$A1766:$BO1766,'Entry Builder'!$L$8)&lt;'Entry Builder'!$E$8),--(INDEX(Sims!$A1766:$BO1766,'Entry Builder'!$L$8)&gt;'Entry Builder'!$E$8)))</f>
        <v/>
      </c>
      <c r="C1766">
        <f>IF('Entry Builder'!$N$9=0,1,IF('Entry Builder'!$D$9="Less",--(INDEX(Sims!$A1766:$BO1766,'Entry Builder'!$L$9)&lt;'Entry Builder'!$E$9),--(INDEX(Sims!$A1766:$BO1766,'Entry Builder'!$L$9)&gt;'Entry Builder'!$E$9)))</f>
        <v/>
      </c>
      <c r="D1766">
        <f>IF('Entry Builder'!$N$10=0,1,IF('Entry Builder'!$D$10="Less",--(INDEX(Sims!$A1766:$BO1766,'Entry Builder'!$L$10)&lt;'Entry Builder'!$E$10),--(INDEX(Sims!$A1766:$BO1766,'Entry Builder'!$L$10)&gt;'Entry Builder'!$E$10)))</f>
        <v/>
      </c>
      <c r="E1766">
        <f>IF('Entry Builder'!$N$11=0,1,IF('Entry Builder'!$D$11="Less",--(INDEX(Sims!$A1766:$BO1766,'Entry Builder'!$L$11)&lt;'Entry Builder'!$E$11),--(INDEX(Sims!$A1766:$BO1766,'Entry Builder'!$L$11)&gt;'Entry Builder'!$E$11)))</f>
        <v/>
      </c>
      <c r="F1766">
        <f>IF('Entry Builder'!$N$12=0,1,IF('Entry Builder'!$D$12="Less",--(INDEX(Sims!$A1766:$BO1766,'Entry Builder'!$L$12)&lt;'Entry Builder'!$E$12),--(INDEX(Sims!$A1766:$BO1766,'Entry Builder'!$L$12)&gt;'Entry Builder'!$E$12)))</f>
        <v/>
      </c>
      <c r="G1766">
        <f>6-SUM(A1766:F1766)</f>
        <v/>
      </c>
    </row>
    <row r="1767">
      <c r="A1767">
        <f>IF('Entry Builder'!$N$7=0,1,IF('Entry Builder'!$D$7="Less",--(INDEX(Sims!$A1767:$BO1767,'Entry Builder'!$L$7)&lt;'Entry Builder'!$E$7),--(INDEX(Sims!$A1767:$BO1767,'Entry Builder'!$L$7)&gt;'Entry Builder'!$E$7)))</f>
        <v/>
      </c>
      <c r="B1767">
        <f>IF('Entry Builder'!$N$8=0,1,IF('Entry Builder'!$D$8="Less",--(INDEX(Sims!$A1767:$BO1767,'Entry Builder'!$L$8)&lt;'Entry Builder'!$E$8),--(INDEX(Sims!$A1767:$BO1767,'Entry Builder'!$L$8)&gt;'Entry Builder'!$E$8)))</f>
        <v/>
      </c>
      <c r="C1767">
        <f>IF('Entry Builder'!$N$9=0,1,IF('Entry Builder'!$D$9="Less",--(INDEX(Sims!$A1767:$BO1767,'Entry Builder'!$L$9)&lt;'Entry Builder'!$E$9),--(INDEX(Sims!$A1767:$BO1767,'Entry Builder'!$L$9)&gt;'Entry Builder'!$E$9)))</f>
        <v/>
      </c>
      <c r="D1767">
        <f>IF('Entry Builder'!$N$10=0,1,IF('Entry Builder'!$D$10="Less",--(INDEX(Sims!$A1767:$BO1767,'Entry Builder'!$L$10)&lt;'Entry Builder'!$E$10),--(INDEX(Sims!$A1767:$BO1767,'Entry Builder'!$L$10)&gt;'Entry Builder'!$E$10)))</f>
        <v/>
      </c>
      <c r="E1767">
        <f>IF('Entry Builder'!$N$11=0,1,IF('Entry Builder'!$D$11="Less",--(INDEX(Sims!$A1767:$BO1767,'Entry Builder'!$L$11)&lt;'Entry Builder'!$E$11),--(INDEX(Sims!$A1767:$BO1767,'Entry Builder'!$L$11)&gt;'Entry Builder'!$E$11)))</f>
        <v/>
      </c>
      <c r="F1767">
        <f>IF('Entry Builder'!$N$12=0,1,IF('Entry Builder'!$D$12="Less",--(INDEX(Sims!$A1767:$BO1767,'Entry Builder'!$L$12)&lt;'Entry Builder'!$E$12),--(INDEX(Sims!$A1767:$BO1767,'Entry Builder'!$L$12)&gt;'Entry Builder'!$E$12)))</f>
        <v/>
      </c>
      <c r="G1767">
        <f>6-SUM(A1767:F1767)</f>
        <v/>
      </c>
    </row>
    <row r="1768">
      <c r="A1768">
        <f>IF('Entry Builder'!$N$7=0,1,IF('Entry Builder'!$D$7="Less",--(INDEX(Sims!$A1768:$BO1768,'Entry Builder'!$L$7)&lt;'Entry Builder'!$E$7),--(INDEX(Sims!$A1768:$BO1768,'Entry Builder'!$L$7)&gt;'Entry Builder'!$E$7)))</f>
        <v/>
      </c>
      <c r="B1768">
        <f>IF('Entry Builder'!$N$8=0,1,IF('Entry Builder'!$D$8="Less",--(INDEX(Sims!$A1768:$BO1768,'Entry Builder'!$L$8)&lt;'Entry Builder'!$E$8),--(INDEX(Sims!$A1768:$BO1768,'Entry Builder'!$L$8)&gt;'Entry Builder'!$E$8)))</f>
        <v/>
      </c>
      <c r="C1768">
        <f>IF('Entry Builder'!$N$9=0,1,IF('Entry Builder'!$D$9="Less",--(INDEX(Sims!$A1768:$BO1768,'Entry Builder'!$L$9)&lt;'Entry Builder'!$E$9),--(INDEX(Sims!$A1768:$BO1768,'Entry Builder'!$L$9)&gt;'Entry Builder'!$E$9)))</f>
        <v/>
      </c>
      <c r="D1768">
        <f>IF('Entry Builder'!$N$10=0,1,IF('Entry Builder'!$D$10="Less",--(INDEX(Sims!$A1768:$BO1768,'Entry Builder'!$L$10)&lt;'Entry Builder'!$E$10),--(INDEX(Sims!$A1768:$BO1768,'Entry Builder'!$L$10)&gt;'Entry Builder'!$E$10)))</f>
        <v/>
      </c>
      <c r="E1768">
        <f>IF('Entry Builder'!$N$11=0,1,IF('Entry Builder'!$D$11="Less",--(INDEX(Sims!$A1768:$BO1768,'Entry Builder'!$L$11)&lt;'Entry Builder'!$E$11),--(INDEX(Sims!$A1768:$BO1768,'Entry Builder'!$L$11)&gt;'Entry Builder'!$E$11)))</f>
        <v/>
      </c>
      <c r="F1768">
        <f>IF('Entry Builder'!$N$12=0,1,IF('Entry Builder'!$D$12="Less",--(INDEX(Sims!$A1768:$BO1768,'Entry Builder'!$L$12)&lt;'Entry Builder'!$E$12),--(INDEX(Sims!$A1768:$BO1768,'Entry Builder'!$L$12)&gt;'Entry Builder'!$E$12)))</f>
        <v/>
      </c>
      <c r="G1768">
        <f>6-SUM(A1768:F1768)</f>
        <v/>
      </c>
    </row>
    <row r="1769">
      <c r="A1769">
        <f>IF('Entry Builder'!$N$7=0,1,IF('Entry Builder'!$D$7="Less",--(INDEX(Sims!$A1769:$BO1769,'Entry Builder'!$L$7)&lt;'Entry Builder'!$E$7),--(INDEX(Sims!$A1769:$BO1769,'Entry Builder'!$L$7)&gt;'Entry Builder'!$E$7)))</f>
        <v/>
      </c>
      <c r="B1769">
        <f>IF('Entry Builder'!$N$8=0,1,IF('Entry Builder'!$D$8="Less",--(INDEX(Sims!$A1769:$BO1769,'Entry Builder'!$L$8)&lt;'Entry Builder'!$E$8),--(INDEX(Sims!$A1769:$BO1769,'Entry Builder'!$L$8)&gt;'Entry Builder'!$E$8)))</f>
        <v/>
      </c>
      <c r="C1769">
        <f>IF('Entry Builder'!$N$9=0,1,IF('Entry Builder'!$D$9="Less",--(INDEX(Sims!$A1769:$BO1769,'Entry Builder'!$L$9)&lt;'Entry Builder'!$E$9),--(INDEX(Sims!$A1769:$BO1769,'Entry Builder'!$L$9)&gt;'Entry Builder'!$E$9)))</f>
        <v/>
      </c>
      <c r="D1769">
        <f>IF('Entry Builder'!$N$10=0,1,IF('Entry Builder'!$D$10="Less",--(INDEX(Sims!$A1769:$BO1769,'Entry Builder'!$L$10)&lt;'Entry Builder'!$E$10),--(INDEX(Sims!$A1769:$BO1769,'Entry Builder'!$L$10)&gt;'Entry Builder'!$E$10)))</f>
        <v/>
      </c>
      <c r="E1769">
        <f>IF('Entry Builder'!$N$11=0,1,IF('Entry Builder'!$D$11="Less",--(INDEX(Sims!$A1769:$BO1769,'Entry Builder'!$L$11)&lt;'Entry Builder'!$E$11),--(INDEX(Sims!$A1769:$BO1769,'Entry Builder'!$L$11)&gt;'Entry Builder'!$E$11)))</f>
        <v/>
      </c>
      <c r="F1769">
        <f>IF('Entry Builder'!$N$12=0,1,IF('Entry Builder'!$D$12="Less",--(INDEX(Sims!$A1769:$BO1769,'Entry Builder'!$L$12)&lt;'Entry Builder'!$E$12),--(INDEX(Sims!$A1769:$BO1769,'Entry Builder'!$L$12)&gt;'Entry Builder'!$E$12)))</f>
        <v/>
      </c>
      <c r="G1769">
        <f>6-SUM(A1769:F1769)</f>
        <v/>
      </c>
    </row>
    <row r="1770">
      <c r="A1770">
        <f>IF('Entry Builder'!$N$7=0,1,IF('Entry Builder'!$D$7="Less",--(INDEX(Sims!$A1770:$BO1770,'Entry Builder'!$L$7)&lt;'Entry Builder'!$E$7),--(INDEX(Sims!$A1770:$BO1770,'Entry Builder'!$L$7)&gt;'Entry Builder'!$E$7)))</f>
        <v/>
      </c>
      <c r="B1770">
        <f>IF('Entry Builder'!$N$8=0,1,IF('Entry Builder'!$D$8="Less",--(INDEX(Sims!$A1770:$BO1770,'Entry Builder'!$L$8)&lt;'Entry Builder'!$E$8),--(INDEX(Sims!$A1770:$BO1770,'Entry Builder'!$L$8)&gt;'Entry Builder'!$E$8)))</f>
        <v/>
      </c>
      <c r="C1770">
        <f>IF('Entry Builder'!$N$9=0,1,IF('Entry Builder'!$D$9="Less",--(INDEX(Sims!$A1770:$BO1770,'Entry Builder'!$L$9)&lt;'Entry Builder'!$E$9),--(INDEX(Sims!$A1770:$BO1770,'Entry Builder'!$L$9)&gt;'Entry Builder'!$E$9)))</f>
        <v/>
      </c>
      <c r="D1770">
        <f>IF('Entry Builder'!$N$10=0,1,IF('Entry Builder'!$D$10="Less",--(INDEX(Sims!$A1770:$BO1770,'Entry Builder'!$L$10)&lt;'Entry Builder'!$E$10),--(INDEX(Sims!$A1770:$BO1770,'Entry Builder'!$L$10)&gt;'Entry Builder'!$E$10)))</f>
        <v/>
      </c>
      <c r="E1770">
        <f>IF('Entry Builder'!$N$11=0,1,IF('Entry Builder'!$D$11="Less",--(INDEX(Sims!$A1770:$BO1770,'Entry Builder'!$L$11)&lt;'Entry Builder'!$E$11),--(INDEX(Sims!$A1770:$BO1770,'Entry Builder'!$L$11)&gt;'Entry Builder'!$E$11)))</f>
        <v/>
      </c>
      <c r="F1770">
        <f>IF('Entry Builder'!$N$12=0,1,IF('Entry Builder'!$D$12="Less",--(INDEX(Sims!$A1770:$BO1770,'Entry Builder'!$L$12)&lt;'Entry Builder'!$E$12),--(INDEX(Sims!$A1770:$BO1770,'Entry Builder'!$L$12)&gt;'Entry Builder'!$E$12)))</f>
        <v/>
      </c>
      <c r="G1770">
        <f>6-SUM(A1770:F1770)</f>
        <v/>
      </c>
    </row>
    <row r="1771">
      <c r="A1771">
        <f>IF('Entry Builder'!$N$7=0,1,IF('Entry Builder'!$D$7="Less",--(INDEX(Sims!$A1771:$BO1771,'Entry Builder'!$L$7)&lt;'Entry Builder'!$E$7),--(INDEX(Sims!$A1771:$BO1771,'Entry Builder'!$L$7)&gt;'Entry Builder'!$E$7)))</f>
        <v/>
      </c>
      <c r="B1771">
        <f>IF('Entry Builder'!$N$8=0,1,IF('Entry Builder'!$D$8="Less",--(INDEX(Sims!$A1771:$BO1771,'Entry Builder'!$L$8)&lt;'Entry Builder'!$E$8),--(INDEX(Sims!$A1771:$BO1771,'Entry Builder'!$L$8)&gt;'Entry Builder'!$E$8)))</f>
        <v/>
      </c>
      <c r="C1771">
        <f>IF('Entry Builder'!$N$9=0,1,IF('Entry Builder'!$D$9="Less",--(INDEX(Sims!$A1771:$BO1771,'Entry Builder'!$L$9)&lt;'Entry Builder'!$E$9),--(INDEX(Sims!$A1771:$BO1771,'Entry Builder'!$L$9)&gt;'Entry Builder'!$E$9)))</f>
        <v/>
      </c>
      <c r="D1771">
        <f>IF('Entry Builder'!$N$10=0,1,IF('Entry Builder'!$D$10="Less",--(INDEX(Sims!$A1771:$BO1771,'Entry Builder'!$L$10)&lt;'Entry Builder'!$E$10),--(INDEX(Sims!$A1771:$BO1771,'Entry Builder'!$L$10)&gt;'Entry Builder'!$E$10)))</f>
        <v/>
      </c>
      <c r="E1771">
        <f>IF('Entry Builder'!$N$11=0,1,IF('Entry Builder'!$D$11="Less",--(INDEX(Sims!$A1771:$BO1771,'Entry Builder'!$L$11)&lt;'Entry Builder'!$E$11),--(INDEX(Sims!$A1771:$BO1771,'Entry Builder'!$L$11)&gt;'Entry Builder'!$E$11)))</f>
        <v/>
      </c>
      <c r="F1771">
        <f>IF('Entry Builder'!$N$12=0,1,IF('Entry Builder'!$D$12="Less",--(INDEX(Sims!$A1771:$BO1771,'Entry Builder'!$L$12)&lt;'Entry Builder'!$E$12),--(INDEX(Sims!$A1771:$BO1771,'Entry Builder'!$L$12)&gt;'Entry Builder'!$E$12)))</f>
        <v/>
      </c>
      <c r="G1771">
        <f>6-SUM(A1771:F1771)</f>
        <v/>
      </c>
    </row>
    <row r="1772">
      <c r="A1772">
        <f>IF('Entry Builder'!$N$7=0,1,IF('Entry Builder'!$D$7="Less",--(INDEX(Sims!$A1772:$BO1772,'Entry Builder'!$L$7)&lt;'Entry Builder'!$E$7),--(INDEX(Sims!$A1772:$BO1772,'Entry Builder'!$L$7)&gt;'Entry Builder'!$E$7)))</f>
        <v/>
      </c>
      <c r="B1772">
        <f>IF('Entry Builder'!$N$8=0,1,IF('Entry Builder'!$D$8="Less",--(INDEX(Sims!$A1772:$BO1772,'Entry Builder'!$L$8)&lt;'Entry Builder'!$E$8),--(INDEX(Sims!$A1772:$BO1772,'Entry Builder'!$L$8)&gt;'Entry Builder'!$E$8)))</f>
        <v/>
      </c>
      <c r="C1772">
        <f>IF('Entry Builder'!$N$9=0,1,IF('Entry Builder'!$D$9="Less",--(INDEX(Sims!$A1772:$BO1772,'Entry Builder'!$L$9)&lt;'Entry Builder'!$E$9),--(INDEX(Sims!$A1772:$BO1772,'Entry Builder'!$L$9)&gt;'Entry Builder'!$E$9)))</f>
        <v/>
      </c>
      <c r="D1772">
        <f>IF('Entry Builder'!$N$10=0,1,IF('Entry Builder'!$D$10="Less",--(INDEX(Sims!$A1772:$BO1772,'Entry Builder'!$L$10)&lt;'Entry Builder'!$E$10),--(INDEX(Sims!$A1772:$BO1772,'Entry Builder'!$L$10)&gt;'Entry Builder'!$E$10)))</f>
        <v/>
      </c>
      <c r="E1772">
        <f>IF('Entry Builder'!$N$11=0,1,IF('Entry Builder'!$D$11="Less",--(INDEX(Sims!$A1772:$BO1772,'Entry Builder'!$L$11)&lt;'Entry Builder'!$E$11),--(INDEX(Sims!$A1772:$BO1772,'Entry Builder'!$L$11)&gt;'Entry Builder'!$E$11)))</f>
        <v/>
      </c>
      <c r="F1772">
        <f>IF('Entry Builder'!$N$12=0,1,IF('Entry Builder'!$D$12="Less",--(INDEX(Sims!$A1772:$BO1772,'Entry Builder'!$L$12)&lt;'Entry Builder'!$E$12),--(INDEX(Sims!$A1772:$BO1772,'Entry Builder'!$L$12)&gt;'Entry Builder'!$E$12)))</f>
        <v/>
      </c>
      <c r="G1772">
        <f>6-SUM(A1772:F1772)</f>
        <v/>
      </c>
    </row>
    <row r="1773">
      <c r="A1773">
        <f>IF('Entry Builder'!$N$7=0,1,IF('Entry Builder'!$D$7="Less",--(INDEX(Sims!$A1773:$BO1773,'Entry Builder'!$L$7)&lt;'Entry Builder'!$E$7),--(INDEX(Sims!$A1773:$BO1773,'Entry Builder'!$L$7)&gt;'Entry Builder'!$E$7)))</f>
        <v/>
      </c>
      <c r="B1773">
        <f>IF('Entry Builder'!$N$8=0,1,IF('Entry Builder'!$D$8="Less",--(INDEX(Sims!$A1773:$BO1773,'Entry Builder'!$L$8)&lt;'Entry Builder'!$E$8),--(INDEX(Sims!$A1773:$BO1773,'Entry Builder'!$L$8)&gt;'Entry Builder'!$E$8)))</f>
        <v/>
      </c>
      <c r="C1773">
        <f>IF('Entry Builder'!$N$9=0,1,IF('Entry Builder'!$D$9="Less",--(INDEX(Sims!$A1773:$BO1773,'Entry Builder'!$L$9)&lt;'Entry Builder'!$E$9),--(INDEX(Sims!$A1773:$BO1773,'Entry Builder'!$L$9)&gt;'Entry Builder'!$E$9)))</f>
        <v/>
      </c>
      <c r="D1773">
        <f>IF('Entry Builder'!$N$10=0,1,IF('Entry Builder'!$D$10="Less",--(INDEX(Sims!$A1773:$BO1773,'Entry Builder'!$L$10)&lt;'Entry Builder'!$E$10),--(INDEX(Sims!$A1773:$BO1773,'Entry Builder'!$L$10)&gt;'Entry Builder'!$E$10)))</f>
        <v/>
      </c>
      <c r="E1773">
        <f>IF('Entry Builder'!$N$11=0,1,IF('Entry Builder'!$D$11="Less",--(INDEX(Sims!$A1773:$BO1773,'Entry Builder'!$L$11)&lt;'Entry Builder'!$E$11),--(INDEX(Sims!$A1773:$BO1773,'Entry Builder'!$L$11)&gt;'Entry Builder'!$E$11)))</f>
        <v/>
      </c>
      <c r="F1773">
        <f>IF('Entry Builder'!$N$12=0,1,IF('Entry Builder'!$D$12="Less",--(INDEX(Sims!$A1773:$BO1773,'Entry Builder'!$L$12)&lt;'Entry Builder'!$E$12),--(INDEX(Sims!$A1773:$BO1773,'Entry Builder'!$L$12)&gt;'Entry Builder'!$E$12)))</f>
        <v/>
      </c>
      <c r="G1773">
        <f>6-SUM(A1773:F1773)</f>
        <v/>
      </c>
    </row>
    <row r="1774">
      <c r="A1774">
        <f>IF('Entry Builder'!$N$7=0,1,IF('Entry Builder'!$D$7="Less",--(INDEX(Sims!$A1774:$BO1774,'Entry Builder'!$L$7)&lt;'Entry Builder'!$E$7),--(INDEX(Sims!$A1774:$BO1774,'Entry Builder'!$L$7)&gt;'Entry Builder'!$E$7)))</f>
        <v/>
      </c>
      <c r="B1774">
        <f>IF('Entry Builder'!$N$8=0,1,IF('Entry Builder'!$D$8="Less",--(INDEX(Sims!$A1774:$BO1774,'Entry Builder'!$L$8)&lt;'Entry Builder'!$E$8),--(INDEX(Sims!$A1774:$BO1774,'Entry Builder'!$L$8)&gt;'Entry Builder'!$E$8)))</f>
        <v/>
      </c>
      <c r="C1774">
        <f>IF('Entry Builder'!$N$9=0,1,IF('Entry Builder'!$D$9="Less",--(INDEX(Sims!$A1774:$BO1774,'Entry Builder'!$L$9)&lt;'Entry Builder'!$E$9),--(INDEX(Sims!$A1774:$BO1774,'Entry Builder'!$L$9)&gt;'Entry Builder'!$E$9)))</f>
        <v/>
      </c>
      <c r="D1774">
        <f>IF('Entry Builder'!$N$10=0,1,IF('Entry Builder'!$D$10="Less",--(INDEX(Sims!$A1774:$BO1774,'Entry Builder'!$L$10)&lt;'Entry Builder'!$E$10),--(INDEX(Sims!$A1774:$BO1774,'Entry Builder'!$L$10)&gt;'Entry Builder'!$E$10)))</f>
        <v/>
      </c>
      <c r="E1774">
        <f>IF('Entry Builder'!$N$11=0,1,IF('Entry Builder'!$D$11="Less",--(INDEX(Sims!$A1774:$BO1774,'Entry Builder'!$L$11)&lt;'Entry Builder'!$E$11),--(INDEX(Sims!$A1774:$BO1774,'Entry Builder'!$L$11)&gt;'Entry Builder'!$E$11)))</f>
        <v/>
      </c>
      <c r="F1774">
        <f>IF('Entry Builder'!$N$12=0,1,IF('Entry Builder'!$D$12="Less",--(INDEX(Sims!$A1774:$BO1774,'Entry Builder'!$L$12)&lt;'Entry Builder'!$E$12),--(INDEX(Sims!$A1774:$BO1774,'Entry Builder'!$L$12)&gt;'Entry Builder'!$E$12)))</f>
        <v/>
      </c>
      <c r="G1774">
        <f>6-SUM(A1774:F1774)</f>
        <v/>
      </c>
    </row>
    <row r="1775">
      <c r="A1775">
        <f>IF('Entry Builder'!$N$7=0,1,IF('Entry Builder'!$D$7="Less",--(INDEX(Sims!$A1775:$BO1775,'Entry Builder'!$L$7)&lt;'Entry Builder'!$E$7),--(INDEX(Sims!$A1775:$BO1775,'Entry Builder'!$L$7)&gt;'Entry Builder'!$E$7)))</f>
        <v/>
      </c>
      <c r="B1775">
        <f>IF('Entry Builder'!$N$8=0,1,IF('Entry Builder'!$D$8="Less",--(INDEX(Sims!$A1775:$BO1775,'Entry Builder'!$L$8)&lt;'Entry Builder'!$E$8),--(INDEX(Sims!$A1775:$BO1775,'Entry Builder'!$L$8)&gt;'Entry Builder'!$E$8)))</f>
        <v/>
      </c>
      <c r="C1775">
        <f>IF('Entry Builder'!$N$9=0,1,IF('Entry Builder'!$D$9="Less",--(INDEX(Sims!$A1775:$BO1775,'Entry Builder'!$L$9)&lt;'Entry Builder'!$E$9),--(INDEX(Sims!$A1775:$BO1775,'Entry Builder'!$L$9)&gt;'Entry Builder'!$E$9)))</f>
        <v/>
      </c>
      <c r="D1775">
        <f>IF('Entry Builder'!$N$10=0,1,IF('Entry Builder'!$D$10="Less",--(INDEX(Sims!$A1775:$BO1775,'Entry Builder'!$L$10)&lt;'Entry Builder'!$E$10),--(INDEX(Sims!$A1775:$BO1775,'Entry Builder'!$L$10)&gt;'Entry Builder'!$E$10)))</f>
        <v/>
      </c>
      <c r="E1775">
        <f>IF('Entry Builder'!$N$11=0,1,IF('Entry Builder'!$D$11="Less",--(INDEX(Sims!$A1775:$BO1775,'Entry Builder'!$L$11)&lt;'Entry Builder'!$E$11),--(INDEX(Sims!$A1775:$BO1775,'Entry Builder'!$L$11)&gt;'Entry Builder'!$E$11)))</f>
        <v/>
      </c>
      <c r="F1775">
        <f>IF('Entry Builder'!$N$12=0,1,IF('Entry Builder'!$D$12="Less",--(INDEX(Sims!$A1775:$BO1775,'Entry Builder'!$L$12)&lt;'Entry Builder'!$E$12),--(INDEX(Sims!$A1775:$BO1775,'Entry Builder'!$L$12)&gt;'Entry Builder'!$E$12)))</f>
        <v/>
      </c>
      <c r="G1775">
        <f>6-SUM(A1775:F1775)</f>
        <v/>
      </c>
    </row>
    <row r="1776">
      <c r="A1776">
        <f>IF('Entry Builder'!$N$7=0,1,IF('Entry Builder'!$D$7="Less",--(INDEX(Sims!$A1776:$BO1776,'Entry Builder'!$L$7)&lt;'Entry Builder'!$E$7),--(INDEX(Sims!$A1776:$BO1776,'Entry Builder'!$L$7)&gt;'Entry Builder'!$E$7)))</f>
        <v/>
      </c>
      <c r="B1776">
        <f>IF('Entry Builder'!$N$8=0,1,IF('Entry Builder'!$D$8="Less",--(INDEX(Sims!$A1776:$BO1776,'Entry Builder'!$L$8)&lt;'Entry Builder'!$E$8),--(INDEX(Sims!$A1776:$BO1776,'Entry Builder'!$L$8)&gt;'Entry Builder'!$E$8)))</f>
        <v/>
      </c>
      <c r="C1776">
        <f>IF('Entry Builder'!$N$9=0,1,IF('Entry Builder'!$D$9="Less",--(INDEX(Sims!$A1776:$BO1776,'Entry Builder'!$L$9)&lt;'Entry Builder'!$E$9),--(INDEX(Sims!$A1776:$BO1776,'Entry Builder'!$L$9)&gt;'Entry Builder'!$E$9)))</f>
        <v/>
      </c>
      <c r="D1776">
        <f>IF('Entry Builder'!$N$10=0,1,IF('Entry Builder'!$D$10="Less",--(INDEX(Sims!$A1776:$BO1776,'Entry Builder'!$L$10)&lt;'Entry Builder'!$E$10),--(INDEX(Sims!$A1776:$BO1776,'Entry Builder'!$L$10)&gt;'Entry Builder'!$E$10)))</f>
        <v/>
      </c>
      <c r="E1776">
        <f>IF('Entry Builder'!$N$11=0,1,IF('Entry Builder'!$D$11="Less",--(INDEX(Sims!$A1776:$BO1776,'Entry Builder'!$L$11)&lt;'Entry Builder'!$E$11),--(INDEX(Sims!$A1776:$BO1776,'Entry Builder'!$L$11)&gt;'Entry Builder'!$E$11)))</f>
        <v/>
      </c>
      <c r="F1776">
        <f>IF('Entry Builder'!$N$12=0,1,IF('Entry Builder'!$D$12="Less",--(INDEX(Sims!$A1776:$BO1776,'Entry Builder'!$L$12)&lt;'Entry Builder'!$E$12),--(INDEX(Sims!$A1776:$BO1776,'Entry Builder'!$L$12)&gt;'Entry Builder'!$E$12)))</f>
        <v/>
      </c>
      <c r="G1776">
        <f>6-SUM(A1776:F1776)</f>
        <v/>
      </c>
    </row>
    <row r="1777">
      <c r="A1777">
        <f>IF('Entry Builder'!$N$7=0,1,IF('Entry Builder'!$D$7="Less",--(INDEX(Sims!$A1777:$BO1777,'Entry Builder'!$L$7)&lt;'Entry Builder'!$E$7),--(INDEX(Sims!$A1777:$BO1777,'Entry Builder'!$L$7)&gt;'Entry Builder'!$E$7)))</f>
        <v/>
      </c>
      <c r="B1777">
        <f>IF('Entry Builder'!$N$8=0,1,IF('Entry Builder'!$D$8="Less",--(INDEX(Sims!$A1777:$BO1777,'Entry Builder'!$L$8)&lt;'Entry Builder'!$E$8),--(INDEX(Sims!$A1777:$BO1777,'Entry Builder'!$L$8)&gt;'Entry Builder'!$E$8)))</f>
        <v/>
      </c>
      <c r="C1777">
        <f>IF('Entry Builder'!$N$9=0,1,IF('Entry Builder'!$D$9="Less",--(INDEX(Sims!$A1777:$BO1777,'Entry Builder'!$L$9)&lt;'Entry Builder'!$E$9),--(INDEX(Sims!$A1777:$BO1777,'Entry Builder'!$L$9)&gt;'Entry Builder'!$E$9)))</f>
        <v/>
      </c>
      <c r="D1777">
        <f>IF('Entry Builder'!$N$10=0,1,IF('Entry Builder'!$D$10="Less",--(INDEX(Sims!$A1777:$BO1777,'Entry Builder'!$L$10)&lt;'Entry Builder'!$E$10),--(INDEX(Sims!$A1777:$BO1777,'Entry Builder'!$L$10)&gt;'Entry Builder'!$E$10)))</f>
        <v/>
      </c>
      <c r="E1777">
        <f>IF('Entry Builder'!$N$11=0,1,IF('Entry Builder'!$D$11="Less",--(INDEX(Sims!$A1777:$BO1777,'Entry Builder'!$L$11)&lt;'Entry Builder'!$E$11),--(INDEX(Sims!$A1777:$BO1777,'Entry Builder'!$L$11)&gt;'Entry Builder'!$E$11)))</f>
        <v/>
      </c>
      <c r="F1777">
        <f>IF('Entry Builder'!$N$12=0,1,IF('Entry Builder'!$D$12="Less",--(INDEX(Sims!$A1777:$BO1777,'Entry Builder'!$L$12)&lt;'Entry Builder'!$E$12),--(INDEX(Sims!$A1777:$BO1777,'Entry Builder'!$L$12)&gt;'Entry Builder'!$E$12)))</f>
        <v/>
      </c>
      <c r="G1777">
        <f>6-SUM(A1777:F1777)</f>
        <v/>
      </c>
    </row>
    <row r="1778">
      <c r="A1778">
        <f>IF('Entry Builder'!$N$7=0,1,IF('Entry Builder'!$D$7="Less",--(INDEX(Sims!$A1778:$BO1778,'Entry Builder'!$L$7)&lt;'Entry Builder'!$E$7),--(INDEX(Sims!$A1778:$BO1778,'Entry Builder'!$L$7)&gt;'Entry Builder'!$E$7)))</f>
        <v/>
      </c>
      <c r="B1778">
        <f>IF('Entry Builder'!$N$8=0,1,IF('Entry Builder'!$D$8="Less",--(INDEX(Sims!$A1778:$BO1778,'Entry Builder'!$L$8)&lt;'Entry Builder'!$E$8),--(INDEX(Sims!$A1778:$BO1778,'Entry Builder'!$L$8)&gt;'Entry Builder'!$E$8)))</f>
        <v/>
      </c>
      <c r="C1778">
        <f>IF('Entry Builder'!$N$9=0,1,IF('Entry Builder'!$D$9="Less",--(INDEX(Sims!$A1778:$BO1778,'Entry Builder'!$L$9)&lt;'Entry Builder'!$E$9),--(INDEX(Sims!$A1778:$BO1778,'Entry Builder'!$L$9)&gt;'Entry Builder'!$E$9)))</f>
        <v/>
      </c>
      <c r="D1778">
        <f>IF('Entry Builder'!$N$10=0,1,IF('Entry Builder'!$D$10="Less",--(INDEX(Sims!$A1778:$BO1778,'Entry Builder'!$L$10)&lt;'Entry Builder'!$E$10),--(INDEX(Sims!$A1778:$BO1778,'Entry Builder'!$L$10)&gt;'Entry Builder'!$E$10)))</f>
        <v/>
      </c>
      <c r="E1778">
        <f>IF('Entry Builder'!$N$11=0,1,IF('Entry Builder'!$D$11="Less",--(INDEX(Sims!$A1778:$BO1778,'Entry Builder'!$L$11)&lt;'Entry Builder'!$E$11),--(INDEX(Sims!$A1778:$BO1778,'Entry Builder'!$L$11)&gt;'Entry Builder'!$E$11)))</f>
        <v/>
      </c>
      <c r="F1778">
        <f>IF('Entry Builder'!$N$12=0,1,IF('Entry Builder'!$D$12="Less",--(INDEX(Sims!$A1778:$BO1778,'Entry Builder'!$L$12)&lt;'Entry Builder'!$E$12),--(INDEX(Sims!$A1778:$BO1778,'Entry Builder'!$L$12)&gt;'Entry Builder'!$E$12)))</f>
        <v/>
      </c>
      <c r="G1778">
        <f>6-SUM(A1778:F1778)</f>
        <v/>
      </c>
    </row>
    <row r="1779">
      <c r="A1779">
        <f>IF('Entry Builder'!$N$7=0,1,IF('Entry Builder'!$D$7="Less",--(INDEX(Sims!$A1779:$BO1779,'Entry Builder'!$L$7)&lt;'Entry Builder'!$E$7),--(INDEX(Sims!$A1779:$BO1779,'Entry Builder'!$L$7)&gt;'Entry Builder'!$E$7)))</f>
        <v/>
      </c>
      <c r="B1779">
        <f>IF('Entry Builder'!$N$8=0,1,IF('Entry Builder'!$D$8="Less",--(INDEX(Sims!$A1779:$BO1779,'Entry Builder'!$L$8)&lt;'Entry Builder'!$E$8),--(INDEX(Sims!$A1779:$BO1779,'Entry Builder'!$L$8)&gt;'Entry Builder'!$E$8)))</f>
        <v/>
      </c>
      <c r="C1779">
        <f>IF('Entry Builder'!$N$9=0,1,IF('Entry Builder'!$D$9="Less",--(INDEX(Sims!$A1779:$BO1779,'Entry Builder'!$L$9)&lt;'Entry Builder'!$E$9),--(INDEX(Sims!$A1779:$BO1779,'Entry Builder'!$L$9)&gt;'Entry Builder'!$E$9)))</f>
        <v/>
      </c>
      <c r="D1779">
        <f>IF('Entry Builder'!$N$10=0,1,IF('Entry Builder'!$D$10="Less",--(INDEX(Sims!$A1779:$BO1779,'Entry Builder'!$L$10)&lt;'Entry Builder'!$E$10),--(INDEX(Sims!$A1779:$BO1779,'Entry Builder'!$L$10)&gt;'Entry Builder'!$E$10)))</f>
        <v/>
      </c>
      <c r="E1779">
        <f>IF('Entry Builder'!$N$11=0,1,IF('Entry Builder'!$D$11="Less",--(INDEX(Sims!$A1779:$BO1779,'Entry Builder'!$L$11)&lt;'Entry Builder'!$E$11),--(INDEX(Sims!$A1779:$BO1779,'Entry Builder'!$L$11)&gt;'Entry Builder'!$E$11)))</f>
        <v/>
      </c>
      <c r="F1779">
        <f>IF('Entry Builder'!$N$12=0,1,IF('Entry Builder'!$D$12="Less",--(INDEX(Sims!$A1779:$BO1779,'Entry Builder'!$L$12)&lt;'Entry Builder'!$E$12),--(INDEX(Sims!$A1779:$BO1779,'Entry Builder'!$L$12)&gt;'Entry Builder'!$E$12)))</f>
        <v/>
      </c>
      <c r="G1779">
        <f>6-SUM(A1779:F1779)</f>
        <v/>
      </c>
    </row>
    <row r="1780">
      <c r="A1780">
        <f>IF('Entry Builder'!$N$7=0,1,IF('Entry Builder'!$D$7="Less",--(INDEX(Sims!$A1780:$BO1780,'Entry Builder'!$L$7)&lt;'Entry Builder'!$E$7),--(INDEX(Sims!$A1780:$BO1780,'Entry Builder'!$L$7)&gt;'Entry Builder'!$E$7)))</f>
        <v/>
      </c>
      <c r="B1780">
        <f>IF('Entry Builder'!$N$8=0,1,IF('Entry Builder'!$D$8="Less",--(INDEX(Sims!$A1780:$BO1780,'Entry Builder'!$L$8)&lt;'Entry Builder'!$E$8),--(INDEX(Sims!$A1780:$BO1780,'Entry Builder'!$L$8)&gt;'Entry Builder'!$E$8)))</f>
        <v/>
      </c>
      <c r="C1780">
        <f>IF('Entry Builder'!$N$9=0,1,IF('Entry Builder'!$D$9="Less",--(INDEX(Sims!$A1780:$BO1780,'Entry Builder'!$L$9)&lt;'Entry Builder'!$E$9),--(INDEX(Sims!$A1780:$BO1780,'Entry Builder'!$L$9)&gt;'Entry Builder'!$E$9)))</f>
        <v/>
      </c>
      <c r="D1780">
        <f>IF('Entry Builder'!$N$10=0,1,IF('Entry Builder'!$D$10="Less",--(INDEX(Sims!$A1780:$BO1780,'Entry Builder'!$L$10)&lt;'Entry Builder'!$E$10),--(INDEX(Sims!$A1780:$BO1780,'Entry Builder'!$L$10)&gt;'Entry Builder'!$E$10)))</f>
        <v/>
      </c>
      <c r="E1780">
        <f>IF('Entry Builder'!$N$11=0,1,IF('Entry Builder'!$D$11="Less",--(INDEX(Sims!$A1780:$BO1780,'Entry Builder'!$L$11)&lt;'Entry Builder'!$E$11),--(INDEX(Sims!$A1780:$BO1780,'Entry Builder'!$L$11)&gt;'Entry Builder'!$E$11)))</f>
        <v/>
      </c>
      <c r="F1780">
        <f>IF('Entry Builder'!$N$12=0,1,IF('Entry Builder'!$D$12="Less",--(INDEX(Sims!$A1780:$BO1780,'Entry Builder'!$L$12)&lt;'Entry Builder'!$E$12),--(INDEX(Sims!$A1780:$BO1780,'Entry Builder'!$L$12)&gt;'Entry Builder'!$E$12)))</f>
        <v/>
      </c>
      <c r="G1780">
        <f>6-SUM(A1780:F1780)</f>
        <v/>
      </c>
    </row>
    <row r="1781">
      <c r="A1781">
        <f>IF('Entry Builder'!$N$7=0,1,IF('Entry Builder'!$D$7="Less",--(INDEX(Sims!$A1781:$BO1781,'Entry Builder'!$L$7)&lt;'Entry Builder'!$E$7),--(INDEX(Sims!$A1781:$BO1781,'Entry Builder'!$L$7)&gt;'Entry Builder'!$E$7)))</f>
        <v/>
      </c>
      <c r="B1781">
        <f>IF('Entry Builder'!$N$8=0,1,IF('Entry Builder'!$D$8="Less",--(INDEX(Sims!$A1781:$BO1781,'Entry Builder'!$L$8)&lt;'Entry Builder'!$E$8),--(INDEX(Sims!$A1781:$BO1781,'Entry Builder'!$L$8)&gt;'Entry Builder'!$E$8)))</f>
        <v/>
      </c>
      <c r="C1781">
        <f>IF('Entry Builder'!$N$9=0,1,IF('Entry Builder'!$D$9="Less",--(INDEX(Sims!$A1781:$BO1781,'Entry Builder'!$L$9)&lt;'Entry Builder'!$E$9),--(INDEX(Sims!$A1781:$BO1781,'Entry Builder'!$L$9)&gt;'Entry Builder'!$E$9)))</f>
        <v/>
      </c>
      <c r="D1781">
        <f>IF('Entry Builder'!$N$10=0,1,IF('Entry Builder'!$D$10="Less",--(INDEX(Sims!$A1781:$BO1781,'Entry Builder'!$L$10)&lt;'Entry Builder'!$E$10),--(INDEX(Sims!$A1781:$BO1781,'Entry Builder'!$L$10)&gt;'Entry Builder'!$E$10)))</f>
        <v/>
      </c>
      <c r="E1781">
        <f>IF('Entry Builder'!$N$11=0,1,IF('Entry Builder'!$D$11="Less",--(INDEX(Sims!$A1781:$BO1781,'Entry Builder'!$L$11)&lt;'Entry Builder'!$E$11),--(INDEX(Sims!$A1781:$BO1781,'Entry Builder'!$L$11)&gt;'Entry Builder'!$E$11)))</f>
        <v/>
      </c>
      <c r="F1781">
        <f>IF('Entry Builder'!$N$12=0,1,IF('Entry Builder'!$D$12="Less",--(INDEX(Sims!$A1781:$BO1781,'Entry Builder'!$L$12)&lt;'Entry Builder'!$E$12),--(INDEX(Sims!$A1781:$BO1781,'Entry Builder'!$L$12)&gt;'Entry Builder'!$E$12)))</f>
        <v/>
      </c>
      <c r="G1781">
        <f>6-SUM(A1781:F1781)</f>
        <v/>
      </c>
    </row>
    <row r="1782">
      <c r="A1782">
        <f>IF('Entry Builder'!$N$7=0,1,IF('Entry Builder'!$D$7="Less",--(INDEX(Sims!$A1782:$BO1782,'Entry Builder'!$L$7)&lt;'Entry Builder'!$E$7),--(INDEX(Sims!$A1782:$BO1782,'Entry Builder'!$L$7)&gt;'Entry Builder'!$E$7)))</f>
        <v/>
      </c>
      <c r="B1782">
        <f>IF('Entry Builder'!$N$8=0,1,IF('Entry Builder'!$D$8="Less",--(INDEX(Sims!$A1782:$BO1782,'Entry Builder'!$L$8)&lt;'Entry Builder'!$E$8),--(INDEX(Sims!$A1782:$BO1782,'Entry Builder'!$L$8)&gt;'Entry Builder'!$E$8)))</f>
        <v/>
      </c>
      <c r="C1782">
        <f>IF('Entry Builder'!$N$9=0,1,IF('Entry Builder'!$D$9="Less",--(INDEX(Sims!$A1782:$BO1782,'Entry Builder'!$L$9)&lt;'Entry Builder'!$E$9),--(INDEX(Sims!$A1782:$BO1782,'Entry Builder'!$L$9)&gt;'Entry Builder'!$E$9)))</f>
        <v/>
      </c>
      <c r="D1782">
        <f>IF('Entry Builder'!$N$10=0,1,IF('Entry Builder'!$D$10="Less",--(INDEX(Sims!$A1782:$BO1782,'Entry Builder'!$L$10)&lt;'Entry Builder'!$E$10),--(INDEX(Sims!$A1782:$BO1782,'Entry Builder'!$L$10)&gt;'Entry Builder'!$E$10)))</f>
        <v/>
      </c>
      <c r="E1782">
        <f>IF('Entry Builder'!$N$11=0,1,IF('Entry Builder'!$D$11="Less",--(INDEX(Sims!$A1782:$BO1782,'Entry Builder'!$L$11)&lt;'Entry Builder'!$E$11),--(INDEX(Sims!$A1782:$BO1782,'Entry Builder'!$L$11)&gt;'Entry Builder'!$E$11)))</f>
        <v/>
      </c>
      <c r="F1782">
        <f>IF('Entry Builder'!$N$12=0,1,IF('Entry Builder'!$D$12="Less",--(INDEX(Sims!$A1782:$BO1782,'Entry Builder'!$L$12)&lt;'Entry Builder'!$E$12),--(INDEX(Sims!$A1782:$BO1782,'Entry Builder'!$L$12)&gt;'Entry Builder'!$E$12)))</f>
        <v/>
      </c>
      <c r="G1782">
        <f>6-SUM(A1782:F1782)</f>
        <v/>
      </c>
    </row>
    <row r="1783">
      <c r="A1783">
        <f>IF('Entry Builder'!$N$7=0,1,IF('Entry Builder'!$D$7="Less",--(INDEX(Sims!$A1783:$BO1783,'Entry Builder'!$L$7)&lt;'Entry Builder'!$E$7),--(INDEX(Sims!$A1783:$BO1783,'Entry Builder'!$L$7)&gt;'Entry Builder'!$E$7)))</f>
        <v/>
      </c>
      <c r="B1783">
        <f>IF('Entry Builder'!$N$8=0,1,IF('Entry Builder'!$D$8="Less",--(INDEX(Sims!$A1783:$BO1783,'Entry Builder'!$L$8)&lt;'Entry Builder'!$E$8),--(INDEX(Sims!$A1783:$BO1783,'Entry Builder'!$L$8)&gt;'Entry Builder'!$E$8)))</f>
        <v/>
      </c>
      <c r="C1783">
        <f>IF('Entry Builder'!$N$9=0,1,IF('Entry Builder'!$D$9="Less",--(INDEX(Sims!$A1783:$BO1783,'Entry Builder'!$L$9)&lt;'Entry Builder'!$E$9),--(INDEX(Sims!$A1783:$BO1783,'Entry Builder'!$L$9)&gt;'Entry Builder'!$E$9)))</f>
        <v/>
      </c>
      <c r="D1783">
        <f>IF('Entry Builder'!$N$10=0,1,IF('Entry Builder'!$D$10="Less",--(INDEX(Sims!$A1783:$BO1783,'Entry Builder'!$L$10)&lt;'Entry Builder'!$E$10),--(INDEX(Sims!$A1783:$BO1783,'Entry Builder'!$L$10)&gt;'Entry Builder'!$E$10)))</f>
        <v/>
      </c>
      <c r="E1783">
        <f>IF('Entry Builder'!$N$11=0,1,IF('Entry Builder'!$D$11="Less",--(INDEX(Sims!$A1783:$BO1783,'Entry Builder'!$L$11)&lt;'Entry Builder'!$E$11),--(INDEX(Sims!$A1783:$BO1783,'Entry Builder'!$L$11)&gt;'Entry Builder'!$E$11)))</f>
        <v/>
      </c>
      <c r="F1783">
        <f>IF('Entry Builder'!$N$12=0,1,IF('Entry Builder'!$D$12="Less",--(INDEX(Sims!$A1783:$BO1783,'Entry Builder'!$L$12)&lt;'Entry Builder'!$E$12),--(INDEX(Sims!$A1783:$BO1783,'Entry Builder'!$L$12)&gt;'Entry Builder'!$E$12)))</f>
        <v/>
      </c>
      <c r="G1783">
        <f>6-SUM(A1783:F1783)</f>
        <v/>
      </c>
    </row>
    <row r="1784">
      <c r="A1784">
        <f>IF('Entry Builder'!$N$7=0,1,IF('Entry Builder'!$D$7="Less",--(INDEX(Sims!$A1784:$BO1784,'Entry Builder'!$L$7)&lt;'Entry Builder'!$E$7),--(INDEX(Sims!$A1784:$BO1784,'Entry Builder'!$L$7)&gt;'Entry Builder'!$E$7)))</f>
        <v/>
      </c>
      <c r="B1784">
        <f>IF('Entry Builder'!$N$8=0,1,IF('Entry Builder'!$D$8="Less",--(INDEX(Sims!$A1784:$BO1784,'Entry Builder'!$L$8)&lt;'Entry Builder'!$E$8),--(INDEX(Sims!$A1784:$BO1784,'Entry Builder'!$L$8)&gt;'Entry Builder'!$E$8)))</f>
        <v/>
      </c>
      <c r="C1784">
        <f>IF('Entry Builder'!$N$9=0,1,IF('Entry Builder'!$D$9="Less",--(INDEX(Sims!$A1784:$BO1784,'Entry Builder'!$L$9)&lt;'Entry Builder'!$E$9),--(INDEX(Sims!$A1784:$BO1784,'Entry Builder'!$L$9)&gt;'Entry Builder'!$E$9)))</f>
        <v/>
      </c>
      <c r="D1784">
        <f>IF('Entry Builder'!$N$10=0,1,IF('Entry Builder'!$D$10="Less",--(INDEX(Sims!$A1784:$BO1784,'Entry Builder'!$L$10)&lt;'Entry Builder'!$E$10),--(INDEX(Sims!$A1784:$BO1784,'Entry Builder'!$L$10)&gt;'Entry Builder'!$E$10)))</f>
        <v/>
      </c>
      <c r="E1784">
        <f>IF('Entry Builder'!$N$11=0,1,IF('Entry Builder'!$D$11="Less",--(INDEX(Sims!$A1784:$BO1784,'Entry Builder'!$L$11)&lt;'Entry Builder'!$E$11),--(INDEX(Sims!$A1784:$BO1784,'Entry Builder'!$L$11)&gt;'Entry Builder'!$E$11)))</f>
        <v/>
      </c>
      <c r="F1784">
        <f>IF('Entry Builder'!$N$12=0,1,IF('Entry Builder'!$D$12="Less",--(INDEX(Sims!$A1784:$BO1784,'Entry Builder'!$L$12)&lt;'Entry Builder'!$E$12),--(INDEX(Sims!$A1784:$BO1784,'Entry Builder'!$L$12)&gt;'Entry Builder'!$E$12)))</f>
        <v/>
      </c>
      <c r="G1784">
        <f>6-SUM(A1784:F1784)</f>
        <v/>
      </c>
    </row>
    <row r="1785">
      <c r="A1785">
        <f>IF('Entry Builder'!$N$7=0,1,IF('Entry Builder'!$D$7="Less",--(INDEX(Sims!$A1785:$BO1785,'Entry Builder'!$L$7)&lt;'Entry Builder'!$E$7),--(INDEX(Sims!$A1785:$BO1785,'Entry Builder'!$L$7)&gt;'Entry Builder'!$E$7)))</f>
        <v/>
      </c>
      <c r="B1785">
        <f>IF('Entry Builder'!$N$8=0,1,IF('Entry Builder'!$D$8="Less",--(INDEX(Sims!$A1785:$BO1785,'Entry Builder'!$L$8)&lt;'Entry Builder'!$E$8),--(INDEX(Sims!$A1785:$BO1785,'Entry Builder'!$L$8)&gt;'Entry Builder'!$E$8)))</f>
        <v/>
      </c>
      <c r="C1785">
        <f>IF('Entry Builder'!$N$9=0,1,IF('Entry Builder'!$D$9="Less",--(INDEX(Sims!$A1785:$BO1785,'Entry Builder'!$L$9)&lt;'Entry Builder'!$E$9),--(INDEX(Sims!$A1785:$BO1785,'Entry Builder'!$L$9)&gt;'Entry Builder'!$E$9)))</f>
        <v/>
      </c>
      <c r="D1785">
        <f>IF('Entry Builder'!$N$10=0,1,IF('Entry Builder'!$D$10="Less",--(INDEX(Sims!$A1785:$BO1785,'Entry Builder'!$L$10)&lt;'Entry Builder'!$E$10),--(INDEX(Sims!$A1785:$BO1785,'Entry Builder'!$L$10)&gt;'Entry Builder'!$E$10)))</f>
        <v/>
      </c>
      <c r="E1785">
        <f>IF('Entry Builder'!$N$11=0,1,IF('Entry Builder'!$D$11="Less",--(INDEX(Sims!$A1785:$BO1785,'Entry Builder'!$L$11)&lt;'Entry Builder'!$E$11),--(INDEX(Sims!$A1785:$BO1785,'Entry Builder'!$L$11)&gt;'Entry Builder'!$E$11)))</f>
        <v/>
      </c>
      <c r="F1785">
        <f>IF('Entry Builder'!$N$12=0,1,IF('Entry Builder'!$D$12="Less",--(INDEX(Sims!$A1785:$BO1785,'Entry Builder'!$L$12)&lt;'Entry Builder'!$E$12),--(INDEX(Sims!$A1785:$BO1785,'Entry Builder'!$L$12)&gt;'Entry Builder'!$E$12)))</f>
        <v/>
      </c>
      <c r="G1785">
        <f>6-SUM(A1785:F1785)</f>
        <v/>
      </c>
    </row>
    <row r="1786">
      <c r="A1786">
        <f>IF('Entry Builder'!$N$7=0,1,IF('Entry Builder'!$D$7="Less",--(INDEX(Sims!$A1786:$BO1786,'Entry Builder'!$L$7)&lt;'Entry Builder'!$E$7),--(INDEX(Sims!$A1786:$BO1786,'Entry Builder'!$L$7)&gt;'Entry Builder'!$E$7)))</f>
        <v/>
      </c>
      <c r="B1786">
        <f>IF('Entry Builder'!$N$8=0,1,IF('Entry Builder'!$D$8="Less",--(INDEX(Sims!$A1786:$BO1786,'Entry Builder'!$L$8)&lt;'Entry Builder'!$E$8),--(INDEX(Sims!$A1786:$BO1786,'Entry Builder'!$L$8)&gt;'Entry Builder'!$E$8)))</f>
        <v/>
      </c>
      <c r="C1786">
        <f>IF('Entry Builder'!$N$9=0,1,IF('Entry Builder'!$D$9="Less",--(INDEX(Sims!$A1786:$BO1786,'Entry Builder'!$L$9)&lt;'Entry Builder'!$E$9),--(INDEX(Sims!$A1786:$BO1786,'Entry Builder'!$L$9)&gt;'Entry Builder'!$E$9)))</f>
        <v/>
      </c>
      <c r="D1786">
        <f>IF('Entry Builder'!$N$10=0,1,IF('Entry Builder'!$D$10="Less",--(INDEX(Sims!$A1786:$BO1786,'Entry Builder'!$L$10)&lt;'Entry Builder'!$E$10),--(INDEX(Sims!$A1786:$BO1786,'Entry Builder'!$L$10)&gt;'Entry Builder'!$E$10)))</f>
        <v/>
      </c>
      <c r="E1786">
        <f>IF('Entry Builder'!$N$11=0,1,IF('Entry Builder'!$D$11="Less",--(INDEX(Sims!$A1786:$BO1786,'Entry Builder'!$L$11)&lt;'Entry Builder'!$E$11),--(INDEX(Sims!$A1786:$BO1786,'Entry Builder'!$L$11)&gt;'Entry Builder'!$E$11)))</f>
        <v/>
      </c>
      <c r="F1786">
        <f>IF('Entry Builder'!$N$12=0,1,IF('Entry Builder'!$D$12="Less",--(INDEX(Sims!$A1786:$BO1786,'Entry Builder'!$L$12)&lt;'Entry Builder'!$E$12),--(INDEX(Sims!$A1786:$BO1786,'Entry Builder'!$L$12)&gt;'Entry Builder'!$E$12)))</f>
        <v/>
      </c>
      <c r="G1786">
        <f>6-SUM(A1786:F1786)</f>
        <v/>
      </c>
    </row>
    <row r="1787">
      <c r="A1787">
        <f>IF('Entry Builder'!$N$7=0,1,IF('Entry Builder'!$D$7="Less",--(INDEX(Sims!$A1787:$BO1787,'Entry Builder'!$L$7)&lt;'Entry Builder'!$E$7),--(INDEX(Sims!$A1787:$BO1787,'Entry Builder'!$L$7)&gt;'Entry Builder'!$E$7)))</f>
        <v/>
      </c>
      <c r="B1787">
        <f>IF('Entry Builder'!$N$8=0,1,IF('Entry Builder'!$D$8="Less",--(INDEX(Sims!$A1787:$BO1787,'Entry Builder'!$L$8)&lt;'Entry Builder'!$E$8),--(INDEX(Sims!$A1787:$BO1787,'Entry Builder'!$L$8)&gt;'Entry Builder'!$E$8)))</f>
        <v/>
      </c>
      <c r="C1787">
        <f>IF('Entry Builder'!$N$9=0,1,IF('Entry Builder'!$D$9="Less",--(INDEX(Sims!$A1787:$BO1787,'Entry Builder'!$L$9)&lt;'Entry Builder'!$E$9),--(INDEX(Sims!$A1787:$BO1787,'Entry Builder'!$L$9)&gt;'Entry Builder'!$E$9)))</f>
        <v/>
      </c>
      <c r="D1787">
        <f>IF('Entry Builder'!$N$10=0,1,IF('Entry Builder'!$D$10="Less",--(INDEX(Sims!$A1787:$BO1787,'Entry Builder'!$L$10)&lt;'Entry Builder'!$E$10),--(INDEX(Sims!$A1787:$BO1787,'Entry Builder'!$L$10)&gt;'Entry Builder'!$E$10)))</f>
        <v/>
      </c>
      <c r="E1787">
        <f>IF('Entry Builder'!$N$11=0,1,IF('Entry Builder'!$D$11="Less",--(INDEX(Sims!$A1787:$BO1787,'Entry Builder'!$L$11)&lt;'Entry Builder'!$E$11),--(INDEX(Sims!$A1787:$BO1787,'Entry Builder'!$L$11)&gt;'Entry Builder'!$E$11)))</f>
        <v/>
      </c>
      <c r="F1787">
        <f>IF('Entry Builder'!$N$12=0,1,IF('Entry Builder'!$D$12="Less",--(INDEX(Sims!$A1787:$BO1787,'Entry Builder'!$L$12)&lt;'Entry Builder'!$E$12),--(INDEX(Sims!$A1787:$BO1787,'Entry Builder'!$L$12)&gt;'Entry Builder'!$E$12)))</f>
        <v/>
      </c>
      <c r="G1787">
        <f>6-SUM(A1787:F1787)</f>
        <v/>
      </c>
    </row>
    <row r="1788">
      <c r="A1788">
        <f>IF('Entry Builder'!$N$7=0,1,IF('Entry Builder'!$D$7="Less",--(INDEX(Sims!$A1788:$BO1788,'Entry Builder'!$L$7)&lt;'Entry Builder'!$E$7),--(INDEX(Sims!$A1788:$BO1788,'Entry Builder'!$L$7)&gt;'Entry Builder'!$E$7)))</f>
        <v/>
      </c>
      <c r="B1788">
        <f>IF('Entry Builder'!$N$8=0,1,IF('Entry Builder'!$D$8="Less",--(INDEX(Sims!$A1788:$BO1788,'Entry Builder'!$L$8)&lt;'Entry Builder'!$E$8),--(INDEX(Sims!$A1788:$BO1788,'Entry Builder'!$L$8)&gt;'Entry Builder'!$E$8)))</f>
        <v/>
      </c>
      <c r="C1788">
        <f>IF('Entry Builder'!$N$9=0,1,IF('Entry Builder'!$D$9="Less",--(INDEX(Sims!$A1788:$BO1788,'Entry Builder'!$L$9)&lt;'Entry Builder'!$E$9),--(INDEX(Sims!$A1788:$BO1788,'Entry Builder'!$L$9)&gt;'Entry Builder'!$E$9)))</f>
        <v/>
      </c>
      <c r="D1788">
        <f>IF('Entry Builder'!$N$10=0,1,IF('Entry Builder'!$D$10="Less",--(INDEX(Sims!$A1788:$BO1788,'Entry Builder'!$L$10)&lt;'Entry Builder'!$E$10),--(INDEX(Sims!$A1788:$BO1788,'Entry Builder'!$L$10)&gt;'Entry Builder'!$E$10)))</f>
        <v/>
      </c>
      <c r="E1788">
        <f>IF('Entry Builder'!$N$11=0,1,IF('Entry Builder'!$D$11="Less",--(INDEX(Sims!$A1788:$BO1788,'Entry Builder'!$L$11)&lt;'Entry Builder'!$E$11),--(INDEX(Sims!$A1788:$BO1788,'Entry Builder'!$L$11)&gt;'Entry Builder'!$E$11)))</f>
        <v/>
      </c>
      <c r="F1788">
        <f>IF('Entry Builder'!$N$12=0,1,IF('Entry Builder'!$D$12="Less",--(INDEX(Sims!$A1788:$BO1788,'Entry Builder'!$L$12)&lt;'Entry Builder'!$E$12),--(INDEX(Sims!$A1788:$BO1788,'Entry Builder'!$L$12)&gt;'Entry Builder'!$E$12)))</f>
        <v/>
      </c>
      <c r="G1788">
        <f>6-SUM(A1788:F1788)</f>
        <v/>
      </c>
    </row>
    <row r="1789">
      <c r="A1789">
        <f>IF('Entry Builder'!$N$7=0,1,IF('Entry Builder'!$D$7="Less",--(INDEX(Sims!$A1789:$BO1789,'Entry Builder'!$L$7)&lt;'Entry Builder'!$E$7),--(INDEX(Sims!$A1789:$BO1789,'Entry Builder'!$L$7)&gt;'Entry Builder'!$E$7)))</f>
        <v/>
      </c>
      <c r="B1789">
        <f>IF('Entry Builder'!$N$8=0,1,IF('Entry Builder'!$D$8="Less",--(INDEX(Sims!$A1789:$BO1789,'Entry Builder'!$L$8)&lt;'Entry Builder'!$E$8),--(INDEX(Sims!$A1789:$BO1789,'Entry Builder'!$L$8)&gt;'Entry Builder'!$E$8)))</f>
        <v/>
      </c>
      <c r="C1789">
        <f>IF('Entry Builder'!$N$9=0,1,IF('Entry Builder'!$D$9="Less",--(INDEX(Sims!$A1789:$BO1789,'Entry Builder'!$L$9)&lt;'Entry Builder'!$E$9),--(INDEX(Sims!$A1789:$BO1789,'Entry Builder'!$L$9)&gt;'Entry Builder'!$E$9)))</f>
        <v/>
      </c>
      <c r="D1789">
        <f>IF('Entry Builder'!$N$10=0,1,IF('Entry Builder'!$D$10="Less",--(INDEX(Sims!$A1789:$BO1789,'Entry Builder'!$L$10)&lt;'Entry Builder'!$E$10),--(INDEX(Sims!$A1789:$BO1789,'Entry Builder'!$L$10)&gt;'Entry Builder'!$E$10)))</f>
        <v/>
      </c>
      <c r="E1789">
        <f>IF('Entry Builder'!$N$11=0,1,IF('Entry Builder'!$D$11="Less",--(INDEX(Sims!$A1789:$BO1789,'Entry Builder'!$L$11)&lt;'Entry Builder'!$E$11),--(INDEX(Sims!$A1789:$BO1789,'Entry Builder'!$L$11)&gt;'Entry Builder'!$E$11)))</f>
        <v/>
      </c>
      <c r="F1789">
        <f>IF('Entry Builder'!$N$12=0,1,IF('Entry Builder'!$D$12="Less",--(INDEX(Sims!$A1789:$BO1789,'Entry Builder'!$L$12)&lt;'Entry Builder'!$E$12),--(INDEX(Sims!$A1789:$BO1789,'Entry Builder'!$L$12)&gt;'Entry Builder'!$E$12)))</f>
        <v/>
      </c>
      <c r="G1789">
        <f>6-SUM(A1789:F1789)</f>
        <v/>
      </c>
    </row>
    <row r="1790">
      <c r="A1790">
        <f>IF('Entry Builder'!$N$7=0,1,IF('Entry Builder'!$D$7="Less",--(INDEX(Sims!$A1790:$BO1790,'Entry Builder'!$L$7)&lt;'Entry Builder'!$E$7),--(INDEX(Sims!$A1790:$BO1790,'Entry Builder'!$L$7)&gt;'Entry Builder'!$E$7)))</f>
        <v/>
      </c>
      <c r="B1790">
        <f>IF('Entry Builder'!$N$8=0,1,IF('Entry Builder'!$D$8="Less",--(INDEX(Sims!$A1790:$BO1790,'Entry Builder'!$L$8)&lt;'Entry Builder'!$E$8),--(INDEX(Sims!$A1790:$BO1790,'Entry Builder'!$L$8)&gt;'Entry Builder'!$E$8)))</f>
        <v/>
      </c>
      <c r="C1790">
        <f>IF('Entry Builder'!$N$9=0,1,IF('Entry Builder'!$D$9="Less",--(INDEX(Sims!$A1790:$BO1790,'Entry Builder'!$L$9)&lt;'Entry Builder'!$E$9),--(INDEX(Sims!$A1790:$BO1790,'Entry Builder'!$L$9)&gt;'Entry Builder'!$E$9)))</f>
        <v/>
      </c>
      <c r="D1790">
        <f>IF('Entry Builder'!$N$10=0,1,IF('Entry Builder'!$D$10="Less",--(INDEX(Sims!$A1790:$BO1790,'Entry Builder'!$L$10)&lt;'Entry Builder'!$E$10),--(INDEX(Sims!$A1790:$BO1790,'Entry Builder'!$L$10)&gt;'Entry Builder'!$E$10)))</f>
        <v/>
      </c>
      <c r="E1790">
        <f>IF('Entry Builder'!$N$11=0,1,IF('Entry Builder'!$D$11="Less",--(INDEX(Sims!$A1790:$BO1790,'Entry Builder'!$L$11)&lt;'Entry Builder'!$E$11),--(INDEX(Sims!$A1790:$BO1790,'Entry Builder'!$L$11)&gt;'Entry Builder'!$E$11)))</f>
        <v/>
      </c>
      <c r="F1790">
        <f>IF('Entry Builder'!$N$12=0,1,IF('Entry Builder'!$D$12="Less",--(INDEX(Sims!$A1790:$BO1790,'Entry Builder'!$L$12)&lt;'Entry Builder'!$E$12),--(INDEX(Sims!$A1790:$BO1790,'Entry Builder'!$L$12)&gt;'Entry Builder'!$E$12)))</f>
        <v/>
      </c>
      <c r="G1790">
        <f>6-SUM(A1790:F1790)</f>
        <v/>
      </c>
    </row>
    <row r="1791">
      <c r="A1791">
        <f>IF('Entry Builder'!$N$7=0,1,IF('Entry Builder'!$D$7="Less",--(INDEX(Sims!$A1791:$BO1791,'Entry Builder'!$L$7)&lt;'Entry Builder'!$E$7),--(INDEX(Sims!$A1791:$BO1791,'Entry Builder'!$L$7)&gt;'Entry Builder'!$E$7)))</f>
        <v/>
      </c>
      <c r="B1791">
        <f>IF('Entry Builder'!$N$8=0,1,IF('Entry Builder'!$D$8="Less",--(INDEX(Sims!$A1791:$BO1791,'Entry Builder'!$L$8)&lt;'Entry Builder'!$E$8),--(INDEX(Sims!$A1791:$BO1791,'Entry Builder'!$L$8)&gt;'Entry Builder'!$E$8)))</f>
        <v/>
      </c>
      <c r="C1791">
        <f>IF('Entry Builder'!$N$9=0,1,IF('Entry Builder'!$D$9="Less",--(INDEX(Sims!$A1791:$BO1791,'Entry Builder'!$L$9)&lt;'Entry Builder'!$E$9),--(INDEX(Sims!$A1791:$BO1791,'Entry Builder'!$L$9)&gt;'Entry Builder'!$E$9)))</f>
        <v/>
      </c>
      <c r="D1791">
        <f>IF('Entry Builder'!$N$10=0,1,IF('Entry Builder'!$D$10="Less",--(INDEX(Sims!$A1791:$BO1791,'Entry Builder'!$L$10)&lt;'Entry Builder'!$E$10),--(INDEX(Sims!$A1791:$BO1791,'Entry Builder'!$L$10)&gt;'Entry Builder'!$E$10)))</f>
        <v/>
      </c>
      <c r="E1791">
        <f>IF('Entry Builder'!$N$11=0,1,IF('Entry Builder'!$D$11="Less",--(INDEX(Sims!$A1791:$BO1791,'Entry Builder'!$L$11)&lt;'Entry Builder'!$E$11),--(INDEX(Sims!$A1791:$BO1791,'Entry Builder'!$L$11)&gt;'Entry Builder'!$E$11)))</f>
        <v/>
      </c>
      <c r="F1791">
        <f>IF('Entry Builder'!$N$12=0,1,IF('Entry Builder'!$D$12="Less",--(INDEX(Sims!$A1791:$BO1791,'Entry Builder'!$L$12)&lt;'Entry Builder'!$E$12),--(INDEX(Sims!$A1791:$BO1791,'Entry Builder'!$L$12)&gt;'Entry Builder'!$E$12)))</f>
        <v/>
      </c>
      <c r="G1791">
        <f>6-SUM(A1791:F1791)</f>
        <v/>
      </c>
    </row>
    <row r="1792">
      <c r="A1792">
        <f>IF('Entry Builder'!$N$7=0,1,IF('Entry Builder'!$D$7="Less",--(INDEX(Sims!$A1792:$BO1792,'Entry Builder'!$L$7)&lt;'Entry Builder'!$E$7),--(INDEX(Sims!$A1792:$BO1792,'Entry Builder'!$L$7)&gt;'Entry Builder'!$E$7)))</f>
        <v/>
      </c>
      <c r="B1792">
        <f>IF('Entry Builder'!$N$8=0,1,IF('Entry Builder'!$D$8="Less",--(INDEX(Sims!$A1792:$BO1792,'Entry Builder'!$L$8)&lt;'Entry Builder'!$E$8),--(INDEX(Sims!$A1792:$BO1792,'Entry Builder'!$L$8)&gt;'Entry Builder'!$E$8)))</f>
        <v/>
      </c>
      <c r="C1792">
        <f>IF('Entry Builder'!$N$9=0,1,IF('Entry Builder'!$D$9="Less",--(INDEX(Sims!$A1792:$BO1792,'Entry Builder'!$L$9)&lt;'Entry Builder'!$E$9),--(INDEX(Sims!$A1792:$BO1792,'Entry Builder'!$L$9)&gt;'Entry Builder'!$E$9)))</f>
        <v/>
      </c>
      <c r="D1792">
        <f>IF('Entry Builder'!$N$10=0,1,IF('Entry Builder'!$D$10="Less",--(INDEX(Sims!$A1792:$BO1792,'Entry Builder'!$L$10)&lt;'Entry Builder'!$E$10),--(INDEX(Sims!$A1792:$BO1792,'Entry Builder'!$L$10)&gt;'Entry Builder'!$E$10)))</f>
        <v/>
      </c>
      <c r="E1792">
        <f>IF('Entry Builder'!$N$11=0,1,IF('Entry Builder'!$D$11="Less",--(INDEX(Sims!$A1792:$BO1792,'Entry Builder'!$L$11)&lt;'Entry Builder'!$E$11),--(INDEX(Sims!$A1792:$BO1792,'Entry Builder'!$L$11)&gt;'Entry Builder'!$E$11)))</f>
        <v/>
      </c>
      <c r="F1792">
        <f>IF('Entry Builder'!$N$12=0,1,IF('Entry Builder'!$D$12="Less",--(INDEX(Sims!$A1792:$BO1792,'Entry Builder'!$L$12)&lt;'Entry Builder'!$E$12),--(INDEX(Sims!$A1792:$BO1792,'Entry Builder'!$L$12)&gt;'Entry Builder'!$E$12)))</f>
        <v/>
      </c>
      <c r="G1792">
        <f>6-SUM(A1792:F1792)</f>
        <v/>
      </c>
    </row>
    <row r="1793">
      <c r="A1793">
        <f>IF('Entry Builder'!$N$7=0,1,IF('Entry Builder'!$D$7="Less",--(INDEX(Sims!$A1793:$BO1793,'Entry Builder'!$L$7)&lt;'Entry Builder'!$E$7),--(INDEX(Sims!$A1793:$BO1793,'Entry Builder'!$L$7)&gt;'Entry Builder'!$E$7)))</f>
        <v/>
      </c>
      <c r="B1793">
        <f>IF('Entry Builder'!$N$8=0,1,IF('Entry Builder'!$D$8="Less",--(INDEX(Sims!$A1793:$BO1793,'Entry Builder'!$L$8)&lt;'Entry Builder'!$E$8),--(INDEX(Sims!$A1793:$BO1793,'Entry Builder'!$L$8)&gt;'Entry Builder'!$E$8)))</f>
        <v/>
      </c>
      <c r="C1793">
        <f>IF('Entry Builder'!$N$9=0,1,IF('Entry Builder'!$D$9="Less",--(INDEX(Sims!$A1793:$BO1793,'Entry Builder'!$L$9)&lt;'Entry Builder'!$E$9),--(INDEX(Sims!$A1793:$BO1793,'Entry Builder'!$L$9)&gt;'Entry Builder'!$E$9)))</f>
        <v/>
      </c>
      <c r="D1793">
        <f>IF('Entry Builder'!$N$10=0,1,IF('Entry Builder'!$D$10="Less",--(INDEX(Sims!$A1793:$BO1793,'Entry Builder'!$L$10)&lt;'Entry Builder'!$E$10),--(INDEX(Sims!$A1793:$BO1793,'Entry Builder'!$L$10)&gt;'Entry Builder'!$E$10)))</f>
        <v/>
      </c>
      <c r="E1793">
        <f>IF('Entry Builder'!$N$11=0,1,IF('Entry Builder'!$D$11="Less",--(INDEX(Sims!$A1793:$BO1793,'Entry Builder'!$L$11)&lt;'Entry Builder'!$E$11),--(INDEX(Sims!$A1793:$BO1793,'Entry Builder'!$L$11)&gt;'Entry Builder'!$E$11)))</f>
        <v/>
      </c>
      <c r="F1793">
        <f>IF('Entry Builder'!$N$12=0,1,IF('Entry Builder'!$D$12="Less",--(INDEX(Sims!$A1793:$BO1793,'Entry Builder'!$L$12)&lt;'Entry Builder'!$E$12),--(INDEX(Sims!$A1793:$BO1793,'Entry Builder'!$L$12)&gt;'Entry Builder'!$E$12)))</f>
        <v/>
      </c>
      <c r="G1793">
        <f>6-SUM(A1793:F1793)</f>
        <v/>
      </c>
    </row>
    <row r="1794">
      <c r="A1794">
        <f>IF('Entry Builder'!$N$7=0,1,IF('Entry Builder'!$D$7="Less",--(INDEX(Sims!$A1794:$BO1794,'Entry Builder'!$L$7)&lt;'Entry Builder'!$E$7),--(INDEX(Sims!$A1794:$BO1794,'Entry Builder'!$L$7)&gt;'Entry Builder'!$E$7)))</f>
        <v/>
      </c>
      <c r="B1794">
        <f>IF('Entry Builder'!$N$8=0,1,IF('Entry Builder'!$D$8="Less",--(INDEX(Sims!$A1794:$BO1794,'Entry Builder'!$L$8)&lt;'Entry Builder'!$E$8),--(INDEX(Sims!$A1794:$BO1794,'Entry Builder'!$L$8)&gt;'Entry Builder'!$E$8)))</f>
        <v/>
      </c>
      <c r="C1794">
        <f>IF('Entry Builder'!$N$9=0,1,IF('Entry Builder'!$D$9="Less",--(INDEX(Sims!$A1794:$BO1794,'Entry Builder'!$L$9)&lt;'Entry Builder'!$E$9),--(INDEX(Sims!$A1794:$BO1794,'Entry Builder'!$L$9)&gt;'Entry Builder'!$E$9)))</f>
        <v/>
      </c>
      <c r="D1794">
        <f>IF('Entry Builder'!$N$10=0,1,IF('Entry Builder'!$D$10="Less",--(INDEX(Sims!$A1794:$BO1794,'Entry Builder'!$L$10)&lt;'Entry Builder'!$E$10),--(INDEX(Sims!$A1794:$BO1794,'Entry Builder'!$L$10)&gt;'Entry Builder'!$E$10)))</f>
        <v/>
      </c>
      <c r="E1794">
        <f>IF('Entry Builder'!$N$11=0,1,IF('Entry Builder'!$D$11="Less",--(INDEX(Sims!$A1794:$BO1794,'Entry Builder'!$L$11)&lt;'Entry Builder'!$E$11),--(INDEX(Sims!$A1794:$BO1794,'Entry Builder'!$L$11)&gt;'Entry Builder'!$E$11)))</f>
        <v/>
      </c>
      <c r="F1794">
        <f>IF('Entry Builder'!$N$12=0,1,IF('Entry Builder'!$D$12="Less",--(INDEX(Sims!$A1794:$BO1794,'Entry Builder'!$L$12)&lt;'Entry Builder'!$E$12),--(INDEX(Sims!$A1794:$BO1794,'Entry Builder'!$L$12)&gt;'Entry Builder'!$E$12)))</f>
        <v/>
      </c>
      <c r="G1794">
        <f>6-SUM(A1794:F1794)</f>
        <v/>
      </c>
    </row>
    <row r="1795">
      <c r="A1795">
        <f>IF('Entry Builder'!$N$7=0,1,IF('Entry Builder'!$D$7="Less",--(INDEX(Sims!$A1795:$BO1795,'Entry Builder'!$L$7)&lt;'Entry Builder'!$E$7),--(INDEX(Sims!$A1795:$BO1795,'Entry Builder'!$L$7)&gt;'Entry Builder'!$E$7)))</f>
        <v/>
      </c>
      <c r="B1795">
        <f>IF('Entry Builder'!$N$8=0,1,IF('Entry Builder'!$D$8="Less",--(INDEX(Sims!$A1795:$BO1795,'Entry Builder'!$L$8)&lt;'Entry Builder'!$E$8),--(INDEX(Sims!$A1795:$BO1795,'Entry Builder'!$L$8)&gt;'Entry Builder'!$E$8)))</f>
        <v/>
      </c>
      <c r="C1795">
        <f>IF('Entry Builder'!$N$9=0,1,IF('Entry Builder'!$D$9="Less",--(INDEX(Sims!$A1795:$BO1795,'Entry Builder'!$L$9)&lt;'Entry Builder'!$E$9),--(INDEX(Sims!$A1795:$BO1795,'Entry Builder'!$L$9)&gt;'Entry Builder'!$E$9)))</f>
        <v/>
      </c>
      <c r="D1795">
        <f>IF('Entry Builder'!$N$10=0,1,IF('Entry Builder'!$D$10="Less",--(INDEX(Sims!$A1795:$BO1795,'Entry Builder'!$L$10)&lt;'Entry Builder'!$E$10),--(INDEX(Sims!$A1795:$BO1795,'Entry Builder'!$L$10)&gt;'Entry Builder'!$E$10)))</f>
        <v/>
      </c>
      <c r="E1795">
        <f>IF('Entry Builder'!$N$11=0,1,IF('Entry Builder'!$D$11="Less",--(INDEX(Sims!$A1795:$BO1795,'Entry Builder'!$L$11)&lt;'Entry Builder'!$E$11),--(INDEX(Sims!$A1795:$BO1795,'Entry Builder'!$L$11)&gt;'Entry Builder'!$E$11)))</f>
        <v/>
      </c>
      <c r="F1795">
        <f>IF('Entry Builder'!$N$12=0,1,IF('Entry Builder'!$D$12="Less",--(INDEX(Sims!$A1795:$BO1795,'Entry Builder'!$L$12)&lt;'Entry Builder'!$E$12),--(INDEX(Sims!$A1795:$BO1795,'Entry Builder'!$L$12)&gt;'Entry Builder'!$E$12)))</f>
        <v/>
      </c>
      <c r="G1795">
        <f>6-SUM(A1795:F1795)</f>
        <v/>
      </c>
    </row>
    <row r="1796">
      <c r="A1796">
        <f>IF('Entry Builder'!$N$7=0,1,IF('Entry Builder'!$D$7="Less",--(INDEX(Sims!$A1796:$BO1796,'Entry Builder'!$L$7)&lt;'Entry Builder'!$E$7),--(INDEX(Sims!$A1796:$BO1796,'Entry Builder'!$L$7)&gt;'Entry Builder'!$E$7)))</f>
        <v/>
      </c>
      <c r="B1796">
        <f>IF('Entry Builder'!$N$8=0,1,IF('Entry Builder'!$D$8="Less",--(INDEX(Sims!$A1796:$BO1796,'Entry Builder'!$L$8)&lt;'Entry Builder'!$E$8),--(INDEX(Sims!$A1796:$BO1796,'Entry Builder'!$L$8)&gt;'Entry Builder'!$E$8)))</f>
        <v/>
      </c>
      <c r="C1796">
        <f>IF('Entry Builder'!$N$9=0,1,IF('Entry Builder'!$D$9="Less",--(INDEX(Sims!$A1796:$BO1796,'Entry Builder'!$L$9)&lt;'Entry Builder'!$E$9),--(INDEX(Sims!$A1796:$BO1796,'Entry Builder'!$L$9)&gt;'Entry Builder'!$E$9)))</f>
        <v/>
      </c>
      <c r="D1796">
        <f>IF('Entry Builder'!$N$10=0,1,IF('Entry Builder'!$D$10="Less",--(INDEX(Sims!$A1796:$BO1796,'Entry Builder'!$L$10)&lt;'Entry Builder'!$E$10),--(INDEX(Sims!$A1796:$BO1796,'Entry Builder'!$L$10)&gt;'Entry Builder'!$E$10)))</f>
        <v/>
      </c>
      <c r="E1796">
        <f>IF('Entry Builder'!$N$11=0,1,IF('Entry Builder'!$D$11="Less",--(INDEX(Sims!$A1796:$BO1796,'Entry Builder'!$L$11)&lt;'Entry Builder'!$E$11),--(INDEX(Sims!$A1796:$BO1796,'Entry Builder'!$L$11)&gt;'Entry Builder'!$E$11)))</f>
        <v/>
      </c>
      <c r="F1796">
        <f>IF('Entry Builder'!$N$12=0,1,IF('Entry Builder'!$D$12="Less",--(INDEX(Sims!$A1796:$BO1796,'Entry Builder'!$L$12)&lt;'Entry Builder'!$E$12),--(INDEX(Sims!$A1796:$BO1796,'Entry Builder'!$L$12)&gt;'Entry Builder'!$E$12)))</f>
        <v/>
      </c>
      <c r="G1796">
        <f>6-SUM(A1796:F1796)</f>
        <v/>
      </c>
    </row>
    <row r="1797">
      <c r="A1797">
        <f>IF('Entry Builder'!$N$7=0,1,IF('Entry Builder'!$D$7="Less",--(INDEX(Sims!$A1797:$BO1797,'Entry Builder'!$L$7)&lt;'Entry Builder'!$E$7),--(INDEX(Sims!$A1797:$BO1797,'Entry Builder'!$L$7)&gt;'Entry Builder'!$E$7)))</f>
        <v/>
      </c>
      <c r="B1797">
        <f>IF('Entry Builder'!$N$8=0,1,IF('Entry Builder'!$D$8="Less",--(INDEX(Sims!$A1797:$BO1797,'Entry Builder'!$L$8)&lt;'Entry Builder'!$E$8),--(INDEX(Sims!$A1797:$BO1797,'Entry Builder'!$L$8)&gt;'Entry Builder'!$E$8)))</f>
        <v/>
      </c>
      <c r="C1797">
        <f>IF('Entry Builder'!$N$9=0,1,IF('Entry Builder'!$D$9="Less",--(INDEX(Sims!$A1797:$BO1797,'Entry Builder'!$L$9)&lt;'Entry Builder'!$E$9),--(INDEX(Sims!$A1797:$BO1797,'Entry Builder'!$L$9)&gt;'Entry Builder'!$E$9)))</f>
        <v/>
      </c>
      <c r="D1797">
        <f>IF('Entry Builder'!$N$10=0,1,IF('Entry Builder'!$D$10="Less",--(INDEX(Sims!$A1797:$BO1797,'Entry Builder'!$L$10)&lt;'Entry Builder'!$E$10),--(INDEX(Sims!$A1797:$BO1797,'Entry Builder'!$L$10)&gt;'Entry Builder'!$E$10)))</f>
        <v/>
      </c>
      <c r="E1797">
        <f>IF('Entry Builder'!$N$11=0,1,IF('Entry Builder'!$D$11="Less",--(INDEX(Sims!$A1797:$BO1797,'Entry Builder'!$L$11)&lt;'Entry Builder'!$E$11),--(INDEX(Sims!$A1797:$BO1797,'Entry Builder'!$L$11)&gt;'Entry Builder'!$E$11)))</f>
        <v/>
      </c>
      <c r="F1797">
        <f>IF('Entry Builder'!$N$12=0,1,IF('Entry Builder'!$D$12="Less",--(INDEX(Sims!$A1797:$BO1797,'Entry Builder'!$L$12)&lt;'Entry Builder'!$E$12),--(INDEX(Sims!$A1797:$BO1797,'Entry Builder'!$L$12)&gt;'Entry Builder'!$E$12)))</f>
        <v/>
      </c>
      <c r="G1797">
        <f>6-SUM(A1797:F1797)</f>
        <v/>
      </c>
    </row>
    <row r="1798">
      <c r="A1798">
        <f>IF('Entry Builder'!$N$7=0,1,IF('Entry Builder'!$D$7="Less",--(INDEX(Sims!$A1798:$BO1798,'Entry Builder'!$L$7)&lt;'Entry Builder'!$E$7),--(INDEX(Sims!$A1798:$BO1798,'Entry Builder'!$L$7)&gt;'Entry Builder'!$E$7)))</f>
        <v/>
      </c>
      <c r="B1798">
        <f>IF('Entry Builder'!$N$8=0,1,IF('Entry Builder'!$D$8="Less",--(INDEX(Sims!$A1798:$BO1798,'Entry Builder'!$L$8)&lt;'Entry Builder'!$E$8),--(INDEX(Sims!$A1798:$BO1798,'Entry Builder'!$L$8)&gt;'Entry Builder'!$E$8)))</f>
        <v/>
      </c>
      <c r="C1798">
        <f>IF('Entry Builder'!$N$9=0,1,IF('Entry Builder'!$D$9="Less",--(INDEX(Sims!$A1798:$BO1798,'Entry Builder'!$L$9)&lt;'Entry Builder'!$E$9),--(INDEX(Sims!$A1798:$BO1798,'Entry Builder'!$L$9)&gt;'Entry Builder'!$E$9)))</f>
        <v/>
      </c>
      <c r="D1798">
        <f>IF('Entry Builder'!$N$10=0,1,IF('Entry Builder'!$D$10="Less",--(INDEX(Sims!$A1798:$BO1798,'Entry Builder'!$L$10)&lt;'Entry Builder'!$E$10),--(INDEX(Sims!$A1798:$BO1798,'Entry Builder'!$L$10)&gt;'Entry Builder'!$E$10)))</f>
        <v/>
      </c>
      <c r="E1798">
        <f>IF('Entry Builder'!$N$11=0,1,IF('Entry Builder'!$D$11="Less",--(INDEX(Sims!$A1798:$BO1798,'Entry Builder'!$L$11)&lt;'Entry Builder'!$E$11),--(INDEX(Sims!$A1798:$BO1798,'Entry Builder'!$L$11)&gt;'Entry Builder'!$E$11)))</f>
        <v/>
      </c>
      <c r="F1798">
        <f>IF('Entry Builder'!$N$12=0,1,IF('Entry Builder'!$D$12="Less",--(INDEX(Sims!$A1798:$BO1798,'Entry Builder'!$L$12)&lt;'Entry Builder'!$E$12),--(INDEX(Sims!$A1798:$BO1798,'Entry Builder'!$L$12)&gt;'Entry Builder'!$E$12)))</f>
        <v/>
      </c>
      <c r="G1798">
        <f>6-SUM(A1798:F1798)</f>
        <v/>
      </c>
    </row>
    <row r="1799">
      <c r="A1799">
        <f>IF('Entry Builder'!$N$7=0,1,IF('Entry Builder'!$D$7="Less",--(INDEX(Sims!$A1799:$BO1799,'Entry Builder'!$L$7)&lt;'Entry Builder'!$E$7),--(INDEX(Sims!$A1799:$BO1799,'Entry Builder'!$L$7)&gt;'Entry Builder'!$E$7)))</f>
        <v/>
      </c>
      <c r="B1799">
        <f>IF('Entry Builder'!$N$8=0,1,IF('Entry Builder'!$D$8="Less",--(INDEX(Sims!$A1799:$BO1799,'Entry Builder'!$L$8)&lt;'Entry Builder'!$E$8),--(INDEX(Sims!$A1799:$BO1799,'Entry Builder'!$L$8)&gt;'Entry Builder'!$E$8)))</f>
        <v/>
      </c>
      <c r="C1799">
        <f>IF('Entry Builder'!$N$9=0,1,IF('Entry Builder'!$D$9="Less",--(INDEX(Sims!$A1799:$BO1799,'Entry Builder'!$L$9)&lt;'Entry Builder'!$E$9),--(INDEX(Sims!$A1799:$BO1799,'Entry Builder'!$L$9)&gt;'Entry Builder'!$E$9)))</f>
        <v/>
      </c>
      <c r="D1799">
        <f>IF('Entry Builder'!$N$10=0,1,IF('Entry Builder'!$D$10="Less",--(INDEX(Sims!$A1799:$BO1799,'Entry Builder'!$L$10)&lt;'Entry Builder'!$E$10),--(INDEX(Sims!$A1799:$BO1799,'Entry Builder'!$L$10)&gt;'Entry Builder'!$E$10)))</f>
        <v/>
      </c>
      <c r="E1799">
        <f>IF('Entry Builder'!$N$11=0,1,IF('Entry Builder'!$D$11="Less",--(INDEX(Sims!$A1799:$BO1799,'Entry Builder'!$L$11)&lt;'Entry Builder'!$E$11),--(INDEX(Sims!$A1799:$BO1799,'Entry Builder'!$L$11)&gt;'Entry Builder'!$E$11)))</f>
        <v/>
      </c>
      <c r="F1799">
        <f>IF('Entry Builder'!$N$12=0,1,IF('Entry Builder'!$D$12="Less",--(INDEX(Sims!$A1799:$BO1799,'Entry Builder'!$L$12)&lt;'Entry Builder'!$E$12),--(INDEX(Sims!$A1799:$BO1799,'Entry Builder'!$L$12)&gt;'Entry Builder'!$E$12)))</f>
        <v/>
      </c>
      <c r="G1799">
        <f>6-SUM(A1799:F1799)</f>
        <v/>
      </c>
    </row>
    <row r="1800">
      <c r="A1800">
        <f>IF('Entry Builder'!$N$7=0,1,IF('Entry Builder'!$D$7="Less",--(INDEX(Sims!$A1800:$BO1800,'Entry Builder'!$L$7)&lt;'Entry Builder'!$E$7),--(INDEX(Sims!$A1800:$BO1800,'Entry Builder'!$L$7)&gt;'Entry Builder'!$E$7)))</f>
        <v/>
      </c>
      <c r="B1800">
        <f>IF('Entry Builder'!$N$8=0,1,IF('Entry Builder'!$D$8="Less",--(INDEX(Sims!$A1800:$BO1800,'Entry Builder'!$L$8)&lt;'Entry Builder'!$E$8),--(INDEX(Sims!$A1800:$BO1800,'Entry Builder'!$L$8)&gt;'Entry Builder'!$E$8)))</f>
        <v/>
      </c>
      <c r="C1800">
        <f>IF('Entry Builder'!$N$9=0,1,IF('Entry Builder'!$D$9="Less",--(INDEX(Sims!$A1800:$BO1800,'Entry Builder'!$L$9)&lt;'Entry Builder'!$E$9),--(INDEX(Sims!$A1800:$BO1800,'Entry Builder'!$L$9)&gt;'Entry Builder'!$E$9)))</f>
        <v/>
      </c>
      <c r="D1800">
        <f>IF('Entry Builder'!$N$10=0,1,IF('Entry Builder'!$D$10="Less",--(INDEX(Sims!$A1800:$BO1800,'Entry Builder'!$L$10)&lt;'Entry Builder'!$E$10),--(INDEX(Sims!$A1800:$BO1800,'Entry Builder'!$L$10)&gt;'Entry Builder'!$E$10)))</f>
        <v/>
      </c>
      <c r="E1800">
        <f>IF('Entry Builder'!$N$11=0,1,IF('Entry Builder'!$D$11="Less",--(INDEX(Sims!$A1800:$BO1800,'Entry Builder'!$L$11)&lt;'Entry Builder'!$E$11),--(INDEX(Sims!$A1800:$BO1800,'Entry Builder'!$L$11)&gt;'Entry Builder'!$E$11)))</f>
        <v/>
      </c>
      <c r="F1800">
        <f>IF('Entry Builder'!$N$12=0,1,IF('Entry Builder'!$D$12="Less",--(INDEX(Sims!$A1800:$BO1800,'Entry Builder'!$L$12)&lt;'Entry Builder'!$E$12),--(INDEX(Sims!$A1800:$BO1800,'Entry Builder'!$L$12)&gt;'Entry Builder'!$E$12)))</f>
        <v/>
      </c>
      <c r="G1800">
        <f>6-SUM(A1800:F1800)</f>
        <v/>
      </c>
    </row>
    <row r="1801">
      <c r="A1801">
        <f>IF('Entry Builder'!$N$7=0,1,IF('Entry Builder'!$D$7="Less",--(INDEX(Sims!$A1801:$BO1801,'Entry Builder'!$L$7)&lt;'Entry Builder'!$E$7),--(INDEX(Sims!$A1801:$BO1801,'Entry Builder'!$L$7)&gt;'Entry Builder'!$E$7)))</f>
        <v/>
      </c>
      <c r="B1801">
        <f>IF('Entry Builder'!$N$8=0,1,IF('Entry Builder'!$D$8="Less",--(INDEX(Sims!$A1801:$BO1801,'Entry Builder'!$L$8)&lt;'Entry Builder'!$E$8),--(INDEX(Sims!$A1801:$BO1801,'Entry Builder'!$L$8)&gt;'Entry Builder'!$E$8)))</f>
        <v/>
      </c>
      <c r="C1801">
        <f>IF('Entry Builder'!$N$9=0,1,IF('Entry Builder'!$D$9="Less",--(INDEX(Sims!$A1801:$BO1801,'Entry Builder'!$L$9)&lt;'Entry Builder'!$E$9),--(INDEX(Sims!$A1801:$BO1801,'Entry Builder'!$L$9)&gt;'Entry Builder'!$E$9)))</f>
        <v/>
      </c>
      <c r="D1801">
        <f>IF('Entry Builder'!$N$10=0,1,IF('Entry Builder'!$D$10="Less",--(INDEX(Sims!$A1801:$BO1801,'Entry Builder'!$L$10)&lt;'Entry Builder'!$E$10),--(INDEX(Sims!$A1801:$BO1801,'Entry Builder'!$L$10)&gt;'Entry Builder'!$E$10)))</f>
        <v/>
      </c>
      <c r="E1801">
        <f>IF('Entry Builder'!$N$11=0,1,IF('Entry Builder'!$D$11="Less",--(INDEX(Sims!$A1801:$BO1801,'Entry Builder'!$L$11)&lt;'Entry Builder'!$E$11),--(INDEX(Sims!$A1801:$BO1801,'Entry Builder'!$L$11)&gt;'Entry Builder'!$E$11)))</f>
        <v/>
      </c>
      <c r="F1801">
        <f>IF('Entry Builder'!$N$12=0,1,IF('Entry Builder'!$D$12="Less",--(INDEX(Sims!$A1801:$BO1801,'Entry Builder'!$L$12)&lt;'Entry Builder'!$E$12),--(INDEX(Sims!$A1801:$BO1801,'Entry Builder'!$L$12)&gt;'Entry Builder'!$E$12)))</f>
        <v/>
      </c>
      <c r="G1801">
        <f>6-SUM(A1801:F1801)</f>
        <v/>
      </c>
    </row>
    <row r="1802">
      <c r="A1802">
        <f>IF('Entry Builder'!$N$7=0,1,IF('Entry Builder'!$D$7="Less",--(INDEX(Sims!$A1802:$BO1802,'Entry Builder'!$L$7)&lt;'Entry Builder'!$E$7),--(INDEX(Sims!$A1802:$BO1802,'Entry Builder'!$L$7)&gt;'Entry Builder'!$E$7)))</f>
        <v/>
      </c>
      <c r="B1802">
        <f>IF('Entry Builder'!$N$8=0,1,IF('Entry Builder'!$D$8="Less",--(INDEX(Sims!$A1802:$BO1802,'Entry Builder'!$L$8)&lt;'Entry Builder'!$E$8),--(INDEX(Sims!$A1802:$BO1802,'Entry Builder'!$L$8)&gt;'Entry Builder'!$E$8)))</f>
        <v/>
      </c>
      <c r="C1802">
        <f>IF('Entry Builder'!$N$9=0,1,IF('Entry Builder'!$D$9="Less",--(INDEX(Sims!$A1802:$BO1802,'Entry Builder'!$L$9)&lt;'Entry Builder'!$E$9),--(INDEX(Sims!$A1802:$BO1802,'Entry Builder'!$L$9)&gt;'Entry Builder'!$E$9)))</f>
        <v/>
      </c>
      <c r="D1802">
        <f>IF('Entry Builder'!$N$10=0,1,IF('Entry Builder'!$D$10="Less",--(INDEX(Sims!$A1802:$BO1802,'Entry Builder'!$L$10)&lt;'Entry Builder'!$E$10),--(INDEX(Sims!$A1802:$BO1802,'Entry Builder'!$L$10)&gt;'Entry Builder'!$E$10)))</f>
        <v/>
      </c>
      <c r="E1802">
        <f>IF('Entry Builder'!$N$11=0,1,IF('Entry Builder'!$D$11="Less",--(INDEX(Sims!$A1802:$BO1802,'Entry Builder'!$L$11)&lt;'Entry Builder'!$E$11),--(INDEX(Sims!$A1802:$BO1802,'Entry Builder'!$L$11)&gt;'Entry Builder'!$E$11)))</f>
        <v/>
      </c>
      <c r="F1802">
        <f>IF('Entry Builder'!$N$12=0,1,IF('Entry Builder'!$D$12="Less",--(INDEX(Sims!$A1802:$BO1802,'Entry Builder'!$L$12)&lt;'Entry Builder'!$E$12),--(INDEX(Sims!$A1802:$BO1802,'Entry Builder'!$L$12)&gt;'Entry Builder'!$E$12)))</f>
        <v/>
      </c>
      <c r="G1802">
        <f>6-SUM(A1802:F1802)</f>
        <v/>
      </c>
    </row>
    <row r="1803">
      <c r="A1803">
        <f>IF('Entry Builder'!$N$7=0,1,IF('Entry Builder'!$D$7="Less",--(INDEX(Sims!$A1803:$BO1803,'Entry Builder'!$L$7)&lt;'Entry Builder'!$E$7),--(INDEX(Sims!$A1803:$BO1803,'Entry Builder'!$L$7)&gt;'Entry Builder'!$E$7)))</f>
        <v/>
      </c>
      <c r="B1803">
        <f>IF('Entry Builder'!$N$8=0,1,IF('Entry Builder'!$D$8="Less",--(INDEX(Sims!$A1803:$BO1803,'Entry Builder'!$L$8)&lt;'Entry Builder'!$E$8),--(INDEX(Sims!$A1803:$BO1803,'Entry Builder'!$L$8)&gt;'Entry Builder'!$E$8)))</f>
        <v/>
      </c>
      <c r="C1803">
        <f>IF('Entry Builder'!$N$9=0,1,IF('Entry Builder'!$D$9="Less",--(INDEX(Sims!$A1803:$BO1803,'Entry Builder'!$L$9)&lt;'Entry Builder'!$E$9),--(INDEX(Sims!$A1803:$BO1803,'Entry Builder'!$L$9)&gt;'Entry Builder'!$E$9)))</f>
        <v/>
      </c>
      <c r="D1803">
        <f>IF('Entry Builder'!$N$10=0,1,IF('Entry Builder'!$D$10="Less",--(INDEX(Sims!$A1803:$BO1803,'Entry Builder'!$L$10)&lt;'Entry Builder'!$E$10),--(INDEX(Sims!$A1803:$BO1803,'Entry Builder'!$L$10)&gt;'Entry Builder'!$E$10)))</f>
        <v/>
      </c>
      <c r="E1803">
        <f>IF('Entry Builder'!$N$11=0,1,IF('Entry Builder'!$D$11="Less",--(INDEX(Sims!$A1803:$BO1803,'Entry Builder'!$L$11)&lt;'Entry Builder'!$E$11),--(INDEX(Sims!$A1803:$BO1803,'Entry Builder'!$L$11)&gt;'Entry Builder'!$E$11)))</f>
        <v/>
      </c>
      <c r="F1803">
        <f>IF('Entry Builder'!$N$12=0,1,IF('Entry Builder'!$D$12="Less",--(INDEX(Sims!$A1803:$BO1803,'Entry Builder'!$L$12)&lt;'Entry Builder'!$E$12),--(INDEX(Sims!$A1803:$BO1803,'Entry Builder'!$L$12)&gt;'Entry Builder'!$E$12)))</f>
        <v/>
      </c>
      <c r="G1803">
        <f>6-SUM(A1803:F1803)</f>
        <v/>
      </c>
    </row>
    <row r="1804">
      <c r="A1804">
        <f>IF('Entry Builder'!$N$7=0,1,IF('Entry Builder'!$D$7="Less",--(INDEX(Sims!$A1804:$BO1804,'Entry Builder'!$L$7)&lt;'Entry Builder'!$E$7),--(INDEX(Sims!$A1804:$BO1804,'Entry Builder'!$L$7)&gt;'Entry Builder'!$E$7)))</f>
        <v/>
      </c>
      <c r="B1804">
        <f>IF('Entry Builder'!$N$8=0,1,IF('Entry Builder'!$D$8="Less",--(INDEX(Sims!$A1804:$BO1804,'Entry Builder'!$L$8)&lt;'Entry Builder'!$E$8),--(INDEX(Sims!$A1804:$BO1804,'Entry Builder'!$L$8)&gt;'Entry Builder'!$E$8)))</f>
        <v/>
      </c>
      <c r="C1804">
        <f>IF('Entry Builder'!$N$9=0,1,IF('Entry Builder'!$D$9="Less",--(INDEX(Sims!$A1804:$BO1804,'Entry Builder'!$L$9)&lt;'Entry Builder'!$E$9),--(INDEX(Sims!$A1804:$BO1804,'Entry Builder'!$L$9)&gt;'Entry Builder'!$E$9)))</f>
        <v/>
      </c>
      <c r="D1804">
        <f>IF('Entry Builder'!$N$10=0,1,IF('Entry Builder'!$D$10="Less",--(INDEX(Sims!$A1804:$BO1804,'Entry Builder'!$L$10)&lt;'Entry Builder'!$E$10),--(INDEX(Sims!$A1804:$BO1804,'Entry Builder'!$L$10)&gt;'Entry Builder'!$E$10)))</f>
        <v/>
      </c>
      <c r="E1804">
        <f>IF('Entry Builder'!$N$11=0,1,IF('Entry Builder'!$D$11="Less",--(INDEX(Sims!$A1804:$BO1804,'Entry Builder'!$L$11)&lt;'Entry Builder'!$E$11),--(INDEX(Sims!$A1804:$BO1804,'Entry Builder'!$L$11)&gt;'Entry Builder'!$E$11)))</f>
        <v/>
      </c>
      <c r="F1804">
        <f>IF('Entry Builder'!$N$12=0,1,IF('Entry Builder'!$D$12="Less",--(INDEX(Sims!$A1804:$BO1804,'Entry Builder'!$L$12)&lt;'Entry Builder'!$E$12),--(INDEX(Sims!$A1804:$BO1804,'Entry Builder'!$L$12)&gt;'Entry Builder'!$E$12)))</f>
        <v/>
      </c>
      <c r="G1804">
        <f>6-SUM(A1804:F1804)</f>
        <v/>
      </c>
    </row>
    <row r="1805">
      <c r="A1805">
        <f>IF('Entry Builder'!$N$7=0,1,IF('Entry Builder'!$D$7="Less",--(INDEX(Sims!$A1805:$BO1805,'Entry Builder'!$L$7)&lt;'Entry Builder'!$E$7),--(INDEX(Sims!$A1805:$BO1805,'Entry Builder'!$L$7)&gt;'Entry Builder'!$E$7)))</f>
        <v/>
      </c>
      <c r="B1805">
        <f>IF('Entry Builder'!$N$8=0,1,IF('Entry Builder'!$D$8="Less",--(INDEX(Sims!$A1805:$BO1805,'Entry Builder'!$L$8)&lt;'Entry Builder'!$E$8),--(INDEX(Sims!$A1805:$BO1805,'Entry Builder'!$L$8)&gt;'Entry Builder'!$E$8)))</f>
        <v/>
      </c>
      <c r="C1805">
        <f>IF('Entry Builder'!$N$9=0,1,IF('Entry Builder'!$D$9="Less",--(INDEX(Sims!$A1805:$BO1805,'Entry Builder'!$L$9)&lt;'Entry Builder'!$E$9),--(INDEX(Sims!$A1805:$BO1805,'Entry Builder'!$L$9)&gt;'Entry Builder'!$E$9)))</f>
        <v/>
      </c>
      <c r="D1805">
        <f>IF('Entry Builder'!$N$10=0,1,IF('Entry Builder'!$D$10="Less",--(INDEX(Sims!$A1805:$BO1805,'Entry Builder'!$L$10)&lt;'Entry Builder'!$E$10),--(INDEX(Sims!$A1805:$BO1805,'Entry Builder'!$L$10)&gt;'Entry Builder'!$E$10)))</f>
        <v/>
      </c>
      <c r="E1805">
        <f>IF('Entry Builder'!$N$11=0,1,IF('Entry Builder'!$D$11="Less",--(INDEX(Sims!$A1805:$BO1805,'Entry Builder'!$L$11)&lt;'Entry Builder'!$E$11),--(INDEX(Sims!$A1805:$BO1805,'Entry Builder'!$L$11)&gt;'Entry Builder'!$E$11)))</f>
        <v/>
      </c>
      <c r="F1805">
        <f>IF('Entry Builder'!$N$12=0,1,IF('Entry Builder'!$D$12="Less",--(INDEX(Sims!$A1805:$BO1805,'Entry Builder'!$L$12)&lt;'Entry Builder'!$E$12),--(INDEX(Sims!$A1805:$BO1805,'Entry Builder'!$L$12)&gt;'Entry Builder'!$E$12)))</f>
        <v/>
      </c>
      <c r="G1805">
        <f>6-SUM(A1805:F1805)</f>
        <v/>
      </c>
    </row>
    <row r="1806">
      <c r="A1806">
        <f>IF('Entry Builder'!$N$7=0,1,IF('Entry Builder'!$D$7="Less",--(INDEX(Sims!$A1806:$BO1806,'Entry Builder'!$L$7)&lt;'Entry Builder'!$E$7),--(INDEX(Sims!$A1806:$BO1806,'Entry Builder'!$L$7)&gt;'Entry Builder'!$E$7)))</f>
        <v/>
      </c>
      <c r="B1806">
        <f>IF('Entry Builder'!$N$8=0,1,IF('Entry Builder'!$D$8="Less",--(INDEX(Sims!$A1806:$BO1806,'Entry Builder'!$L$8)&lt;'Entry Builder'!$E$8),--(INDEX(Sims!$A1806:$BO1806,'Entry Builder'!$L$8)&gt;'Entry Builder'!$E$8)))</f>
        <v/>
      </c>
      <c r="C1806">
        <f>IF('Entry Builder'!$N$9=0,1,IF('Entry Builder'!$D$9="Less",--(INDEX(Sims!$A1806:$BO1806,'Entry Builder'!$L$9)&lt;'Entry Builder'!$E$9),--(INDEX(Sims!$A1806:$BO1806,'Entry Builder'!$L$9)&gt;'Entry Builder'!$E$9)))</f>
        <v/>
      </c>
      <c r="D1806">
        <f>IF('Entry Builder'!$N$10=0,1,IF('Entry Builder'!$D$10="Less",--(INDEX(Sims!$A1806:$BO1806,'Entry Builder'!$L$10)&lt;'Entry Builder'!$E$10),--(INDEX(Sims!$A1806:$BO1806,'Entry Builder'!$L$10)&gt;'Entry Builder'!$E$10)))</f>
        <v/>
      </c>
      <c r="E1806">
        <f>IF('Entry Builder'!$N$11=0,1,IF('Entry Builder'!$D$11="Less",--(INDEX(Sims!$A1806:$BO1806,'Entry Builder'!$L$11)&lt;'Entry Builder'!$E$11),--(INDEX(Sims!$A1806:$BO1806,'Entry Builder'!$L$11)&gt;'Entry Builder'!$E$11)))</f>
        <v/>
      </c>
      <c r="F1806">
        <f>IF('Entry Builder'!$N$12=0,1,IF('Entry Builder'!$D$12="Less",--(INDEX(Sims!$A1806:$BO1806,'Entry Builder'!$L$12)&lt;'Entry Builder'!$E$12),--(INDEX(Sims!$A1806:$BO1806,'Entry Builder'!$L$12)&gt;'Entry Builder'!$E$12)))</f>
        <v/>
      </c>
      <c r="G1806">
        <f>6-SUM(A1806:F1806)</f>
        <v/>
      </c>
    </row>
    <row r="1807">
      <c r="A1807">
        <f>IF('Entry Builder'!$N$7=0,1,IF('Entry Builder'!$D$7="Less",--(INDEX(Sims!$A1807:$BO1807,'Entry Builder'!$L$7)&lt;'Entry Builder'!$E$7),--(INDEX(Sims!$A1807:$BO1807,'Entry Builder'!$L$7)&gt;'Entry Builder'!$E$7)))</f>
        <v/>
      </c>
      <c r="B1807">
        <f>IF('Entry Builder'!$N$8=0,1,IF('Entry Builder'!$D$8="Less",--(INDEX(Sims!$A1807:$BO1807,'Entry Builder'!$L$8)&lt;'Entry Builder'!$E$8),--(INDEX(Sims!$A1807:$BO1807,'Entry Builder'!$L$8)&gt;'Entry Builder'!$E$8)))</f>
        <v/>
      </c>
      <c r="C1807">
        <f>IF('Entry Builder'!$N$9=0,1,IF('Entry Builder'!$D$9="Less",--(INDEX(Sims!$A1807:$BO1807,'Entry Builder'!$L$9)&lt;'Entry Builder'!$E$9),--(INDEX(Sims!$A1807:$BO1807,'Entry Builder'!$L$9)&gt;'Entry Builder'!$E$9)))</f>
        <v/>
      </c>
      <c r="D1807">
        <f>IF('Entry Builder'!$N$10=0,1,IF('Entry Builder'!$D$10="Less",--(INDEX(Sims!$A1807:$BO1807,'Entry Builder'!$L$10)&lt;'Entry Builder'!$E$10),--(INDEX(Sims!$A1807:$BO1807,'Entry Builder'!$L$10)&gt;'Entry Builder'!$E$10)))</f>
        <v/>
      </c>
      <c r="E1807">
        <f>IF('Entry Builder'!$N$11=0,1,IF('Entry Builder'!$D$11="Less",--(INDEX(Sims!$A1807:$BO1807,'Entry Builder'!$L$11)&lt;'Entry Builder'!$E$11),--(INDEX(Sims!$A1807:$BO1807,'Entry Builder'!$L$11)&gt;'Entry Builder'!$E$11)))</f>
        <v/>
      </c>
      <c r="F1807">
        <f>IF('Entry Builder'!$N$12=0,1,IF('Entry Builder'!$D$12="Less",--(INDEX(Sims!$A1807:$BO1807,'Entry Builder'!$L$12)&lt;'Entry Builder'!$E$12),--(INDEX(Sims!$A1807:$BO1807,'Entry Builder'!$L$12)&gt;'Entry Builder'!$E$12)))</f>
        <v/>
      </c>
      <c r="G1807">
        <f>6-SUM(A1807:F1807)</f>
        <v/>
      </c>
    </row>
    <row r="1808">
      <c r="A1808">
        <f>IF('Entry Builder'!$N$7=0,1,IF('Entry Builder'!$D$7="Less",--(INDEX(Sims!$A1808:$BO1808,'Entry Builder'!$L$7)&lt;'Entry Builder'!$E$7),--(INDEX(Sims!$A1808:$BO1808,'Entry Builder'!$L$7)&gt;'Entry Builder'!$E$7)))</f>
        <v/>
      </c>
      <c r="B1808">
        <f>IF('Entry Builder'!$N$8=0,1,IF('Entry Builder'!$D$8="Less",--(INDEX(Sims!$A1808:$BO1808,'Entry Builder'!$L$8)&lt;'Entry Builder'!$E$8),--(INDEX(Sims!$A1808:$BO1808,'Entry Builder'!$L$8)&gt;'Entry Builder'!$E$8)))</f>
        <v/>
      </c>
      <c r="C1808">
        <f>IF('Entry Builder'!$N$9=0,1,IF('Entry Builder'!$D$9="Less",--(INDEX(Sims!$A1808:$BO1808,'Entry Builder'!$L$9)&lt;'Entry Builder'!$E$9),--(INDEX(Sims!$A1808:$BO1808,'Entry Builder'!$L$9)&gt;'Entry Builder'!$E$9)))</f>
        <v/>
      </c>
      <c r="D1808">
        <f>IF('Entry Builder'!$N$10=0,1,IF('Entry Builder'!$D$10="Less",--(INDEX(Sims!$A1808:$BO1808,'Entry Builder'!$L$10)&lt;'Entry Builder'!$E$10),--(INDEX(Sims!$A1808:$BO1808,'Entry Builder'!$L$10)&gt;'Entry Builder'!$E$10)))</f>
        <v/>
      </c>
      <c r="E1808">
        <f>IF('Entry Builder'!$N$11=0,1,IF('Entry Builder'!$D$11="Less",--(INDEX(Sims!$A1808:$BO1808,'Entry Builder'!$L$11)&lt;'Entry Builder'!$E$11),--(INDEX(Sims!$A1808:$BO1808,'Entry Builder'!$L$11)&gt;'Entry Builder'!$E$11)))</f>
        <v/>
      </c>
      <c r="F1808">
        <f>IF('Entry Builder'!$N$12=0,1,IF('Entry Builder'!$D$12="Less",--(INDEX(Sims!$A1808:$BO1808,'Entry Builder'!$L$12)&lt;'Entry Builder'!$E$12),--(INDEX(Sims!$A1808:$BO1808,'Entry Builder'!$L$12)&gt;'Entry Builder'!$E$12)))</f>
        <v/>
      </c>
      <c r="G1808">
        <f>6-SUM(A1808:F1808)</f>
        <v/>
      </c>
    </row>
    <row r="1809">
      <c r="A1809">
        <f>IF('Entry Builder'!$N$7=0,1,IF('Entry Builder'!$D$7="Less",--(INDEX(Sims!$A1809:$BO1809,'Entry Builder'!$L$7)&lt;'Entry Builder'!$E$7),--(INDEX(Sims!$A1809:$BO1809,'Entry Builder'!$L$7)&gt;'Entry Builder'!$E$7)))</f>
        <v/>
      </c>
      <c r="B1809">
        <f>IF('Entry Builder'!$N$8=0,1,IF('Entry Builder'!$D$8="Less",--(INDEX(Sims!$A1809:$BO1809,'Entry Builder'!$L$8)&lt;'Entry Builder'!$E$8),--(INDEX(Sims!$A1809:$BO1809,'Entry Builder'!$L$8)&gt;'Entry Builder'!$E$8)))</f>
        <v/>
      </c>
      <c r="C1809">
        <f>IF('Entry Builder'!$N$9=0,1,IF('Entry Builder'!$D$9="Less",--(INDEX(Sims!$A1809:$BO1809,'Entry Builder'!$L$9)&lt;'Entry Builder'!$E$9),--(INDEX(Sims!$A1809:$BO1809,'Entry Builder'!$L$9)&gt;'Entry Builder'!$E$9)))</f>
        <v/>
      </c>
      <c r="D1809">
        <f>IF('Entry Builder'!$N$10=0,1,IF('Entry Builder'!$D$10="Less",--(INDEX(Sims!$A1809:$BO1809,'Entry Builder'!$L$10)&lt;'Entry Builder'!$E$10),--(INDEX(Sims!$A1809:$BO1809,'Entry Builder'!$L$10)&gt;'Entry Builder'!$E$10)))</f>
        <v/>
      </c>
      <c r="E1809">
        <f>IF('Entry Builder'!$N$11=0,1,IF('Entry Builder'!$D$11="Less",--(INDEX(Sims!$A1809:$BO1809,'Entry Builder'!$L$11)&lt;'Entry Builder'!$E$11),--(INDEX(Sims!$A1809:$BO1809,'Entry Builder'!$L$11)&gt;'Entry Builder'!$E$11)))</f>
        <v/>
      </c>
      <c r="F1809">
        <f>IF('Entry Builder'!$N$12=0,1,IF('Entry Builder'!$D$12="Less",--(INDEX(Sims!$A1809:$BO1809,'Entry Builder'!$L$12)&lt;'Entry Builder'!$E$12),--(INDEX(Sims!$A1809:$BO1809,'Entry Builder'!$L$12)&gt;'Entry Builder'!$E$12)))</f>
        <v/>
      </c>
      <c r="G1809">
        <f>6-SUM(A1809:F1809)</f>
        <v/>
      </c>
    </row>
    <row r="1810">
      <c r="A1810">
        <f>IF('Entry Builder'!$N$7=0,1,IF('Entry Builder'!$D$7="Less",--(INDEX(Sims!$A1810:$BO1810,'Entry Builder'!$L$7)&lt;'Entry Builder'!$E$7),--(INDEX(Sims!$A1810:$BO1810,'Entry Builder'!$L$7)&gt;'Entry Builder'!$E$7)))</f>
        <v/>
      </c>
      <c r="B1810">
        <f>IF('Entry Builder'!$N$8=0,1,IF('Entry Builder'!$D$8="Less",--(INDEX(Sims!$A1810:$BO1810,'Entry Builder'!$L$8)&lt;'Entry Builder'!$E$8),--(INDEX(Sims!$A1810:$BO1810,'Entry Builder'!$L$8)&gt;'Entry Builder'!$E$8)))</f>
        <v/>
      </c>
      <c r="C1810">
        <f>IF('Entry Builder'!$N$9=0,1,IF('Entry Builder'!$D$9="Less",--(INDEX(Sims!$A1810:$BO1810,'Entry Builder'!$L$9)&lt;'Entry Builder'!$E$9),--(INDEX(Sims!$A1810:$BO1810,'Entry Builder'!$L$9)&gt;'Entry Builder'!$E$9)))</f>
        <v/>
      </c>
      <c r="D1810">
        <f>IF('Entry Builder'!$N$10=0,1,IF('Entry Builder'!$D$10="Less",--(INDEX(Sims!$A1810:$BO1810,'Entry Builder'!$L$10)&lt;'Entry Builder'!$E$10),--(INDEX(Sims!$A1810:$BO1810,'Entry Builder'!$L$10)&gt;'Entry Builder'!$E$10)))</f>
        <v/>
      </c>
      <c r="E1810">
        <f>IF('Entry Builder'!$N$11=0,1,IF('Entry Builder'!$D$11="Less",--(INDEX(Sims!$A1810:$BO1810,'Entry Builder'!$L$11)&lt;'Entry Builder'!$E$11),--(INDEX(Sims!$A1810:$BO1810,'Entry Builder'!$L$11)&gt;'Entry Builder'!$E$11)))</f>
        <v/>
      </c>
      <c r="F1810">
        <f>IF('Entry Builder'!$N$12=0,1,IF('Entry Builder'!$D$12="Less",--(INDEX(Sims!$A1810:$BO1810,'Entry Builder'!$L$12)&lt;'Entry Builder'!$E$12),--(INDEX(Sims!$A1810:$BO1810,'Entry Builder'!$L$12)&gt;'Entry Builder'!$E$12)))</f>
        <v/>
      </c>
      <c r="G1810">
        <f>6-SUM(A1810:F1810)</f>
        <v/>
      </c>
    </row>
    <row r="1811">
      <c r="A1811">
        <f>IF('Entry Builder'!$N$7=0,1,IF('Entry Builder'!$D$7="Less",--(INDEX(Sims!$A1811:$BO1811,'Entry Builder'!$L$7)&lt;'Entry Builder'!$E$7),--(INDEX(Sims!$A1811:$BO1811,'Entry Builder'!$L$7)&gt;'Entry Builder'!$E$7)))</f>
        <v/>
      </c>
      <c r="B1811">
        <f>IF('Entry Builder'!$N$8=0,1,IF('Entry Builder'!$D$8="Less",--(INDEX(Sims!$A1811:$BO1811,'Entry Builder'!$L$8)&lt;'Entry Builder'!$E$8),--(INDEX(Sims!$A1811:$BO1811,'Entry Builder'!$L$8)&gt;'Entry Builder'!$E$8)))</f>
        <v/>
      </c>
      <c r="C1811">
        <f>IF('Entry Builder'!$N$9=0,1,IF('Entry Builder'!$D$9="Less",--(INDEX(Sims!$A1811:$BO1811,'Entry Builder'!$L$9)&lt;'Entry Builder'!$E$9),--(INDEX(Sims!$A1811:$BO1811,'Entry Builder'!$L$9)&gt;'Entry Builder'!$E$9)))</f>
        <v/>
      </c>
      <c r="D1811">
        <f>IF('Entry Builder'!$N$10=0,1,IF('Entry Builder'!$D$10="Less",--(INDEX(Sims!$A1811:$BO1811,'Entry Builder'!$L$10)&lt;'Entry Builder'!$E$10),--(INDEX(Sims!$A1811:$BO1811,'Entry Builder'!$L$10)&gt;'Entry Builder'!$E$10)))</f>
        <v/>
      </c>
      <c r="E1811">
        <f>IF('Entry Builder'!$N$11=0,1,IF('Entry Builder'!$D$11="Less",--(INDEX(Sims!$A1811:$BO1811,'Entry Builder'!$L$11)&lt;'Entry Builder'!$E$11),--(INDEX(Sims!$A1811:$BO1811,'Entry Builder'!$L$11)&gt;'Entry Builder'!$E$11)))</f>
        <v/>
      </c>
      <c r="F1811">
        <f>IF('Entry Builder'!$N$12=0,1,IF('Entry Builder'!$D$12="Less",--(INDEX(Sims!$A1811:$BO1811,'Entry Builder'!$L$12)&lt;'Entry Builder'!$E$12),--(INDEX(Sims!$A1811:$BO1811,'Entry Builder'!$L$12)&gt;'Entry Builder'!$E$12)))</f>
        <v/>
      </c>
      <c r="G1811">
        <f>6-SUM(A1811:F1811)</f>
        <v/>
      </c>
    </row>
    <row r="1812">
      <c r="A1812">
        <f>IF('Entry Builder'!$N$7=0,1,IF('Entry Builder'!$D$7="Less",--(INDEX(Sims!$A1812:$BO1812,'Entry Builder'!$L$7)&lt;'Entry Builder'!$E$7),--(INDEX(Sims!$A1812:$BO1812,'Entry Builder'!$L$7)&gt;'Entry Builder'!$E$7)))</f>
        <v/>
      </c>
      <c r="B1812">
        <f>IF('Entry Builder'!$N$8=0,1,IF('Entry Builder'!$D$8="Less",--(INDEX(Sims!$A1812:$BO1812,'Entry Builder'!$L$8)&lt;'Entry Builder'!$E$8),--(INDEX(Sims!$A1812:$BO1812,'Entry Builder'!$L$8)&gt;'Entry Builder'!$E$8)))</f>
        <v/>
      </c>
      <c r="C1812">
        <f>IF('Entry Builder'!$N$9=0,1,IF('Entry Builder'!$D$9="Less",--(INDEX(Sims!$A1812:$BO1812,'Entry Builder'!$L$9)&lt;'Entry Builder'!$E$9),--(INDEX(Sims!$A1812:$BO1812,'Entry Builder'!$L$9)&gt;'Entry Builder'!$E$9)))</f>
        <v/>
      </c>
      <c r="D1812">
        <f>IF('Entry Builder'!$N$10=0,1,IF('Entry Builder'!$D$10="Less",--(INDEX(Sims!$A1812:$BO1812,'Entry Builder'!$L$10)&lt;'Entry Builder'!$E$10),--(INDEX(Sims!$A1812:$BO1812,'Entry Builder'!$L$10)&gt;'Entry Builder'!$E$10)))</f>
        <v/>
      </c>
      <c r="E1812">
        <f>IF('Entry Builder'!$N$11=0,1,IF('Entry Builder'!$D$11="Less",--(INDEX(Sims!$A1812:$BO1812,'Entry Builder'!$L$11)&lt;'Entry Builder'!$E$11),--(INDEX(Sims!$A1812:$BO1812,'Entry Builder'!$L$11)&gt;'Entry Builder'!$E$11)))</f>
        <v/>
      </c>
      <c r="F1812">
        <f>IF('Entry Builder'!$N$12=0,1,IF('Entry Builder'!$D$12="Less",--(INDEX(Sims!$A1812:$BO1812,'Entry Builder'!$L$12)&lt;'Entry Builder'!$E$12),--(INDEX(Sims!$A1812:$BO1812,'Entry Builder'!$L$12)&gt;'Entry Builder'!$E$12)))</f>
        <v/>
      </c>
      <c r="G1812">
        <f>6-SUM(A1812:F1812)</f>
        <v/>
      </c>
    </row>
    <row r="1813">
      <c r="A1813">
        <f>IF('Entry Builder'!$N$7=0,1,IF('Entry Builder'!$D$7="Less",--(INDEX(Sims!$A1813:$BO1813,'Entry Builder'!$L$7)&lt;'Entry Builder'!$E$7),--(INDEX(Sims!$A1813:$BO1813,'Entry Builder'!$L$7)&gt;'Entry Builder'!$E$7)))</f>
        <v/>
      </c>
      <c r="B1813">
        <f>IF('Entry Builder'!$N$8=0,1,IF('Entry Builder'!$D$8="Less",--(INDEX(Sims!$A1813:$BO1813,'Entry Builder'!$L$8)&lt;'Entry Builder'!$E$8),--(INDEX(Sims!$A1813:$BO1813,'Entry Builder'!$L$8)&gt;'Entry Builder'!$E$8)))</f>
        <v/>
      </c>
      <c r="C1813">
        <f>IF('Entry Builder'!$N$9=0,1,IF('Entry Builder'!$D$9="Less",--(INDEX(Sims!$A1813:$BO1813,'Entry Builder'!$L$9)&lt;'Entry Builder'!$E$9),--(INDEX(Sims!$A1813:$BO1813,'Entry Builder'!$L$9)&gt;'Entry Builder'!$E$9)))</f>
        <v/>
      </c>
      <c r="D1813">
        <f>IF('Entry Builder'!$N$10=0,1,IF('Entry Builder'!$D$10="Less",--(INDEX(Sims!$A1813:$BO1813,'Entry Builder'!$L$10)&lt;'Entry Builder'!$E$10),--(INDEX(Sims!$A1813:$BO1813,'Entry Builder'!$L$10)&gt;'Entry Builder'!$E$10)))</f>
        <v/>
      </c>
      <c r="E1813">
        <f>IF('Entry Builder'!$N$11=0,1,IF('Entry Builder'!$D$11="Less",--(INDEX(Sims!$A1813:$BO1813,'Entry Builder'!$L$11)&lt;'Entry Builder'!$E$11),--(INDEX(Sims!$A1813:$BO1813,'Entry Builder'!$L$11)&gt;'Entry Builder'!$E$11)))</f>
        <v/>
      </c>
      <c r="F1813">
        <f>IF('Entry Builder'!$N$12=0,1,IF('Entry Builder'!$D$12="Less",--(INDEX(Sims!$A1813:$BO1813,'Entry Builder'!$L$12)&lt;'Entry Builder'!$E$12),--(INDEX(Sims!$A1813:$BO1813,'Entry Builder'!$L$12)&gt;'Entry Builder'!$E$12)))</f>
        <v/>
      </c>
      <c r="G1813">
        <f>6-SUM(A1813:F1813)</f>
        <v/>
      </c>
    </row>
    <row r="1814">
      <c r="A1814">
        <f>IF('Entry Builder'!$N$7=0,1,IF('Entry Builder'!$D$7="Less",--(INDEX(Sims!$A1814:$BO1814,'Entry Builder'!$L$7)&lt;'Entry Builder'!$E$7),--(INDEX(Sims!$A1814:$BO1814,'Entry Builder'!$L$7)&gt;'Entry Builder'!$E$7)))</f>
        <v/>
      </c>
      <c r="B1814">
        <f>IF('Entry Builder'!$N$8=0,1,IF('Entry Builder'!$D$8="Less",--(INDEX(Sims!$A1814:$BO1814,'Entry Builder'!$L$8)&lt;'Entry Builder'!$E$8),--(INDEX(Sims!$A1814:$BO1814,'Entry Builder'!$L$8)&gt;'Entry Builder'!$E$8)))</f>
        <v/>
      </c>
      <c r="C1814">
        <f>IF('Entry Builder'!$N$9=0,1,IF('Entry Builder'!$D$9="Less",--(INDEX(Sims!$A1814:$BO1814,'Entry Builder'!$L$9)&lt;'Entry Builder'!$E$9),--(INDEX(Sims!$A1814:$BO1814,'Entry Builder'!$L$9)&gt;'Entry Builder'!$E$9)))</f>
        <v/>
      </c>
      <c r="D1814">
        <f>IF('Entry Builder'!$N$10=0,1,IF('Entry Builder'!$D$10="Less",--(INDEX(Sims!$A1814:$BO1814,'Entry Builder'!$L$10)&lt;'Entry Builder'!$E$10),--(INDEX(Sims!$A1814:$BO1814,'Entry Builder'!$L$10)&gt;'Entry Builder'!$E$10)))</f>
        <v/>
      </c>
      <c r="E1814">
        <f>IF('Entry Builder'!$N$11=0,1,IF('Entry Builder'!$D$11="Less",--(INDEX(Sims!$A1814:$BO1814,'Entry Builder'!$L$11)&lt;'Entry Builder'!$E$11),--(INDEX(Sims!$A1814:$BO1814,'Entry Builder'!$L$11)&gt;'Entry Builder'!$E$11)))</f>
        <v/>
      </c>
      <c r="F1814">
        <f>IF('Entry Builder'!$N$12=0,1,IF('Entry Builder'!$D$12="Less",--(INDEX(Sims!$A1814:$BO1814,'Entry Builder'!$L$12)&lt;'Entry Builder'!$E$12),--(INDEX(Sims!$A1814:$BO1814,'Entry Builder'!$L$12)&gt;'Entry Builder'!$E$12)))</f>
        <v/>
      </c>
      <c r="G1814">
        <f>6-SUM(A1814:F1814)</f>
        <v/>
      </c>
    </row>
    <row r="1815">
      <c r="A1815">
        <f>IF('Entry Builder'!$N$7=0,1,IF('Entry Builder'!$D$7="Less",--(INDEX(Sims!$A1815:$BO1815,'Entry Builder'!$L$7)&lt;'Entry Builder'!$E$7),--(INDEX(Sims!$A1815:$BO1815,'Entry Builder'!$L$7)&gt;'Entry Builder'!$E$7)))</f>
        <v/>
      </c>
      <c r="B1815">
        <f>IF('Entry Builder'!$N$8=0,1,IF('Entry Builder'!$D$8="Less",--(INDEX(Sims!$A1815:$BO1815,'Entry Builder'!$L$8)&lt;'Entry Builder'!$E$8),--(INDEX(Sims!$A1815:$BO1815,'Entry Builder'!$L$8)&gt;'Entry Builder'!$E$8)))</f>
        <v/>
      </c>
      <c r="C1815">
        <f>IF('Entry Builder'!$N$9=0,1,IF('Entry Builder'!$D$9="Less",--(INDEX(Sims!$A1815:$BO1815,'Entry Builder'!$L$9)&lt;'Entry Builder'!$E$9),--(INDEX(Sims!$A1815:$BO1815,'Entry Builder'!$L$9)&gt;'Entry Builder'!$E$9)))</f>
        <v/>
      </c>
      <c r="D1815">
        <f>IF('Entry Builder'!$N$10=0,1,IF('Entry Builder'!$D$10="Less",--(INDEX(Sims!$A1815:$BO1815,'Entry Builder'!$L$10)&lt;'Entry Builder'!$E$10),--(INDEX(Sims!$A1815:$BO1815,'Entry Builder'!$L$10)&gt;'Entry Builder'!$E$10)))</f>
        <v/>
      </c>
      <c r="E1815">
        <f>IF('Entry Builder'!$N$11=0,1,IF('Entry Builder'!$D$11="Less",--(INDEX(Sims!$A1815:$BO1815,'Entry Builder'!$L$11)&lt;'Entry Builder'!$E$11),--(INDEX(Sims!$A1815:$BO1815,'Entry Builder'!$L$11)&gt;'Entry Builder'!$E$11)))</f>
        <v/>
      </c>
      <c r="F1815">
        <f>IF('Entry Builder'!$N$12=0,1,IF('Entry Builder'!$D$12="Less",--(INDEX(Sims!$A1815:$BO1815,'Entry Builder'!$L$12)&lt;'Entry Builder'!$E$12),--(INDEX(Sims!$A1815:$BO1815,'Entry Builder'!$L$12)&gt;'Entry Builder'!$E$12)))</f>
        <v/>
      </c>
      <c r="G1815">
        <f>6-SUM(A1815:F1815)</f>
        <v/>
      </c>
    </row>
    <row r="1816">
      <c r="A1816">
        <f>IF('Entry Builder'!$N$7=0,1,IF('Entry Builder'!$D$7="Less",--(INDEX(Sims!$A1816:$BO1816,'Entry Builder'!$L$7)&lt;'Entry Builder'!$E$7),--(INDEX(Sims!$A1816:$BO1816,'Entry Builder'!$L$7)&gt;'Entry Builder'!$E$7)))</f>
        <v/>
      </c>
      <c r="B1816">
        <f>IF('Entry Builder'!$N$8=0,1,IF('Entry Builder'!$D$8="Less",--(INDEX(Sims!$A1816:$BO1816,'Entry Builder'!$L$8)&lt;'Entry Builder'!$E$8),--(INDEX(Sims!$A1816:$BO1816,'Entry Builder'!$L$8)&gt;'Entry Builder'!$E$8)))</f>
        <v/>
      </c>
      <c r="C1816">
        <f>IF('Entry Builder'!$N$9=0,1,IF('Entry Builder'!$D$9="Less",--(INDEX(Sims!$A1816:$BO1816,'Entry Builder'!$L$9)&lt;'Entry Builder'!$E$9),--(INDEX(Sims!$A1816:$BO1816,'Entry Builder'!$L$9)&gt;'Entry Builder'!$E$9)))</f>
        <v/>
      </c>
      <c r="D1816">
        <f>IF('Entry Builder'!$N$10=0,1,IF('Entry Builder'!$D$10="Less",--(INDEX(Sims!$A1816:$BO1816,'Entry Builder'!$L$10)&lt;'Entry Builder'!$E$10),--(INDEX(Sims!$A1816:$BO1816,'Entry Builder'!$L$10)&gt;'Entry Builder'!$E$10)))</f>
        <v/>
      </c>
      <c r="E1816">
        <f>IF('Entry Builder'!$N$11=0,1,IF('Entry Builder'!$D$11="Less",--(INDEX(Sims!$A1816:$BO1816,'Entry Builder'!$L$11)&lt;'Entry Builder'!$E$11),--(INDEX(Sims!$A1816:$BO1816,'Entry Builder'!$L$11)&gt;'Entry Builder'!$E$11)))</f>
        <v/>
      </c>
      <c r="F1816">
        <f>IF('Entry Builder'!$N$12=0,1,IF('Entry Builder'!$D$12="Less",--(INDEX(Sims!$A1816:$BO1816,'Entry Builder'!$L$12)&lt;'Entry Builder'!$E$12),--(INDEX(Sims!$A1816:$BO1816,'Entry Builder'!$L$12)&gt;'Entry Builder'!$E$12)))</f>
        <v/>
      </c>
      <c r="G1816">
        <f>6-SUM(A1816:F1816)</f>
        <v/>
      </c>
    </row>
    <row r="1817">
      <c r="A1817">
        <f>IF('Entry Builder'!$N$7=0,1,IF('Entry Builder'!$D$7="Less",--(INDEX(Sims!$A1817:$BO1817,'Entry Builder'!$L$7)&lt;'Entry Builder'!$E$7),--(INDEX(Sims!$A1817:$BO1817,'Entry Builder'!$L$7)&gt;'Entry Builder'!$E$7)))</f>
        <v/>
      </c>
      <c r="B1817">
        <f>IF('Entry Builder'!$N$8=0,1,IF('Entry Builder'!$D$8="Less",--(INDEX(Sims!$A1817:$BO1817,'Entry Builder'!$L$8)&lt;'Entry Builder'!$E$8),--(INDEX(Sims!$A1817:$BO1817,'Entry Builder'!$L$8)&gt;'Entry Builder'!$E$8)))</f>
        <v/>
      </c>
      <c r="C1817">
        <f>IF('Entry Builder'!$N$9=0,1,IF('Entry Builder'!$D$9="Less",--(INDEX(Sims!$A1817:$BO1817,'Entry Builder'!$L$9)&lt;'Entry Builder'!$E$9),--(INDEX(Sims!$A1817:$BO1817,'Entry Builder'!$L$9)&gt;'Entry Builder'!$E$9)))</f>
        <v/>
      </c>
      <c r="D1817">
        <f>IF('Entry Builder'!$N$10=0,1,IF('Entry Builder'!$D$10="Less",--(INDEX(Sims!$A1817:$BO1817,'Entry Builder'!$L$10)&lt;'Entry Builder'!$E$10),--(INDEX(Sims!$A1817:$BO1817,'Entry Builder'!$L$10)&gt;'Entry Builder'!$E$10)))</f>
        <v/>
      </c>
      <c r="E1817">
        <f>IF('Entry Builder'!$N$11=0,1,IF('Entry Builder'!$D$11="Less",--(INDEX(Sims!$A1817:$BO1817,'Entry Builder'!$L$11)&lt;'Entry Builder'!$E$11),--(INDEX(Sims!$A1817:$BO1817,'Entry Builder'!$L$11)&gt;'Entry Builder'!$E$11)))</f>
        <v/>
      </c>
      <c r="F1817">
        <f>IF('Entry Builder'!$N$12=0,1,IF('Entry Builder'!$D$12="Less",--(INDEX(Sims!$A1817:$BO1817,'Entry Builder'!$L$12)&lt;'Entry Builder'!$E$12),--(INDEX(Sims!$A1817:$BO1817,'Entry Builder'!$L$12)&gt;'Entry Builder'!$E$12)))</f>
        <v/>
      </c>
      <c r="G1817">
        <f>6-SUM(A1817:F1817)</f>
        <v/>
      </c>
    </row>
    <row r="1818">
      <c r="A1818">
        <f>IF('Entry Builder'!$N$7=0,1,IF('Entry Builder'!$D$7="Less",--(INDEX(Sims!$A1818:$BO1818,'Entry Builder'!$L$7)&lt;'Entry Builder'!$E$7),--(INDEX(Sims!$A1818:$BO1818,'Entry Builder'!$L$7)&gt;'Entry Builder'!$E$7)))</f>
        <v/>
      </c>
      <c r="B1818">
        <f>IF('Entry Builder'!$N$8=0,1,IF('Entry Builder'!$D$8="Less",--(INDEX(Sims!$A1818:$BO1818,'Entry Builder'!$L$8)&lt;'Entry Builder'!$E$8),--(INDEX(Sims!$A1818:$BO1818,'Entry Builder'!$L$8)&gt;'Entry Builder'!$E$8)))</f>
        <v/>
      </c>
      <c r="C1818">
        <f>IF('Entry Builder'!$N$9=0,1,IF('Entry Builder'!$D$9="Less",--(INDEX(Sims!$A1818:$BO1818,'Entry Builder'!$L$9)&lt;'Entry Builder'!$E$9),--(INDEX(Sims!$A1818:$BO1818,'Entry Builder'!$L$9)&gt;'Entry Builder'!$E$9)))</f>
        <v/>
      </c>
      <c r="D1818">
        <f>IF('Entry Builder'!$N$10=0,1,IF('Entry Builder'!$D$10="Less",--(INDEX(Sims!$A1818:$BO1818,'Entry Builder'!$L$10)&lt;'Entry Builder'!$E$10),--(INDEX(Sims!$A1818:$BO1818,'Entry Builder'!$L$10)&gt;'Entry Builder'!$E$10)))</f>
        <v/>
      </c>
      <c r="E1818">
        <f>IF('Entry Builder'!$N$11=0,1,IF('Entry Builder'!$D$11="Less",--(INDEX(Sims!$A1818:$BO1818,'Entry Builder'!$L$11)&lt;'Entry Builder'!$E$11),--(INDEX(Sims!$A1818:$BO1818,'Entry Builder'!$L$11)&gt;'Entry Builder'!$E$11)))</f>
        <v/>
      </c>
      <c r="F1818">
        <f>IF('Entry Builder'!$N$12=0,1,IF('Entry Builder'!$D$12="Less",--(INDEX(Sims!$A1818:$BO1818,'Entry Builder'!$L$12)&lt;'Entry Builder'!$E$12),--(INDEX(Sims!$A1818:$BO1818,'Entry Builder'!$L$12)&gt;'Entry Builder'!$E$12)))</f>
        <v/>
      </c>
      <c r="G1818">
        <f>6-SUM(A1818:F1818)</f>
        <v/>
      </c>
    </row>
    <row r="1819">
      <c r="A1819">
        <f>IF('Entry Builder'!$N$7=0,1,IF('Entry Builder'!$D$7="Less",--(INDEX(Sims!$A1819:$BO1819,'Entry Builder'!$L$7)&lt;'Entry Builder'!$E$7),--(INDEX(Sims!$A1819:$BO1819,'Entry Builder'!$L$7)&gt;'Entry Builder'!$E$7)))</f>
        <v/>
      </c>
      <c r="B1819">
        <f>IF('Entry Builder'!$N$8=0,1,IF('Entry Builder'!$D$8="Less",--(INDEX(Sims!$A1819:$BO1819,'Entry Builder'!$L$8)&lt;'Entry Builder'!$E$8),--(INDEX(Sims!$A1819:$BO1819,'Entry Builder'!$L$8)&gt;'Entry Builder'!$E$8)))</f>
        <v/>
      </c>
      <c r="C1819">
        <f>IF('Entry Builder'!$N$9=0,1,IF('Entry Builder'!$D$9="Less",--(INDEX(Sims!$A1819:$BO1819,'Entry Builder'!$L$9)&lt;'Entry Builder'!$E$9),--(INDEX(Sims!$A1819:$BO1819,'Entry Builder'!$L$9)&gt;'Entry Builder'!$E$9)))</f>
        <v/>
      </c>
      <c r="D1819">
        <f>IF('Entry Builder'!$N$10=0,1,IF('Entry Builder'!$D$10="Less",--(INDEX(Sims!$A1819:$BO1819,'Entry Builder'!$L$10)&lt;'Entry Builder'!$E$10),--(INDEX(Sims!$A1819:$BO1819,'Entry Builder'!$L$10)&gt;'Entry Builder'!$E$10)))</f>
        <v/>
      </c>
      <c r="E1819">
        <f>IF('Entry Builder'!$N$11=0,1,IF('Entry Builder'!$D$11="Less",--(INDEX(Sims!$A1819:$BO1819,'Entry Builder'!$L$11)&lt;'Entry Builder'!$E$11),--(INDEX(Sims!$A1819:$BO1819,'Entry Builder'!$L$11)&gt;'Entry Builder'!$E$11)))</f>
        <v/>
      </c>
      <c r="F1819">
        <f>IF('Entry Builder'!$N$12=0,1,IF('Entry Builder'!$D$12="Less",--(INDEX(Sims!$A1819:$BO1819,'Entry Builder'!$L$12)&lt;'Entry Builder'!$E$12),--(INDEX(Sims!$A1819:$BO1819,'Entry Builder'!$L$12)&gt;'Entry Builder'!$E$12)))</f>
        <v/>
      </c>
      <c r="G1819">
        <f>6-SUM(A1819:F1819)</f>
        <v/>
      </c>
    </row>
    <row r="1820">
      <c r="A1820">
        <f>IF('Entry Builder'!$N$7=0,1,IF('Entry Builder'!$D$7="Less",--(INDEX(Sims!$A1820:$BO1820,'Entry Builder'!$L$7)&lt;'Entry Builder'!$E$7),--(INDEX(Sims!$A1820:$BO1820,'Entry Builder'!$L$7)&gt;'Entry Builder'!$E$7)))</f>
        <v/>
      </c>
      <c r="B1820">
        <f>IF('Entry Builder'!$N$8=0,1,IF('Entry Builder'!$D$8="Less",--(INDEX(Sims!$A1820:$BO1820,'Entry Builder'!$L$8)&lt;'Entry Builder'!$E$8),--(INDEX(Sims!$A1820:$BO1820,'Entry Builder'!$L$8)&gt;'Entry Builder'!$E$8)))</f>
        <v/>
      </c>
      <c r="C1820">
        <f>IF('Entry Builder'!$N$9=0,1,IF('Entry Builder'!$D$9="Less",--(INDEX(Sims!$A1820:$BO1820,'Entry Builder'!$L$9)&lt;'Entry Builder'!$E$9),--(INDEX(Sims!$A1820:$BO1820,'Entry Builder'!$L$9)&gt;'Entry Builder'!$E$9)))</f>
        <v/>
      </c>
      <c r="D1820">
        <f>IF('Entry Builder'!$N$10=0,1,IF('Entry Builder'!$D$10="Less",--(INDEX(Sims!$A1820:$BO1820,'Entry Builder'!$L$10)&lt;'Entry Builder'!$E$10),--(INDEX(Sims!$A1820:$BO1820,'Entry Builder'!$L$10)&gt;'Entry Builder'!$E$10)))</f>
        <v/>
      </c>
      <c r="E1820">
        <f>IF('Entry Builder'!$N$11=0,1,IF('Entry Builder'!$D$11="Less",--(INDEX(Sims!$A1820:$BO1820,'Entry Builder'!$L$11)&lt;'Entry Builder'!$E$11),--(INDEX(Sims!$A1820:$BO1820,'Entry Builder'!$L$11)&gt;'Entry Builder'!$E$11)))</f>
        <v/>
      </c>
      <c r="F1820">
        <f>IF('Entry Builder'!$N$12=0,1,IF('Entry Builder'!$D$12="Less",--(INDEX(Sims!$A1820:$BO1820,'Entry Builder'!$L$12)&lt;'Entry Builder'!$E$12),--(INDEX(Sims!$A1820:$BO1820,'Entry Builder'!$L$12)&gt;'Entry Builder'!$E$12)))</f>
        <v/>
      </c>
      <c r="G1820">
        <f>6-SUM(A1820:F1820)</f>
        <v/>
      </c>
    </row>
    <row r="1821">
      <c r="A1821">
        <f>IF('Entry Builder'!$N$7=0,1,IF('Entry Builder'!$D$7="Less",--(INDEX(Sims!$A1821:$BO1821,'Entry Builder'!$L$7)&lt;'Entry Builder'!$E$7),--(INDEX(Sims!$A1821:$BO1821,'Entry Builder'!$L$7)&gt;'Entry Builder'!$E$7)))</f>
        <v/>
      </c>
      <c r="B1821">
        <f>IF('Entry Builder'!$N$8=0,1,IF('Entry Builder'!$D$8="Less",--(INDEX(Sims!$A1821:$BO1821,'Entry Builder'!$L$8)&lt;'Entry Builder'!$E$8),--(INDEX(Sims!$A1821:$BO1821,'Entry Builder'!$L$8)&gt;'Entry Builder'!$E$8)))</f>
        <v/>
      </c>
      <c r="C1821">
        <f>IF('Entry Builder'!$N$9=0,1,IF('Entry Builder'!$D$9="Less",--(INDEX(Sims!$A1821:$BO1821,'Entry Builder'!$L$9)&lt;'Entry Builder'!$E$9),--(INDEX(Sims!$A1821:$BO1821,'Entry Builder'!$L$9)&gt;'Entry Builder'!$E$9)))</f>
        <v/>
      </c>
      <c r="D1821">
        <f>IF('Entry Builder'!$N$10=0,1,IF('Entry Builder'!$D$10="Less",--(INDEX(Sims!$A1821:$BO1821,'Entry Builder'!$L$10)&lt;'Entry Builder'!$E$10),--(INDEX(Sims!$A1821:$BO1821,'Entry Builder'!$L$10)&gt;'Entry Builder'!$E$10)))</f>
        <v/>
      </c>
      <c r="E1821">
        <f>IF('Entry Builder'!$N$11=0,1,IF('Entry Builder'!$D$11="Less",--(INDEX(Sims!$A1821:$BO1821,'Entry Builder'!$L$11)&lt;'Entry Builder'!$E$11),--(INDEX(Sims!$A1821:$BO1821,'Entry Builder'!$L$11)&gt;'Entry Builder'!$E$11)))</f>
        <v/>
      </c>
      <c r="F1821">
        <f>IF('Entry Builder'!$N$12=0,1,IF('Entry Builder'!$D$12="Less",--(INDEX(Sims!$A1821:$BO1821,'Entry Builder'!$L$12)&lt;'Entry Builder'!$E$12),--(INDEX(Sims!$A1821:$BO1821,'Entry Builder'!$L$12)&gt;'Entry Builder'!$E$12)))</f>
        <v/>
      </c>
      <c r="G1821">
        <f>6-SUM(A1821:F1821)</f>
        <v/>
      </c>
    </row>
    <row r="1822">
      <c r="A1822">
        <f>IF('Entry Builder'!$N$7=0,1,IF('Entry Builder'!$D$7="Less",--(INDEX(Sims!$A1822:$BO1822,'Entry Builder'!$L$7)&lt;'Entry Builder'!$E$7),--(INDEX(Sims!$A1822:$BO1822,'Entry Builder'!$L$7)&gt;'Entry Builder'!$E$7)))</f>
        <v/>
      </c>
      <c r="B1822">
        <f>IF('Entry Builder'!$N$8=0,1,IF('Entry Builder'!$D$8="Less",--(INDEX(Sims!$A1822:$BO1822,'Entry Builder'!$L$8)&lt;'Entry Builder'!$E$8),--(INDEX(Sims!$A1822:$BO1822,'Entry Builder'!$L$8)&gt;'Entry Builder'!$E$8)))</f>
        <v/>
      </c>
      <c r="C1822">
        <f>IF('Entry Builder'!$N$9=0,1,IF('Entry Builder'!$D$9="Less",--(INDEX(Sims!$A1822:$BO1822,'Entry Builder'!$L$9)&lt;'Entry Builder'!$E$9),--(INDEX(Sims!$A1822:$BO1822,'Entry Builder'!$L$9)&gt;'Entry Builder'!$E$9)))</f>
        <v/>
      </c>
      <c r="D1822">
        <f>IF('Entry Builder'!$N$10=0,1,IF('Entry Builder'!$D$10="Less",--(INDEX(Sims!$A1822:$BO1822,'Entry Builder'!$L$10)&lt;'Entry Builder'!$E$10),--(INDEX(Sims!$A1822:$BO1822,'Entry Builder'!$L$10)&gt;'Entry Builder'!$E$10)))</f>
        <v/>
      </c>
      <c r="E1822">
        <f>IF('Entry Builder'!$N$11=0,1,IF('Entry Builder'!$D$11="Less",--(INDEX(Sims!$A1822:$BO1822,'Entry Builder'!$L$11)&lt;'Entry Builder'!$E$11),--(INDEX(Sims!$A1822:$BO1822,'Entry Builder'!$L$11)&gt;'Entry Builder'!$E$11)))</f>
        <v/>
      </c>
      <c r="F1822">
        <f>IF('Entry Builder'!$N$12=0,1,IF('Entry Builder'!$D$12="Less",--(INDEX(Sims!$A1822:$BO1822,'Entry Builder'!$L$12)&lt;'Entry Builder'!$E$12),--(INDEX(Sims!$A1822:$BO1822,'Entry Builder'!$L$12)&gt;'Entry Builder'!$E$12)))</f>
        <v/>
      </c>
      <c r="G1822">
        <f>6-SUM(A1822:F1822)</f>
        <v/>
      </c>
    </row>
    <row r="1823">
      <c r="A1823">
        <f>IF('Entry Builder'!$N$7=0,1,IF('Entry Builder'!$D$7="Less",--(INDEX(Sims!$A1823:$BO1823,'Entry Builder'!$L$7)&lt;'Entry Builder'!$E$7),--(INDEX(Sims!$A1823:$BO1823,'Entry Builder'!$L$7)&gt;'Entry Builder'!$E$7)))</f>
        <v/>
      </c>
      <c r="B1823">
        <f>IF('Entry Builder'!$N$8=0,1,IF('Entry Builder'!$D$8="Less",--(INDEX(Sims!$A1823:$BO1823,'Entry Builder'!$L$8)&lt;'Entry Builder'!$E$8),--(INDEX(Sims!$A1823:$BO1823,'Entry Builder'!$L$8)&gt;'Entry Builder'!$E$8)))</f>
        <v/>
      </c>
      <c r="C1823">
        <f>IF('Entry Builder'!$N$9=0,1,IF('Entry Builder'!$D$9="Less",--(INDEX(Sims!$A1823:$BO1823,'Entry Builder'!$L$9)&lt;'Entry Builder'!$E$9),--(INDEX(Sims!$A1823:$BO1823,'Entry Builder'!$L$9)&gt;'Entry Builder'!$E$9)))</f>
        <v/>
      </c>
      <c r="D1823">
        <f>IF('Entry Builder'!$N$10=0,1,IF('Entry Builder'!$D$10="Less",--(INDEX(Sims!$A1823:$BO1823,'Entry Builder'!$L$10)&lt;'Entry Builder'!$E$10),--(INDEX(Sims!$A1823:$BO1823,'Entry Builder'!$L$10)&gt;'Entry Builder'!$E$10)))</f>
        <v/>
      </c>
      <c r="E1823">
        <f>IF('Entry Builder'!$N$11=0,1,IF('Entry Builder'!$D$11="Less",--(INDEX(Sims!$A1823:$BO1823,'Entry Builder'!$L$11)&lt;'Entry Builder'!$E$11),--(INDEX(Sims!$A1823:$BO1823,'Entry Builder'!$L$11)&gt;'Entry Builder'!$E$11)))</f>
        <v/>
      </c>
      <c r="F1823">
        <f>IF('Entry Builder'!$N$12=0,1,IF('Entry Builder'!$D$12="Less",--(INDEX(Sims!$A1823:$BO1823,'Entry Builder'!$L$12)&lt;'Entry Builder'!$E$12),--(INDEX(Sims!$A1823:$BO1823,'Entry Builder'!$L$12)&gt;'Entry Builder'!$E$12)))</f>
        <v/>
      </c>
      <c r="G1823">
        <f>6-SUM(A1823:F1823)</f>
        <v/>
      </c>
    </row>
    <row r="1824">
      <c r="A1824">
        <f>IF('Entry Builder'!$N$7=0,1,IF('Entry Builder'!$D$7="Less",--(INDEX(Sims!$A1824:$BO1824,'Entry Builder'!$L$7)&lt;'Entry Builder'!$E$7),--(INDEX(Sims!$A1824:$BO1824,'Entry Builder'!$L$7)&gt;'Entry Builder'!$E$7)))</f>
        <v/>
      </c>
      <c r="B1824">
        <f>IF('Entry Builder'!$N$8=0,1,IF('Entry Builder'!$D$8="Less",--(INDEX(Sims!$A1824:$BO1824,'Entry Builder'!$L$8)&lt;'Entry Builder'!$E$8),--(INDEX(Sims!$A1824:$BO1824,'Entry Builder'!$L$8)&gt;'Entry Builder'!$E$8)))</f>
        <v/>
      </c>
      <c r="C1824">
        <f>IF('Entry Builder'!$N$9=0,1,IF('Entry Builder'!$D$9="Less",--(INDEX(Sims!$A1824:$BO1824,'Entry Builder'!$L$9)&lt;'Entry Builder'!$E$9),--(INDEX(Sims!$A1824:$BO1824,'Entry Builder'!$L$9)&gt;'Entry Builder'!$E$9)))</f>
        <v/>
      </c>
      <c r="D1824">
        <f>IF('Entry Builder'!$N$10=0,1,IF('Entry Builder'!$D$10="Less",--(INDEX(Sims!$A1824:$BO1824,'Entry Builder'!$L$10)&lt;'Entry Builder'!$E$10),--(INDEX(Sims!$A1824:$BO1824,'Entry Builder'!$L$10)&gt;'Entry Builder'!$E$10)))</f>
        <v/>
      </c>
      <c r="E1824">
        <f>IF('Entry Builder'!$N$11=0,1,IF('Entry Builder'!$D$11="Less",--(INDEX(Sims!$A1824:$BO1824,'Entry Builder'!$L$11)&lt;'Entry Builder'!$E$11),--(INDEX(Sims!$A1824:$BO1824,'Entry Builder'!$L$11)&gt;'Entry Builder'!$E$11)))</f>
        <v/>
      </c>
      <c r="F1824">
        <f>IF('Entry Builder'!$N$12=0,1,IF('Entry Builder'!$D$12="Less",--(INDEX(Sims!$A1824:$BO1824,'Entry Builder'!$L$12)&lt;'Entry Builder'!$E$12),--(INDEX(Sims!$A1824:$BO1824,'Entry Builder'!$L$12)&gt;'Entry Builder'!$E$12)))</f>
        <v/>
      </c>
      <c r="G1824">
        <f>6-SUM(A1824:F1824)</f>
        <v/>
      </c>
    </row>
    <row r="1825">
      <c r="A1825">
        <f>IF('Entry Builder'!$N$7=0,1,IF('Entry Builder'!$D$7="Less",--(INDEX(Sims!$A1825:$BO1825,'Entry Builder'!$L$7)&lt;'Entry Builder'!$E$7),--(INDEX(Sims!$A1825:$BO1825,'Entry Builder'!$L$7)&gt;'Entry Builder'!$E$7)))</f>
        <v/>
      </c>
      <c r="B1825">
        <f>IF('Entry Builder'!$N$8=0,1,IF('Entry Builder'!$D$8="Less",--(INDEX(Sims!$A1825:$BO1825,'Entry Builder'!$L$8)&lt;'Entry Builder'!$E$8),--(INDEX(Sims!$A1825:$BO1825,'Entry Builder'!$L$8)&gt;'Entry Builder'!$E$8)))</f>
        <v/>
      </c>
      <c r="C1825">
        <f>IF('Entry Builder'!$N$9=0,1,IF('Entry Builder'!$D$9="Less",--(INDEX(Sims!$A1825:$BO1825,'Entry Builder'!$L$9)&lt;'Entry Builder'!$E$9),--(INDEX(Sims!$A1825:$BO1825,'Entry Builder'!$L$9)&gt;'Entry Builder'!$E$9)))</f>
        <v/>
      </c>
      <c r="D1825">
        <f>IF('Entry Builder'!$N$10=0,1,IF('Entry Builder'!$D$10="Less",--(INDEX(Sims!$A1825:$BO1825,'Entry Builder'!$L$10)&lt;'Entry Builder'!$E$10),--(INDEX(Sims!$A1825:$BO1825,'Entry Builder'!$L$10)&gt;'Entry Builder'!$E$10)))</f>
        <v/>
      </c>
      <c r="E1825">
        <f>IF('Entry Builder'!$N$11=0,1,IF('Entry Builder'!$D$11="Less",--(INDEX(Sims!$A1825:$BO1825,'Entry Builder'!$L$11)&lt;'Entry Builder'!$E$11),--(INDEX(Sims!$A1825:$BO1825,'Entry Builder'!$L$11)&gt;'Entry Builder'!$E$11)))</f>
        <v/>
      </c>
      <c r="F1825">
        <f>IF('Entry Builder'!$N$12=0,1,IF('Entry Builder'!$D$12="Less",--(INDEX(Sims!$A1825:$BO1825,'Entry Builder'!$L$12)&lt;'Entry Builder'!$E$12),--(INDEX(Sims!$A1825:$BO1825,'Entry Builder'!$L$12)&gt;'Entry Builder'!$E$12)))</f>
        <v/>
      </c>
      <c r="G1825">
        <f>6-SUM(A1825:F1825)</f>
        <v/>
      </c>
    </row>
    <row r="1826">
      <c r="A1826">
        <f>IF('Entry Builder'!$N$7=0,1,IF('Entry Builder'!$D$7="Less",--(INDEX(Sims!$A1826:$BO1826,'Entry Builder'!$L$7)&lt;'Entry Builder'!$E$7),--(INDEX(Sims!$A1826:$BO1826,'Entry Builder'!$L$7)&gt;'Entry Builder'!$E$7)))</f>
        <v/>
      </c>
      <c r="B1826">
        <f>IF('Entry Builder'!$N$8=0,1,IF('Entry Builder'!$D$8="Less",--(INDEX(Sims!$A1826:$BO1826,'Entry Builder'!$L$8)&lt;'Entry Builder'!$E$8),--(INDEX(Sims!$A1826:$BO1826,'Entry Builder'!$L$8)&gt;'Entry Builder'!$E$8)))</f>
        <v/>
      </c>
      <c r="C1826">
        <f>IF('Entry Builder'!$N$9=0,1,IF('Entry Builder'!$D$9="Less",--(INDEX(Sims!$A1826:$BO1826,'Entry Builder'!$L$9)&lt;'Entry Builder'!$E$9),--(INDEX(Sims!$A1826:$BO1826,'Entry Builder'!$L$9)&gt;'Entry Builder'!$E$9)))</f>
        <v/>
      </c>
      <c r="D1826">
        <f>IF('Entry Builder'!$N$10=0,1,IF('Entry Builder'!$D$10="Less",--(INDEX(Sims!$A1826:$BO1826,'Entry Builder'!$L$10)&lt;'Entry Builder'!$E$10),--(INDEX(Sims!$A1826:$BO1826,'Entry Builder'!$L$10)&gt;'Entry Builder'!$E$10)))</f>
        <v/>
      </c>
      <c r="E1826">
        <f>IF('Entry Builder'!$N$11=0,1,IF('Entry Builder'!$D$11="Less",--(INDEX(Sims!$A1826:$BO1826,'Entry Builder'!$L$11)&lt;'Entry Builder'!$E$11),--(INDEX(Sims!$A1826:$BO1826,'Entry Builder'!$L$11)&gt;'Entry Builder'!$E$11)))</f>
        <v/>
      </c>
      <c r="F1826">
        <f>IF('Entry Builder'!$N$12=0,1,IF('Entry Builder'!$D$12="Less",--(INDEX(Sims!$A1826:$BO1826,'Entry Builder'!$L$12)&lt;'Entry Builder'!$E$12),--(INDEX(Sims!$A1826:$BO1826,'Entry Builder'!$L$12)&gt;'Entry Builder'!$E$12)))</f>
        <v/>
      </c>
      <c r="G1826">
        <f>6-SUM(A1826:F1826)</f>
        <v/>
      </c>
    </row>
    <row r="1827">
      <c r="A1827">
        <f>IF('Entry Builder'!$N$7=0,1,IF('Entry Builder'!$D$7="Less",--(INDEX(Sims!$A1827:$BO1827,'Entry Builder'!$L$7)&lt;'Entry Builder'!$E$7),--(INDEX(Sims!$A1827:$BO1827,'Entry Builder'!$L$7)&gt;'Entry Builder'!$E$7)))</f>
        <v/>
      </c>
      <c r="B1827">
        <f>IF('Entry Builder'!$N$8=0,1,IF('Entry Builder'!$D$8="Less",--(INDEX(Sims!$A1827:$BO1827,'Entry Builder'!$L$8)&lt;'Entry Builder'!$E$8),--(INDEX(Sims!$A1827:$BO1827,'Entry Builder'!$L$8)&gt;'Entry Builder'!$E$8)))</f>
        <v/>
      </c>
      <c r="C1827">
        <f>IF('Entry Builder'!$N$9=0,1,IF('Entry Builder'!$D$9="Less",--(INDEX(Sims!$A1827:$BO1827,'Entry Builder'!$L$9)&lt;'Entry Builder'!$E$9),--(INDEX(Sims!$A1827:$BO1827,'Entry Builder'!$L$9)&gt;'Entry Builder'!$E$9)))</f>
        <v/>
      </c>
      <c r="D1827">
        <f>IF('Entry Builder'!$N$10=0,1,IF('Entry Builder'!$D$10="Less",--(INDEX(Sims!$A1827:$BO1827,'Entry Builder'!$L$10)&lt;'Entry Builder'!$E$10),--(INDEX(Sims!$A1827:$BO1827,'Entry Builder'!$L$10)&gt;'Entry Builder'!$E$10)))</f>
        <v/>
      </c>
      <c r="E1827">
        <f>IF('Entry Builder'!$N$11=0,1,IF('Entry Builder'!$D$11="Less",--(INDEX(Sims!$A1827:$BO1827,'Entry Builder'!$L$11)&lt;'Entry Builder'!$E$11),--(INDEX(Sims!$A1827:$BO1827,'Entry Builder'!$L$11)&gt;'Entry Builder'!$E$11)))</f>
        <v/>
      </c>
      <c r="F1827">
        <f>IF('Entry Builder'!$N$12=0,1,IF('Entry Builder'!$D$12="Less",--(INDEX(Sims!$A1827:$BO1827,'Entry Builder'!$L$12)&lt;'Entry Builder'!$E$12),--(INDEX(Sims!$A1827:$BO1827,'Entry Builder'!$L$12)&gt;'Entry Builder'!$E$12)))</f>
        <v/>
      </c>
      <c r="G1827">
        <f>6-SUM(A1827:F1827)</f>
        <v/>
      </c>
    </row>
    <row r="1828">
      <c r="A1828">
        <f>IF('Entry Builder'!$N$7=0,1,IF('Entry Builder'!$D$7="Less",--(INDEX(Sims!$A1828:$BO1828,'Entry Builder'!$L$7)&lt;'Entry Builder'!$E$7),--(INDEX(Sims!$A1828:$BO1828,'Entry Builder'!$L$7)&gt;'Entry Builder'!$E$7)))</f>
        <v/>
      </c>
      <c r="B1828">
        <f>IF('Entry Builder'!$N$8=0,1,IF('Entry Builder'!$D$8="Less",--(INDEX(Sims!$A1828:$BO1828,'Entry Builder'!$L$8)&lt;'Entry Builder'!$E$8),--(INDEX(Sims!$A1828:$BO1828,'Entry Builder'!$L$8)&gt;'Entry Builder'!$E$8)))</f>
        <v/>
      </c>
      <c r="C1828">
        <f>IF('Entry Builder'!$N$9=0,1,IF('Entry Builder'!$D$9="Less",--(INDEX(Sims!$A1828:$BO1828,'Entry Builder'!$L$9)&lt;'Entry Builder'!$E$9),--(INDEX(Sims!$A1828:$BO1828,'Entry Builder'!$L$9)&gt;'Entry Builder'!$E$9)))</f>
        <v/>
      </c>
      <c r="D1828">
        <f>IF('Entry Builder'!$N$10=0,1,IF('Entry Builder'!$D$10="Less",--(INDEX(Sims!$A1828:$BO1828,'Entry Builder'!$L$10)&lt;'Entry Builder'!$E$10),--(INDEX(Sims!$A1828:$BO1828,'Entry Builder'!$L$10)&gt;'Entry Builder'!$E$10)))</f>
        <v/>
      </c>
      <c r="E1828">
        <f>IF('Entry Builder'!$N$11=0,1,IF('Entry Builder'!$D$11="Less",--(INDEX(Sims!$A1828:$BO1828,'Entry Builder'!$L$11)&lt;'Entry Builder'!$E$11),--(INDEX(Sims!$A1828:$BO1828,'Entry Builder'!$L$11)&gt;'Entry Builder'!$E$11)))</f>
        <v/>
      </c>
      <c r="F1828">
        <f>IF('Entry Builder'!$N$12=0,1,IF('Entry Builder'!$D$12="Less",--(INDEX(Sims!$A1828:$BO1828,'Entry Builder'!$L$12)&lt;'Entry Builder'!$E$12),--(INDEX(Sims!$A1828:$BO1828,'Entry Builder'!$L$12)&gt;'Entry Builder'!$E$12)))</f>
        <v/>
      </c>
      <c r="G1828">
        <f>6-SUM(A1828:F1828)</f>
        <v/>
      </c>
    </row>
    <row r="1829">
      <c r="A1829">
        <f>IF('Entry Builder'!$N$7=0,1,IF('Entry Builder'!$D$7="Less",--(INDEX(Sims!$A1829:$BO1829,'Entry Builder'!$L$7)&lt;'Entry Builder'!$E$7),--(INDEX(Sims!$A1829:$BO1829,'Entry Builder'!$L$7)&gt;'Entry Builder'!$E$7)))</f>
        <v/>
      </c>
      <c r="B1829">
        <f>IF('Entry Builder'!$N$8=0,1,IF('Entry Builder'!$D$8="Less",--(INDEX(Sims!$A1829:$BO1829,'Entry Builder'!$L$8)&lt;'Entry Builder'!$E$8),--(INDEX(Sims!$A1829:$BO1829,'Entry Builder'!$L$8)&gt;'Entry Builder'!$E$8)))</f>
        <v/>
      </c>
      <c r="C1829">
        <f>IF('Entry Builder'!$N$9=0,1,IF('Entry Builder'!$D$9="Less",--(INDEX(Sims!$A1829:$BO1829,'Entry Builder'!$L$9)&lt;'Entry Builder'!$E$9),--(INDEX(Sims!$A1829:$BO1829,'Entry Builder'!$L$9)&gt;'Entry Builder'!$E$9)))</f>
        <v/>
      </c>
      <c r="D1829">
        <f>IF('Entry Builder'!$N$10=0,1,IF('Entry Builder'!$D$10="Less",--(INDEX(Sims!$A1829:$BO1829,'Entry Builder'!$L$10)&lt;'Entry Builder'!$E$10),--(INDEX(Sims!$A1829:$BO1829,'Entry Builder'!$L$10)&gt;'Entry Builder'!$E$10)))</f>
        <v/>
      </c>
      <c r="E1829">
        <f>IF('Entry Builder'!$N$11=0,1,IF('Entry Builder'!$D$11="Less",--(INDEX(Sims!$A1829:$BO1829,'Entry Builder'!$L$11)&lt;'Entry Builder'!$E$11),--(INDEX(Sims!$A1829:$BO1829,'Entry Builder'!$L$11)&gt;'Entry Builder'!$E$11)))</f>
        <v/>
      </c>
      <c r="F1829">
        <f>IF('Entry Builder'!$N$12=0,1,IF('Entry Builder'!$D$12="Less",--(INDEX(Sims!$A1829:$BO1829,'Entry Builder'!$L$12)&lt;'Entry Builder'!$E$12),--(INDEX(Sims!$A1829:$BO1829,'Entry Builder'!$L$12)&gt;'Entry Builder'!$E$12)))</f>
        <v/>
      </c>
      <c r="G1829">
        <f>6-SUM(A1829:F1829)</f>
        <v/>
      </c>
    </row>
    <row r="1830">
      <c r="A1830">
        <f>IF('Entry Builder'!$N$7=0,1,IF('Entry Builder'!$D$7="Less",--(INDEX(Sims!$A1830:$BO1830,'Entry Builder'!$L$7)&lt;'Entry Builder'!$E$7),--(INDEX(Sims!$A1830:$BO1830,'Entry Builder'!$L$7)&gt;'Entry Builder'!$E$7)))</f>
        <v/>
      </c>
      <c r="B1830">
        <f>IF('Entry Builder'!$N$8=0,1,IF('Entry Builder'!$D$8="Less",--(INDEX(Sims!$A1830:$BO1830,'Entry Builder'!$L$8)&lt;'Entry Builder'!$E$8),--(INDEX(Sims!$A1830:$BO1830,'Entry Builder'!$L$8)&gt;'Entry Builder'!$E$8)))</f>
        <v/>
      </c>
      <c r="C1830">
        <f>IF('Entry Builder'!$N$9=0,1,IF('Entry Builder'!$D$9="Less",--(INDEX(Sims!$A1830:$BO1830,'Entry Builder'!$L$9)&lt;'Entry Builder'!$E$9),--(INDEX(Sims!$A1830:$BO1830,'Entry Builder'!$L$9)&gt;'Entry Builder'!$E$9)))</f>
        <v/>
      </c>
      <c r="D1830">
        <f>IF('Entry Builder'!$N$10=0,1,IF('Entry Builder'!$D$10="Less",--(INDEX(Sims!$A1830:$BO1830,'Entry Builder'!$L$10)&lt;'Entry Builder'!$E$10),--(INDEX(Sims!$A1830:$BO1830,'Entry Builder'!$L$10)&gt;'Entry Builder'!$E$10)))</f>
        <v/>
      </c>
      <c r="E1830">
        <f>IF('Entry Builder'!$N$11=0,1,IF('Entry Builder'!$D$11="Less",--(INDEX(Sims!$A1830:$BO1830,'Entry Builder'!$L$11)&lt;'Entry Builder'!$E$11),--(INDEX(Sims!$A1830:$BO1830,'Entry Builder'!$L$11)&gt;'Entry Builder'!$E$11)))</f>
        <v/>
      </c>
      <c r="F1830">
        <f>IF('Entry Builder'!$N$12=0,1,IF('Entry Builder'!$D$12="Less",--(INDEX(Sims!$A1830:$BO1830,'Entry Builder'!$L$12)&lt;'Entry Builder'!$E$12),--(INDEX(Sims!$A1830:$BO1830,'Entry Builder'!$L$12)&gt;'Entry Builder'!$E$12)))</f>
        <v/>
      </c>
      <c r="G1830">
        <f>6-SUM(A1830:F1830)</f>
        <v/>
      </c>
    </row>
    <row r="1831">
      <c r="A1831">
        <f>IF('Entry Builder'!$N$7=0,1,IF('Entry Builder'!$D$7="Less",--(INDEX(Sims!$A1831:$BO1831,'Entry Builder'!$L$7)&lt;'Entry Builder'!$E$7),--(INDEX(Sims!$A1831:$BO1831,'Entry Builder'!$L$7)&gt;'Entry Builder'!$E$7)))</f>
        <v/>
      </c>
      <c r="B1831">
        <f>IF('Entry Builder'!$N$8=0,1,IF('Entry Builder'!$D$8="Less",--(INDEX(Sims!$A1831:$BO1831,'Entry Builder'!$L$8)&lt;'Entry Builder'!$E$8),--(INDEX(Sims!$A1831:$BO1831,'Entry Builder'!$L$8)&gt;'Entry Builder'!$E$8)))</f>
        <v/>
      </c>
      <c r="C1831">
        <f>IF('Entry Builder'!$N$9=0,1,IF('Entry Builder'!$D$9="Less",--(INDEX(Sims!$A1831:$BO1831,'Entry Builder'!$L$9)&lt;'Entry Builder'!$E$9),--(INDEX(Sims!$A1831:$BO1831,'Entry Builder'!$L$9)&gt;'Entry Builder'!$E$9)))</f>
        <v/>
      </c>
      <c r="D1831">
        <f>IF('Entry Builder'!$N$10=0,1,IF('Entry Builder'!$D$10="Less",--(INDEX(Sims!$A1831:$BO1831,'Entry Builder'!$L$10)&lt;'Entry Builder'!$E$10),--(INDEX(Sims!$A1831:$BO1831,'Entry Builder'!$L$10)&gt;'Entry Builder'!$E$10)))</f>
        <v/>
      </c>
      <c r="E1831">
        <f>IF('Entry Builder'!$N$11=0,1,IF('Entry Builder'!$D$11="Less",--(INDEX(Sims!$A1831:$BO1831,'Entry Builder'!$L$11)&lt;'Entry Builder'!$E$11),--(INDEX(Sims!$A1831:$BO1831,'Entry Builder'!$L$11)&gt;'Entry Builder'!$E$11)))</f>
        <v/>
      </c>
      <c r="F1831">
        <f>IF('Entry Builder'!$N$12=0,1,IF('Entry Builder'!$D$12="Less",--(INDEX(Sims!$A1831:$BO1831,'Entry Builder'!$L$12)&lt;'Entry Builder'!$E$12),--(INDEX(Sims!$A1831:$BO1831,'Entry Builder'!$L$12)&gt;'Entry Builder'!$E$12)))</f>
        <v/>
      </c>
      <c r="G1831">
        <f>6-SUM(A1831:F1831)</f>
        <v/>
      </c>
    </row>
    <row r="1832">
      <c r="A1832">
        <f>IF('Entry Builder'!$N$7=0,1,IF('Entry Builder'!$D$7="Less",--(INDEX(Sims!$A1832:$BO1832,'Entry Builder'!$L$7)&lt;'Entry Builder'!$E$7),--(INDEX(Sims!$A1832:$BO1832,'Entry Builder'!$L$7)&gt;'Entry Builder'!$E$7)))</f>
        <v/>
      </c>
      <c r="B1832">
        <f>IF('Entry Builder'!$N$8=0,1,IF('Entry Builder'!$D$8="Less",--(INDEX(Sims!$A1832:$BO1832,'Entry Builder'!$L$8)&lt;'Entry Builder'!$E$8),--(INDEX(Sims!$A1832:$BO1832,'Entry Builder'!$L$8)&gt;'Entry Builder'!$E$8)))</f>
        <v/>
      </c>
      <c r="C1832">
        <f>IF('Entry Builder'!$N$9=0,1,IF('Entry Builder'!$D$9="Less",--(INDEX(Sims!$A1832:$BO1832,'Entry Builder'!$L$9)&lt;'Entry Builder'!$E$9),--(INDEX(Sims!$A1832:$BO1832,'Entry Builder'!$L$9)&gt;'Entry Builder'!$E$9)))</f>
        <v/>
      </c>
      <c r="D1832">
        <f>IF('Entry Builder'!$N$10=0,1,IF('Entry Builder'!$D$10="Less",--(INDEX(Sims!$A1832:$BO1832,'Entry Builder'!$L$10)&lt;'Entry Builder'!$E$10),--(INDEX(Sims!$A1832:$BO1832,'Entry Builder'!$L$10)&gt;'Entry Builder'!$E$10)))</f>
        <v/>
      </c>
      <c r="E1832">
        <f>IF('Entry Builder'!$N$11=0,1,IF('Entry Builder'!$D$11="Less",--(INDEX(Sims!$A1832:$BO1832,'Entry Builder'!$L$11)&lt;'Entry Builder'!$E$11),--(INDEX(Sims!$A1832:$BO1832,'Entry Builder'!$L$11)&gt;'Entry Builder'!$E$11)))</f>
        <v/>
      </c>
      <c r="F1832">
        <f>IF('Entry Builder'!$N$12=0,1,IF('Entry Builder'!$D$12="Less",--(INDEX(Sims!$A1832:$BO1832,'Entry Builder'!$L$12)&lt;'Entry Builder'!$E$12),--(INDEX(Sims!$A1832:$BO1832,'Entry Builder'!$L$12)&gt;'Entry Builder'!$E$12)))</f>
        <v/>
      </c>
      <c r="G1832">
        <f>6-SUM(A1832:F1832)</f>
        <v/>
      </c>
    </row>
    <row r="1833">
      <c r="A1833">
        <f>IF('Entry Builder'!$N$7=0,1,IF('Entry Builder'!$D$7="Less",--(INDEX(Sims!$A1833:$BO1833,'Entry Builder'!$L$7)&lt;'Entry Builder'!$E$7),--(INDEX(Sims!$A1833:$BO1833,'Entry Builder'!$L$7)&gt;'Entry Builder'!$E$7)))</f>
        <v/>
      </c>
      <c r="B1833">
        <f>IF('Entry Builder'!$N$8=0,1,IF('Entry Builder'!$D$8="Less",--(INDEX(Sims!$A1833:$BO1833,'Entry Builder'!$L$8)&lt;'Entry Builder'!$E$8),--(INDEX(Sims!$A1833:$BO1833,'Entry Builder'!$L$8)&gt;'Entry Builder'!$E$8)))</f>
        <v/>
      </c>
      <c r="C1833">
        <f>IF('Entry Builder'!$N$9=0,1,IF('Entry Builder'!$D$9="Less",--(INDEX(Sims!$A1833:$BO1833,'Entry Builder'!$L$9)&lt;'Entry Builder'!$E$9),--(INDEX(Sims!$A1833:$BO1833,'Entry Builder'!$L$9)&gt;'Entry Builder'!$E$9)))</f>
        <v/>
      </c>
      <c r="D1833">
        <f>IF('Entry Builder'!$N$10=0,1,IF('Entry Builder'!$D$10="Less",--(INDEX(Sims!$A1833:$BO1833,'Entry Builder'!$L$10)&lt;'Entry Builder'!$E$10),--(INDEX(Sims!$A1833:$BO1833,'Entry Builder'!$L$10)&gt;'Entry Builder'!$E$10)))</f>
        <v/>
      </c>
      <c r="E1833">
        <f>IF('Entry Builder'!$N$11=0,1,IF('Entry Builder'!$D$11="Less",--(INDEX(Sims!$A1833:$BO1833,'Entry Builder'!$L$11)&lt;'Entry Builder'!$E$11),--(INDEX(Sims!$A1833:$BO1833,'Entry Builder'!$L$11)&gt;'Entry Builder'!$E$11)))</f>
        <v/>
      </c>
      <c r="F1833">
        <f>IF('Entry Builder'!$N$12=0,1,IF('Entry Builder'!$D$12="Less",--(INDEX(Sims!$A1833:$BO1833,'Entry Builder'!$L$12)&lt;'Entry Builder'!$E$12),--(INDEX(Sims!$A1833:$BO1833,'Entry Builder'!$L$12)&gt;'Entry Builder'!$E$12)))</f>
        <v/>
      </c>
      <c r="G1833">
        <f>6-SUM(A1833:F1833)</f>
        <v/>
      </c>
    </row>
    <row r="1834">
      <c r="A1834">
        <f>IF('Entry Builder'!$N$7=0,1,IF('Entry Builder'!$D$7="Less",--(INDEX(Sims!$A1834:$BO1834,'Entry Builder'!$L$7)&lt;'Entry Builder'!$E$7),--(INDEX(Sims!$A1834:$BO1834,'Entry Builder'!$L$7)&gt;'Entry Builder'!$E$7)))</f>
        <v/>
      </c>
      <c r="B1834">
        <f>IF('Entry Builder'!$N$8=0,1,IF('Entry Builder'!$D$8="Less",--(INDEX(Sims!$A1834:$BO1834,'Entry Builder'!$L$8)&lt;'Entry Builder'!$E$8),--(INDEX(Sims!$A1834:$BO1834,'Entry Builder'!$L$8)&gt;'Entry Builder'!$E$8)))</f>
        <v/>
      </c>
      <c r="C1834">
        <f>IF('Entry Builder'!$N$9=0,1,IF('Entry Builder'!$D$9="Less",--(INDEX(Sims!$A1834:$BO1834,'Entry Builder'!$L$9)&lt;'Entry Builder'!$E$9),--(INDEX(Sims!$A1834:$BO1834,'Entry Builder'!$L$9)&gt;'Entry Builder'!$E$9)))</f>
        <v/>
      </c>
      <c r="D1834">
        <f>IF('Entry Builder'!$N$10=0,1,IF('Entry Builder'!$D$10="Less",--(INDEX(Sims!$A1834:$BO1834,'Entry Builder'!$L$10)&lt;'Entry Builder'!$E$10),--(INDEX(Sims!$A1834:$BO1834,'Entry Builder'!$L$10)&gt;'Entry Builder'!$E$10)))</f>
        <v/>
      </c>
      <c r="E1834">
        <f>IF('Entry Builder'!$N$11=0,1,IF('Entry Builder'!$D$11="Less",--(INDEX(Sims!$A1834:$BO1834,'Entry Builder'!$L$11)&lt;'Entry Builder'!$E$11),--(INDEX(Sims!$A1834:$BO1834,'Entry Builder'!$L$11)&gt;'Entry Builder'!$E$11)))</f>
        <v/>
      </c>
      <c r="F1834">
        <f>IF('Entry Builder'!$N$12=0,1,IF('Entry Builder'!$D$12="Less",--(INDEX(Sims!$A1834:$BO1834,'Entry Builder'!$L$12)&lt;'Entry Builder'!$E$12),--(INDEX(Sims!$A1834:$BO1834,'Entry Builder'!$L$12)&gt;'Entry Builder'!$E$12)))</f>
        <v/>
      </c>
      <c r="G1834">
        <f>6-SUM(A1834:F1834)</f>
        <v/>
      </c>
    </row>
    <row r="1835">
      <c r="A1835">
        <f>IF('Entry Builder'!$N$7=0,1,IF('Entry Builder'!$D$7="Less",--(INDEX(Sims!$A1835:$BO1835,'Entry Builder'!$L$7)&lt;'Entry Builder'!$E$7),--(INDEX(Sims!$A1835:$BO1835,'Entry Builder'!$L$7)&gt;'Entry Builder'!$E$7)))</f>
        <v/>
      </c>
      <c r="B1835">
        <f>IF('Entry Builder'!$N$8=0,1,IF('Entry Builder'!$D$8="Less",--(INDEX(Sims!$A1835:$BO1835,'Entry Builder'!$L$8)&lt;'Entry Builder'!$E$8),--(INDEX(Sims!$A1835:$BO1835,'Entry Builder'!$L$8)&gt;'Entry Builder'!$E$8)))</f>
        <v/>
      </c>
      <c r="C1835">
        <f>IF('Entry Builder'!$N$9=0,1,IF('Entry Builder'!$D$9="Less",--(INDEX(Sims!$A1835:$BO1835,'Entry Builder'!$L$9)&lt;'Entry Builder'!$E$9),--(INDEX(Sims!$A1835:$BO1835,'Entry Builder'!$L$9)&gt;'Entry Builder'!$E$9)))</f>
        <v/>
      </c>
      <c r="D1835">
        <f>IF('Entry Builder'!$N$10=0,1,IF('Entry Builder'!$D$10="Less",--(INDEX(Sims!$A1835:$BO1835,'Entry Builder'!$L$10)&lt;'Entry Builder'!$E$10),--(INDEX(Sims!$A1835:$BO1835,'Entry Builder'!$L$10)&gt;'Entry Builder'!$E$10)))</f>
        <v/>
      </c>
      <c r="E1835">
        <f>IF('Entry Builder'!$N$11=0,1,IF('Entry Builder'!$D$11="Less",--(INDEX(Sims!$A1835:$BO1835,'Entry Builder'!$L$11)&lt;'Entry Builder'!$E$11),--(INDEX(Sims!$A1835:$BO1835,'Entry Builder'!$L$11)&gt;'Entry Builder'!$E$11)))</f>
        <v/>
      </c>
      <c r="F1835">
        <f>IF('Entry Builder'!$N$12=0,1,IF('Entry Builder'!$D$12="Less",--(INDEX(Sims!$A1835:$BO1835,'Entry Builder'!$L$12)&lt;'Entry Builder'!$E$12),--(INDEX(Sims!$A1835:$BO1835,'Entry Builder'!$L$12)&gt;'Entry Builder'!$E$12)))</f>
        <v/>
      </c>
      <c r="G1835">
        <f>6-SUM(A1835:F1835)</f>
        <v/>
      </c>
    </row>
    <row r="1836">
      <c r="A1836">
        <f>IF('Entry Builder'!$N$7=0,1,IF('Entry Builder'!$D$7="Less",--(INDEX(Sims!$A1836:$BO1836,'Entry Builder'!$L$7)&lt;'Entry Builder'!$E$7),--(INDEX(Sims!$A1836:$BO1836,'Entry Builder'!$L$7)&gt;'Entry Builder'!$E$7)))</f>
        <v/>
      </c>
      <c r="B1836">
        <f>IF('Entry Builder'!$N$8=0,1,IF('Entry Builder'!$D$8="Less",--(INDEX(Sims!$A1836:$BO1836,'Entry Builder'!$L$8)&lt;'Entry Builder'!$E$8),--(INDEX(Sims!$A1836:$BO1836,'Entry Builder'!$L$8)&gt;'Entry Builder'!$E$8)))</f>
        <v/>
      </c>
      <c r="C1836">
        <f>IF('Entry Builder'!$N$9=0,1,IF('Entry Builder'!$D$9="Less",--(INDEX(Sims!$A1836:$BO1836,'Entry Builder'!$L$9)&lt;'Entry Builder'!$E$9),--(INDEX(Sims!$A1836:$BO1836,'Entry Builder'!$L$9)&gt;'Entry Builder'!$E$9)))</f>
        <v/>
      </c>
      <c r="D1836">
        <f>IF('Entry Builder'!$N$10=0,1,IF('Entry Builder'!$D$10="Less",--(INDEX(Sims!$A1836:$BO1836,'Entry Builder'!$L$10)&lt;'Entry Builder'!$E$10),--(INDEX(Sims!$A1836:$BO1836,'Entry Builder'!$L$10)&gt;'Entry Builder'!$E$10)))</f>
        <v/>
      </c>
      <c r="E1836">
        <f>IF('Entry Builder'!$N$11=0,1,IF('Entry Builder'!$D$11="Less",--(INDEX(Sims!$A1836:$BO1836,'Entry Builder'!$L$11)&lt;'Entry Builder'!$E$11),--(INDEX(Sims!$A1836:$BO1836,'Entry Builder'!$L$11)&gt;'Entry Builder'!$E$11)))</f>
        <v/>
      </c>
      <c r="F1836">
        <f>IF('Entry Builder'!$N$12=0,1,IF('Entry Builder'!$D$12="Less",--(INDEX(Sims!$A1836:$BO1836,'Entry Builder'!$L$12)&lt;'Entry Builder'!$E$12),--(INDEX(Sims!$A1836:$BO1836,'Entry Builder'!$L$12)&gt;'Entry Builder'!$E$12)))</f>
        <v/>
      </c>
      <c r="G1836">
        <f>6-SUM(A1836:F1836)</f>
        <v/>
      </c>
    </row>
    <row r="1837">
      <c r="A1837">
        <f>IF('Entry Builder'!$N$7=0,1,IF('Entry Builder'!$D$7="Less",--(INDEX(Sims!$A1837:$BO1837,'Entry Builder'!$L$7)&lt;'Entry Builder'!$E$7),--(INDEX(Sims!$A1837:$BO1837,'Entry Builder'!$L$7)&gt;'Entry Builder'!$E$7)))</f>
        <v/>
      </c>
      <c r="B1837">
        <f>IF('Entry Builder'!$N$8=0,1,IF('Entry Builder'!$D$8="Less",--(INDEX(Sims!$A1837:$BO1837,'Entry Builder'!$L$8)&lt;'Entry Builder'!$E$8),--(INDEX(Sims!$A1837:$BO1837,'Entry Builder'!$L$8)&gt;'Entry Builder'!$E$8)))</f>
        <v/>
      </c>
      <c r="C1837">
        <f>IF('Entry Builder'!$N$9=0,1,IF('Entry Builder'!$D$9="Less",--(INDEX(Sims!$A1837:$BO1837,'Entry Builder'!$L$9)&lt;'Entry Builder'!$E$9),--(INDEX(Sims!$A1837:$BO1837,'Entry Builder'!$L$9)&gt;'Entry Builder'!$E$9)))</f>
        <v/>
      </c>
      <c r="D1837">
        <f>IF('Entry Builder'!$N$10=0,1,IF('Entry Builder'!$D$10="Less",--(INDEX(Sims!$A1837:$BO1837,'Entry Builder'!$L$10)&lt;'Entry Builder'!$E$10),--(INDEX(Sims!$A1837:$BO1837,'Entry Builder'!$L$10)&gt;'Entry Builder'!$E$10)))</f>
        <v/>
      </c>
      <c r="E1837">
        <f>IF('Entry Builder'!$N$11=0,1,IF('Entry Builder'!$D$11="Less",--(INDEX(Sims!$A1837:$BO1837,'Entry Builder'!$L$11)&lt;'Entry Builder'!$E$11),--(INDEX(Sims!$A1837:$BO1837,'Entry Builder'!$L$11)&gt;'Entry Builder'!$E$11)))</f>
        <v/>
      </c>
      <c r="F1837">
        <f>IF('Entry Builder'!$N$12=0,1,IF('Entry Builder'!$D$12="Less",--(INDEX(Sims!$A1837:$BO1837,'Entry Builder'!$L$12)&lt;'Entry Builder'!$E$12),--(INDEX(Sims!$A1837:$BO1837,'Entry Builder'!$L$12)&gt;'Entry Builder'!$E$12)))</f>
        <v/>
      </c>
      <c r="G1837">
        <f>6-SUM(A1837:F1837)</f>
        <v/>
      </c>
    </row>
    <row r="1838">
      <c r="A1838">
        <f>IF('Entry Builder'!$N$7=0,1,IF('Entry Builder'!$D$7="Less",--(INDEX(Sims!$A1838:$BO1838,'Entry Builder'!$L$7)&lt;'Entry Builder'!$E$7),--(INDEX(Sims!$A1838:$BO1838,'Entry Builder'!$L$7)&gt;'Entry Builder'!$E$7)))</f>
        <v/>
      </c>
      <c r="B1838">
        <f>IF('Entry Builder'!$N$8=0,1,IF('Entry Builder'!$D$8="Less",--(INDEX(Sims!$A1838:$BO1838,'Entry Builder'!$L$8)&lt;'Entry Builder'!$E$8),--(INDEX(Sims!$A1838:$BO1838,'Entry Builder'!$L$8)&gt;'Entry Builder'!$E$8)))</f>
        <v/>
      </c>
      <c r="C1838">
        <f>IF('Entry Builder'!$N$9=0,1,IF('Entry Builder'!$D$9="Less",--(INDEX(Sims!$A1838:$BO1838,'Entry Builder'!$L$9)&lt;'Entry Builder'!$E$9),--(INDEX(Sims!$A1838:$BO1838,'Entry Builder'!$L$9)&gt;'Entry Builder'!$E$9)))</f>
        <v/>
      </c>
      <c r="D1838">
        <f>IF('Entry Builder'!$N$10=0,1,IF('Entry Builder'!$D$10="Less",--(INDEX(Sims!$A1838:$BO1838,'Entry Builder'!$L$10)&lt;'Entry Builder'!$E$10),--(INDEX(Sims!$A1838:$BO1838,'Entry Builder'!$L$10)&gt;'Entry Builder'!$E$10)))</f>
        <v/>
      </c>
      <c r="E1838">
        <f>IF('Entry Builder'!$N$11=0,1,IF('Entry Builder'!$D$11="Less",--(INDEX(Sims!$A1838:$BO1838,'Entry Builder'!$L$11)&lt;'Entry Builder'!$E$11),--(INDEX(Sims!$A1838:$BO1838,'Entry Builder'!$L$11)&gt;'Entry Builder'!$E$11)))</f>
        <v/>
      </c>
      <c r="F1838">
        <f>IF('Entry Builder'!$N$12=0,1,IF('Entry Builder'!$D$12="Less",--(INDEX(Sims!$A1838:$BO1838,'Entry Builder'!$L$12)&lt;'Entry Builder'!$E$12),--(INDEX(Sims!$A1838:$BO1838,'Entry Builder'!$L$12)&gt;'Entry Builder'!$E$12)))</f>
        <v/>
      </c>
      <c r="G1838">
        <f>6-SUM(A1838:F1838)</f>
        <v/>
      </c>
    </row>
    <row r="1839">
      <c r="A1839">
        <f>IF('Entry Builder'!$N$7=0,1,IF('Entry Builder'!$D$7="Less",--(INDEX(Sims!$A1839:$BO1839,'Entry Builder'!$L$7)&lt;'Entry Builder'!$E$7),--(INDEX(Sims!$A1839:$BO1839,'Entry Builder'!$L$7)&gt;'Entry Builder'!$E$7)))</f>
        <v/>
      </c>
      <c r="B1839">
        <f>IF('Entry Builder'!$N$8=0,1,IF('Entry Builder'!$D$8="Less",--(INDEX(Sims!$A1839:$BO1839,'Entry Builder'!$L$8)&lt;'Entry Builder'!$E$8),--(INDEX(Sims!$A1839:$BO1839,'Entry Builder'!$L$8)&gt;'Entry Builder'!$E$8)))</f>
        <v/>
      </c>
      <c r="C1839">
        <f>IF('Entry Builder'!$N$9=0,1,IF('Entry Builder'!$D$9="Less",--(INDEX(Sims!$A1839:$BO1839,'Entry Builder'!$L$9)&lt;'Entry Builder'!$E$9),--(INDEX(Sims!$A1839:$BO1839,'Entry Builder'!$L$9)&gt;'Entry Builder'!$E$9)))</f>
        <v/>
      </c>
      <c r="D1839">
        <f>IF('Entry Builder'!$N$10=0,1,IF('Entry Builder'!$D$10="Less",--(INDEX(Sims!$A1839:$BO1839,'Entry Builder'!$L$10)&lt;'Entry Builder'!$E$10),--(INDEX(Sims!$A1839:$BO1839,'Entry Builder'!$L$10)&gt;'Entry Builder'!$E$10)))</f>
        <v/>
      </c>
      <c r="E1839">
        <f>IF('Entry Builder'!$N$11=0,1,IF('Entry Builder'!$D$11="Less",--(INDEX(Sims!$A1839:$BO1839,'Entry Builder'!$L$11)&lt;'Entry Builder'!$E$11),--(INDEX(Sims!$A1839:$BO1839,'Entry Builder'!$L$11)&gt;'Entry Builder'!$E$11)))</f>
        <v/>
      </c>
      <c r="F1839">
        <f>IF('Entry Builder'!$N$12=0,1,IF('Entry Builder'!$D$12="Less",--(INDEX(Sims!$A1839:$BO1839,'Entry Builder'!$L$12)&lt;'Entry Builder'!$E$12),--(INDEX(Sims!$A1839:$BO1839,'Entry Builder'!$L$12)&gt;'Entry Builder'!$E$12)))</f>
        <v/>
      </c>
      <c r="G1839">
        <f>6-SUM(A1839:F1839)</f>
        <v/>
      </c>
    </row>
    <row r="1840">
      <c r="A1840">
        <f>IF('Entry Builder'!$N$7=0,1,IF('Entry Builder'!$D$7="Less",--(INDEX(Sims!$A1840:$BO1840,'Entry Builder'!$L$7)&lt;'Entry Builder'!$E$7),--(INDEX(Sims!$A1840:$BO1840,'Entry Builder'!$L$7)&gt;'Entry Builder'!$E$7)))</f>
        <v/>
      </c>
      <c r="B1840">
        <f>IF('Entry Builder'!$N$8=0,1,IF('Entry Builder'!$D$8="Less",--(INDEX(Sims!$A1840:$BO1840,'Entry Builder'!$L$8)&lt;'Entry Builder'!$E$8),--(INDEX(Sims!$A1840:$BO1840,'Entry Builder'!$L$8)&gt;'Entry Builder'!$E$8)))</f>
        <v/>
      </c>
      <c r="C1840">
        <f>IF('Entry Builder'!$N$9=0,1,IF('Entry Builder'!$D$9="Less",--(INDEX(Sims!$A1840:$BO1840,'Entry Builder'!$L$9)&lt;'Entry Builder'!$E$9),--(INDEX(Sims!$A1840:$BO1840,'Entry Builder'!$L$9)&gt;'Entry Builder'!$E$9)))</f>
        <v/>
      </c>
      <c r="D1840">
        <f>IF('Entry Builder'!$N$10=0,1,IF('Entry Builder'!$D$10="Less",--(INDEX(Sims!$A1840:$BO1840,'Entry Builder'!$L$10)&lt;'Entry Builder'!$E$10),--(INDEX(Sims!$A1840:$BO1840,'Entry Builder'!$L$10)&gt;'Entry Builder'!$E$10)))</f>
        <v/>
      </c>
      <c r="E1840">
        <f>IF('Entry Builder'!$N$11=0,1,IF('Entry Builder'!$D$11="Less",--(INDEX(Sims!$A1840:$BO1840,'Entry Builder'!$L$11)&lt;'Entry Builder'!$E$11),--(INDEX(Sims!$A1840:$BO1840,'Entry Builder'!$L$11)&gt;'Entry Builder'!$E$11)))</f>
        <v/>
      </c>
      <c r="F1840">
        <f>IF('Entry Builder'!$N$12=0,1,IF('Entry Builder'!$D$12="Less",--(INDEX(Sims!$A1840:$BO1840,'Entry Builder'!$L$12)&lt;'Entry Builder'!$E$12),--(INDEX(Sims!$A1840:$BO1840,'Entry Builder'!$L$12)&gt;'Entry Builder'!$E$12)))</f>
        <v/>
      </c>
      <c r="G1840">
        <f>6-SUM(A1840:F1840)</f>
        <v/>
      </c>
    </row>
    <row r="1841">
      <c r="A1841">
        <f>IF('Entry Builder'!$N$7=0,1,IF('Entry Builder'!$D$7="Less",--(INDEX(Sims!$A1841:$BO1841,'Entry Builder'!$L$7)&lt;'Entry Builder'!$E$7),--(INDEX(Sims!$A1841:$BO1841,'Entry Builder'!$L$7)&gt;'Entry Builder'!$E$7)))</f>
        <v/>
      </c>
      <c r="B1841">
        <f>IF('Entry Builder'!$N$8=0,1,IF('Entry Builder'!$D$8="Less",--(INDEX(Sims!$A1841:$BO1841,'Entry Builder'!$L$8)&lt;'Entry Builder'!$E$8),--(INDEX(Sims!$A1841:$BO1841,'Entry Builder'!$L$8)&gt;'Entry Builder'!$E$8)))</f>
        <v/>
      </c>
      <c r="C1841">
        <f>IF('Entry Builder'!$N$9=0,1,IF('Entry Builder'!$D$9="Less",--(INDEX(Sims!$A1841:$BO1841,'Entry Builder'!$L$9)&lt;'Entry Builder'!$E$9),--(INDEX(Sims!$A1841:$BO1841,'Entry Builder'!$L$9)&gt;'Entry Builder'!$E$9)))</f>
        <v/>
      </c>
      <c r="D1841">
        <f>IF('Entry Builder'!$N$10=0,1,IF('Entry Builder'!$D$10="Less",--(INDEX(Sims!$A1841:$BO1841,'Entry Builder'!$L$10)&lt;'Entry Builder'!$E$10),--(INDEX(Sims!$A1841:$BO1841,'Entry Builder'!$L$10)&gt;'Entry Builder'!$E$10)))</f>
        <v/>
      </c>
      <c r="E1841">
        <f>IF('Entry Builder'!$N$11=0,1,IF('Entry Builder'!$D$11="Less",--(INDEX(Sims!$A1841:$BO1841,'Entry Builder'!$L$11)&lt;'Entry Builder'!$E$11),--(INDEX(Sims!$A1841:$BO1841,'Entry Builder'!$L$11)&gt;'Entry Builder'!$E$11)))</f>
        <v/>
      </c>
      <c r="F1841">
        <f>IF('Entry Builder'!$N$12=0,1,IF('Entry Builder'!$D$12="Less",--(INDEX(Sims!$A1841:$BO1841,'Entry Builder'!$L$12)&lt;'Entry Builder'!$E$12),--(INDEX(Sims!$A1841:$BO1841,'Entry Builder'!$L$12)&gt;'Entry Builder'!$E$12)))</f>
        <v/>
      </c>
      <c r="G1841">
        <f>6-SUM(A1841:F1841)</f>
        <v/>
      </c>
    </row>
    <row r="1842">
      <c r="A1842">
        <f>IF('Entry Builder'!$N$7=0,1,IF('Entry Builder'!$D$7="Less",--(INDEX(Sims!$A1842:$BO1842,'Entry Builder'!$L$7)&lt;'Entry Builder'!$E$7),--(INDEX(Sims!$A1842:$BO1842,'Entry Builder'!$L$7)&gt;'Entry Builder'!$E$7)))</f>
        <v/>
      </c>
      <c r="B1842">
        <f>IF('Entry Builder'!$N$8=0,1,IF('Entry Builder'!$D$8="Less",--(INDEX(Sims!$A1842:$BO1842,'Entry Builder'!$L$8)&lt;'Entry Builder'!$E$8),--(INDEX(Sims!$A1842:$BO1842,'Entry Builder'!$L$8)&gt;'Entry Builder'!$E$8)))</f>
        <v/>
      </c>
      <c r="C1842">
        <f>IF('Entry Builder'!$N$9=0,1,IF('Entry Builder'!$D$9="Less",--(INDEX(Sims!$A1842:$BO1842,'Entry Builder'!$L$9)&lt;'Entry Builder'!$E$9),--(INDEX(Sims!$A1842:$BO1842,'Entry Builder'!$L$9)&gt;'Entry Builder'!$E$9)))</f>
        <v/>
      </c>
      <c r="D1842">
        <f>IF('Entry Builder'!$N$10=0,1,IF('Entry Builder'!$D$10="Less",--(INDEX(Sims!$A1842:$BO1842,'Entry Builder'!$L$10)&lt;'Entry Builder'!$E$10),--(INDEX(Sims!$A1842:$BO1842,'Entry Builder'!$L$10)&gt;'Entry Builder'!$E$10)))</f>
        <v/>
      </c>
      <c r="E1842">
        <f>IF('Entry Builder'!$N$11=0,1,IF('Entry Builder'!$D$11="Less",--(INDEX(Sims!$A1842:$BO1842,'Entry Builder'!$L$11)&lt;'Entry Builder'!$E$11),--(INDEX(Sims!$A1842:$BO1842,'Entry Builder'!$L$11)&gt;'Entry Builder'!$E$11)))</f>
        <v/>
      </c>
      <c r="F1842">
        <f>IF('Entry Builder'!$N$12=0,1,IF('Entry Builder'!$D$12="Less",--(INDEX(Sims!$A1842:$BO1842,'Entry Builder'!$L$12)&lt;'Entry Builder'!$E$12),--(INDEX(Sims!$A1842:$BO1842,'Entry Builder'!$L$12)&gt;'Entry Builder'!$E$12)))</f>
        <v/>
      </c>
      <c r="G1842">
        <f>6-SUM(A1842:F1842)</f>
        <v/>
      </c>
    </row>
    <row r="1843">
      <c r="A1843">
        <f>IF('Entry Builder'!$N$7=0,1,IF('Entry Builder'!$D$7="Less",--(INDEX(Sims!$A1843:$BO1843,'Entry Builder'!$L$7)&lt;'Entry Builder'!$E$7),--(INDEX(Sims!$A1843:$BO1843,'Entry Builder'!$L$7)&gt;'Entry Builder'!$E$7)))</f>
        <v/>
      </c>
      <c r="B1843">
        <f>IF('Entry Builder'!$N$8=0,1,IF('Entry Builder'!$D$8="Less",--(INDEX(Sims!$A1843:$BO1843,'Entry Builder'!$L$8)&lt;'Entry Builder'!$E$8),--(INDEX(Sims!$A1843:$BO1843,'Entry Builder'!$L$8)&gt;'Entry Builder'!$E$8)))</f>
        <v/>
      </c>
      <c r="C1843">
        <f>IF('Entry Builder'!$N$9=0,1,IF('Entry Builder'!$D$9="Less",--(INDEX(Sims!$A1843:$BO1843,'Entry Builder'!$L$9)&lt;'Entry Builder'!$E$9),--(INDEX(Sims!$A1843:$BO1843,'Entry Builder'!$L$9)&gt;'Entry Builder'!$E$9)))</f>
        <v/>
      </c>
      <c r="D1843">
        <f>IF('Entry Builder'!$N$10=0,1,IF('Entry Builder'!$D$10="Less",--(INDEX(Sims!$A1843:$BO1843,'Entry Builder'!$L$10)&lt;'Entry Builder'!$E$10),--(INDEX(Sims!$A1843:$BO1843,'Entry Builder'!$L$10)&gt;'Entry Builder'!$E$10)))</f>
        <v/>
      </c>
      <c r="E1843">
        <f>IF('Entry Builder'!$N$11=0,1,IF('Entry Builder'!$D$11="Less",--(INDEX(Sims!$A1843:$BO1843,'Entry Builder'!$L$11)&lt;'Entry Builder'!$E$11),--(INDEX(Sims!$A1843:$BO1843,'Entry Builder'!$L$11)&gt;'Entry Builder'!$E$11)))</f>
        <v/>
      </c>
      <c r="F1843">
        <f>IF('Entry Builder'!$N$12=0,1,IF('Entry Builder'!$D$12="Less",--(INDEX(Sims!$A1843:$BO1843,'Entry Builder'!$L$12)&lt;'Entry Builder'!$E$12),--(INDEX(Sims!$A1843:$BO1843,'Entry Builder'!$L$12)&gt;'Entry Builder'!$E$12)))</f>
        <v/>
      </c>
      <c r="G1843">
        <f>6-SUM(A1843:F1843)</f>
        <v/>
      </c>
    </row>
    <row r="1844">
      <c r="A1844">
        <f>IF('Entry Builder'!$N$7=0,1,IF('Entry Builder'!$D$7="Less",--(INDEX(Sims!$A1844:$BO1844,'Entry Builder'!$L$7)&lt;'Entry Builder'!$E$7),--(INDEX(Sims!$A1844:$BO1844,'Entry Builder'!$L$7)&gt;'Entry Builder'!$E$7)))</f>
        <v/>
      </c>
      <c r="B1844">
        <f>IF('Entry Builder'!$N$8=0,1,IF('Entry Builder'!$D$8="Less",--(INDEX(Sims!$A1844:$BO1844,'Entry Builder'!$L$8)&lt;'Entry Builder'!$E$8),--(INDEX(Sims!$A1844:$BO1844,'Entry Builder'!$L$8)&gt;'Entry Builder'!$E$8)))</f>
        <v/>
      </c>
      <c r="C1844">
        <f>IF('Entry Builder'!$N$9=0,1,IF('Entry Builder'!$D$9="Less",--(INDEX(Sims!$A1844:$BO1844,'Entry Builder'!$L$9)&lt;'Entry Builder'!$E$9),--(INDEX(Sims!$A1844:$BO1844,'Entry Builder'!$L$9)&gt;'Entry Builder'!$E$9)))</f>
        <v/>
      </c>
      <c r="D1844">
        <f>IF('Entry Builder'!$N$10=0,1,IF('Entry Builder'!$D$10="Less",--(INDEX(Sims!$A1844:$BO1844,'Entry Builder'!$L$10)&lt;'Entry Builder'!$E$10),--(INDEX(Sims!$A1844:$BO1844,'Entry Builder'!$L$10)&gt;'Entry Builder'!$E$10)))</f>
        <v/>
      </c>
      <c r="E1844">
        <f>IF('Entry Builder'!$N$11=0,1,IF('Entry Builder'!$D$11="Less",--(INDEX(Sims!$A1844:$BO1844,'Entry Builder'!$L$11)&lt;'Entry Builder'!$E$11),--(INDEX(Sims!$A1844:$BO1844,'Entry Builder'!$L$11)&gt;'Entry Builder'!$E$11)))</f>
        <v/>
      </c>
      <c r="F1844">
        <f>IF('Entry Builder'!$N$12=0,1,IF('Entry Builder'!$D$12="Less",--(INDEX(Sims!$A1844:$BO1844,'Entry Builder'!$L$12)&lt;'Entry Builder'!$E$12),--(INDEX(Sims!$A1844:$BO1844,'Entry Builder'!$L$12)&gt;'Entry Builder'!$E$12)))</f>
        <v/>
      </c>
      <c r="G1844">
        <f>6-SUM(A1844:F1844)</f>
        <v/>
      </c>
    </row>
    <row r="1845">
      <c r="A1845">
        <f>IF('Entry Builder'!$N$7=0,1,IF('Entry Builder'!$D$7="Less",--(INDEX(Sims!$A1845:$BO1845,'Entry Builder'!$L$7)&lt;'Entry Builder'!$E$7),--(INDEX(Sims!$A1845:$BO1845,'Entry Builder'!$L$7)&gt;'Entry Builder'!$E$7)))</f>
        <v/>
      </c>
      <c r="B1845">
        <f>IF('Entry Builder'!$N$8=0,1,IF('Entry Builder'!$D$8="Less",--(INDEX(Sims!$A1845:$BO1845,'Entry Builder'!$L$8)&lt;'Entry Builder'!$E$8),--(INDEX(Sims!$A1845:$BO1845,'Entry Builder'!$L$8)&gt;'Entry Builder'!$E$8)))</f>
        <v/>
      </c>
      <c r="C1845">
        <f>IF('Entry Builder'!$N$9=0,1,IF('Entry Builder'!$D$9="Less",--(INDEX(Sims!$A1845:$BO1845,'Entry Builder'!$L$9)&lt;'Entry Builder'!$E$9),--(INDEX(Sims!$A1845:$BO1845,'Entry Builder'!$L$9)&gt;'Entry Builder'!$E$9)))</f>
        <v/>
      </c>
      <c r="D1845">
        <f>IF('Entry Builder'!$N$10=0,1,IF('Entry Builder'!$D$10="Less",--(INDEX(Sims!$A1845:$BO1845,'Entry Builder'!$L$10)&lt;'Entry Builder'!$E$10),--(INDEX(Sims!$A1845:$BO1845,'Entry Builder'!$L$10)&gt;'Entry Builder'!$E$10)))</f>
        <v/>
      </c>
      <c r="E1845">
        <f>IF('Entry Builder'!$N$11=0,1,IF('Entry Builder'!$D$11="Less",--(INDEX(Sims!$A1845:$BO1845,'Entry Builder'!$L$11)&lt;'Entry Builder'!$E$11),--(INDEX(Sims!$A1845:$BO1845,'Entry Builder'!$L$11)&gt;'Entry Builder'!$E$11)))</f>
        <v/>
      </c>
      <c r="F1845">
        <f>IF('Entry Builder'!$N$12=0,1,IF('Entry Builder'!$D$12="Less",--(INDEX(Sims!$A1845:$BO1845,'Entry Builder'!$L$12)&lt;'Entry Builder'!$E$12),--(INDEX(Sims!$A1845:$BO1845,'Entry Builder'!$L$12)&gt;'Entry Builder'!$E$12)))</f>
        <v/>
      </c>
      <c r="G1845">
        <f>6-SUM(A1845:F1845)</f>
        <v/>
      </c>
    </row>
    <row r="1846">
      <c r="A1846">
        <f>IF('Entry Builder'!$N$7=0,1,IF('Entry Builder'!$D$7="Less",--(INDEX(Sims!$A1846:$BO1846,'Entry Builder'!$L$7)&lt;'Entry Builder'!$E$7),--(INDEX(Sims!$A1846:$BO1846,'Entry Builder'!$L$7)&gt;'Entry Builder'!$E$7)))</f>
        <v/>
      </c>
      <c r="B1846">
        <f>IF('Entry Builder'!$N$8=0,1,IF('Entry Builder'!$D$8="Less",--(INDEX(Sims!$A1846:$BO1846,'Entry Builder'!$L$8)&lt;'Entry Builder'!$E$8),--(INDEX(Sims!$A1846:$BO1846,'Entry Builder'!$L$8)&gt;'Entry Builder'!$E$8)))</f>
        <v/>
      </c>
      <c r="C1846">
        <f>IF('Entry Builder'!$N$9=0,1,IF('Entry Builder'!$D$9="Less",--(INDEX(Sims!$A1846:$BO1846,'Entry Builder'!$L$9)&lt;'Entry Builder'!$E$9),--(INDEX(Sims!$A1846:$BO1846,'Entry Builder'!$L$9)&gt;'Entry Builder'!$E$9)))</f>
        <v/>
      </c>
      <c r="D1846">
        <f>IF('Entry Builder'!$N$10=0,1,IF('Entry Builder'!$D$10="Less",--(INDEX(Sims!$A1846:$BO1846,'Entry Builder'!$L$10)&lt;'Entry Builder'!$E$10),--(INDEX(Sims!$A1846:$BO1846,'Entry Builder'!$L$10)&gt;'Entry Builder'!$E$10)))</f>
        <v/>
      </c>
      <c r="E1846">
        <f>IF('Entry Builder'!$N$11=0,1,IF('Entry Builder'!$D$11="Less",--(INDEX(Sims!$A1846:$BO1846,'Entry Builder'!$L$11)&lt;'Entry Builder'!$E$11),--(INDEX(Sims!$A1846:$BO1846,'Entry Builder'!$L$11)&gt;'Entry Builder'!$E$11)))</f>
        <v/>
      </c>
      <c r="F1846">
        <f>IF('Entry Builder'!$N$12=0,1,IF('Entry Builder'!$D$12="Less",--(INDEX(Sims!$A1846:$BO1846,'Entry Builder'!$L$12)&lt;'Entry Builder'!$E$12),--(INDEX(Sims!$A1846:$BO1846,'Entry Builder'!$L$12)&gt;'Entry Builder'!$E$12)))</f>
        <v/>
      </c>
      <c r="G1846">
        <f>6-SUM(A1846:F1846)</f>
        <v/>
      </c>
    </row>
    <row r="1847">
      <c r="A1847">
        <f>IF('Entry Builder'!$N$7=0,1,IF('Entry Builder'!$D$7="Less",--(INDEX(Sims!$A1847:$BO1847,'Entry Builder'!$L$7)&lt;'Entry Builder'!$E$7),--(INDEX(Sims!$A1847:$BO1847,'Entry Builder'!$L$7)&gt;'Entry Builder'!$E$7)))</f>
        <v/>
      </c>
      <c r="B1847">
        <f>IF('Entry Builder'!$N$8=0,1,IF('Entry Builder'!$D$8="Less",--(INDEX(Sims!$A1847:$BO1847,'Entry Builder'!$L$8)&lt;'Entry Builder'!$E$8),--(INDEX(Sims!$A1847:$BO1847,'Entry Builder'!$L$8)&gt;'Entry Builder'!$E$8)))</f>
        <v/>
      </c>
      <c r="C1847">
        <f>IF('Entry Builder'!$N$9=0,1,IF('Entry Builder'!$D$9="Less",--(INDEX(Sims!$A1847:$BO1847,'Entry Builder'!$L$9)&lt;'Entry Builder'!$E$9),--(INDEX(Sims!$A1847:$BO1847,'Entry Builder'!$L$9)&gt;'Entry Builder'!$E$9)))</f>
        <v/>
      </c>
      <c r="D1847">
        <f>IF('Entry Builder'!$N$10=0,1,IF('Entry Builder'!$D$10="Less",--(INDEX(Sims!$A1847:$BO1847,'Entry Builder'!$L$10)&lt;'Entry Builder'!$E$10),--(INDEX(Sims!$A1847:$BO1847,'Entry Builder'!$L$10)&gt;'Entry Builder'!$E$10)))</f>
        <v/>
      </c>
      <c r="E1847">
        <f>IF('Entry Builder'!$N$11=0,1,IF('Entry Builder'!$D$11="Less",--(INDEX(Sims!$A1847:$BO1847,'Entry Builder'!$L$11)&lt;'Entry Builder'!$E$11),--(INDEX(Sims!$A1847:$BO1847,'Entry Builder'!$L$11)&gt;'Entry Builder'!$E$11)))</f>
        <v/>
      </c>
      <c r="F1847">
        <f>IF('Entry Builder'!$N$12=0,1,IF('Entry Builder'!$D$12="Less",--(INDEX(Sims!$A1847:$BO1847,'Entry Builder'!$L$12)&lt;'Entry Builder'!$E$12),--(INDEX(Sims!$A1847:$BO1847,'Entry Builder'!$L$12)&gt;'Entry Builder'!$E$12)))</f>
        <v/>
      </c>
      <c r="G1847">
        <f>6-SUM(A1847:F1847)</f>
        <v/>
      </c>
    </row>
    <row r="1848">
      <c r="A1848">
        <f>IF('Entry Builder'!$N$7=0,1,IF('Entry Builder'!$D$7="Less",--(INDEX(Sims!$A1848:$BO1848,'Entry Builder'!$L$7)&lt;'Entry Builder'!$E$7),--(INDEX(Sims!$A1848:$BO1848,'Entry Builder'!$L$7)&gt;'Entry Builder'!$E$7)))</f>
        <v/>
      </c>
      <c r="B1848">
        <f>IF('Entry Builder'!$N$8=0,1,IF('Entry Builder'!$D$8="Less",--(INDEX(Sims!$A1848:$BO1848,'Entry Builder'!$L$8)&lt;'Entry Builder'!$E$8),--(INDEX(Sims!$A1848:$BO1848,'Entry Builder'!$L$8)&gt;'Entry Builder'!$E$8)))</f>
        <v/>
      </c>
      <c r="C1848">
        <f>IF('Entry Builder'!$N$9=0,1,IF('Entry Builder'!$D$9="Less",--(INDEX(Sims!$A1848:$BO1848,'Entry Builder'!$L$9)&lt;'Entry Builder'!$E$9),--(INDEX(Sims!$A1848:$BO1848,'Entry Builder'!$L$9)&gt;'Entry Builder'!$E$9)))</f>
        <v/>
      </c>
      <c r="D1848">
        <f>IF('Entry Builder'!$N$10=0,1,IF('Entry Builder'!$D$10="Less",--(INDEX(Sims!$A1848:$BO1848,'Entry Builder'!$L$10)&lt;'Entry Builder'!$E$10),--(INDEX(Sims!$A1848:$BO1848,'Entry Builder'!$L$10)&gt;'Entry Builder'!$E$10)))</f>
        <v/>
      </c>
      <c r="E1848">
        <f>IF('Entry Builder'!$N$11=0,1,IF('Entry Builder'!$D$11="Less",--(INDEX(Sims!$A1848:$BO1848,'Entry Builder'!$L$11)&lt;'Entry Builder'!$E$11),--(INDEX(Sims!$A1848:$BO1848,'Entry Builder'!$L$11)&gt;'Entry Builder'!$E$11)))</f>
        <v/>
      </c>
      <c r="F1848">
        <f>IF('Entry Builder'!$N$12=0,1,IF('Entry Builder'!$D$12="Less",--(INDEX(Sims!$A1848:$BO1848,'Entry Builder'!$L$12)&lt;'Entry Builder'!$E$12),--(INDEX(Sims!$A1848:$BO1848,'Entry Builder'!$L$12)&gt;'Entry Builder'!$E$12)))</f>
        <v/>
      </c>
      <c r="G1848">
        <f>6-SUM(A1848:F1848)</f>
        <v/>
      </c>
    </row>
    <row r="1849">
      <c r="A1849">
        <f>IF('Entry Builder'!$N$7=0,1,IF('Entry Builder'!$D$7="Less",--(INDEX(Sims!$A1849:$BO1849,'Entry Builder'!$L$7)&lt;'Entry Builder'!$E$7),--(INDEX(Sims!$A1849:$BO1849,'Entry Builder'!$L$7)&gt;'Entry Builder'!$E$7)))</f>
        <v/>
      </c>
      <c r="B1849">
        <f>IF('Entry Builder'!$N$8=0,1,IF('Entry Builder'!$D$8="Less",--(INDEX(Sims!$A1849:$BO1849,'Entry Builder'!$L$8)&lt;'Entry Builder'!$E$8),--(INDEX(Sims!$A1849:$BO1849,'Entry Builder'!$L$8)&gt;'Entry Builder'!$E$8)))</f>
        <v/>
      </c>
      <c r="C1849">
        <f>IF('Entry Builder'!$N$9=0,1,IF('Entry Builder'!$D$9="Less",--(INDEX(Sims!$A1849:$BO1849,'Entry Builder'!$L$9)&lt;'Entry Builder'!$E$9),--(INDEX(Sims!$A1849:$BO1849,'Entry Builder'!$L$9)&gt;'Entry Builder'!$E$9)))</f>
        <v/>
      </c>
      <c r="D1849">
        <f>IF('Entry Builder'!$N$10=0,1,IF('Entry Builder'!$D$10="Less",--(INDEX(Sims!$A1849:$BO1849,'Entry Builder'!$L$10)&lt;'Entry Builder'!$E$10),--(INDEX(Sims!$A1849:$BO1849,'Entry Builder'!$L$10)&gt;'Entry Builder'!$E$10)))</f>
        <v/>
      </c>
      <c r="E1849">
        <f>IF('Entry Builder'!$N$11=0,1,IF('Entry Builder'!$D$11="Less",--(INDEX(Sims!$A1849:$BO1849,'Entry Builder'!$L$11)&lt;'Entry Builder'!$E$11),--(INDEX(Sims!$A1849:$BO1849,'Entry Builder'!$L$11)&gt;'Entry Builder'!$E$11)))</f>
        <v/>
      </c>
      <c r="F1849">
        <f>IF('Entry Builder'!$N$12=0,1,IF('Entry Builder'!$D$12="Less",--(INDEX(Sims!$A1849:$BO1849,'Entry Builder'!$L$12)&lt;'Entry Builder'!$E$12),--(INDEX(Sims!$A1849:$BO1849,'Entry Builder'!$L$12)&gt;'Entry Builder'!$E$12)))</f>
        <v/>
      </c>
      <c r="G1849">
        <f>6-SUM(A1849:F1849)</f>
        <v/>
      </c>
    </row>
    <row r="1850">
      <c r="A1850">
        <f>IF('Entry Builder'!$N$7=0,1,IF('Entry Builder'!$D$7="Less",--(INDEX(Sims!$A1850:$BO1850,'Entry Builder'!$L$7)&lt;'Entry Builder'!$E$7),--(INDEX(Sims!$A1850:$BO1850,'Entry Builder'!$L$7)&gt;'Entry Builder'!$E$7)))</f>
        <v/>
      </c>
      <c r="B1850">
        <f>IF('Entry Builder'!$N$8=0,1,IF('Entry Builder'!$D$8="Less",--(INDEX(Sims!$A1850:$BO1850,'Entry Builder'!$L$8)&lt;'Entry Builder'!$E$8),--(INDEX(Sims!$A1850:$BO1850,'Entry Builder'!$L$8)&gt;'Entry Builder'!$E$8)))</f>
        <v/>
      </c>
      <c r="C1850">
        <f>IF('Entry Builder'!$N$9=0,1,IF('Entry Builder'!$D$9="Less",--(INDEX(Sims!$A1850:$BO1850,'Entry Builder'!$L$9)&lt;'Entry Builder'!$E$9),--(INDEX(Sims!$A1850:$BO1850,'Entry Builder'!$L$9)&gt;'Entry Builder'!$E$9)))</f>
        <v/>
      </c>
      <c r="D1850">
        <f>IF('Entry Builder'!$N$10=0,1,IF('Entry Builder'!$D$10="Less",--(INDEX(Sims!$A1850:$BO1850,'Entry Builder'!$L$10)&lt;'Entry Builder'!$E$10),--(INDEX(Sims!$A1850:$BO1850,'Entry Builder'!$L$10)&gt;'Entry Builder'!$E$10)))</f>
        <v/>
      </c>
      <c r="E1850">
        <f>IF('Entry Builder'!$N$11=0,1,IF('Entry Builder'!$D$11="Less",--(INDEX(Sims!$A1850:$BO1850,'Entry Builder'!$L$11)&lt;'Entry Builder'!$E$11),--(INDEX(Sims!$A1850:$BO1850,'Entry Builder'!$L$11)&gt;'Entry Builder'!$E$11)))</f>
        <v/>
      </c>
      <c r="F1850">
        <f>IF('Entry Builder'!$N$12=0,1,IF('Entry Builder'!$D$12="Less",--(INDEX(Sims!$A1850:$BO1850,'Entry Builder'!$L$12)&lt;'Entry Builder'!$E$12),--(INDEX(Sims!$A1850:$BO1850,'Entry Builder'!$L$12)&gt;'Entry Builder'!$E$12)))</f>
        <v/>
      </c>
      <c r="G1850">
        <f>6-SUM(A1850:F1850)</f>
        <v/>
      </c>
    </row>
    <row r="1851">
      <c r="A1851">
        <f>IF('Entry Builder'!$N$7=0,1,IF('Entry Builder'!$D$7="Less",--(INDEX(Sims!$A1851:$BO1851,'Entry Builder'!$L$7)&lt;'Entry Builder'!$E$7),--(INDEX(Sims!$A1851:$BO1851,'Entry Builder'!$L$7)&gt;'Entry Builder'!$E$7)))</f>
        <v/>
      </c>
      <c r="B1851">
        <f>IF('Entry Builder'!$N$8=0,1,IF('Entry Builder'!$D$8="Less",--(INDEX(Sims!$A1851:$BO1851,'Entry Builder'!$L$8)&lt;'Entry Builder'!$E$8),--(INDEX(Sims!$A1851:$BO1851,'Entry Builder'!$L$8)&gt;'Entry Builder'!$E$8)))</f>
        <v/>
      </c>
      <c r="C1851">
        <f>IF('Entry Builder'!$N$9=0,1,IF('Entry Builder'!$D$9="Less",--(INDEX(Sims!$A1851:$BO1851,'Entry Builder'!$L$9)&lt;'Entry Builder'!$E$9),--(INDEX(Sims!$A1851:$BO1851,'Entry Builder'!$L$9)&gt;'Entry Builder'!$E$9)))</f>
        <v/>
      </c>
      <c r="D1851">
        <f>IF('Entry Builder'!$N$10=0,1,IF('Entry Builder'!$D$10="Less",--(INDEX(Sims!$A1851:$BO1851,'Entry Builder'!$L$10)&lt;'Entry Builder'!$E$10),--(INDEX(Sims!$A1851:$BO1851,'Entry Builder'!$L$10)&gt;'Entry Builder'!$E$10)))</f>
        <v/>
      </c>
      <c r="E1851">
        <f>IF('Entry Builder'!$N$11=0,1,IF('Entry Builder'!$D$11="Less",--(INDEX(Sims!$A1851:$BO1851,'Entry Builder'!$L$11)&lt;'Entry Builder'!$E$11),--(INDEX(Sims!$A1851:$BO1851,'Entry Builder'!$L$11)&gt;'Entry Builder'!$E$11)))</f>
        <v/>
      </c>
      <c r="F1851">
        <f>IF('Entry Builder'!$N$12=0,1,IF('Entry Builder'!$D$12="Less",--(INDEX(Sims!$A1851:$BO1851,'Entry Builder'!$L$12)&lt;'Entry Builder'!$E$12),--(INDEX(Sims!$A1851:$BO1851,'Entry Builder'!$L$12)&gt;'Entry Builder'!$E$12)))</f>
        <v/>
      </c>
      <c r="G1851">
        <f>6-SUM(A1851:F1851)</f>
        <v/>
      </c>
    </row>
    <row r="1852">
      <c r="A1852">
        <f>IF('Entry Builder'!$N$7=0,1,IF('Entry Builder'!$D$7="Less",--(INDEX(Sims!$A1852:$BO1852,'Entry Builder'!$L$7)&lt;'Entry Builder'!$E$7),--(INDEX(Sims!$A1852:$BO1852,'Entry Builder'!$L$7)&gt;'Entry Builder'!$E$7)))</f>
        <v/>
      </c>
      <c r="B1852">
        <f>IF('Entry Builder'!$N$8=0,1,IF('Entry Builder'!$D$8="Less",--(INDEX(Sims!$A1852:$BO1852,'Entry Builder'!$L$8)&lt;'Entry Builder'!$E$8),--(INDEX(Sims!$A1852:$BO1852,'Entry Builder'!$L$8)&gt;'Entry Builder'!$E$8)))</f>
        <v/>
      </c>
      <c r="C1852">
        <f>IF('Entry Builder'!$N$9=0,1,IF('Entry Builder'!$D$9="Less",--(INDEX(Sims!$A1852:$BO1852,'Entry Builder'!$L$9)&lt;'Entry Builder'!$E$9),--(INDEX(Sims!$A1852:$BO1852,'Entry Builder'!$L$9)&gt;'Entry Builder'!$E$9)))</f>
        <v/>
      </c>
      <c r="D1852">
        <f>IF('Entry Builder'!$N$10=0,1,IF('Entry Builder'!$D$10="Less",--(INDEX(Sims!$A1852:$BO1852,'Entry Builder'!$L$10)&lt;'Entry Builder'!$E$10),--(INDEX(Sims!$A1852:$BO1852,'Entry Builder'!$L$10)&gt;'Entry Builder'!$E$10)))</f>
        <v/>
      </c>
      <c r="E1852">
        <f>IF('Entry Builder'!$N$11=0,1,IF('Entry Builder'!$D$11="Less",--(INDEX(Sims!$A1852:$BO1852,'Entry Builder'!$L$11)&lt;'Entry Builder'!$E$11),--(INDEX(Sims!$A1852:$BO1852,'Entry Builder'!$L$11)&gt;'Entry Builder'!$E$11)))</f>
        <v/>
      </c>
      <c r="F1852">
        <f>IF('Entry Builder'!$N$12=0,1,IF('Entry Builder'!$D$12="Less",--(INDEX(Sims!$A1852:$BO1852,'Entry Builder'!$L$12)&lt;'Entry Builder'!$E$12),--(INDEX(Sims!$A1852:$BO1852,'Entry Builder'!$L$12)&gt;'Entry Builder'!$E$12)))</f>
        <v/>
      </c>
      <c r="G1852">
        <f>6-SUM(A1852:F1852)</f>
        <v/>
      </c>
    </row>
    <row r="1853">
      <c r="A1853">
        <f>IF('Entry Builder'!$N$7=0,1,IF('Entry Builder'!$D$7="Less",--(INDEX(Sims!$A1853:$BO1853,'Entry Builder'!$L$7)&lt;'Entry Builder'!$E$7),--(INDEX(Sims!$A1853:$BO1853,'Entry Builder'!$L$7)&gt;'Entry Builder'!$E$7)))</f>
        <v/>
      </c>
      <c r="B1853">
        <f>IF('Entry Builder'!$N$8=0,1,IF('Entry Builder'!$D$8="Less",--(INDEX(Sims!$A1853:$BO1853,'Entry Builder'!$L$8)&lt;'Entry Builder'!$E$8),--(INDEX(Sims!$A1853:$BO1853,'Entry Builder'!$L$8)&gt;'Entry Builder'!$E$8)))</f>
        <v/>
      </c>
      <c r="C1853">
        <f>IF('Entry Builder'!$N$9=0,1,IF('Entry Builder'!$D$9="Less",--(INDEX(Sims!$A1853:$BO1853,'Entry Builder'!$L$9)&lt;'Entry Builder'!$E$9),--(INDEX(Sims!$A1853:$BO1853,'Entry Builder'!$L$9)&gt;'Entry Builder'!$E$9)))</f>
        <v/>
      </c>
      <c r="D1853">
        <f>IF('Entry Builder'!$N$10=0,1,IF('Entry Builder'!$D$10="Less",--(INDEX(Sims!$A1853:$BO1853,'Entry Builder'!$L$10)&lt;'Entry Builder'!$E$10),--(INDEX(Sims!$A1853:$BO1853,'Entry Builder'!$L$10)&gt;'Entry Builder'!$E$10)))</f>
        <v/>
      </c>
      <c r="E1853">
        <f>IF('Entry Builder'!$N$11=0,1,IF('Entry Builder'!$D$11="Less",--(INDEX(Sims!$A1853:$BO1853,'Entry Builder'!$L$11)&lt;'Entry Builder'!$E$11),--(INDEX(Sims!$A1853:$BO1853,'Entry Builder'!$L$11)&gt;'Entry Builder'!$E$11)))</f>
        <v/>
      </c>
      <c r="F1853">
        <f>IF('Entry Builder'!$N$12=0,1,IF('Entry Builder'!$D$12="Less",--(INDEX(Sims!$A1853:$BO1853,'Entry Builder'!$L$12)&lt;'Entry Builder'!$E$12),--(INDEX(Sims!$A1853:$BO1853,'Entry Builder'!$L$12)&gt;'Entry Builder'!$E$12)))</f>
        <v/>
      </c>
      <c r="G1853">
        <f>6-SUM(A1853:F1853)</f>
        <v/>
      </c>
    </row>
    <row r="1854">
      <c r="A1854">
        <f>IF('Entry Builder'!$N$7=0,1,IF('Entry Builder'!$D$7="Less",--(INDEX(Sims!$A1854:$BO1854,'Entry Builder'!$L$7)&lt;'Entry Builder'!$E$7),--(INDEX(Sims!$A1854:$BO1854,'Entry Builder'!$L$7)&gt;'Entry Builder'!$E$7)))</f>
        <v/>
      </c>
      <c r="B1854">
        <f>IF('Entry Builder'!$N$8=0,1,IF('Entry Builder'!$D$8="Less",--(INDEX(Sims!$A1854:$BO1854,'Entry Builder'!$L$8)&lt;'Entry Builder'!$E$8),--(INDEX(Sims!$A1854:$BO1854,'Entry Builder'!$L$8)&gt;'Entry Builder'!$E$8)))</f>
        <v/>
      </c>
      <c r="C1854">
        <f>IF('Entry Builder'!$N$9=0,1,IF('Entry Builder'!$D$9="Less",--(INDEX(Sims!$A1854:$BO1854,'Entry Builder'!$L$9)&lt;'Entry Builder'!$E$9),--(INDEX(Sims!$A1854:$BO1854,'Entry Builder'!$L$9)&gt;'Entry Builder'!$E$9)))</f>
        <v/>
      </c>
      <c r="D1854">
        <f>IF('Entry Builder'!$N$10=0,1,IF('Entry Builder'!$D$10="Less",--(INDEX(Sims!$A1854:$BO1854,'Entry Builder'!$L$10)&lt;'Entry Builder'!$E$10),--(INDEX(Sims!$A1854:$BO1854,'Entry Builder'!$L$10)&gt;'Entry Builder'!$E$10)))</f>
        <v/>
      </c>
      <c r="E1854">
        <f>IF('Entry Builder'!$N$11=0,1,IF('Entry Builder'!$D$11="Less",--(INDEX(Sims!$A1854:$BO1854,'Entry Builder'!$L$11)&lt;'Entry Builder'!$E$11),--(INDEX(Sims!$A1854:$BO1854,'Entry Builder'!$L$11)&gt;'Entry Builder'!$E$11)))</f>
        <v/>
      </c>
      <c r="F1854">
        <f>IF('Entry Builder'!$N$12=0,1,IF('Entry Builder'!$D$12="Less",--(INDEX(Sims!$A1854:$BO1854,'Entry Builder'!$L$12)&lt;'Entry Builder'!$E$12),--(INDEX(Sims!$A1854:$BO1854,'Entry Builder'!$L$12)&gt;'Entry Builder'!$E$12)))</f>
        <v/>
      </c>
      <c r="G1854">
        <f>6-SUM(A1854:F1854)</f>
        <v/>
      </c>
    </row>
    <row r="1855">
      <c r="A1855">
        <f>IF('Entry Builder'!$N$7=0,1,IF('Entry Builder'!$D$7="Less",--(INDEX(Sims!$A1855:$BO1855,'Entry Builder'!$L$7)&lt;'Entry Builder'!$E$7),--(INDEX(Sims!$A1855:$BO1855,'Entry Builder'!$L$7)&gt;'Entry Builder'!$E$7)))</f>
        <v/>
      </c>
      <c r="B1855">
        <f>IF('Entry Builder'!$N$8=0,1,IF('Entry Builder'!$D$8="Less",--(INDEX(Sims!$A1855:$BO1855,'Entry Builder'!$L$8)&lt;'Entry Builder'!$E$8),--(INDEX(Sims!$A1855:$BO1855,'Entry Builder'!$L$8)&gt;'Entry Builder'!$E$8)))</f>
        <v/>
      </c>
      <c r="C1855">
        <f>IF('Entry Builder'!$N$9=0,1,IF('Entry Builder'!$D$9="Less",--(INDEX(Sims!$A1855:$BO1855,'Entry Builder'!$L$9)&lt;'Entry Builder'!$E$9),--(INDEX(Sims!$A1855:$BO1855,'Entry Builder'!$L$9)&gt;'Entry Builder'!$E$9)))</f>
        <v/>
      </c>
      <c r="D1855">
        <f>IF('Entry Builder'!$N$10=0,1,IF('Entry Builder'!$D$10="Less",--(INDEX(Sims!$A1855:$BO1855,'Entry Builder'!$L$10)&lt;'Entry Builder'!$E$10),--(INDEX(Sims!$A1855:$BO1855,'Entry Builder'!$L$10)&gt;'Entry Builder'!$E$10)))</f>
        <v/>
      </c>
      <c r="E1855">
        <f>IF('Entry Builder'!$N$11=0,1,IF('Entry Builder'!$D$11="Less",--(INDEX(Sims!$A1855:$BO1855,'Entry Builder'!$L$11)&lt;'Entry Builder'!$E$11),--(INDEX(Sims!$A1855:$BO1855,'Entry Builder'!$L$11)&gt;'Entry Builder'!$E$11)))</f>
        <v/>
      </c>
      <c r="F1855">
        <f>IF('Entry Builder'!$N$12=0,1,IF('Entry Builder'!$D$12="Less",--(INDEX(Sims!$A1855:$BO1855,'Entry Builder'!$L$12)&lt;'Entry Builder'!$E$12),--(INDEX(Sims!$A1855:$BO1855,'Entry Builder'!$L$12)&gt;'Entry Builder'!$E$12)))</f>
        <v/>
      </c>
      <c r="G1855">
        <f>6-SUM(A1855:F1855)</f>
        <v/>
      </c>
    </row>
    <row r="1856">
      <c r="A1856">
        <f>IF('Entry Builder'!$N$7=0,1,IF('Entry Builder'!$D$7="Less",--(INDEX(Sims!$A1856:$BO1856,'Entry Builder'!$L$7)&lt;'Entry Builder'!$E$7),--(INDEX(Sims!$A1856:$BO1856,'Entry Builder'!$L$7)&gt;'Entry Builder'!$E$7)))</f>
        <v/>
      </c>
      <c r="B1856">
        <f>IF('Entry Builder'!$N$8=0,1,IF('Entry Builder'!$D$8="Less",--(INDEX(Sims!$A1856:$BO1856,'Entry Builder'!$L$8)&lt;'Entry Builder'!$E$8),--(INDEX(Sims!$A1856:$BO1856,'Entry Builder'!$L$8)&gt;'Entry Builder'!$E$8)))</f>
        <v/>
      </c>
      <c r="C1856">
        <f>IF('Entry Builder'!$N$9=0,1,IF('Entry Builder'!$D$9="Less",--(INDEX(Sims!$A1856:$BO1856,'Entry Builder'!$L$9)&lt;'Entry Builder'!$E$9),--(INDEX(Sims!$A1856:$BO1856,'Entry Builder'!$L$9)&gt;'Entry Builder'!$E$9)))</f>
        <v/>
      </c>
      <c r="D1856">
        <f>IF('Entry Builder'!$N$10=0,1,IF('Entry Builder'!$D$10="Less",--(INDEX(Sims!$A1856:$BO1856,'Entry Builder'!$L$10)&lt;'Entry Builder'!$E$10),--(INDEX(Sims!$A1856:$BO1856,'Entry Builder'!$L$10)&gt;'Entry Builder'!$E$10)))</f>
        <v/>
      </c>
      <c r="E1856">
        <f>IF('Entry Builder'!$N$11=0,1,IF('Entry Builder'!$D$11="Less",--(INDEX(Sims!$A1856:$BO1856,'Entry Builder'!$L$11)&lt;'Entry Builder'!$E$11),--(INDEX(Sims!$A1856:$BO1856,'Entry Builder'!$L$11)&gt;'Entry Builder'!$E$11)))</f>
        <v/>
      </c>
      <c r="F1856">
        <f>IF('Entry Builder'!$N$12=0,1,IF('Entry Builder'!$D$12="Less",--(INDEX(Sims!$A1856:$BO1856,'Entry Builder'!$L$12)&lt;'Entry Builder'!$E$12),--(INDEX(Sims!$A1856:$BO1856,'Entry Builder'!$L$12)&gt;'Entry Builder'!$E$12)))</f>
        <v/>
      </c>
      <c r="G1856">
        <f>6-SUM(A1856:F1856)</f>
        <v/>
      </c>
    </row>
    <row r="1857">
      <c r="A1857">
        <f>IF('Entry Builder'!$N$7=0,1,IF('Entry Builder'!$D$7="Less",--(INDEX(Sims!$A1857:$BO1857,'Entry Builder'!$L$7)&lt;'Entry Builder'!$E$7),--(INDEX(Sims!$A1857:$BO1857,'Entry Builder'!$L$7)&gt;'Entry Builder'!$E$7)))</f>
        <v/>
      </c>
      <c r="B1857">
        <f>IF('Entry Builder'!$N$8=0,1,IF('Entry Builder'!$D$8="Less",--(INDEX(Sims!$A1857:$BO1857,'Entry Builder'!$L$8)&lt;'Entry Builder'!$E$8),--(INDEX(Sims!$A1857:$BO1857,'Entry Builder'!$L$8)&gt;'Entry Builder'!$E$8)))</f>
        <v/>
      </c>
      <c r="C1857">
        <f>IF('Entry Builder'!$N$9=0,1,IF('Entry Builder'!$D$9="Less",--(INDEX(Sims!$A1857:$BO1857,'Entry Builder'!$L$9)&lt;'Entry Builder'!$E$9),--(INDEX(Sims!$A1857:$BO1857,'Entry Builder'!$L$9)&gt;'Entry Builder'!$E$9)))</f>
        <v/>
      </c>
      <c r="D1857">
        <f>IF('Entry Builder'!$N$10=0,1,IF('Entry Builder'!$D$10="Less",--(INDEX(Sims!$A1857:$BO1857,'Entry Builder'!$L$10)&lt;'Entry Builder'!$E$10),--(INDEX(Sims!$A1857:$BO1857,'Entry Builder'!$L$10)&gt;'Entry Builder'!$E$10)))</f>
        <v/>
      </c>
      <c r="E1857">
        <f>IF('Entry Builder'!$N$11=0,1,IF('Entry Builder'!$D$11="Less",--(INDEX(Sims!$A1857:$BO1857,'Entry Builder'!$L$11)&lt;'Entry Builder'!$E$11),--(INDEX(Sims!$A1857:$BO1857,'Entry Builder'!$L$11)&gt;'Entry Builder'!$E$11)))</f>
        <v/>
      </c>
      <c r="F1857">
        <f>IF('Entry Builder'!$N$12=0,1,IF('Entry Builder'!$D$12="Less",--(INDEX(Sims!$A1857:$BO1857,'Entry Builder'!$L$12)&lt;'Entry Builder'!$E$12),--(INDEX(Sims!$A1857:$BO1857,'Entry Builder'!$L$12)&gt;'Entry Builder'!$E$12)))</f>
        <v/>
      </c>
      <c r="G1857">
        <f>6-SUM(A1857:F1857)</f>
        <v/>
      </c>
    </row>
    <row r="1858">
      <c r="A1858">
        <f>IF('Entry Builder'!$N$7=0,1,IF('Entry Builder'!$D$7="Less",--(INDEX(Sims!$A1858:$BO1858,'Entry Builder'!$L$7)&lt;'Entry Builder'!$E$7),--(INDEX(Sims!$A1858:$BO1858,'Entry Builder'!$L$7)&gt;'Entry Builder'!$E$7)))</f>
        <v/>
      </c>
      <c r="B1858">
        <f>IF('Entry Builder'!$N$8=0,1,IF('Entry Builder'!$D$8="Less",--(INDEX(Sims!$A1858:$BO1858,'Entry Builder'!$L$8)&lt;'Entry Builder'!$E$8),--(INDEX(Sims!$A1858:$BO1858,'Entry Builder'!$L$8)&gt;'Entry Builder'!$E$8)))</f>
        <v/>
      </c>
      <c r="C1858">
        <f>IF('Entry Builder'!$N$9=0,1,IF('Entry Builder'!$D$9="Less",--(INDEX(Sims!$A1858:$BO1858,'Entry Builder'!$L$9)&lt;'Entry Builder'!$E$9),--(INDEX(Sims!$A1858:$BO1858,'Entry Builder'!$L$9)&gt;'Entry Builder'!$E$9)))</f>
        <v/>
      </c>
      <c r="D1858">
        <f>IF('Entry Builder'!$N$10=0,1,IF('Entry Builder'!$D$10="Less",--(INDEX(Sims!$A1858:$BO1858,'Entry Builder'!$L$10)&lt;'Entry Builder'!$E$10),--(INDEX(Sims!$A1858:$BO1858,'Entry Builder'!$L$10)&gt;'Entry Builder'!$E$10)))</f>
        <v/>
      </c>
      <c r="E1858">
        <f>IF('Entry Builder'!$N$11=0,1,IF('Entry Builder'!$D$11="Less",--(INDEX(Sims!$A1858:$BO1858,'Entry Builder'!$L$11)&lt;'Entry Builder'!$E$11),--(INDEX(Sims!$A1858:$BO1858,'Entry Builder'!$L$11)&gt;'Entry Builder'!$E$11)))</f>
        <v/>
      </c>
      <c r="F1858">
        <f>IF('Entry Builder'!$N$12=0,1,IF('Entry Builder'!$D$12="Less",--(INDEX(Sims!$A1858:$BO1858,'Entry Builder'!$L$12)&lt;'Entry Builder'!$E$12),--(INDEX(Sims!$A1858:$BO1858,'Entry Builder'!$L$12)&gt;'Entry Builder'!$E$12)))</f>
        <v/>
      </c>
      <c r="G1858">
        <f>6-SUM(A1858:F1858)</f>
        <v/>
      </c>
    </row>
    <row r="1859">
      <c r="A1859">
        <f>IF('Entry Builder'!$N$7=0,1,IF('Entry Builder'!$D$7="Less",--(INDEX(Sims!$A1859:$BO1859,'Entry Builder'!$L$7)&lt;'Entry Builder'!$E$7),--(INDEX(Sims!$A1859:$BO1859,'Entry Builder'!$L$7)&gt;'Entry Builder'!$E$7)))</f>
        <v/>
      </c>
      <c r="B1859">
        <f>IF('Entry Builder'!$N$8=0,1,IF('Entry Builder'!$D$8="Less",--(INDEX(Sims!$A1859:$BO1859,'Entry Builder'!$L$8)&lt;'Entry Builder'!$E$8),--(INDEX(Sims!$A1859:$BO1859,'Entry Builder'!$L$8)&gt;'Entry Builder'!$E$8)))</f>
        <v/>
      </c>
      <c r="C1859">
        <f>IF('Entry Builder'!$N$9=0,1,IF('Entry Builder'!$D$9="Less",--(INDEX(Sims!$A1859:$BO1859,'Entry Builder'!$L$9)&lt;'Entry Builder'!$E$9),--(INDEX(Sims!$A1859:$BO1859,'Entry Builder'!$L$9)&gt;'Entry Builder'!$E$9)))</f>
        <v/>
      </c>
      <c r="D1859">
        <f>IF('Entry Builder'!$N$10=0,1,IF('Entry Builder'!$D$10="Less",--(INDEX(Sims!$A1859:$BO1859,'Entry Builder'!$L$10)&lt;'Entry Builder'!$E$10),--(INDEX(Sims!$A1859:$BO1859,'Entry Builder'!$L$10)&gt;'Entry Builder'!$E$10)))</f>
        <v/>
      </c>
      <c r="E1859">
        <f>IF('Entry Builder'!$N$11=0,1,IF('Entry Builder'!$D$11="Less",--(INDEX(Sims!$A1859:$BO1859,'Entry Builder'!$L$11)&lt;'Entry Builder'!$E$11),--(INDEX(Sims!$A1859:$BO1859,'Entry Builder'!$L$11)&gt;'Entry Builder'!$E$11)))</f>
        <v/>
      </c>
      <c r="F1859">
        <f>IF('Entry Builder'!$N$12=0,1,IF('Entry Builder'!$D$12="Less",--(INDEX(Sims!$A1859:$BO1859,'Entry Builder'!$L$12)&lt;'Entry Builder'!$E$12),--(INDEX(Sims!$A1859:$BO1859,'Entry Builder'!$L$12)&gt;'Entry Builder'!$E$12)))</f>
        <v/>
      </c>
      <c r="G1859">
        <f>6-SUM(A1859:F1859)</f>
        <v/>
      </c>
    </row>
    <row r="1860">
      <c r="A1860">
        <f>IF('Entry Builder'!$N$7=0,1,IF('Entry Builder'!$D$7="Less",--(INDEX(Sims!$A1860:$BO1860,'Entry Builder'!$L$7)&lt;'Entry Builder'!$E$7),--(INDEX(Sims!$A1860:$BO1860,'Entry Builder'!$L$7)&gt;'Entry Builder'!$E$7)))</f>
        <v/>
      </c>
      <c r="B1860">
        <f>IF('Entry Builder'!$N$8=0,1,IF('Entry Builder'!$D$8="Less",--(INDEX(Sims!$A1860:$BO1860,'Entry Builder'!$L$8)&lt;'Entry Builder'!$E$8),--(INDEX(Sims!$A1860:$BO1860,'Entry Builder'!$L$8)&gt;'Entry Builder'!$E$8)))</f>
        <v/>
      </c>
      <c r="C1860">
        <f>IF('Entry Builder'!$N$9=0,1,IF('Entry Builder'!$D$9="Less",--(INDEX(Sims!$A1860:$BO1860,'Entry Builder'!$L$9)&lt;'Entry Builder'!$E$9),--(INDEX(Sims!$A1860:$BO1860,'Entry Builder'!$L$9)&gt;'Entry Builder'!$E$9)))</f>
        <v/>
      </c>
      <c r="D1860">
        <f>IF('Entry Builder'!$N$10=0,1,IF('Entry Builder'!$D$10="Less",--(INDEX(Sims!$A1860:$BO1860,'Entry Builder'!$L$10)&lt;'Entry Builder'!$E$10),--(INDEX(Sims!$A1860:$BO1860,'Entry Builder'!$L$10)&gt;'Entry Builder'!$E$10)))</f>
        <v/>
      </c>
      <c r="E1860">
        <f>IF('Entry Builder'!$N$11=0,1,IF('Entry Builder'!$D$11="Less",--(INDEX(Sims!$A1860:$BO1860,'Entry Builder'!$L$11)&lt;'Entry Builder'!$E$11),--(INDEX(Sims!$A1860:$BO1860,'Entry Builder'!$L$11)&gt;'Entry Builder'!$E$11)))</f>
        <v/>
      </c>
      <c r="F1860">
        <f>IF('Entry Builder'!$N$12=0,1,IF('Entry Builder'!$D$12="Less",--(INDEX(Sims!$A1860:$BO1860,'Entry Builder'!$L$12)&lt;'Entry Builder'!$E$12),--(INDEX(Sims!$A1860:$BO1860,'Entry Builder'!$L$12)&gt;'Entry Builder'!$E$12)))</f>
        <v/>
      </c>
      <c r="G1860">
        <f>6-SUM(A1860:F1860)</f>
        <v/>
      </c>
    </row>
    <row r="1861">
      <c r="A1861">
        <f>IF('Entry Builder'!$N$7=0,1,IF('Entry Builder'!$D$7="Less",--(INDEX(Sims!$A1861:$BO1861,'Entry Builder'!$L$7)&lt;'Entry Builder'!$E$7),--(INDEX(Sims!$A1861:$BO1861,'Entry Builder'!$L$7)&gt;'Entry Builder'!$E$7)))</f>
        <v/>
      </c>
      <c r="B1861">
        <f>IF('Entry Builder'!$N$8=0,1,IF('Entry Builder'!$D$8="Less",--(INDEX(Sims!$A1861:$BO1861,'Entry Builder'!$L$8)&lt;'Entry Builder'!$E$8),--(INDEX(Sims!$A1861:$BO1861,'Entry Builder'!$L$8)&gt;'Entry Builder'!$E$8)))</f>
        <v/>
      </c>
      <c r="C1861">
        <f>IF('Entry Builder'!$N$9=0,1,IF('Entry Builder'!$D$9="Less",--(INDEX(Sims!$A1861:$BO1861,'Entry Builder'!$L$9)&lt;'Entry Builder'!$E$9),--(INDEX(Sims!$A1861:$BO1861,'Entry Builder'!$L$9)&gt;'Entry Builder'!$E$9)))</f>
        <v/>
      </c>
      <c r="D1861">
        <f>IF('Entry Builder'!$N$10=0,1,IF('Entry Builder'!$D$10="Less",--(INDEX(Sims!$A1861:$BO1861,'Entry Builder'!$L$10)&lt;'Entry Builder'!$E$10),--(INDEX(Sims!$A1861:$BO1861,'Entry Builder'!$L$10)&gt;'Entry Builder'!$E$10)))</f>
        <v/>
      </c>
      <c r="E1861">
        <f>IF('Entry Builder'!$N$11=0,1,IF('Entry Builder'!$D$11="Less",--(INDEX(Sims!$A1861:$BO1861,'Entry Builder'!$L$11)&lt;'Entry Builder'!$E$11),--(INDEX(Sims!$A1861:$BO1861,'Entry Builder'!$L$11)&gt;'Entry Builder'!$E$11)))</f>
        <v/>
      </c>
      <c r="F1861">
        <f>IF('Entry Builder'!$N$12=0,1,IF('Entry Builder'!$D$12="Less",--(INDEX(Sims!$A1861:$BO1861,'Entry Builder'!$L$12)&lt;'Entry Builder'!$E$12),--(INDEX(Sims!$A1861:$BO1861,'Entry Builder'!$L$12)&gt;'Entry Builder'!$E$12)))</f>
        <v/>
      </c>
      <c r="G1861">
        <f>6-SUM(A1861:F1861)</f>
        <v/>
      </c>
    </row>
    <row r="1862">
      <c r="A1862">
        <f>IF('Entry Builder'!$N$7=0,1,IF('Entry Builder'!$D$7="Less",--(INDEX(Sims!$A1862:$BO1862,'Entry Builder'!$L$7)&lt;'Entry Builder'!$E$7),--(INDEX(Sims!$A1862:$BO1862,'Entry Builder'!$L$7)&gt;'Entry Builder'!$E$7)))</f>
        <v/>
      </c>
      <c r="B1862">
        <f>IF('Entry Builder'!$N$8=0,1,IF('Entry Builder'!$D$8="Less",--(INDEX(Sims!$A1862:$BO1862,'Entry Builder'!$L$8)&lt;'Entry Builder'!$E$8),--(INDEX(Sims!$A1862:$BO1862,'Entry Builder'!$L$8)&gt;'Entry Builder'!$E$8)))</f>
        <v/>
      </c>
      <c r="C1862">
        <f>IF('Entry Builder'!$N$9=0,1,IF('Entry Builder'!$D$9="Less",--(INDEX(Sims!$A1862:$BO1862,'Entry Builder'!$L$9)&lt;'Entry Builder'!$E$9),--(INDEX(Sims!$A1862:$BO1862,'Entry Builder'!$L$9)&gt;'Entry Builder'!$E$9)))</f>
        <v/>
      </c>
      <c r="D1862">
        <f>IF('Entry Builder'!$N$10=0,1,IF('Entry Builder'!$D$10="Less",--(INDEX(Sims!$A1862:$BO1862,'Entry Builder'!$L$10)&lt;'Entry Builder'!$E$10),--(INDEX(Sims!$A1862:$BO1862,'Entry Builder'!$L$10)&gt;'Entry Builder'!$E$10)))</f>
        <v/>
      </c>
      <c r="E1862">
        <f>IF('Entry Builder'!$N$11=0,1,IF('Entry Builder'!$D$11="Less",--(INDEX(Sims!$A1862:$BO1862,'Entry Builder'!$L$11)&lt;'Entry Builder'!$E$11),--(INDEX(Sims!$A1862:$BO1862,'Entry Builder'!$L$11)&gt;'Entry Builder'!$E$11)))</f>
        <v/>
      </c>
      <c r="F1862">
        <f>IF('Entry Builder'!$N$12=0,1,IF('Entry Builder'!$D$12="Less",--(INDEX(Sims!$A1862:$BO1862,'Entry Builder'!$L$12)&lt;'Entry Builder'!$E$12),--(INDEX(Sims!$A1862:$BO1862,'Entry Builder'!$L$12)&gt;'Entry Builder'!$E$12)))</f>
        <v/>
      </c>
      <c r="G1862">
        <f>6-SUM(A1862:F1862)</f>
        <v/>
      </c>
    </row>
    <row r="1863">
      <c r="A1863">
        <f>IF('Entry Builder'!$N$7=0,1,IF('Entry Builder'!$D$7="Less",--(INDEX(Sims!$A1863:$BO1863,'Entry Builder'!$L$7)&lt;'Entry Builder'!$E$7),--(INDEX(Sims!$A1863:$BO1863,'Entry Builder'!$L$7)&gt;'Entry Builder'!$E$7)))</f>
        <v/>
      </c>
      <c r="B1863">
        <f>IF('Entry Builder'!$N$8=0,1,IF('Entry Builder'!$D$8="Less",--(INDEX(Sims!$A1863:$BO1863,'Entry Builder'!$L$8)&lt;'Entry Builder'!$E$8),--(INDEX(Sims!$A1863:$BO1863,'Entry Builder'!$L$8)&gt;'Entry Builder'!$E$8)))</f>
        <v/>
      </c>
      <c r="C1863">
        <f>IF('Entry Builder'!$N$9=0,1,IF('Entry Builder'!$D$9="Less",--(INDEX(Sims!$A1863:$BO1863,'Entry Builder'!$L$9)&lt;'Entry Builder'!$E$9),--(INDEX(Sims!$A1863:$BO1863,'Entry Builder'!$L$9)&gt;'Entry Builder'!$E$9)))</f>
        <v/>
      </c>
      <c r="D1863">
        <f>IF('Entry Builder'!$N$10=0,1,IF('Entry Builder'!$D$10="Less",--(INDEX(Sims!$A1863:$BO1863,'Entry Builder'!$L$10)&lt;'Entry Builder'!$E$10),--(INDEX(Sims!$A1863:$BO1863,'Entry Builder'!$L$10)&gt;'Entry Builder'!$E$10)))</f>
        <v/>
      </c>
      <c r="E1863">
        <f>IF('Entry Builder'!$N$11=0,1,IF('Entry Builder'!$D$11="Less",--(INDEX(Sims!$A1863:$BO1863,'Entry Builder'!$L$11)&lt;'Entry Builder'!$E$11),--(INDEX(Sims!$A1863:$BO1863,'Entry Builder'!$L$11)&gt;'Entry Builder'!$E$11)))</f>
        <v/>
      </c>
      <c r="F1863">
        <f>IF('Entry Builder'!$N$12=0,1,IF('Entry Builder'!$D$12="Less",--(INDEX(Sims!$A1863:$BO1863,'Entry Builder'!$L$12)&lt;'Entry Builder'!$E$12),--(INDEX(Sims!$A1863:$BO1863,'Entry Builder'!$L$12)&gt;'Entry Builder'!$E$12)))</f>
        <v/>
      </c>
      <c r="G1863">
        <f>6-SUM(A1863:F1863)</f>
        <v/>
      </c>
    </row>
    <row r="1864">
      <c r="A1864">
        <f>IF('Entry Builder'!$N$7=0,1,IF('Entry Builder'!$D$7="Less",--(INDEX(Sims!$A1864:$BO1864,'Entry Builder'!$L$7)&lt;'Entry Builder'!$E$7),--(INDEX(Sims!$A1864:$BO1864,'Entry Builder'!$L$7)&gt;'Entry Builder'!$E$7)))</f>
        <v/>
      </c>
      <c r="B1864">
        <f>IF('Entry Builder'!$N$8=0,1,IF('Entry Builder'!$D$8="Less",--(INDEX(Sims!$A1864:$BO1864,'Entry Builder'!$L$8)&lt;'Entry Builder'!$E$8),--(INDEX(Sims!$A1864:$BO1864,'Entry Builder'!$L$8)&gt;'Entry Builder'!$E$8)))</f>
        <v/>
      </c>
      <c r="C1864">
        <f>IF('Entry Builder'!$N$9=0,1,IF('Entry Builder'!$D$9="Less",--(INDEX(Sims!$A1864:$BO1864,'Entry Builder'!$L$9)&lt;'Entry Builder'!$E$9),--(INDEX(Sims!$A1864:$BO1864,'Entry Builder'!$L$9)&gt;'Entry Builder'!$E$9)))</f>
        <v/>
      </c>
      <c r="D1864">
        <f>IF('Entry Builder'!$N$10=0,1,IF('Entry Builder'!$D$10="Less",--(INDEX(Sims!$A1864:$BO1864,'Entry Builder'!$L$10)&lt;'Entry Builder'!$E$10),--(INDEX(Sims!$A1864:$BO1864,'Entry Builder'!$L$10)&gt;'Entry Builder'!$E$10)))</f>
        <v/>
      </c>
      <c r="E1864">
        <f>IF('Entry Builder'!$N$11=0,1,IF('Entry Builder'!$D$11="Less",--(INDEX(Sims!$A1864:$BO1864,'Entry Builder'!$L$11)&lt;'Entry Builder'!$E$11),--(INDEX(Sims!$A1864:$BO1864,'Entry Builder'!$L$11)&gt;'Entry Builder'!$E$11)))</f>
        <v/>
      </c>
      <c r="F1864">
        <f>IF('Entry Builder'!$N$12=0,1,IF('Entry Builder'!$D$12="Less",--(INDEX(Sims!$A1864:$BO1864,'Entry Builder'!$L$12)&lt;'Entry Builder'!$E$12),--(INDEX(Sims!$A1864:$BO1864,'Entry Builder'!$L$12)&gt;'Entry Builder'!$E$12)))</f>
        <v/>
      </c>
      <c r="G1864">
        <f>6-SUM(A1864:F1864)</f>
        <v/>
      </c>
    </row>
    <row r="1865">
      <c r="A1865">
        <f>IF('Entry Builder'!$N$7=0,1,IF('Entry Builder'!$D$7="Less",--(INDEX(Sims!$A1865:$BO1865,'Entry Builder'!$L$7)&lt;'Entry Builder'!$E$7),--(INDEX(Sims!$A1865:$BO1865,'Entry Builder'!$L$7)&gt;'Entry Builder'!$E$7)))</f>
        <v/>
      </c>
      <c r="B1865">
        <f>IF('Entry Builder'!$N$8=0,1,IF('Entry Builder'!$D$8="Less",--(INDEX(Sims!$A1865:$BO1865,'Entry Builder'!$L$8)&lt;'Entry Builder'!$E$8),--(INDEX(Sims!$A1865:$BO1865,'Entry Builder'!$L$8)&gt;'Entry Builder'!$E$8)))</f>
        <v/>
      </c>
      <c r="C1865">
        <f>IF('Entry Builder'!$N$9=0,1,IF('Entry Builder'!$D$9="Less",--(INDEX(Sims!$A1865:$BO1865,'Entry Builder'!$L$9)&lt;'Entry Builder'!$E$9),--(INDEX(Sims!$A1865:$BO1865,'Entry Builder'!$L$9)&gt;'Entry Builder'!$E$9)))</f>
        <v/>
      </c>
      <c r="D1865">
        <f>IF('Entry Builder'!$N$10=0,1,IF('Entry Builder'!$D$10="Less",--(INDEX(Sims!$A1865:$BO1865,'Entry Builder'!$L$10)&lt;'Entry Builder'!$E$10),--(INDEX(Sims!$A1865:$BO1865,'Entry Builder'!$L$10)&gt;'Entry Builder'!$E$10)))</f>
        <v/>
      </c>
      <c r="E1865">
        <f>IF('Entry Builder'!$N$11=0,1,IF('Entry Builder'!$D$11="Less",--(INDEX(Sims!$A1865:$BO1865,'Entry Builder'!$L$11)&lt;'Entry Builder'!$E$11),--(INDEX(Sims!$A1865:$BO1865,'Entry Builder'!$L$11)&gt;'Entry Builder'!$E$11)))</f>
        <v/>
      </c>
      <c r="F1865">
        <f>IF('Entry Builder'!$N$12=0,1,IF('Entry Builder'!$D$12="Less",--(INDEX(Sims!$A1865:$BO1865,'Entry Builder'!$L$12)&lt;'Entry Builder'!$E$12),--(INDEX(Sims!$A1865:$BO1865,'Entry Builder'!$L$12)&gt;'Entry Builder'!$E$12)))</f>
        <v/>
      </c>
      <c r="G1865">
        <f>6-SUM(A1865:F1865)</f>
        <v/>
      </c>
    </row>
    <row r="1866">
      <c r="A1866">
        <f>IF('Entry Builder'!$N$7=0,1,IF('Entry Builder'!$D$7="Less",--(INDEX(Sims!$A1866:$BO1866,'Entry Builder'!$L$7)&lt;'Entry Builder'!$E$7),--(INDEX(Sims!$A1866:$BO1866,'Entry Builder'!$L$7)&gt;'Entry Builder'!$E$7)))</f>
        <v/>
      </c>
      <c r="B1866">
        <f>IF('Entry Builder'!$N$8=0,1,IF('Entry Builder'!$D$8="Less",--(INDEX(Sims!$A1866:$BO1866,'Entry Builder'!$L$8)&lt;'Entry Builder'!$E$8),--(INDEX(Sims!$A1866:$BO1866,'Entry Builder'!$L$8)&gt;'Entry Builder'!$E$8)))</f>
        <v/>
      </c>
      <c r="C1866">
        <f>IF('Entry Builder'!$N$9=0,1,IF('Entry Builder'!$D$9="Less",--(INDEX(Sims!$A1866:$BO1866,'Entry Builder'!$L$9)&lt;'Entry Builder'!$E$9),--(INDEX(Sims!$A1866:$BO1866,'Entry Builder'!$L$9)&gt;'Entry Builder'!$E$9)))</f>
        <v/>
      </c>
      <c r="D1866">
        <f>IF('Entry Builder'!$N$10=0,1,IF('Entry Builder'!$D$10="Less",--(INDEX(Sims!$A1866:$BO1866,'Entry Builder'!$L$10)&lt;'Entry Builder'!$E$10),--(INDEX(Sims!$A1866:$BO1866,'Entry Builder'!$L$10)&gt;'Entry Builder'!$E$10)))</f>
        <v/>
      </c>
      <c r="E1866">
        <f>IF('Entry Builder'!$N$11=0,1,IF('Entry Builder'!$D$11="Less",--(INDEX(Sims!$A1866:$BO1866,'Entry Builder'!$L$11)&lt;'Entry Builder'!$E$11),--(INDEX(Sims!$A1866:$BO1866,'Entry Builder'!$L$11)&gt;'Entry Builder'!$E$11)))</f>
        <v/>
      </c>
      <c r="F1866">
        <f>IF('Entry Builder'!$N$12=0,1,IF('Entry Builder'!$D$12="Less",--(INDEX(Sims!$A1866:$BO1866,'Entry Builder'!$L$12)&lt;'Entry Builder'!$E$12),--(INDEX(Sims!$A1866:$BO1866,'Entry Builder'!$L$12)&gt;'Entry Builder'!$E$12)))</f>
        <v/>
      </c>
      <c r="G1866">
        <f>6-SUM(A1866:F1866)</f>
        <v/>
      </c>
    </row>
    <row r="1867">
      <c r="A1867">
        <f>IF('Entry Builder'!$N$7=0,1,IF('Entry Builder'!$D$7="Less",--(INDEX(Sims!$A1867:$BO1867,'Entry Builder'!$L$7)&lt;'Entry Builder'!$E$7),--(INDEX(Sims!$A1867:$BO1867,'Entry Builder'!$L$7)&gt;'Entry Builder'!$E$7)))</f>
        <v/>
      </c>
      <c r="B1867">
        <f>IF('Entry Builder'!$N$8=0,1,IF('Entry Builder'!$D$8="Less",--(INDEX(Sims!$A1867:$BO1867,'Entry Builder'!$L$8)&lt;'Entry Builder'!$E$8),--(INDEX(Sims!$A1867:$BO1867,'Entry Builder'!$L$8)&gt;'Entry Builder'!$E$8)))</f>
        <v/>
      </c>
      <c r="C1867">
        <f>IF('Entry Builder'!$N$9=0,1,IF('Entry Builder'!$D$9="Less",--(INDEX(Sims!$A1867:$BO1867,'Entry Builder'!$L$9)&lt;'Entry Builder'!$E$9),--(INDEX(Sims!$A1867:$BO1867,'Entry Builder'!$L$9)&gt;'Entry Builder'!$E$9)))</f>
        <v/>
      </c>
      <c r="D1867">
        <f>IF('Entry Builder'!$N$10=0,1,IF('Entry Builder'!$D$10="Less",--(INDEX(Sims!$A1867:$BO1867,'Entry Builder'!$L$10)&lt;'Entry Builder'!$E$10),--(INDEX(Sims!$A1867:$BO1867,'Entry Builder'!$L$10)&gt;'Entry Builder'!$E$10)))</f>
        <v/>
      </c>
      <c r="E1867">
        <f>IF('Entry Builder'!$N$11=0,1,IF('Entry Builder'!$D$11="Less",--(INDEX(Sims!$A1867:$BO1867,'Entry Builder'!$L$11)&lt;'Entry Builder'!$E$11),--(INDEX(Sims!$A1867:$BO1867,'Entry Builder'!$L$11)&gt;'Entry Builder'!$E$11)))</f>
        <v/>
      </c>
      <c r="F1867">
        <f>IF('Entry Builder'!$N$12=0,1,IF('Entry Builder'!$D$12="Less",--(INDEX(Sims!$A1867:$BO1867,'Entry Builder'!$L$12)&lt;'Entry Builder'!$E$12),--(INDEX(Sims!$A1867:$BO1867,'Entry Builder'!$L$12)&gt;'Entry Builder'!$E$12)))</f>
        <v/>
      </c>
      <c r="G1867">
        <f>6-SUM(A1867:F1867)</f>
        <v/>
      </c>
    </row>
    <row r="1868">
      <c r="A1868">
        <f>IF('Entry Builder'!$N$7=0,1,IF('Entry Builder'!$D$7="Less",--(INDEX(Sims!$A1868:$BO1868,'Entry Builder'!$L$7)&lt;'Entry Builder'!$E$7),--(INDEX(Sims!$A1868:$BO1868,'Entry Builder'!$L$7)&gt;'Entry Builder'!$E$7)))</f>
        <v/>
      </c>
      <c r="B1868">
        <f>IF('Entry Builder'!$N$8=0,1,IF('Entry Builder'!$D$8="Less",--(INDEX(Sims!$A1868:$BO1868,'Entry Builder'!$L$8)&lt;'Entry Builder'!$E$8),--(INDEX(Sims!$A1868:$BO1868,'Entry Builder'!$L$8)&gt;'Entry Builder'!$E$8)))</f>
        <v/>
      </c>
      <c r="C1868">
        <f>IF('Entry Builder'!$N$9=0,1,IF('Entry Builder'!$D$9="Less",--(INDEX(Sims!$A1868:$BO1868,'Entry Builder'!$L$9)&lt;'Entry Builder'!$E$9),--(INDEX(Sims!$A1868:$BO1868,'Entry Builder'!$L$9)&gt;'Entry Builder'!$E$9)))</f>
        <v/>
      </c>
      <c r="D1868">
        <f>IF('Entry Builder'!$N$10=0,1,IF('Entry Builder'!$D$10="Less",--(INDEX(Sims!$A1868:$BO1868,'Entry Builder'!$L$10)&lt;'Entry Builder'!$E$10),--(INDEX(Sims!$A1868:$BO1868,'Entry Builder'!$L$10)&gt;'Entry Builder'!$E$10)))</f>
        <v/>
      </c>
      <c r="E1868">
        <f>IF('Entry Builder'!$N$11=0,1,IF('Entry Builder'!$D$11="Less",--(INDEX(Sims!$A1868:$BO1868,'Entry Builder'!$L$11)&lt;'Entry Builder'!$E$11),--(INDEX(Sims!$A1868:$BO1868,'Entry Builder'!$L$11)&gt;'Entry Builder'!$E$11)))</f>
        <v/>
      </c>
      <c r="F1868">
        <f>IF('Entry Builder'!$N$12=0,1,IF('Entry Builder'!$D$12="Less",--(INDEX(Sims!$A1868:$BO1868,'Entry Builder'!$L$12)&lt;'Entry Builder'!$E$12),--(INDEX(Sims!$A1868:$BO1868,'Entry Builder'!$L$12)&gt;'Entry Builder'!$E$12)))</f>
        <v/>
      </c>
      <c r="G1868">
        <f>6-SUM(A1868:F1868)</f>
        <v/>
      </c>
    </row>
    <row r="1869">
      <c r="A1869">
        <f>IF('Entry Builder'!$N$7=0,1,IF('Entry Builder'!$D$7="Less",--(INDEX(Sims!$A1869:$BO1869,'Entry Builder'!$L$7)&lt;'Entry Builder'!$E$7),--(INDEX(Sims!$A1869:$BO1869,'Entry Builder'!$L$7)&gt;'Entry Builder'!$E$7)))</f>
        <v/>
      </c>
      <c r="B1869">
        <f>IF('Entry Builder'!$N$8=0,1,IF('Entry Builder'!$D$8="Less",--(INDEX(Sims!$A1869:$BO1869,'Entry Builder'!$L$8)&lt;'Entry Builder'!$E$8),--(INDEX(Sims!$A1869:$BO1869,'Entry Builder'!$L$8)&gt;'Entry Builder'!$E$8)))</f>
        <v/>
      </c>
      <c r="C1869">
        <f>IF('Entry Builder'!$N$9=0,1,IF('Entry Builder'!$D$9="Less",--(INDEX(Sims!$A1869:$BO1869,'Entry Builder'!$L$9)&lt;'Entry Builder'!$E$9),--(INDEX(Sims!$A1869:$BO1869,'Entry Builder'!$L$9)&gt;'Entry Builder'!$E$9)))</f>
        <v/>
      </c>
      <c r="D1869">
        <f>IF('Entry Builder'!$N$10=0,1,IF('Entry Builder'!$D$10="Less",--(INDEX(Sims!$A1869:$BO1869,'Entry Builder'!$L$10)&lt;'Entry Builder'!$E$10),--(INDEX(Sims!$A1869:$BO1869,'Entry Builder'!$L$10)&gt;'Entry Builder'!$E$10)))</f>
        <v/>
      </c>
      <c r="E1869">
        <f>IF('Entry Builder'!$N$11=0,1,IF('Entry Builder'!$D$11="Less",--(INDEX(Sims!$A1869:$BO1869,'Entry Builder'!$L$11)&lt;'Entry Builder'!$E$11),--(INDEX(Sims!$A1869:$BO1869,'Entry Builder'!$L$11)&gt;'Entry Builder'!$E$11)))</f>
        <v/>
      </c>
      <c r="F1869">
        <f>IF('Entry Builder'!$N$12=0,1,IF('Entry Builder'!$D$12="Less",--(INDEX(Sims!$A1869:$BO1869,'Entry Builder'!$L$12)&lt;'Entry Builder'!$E$12),--(INDEX(Sims!$A1869:$BO1869,'Entry Builder'!$L$12)&gt;'Entry Builder'!$E$12)))</f>
        <v/>
      </c>
      <c r="G1869">
        <f>6-SUM(A1869:F1869)</f>
        <v/>
      </c>
    </row>
    <row r="1870">
      <c r="A1870">
        <f>IF('Entry Builder'!$N$7=0,1,IF('Entry Builder'!$D$7="Less",--(INDEX(Sims!$A1870:$BO1870,'Entry Builder'!$L$7)&lt;'Entry Builder'!$E$7),--(INDEX(Sims!$A1870:$BO1870,'Entry Builder'!$L$7)&gt;'Entry Builder'!$E$7)))</f>
        <v/>
      </c>
      <c r="B1870">
        <f>IF('Entry Builder'!$N$8=0,1,IF('Entry Builder'!$D$8="Less",--(INDEX(Sims!$A1870:$BO1870,'Entry Builder'!$L$8)&lt;'Entry Builder'!$E$8),--(INDEX(Sims!$A1870:$BO1870,'Entry Builder'!$L$8)&gt;'Entry Builder'!$E$8)))</f>
        <v/>
      </c>
      <c r="C1870">
        <f>IF('Entry Builder'!$N$9=0,1,IF('Entry Builder'!$D$9="Less",--(INDEX(Sims!$A1870:$BO1870,'Entry Builder'!$L$9)&lt;'Entry Builder'!$E$9),--(INDEX(Sims!$A1870:$BO1870,'Entry Builder'!$L$9)&gt;'Entry Builder'!$E$9)))</f>
        <v/>
      </c>
      <c r="D1870">
        <f>IF('Entry Builder'!$N$10=0,1,IF('Entry Builder'!$D$10="Less",--(INDEX(Sims!$A1870:$BO1870,'Entry Builder'!$L$10)&lt;'Entry Builder'!$E$10),--(INDEX(Sims!$A1870:$BO1870,'Entry Builder'!$L$10)&gt;'Entry Builder'!$E$10)))</f>
        <v/>
      </c>
      <c r="E1870">
        <f>IF('Entry Builder'!$N$11=0,1,IF('Entry Builder'!$D$11="Less",--(INDEX(Sims!$A1870:$BO1870,'Entry Builder'!$L$11)&lt;'Entry Builder'!$E$11),--(INDEX(Sims!$A1870:$BO1870,'Entry Builder'!$L$11)&gt;'Entry Builder'!$E$11)))</f>
        <v/>
      </c>
      <c r="F1870">
        <f>IF('Entry Builder'!$N$12=0,1,IF('Entry Builder'!$D$12="Less",--(INDEX(Sims!$A1870:$BO1870,'Entry Builder'!$L$12)&lt;'Entry Builder'!$E$12),--(INDEX(Sims!$A1870:$BO1870,'Entry Builder'!$L$12)&gt;'Entry Builder'!$E$12)))</f>
        <v/>
      </c>
      <c r="G1870">
        <f>6-SUM(A1870:F1870)</f>
        <v/>
      </c>
    </row>
    <row r="1871">
      <c r="A1871">
        <f>IF('Entry Builder'!$N$7=0,1,IF('Entry Builder'!$D$7="Less",--(INDEX(Sims!$A1871:$BO1871,'Entry Builder'!$L$7)&lt;'Entry Builder'!$E$7),--(INDEX(Sims!$A1871:$BO1871,'Entry Builder'!$L$7)&gt;'Entry Builder'!$E$7)))</f>
        <v/>
      </c>
      <c r="B1871">
        <f>IF('Entry Builder'!$N$8=0,1,IF('Entry Builder'!$D$8="Less",--(INDEX(Sims!$A1871:$BO1871,'Entry Builder'!$L$8)&lt;'Entry Builder'!$E$8),--(INDEX(Sims!$A1871:$BO1871,'Entry Builder'!$L$8)&gt;'Entry Builder'!$E$8)))</f>
        <v/>
      </c>
      <c r="C1871">
        <f>IF('Entry Builder'!$N$9=0,1,IF('Entry Builder'!$D$9="Less",--(INDEX(Sims!$A1871:$BO1871,'Entry Builder'!$L$9)&lt;'Entry Builder'!$E$9),--(INDEX(Sims!$A1871:$BO1871,'Entry Builder'!$L$9)&gt;'Entry Builder'!$E$9)))</f>
        <v/>
      </c>
      <c r="D1871">
        <f>IF('Entry Builder'!$N$10=0,1,IF('Entry Builder'!$D$10="Less",--(INDEX(Sims!$A1871:$BO1871,'Entry Builder'!$L$10)&lt;'Entry Builder'!$E$10),--(INDEX(Sims!$A1871:$BO1871,'Entry Builder'!$L$10)&gt;'Entry Builder'!$E$10)))</f>
        <v/>
      </c>
      <c r="E1871">
        <f>IF('Entry Builder'!$N$11=0,1,IF('Entry Builder'!$D$11="Less",--(INDEX(Sims!$A1871:$BO1871,'Entry Builder'!$L$11)&lt;'Entry Builder'!$E$11),--(INDEX(Sims!$A1871:$BO1871,'Entry Builder'!$L$11)&gt;'Entry Builder'!$E$11)))</f>
        <v/>
      </c>
      <c r="F1871">
        <f>IF('Entry Builder'!$N$12=0,1,IF('Entry Builder'!$D$12="Less",--(INDEX(Sims!$A1871:$BO1871,'Entry Builder'!$L$12)&lt;'Entry Builder'!$E$12),--(INDEX(Sims!$A1871:$BO1871,'Entry Builder'!$L$12)&gt;'Entry Builder'!$E$12)))</f>
        <v/>
      </c>
      <c r="G1871">
        <f>6-SUM(A1871:F1871)</f>
        <v/>
      </c>
    </row>
    <row r="1872">
      <c r="A1872">
        <f>IF('Entry Builder'!$N$7=0,1,IF('Entry Builder'!$D$7="Less",--(INDEX(Sims!$A1872:$BO1872,'Entry Builder'!$L$7)&lt;'Entry Builder'!$E$7),--(INDEX(Sims!$A1872:$BO1872,'Entry Builder'!$L$7)&gt;'Entry Builder'!$E$7)))</f>
        <v/>
      </c>
      <c r="B1872">
        <f>IF('Entry Builder'!$N$8=0,1,IF('Entry Builder'!$D$8="Less",--(INDEX(Sims!$A1872:$BO1872,'Entry Builder'!$L$8)&lt;'Entry Builder'!$E$8),--(INDEX(Sims!$A1872:$BO1872,'Entry Builder'!$L$8)&gt;'Entry Builder'!$E$8)))</f>
        <v/>
      </c>
      <c r="C1872">
        <f>IF('Entry Builder'!$N$9=0,1,IF('Entry Builder'!$D$9="Less",--(INDEX(Sims!$A1872:$BO1872,'Entry Builder'!$L$9)&lt;'Entry Builder'!$E$9),--(INDEX(Sims!$A1872:$BO1872,'Entry Builder'!$L$9)&gt;'Entry Builder'!$E$9)))</f>
        <v/>
      </c>
      <c r="D1872">
        <f>IF('Entry Builder'!$N$10=0,1,IF('Entry Builder'!$D$10="Less",--(INDEX(Sims!$A1872:$BO1872,'Entry Builder'!$L$10)&lt;'Entry Builder'!$E$10),--(INDEX(Sims!$A1872:$BO1872,'Entry Builder'!$L$10)&gt;'Entry Builder'!$E$10)))</f>
        <v/>
      </c>
      <c r="E1872">
        <f>IF('Entry Builder'!$N$11=0,1,IF('Entry Builder'!$D$11="Less",--(INDEX(Sims!$A1872:$BO1872,'Entry Builder'!$L$11)&lt;'Entry Builder'!$E$11),--(INDEX(Sims!$A1872:$BO1872,'Entry Builder'!$L$11)&gt;'Entry Builder'!$E$11)))</f>
        <v/>
      </c>
      <c r="F1872">
        <f>IF('Entry Builder'!$N$12=0,1,IF('Entry Builder'!$D$12="Less",--(INDEX(Sims!$A1872:$BO1872,'Entry Builder'!$L$12)&lt;'Entry Builder'!$E$12),--(INDEX(Sims!$A1872:$BO1872,'Entry Builder'!$L$12)&gt;'Entry Builder'!$E$12)))</f>
        <v/>
      </c>
      <c r="G1872">
        <f>6-SUM(A1872:F1872)</f>
        <v/>
      </c>
    </row>
    <row r="1873">
      <c r="A1873">
        <f>IF('Entry Builder'!$N$7=0,1,IF('Entry Builder'!$D$7="Less",--(INDEX(Sims!$A1873:$BO1873,'Entry Builder'!$L$7)&lt;'Entry Builder'!$E$7),--(INDEX(Sims!$A1873:$BO1873,'Entry Builder'!$L$7)&gt;'Entry Builder'!$E$7)))</f>
        <v/>
      </c>
      <c r="B1873">
        <f>IF('Entry Builder'!$N$8=0,1,IF('Entry Builder'!$D$8="Less",--(INDEX(Sims!$A1873:$BO1873,'Entry Builder'!$L$8)&lt;'Entry Builder'!$E$8),--(INDEX(Sims!$A1873:$BO1873,'Entry Builder'!$L$8)&gt;'Entry Builder'!$E$8)))</f>
        <v/>
      </c>
      <c r="C1873">
        <f>IF('Entry Builder'!$N$9=0,1,IF('Entry Builder'!$D$9="Less",--(INDEX(Sims!$A1873:$BO1873,'Entry Builder'!$L$9)&lt;'Entry Builder'!$E$9),--(INDEX(Sims!$A1873:$BO1873,'Entry Builder'!$L$9)&gt;'Entry Builder'!$E$9)))</f>
        <v/>
      </c>
      <c r="D1873">
        <f>IF('Entry Builder'!$N$10=0,1,IF('Entry Builder'!$D$10="Less",--(INDEX(Sims!$A1873:$BO1873,'Entry Builder'!$L$10)&lt;'Entry Builder'!$E$10),--(INDEX(Sims!$A1873:$BO1873,'Entry Builder'!$L$10)&gt;'Entry Builder'!$E$10)))</f>
        <v/>
      </c>
      <c r="E1873">
        <f>IF('Entry Builder'!$N$11=0,1,IF('Entry Builder'!$D$11="Less",--(INDEX(Sims!$A1873:$BO1873,'Entry Builder'!$L$11)&lt;'Entry Builder'!$E$11),--(INDEX(Sims!$A1873:$BO1873,'Entry Builder'!$L$11)&gt;'Entry Builder'!$E$11)))</f>
        <v/>
      </c>
      <c r="F1873">
        <f>IF('Entry Builder'!$N$12=0,1,IF('Entry Builder'!$D$12="Less",--(INDEX(Sims!$A1873:$BO1873,'Entry Builder'!$L$12)&lt;'Entry Builder'!$E$12),--(INDEX(Sims!$A1873:$BO1873,'Entry Builder'!$L$12)&gt;'Entry Builder'!$E$12)))</f>
        <v/>
      </c>
      <c r="G1873">
        <f>6-SUM(A1873:F1873)</f>
        <v/>
      </c>
    </row>
    <row r="1874">
      <c r="A1874">
        <f>IF('Entry Builder'!$N$7=0,1,IF('Entry Builder'!$D$7="Less",--(INDEX(Sims!$A1874:$BO1874,'Entry Builder'!$L$7)&lt;'Entry Builder'!$E$7),--(INDEX(Sims!$A1874:$BO1874,'Entry Builder'!$L$7)&gt;'Entry Builder'!$E$7)))</f>
        <v/>
      </c>
      <c r="B1874">
        <f>IF('Entry Builder'!$N$8=0,1,IF('Entry Builder'!$D$8="Less",--(INDEX(Sims!$A1874:$BO1874,'Entry Builder'!$L$8)&lt;'Entry Builder'!$E$8),--(INDEX(Sims!$A1874:$BO1874,'Entry Builder'!$L$8)&gt;'Entry Builder'!$E$8)))</f>
        <v/>
      </c>
      <c r="C1874">
        <f>IF('Entry Builder'!$N$9=0,1,IF('Entry Builder'!$D$9="Less",--(INDEX(Sims!$A1874:$BO1874,'Entry Builder'!$L$9)&lt;'Entry Builder'!$E$9),--(INDEX(Sims!$A1874:$BO1874,'Entry Builder'!$L$9)&gt;'Entry Builder'!$E$9)))</f>
        <v/>
      </c>
      <c r="D1874">
        <f>IF('Entry Builder'!$N$10=0,1,IF('Entry Builder'!$D$10="Less",--(INDEX(Sims!$A1874:$BO1874,'Entry Builder'!$L$10)&lt;'Entry Builder'!$E$10),--(INDEX(Sims!$A1874:$BO1874,'Entry Builder'!$L$10)&gt;'Entry Builder'!$E$10)))</f>
        <v/>
      </c>
      <c r="E1874">
        <f>IF('Entry Builder'!$N$11=0,1,IF('Entry Builder'!$D$11="Less",--(INDEX(Sims!$A1874:$BO1874,'Entry Builder'!$L$11)&lt;'Entry Builder'!$E$11),--(INDEX(Sims!$A1874:$BO1874,'Entry Builder'!$L$11)&gt;'Entry Builder'!$E$11)))</f>
        <v/>
      </c>
      <c r="F1874">
        <f>IF('Entry Builder'!$N$12=0,1,IF('Entry Builder'!$D$12="Less",--(INDEX(Sims!$A1874:$BO1874,'Entry Builder'!$L$12)&lt;'Entry Builder'!$E$12),--(INDEX(Sims!$A1874:$BO1874,'Entry Builder'!$L$12)&gt;'Entry Builder'!$E$12)))</f>
        <v/>
      </c>
      <c r="G1874">
        <f>6-SUM(A1874:F1874)</f>
        <v/>
      </c>
    </row>
    <row r="1875">
      <c r="A1875">
        <f>IF('Entry Builder'!$N$7=0,1,IF('Entry Builder'!$D$7="Less",--(INDEX(Sims!$A1875:$BO1875,'Entry Builder'!$L$7)&lt;'Entry Builder'!$E$7),--(INDEX(Sims!$A1875:$BO1875,'Entry Builder'!$L$7)&gt;'Entry Builder'!$E$7)))</f>
        <v/>
      </c>
      <c r="B1875">
        <f>IF('Entry Builder'!$N$8=0,1,IF('Entry Builder'!$D$8="Less",--(INDEX(Sims!$A1875:$BO1875,'Entry Builder'!$L$8)&lt;'Entry Builder'!$E$8),--(INDEX(Sims!$A1875:$BO1875,'Entry Builder'!$L$8)&gt;'Entry Builder'!$E$8)))</f>
        <v/>
      </c>
      <c r="C1875">
        <f>IF('Entry Builder'!$N$9=0,1,IF('Entry Builder'!$D$9="Less",--(INDEX(Sims!$A1875:$BO1875,'Entry Builder'!$L$9)&lt;'Entry Builder'!$E$9),--(INDEX(Sims!$A1875:$BO1875,'Entry Builder'!$L$9)&gt;'Entry Builder'!$E$9)))</f>
        <v/>
      </c>
      <c r="D1875">
        <f>IF('Entry Builder'!$N$10=0,1,IF('Entry Builder'!$D$10="Less",--(INDEX(Sims!$A1875:$BO1875,'Entry Builder'!$L$10)&lt;'Entry Builder'!$E$10),--(INDEX(Sims!$A1875:$BO1875,'Entry Builder'!$L$10)&gt;'Entry Builder'!$E$10)))</f>
        <v/>
      </c>
      <c r="E1875">
        <f>IF('Entry Builder'!$N$11=0,1,IF('Entry Builder'!$D$11="Less",--(INDEX(Sims!$A1875:$BO1875,'Entry Builder'!$L$11)&lt;'Entry Builder'!$E$11),--(INDEX(Sims!$A1875:$BO1875,'Entry Builder'!$L$11)&gt;'Entry Builder'!$E$11)))</f>
        <v/>
      </c>
      <c r="F1875">
        <f>IF('Entry Builder'!$N$12=0,1,IF('Entry Builder'!$D$12="Less",--(INDEX(Sims!$A1875:$BO1875,'Entry Builder'!$L$12)&lt;'Entry Builder'!$E$12),--(INDEX(Sims!$A1875:$BO1875,'Entry Builder'!$L$12)&gt;'Entry Builder'!$E$12)))</f>
        <v/>
      </c>
      <c r="G1875">
        <f>6-SUM(A1875:F1875)</f>
        <v/>
      </c>
    </row>
    <row r="1876">
      <c r="A1876">
        <f>IF('Entry Builder'!$N$7=0,1,IF('Entry Builder'!$D$7="Less",--(INDEX(Sims!$A1876:$BO1876,'Entry Builder'!$L$7)&lt;'Entry Builder'!$E$7),--(INDEX(Sims!$A1876:$BO1876,'Entry Builder'!$L$7)&gt;'Entry Builder'!$E$7)))</f>
        <v/>
      </c>
      <c r="B1876">
        <f>IF('Entry Builder'!$N$8=0,1,IF('Entry Builder'!$D$8="Less",--(INDEX(Sims!$A1876:$BO1876,'Entry Builder'!$L$8)&lt;'Entry Builder'!$E$8),--(INDEX(Sims!$A1876:$BO1876,'Entry Builder'!$L$8)&gt;'Entry Builder'!$E$8)))</f>
        <v/>
      </c>
      <c r="C1876">
        <f>IF('Entry Builder'!$N$9=0,1,IF('Entry Builder'!$D$9="Less",--(INDEX(Sims!$A1876:$BO1876,'Entry Builder'!$L$9)&lt;'Entry Builder'!$E$9),--(INDEX(Sims!$A1876:$BO1876,'Entry Builder'!$L$9)&gt;'Entry Builder'!$E$9)))</f>
        <v/>
      </c>
      <c r="D1876">
        <f>IF('Entry Builder'!$N$10=0,1,IF('Entry Builder'!$D$10="Less",--(INDEX(Sims!$A1876:$BO1876,'Entry Builder'!$L$10)&lt;'Entry Builder'!$E$10),--(INDEX(Sims!$A1876:$BO1876,'Entry Builder'!$L$10)&gt;'Entry Builder'!$E$10)))</f>
        <v/>
      </c>
      <c r="E1876">
        <f>IF('Entry Builder'!$N$11=0,1,IF('Entry Builder'!$D$11="Less",--(INDEX(Sims!$A1876:$BO1876,'Entry Builder'!$L$11)&lt;'Entry Builder'!$E$11),--(INDEX(Sims!$A1876:$BO1876,'Entry Builder'!$L$11)&gt;'Entry Builder'!$E$11)))</f>
        <v/>
      </c>
      <c r="F1876">
        <f>IF('Entry Builder'!$N$12=0,1,IF('Entry Builder'!$D$12="Less",--(INDEX(Sims!$A1876:$BO1876,'Entry Builder'!$L$12)&lt;'Entry Builder'!$E$12),--(INDEX(Sims!$A1876:$BO1876,'Entry Builder'!$L$12)&gt;'Entry Builder'!$E$12)))</f>
        <v/>
      </c>
      <c r="G1876">
        <f>6-SUM(A1876:F1876)</f>
        <v/>
      </c>
    </row>
    <row r="1877">
      <c r="A1877">
        <f>IF('Entry Builder'!$N$7=0,1,IF('Entry Builder'!$D$7="Less",--(INDEX(Sims!$A1877:$BO1877,'Entry Builder'!$L$7)&lt;'Entry Builder'!$E$7),--(INDEX(Sims!$A1877:$BO1877,'Entry Builder'!$L$7)&gt;'Entry Builder'!$E$7)))</f>
        <v/>
      </c>
      <c r="B1877">
        <f>IF('Entry Builder'!$N$8=0,1,IF('Entry Builder'!$D$8="Less",--(INDEX(Sims!$A1877:$BO1877,'Entry Builder'!$L$8)&lt;'Entry Builder'!$E$8),--(INDEX(Sims!$A1877:$BO1877,'Entry Builder'!$L$8)&gt;'Entry Builder'!$E$8)))</f>
        <v/>
      </c>
      <c r="C1877">
        <f>IF('Entry Builder'!$N$9=0,1,IF('Entry Builder'!$D$9="Less",--(INDEX(Sims!$A1877:$BO1877,'Entry Builder'!$L$9)&lt;'Entry Builder'!$E$9),--(INDEX(Sims!$A1877:$BO1877,'Entry Builder'!$L$9)&gt;'Entry Builder'!$E$9)))</f>
        <v/>
      </c>
      <c r="D1877">
        <f>IF('Entry Builder'!$N$10=0,1,IF('Entry Builder'!$D$10="Less",--(INDEX(Sims!$A1877:$BO1877,'Entry Builder'!$L$10)&lt;'Entry Builder'!$E$10),--(INDEX(Sims!$A1877:$BO1877,'Entry Builder'!$L$10)&gt;'Entry Builder'!$E$10)))</f>
        <v/>
      </c>
      <c r="E1877">
        <f>IF('Entry Builder'!$N$11=0,1,IF('Entry Builder'!$D$11="Less",--(INDEX(Sims!$A1877:$BO1877,'Entry Builder'!$L$11)&lt;'Entry Builder'!$E$11),--(INDEX(Sims!$A1877:$BO1877,'Entry Builder'!$L$11)&gt;'Entry Builder'!$E$11)))</f>
        <v/>
      </c>
      <c r="F1877">
        <f>IF('Entry Builder'!$N$12=0,1,IF('Entry Builder'!$D$12="Less",--(INDEX(Sims!$A1877:$BO1877,'Entry Builder'!$L$12)&lt;'Entry Builder'!$E$12),--(INDEX(Sims!$A1877:$BO1877,'Entry Builder'!$L$12)&gt;'Entry Builder'!$E$12)))</f>
        <v/>
      </c>
      <c r="G1877">
        <f>6-SUM(A1877:F1877)</f>
        <v/>
      </c>
    </row>
    <row r="1878">
      <c r="A1878">
        <f>IF('Entry Builder'!$N$7=0,1,IF('Entry Builder'!$D$7="Less",--(INDEX(Sims!$A1878:$BO1878,'Entry Builder'!$L$7)&lt;'Entry Builder'!$E$7),--(INDEX(Sims!$A1878:$BO1878,'Entry Builder'!$L$7)&gt;'Entry Builder'!$E$7)))</f>
        <v/>
      </c>
      <c r="B1878">
        <f>IF('Entry Builder'!$N$8=0,1,IF('Entry Builder'!$D$8="Less",--(INDEX(Sims!$A1878:$BO1878,'Entry Builder'!$L$8)&lt;'Entry Builder'!$E$8),--(INDEX(Sims!$A1878:$BO1878,'Entry Builder'!$L$8)&gt;'Entry Builder'!$E$8)))</f>
        <v/>
      </c>
      <c r="C1878">
        <f>IF('Entry Builder'!$N$9=0,1,IF('Entry Builder'!$D$9="Less",--(INDEX(Sims!$A1878:$BO1878,'Entry Builder'!$L$9)&lt;'Entry Builder'!$E$9),--(INDEX(Sims!$A1878:$BO1878,'Entry Builder'!$L$9)&gt;'Entry Builder'!$E$9)))</f>
        <v/>
      </c>
      <c r="D1878">
        <f>IF('Entry Builder'!$N$10=0,1,IF('Entry Builder'!$D$10="Less",--(INDEX(Sims!$A1878:$BO1878,'Entry Builder'!$L$10)&lt;'Entry Builder'!$E$10),--(INDEX(Sims!$A1878:$BO1878,'Entry Builder'!$L$10)&gt;'Entry Builder'!$E$10)))</f>
        <v/>
      </c>
      <c r="E1878">
        <f>IF('Entry Builder'!$N$11=0,1,IF('Entry Builder'!$D$11="Less",--(INDEX(Sims!$A1878:$BO1878,'Entry Builder'!$L$11)&lt;'Entry Builder'!$E$11),--(INDEX(Sims!$A1878:$BO1878,'Entry Builder'!$L$11)&gt;'Entry Builder'!$E$11)))</f>
        <v/>
      </c>
      <c r="F1878">
        <f>IF('Entry Builder'!$N$12=0,1,IF('Entry Builder'!$D$12="Less",--(INDEX(Sims!$A1878:$BO1878,'Entry Builder'!$L$12)&lt;'Entry Builder'!$E$12),--(INDEX(Sims!$A1878:$BO1878,'Entry Builder'!$L$12)&gt;'Entry Builder'!$E$12)))</f>
        <v/>
      </c>
      <c r="G1878">
        <f>6-SUM(A1878:F1878)</f>
        <v/>
      </c>
    </row>
    <row r="1879">
      <c r="A1879">
        <f>IF('Entry Builder'!$N$7=0,1,IF('Entry Builder'!$D$7="Less",--(INDEX(Sims!$A1879:$BO1879,'Entry Builder'!$L$7)&lt;'Entry Builder'!$E$7),--(INDEX(Sims!$A1879:$BO1879,'Entry Builder'!$L$7)&gt;'Entry Builder'!$E$7)))</f>
        <v/>
      </c>
      <c r="B1879">
        <f>IF('Entry Builder'!$N$8=0,1,IF('Entry Builder'!$D$8="Less",--(INDEX(Sims!$A1879:$BO1879,'Entry Builder'!$L$8)&lt;'Entry Builder'!$E$8),--(INDEX(Sims!$A1879:$BO1879,'Entry Builder'!$L$8)&gt;'Entry Builder'!$E$8)))</f>
        <v/>
      </c>
      <c r="C1879">
        <f>IF('Entry Builder'!$N$9=0,1,IF('Entry Builder'!$D$9="Less",--(INDEX(Sims!$A1879:$BO1879,'Entry Builder'!$L$9)&lt;'Entry Builder'!$E$9),--(INDEX(Sims!$A1879:$BO1879,'Entry Builder'!$L$9)&gt;'Entry Builder'!$E$9)))</f>
        <v/>
      </c>
      <c r="D1879">
        <f>IF('Entry Builder'!$N$10=0,1,IF('Entry Builder'!$D$10="Less",--(INDEX(Sims!$A1879:$BO1879,'Entry Builder'!$L$10)&lt;'Entry Builder'!$E$10),--(INDEX(Sims!$A1879:$BO1879,'Entry Builder'!$L$10)&gt;'Entry Builder'!$E$10)))</f>
        <v/>
      </c>
      <c r="E1879">
        <f>IF('Entry Builder'!$N$11=0,1,IF('Entry Builder'!$D$11="Less",--(INDEX(Sims!$A1879:$BO1879,'Entry Builder'!$L$11)&lt;'Entry Builder'!$E$11),--(INDEX(Sims!$A1879:$BO1879,'Entry Builder'!$L$11)&gt;'Entry Builder'!$E$11)))</f>
        <v/>
      </c>
      <c r="F1879">
        <f>IF('Entry Builder'!$N$12=0,1,IF('Entry Builder'!$D$12="Less",--(INDEX(Sims!$A1879:$BO1879,'Entry Builder'!$L$12)&lt;'Entry Builder'!$E$12),--(INDEX(Sims!$A1879:$BO1879,'Entry Builder'!$L$12)&gt;'Entry Builder'!$E$12)))</f>
        <v/>
      </c>
      <c r="G1879">
        <f>6-SUM(A1879:F1879)</f>
        <v/>
      </c>
    </row>
    <row r="1880">
      <c r="A1880">
        <f>IF('Entry Builder'!$N$7=0,1,IF('Entry Builder'!$D$7="Less",--(INDEX(Sims!$A1880:$BO1880,'Entry Builder'!$L$7)&lt;'Entry Builder'!$E$7),--(INDEX(Sims!$A1880:$BO1880,'Entry Builder'!$L$7)&gt;'Entry Builder'!$E$7)))</f>
        <v/>
      </c>
      <c r="B1880">
        <f>IF('Entry Builder'!$N$8=0,1,IF('Entry Builder'!$D$8="Less",--(INDEX(Sims!$A1880:$BO1880,'Entry Builder'!$L$8)&lt;'Entry Builder'!$E$8),--(INDEX(Sims!$A1880:$BO1880,'Entry Builder'!$L$8)&gt;'Entry Builder'!$E$8)))</f>
        <v/>
      </c>
      <c r="C1880">
        <f>IF('Entry Builder'!$N$9=0,1,IF('Entry Builder'!$D$9="Less",--(INDEX(Sims!$A1880:$BO1880,'Entry Builder'!$L$9)&lt;'Entry Builder'!$E$9),--(INDEX(Sims!$A1880:$BO1880,'Entry Builder'!$L$9)&gt;'Entry Builder'!$E$9)))</f>
        <v/>
      </c>
      <c r="D1880">
        <f>IF('Entry Builder'!$N$10=0,1,IF('Entry Builder'!$D$10="Less",--(INDEX(Sims!$A1880:$BO1880,'Entry Builder'!$L$10)&lt;'Entry Builder'!$E$10),--(INDEX(Sims!$A1880:$BO1880,'Entry Builder'!$L$10)&gt;'Entry Builder'!$E$10)))</f>
        <v/>
      </c>
      <c r="E1880">
        <f>IF('Entry Builder'!$N$11=0,1,IF('Entry Builder'!$D$11="Less",--(INDEX(Sims!$A1880:$BO1880,'Entry Builder'!$L$11)&lt;'Entry Builder'!$E$11),--(INDEX(Sims!$A1880:$BO1880,'Entry Builder'!$L$11)&gt;'Entry Builder'!$E$11)))</f>
        <v/>
      </c>
      <c r="F1880">
        <f>IF('Entry Builder'!$N$12=0,1,IF('Entry Builder'!$D$12="Less",--(INDEX(Sims!$A1880:$BO1880,'Entry Builder'!$L$12)&lt;'Entry Builder'!$E$12),--(INDEX(Sims!$A1880:$BO1880,'Entry Builder'!$L$12)&gt;'Entry Builder'!$E$12)))</f>
        <v/>
      </c>
      <c r="G1880">
        <f>6-SUM(A1880:F1880)</f>
        <v/>
      </c>
    </row>
    <row r="1881">
      <c r="A1881">
        <f>IF('Entry Builder'!$N$7=0,1,IF('Entry Builder'!$D$7="Less",--(INDEX(Sims!$A1881:$BO1881,'Entry Builder'!$L$7)&lt;'Entry Builder'!$E$7),--(INDEX(Sims!$A1881:$BO1881,'Entry Builder'!$L$7)&gt;'Entry Builder'!$E$7)))</f>
        <v/>
      </c>
      <c r="B1881">
        <f>IF('Entry Builder'!$N$8=0,1,IF('Entry Builder'!$D$8="Less",--(INDEX(Sims!$A1881:$BO1881,'Entry Builder'!$L$8)&lt;'Entry Builder'!$E$8),--(INDEX(Sims!$A1881:$BO1881,'Entry Builder'!$L$8)&gt;'Entry Builder'!$E$8)))</f>
        <v/>
      </c>
      <c r="C1881">
        <f>IF('Entry Builder'!$N$9=0,1,IF('Entry Builder'!$D$9="Less",--(INDEX(Sims!$A1881:$BO1881,'Entry Builder'!$L$9)&lt;'Entry Builder'!$E$9),--(INDEX(Sims!$A1881:$BO1881,'Entry Builder'!$L$9)&gt;'Entry Builder'!$E$9)))</f>
        <v/>
      </c>
      <c r="D1881">
        <f>IF('Entry Builder'!$N$10=0,1,IF('Entry Builder'!$D$10="Less",--(INDEX(Sims!$A1881:$BO1881,'Entry Builder'!$L$10)&lt;'Entry Builder'!$E$10),--(INDEX(Sims!$A1881:$BO1881,'Entry Builder'!$L$10)&gt;'Entry Builder'!$E$10)))</f>
        <v/>
      </c>
      <c r="E1881">
        <f>IF('Entry Builder'!$N$11=0,1,IF('Entry Builder'!$D$11="Less",--(INDEX(Sims!$A1881:$BO1881,'Entry Builder'!$L$11)&lt;'Entry Builder'!$E$11),--(INDEX(Sims!$A1881:$BO1881,'Entry Builder'!$L$11)&gt;'Entry Builder'!$E$11)))</f>
        <v/>
      </c>
      <c r="F1881">
        <f>IF('Entry Builder'!$N$12=0,1,IF('Entry Builder'!$D$12="Less",--(INDEX(Sims!$A1881:$BO1881,'Entry Builder'!$L$12)&lt;'Entry Builder'!$E$12),--(INDEX(Sims!$A1881:$BO1881,'Entry Builder'!$L$12)&gt;'Entry Builder'!$E$12)))</f>
        <v/>
      </c>
      <c r="G1881">
        <f>6-SUM(A1881:F1881)</f>
        <v/>
      </c>
    </row>
    <row r="1882">
      <c r="A1882">
        <f>IF('Entry Builder'!$N$7=0,1,IF('Entry Builder'!$D$7="Less",--(INDEX(Sims!$A1882:$BO1882,'Entry Builder'!$L$7)&lt;'Entry Builder'!$E$7),--(INDEX(Sims!$A1882:$BO1882,'Entry Builder'!$L$7)&gt;'Entry Builder'!$E$7)))</f>
        <v/>
      </c>
      <c r="B1882">
        <f>IF('Entry Builder'!$N$8=0,1,IF('Entry Builder'!$D$8="Less",--(INDEX(Sims!$A1882:$BO1882,'Entry Builder'!$L$8)&lt;'Entry Builder'!$E$8),--(INDEX(Sims!$A1882:$BO1882,'Entry Builder'!$L$8)&gt;'Entry Builder'!$E$8)))</f>
        <v/>
      </c>
      <c r="C1882">
        <f>IF('Entry Builder'!$N$9=0,1,IF('Entry Builder'!$D$9="Less",--(INDEX(Sims!$A1882:$BO1882,'Entry Builder'!$L$9)&lt;'Entry Builder'!$E$9),--(INDEX(Sims!$A1882:$BO1882,'Entry Builder'!$L$9)&gt;'Entry Builder'!$E$9)))</f>
        <v/>
      </c>
      <c r="D1882">
        <f>IF('Entry Builder'!$N$10=0,1,IF('Entry Builder'!$D$10="Less",--(INDEX(Sims!$A1882:$BO1882,'Entry Builder'!$L$10)&lt;'Entry Builder'!$E$10),--(INDEX(Sims!$A1882:$BO1882,'Entry Builder'!$L$10)&gt;'Entry Builder'!$E$10)))</f>
        <v/>
      </c>
      <c r="E1882">
        <f>IF('Entry Builder'!$N$11=0,1,IF('Entry Builder'!$D$11="Less",--(INDEX(Sims!$A1882:$BO1882,'Entry Builder'!$L$11)&lt;'Entry Builder'!$E$11),--(INDEX(Sims!$A1882:$BO1882,'Entry Builder'!$L$11)&gt;'Entry Builder'!$E$11)))</f>
        <v/>
      </c>
      <c r="F1882">
        <f>IF('Entry Builder'!$N$12=0,1,IF('Entry Builder'!$D$12="Less",--(INDEX(Sims!$A1882:$BO1882,'Entry Builder'!$L$12)&lt;'Entry Builder'!$E$12),--(INDEX(Sims!$A1882:$BO1882,'Entry Builder'!$L$12)&gt;'Entry Builder'!$E$12)))</f>
        <v/>
      </c>
      <c r="G1882">
        <f>6-SUM(A1882:F1882)</f>
        <v/>
      </c>
    </row>
    <row r="1883">
      <c r="A1883">
        <f>IF('Entry Builder'!$N$7=0,1,IF('Entry Builder'!$D$7="Less",--(INDEX(Sims!$A1883:$BO1883,'Entry Builder'!$L$7)&lt;'Entry Builder'!$E$7),--(INDEX(Sims!$A1883:$BO1883,'Entry Builder'!$L$7)&gt;'Entry Builder'!$E$7)))</f>
        <v/>
      </c>
      <c r="B1883">
        <f>IF('Entry Builder'!$N$8=0,1,IF('Entry Builder'!$D$8="Less",--(INDEX(Sims!$A1883:$BO1883,'Entry Builder'!$L$8)&lt;'Entry Builder'!$E$8),--(INDEX(Sims!$A1883:$BO1883,'Entry Builder'!$L$8)&gt;'Entry Builder'!$E$8)))</f>
        <v/>
      </c>
      <c r="C1883">
        <f>IF('Entry Builder'!$N$9=0,1,IF('Entry Builder'!$D$9="Less",--(INDEX(Sims!$A1883:$BO1883,'Entry Builder'!$L$9)&lt;'Entry Builder'!$E$9),--(INDEX(Sims!$A1883:$BO1883,'Entry Builder'!$L$9)&gt;'Entry Builder'!$E$9)))</f>
        <v/>
      </c>
      <c r="D1883">
        <f>IF('Entry Builder'!$N$10=0,1,IF('Entry Builder'!$D$10="Less",--(INDEX(Sims!$A1883:$BO1883,'Entry Builder'!$L$10)&lt;'Entry Builder'!$E$10),--(INDEX(Sims!$A1883:$BO1883,'Entry Builder'!$L$10)&gt;'Entry Builder'!$E$10)))</f>
        <v/>
      </c>
      <c r="E1883">
        <f>IF('Entry Builder'!$N$11=0,1,IF('Entry Builder'!$D$11="Less",--(INDEX(Sims!$A1883:$BO1883,'Entry Builder'!$L$11)&lt;'Entry Builder'!$E$11),--(INDEX(Sims!$A1883:$BO1883,'Entry Builder'!$L$11)&gt;'Entry Builder'!$E$11)))</f>
        <v/>
      </c>
      <c r="F1883">
        <f>IF('Entry Builder'!$N$12=0,1,IF('Entry Builder'!$D$12="Less",--(INDEX(Sims!$A1883:$BO1883,'Entry Builder'!$L$12)&lt;'Entry Builder'!$E$12),--(INDEX(Sims!$A1883:$BO1883,'Entry Builder'!$L$12)&gt;'Entry Builder'!$E$12)))</f>
        <v/>
      </c>
      <c r="G1883">
        <f>6-SUM(A1883:F1883)</f>
        <v/>
      </c>
    </row>
    <row r="1884">
      <c r="A1884">
        <f>IF('Entry Builder'!$N$7=0,1,IF('Entry Builder'!$D$7="Less",--(INDEX(Sims!$A1884:$BO1884,'Entry Builder'!$L$7)&lt;'Entry Builder'!$E$7),--(INDEX(Sims!$A1884:$BO1884,'Entry Builder'!$L$7)&gt;'Entry Builder'!$E$7)))</f>
        <v/>
      </c>
      <c r="B1884">
        <f>IF('Entry Builder'!$N$8=0,1,IF('Entry Builder'!$D$8="Less",--(INDEX(Sims!$A1884:$BO1884,'Entry Builder'!$L$8)&lt;'Entry Builder'!$E$8),--(INDEX(Sims!$A1884:$BO1884,'Entry Builder'!$L$8)&gt;'Entry Builder'!$E$8)))</f>
        <v/>
      </c>
      <c r="C1884">
        <f>IF('Entry Builder'!$N$9=0,1,IF('Entry Builder'!$D$9="Less",--(INDEX(Sims!$A1884:$BO1884,'Entry Builder'!$L$9)&lt;'Entry Builder'!$E$9),--(INDEX(Sims!$A1884:$BO1884,'Entry Builder'!$L$9)&gt;'Entry Builder'!$E$9)))</f>
        <v/>
      </c>
      <c r="D1884">
        <f>IF('Entry Builder'!$N$10=0,1,IF('Entry Builder'!$D$10="Less",--(INDEX(Sims!$A1884:$BO1884,'Entry Builder'!$L$10)&lt;'Entry Builder'!$E$10),--(INDEX(Sims!$A1884:$BO1884,'Entry Builder'!$L$10)&gt;'Entry Builder'!$E$10)))</f>
        <v/>
      </c>
      <c r="E1884">
        <f>IF('Entry Builder'!$N$11=0,1,IF('Entry Builder'!$D$11="Less",--(INDEX(Sims!$A1884:$BO1884,'Entry Builder'!$L$11)&lt;'Entry Builder'!$E$11),--(INDEX(Sims!$A1884:$BO1884,'Entry Builder'!$L$11)&gt;'Entry Builder'!$E$11)))</f>
        <v/>
      </c>
      <c r="F1884">
        <f>IF('Entry Builder'!$N$12=0,1,IF('Entry Builder'!$D$12="Less",--(INDEX(Sims!$A1884:$BO1884,'Entry Builder'!$L$12)&lt;'Entry Builder'!$E$12),--(INDEX(Sims!$A1884:$BO1884,'Entry Builder'!$L$12)&gt;'Entry Builder'!$E$12)))</f>
        <v/>
      </c>
      <c r="G1884">
        <f>6-SUM(A1884:F1884)</f>
        <v/>
      </c>
    </row>
    <row r="1885">
      <c r="A1885">
        <f>IF('Entry Builder'!$N$7=0,1,IF('Entry Builder'!$D$7="Less",--(INDEX(Sims!$A1885:$BO1885,'Entry Builder'!$L$7)&lt;'Entry Builder'!$E$7),--(INDEX(Sims!$A1885:$BO1885,'Entry Builder'!$L$7)&gt;'Entry Builder'!$E$7)))</f>
        <v/>
      </c>
      <c r="B1885">
        <f>IF('Entry Builder'!$N$8=0,1,IF('Entry Builder'!$D$8="Less",--(INDEX(Sims!$A1885:$BO1885,'Entry Builder'!$L$8)&lt;'Entry Builder'!$E$8),--(INDEX(Sims!$A1885:$BO1885,'Entry Builder'!$L$8)&gt;'Entry Builder'!$E$8)))</f>
        <v/>
      </c>
      <c r="C1885">
        <f>IF('Entry Builder'!$N$9=0,1,IF('Entry Builder'!$D$9="Less",--(INDEX(Sims!$A1885:$BO1885,'Entry Builder'!$L$9)&lt;'Entry Builder'!$E$9),--(INDEX(Sims!$A1885:$BO1885,'Entry Builder'!$L$9)&gt;'Entry Builder'!$E$9)))</f>
        <v/>
      </c>
      <c r="D1885">
        <f>IF('Entry Builder'!$N$10=0,1,IF('Entry Builder'!$D$10="Less",--(INDEX(Sims!$A1885:$BO1885,'Entry Builder'!$L$10)&lt;'Entry Builder'!$E$10),--(INDEX(Sims!$A1885:$BO1885,'Entry Builder'!$L$10)&gt;'Entry Builder'!$E$10)))</f>
        <v/>
      </c>
      <c r="E1885">
        <f>IF('Entry Builder'!$N$11=0,1,IF('Entry Builder'!$D$11="Less",--(INDEX(Sims!$A1885:$BO1885,'Entry Builder'!$L$11)&lt;'Entry Builder'!$E$11),--(INDEX(Sims!$A1885:$BO1885,'Entry Builder'!$L$11)&gt;'Entry Builder'!$E$11)))</f>
        <v/>
      </c>
      <c r="F1885">
        <f>IF('Entry Builder'!$N$12=0,1,IF('Entry Builder'!$D$12="Less",--(INDEX(Sims!$A1885:$BO1885,'Entry Builder'!$L$12)&lt;'Entry Builder'!$E$12),--(INDEX(Sims!$A1885:$BO1885,'Entry Builder'!$L$12)&gt;'Entry Builder'!$E$12)))</f>
        <v/>
      </c>
      <c r="G1885">
        <f>6-SUM(A1885:F1885)</f>
        <v/>
      </c>
    </row>
    <row r="1886">
      <c r="A1886">
        <f>IF('Entry Builder'!$N$7=0,1,IF('Entry Builder'!$D$7="Less",--(INDEX(Sims!$A1886:$BO1886,'Entry Builder'!$L$7)&lt;'Entry Builder'!$E$7),--(INDEX(Sims!$A1886:$BO1886,'Entry Builder'!$L$7)&gt;'Entry Builder'!$E$7)))</f>
        <v/>
      </c>
      <c r="B1886">
        <f>IF('Entry Builder'!$N$8=0,1,IF('Entry Builder'!$D$8="Less",--(INDEX(Sims!$A1886:$BO1886,'Entry Builder'!$L$8)&lt;'Entry Builder'!$E$8),--(INDEX(Sims!$A1886:$BO1886,'Entry Builder'!$L$8)&gt;'Entry Builder'!$E$8)))</f>
        <v/>
      </c>
      <c r="C1886">
        <f>IF('Entry Builder'!$N$9=0,1,IF('Entry Builder'!$D$9="Less",--(INDEX(Sims!$A1886:$BO1886,'Entry Builder'!$L$9)&lt;'Entry Builder'!$E$9),--(INDEX(Sims!$A1886:$BO1886,'Entry Builder'!$L$9)&gt;'Entry Builder'!$E$9)))</f>
        <v/>
      </c>
      <c r="D1886">
        <f>IF('Entry Builder'!$N$10=0,1,IF('Entry Builder'!$D$10="Less",--(INDEX(Sims!$A1886:$BO1886,'Entry Builder'!$L$10)&lt;'Entry Builder'!$E$10),--(INDEX(Sims!$A1886:$BO1886,'Entry Builder'!$L$10)&gt;'Entry Builder'!$E$10)))</f>
        <v/>
      </c>
      <c r="E1886">
        <f>IF('Entry Builder'!$N$11=0,1,IF('Entry Builder'!$D$11="Less",--(INDEX(Sims!$A1886:$BO1886,'Entry Builder'!$L$11)&lt;'Entry Builder'!$E$11),--(INDEX(Sims!$A1886:$BO1886,'Entry Builder'!$L$11)&gt;'Entry Builder'!$E$11)))</f>
        <v/>
      </c>
      <c r="F1886">
        <f>IF('Entry Builder'!$N$12=0,1,IF('Entry Builder'!$D$12="Less",--(INDEX(Sims!$A1886:$BO1886,'Entry Builder'!$L$12)&lt;'Entry Builder'!$E$12),--(INDEX(Sims!$A1886:$BO1886,'Entry Builder'!$L$12)&gt;'Entry Builder'!$E$12)))</f>
        <v/>
      </c>
      <c r="G1886">
        <f>6-SUM(A1886:F1886)</f>
        <v/>
      </c>
    </row>
    <row r="1887">
      <c r="A1887">
        <f>IF('Entry Builder'!$N$7=0,1,IF('Entry Builder'!$D$7="Less",--(INDEX(Sims!$A1887:$BO1887,'Entry Builder'!$L$7)&lt;'Entry Builder'!$E$7),--(INDEX(Sims!$A1887:$BO1887,'Entry Builder'!$L$7)&gt;'Entry Builder'!$E$7)))</f>
        <v/>
      </c>
      <c r="B1887">
        <f>IF('Entry Builder'!$N$8=0,1,IF('Entry Builder'!$D$8="Less",--(INDEX(Sims!$A1887:$BO1887,'Entry Builder'!$L$8)&lt;'Entry Builder'!$E$8),--(INDEX(Sims!$A1887:$BO1887,'Entry Builder'!$L$8)&gt;'Entry Builder'!$E$8)))</f>
        <v/>
      </c>
      <c r="C1887">
        <f>IF('Entry Builder'!$N$9=0,1,IF('Entry Builder'!$D$9="Less",--(INDEX(Sims!$A1887:$BO1887,'Entry Builder'!$L$9)&lt;'Entry Builder'!$E$9),--(INDEX(Sims!$A1887:$BO1887,'Entry Builder'!$L$9)&gt;'Entry Builder'!$E$9)))</f>
        <v/>
      </c>
      <c r="D1887">
        <f>IF('Entry Builder'!$N$10=0,1,IF('Entry Builder'!$D$10="Less",--(INDEX(Sims!$A1887:$BO1887,'Entry Builder'!$L$10)&lt;'Entry Builder'!$E$10),--(INDEX(Sims!$A1887:$BO1887,'Entry Builder'!$L$10)&gt;'Entry Builder'!$E$10)))</f>
        <v/>
      </c>
      <c r="E1887">
        <f>IF('Entry Builder'!$N$11=0,1,IF('Entry Builder'!$D$11="Less",--(INDEX(Sims!$A1887:$BO1887,'Entry Builder'!$L$11)&lt;'Entry Builder'!$E$11),--(INDEX(Sims!$A1887:$BO1887,'Entry Builder'!$L$11)&gt;'Entry Builder'!$E$11)))</f>
        <v/>
      </c>
      <c r="F1887">
        <f>IF('Entry Builder'!$N$12=0,1,IF('Entry Builder'!$D$12="Less",--(INDEX(Sims!$A1887:$BO1887,'Entry Builder'!$L$12)&lt;'Entry Builder'!$E$12),--(INDEX(Sims!$A1887:$BO1887,'Entry Builder'!$L$12)&gt;'Entry Builder'!$E$12)))</f>
        <v/>
      </c>
      <c r="G1887">
        <f>6-SUM(A1887:F1887)</f>
        <v/>
      </c>
    </row>
    <row r="1888">
      <c r="A1888">
        <f>IF('Entry Builder'!$N$7=0,1,IF('Entry Builder'!$D$7="Less",--(INDEX(Sims!$A1888:$BO1888,'Entry Builder'!$L$7)&lt;'Entry Builder'!$E$7),--(INDEX(Sims!$A1888:$BO1888,'Entry Builder'!$L$7)&gt;'Entry Builder'!$E$7)))</f>
        <v/>
      </c>
      <c r="B1888">
        <f>IF('Entry Builder'!$N$8=0,1,IF('Entry Builder'!$D$8="Less",--(INDEX(Sims!$A1888:$BO1888,'Entry Builder'!$L$8)&lt;'Entry Builder'!$E$8),--(INDEX(Sims!$A1888:$BO1888,'Entry Builder'!$L$8)&gt;'Entry Builder'!$E$8)))</f>
        <v/>
      </c>
      <c r="C1888">
        <f>IF('Entry Builder'!$N$9=0,1,IF('Entry Builder'!$D$9="Less",--(INDEX(Sims!$A1888:$BO1888,'Entry Builder'!$L$9)&lt;'Entry Builder'!$E$9),--(INDEX(Sims!$A1888:$BO1888,'Entry Builder'!$L$9)&gt;'Entry Builder'!$E$9)))</f>
        <v/>
      </c>
      <c r="D1888">
        <f>IF('Entry Builder'!$N$10=0,1,IF('Entry Builder'!$D$10="Less",--(INDEX(Sims!$A1888:$BO1888,'Entry Builder'!$L$10)&lt;'Entry Builder'!$E$10),--(INDEX(Sims!$A1888:$BO1888,'Entry Builder'!$L$10)&gt;'Entry Builder'!$E$10)))</f>
        <v/>
      </c>
      <c r="E1888">
        <f>IF('Entry Builder'!$N$11=0,1,IF('Entry Builder'!$D$11="Less",--(INDEX(Sims!$A1888:$BO1888,'Entry Builder'!$L$11)&lt;'Entry Builder'!$E$11),--(INDEX(Sims!$A1888:$BO1888,'Entry Builder'!$L$11)&gt;'Entry Builder'!$E$11)))</f>
        <v/>
      </c>
      <c r="F1888">
        <f>IF('Entry Builder'!$N$12=0,1,IF('Entry Builder'!$D$12="Less",--(INDEX(Sims!$A1888:$BO1888,'Entry Builder'!$L$12)&lt;'Entry Builder'!$E$12),--(INDEX(Sims!$A1888:$BO1888,'Entry Builder'!$L$12)&gt;'Entry Builder'!$E$12)))</f>
        <v/>
      </c>
      <c r="G1888">
        <f>6-SUM(A1888:F1888)</f>
        <v/>
      </c>
    </row>
    <row r="1889">
      <c r="A1889">
        <f>IF('Entry Builder'!$N$7=0,1,IF('Entry Builder'!$D$7="Less",--(INDEX(Sims!$A1889:$BO1889,'Entry Builder'!$L$7)&lt;'Entry Builder'!$E$7),--(INDEX(Sims!$A1889:$BO1889,'Entry Builder'!$L$7)&gt;'Entry Builder'!$E$7)))</f>
        <v/>
      </c>
      <c r="B1889">
        <f>IF('Entry Builder'!$N$8=0,1,IF('Entry Builder'!$D$8="Less",--(INDEX(Sims!$A1889:$BO1889,'Entry Builder'!$L$8)&lt;'Entry Builder'!$E$8),--(INDEX(Sims!$A1889:$BO1889,'Entry Builder'!$L$8)&gt;'Entry Builder'!$E$8)))</f>
        <v/>
      </c>
      <c r="C1889">
        <f>IF('Entry Builder'!$N$9=0,1,IF('Entry Builder'!$D$9="Less",--(INDEX(Sims!$A1889:$BO1889,'Entry Builder'!$L$9)&lt;'Entry Builder'!$E$9),--(INDEX(Sims!$A1889:$BO1889,'Entry Builder'!$L$9)&gt;'Entry Builder'!$E$9)))</f>
        <v/>
      </c>
      <c r="D1889">
        <f>IF('Entry Builder'!$N$10=0,1,IF('Entry Builder'!$D$10="Less",--(INDEX(Sims!$A1889:$BO1889,'Entry Builder'!$L$10)&lt;'Entry Builder'!$E$10),--(INDEX(Sims!$A1889:$BO1889,'Entry Builder'!$L$10)&gt;'Entry Builder'!$E$10)))</f>
        <v/>
      </c>
      <c r="E1889">
        <f>IF('Entry Builder'!$N$11=0,1,IF('Entry Builder'!$D$11="Less",--(INDEX(Sims!$A1889:$BO1889,'Entry Builder'!$L$11)&lt;'Entry Builder'!$E$11),--(INDEX(Sims!$A1889:$BO1889,'Entry Builder'!$L$11)&gt;'Entry Builder'!$E$11)))</f>
        <v/>
      </c>
      <c r="F1889">
        <f>IF('Entry Builder'!$N$12=0,1,IF('Entry Builder'!$D$12="Less",--(INDEX(Sims!$A1889:$BO1889,'Entry Builder'!$L$12)&lt;'Entry Builder'!$E$12),--(INDEX(Sims!$A1889:$BO1889,'Entry Builder'!$L$12)&gt;'Entry Builder'!$E$12)))</f>
        <v/>
      </c>
      <c r="G1889">
        <f>6-SUM(A1889:F1889)</f>
        <v/>
      </c>
    </row>
    <row r="1890">
      <c r="A1890">
        <f>IF('Entry Builder'!$N$7=0,1,IF('Entry Builder'!$D$7="Less",--(INDEX(Sims!$A1890:$BO1890,'Entry Builder'!$L$7)&lt;'Entry Builder'!$E$7),--(INDEX(Sims!$A1890:$BO1890,'Entry Builder'!$L$7)&gt;'Entry Builder'!$E$7)))</f>
        <v/>
      </c>
      <c r="B1890">
        <f>IF('Entry Builder'!$N$8=0,1,IF('Entry Builder'!$D$8="Less",--(INDEX(Sims!$A1890:$BO1890,'Entry Builder'!$L$8)&lt;'Entry Builder'!$E$8),--(INDEX(Sims!$A1890:$BO1890,'Entry Builder'!$L$8)&gt;'Entry Builder'!$E$8)))</f>
        <v/>
      </c>
      <c r="C1890">
        <f>IF('Entry Builder'!$N$9=0,1,IF('Entry Builder'!$D$9="Less",--(INDEX(Sims!$A1890:$BO1890,'Entry Builder'!$L$9)&lt;'Entry Builder'!$E$9),--(INDEX(Sims!$A1890:$BO1890,'Entry Builder'!$L$9)&gt;'Entry Builder'!$E$9)))</f>
        <v/>
      </c>
      <c r="D1890">
        <f>IF('Entry Builder'!$N$10=0,1,IF('Entry Builder'!$D$10="Less",--(INDEX(Sims!$A1890:$BO1890,'Entry Builder'!$L$10)&lt;'Entry Builder'!$E$10),--(INDEX(Sims!$A1890:$BO1890,'Entry Builder'!$L$10)&gt;'Entry Builder'!$E$10)))</f>
        <v/>
      </c>
      <c r="E1890">
        <f>IF('Entry Builder'!$N$11=0,1,IF('Entry Builder'!$D$11="Less",--(INDEX(Sims!$A1890:$BO1890,'Entry Builder'!$L$11)&lt;'Entry Builder'!$E$11),--(INDEX(Sims!$A1890:$BO1890,'Entry Builder'!$L$11)&gt;'Entry Builder'!$E$11)))</f>
        <v/>
      </c>
      <c r="F1890">
        <f>IF('Entry Builder'!$N$12=0,1,IF('Entry Builder'!$D$12="Less",--(INDEX(Sims!$A1890:$BO1890,'Entry Builder'!$L$12)&lt;'Entry Builder'!$E$12),--(INDEX(Sims!$A1890:$BO1890,'Entry Builder'!$L$12)&gt;'Entry Builder'!$E$12)))</f>
        <v/>
      </c>
      <c r="G1890">
        <f>6-SUM(A1890:F1890)</f>
        <v/>
      </c>
    </row>
    <row r="1891">
      <c r="A1891">
        <f>IF('Entry Builder'!$N$7=0,1,IF('Entry Builder'!$D$7="Less",--(INDEX(Sims!$A1891:$BO1891,'Entry Builder'!$L$7)&lt;'Entry Builder'!$E$7),--(INDEX(Sims!$A1891:$BO1891,'Entry Builder'!$L$7)&gt;'Entry Builder'!$E$7)))</f>
        <v/>
      </c>
      <c r="B1891">
        <f>IF('Entry Builder'!$N$8=0,1,IF('Entry Builder'!$D$8="Less",--(INDEX(Sims!$A1891:$BO1891,'Entry Builder'!$L$8)&lt;'Entry Builder'!$E$8),--(INDEX(Sims!$A1891:$BO1891,'Entry Builder'!$L$8)&gt;'Entry Builder'!$E$8)))</f>
        <v/>
      </c>
      <c r="C1891">
        <f>IF('Entry Builder'!$N$9=0,1,IF('Entry Builder'!$D$9="Less",--(INDEX(Sims!$A1891:$BO1891,'Entry Builder'!$L$9)&lt;'Entry Builder'!$E$9),--(INDEX(Sims!$A1891:$BO1891,'Entry Builder'!$L$9)&gt;'Entry Builder'!$E$9)))</f>
        <v/>
      </c>
      <c r="D1891">
        <f>IF('Entry Builder'!$N$10=0,1,IF('Entry Builder'!$D$10="Less",--(INDEX(Sims!$A1891:$BO1891,'Entry Builder'!$L$10)&lt;'Entry Builder'!$E$10),--(INDEX(Sims!$A1891:$BO1891,'Entry Builder'!$L$10)&gt;'Entry Builder'!$E$10)))</f>
        <v/>
      </c>
      <c r="E1891">
        <f>IF('Entry Builder'!$N$11=0,1,IF('Entry Builder'!$D$11="Less",--(INDEX(Sims!$A1891:$BO1891,'Entry Builder'!$L$11)&lt;'Entry Builder'!$E$11),--(INDEX(Sims!$A1891:$BO1891,'Entry Builder'!$L$11)&gt;'Entry Builder'!$E$11)))</f>
        <v/>
      </c>
      <c r="F1891">
        <f>IF('Entry Builder'!$N$12=0,1,IF('Entry Builder'!$D$12="Less",--(INDEX(Sims!$A1891:$BO1891,'Entry Builder'!$L$12)&lt;'Entry Builder'!$E$12),--(INDEX(Sims!$A1891:$BO1891,'Entry Builder'!$L$12)&gt;'Entry Builder'!$E$12)))</f>
        <v/>
      </c>
      <c r="G1891">
        <f>6-SUM(A1891:F1891)</f>
        <v/>
      </c>
    </row>
    <row r="1892">
      <c r="A1892">
        <f>IF('Entry Builder'!$N$7=0,1,IF('Entry Builder'!$D$7="Less",--(INDEX(Sims!$A1892:$BO1892,'Entry Builder'!$L$7)&lt;'Entry Builder'!$E$7),--(INDEX(Sims!$A1892:$BO1892,'Entry Builder'!$L$7)&gt;'Entry Builder'!$E$7)))</f>
        <v/>
      </c>
      <c r="B1892">
        <f>IF('Entry Builder'!$N$8=0,1,IF('Entry Builder'!$D$8="Less",--(INDEX(Sims!$A1892:$BO1892,'Entry Builder'!$L$8)&lt;'Entry Builder'!$E$8),--(INDEX(Sims!$A1892:$BO1892,'Entry Builder'!$L$8)&gt;'Entry Builder'!$E$8)))</f>
        <v/>
      </c>
      <c r="C1892">
        <f>IF('Entry Builder'!$N$9=0,1,IF('Entry Builder'!$D$9="Less",--(INDEX(Sims!$A1892:$BO1892,'Entry Builder'!$L$9)&lt;'Entry Builder'!$E$9),--(INDEX(Sims!$A1892:$BO1892,'Entry Builder'!$L$9)&gt;'Entry Builder'!$E$9)))</f>
        <v/>
      </c>
      <c r="D1892">
        <f>IF('Entry Builder'!$N$10=0,1,IF('Entry Builder'!$D$10="Less",--(INDEX(Sims!$A1892:$BO1892,'Entry Builder'!$L$10)&lt;'Entry Builder'!$E$10),--(INDEX(Sims!$A1892:$BO1892,'Entry Builder'!$L$10)&gt;'Entry Builder'!$E$10)))</f>
        <v/>
      </c>
      <c r="E1892">
        <f>IF('Entry Builder'!$N$11=0,1,IF('Entry Builder'!$D$11="Less",--(INDEX(Sims!$A1892:$BO1892,'Entry Builder'!$L$11)&lt;'Entry Builder'!$E$11),--(INDEX(Sims!$A1892:$BO1892,'Entry Builder'!$L$11)&gt;'Entry Builder'!$E$11)))</f>
        <v/>
      </c>
      <c r="F1892">
        <f>IF('Entry Builder'!$N$12=0,1,IF('Entry Builder'!$D$12="Less",--(INDEX(Sims!$A1892:$BO1892,'Entry Builder'!$L$12)&lt;'Entry Builder'!$E$12),--(INDEX(Sims!$A1892:$BO1892,'Entry Builder'!$L$12)&gt;'Entry Builder'!$E$12)))</f>
        <v/>
      </c>
      <c r="G1892">
        <f>6-SUM(A1892:F1892)</f>
        <v/>
      </c>
    </row>
    <row r="1893">
      <c r="A1893">
        <f>IF('Entry Builder'!$N$7=0,1,IF('Entry Builder'!$D$7="Less",--(INDEX(Sims!$A1893:$BO1893,'Entry Builder'!$L$7)&lt;'Entry Builder'!$E$7),--(INDEX(Sims!$A1893:$BO1893,'Entry Builder'!$L$7)&gt;'Entry Builder'!$E$7)))</f>
        <v/>
      </c>
      <c r="B1893">
        <f>IF('Entry Builder'!$N$8=0,1,IF('Entry Builder'!$D$8="Less",--(INDEX(Sims!$A1893:$BO1893,'Entry Builder'!$L$8)&lt;'Entry Builder'!$E$8),--(INDEX(Sims!$A1893:$BO1893,'Entry Builder'!$L$8)&gt;'Entry Builder'!$E$8)))</f>
        <v/>
      </c>
      <c r="C1893">
        <f>IF('Entry Builder'!$N$9=0,1,IF('Entry Builder'!$D$9="Less",--(INDEX(Sims!$A1893:$BO1893,'Entry Builder'!$L$9)&lt;'Entry Builder'!$E$9),--(INDEX(Sims!$A1893:$BO1893,'Entry Builder'!$L$9)&gt;'Entry Builder'!$E$9)))</f>
        <v/>
      </c>
      <c r="D1893">
        <f>IF('Entry Builder'!$N$10=0,1,IF('Entry Builder'!$D$10="Less",--(INDEX(Sims!$A1893:$BO1893,'Entry Builder'!$L$10)&lt;'Entry Builder'!$E$10),--(INDEX(Sims!$A1893:$BO1893,'Entry Builder'!$L$10)&gt;'Entry Builder'!$E$10)))</f>
        <v/>
      </c>
      <c r="E1893">
        <f>IF('Entry Builder'!$N$11=0,1,IF('Entry Builder'!$D$11="Less",--(INDEX(Sims!$A1893:$BO1893,'Entry Builder'!$L$11)&lt;'Entry Builder'!$E$11),--(INDEX(Sims!$A1893:$BO1893,'Entry Builder'!$L$11)&gt;'Entry Builder'!$E$11)))</f>
        <v/>
      </c>
      <c r="F1893">
        <f>IF('Entry Builder'!$N$12=0,1,IF('Entry Builder'!$D$12="Less",--(INDEX(Sims!$A1893:$BO1893,'Entry Builder'!$L$12)&lt;'Entry Builder'!$E$12),--(INDEX(Sims!$A1893:$BO1893,'Entry Builder'!$L$12)&gt;'Entry Builder'!$E$12)))</f>
        <v/>
      </c>
      <c r="G1893">
        <f>6-SUM(A1893:F1893)</f>
        <v/>
      </c>
    </row>
    <row r="1894">
      <c r="A1894">
        <f>IF('Entry Builder'!$N$7=0,1,IF('Entry Builder'!$D$7="Less",--(INDEX(Sims!$A1894:$BO1894,'Entry Builder'!$L$7)&lt;'Entry Builder'!$E$7),--(INDEX(Sims!$A1894:$BO1894,'Entry Builder'!$L$7)&gt;'Entry Builder'!$E$7)))</f>
        <v/>
      </c>
      <c r="B1894">
        <f>IF('Entry Builder'!$N$8=0,1,IF('Entry Builder'!$D$8="Less",--(INDEX(Sims!$A1894:$BO1894,'Entry Builder'!$L$8)&lt;'Entry Builder'!$E$8),--(INDEX(Sims!$A1894:$BO1894,'Entry Builder'!$L$8)&gt;'Entry Builder'!$E$8)))</f>
        <v/>
      </c>
      <c r="C1894">
        <f>IF('Entry Builder'!$N$9=0,1,IF('Entry Builder'!$D$9="Less",--(INDEX(Sims!$A1894:$BO1894,'Entry Builder'!$L$9)&lt;'Entry Builder'!$E$9),--(INDEX(Sims!$A1894:$BO1894,'Entry Builder'!$L$9)&gt;'Entry Builder'!$E$9)))</f>
        <v/>
      </c>
      <c r="D1894">
        <f>IF('Entry Builder'!$N$10=0,1,IF('Entry Builder'!$D$10="Less",--(INDEX(Sims!$A1894:$BO1894,'Entry Builder'!$L$10)&lt;'Entry Builder'!$E$10),--(INDEX(Sims!$A1894:$BO1894,'Entry Builder'!$L$10)&gt;'Entry Builder'!$E$10)))</f>
        <v/>
      </c>
      <c r="E1894">
        <f>IF('Entry Builder'!$N$11=0,1,IF('Entry Builder'!$D$11="Less",--(INDEX(Sims!$A1894:$BO1894,'Entry Builder'!$L$11)&lt;'Entry Builder'!$E$11),--(INDEX(Sims!$A1894:$BO1894,'Entry Builder'!$L$11)&gt;'Entry Builder'!$E$11)))</f>
        <v/>
      </c>
      <c r="F1894">
        <f>IF('Entry Builder'!$N$12=0,1,IF('Entry Builder'!$D$12="Less",--(INDEX(Sims!$A1894:$BO1894,'Entry Builder'!$L$12)&lt;'Entry Builder'!$E$12),--(INDEX(Sims!$A1894:$BO1894,'Entry Builder'!$L$12)&gt;'Entry Builder'!$E$12)))</f>
        <v/>
      </c>
      <c r="G1894">
        <f>6-SUM(A1894:F1894)</f>
        <v/>
      </c>
    </row>
    <row r="1895">
      <c r="A1895">
        <f>IF('Entry Builder'!$N$7=0,1,IF('Entry Builder'!$D$7="Less",--(INDEX(Sims!$A1895:$BO1895,'Entry Builder'!$L$7)&lt;'Entry Builder'!$E$7),--(INDEX(Sims!$A1895:$BO1895,'Entry Builder'!$L$7)&gt;'Entry Builder'!$E$7)))</f>
        <v/>
      </c>
      <c r="B1895">
        <f>IF('Entry Builder'!$N$8=0,1,IF('Entry Builder'!$D$8="Less",--(INDEX(Sims!$A1895:$BO1895,'Entry Builder'!$L$8)&lt;'Entry Builder'!$E$8),--(INDEX(Sims!$A1895:$BO1895,'Entry Builder'!$L$8)&gt;'Entry Builder'!$E$8)))</f>
        <v/>
      </c>
      <c r="C1895">
        <f>IF('Entry Builder'!$N$9=0,1,IF('Entry Builder'!$D$9="Less",--(INDEX(Sims!$A1895:$BO1895,'Entry Builder'!$L$9)&lt;'Entry Builder'!$E$9),--(INDEX(Sims!$A1895:$BO1895,'Entry Builder'!$L$9)&gt;'Entry Builder'!$E$9)))</f>
        <v/>
      </c>
      <c r="D1895">
        <f>IF('Entry Builder'!$N$10=0,1,IF('Entry Builder'!$D$10="Less",--(INDEX(Sims!$A1895:$BO1895,'Entry Builder'!$L$10)&lt;'Entry Builder'!$E$10),--(INDEX(Sims!$A1895:$BO1895,'Entry Builder'!$L$10)&gt;'Entry Builder'!$E$10)))</f>
        <v/>
      </c>
      <c r="E1895">
        <f>IF('Entry Builder'!$N$11=0,1,IF('Entry Builder'!$D$11="Less",--(INDEX(Sims!$A1895:$BO1895,'Entry Builder'!$L$11)&lt;'Entry Builder'!$E$11),--(INDEX(Sims!$A1895:$BO1895,'Entry Builder'!$L$11)&gt;'Entry Builder'!$E$11)))</f>
        <v/>
      </c>
      <c r="F1895">
        <f>IF('Entry Builder'!$N$12=0,1,IF('Entry Builder'!$D$12="Less",--(INDEX(Sims!$A1895:$BO1895,'Entry Builder'!$L$12)&lt;'Entry Builder'!$E$12),--(INDEX(Sims!$A1895:$BO1895,'Entry Builder'!$L$12)&gt;'Entry Builder'!$E$12)))</f>
        <v/>
      </c>
      <c r="G1895">
        <f>6-SUM(A1895:F1895)</f>
        <v/>
      </c>
    </row>
    <row r="1896">
      <c r="A1896">
        <f>IF('Entry Builder'!$N$7=0,1,IF('Entry Builder'!$D$7="Less",--(INDEX(Sims!$A1896:$BO1896,'Entry Builder'!$L$7)&lt;'Entry Builder'!$E$7),--(INDEX(Sims!$A1896:$BO1896,'Entry Builder'!$L$7)&gt;'Entry Builder'!$E$7)))</f>
        <v/>
      </c>
      <c r="B1896">
        <f>IF('Entry Builder'!$N$8=0,1,IF('Entry Builder'!$D$8="Less",--(INDEX(Sims!$A1896:$BO1896,'Entry Builder'!$L$8)&lt;'Entry Builder'!$E$8),--(INDEX(Sims!$A1896:$BO1896,'Entry Builder'!$L$8)&gt;'Entry Builder'!$E$8)))</f>
        <v/>
      </c>
      <c r="C1896">
        <f>IF('Entry Builder'!$N$9=0,1,IF('Entry Builder'!$D$9="Less",--(INDEX(Sims!$A1896:$BO1896,'Entry Builder'!$L$9)&lt;'Entry Builder'!$E$9),--(INDEX(Sims!$A1896:$BO1896,'Entry Builder'!$L$9)&gt;'Entry Builder'!$E$9)))</f>
        <v/>
      </c>
      <c r="D1896">
        <f>IF('Entry Builder'!$N$10=0,1,IF('Entry Builder'!$D$10="Less",--(INDEX(Sims!$A1896:$BO1896,'Entry Builder'!$L$10)&lt;'Entry Builder'!$E$10),--(INDEX(Sims!$A1896:$BO1896,'Entry Builder'!$L$10)&gt;'Entry Builder'!$E$10)))</f>
        <v/>
      </c>
      <c r="E1896">
        <f>IF('Entry Builder'!$N$11=0,1,IF('Entry Builder'!$D$11="Less",--(INDEX(Sims!$A1896:$BO1896,'Entry Builder'!$L$11)&lt;'Entry Builder'!$E$11),--(INDEX(Sims!$A1896:$BO1896,'Entry Builder'!$L$11)&gt;'Entry Builder'!$E$11)))</f>
        <v/>
      </c>
      <c r="F1896">
        <f>IF('Entry Builder'!$N$12=0,1,IF('Entry Builder'!$D$12="Less",--(INDEX(Sims!$A1896:$BO1896,'Entry Builder'!$L$12)&lt;'Entry Builder'!$E$12),--(INDEX(Sims!$A1896:$BO1896,'Entry Builder'!$L$12)&gt;'Entry Builder'!$E$12)))</f>
        <v/>
      </c>
      <c r="G1896">
        <f>6-SUM(A1896:F1896)</f>
        <v/>
      </c>
    </row>
    <row r="1897">
      <c r="A1897">
        <f>IF('Entry Builder'!$N$7=0,1,IF('Entry Builder'!$D$7="Less",--(INDEX(Sims!$A1897:$BO1897,'Entry Builder'!$L$7)&lt;'Entry Builder'!$E$7),--(INDEX(Sims!$A1897:$BO1897,'Entry Builder'!$L$7)&gt;'Entry Builder'!$E$7)))</f>
        <v/>
      </c>
      <c r="B1897">
        <f>IF('Entry Builder'!$N$8=0,1,IF('Entry Builder'!$D$8="Less",--(INDEX(Sims!$A1897:$BO1897,'Entry Builder'!$L$8)&lt;'Entry Builder'!$E$8),--(INDEX(Sims!$A1897:$BO1897,'Entry Builder'!$L$8)&gt;'Entry Builder'!$E$8)))</f>
        <v/>
      </c>
      <c r="C1897">
        <f>IF('Entry Builder'!$N$9=0,1,IF('Entry Builder'!$D$9="Less",--(INDEX(Sims!$A1897:$BO1897,'Entry Builder'!$L$9)&lt;'Entry Builder'!$E$9),--(INDEX(Sims!$A1897:$BO1897,'Entry Builder'!$L$9)&gt;'Entry Builder'!$E$9)))</f>
        <v/>
      </c>
      <c r="D1897">
        <f>IF('Entry Builder'!$N$10=0,1,IF('Entry Builder'!$D$10="Less",--(INDEX(Sims!$A1897:$BO1897,'Entry Builder'!$L$10)&lt;'Entry Builder'!$E$10),--(INDEX(Sims!$A1897:$BO1897,'Entry Builder'!$L$10)&gt;'Entry Builder'!$E$10)))</f>
        <v/>
      </c>
      <c r="E1897">
        <f>IF('Entry Builder'!$N$11=0,1,IF('Entry Builder'!$D$11="Less",--(INDEX(Sims!$A1897:$BO1897,'Entry Builder'!$L$11)&lt;'Entry Builder'!$E$11),--(INDEX(Sims!$A1897:$BO1897,'Entry Builder'!$L$11)&gt;'Entry Builder'!$E$11)))</f>
        <v/>
      </c>
      <c r="F1897">
        <f>IF('Entry Builder'!$N$12=0,1,IF('Entry Builder'!$D$12="Less",--(INDEX(Sims!$A1897:$BO1897,'Entry Builder'!$L$12)&lt;'Entry Builder'!$E$12),--(INDEX(Sims!$A1897:$BO1897,'Entry Builder'!$L$12)&gt;'Entry Builder'!$E$12)))</f>
        <v/>
      </c>
      <c r="G1897">
        <f>6-SUM(A1897:F1897)</f>
        <v/>
      </c>
    </row>
    <row r="1898">
      <c r="A1898">
        <f>IF('Entry Builder'!$N$7=0,1,IF('Entry Builder'!$D$7="Less",--(INDEX(Sims!$A1898:$BO1898,'Entry Builder'!$L$7)&lt;'Entry Builder'!$E$7),--(INDEX(Sims!$A1898:$BO1898,'Entry Builder'!$L$7)&gt;'Entry Builder'!$E$7)))</f>
        <v/>
      </c>
      <c r="B1898">
        <f>IF('Entry Builder'!$N$8=0,1,IF('Entry Builder'!$D$8="Less",--(INDEX(Sims!$A1898:$BO1898,'Entry Builder'!$L$8)&lt;'Entry Builder'!$E$8),--(INDEX(Sims!$A1898:$BO1898,'Entry Builder'!$L$8)&gt;'Entry Builder'!$E$8)))</f>
        <v/>
      </c>
      <c r="C1898">
        <f>IF('Entry Builder'!$N$9=0,1,IF('Entry Builder'!$D$9="Less",--(INDEX(Sims!$A1898:$BO1898,'Entry Builder'!$L$9)&lt;'Entry Builder'!$E$9),--(INDEX(Sims!$A1898:$BO1898,'Entry Builder'!$L$9)&gt;'Entry Builder'!$E$9)))</f>
        <v/>
      </c>
      <c r="D1898">
        <f>IF('Entry Builder'!$N$10=0,1,IF('Entry Builder'!$D$10="Less",--(INDEX(Sims!$A1898:$BO1898,'Entry Builder'!$L$10)&lt;'Entry Builder'!$E$10),--(INDEX(Sims!$A1898:$BO1898,'Entry Builder'!$L$10)&gt;'Entry Builder'!$E$10)))</f>
        <v/>
      </c>
      <c r="E1898">
        <f>IF('Entry Builder'!$N$11=0,1,IF('Entry Builder'!$D$11="Less",--(INDEX(Sims!$A1898:$BO1898,'Entry Builder'!$L$11)&lt;'Entry Builder'!$E$11),--(INDEX(Sims!$A1898:$BO1898,'Entry Builder'!$L$11)&gt;'Entry Builder'!$E$11)))</f>
        <v/>
      </c>
      <c r="F1898">
        <f>IF('Entry Builder'!$N$12=0,1,IF('Entry Builder'!$D$12="Less",--(INDEX(Sims!$A1898:$BO1898,'Entry Builder'!$L$12)&lt;'Entry Builder'!$E$12),--(INDEX(Sims!$A1898:$BO1898,'Entry Builder'!$L$12)&gt;'Entry Builder'!$E$12)))</f>
        <v/>
      </c>
      <c r="G1898">
        <f>6-SUM(A1898:F1898)</f>
        <v/>
      </c>
    </row>
    <row r="1899">
      <c r="A1899">
        <f>IF('Entry Builder'!$N$7=0,1,IF('Entry Builder'!$D$7="Less",--(INDEX(Sims!$A1899:$BO1899,'Entry Builder'!$L$7)&lt;'Entry Builder'!$E$7),--(INDEX(Sims!$A1899:$BO1899,'Entry Builder'!$L$7)&gt;'Entry Builder'!$E$7)))</f>
        <v/>
      </c>
      <c r="B1899">
        <f>IF('Entry Builder'!$N$8=0,1,IF('Entry Builder'!$D$8="Less",--(INDEX(Sims!$A1899:$BO1899,'Entry Builder'!$L$8)&lt;'Entry Builder'!$E$8),--(INDEX(Sims!$A1899:$BO1899,'Entry Builder'!$L$8)&gt;'Entry Builder'!$E$8)))</f>
        <v/>
      </c>
      <c r="C1899">
        <f>IF('Entry Builder'!$N$9=0,1,IF('Entry Builder'!$D$9="Less",--(INDEX(Sims!$A1899:$BO1899,'Entry Builder'!$L$9)&lt;'Entry Builder'!$E$9),--(INDEX(Sims!$A1899:$BO1899,'Entry Builder'!$L$9)&gt;'Entry Builder'!$E$9)))</f>
        <v/>
      </c>
      <c r="D1899">
        <f>IF('Entry Builder'!$N$10=0,1,IF('Entry Builder'!$D$10="Less",--(INDEX(Sims!$A1899:$BO1899,'Entry Builder'!$L$10)&lt;'Entry Builder'!$E$10),--(INDEX(Sims!$A1899:$BO1899,'Entry Builder'!$L$10)&gt;'Entry Builder'!$E$10)))</f>
        <v/>
      </c>
      <c r="E1899">
        <f>IF('Entry Builder'!$N$11=0,1,IF('Entry Builder'!$D$11="Less",--(INDEX(Sims!$A1899:$BO1899,'Entry Builder'!$L$11)&lt;'Entry Builder'!$E$11),--(INDEX(Sims!$A1899:$BO1899,'Entry Builder'!$L$11)&gt;'Entry Builder'!$E$11)))</f>
        <v/>
      </c>
      <c r="F1899">
        <f>IF('Entry Builder'!$N$12=0,1,IF('Entry Builder'!$D$12="Less",--(INDEX(Sims!$A1899:$BO1899,'Entry Builder'!$L$12)&lt;'Entry Builder'!$E$12),--(INDEX(Sims!$A1899:$BO1899,'Entry Builder'!$L$12)&gt;'Entry Builder'!$E$12)))</f>
        <v/>
      </c>
      <c r="G1899">
        <f>6-SUM(A1899:F1899)</f>
        <v/>
      </c>
    </row>
    <row r="1900">
      <c r="A1900">
        <f>IF('Entry Builder'!$N$7=0,1,IF('Entry Builder'!$D$7="Less",--(INDEX(Sims!$A1900:$BO1900,'Entry Builder'!$L$7)&lt;'Entry Builder'!$E$7),--(INDEX(Sims!$A1900:$BO1900,'Entry Builder'!$L$7)&gt;'Entry Builder'!$E$7)))</f>
        <v/>
      </c>
      <c r="B1900">
        <f>IF('Entry Builder'!$N$8=0,1,IF('Entry Builder'!$D$8="Less",--(INDEX(Sims!$A1900:$BO1900,'Entry Builder'!$L$8)&lt;'Entry Builder'!$E$8),--(INDEX(Sims!$A1900:$BO1900,'Entry Builder'!$L$8)&gt;'Entry Builder'!$E$8)))</f>
        <v/>
      </c>
      <c r="C1900">
        <f>IF('Entry Builder'!$N$9=0,1,IF('Entry Builder'!$D$9="Less",--(INDEX(Sims!$A1900:$BO1900,'Entry Builder'!$L$9)&lt;'Entry Builder'!$E$9),--(INDEX(Sims!$A1900:$BO1900,'Entry Builder'!$L$9)&gt;'Entry Builder'!$E$9)))</f>
        <v/>
      </c>
      <c r="D1900">
        <f>IF('Entry Builder'!$N$10=0,1,IF('Entry Builder'!$D$10="Less",--(INDEX(Sims!$A1900:$BO1900,'Entry Builder'!$L$10)&lt;'Entry Builder'!$E$10),--(INDEX(Sims!$A1900:$BO1900,'Entry Builder'!$L$10)&gt;'Entry Builder'!$E$10)))</f>
        <v/>
      </c>
      <c r="E1900">
        <f>IF('Entry Builder'!$N$11=0,1,IF('Entry Builder'!$D$11="Less",--(INDEX(Sims!$A1900:$BO1900,'Entry Builder'!$L$11)&lt;'Entry Builder'!$E$11),--(INDEX(Sims!$A1900:$BO1900,'Entry Builder'!$L$11)&gt;'Entry Builder'!$E$11)))</f>
        <v/>
      </c>
      <c r="F1900">
        <f>IF('Entry Builder'!$N$12=0,1,IF('Entry Builder'!$D$12="Less",--(INDEX(Sims!$A1900:$BO1900,'Entry Builder'!$L$12)&lt;'Entry Builder'!$E$12),--(INDEX(Sims!$A1900:$BO1900,'Entry Builder'!$L$12)&gt;'Entry Builder'!$E$12)))</f>
        <v/>
      </c>
      <c r="G1900">
        <f>6-SUM(A1900:F1900)</f>
        <v/>
      </c>
    </row>
    <row r="1901">
      <c r="A1901">
        <f>IF('Entry Builder'!$N$7=0,1,IF('Entry Builder'!$D$7="Less",--(INDEX(Sims!$A1901:$BO1901,'Entry Builder'!$L$7)&lt;'Entry Builder'!$E$7),--(INDEX(Sims!$A1901:$BO1901,'Entry Builder'!$L$7)&gt;'Entry Builder'!$E$7)))</f>
        <v/>
      </c>
      <c r="B1901">
        <f>IF('Entry Builder'!$N$8=0,1,IF('Entry Builder'!$D$8="Less",--(INDEX(Sims!$A1901:$BO1901,'Entry Builder'!$L$8)&lt;'Entry Builder'!$E$8),--(INDEX(Sims!$A1901:$BO1901,'Entry Builder'!$L$8)&gt;'Entry Builder'!$E$8)))</f>
        <v/>
      </c>
      <c r="C1901">
        <f>IF('Entry Builder'!$N$9=0,1,IF('Entry Builder'!$D$9="Less",--(INDEX(Sims!$A1901:$BO1901,'Entry Builder'!$L$9)&lt;'Entry Builder'!$E$9),--(INDEX(Sims!$A1901:$BO1901,'Entry Builder'!$L$9)&gt;'Entry Builder'!$E$9)))</f>
        <v/>
      </c>
      <c r="D1901">
        <f>IF('Entry Builder'!$N$10=0,1,IF('Entry Builder'!$D$10="Less",--(INDEX(Sims!$A1901:$BO1901,'Entry Builder'!$L$10)&lt;'Entry Builder'!$E$10),--(INDEX(Sims!$A1901:$BO1901,'Entry Builder'!$L$10)&gt;'Entry Builder'!$E$10)))</f>
        <v/>
      </c>
      <c r="E1901">
        <f>IF('Entry Builder'!$N$11=0,1,IF('Entry Builder'!$D$11="Less",--(INDEX(Sims!$A1901:$BO1901,'Entry Builder'!$L$11)&lt;'Entry Builder'!$E$11),--(INDEX(Sims!$A1901:$BO1901,'Entry Builder'!$L$11)&gt;'Entry Builder'!$E$11)))</f>
        <v/>
      </c>
      <c r="F1901">
        <f>IF('Entry Builder'!$N$12=0,1,IF('Entry Builder'!$D$12="Less",--(INDEX(Sims!$A1901:$BO1901,'Entry Builder'!$L$12)&lt;'Entry Builder'!$E$12),--(INDEX(Sims!$A1901:$BO1901,'Entry Builder'!$L$12)&gt;'Entry Builder'!$E$12)))</f>
        <v/>
      </c>
      <c r="G1901">
        <f>6-SUM(A1901:F1901)</f>
        <v/>
      </c>
    </row>
    <row r="1902">
      <c r="A1902">
        <f>IF('Entry Builder'!$N$7=0,1,IF('Entry Builder'!$D$7="Less",--(INDEX(Sims!$A1902:$BO1902,'Entry Builder'!$L$7)&lt;'Entry Builder'!$E$7),--(INDEX(Sims!$A1902:$BO1902,'Entry Builder'!$L$7)&gt;'Entry Builder'!$E$7)))</f>
        <v/>
      </c>
      <c r="B1902">
        <f>IF('Entry Builder'!$N$8=0,1,IF('Entry Builder'!$D$8="Less",--(INDEX(Sims!$A1902:$BO1902,'Entry Builder'!$L$8)&lt;'Entry Builder'!$E$8),--(INDEX(Sims!$A1902:$BO1902,'Entry Builder'!$L$8)&gt;'Entry Builder'!$E$8)))</f>
        <v/>
      </c>
      <c r="C1902">
        <f>IF('Entry Builder'!$N$9=0,1,IF('Entry Builder'!$D$9="Less",--(INDEX(Sims!$A1902:$BO1902,'Entry Builder'!$L$9)&lt;'Entry Builder'!$E$9),--(INDEX(Sims!$A1902:$BO1902,'Entry Builder'!$L$9)&gt;'Entry Builder'!$E$9)))</f>
        <v/>
      </c>
      <c r="D1902">
        <f>IF('Entry Builder'!$N$10=0,1,IF('Entry Builder'!$D$10="Less",--(INDEX(Sims!$A1902:$BO1902,'Entry Builder'!$L$10)&lt;'Entry Builder'!$E$10),--(INDEX(Sims!$A1902:$BO1902,'Entry Builder'!$L$10)&gt;'Entry Builder'!$E$10)))</f>
        <v/>
      </c>
      <c r="E1902">
        <f>IF('Entry Builder'!$N$11=0,1,IF('Entry Builder'!$D$11="Less",--(INDEX(Sims!$A1902:$BO1902,'Entry Builder'!$L$11)&lt;'Entry Builder'!$E$11),--(INDEX(Sims!$A1902:$BO1902,'Entry Builder'!$L$11)&gt;'Entry Builder'!$E$11)))</f>
        <v/>
      </c>
      <c r="F1902">
        <f>IF('Entry Builder'!$N$12=0,1,IF('Entry Builder'!$D$12="Less",--(INDEX(Sims!$A1902:$BO1902,'Entry Builder'!$L$12)&lt;'Entry Builder'!$E$12),--(INDEX(Sims!$A1902:$BO1902,'Entry Builder'!$L$12)&gt;'Entry Builder'!$E$12)))</f>
        <v/>
      </c>
      <c r="G1902">
        <f>6-SUM(A1902:F1902)</f>
        <v/>
      </c>
    </row>
    <row r="1903">
      <c r="A1903">
        <f>IF('Entry Builder'!$N$7=0,1,IF('Entry Builder'!$D$7="Less",--(INDEX(Sims!$A1903:$BO1903,'Entry Builder'!$L$7)&lt;'Entry Builder'!$E$7),--(INDEX(Sims!$A1903:$BO1903,'Entry Builder'!$L$7)&gt;'Entry Builder'!$E$7)))</f>
        <v/>
      </c>
      <c r="B1903">
        <f>IF('Entry Builder'!$N$8=0,1,IF('Entry Builder'!$D$8="Less",--(INDEX(Sims!$A1903:$BO1903,'Entry Builder'!$L$8)&lt;'Entry Builder'!$E$8),--(INDEX(Sims!$A1903:$BO1903,'Entry Builder'!$L$8)&gt;'Entry Builder'!$E$8)))</f>
        <v/>
      </c>
      <c r="C1903">
        <f>IF('Entry Builder'!$N$9=0,1,IF('Entry Builder'!$D$9="Less",--(INDEX(Sims!$A1903:$BO1903,'Entry Builder'!$L$9)&lt;'Entry Builder'!$E$9),--(INDEX(Sims!$A1903:$BO1903,'Entry Builder'!$L$9)&gt;'Entry Builder'!$E$9)))</f>
        <v/>
      </c>
      <c r="D1903">
        <f>IF('Entry Builder'!$N$10=0,1,IF('Entry Builder'!$D$10="Less",--(INDEX(Sims!$A1903:$BO1903,'Entry Builder'!$L$10)&lt;'Entry Builder'!$E$10),--(INDEX(Sims!$A1903:$BO1903,'Entry Builder'!$L$10)&gt;'Entry Builder'!$E$10)))</f>
        <v/>
      </c>
      <c r="E1903">
        <f>IF('Entry Builder'!$N$11=0,1,IF('Entry Builder'!$D$11="Less",--(INDEX(Sims!$A1903:$BO1903,'Entry Builder'!$L$11)&lt;'Entry Builder'!$E$11),--(INDEX(Sims!$A1903:$BO1903,'Entry Builder'!$L$11)&gt;'Entry Builder'!$E$11)))</f>
        <v/>
      </c>
      <c r="F1903">
        <f>IF('Entry Builder'!$N$12=0,1,IF('Entry Builder'!$D$12="Less",--(INDEX(Sims!$A1903:$BO1903,'Entry Builder'!$L$12)&lt;'Entry Builder'!$E$12),--(INDEX(Sims!$A1903:$BO1903,'Entry Builder'!$L$12)&gt;'Entry Builder'!$E$12)))</f>
        <v/>
      </c>
      <c r="G1903">
        <f>6-SUM(A1903:F1903)</f>
        <v/>
      </c>
    </row>
    <row r="1904">
      <c r="A1904">
        <f>IF('Entry Builder'!$N$7=0,1,IF('Entry Builder'!$D$7="Less",--(INDEX(Sims!$A1904:$BO1904,'Entry Builder'!$L$7)&lt;'Entry Builder'!$E$7),--(INDEX(Sims!$A1904:$BO1904,'Entry Builder'!$L$7)&gt;'Entry Builder'!$E$7)))</f>
        <v/>
      </c>
      <c r="B1904">
        <f>IF('Entry Builder'!$N$8=0,1,IF('Entry Builder'!$D$8="Less",--(INDEX(Sims!$A1904:$BO1904,'Entry Builder'!$L$8)&lt;'Entry Builder'!$E$8),--(INDEX(Sims!$A1904:$BO1904,'Entry Builder'!$L$8)&gt;'Entry Builder'!$E$8)))</f>
        <v/>
      </c>
      <c r="C1904">
        <f>IF('Entry Builder'!$N$9=0,1,IF('Entry Builder'!$D$9="Less",--(INDEX(Sims!$A1904:$BO1904,'Entry Builder'!$L$9)&lt;'Entry Builder'!$E$9),--(INDEX(Sims!$A1904:$BO1904,'Entry Builder'!$L$9)&gt;'Entry Builder'!$E$9)))</f>
        <v/>
      </c>
      <c r="D1904">
        <f>IF('Entry Builder'!$N$10=0,1,IF('Entry Builder'!$D$10="Less",--(INDEX(Sims!$A1904:$BO1904,'Entry Builder'!$L$10)&lt;'Entry Builder'!$E$10),--(INDEX(Sims!$A1904:$BO1904,'Entry Builder'!$L$10)&gt;'Entry Builder'!$E$10)))</f>
        <v/>
      </c>
      <c r="E1904">
        <f>IF('Entry Builder'!$N$11=0,1,IF('Entry Builder'!$D$11="Less",--(INDEX(Sims!$A1904:$BO1904,'Entry Builder'!$L$11)&lt;'Entry Builder'!$E$11),--(INDEX(Sims!$A1904:$BO1904,'Entry Builder'!$L$11)&gt;'Entry Builder'!$E$11)))</f>
        <v/>
      </c>
      <c r="F1904">
        <f>IF('Entry Builder'!$N$12=0,1,IF('Entry Builder'!$D$12="Less",--(INDEX(Sims!$A1904:$BO1904,'Entry Builder'!$L$12)&lt;'Entry Builder'!$E$12),--(INDEX(Sims!$A1904:$BO1904,'Entry Builder'!$L$12)&gt;'Entry Builder'!$E$12)))</f>
        <v/>
      </c>
      <c r="G1904">
        <f>6-SUM(A1904:F1904)</f>
        <v/>
      </c>
    </row>
    <row r="1905">
      <c r="A1905">
        <f>IF('Entry Builder'!$N$7=0,1,IF('Entry Builder'!$D$7="Less",--(INDEX(Sims!$A1905:$BO1905,'Entry Builder'!$L$7)&lt;'Entry Builder'!$E$7),--(INDEX(Sims!$A1905:$BO1905,'Entry Builder'!$L$7)&gt;'Entry Builder'!$E$7)))</f>
        <v/>
      </c>
      <c r="B1905">
        <f>IF('Entry Builder'!$N$8=0,1,IF('Entry Builder'!$D$8="Less",--(INDEX(Sims!$A1905:$BO1905,'Entry Builder'!$L$8)&lt;'Entry Builder'!$E$8),--(INDEX(Sims!$A1905:$BO1905,'Entry Builder'!$L$8)&gt;'Entry Builder'!$E$8)))</f>
        <v/>
      </c>
      <c r="C1905">
        <f>IF('Entry Builder'!$N$9=0,1,IF('Entry Builder'!$D$9="Less",--(INDEX(Sims!$A1905:$BO1905,'Entry Builder'!$L$9)&lt;'Entry Builder'!$E$9),--(INDEX(Sims!$A1905:$BO1905,'Entry Builder'!$L$9)&gt;'Entry Builder'!$E$9)))</f>
        <v/>
      </c>
      <c r="D1905">
        <f>IF('Entry Builder'!$N$10=0,1,IF('Entry Builder'!$D$10="Less",--(INDEX(Sims!$A1905:$BO1905,'Entry Builder'!$L$10)&lt;'Entry Builder'!$E$10),--(INDEX(Sims!$A1905:$BO1905,'Entry Builder'!$L$10)&gt;'Entry Builder'!$E$10)))</f>
        <v/>
      </c>
      <c r="E1905">
        <f>IF('Entry Builder'!$N$11=0,1,IF('Entry Builder'!$D$11="Less",--(INDEX(Sims!$A1905:$BO1905,'Entry Builder'!$L$11)&lt;'Entry Builder'!$E$11),--(INDEX(Sims!$A1905:$BO1905,'Entry Builder'!$L$11)&gt;'Entry Builder'!$E$11)))</f>
        <v/>
      </c>
      <c r="F1905">
        <f>IF('Entry Builder'!$N$12=0,1,IF('Entry Builder'!$D$12="Less",--(INDEX(Sims!$A1905:$BO1905,'Entry Builder'!$L$12)&lt;'Entry Builder'!$E$12),--(INDEX(Sims!$A1905:$BO1905,'Entry Builder'!$L$12)&gt;'Entry Builder'!$E$12)))</f>
        <v/>
      </c>
      <c r="G1905">
        <f>6-SUM(A1905:F1905)</f>
        <v/>
      </c>
    </row>
    <row r="1906">
      <c r="A1906">
        <f>IF('Entry Builder'!$N$7=0,1,IF('Entry Builder'!$D$7="Less",--(INDEX(Sims!$A1906:$BO1906,'Entry Builder'!$L$7)&lt;'Entry Builder'!$E$7),--(INDEX(Sims!$A1906:$BO1906,'Entry Builder'!$L$7)&gt;'Entry Builder'!$E$7)))</f>
        <v/>
      </c>
      <c r="B1906">
        <f>IF('Entry Builder'!$N$8=0,1,IF('Entry Builder'!$D$8="Less",--(INDEX(Sims!$A1906:$BO1906,'Entry Builder'!$L$8)&lt;'Entry Builder'!$E$8),--(INDEX(Sims!$A1906:$BO1906,'Entry Builder'!$L$8)&gt;'Entry Builder'!$E$8)))</f>
        <v/>
      </c>
      <c r="C1906">
        <f>IF('Entry Builder'!$N$9=0,1,IF('Entry Builder'!$D$9="Less",--(INDEX(Sims!$A1906:$BO1906,'Entry Builder'!$L$9)&lt;'Entry Builder'!$E$9),--(INDEX(Sims!$A1906:$BO1906,'Entry Builder'!$L$9)&gt;'Entry Builder'!$E$9)))</f>
        <v/>
      </c>
      <c r="D1906">
        <f>IF('Entry Builder'!$N$10=0,1,IF('Entry Builder'!$D$10="Less",--(INDEX(Sims!$A1906:$BO1906,'Entry Builder'!$L$10)&lt;'Entry Builder'!$E$10),--(INDEX(Sims!$A1906:$BO1906,'Entry Builder'!$L$10)&gt;'Entry Builder'!$E$10)))</f>
        <v/>
      </c>
      <c r="E1906">
        <f>IF('Entry Builder'!$N$11=0,1,IF('Entry Builder'!$D$11="Less",--(INDEX(Sims!$A1906:$BO1906,'Entry Builder'!$L$11)&lt;'Entry Builder'!$E$11),--(INDEX(Sims!$A1906:$BO1906,'Entry Builder'!$L$11)&gt;'Entry Builder'!$E$11)))</f>
        <v/>
      </c>
      <c r="F1906">
        <f>IF('Entry Builder'!$N$12=0,1,IF('Entry Builder'!$D$12="Less",--(INDEX(Sims!$A1906:$BO1906,'Entry Builder'!$L$12)&lt;'Entry Builder'!$E$12),--(INDEX(Sims!$A1906:$BO1906,'Entry Builder'!$L$12)&gt;'Entry Builder'!$E$12)))</f>
        <v/>
      </c>
      <c r="G1906">
        <f>6-SUM(A1906:F1906)</f>
        <v/>
      </c>
    </row>
    <row r="1907">
      <c r="A1907">
        <f>IF('Entry Builder'!$N$7=0,1,IF('Entry Builder'!$D$7="Less",--(INDEX(Sims!$A1907:$BO1907,'Entry Builder'!$L$7)&lt;'Entry Builder'!$E$7),--(INDEX(Sims!$A1907:$BO1907,'Entry Builder'!$L$7)&gt;'Entry Builder'!$E$7)))</f>
        <v/>
      </c>
      <c r="B1907">
        <f>IF('Entry Builder'!$N$8=0,1,IF('Entry Builder'!$D$8="Less",--(INDEX(Sims!$A1907:$BO1907,'Entry Builder'!$L$8)&lt;'Entry Builder'!$E$8),--(INDEX(Sims!$A1907:$BO1907,'Entry Builder'!$L$8)&gt;'Entry Builder'!$E$8)))</f>
        <v/>
      </c>
      <c r="C1907">
        <f>IF('Entry Builder'!$N$9=0,1,IF('Entry Builder'!$D$9="Less",--(INDEX(Sims!$A1907:$BO1907,'Entry Builder'!$L$9)&lt;'Entry Builder'!$E$9),--(INDEX(Sims!$A1907:$BO1907,'Entry Builder'!$L$9)&gt;'Entry Builder'!$E$9)))</f>
        <v/>
      </c>
      <c r="D1907">
        <f>IF('Entry Builder'!$N$10=0,1,IF('Entry Builder'!$D$10="Less",--(INDEX(Sims!$A1907:$BO1907,'Entry Builder'!$L$10)&lt;'Entry Builder'!$E$10),--(INDEX(Sims!$A1907:$BO1907,'Entry Builder'!$L$10)&gt;'Entry Builder'!$E$10)))</f>
        <v/>
      </c>
      <c r="E1907">
        <f>IF('Entry Builder'!$N$11=0,1,IF('Entry Builder'!$D$11="Less",--(INDEX(Sims!$A1907:$BO1907,'Entry Builder'!$L$11)&lt;'Entry Builder'!$E$11),--(INDEX(Sims!$A1907:$BO1907,'Entry Builder'!$L$11)&gt;'Entry Builder'!$E$11)))</f>
        <v/>
      </c>
      <c r="F1907">
        <f>IF('Entry Builder'!$N$12=0,1,IF('Entry Builder'!$D$12="Less",--(INDEX(Sims!$A1907:$BO1907,'Entry Builder'!$L$12)&lt;'Entry Builder'!$E$12),--(INDEX(Sims!$A1907:$BO1907,'Entry Builder'!$L$12)&gt;'Entry Builder'!$E$12)))</f>
        <v/>
      </c>
      <c r="G1907">
        <f>6-SUM(A1907:F1907)</f>
        <v/>
      </c>
    </row>
    <row r="1908">
      <c r="A1908">
        <f>IF('Entry Builder'!$N$7=0,1,IF('Entry Builder'!$D$7="Less",--(INDEX(Sims!$A1908:$BO1908,'Entry Builder'!$L$7)&lt;'Entry Builder'!$E$7),--(INDEX(Sims!$A1908:$BO1908,'Entry Builder'!$L$7)&gt;'Entry Builder'!$E$7)))</f>
        <v/>
      </c>
      <c r="B1908">
        <f>IF('Entry Builder'!$N$8=0,1,IF('Entry Builder'!$D$8="Less",--(INDEX(Sims!$A1908:$BO1908,'Entry Builder'!$L$8)&lt;'Entry Builder'!$E$8),--(INDEX(Sims!$A1908:$BO1908,'Entry Builder'!$L$8)&gt;'Entry Builder'!$E$8)))</f>
        <v/>
      </c>
      <c r="C1908">
        <f>IF('Entry Builder'!$N$9=0,1,IF('Entry Builder'!$D$9="Less",--(INDEX(Sims!$A1908:$BO1908,'Entry Builder'!$L$9)&lt;'Entry Builder'!$E$9),--(INDEX(Sims!$A1908:$BO1908,'Entry Builder'!$L$9)&gt;'Entry Builder'!$E$9)))</f>
        <v/>
      </c>
      <c r="D1908">
        <f>IF('Entry Builder'!$N$10=0,1,IF('Entry Builder'!$D$10="Less",--(INDEX(Sims!$A1908:$BO1908,'Entry Builder'!$L$10)&lt;'Entry Builder'!$E$10),--(INDEX(Sims!$A1908:$BO1908,'Entry Builder'!$L$10)&gt;'Entry Builder'!$E$10)))</f>
        <v/>
      </c>
      <c r="E1908">
        <f>IF('Entry Builder'!$N$11=0,1,IF('Entry Builder'!$D$11="Less",--(INDEX(Sims!$A1908:$BO1908,'Entry Builder'!$L$11)&lt;'Entry Builder'!$E$11),--(INDEX(Sims!$A1908:$BO1908,'Entry Builder'!$L$11)&gt;'Entry Builder'!$E$11)))</f>
        <v/>
      </c>
      <c r="F1908">
        <f>IF('Entry Builder'!$N$12=0,1,IF('Entry Builder'!$D$12="Less",--(INDEX(Sims!$A1908:$BO1908,'Entry Builder'!$L$12)&lt;'Entry Builder'!$E$12),--(INDEX(Sims!$A1908:$BO1908,'Entry Builder'!$L$12)&gt;'Entry Builder'!$E$12)))</f>
        <v/>
      </c>
      <c r="G1908">
        <f>6-SUM(A1908:F1908)</f>
        <v/>
      </c>
    </row>
    <row r="1909">
      <c r="A1909">
        <f>IF('Entry Builder'!$N$7=0,1,IF('Entry Builder'!$D$7="Less",--(INDEX(Sims!$A1909:$BO1909,'Entry Builder'!$L$7)&lt;'Entry Builder'!$E$7),--(INDEX(Sims!$A1909:$BO1909,'Entry Builder'!$L$7)&gt;'Entry Builder'!$E$7)))</f>
        <v/>
      </c>
      <c r="B1909">
        <f>IF('Entry Builder'!$N$8=0,1,IF('Entry Builder'!$D$8="Less",--(INDEX(Sims!$A1909:$BO1909,'Entry Builder'!$L$8)&lt;'Entry Builder'!$E$8),--(INDEX(Sims!$A1909:$BO1909,'Entry Builder'!$L$8)&gt;'Entry Builder'!$E$8)))</f>
        <v/>
      </c>
      <c r="C1909">
        <f>IF('Entry Builder'!$N$9=0,1,IF('Entry Builder'!$D$9="Less",--(INDEX(Sims!$A1909:$BO1909,'Entry Builder'!$L$9)&lt;'Entry Builder'!$E$9),--(INDEX(Sims!$A1909:$BO1909,'Entry Builder'!$L$9)&gt;'Entry Builder'!$E$9)))</f>
        <v/>
      </c>
      <c r="D1909">
        <f>IF('Entry Builder'!$N$10=0,1,IF('Entry Builder'!$D$10="Less",--(INDEX(Sims!$A1909:$BO1909,'Entry Builder'!$L$10)&lt;'Entry Builder'!$E$10),--(INDEX(Sims!$A1909:$BO1909,'Entry Builder'!$L$10)&gt;'Entry Builder'!$E$10)))</f>
        <v/>
      </c>
      <c r="E1909">
        <f>IF('Entry Builder'!$N$11=0,1,IF('Entry Builder'!$D$11="Less",--(INDEX(Sims!$A1909:$BO1909,'Entry Builder'!$L$11)&lt;'Entry Builder'!$E$11),--(INDEX(Sims!$A1909:$BO1909,'Entry Builder'!$L$11)&gt;'Entry Builder'!$E$11)))</f>
        <v/>
      </c>
      <c r="F1909">
        <f>IF('Entry Builder'!$N$12=0,1,IF('Entry Builder'!$D$12="Less",--(INDEX(Sims!$A1909:$BO1909,'Entry Builder'!$L$12)&lt;'Entry Builder'!$E$12),--(INDEX(Sims!$A1909:$BO1909,'Entry Builder'!$L$12)&gt;'Entry Builder'!$E$12)))</f>
        <v/>
      </c>
      <c r="G1909">
        <f>6-SUM(A1909:F1909)</f>
        <v/>
      </c>
    </row>
    <row r="1910">
      <c r="A1910">
        <f>IF('Entry Builder'!$N$7=0,1,IF('Entry Builder'!$D$7="Less",--(INDEX(Sims!$A1910:$BO1910,'Entry Builder'!$L$7)&lt;'Entry Builder'!$E$7),--(INDEX(Sims!$A1910:$BO1910,'Entry Builder'!$L$7)&gt;'Entry Builder'!$E$7)))</f>
        <v/>
      </c>
      <c r="B1910">
        <f>IF('Entry Builder'!$N$8=0,1,IF('Entry Builder'!$D$8="Less",--(INDEX(Sims!$A1910:$BO1910,'Entry Builder'!$L$8)&lt;'Entry Builder'!$E$8),--(INDEX(Sims!$A1910:$BO1910,'Entry Builder'!$L$8)&gt;'Entry Builder'!$E$8)))</f>
        <v/>
      </c>
      <c r="C1910">
        <f>IF('Entry Builder'!$N$9=0,1,IF('Entry Builder'!$D$9="Less",--(INDEX(Sims!$A1910:$BO1910,'Entry Builder'!$L$9)&lt;'Entry Builder'!$E$9),--(INDEX(Sims!$A1910:$BO1910,'Entry Builder'!$L$9)&gt;'Entry Builder'!$E$9)))</f>
        <v/>
      </c>
      <c r="D1910">
        <f>IF('Entry Builder'!$N$10=0,1,IF('Entry Builder'!$D$10="Less",--(INDEX(Sims!$A1910:$BO1910,'Entry Builder'!$L$10)&lt;'Entry Builder'!$E$10),--(INDEX(Sims!$A1910:$BO1910,'Entry Builder'!$L$10)&gt;'Entry Builder'!$E$10)))</f>
        <v/>
      </c>
      <c r="E1910">
        <f>IF('Entry Builder'!$N$11=0,1,IF('Entry Builder'!$D$11="Less",--(INDEX(Sims!$A1910:$BO1910,'Entry Builder'!$L$11)&lt;'Entry Builder'!$E$11),--(INDEX(Sims!$A1910:$BO1910,'Entry Builder'!$L$11)&gt;'Entry Builder'!$E$11)))</f>
        <v/>
      </c>
      <c r="F1910">
        <f>IF('Entry Builder'!$N$12=0,1,IF('Entry Builder'!$D$12="Less",--(INDEX(Sims!$A1910:$BO1910,'Entry Builder'!$L$12)&lt;'Entry Builder'!$E$12),--(INDEX(Sims!$A1910:$BO1910,'Entry Builder'!$L$12)&gt;'Entry Builder'!$E$12)))</f>
        <v/>
      </c>
      <c r="G1910">
        <f>6-SUM(A1910:F1910)</f>
        <v/>
      </c>
    </row>
    <row r="1911">
      <c r="A1911">
        <f>IF('Entry Builder'!$N$7=0,1,IF('Entry Builder'!$D$7="Less",--(INDEX(Sims!$A1911:$BO1911,'Entry Builder'!$L$7)&lt;'Entry Builder'!$E$7),--(INDEX(Sims!$A1911:$BO1911,'Entry Builder'!$L$7)&gt;'Entry Builder'!$E$7)))</f>
        <v/>
      </c>
      <c r="B1911">
        <f>IF('Entry Builder'!$N$8=0,1,IF('Entry Builder'!$D$8="Less",--(INDEX(Sims!$A1911:$BO1911,'Entry Builder'!$L$8)&lt;'Entry Builder'!$E$8),--(INDEX(Sims!$A1911:$BO1911,'Entry Builder'!$L$8)&gt;'Entry Builder'!$E$8)))</f>
        <v/>
      </c>
      <c r="C1911">
        <f>IF('Entry Builder'!$N$9=0,1,IF('Entry Builder'!$D$9="Less",--(INDEX(Sims!$A1911:$BO1911,'Entry Builder'!$L$9)&lt;'Entry Builder'!$E$9),--(INDEX(Sims!$A1911:$BO1911,'Entry Builder'!$L$9)&gt;'Entry Builder'!$E$9)))</f>
        <v/>
      </c>
      <c r="D1911">
        <f>IF('Entry Builder'!$N$10=0,1,IF('Entry Builder'!$D$10="Less",--(INDEX(Sims!$A1911:$BO1911,'Entry Builder'!$L$10)&lt;'Entry Builder'!$E$10),--(INDEX(Sims!$A1911:$BO1911,'Entry Builder'!$L$10)&gt;'Entry Builder'!$E$10)))</f>
        <v/>
      </c>
      <c r="E1911">
        <f>IF('Entry Builder'!$N$11=0,1,IF('Entry Builder'!$D$11="Less",--(INDEX(Sims!$A1911:$BO1911,'Entry Builder'!$L$11)&lt;'Entry Builder'!$E$11),--(INDEX(Sims!$A1911:$BO1911,'Entry Builder'!$L$11)&gt;'Entry Builder'!$E$11)))</f>
        <v/>
      </c>
      <c r="F1911">
        <f>IF('Entry Builder'!$N$12=0,1,IF('Entry Builder'!$D$12="Less",--(INDEX(Sims!$A1911:$BO1911,'Entry Builder'!$L$12)&lt;'Entry Builder'!$E$12),--(INDEX(Sims!$A1911:$BO1911,'Entry Builder'!$L$12)&gt;'Entry Builder'!$E$12)))</f>
        <v/>
      </c>
      <c r="G1911">
        <f>6-SUM(A1911:F1911)</f>
        <v/>
      </c>
    </row>
    <row r="1912">
      <c r="A1912">
        <f>IF('Entry Builder'!$N$7=0,1,IF('Entry Builder'!$D$7="Less",--(INDEX(Sims!$A1912:$BO1912,'Entry Builder'!$L$7)&lt;'Entry Builder'!$E$7),--(INDEX(Sims!$A1912:$BO1912,'Entry Builder'!$L$7)&gt;'Entry Builder'!$E$7)))</f>
        <v/>
      </c>
      <c r="B1912">
        <f>IF('Entry Builder'!$N$8=0,1,IF('Entry Builder'!$D$8="Less",--(INDEX(Sims!$A1912:$BO1912,'Entry Builder'!$L$8)&lt;'Entry Builder'!$E$8),--(INDEX(Sims!$A1912:$BO1912,'Entry Builder'!$L$8)&gt;'Entry Builder'!$E$8)))</f>
        <v/>
      </c>
      <c r="C1912">
        <f>IF('Entry Builder'!$N$9=0,1,IF('Entry Builder'!$D$9="Less",--(INDEX(Sims!$A1912:$BO1912,'Entry Builder'!$L$9)&lt;'Entry Builder'!$E$9),--(INDEX(Sims!$A1912:$BO1912,'Entry Builder'!$L$9)&gt;'Entry Builder'!$E$9)))</f>
        <v/>
      </c>
      <c r="D1912">
        <f>IF('Entry Builder'!$N$10=0,1,IF('Entry Builder'!$D$10="Less",--(INDEX(Sims!$A1912:$BO1912,'Entry Builder'!$L$10)&lt;'Entry Builder'!$E$10),--(INDEX(Sims!$A1912:$BO1912,'Entry Builder'!$L$10)&gt;'Entry Builder'!$E$10)))</f>
        <v/>
      </c>
      <c r="E1912">
        <f>IF('Entry Builder'!$N$11=0,1,IF('Entry Builder'!$D$11="Less",--(INDEX(Sims!$A1912:$BO1912,'Entry Builder'!$L$11)&lt;'Entry Builder'!$E$11),--(INDEX(Sims!$A1912:$BO1912,'Entry Builder'!$L$11)&gt;'Entry Builder'!$E$11)))</f>
        <v/>
      </c>
      <c r="F1912">
        <f>IF('Entry Builder'!$N$12=0,1,IF('Entry Builder'!$D$12="Less",--(INDEX(Sims!$A1912:$BO1912,'Entry Builder'!$L$12)&lt;'Entry Builder'!$E$12),--(INDEX(Sims!$A1912:$BO1912,'Entry Builder'!$L$12)&gt;'Entry Builder'!$E$12)))</f>
        <v/>
      </c>
      <c r="G1912">
        <f>6-SUM(A1912:F1912)</f>
        <v/>
      </c>
    </row>
    <row r="1913">
      <c r="A1913">
        <f>IF('Entry Builder'!$N$7=0,1,IF('Entry Builder'!$D$7="Less",--(INDEX(Sims!$A1913:$BO1913,'Entry Builder'!$L$7)&lt;'Entry Builder'!$E$7),--(INDEX(Sims!$A1913:$BO1913,'Entry Builder'!$L$7)&gt;'Entry Builder'!$E$7)))</f>
        <v/>
      </c>
      <c r="B1913">
        <f>IF('Entry Builder'!$N$8=0,1,IF('Entry Builder'!$D$8="Less",--(INDEX(Sims!$A1913:$BO1913,'Entry Builder'!$L$8)&lt;'Entry Builder'!$E$8),--(INDEX(Sims!$A1913:$BO1913,'Entry Builder'!$L$8)&gt;'Entry Builder'!$E$8)))</f>
        <v/>
      </c>
      <c r="C1913">
        <f>IF('Entry Builder'!$N$9=0,1,IF('Entry Builder'!$D$9="Less",--(INDEX(Sims!$A1913:$BO1913,'Entry Builder'!$L$9)&lt;'Entry Builder'!$E$9),--(INDEX(Sims!$A1913:$BO1913,'Entry Builder'!$L$9)&gt;'Entry Builder'!$E$9)))</f>
        <v/>
      </c>
      <c r="D1913">
        <f>IF('Entry Builder'!$N$10=0,1,IF('Entry Builder'!$D$10="Less",--(INDEX(Sims!$A1913:$BO1913,'Entry Builder'!$L$10)&lt;'Entry Builder'!$E$10),--(INDEX(Sims!$A1913:$BO1913,'Entry Builder'!$L$10)&gt;'Entry Builder'!$E$10)))</f>
        <v/>
      </c>
      <c r="E1913">
        <f>IF('Entry Builder'!$N$11=0,1,IF('Entry Builder'!$D$11="Less",--(INDEX(Sims!$A1913:$BO1913,'Entry Builder'!$L$11)&lt;'Entry Builder'!$E$11),--(INDEX(Sims!$A1913:$BO1913,'Entry Builder'!$L$11)&gt;'Entry Builder'!$E$11)))</f>
        <v/>
      </c>
      <c r="F1913">
        <f>IF('Entry Builder'!$N$12=0,1,IF('Entry Builder'!$D$12="Less",--(INDEX(Sims!$A1913:$BO1913,'Entry Builder'!$L$12)&lt;'Entry Builder'!$E$12),--(INDEX(Sims!$A1913:$BO1913,'Entry Builder'!$L$12)&gt;'Entry Builder'!$E$12)))</f>
        <v/>
      </c>
      <c r="G1913">
        <f>6-SUM(A1913:F1913)</f>
        <v/>
      </c>
    </row>
    <row r="1914">
      <c r="A1914">
        <f>IF('Entry Builder'!$N$7=0,1,IF('Entry Builder'!$D$7="Less",--(INDEX(Sims!$A1914:$BO1914,'Entry Builder'!$L$7)&lt;'Entry Builder'!$E$7),--(INDEX(Sims!$A1914:$BO1914,'Entry Builder'!$L$7)&gt;'Entry Builder'!$E$7)))</f>
        <v/>
      </c>
      <c r="B1914">
        <f>IF('Entry Builder'!$N$8=0,1,IF('Entry Builder'!$D$8="Less",--(INDEX(Sims!$A1914:$BO1914,'Entry Builder'!$L$8)&lt;'Entry Builder'!$E$8),--(INDEX(Sims!$A1914:$BO1914,'Entry Builder'!$L$8)&gt;'Entry Builder'!$E$8)))</f>
        <v/>
      </c>
      <c r="C1914">
        <f>IF('Entry Builder'!$N$9=0,1,IF('Entry Builder'!$D$9="Less",--(INDEX(Sims!$A1914:$BO1914,'Entry Builder'!$L$9)&lt;'Entry Builder'!$E$9),--(INDEX(Sims!$A1914:$BO1914,'Entry Builder'!$L$9)&gt;'Entry Builder'!$E$9)))</f>
        <v/>
      </c>
      <c r="D1914">
        <f>IF('Entry Builder'!$N$10=0,1,IF('Entry Builder'!$D$10="Less",--(INDEX(Sims!$A1914:$BO1914,'Entry Builder'!$L$10)&lt;'Entry Builder'!$E$10),--(INDEX(Sims!$A1914:$BO1914,'Entry Builder'!$L$10)&gt;'Entry Builder'!$E$10)))</f>
        <v/>
      </c>
      <c r="E1914">
        <f>IF('Entry Builder'!$N$11=0,1,IF('Entry Builder'!$D$11="Less",--(INDEX(Sims!$A1914:$BO1914,'Entry Builder'!$L$11)&lt;'Entry Builder'!$E$11),--(INDEX(Sims!$A1914:$BO1914,'Entry Builder'!$L$11)&gt;'Entry Builder'!$E$11)))</f>
        <v/>
      </c>
      <c r="F1914">
        <f>IF('Entry Builder'!$N$12=0,1,IF('Entry Builder'!$D$12="Less",--(INDEX(Sims!$A1914:$BO1914,'Entry Builder'!$L$12)&lt;'Entry Builder'!$E$12),--(INDEX(Sims!$A1914:$BO1914,'Entry Builder'!$L$12)&gt;'Entry Builder'!$E$12)))</f>
        <v/>
      </c>
      <c r="G1914">
        <f>6-SUM(A1914:F1914)</f>
        <v/>
      </c>
    </row>
    <row r="1915">
      <c r="A1915">
        <f>IF('Entry Builder'!$N$7=0,1,IF('Entry Builder'!$D$7="Less",--(INDEX(Sims!$A1915:$BO1915,'Entry Builder'!$L$7)&lt;'Entry Builder'!$E$7),--(INDEX(Sims!$A1915:$BO1915,'Entry Builder'!$L$7)&gt;'Entry Builder'!$E$7)))</f>
        <v/>
      </c>
      <c r="B1915">
        <f>IF('Entry Builder'!$N$8=0,1,IF('Entry Builder'!$D$8="Less",--(INDEX(Sims!$A1915:$BO1915,'Entry Builder'!$L$8)&lt;'Entry Builder'!$E$8),--(INDEX(Sims!$A1915:$BO1915,'Entry Builder'!$L$8)&gt;'Entry Builder'!$E$8)))</f>
        <v/>
      </c>
      <c r="C1915">
        <f>IF('Entry Builder'!$N$9=0,1,IF('Entry Builder'!$D$9="Less",--(INDEX(Sims!$A1915:$BO1915,'Entry Builder'!$L$9)&lt;'Entry Builder'!$E$9),--(INDEX(Sims!$A1915:$BO1915,'Entry Builder'!$L$9)&gt;'Entry Builder'!$E$9)))</f>
        <v/>
      </c>
      <c r="D1915">
        <f>IF('Entry Builder'!$N$10=0,1,IF('Entry Builder'!$D$10="Less",--(INDEX(Sims!$A1915:$BO1915,'Entry Builder'!$L$10)&lt;'Entry Builder'!$E$10),--(INDEX(Sims!$A1915:$BO1915,'Entry Builder'!$L$10)&gt;'Entry Builder'!$E$10)))</f>
        <v/>
      </c>
      <c r="E1915">
        <f>IF('Entry Builder'!$N$11=0,1,IF('Entry Builder'!$D$11="Less",--(INDEX(Sims!$A1915:$BO1915,'Entry Builder'!$L$11)&lt;'Entry Builder'!$E$11),--(INDEX(Sims!$A1915:$BO1915,'Entry Builder'!$L$11)&gt;'Entry Builder'!$E$11)))</f>
        <v/>
      </c>
      <c r="F1915">
        <f>IF('Entry Builder'!$N$12=0,1,IF('Entry Builder'!$D$12="Less",--(INDEX(Sims!$A1915:$BO1915,'Entry Builder'!$L$12)&lt;'Entry Builder'!$E$12),--(INDEX(Sims!$A1915:$BO1915,'Entry Builder'!$L$12)&gt;'Entry Builder'!$E$12)))</f>
        <v/>
      </c>
      <c r="G1915">
        <f>6-SUM(A1915:F1915)</f>
        <v/>
      </c>
    </row>
    <row r="1916">
      <c r="A1916">
        <f>IF('Entry Builder'!$N$7=0,1,IF('Entry Builder'!$D$7="Less",--(INDEX(Sims!$A1916:$BO1916,'Entry Builder'!$L$7)&lt;'Entry Builder'!$E$7),--(INDEX(Sims!$A1916:$BO1916,'Entry Builder'!$L$7)&gt;'Entry Builder'!$E$7)))</f>
        <v/>
      </c>
      <c r="B1916">
        <f>IF('Entry Builder'!$N$8=0,1,IF('Entry Builder'!$D$8="Less",--(INDEX(Sims!$A1916:$BO1916,'Entry Builder'!$L$8)&lt;'Entry Builder'!$E$8),--(INDEX(Sims!$A1916:$BO1916,'Entry Builder'!$L$8)&gt;'Entry Builder'!$E$8)))</f>
        <v/>
      </c>
      <c r="C1916">
        <f>IF('Entry Builder'!$N$9=0,1,IF('Entry Builder'!$D$9="Less",--(INDEX(Sims!$A1916:$BO1916,'Entry Builder'!$L$9)&lt;'Entry Builder'!$E$9),--(INDEX(Sims!$A1916:$BO1916,'Entry Builder'!$L$9)&gt;'Entry Builder'!$E$9)))</f>
        <v/>
      </c>
      <c r="D1916">
        <f>IF('Entry Builder'!$N$10=0,1,IF('Entry Builder'!$D$10="Less",--(INDEX(Sims!$A1916:$BO1916,'Entry Builder'!$L$10)&lt;'Entry Builder'!$E$10),--(INDEX(Sims!$A1916:$BO1916,'Entry Builder'!$L$10)&gt;'Entry Builder'!$E$10)))</f>
        <v/>
      </c>
      <c r="E1916">
        <f>IF('Entry Builder'!$N$11=0,1,IF('Entry Builder'!$D$11="Less",--(INDEX(Sims!$A1916:$BO1916,'Entry Builder'!$L$11)&lt;'Entry Builder'!$E$11),--(INDEX(Sims!$A1916:$BO1916,'Entry Builder'!$L$11)&gt;'Entry Builder'!$E$11)))</f>
        <v/>
      </c>
      <c r="F1916">
        <f>IF('Entry Builder'!$N$12=0,1,IF('Entry Builder'!$D$12="Less",--(INDEX(Sims!$A1916:$BO1916,'Entry Builder'!$L$12)&lt;'Entry Builder'!$E$12),--(INDEX(Sims!$A1916:$BO1916,'Entry Builder'!$L$12)&gt;'Entry Builder'!$E$12)))</f>
        <v/>
      </c>
      <c r="G1916">
        <f>6-SUM(A1916:F1916)</f>
        <v/>
      </c>
    </row>
    <row r="1917">
      <c r="A1917">
        <f>IF('Entry Builder'!$N$7=0,1,IF('Entry Builder'!$D$7="Less",--(INDEX(Sims!$A1917:$BO1917,'Entry Builder'!$L$7)&lt;'Entry Builder'!$E$7),--(INDEX(Sims!$A1917:$BO1917,'Entry Builder'!$L$7)&gt;'Entry Builder'!$E$7)))</f>
        <v/>
      </c>
      <c r="B1917">
        <f>IF('Entry Builder'!$N$8=0,1,IF('Entry Builder'!$D$8="Less",--(INDEX(Sims!$A1917:$BO1917,'Entry Builder'!$L$8)&lt;'Entry Builder'!$E$8),--(INDEX(Sims!$A1917:$BO1917,'Entry Builder'!$L$8)&gt;'Entry Builder'!$E$8)))</f>
        <v/>
      </c>
      <c r="C1917">
        <f>IF('Entry Builder'!$N$9=0,1,IF('Entry Builder'!$D$9="Less",--(INDEX(Sims!$A1917:$BO1917,'Entry Builder'!$L$9)&lt;'Entry Builder'!$E$9),--(INDEX(Sims!$A1917:$BO1917,'Entry Builder'!$L$9)&gt;'Entry Builder'!$E$9)))</f>
        <v/>
      </c>
      <c r="D1917">
        <f>IF('Entry Builder'!$N$10=0,1,IF('Entry Builder'!$D$10="Less",--(INDEX(Sims!$A1917:$BO1917,'Entry Builder'!$L$10)&lt;'Entry Builder'!$E$10),--(INDEX(Sims!$A1917:$BO1917,'Entry Builder'!$L$10)&gt;'Entry Builder'!$E$10)))</f>
        <v/>
      </c>
      <c r="E1917">
        <f>IF('Entry Builder'!$N$11=0,1,IF('Entry Builder'!$D$11="Less",--(INDEX(Sims!$A1917:$BO1917,'Entry Builder'!$L$11)&lt;'Entry Builder'!$E$11),--(INDEX(Sims!$A1917:$BO1917,'Entry Builder'!$L$11)&gt;'Entry Builder'!$E$11)))</f>
        <v/>
      </c>
      <c r="F1917">
        <f>IF('Entry Builder'!$N$12=0,1,IF('Entry Builder'!$D$12="Less",--(INDEX(Sims!$A1917:$BO1917,'Entry Builder'!$L$12)&lt;'Entry Builder'!$E$12),--(INDEX(Sims!$A1917:$BO1917,'Entry Builder'!$L$12)&gt;'Entry Builder'!$E$12)))</f>
        <v/>
      </c>
      <c r="G1917">
        <f>6-SUM(A1917:F1917)</f>
        <v/>
      </c>
    </row>
    <row r="1918">
      <c r="A1918">
        <f>IF('Entry Builder'!$N$7=0,1,IF('Entry Builder'!$D$7="Less",--(INDEX(Sims!$A1918:$BO1918,'Entry Builder'!$L$7)&lt;'Entry Builder'!$E$7),--(INDEX(Sims!$A1918:$BO1918,'Entry Builder'!$L$7)&gt;'Entry Builder'!$E$7)))</f>
        <v/>
      </c>
      <c r="B1918">
        <f>IF('Entry Builder'!$N$8=0,1,IF('Entry Builder'!$D$8="Less",--(INDEX(Sims!$A1918:$BO1918,'Entry Builder'!$L$8)&lt;'Entry Builder'!$E$8),--(INDEX(Sims!$A1918:$BO1918,'Entry Builder'!$L$8)&gt;'Entry Builder'!$E$8)))</f>
        <v/>
      </c>
      <c r="C1918">
        <f>IF('Entry Builder'!$N$9=0,1,IF('Entry Builder'!$D$9="Less",--(INDEX(Sims!$A1918:$BO1918,'Entry Builder'!$L$9)&lt;'Entry Builder'!$E$9),--(INDEX(Sims!$A1918:$BO1918,'Entry Builder'!$L$9)&gt;'Entry Builder'!$E$9)))</f>
        <v/>
      </c>
      <c r="D1918">
        <f>IF('Entry Builder'!$N$10=0,1,IF('Entry Builder'!$D$10="Less",--(INDEX(Sims!$A1918:$BO1918,'Entry Builder'!$L$10)&lt;'Entry Builder'!$E$10),--(INDEX(Sims!$A1918:$BO1918,'Entry Builder'!$L$10)&gt;'Entry Builder'!$E$10)))</f>
        <v/>
      </c>
      <c r="E1918">
        <f>IF('Entry Builder'!$N$11=0,1,IF('Entry Builder'!$D$11="Less",--(INDEX(Sims!$A1918:$BO1918,'Entry Builder'!$L$11)&lt;'Entry Builder'!$E$11),--(INDEX(Sims!$A1918:$BO1918,'Entry Builder'!$L$11)&gt;'Entry Builder'!$E$11)))</f>
        <v/>
      </c>
      <c r="F1918">
        <f>IF('Entry Builder'!$N$12=0,1,IF('Entry Builder'!$D$12="Less",--(INDEX(Sims!$A1918:$BO1918,'Entry Builder'!$L$12)&lt;'Entry Builder'!$E$12),--(INDEX(Sims!$A1918:$BO1918,'Entry Builder'!$L$12)&gt;'Entry Builder'!$E$12)))</f>
        <v/>
      </c>
      <c r="G1918">
        <f>6-SUM(A1918:F1918)</f>
        <v/>
      </c>
    </row>
    <row r="1919">
      <c r="A1919">
        <f>IF('Entry Builder'!$N$7=0,1,IF('Entry Builder'!$D$7="Less",--(INDEX(Sims!$A1919:$BO1919,'Entry Builder'!$L$7)&lt;'Entry Builder'!$E$7),--(INDEX(Sims!$A1919:$BO1919,'Entry Builder'!$L$7)&gt;'Entry Builder'!$E$7)))</f>
        <v/>
      </c>
      <c r="B1919">
        <f>IF('Entry Builder'!$N$8=0,1,IF('Entry Builder'!$D$8="Less",--(INDEX(Sims!$A1919:$BO1919,'Entry Builder'!$L$8)&lt;'Entry Builder'!$E$8),--(INDEX(Sims!$A1919:$BO1919,'Entry Builder'!$L$8)&gt;'Entry Builder'!$E$8)))</f>
        <v/>
      </c>
      <c r="C1919">
        <f>IF('Entry Builder'!$N$9=0,1,IF('Entry Builder'!$D$9="Less",--(INDEX(Sims!$A1919:$BO1919,'Entry Builder'!$L$9)&lt;'Entry Builder'!$E$9),--(INDEX(Sims!$A1919:$BO1919,'Entry Builder'!$L$9)&gt;'Entry Builder'!$E$9)))</f>
        <v/>
      </c>
      <c r="D1919">
        <f>IF('Entry Builder'!$N$10=0,1,IF('Entry Builder'!$D$10="Less",--(INDEX(Sims!$A1919:$BO1919,'Entry Builder'!$L$10)&lt;'Entry Builder'!$E$10),--(INDEX(Sims!$A1919:$BO1919,'Entry Builder'!$L$10)&gt;'Entry Builder'!$E$10)))</f>
        <v/>
      </c>
      <c r="E1919">
        <f>IF('Entry Builder'!$N$11=0,1,IF('Entry Builder'!$D$11="Less",--(INDEX(Sims!$A1919:$BO1919,'Entry Builder'!$L$11)&lt;'Entry Builder'!$E$11),--(INDEX(Sims!$A1919:$BO1919,'Entry Builder'!$L$11)&gt;'Entry Builder'!$E$11)))</f>
        <v/>
      </c>
      <c r="F1919">
        <f>IF('Entry Builder'!$N$12=0,1,IF('Entry Builder'!$D$12="Less",--(INDEX(Sims!$A1919:$BO1919,'Entry Builder'!$L$12)&lt;'Entry Builder'!$E$12),--(INDEX(Sims!$A1919:$BO1919,'Entry Builder'!$L$12)&gt;'Entry Builder'!$E$12)))</f>
        <v/>
      </c>
      <c r="G1919">
        <f>6-SUM(A1919:F1919)</f>
        <v/>
      </c>
    </row>
    <row r="1920">
      <c r="A1920">
        <f>IF('Entry Builder'!$N$7=0,1,IF('Entry Builder'!$D$7="Less",--(INDEX(Sims!$A1920:$BO1920,'Entry Builder'!$L$7)&lt;'Entry Builder'!$E$7),--(INDEX(Sims!$A1920:$BO1920,'Entry Builder'!$L$7)&gt;'Entry Builder'!$E$7)))</f>
        <v/>
      </c>
      <c r="B1920">
        <f>IF('Entry Builder'!$N$8=0,1,IF('Entry Builder'!$D$8="Less",--(INDEX(Sims!$A1920:$BO1920,'Entry Builder'!$L$8)&lt;'Entry Builder'!$E$8),--(INDEX(Sims!$A1920:$BO1920,'Entry Builder'!$L$8)&gt;'Entry Builder'!$E$8)))</f>
        <v/>
      </c>
      <c r="C1920">
        <f>IF('Entry Builder'!$N$9=0,1,IF('Entry Builder'!$D$9="Less",--(INDEX(Sims!$A1920:$BO1920,'Entry Builder'!$L$9)&lt;'Entry Builder'!$E$9),--(INDEX(Sims!$A1920:$BO1920,'Entry Builder'!$L$9)&gt;'Entry Builder'!$E$9)))</f>
        <v/>
      </c>
      <c r="D1920">
        <f>IF('Entry Builder'!$N$10=0,1,IF('Entry Builder'!$D$10="Less",--(INDEX(Sims!$A1920:$BO1920,'Entry Builder'!$L$10)&lt;'Entry Builder'!$E$10),--(INDEX(Sims!$A1920:$BO1920,'Entry Builder'!$L$10)&gt;'Entry Builder'!$E$10)))</f>
        <v/>
      </c>
      <c r="E1920">
        <f>IF('Entry Builder'!$N$11=0,1,IF('Entry Builder'!$D$11="Less",--(INDEX(Sims!$A1920:$BO1920,'Entry Builder'!$L$11)&lt;'Entry Builder'!$E$11),--(INDEX(Sims!$A1920:$BO1920,'Entry Builder'!$L$11)&gt;'Entry Builder'!$E$11)))</f>
        <v/>
      </c>
      <c r="F1920">
        <f>IF('Entry Builder'!$N$12=0,1,IF('Entry Builder'!$D$12="Less",--(INDEX(Sims!$A1920:$BO1920,'Entry Builder'!$L$12)&lt;'Entry Builder'!$E$12),--(INDEX(Sims!$A1920:$BO1920,'Entry Builder'!$L$12)&gt;'Entry Builder'!$E$12)))</f>
        <v/>
      </c>
      <c r="G1920">
        <f>6-SUM(A1920:F1920)</f>
        <v/>
      </c>
    </row>
    <row r="1921">
      <c r="A1921">
        <f>IF('Entry Builder'!$N$7=0,1,IF('Entry Builder'!$D$7="Less",--(INDEX(Sims!$A1921:$BO1921,'Entry Builder'!$L$7)&lt;'Entry Builder'!$E$7),--(INDEX(Sims!$A1921:$BO1921,'Entry Builder'!$L$7)&gt;'Entry Builder'!$E$7)))</f>
        <v/>
      </c>
      <c r="B1921">
        <f>IF('Entry Builder'!$N$8=0,1,IF('Entry Builder'!$D$8="Less",--(INDEX(Sims!$A1921:$BO1921,'Entry Builder'!$L$8)&lt;'Entry Builder'!$E$8),--(INDEX(Sims!$A1921:$BO1921,'Entry Builder'!$L$8)&gt;'Entry Builder'!$E$8)))</f>
        <v/>
      </c>
      <c r="C1921">
        <f>IF('Entry Builder'!$N$9=0,1,IF('Entry Builder'!$D$9="Less",--(INDEX(Sims!$A1921:$BO1921,'Entry Builder'!$L$9)&lt;'Entry Builder'!$E$9),--(INDEX(Sims!$A1921:$BO1921,'Entry Builder'!$L$9)&gt;'Entry Builder'!$E$9)))</f>
        <v/>
      </c>
      <c r="D1921">
        <f>IF('Entry Builder'!$N$10=0,1,IF('Entry Builder'!$D$10="Less",--(INDEX(Sims!$A1921:$BO1921,'Entry Builder'!$L$10)&lt;'Entry Builder'!$E$10),--(INDEX(Sims!$A1921:$BO1921,'Entry Builder'!$L$10)&gt;'Entry Builder'!$E$10)))</f>
        <v/>
      </c>
      <c r="E1921">
        <f>IF('Entry Builder'!$N$11=0,1,IF('Entry Builder'!$D$11="Less",--(INDEX(Sims!$A1921:$BO1921,'Entry Builder'!$L$11)&lt;'Entry Builder'!$E$11),--(INDEX(Sims!$A1921:$BO1921,'Entry Builder'!$L$11)&gt;'Entry Builder'!$E$11)))</f>
        <v/>
      </c>
      <c r="F1921">
        <f>IF('Entry Builder'!$N$12=0,1,IF('Entry Builder'!$D$12="Less",--(INDEX(Sims!$A1921:$BO1921,'Entry Builder'!$L$12)&lt;'Entry Builder'!$E$12),--(INDEX(Sims!$A1921:$BO1921,'Entry Builder'!$L$12)&gt;'Entry Builder'!$E$12)))</f>
        <v/>
      </c>
      <c r="G1921">
        <f>6-SUM(A1921:F1921)</f>
        <v/>
      </c>
    </row>
    <row r="1922">
      <c r="A1922">
        <f>IF('Entry Builder'!$N$7=0,1,IF('Entry Builder'!$D$7="Less",--(INDEX(Sims!$A1922:$BO1922,'Entry Builder'!$L$7)&lt;'Entry Builder'!$E$7),--(INDEX(Sims!$A1922:$BO1922,'Entry Builder'!$L$7)&gt;'Entry Builder'!$E$7)))</f>
        <v/>
      </c>
      <c r="B1922">
        <f>IF('Entry Builder'!$N$8=0,1,IF('Entry Builder'!$D$8="Less",--(INDEX(Sims!$A1922:$BO1922,'Entry Builder'!$L$8)&lt;'Entry Builder'!$E$8),--(INDEX(Sims!$A1922:$BO1922,'Entry Builder'!$L$8)&gt;'Entry Builder'!$E$8)))</f>
        <v/>
      </c>
      <c r="C1922">
        <f>IF('Entry Builder'!$N$9=0,1,IF('Entry Builder'!$D$9="Less",--(INDEX(Sims!$A1922:$BO1922,'Entry Builder'!$L$9)&lt;'Entry Builder'!$E$9),--(INDEX(Sims!$A1922:$BO1922,'Entry Builder'!$L$9)&gt;'Entry Builder'!$E$9)))</f>
        <v/>
      </c>
      <c r="D1922">
        <f>IF('Entry Builder'!$N$10=0,1,IF('Entry Builder'!$D$10="Less",--(INDEX(Sims!$A1922:$BO1922,'Entry Builder'!$L$10)&lt;'Entry Builder'!$E$10),--(INDEX(Sims!$A1922:$BO1922,'Entry Builder'!$L$10)&gt;'Entry Builder'!$E$10)))</f>
        <v/>
      </c>
      <c r="E1922">
        <f>IF('Entry Builder'!$N$11=0,1,IF('Entry Builder'!$D$11="Less",--(INDEX(Sims!$A1922:$BO1922,'Entry Builder'!$L$11)&lt;'Entry Builder'!$E$11),--(INDEX(Sims!$A1922:$BO1922,'Entry Builder'!$L$11)&gt;'Entry Builder'!$E$11)))</f>
        <v/>
      </c>
      <c r="F1922">
        <f>IF('Entry Builder'!$N$12=0,1,IF('Entry Builder'!$D$12="Less",--(INDEX(Sims!$A1922:$BO1922,'Entry Builder'!$L$12)&lt;'Entry Builder'!$E$12),--(INDEX(Sims!$A1922:$BO1922,'Entry Builder'!$L$12)&gt;'Entry Builder'!$E$12)))</f>
        <v/>
      </c>
      <c r="G1922">
        <f>6-SUM(A1922:F1922)</f>
        <v/>
      </c>
    </row>
    <row r="1923">
      <c r="A1923">
        <f>IF('Entry Builder'!$N$7=0,1,IF('Entry Builder'!$D$7="Less",--(INDEX(Sims!$A1923:$BO1923,'Entry Builder'!$L$7)&lt;'Entry Builder'!$E$7),--(INDEX(Sims!$A1923:$BO1923,'Entry Builder'!$L$7)&gt;'Entry Builder'!$E$7)))</f>
        <v/>
      </c>
      <c r="B1923">
        <f>IF('Entry Builder'!$N$8=0,1,IF('Entry Builder'!$D$8="Less",--(INDEX(Sims!$A1923:$BO1923,'Entry Builder'!$L$8)&lt;'Entry Builder'!$E$8),--(INDEX(Sims!$A1923:$BO1923,'Entry Builder'!$L$8)&gt;'Entry Builder'!$E$8)))</f>
        <v/>
      </c>
      <c r="C1923">
        <f>IF('Entry Builder'!$N$9=0,1,IF('Entry Builder'!$D$9="Less",--(INDEX(Sims!$A1923:$BO1923,'Entry Builder'!$L$9)&lt;'Entry Builder'!$E$9),--(INDEX(Sims!$A1923:$BO1923,'Entry Builder'!$L$9)&gt;'Entry Builder'!$E$9)))</f>
        <v/>
      </c>
      <c r="D1923">
        <f>IF('Entry Builder'!$N$10=0,1,IF('Entry Builder'!$D$10="Less",--(INDEX(Sims!$A1923:$BO1923,'Entry Builder'!$L$10)&lt;'Entry Builder'!$E$10),--(INDEX(Sims!$A1923:$BO1923,'Entry Builder'!$L$10)&gt;'Entry Builder'!$E$10)))</f>
        <v/>
      </c>
      <c r="E1923">
        <f>IF('Entry Builder'!$N$11=0,1,IF('Entry Builder'!$D$11="Less",--(INDEX(Sims!$A1923:$BO1923,'Entry Builder'!$L$11)&lt;'Entry Builder'!$E$11),--(INDEX(Sims!$A1923:$BO1923,'Entry Builder'!$L$11)&gt;'Entry Builder'!$E$11)))</f>
        <v/>
      </c>
      <c r="F1923">
        <f>IF('Entry Builder'!$N$12=0,1,IF('Entry Builder'!$D$12="Less",--(INDEX(Sims!$A1923:$BO1923,'Entry Builder'!$L$12)&lt;'Entry Builder'!$E$12),--(INDEX(Sims!$A1923:$BO1923,'Entry Builder'!$L$12)&gt;'Entry Builder'!$E$12)))</f>
        <v/>
      </c>
      <c r="G1923">
        <f>6-SUM(A1923:F1923)</f>
        <v/>
      </c>
    </row>
    <row r="1924">
      <c r="A1924">
        <f>IF('Entry Builder'!$N$7=0,1,IF('Entry Builder'!$D$7="Less",--(INDEX(Sims!$A1924:$BO1924,'Entry Builder'!$L$7)&lt;'Entry Builder'!$E$7),--(INDEX(Sims!$A1924:$BO1924,'Entry Builder'!$L$7)&gt;'Entry Builder'!$E$7)))</f>
        <v/>
      </c>
      <c r="B1924">
        <f>IF('Entry Builder'!$N$8=0,1,IF('Entry Builder'!$D$8="Less",--(INDEX(Sims!$A1924:$BO1924,'Entry Builder'!$L$8)&lt;'Entry Builder'!$E$8),--(INDEX(Sims!$A1924:$BO1924,'Entry Builder'!$L$8)&gt;'Entry Builder'!$E$8)))</f>
        <v/>
      </c>
      <c r="C1924">
        <f>IF('Entry Builder'!$N$9=0,1,IF('Entry Builder'!$D$9="Less",--(INDEX(Sims!$A1924:$BO1924,'Entry Builder'!$L$9)&lt;'Entry Builder'!$E$9),--(INDEX(Sims!$A1924:$BO1924,'Entry Builder'!$L$9)&gt;'Entry Builder'!$E$9)))</f>
        <v/>
      </c>
      <c r="D1924">
        <f>IF('Entry Builder'!$N$10=0,1,IF('Entry Builder'!$D$10="Less",--(INDEX(Sims!$A1924:$BO1924,'Entry Builder'!$L$10)&lt;'Entry Builder'!$E$10),--(INDEX(Sims!$A1924:$BO1924,'Entry Builder'!$L$10)&gt;'Entry Builder'!$E$10)))</f>
        <v/>
      </c>
      <c r="E1924">
        <f>IF('Entry Builder'!$N$11=0,1,IF('Entry Builder'!$D$11="Less",--(INDEX(Sims!$A1924:$BO1924,'Entry Builder'!$L$11)&lt;'Entry Builder'!$E$11),--(INDEX(Sims!$A1924:$BO1924,'Entry Builder'!$L$11)&gt;'Entry Builder'!$E$11)))</f>
        <v/>
      </c>
      <c r="F1924">
        <f>IF('Entry Builder'!$N$12=0,1,IF('Entry Builder'!$D$12="Less",--(INDEX(Sims!$A1924:$BO1924,'Entry Builder'!$L$12)&lt;'Entry Builder'!$E$12),--(INDEX(Sims!$A1924:$BO1924,'Entry Builder'!$L$12)&gt;'Entry Builder'!$E$12)))</f>
        <v/>
      </c>
      <c r="G1924">
        <f>6-SUM(A1924:F1924)</f>
        <v/>
      </c>
    </row>
    <row r="1925">
      <c r="A1925">
        <f>IF('Entry Builder'!$N$7=0,1,IF('Entry Builder'!$D$7="Less",--(INDEX(Sims!$A1925:$BO1925,'Entry Builder'!$L$7)&lt;'Entry Builder'!$E$7),--(INDEX(Sims!$A1925:$BO1925,'Entry Builder'!$L$7)&gt;'Entry Builder'!$E$7)))</f>
        <v/>
      </c>
      <c r="B1925">
        <f>IF('Entry Builder'!$N$8=0,1,IF('Entry Builder'!$D$8="Less",--(INDEX(Sims!$A1925:$BO1925,'Entry Builder'!$L$8)&lt;'Entry Builder'!$E$8),--(INDEX(Sims!$A1925:$BO1925,'Entry Builder'!$L$8)&gt;'Entry Builder'!$E$8)))</f>
        <v/>
      </c>
      <c r="C1925">
        <f>IF('Entry Builder'!$N$9=0,1,IF('Entry Builder'!$D$9="Less",--(INDEX(Sims!$A1925:$BO1925,'Entry Builder'!$L$9)&lt;'Entry Builder'!$E$9),--(INDEX(Sims!$A1925:$BO1925,'Entry Builder'!$L$9)&gt;'Entry Builder'!$E$9)))</f>
        <v/>
      </c>
      <c r="D1925">
        <f>IF('Entry Builder'!$N$10=0,1,IF('Entry Builder'!$D$10="Less",--(INDEX(Sims!$A1925:$BO1925,'Entry Builder'!$L$10)&lt;'Entry Builder'!$E$10),--(INDEX(Sims!$A1925:$BO1925,'Entry Builder'!$L$10)&gt;'Entry Builder'!$E$10)))</f>
        <v/>
      </c>
      <c r="E1925">
        <f>IF('Entry Builder'!$N$11=0,1,IF('Entry Builder'!$D$11="Less",--(INDEX(Sims!$A1925:$BO1925,'Entry Builder'!$L$11)&lt;'Entry Builder'!$E$11),--(INDEX(Sims!$A1925:$BO1925,'Entry Builder'!$L$11)&gt;'Entry Builder'!$E$11)))</f>
        <v/>
      </c>
      <c r="F1925">
        <f>IF('Entry Builder'!$N$12=0,1,IF('Entry Builder'!$D$12="Less",--(INDEX(Sims!$A1925:$BO1925,'Entry Builder'!$L$12)&lt;'Entry Builder'!$E$12),--(INDEX(Sims!$A1925:$BO1925,'Entry Builder'!$L$12)&gt;'Entry Builder'!$E$12)))</f>
        <v/>
      </c>
      <c r="G1925">
        <f>6-SUM(A1925:F1925)</f>
        <v/>
      </c>
    </row>
    <row r="1926">
      <c r="A1926">
        <f>IF('Entry Builder'!$N$7=0,1,IF('Entry Builder'!$D$7="Less",--(INDEX(Sims!$A1926:$BO1926,'Entry Builder'!$L$7)&lt;'Entry Builder'!$E$7),--(INDEX(Sims!$A1926:$BO1926,'Entry Builder'!$L$7)&gt;'Entry Builder'!$E$7)))</f>
        <v/>
      </c>
      <c r="B1926">
        <f>IF('Entry Builder'!$N$8=0,1,IF('Entry Builder'!$D$8="Less",--(INDEX(Sims!$A1926:$BO1926,'Entry Builder'!$L$8)&lt;'Entry Builder'!$E$8),--(INDEX(Sims!$A1926:$BO1926,'Entry Builder'!$L$8)&gt;'Entry Builder'!$E$8)))</f>
        <v/>
      </c>
      <c r="C1926">
        <f>IF('Entry Builder'!$N$9=0,1,IF('Entry Builder'!$D$9="Less",--(INDEX(Sims!$A1926:$BO1926,'Entry Builder'!$L$9)&lt;'Entry Builder'!$E$9),--(INDEX(Sims!$A1926:$BO1926,'Entry Builder'!$L$9)&gt;'Entry Builder'!$E$9)))</f>
        <v/>
      </c>
      <c r="D1926">
        <f>IF('Entry Builder'!$N$10=0,1,IF('Entry Builder'!$D$10="Less",--(INDEX(Sims!$A1926:$BO1926,'Entry Builder'!$L$10)&lt;'Entry Builder'!$E$10),--(INDEX(Sims!$A1926:$BO1926,'Entry Builder'!$L$10)&gt;'Entry Builder'!$E$10)))</f>
        <v/>
      </c>
      <c r="E1926">
        <f>IF('Entry Builder'!$N$11=0,1,IF('Entry Builder'!$D$11="Less",--(INDEX(Sims!$A1926:$BO1926,'Entry Builder'!$L$11)&lt;'Entry Builder'!$E$11),--(INDEX(Sims!$A1926:$BO1926,'Entry Builder'!$L$11)&gt;'Entry Builder'!$E$11)))</f>
        <v/>
      </c>
      <c r="F1926">
        <f>IF('Entry Builder'!$N$12=0,1,IF('Entry Builder'!$D$12="Less",--(INDEX(Sims!$A1926:$BO1926,'Entry Builder'!$L$12)&lt;'Entry Builder'!$E$12),--(INDEX(Sims!$A1926:$BO1926,'Entry Builder'!$L$12)&gt;'Entry Builder'!$E$12)))</f>
        <v/>
      </c>
      <c r="G1926">
        <f>6-SUM(A1926:F1926)</f>
        <v/>
      </c>
    </row>
    <row r="1927">
      <c r="A1927">
        <f>IF('Entry Builder'!$N$7=0,1,IF('Entry Builder'!$D$7="Less",--(INDEX(Sims!$A1927:$BO1927,'Entry Builder'!$L$7)&lt;'Entry Builder'!$E$7),--(INDEX(Sims!$A1927:$BO1927,'Entry Builder'!$L$7)&gt;'Entry Builder'!$E$7)))</f>
        <v/>
      </c>
      <c r="B1927">
        <f>IF('Entry Builder'!$N$8=0,1,IF('Entry Builder'!$D$8="Less",--(INDEX(Sims!$A1927:$BO1927,'Entry Builder'!$L$8)&lt;'Entry Builder'!$E$8),--(INDEX(Sims!$A1927:$BO1927,'Entry Builder'!$L$8)&gt;'Entry Builder'!$E$8)))</f>
        <v/>
      </c>
      <c r="C1927">
        <f>IF('Entry Builder'!$N$9=0,1,IF('Entry Builder'!$D$9="Less",--(INDEX(Sims!$A1927:$BO1927,'Entry Builder'!$L$9)&lt;'Entry Builder'!$E$9),--(INDEX(Sims!$A1927:$BO1927,'Entry Builder'!$L$9)&gt;'Entry Builder'!$E$9)))</f>
        <v/>
      </c>
      <c r="D1927">
        <f>IF('Entry Builder'!$N$10=0,1,IF('Entry Builder'!$D$10="Less",--(INDEX(Sims!$A1927:$BO1927,'Entry Builder'!$L$10)&lt;'Entry Builder'!$E$10),--(INDEX(Sims!$A1927:$BO1927,'Entry Builder'!$L$10)&gt;'Entry Builder'!$E$10)))</f>
        <v/>
      </c>
      <c r="E1927">
        <f>IF('Entry Builder'!$N$11=0,1,IF('Entry Builder'!$D$11="Less",--(INDEX(Sims!$A1927:$BO1927,'Entry Builder'!$L$11)&lt;'Entry Builder'!$E$11),--(INDEX(Sims!$A1927:$BO1927,'Entry Builder'!$L$11)&gt;'Entry Builder'!$E$11)))</f>
        <v/>
      </c>
      <c r="F1927">
        <f>IF('Entry Builder'!$N$12=0,1,IF('Entry Builder'!$D$12="Less",--(INDEX(Sims!$A1927:$BO1927,'Entry Builder'!$L$12)&lt;'Entry Builder'!$E$12),--(INDEX(Sims!$A1927:$BO1927,'Entry Builder'!$L$12)&gt;'Entry Builder'!$E$12)))</f>
        <v/>
      </c>
      <c r="G1927">
        <f>6-SUM(A1927:F1927)</f>
        <v/>
      </c>
    </row>
    <row r="1928">
      <c r="A1928">
        <f>IF('Entry Builder'!$N$7=0,1,IF('Entry Builder'!$D$7="Less",--(INDEX(Sims!$A1928:$BO1928,'Entry Builder'!$L$7)&lt;'Entry Builder'!$E$7),--(INDEX(Sims!$A1928:$BO1928,'Entry Builder'!$L$7)&gt;'Entry Builder'!$E$7)))</f>
        <v/>
      </c>
      <c r="B1928">
        <f>IF('Entry Builder'!$N$8=0,1,IF('Entry Builder'!$D$8="Less",--(INDEX(Sims!$A1928:$BO1928,'Entry Builder'!$L$8)&lt;'Entry Builder'!$E$8),--(INDEX(Sims!$A1928:$BO1928,'Entry Builder'!$L$8)&gt;'Entry Builder'!$E$8)))</f>
        <v/>
      </c>
      <c r="C1928">
        <f>IF('Entry Builder'!$N$9=0,1,IF('Entry Builder'!$D$9="Less",--(INDEX(Sims!$A1928:$BO1928,'Entry Builder'!$L$9)&lt;'Entry Builder'!$E$9),--(INDEX(Sims!$A1928:$BO1928,'Entry Builder'!$L$9)&gt;'Entry Builder'!$E$9)))</f>
        <v/>
      </c>
      <c r="D1928">
        <f>IF('Entry Builder'!$N$10=0,1,IF('Entry Builder'!$D$10="Less",--(INDEX(Sims!$A1928:$BO1928,'Entry Builder'!$L$10)&lt;'Entry Builder'!$E$10),--(INDEX(Sims!$A1928:$BO1928,'Entry Builder'!$L$10)&gt;'Entry Builder'!$E$10)))</f>
        <v/>
      </c>
      <c r="E1928">
        <f>IF('Entry Builder'!$N$11=0,1,IF('Entry Builder'!$D$11="Less",--(INDEX(Sims!$A1928:$BO1928,'Entry Builder'!$L$11)&lt;'Entry Builder'!$E$11),--(INDEX(Sims!$A1928:$BO1928,'Entry Builder'!$L$11)&gt;'Entry Builder'!$E$11)))</f>
        <v/>
      </c>
      <c r="F1928">
        <f>IF('Entry Builder'!$N$12=0,1,IF('Entry Builder'!$D$12="Less",--(INDEX(Sims!$A1928:$BO1928,'Entry Builder'!$L$12)&lt;'Entry Builder'!$E$12),--(INDEX(Sims!$A1928:$BO1928,'Entry Builder'!$L$12)&gt;'Entry Builder'!$E$12)))</f>
        <v/>
      </c>
      <c r="G1928">
        <f>6-SUM(A1928:F1928)</f>
        <v/>
      </c>
    </row>
    <row r="1929">
      <c r="A1929">
        <f>IF('Entry Builder'!$N$7=0,1,IF('Entry Builder'!$D$7="Less",--(INDEX(Sims!$A1929:$BO1929,'Entry Builder'!$L$7)&lt;'Entry Builder'!$E$7),--(INDEX(Sims!$A1929:$BO1929,'Entry Builder'!$L$7)&gt;'Entry Builder'!$E$7)))</f>
        <v/>
      </c>
      <c r="B1929">
        <f>IF('Entry Builder'!$N$8=0,1,IF('Entry Builder'!$D$8="Less",--(INDEX(Sims!$A1929:$BO1929,'Entry Builder'!$L$8)&lt;'Entry Builder'!$E$8),--(INDEX(Sims!$A1929:$BO1929,'Entry Builder'!$L$8)&gt;'Entry Builder'!$E$8)))</f>
        <v/>
      </c>
      <c r="C1929">
        <f>IF('Entry Builder'!$N$9=0,1,IF('Entry Builder'!$D$9="Less",--(INDEX(Sims!$A1929:$BO1929,'Entry Builder'!$L$9)&lt;'Entry Builder'!$E$9),--(INDEX(Sims!$A1929:$BO1929,'Entry Builder'!$L$9)&gt;'Entry Builder'!$E$9)))</f>
        <v/>
      </c>
      <c r="D1929">
        <f>IF('Entry Builder'!$N$10=0,1,IF('Entry Builder'!$D$10="Less",--(INDEX(Sims!$A1929:$BO1929,'Entry Builder'!$L$10)&lt;'Entry Builder'!$E$10),--(INDEX(Sims!$A1929:$BO1929,'Entry Builder'!$L$10)&gt;'Entry Builder'!$E$10)))</f>
        <v/>
      </c>
      <c r="E1929">
        <f>IF('Entry Builder'!$N$11=0,1,IF('Entry Builder'!$D$11="Less",--(INDEX(Sims!$A1929:$BO1929,'Entry Builder'!$L$11)&lt;'Entry Builder'!$E$11),--(INDEX(Sims!$A1929:$BO1929,'Entry Builder'!$L$11)&gt;'Entry Builder'!$E$11)))</f>
        <v/>
      </c>
      <c r="F1929">
        <f>IF('Entry Builder'!$N$12=0,1,IF('Entry Builder'!$D$12="Less",--(INDEX(Sims!$A1929:$BO1929,'Entry Builder'!$L$12)&lt;'Entry Builder'!$E$12),--(INDEX(Sims!$A1929:$BO1929,'Entry Builder'!$L$12)&gt;'Entry Builder'!$E$12)))</f>
        <v/>
      </c>
      <c r="G1929">
        <f>6-SUM(A1929:F1929)</f>
        <v/>
      </c>
    </row>
    <row r="1930">
      <c r="A1930">
        <f>IF('Entry Builder'!$N$7=0,1,IF('Entry Builder'!$D$7="Less",--(INDEX(Sims!$A1930:$BO1930,'Entry Builder'!$L$7)&lt;'Entry Builder'!$E$7),--(INDEX(Sims!$A1930:$BO1930,'Entry Builder'!$L$7)&gt;'Entry Builder'!$E$7)))</f>
        <v/>
      </c>
      <c r="B1930">
        <f>IF('Entry Builder'!$N$8=0,1,IF('Entry Builder'!$D$8="Less",--(INDEX(Sims!$A1930:$BO1930,'Entry Builder'!$L$8)&lt;'Entry Builder'!$E$8),--(INDEX(Sims!$A1930:$BO1930,'Entry Builder'!$L$8)&gt;'Entry Builder'!$E$8)))</f>
        <v/>
      </c>
      <c r="C1930">
        <f>IF('Entry Builder'!$N$9=0,1,IF('Entry Builder'!$D$9="Less",--(INDEX(Sims!$A1930:$BO1930,'Entry Builder'!$L$9)&lt;'Entry Builder'!$E$9),--(INDEX(Sims!$A1930:$BO1930,'Entry Builder'!$L$9)&gt;'Entry Builder'!$E$9)))</f>
        <v/>
      </c>
      <c r="D1930">
        <f>IF('Entry Builder'!$N$10=0,1,IF('Entry Builder'!$D$10="Less",--(INDEX(Sims!$A1930:$BO1930,'Entry Builder'!$L$10)&lt;'Entry Builder'!$E$10),--(INDEX(Sims!$A1930:$BO1930,'Entry Builder'!$L$10)&gt;'Entry Builder'!$E$10)))</f>
        <v/>
      </c>
      <c r="E1930">
        <f>IF('Entry Builder'!$N$11=0,1,IF('Entry Builder'!$D$11="Less",--(INDEX(Sims!$A1930:$BO1930,'Entry Builder'!$L$11)&lt;'Entry Builder'!$E$11),--(INDEX(Sims!$A1930:$BO1930,'Entry Builder'!$L$11)&gt;'Entry Builder'!$E$11)))</f>
        <v/>
      </c>
      <c r="F1930">
        <f>IF('Entry Builder'!$N$12=0,1,IF('Entry Builder'!$D$12="Less",--(INDEX(Sims!$A1930:$BO1930,'Entry Builder'!$L$12)&lt;'Entry Builder'!$E$12),--(INDEX(Sims!$A1930:$BO1930,'Entry Builder'!$L$12)&gt;'Entry Builder'!$E$12)))</f>
        <v/>
      </c>
      <c r="G1930">
        <f>6-SUM(A1930:F1930)</f>
        <v/>
      </c>
    </row>
    <row r="1931">
      <c r="A1931">
        <f>IF('Entry Builder'!$N$7=0,1,IF('Entry Builder'!$D$7="Less",--(INDEX(Sims!$A1931:$BO1931,'Entry Builder'!$L$7)&lt;'Entry Builder'!$E$7),--(INDEX(Sims!$A1931:$BO1931,'Entry Builder'!$L$7)&gt;'Entry Builder'!$E$7)))</f>
        <v/>
      </c>
      <c r="B1931">
        <f>IF('Entry Builder'!$N$8=0,1,IF('Entry Builder'!$D$8="Less",--(INDEX(Sims!$A1931:$BO1931,'Entry Builder'!$L$8)&lt;'Entry Builder'!$E$8),--(INDEX(Sims!$A1931:$BO1931,'Entry Builder'!$L$8)&gt;'Entry Builder'!$E$8)))</f>
        <v/>
      </c>
      <c r="C1931">
        <f>IF('Entry Builder'!$N$9=0,1,IF('Entry Builder'!$D$9="Less",--(INDEX(Sims!$A1931:$BO1931,'Entry Builder'!$L$9)&lt;'Entry Builder'!$E$9),--(INDEX(Sims!$A1931:$BO1931,'Entry Builder'!$L$9)&gt;'Entry Builder'!$E$9)))</f>
        <v/>
      </c>
      <c r="D1931">
        <f>IF('Entry Builder'!$N$10=0,1,IF('Entry Builder'!$D$10="Less",--(INDEX(Sims!$A1931:$BO1931,'Entry Builder'!$L$10)&lt;'Entry Builder'!$E$10),--(INDEX(Sims!$A1931:$BO1931,'Entry Builder'!$L$10)&gt;'Entry Builder'!$E$10)))</f>
        <v/>
      </c>
      <c r="E1931">
        <f>IF('Entry Builder'!$N$11=0,1,IF('Entry Builder'!$D$11="Less",--(INDEX(Sims!$A1931:$BO1931,'Entry Builder'!$L$11)&lt;'Entry Builder'!$E$11),--(INDEX(Sims!$A1931:$BO1931,'Entry Builder'!$L$11)&gt;'Entry Builder'!$E$11)))</f>
        <v/>
      </c>
      <c r="F1931">
        <f>IF('Entry Builder'!$N$12=0,1,IF('Entry Builder'!$D$12="Less",--(INDEX(Sims!$A1931:$BO1931,'Entry Builder'!$L$12)&lt;'Entry Builder'!$E$12),--(INDEX(Sims!$A1931:$BO1931,'Entry Builder'!$L$12)&gt;'Entry Builder'!$E$12)))</f>
        <v/>
      </c>
      <c r="G1931">
        <f>6-SUM(A1931:F1931)</f>
        <v/>
      </c>
    </row>
    <row r="1932">
      <c r="A1932">
        <f>IF('Entry Builder'!$N$7=0,1,IF('Entry Builder'!$D$7="Less",--(INDEX(Sims!$A1932:$BO1932,'Entry Builder'!$L$7)&lt;'Entry Builder'!$E$7),--(INDEX(Sims!$A1932:$BO1932,'Entry Builder'!$L$7)&gt;'Entry Builder'!$E$7)))</f>
        <v/>
      </c>
      <c r="B1932">
        <f>IF('Entry Builder'!$N$8=0,1,IF('Entry Builder'!$D$8="Less",--(INDEX(Sims!$A1932:$BO1932,'Entry Builder'!$L$8)&lt;'Entry Builder'!$E$8),--(INDEX(Sims!$A1932:$BO1932,'Entry Builder'!$L$8)&gt;'Entry Builder'!$E$8)))</f>
        <v/>
      </c>
      <c r="C1932">
        <f>IF('Entry Builder'!$N$9=0,1,IF('Entry Builder'!$D$9="Less",--(INDEX(Sims!$A1932:$BO1932,'Entry Builder'!$L$9)&lt;'Entry Builder'!$E$9),--(INDEX(Sims!$A1932:$BO1932,'Entry Builder'!$L$9)&gt;'Entry Builder'!$E$9)))</f>
        <v/>
      </c>
      <c r="D1932">
        <f>IF('Entry Builder'!$N$10=0,1,IF('Entry Builder'!$D$10="Less",--(INDEX(Sims!$A1932:$BO1932,'Entry Builder'!$L$10)&lt;'Entry Builder'!$E$10),--(INDEX(Sims!$A1932:$BO1932,'Entry Builder'!$L$10)&gt;'Entry Builder'!$E$10)))</f>
        <v/>
      </c>
      <c r="E1932">
        <f>IF('Entry Builder'!$N$11=0,1,IF('Entry Builder'!$D$11="Less",--(INDEX(Sims!$A1932:$BO1932,'Entry Builder'!$L$11)&lt;'Entry Builder'!$E$11),--(INDEX(Sims!$A1932:$BO1932,'Entry Builder'!$L$11)&gt;'Entry Builder'!$E$11)))</f>
        <v/>
      </c>
      <c r="F1932">
        <f>IF('Entry Builder'!$N$12=0,1,IF('Entry Builder'!$D$12="Less",--(INDEX(Sims!$A1932:$BO1932,'Entry Builder'!$L$12)&lt;'Entry Builder'!$E$12),--(INDEX(Sims!$A1932:$BO1932,'Entry Builder'!$L$12)&gt;'Entry Builder'!$E$12)))</f>
        <v/>
      </c>
      <c r="G1932">
        <f>6-SUM(A1932:F1932)</f>
        <v/>
      </c>
    </row>
    <row r="1933">
      <c r="A1933">
        <f>IF('Entry Builder'!$N$7=0,1,IF('Entry Builder'!$D$7="Less",--(INDEX(Sims!$A1933:$BO1933,'Entry Builder'!$L$7)&lt;'Entry Builder'!$E$7),--(INDEX(Sims!$A1933:$BO1933,'Entry Builder'!$L$7)&gt;'Entry Builder'!$E$7)))</f>
        <v/>
      </c>
      <c r="B1933">
        <f>IF('Entry Builder'!$N$8=0,1,IF('Entry Builder'!$D$8="Less",--(INDEX(Sims!$A1933:$BO1933,'Entry Builder'!$L$8)&lt;'Entry Builder'!$E$8),--(INDEX(Sims!$A1933:$BO1933,'Entry Builder'!$L$8)&gt;'Entry Builder'!$E$8)))</f>
        <v/>
      </c>
      <c r="C1933">
        <f>IF('Entry Builder'!$N$9=0,1,IF('Entry Builder'!$D$9="Less",--(INDEX(Sims!$A1933:$BO1933,'Entry Builder'!$L$9)&lt;'Entry Builder'!$E$9),--(INDEX(Sims!$A1933:$BO1933,'Entry Builder'!$L$9)&gt;'Entry Builder'!$E$9)))</f>
        <v/>
      </c>
      <c r="D1933">
        <f>IF('Entry Builder'!$N$10=0,1,IF('Entry Builder'!$D$10="Less",--(INDEX(Sims!$A1933:$BO1933,'Entry Builder'!$L$10)&lt;'Entry Builder'!$E$10),--(INDEX(Sims!$A1933:$BO1933,'Entry Builder'!$L$10)&gt;'Entry Builder'!$E$10)))</f>
        <v/>
      </c>
      <c r="E1933">
        <f>IF('Entry Builder'!$N$11=0,1,IF('Entry Builder'!$D$11="Less",--(INDEX(Sims!$A1933:$BO1933,'Entry Builder'!$L$11)&lt;'Entry Builder'!$E$11),--(INDEX(Sims!$A1933:$BO1933,'Entry Builder'!$L$11)&gt;'Entry Builder'!$E$11)))</f>
        <v/>
      </c>
      <c r="F1933">
        <f>IF('Entry Builder'!$N$12=0,1,IF('Entry Builder'!$D$12="Less",--(INDEX(Sims!$A1933:$BO1933,'Entry Builder'!$L$12)&lt;'Entry Builder'!$E$12),--(INDEX(Sims!$A1933:$BO1933,'Entry Builder'!$L$12)&gt;'Entry Builder'!$E$12)))</f>
        <v/>
      </c>
      <c r="G1933">
        <f>6-SUM(A1933:F1933)</f>
        <v/>
      </c>
    </row>
    <row r="1934">
      <c r="A1934">
        <f>IF('Entry Builder'!$N$7=0,1,IF('Entry Builder'!$D$7="Less",--(INDEX(Sims!$A1934:$BO1934,'Entry Builder'!$L$7)&lt;'Entry Builder'!$E$7),--(INDEX(Sims!$A1934:$BO1934,'Entry Builder'!$L$7)&gt;'Entry Builder'!$E$7)))</f>
        <v/>
      </c>
      <c r="B1934">
        <f>IF('Entry Builder'!$N$8=0,1,IF('Entry Builder'!$D$8="Less",--(INDEX(Sims!$A1934:$BO1934,'Entry Builder'!$L$8)&lt;'Entry Builder'!$E$8),--(INDEX(Sims!$A1934:$BO1934,'Entry Builder'!$L$8)&gt;'Entry Builder'!$E$8)))</f>
        <v/>
      </c>
      <c r="C1934">
        <f>IF('Entry Builder'!$N$9=0,1,IF('Entry Builder'!$D$9="Less",--(INDEX(Sims!$A1934:$BO1934,'Entry Builder'!$L$9)&lt;'Entry Builder'!$E$9),--(INDEX(Sims!$A1934:$BO1934,'Entry Builder'!$L$9)&gt;'Entry Builder'!$E$9)))</f>
        <v/>
      </c>
      <c r="D1934">
        <f>IF('Entry Builder'!$N$10=0,1,IF('Entry Builder'!$D$10="Less",--(INDEX(Sims!$A1934:$BO1934,'Entry Builder'!$L$10)&lt;'Entry Builder'!$E$10),--(INDEX(Sims!$A1934:$BO1934,'Entry Builder'!$L$10)&gt;'Entry Builder'!$E$10)))</f>
        <v/>
      </c>
      <c r="E1934">
        <f>IF('Entry Builder'!$N$11=0,1,IF('Entry Builder'!$D$11="Less",--(INDEX(Sims!$A1934:$BO1934,'Entry Builder'!$L$11)&lt;'Entry Builder'!$E$11),--(INDEX(Sims!$A1934:$BO1934,'Entry Builder'!$L$11)&gt;'Entry Builder'!$E$11)))</f>
        <v/>
      </c>
      <c r="F1934">
        <f>IF('Entry Builder'!$N$12=0,1,IF('Entry Builder'!$D$12="Less",--(INDEX(Sims!$A1934:$BO1934,'Entry Builder'!$L$12)&lt;'Entry Builder'!$E$12),--(INDEX(Sims!$A1934:$BO1934,'Entry Builder'!$L$12)&gt;'Entry Builder'!$E$12)))</f>
        <v/>
      </c>
      <c r="G1934">
        <f>6-SUM(A1934:F1934)</f>
        <v/>
      </c>
    </row>
    <row r="1935">
      <c r="A1935">
        <f>IF('Entry Builder'!$N$7=0,1,IF('Entry Builder'!$D$7="Less",--(INDEX(Sims!$A1935:$BO1935,'Entry Builder'!$L$7)&lt;'Entry Builder'!$E$7),--(INDEX(Sims!$A1935:$BO1935,'Entry Builder'!$L$7)&gt;'Entry Builder'!$E$7)))</f>
        <v/>
      </c>
      <c r="B1935">
        <f>IF('Entry Builder'!$N$8=0,1,IF('Entry Builder'!$D$8="Less",--(INDEX(Sims!$A1935:$BO1935,'Entry Builder'!$L$8)&lt;'Entry Builder'!$E$8),--(INDEX(Sims!$A1935:$BO1935,'Entry Builder'!$L$8)&gt;'Entry Builder'!$E$8)))</f>
        <v/>
      </c>
      <c r="C1935">
        <f>IF('Entry Builder'!$N$9=0,1,IF('Entry Builder'!$D$9="Less",--(INDEX(Sims!$A1935:$BO1935,'Entry Builder'!$L$9)&lt;'Entry Builder'!$E$9),--(INDEX(Sims!$A1935:$BO1935,'Entry Builder'!$L$9)&gt;'Entry Builder'!$E$9)))</f>
        <v/>
      </c>
      <c r="D1935">
        <f>IF('Entry Builder'!$N$10=0,1,IF('Entry Builder'!$D$10="Less",--(INDEX(Sims!$A1935:$BO1935,'Entry Builder'!$L$10)&lt;'Entry Builder'!$E$10),--(INDEX(Sims!$A1935:$BO1935,'Entry Builder'!$L$10)&gt;'Entry Builder'!$E$10)))</f>
        <v/>
      </c>
      <c r="E1935">
        <f>IF('Entry Builder'!$N$11=0,1,IF('Entry Builder'!$D$11="Less",--(INDEX(Sims!$A1935:$BO1935,'Entry Builder'!$L$11)&lt;'Entry Builder'!$E$11),--(INDEX(Sims!$A1935:$BO1935,'Entry Builder'!$L$11)&gt;'Entry Builder'!$E$11)))</f>
        <v/>
      </c>
      <c r="F1935">
        <f>IF('Entry Builder'!$N$12=0,1,IF('Entry Builder'!$D$12="Less",--(INDEX(Sims!$A1935:$BO1935,'Entry Builder'!$L$12)&lt;'Entry Builder'!$E$12),--(INDEX(Sims!$A1935:$BO1935,'Entry Builder'!$L$12)&gt;'Entry Builder'!$E$12)))</f>
        <v/>
      </c>
      <c r="G1935">
        <f>6-SUM(A1935:F1935)</f>
        <v/>
      </c>
    </row>
    <row r="1936">
      <c r="A1936">
        <f>IF('Entry Builder'!$N$7=0,1,IF('Entry Builder'!$D$7="Less",--(INDEX(Sims!$A1936:$BO1936,'Entry Builder'!$L$7)&lt;'Entry Builder'!$E$7),--(INDEX(Sims!$A1936:$BO1936,'Entry Builder'!$L$7)&gt;'Entry Builder'!$E$7)))</f>
        <v/>
      </c>
      <c r="B1936">
        <f>IF('Entry Builder'!$N$8=0,1,IF('Entry Builder'!$D$8="Less",--(INDEX(Sims!$A1936:$BO1936,'Entry Builder'!$L$8)&lt;'Entry Builder'!$E$8),--(INDEX(Sims!$A1936:$BO1936,'Entry Builder'!$L$8)&gt;'Entry Builder'!$E$8)))</f>
        <v/>
      </c>
      <c r="C1936">
        <f>IF('Entry Builder'!$N$9=0,1,IF('Entry Builder'!$D$9="Less",--(INDEX(Sims!$A1936:$BO1936,'Entry Builder'!$L$9)&lt;'Entry Builder'!$E$9),--(INDEX(Sims!$A1936:$BO1936,'Entry Builder'!$L$9)&gt;'Entry Builder'!$E$9)))</f>
        <v/>
      </c>
      <c r="D1936">
        <f>IF('Entry Builder'!$N$10=0,1,IF('Entry Builder'!$D$10="Less",--(INDEX(Sims!$A1936:$BO1936,'Entry Builder'!$L$10)&lt;'Entry Builder'!$E$10),--(INDEX(Sims!$A1936:$BO1936,'Entry Builder'!$L$10)&gt;'Entry Builder'!$E$10)))</f>
        <v/>
      </c>
      <c r="E1936">
        <f>IF('Entry Builder'!$N$11=0,1,IF('Entry Builder'!$D$11="Less",--(INDEX(Sims!$A1936:$BO1936,'Entry Builder'!$L$11)&lt;'Entry Builder'!$E$11),--(INDEX(Sims!$A1936:$BO1936,'Entry Builder'!$L$11)&gt;'Entry Builder'!$E$11)))</f>
        <v/>
      </c>
      <c r="F1936">
        <f>IF('Entry Builder'!$N$12=0,1,IF('Entry Builder'!$D$12="Less",--(INDEX(Sims!$A1936:$BO1936,'Entry Builder'!$L$12)&lt;'Entry Builder'!$E$12),--(INDEX(Sims!$A1936:$BO1936,'Entry Builder'!$L$12)&gt;'Entry Builder'!$E$12)))</f>
        <v/>
      </c>
      <c r="G1936">
        <f>6-SUM(A1936:F1936)</f>
        <v/>
      </c>
    </row>
    <row r="1937">
      <c r="A1937">
        <f>IF('Entry Builder'!$N$7=0,1,IF('Entry Builder'!$D$7="Less",--(INDEX(Sims!$A1937:$BO1937,'Entry Builder'!$L$7)&lt;'Entry Builder'!$E$7),--(INDEX(Sims!$A1937:$BO1937,'Entry Builder'!$L$7)&gt;'Entry Builder'!$E$7)))</f>
        <v/>
      </c>
      <c r="B1937">
        <f>IF('Entry Builder'!$N$8=0,1,IF('Entry Builder'!$D$8="Less",--(INDEX(Sims!$A1937:$BO1937,'Entry Builder'!$L$8)&lt;'Entry Builder'!$E$8),--(INDEX(Sims!$A1937:$BO1937,'Entry Builder'!$L$8)&gt;'Entry Builder'!$E$8)))</f>
        <v/>
      </c>
      <c r="C1937">
        <f>IF('Entry Builder'!$N$9=0,1,IF('Entry Builder'!$D$9="Less",--(INDEX(Sims!$A1937:$BO1937,'Entry Builder'!$L$9)&lt;'Entry Builder'!$E$9),--(INDEX(Sims!$A1937:$BO1937,'Entry Builder'!$L$9)&gt;'Entry Builder'!$E$9)))</f>
        <v/>
      </c>
      <c r="D1937">
        <f>IF('Entry Builder'!$N$10=0,1,IF('Entry Builder'!$D$10="Less",--(INDEX(Sims!$A1937:$BO1937,'Entry Builder'!$L$10)&lt;'Entry Builder'!$E$10),--(INDEX(Sims!$A1937:$BO1937,'Entry Builder'!$L$10)&gt;'Entry Builder'!$E$10)))</f>
        <v/>
      </c>
      <c r="E1937">
        <f>IF('Entry Builder'!$N$11=0,1,IF('Entry Builder'!$D$11="Less",--(INDEX(Sims!$A1937:$BO1937,'Entry Builder'!$L$11)&lt;'Entry Builder'!$E$11),--(INDEX(Sims!$A1937:$BO1937,'Entry Builder'!$L$11)&gt;'Entry Builder'!$E$11)))</f>
        <v/>
      </c>
      <c r="F1937">
        <f>IF('Entry Builder'!$N$12=0,1,IF('Entry Builder'!$D$12="Less",--(INDEX(Sims!$A1937:$BO1937,'Entry Builder'!$L$12)&lt;'Entry Builder'!$E$12),--(INDEX(Sims!$A1937:$BO1937,'Entry Builder'!$L$12)&gt;'Entry Builder'!$E$12)))</f>
        <v/>
      </c>
      <c r="G1937">
        <f>6-SUM(A1937:F1937)</f>
        <v/>
      </c>
    </row>
    <row r="1938">
      <c r="A1938">
        <f>IF('Entry Builder'!$N$7=0,1,IF('Entry Builder'!$D$7="Less",--(INDEX(Sims!$A1938:$BO1938,'Entry Builder'!$L$7)&lt;'Entry Builder'!$E$7),--(INDEX(Sims!$A1938:$BO1938,'Entry Builder'!$L$7)&gt;'Entry Builder'!$E$7)))</f>
        <v/>
      </c>
      <c r="B1938">
        <f>IF('Entry Builder'!$N$8=0,1,IF('Entry Builder'!$D$8="Less",--(INDEX(Sims!$A1938:$BO1938,'Entry Builder'!$L$8)&lt;'Entry Builder'!$E$8),--(INDEX(Sims!$A1938:$BO1938,'Entry Builder'!$L$8)&gt;'Entry Builder'!$E$8)))</f>
        <v/>
      </c>
      <c r="C1938">
        <f>IF('Entry Builder'!$N$9=0,1,IF('Entry Builder'!$D$9="Less",--(INDEX(Sims!$A1938:$BO1938,'Entry Builder'!$L$9)&lt;'Entry Builder'!$E$9),--(INDEX(Sims!$A1938:$BO1938,'Entry Builder'!$L$9)&gt;'Entry Builder'!$E$9)))</f>
        <v/>
      </c>
      <c r="D1938">
        <f>IF('Entry Builder'!$N$10=0,1,IF('Entry Builder'!$D$10="Less",--(INDEX(Sims!$A1938:$BO1938,'Entry Builder'!$L$10)&lt;'Entry Builder'!$E$10),--(INDEX(Sims!$A1938:$BO1938,'Entry Builder'!$L$10)&gt;'Entry Builder'!$E$10)))</f>
        <v/>
      </c>
      <c r="E1938">
        <f>IF('Entry Builder'!$N$11=0,1,IF('Entry Builder'!$D$11="Less",--(INDEX(Sims!$A1938:$BO1938,'Entry Builder'!$L$11)&lt;'Entry Builder'!$E$11),--(INDEX(Sims!$A1938:$BO1938,'Entry Builder'!$L$11)&gt;'Entry Builder'!$E$11)))</f>
        <v/>
      </c>
      <c r="F1938">
        <f>IF('Entry Builder'!$N$12=0,1,IF('Entry Builder'!$D$12="Less",--(INDEX(Sims!$A1938:$BO1938,'Entry Builder'!$L$12)&lt;'Entry Builder'!$E$12),--(INDEX(Sims!$A1938:$BO1938,'Entry Builder'!$L$12)&gt;'Entry Builder'!$E$12)))</f>
        <v/>
      </c>
      <c r="G1938">
        <f>6-SUM(A1938:F1938)</f>
        <v/>
      </c>
    </row>
    <row r="1939">
      <c r="A1939">
        <f>IF('Entry Builder'!$N$7=0,1,IF('Entry Builder'!$D$7="Less",--(INDEX(Sims!$A1939:$BO1939,'Entry Builder'!$L$7)&lt;'Entry Builder'!$E$7),--(INDEX(Sims!$A1939:$BO1939,'Entry Builder'!$L$7)&gt;'Entry Builder'!$E$7)))</f>
        <v/>
      </c>
      <c r="B1939">
        <f>IF('Entry Builder'!$N$8=0,1,IF('Entry Builder'!$D$8="Less",--(INDEX(Sims!$A1939:$BO1939,'Entry Builder'!$L$8)&lt;'Entry Builder'!$E$8),--(INDEX(Sims!$A1939:$BO1939,'Entry Builder'!$L$8)&gt;'Entry Builder'!$E$8)))</f>
        <v/>
      </c>
      <c r="C1939">
        <f>IF('Entry Builder'!$N$9=0,1,IF('Entry Builder'!$D$9="Less",--(INDEX(Sims!$A1939:$BO1939,'Entry Builder'!$L$9)&lt;'Entry Builder'!$E$9),--(INDEX(Sims!$A1939:$BO1939,'Entry Builder'!$L$9)&gt;'Entry Builder'!$E$9)))</f>
        <v/>
      </c>
      <c r="D1939">
        <f>IF('Entry Builder'!$N$10=0,1,IF('Entry Builder'!$D$10="Less",--(INDEX(Sims!$A1939:$BO1939,'Entry Builder'!$L$10)&lt;'Entry Builder'!$E$10),--(INDEX(Sims!$A1939:$BO1939,'Entry Builder'!$L$10)&gt;'Entry Builder'!$E$10)))</f>
        <v/>
      </c>
      <c r="E1939">
        <f>IF('Entry Builder'!$N$11=0,1,IF('Entry Builder'!$D$11="Less",--(INDEX(Sims!$A1939:$BO1939,'Entry Builder'!$L$11)&lt;'Entry Builder'!$E$11),--(INDEX(Sims!$A1939:$BO1939,'Entry Builder'!$L$11)&gt;'Entry Builder'!$E$11)))</f>
        <v/>
      </c>
      <c r="F1939">
        <f>IF('Entry Builder'!$N$12=0,1,IF('Entry Builder'!$D$12="Less",--(INDEX(Sims!$A1939:$BO1939,'Entry Builder'!$L$12)&lt;'Entry Builder'!$E$12),--(INDEX(Sims!$A1939:$BO1939,'Entry Builder'!$L$12)&gt;'Entry Builder'!$E$12)))</f>
        <v/>
      </c>
      <c r="G1939">
        <f>6-SUM(A1939:F1939)</f>
        <v/>
      </c>
    </row>
    <row r="1940">
      <c r="A1940">
        <f>IF('Entry Builder'!$N$7=0,1,IF('Entry Builder'!$D$7="Less",--(INDEX(Sims!$A1940:$BO1940,'Entry Builder'!$L$7)&lt;'Entry Builder'!$E$7),--(INDEX(Sims!$A1940:$BO1940,'Entry Builder'!$L$7)&gt;'Entry Builder'!$E$7)))</f>
        <v/>
      </c>
      <c r="B1940">
        <f>IF('Entry Builder'!$N$8=0,1,IF('Entry Builder'!$D$8="Less",--(INDEX(Sims!$A1940:$BO1940,'Entry Builder'!$L$8)&lt;'Entry Builder'!$E$8),--(INDEX(Sims!$A1940:$BO1940,'Entry Builder'!$L$8)&gt;'Entry Builder'!$E$8)))</f>
        <v/>
      </c>
      <c r="C1940">
        <f>IF('Entry Builder'!$N$9=0,1,IF('Entry Builder'!$D$9="Less",--(INDEX(Sims!$A1940:$BO1940,'Entry Builder'!$L$9)&lt;'Entry Builder'!$E$9),--(INDEX(Sims!$A1940:$BO1940,'Entry Builder'!$L$9)&gt;'Entry Builder'!$E$9)))</f>
        <v/>
      </c>
      <c r="D1940">
        <f>IF('Entry Builder'!$N$10=0,1,IF('Entry Builder'!$D$10="Less",--(INDEX(Sims!$A1940:$BO1940,'Entry Builder'!$L$10)&lt;'Entry Builder'!$E$10),--(INDEX(Sims!$A1940:$BO1940,'Entry Builder'!$L$10)&gt;'Entry Builder'!$E$10)))</f>
        <v/>
      </c>
      <c r="E1940">
        <f>IF('Entry Builder'!$N$11=0,1,IF('Entry Builder'!$D$11="Less",--(INDEX(Sims!$A1940:$BO1940,'Entry Builder'!$L$11)&lt;'Entry Builder'!$E$11),--(INDEX(Sims!$A1940:$BO1940,'Entry Builder'!$L$11)&gt;'Entry Builder'!$E$11)))</f>
        <v/>
      </c>
      <c r="F1940">
        <f>IF('Entry Builder'!$N$12=0,1,IF('Entry Builder'!$D$12="Less",--(INDEX(Sims!$A1940:$BO1940,'Entry Builder'!$L$12)&lt;'Entry Builder'!$E$12),--(INDEX(Sims!$A1940:$BO1940,'Entry Builder'!$L$12)&gt;'Entry Builder'!$E$12)))</f>
        <v/>
      </c>
      <c r="G1940">
        <f>6-SUM(A1940:F1940)</f>
        <v/>
      </c>
    </row>
    <row r="1941">
      <c r="A1941">
        <f>IF('Entry Builder'!$N$7=0,1,IF('Entry Builder'!$D$7="Less",--(INDEX(Sims!$A1941:$BO1941,'Entry Builder'!$L$7)&lt;'Entry Builder'!$E$7),--(INDEX(Sims!$A1941:$BO1941,'Entry Builder'!$L$7)&gt;'Entry Builder'!$E$7)))</f>
        <v/>
      </c>
      <c r="B1941">
        <f>IF('Entry Builder'!$N$8=0,1,IF('Entry Builder'!$D$8="Less",--(INDEX(Sims!$A1941:$BO1941,'Entry Builder'!$L$8)&lt;'Entry Builder'!$E$8),--(INDEX(Sims!$A1941:$BO1941,'Entry Builder'!$L$8)&gt;'Entry Builder'!$E$8)))</f>
        <v/>
      </c>
      <c r="C1941">
        <f>IF('Entry Builder'!$N$9=0,1,IF('Entry Builder'!$D$9="Less",--(INDEX(Sims!$A1941:$BO1941,'Entry Builder'!$L$9)&lt;'Entry Builder'!$E$9),--(INDEX(Sims!$A1941:$BO1941,'Entry Builder'!$L$9)&gt;'Entry Builder'!$E$9)))</f>
        <v/>
      </c>
      <c r="D1941">
        <f>IF('Entry Builder'!$N$10=0,1,IF('Entry Builder'!$D$10="Less",--(INDEX(Sims!$A1941:$BO1941,'Entry Builder'!$L$10)&lt;'Entry Builder'!$E$10),--(INDEX(Sims!$A1941:$BO1941,'Entry Builder'!$L$10)&gt;'Entry Builder'!$E$10)))</f>
        <v/>
      </c>
      <c r="E1941">
        <f>IF('Entry Builder'!$N$11=0,1,IF('Entry Builder'!$D$11="Less",--(INDEX(Sims!$A1941:$BO1941,'Entry Builder'!$L$11)&lt;'Entry Builder'!$E$11),--(INDEX(Sims!$A1941:$BO1941,'Entry Builder'!$L$11)&gt;'Entry Builder'!$E$11)))</f>
        <v/>
      </c>
      <c r="F1941">
        <f>IF('Entry Builder'!$N$12=0,1,IF('Entry Builder'!$D$12="Less",--(INDEX(Sims!$A1941:$BO1941,'Entry Builder'!$L$12)&lt;'Entry Builder'!$E$12),--(INDEX(Sims!$A1941:$BO1941,'Entry Builder'!$L$12)&gt;'Entry Builder'!$E$12)))</f>
        <v/>
      </c>
      <c r="G1941">
        <f>6-SUM(A1941:F1941)</f>
        <v/>
      </c>
    </row>
    <row r="1942">
      <c r="A1942">
        <f>IF('Entry Builder'!$N$7=0,1,IF('Entry Builder'!$D$7="Less",--(INDEX(Sims!$A1942:$BO1942,'Entry Builder'!$L$7)&lt;'Entry Builder'!$E$7),--(INDEX(Sims!$A1942:$BO1942,'Entry Builder'!$L$7)&gt;'Entry Builder'!$E$7)))</f>
        <v/>
      </c>
      <c r="B1942">
        <f>IF('Entry Builder'!$N$8=0,1,IF('Entry Builder'!$D$8="Less",--(INDEX(Sims!$A1942:$BO1942,'Entry Builder'!$L$8)&lt;'Entry Builder'!$E$8),--(INDEX(Sims!$A1942:$BO1942,'Entry Builder'!$L$8)&gt;'Entry Builder'!$E$8)))</f>
        <v/>
      </c>
      <c r="C1942">
        <f>IF('Entry Builder'!$N$9=0,1,IF('Entry Builder'!$D$9="Less",--(INDEX(Sims!$A1942:$BO1942,'Entry Builder'!$L$9)&lt;'Entry Builder'!$E$9),--(INDEX(Sims!$A1942:$BO1942,'Entry Builder'!$L$9)&gt;'Entry Builder'!$E$9)))</f>
        <v/>
      </c>
      <c r="D1942">
        <f>IF('Entry Builder'!$N$10=0,1,IF('Entry Builder'!$D$10="Less",--(INDEX(Sims!$A1942:$BO1942,'Entry Builder'!$L$10)&lt;'Entry Builder'!$E$10),--(INDEX(Sims!$A1942:$BO1942,'Entry Builder'!$L$10)&gt;'Entry Builder'!$E$10)))</f>
        <v/>
      </c>
      <c r="E1942">
        <f>IF('Entry Builder'!$N$11=0,1,IF('Entry Builder'!$D$11="Less",--(INDEX(Sims!$A1942:$BO1942,'Entry Builder'!$L$11)&lt;'Entry Builder'!$E$11),--(INDEX(Sims!$A1942:$BO1942,'Entry Builder'!$L$11)&gt;'Entry Builder'!$E$11)))</f>
        <v/>
      </c>
      <c r="F1942">
        <f>IF('Entry Builder'!$N$12=0,1,IF('Entry Builder'!$D$12="Less",--(INDEX(Sims!$A1942:$BO1942,'Entry Builder'!$L$12)&lt;'Entry Builder'!$E$12),--(INDEX(Sims!$A1942:$BO1942,'Entry Builder'!$L$12)&gt;'Entry Builder'!$E$12)))</f>
        <v/>
      </c>
      <c r="G1942">
        <f>6-SUM(A1942:F1942)</f>
        <v/>
      </c>
    </row>
    <row r="1943">
      <c r="A1943">
        <f>IF('Entry Builder'!$N$7=0,1,IF('Entry Builder'!$D$7="Less",--(INDEX(Sims!$A1943:$BO1943,'Entry Builder'!$L$7)&lt;'Entry Builder'!$E$7),--(INDEX(Sims!$A1943:$BO1943,'Entry Builder'!$L$7)&gt;'Entry Builder'!$E$7)))</f>
        <v/>
      </c>
      <c r="B1943">
        <f>IF('Entry Builder'!$N$8=0,1,IF('Entry Builder'!$D$8="Less",--(INDEX(Sims!$A1943:$BO1943,'Entry Builder'!$L$8)&lt;'Entry Builder'!$E$8),--(INDEX(Sims!$A1943:$BO1943,'Entry Builder'!$L$8)&gt;'Entry Builder'!$E$8)))</f>
        <v/>
      </c>
      <c r="C1943">
        <f>IF('Entry Builder'!$N$9=0,1,IF('Entry Builder'!$D$9="Less",--(INDEX(Sims!$A1943:$BO1943,'Entry Builder'!$L$9)&lt;'Entry Builder'!$E$9),--(INDEX(Sims!$A1943:$BO1943,'Entry Builder'!$L$9)&gt;'Entry Builder'!$E$9)))</f>
        <v/>
      </c>
      <c r="D1943">
        <f>IF('Entry Builder'!$N$10=0,1,IF('Entry Builder'!$D$10="Less",--(INDEX(Sims!$A1943:$BO1943,'Entry Builder'!$L$10)&lt;'Entry Builder'!$E$10),--(INDEX(Sims!$A1943:$BO1943,'Entry Builder'!$L$10)&gt;'Entry Builder'!$E$10)))</f>
        <v/>
      </c>
      <c r="E1943">
        <f>IF('Entry Builder'!$N$11=0,1,IF('Entry Builder'!$D$11="Less",--(INDEX(Sims!$A1943:$BO1943,'Entry Builder'!$L$11)&lt;'Entry Builder'!$E$11),--(INDEX(Sims!$A1943:$BO1943,'Entry Builder'!$L$11)&gt;'Entry Builder'!$E$11)))</f>
        <v/>
      </c>
      <c r="F1943">
        <f>IF('Entry Builder'!$N$12=0,1,IF('Entry Builder'!$D$12="Less",--(INDEX(Sims!$A1943:$BO1943,'Entry Builder'!$L$12)&lt;'Entry Builder'!$E$12),--(INDEX(Sims!$A1943:$BO1943,'Entry Builder'!$L$12)&gt;'Entry Builder'!$E$12)))</f>
        <v/>
      </c>
      <c r="G1943">
        <f>6-SUM(A1943:F1943)</f>
        <v/>
      </c>
    </row>
    <row r="1944">
      <c r="A1944">
        <f>IF('Entry Builder'!$N$7=0,1,IF('Entry Builder'!$D$7="Less",--(INDEX(Sims!$A1944:$BO1944,'Entry Builder'!$L$7)&lt;'Entry Builder'!$E$7),--(INDEX(Sims!$A1944:$BO1944,'Entry Builder'!$L$7)&gt;'Entry Builder'!$E$7)))</f>
        <v/>
      </c>
      <c r="B1944">
        <f>IF('Entry Builder'!$N$8=0,1,IF('Entry Builder'!$D$8="Less",--(INDEX(Sims!$A1944:$BO1944,'Entry Builder'!$L$8)&lt;'Entry Builder'!$E$8),--(INDEX(Sims!$A1944:$BO1944,'Entry Builder'!$L$8)&gt;'Entry Builder'!$E$8)))</f>
        <v/>
      </c>
      <c r="C1944">
        <f>IF('Entry Builder'!$N$9=0,1,IF('Entry Builder'!$D$9="Less",--(INDEX(Sims!$A1944:$BO1944,'Entry Builder'!$L$9)&lt;'Entry Builder'!$E$9),--(INDEX(Sims!$A1944:$BO1944,'Entry Builder'!$L$9)&gt;'Entry Builder'!$E$9)))</f>
        <v/>
      </c>
      <c r="D1944">
        <f>IF('Entry Builder'!$N$10=0,1,IF('Entry Builder'!$D$10="Less",--(INDEX(Sims!$A1944:$BO1944,'Entry Builder'!$L$10)&lt;'Entry Builder'!$E$10),--(INDEX(Sims!$A1944:$BO1944,'Entry Builder'!$L$10)&gt;'Entry Builder'!$E$10)))</f>
        <v/>
      </c>
      <c r="E1944">
        <f>IF('Entry Builder'!$N$11=0,1,IF('Entry Builder'!$D$11="Less",--(INDEX(Sims!$A1944:$BO1944,'Entry Builder'!$L$11)&lt;'Entry Builder'!$E$11),--(INDEX(Sims!$A1944:$BO1944,'Entry Builder'!$L$11)&gt;'Entry Builder'!$E$11)))</f>
        <v/>
      </c>
      <c r="F1944">
        <f>IF('Entry Builder'!$N$12=0,1,IF('Entry Builder'!$D$12="Less",--(INDEX(Sims!$A1944:$BO1944,'Entry Builder'!$L$12)&lt;'Entry Builder'!$E$12),--(INDEX(Sims!$A1944:$BO1944,'Entry Builder'!$L$12)&gt;'Entry Builder'!$E$12)))</f>
        <v/>
      </c>
      <c r="G1944">
        <f>6-SUM(A1944:F1944)</f>
        <v/>
      </c>
    </row>
    <row r="1945">
      <c r="A1945">
        <f>IF('Entry Builder'!$N$7=0,1,IF('Entry Builder'!$D$7="Less",--(INDEX(Sims!$A1945:$BO1945,'Entry Builder'!$L$7)&lt;'Entry Builder'!$E$7),--(INDEX(Sims!$A1945:$BO1945,'Entry Builder'!$L$7)&gt;'Entry Builder'!$E$7)))</f>
        <v/>
      </c>
      <c r="B1945">
        <f>IF('Entry Builder'!$N$8=0,1,IF('Entry Builder'!$D$8="Less",--(INDEX(Sims!$A1945:$BO1945,'Entry Builder'!$L$8)&lt;'Entry Builder'!$E$8),--(INDEX(Sims!$A1945:$BO1945,'Entry Builder'!$L$8)&gt;'Entry Builder'!$E$8)))</f>
        <v/>
      </c>
      <c r="C1945">
        <f>IF('Entry Builder'!$N$9=0,1,IF('Entry Builder'!$D$9="Less",--(INDEX(Sims!$A1945:$BO1945,'Entry Builder'!$L$9)&lt;'Entry Builder'!$E$9),--(INDEX(Sims!$A1945:$BO1945,'Entry Builder'!$L$9)&gt;'Entry Builder'!$E$9)))</f>
        <v/>
      </c>
      <c r="D1945">
        <f>IF('Entry Builder'!$N$10=0,1,IF('Entry Builder'!$D$10="Less",--(INDEX(Sims!$A1945:$BO1945,'Entry Builder'!$L$10)&lt;'Entry Builder'!$E$10),--(INDEX(Sims!$A1945:$BO1945,'Entry Builder'!$L$10)&gt;'Entry Builder'!$E$10)))</f>
        <v/>
      </c>
      <c r="E1945">
        <f>IF('Entry Builder'!$N$11=0,1,IF('Entry Builder'!$D$11="Less",--(INDEX(Sims!$A1945:$BO1945,'Entry Builder'!$L$11)&lt;'Entry Builder'!$E$11),--(INDEX(Sims!$A1945:$BO1945,'Entry Builder'!$L$11)&gt;'Entry Builder'!$E$11)))</f>
        <v/>
      </c>
      <c r="F1945">
        <f>IF('Entry Builder'!$N$12=0,1,IF('Entry Builder'!$D$12="Less",--(INDEX(Sims!$A1945:$BO1945,'Entry Builder'!$L$12)&lt;'Entry Builder'!$E$12),--(INDEX(Sims!$A1945:$BO1945,'Entry Builder'!$L$12)&gt;'Entry Builder'!$E$12)))</f>
        <v/>
      </c>
      <c r="G1945">
        <f>6-SUM(A1945:F1945)</f>
        <v/>
      </c>
    </row>
    <row r="1946">
      <c r="A1946">
        <f>IF('Entry Builder'!$N$7=0,1,IF('Entry Builder'!$D$7="Less",--(INDEX(Sims!$A1946:$BO1946,'Entry Builder'!$L$7)&lt;'Entry Builder'!$E$7),--(INDEX(Sims!$A1946:$BO1946,'Entry Builder'!$L$7)&gt;'Entry Builder'!$E$7)))</f>
        <v/>
      </c>
      <c r="B1946">
        <f>IF('Entry Builder'!$N$8=0,1,IF('Entry Builder'!$D$8="Less",--(INDEX(Sims!$A1946:$BO1946,'Entry Builder'!$L$8)&lt;'Entry Builder'!$E$8),--(INDEX(Sims!$A1946:$BO1946,'Entry Builder'!$L$8)&gt;'Entry Builder'!$E$8)))</f>
        <v/>
      </c>
      <c r="C1946">
        <f>IF('Entry Builder'!$N$9=0,1,IF('Entry Builder'!$D$9="Less",--(INDEX(Sims!$A1946:$BO1946,'Entry Builder'!$L$9)&lt;'Entry Builder'!$E$9),--(INDEX(Sims!$A1946:$BO1946,'Entry Builder'!$L$9)&gt;'Entry Builder'!$E$9)))</f>
        <v/>
      </c>
      <c r="D1946">
        <f>IF('Entry Builder'!$N$10=0,1,IF('Entry Builder'!$D$10="Less",--(INDEX(Sims!$A1946:$BO1946,'Entry Builder'!$L$10)&lt;'Entry Builder'!$E$10),--(INDEX(Sims!$A1946:$BO1946,'Entry Builder'!$L$10)&gt;'Entry Builder'!$E$10)))</f>
        <v/>
      </c>
      <c r="E1946">
        <f>IF('Entry Builder'!$N$11=0,1,IF('Entry Builder'!$D$11="Less",--(INDEX(Sims!$A1946:$BO1946,'Entry Builder'!$L$11)&lt;'Entry Builder'!$E$11),--(INDEX(Sims!$A1946:$BO1946,'Entry Builder'!$L$11)&gt;'Entry Builder'!$E$11)))</f>
        <v/>
      </c>
      <c r="F1946">
        <f>IF('Entry Builder'!$N$12=0,1,IF('Entry Builder'!$D$12="Less",--(INDEX(Sims!$A1946:$BO1946,'Entry Builder'!$L$12)&lt;'Entry Builder'!$E$12),--(INDEX(Sims!$A1946:$BO1946,'Entry Builder'!$L$12)&gt;'Entry Builder'!$E$12)))</f>
        <v/>
      </c>
      <c r="G1946">
        <f>6-SUM(A1946:F1946)</f>
        <v/>
      </c>
    </row>
    <row r="1947">
      <c r="A1947">
        <f>IF('Entry Builder'!$N$7=0,1,IF('Entry Builder'!$D$7="Less",--(INDEX(Sims!$A1947:$BO1947,'Entry Builder'!$L$7)&lt;'Entry Builder'!$E$7),--(INDEX(Sims!$A1947:$BO1947,'Entry Builder'!$L$7)&gt;'Entry Builder'!$E$7)))</f>
        <v/>
      </c>
      <c r="B1947">
        <f>IF('Entry Builder'!$N$8=0,1,IF('Entry Builder'!$D$8="Less",--(INDEX(Sims!$A1947:$BO1947,'Entry Builder'!$L$8)&lt;'Entry Builder'!$E$8),--(INDEX(Sims!$A1947:$BO1947,'Entry Builder'!$L$8)&gt;'Entry Builder'!$E$8)))</f>
        <v/>
      </c>
      <c r="C1947">
        <f>IF('Entry Builder'!$N$9=0,1,IF('Entry Builder'!$D$9="Less",--(INDEX(Sims!$A1947:$BO1947,'Entry Builder'!$L$9)&lt;'Entry Builder'!$E$9),--(INDEX(Sims!$A1947:$BO1947,'Entry Builder'!$L$9)&gt;'Entry Builder'!$E$9)))</f>
        <v/>
      </c>
      <c r="D1947">
        <f>IF('Entry Builder'!$N$10=0,1,IF('Entry Builder'!$D$10="Less",--(INDEX(Sims!$A1947:$BO1947,'Entry Builder'!$L$10)&lt;'Entry Builder'!$E$10),--(INDEX(Sims!$A1947:$BO1947,'Entry Builder'!$L$10)&gt;'Entry Builder'!$E$10)))</f>
        <v/>
      </c>
      <c r="E1947">
        <f>IF('Entry Builder'!$N$11=0,1,IF('Entry Builder'!$D$11="Less",--(INDEX(Sims!$A1947:$BO1947,'Entry Builder'!$L$11)&lt;'Entry Builder'!$E$11),--(INDEX(Sims!$A1947:$BO1947,'Entry Builder'!$L$11)&gt;'Entry Builder'!$E$11)))</f>
        <v/>
      </c>
      <c r="F1947">
        <f>IF('Entry Builder'!$N$12=0,1,IF('Entry Builder'!$D$12="Less",--(INDEX(Sims!$A1947:$BO1947,'Entry Builder'!$L$12)&lt;'Entry Builder'!$E$12),--(INDEX(Sims!$A1947:$BO1947,'Entry Builder'!$L$12)&gt;'Entry Builder'!$E$12)))</f>
        <v/>
      </c>
      <c r="G1947">
        <f>6-SUM(A1947:F1947)</f>
        <v/>
      </c>
    </row>
    <row r="1948">
      <c r="A1948">
        <f>IF('Entry Builder'!$N$7=0,1,IF('Entry Builder'!$D$7="Less",--(INDEX(Sims!$A1948:$BO1948,'Entry Builder'!$L$7)&lt;'Entry Builder'!$E$7),--(INDEX(Sims!$A1948:$BO1948,'Entry Builder'!$L$7)&gt;'Entry Builder'!$E$7)))</f>
        <v/>
      </c>
      <c r="B1948">
        <f>IF('Entry Builder'!$N$8=0,1,IF('Entry Builder'!$D$8="Less",--(INDEX(Sims!$A1948:$BO1948,'Entry Builder'!$L$8)&lt;'Entry Builder'!$E$8),--(INDEX(Sims!$A1948:$BO1948,'Entry Builder'!$L$8)&gt;'Entry Builder'!$E$8)))</f>
        <v/>
      </c>
      <c r="C1948">
        <f>IF('Entry Builder'!$N$9=0,1,IF('Entry Builder'!$D$9="Less",--(INDEX(Sims!$A1948:$BO1948,'Entry Builder'!$L$9)&lt;'Entry Builder'!$E$9),--(INDEX(Sims!$A1948:$BO1948,'Entry Builder'!$L$9)&gt;'Entry Builder'!$E$9)))</f>
        <v/>
      </c>
      <c r="D1948">
        <f>IF('Entry Builder'!$N$10=0,1,IF('Entry Builder'!$D$10="Less",--(INDEX(Sims!$A1948:$BO1948,'Entry Builder'!$L$10)&lt;'Entry Builder'!$E$10),--(INDEX(Sims!$A1948:$BO1948,'Entry Builder'!$L$10)&gt;'Entry Builder'!$E$10)))</f>
        <v/>
      </c>
      <c r="E1948">
        <f>IF('Entry Builder'!$N$11=0,1,IF('Entry Builder'!$D$11="Less",--(INDEX(Sims!$A1948:$BO1948,'Entry Builder'!$L$11)&lt;'Entry Builder'!$E$11),--(INDEX(Sims!$A1948:$BO1948,'Entry Builder'!$L$11)&gt;'Entry Builder'!$E$11)))</f>
        <v/>
      </c>
      <c r="F1948">
        <f>IF('Entry Builder'!$N$12=0,1,IF('Entry Builder'!$D$12="Less",--(INDEX(Sims!$A1948:$BO1948,'Entry Builder'!$L$12)&lt;'Entry Builder'!$E$12),--(INDEX(Sims!$A1948:$BO1948,'Entry Builder'!$L$12)&gt;'Entry Builder'!$E$12)))</f>
        <v/>
      </c>
      <c r="G1948">
        <f>6-SUM(A1948:F1948)</f>
        <v/>
      </c>
    </row>
    <row r="1949">
      <c r="A1949">
        <f>IF('Entry Builder'!$N$7=0,1,IF('Entry Builder'!$D$7="Less",--(INDEX(Sims!$A1949:$BO1949,'Entry Builder'!$L$7)&lt;'Entry Builder'!$E$7),--(INDEX(Sims!$A1949:$BO1949,'Entry Builder'!$L$7)&gt;'Entry Builder'!$E$7)))</f>
        <v/>
      </c>
      <c r="B1949">
        <f>IF('Entry Builder'!$N$8=0,1,IF('Entry Builder'!$D$8="Less",--(INDEX(Sims!$A1949:$BO1949,'Entry Builder'!$L$8)&lt;'Entry Builder'!$E$8),--(INDEX(Sims!$A1949:$BO1949,'Entry Builder'!$L$8)&gt;'Entry Builder'!$E$8)))</f>
        <v/>
      </c>
      <c r="C1949">
        <f>IF('Entry Builder'!$N$9=0,1,IF('Entry Builder'!$D$9="Less",--(INDEX(Sims!$A1949:$BO1949,'Entry Builder'!$L$9)&lt;'Entry Builder'!$E$9),--(INDEX(Sims!$A1949:$BO1949,'Entry Builder'!$L$9)&gt;'Entry Builder'!$E$9)))</f>
        <v/>
      </c>
      <c r="D1949">
        <f>IF('Entry Builder'!$N$10=0,1,IF('Entry Builder'!$D$10="Less",--(INDEX(Sims!$A1949:$BO1949,'Entry Builder'!$L$10)&lt;'Entry Builder'!$E$10),--(INDEX(Sims!$A1949:$BO1949,'Entry Builder'!$L$10)&gt;'Entry Builder'!$E$10)))</f>
        <v/>
      </c>
      <c r="E1949">
        <f>IF('Entry Builder'!$N$11=0,1,IF('Entry Builder'!$D$11="Less",--(INDEX(Sims!$A1949:$BO1949,'Entry Builder'!$L$11)&lt;'Entry Builder'!$E$11),--(INDEX(Sims!$A1949:$BO1949,'Entry Builder'!$L$11)&gt;'Entry Builder'!$E$11)))</f>
        <v/>
      </c>
      <c r="F1949">
        <f>IF('Entry Builder'!$N$12=0,1,IF('Entry Builder'!$D$12="Less",--(INDEX(Sims!$A1949:$BO1949,'Entry Builder'!$L$12)&lt;'Entry Builder'!$E$12),--(INDEX(Sims!$A1949:$BO1949,'Entry Builder'!$L$12)&gt;'Entry Builder'!$E$12)))</f>
        <v/>
      </c>
      <c r="G1949">
        <f>6-SUM(A1949:F1949)</f>
        <v/>
      </c>
    </row>
    <row r="1950">
      <c r="A1950">
        <f>IF('Entry Builder'!$N$7=0,1,IF('Entry Builder'!$D$7="Less",--(INDEX(Sims!$A1950:$BO1950,'Entry Builder'!$L$7)&lt;'Entry Builder'!$E$7),--(INDEX(Sims!$A1950:$BO1950,'Entry Builder'!$L$7)&gt;'Entry Builder'!$E$7)))</f>
        <v/>
      </c>
      <c r="B1950">
        <f>IF('Entry Builder'!$N$8=0,1,IF('Entry Builder'!$D$8="Less",--(INDEX(Sims!$A1950:$BO1950,'Entry Builder'!$L$8)&lt;'Entry Builder'!$E$8),--(INDEX(Sims!$A1950:$BO1950,'Entry Builder'!$L$8)&gt;'Entry Builder'!$E$8)))</f>
        <v/>
      </c>
      <c r="C1950">
        <f>IF('Entry Builder'!$N$9=0,1,IF('Entry Builder'!$D$9="Less",--(INDEX(Sims!$A1950:$BO1950,'Entry Builder'!$L$9)&lt;'Entry Builder'!$E$9),--(INDEX(Sims!$A1950:$BO1950,'Entry Builder'!$L$9)&gt;'Entry Builder'!$E$9)))</f>
        <v/>
      </c>
      <c r="D1950">
        <f>IF('Entry Builder'!$N$10=0,1,IF('Entry Builder'!$D$10="Less",--(INDEX(Sims!$A1950:$BO1950,'Entry Builder'!$L$10)&lt;'Entry Builder'!$E$10),--(INDEX(Sims!$A1950:$BO1950,'Entry Builder'!$L$10)&gt;'Entry Builder'!$E$10)))</f>
        <v/>
      </c>
      <c r="E1950">
        <f>IF('Entry Builder'!$N$11=0,1,IF('Entry Builder'!$D$11="Less",--(INDEX(Sims!$A1950:$BO1950,'Entry Builder'!$L$11)&lt;'Entry Builder'!$E$11),--(INDEX(Sims!$A1950:$BO1950,'Entry Builder'!$L$11)&gt;'Entry Builder'!$E$11)))</f>
        <v/>
      </c>
      <c r="F1950">
        <f>IF('Entry Builder'!$N$12=0,1,IF('Entry Builder'!$D$12="Less",--(INDEX(Sims!$A1950:$BO1950,'Entry Builder'!$L$12)&lt;'Entry Builder'!$E$12),--(INDEX(Sims!$A1950:$BO1950,'Entry Builder'!$L$12)&gt;'Entry Builder'!$E$12)))</f>
        <v/>
      </c>
      <c r="G1950">
        <f>6-SUM(A1950:F1950)</f>
        <v/>
      </c>
    </row>
    <row r="1951">
      <c r="A1951">
        <f>IF('Entry Builder'!$N$7=0,1,IF('Entry Builder'!$D$7="Less",--(INDEX(Sims!$A1951:$BO1951,'Entry Builder'!$L$7)&lt;'Entry Builder'!$E$7),--(INDEX(Sims!$A1951:$BO1951,'Entry Builder'!$L$7)&gt;'Entry Builder'!$E$7)))</f>
        <v/>
      </c>
      <c r="B1951">
        <f>IF('Entry Builder'!$N$8=0,1,IF('Entry Builder'!$D$8="Less",--(INDEX(Sims!$A1951:$BO1951,'Entry Builder'!$L$8)&lt;'Entry Builder'!$E$8),--(INDEX(Sims!$A1951:$BO1951,'Entry Builder'!$L$8)&gt;'Entry Builder'!$E$8)))</f>
        <v/>
      </c>
      <c r="C1951">
        <f>IF('Entry Builder'!$N$9=0,1,IF('Entry Builder'!$D$9="Less",--(INDEX(Sims!$A1951:$BO1951,'Entry Builder'!$L$9)&lt;'Entry Builder'!$E$9),--(INDEX(Sims!$A1951:$BO1951,'Entry Builder'!$L$9)&gt;'Entry Builder'!$E$9)))</f>
        <v/>
      </c>
      <c r="D1951">
        <f>IF('Entry Builder'!$N$10=0,1,IF('Entry Builder'!$D$10="Less",--(INDEX(Sims!$A1951:$BO1951,'Entry Builder'!$L$10)&lt;'Entry Builder'!$E$10),--(INDEX(Sims!$A1951:$BO1951,'Entry Builder'!$L$10)&gt;'Entry Builder'!$E$10)))</f>
        <v/>
      </c>
      <c r="E1951">
        <f>IF('Entry Builder'!$N$11=0,1,IF('Entry Builder'!$D$11="Less",--(INDEX(Sims!$A1951:$BO1951,'Entry Builder'!$L$11)&lt;'Entry Builder'!$E$11),--(INDEX(Sims!$A1951:$BO1951,'Entry Builder'!$L$11)&gt;'Entry Builder'!$E$11)))</f>
        <v/>
      </c>
      <c r="F1951">
        <f>IF('Entry Builder'!$N$12=0,1,IF('Entry Builder'!$D$12="Less",--(INDEX(Sims!$A1951:$BO1951,'Entry Builder'!$L$12)&lt;'Entry Builder'!$E$12),--(INDEX(Sims!$A1951:$BO1951,'Entry Builder'!$L$12)&gt;'Entry Builder'!$E$12)))</f>
        <v/>
      </c>
      <c r="G1951">
        <f>6-SUM(A1951:F1951)</f>
        <v/>
      </c>
    </row>
    <row r="1952">
      <c r="A1952">
        <f>IF('Entry Builder'!$N$7=0,1,IF('Entry Builder'!$D$7="Less",--(INDEX(Sims!$A1952:$BO1952,'Entry Builder'!$L$7)&lt;'Entry Builder'!$E$7),--(INDEX(Sims!$A1952:$BO1952,'Entry Builder'!$L$7)&gt;'Entry Builder'!$E$7)))</f>
        <v/>
      </c>
      <c r="B1952">
        <f>IF('Entry Builder'!$N$8=0,1,IF('Entry Builder'!$D$8="Less",--(INDEX(Sims!$A1952:$BO1952,'Entry Builder'!$L$8)&lt;'Entry Builder'!$E$8),--(INDEX(Sims!$A1952:$BO1952,'Entry Builder'!$L$8)&gt;'Entry Builder'!$E$8)))</f>
        <v/>
      </c>
      <c r="C1952">
        <f>IF('Entry Builder'!$N$9=0,1,IF('Entry Builder'!$D$9="Less",--(INDEX(Sims!$A1952:$BO1952,'Entry Builder'!$L$9)&lt;'Entry Builder'!$E$9),--(INDEX(Sims!$A1952:$BO1952,'Entry Builder'!$L$9)&gt;'Entry Builder'!$E$9)))</f>
        <v/>
      </c>
      <c r="D1952">
        <f>IF('Entry Builder'!$N$10=0,1,IF('Entry Builder'!$D$10="Less",--(INDEX(Sims!$A1952:$BO1952,'Entry Builder'!$L$10)&lt;'Entry Builder'!$E$10),--(INDEX(Sims!$A1952:$BO1952,'Entry Builder'!$L$10)&gt;'Entry Builder'!$E$10)))</f>
        <v/>
      </c>
      <c r="E1952">
        <f>IF('Entry Builder'!$N$11=0,1,IF('Entry Builder'!$D$11="Less",--(INDEX(Sims!$A1952:$BO1952,'Entry Builder'!$L$11)&lt;'Entry Builder'!$E$11),--(INDEX(Sims!$A1952:$BO1952,'Entry Builder'!$L$11)&gt;'Entry Builder'!$E$11)))</f>
        <v/>
      </c>
      <c r="F1952">
        <f>IF('Entry Builder'!$N$12=0,1,IF('Entry Builder'!$D$12="Less",--(INDEX(Sims!$A1952:$BO1952,'Entry Builder'!$L$12)&lt;'Entry Builder'!$E$12),--(INDEX(Sims!$A1952:$BO1952,'Entry Builder'!$L$12)&gt;'Entry Builder'!$E$12)))</f>
        <v/>
      </c>
      <c r="G1952">
        <f>6-SUM(A1952:F1952)</f>
        <v/>
      </c>
    </row>
    <row r="1953">
      <c r="A1953">
        <f>IF('Entry Builder'!$N$7=0,1,IF('Entry Builder'!$D$7="Less",--(INDEX(Sims!$A1953:$BO1953,'Entry Builder'!$L$7)&lt;'Entry Builder'!$E$7),--(INDEX(Sims!$A1953:$BO1953,'Entry Builder'!$L$7)&gt;'Entry Builder'!$E$7)))</f>
        <v/>
      </c>
      <c r="B1953">
        <f>IF('Entry Builder'!$N$8=0,1,IF('Entry Builder'!$D$8="Less",--(INDEX(Sims!$A1953:$BO1953,'Entry Builder'!$L$8)&lt;'Entry Builder'!$E$8),--(INDEX(Sims!$A1953:$BO1953,'Entry Builder'!$L$8)&gt;'Entry Builder'!$E$8)))</f>
        <v/>
      </c>
      <c r="C1953">
        <f>IF('Entry Builder'!$N$9=0,1,IF('Entry Builder'!$D$9="Less",--(INDEX(Sims!$A1953:$BO1953,'Entry Builder'!$L$9)&lt;'Entry Builder'!$E$9),--(INDEX(Sims!$A1953:$BO1953,'Entry Builder'!$L$9)&gt;'Entry Builder'!$E$9)))</f>
        <v/>
      </c>
      <c r="D1953">
        <f>IF('Entry Builder'!$N$10=0,1,IF('Entry Builder'!$D$10="Less",--(INDEX(Sims!$A1953:$BO1953,'Entry Builder'!$L$10)&lt;'Entry Builder'!$E$10),--(INDEX(Sims!$A1953:$BO1953,'Entry Builder'!$L$10)&gt;'Entry Builder'!$E$10)))</f>
        <v/>
      </c>
      <c r="E1953">
        <f>IF('Entry Builder'!$N$11=0,1,IF('Entry Builder'!$D$11="Less",--(INDEX(Sims!$A1953:$BO1953,'Entry Builder'!$L$11)&lt;'Entry Builder'!$E$11),--(INDEX(Sims!$A1953:$BO1953,'Entry Builder'!$L$11)&gt;'Entry Builder'!$E$11)))</f>
        <v/>
      </c>
      <c r="F1953">
        <f>IF('Entry Builder'!$N$12=0,1,IF('Entry Builder'!$D$12="Less",--(INDEX(Sims!$A1953:$BO1953,'Entry Builder'!$L$12)&lt;'Entry Builder'!$E$12),--(INDEX(Sims!$A1953:$BO1953,'Entry Builder'!$L$12)&gt;'Entry Builder'!$E$12)))</f>
        <v/>
      </c>
      <c r="G1953">
        <f>6-SUM(A1953:F1953)</f>
        <v/>
      </c>
    </row>
    <row r="1954">
      <c r="A1954">
        <f>IF('Entry Builder'!$N$7=0,1,IF('Entry Builder'!$D$7="Less",--(INDEX(Sims!$A1954:$BO1954,'Entry Builder'!$L$7)&lt;'Entry Builder'!$E$7),--(INDEX(Sims!$A1954:$BO1954,'Entry Builder'!$L$7)&gt;'Entry Builder'!$E$7)))</f>
        <v/>
      </c>
      <c r="B1954">
        <f>IF('Entry Builder'!$N$8=0,1,IF('Entry Builder'!$D$8="Less",--(INDEX(Sims!$A1954:$BO1954,'Entry Builder'!$L$8)&lt;'Entry Builder'!$E$8),--(INDEX(Sims!$A1954:$BO1954,'Entry Builder'!$L$8)&gt;'Entry Builder'!$E$8)))</f>
        <v/>
      </c>
      <c r="C1954">
        <f>IF('Entry Builder'!$N$9=0,1,IF('Entry Builder'!$D$9="Less",--(INDEX(Sims!$A1954:$BO1954,'Entry Builder'!$L$9)&lt;'Entry Builder'!$E$9),--(INDEX(Sims!$A1954:$BO1954,'Entry Builder'!$L$9)&gt;'Entry Builder'!$E$9)))</f>
        <v/>
      </c>
      <c r="D1954">
        <f>IF('Entry Builder'!$N$10=0,1,IF('Entry Builder'!$D$10="Less",--(INDEX(Sims!$A1954:$BO1954,'Entry Builder'!$L$10)&lt;'Entry Builder'!$E$10),--(INDEX(Sims!$A1954:$BO1954,'Entry Builder'!$L$10)&gt;'Entry Builder'!$E$10)))</f>
        <v/>
      </c>
      <c r="E1954">
        <f>IF('Entry Builder'!$N$11=0,1,IF('Entry Builder'!$D$11="Less",--(INDEX(Sims!$A1954:$BO1954,'Entry Builder'!$L$11)&lt;'Entry Builder'!$E$11),--(INDEX(Sims!$A1954:$BO1954,'Entry Builder'!$L$11)&gt;'Entry Builder'!$E$11)))</f>
        <v/>
      </c>
      <c r="F1954">
        <f>IF('Entry Builder'!$N$12=0,1,IF('Entry Builder'!$D$12="Less",--(INDEX(Sims!$A1954:$BO1954,'Entry Builder'!$L$12)&lt;'Entry Builder'!$E$12),--(INDEX(Sims!$A1954:$BO1954,'Entry Builder'!$L$12)&gt;'Entry Builder'!$E$12)))</f>
        <v/>
      </c>
      <c r="G1954">
        <f>6-SUM(A1954:F1954)</f>
        <v/>
      </c>
    </row>
    <row r="1955">
      <c r="A1955">
        <f>IF('Entry Builder'!$N$7=0,1,IF('Entry Builder'!$D$7="Less",--(INDEX(Sims!$A1955:$BO1955,'Entry Builder'!$L$7)&lt;'Entry Builder'!$E$7),--(INDEX(Sims!$A1955:$BO1955,'Entry Builder'!$L$7)&gt;'Entry Builder'!$E$7)))</f>
        <v/>
      </c>
      <c r="B1955">
        <f>IF('Entry Builder'!$N$8=0,1,IF('Entry Builder'!$D$8="Less",--(INDEX(Sims!$A1955:$BO1955,'Entry Builder'!$L$8)&lt;'Entry Builder'!$E$8),--(INDEX(Sims!$A1955:$BO1955,'Entry Builder'!$L$8)&gt;'Entry Builder'!$E$8)))</f>
        <v/>
      </c>
      <c r="C1955">
        <f>IF('Entry Builder'!$N$9=0,1,IF('Entry Builder'!$D$9="Less",--(INDEX(Sims!$A1955:$BO1955,'Entry Builder'!$L$9)&lt;'Entry Builder'!$E$9),--(INDEX(Sims!$A1955:$BO1955,'Entry Builder'!$L$9)&gt;'Entry Builder'!$E$9)))</f>
        <v/>
      </c>
      <c r="D1955">
        <f>IF('Entry Builder'!$N$10=0,1,IF('Entry Builder'!$D$10="Less",--(INDEX(Sims!$A1955:$BO1955,'Entry Builder'!$L$10)&lt;'Entry Builder'!$E$10),--(INDEX(Sims!$A1955:$BO1955,'Entry Builder'!$L$10)&gt;'Entry Builder'!$E$10)))</f>
        <v/>
      </c>
      <c r="E1955">
        <f>IF('Entry Builder'!$N$11=0,1,IF('Entry Builder'!$D$11="Less",--(INDEX(Sims!$A1955:$BO1955,'Entry Builder'!$L$11)&lt;'Entry Builder'!$E$11),--(INDEX(Sims!$A1955:$BO1955,'Entry Builder'!$L$11)&gt;'Entry Builder'!$E$11)))</f>
        <v/>
      </c>
      <c r="F1955">
        <f>IF('Entry Builder'!$N$12=0,1,IF('Entry Builder'!$D$12="Less",--(INDEX(Sims!$A1955:$BO1955,'Entry Builder'!$L$12)&lt;'Entry Builder'!$E$12),--(INDEX(Sims!$A1955:$BO1955,'Entry Builder'!$L$12)&gt;'Entry Builder'!$E$12)))</f>
        <v/>
      </c>
      <c r="G1955">
        <f>6-SUM(A1955:F1955)</f>
        <v/>
      </c>
    </row>
    <row r="1956">
      <c r="A1956">
        <f>IF('Entry Builder'!$N$7=0,1,IF('Entry Builder'!$D$7="Less",--(INDEX(Sims!$A1956:$BO1956,'Entry Builder'!$L$7)&lt;'Entry Builder'!$E$7),--(INDEX(Sims!$A1956:$BO1956,'Entry Builder'!$L$7)&gt;'Entry Builder'!$E$7)))</f>
        <v/>
      </c>
      <c r="B1956">
        <f>IF('Entry Builder'!$N$8=0,1,IF('Entry Builder'!$D$8="Less",--(INDEX(Sims!$A1956:$BO1956,'Entry Builder'!$L$8)&lt;'Entry Builder'!$E$8),--(INDEX(Sims!$A1956:$BO1956,'Entry Builder'!$L$8)&gt;'Entry Builder'!$E$8)))</f>
        <v/>
      </c>
      <c r="C1956">
        <f>IF('Entry Builder'!$N$9=0,1,IF('Entry Builder'!$D$9="Less",--(INDEX(Sims!$A1956:$BO1956,'Entry Builder'!$L$9)&lt;'Entry Builder'!$E$9),--(INDEX(Sims!$A1956:$BO1956,'Entry Builder'!$L$9)&gt;'Entry Builder'!$E$9)))</f>
        <v/>
      </c>
      <c r="D1956">
        <f>IF('Entry Builder'!$N$10=0,1,IF('Entry Builder'!$D$10="Less",--(INDEX(Sims!$A1956:$BO1956,'Entry Builder'!$L$10)&lt;'Entry Builder'!$E$10),--(INDEX(Sims!$A1956:$BO1956,'Entry Builder'!$L$10)&gt;'Entry Builder'!$E$10)))</f>
        <v/>
      </c>
      <c r="E1956">
        <f>IF('Entry Builder'!$N$11=0,1,IF('Entry Builder'!$D$11="Less",--(INDEX(Sims!$A1956:$BO1956,'Entry Builder'!$L$11)&lt;'Entry Builder'!$E$11),--(INDEX(Sims!$A1956:$BO1956,'Entry Builder'!$L$11)&gt;'Entry Builder'!$E$11)))</f>
        <v/>
      </c>
      <c r="F1956">
        <f>IF('Entry Builder'!$N$12=0,1,IF('Entry Builder'!$D$12="Less",--(INDEX(Sims!$A1956:$BO1956,'Entry Builder'!$L$12)&lt;'Entry Builder'!$E$12),--(INDEX(Sims!$A1956:$BO1956,'Entry Builder'!$L$12)&gt;'Entry Builder'!$E$12)))</f>
        <v/>
      </c>
      <c r="G1956">
        <f>6-SUM(A1956:F1956)</f>
        <v/>
      </c>
    </row>
    <row r="1957">
      <c r="A1957">
        <f>IF('Entry Builder'!$N$7=0,1,IF('Entry Builder'!$D$7="Less",--(INDEX(Sims!$A1957:$BO1957,'Entry Builder'!$L$7)&lt;'Entry Builder'!$E$7),--(INDEX(Sims!$A1957:$BO1957,'Entry Builder'!$L$7)&gt;'Entry Builder'!$E$7)))</f>
        <v/>
      </c>
      <c r="B1957">
        <f>IF('Entry Builder'!$N$8=0,1,IF('Entry Builder'!$D$8="Less",--(INDEX(Sims!$A1957:$BO1957,'Entry Builder'!$L$8)&lt;'Entry Builder'!$E$8),--(INDEX(Sims!$A1957:$BO1957,'Entry Builder'!$L$8)&gt;'Entry Builder'!$E$8)))</f>
        <v/>
      </c>
      <c r="C1957">
        <f>IF('Entry Builder'!$N$9=0,1,IF('Entry Builder'!$D$9="Less",--(INDEX(Sims!$A1957:$BO1957,'Entry Builder'!$L$9)&lt;'Entry Builder'!$E$9),--(INDEX(Sims!$A1957:$BO1957,'Entry Builder'!$L$9)&gt;'Entry Builder'!$E$9)))</f>
        <v/>
      </c>
      <c r="D1957">
        <f>IF('Entry Builder'!$N$10=0,1,IF('Entry Builder'!$D$10="Less",--(INDEX(Sims!$A1957:$BO1957,'Entry Builder'!$L$10)&lt;'Entry Builder'!$E$10),--(INDEX(Sims!$A1957:$BO1957,'Entry Builder'!$L$10)&gt;'Entry Builder'!$E$10)))</f>
        <v/>
      </c>
      <c r="E1957">
        <f>IF('Entry Builder'!$N$11=0,1,IF('Entry Builder'!$D$11="Less",--(INDEX(Sims!$A1957:$BO1957,'Entry Builder'!$L$11)&lt;'Entry Builder'!$E$11),--(INDEX(Sims!$A1957:$BO1957,'Entry Builder'!$L$11)&gt;'Entry Builder'!$E$11)))</f>
        <v/>
      </c>
      <c r="F1957">
        <f>IF('Entry Builder'!$N$12=0,1,IF('Entry Builder'!$D$12="Less",--(INDEX(Sims!$A1957:$BO1957,'Entry Builder'!$L$12)&lt;'Entry Builder'!$E$12),--(INDEX(Sims!$A1957:$BO1957,'Entry Builder'!$L$12)&gt;'Entry Builder'!$E$12)))</f>
        <v/>
      </c>
      <c r="G1957">
        <f>6-SUM(A1957:F1957)</f>
        <v/>
      </c>
    </row>
    <row r="1958">
      <c r="A1958">
        <f>IF('Entry Builder'!$N$7=0,1,IF('Entry Builder'!$D$7="Less",--(INDEX(Sims!$A1958:$BO1958,'Entry Builder'!$L$7)&lt;'Entry Builder'!$E$7),--(INDEX(Sims!$A1958:$BO1958,'Entry Builder'!$L$7)&gt;'Entry Builder'!$E$7)))</f>
        <v/>
      </c>
      <c r="B1958">
        <f>IF('Entry Builder'!$N$8=0,1,IF('Entry Builder'!$D$8="Less",--(INDEX(Sims!$A1958:$BO1958,'Entry Builder'!$L$8)&lt;'Entry Builder'!$E$8),--(INDEX(Sims!$A1958:$BO1958,'Entry Builder'!$L$8)&gt;'Entry Builder'!$E$8)))</f>
        <v/>
      </c>
      <c r="C1958">
        <f>IF('Entry Builder'!$N$9=0,1,IF('Entry Builder'!$D$9="Less",--(INDEX(Sims!$A1958:$BO1958,'Entry Builder'!$L$9)&lt;'Entry Builder'!$E$9),--(INDEX(Sims!$A1958:$BO1958,'Entry Builder'!$L$9)&gt;'Entry Builder'!$E$9)))</f>
        <v/>
      </c>
      <c r="D1958">
        <f>IF('Entry Builder'!$N$10=0,1,IF('Entry Builder'!$D$10="Less",--(INDEX(Sims!$A1958:$BO1958,'Entry Builder'!$L$10)&lt;'Entry Builder'!$E$10),--(INDEX(Sims!$A1958:$BO1958,'Entry Builder'!$L$10)&gt;'Entry Builder'!$E$10)))</f>
        <v/>
      </c>
      <c r="E1958">
        <f>IF('Entry Builder'!$N$11=0,1,IF('Entry Builder'!$D$11="Less",--(INDEX(Sims!$A1958:$BO1958,'Entry Builder'!$L$11)&lt;'Entry Builder'!$E$11),--(INDEX(Sims!$A1958:$BO1958,'Entry Builder'!$L$11)&gt;'Entry Builder'!$E$11)))</f>
        <v/>
      </c>
      <c r="F1958">
        <f>IF('Entry Builder'!$N$12=0,1,IF('Entry Builder'!$D$12="Less",--(INDEX(Sims!$A1958:$BO1958,'Entry Builder'!$L$12)&lt;'Entry Builder'!$E$12),--(INDEX(Sims!$A1958:$BO1958,'Entry Builder'!$L$12)&gt;'Entry Builder'!$E$12)))</f>
        <v/>
      </c>
      <c r="G1958">
        <f>6-SUM(A1958:F1958)</f>
        <v/>
      </c>
    </row>
    <row r="1959">
      <c r="A1959">
        <f>IF('Entry Builder'!$N$7=0,1,IF('Entry Builder'!$D$7="Less",--(INDEX(Sims!$A1959:$BO1959,'Entry Builder'!$L$7)&lt;'Entry Builder'!$E$7),--(INDEX(Sims!$A1959:$BO1959,'Entry Builder'!$L$7)&gt;'Entry Builder'!$E$7)))</f>
        <v/>
      </c>
      <c r="B1959">
        <f>IF('Entry Builder'!$N$8=0,1,IF('Entry Builder'!$D$8="Less",--(INDEX(Sims!$A1959:$BO1959,'Entry Builder'!$L$8)&lt;'Entry Builder'!$E$8),--(INDEX(Sims!$A1959:$BO1959,'Entry Builder'!$L$8)&gt;'Entry Builder'!$E$8)))</f>
        <v/>
      </c>
      <c r="C1959">
        <f>IF('Entry Builder'!$N$9=0,1,IF('Entry Builder'!$D$9="Less",--(INDEX(Sims!$A1959:$BO1959,'Entry Builder'!$L$9)&lt;'Entry Builder'!$E$9),--(INDEX(Sims!$A1959:$BO1959,'Entry Builder'!$L$9)&gt;'Entry Builder'!$E$9)))</f>
        <v/>
      </c>
      <c r="D1959">
        <f>IF('Entry Builder'!$N$10=0,1,IF('Entry Builder'!$D$10="Less",--(INDEX(Sims!$A1959:$BO1959,'Entry Builder'!$L$10)&lt;'Entry Builder'!$E$10),--(INDEX(Sims!$A1959:$BO1959,'Entry Builder'!$L$10)&gt;'Entry Builder'!$E$10)))</f>
        <v/>
      </c>
      <c r="E1959">
        <f>IF('Entry Builder'!$N$11=0,1,IF('Entry Builder'!$D$11="Less",--(INDEX(Sims!$A1959:$BO1959,'Entry Builder'!$L$11)&lt;'Entry Builder'!$E$11),--(INDEX(Sims!$A1959:$BO1959,'Entry Builder'!$L$11)&gt;'Entry Builder'!$E$11)))</f>
        <v/>
      </c>
      <c r="F1959">
        <f>IF('Entry Builder'!$N$12=0,1,IF('Entry Builder'!$D$12="Less",--(INDEX(Sims!$A1959:$BO1959,'Entry Builder'!$L$12)&lt;'Entry Builder'!$E$12),--(INDEX(Sims!$A1959:$BO1959,'Entry Builder'!$L$12)&gt;'Entry Builder'!$E$12)))</f>
        <v/>
      </c>
      <c r="G1959">
        <f>6-SUM(A1959:F1959)</f>
        <v/>
      </c>
    </row>
    <row r="1960">
      <c r="A1960">
        <f>IF('Entry Builder'!$N$7=0,1,IF('Entry Builder'!$D$7="Less",--(INDEX(Sims!$A1960:$BO1960,'Entry Builder'!$L$7)&lt;'Entry Builder'!$E$7),--(INDEX(Sims!$A1960:$BO1960,'Entry Builder'!$L$7)&gt;'Entry Builder'!$E$7)))</f>
        <v/>
      </c>
      <c r="B1960">
        <f>IF('Entry Builder'!$N$8=0,1,IF('Entry Builder'!$D$8="Less",--(INDEX(Sims!$A1960:$BO1960,'Entry Builder'!$L$8)&lt;'Entry Builder'!$E$8),--(INDEX(Sims!$A1960:$BO1960,'Entry Builder'!$L$8)&gt;'Entry Builder'!$E$8)))</f>
        <v/>
      </c>
      <c r="C1960">
        <f>IF('Entry Builder'!$N$9=0,1,IF('Entry Builder'!$D$9="Less",--(INDEX(Sims!$A1960:$BO1960,'Entry Builder'!$L$9)&lt;'Entry Builder'!$E$9),--(INDEX(Sims!$A1960:$BO1960,'Entry Builder'!$L$9)&gt;'Entry Builder'!$E$9)))</f>
        <v/>
      </c>
      <c r="D1960">
        <f>IF('Entry Builder'!$N$10=0,1,IF('Entry Builder'!$D$10="Less",--(INDEX(Sims!$A1960:$BO1960,'Entry Builder'!$L$10)&lt;'Entry Builder'!$E$10),--(INDEX(Sims!$A1960:$BO1960,'Entry Builder'!$L$10)&gt;'Entry Builder'!$E$10)))</f>
        <v/>
      </c>
      <c r="E1960">
        <f>IF('Entry Builder'!$N$11=0,1,IF('Entry Builder'!$D$11="Less",--(INDEX(Sims!$A1960:$BO1960,'Entry Builder'!$L$11)&lt;'Entry Builder'!$E$11),--(INDEX(Sims!$A1960:$BO1960,'Entry Builder'!$L$11)&gt;'Entry Builder'!$E$11)))</f>
        <v/>
      </c>
      <c r="F1960">
        <f>IF('Entry Builder'!$N$12=0,1,IF('Entry Builder'!$D$12="Less",--(INDEX(Sims!$A1960:$BO1960,'Entry Builder'!$L$12)&lt;'Entry Builder'!$E$12),--(INDEX(Sims!$A1960:$BO1960,'Entry Builder'!$L$12)&gt;'Entry Builder'!$E$12)))</f>
        <v/>
      </c>
      <c r="G1960">
        <f>6-SUM(A1960:F1960)</f>
        <v/>
      </c>
    </row>
    <row r="1961">
      <c r="A1961">
        <f>IF('Entry Builder'!$N$7=0,1,IF('Entry Builder'!$D$7="Less",--(INDEX(Sims!$A1961:$BO1961,'Entry Builder'!$L$7)&lt;'Entry Builder'!$E$7),--(INDEX(Sims!$A1961:$BO1961,'Entry Builder'!$L$7)&gt;'Entry Builder'!$E$7)))</f>
        <v/>
      </c>
      <c r="B1961">
        <f>IF('Entry Builder'!$N$8=0,1,IF('Entry Builder'!$D$8="Less",--(INDEX(Sims!$A1961:$BO1961,'Entry Builder'!$L$8)&lt;'Entry Builder'!$E$8),--(INDEX(Sims!$A1961:$BO1961,'Entry Builder'!$L$8)&gt;'Entry Builder'!$E$8)))</f>
        <v/>
      </c>
      <c r="C1961">
        <f>IF('Entry Builder'!$N$9=0,1,IF('Entry Builder'!$D$9="Less",--(INDEX(Sims!$A1961:$BO1961,'Entry Builder'!$L$9)&lt;'Entry Builder'!$E$9),--(INDEX(Sims!$A1961:$BO1961,'Entry Builder'!$L$9)&gt;'Entry Builder'!$E$9)))</f>
        <v/>
      </c>
      <c r="D1961">
        <f>IF('Entry Builder'!$N$10=0,1,IF('Entry Builder'!$D$10="Less",--(INDEX(Sims!$A1961:$BO1961,'Entry Builder'!$L$10)&lt;'Entry Builder'!$E$10),--(INDEX(Sims!$A1961:$BO1961,'Entry Builder'!$L$10)&gt;'Entry Builder'!$E$10)))</f>
        <v/>
      </c>
      <c r="E1961">
        <f>IF('Entry Builder'!$N$11=0,1,IF('Entry Builder'!$D$11="Less",--(INDEX(Sims!$A1961:$BO1961,'Entry Builder'!$L$11)&lt;'Entry Builder'!$E$11),--(INDEX(Sims!$A1961:$BO1961,'Entry Builder'!$L$11)&gt;'Entry Builder'!$E$11)))</f>
        <v/>
      </c>
      <c r="F1961">
        <f>IF('Entry Builder'!$N$12=0,1,IF('Entry Builder'!$D$12="Less",--(INDEX(Sims!$A1961:$BO1961,'Entry Builder'!$L$12)&lt;'Entry Builder'!$E$12),--(INDEX(Sims!$A1961:$BO1961,'Entry Builder'!$L$12)&gt;'Entry Builder'!$E$12)))</f>
        <v/>
      </c>
      <c r="G1961">
        <f>6-SUM(A1961:F1961)</f>
        <v/>
      </c>
    </row>
    <row r="1962">
      <c r="A1962">
        <f>IF('Entry Builder'!$N$7=0,1,IF('Entry Builder'!$D$7="Less",--(INDEX(Sims!$A1962:$BO1962,'Entry Builder'!$L$7)&lt;'Entry Builder'!$E$7),--(INDEX(Sims!$A1962:$BO1962,'Entry Builder'!$L$7)&gt;'Entry Builder'!$E$7)))</f>
        <v/>
      </c>
      <c r="B1962">
        <f>IF('Entry Builder'!$N$8=0,1,IF('Entry Builder'!$D$8="Less",--(INDEX(Sims!$A1962:$BO1962,'Entry Builder'!$L$8)&lt;'Entry Builder'!$E$8),--(INDEX(Sims!$A1962:$BO1962,'Entry Builder'!$L$8)&gt;'Entry Builder'!$E$8)))</f>
        <v/>
      </c>
      <c r="C1962">
        <f>IF('Entry Builder'!$N$9=0,1,IF('Entry Builder'!$D$9="Less",--(INDEX(Sims!$A1962:$BO1962,'Entry Builder'!$L$9)&lt;'Entry Builder'!$E$9),--(INDEX(Sims!$A1962:$BO1962,'Entry Builder'!$L$9)&gt;'Entry Builder'!$E$9)))</f>
        <v/>
      </c>
      <c r="D1962">
        <f>IF('Entry Builder'!$N$10=0,1,IF('Entry Builder'!$D$10="Less",--(INDEX(Sims!$A1962:$BO1962,'Entry Builder'!$L$10)&lt;'Entry Builder'!$E$10),--(INDEX(Sims!$A1962:$BO1962,'Entry Builder'!$L$10)&gt;'Entry Builder'!$E$10)))</f>
        <v/>
      </c>
      <c r="E1962">
        <f>IF('Entry Builder'!$N$11=0,1,IF('Entry Builder'!$D$11="Less",--(INDEX(Sims!$A1962:$BO1962,'Entry Builder'!$L$11)&lt;'Entry Builder'!$E$11),--(INDEX(Sims!$A1962:$BO1962,'Entry Builder'!$L$11)&gt;'Entry Builder'!$E$11)))</f>
        <v/>
      </c>
      <c r="F1962">
        <f>IF('Entry Builder'!$N$12=0,1,IF('Entry Builder'!$D$12="Less",--(INDEX(Sims!$A1962:$BO1962,'Entry Builder'!$L$12)&lt;'Entry Builder'!$E$12),--(INDEX(Sims!$A1962:$BO1962,'Entry Builder'!$L$12)&gt;'Entry Builder'!$E$12)))</f>
        <v/>
      </c>
      <c r="G1962">
        <f>6-SUM(A1962:F1962)</f>
        <v/>
      </c>
    </row>
    <row r="1963">
      <c r="A1963">
        <f>IF('Entry Builder'!$N$7=0,1,IF('Entry Builder'!$D$7="Less",--(INDEX(Sims!$A1963:$BO1963,'Entry Builder'!$L$7)&lt;'Entry Builder'!$E$7),--(INDEX(Sims!$A1963:$BO1963,'Entry Builder'!$L$7)&gt;'Entry Builder'!$E$7)))</f>
        <v/>
      </c>
      <c r="B1963">
        <f>IF('Entry Builder'!$N$8=0,1,IF('Entry Builder'!$D$8="Less",--(INDEX(Sims!$A1963:$BO1963,'Entry Builder'!$L$8)&lt;'Entry Builder'!$E$8),--(INDEX(Sims!$A1963:$BO1963,'Entry Builder'!$L$8)&gt;'Entry Builder'!$E$8)))</f>
        <v/>
      </c>
      <c r="C1963">
        <f>IF('Entry Builder'!$N$9=0,1,IF('Entry Builder'!$D$9="Less",--(INDEX(Sims!$A1963:$BO1963,'Entry Builder'!$L$9)&lt;'Entry Builder'!$E$9),--(INDEX(Sims!$A1963:$BO1963,'Entry Builder'!$L$9)&gt;'Entry Builder'!$E$9)))</f>
        <v/>
      </c>
      <c r="D1963">
        <f>IF('Entry Builder'!$N$10=0,1,IF('Entry Builder'!$D$10="Less",--(INDEX(Sims!$A1963:$BO1963,'Entry Builder'!$L$10)&lt;'Entry Builder'!$E$10),--(INDEX(Sims!$A1963:$BO1963,'Entry Builder'!$L$10)&gt;'Entry Builder'!$E$10)))</f>
        <v/>
      </c>
      <c r="E1963">
        <f>IF('Entry Builder'!$N$11=0,1,IF('Entry Builder'!$D$11="Less",--(INDEX(Sims!$A1963:$BO1963,'Entry Builder'!$L$11)&lt;'Entry Builder'!$E$11),--(INDEX(Sims!$A1963:$BO1963,'Entry Builder'!$L$11)&gt;'Entry Builder'!$E$11)))</f>
        <v/>
      </c>
      <c r="F1963">
        <f>IF('Entry Builder'!$N$12=0,1,IF('Entry Builder'!$D$12="Less",--(INDEX(Sims!$A1963:$BO1963,'Entry Builder'!$L$12)&lt;'Entry Builder'!$E$12),--(INDEX(Sims!$A1963:$BO1963,'Entry Builder'!$L$12)&gt;'Entry Builder'!$E$12)))</f>
        <v/>
      </c>
      <c r="G1963">
        <f>6-SUM(A1963:F1963)</f>
        <v/>
      </c>
    </row>
    <row r="1964">
      <c r="A1964">
        <f>IF('Entry Builder'!$N$7=0,1,IF('Entry Builder'!$D$7="Less",--(INDEX(Sims!$A1964:$BO1964,'Entry Builder'!$L$7)&lt;'Entry Builder'!$E$7),--(INDEX(Sims!$A1964:$BO1964,'Entry Builder'!$L$7)&gt;'Entry Builder'!$E$7)))</f>
        <v/>
      </c>
      <c r="B1964">
        <f>IF('Entry Builder'!$N$8=0,1,IF('Entry Builder'!$D$8="Less",--(INDEX(Sims!$A1964:$BO1964,'Entry Builder'!$L$8)&lt;'Entry Builder'!$E$8),--(INDEX(Sims!$A1964:$BO1964,'Entry Builder'!$L$8)&gt;'Entry Builder'!$E$8)))</f>
        <v/>
      </c>
      <c r="C1964">
        <f>IF('Entry Builder'!$N$9=0,1,IF('Entry Builder'!$D$9="Less",--(INDEX(Sims!$A1964:$BO1964,'Entry Builder'!$L$9)&lt;'Entry Builder'!$E$9),--(INDEX(Sims!$A1964:$BO1964,'Entry Builder'!$L$9)&gt;'Entry Builder'!$E$9)))</f>
        <v/>
      </c>
      <c r="D1964">
        <f>IF('Entry Builder'!$N$10=0,1,IF('Entry Builder'!$D$10="Less",--(INDEX(Sims!$A1964:$BO1964,'Entry Builder'!$L$10)&lt;'Entry Builder'!$E$10),--(INDEX(Sims!$A1964:$BO1964,'Entry Builder'!$L$10)&gt;'Entry Builder'!$E$10)))</f>
        <v/>
      </c>
      <c r="E1964">
        <f>IF('Entry Builder'!$N$11=0,1,IF('Entry Builder'!$D$11="Less",--(INDEX(Sims!$A1964:$BO1964,'Entry Builder'!$L$11)&lt;'Entry Builder'!$E$11),--(INDEX(Sims!$A1964:$BO1964,'Entry Builder'!$L$11)&gt;'Entry Builder'!$E$11)))</f>
        <v/>
      </c>
      <c r="F1964">
        <f>IF('Entry Builder'!$N$12=0,1,IF('Entry Builder'!$D$12="Less",--(INDEX(Sims!$A1964:$BO1964,'Entry Builder'!$L$12)&lt;'Entry Builder'!$E$12),--(INDEX(Sims!$A1964:$BO1964,'Entry Builder'!$L$12)&gt;'Entry Builder'!$E$12)))</f>
        <v/>
      </c>
      <c r="G1964">
        <f>6-SUM(A1964:F1964)</f>
        <v/>
      </c>
    </row>
    <row r="1965">
      <c r="A1965">
        <f>IF('Entry Builder'!$N$7=0,1,IF('Entry Builder'!$D$7="Less",--(INDEX(Sims!$A1965:$BO1965,'Entry Builder'!$L$7)&lt;'Entry Builder'!$E$7),--(INDEX(Sims!$A1965:$BO1965,'Entry Builder'!$L$7)&gt;'Entry Builder'!$E$7)))</f>
        <v/>
      </c>
      <c r="B1965">
        <f>IF('Entry Builder'!$N$8=0,1,IF('Entry Builder'!$D$8="Less",--(INDEX(Sims!$A1965:$BO1965,'Entry Builder'!$L$8)&lt;'Entry Builder'!$E$8),--(INDEX(Sims!$A1965:$BO1965,'Entry Builder'!$L$8)&gt;'Entry Builder'!$E$8)))</f>
        <v/>
      </c>
      <c r="C1965">
        <f>IF('Entry Builder'!$N$9=0,1,IF('Entry Builder'!$D$9="Less",--(INDEX(Sims!$A1965:$BO1965,'Entry Builder'!$L$9)&lt;'Entry Builder'!$E$9),--(INDEX(Sims!$A1965:$BO1965,'Entry Builder'!$L$9)&gt;'Entry Builder'!$E$9)))</f>
        <v/>
      </c>
      <c r="D1965">
        <f>IF('Entry Builder'!$N$10=0,1,IF('Entry Builder'!$D$10="Less",--(INDEX(Sims!$A1965:$BO1965,'Entry Builder'!$L$10)&lt;'Entry Builder'!$E$10),--(INDEX(Sims!$A1965:$BO1965,'Entry Builder'!$L$10)&gt;'Entry Builder'!$E$10)))</f>
        <v/>
      </c>
      <c r="E1965">
        <f>IF('Entry Builder'!$N$11=0,1,IF('Entry Builder'!$D$11="Less",--(INDEX(Sims!$A1965:$BO1965,'Entry Builder'!$L$11)&lt;'Entry Builder'!$E$11),--(INDEX(Sims!$A1965:$BO1965,'Entry Builder'!$L$11)&gt;'Entry Builder'!$E$11)))</f>
        <v/>
      </c>
      <c r="F1965">
        <f>IF('Entry Builder'!$N$12=0,1,IF('Entry Builder'!$D$12="Less",--(INDEX(Sims!$A1965:$BO1965,'Entry Builder'!$L$12)&lt;'Entry Builder'!$E$12),--(INDEX(Sims!$A1965:$BO1965,'Entry Builder'!$L$12)&gt;'Entry Builder'!$E$12)))</f>
        <v/>
      </c>
      <c r="G1965">
        <f>6-SUM(A1965:F1965)</f>
        <v/>
      </c>
    </row>
    <row r="1966">
      <c r="A1966">
        <f>IF('Entry Builder'!$N$7=0,1,IF('Entry Builder'!$D$7="Less",--(INDEX(Sims!$A1966:$BO1966,'Entry Builder'!$L$7)&lt;'Entry Builder'!$E$7),--(INDEX(Sims!$A1966:$BO1966,'Entry Builder'!$L$7)&gt;'Entry Builder'!$E$7)))</f>
        <v/>
      </c>
      <c r="B1966">
        <f>IF('Entry Builder'!$N$8=0,1,IF('Entry Builder'!$D$8="Less",--(INDEX(Sims!$A1966:$BO1966,'Entry Builder'!$L$8)&lt;'Entry Builder'!$E$8),--(INDEX(Sims!$A1966:$BO1966,'Entry Builder'!$L$8)&gt;'Entry Builder'!$E$8)))</f>
        <v/>
      </c>
      <c r="C1966">
        <f>IF('Entry Builder'!$N$9=0,1,IF('Entry Builder'!$D$9="Less",--(INDEX(Sims!$A1966:$BO1966,'Entry Builder'!$L$9)&lt;'Entry Builder'!$E$9),--(INDEX(Sims!$A1966:$BO1966,'Entry Builder'!$L$9)&gt;'Entry Builder'!$E$9)))</f>
        <v/>
      </c>
      <c r="D1966">
        <f>IF('Entry Builder'!$N$10=0,1,IF('Entry Builder'!$D$10="Less",--(INDEX(Sims!$A1966:$BO1966,'Entry Builder'!$L$10)&lt;'Entry Builder'!$E$10),--(INDEX(Sims!$A1966:$BO1966,'Entry Builder'!$L$10)&gt;'Entry Builder'!$E$10)))</f>
        <v/>
      </c>
      <c r="E1966">
        <f>IF('Entry Builder'!$N$11=0,1,IF('Entry Builder'!$D$11="Less",--(INDEX(Sims!$A1966:$BO1966,'Entry Builder'!$L$11)&lt;'Entry Builder'!$E$11),--(INDEX(Sims!$A1966:$BO1966,'Entry Builder'!$L$11)&gt;'Entry Builder'!$E$11)))</f>
        <v/>
      </c>
      <c r="F1966">
        <f>IF('Entry Builder'!$N$12=0,1,IF('Entry Builder'!$D$12="Less",--(INDEX(Sims!$A1966:$BO1966,'Entry Builder'!$L$12)&lt;'Entry Builder'!$E$12),--(INDEX(Sims!$A1966:$BO1966,'Entry Builder'!$L$12)&gt;'Entry Builder'!$E$12)))</f>
        <v/>
      </c>
      <c r="G1966">
        <f>6-SUM(A1966:F1966)</f>
        <v/>
      </c>
    </row>
    <row r="1967">
      <c r="A1967">
        <f>IF('Entry Builder'!$N$7=0,1,IF('Entry Builder'!$D$7="Less",--(INDEX(Sims!$A1967:$BO1967,'Entry Builder'!$L$7)&lt;'Entry Builder'!$E$7),--(INDEX(Sims!$A1967:$BO1967,'Entry Builder'!$L$7)&gt;'Entry Builder'!$E$7)))</f>
        <v/>
      </c>
      <c r="B1967">
        <f>IF('Entry Builder'!$N$8=0,1,IF('Entry Builder'!$D$8="Less",--(INDEX(Sims!$A1967:$BO1967,'Entry Builder'!$L$8)&lt;'Entry Builder'!$E$8),--(INDEX(Sims!$A1967:$BO1967,'Entry Builder'!$L$8)&gt;'Entry Builder'!$E$8)))</f>
        <v/>
      </c>
      <c r="C1967">
        <f>IF('Entry Builder'!$N$9=0,1,IF('Entry Builder'!$D$9="Less",--(INDEX(Sims!$A1967:$BO1967,'Entry Builder'!$L$9)&lt;'Entry Builder'!$E$9),--(INDEX(Sims!$A1967:$BO1967,'Entry Builder'!$L$9)&gt;'Entry Builder'!$E$9)))</f>
        <v/>
      </c>
      <c r="D1967">
        <f>IF('Entry Builder'!$N$10=0,1,IF('Entry Builder'!$D$10="Less",--(INDEX(Sims!$A1967:$BO1967,'Entry Builder'!$L$10)&lt;'Entry Builder'!$E$10),--(INDEX(Sims!$A1967:$BO1967,'Entry Builder'!$L$10)&gt;'Entry Builder'!$E$10)))</f>
        <v/>
      </c>
      <c r="E1967">
        <f>IF('Entry Builder'!$N$11=0,1,IF('Entry Builder'!$D$11="Less",--(INDEX(Sims!$A1967:$BO1967,'Entry Builder'!$L$11)&lt;'Entry Builder'!$E$11),--(INDEX(Sims!$A1967:$BO1967,'Entry Builder'!$L$11)&gt;'Entry Builder'!$E$11)))</f>
        <v/>
      </c>
      <c r="F1967">
        <f>IF('Entry Builder'!$N$12=0,1,IF('Entry Builder'!$D$12="Less",--(INDEX(Sims!$A1967:$BO1967,'Entry Builder'!$L$12)&lt;'Entry Builder'!$E$12),--(INDEX(Sims!$A1967:$BO1967,'Entry Builder'!$L$12)&gt;'Entry Builder'!$E$12)))</f>
        <v/>
      </c>
      <c r="G1967">
        <f>6-SUM(A1967:F1967)</f>
        <v/>
      </c>
    </row>
    <row r="1968">
      <c r="A1968">
        <f>IF('Entry Builder'!$N$7=0,1,IF('Entry Builder'!$D$7="Less",--(INDEX(Sims!$A1968:$BO1968,'Entry Builder'!$L$7)&lt;'Entry Builder'!$E$7),--(INDEX(Sims!$A1968:$BO1968,'Entry Builder'!$L$7)&gt;'Entry Builder'!$E$7)))</f>
        <v/>
      </c>
      <c r="B1968">
        <f>IF('Entry Builder'!$N$8=0,1,IF('Entry Builder'!$D$8="Less",--(INDEX(Sims!$A1968:$BO1968,'Entry Builder'!$L$8)&lt;'Entry Builder'!$E$8),--(INDEX(Sims!$A1968:$BO1968,'Entry Builder'!$L$8)&gt;'Entry Builder'!$E$8)))</f>
        <v/>
      </c>
      <c r="C1968">
        <f>IF('Entry Builder'!$N$9=0,1,IF('Entry Builder'!$D$9="Less",--(INDEX(Sims!$A1968:$BO1968,'Entry Builder'!$L$9)&lt;'Entry Builder'!$E$9),--(INDEX(Sims!$A1968:$BO1968,'Entry Builder'!$L$9)&gt;'Entry Builder'!$E$9)))</f>
        <v/>
      </c>
      <c r="D1968">
        <f>IF('Entry Builder'!$N$10=0,1,IF('Entry Builder'!$D$10="Less",--(INDEX(Sims!$A1968:$BO1968,'Entry Builder'!$L$10)&lt;'Entry Builder'!$E$10),--(INDEX(Sims!$A1968:$BO1968,'Entry Builder'!$L$10)&gt;'Entry Builder'!$E$10)))</f>
        <v/>
      </c>
      <c r="E1968">
        <f>IF('Entry Builder'!$N$11=0,1,IF('Entry Builder'!$D$11="Less",--(INDEX(Sims!$A1968:$BO1968,'Entry Builder'!$L$11)&lt;'Entry Builder'!$E$11),--(INDEX(Sims!$A1968:$BO1968,'Entry Builder'!$L$11)&gt;'Entry Builder'!$E$11)))</f>
        <v/>
      </c>
      <c r="F1968">
        <f>IF('Entry Builder'!$N$12=0,1,IF('Entry Builder'!$D$12="Less",--(INDEX(Sims!$A1968:$BO1968,'Entry Builder'!$L$12)&lt;'Entry Builder'!$E$12),--(INDEX(Sims!$A1968:$BO1968,'Entry Builder'!$L$12)&gt;'Entry Builder'!$E$12)))</f>
        <v/>
      </c>
      <c r="G1968">
        <f>6-SUM(A1968:F1968)</f>
        <v/>
      </c>
    </row>
    <row r="1969">
      <c r="A1969">
        <f>IF('Entry Builder'!$N$7=0,1,IF('Entry Builder'!$D$7="Less",--(INDEX(Sims!$A1969:$BO1969,'Entry Builder'!$L$7)&lt;'Entry Builder'!$E$7),--(INDEX(Sims!$A1969:$BO1969,'Entry Builder'!$L$7)&gt;'Entry Builder'!$E$7)))</f>
        <v/>
      </c>
      <c r="B1969">
        <f>IF('Entry Builder'!$N$8=0,1,IF('Entry Builder'!$D$8="Less",--(INDEX(Sims!$A1969:$BO1969,'Entry Builder'!$L$8)&lt;'Entry Builder'!$E$8),--(INDEX(Sims!$A1969:$BO1969,'Entry Builder'!$L$8)&gt;'Entry Builder'!$E$8)))</f>
        <v/>
      </c>
      <c r="C1969">
        <f>IF('Entry Builder'!$N$9=0,1,IF('Entry Builder'!$D$9="Less",--(INDEX(Sims!$A1969:$BO1969,'Entry Builder'!$L$9)&lt;'Entry Builder'!$E$9),--(INDEX(Sims!$A1969:$BO1969,'Entry Builder'!$L$9)&gt;'Entry Builder'!$E$9)))</f>
        <v/>
      </c>
      <c r="D1969">
        <f>IF('Entry Builder'!$N$10=0,1,IF('Entry Builder'!$D$10="Less",--(INDEX(Sims!$A1969:$BO1969,'Entry Builder'!$L$10)&lt;'Entry Builder'!$E$10),--(INDEX(Sims!$A1969:$BO1969,'Entry Builder'!$L$10)&gt;'Entry Builder'!$E$10)))</f>
        <v/>
      </c>
      <c r="E1969">
        <f>IF('Entry Builder'!$N$11=0,1,IF('Entry Builder'!$D$11="Less",--(INDEX(Sims!$A1969:$BO1969,'Entry Builder'!$L$11)&lt;'Entry Builder'!$E$11),--(INDEX(Sims!$A1969:$BO1969,'Entry Builder'!$L$11)&gt;'Entry Builder'!$E$11)))</f>
        <v/>
      </c>
      <c r="F1969">
        <f>IF('Entry Builder'!$N$12=0,1,IF('Entry Builder'!$D$12="Less",--(INDEX(Sims!$A1969:$BO1969,'Entry Builder'!$L$12)&lt;'Entry Builder'!$E$12),--(INDEX(Sims!$A1969:$BO1969,'Entry Builder'!$L$12)&gt;'Entry Builder'!$E$12)))</f>
        <v/>
      </c>
      <c r="G1969">
        <f>6-SUM(A1969:F1969)</f>
        <v/>
      </c>
    </row>
    <row r="1970">
      <c r="A1970">
        <f>IF('Entry Builder'!$N$7=0,1,IF('Entry Builder'!$D$7="Less",--(INDEX(Sims!$A1970:$BO1970,'Entry Builder'!$L$7)&lt;'Entry Builder'!$E$7),--(INDEX(Sims!$A1970:$BO1970,'Entry Builder'!$L$7)&gt;'Entry Builder'!$E$7)))</f>
        <v/>
      </c>
      <c r="B1970">
        <f>IF('Entry Builder'!$N$8=0,1,IF('Entry Builder'!$D$8="Less",--(INDEX(Sims!$A1970:$BO1970,'Entry Builder'!$L$8)&lt;'Entry Builder'!$E$8),--(INDEX(Sims!$A1970:$BO1970,'Entry Builder'!$L$8)&gt;'Entry Builder'!$E$8)))</f>
        <v/>
      </c>
      <c r="C1970">
        <f>IF('Entry Builder'!$N$9=0,1,IF('Entry Builder'!$D$9="Less",--(INDEX(Sims!$A1970:$BO1970,'Entry Builder'!$L$9)&lt;'Entry Builder'!$E$9),--(INDEX(Sims!$A1970:$BO1970,'Entry Builder'!$L$9)&gt;'Entry Builder'!$E$9)))</f>
        <v/>
      </c>
      <c r="D1970">
        <f>IF('Entry Builder'!$N$10=0,1,IF('Entry Builder'!$D$10="Less",--(INDEX(Sims!$A1970:$BO1970,'Entry Builder'!$L$10)&lt;'Entry Builder'!$E$10),--(INDEX(Sims!$A1970:$BO1970,'Entry Builder'!$L$10)&gt;'Entry Builder'!$E$10)))</f>
        <v/>
      </c>
      <c r="E1970">
        <f>IF('Entry Builder'!$N$11=0,1,IF('Entry Builder'!$D$11="Less",--(INDEX(Sims!$A1970:$BO1970,'Entry Builder'!$L$11)&lt;'Entry Builder'!$E$11),--(INDEX(Sims!$A1970:$BO1970,'Entry Builder'!$L$11)&gt;'Entry Builder'!$E$11)))</f>
        <v/>
      </c>
      <c r="F1970">
        <f>IF('Entry Builder'!$N$12=0,1,IF('Entry Builder'!$D$12="Less",--(INDEX(Sims!$A1970:$BO1970,'Entry Builder'!$L$12)&lt;'Entry Builder'!$E$12),--(INDEX(Sims!$A1970:$BO1970,'Entry Builder'!$L$12)&gt;'Entry Builder'!$E$12)))</f>
        <v/>
      </c>
      <c r="G1970">
        <f>6-SUM(A1970:F1970)</f>
        <v/>
      </c>
    </row>
    <row r="1971">
      <c r="A1971">
        <f>IF('Entry Builder'!$N$7=0,1,IF('Entry Builder'!$D$7="Less",--(INDEX(Sims!$A1971:$BO1971,'Entry Builder'!$L$7)&lt;'Entry Builder'!$E$7),--(INDEX(Sims!$A1971:$BO1971,'Entry Builder'!$L$7)&gt;'Entry Builder'!$E$7)))</f>
        <v/>
      </c>
      <c r="B1971">
        <f>IF('Entry Builder'!$N$8=0,1,IF('Entry Builder'!$D$8="Less",--(INDEX(Sims!$A1971:$BO1971,'Entry Builder'!$L$8)&lt;'Entry Builder'!$E$8),--(INDEX(Sims!$A1971:$BO1971,'Entry Builder'!$L$8)&gt;'Entry Builder'!$E$8)))</f>
        <v/>
      </c>
      <c r="C1971">
        <f>IF('Entry Builder'!$N$9=0,1,IF('Entry Builder'!$D$9="Less",--(INDEX(Sims!$A1971:$BO1971,'Entry Builder'!$L$9)&lt;'Entry Builder'!$E$9),--(INDEX(Sims!$A1971:$BO1971,'Entry Builder'!$L$9)&gt;'Entry Builder'!$E$9)))</f>
        <v/>
      </c>
      <c r="D1971">
        <f>IF('Entry Builder'!$N$10=0,1,IF('Entry Builder'!$D$10="Less",--(INDEX(Sims!$A1971:$BO1971,'Entry Builder'!$L$10)&lt;'Entry Builder'!$E$10),--(INDEX(Sims!$A1971:$BO1971,'Entry Builder'!$L$10)&gt;'Entry Builder'!$E$10)))</f>
        <v/>
      </c>
      <c r="E1971">
        <f>IF('Entry Builder'!$N$11=0,1,IF('Entry Builder'!$D$11="Less",--(INDEX(Sims!$A1971:$BO1971,'Entry Builder'!$L$11)&lt;'Entry Builder'!$E$11),--(INDEX(Sims!$A1971:$BO1971,'Entry Builder'!$L$11)&gt;'Entry Builder'!$E$11)))</f>
        <v/>
      </c>
      <c r="F1971">
        <f>IF('Entry Builder'!$N$12=0,1,IF('Entry Builder'!$D$12="Less",--(INDEX(Sims!$A1971:$BO1971,'Entry Builder'!$L$12)&lt;'Entry Builder'!$E$12),--(INDEX(Sims!$A1971:$BO1971,'Entry Builder'!$L$12)&gt;'Entry Builder'!$E$12)))</f>
        <v/>
      </c>
      <c r="G1971">
        <f>6-SUM(A1971:F1971)</f>
        <v/>
      </c>
    </row>
    <row r="1972">
      <c r="A1972">
        <f>IF('Entry Builder'!$N$7=0,1,IF('Entry Builder'!$D$7="Less",--(INDEX(Sims!$A1972:$BO1972,'Entry Builder'!$L$7)&lt;'Entry Builder'!$E$7),--(INDEX(Sims!$A1972:$BO1972,'Entry Builder'!$L$7)&gt;'Entry Builder'!$E$7)))</f>
        <v/>
      </c>
      <c r="B1972">
        <f>IF('Entry Builder'!$N$8=0,1,IF('Entry Builder'!$D$8="Less",--(INDEX(Sims!$A1972:$BO1972,'Entry Builder'!$L$8)&lt;'Entry Builder'!$E$8),--(INDEX(Sims!$A1972:$BO1972,'Entry Builder'!$L$8)&gt;'Entry Builder'!$E$8)))</f>
        <v/>
      </c>
      <c r="C1972">
        <f>IF('Entry Builder'!$N$9=0,1,IF('Entry Builder'!$D$9="Less",--(INDEX(Sims!$A1972:$BO1972,'Entry Builder'!$L$9)&lt;'Entry Builder'!$E$9),--(INDEX(Sims!$A1972:$BO1972,'Entry Builder'!$L$9)&gt;'Entry Builder'!$E$9)))</f>
        <v/>
      </c>
      <c r="D1972">
        <f>IF('Entry Builder'!$N$10=0,1,IF('Entry Builder'!$D$10="Less",--(INDEX(Sims!$A1972:$BO1972,'Entry Builder'!$L$10)&lt;'Entry Builder'!$E$10),--(INDEX(Sims!$A1972:$BO1972,'Entry Builder'!$L$10)&gt;'Entry Builder'!$E$10)))</f>
        <v/>
      </c>
      <c r="E1972">
        <f>IF('Entry Builder'!$N$11=0,1,IF('Entry Builder'!$D$11="Less",--(INDEX(Sims!$A1972:$BO1972,'Entry Builder'!$L$11)&lt;'Entry Builder'!$E$11),--(INDEX(Sims!$A1972:$BO1972,'Entry Builder'!$L$11)&gt;'Entry Builder'!$E$11)))</f>
        <v/>
      </c>
      <c r="F1972">
        <f>IF('Entry Builder'!$N$12=0,1,IF('Entry Builder'!$D$12="Less",--(INDEX(Sims!$A1972:$BO1972,'Entry Builder'!$L$12)&lt;'Entry Builder'!$E$12),--(INDEX(Sims!$A1972:$BO1972,'Entry Builder'!$L$12)&gt;'Entry Builder'!$E$12)))</f>
        <v/>
      </c>
      <c r="G1972">
        <f>6-SUM(A1972:F1972)</f>
        <v/>
      </c>
    </row>
    <row r="1973">
      <c r="A1973">
        <f>IF('Entry Builder'!$N$7=0,1,IF('Entry Builder'!$D$7="Less",--(INDEX(Sims!$A1973:$BO1973,'Entry Builder'!$L$7)&lt;'Entry Builder'!$E$7),--(INDEX(Sims!$A1973:$BO1973,'Entry Builder'!$L$7)&gt;'Entry Builder'!$E$7)))</f>
        <v/>
      </c>
      <c r="B1973">
        <f>IF('Entry Builder'!$N$8=0,1,IF('Entry Builder'!$D$8="Less",--(INDEX(Sims!$A1973:$BO1973,'Entry Builder'!$L$8)&lt;'Entry Builder'!$E$8),--(INDEX(Sims!$A1973:$BO1973,'Entry Builder'!$L$8)&gt;'Entry Builder'!$E$8)))</f>
        <v/>
      </c>
      <c r="C1973">
        <f>IF('Entry Builder'!$N$9=0,1,IF('Entry Builder'!$D$9="Less",--(INDEX(Sims!$A1973:$BO1973,'Entry Builder'!$L$9)&lt;'Entry Builder'!$E$9),--(INDEX(Sims!$A1973:$BO1973,'Entry Builder'!$L$9)&gt;'Entry Builder'!$E$9)))</f>
        <v/>
      </c>
      <c r="D1973">
        <f>IF('Entry Builder'!$N$10=0,1,IF('Entry Builder'!$D$10="Less",--(INDEX(Sims!$A1973:$BO1973,'Entry Builder'!$L$10)&lt;'Entry Builder'!$E$10),--(INDEX(Sims!$A1973:$BO1973,'Entry Builder'!$L$10)&gt;'Entry Builder'!$E$10)))</f>
        <v/>
      </c>
      <c r="E1973">
        <f>IF('Entry Builder'!$N$11=0,1,IF('Entry Builder'!$D$11="Less",--(INDEX(Sims!$A1973:$BO1973,'Entry Builder'!$L$11)&lt;'Entry Builder'!$E$11),--(INDEX(Sims!$A1973:$BO1973,'Entry Builder'!$L$11)&gt;'Entry Builder'!$E$11)))</f>
        <v/>
      </c>
      <c r="F1973">
        <f>IF('Entry Builder'!$N$12=0,1,IF('Entry Builder'!$D$12="Less",--(INDEX(Sims!$A1973:$BO1973,'Entry Builder'!$L$12)&lt;'Entry Builder'!$E$12),--(INDEX(Sims!$A1973:$BO1973,'Entry Builder'!$L$12)&gt;'Entry Builder'!$E$12)))</f>
        <v/>
      </c>
      <c r="G1973">
        <f>6-SUM(A1973:F1973)</f>
        <v/>
      </c>
    </row>
    <row r="1974">
      <c r="A1974">
        <f>IF('Entry Builder'!$N$7=0,1,IF('Entry Builder'!$D$7="Less",--(INDEX(Sims!$A1974:$BO1974,'Entry Builder'!$L$7)&lt;'Entry Builder'!$E$7),--(INDEX(Sims!$A1974:$BO1974,'Entry Builder'!$L$7)&gt;'Entry Builder'!$E$7)))</f>
        <v/>
      </c>
      <c r="B1974">
        <f>IF('Entry Builder'!$N$8=0,1,IF('Entry Builder'!$D$8="Less",--(INDEX(Sims!$A1974:$BO1974,'Entry Builder'!$L$8)&lt;'Entry Builder'!$E$8),--(INDEX(Sims!$A1974:$BO1974,'Entry Builder'!$L$8)&gt;'Entry Builder'!$E$8)))</f>
        <v/>
      </c>
      <c r="C1974">
        <f>IF('Entry Builder'!$N$9=0,1,IF('Entry Builder'!$D$9="Less",--(INDEX(Sims!$A1974:$BO1974,'Entry Builder'!$L$9)&lt;'Entry Builder'!$E$9),--(INDEX(Sims!$A1974:$BO1974,'Entry Builder'!$L$9)&gt;'Entry Builder'!$E$9)))</f>
        <v/>
      </c>
      <c r="D1974">
        <f>IF('Entry Builder'!$N$10=0,1,IF('Entry Builder'!$D$10="Less",--(INDEX(Sims!$A1974:$BO1974,'Entry Builder'!$L$10)&lt;'Entry Builder'!$E$10),--(INDEX(Sims!$A1974:$BO1974,'Entry Builder'!$L$10)&gt;'Entry Builder'!$E$10)))</f>
        <v/>
      </c>
      <c r="E1974">
        <f>IF('Entry Builder'!$N$11=0,1,IF('Entry Builder'!$D$11="Less",--(INDEX(Sims!$A1974:$BO1974,'Entry Builder'!$L$11)&lt;'Entry Builder'!$E$11),--(INDEX(Sims!$A1974:$BO1974,'Entry Builder'!$L$11)&gt;'Entry Builder'!$E$11)))</f>
        <v/>
      </c>
      <c r="F1974">
        <f>IF('Entry Builder'!$N$12=0,1,IF('Entry Builder'!$D$12="Less",--(INDEX(Sims!$A1974:$BO1974,'Entry Builder'!$L$12)&lt;'Entry Builder'!$E$12),--(INDEX(Sims!$A1974:$BO1974,'Entry Builder'!$L$12)&gt;'Entry Builder'!$E$12)))</f>
        <v/>
      </c>
      <c r="G1974">
        <f>6-SUM(A1974:F1974)</f>
        <v/>
      </c>
    </row>
    <row r="1975">
      <c r="A1975">
        <f>IF('Entry Builder'!$N$7=0,1,IF('Entry Builder'!$D$7="Less",--(INDEX(Sims!$A1975:$BO1975,'Entry Builder'!$L$7)&lt;'Entry Builder'!$E$7),--(INDEX(Sims!$A1975:$BO1975,'Entry Builder'!$L$7)&gt;'Entry Builder'!$E$7)))</f>
        <v/>
      </c>
      <c r="B1975">
        <f>IF('Entry Builder'!$N$8=0,1,IF('Entry Builder'!$D$8="Less",--(INDEX(Sims!$A1975:$BO1975,'Entry Builder'!$L$8)&lt;'Entry Builder'!$E$8),--(INDEX(Sims!$A1975:$BO1975,'Entry Builder'!$L$8)&gt;'Entry Builder'!$E$8)))</f>
        <v/>
      </c>
      <c r="C1975">
        <f>IF('Entry Builder'!$N$9=0,1,IF('Entry Builder'!$D$9="Less",--(INDEX(Sims!$A1975:$BO1975,'Entry Builder'!$L$9)&lt;'Entry Builder'!$E$9),--(INDEX(Sims!$A1975:$BO1975,'Entry Builder'!$L$9)&gt;'Entry Builder'!$E$9)))</f>
        <v/>
      </c>
      <c r="D1975">
        <f>IF('Entry Builder'!$N$10=0,1,IF('Entry Builder'!$D$10="Less",--(INDEX(Sims!$A1975:$BO1975,'Entry Builder'!$L$10)&lt;'Entry Builder'!$E$10),--(INDEX(Sims!$A1975:$BO1975,'Entry Builder'!$L$10)&gt;'Entry Builder'!$E$10)))</f>
        <v/>
      </c>
      <c r="E1975">
        <f>IF('Entry Builder'!$N$11=0,1,IF('Entry Builder'!$D$11="Less",--(INDEX(Sims!$A1975:$BO1975,'Entry Builder'!$L$11)&lt;'Entry Builder'!$E$11),--(INDEX(Sims!$A1975:$BO1975,'Entry Builder'!$L$11)&gt;'Entry Builder'!$E$11)))</f>
        <v/>
      </c>
      <c r="F1975">
        <f>IF('Entry Builder'!$N$12=0,1,IF('Entry Builder'!$D$12="Less",--(INDEX(Sims!$A1975:$BO1975,'Entry Builder'!$L$12)&lt;'Entry Builder'!$E$12),--(INDEX(Sims!$A1975:$BO1975,'Entry Builder'!$L$12)&gt;'Entry Builder'!$E$12)))</f>
        <v/>
      </c>
      <c r="G1975">
        <f>6-SUM(A1975:F1975)</f>
        <v/>
      </c>
    </row>
    <row r="1976">
      <c r="A1976">
        <f>IF('Entry Builder'!$N$7=0,1,IF('Entry Builder'!$D$7="Less",--(INDEX(Sims!$A1976:$BO1976,'Entry Builder'!$L$7)&lt;'Entry Builder'!$E$7),--(INDEX(Sims!$A1976:$BO1976,'Entry Builder'!$L$7)&gt;'Entry Builder'!$E$7)))</f>
        <v/>
      </c>
      <c r="B1976">
        <f>IF('Entry Builder'!$N$8=0,1,IF('Entry Builder'!$D$8="Less",--(INDEX(Sims!$A1976:$BO1976,'Entry Builder'!$L$8)&lt;'Entry Builder'!$E$8),--(INDEX(Sims!$A1976:$BO1976,'Entry Builder'!$L$8)&gt;'Entry Builder'!$E$8)))</f>
        <v/>
      </c>
      <c r="C1976">
        <f>IF('Entry Builder'!$N$9=0,1,IF('Entry Builder'!$D$9="Less",--(INDEX(Sims!$A1976:$BO1976,'Entry Builder'!$L$9)&lt;'Entry Builder'!$E$9),--(INDEX(Sims!$A1976:$BO1976,'Entry Builder'!$L$9)&gt;'Entry Builder'!$E$9)))</f>
        <v/>
      </c>
      <c r="D1976">
        <f>IF('Entry Builder'!$N$10=0,1,IF('Entry Builder'!$D$10="Less",--(INDEX(Sims!$A1976:$BO1976,'Entry Builder'!$L$10)&lt;'Entry Builder'!$E$10),--(INDEX(Sims!$A1976:$BO1976,'Entry Builder'!$L$10)&gt;'Entry Builder'!$E$10)))</f>
        <v/>
      </c>
      <c r="E1976">
        <f>IF('Entry Builder'!$N$11=0,1,IF('Entry Builder'!$D$11="Less",--(INDEX(Sims!$A1976:$BO1976,'Entry Builder'!$L$11)&lt;'Entry Builder'!$E$11),--(INDEX(Sims!$A1976:$BO1976,'Entry Builder'!$L$11)&gt;'Entry Builder'!$E$11)))</f>
        <v/>
      </c>
      <c r="F1976">
        <f>IF('Entry Builder'!$N$12=0,1,IF('Entry Builder'!$D$12="Less",--(INDEX(Sims!$A1976:$BO1976,'Entry Builder'!$L$12)&lt;'Entry Builder'!$E$12),--(INDEX(Sims!$A1976:$BO1976,'Entry Builder'!$L$12)&gt;'Entry Builder'!$E$12)))</f>
        <v/>
      </c>
      <c r="G1976">
        <f>6-SUM(A1976:F1976)</f>
        <v/>
      </c>
    </row>
    <row r="1977">
      <c r="A1977">
        <f>IF('Entry Builder'!$N$7=0,1,IF('Entry Builder'!$D$7="Less",--(INDEX(Sims!$A1977:$BO1977,'Entry Builder'!$L$7)&lt;'Entry Builder'!$E$7),--(INDEX(Sims!$A1977:$BO1977,'Entry Builder'!$L$7)&gt;'Entry Builder'!$E$7)))</f>
        <v/>
      </c>
      <c r="B1977">
        <f>IF('Entry Builder'!$N$8=0,1,IF('Entry Builder'!$D$8="Less",--(INDEX(Sims!$A1977:$BO1977,'Entry Builder'!$L$8)&lt;'Entry Builder'!$E$8),--(INDEX(Sims!$A1977:$BO1977,'Entry Builder'!$L$8)&gt;'Entry Builder'!$E$8)))</f>
        <v/>
      </c>
      <c r="C1977">
        <f>IF('Entry Builder'!$N$9=0,1,IF('Entry Builder'!$D$9="Less",--(INDEX(Sims!$A1977:$BO1977,'Entry Builder'!$L$9)&lt;'Entry Builder'!$E$9),--(INDEX(Sims!$A1977:$BO1977,'Entry Builder'!$L$9)&gt;'Entry Builder'!$E$9)))</f>
        <v/>
      </c>
      <c r="D1977">
        <f>IF('Entry Builder'!$N$10=0,1,IF('Entry Builder'!$D$10="Less",--(INDEX(Sims!$A1977:$BO1977,'Entry Builder'!$L$10)&lt;'Entry Builder'!$E$10),--(INDEX(Sims!$A1977:$BO1977,'Entry Builder'!$L$10)&gt;'Entry Builder'!$E$10)))</f>
        <v/>
      </c>
      <c r="E1977">
        <f>IF('Entry Builder'!$N$11=0,1,IF('Entry Builder'!$D$11="Less",--(INDEX(Sims!$A1977:$BO1977,'Entry Builder'!$L$11)&lt;'Entry Builder'!$E$11),--(INDEX(Sims!$A1977:$BO1977,'Entry Builder'!$L$11)&gt;'Entry Builder'!$E$11)))</f>
        <v/>
      </c>
      <c r="F1977">
        <f>IF('Entry Builder'!$N$12=0,1,IF('Entry Builder'!$D$12="Less",--(INDEX(Sims!$A1977:$BO1977,'Entry Builder'!$L$12)&lt;'Entry Builder'!$E$12),--(INDEX(Sims!$A1977:$BO1977,'Entry Builder'!$L$12)&gt;'Entry Builder'!$E$12)))</f>
        <v/>
      </c>
      <c r="G1977">
        <f>6-SUM(A1977:F1977)</f>
        <v/>
      </c>
    </row>
    <row r="1978">
      <c r="A1978">
        <f>IF('Entry Builder'!$N$7=0,1,IF('Entry Builder'!$D$7="Less",--(INDEX(Sims!$A1978:$BO1978,'Entry Builder'!$L$7)&lt;'Entry Builder'!$E$7),--(INDEX(Sims!$A1978:$BO1978,'Entry Builder'!$L$7)&gt;'Entry Builder'!$E$7)))</f>
        <v/>
      </c>
      <c r="B1978">
        <f>IF('Entry Builder'!$N$8=0,1,IF('Entry Builder'!$D$8="Less",--(INDEX(Sims!$A1978:$BO1978,'Entry Builder'!$L$8)&lt;'Entry Builder'!$E$8),--(INDEX(Sims!$A1978:$BO1978,'Entry Builder'!$L$8)&gt;'Entry Builder'!$E$8)))</f>
        <v/>
      </c>
      <c r="C1978">
        <f>IF('Entry Builder'!$N$9=0,1,IF('Entry Builder'!$D$9="Less",--(INDEX(Sims!$A1978:$BO1978,'Entry Builder'!$L$9)&lt;'Entry Builder'!$E$9),--(INDEX(Sims!$A1978:$BO1978,'Entry Builder'!$L$9)&gt;'Entry Builder'!$E$9)))</f>
        <v/>
      </c>
      <c r="D1978">
        <f>IF('Entry Builder'!$N$10=0,1,IF('Entry Builder'!$D$10="Less",--(INDEX(Sims!$A1978:$BO1978,'Entry Builder'!$L$10)&lt;'Entry Builder'!$E$10),--(INDEX(Sims!$A1978:$BO1978,'Entry Builder'!$L$10)&gt;'Entry Builder'!$E$10)))</f>
        <v/>
      </c>
      <c r="E1978">
        <f>IF('Entry Builder'!$N$11=0,1,IF('Entry Builder'!$D$11="Less",--(INDEX(Sims!$A1978:$BO1978,'Entry Builder'!$L$11)&lt;'Entry Builder'!$E$11),--(INDEX(Sims!$A1978:$BO1978,'Entry Builder'!$L$11)&gt;'Entry Builder'!$E$11)))</f>
        <v/>
      </c>
      <c r="F1978">
        <f>IF('Entry Builder'!$N$12=0,1,IF('Entry Builder'!$D$12="Less",--(INDEX(Sims!$A1978:$BO1978,'Entry Builder'!$L$12)&lt;'Entry Builder'!$E$12),--(INDEX(Sims!$A1978:$BO1978,'Entry Builder'!$L$12)&gt;'Entry Builder'!$E$12)))</f>
        <v/>
      </c>
      <c r="G1978">
        <f>6-SUM(A1978:F1978)</f>
        <v/>
      </c>
    </row>
    <row r="1979">
      <c r="A1979">
        <f>IF('Entry Builder'!$N$7=0,1,IF('Entry Builder'!$D$7="Less",--(INDEX(Sims!$A1979:$BO1979,'Entry Builder'!$L$7)&lt;'Entry Builder'!$E$7),--(INDEX(Sims!$A1979:$BO1979,'Entry Builder'!$L$7)&gt;'Entry Builder'!$E$7)))</f>
        <v/>
      </c>
      <c r="B1979">
        <f>IF('Entry Builder'!$N$8=0,1,IF('Entry Builder'!$D$8="Less",--(INDEX(Sims!$A1979:$BO1979,'Entry Builder'!$L$8)&lt;'Entry Builder'!$E$8),--(INDEX(Sims!$A1979:$BO1979,'Entry Builder'!$L$8)&gt;'Entry Builder'!$E$8)))</f>
        <v/>
      </c>
      <c r="C1979">
        <f>IF('Entry Builder'!$N$9=0,1,IF('Entry Builder'!$D$9="Less",--(INDEX(Sims!$A1979:$BO1979,'Entry Builder'!$L$9)&lt;'Entry Builder'!$E$9),--(INDEX(Sims!$A1979:$BO1979,'Entry Builder'!$L$9)&gt;'Entry Builder'!$E$9)))</f>
        <v/>
      </c>
      <c r="D1979">
        <f>IF('Entry Builder'!$N$10=0,1,IF('Entry Builder'!$D$10="Less",--(INDEX(Sims!$A1979:$BO1979,'Entry Builder'!$L$10)&lt;'Entry Builder'!$E$10),--(INDEX(Sims!$A1979:$BO1979,'Entry Builder'!$L$10)&gt;'Entry Builder'!$E$10)))</f>
        <v/>
      </c>
      <c r="E1979">
        <f>IF('Entry Builder'!$N$11=0,1,IF('Entry Builder'!$D$11="Less",--(INDEX(Sims!$A1979:$BO1979,'Entry Builder'!$L$11)&lt;'Entry Builder'!$E$11),--(INDEX(Sims!$A1979:$BO1979,'Entry Builder'!$L$11)&gt;'Entry Builder'!$E$11)))</f>
        <v/>
      </c>
      <c r="F1979">
        <f>IF('Entry Builder'!$N$12=0,1,IF('Entry Builder'!$D$12="Less",--(INDEX(Sims!$A1979:$BO1979,'Entry Builder'!$L$12)&lt;'Entry Builder'!$E$12),--(INDEX(Sims!$A1979:$BO1979,'Entry Builder'!$L$12)&gt;'Entry Builder'!$E$12)))</f>
        <v/>
      </c>
      <c r="G1979">
        <f>6-SUM(A1979:F1979)</f>
        <v/>
      </c>
    </row>
    <row r="1980">
      <c r="A1980">
        <f>IF('Entry Builder'!$N$7=0,1,IF('Entry Builder'!$D$7="Less",--(INDEX(Sims!$A1980:$BO1980,'Entry Builder'!$L$7)&lt;'Entry Builder'!$E$7),--(INDEX(Sims!$A1980:$BO1980,'Entry Builder'!$L$7)&gt;'Entry Builder'!$E$7)))</f>
        <v/>
      </c>
      <c r="B1980">
        <f>IF('Entry Builder'!$N$8=0,1,IF('Entry Builder'!$D$8="Less",--(INDEX(Sims!$A1980:$BO1980,'Entry Builder'!$L$8)&lt;'Entry Builder'!$E$8),--(INDEX(Sims!$A1980:$BO1980,'Entry Builder'!$L$8)&gt;'Entry Builder'!$E$8)))</f>
        <v/>
      </c>
      <c r="C1980">
        <f>IF('Entry Builder'!$N$9=0,1,IF('Entry Builder'!$D$9="Less",--(INDEX(Sims!$A1980:$BO1980,'Entry Builder'!$L$9)&lt;'Entry Builder'!$E$9),--(INDEX(Sims!$A1980:$BO1980,'Entry Builder'!$L$9)&gt;'Entry Builder'!$E$9)))</f>
        <v/>
      </c>
      <c r="D1980">
        <f>IF('Entry Builder'!$N$10=0,1,IF('Entry Builder'!$D$10="Less",--(INDEX(Sims!$A1980:$BO1980,'Entry Builder'!$L$10)&lt;'Entry Builder'!$E$10),--(INDEX(Sims!$A1980:$BO1980,'Entry Builder'!$L$10)&gt;'Entry Builder'!$E$10)))</f>
        <v/>
      </c>
      <c r="E1980">
        <f>IF('Entry Builder'!$N$11=0,1,IF('Entry Builder'!$D$11="Less",--(INDEX(Sims!$A1980:$BO1980,'Entry Builder'!$L$11)&lt;'Entry Builder'!$E$11),--(INDEX(Sims!$A1980:$BO1980,'Entry Builder'!$L$11)&gt;'Entry Builder'!$E$11)))</f>
        <v/>
      </c>
      <c r="F1980">
        <f>IF('Entry Builder'!$N$12=0,1,IF('Entry Builder'!$D$12="Less",--(INDEX(Sims!$A1980:$BO1980,'Entry Builder'!$L$12)&lt;'Entry Builder'!$E$12),--(INDEX(Sims!$A1980:$BO1980,'Entry Builder'!$L$12)&gt;'Entry Builder'!$E$12)))</f>
        <v/>
      </c>
      <c r="G1980">
        <f>6-SUM(A1980:F1980)</f>
        <v/>
      </c>
    </row>
    <row r="1981">
      <c r="A1981">
        <f>IF('Entry Builder'!$N$7=0,1,IF('Entry Builder'!$D$7="Less",--(INDEX(Sims!$A1981:$BO1981,'Entry Builder'!$L$7)&lt;'Entry Builder'!$E$7),--(INDEX(Sims!$A1981:$BO1981,'Entry Builder'!$L$7)&gt;'Entry Builder'!$E$7)))</f>
        <v/>
      </c>
      <c r="B1981">
        <f>IF('Entry Builder'!$N$8=0,1,IF('Entry Builder'!$D$8="Less",--(INDEX(Sims!$A1981:$BO1981,'Entry Builder'!$L$8)&lt;'Entry Builder'!$E$8),--(INDEX(Sims!$A1981:$BO1981,'Entry Builder'!$L$8)&gt;'Entry Builder'!$E$8)))</f>
        <v/>
      </c>
      <c r="C1981">
        <f>IF('Entry Builder'!$N$9=0,1,IF('Entry Builder'!$D$9="Less",--(INDEX(Sims!$A1981:$BO1981,'Entry Builder'!$L$9)&lt;'Entry Builder'!$E$9),--(INDEX(Sims!$A1981:$BO1981,'Entry Builder'!$L$9)&gt;'Entry Builder'!$E$9)))</f>
        <v/>
      </c>
      <c r="D1981">
        <f>IF('Entry Builder'!$N$10=0,1,IF('Entry Builder'!$D$10="Less",--(INDEX(Sims!$A1981:$BO1981,'Entry Builder'!$L$10)&lt;'Entry Builder'!$E$10),--(INDEX(Sims!$A1981:$BO1981,'Entry Builder'!$L$10)&gt;'Entry Builder'!$E$10)))</f>
        <v/>
      </c>
      <c r="E1981">
        <f>IF('Entry Builder'!$N$11=0,1,IF('Entry Builder'!$D$11="Less",--(INDEX(Sims!$A1981:$BO1981,'Entry Builder'!$L$11)&lt;'Entry Builder'!$E$11),--(INDEX(Sims!$A1981:$BO1981,'Entry Builder'!$L$11)&gt;'Entry Builder'!$E$11)))</f>
        <v/>
      </c>
      <c r="F1981">
        <f>IF('Entry Builder'!$N$12=0,1,IF('Entry Builder'!$D$12="Less",--(INDEX(Sims!$A1981:$BO1981,'Entry Builder'!$L$12)&lt;'Entry Builder'!$E$12),--(INDEX(Sims!$A1981:$BO1981,'Entry Builder'!$L$12)&gt;'Entry Builder'!$E$12)))</f>
        <v/>
      </c>
      <c r="G1981">
        <f>6-SUM(A1981:F1981)</f>
        <v/>
      </c>
    </row>
    <row r="1982">
      <c r="A1982">
        <f>IF('Entry Builder'!$N$7=0,1,IF('Entry Builder'!$D$7="Less",--(INDEX(Sims!$A1982:$BO1982,'Entry Builder'!$L$7)&lt;'Entry Builder'!$E$7),--(INDEX(Sims!$A1982:$BO1982,'Entry Builder'!$L$7)&gt;'Entry Builder'!$E$7)))</f>
        <v/>
      </c>
      <c r="B1982">
        <f>IF('Entry Builder'!$N$8=0,1,IF('Entry Builder'!$D$8="Less",--(INDEX(Sims!$A1982:$BO1982,'Entry Builder'!$L$8)&lt;'Entry Builder'!$E$8),--(INDEX(Sims!$A1982:$BO1982,'Entry Builder'!$L$8)&gt;'Entry Builder'!$E$8)))</f>
        <v/>
      </c>
      <c r="C1982">
        <f>IF('Entry Builder'!$N$9=0,1,IF('Entry Builder'!$D$9="Less",--(INDEX(Sims!$A1982:$BO1982,'Entry Builder'!$L$9)&lt;'Entry Builder'!$E$9),--(INDEX(Sims!$A1982:$BO1982,'Entry Builder'!$L$9)&gt;'Entry Builder'!$E$9)))</f>
        <v/>
      </c>
      <c r="D1982">
        <f>IF('Entry Builder'!$N$10=0,1,IF('Entry Builder'!$D$10="Less",--(INDEX(Sims!$A1982:$BO1982,'Entry Builder'!$L$10)&lt;'Entry Builder'!$E$10),--(INDEX(Sims!$A1982:$BO1982,'Entry Builder'!$L$10)&gt;'Entry Builder'!$E$10)))</f>
        <v/>
      </c>
      <c r="E1982">
        <f>IF('Entry Builder'!$N$11=0,1,IF('Entry Builder'!$D$11="Less",--(INDEX(Sims!$A1982:$BO1982,'Entry Builder'!$L$11)&lt;'Entry Builder'!$E$11),--(INDEX(Sims!$A1982:$BO1982,'Entry Builder'!$L$11)&gt;'Entry Builder'!$E$11)))</f>
        <v/>
      </c>
      <c r="F1982">
        <f>IF('Entry Builder'!$N$12=0,1,IF('Entry Builder'!$D$12="Less",--(INDEX(Sims!$A1982:$BO1982,'Entry Builder'!$L$12)&lt;'Entry Builder'!$E$12),--(INDEX(Sims!$A1982:$BO1982,'Entry Builder'!$L$12)&gt;'Entry Builder'!$E$12)))</f>
        <v/>
      </c>
      <c r="G1982">
        <f>6-SUM(A1982:F1982)</f>
        <v/>
      </c>
    </row>
    <row r="1983">
      <c r="A1983">
        <f>IF('Entry Builder'!$N$7=0,1,IF('Entry Builder'!$D$7="Less",--(INDEX(Sims!$A1983:$BO1983,'Entry Builder'!$L$7)&lt;'Entry Builder'!$E$7),--(INDEX(Sims!$A1983:$BO1983,'Entry Builder'!$L$7)&gt;'Entry Builder'!$E$7)))</f>
        <v/>
      </c>
      <c r="B1983">
        <f>IF('Entry Builder'!$N$8=0,1,IF('Entry Builder'!$D$8="Less",--(INDEX(Sims!$A1983:$BO1983,'Entry Builder'!$L$8)&lt;'Entry Builder'!$E$8),--(INDEX(Sims!$A1983:$BO1983,'Entry Builder'!$L$8)&gt;'Entry Builder'!$E$8)))</f>
        <v/>
      </c>
      <c r="C1983">
        <f>IF('Entry Builder'!$N$9=0,1,IF('Entry Builder'!$D$9="Less",--(INDEX(Sims!$A1983:$BO1983,'Entry Builder'!$L$9)&lt;'Entry Builder'!$E$9),--(INDEX(Sims!$A1983:$BO1983,'Entry Builder'!$L$9)&gt;'Entry Builder'!$E$9)))</f>
        <v/>
      </c>
      <c r="D1983">
        <f>IF('Entry Builder'!$N$10=0,1,IF('Entry Builder'!$D$10="Less",--(INDEX(Sims!$A1983:$BO1983,'Entry Builder'!$L$10)&lt;'Entry Builder'!$E$10),--(INDEX(Sims!$A1983:$BO1983,'Entry Builder'!$L$10)&gt;'Entry Builder'!$E$10)))</f>
        <v/>
      </c>
      <c r="E1983">
        <f>IF('Entry Builder'!$N$11=0,1,IF('Entry Builder'!$D$11="Less",--(INDEX(Sims!$A1983:$BO1983,'Entry Builder'!$L$11)&lt;'Entry Builder'!$E$11),--(INDEX(Sims!$A1983:$BO1983,'Entry Builder'!$L$11)&gt;'Entry Builder'!$E$11)))</f>
        <v/>
      </c>
      <c r="F1983">
        <f>IF('Entry Builder'!$N$12=0,1,IF('Entry Builder'!$D$12="Less",--(INDEX(Sims!$A1983:$BO1983,'Entry Builder'!$L$12)&lt;'Entry Builder'!$E$12),--(INDEX(Sims!$A1983:$BO1983,'Entry Builder'!$L$12)&gt;'Entry Builder'!$E$12)))</f>
        <v/>
      </c>
      <c r="G1983">
        <f>6-SUM(A1983:F1983)</f>
        <v/>
      </c>
    </row>
    <row r="1984">
      <c r="A1984">
        <f>IF('Entry Builder'!$N$7=0,1,IF('Entry Builder'!$D$7="Less",--(INDEX(Sims!$A1984:$BO1984,'Entry Builder'!$L$7)&lt;'Entry Builder'!$E$7),--(INDEX(Sims!$A1984:$BO1984,'Entry Builder'!$L$7)&gt;'Entry Builder'!$E$7)))</f>
        <v/>
      </c>
      <c r="B1984">
        <f>IF('Entry Builder'!$N$8=0,1,IF('Entry Builder'!$D$8="Less",--(INDEX(Sims!$A1984:$BO1984,'Entry Builder'!$L$8)&lt;'Entry Builder'!$E$8),--(INDEX(Sims!$A1984:$BO1984,'Entry Builder'!$L$8)&gt;'Entry Builder'!$E$8)))</f>
        <v/>
      </c>
      <c r="C1984">
        <f>IF('Entry Builder'!$N$9=0,1,IF('Entry Builder'!$D$9="Less",--(INDEX(Sims!$A1984:$BO1984,'Entry Builder'!$L$9)&lt;'Entry Builder'!$E$9),--(INDEX(Sims!$A1984:$BO1984,'Entry Builder'!$L$9)&gt;'Entry Builder'!$E$9)))</f>
        <v/>
      </c>
      <c r="D1984">
        <f>IF('Entry Builder'!$N$10=0,1,IF('Entry Builder'!$D$10="Less",--(INDEX(Sims!$A1984:$BO1984,'Entry Builder'!$L$10)&lt;'Entry Builder'!$E$10),--(INDEX(Sims!$A1984:$BO1984,'Entry Builder'!$L$10)&gt;'Entry Builder'!$E$10)))</f>
        <v/>
      </c>
      <c r="E1984">
        <f>IF('Entry Builder'!$N$11=0,1,IF('Entry Builder'!$D$11="Less",--(INDEX(Sims!$A1984:$BO1984,'Entry Builder'!$L$11)&lt;'Entry Builder'!$E$11),--(INDEX(Sims!$A1984:$BO1984,'Entry Builder'!$L$11)&gt;'Entry Builder'!$E$11)))</f>
        <v/>
      </c>
      <c r="F1984">
        <f>IF('Entry Builder'!$N$12=0,1,IF('Entry Builder'!$D$12="Less",--(INDEX(Sims!$A1984:$BO1984,'Entry Builder'!$L$12)&lt;'Entry Builder'!$E$12),--(INDEX(Sims!$A1984:$BO1984,'Entry Builder'!$L$12)&gt;'Entry Builder'!$E$12)))</f>
        <v/>
      </c>
      <c r="G1984">
        <f>6-SUM(A1984:F1984)</f>
        <v/>
      </c>
    </row>
    <row r="1985">
      <c r="A1985">
        <f>IF('Entry Builder'!$N$7=0,1,IF('Entry Builder'!$D$7="Less",--(INDEX(Sims!$A1985:$BO1985,'Entry Builder'!$L$7)&lt;'Entry Builder'!$E$7),--(INDEX(Sims!$A1985:$BO1985,'Entry Builder'!$L$7)&gt;'Entry Builder'!$E$7)))</f>
        <v/>
      </c>
      <c r="B1985">
        <f>IF('Entry Builder'!$N$8=0,1,IF('Entry Builder'!$D$8="Less",--(INDEX(Sims!$A1985:$BO1985,'Entry Builder'!$L$8)&lt;'Entry Builder'!$E$8),--(INDEX(Sims!$A1985:$BO1985,'Entry Builder'!$L$8)&gt;'Entry Builder'!$E$8)))</f>
        <v/>
      </c>
      <c r="C1985">
        <f>IF('Entry Builder'!$N$9=0,1,IF('Entry Builder'!$D$9="Less",--(INDEX(Sims!$A1985:$BO1985,'Entry Builder'!$L$9)&lt;'Entry Builder'!$E$9),--(INDEX(Sims!$A1985:$BO1985,'Entry Builder'!$L$9)&gt;'Entry Builder'!$E$9)))</f>
        <v/>
      </c>
      <c r="D1985">
        <f>IF('Entry Builder'!$N$10=0,1,IF('Entry Builder'!$D$10="Less",--(INDEX(Sims!$A1985:$BO1985,'Entry Builder'!$L$10)&lt;'Entry Builder'!$E$10),--(INDEX(Sims!$A1985:$BO1985,'Entry Builder'!$L$10)&gt;'Entry Builder'!$E$10)))</f>
        <v/>
      </c>
      <c r="E1985">
        <f>IF('Entry Builder'!$N$11=0,1,IF('Entry Builder'!$D$11="Less",--(INDEX(Sims!$A1985:$BO1985,'Entry Builder'!$L$11)&lt;'Entry Builder'!$E$11),--(INDEX(Sims!$A1985:$BO1985,'Entry Builder'!$L$11)&gt;'Entry Builder'!$E$11)))</f>
        <v/>
      </c>
      <c r="F1985">
        <f>IF('Entry Builder'!$N$12=0,1,IF('Entry Builder'!$D$12="Less",--(INDEX(Sims!$A1985:$BO1985,'Entry Builder'!$L$12)&lt;'Entry Builder'!$E$12),--(INDEX(Sims!$A1985:$BO1985,'Entry Builder'!$L$12)&gt;'Entry Builder'!$E$12)))</f>
        <v/>
      </c>
      <c r="G1985">
        <f>6-SUM(A1985:F1985)</f>
        <v/>
      </c>
    </row>
    <row r="1986">
      <c r="A1986">
        <f>IF('Entry Builder'!$N$7=0,1,IF('Entry Builder'!$D$7="Less",--(INDEX(Sims!$A1986:$BO1986,'Entry Builder'!$L$7)&lt;'Entry Builder'!$E$7),--(INDEX(Sims!$A1986:$BO1986,'Entry Builder'!$L$7)&gt;'Entry Builder'!$E$7)))</f>
        <v/>
      </c>
      <c r="B1986">
        <f>IF('Entry Builder'!$N$8=0,1,IF('Entry Builder'!$D$8="Less",--(INDEX(Sims!$A1986:$BO1986,'Entry Builder'!$L$8)&lt;'Entry Builder'!$E$8),--(INDEX(Sims!$A1986:$BO1986,'Entry Builder'!$L$8)&gt;'Entry Builder'!$E$8)))</f>
        <v/>
      </c>
      <c r="C1986">
        <f>IF('Entry Builder'!$N$9=0,1,IF('Entry Builder'!$D$9="Less",--(INDEX(Sims!$A1986:$BO1986,'Entry Builder'!$L$9)&lt;'Entry Builder'!$E$9),--(INDEX(Sims!$A1986:$BO1986,'Entry Builder'!$L$9)&gt;'Entry Builder'!$E$9)))</f>
        <v/>
      </c>
      <c r="D1986">
        <f>IF('Entry Builder'!$N$10=0,1,IF('Entry Builder'!$D$10="Less",--(INDEX(Sims!$A1986:$BO1986,'Entry Builder'!$L$10)&lt;'Entry Builder'!$E$10),--(INDEX(Sims!$A1986:$BO1986,'Entry Builder'!$L$10)&gt;'Entry Builder'!$E$10)))</f>
        <v/>
      </c>
      <c r="E1986">
        <f>IF('Entry Builder'!$N$11=0,1,IF('Entry Builder'!$D$11="Less",--(INDEX(Sims!$A1986:$BO1986,'Entry Builder'!$L$11)&lt;'Entry Builder'!$E$11),--(INDEX(Sims!$A1986:$BO1986,'Entry Builder'!$L$11)&gt;'Entry Builder'!$E$11)))</f>
        <v/>
      </c>
      <c r="F1986">
        <f>IF('Entry Builder'!$N$12=0,1,IF('Entry Builder'!$D$12="Less",--(INDEX(Sims!$A1986:$BO1986,'Entry Builder'!$L$12)&lt;'Entry Builder'!$E$12),--(INDEX(Sims!$A1986:$BO1986,'Entry Builder'!$L$12)&gt;'Entry Builder'!$E$12)))</f>
        <v/>
      </c>
      <c r="G1986">
        <f>6-SUM(A1986:F1986)</f>
        <v/>
      </c>
    </row>
    <row r="1987">
      <c r="A1987">
        <f>IF('Entry Builder'!$N$7=0,1,IF('Entry Builder'!$D$7="Less",--(INDEX(Sims!$A1987:$BO1987,'Entry Builder'!$L$7)&lt;'Entry Builder'!$E$7),--(INDEX(Sims!$A1987:$BO1987,'Entry Builder'!$L$7)&gt;'Entry Builder'!$E$7)))</f>
        <v/>
      </c>
      <c r="B1987">
        <f>IF('Entry Builder'!$N$8=0,1,IF('Entry Builder'!$D$8="Less",--(INDEX(Sims!$A1987:$BO1987,'Entry Builder'!$L$8)&lt;'Entry Builder'!$E$8),--(INDEX(Sims!$A1987:$BO1987,'Entry Builder'!$L$8)&gt;'Entry Builder'!$E$8)))</f>
        <v/>
      </c>
      <c r="C1987">
        <f>IF('Entry Builder'!$N$9=0,1,IF('Entry Builder'!$D$9="Less",--(INDEX(Sims!$A1987:$BO1987,'Entry Builder'!$L$9)&lt;'Entry Builder'!$E$9),--(INDEX(Sims!$A1987:$BO1987,'Entry Builder'!$L$9)&gt;'Entry Builder'!$E$9)))</f>
        <v/>
      </c>
      <c r="D1987">
        <f>IF('Entry Builder'!$N$10=0,1,IF('Entry Builder'!$D$10="Less",--(INDEX(Sims!$A1987:$BO1987,'Entry Builder'!$L$10)&lt;'Entry Builder'!$E$10),--(INDEX(Sims!$A1987:$BO1987,'Entry Builder'!$L$10)&gt;'Entry Builder'!$E$10)))</f>
        <v/>
      </c>
      <c r="E1987">
        <f>IF('Entry Builder'!$N$11=0,1,IF('Entry Builder'!$D$11="Less",--(INDEX(Sims!$A1987:$BO1987,'Entry Builder'!$L$11)&lt;'Entry Builder'!$E$11),--(INDEX(Sims!$A1987:$BO1987,'Entry Builder'!$L$11)&gt;'Entry Builder'!$E$11)))</f>
        <v/>
      </c>
      <c r="F1987">
        <f>IF('Entry Builder'!$N$12=0,1,IF('Entry Builder'!$D$12="Less",--(INDEX(Sims!$A1987:$BO1987,'Entry Builder'!$L$12)&lt;'Entry Builder'!$E$12),--(INDEX(Sims!$A1987:$BO1987,'Entry Builder'!$L$12)&gt;'Entry Builder'!$E$12)))</f>
        <v/>
      </c>
      <c r="G1987">
        <f>6-SUM(A1987:F1987)</f>
        <v/>
      </c>
    </row>
    <row r="1988">
      <c r="A1988">
        <f>IF('Entry Builder'!$N$7=0,1,IF('Entry Builder'!$D$7="Less",--(INDEX(Sims!$A1988:$BO1988,'Entry Builder'!$L$7)&lt;'Entry Builder'!$E$7),--(INDEX(Sims!$A1988:$BO1988,'Entry Builder'!$L$7)&gt;'Entry Builder'!$E$7)))</f>
        <v/>
      </c>
      <c r="B1988">
        <f>IF('Entry Builder'!$N$8=0,1,IF('Entry Builder'!$D$8="Less",--(INDEX(Sims!$A1988:$BO1988,'Entry Builder'!$L$8)&lt;'Entry Builder'!$E$8),--(INDEX(Sims!$A1988:$BO1988,'Entry Builder'!$L$8)&gt;'Entry Builder'!$E$8)))</f>
        <v/>
      </c>
      <c r="C1988">
        <f>IF('Entry Builder'!$N$9=0,1,IF('Entry Builder'!$D$9="Less",--(INDEX(Sims!$A1988:$BO1988,'Entry Builder'!$L$9)&lt;'Entry Builder'!$E$9),--(INDEX(Sims!$A1988:$BO1988,'Entry Builder'!$L$9)&gt;'Entry Builder'!$E$9)))</f>
        <v/>
      </c>
      <c r="D1988">
        <f>IF('Entry Builder'!$N$10=0,1,IF('Entry Builder'!$D$10="Less",--(INDEX(Sims!$A1988:$BO1988,'Entry Builder'!$L$10)&lt;'Entry Builder'!$E$10),--(INDEX(Sims!$A1988:$BO1988,'Entry Builder'!$L$10)&gt;'Entry Builder'!$E$10)))</f>
        <v/>
      </c>
      <c r="E1988">
        <f>IF('Entry Builder'!$N$11=0,1,IF('Entry Builder'!$D$11="Less",--(INDEX(Sims!$A1988:$BO1988,'Entry Builder'!$L$11)&lt;'Entry Builder'!$E$11),--(INDEX(Sims!$A1988:$BO1988,'Entry Builder'!$L$11)&gt;'Entry Builder'!$E$11)))</f>
        <v/>
      </c>
      <c r="F1988">
        <f>IF('Entry Builder'!$N$12=0,1,IF('Entry Builder'!$D$12="Less",--(INDEX(Sims!$A1988:$BO1988,'Entry Builder'!$L$12)&lt;'Entry Builder'!$E$12),--(INDEX(Sims!$A1988:$BO1988,'Entry Builder'!$L$12)&gt;'Entry Builder'!$E$12)))</f>
        <v/>
      </c>
      <c r="G1988">
        <f>6-SUM(A1988:F1988)</f>
        <v/>
      </c>
    </row>
    <row r="1989">
      <c r="A1989">
        <f>IF('Entry Builder'!$N$7=0,1,IF('Entry Builder'!$D$7="Less",--(INDEX(Sims!$A1989:$BO1989,'Entry Builder'!$L$7)&lt;'Entry Builder'!$E$7),--(INDEX(Sims!$A1989:$BO1989,'Entry Builder'!$L$7)&gt;'Entry Builder'!$E$7)))</f>
        <v/>
      </c>
      <c r="B1989">
        <f>IF('Entry Builder'!$N$8=0,1,IF('Entry Builder'!$D$8="Less",--(INDEX(Sims!$A1989:$BO1989,'Entry Builder'!$L$8)&lt;'Entry Builder'!$E$8),--(INDEX(Sims!$A1989:$BO1989,'Entry Builder'!$L$8)&gt;'Entry Builder'!$E$8)))</f>
        <v/>
      </c>
      <c r="C1989">
        <f>IF('Entry Builder'!$N$9=0,1,IF('Entry Builder'!$D$9="Less",--(INDEX(Sims!$A1989:$BO1989,'Entry Builder'!$L$9)&lt;'Entry Builder'!$E$9),--(INDEX(Sims!$A1989:$BO1989,'Entry Builder'!$L$9)&gt;'Entry Builder'!$E$9)))</f>
        <v/>
      </c>
      <c r="D1989">
        <f>IF('Entry Builder'!$N$10=0,1,IF('Entry Builder'!$D$10="Less",--(INDEX(Sims!$A1989:$BO1989,'Entry Builder'!$L$10)&lt;'Entry Builder'!$E$10),--(INDEX(Sims!$A1989:$BO1989,'Entry Builder'!$L$10)&gt;'Entry Builder'!$E$10)))</f>
        <v/>
      </c>
      <c r="E1989">
        <f>IF('Entry Builder'!$N$11=0,1,IF('Entry Builder'!$D$11="Less",--(INDEX(Sims!$A1989:$BO1989,'Entry Builder'!$L$11)&lt;'Entry Builder'!$E$11),--(INDEX(Sims!$A1989:$BO1989,'Entry Builder'!$L$11)&gt;'Entry Builder'!$E$11)))</f>
        <v/>
      </c>
      <c r="F1989">
        <f>IF('Entry Builder'!$N$12=0,1,IF('Entry Builder'!$D$12="Less",--(INDEX(Sims!$A1989:$BO1989,'Entry Builder'!$L$12)&lt;'Entry Builder'!$E$12),--(INDEX(Sims!$A1989:$BO1989,'Entry Builder'!$L$12)&gt;'Entry Builder'!$E$12)))</f>
        <v/>
      </c>
      <c r="G1989">
        <f>6-SUM(A1989:F1989)</f>
        <v/>
      </c>
    </row>
    <row r="1990">
      <c r="A1990">
        <f>IF('Entry Builder'!$N$7=0,1,IF('Entry Builder'!$D$7="Less",--(INDEX(Sims!$A1990:$BO1990,'Entry Builder'!$L$7)&lt;'Entry Builder'!$E$7),--(INDEX(Sims!$A1990:$BO1990,'Entry Builder'!$L$7)&gt;'Entry Builder'!$E$7)))</f>
        <v/>
      </c>
      <c r="B1990">
        <f>IF('Entry Builder'!$N$8=0,1,IF('Entry Builder'!$D$8="Less",--(INDEX(Sims!$A1990:$BO1990,'Entry Builder'!$L$8)&lt;'Entry Builder'!$E$8),--(INDEX(Sims!$A1990:$BO1990,'Entry Builder'!$L$8)&gt;'Entry Builder'!$E$8)))</f>
        <v/>
      </c>
      <c r="C1990">
        <f>IF('Entry Builder'!$N$9=0,1,IF('Entry Builder'!$D$9="Less",--(INDEX(Sims!$A1990:$BO1990,'Entry Builder'!$L$9)&lt;'Entry Builder'!$E$9),--(INDEX(Sims!$A1990:$BO1990,'Entry Builder'!$L$9)&gt;'Entry Builder'!$E$9)))</f>
        <v/>
      </c>
      <c r="D1990">
        <f>IF('Entry Builder'!$N$10=0,1,IF('Entry Builder'!$D$10="Less",--(INDEX(Sims!$A1990:$BO1990,'Entry Builder'!$L$10)&lt;'Entry Builder'!$E$10),--(INDEX(Sims!$A1990:$BO1990,'Entry Builder'!$L$10)&gt;'Entry Builder'!$E$10)))</f>
        <v/>
      </c>
      <c r="E1990">
        <f>IF('Entry Builder'!$N$11=0,1,IF('Entry Builder'!$D$11="Less",--(INDEX(Sims!$A1990:$BO1990,'Entry Builder'!$L$11)&lt;'Entry Builder'!$E$11),--(INDEX(Sims!$A1990:$BO1990,'Entry Builder'!$L$11)&gt;'Entry Builder'!$E$11)))</f>
        <v/>
      </c>
      <c r="F1990">
        <f>IF('Entry Builder'!$N$12=0,1,IF('Entry Builder'!$D$12="Less",--(INDEX(Sims!$A1990:$BO1990,'Entry Builder'!$L$12)&lt;'Entry Builder'!$E$12),--(INDEX(Sims!$A1990:$BO1990,'Entry Builder'!$L$12)&gt;'Entry Builder'!$E$12)))</f>
        <v/>
      </c>
      <c r="G1990">
        <f>6-SUM(A1990:F1990)</f>
        <v/>
      </c>
    </row>
    <row r="1991">
      <c r="A1991">
        <f>IF('Entry Builder'!$N$7=0,1,IF('Entry Builder'!$D$7="Less",--(INDEX(Sims!$A1991:$BO1991,'Entry Builder'!$L$7)&lt;'Entry Builder'!$E$7),--(INDEX(Sims!$A1991:$BO1991,'Entry Builder'!$L$7)&gt;'Entry Builder'!$E$7)))</f>
        <v/>
      </c>
      <c r="B1991">
        <f>IF('Entry Builder'!$N$8=0,1,IF('Entry Builder'!$D$8="Less",--(INDEX(Sims!$A1991:$BO1991,'Entry Builder'!$L$8)&lt;'Entry Builder'!$E$8),--(INDEX(Sims!$A1991:$BO1991,'Entry Builder'!$L$8)&gt;'Entry Builder'!$E$8)))</f>
        <v/>
      </c>
      <c r="C1991">
        <f>IF('Entry Builder'!$N$9=0,1,IF('Entry Builder'!$D$9="Less",--(INDEX(Sims!$A1991:$BO1991,'Entry Builder'!$L$9)&lt;'Entry Builder'!$E$9),--(INDEX(Sims!$A1991:$BO1991,'Entry Builder'!$L$9)&gt;'Entry Builder'!$E$9)))</f>
        <v/>
      </c>
      <c r="D1991">
        <f>IF('Entry Builder'!$N$10=0,1,IF('Entry Builder'!$D$10="Less",--(INDEX(Sims!$A1991:$BO1991,'Entry Builder'!$L$10)&lt;'Entry Builder'!$E$10),--(INDEX(Sims!$A1991:$BO1991,'Entry Builder'!$L$10)&gt;'Entry Builder'!$E$10)))</f>
        <v/>
      </c>
      <c r="E1991">
        <f>IF('Entry Builder'!$N$11=0,1,IF('Entry Builder'!$D$11="Less",--(INDEX(Sims!$A1991:$BO1991,'Entry Builder'!$L$11)&lt;'Entry Builder'!$E$11),--(INDEX(Sims!$A1991:$BO1991,'Entry Builder'!$L$11)&gt;'Entry Builder'!$E$11)))</f>
        <v/>
      </c>
      <c r="F1991">
        <f>IF('Entry Builder'!$N$12=0,1,IF('Entry Builder'!$D$12="Less",--(INDEX(Sims!$A1991:$BO1991,'Entry Builder'!$L$12)&lt;'Entry Builder'!$E$12),--(INDEX(Sims!$A1991:$BO1991,'Entry Builder'!$L$12)&gt;'Entry Builder'!$E$12)))</f>
        <v/>
      </c>
      <c r="G1991">
        <f>6-SUM(A1991:F1991)</f>
        <v/>
      </c>
    </row>
    <row r="1992">
      <c r="A1992">
        <f>IF('Entry Builder'!$N$7=0,1,IF('Entry Builder'!$D$7="Less",--(INDEX(Sims!$A1992:$BO1992,'Entry Builder'!$L$7)&lt;'Entry Builder'!$E$7),--(INDEX(Sims!$A1992:$BO1992,'Entry Builder'!$L$7)&gt;'Entry Builder'!$E$7)))</f>
        <v/>
      </c>
      <c r="B1992">
        <f>IF('Entry Builder'!$N$8=0,1,IF('Entry Builder'!$D$8="Less",--(INDEX(Sims!$A1992:$BO1992,'Entry Builder'!$L$8)&lt;'Entry Builder'!$E$8),--(INDEX(Sims!$A1992:$BO1992,'Entry Builder'!$L$8)&gt;'Entry Builder'!$E$8)))</f>
        <v/>
      </c>
      <c r="C1992">
        <f>IF('Entry Builder'!$N$9=0,1,IF('Entry Builder'!$D$9="Less",--(INDEX(Sims!$A1992:$BO1992,'Entry Builder'!$L$9)&lt;'Entry Builder'!$E$9),--(INDEX(Sims!$A1992:$BO1992,'Entry Builder'!$L$9)&gt;'Entry Builder'!$E$9)))</f>
        <v/>
      </c>
      <c r="D1992">
        <f>IF('Entry Builder'!$N$10=0,1,IF('Entry Builder'!$D$10="Less",--(INDEX(Sims!$A1992:$BO1992,'Entry Builder'!$L$10)&lt;'Entry Builder'!$E$10),--(INDEX(Sims!$A1992:$BO1992,'Entry Builder'!$L$10)&gt;'Entry Builder'!$E$10)))</f>
        <v/>
      </c>
      <c r="E1992">
        <f>IF('Entry Builder'!$N$11=0,1,IF('Entry Builder'!$D$11="Less",--(INDEX(Sims!$A1992:$BO1992,'Entry Builder'!$L$11)&lt;'Entry Builder'!$E$11),--(INDEX(Sims!$A1992:$BO1992,'Entry Builder'!$L$11)&gt;'Entry Builder'!$E$11)))</f>
        <v/>
      </c>
      <c r="F1992">
        <f>IF('Entry Builder'!$N$12=0,1,IF('Entry Builder'!$D$12="Less",--(INDEX(Sims!$A1992:$BO1992,'Entry Builder'!$L$12)&lt;'Entry Builder'!$E$12),--(INDEX(Sims!$A1992:$BO1992,'Entry Builder'!$L$12)&gt;'Entry Builder'!$E$12)))</f>
        <v/>
      </c>
      <c r="G1992">
        <f>6-SUM(A1992:F1992)</f>
        <v/>
      </c>
    </row>
    <row r="1993">
      <c r="A1993">
        <f>IF('Entry Builder'!$N$7=0,1,IF('Entry Builder'!$D$7="Less",--(INDEX(Sims!$A1993:$BO1993,'Entry Builder'!$L$7)&lt;'Entry Builder'!$E$7),--(INDEX(Sims!$A1993:$BO1993,'Entry Builder'!$L$7)&gt;'Entry Builder'!$E$7)))</f>
        <v/>
      </c>
      <c r="B1993">
        <f>IF('Entry Builder'!$N$8=0,1,IF('Entry Builder'!$D$8="Less",--(INDEX(Sims!$A1993:$BO1993,'Entry Builder'!$L$8)&lt;'Entry Builder'!$E$8),--(INDEX(Sims!$A1993:$BO1993,'Entry Builder'!$L$8)&gt;'Entry Builder'!$E$8)))</f>
        <v/>
      </c>
      <c r="C1993">
        <f>IF('Entry Builder'!$N$9=0,1,IF('Entry Builder'!$D$9="Less",--(INDEX(Sims!$A1993:$BO1993,'Entry Builder'!$L$9)&lt;'Entry Builder'!$E$9),--(INDEX(Sims!$A1993:$BO1993,'Entry Builder'!$L$9)&gt;'Entry Builder'!$E$9)))</f>
        <v/>
      </c>
      <c r="D1993">
        <f>IF('Entry Builder'!$N$10=0,1,IF('Entry Builder'!$D$10="Less",--(INDEX(Sims!$A1993:$BO1993,'Entry Builder'!$L$10)&lt;'Entry Builder'!$E$10),--(INDEX(Sims!$A1993:$BO1993,'Entry Builder'!$L$10)&gt;'Entry Builder'!$E$10)))</f>
        <v/>
      </c>
      <c r="E1993">
        <f>IF('Entry Builder'!$N$11=0,1,IF('Entry Builder'!$D$11="Less",--(INDEX(Sims!$A1993:$BO1993,'Entry Builder'!$L$11)&lt;'Entry Builder'!$E$11),--(INDEX(Sims!$A1993:$BO1993,'Entry Builder'!$L$11)&gt;'Entry Builder'!$E$11)))</f>
        <v/>
      </c>
      <c r="F1993">
        <f>IF('Entry Builder'!$N$12=0,1,IF('Entry Builder'!$D$12="Less",--(INDEX(Sims!$A1993:$BO1993,'Entry Builder'!$L$12)&lt;'Entry Builder'!$E$12),--(INDEX(Sims!$A1993:$BO1993,'Entry Builder'!$L$12)&gt;'Entry Builder'!$E$12)))</f>
        <v/>
      </c>
      <c r="G1993">
        <f>6-SUM(A1993:F1993)</f>
        <v/>
      </c>
    </row>
    <row r="1994">
      <c r="A1994">
        <f>IF('Entry Builder'!$N$7=0,1,IF('Entry Builder'!$D$7="Less",--(INDEX(Sims!$A1994:$BO1994,'Entry Builder'!$L$7)&lt;'Entry Builder'!$E$7),--(INDEX(Sims!$A1994:$BO1994,'Entry Builder'!$L$7)&gt;'Entry Builder'!$E$7)))</f>
        <v/>
      </c>
      <c r="B1994">
        <f>IF('Entry Builder'!$N$8=0,1,IF('Entry Builder'!$D$8="Less",--(INDEX(Sims!$A1994:$BO1994,'Entry Builder'!$L$8)&lt;'Entry Builder'!$E$8),--(INDEX(Sims!$A1994:$BO1994,'Entry Builder'!$L$8)&gt;'Entry Builder'!$E$8)))</f>
        <v/>
      </c>
      <c r="C1994">
        <f>IF('Entry Builder'!$N$9=0,1,IF('Entry Builder'!$D$9="Less",--(INDEX(Sims!$A1994:$BO1994,'Entry Builder'!$L$9)&lt;'Entry Builder'!$E$9),--(INDEX(Sims!$A1994:$BO1994,'Entry Builder'!$L$9)&gt;'Entry Builder'!$E$9)))</f>
        <v/>
      </c>
      <c r="D1994">
        <f>IF('Entry Builder'!$N$10=0,1,IF('Entry Builder'!$D$10="Less",--(INDEX(Sims!$A1994:$BO1994,'Entry Builder'!$L$10)&lt;'Entry Builder'!$E$10),--(INDEX(Sims!$A1994:$BO1994,'Entry Builder'!$L$10)&gt;'Entry Builder'!$E$10)))</f>
        <v/>
      </c>
      <c r="E1994">
        <f>IF('Entry Builder'!$N$11=0,1,IF('Entry Builder'!$D$11="Less",--(INDEX(Sims!$A1994:$BO1994,'Entry Builder'!$L$11)&lt;'Entry Builder'!$E$11),--(INDEX(Sims!$A1994:$BO1994,'Entry Builder'!$L$11)&gt;'Entry Builder'!$E$11)))</f>
        <v/>
      </c>
      <c r="F1994">
        <f>IF('Entry Builder'!$N$12=0,1,IF('Entry Builder'!$D$12="Less",--(INDEX(Sims!$A1994:$BO1994,'Entry Builder'!$L$12)&lt;'Entry Builder'!$E$12),--(INDEX(Sims!$A1994:$BO1994,'Entry Builder'!$L$12)&gt;'Entry Builder'!$E$12)))</f>
        <v/>
      </c>
      <c r="G1994">
        <f>6-SUM(A1994:F1994)</f>
        <v/>
      </c>
    </row>
    <row r="1995">
      <c r="A1995">
        <f>IF('Entry Builder'!$N$7=0,1,IF('Entry Builder'!$D$7="Less",--(INDEX(Sims!$A1995:$BO1995,'Entry Builder'!$L$7)&lt;'Entry Builder'!$E$7),--(INDEX(Sims!$A1995:$BO1995,'Entry Builder'!$L$7)&gt;'Entry Builder'!$E$7)))</f>
        <v/>
      </c>
      <c r="B1995">
        <f>IF('Entry Builder'!$N$8=0,1,IF('Entry Builder'!$D$8="Less",--(INDEX(Sims!$A1995:$BO1995,'Entry Builder'!$L$8)&lt;'Entry Builder'!$E$8),--(INDEX(Sims!$A1995:$BO1995,'Entry Builder'!$L$8)&gt;'Entry Builder'!$E$8)))</f>
        <v/>
      </c>
      <c r="C1995">
        <f>IF('Entry Builder'!$N$9=0,1,IF('Entry Builder'!$D$9="Less",--(INDEX(Sims!$A1995:$BO1995,'Entry Builder'!$L$9)&lt;'Entry Builder'!$E$9),--(INDEX(Sims!$A1995:$BO1995,'Entry Builder'!$L$9)&gt;'Entry Builder'!$E$9)))</f>
        <v/>
      </c>
      <c r="D1995">
        <f>IF('Entry Builder'!$N$10=0,1,IF('Entry Builder'!$D$10="Less",--(INDEX(Sims!$A1995:$BO1995,'Entry Builder'!$L$10)&lt;'Entry Builder'!$E$10),--(INDEX(Sims!$A1995:$BO1995,'Entry Builder'!$L$10)&gt;'Entry Builder'!$E$10)))</f>
        <v/>
      </c>
      <c r="E1995">
        <f>IF('Entry Builder'!$N$11=0,1,IF('Entry Builder'!$D$11="Less",--(INDEX(Sims!$A1995:$BO1995,'Entry Builder'!$L$11)&lt;'Entry Builder'!$E$11),--(INDEX(Sims!$A1995:$BO1995,'Entry Builder'!$L$11)&gt;'Entry Builder'!$E$11)))</f>
        <v/>
      </c>
      <c r="F1995">
        <f>IF('Entry Builder'!$N$12=0,1,IF('Entry Builder'!$D$12="Less",--(INDEX(Sims!$A1995:$BO1995,'Entry Builder'!$L$12)&lt;'Entry Builder'!$E$12),--(INDEX(Sims!$A1995:$BO1995,'Entry Builder'!$L$12)&gt;'Entry Builder'!$E$12)))</f>
        <v/>
      </c>
      <c r="G1995">
        <f>6-SUM(A1995:F1995)</f>
        <v/>
      </c>
    </row>
    <row r="1996">
      <c r="A1996">
        <f>IF('Entry Builder'!$N$7=0,1,IF('Entry Builder'!$D$7="Less",--(INDEX(Sims!$A1996:$BO1996,'Entry Builder'!$L$7)&lt;'Entry Builder'!$E$7),--(INDEX(Sims!$A1996:$BO1996,'Entry Builder'!$L$7)&gt;'Entry Builder'!$E$7)))</f>
        <v/>
      </c>
      <c r="B1996">
        <f>IF('Entry Builder'!$N$8=0,1,IF('Entry Builder'!$D$8="Less",--(INDEX(Sims!$A1996:$BO1996,'Entry Builder'!$L$8)&lt;'Entry Builder'!$E$8),--(INDEX(Sims!$A1996:$BO1996,'Entry Builder'!$L$8)&gt;'Entry Builder'!$E$8)))</f>
        <v/>
      </c>
      <c r="C1996">
        <f>IF('Entry Builder'!$N$9=0,1,IF('Entry Builder'!$D$9="Less",--(INDEX(Sims!$A1996:$BO1996,'Entry Builder'!$L$9)&lt;'Entry Builder'!$E$9),--(INDEX(Sims!$A1996:$BO1996,'Entry Builder'!$L$9)&gt;'Entry Builder'!$E$9)))</f>
        <v/>
      </c>
      <c r="D1996">
        <f>IF('Entry Builder'!$N$10=0,1,IF('Entry Builder'!$D$10="Less",--(INDEX(Sims!$A1996:$BO1996,'Entry Builder'!$L$10)&lt;'Entry Builder'!$E$10),--(INDEX(Sims!$A1996:$BO1996,'Entry Builder'!$L$10)&gt;'Entry Builder'!$E$10)))</f>
        <v/>
      </c>
      <c r="E1996">
        <f>IF('Entry Builder'!$N$11=0,1,IF('Entry Builder'!$D$11="Less",--(INDEX(Sims!$A1996:$BO1996,'Entry Builder'!$L$11)&lt;'Entry Builder'!$E$11),--(INDEX(Sims!$A1996:$BO1996,'Entry Builder'!$L$11)&gt;'Entry Builder'!$E$11)))</f>
        <v/>
      </c>
      <c r="F1996">
        <f>IF('Entry Builder'!$N$12=0,1,IF('Entry Builder'!$D$12="Less",--(INDEX(Sims!$A1996:$BO1996,'Entry Builder'!$L$12)&lt;'Entry Builder'!$E$12),--(INDEX(Sims!$A1996:$BO1996,'Entry Builder'!$L$12)&gt;'Entry Builder'!$E$12)))</f>
        <v/>
      </c>
      <c r="G1996">
        <f>6-SUM(A1996:F1996)</f>
        <v/>
      </c>
    </row>
    <row r="1997">
      <c r="A1997">
        <f>IF('Entry Builder'!$N$7=0,1,IF('Entry Builder'!$D$7="Less",--(INDEX(Sims!$A1997:$BO1997,'Entry Builder'!$L$7)&lt;'Entry Builder'!$E$7),--(INDEX(Sims!$A1997:$BO1997,'Entry Builder'!$L$7)&gt;'Entry Builder'!$E$7)))</f>
        <v/>
      </c>
      <c r="B1997">
        <f>IF('Entry Builder'!$N$8=0,1,IF('Entry Builder'!$D$8="Less",--(INDEX(Sims!$A1997:$BO1997,'Entry Builder'!$L$8)&lt;'Entry Builder'!$E$8),--(INDEX(Sims!$A1997:$BO1997,'Entry Builder'!$L$8)&gt;'Entry Builder'!$E$8)))</f>
        <v/>
      </c>
      <c r="C1997">
        <f>IF('Entry Builder'!$N$9=0,1,IF('Entry Builder'!$D$9="Less",--(INDEX(Sims!$A1997:$BO1997,'Entry Builder'!$L$9)&lt;'Entry Builder'!$E$9),--(INDEX(Sims!$A1997:$BO1997,'Entry Builder'!$L$9)&gt;'Entry Builder'!$E$9)))</f>
        <v/>
      </c>
      <c r="D1997">
        <f>IF('Entry Builder'!$N$10=0,1,IF('Entry Builder'!$D$10="Less",--(INDEX(Sims!$A1997:$BO1997,'Entry Builder'!$L$10)&lt;'Entry Builder'!$E$10),--(INDEX(Sims!$A1997:$BO1997,'Entry Builder'!$L$10)&gt;'Entry Builder'!$E$10)))</f>
        <v/>
      </c>
      <c r="E1997">
        <f>IF('Entry Builder'!$N$11=0,1,IF('Entry Builder'!$D$11="Less",--(INDEX(Sims!$A1997:$BO1997,'Entry Builder'!$L$11)&lt;'Entry Builder'!$E$11),--(INDEX(Sims!$A1997:$BO1997,'Entry Builder'!$L$11)&gt;'Entry Builder'!$E$11)))</f>
        <v/>
      </c>
      <c r="F1997">
        <f>IF('Entry Builder'!$N$12=0,1,IF('Entry Builder'!$D$12="Less",--(INDEX(Sims!$A1997:$BO1997,'Entry Builder'!$L$12)&lt;'Entry Builder'!$E$12),--(INDEX(Sims!$A1997:$BO1997,'Entry Builder'!$L$12)&gt;'Entry Builder'!$E$12)))</f>
        <v/>
      </c>
      <c r="G1997">
        <f>6-SUM(A1997:F1997)</f>
        <v/>
      </c>
    </row>
    <row r="1998">
      <c r="A1998">
        <f>IF('Entry Builder'!$N$7=0,1,IF('Entry Builder'!$D$7="Less",--(INDEX(Sims!$A1998:$BO1998,'Entry Builder'!$L$7)&lt;'Entry Builder'!$E$7),--(INDEX(Sims!$A1998:$BO1998,'Entry Builder'!$L$7)&gt;'Entry Builder'!$E$7)))</f>
        <v/>
      </c>
      <c r="B1998">
        <f>IF('Entry Builder'!$N$8=0,1,IF('Entry Builder'!$D$8="Less",--(INDEX(Sims!$A1998:$BO1998,'Entry Builder'!$L$8)&lt;'Entry Builder'!$E$8),--(INDEX(Sims!$A1998:$BO1998,'Entry Builder'!$L$8)&gt;'Entry Builder'!$E$8)))</f>
        <v/>
      </c>
      <c r="C1998">
        <f>IF('Entry Builder'!$N$9=0,1,IF('Entry Builder'!$D$9="Less",--(INDEX(Sims!$A1998:$BO1998,'Entry Builder'!$L$9)&lt;'Entry Builder'!$E$9),--(INDEX(Sims!$A1998:$BO1998,'Entry Builder'!$L$9)&gt;'Entry Builder'!$E$9)))</f>
        <v/>
      </c>
      <c r="D1998">
        <f>IF('Entry Builder'!$N$10=0,1,IF('Entry Builder'!$D$10="Less",--(INDEX(Sims!$A1998:$BO1998,'Entry Builder'!$L$10)&lt;'Entry Builder'!$E$10),--(INDEX(Sims!$A1998:$BO1998,'Entry Builder'!$L$10)&gt;'Entry Builder'!$E$10)))</f>
        <v/>
      </c>
      <c r="E1998">
        <f>IF('Entry Builder'!$N$11=0,1,IF('Entry Builder'!$D$11="Less",--(INDEX(Sims!$A1998:$BO1998,'Entry Builder'!$L$11)&lt;'Entry Builder'!$E$11),--(INDEX(Sims!$A1998:$BO1998,'Entry Builder'!$L$11)&gt;'Entry Builder'!$E$11)))</f>
        <v/>
      </c>
      <c r="F1998">
        <f>IF('Entry Builder'!$N$12=0,1,IF('Entry Builder'!$D$12="Less",--(INDEX(Sims!$A1998:$BO1998,'Entry Builder'!$L$12)&lt;'Entry Builder'!$E$12),--(INDEX(Sims!$A1998:$BO1998,'Entry Builder'!$L$12)&gt;'Entry Builder'!$E$12)))</f>
        <v/>
      </c>
      <c r="G1998">
        <f>6-SUM(A1998:F1998)</f>
        <v/>
      </c>
    </row>
    <row r="1999">
      <c r="A1999">
        <f>IF('Entry Builder'!$N$7=0,1,IF('Entry Builder'!$D$7="Less",--(INDEX(Sims!$A1999:$BO1999,'Entry Builder'!$L$7)&lt;'Entry Builder'!$E$7),--(INDEX(Sims!$A1999:$BO1999,'Entry Builder'!$L$7)&gt;'Entry Builder'!$E$7)))</f>
        <v/>
      </c>
      <c r="B1999">
        <f>IF('Entry Builder'!$N$8=0,1,IF('Entry Builder'!$D$8="Less",--(INDEX(Sims!$A1999:$BO1999,'Entry Builder'!$L$8)&lt;'Entry Builder'!$E$8),--(INDEX(Sims!$A1999:$BO1999,'Entry Builder'!$L$8)&gt;'Entry Builder'!$E$8)))</f>
        <v/>
      </c>
      <c r="C1999">
        <f>IF('Entry Builder'!$N$9=0,1,IF('Entry Builder'!$D$9="Less",--(INDEX(Sims!$A1999:$BO1999,'Entry Builder'!$L$9)&lt;'Entry Builder'!$E$9),--(INDEX(Sims!$A1999:$BO1999,'Entry Builder'!$L$9)&gt;'Entry Builder'!$E$9)))</f>
        <v/>
      </c>
      <c r="D1999">
        <f>IF('Entry Builder'!$N$10=0,1,IF('Entry Builder'!$D$10="Less",--(INDEX(Sims!$A1999:$BO1999,'Entry Builder'!$L$10)&lt;'Entry Builder'!$E$10),--(INDEX(Sims!$A1999:$BO1999,'Entry Builder'!$L$10)&gt;'Entry Builder'!$E$10)))</f>
        <v/>
      </c>
      <c r="E1999">
        <f>IF('Entry Builder'!$N$11=0,1,IF('Entry Builder'!$D$11="Less",--(INDEX(Sims!$A1999:$BO1999,'Entry Builder'!$L$11)&lt;'Entry Builder'!$E$11),--(INDEX(Sims!$A1999:$BO1999,'Entry Builder'!$L$11)&gt;'Entry Builder'!$E$11)))</f>
        <v/>
      </c>
      <c r="F1999">
        <f>IF('Entry Builder'!$N$12=0,1,IF('Entry Builder'!$D$12="Less",--(INDEX(Sims!$A1999:$BO1999,'Entry Builder'!$L$12)&lt;'Entry Builder'!$E$12),--(INDEX(Sims!$A1999:$BO1999,'Entry Builder'!$L$12)&gt;'Entry Builder'!$E$12)))</f>
        <v/>
      </c>
      <c r="G1999">
        <f>6-SUM(A1999:F1999)</f>
        <v/>
      </c>
    </row>
    <row r="2000">
      <c r="A2000">
        <f>IF('Entry Builder'!$N$7=0,1,IF('Entry Builder'!$D$7="Less",--(INDEX(Sims!$A2000:$BO2000,'Entry Builder'!$L$7)&lt;'Entry Builder'!$E$7),--(INDEX(Sims!$A2000:$BO2000,'Entry Builder'!$L$7)&gt;'Entry Builder'!$E$7)))</f>
        <v/>
      </c>
      <c r="B2000">
        <f>IF('Entry Builder'!$N$8=0,1,IF('Entry Builder'!$D$8="Less",--(INDEX(Sims!$A2000:$BO2000,'Entry Builder'!$L$8)&lt;'Entry Builder'!$E$8),--(INDEX(Sims!$A2000:$BO2000,'Entry Builder'!$L$8)&gt;'Entry Builder'!$E$8)))</f>
        <v/>
      </c>
      <c r="C2000">
        <f>IF('Entry Builder'!$N$9=0,1,IF('Entry Builder'!$D$9="Less",--(INDEX(Sims!$A2000:$BO2000,'Entry Builder'!$L$9)&lt;'Entry Builder'!$E$9),--(INDEX(Sims!$A2000:$BO2000,'Entry Builder'!$L$9)&gt;'Entry Builder'!$E$9)))</f>
        <v/>
      </c>
      <c r="D2000">
        <f>IF('Entry Builder'!$N$10=0,1,IF('Entry Builder'!$D$10="Less",--(INDEX(Sims!$A2000:$BO2000,'Entry Builder'!$L$10)&lt;'Entry Builder'!$E$10),--(INDEX(Sims!$A2000:$BO2000,'Entry Builder'!$L$10)&gt;'Entry Builder'!$E$10)))</f>
        <v/>
      </c>
      <c r="E2000">
        <f>IF('Entry Builder'!$N$11=0,1,IF('Entry Builder'!$D$11="Less",--(INDEX(Sims!$A2000:$BO2000,'Entry Builder'!$L$11)&lt;'Entry Builder'!$E$11),--(INDEX(Sims!$A2000:$BO2000,'Entry Builder'!$L$11)&gt;'Entry Builder'!$E$11)))</f>
        <v/>
      </c>
      <c r="F2000">
        <f>IF('Entry Builder'!$N$12=0,1,IF('Entry Builder'!$D$12="Less",--(INDEX(Sims!$A2000:$BO2000,'Entry Builder'!$L$12)&lt;'Entry Builder'!$E$12),--(INDEX(Sims!$A2000:$BO2000,'Entry Builder'!$L$12)&gt;'Entry Builder'!$E$12)))</f>
        <v/>
      </c>
      <c r="G2000">
        <f>6-SUM(A2000:F2000)</f>
        <v/>
      </c>
    </row>
    <row r="2001">
      <c r="A2001">
        <f>IF('Entry Builder'!$N$7=0,1,IF('Entry Builder'!$D$7="Less",--(INDEX(Sims!$A2001:$BO2001,'Entry Builder'!$L$7)&lt;'Entry Builder'!$E$7),--(INDEX(Sims!$A2001:$BO2001,'Entry Builder'!$L$7)&gt;'Entry Builder'!$E$7)))</f>
        <v/>
      </c>
      <c r="B2001">
        <f>IF('Entry Builder'!$N$8=0,1,IF('Entry Builder'!$D$8="Less",--(INDEX(Sims!$A2001:$BO2001,'Entry Builder'!$L$8)&lt;'Entry Builder'!$E$8),--(INDEX(Sims!$A2001:$BO2001,'Entry Builder'!$L$8)&gt;'Entry Builder'!$E$8)))</f>
        <v/>
      </c>
      <c r="C2001">
        <f>IF('Entry Builder'!$N$9=0,1,IF('Entry Builder'!$D$9="Less",--(INDEX(Sims!$A2001:$BO2001,'Entry Builder'!$L$9)&lt;'Entry Builder'!$E$9),--(INDEX(Sims!$A2001:$BO2001,'Entry Builder'!$L$9)&gt;'Entry Builder'!$E$9)))</f>
        <v/>
      </c>
      <c r="D2001">
        <f>IF('Entry Builder'!$N$10=0,1,IF('Entry Builder'!$D$10="Less",--(INDEX(Sims!$A2001:$BO2001,'Entry Builder'!$L$10)&lt;'Entry Builder'!$E$10),--(INDEX(Sims!$A2001:$BO2001,'Entry Builder'!$L$10)&gt;'Entry Builder'!$E$10)))</f>
        <v/>
      </c>
      <c r="E2001">
        <f>IF('Entry Builder'!$N$11=0,1,IF('Entry Builder'!$D$11="Less",--(INDEX(Sims!$A2001:$BO2001,'Entry Builder'!$L$11)&lt;'Entry Builder'!$E$11),--(INDEX(Sims!$A2001:$BO2001,'Entry Builder'!$L$11)&gt;'Entry Builder'!$E$11)))</f>
        <v/>
      </c>
      <c r="F2001">
        <f>IF('Entry Builder'!$N$12=0,1,IF('Entry Builder'!$D$12="Less",--(INDEX(Sims!$A2001:$BO2001,'Entry Builder'!$L$12)&lt;'Entry Builder'!$E$12),--(INDEX(Sims!$A2001:$BO2001,'Entry Builder'!$L$12)&gt;'Entry Builder'!$E$12)))</f>
        <v/>
      </c>
      <c r="G2001">
        <f>6-SUM(A2001:F2001)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2026-10-02T00:11:38Z</dcterms:created>
  <dcterms:modified xsi:type="dcterms:W3CDTF">2026-10-02T00:11:38Z</dcterms:modified>
</cp:coreProperties>
</file>